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COMPLISHMENT\ACCOMPLISHMENT BENEFICIARES\"/>
    </mc:Choice>
  </mc:AlternateContent>
  <bookViews>
    <workbookView xWindow="-120" yWindow="-120" windowWidth="20730" windowHeight="11160" tabRatio="603" firstSheet="4" activeTab="5"/>
  </bookViews>
  <sheets>
    <sheet name="WFP 2020" sheetId="1" r:id="rId1"/>
    <sheet name="Fingerlings Dispersal" sheetId="14" r:id="rId2"/>
    <sheet name="Seaweed Farm Implements" sheetId="3" r:id="rId3"/>
    <sheet name="Seaweed Farm Propagules" sheetId="4" r:id="rId4"/>
    <sheet name="Seaweed Nurseries" sheetId="5" r:id="rId5"/>
    <sheet name="Fishing Gear" sheetId="6" r:id="rId6"/>
    <sheet name="PH Equipment" sheetId="7" r:id="rId7"/>
    <sheet name="Training" sheetId="8" r:id="rId8"/>
    <sheet name="Technical Assistance" sheetId="9" r:id="rId9"/>
    <sheet name="Fisherman's License Card" sheetId="17" r:id="rId10"/>
    <sheet name="IEC" sheetId="16" r:id="rId11"/>
  </sheets>
  <definedNames>
    <definedName name="__xlnm.Print_Area_2" localSheetId="1">#REF!</definedName>
    <definedName name="__xlnm.Print_Area_2" localSheetId="9">#REF!</definedName>
    <definedName name="__xlnm.Print_Area_2" localSheetId="5">#REF!</definedName>
    <definedName name="__xlnm.Print_Area_2" localSheetId="10">#REF!</definedName>
    <definedName name="__xlnm.Print_Area_2" localSheetId="6">#REF!</definedName>
    <definedName name="__xlnm.Print_Area_2" localSheetId="2">#REF!</definedName>
    <definedName name="__xlnm.Print_Area_2" localSheetId="3">#REF!</definedName>
    <definedName name="__xlnm.Print_Area_2" localSheetId="4">#REF!</definedName>
    <definedName name="__xlnm.Print_Area_2" localSheetId="8">#REF!</definedName>
    <definedName name="__xlnm.Print_Area_2" localSheetId="7">#REF!</definedName>
    <definedName name="__xlnm.Print_Area_2">#REF!</definedName>
    <definedName name="Continuing" localSheetId="1">#REF!</definedName>
    <definedName name="Continuing" localSheetId="9">#REF!</definedName>
    <definedName name="Continuing" localSheetId="5">#REF!</definedName>
    <definedName name="Continuing" localSheetId="10">#REF!</definedName>
    <definedName name="Continuing" localSheetId="6">#REF!</definedName>
    <definedName name="Continuing" localSheetId="2">#REF!</definedName>
    <definedName name="Continuing" localSheetId="3">#REF!</definedName>
    <definedName name="Continuing" localSheetId="4">#REF!</definedName>
    <definedName name="Continuing" localSheetId="8">#REF!</definedName>
    <definedName name="Continuing" localSheetId="7">#REF!</definedName>
    <definedName name="Continuing" localSheetId="0">#REF!</definedName>
    <definedName name="Continuing">#REF!</definedName>
    <definedName name="_xlnm.Print_Area" localSheetId="0">'WFP 2020'!$A$1:$AG$335</definedName>
  </definedNames>
  <calcPr calcId="162913"/>
</workbook>
</file>

<file path=xl/calcChain.xml><?xml version="1.0" encoding="utf-8"?>
<calcChain xmlns="http://schemas.openxmlformats.org/spreadsheetml/2006/main">
  <c r="K2" i="6" l="1"/>
  <c r="L195" i="6"/>
  <c r="K195" i="6"/>
  <c r="L90" i="6"/>
  <c r="K90" i="6"/>
  <c r="L71" i="6"/>
  <c r="K71" i="6"/>
  <c r="K106" i="8"/>
  <c r="L2" i="9"/>
  <c r="K2" i="9"/>
  <c r="L103" i="9"/>
  <c r="K103" i="9"/>
  <c r="L70" i="9"/>
  <c r="K70" i="9"/>
  <c r="L106" i="8" l="1"/>
  <c r="L2" i="8" s="1"/>
  <c r="K2" i="8"/>
  <c r="L84" i="8"/>
  <c r="K84" i="8"/>
  <c r="L2" i="6" l="1"/>
  <c r="L63" i="9"/>
  <c r="K63" i="9"/>
  <c r="L74" i="8"/>
  <c r="K74" i="8"/>
  <c r="L3" i="8"/>
  <c r="K3" i="8"/>
  <c r="L71" i="4"/>
  <c r="L2" i="4" s="1"/>
  <c r="K71" i="4"/>
  <c r="K2" i="4" s="1"/>
  <c r="L81" i="5"/>
  <c r="L2" i="5" s="1"/>
  <c r="K81" i="5"/>
  <c r="K2" i="5" s="1"/>
  <c r="L84" i="5"/>
  <c r="K84" i="5"/>
  <c r="K3" i="5" s="1"/>
  <c r="L3" i="5"/>
  <c r="K86" i="6"/>
  <c r="K3" i="6" s="1"/>
  <c r="K77" i="8" l="1"/>
  <c r="L77" i="8"/>
  <c r="L70" i="5" l="1"/>
  <c r="K70" i="5"/>
  <c r="L64" i="6"/>
  <c r="K64" i="6"/>
  <c r="L67" i="6"/>
  <c r="K67" i="6"/>
  <c r="L417" i="6" l="1"/>
  <c r="K417" i="6"/>
  <c r="L191" i="6"/>
  <c r="K191" i="6"/>
  <c r="L86" i="6"/>
  <c r="L3" i="6" s="1"/>
  <c r="L146" i="9" l="1"/>
  <c r="K146" i="9"/>
  <c r="L99" i="9"/>
  <c r="K99" i="9"/>
  <c r="L66" i="9"/>
  <c r="K66" i="9"/>
  <c r="L59" i="9"/>
  <c r="K59" i="9"/>
  <c r="L64" i="4" l="1"/>
  <c r="K64" i="4"/>
  <c r="L60" i="14" l="1"/>
  <c r="L2" i="14" s="1"/>
  <c r="K60" i="14"/>
  <c r="K2" i="14" s="1"/>
  <c r="K3" i="9"/>
  <c r="M2" i="8" l="1"/>
  <c r="L88" i="7"/>
  <c r="K88" i="7"/>
  <c r="L84" i="7"/>
  <c r="K84" i="7"/>
  <c r="L81" i="7"/>
  <c r="K81" i="7"/>
  <c r="L77" i="7"/>
  <c r="K77" i="7"/>
  <c r="L74" i="7"/>
  <c r="K74" i="7"/>
  <c r="L70" i="7"/>
  <c r="K70" i="7"/>
  <c r="L62" i="17" l="1"/>
  <c r="L2" i="17" s="1"/>
  <c r="K62" i="17"/>
  <c r="K2" i="17" s="1"/>
  <c r="L60" i="4" l="1"/>
  <c r="K60" i="4"/>
  <c r="L54" i="4"/>
  <c r="K54" i="4"/>
  <c r="L67" i="7" l="1"/>
  <c r="K67" i="7"/>
  <c r="L63" i="7"/>
  <c r="K63" i="7"/>
  <c r="L60" i="7"/>
  <c r="K60" i="7"/>
  <c r="L56" i="7"/>
  <c r="K56" i="7"/>
  <c r="L51" i="6" l="1"/>
  <c r="K51" i="6"/>
  <c r="L49" i="17" l="1"/>
  <c r="L45" i="6" l="1"/>
  <c r="K45" i="6"/>
  <c r="M2" i="9"/>
  <c r="M2" i="4" l="1"/>
  <c r="K43" i="17"/>
  <c r="L42" i="6"/>
  <c r="K42" i="6"/>
  <c r="K40" i="6" l="1"/>
  <c r="K37" i="17"/>
  <c r="K31" i="17" l="1"/>
  <c r="L26" i="17"/>
  <c r="L20" i="17"/>
  <c r="L111" i="17" l="1"/>
  <c r="K111" i="17"/>
  <c r="L109" i="17"/>
  <c r="K109" i="17"/>
  <c r="L105" i="17"/>
  <c r="K105" i="17"/>
  <c r="L103" i="17"/>
  <c r="K103" i="17"/>
  <c r="L99" i="17"/>
  <c r="K99" i="17"/>
  <c r="L68" i="17"/>
  <c r="K68" i="17"/>
  <c r="L64" i="17"/>
  <c r="K64" i="17"/>
  <c r="L58" i="17"/>
  <c r="K58" i="17"/>
  <c r="L55" i="17"/>
  <c r="K55" i="17"/>
  <c r="L51" i="17"/>
  <c r="K51" i="17"/>
  <c r="L45" i="17"/>
  <c r="K45" i="17"/>
  <c r="L43" i="17"/>
  <c r="L39" i="17"/>
  <c r="K39" i="17"/>
  <c r="L37" i="17"/>
  <c r="L33" i="17"/>
  <c r="K33" i="17"/>
  <c r="L31" i="17"/>
  <c r="L28" i="17"/>
  <c r="K28" i="17"/>
  <c r="L22" i="17"/>
  <c r="K22" i="17"/>
  <c r="L16" i="17"/>
  <c r="K16" i="17"/>
  <c r="M3" i="17"/>
  <c r="L332" i="16"/>
  <c r="K332" i="16"/>
  <c r="L329" i="16"/>
  <c r="K329" i="16"/>
  <c r="L325" i="16"/>
  <c r="K325" i="16"/>
  <c r="L322" i="16"/>
  <c r="K322" i="16"/>
  <c r="L318" i="16"/>
  <c r="K318" i="16"/>
  <c r="L315" i="16"/>
  <c r="K315" i="16"/>
  <c r="L311" i="16"/>
  <c r="K311" i="16"/>
  <c r="L308" i="16"/>
  <c r="K308" i="16"/>
  <c r="L304" i="16"/>
  <c r="K304" i="16"/>
  <c r="L301" i="16"/>
  <c r="K301" i="16"/>
  <c r="L297" i="16"/>
  <c r="K297" i="16"/>
  <c r="L294" i="16"/>
  <c r="K294" i="16"/>
  <c r="L290" i="16"/>
  <c r="K290" i="16"/>
  <c r="L287" i="16"/>
  <c r="K287" i="16"/>
  <c r="L283" i="16"/>
  <c r="K283" i="16"/>
  <c r="L280" i="16"/>
  <c r="K280" i="16"/>
  <c r="L276" i="16"/>
  <c r="K276" i="16"/>
  <c r="L273" i="16"/>
  <c r="K273" i="16"/>
  <c r="L269" i="16"/>
  <c r="K269" i="16"/>
  <c r="L25" i="16"/>
  <c r="K25" i="16"/>
  <c r="L21" i="16"/>
  <c r="K21" i="16"/>
  <c r="L18" i="16"/>
  <c r="K18" i="16"/>
  <c r="L14" i="16"/>
  <c r="K14" i="16"/>
  <c r="L11" i="16"/>
  <c r="K11" i="16"/>
  <c r="M3" i="16"/>
  <c r="M2" i="16"/>
  <c r="M4" i="16" s="1"/>
  <c r="L89" i="14"/>
  <c r="K89" i="14"/>
  <c r="L86" i="14"/>
  <c r="K86" i="14"/>
  <c r="L82" i="14"/>
  <c r="K82" i="14"/>
  <c r="L79" i="14"/>
  <c r="K79" i="14"/>
  <c r="L75" i="14"/>
  <c r="K75" i="14"/>
  <c r="L72" i="14"/>
  <c r="K72" i="14"/>
  <c r="L68" i="14"/>
  <c r="K68" i="14"/>
  <c r="L65" i="14"/>
  <c r="K65" i="14"/>
  <c r="L61" i="14"/>
  <c r="K61" i="14"/>
  <c r="L56" i="14"/>
  <c r="K56" i="14"/>
  <c r="L53" i="14"/>
  <c r="K53" i="14"/>
  <c r="L49" i="14"/>
  <c r="K49" i="14"/>
  <c r="L46" i="14"/>
  <c r="K46" i="14"/>
  <c r="L42" i="14"/>
  <c r="K42" i="14"/>
  <c r="L39" i="14"/>
  <c r="K39" i="14"/>
  <c r="L35" i="14"/>
  <c r="K35" i="14"/>
  <c r="L32" i="14"/>
  <c r="K32" i="14"/>
  <c r="L28" i="14"/>
  <c r="K28" i="14"/>
  <c r="L25" i="14"/>
  <c r="K25" i="14"/>
  <c r="L21" i="14"/>
  <c r="K21" i="14"/>
  <c r="L18" i="14"/>
  <c r="K18" i="14"/>
  <c r="L14" i="14"/>
  <c r="K14" i="14"/>
  <c r="L11" i="14"/>
  <c r="K11" i="14"/>
  <c r="M3" i="14"/>
  <c r="M2" i="14"/>
  <c r="L567" i="9"/>
  <c r="K567" i="9"/>
  <c r="L564" i="9"/>
  <c r="K564" i="9"/>
  <c r="L560" i="9"/>
  <c r="K560" i="9"/>
  <c r="L397" i="9"/>
  <c r="K397" i="9"/>
  <c r="L393" i="9"/>
  <c r="K393" i="9"/>
  <c r="L230" i="9"/>
  <c r="K230" i="9"/>
  <c r="L226" i="9"/>
  <c r="K226" i="9"/>
  <c r="L54" i="9"/>
  <c r="K54" i="9"/>
  <c r="L48" i="9"/>
  <c r="K48" i="9"/>
  <c r="L42" i="9"/>
  <c r="L3" i="9" s="1"/>
  <c r="M3" i="9" s="1"/>
  <c r="L36" i="9"/>
  <c r="K36" i="9"/>
  <c r="L30" i="9"/>
  <c r="K30" i="9"/>
  <c r="L24" i="9"/>
  <c r="K24" i="9"/>
  <c r="L18" i="9"/>
  <c r="K18" i="9"/>
  <c r="L12" i="9"/>
  <c r="K12" i="9"/>
  <c r="L70" i="8"/>
  <c r="K70" i="8"/>
  <c r="L67" i="8"/>
  <c r="K67" i="8"/>
  <c r="L63" i="8"/>
  <c r="K63" i="8"/>
  <c r="L60" i="8"/>
  <c r="K60" i="8"/>
  <c r="L56" i="8"/>
  <c r="K56" i="8"/>
  <c r="L53" i="8"/>
  <c r="K53" i="8"/>
  <c r="L49" i="8"/>
  <c r="K49" i="8"/>
  <c r="L46" i="8"/>
  <c r="K46" i="8"/>
  <c r="L42" i="8"/>
  <c r="K42" i="8"/>
  <c r="L39" i="8"/>
  <c r="K39" i="8"/>
  <c r="L35" i="8"/>
  <c r="K35" i="8"/>
  <c r="L32" i="8"/>
  <c r="K32" i="8"/>
  <c r="L28" i="8"/>
  <c r="K28" i="8"/>
  <c r="L25" i="8"/>
  <c r="K25" i="8"/>
  <c r="L21" i="8"/>
  <c r="K21" i="8"/>
  <c r="L18" i="8"/>
  <c r="K18" i="8"/>
  <c r="L14" i="8"/>
  <c r="K14" i="8"/>
  <c r="L11" i="8"/>
  <c r="K11" i="8"/>
  <c r="M3" i="8"/>
  <c r="M4" i="8" s="1"/>
  <c r="L802" i="7"/>
  <c r="K802" i="7"/>
  <c r="L799" i="7"/>
  <c r="K799" i="7"/>
  <c r="L795" i="7"/>
  <c r="K795" i="7"/>
  <c r="L792" i="7"/>
  <c r="K792" i="7"/>
  <c r="L788" i="7"/>
  <c r="K788" i="7"/>
  <c r="L785" i="7"/>
  <c r="K785" i="7"/>
  <c r="L781" i="7"/>
  <c r="K781" i="7"/>
  <c r="L778" i="7"/>
  <c r="K778" i="7"/>
  <c r="L774" i="7"/>
  <c r="K774" i="7"/>
  <c r="L771" i="7"/>
  <c r="K771" i="7"/>
  <c r="L767" i="7"/>
  <c r="K767" i="7"/>
  <c r="L53" i="7"/>
  <c r="K53" i="7"/>
  <c r="L49" i="7"/>
  <c r="K49" i="7"/>
  <c r="L46" i="7"/>
  <c r="K46" i="7"/>
  <c r="L42" i="7"/>
  <c r="K42" i="7"/>
  <c r="L39" i="7"/>
  <c r="K39" i="7"/>
  <c r="L35" i="7"/>
  <c r="K35" i="7"/>
  <c r="L32" i="7"/>
  <c r="K32" i="7"/>
  <c r="L28" i="7"/>
  <c r="K28" i="7"/>
  <c r="L25" i="7"/>
  <c r="K25" i="7"/>
  <c r="L21" i="7"/>
  <c r="K21" i="7"/>
  <c r="L18" i="7"/>
  <c r="K18" i="7"/>
  <c r="L14" i="7"/>
  <c r="K14" i="7"/>
  <c r="L11" i="7"/>
  <c r="K11" i="7"/>
  <c r="M3" i="7"/>
  <c r="M2" i="7"/>
  <c r="L786" i="6"/>
  <c r="K786" i="6"/>
  <c r="L783" i="6"/>
  <c r="K783" i="6"/>
  <c r="L779" i="6"/>
  <c r="K779" i="6"/>
  <c r="L776" i="6"/>
  <c r="K776" i="6"/>
  <c r="L772" i="6"/>
  <c r="K772" i="6"/>
  <c r="L769" i="6"/>
  <c r="K769" i="6"/>
  <c r="L765" i="6"/>
  <c r="K765" i="6"/>
  <c r="L60" i="6"/>
  <c r="K60" i="6"/>
  <c r="L57" i="6"/>
  <c r="K57" i="6"/>
  <c r="L53" i="6"/>
  <c r="K53" i="6"/>
  <c r="L47" i="6"/>
  <c r="K47" i="6"/>
  <c r="L40" i="6"/>
  <c r="L36" i="6"/>
  <c r="K36" i="6"/>
  <c r="L33" i="6"/>
  <c r="K33" i="6"/>
  <c r="L29" i="6"/>
  <c r="K29" i="6"/>
  <c r="L25" i="6"/>
  <c r="K25" i="6"/>
  <c r="L21" i="6"/>
  <c r="K21" i="6"/>
  <c r="L14" i="6"/>
  <c r="K14" i="6"/>
  <c r="L11" i="6"/>
  <c r="K11" i="6"/>
  <c r="M3" i="6"/>
  <c r="L91" i="5"/>
  <c r="K91" i="5"/>
  <c r="L88" i="5"/>
  <c r="K88" i="5"/>
  <c r="L77" i="5"/>
  <c r="K77" i="5"/>
  <c r="L74" i="5"/>
  <c r="K74" i="5"/>
  <c r="L67" i="5"/>
  <c r="K67" i="5"/>
  <c r="L63" i="5"/>
  <c r="K63" i="5"/>
  <c r="L60" i="5"/>
  <c r="K60" i="5"/>
  <c r="L56" i="5"/>
  <c r="K56" i="5"/>
  <c r="L53" i="5"/>
  <c r="K53" i="5"/>
  <c r="L49" i="5"/>
  <c r="K49" i="5"/>
  <c r="L46" i="5"/>
  <c r="K46" i="5"/>
  <c r="L42" i="5"/>
  <c r="K42" i="5"/>
  <c r="L39" i="5"/>
  <c r="K39" i="5"/>
  <c r="L35" i="5"/>
  <c r="K35" i="5"/>
  <c r="L32" i="5"/>
  <c r="K32" i="5"/>
  <c r="L28" i="5"/>
  <c r="K28" i="5"/>
  <c r="L25" i="5"/>
  <c r="K25" i="5"/>
  <c r="L21" i="5"/>
  <c r="K21" i="5"/>
  <c r="L18" i="5"/>
  <c r="K18" i="5"/>
  <c r="L14" i="5"/>
  <c r="K14" i="5"/>
  <c r="L11" i="5"/>
  <c r="K11" i="5"/>
  <c r="M3" i="5"/>
  <c r="M2" i="5"/>
  <c r="L230" i="4"/>
  <c r="K230" i="4"/>
  <c r="L85" i="4"/>
  <c r="K85" i="4"/>
  <c r="L81" i="4"/>
  <c r="K81" i="4"/>
  <c r="L78" i="4"/>
  <c r="K78" i="4"/>
  <c r="L74" i="4"/>
  <c r="K74" i="4"/>
  <c r="L67" i="4"/>
  <c r="K67" i="4"/>
  <c r="L48" i="4"/>
  <c r="K48" i="4"/>
  <c r="L42" i="4"/>
  <c r="K42" i="4"/>
  <c r="L39" i="4"/>
  <c r="K39" i="4"/>
  <c r="L35" i="4"/>
  <c r="K35" i="4"/>
  <c r="L32" i="4"/>
  <c r="K32" i="4"/>
  <c r="L28" i="4"/>
  <c r="K28" i="4"/>
  <c r="L25" i="4"/>
  <c r="K25" i="4"/>
  <c r="L21" i="4"/>
  <c r="K21" i="4"/>
  <c r="L18" i="4"/>
  <c r="K18" i="4"/>
  <c r="L14" i="4"/>
  <c r="K14" i="4"/>
  <c r="L11" i="4"/>
  <c r="K11" i="4"/>
  <c r="M3" i="4"/>
  <c r="M4" i="4" s="1"/>
  <c r="L91" i="3"/>
  <c r="K91" i="3"/>
  <c r="L88" i="3"/>
  <c r="K88" i="3"/>
  <c r="L84" i="3"/>
  <c r="K84" i="3"/>
  <c r="L81" i="3"/>
  <c r="K81" i="3"/>
  <c r="L77" i="3"/>
  <c r="K77" i="3"/>
  <c r="L74" i="3"/>
  <c r="K74" i="3"/>
  <c r="L70" i="3"/>
  <c r="K70" i="3"/>
  <c r="L67" i="3"/>
  <c r="K67" i="3"/>
  <c r="L63" i="3"/>
  <c r="K63" i="3"/>
  <c r="L60" i="3"/>
  <c r="K60" i="3"/>
  <c r="L56" i="3"/>
  <c r="K56" i="3"/>
  <c r="L53" i="3"/>
  <c r="K53" i="3"/>
  <c r="L49" i="3"/>
  <c r="K49" i="3"/>
  <c r="L46" i="3"/>
  <c r="K46" i="3"/>
  <c r="L42" i="3"/>
  <c r="K42" i="3"/>
  <c r="L39" i="3"/>
  <c r="K39" i="3"/>
  <c r="L35" i="3"/>
  <c r="K35" i="3"/>
  <c r="L32" i="3"/>
  <c r="K32" i="3"/>
  <c r="L28" i="3"/>
  <c r="K28" i="3"/>
  <c r="L25" i="3"/>
  <c r="K25" i="3"/>
  <c r="L21" i="3"/>
  <c r="K21" i="3"/>
  <c r="L18" i="3"/>
  <c r="K18" i="3"/>
  <c r="L14" i="3"/>
  <c r="K14" i="3"/>
  <c r="L11" i="3"/>
  <c r="K11" i="3"/>
  <c r="M3" i="3"/>
  <c r="M2" i="3"/>
  <c r="IT334" i="1"/>
  <c r="IO334" i="1"/>
  <c r="II334" i="1"/>
  <c r="IH334" i="1"/>
  <c r="IG334" i="1"/>
  <c r="IG332" i="1" s="1"/>
  <c r="IF334" i="1"/>
  <c r="IE334" i="1"/>
  <c r="HZ334" i="1"/>
  <c r="HU334" i="1"/>
  <c r="HU332" i="1" s="1"/>
  <c r="HO334" i="1"/>
  <c r="HN334" i="1"/>
  <c r="HM334" i="1"/>
  <c r="HL334" i="1"/>
  <c r="HL332" i="1" s="1"/>
  <c r="HL330" i="1" s="1"/>
  <c r="HK334" i="1"/>
  <c r="HF334" i="1"/>
  <c r="HA334" i="1"/>
  <c r="GV334" i="1"/>
  <c r="GV332" i="1" s="1"/>
  <c r="GE334" i="1"/>
  <c r="GD334" i="1"/>
  <c r="GC334" i="1"/>
  <c r="GB334" i="1"/>
  <c r="GA334" i="1"/>
  <c r="FZ334" i="1"/>
  <c r="FY334" i="1"/>
  <c r="FX334" i="1"/>
  <c r="FW334" i="1"/>
  <c r="FV334" i="1"/>
  <c r="FU334" i="1"/>
  <c r="FJ334" i="1"/>
  <c r="EY334" i="1"/>
  <c r="EM334" i="1"/>
  <c r="EL334" i="1"/>
  <c r="EK334" i="1"/>
  <c r="EJ334" i="1"/>
  <c r="EI334" i="1"/>
  <c r="EH334" i="1"/>
  <c r="EG334" i="1"/>
  <c r="EF334" i="1"/>
  <c r="EE334" i="1"/>
  <c r="ED334" i="1"/>
  <c r="EC334" i="1"/>
  <c r="DR334" i="1"/>
  <c r="DG334" i="1"/>
  <c r="CU334" i="1"/>
  <c r="CT334" i="1"/>
  <c r="CS334" i="1"/>
  <c r="CR334" i="1"/>
  <c r="CQ334" i="1"/>
  <c r="CP334" i="1"/>
  <c r="CO334" i="1"/>
  <c r="CN334" i="1"/>
  <c r="CM334" i="1"/>
  <c r="CL334" i="1"/>
  <c r="CK334" i="1"/>
  <c r="BZ334" i="1"/>
  <c r="BO334" i="1"/>
  <c r="BC334" i="1"/>
  <c r="BB334" i="1"/>
  <c r="BA334" i="1"/>
  <c r="AZ334" i="1"/>
  <c r="AY334" i="1"/>
  <c r="AX334" i="1"/>
  <c r="AW334" i="1"/>
  <c r="AV334" i="1"/>
  <c r="AU334" i="1"/>
  <c r="AT334" i="1"/>
  <c r="AS334" i="1"/>
  <c r="AH334" i="1"/>
  <c r="W334" i="1"/>
  <c r="L334" i="1"/>
  <c r="IT333" i="1"/>
  <c r="IO333" i="1"/>
  <c r="IO332" i="1" s="1"/>
  <c r="II333" i="1"/>
  <c r="II332" i="1" s="1"/>
  <c r="IH333" i="1"/>
  <c r="IH332" i="1" s="1"/>
  <c r="IG333" i="1"/>
  <c r="IF333" i="1"/>
  <c r="IF332" i="1" s="1"/>
  <c r="IE333" i="1"/>
  <c r="IE332" i="1" s="1"/>
  <c r="HZ333" i="1"/>
  <c r="HZ332" i="1" s="1"/>
  <c r="HU333" i="1"/>
  <c r="HO333" i="1"/>
  <c r="HO332" i="1" s="1"/>
  <c r="HN333" i="1"/>
  <c r="HN332" i="1" s="1"/>
  <c r="HN330" i="1" s="1"/>
  <c r="HM333" i="1"/>
  <c r="HM332" i="1" s="1"/>
  <c r="HL333" i="1"/>
  <c r="HK333" i="1"/>
  <c r="HK332" i="1" s="1"/>
  <c r="HF333" i="1"/>
  <c r="HF332" i="1" s="1"/>
  <c r="HA333" i="1"/>
  <c r="HA332" i="1" s="1"/>
  <c r="GV333" i="1"/>
  <c r="GE333" i="1"/>
  <c r="GD333" i="1"/>
  <c r="GC333" i="1"/>
  <c r="GB333" i="1"/>
  <c r="GA333" i="1"/>
  <c r="FZ333" i="1"/>
  <c r="FY333" i="1"/>
  <c r="FX333" i="1"/>
  <c r="FW333" i="1"/>
  <c r="FV333" i="1"/>
  <c r="FU333" i="1"/>
  <c r="FJ333" i="1"/>
  <c r="EY333" i="1"/>
  <c r="EM333" i="1"/>
  <c r="EL333" i="1"/>
  <c r="EK333" i="1"/>
  <c r="EJ333" i="1"/>
  <c r="EI333" i="1"/>
  <c r="EH333" i="1"/>
  <c r="EG333" i="1"/>
  <c r="EF333" i="1"/>
  <c r="EE333" i="1"/>
  <c r="ED333" i="1"/>
  <c r="EC333" i="1"/>
  <c r="DR333" i="1"/>
  <c r="DG333" i="1"/>
  <c r="CU333" i="1"/>
  <c r="CT333" i="1"/>
  <c r="CS333" i="1"/>
  <c r="CR333" i="1"/>
  <c r="CQ333" i="1"/>
  <c r="CP333" i="1"/>
  <c r="CO333" i="1"/>
  <c r="CN333" i="1"/>
  <c r="CM333" i="1"/>
  <c r="CL333" i="1"/>
  <c r="CK333" i="1"/>
  <c r="BZ333" i="1"/>
  <c r="BO333" i="1"/>
  <c r="BC333" i="1"/>
  <c r="BB333" i="1"/>
  <c r="BA333" i="1"/>
  <c r="AZ333" i="1"/>
  <c r="AY333" i="1"/>
  <c r="AX333" i="1"/>
  <c r="AW333" i="1"/>
  <c r="AV333" i="1"/>
  <c r="AU333" i="1"/>
  <c r="AT333" i="1"/>
  <c r="AS333" i="1"/>
  <c r="AH333" i="1"/>
  <c r="W333" i="1"/>
  <c r="L333" i="1"/>
  <c r="IV332" i="1"/>
  <c r="IV330" i="1" s="1"/>
  <c r="IU332" i="1"/>
  <c r="IS332" i="1"/>
  <c r="IR332" i="1"/>
  <c r="IQ332" i="1"/>
  <c r="IQ330" i="1" s="1"/>
  <c r="IP332" i="1"/>
  <c r="IN332" i="1"/>
  <c r="IN330" i="1" s="1"/>
  <c r="IM332" i="1"/>
  <c r="IL332" i="1"/>
  <c r="IL330" i="1" s="1"/>
  <c r="IK332" i="1"/>
  <c r="ID332" i="1"/>
  <c r="IC332" i="1"/>
  <c r="IB332" i="1"/>
  <c r="IA332" i="1"/>
  <c r="IA330" i="1" s="1"/>
  <c r="HY332" i="1"/>
  <c r="HY330" i="1" s="1"/>
  <c r="HX332" i="1"/>
  <c r="HW332" i="1"/>
  <c r="HW330" i="1" s="1"/>
  <c r="HV332" i="1"/>
  <c r="HV330" i="1" s="1"/>
  <c r="HT332" i="1"/>
  <c r="HS332" i="1"/>
  <c r="HR332" i="1"/>
  <c r="HR330" i="1" s="1"/>
  <c r="HQ332" i="1"/>
  <c r="HJ332" i="1"/>
  <c r="HJ330" i="1" s="1"/>
  <c r="HI332" i="1"/>
  <c r="HH332" i="1"/>
  <c r="HH330" i="1" s="1"/>
  <c r="HG332" i="1"/>
  <c r="HE332" i="1"/>
  <c r="HD332" i="1"/>
  <c r="HD330" i="1" s="1"/>
  <c r="HC332" i="1"/>
  <c r="HB332" i="1"/>
  <c r="HB330" i="1" s="1"/>
  <c r="GZ332" i="1"/>
  <c r="GZ330" i="1" s="1"/>
  <c r="GY332" i="1"/>
  <c r="GY330" i="1" s="1"/>
  <c r="GX332" i="1"/>
  <c r="GX330" i="1" s="1"/>
  <c r="GW332" i="1"/>
  <c r="GW330" i="1" s="1"/>
  <c r="GU332" i="1"/>
  <c r="GT332" i="1"/>
  <c r="GT330" i="1" s="1"/>
  <c r="GS332" i="1"/>
  <c r="GR332" i="1"/>
  <c r="IT331" i="1"/>
  <c r="IO331" i="1"/>
  <c r="II331" i="1"/>
  <c r="IH331" i="1"/>
  <c r="IG331" i="1"/>
  <c r="IF331" i="1"/>
  <c r="IF330" i="1" s="1"/>
  <c r="IE331" i="1"/>
  <c r="HZ331" i="1"/>
  <c r="HU331" i="1"/>
  <c r="HO331" i="1"/>
  <c r="HO330" i="1" s="1"/>
  <c r="HN331" i="1"/>
  <c r="HM331" i="1"/>
  <c r="HM330" i="1" s="1"/>
  <c r="HL331" i="1"/>
  <c r="HK331" i="1"/>
  <c r="HF331" i="1"/>
  <c r="HA331" i="1"/>
  <c r="GV331" i="1"/>
  <c r="GE331" i="1"/>
  <c r="GD331" i="1"/>
  <c r="GC331" i="1"/>
  <c r="GB331" i="1"/>
  <c r="GA331" i="1"/>
  <c r="FZ331" i="1"/>
  <c r="FY331" i="1"/>
  <c r="FX331" i="1"/>
  <c r="FW331" i="1"/>
  <c r="FV331" i="1"/>
  <c r="FU331" i="1"/>
  <c r="FJ331" i="1"/>
  <c r="EY331" i="1"/>
  <c r="EM331" i="1"/>
  <c r="EL331" i="1"/>
  <c r="EK331" i="1"/>
  <c r="EJ331" i="1"/>
  <c r="EI331" i="1"/>
  <c r="EH331" i="1"/>
  <c r="EG331" i="1"/>
  <c r="EF331" i="1"/>
  <c r="EE331" i="1"/>
  <c r="ED331" i="1"/>
  <c r="EC331" i="1"/>
  <c r="DR331" i="1"/>
  <c r="DG331" i="1"/>
  <c r="CU331" i="1"/>
  <c r="CT331" i="1"/>
  <c r="CS331" i="1"/>
  <c r="CR331" i="1"/>
  <c r="CQ331" i="1"/>
  <c r="CP331" i="1"/>
  <c r="CO331" i="1"/>
  <c r="CN331" i="1"/>
  <c r="CM331" i="1"/>
  <c r="CL331" i="1"/>
  <c r="CK331" i="1"/>
  <c r="BZ331" i="1"/>
  <c r="BO331" i="1"/>
  <c r="BC331" i="1"/>
  <c r="BB331" i="1"/>
  <c r="BA331" i="1"/>
  <c r="AZ331" i="1"/>
  <c r="AY331" i="1"/>
  <c r="AX331" i="1"/>
  <c r="AW331" i="1"/>
  <c r="AV331" i="1"/>
  <c r="AU331" i="1"/>
  <c r="AT331" i="1"/>
  <c r="AS331" i="1"/>
  <c r="AH331" i="1"/>
  <c r="W331" i="1"/>
  <c r="L331" i="1"/>
  <c r="IU330" i="1"/>
  <c r="IS330" i="1"/>
  <c r="IR330" i="1"/>
  <c r="IP330" i="1"/>
  <c r="IM330" i="1"/>
  <c r="IK330" i="1"/>
  <c r="IH330" i="1"/>
  <c r="ID330" i="1"/>
  <c r="IC330" i="1"/>
  <c r="IB330" i="1"/>
  <c r="HX330" i="1"/>
  <c r="HT330" i="1"/>
  <c r="HS330" i="1"/>
  <c r="HQ330" i="1"/>
  <c r="HI330" i="1"/>
  <c r="HG330" i="1"/>
  <c r="HE330" i="1"/>
  <c r="HC330" i="1"/>
  <c r="GU330" i="1"/>
  <c r="GS330" i="1"/>
  <c r="GR330" i="1"/>
  <c r="FV330" i="1"/>
  <c r="ED330" i="1"/>
  <c r="CL330" i="1"/>
  <c r="AT330" i="1"/>
  <c r="IT329" i="1"/>
  <c r="IO329" i="1"/>
  <c r="II329" i="1"/>
  <c r="IH329" i="1"/>
  <c r="IG329" i="1"/>
  <c r="IF329" i="1"/>
  <c r="IE329" i="1"/>
  <c r="HZ329" i="1"/>
  <c r="HU329" i="1"/>
  <c r="HO329" i="1"/>
  <c r="HN329" i="1"/>
  <c r="HM329" i="1"/>
  <c r="HL329" i="1"/>
  <c r="HK329" i="1"/>
  <c r="HF329" i="1"/>
  <c r="HA329" i="1"/>
  <c r="GV329" i="1"/>
  <c r="GE329" i="1"/>
  <c r="GP329" i="1" s="1"/>
  <c r="GD329" i="1"/>
  <c r="GO329" i="1" s="1"/>
  <c r="GC329" i="1"/>
  <c r="GN329" i="1" s="1"/>
  <c r="GB329" i="1"/>
  <c r="GM329" i="1" s="1"/>
  <c r="GA329" i="1"/>
  <c r="GL329" i="1" s="1"/>
  <c r="FZ329" i="1"/>
  <c r="GK329" i="1" s="1"/>
  <c r="FY329" i="1"/>
  <c r="GJ329" i="1" s="1"/>
  <c r="FX329" i="1"/>
  <c r="GI329" i="1" s="1"/>
  <c r="FW329" i="1"/>
  <c r="GH329" i="1" s="1"/>
  <c r="FV329" i="1"/>
  <c r="GG329" i="1" s="1"/>
  <c r="IT328" i="1"/>
  <c r="IO328" i="1"/>
  <c r="II328" i="1"/>
  <c r="IH328" i="1"/>
  <c r="IG328" i="1"/>
  <c r="IF328" i="1"/>
  <c r="IE328" i="1"/>
  <c r="HZ328" i="1"/>
  <c r="HU328" i="1"/>
  <c r="HO328" i="1"/>
  <c r="HN328" i="1"/>
  <c r="HM328" i="1"/>
  <c r="HL328" i="1"/>
  <c r="HK328" i="1"/>
  <c r="HF328" i="1"/>
  <c r="HA328" i="1"/>
  <c r="GV328" i="1"/>
  <c r="GE328" i="1"/>
  <c r="GD328" i="1"/>
  <c r="GC328" i="1"/>
  <c r="GB328" i="1"/>
  <c r="GA328" i="1"/>
  <c r="FZ328" i="1"/>
  <c r="FY328" i="1"/>
  <c r="FX328" i="1"/>
  <c r="FW328" i="1"/>
  <c r="FV328" i="1"/>
  <c r="FU328" i="1"/>
  <c r="FJ328" i="1"/>
  <c r="EY328" i="1"/>
  <c r="EM328" i="1"/>
  <c r="EL328" i="1"/>
  <c r="EK328" i="1"/>
  <c r="EJ328" i="1"/>
  <c r="EI328" i="1"/>
  <c r="EH328" i="1"/>
  <c r="EG328" i="1"/>
  <c r="EF328" i="1"/>
  <c r="EE328" i="1"/>
  <c r="ED328" i="1"/>
  <c r="DR328" i="1"/>
  <c r="DG328" i="1"/>
  <c r="CU328" i="1"/>
  <c r="CT328" i="1"/>
  <c r="CS328" i="1"/>
  <c r="CR328" i="1"/>
  <c r="CQ328" i="1"/>
  <c r="CP328" i="1"/>
  <c r="CO328" i="1"/>
  <c r="CN328" i="1"/>
  <c r="CM328" i="1"/>
  <c r="CL328" i="1"/>
  <c r="CK328" i="1"/>
  <c r="BZ328" i="1"/>
  <c r="BO328" i="1"/>
  <c r="BC328" i="1"/>
  <c r="BB328" i="1"/>
  <c r="BA328" i="1"/>
  <c r="AZ328" i="1"/>
  <c r="AY328" i="1"/>
  <c r="AX328" i="1"/>
  <c r="AW328" i="1"/>
  <c r="AV328" i="1"/>
  <c r="AU328" i="1"/>
  <c r="AT328" i="1"/>
  <c r="AS328" i="1"/>
  <c r="AH328" i="1"/>
  <c r="W328" i="1"/>
  <c r="L328" i="1"/>
  <c r="IT327" i="1"/>
  <c r="IO327" i="1"/>
  <c r="II327" i="1"/>
  <c r="IH327" i="1"/>
  <c r="IG327" i="1"/>
  <c r="IF327" i="1"/>
  <c r="IE327" i="1"/>
  <c r="HZ327" i="1"/>
  <c r="HU327" i="1"/>
  <c r="HO327" i="1"/>
  <c r="HN327" i="1"/>
  <c r="HM327" i="1"/>
  <c r="HL327" i="1"/>
  <c r="HK327" i="1"/>
  <c r="HF327" i="1"/>
  <c r="HA327" i="1"/>
  <c r="GV327" i="1"/>
  <c r="GE327" i="1"/>
  <c r="GD327" i="1"/>
  <c r="GC327" i="1"/>
  <c r="GB327" i="1"/>
  <c r="GA327" i="1"/>
  <c r="FZ327" i="1"/>
  <c r="FY327" i="1"/>
  <c r="FX327" i="1"/>
  <c r="FW327" i="1"/>
  <c r="FV327" i="1"/>
  <c r="FU327" i="1"/>
  <c r="FJ327" i="1"/>
  <c r="EY327" i="1"/>
  <c r="EM327" i="1"/>
  <c r="EL327" i="1"/>
  <c r="EK327" i="1"/>
  <c r="EJ327" i="1"/>
  <c r="EI327" i="1"/>
  <c r="EH327" i="1"/>
  <c r="EG327" i="1"/>
  <c r="EF327" i="1"/>
  <c r="EE327" i="1"/>
  <c r="ED327" i="1"/>
  <c r="DR327" i="1"/>
  <c r="DG327" i="1"/>
  <c r="CU327" i="1"/>
  <c r="CT327" i="1"/>
  <c r="CS327" i="1"/>
  <c r="CR327" i="1"/>
  <c r="CQ327" i="1"/>
  <c r="CP327" i="1"/>
  <c r="CO327" i="1"/>
  <c r="CN327" i="1"/>
  <c r="CM327" i="1"/>
  <c r="CL327" i="1"/>
  <c r="CK327" i="1"/>
  <c r="BZ327" i="1"/>
  <c r="BO327" i="1"/>
  <c r="BC327" i="1"/>
  <c r="BB327" i="1"/>
  <c r="BA327" i="1"/>
  <c r="AZ327" i="1"/>
  <c r="AY327" i="1"/>
  <c r="AX327" i="1"/>
  <c r="AW327" i="1"/>
  <c r="AV327" i="1"/>
  <c r="AU327" i="1"/>
  <c r="AT327" i="1"/>
  <c r="AS327" i="1"/>
  <c r="AH327" i="1"/>
  <c r="W327" i="1"/>
  <c r="L327" i="1"/>
  <c r="IT326" i="1"/>
  <c r="IO326" i="1"/>
  <c r="II326" i="1"/>
  <c r="IH326" i="1"/>
  <c r="IG326" i="1"/>
  <c r="IF326" i="1"/>
  <c r="IE326" i="1"/>
  <c r="HZ326" i="1"/>
  <c r="HU326" i="1"/>
  <c r="HO326" i="1"/>
  <c r="HN326" i="1"/>
  <c r="HM326" i="1"/>
  <c r="HL326" i="1"/>
  <c r="HK326" i="1"/>
  <c r="HF326" i="1"/>
  <c r="HA326" i="1"/>
  <c r="GV326" i="1"/>
  <c r="GE326" i="1"/>
  <c r="GD326" i="1"/>
  <c r="GC326" i="1"/>
  <c r="GB326" i="1"/>
  <c r="GA326" i="1"/>
  <c r="FZ326" i="1"/>
  <c r="FY326" i="1"/>
  <c r="FX326" i="1"/>
  <c r="FW326" i="1"/>
  <c r="FV326" i="1"/>
  <c r="FU326" i="1"/>
  <c r="FJ326" i="1"/>
  <c r="EY326" i="1"/>
  <c r="EM326" i="1"/>
  <c r="EL326" i="1"/>
  <c r="EK326" i="1"/>
  <c r="EJ326" i="1"/>
  <c r="EI326" i="1"/>
  <c r="EH326" i="1"/>
  <c r="EG326" i="1"/>
  <c r="EF326" i="1"/>
  <c r="EE326" i="1"/>
  <c r="ED326" i="1"/>
  <c r="DR326" i="1"/>
  <c r="DG326" i="1"/>
  <c r="CU326" i="1"/>
  <c r="CT326" i="1"/>
  <c r="CS326" i="1"/>
  <c r="CR326" i="1"/>
  <c r="CQ326" i="1"/>
  <c r="CP326" i="1"/>
  <c r="CO326" i="1"/>
  <c r="CN326" i="1"/>
  <c r="CM326" i="1"/>
  <c r="CL326" i="1"/>
  <c r="CK326" i="1"/>
  <c r="BZ326" i="1"/>
  <c r="BO326" i="1"/>
  <c r="BC326" i="1"/>
  <c r="BB326" i="1"/>
  <c r="BA326" i="1"/>
  <c r="AZ326" i="1"/>
  <c r="AY326" i="1"/>
  <c r="AX326" i="1"/>
  <c r="AW326" i="1"/>
  <c r="AV326" i="1"/>
  <c r="AU326" i="1"/>
  <c r="AT326" i="1"/>
  <c r="AS326" i="1"/>
  <c r="AH326" i="1"/>
  <c r="W326" i="1"/>
  <c r="L326" i="1"/>
  <c r="IV325" i="1"/>
  <c r="IU325" i="1"/>
  <c r="IS325" i="1"/>
  <c r="IR325" i="1"/>
  <c r="IQ325" i="1"/>
  <c r="IP325" i="1"/>
  <c r="IN325" i="1"/>
  <c r="IM325" i="1"/>
  <c r="IL325" i="1"/>
  <c r="IK325" i="1"/>
  <c r="ID325" i="1"/>
  <c r="IC325" i="1"/>
  <c r="IB325" i="1"/>
  <c r="IA325" i="1"/>
  <c r="HY325" i="1"/>
  <c r="HX325" i="1"/>
  <c r="HW325" i="1"/>
  <c r="HV325" i="1"/>
  <c r="HT325" i="1"/>
  <c r="HS325" i="1"/>
  <c r="HR325" i="1"/>
  <c r="HQ325" i="1"/>
  <c r="HJ325" i="1"/>
  <c r="HI325" i="1"/>
  <c r="HH325" i="1"/>
  <c r="HG325" i="1"/>
  <c r="HE325" i="1"/>
  <c r="HD325" i="1"/>
  <c r="HC325" i="1"/>
  <c r="HB325" i="1"/>
  <c r="GZ325" i="1"/>
  <c r="GZ310" i="1" s="1"/>
  <c r="GZ309" i="1" s="1"/>
  <c r="GY325" i="1"/>
  <c r="GX325" i="1"/>
  <c r="GW325" i="1"/>
  <c r="GU325" i="1"/>
  <c r="GT325" i="1"/>
  <c r="GS325" i="1"/>
  <c r="GR325" i="1"/>
  <c r="FT325" i="1"/>
  <c r="FS325" i="1"/>
  <c r="FR325" i="1"/>
  <c r="FQ325" i="1"/>
  <c r="FP325" i="1"/>
  <c r="FO325" i="1"/>
  <c r="FN325" i="1"/>
  <c r="FM325" i="1"/>
  <c r="FL325" i="1"/>
  <c r="FI325" i="1"/>
  <c r="FH325" i="1"/>
  <c r="FG325" i="1"/>
  <c r="FF325" i="1"/>
  <c r="FE325" i="1"/>
  <c r="FD325" i="1"/>
  <c r="FC325" i="1"/>
  <c r="FB325" i="1"/>
  <c r="FA325" i="1"/>
  <c r="EX325" i="1"/>
  <c r="EW325" i="1"/>
  <c r="EV325" i="1"/>
  <c r="EU325" i="1"/>
  <c r="ET325" i="1"/>
  <c r="ES325" i="1"/>
  <c r="ER325" i="1"/>
  <c r="EQ325" i="1"/>
  <c r="EP325" i="1"/>
  <c r="EC325" i="1"/>
  <c r="EB325" i="1"/>
  <c r="EA325" i="1"/>
  <c r="DZ325" i="1"/>
  <c r="DY325" i="1"/>
  <c r="DX325" i="1"/>
  <c r="DW325" i="1"/>
  <c r="DV325" i="1"/>
  <c r="DU325" i="1"/>
  <c r="DT325" i="1"/>
  <c r="DQ325" i="1"/>
  <c r="DP325" i="1"/>
  <c r="DO325" i="1"/>
  <c r="DN325" i="1"/>
  <c r="DN310" i="1" s="1"/>
  <c r="DM325" i="1"/>
  <c r="DL325" i="1"/>
  <c r="DK325" i="1"/>
  <c r="DJ325" i="1"/>
  <c r="DJ310" i="1" s="1"/>
  <c r="DI325" i="1"/>
  <c r="DF325" i="1"/>
  <c r="DE325" i="1"/>
  <c r="DD325" i="1"/>
  <c r="DC325" i="1"/>
  <c r="DB325" i="1"/>
  <c r="DA325" i="1"/>
  <c r="CZ325" i="1"/>
  <c r="CY325" i="1"/>
  <c r="CX325" i="1"/>
  <c r="CJ325" i="1"/>
  <c r="CI325" i="1"/>
  <c r="CH325" i="1"/>
  <c r="CG325" i="1"/>
  <c r="CF325" i="1"/>
  <c r="CE325" i="1"/>
  <c r="CE310" i="1" s="1"/>
  <c r="CD325" i="1"/>
  <c r="CC325" i="1"/>
  <c r="CB325" i="1"/>
  <c r="BY325" i="1"/>
  <c r="BY310" i="1" s="1"/>
  <c r="BX325" i="1"/>
  <c r="BW325" i="1"/>
  <c r="BV325" i="1"/>
  <c r="BU325" i="1"/>
  <c r="BT325" i="1"/>
  <c r="BS325" i="1"/>
  <c r="BR325" i="1"/>
  <c r="BQ325" i="1"/>
  <c r="BQ310" i="1" s="1"/>
  <c r="BN325" i="1"/>
  <c r="BM325" i="1"/>
  <c r="BL325" i="1"/>
  <c r="BK325" i="1"/>
  <c r="BK310" i="1" s="1"/>
  <c r="BJ325" i="1"/>
  <c r="BI325" i="1"/>
  <c r="BH325" i="1"/>
  <c r="BG325" i="1"/>
  <c r="BF325" i="1"/>
  <c r="AR325" i="1"/>
  <c r="AQ325" i="1"/>
  <c r="AP325" i="1"/>
  <c r="AO325" i="1"/>
  <c r="AN325" i="1"/>
  <c r="AM325" i="1"/>
  <c r="AL325" i="1"/>
  <c r="AK325" i="1"/>
  <c r="AJ325" i="1"/>
  <c r="AG325" i="1"/>
  <c r="AF325" i="1"/>
  <c r="AE325" i="1"/>
  <c r="AD325" i="1"/>
  <c r="AC325" i="1"/>
  <c r="AB325" i="1"/>
  <c r="AA325" i="1"/>
  <c r="Z325" i="1"/>
  <c r="Y325" i="1"/>
  <c r="V325" i="1"/>
  <c r="U325" i="1"/>
  <c r="T325" i="1"/>
  <c r="S325" i="1"/>
  <c r="R325" i="1"/>
  <c r="Q325" i="1"/>
  <c r="P325" i="1"/>
  <c r="O325" i="1"/>
  <c r="N325" i="1"/>
  <c r="K325" i="1"/>
  <c r="J325" i="1"/>
  <c r="I325" i="1"/>
  <c r="H325" i="1"/>
  <c r="G325" i="1"/>
  <c r="F325" i="1"/>
  <c r="E325" i="1"/>
  <c r="D325" i="1"/>
  <c r="C325" i="1"/>
  <c r="IT324" i="1"/>
  <c r="IT323" i="1" s="1"/>
  <c r="IO324" i="1"/>
  <c r="IO323" i="1" s="1"/>
  <c r="II324" i="1"/>
  <c r="II323" i="1" s="1"/>
  <c r="IH324" i="1"/>
  <c r="IG324" i="1"/>
  <c r="IG323" i="1" s="1"/>
  <c r="IF324" i="1"/>
  <c r="IF323" i="1" s="1"/>
  <c r="IE324" i="1"/>
  <c r="IE323" i="1" s="1"/>
  <c r="HZ324" i="1"/>
  <c r="HZ323" i="1" s="1"/>
  <c r="HU324" i="1"/>
  <c r="HU323" i="1" s="1"/>
  <c r="HO324" i="1"/>
  <c r="HO323" i="1" s="1"/>
  <c r="HN324" i="1"/>
  <c r="HN323" i="1" s="1"/>
  <c r="HM324" i="1"/>
  <c r="HL324" i="1"/>
  <c r="HK324" i="1"/>
  <c r="HK323" i="1" s="1"/>
  <c r="HF324" i="1"/>
  <c r="HF323" i="1" s="1"/>
  <c r="HA324" i="1"/>
  <c r="HA323" i="1" s="1"/>
  <c r="GV324" i="1"/>
  <c r="GV323" i="1" s="1"/>
  <c r="GE324" i="1"/>
  <c r="GE323" i="1" s="1"/>
  <c r="GD324" i="1"/>
  <c r="GD323" i="1" s="1"/>
  <c r="GC324" i="1"/>
  <c r="GC323" i="1" s="1"/>
  <c r="GB324" i="1"/>
  <c r="GA324" i="1"/>
  <c r="GA323" i="1" s="1"/>
  <c r="FZ324" i="1"/>
  <c r="FZ323" i="1" s="1"/>
  <c r="FY324" i="1"/>
  <c r="FY323" i="1" s="1"/>
  <c r="FX324" i="1"/>
  <c r="FW324" i="1"/>
  <c r="FW323" i="1" s="1"/>
  <c r="FV324" i="1"/>
  <c r="FU324" i="1"/>
  <c r="FJ324" i="1"/>
  <c r="EY324" i="1"/>
  <c r="EY323" i="1" s="1"/>
  <c r="EM324" i="1"/>
  <c r="EM323" i="1" s="1"/>
  <c r="EL324" i="1"/>
  <c r="EK324" i="1"/>
  <c r="EK323" i="1" s="1"/>
  <c r="EJ324" i="1"/>
  <c r="EJ323" i="1" s="1"/>
  <c r="EI324" i="1"/>
  <c r="EI323" i="1" s="1"/>
  <c r="EH324" i="1"/>
  <c r="EG324" i="1"/>
  <c r="EF324" i="1"/>
  <c r="EF323" i="1" s="1"/>
  <c r="EE324" i="1"/>
  <c r="EE323" i="1" s="1"/>
  <c r="ED324" i="1"/>
  <c r="DR324" i="1"/>
  <c r="DG324" i="1"/>
  <c r="DG323" i="1" s="1"/>
  <c r="CU324" i="1"/>
  <c r="CU323" i="1" s="1"/>
  <c r="CT324" i="1"/>
  <c r="CS324" i="1"/>
  <c r="CS323" i="1" s="1"/>
  <c r="CR324" i="1"/>
  <c r="CR323" i="1" s="1"/>
  <c r="CQ324" i="1"/>
  <c r="CQ323" i="1" s="1"/>
  <c r="CP324" i="1"/>
  <c r="CP323" i="1" s="1"/>
  <c r="CO324" i="1"/>
  <c r="CO323" i="1" s="1"/>
  <c r="CN324" i="1"/>
  <c r="CN323" i="1" s="1"/>
  <c r="CM324" i="1"/>
  <c r="CM323" i="1" s="1"/>
  <c r="CL324" i="1"/>
  <c r="CK324" i="1"/>
  <c r="CK323" i="1" s="1"/>
  <c r="BZ324" i="1"/>
  <c r="BZ323" i="1" s="1"/>
  <c r="BO324" i="1"/>
  <c r="BO323" i="1" s="1"/>
  <c r="BC324" i="1"/>
  <c r="BC323" i="1" s="1"/>
  <c r="BB324" i="1"/>
  <c r="BA324" i="1"/>
  <c r="AZ324" i="1"/>
  <c r="AZ323" i="1" s="1"/>
  <c r="AY324" i="1"/>
  <c r="AY323" i="1" s="1"/>
  <c r="AX324" i="1"/>
  <c r="AW324" i="1"/>
  <c r="AV324" i="1"/>
  <c r="AU324" i="1"/>
  <c r="AU323" i="1" s="1"/>
  <c r="AT324" i="1"/>
  <c r="AS324" i="1"/>
  <c r="AS323" i="1" s="1"/>
  <c r="AH324" i="1"/>
  <c r="AH323" i="1" s="1"/>
  <c r="W324" i="1"/>
  <c r="W323" i="1" s="1"/>
  <c r="L324" i="1"/>
  <c r="IV323" i="1"/>
  <c r="IU323" i="1"/>
  <c r="IU310" i="1" s="1"/>
  <c r="IU309" i="1" s="1"/>
  <c r="IS323" i="1"/>
  <c r="IR323" i="1"/>
  <c r="IQ323" i="1"/>
  <c r="IP323" i="1"/>
  <c r="IN323" i="1"/>
  <c r="IM323" i="1"/>
  <c r="IL323" i="1"/>
  <c r="IK323" i="1"/>
  <c r="IH323" i="1"/>
  <c r="ID323" i="1"/>
  <c r="IC323" i="1"/>
  <c r="IC310" i="1" s="1"/>
  <c r="IC309" i="1" s="1"/>
  <c r="IB323" i="1"/>
  <c r="IA323" i="1"/>
  <c r="HY323" i="1"/>
  <c r="HX323" i="1"/>
  <c r="HW323" i="1"/>
  <c r="HV323" i="1"/>
  <c r="HT323" i="1"/>
  <c r="HS323" i="1"/>
  <c r="HR323" i="1"/>
  <c r="HQ323" i="1"/>
  <c r="HM323" i="1"/>
  <c r="HJ323" i="1"/>
  <c r="HI323" i="1"/>
  <c r="HH323" i="1"/>
  <c r="HG323" i="1"/>
  <c r="HE323" i="1"/>
  <c r="HD323" i="1"/>
  <c r="HC323" i="1"/>
  <c r="HB323" i="1"/>
  <c r="GZ323" i="1"/>
  <c r="GY323" i="1"/>
  <c r="GX323" i="1"/>
  <c r="GW323" i="1"/>
  <c r="GU323" i="1"/>
  <c r="GT323" i="1"/>
  <c r="GS323" i="1"/>
  <c r="GR323" i="1"/>
  <c r="GB323" i="1"/>
  <c r="FX323" i="1"/>
  <c r="FU323" i="1"/>
  <c r="FT323" i="1"/>
  <c r="FS323" i="1"/>
  <c r="FR323" i="1"/>
  <c r="FQ323" i="1"/>
  <c r="FP323" i="1"/>
  <c r="FO323" i="1"/>
  <c r="FN323" i="1"/>
  <c r="FM323" i="1"/>
  <c r="FL323" i="1"/>
  <c r="FJ323" i="1"/>
  <c r="FI323" i="1"/>
  <c r="FH323" i="1"/>
  <c r="FG323" i="1"/>
  <c r="FF323" i="1"/>
  <c r="FE323" i="1"/>
  <c r="FD323" i="1"/>
  <c r="FC323" i="1"/>
  <c r="FB323" i="1"/>
  <c r="FA323" i="1"/>
  <c r="EX323" i="1"/>
  <c r="EW323" i="1"/>
  <c r="EV323" i="1"/>
  <c r="EU323" i="1"/>
  <c r="ET323" i="1"/>
  <c r="ES323" i="1"/>
  <c r="ER323" i="1"/>
  <c r="EQ323" i="1"/>
  <c r="EP323" i="1"/>
  <c r="EL323" i="1"/>
  <c r="EH323" i="1"/>
  <c r="EG323" i="1"/>
  <c r="EC323" i="1"/>
  <c r="EB323" i="1"/>
  <c r="EA323" i="1"/>
  <c r="DZ323" i="1"/>
  <c r="DY323" i="1"/>
  <c r="DX323" i="1"/>
  <c r="DW323" i="1"/>
  <c r="DV323" i="1"/>
  <c r="DU323" i="1"/>
  <c r="DT323" i="1"/>
  <c r="DR323" i="1"/>
  <c r="DQ323" i="1"/>
  <c r="DP323" i="1"/>
  <c r="DP310" i="1" s="1"/>
  <c r="DP309" i="1" s="1"/>
  <c r="DO323" i="1"/>
  <c r="DN323" i="1"/>
  <c r="DM323" i="1"/>
  <c r="DL323" i="1"/>
  <c r="DK323" i="1"/>
  <c r="DJ323" i="1"/>
  <c r="DI323" i="1"/>
  <c r="DF323" i="1"/>
  <c r="DF310" i="1" s="1"/>
  <c r="DF309" i="1" s="1"/>
  <c r="DE323" i="1"/>
  <c r="DD323" i="1"/>
  <c r="DC323" i="1"/>
  <c r="DB323" i="1"/>
  <c r="DB310" i="1" s="1"/>
  <c r="DA323" i="1"/>
  <c r="CZ323" i="1"/>
  <c r="CY323" i="1"/>
  <c r="CX323" i="1"/>
  <c r="CX310" i="1" s="1"/>
  <c r="CX309" i="1" s="1"/>
  <c r="CT323" i="1"/>
  <c r="CJ323" i="1"/>
  <c r="CI323" i="1"/>
  <c r="CH323" i="1"/>
  <c r="CG323" i="1"/>
  <c r="CF323" i="1"/>
  <c r="CE323" i="1"/>
  <c r="CD323" i="1"/>
  <c r="CC323" i="1"/>
  <c r="CB323" i="1"/>
  <c r="BY323" i="1"/>
  <c r="BX323" i="1"/>
  <c r="BW323" i="1"/>
  <c r="BV323" i="1"/>
  <c r="BU323" i="1"/>
  <c r="BT323" i="1"/>
  <c r="BS323" i="1"/>
  <c r="BR323" i="1"/>
  <c r="BQ323" i="1"/>
  <c r="BN323" i="1"/>
  <c r="BM323" i="1"/>
  <c r="BL323" i="1"/>
  <c r="BK323" i="1"/>
  <c r="BJ323" i="1"/>
  <c r="BI323" i="1"/>
  <c r="BH323" i="1"/>
  <c r="BG323" i="1"/>
  <c r="BF323" i="1"/>
  <c r="AX323" i="1"/>
  <c r="AV323" i="1"/>
  <c r="AR323" i="1"/>
  <c r="AQ323" i="1"/>
  <c r="AP323" i="1"/>
  <c r="AO323" i="1"/>
  <c r="AN323" i="1"/>
  <c r="AM323" i="1"/>
  <c r="AL323" i="1"/>
  <c r="AK323" i="1"/>
  <c r="AJ323" i="1"/>
  <c r="AG323" i="1"/>
  <c r="AF323" i="1"/>
  <c r="AE323" i="1"/>
  <c r="AD323" i="1"/>
  <c r="AC323" i="1"/>
  <c r="AB323" i="1"/>
  <c r="AA323" i="1"/>
  <c r="Z323" i="1"/>
  <c r="Y323" i="1"/>
  <c r="V323" i="1"/>
  <c r="U323" i="1"/>
  <c r="T323" i="1"/>
  <c r="S323" i="1"/>
  <c r="R323" i="1"/>
  <c r="Q323" i="1"/>
  <c r="P323" i="1"/>
  <c r="O323" i="1"/>
  <c r="N323" i="1"/>
  <c r="L323" i="1"/>
  <c r="K323" i="1"/>
  <c r="J323" i="1"/>
  <c r="I323" i="1"/>
  <c r="H323" i="1"/>
  <c r="G323" i="1"/>
  <c r="F323" i="1"/>
  <c r="E323" i="1"/>
  <c r="D323" i="1"/>
  <c r="C323" i="1"/>
  <c r="IT322" i="1"/>
  <c r="IO322" i="1"/>
  <c r="II322" i="1"/>
  <c r="IH322" i="1"/>
  <c r="IG322" i="1"/>
  <c r="IF322" i="1"/>
  <c r="IE322" i="1"/>
  <c r="HZ322" i="1"/>
  <c r="HU322" i="1"/>
  <c r="HO322" i="1"/>
  <c r="HN322" i="1"/>
  <c r="HN320" i="1" s="1"/>
  <c r="HM322" i="1"/>
  <c r="HL322" i="1"/>
  <c r="HK322" i="1"/>
  <c r="HF322" i="1"/>
  <c r="HA322" i="1"/>
  <c r="GV322" i="1"/>
  <c r="GE322" i="1"/>
  <c r="GD322" i="1"/>
  <c r="GC322" i="1"/>
  <c r="GB322" i="1"/>
  <c r="GA322" i="1"/>
  <c r="FZ322" i="1"/>
  <c r="FZ320" i="1" s="1"/>
  <c r="FY322" i="1"/>
  <c r="FX322" i="1"/>
  <c r="FW322" i="1"/>
  <c r="FV322" i="1"/>
  <c r="FU322" i="1"/>
  <c r="FJ322" i="1"/>
  <c r="EY322" i="1"/>
  <c r="EM322" i="1"/>
  <c r="EM320" i="1" s="1"/>
  <c r="EL322" i="1"/>
  <c r="EK322" i="1"/>
  <c r="EJ322" i="1"/>
  <c r="EI322" i="1"/>
  <c r="EI320" i="1" s="1"/>
  <c r="EH322" i="1"/>
  <c r="EG322" i="1"/>
  <c r="EF322" i="1"/>
  <c r="EE322" i="1"/>
  <c r="EE320" i="1" s="1"/>
  <c r="ED322" i="1"/>
  <c r="DR322" i="1"/>
  <c r="DG322" i="1"/>
  <c r="CU322" i="1"/>
  <c r="CU320" i="1" s="1"/>
  <c r="CT322" i="1"/>
  <c r="CS322" i="1"/>
  <c r="CR322" i="1"/>
  <c r="CQ322" i="1"/>
  <c r="CQ320" i="1" s="1"/>
  <c r="CP322" i="1"/>
  <c r="CO322" i="1"/>
  <c r="CN322" i="1"/>
  <c r="CM322" i="1"/>
  <c r="CM320" i="1" s="1"/>
  <c r="CL322" i="1"/>
  <c r="CK322" i="1"/>
  <c r="BZ322" i="1"/>
  <c r="BO322" i="1"/>
  <c r="BC322" i="1"/>
  <c r="BB322" i="1"/>
  <c r="BA322" i="1"/>
  <c r="AZ322" i="1"/>
  <c r="AZ320" i="1" s="1"/>
  <c r="AY322" i="1"/>
  <c r="AX322" i="1"/>
  <c r="AW322" i="1"/>
  <c r="AV322" i="1"/>
  <c r="AV320" i="1" s="1"/>
  <c r="AU322" i="1"/>
  <c r="AT322" i="1"/>
  <c r="AS322" i="1"/>
  <c r="AH322" i="1"/>
  <c r="AH320" i="1" s="1"/>
  <c r="W322" i="1"/>
  <c r="L322" i="1"/>
  <c r="IT321" i="1"/>
  <c r="IT320" i="1" s="1"/>
  <c r="IO321" i="1"/>
  <c r="II321" i="1"/>
  <c r="IH321" i="1"/>
  <c r="IH320" i="1" s="1"/>
  <c r="IG321" i="1"/>
  <c r="IF321" i="1"/>
  <c r="IE321" i="1"/>
  <c r="HZ321" i="1"/>
  <c r="HZ320" i="1" s="1"/>
  <c r="HU321" i="1"/>
  <c r="HO321" i="1"/>
  <c r="HN321" i="1"/>
  <c r="HM321" i="1"/>
  <c r="HM320" i="1" s="1"/>
  <c r="HL321" i="1"/>
  <c r="HK321" i="1"/>
  <c r="HF321" i="1"/>
  <c r="HA321" i="1"/>
  <c r="HA320" i="1" s="1"/>
  <c r="GV321" i="1"/>
  <c r="GV320" i="1" s="1"/>
  <c r="GE321" i="1"/>
  <c r="GD321" i="1"/>
  <c r="GC321" i="1"/>
  <c r="GC320" i="1" s="1"/>
  <c r="GB321" i="1"/>
  <c r="GB320" i="1" s="1"/>
  <c r="GA321" i="1"/>
  <c r="FZ321" i="1"/>
  <c r="FY321" i="1"/>
  <c r="FY320" i="1" s="1"/>
  <c r="FX321" i="1"/>
  <c r="FW321" i="1"/>
  <c r="FV321" i="1"/>
  <c r="FU321" i="1"/>
  <c r="FU320" i="1" s="1"/>
  <c r="FJ321" i="1"/>
  <c r="FJ320" i="1" s="1"/>
  <c r="EY321" i="1"/>
  <c r="EM321" i="1"/>
  <c r="EL321" i="1"/>
  <c r="EL320" i="1" s="1"/>
  <c r="EK321" i="1"/>
  <c r="EJ321" i="1"/>
  <c r="EI321" i="1"/>
  <c r="EH321" i="1"/>
  <c r="EH320" i="1" s="1"/>
  <c r="EG321" i="1"/>
  <c r="EF321" i="1"/>
  <c r="EE321" i="1"/>
  <c r="ED321" i="1"/>
  <c r="DR321" i="1"/>
  <c r="DG321" i="1"/>
  <c r="CU321" i="1"/>
  <c r="CT321" i="1"/>
  <c r="CT320" i="1" s="1"/>
  <c r="CS321" i="1"/>
  <c r="CS320" i="1" s="1"/>
  <c r="CR321" i="1"/>
  <c r="CQ321" i="1"/>
  <c r="CP321" i="1"/>
  <c r="CP320" i="1" s="1"/>
  <c r="CO321" i="1"/>
  <c r="CO320" i="1" s="1"/>
  <c r="CN321" i="1"/>
  <c r="CM321" i="1"/>
  <c r="CL321" i="1"/>
  <c r="CK321" i="1"/>
  <c r="BZ321" i="1"/>
  <c r="BO321" i="1"/>
  <c r="BC321" i="1"/>
  <c r="BB321" i="1"/>
  <c r="BA321" i="1"/>
  <c r="AZ321" i="1"/>
  <c r="AY321" i="1"/>
  <c r="AX321" i="1"/>
  <c r="AW321" i="1"/>
  <c r="AV321" i="1"/>
  <c r="AU321" i="1"/>
  <c r="AT321" i="1"/>
  <c r="AS321" i="1"/>
  <c r="AH321" i="1"/>
  <c r="W321" i="1"/>
  <c r="W320" i="1" s="1"/>
  <c r="L321" i="1"/>
  <c r="IV320" i="1"/>
  <c r="IU320" i="1"/>
  <c r="IS320" i="1"/>
  <c r="IR320" i="1"/>
  <c r="IQ320" i="1"/>
  <c r="IP320" i="1"/>
  <c r="IN320" i="1"/>
  <c r="IM320" i="1"/>
  <c r="IL320" i="1"/>
  <c r="IK320" i="1"/>
  <c r="ID320" i="1"/>
  <c r="IC320" i="1"/>
  <c r="IB320" i="1"/>
  <c r="IA320" i="1"/>
  <c r="HY320" i="1"/>
  <c r="HX320" i="1"/>
  <c r="HW320" i="1"/>
  <c r="HV320" i="1"/>
  <c r="HT320" i="1"/>
  <c r="HS320" i="1"/>
  <c r="HR320" i="1"/>
  <c r="HQ320" i="1"/>
  <c r="HJ320" i="1"/>
  <c r="HI320" i="1"/>
  <c r="HH320" i="1"/>
  <c r="HG320" i="1"/>
  <c r="HE320" i="1"/>
  <c r="HD320" i="1"/>
  <c r="HC320" i="1"/>
  <c r="HB320" i="1"/>
  <c r="GZ320" i="1"/>
  <c r="GY320" i="1"/>
  <c r="GX320" i="1"/>
  <c r="GW320" i="1"/>
  <c r="GU320" i="1"/>
  <c r="GT320" i="1"/>
  <c r="GS320" i="1"/>
  <c r="GR320" i="1"/>
  <c r="FT320" i="1"/>
  <c r="FS320" i="1"/>
  <c r="FR320" i="1"/>
  <c r="FQ320" i="1"/>
  <c r="FP320" i="1"/>
  <c r="FO320" i="1"/>
  <c r="FN320" i="1"/>
  <c r="FM320" i="1"/>
  <c r="FL320" i="1"/>
  <c r="FI320" i="1"/>
  <c r="FH320" i="1"/>
  <c r="FG320" i="1"/>
  <c r="FF320" i="1"/>
  <c r="FE320" i="1"/>
  <c r="FD320" i="1"/>
  <c r="FC320" i="1"/>
  <c r="FB320" i="1"/>
  <c r="FA320" i="1"/>
  <c r="EX320" i="1"/>
  <c r="EW320" i="1"/>
  <c r="EV320" i="1"/>
  <c r="EU320" i="1"/>
  <c r="ET320" i="1"/>
  <c r="ES320" i="1"/>
  <c r="ER320" i="1"/>
  <c r="EQ320" i="1"/>
  <c r="EP320" i="1"/>
  <c r="EC320" i="1"/>
  <c r="EB320" i="1"/>
  <c r="EA320" i="1"/>
  <c r="EA310" i="1" s="1"/>
  <c r="EA309" i="1" s="1"/>
  <c r="DZ320" i="1"/>
  <c r="DY320" i="1"/>
  <c r="DX320" i="1"/>
  <c r="DW320" i="1"/>
  <c r="DW310" i="1" s="1"/>
  <c r="DV320" i="1"/>
  <c r="DU320" i="1"/>
  <c r="DT320" i="1"/>
  <c r="DQ320" i="1"/>
  <c r="DQ310" i="1" s="1"/>
  <c r="DQ309" i="1" s="1"/>
  <c r="DP320" i="1"/>
  <c r="DO320" i="1"/>
  <c r="DN320" i="1"/>
  <c r="DM320" i="1"/>
  <c r="DM310" i="1" s="1"/>
  <c r="DM309" i="1" s="1"/>
  <c r="DL320" i="1"/>
  <c r="DK320" i="1"/>
  <c r="DJ320" i="1"/>
  <c r="DI320" i="1"/>
  <c r="DI310" i="1" s="1"/>
  <c r="DI309" i="1" s="1"/>
  <c r="DF320" i="1"/>
  <c r="DE320" i="1"/>
  <c r="DD320" i="1"/>
  <c r="DC320" i="1"/>
  <c r="DB320" i="1"/>
  <c r="DA320" i="1"/>
  <c r="CZ320" i="1"/>
  <c r="CY320" i="1"/>
  <c r="CX320" i="1"/>
  <c r="CJ320" i="1"/>
  <c r="CI320" i="1"/>
  <c r="CH320" i="1"/>
  <c r="CG320" i="1"/>
  <c r="CF320" i="1"/>
  <c r="CE320" i="1"/>
  <c r="CD320" i="1"/>
  <c r="CC320" i="1"/>
  <c r="CB320" i="1"/>
  <c r="BY320" i="1"/>
  <c r="BX320" i="1"/>
  <c r="BW320" i="1"/>
  <c r="BV320" i="1"/>
  <c r="BU320" i="1"/>
  <c r="BT320" i="1"/>
  <c r="BS320" i="1"/>
  <c r="BR320" i="1"/>
  <c r="BQ320" i="1"/>
  <c r="BN320" i="1"/>
  <c r="BM320" i="1"/>
  <c r="BL320" i="1"/>
  <c r="BK320" i="1"/>
  <c r="BJ320" i="1"/>
  <c r="BI320" i="1"/>
  <c r="BH320" i="1"/>
  <c r="BG320" i="1"/>
  <c r="BF320" i="1"/>
  <c r="AR320" i="1"/>
  <c r="AQ320" i="1"/>
  <c r="AP320" i="1"/>
  <c r="AO320" i="1"/>
  <c r="AN320" i="1"/>
  <c r="AM320" i="1"/>
  <c r="AL320" i="1"/>
  <c r="AK320" i="1"/>
  <c r="AJ320" i="1"/>
  <c r="AG320" i="1"/>
  <c r="AF320" i="1"/>
  <c r="AE320" i="1"/>
  <c r="AD320" i="1"/>
  <c r="AC320" i="1"/>
  <c r="AB320" i="1"/>
  <c r="AA320" i="1"/>
  <c r="Z320" i="1"/>
  <c r="Y320" i="1"/>
  <c r="V320" i="1"/>
  <c r="U320" i="1"/>
  <c r="T320" i="1"/>
  <c r="S320" i="1"/>
  <c r="R320" i="1"/>
  <c r="Q320" i="1"/>
  <c r="P320" i="1"/>
  <c r="O320" i="1"/>
  <c r="N320" i="1"/>
  <c r="K320" i="1"/>
  <c r="J320" i="1"/>
  <c r="I320" i="1"/>
  <c r="H320" i="1"/>
  <c r="G320" i="1"/>
  <c r="F320" i="1"/>
  <c r="E320" i="1"/>
  <c r="D320" i="1"/>
  <c r="C320" i="1"/>
  <c r="IT319" i="1"/>
  <c r="IO319" i="1"/>
  <c r="II319" i="1"/>
  <c r="II316" i="1" s="1"/>
  <c r="IH319" i="1"/>
  <c r="IG319" i="1"/>
  <c r="IF319" i="1"/>
  <c r="IE319" i="1"/>
  <c r="IE316" i="1" s="1"/>
  <c r="HZ319" i="1"/>
  <c r="HU319" i="1"/>
  <c r="HO319" i="1"/>
  <c r="HN319" i="1"/>
  <c r="HM319" i="1"/>
  <c r="HL319" i="1"/>
  <c r="HK319" i="1"/>
  <c r="HF319" i="1"/>
  <c r="HA319" i="1"/>
  <c r="GV319" i="1"/>
  <c r="GE319" i="1"/>
  <c r="GD319" i="1"/>
  <c r="GD316" i="1" s="1"/>
  <c r="GC319" i="1"/>
  <c r="GB319" i="1"/>
  <c r="GA319" i="1"/>
  <c r="FZ319" i="1"/>
  <c r="FZ316" i="1" s="1"/>
  <c r="FY319" i="1"/>
  <c r="FX319" i="1"/>
  <c r="FW319" i="1"/>
  <c r="FV319" i="1"/>
  <c r="FU319" i="1"/>
  <c r="FJ319" i="1"/>
  <c r="EY319" i="1"/>
  <c r="EM319" i="1"/>
  <c r="EM316" i="1" s="1"/>
  <c r="EL319" i="1"/>
  <c r="EK319" i="1"/>
  <c r="EJ319" i="1"/>
  <c r="EI319" i="1"/>
  <c r="EH319" i="1"/>
  <c r="EG319" i="1"/>
  <c r="EF319" i="1"/>
  <c r="EE319" i="1"/>
  <c r="ED319" i="1"/>
  <c r="DR319" i="1"/>
  <c r="DG319" i="1"/>
  <c r="CU319" i="1"/>
  <c r="CT319" i="1"/>
  <c r="CS319" i="1"/>
  <c r="CR319" i="1"/>
  <c r="CQ319" i="1"/>
  <c r="CP319" i="1"/>
  <c r="CO319" i="1"/>
  <c r="CN319" i="1"/>
  <c r="CM319" i="1"/>
  <c r="CL319" i="1"/>
  <c r="CK319" i="1"/>
  <c r="BZ319" i="1"/>
  <c r="BO319" i="1"/>
  <c r="BC319" i="1"/>
  <c r="BB319" i="1"/>
  <c r="BA319" i="1"/>
  <c r="AZ319" i="1"/>
  <c r="AZ316" i="1" s="1"/>
  <c r="AY319" i="1"/>
  <c r="AX319" i="1"/>
  <c r="AW319" i="1"/>
  <c r="AV319" i="1"/>
  <c r="AV316" i="1" s="1"/>
  <c r="AU319" i="1"/>
  <c r="AT319" i="1"/>
  <c r="AS319" i="1"/>
  <c r="AH319" i="1"/>
  <c r="AH316" i="1" s="1"/>
  <c r="W319" i="1"/>
  <c r="L319" i="1"/>
  <c r="IT318" i="1"/>
  <c r="IO318" i="1"/>
  <c r="IO316" i="1" s="1"/>
  <c r="II318" i="1"/>
  <c r="IH318" i="1"/>
  <c r="IG318" i="1"/>
  <c r="IF318" i="1"/>
  <c r="IE318" i="1"/>
  <c r="HZ318" i="1"/>
  <c r="HU318" i="1"/>
  <c r="HO318" i="1"/>
  <c r="HN318" i="1"/>
  <c r="HM318" i="1"/>
  <c r="HL318" i="1"/>
  <c r="HK318" i="1"/>
  <c r="HF318" i="1"/>
  <c r="HA318" i="1"/>
  <c r="GV318" i="1"/>
  <c r="GE318" i="1"/>
  <c r="GD318" i="1"/>
  <c r="GC318" i="1"/>
  <c r="GB318" i="1"/>
  <c r="GA318" i="1"/>
  <c r="GA316" i="1" s="1"/>
  <c r="FZ318" i="1"/>
  <c r="FY318" i="1"/>
  <c r="FX318" i="1"/>
  <c r="FW318" i="1"/>
  <c r="FV318" i="1"/>
  <c r="FU318" i="1"/>
  <c r="FJ318" i="1"/>
  <c r="EY318" i="1"/>
  <c r="EY316" i="1" s="1"/>
  <c r="EM318" i="1"/>
  <c r="EL318" i="1"/>
  <c r="EK318" i="1"/>
  <c r="EJ318" i="1"/>
  <c r="EI318" i="1"/>
  <c r="EH318" i="1"/>
  <c r="EG318" i="1"/>
  <c r="EF318" i="1"/>
  <c r="EE318" i="1"/>
  <c r="ED318" i="1"/>
  <c r="DR318" i="1"/>
  <c r="DG318" i="1"/>
  <c r="DG316" i="1" s="1"/>
  <c r="CU318" i="1"/>
  <c r="CT318" i="1"/>
  <c r="CS318" i="1"/>
  <c r="CR318" i="1"/>
  <c r="CQ318" i="1"/>
  <c r="CP318" i="1"/>
  <c r="CP316" i="1" s="1"/>
  <c r="CO318" i="1"/>
  <c r="CN318" i="1"/>
  <c r="CM318" i="1"/>
  <c r="CL318" i="1"/>
  <c r="CK318" i="1"/>
  <c r="BZ318" i="1"/>
  <c r="BO318" i="1"/>
  <c r="BC318" i="1"/>
  <c r="BB318" i="1"/>
  <c r="BA318" i="1"/>
  <c r="AZ318" i="1"/>
  <c r="AY318" i="1"/>
  <c r="AX318" i="1"/>
  <c r="AW318" i="1"/>
  <c r="AV318" i="1"/>
  <c r="AU318" i="1"/>
  <c r="AT318" i="1"/>
  <c r="AS318" i="1"/>
  <c r="AH318" i="1"/>
  <c r="W318" i="1"/>
  <c r="L318" i="1"/>
  <c r="IT317" i="1"/>
  <c r="IT316" i="1" s="1"/>
  <c r="IO317" i="1"/>
  <c r="II317" i="1"/>
  <c r="IH317" i="1"/>
  <c r="IG317" i="1"/>
  <c r="IF317" i="1"/>
  <c r="IE317" i="1"/>
  <c r="HZ317" i="1"/>
  <c r="HU317" i="1"/>
  <c r="HO317" i="1"/>
  <c r="HN317" i="1"/>
  <c r="HM317" i="1"/>
  <c r="HL317" i="1"/>
  <c r="HK317" i="1"/>
  <c r="HF317" i="1"/>
  <c r="HA317" i="1"/>
  <c r="GV317" i="1"/>
  <c r="GV316" i="1" s="1"/>
  <c r="GE317" i="1"/>
  <c r="GD317" i="1"/>
  <c r="GC317" i="1"/>
  <c r="GB317" i="1"/>
  <c r="GB316" i="1" s="1"/>
  <c r="GA317" i="1"/>
  <c r="FZ317" i="1"/>
  <c r="FY317" i="1"/>
  <c r="FX317" i="1"/>
  <c r="FX316" i="1" s="1"/>
  <c r="FW317" i="1"/>
  <c r="FV317" i="1"/>
  <c r="FU317" i="1"/>
  <c r="FJ317" i="1"/>
  <c r="FJ316" i="1" s="1"/>
  <c r="EY317" i="1"/>
  <c r="EM317" i="1"/>
  <c r="EL317" i="1"/>
  <c r="EK317" i="1"/>
  <c r="EK316" i="1" s="1"/>
  <c r="EJ317" i="1"/>
  <c r="EI317" i="1"/>
  <c r="EH317" i="1"/>
  <c r="EG317" i="1"/>
  <c r="EG316" i="1" s="1"/>
  <c r="EF317" i="1"/>
  <c r="EE317" i="1"/>
  <c r="EE316" i="1" s="1"/>
  <c r="ED317" i="1"/>
  <c r="DR317" i="1"/>
  <c r="DR316" i="1" s="1"/>
  <c r="DG317" i="1"/>
  <c r="CU317" i="1"/>
  <c r="CT317" i="1"/>
  <c r="CS317" i="1"/>
  <c r="CS316" i="1" s="1"/>
  <c r="CR317" i="1"/>
  <c r="CQ317" i="1"/>
  <c r="CP317" i="1"/>
  <c r="CO317" i="1"/>
  <c r="CO316" i="1" s="1"/>
  <c r="CN317" i="1"/>
  <c r="CM317" i="1"/>
  <c r="CL317" i="1"/>
  <c r="CK317" i="1"/>
  <c r="BZ317" i="1"/>
  <c r="BO317" i="1"/>
  <c r="BC317" i="1"/>
  <c r="BB317" i="1"/>
  <c r="BA317" i="1"/>
  <c r="AZ317" i="1"/>
  <c r="AY317" i="1"/>
  <c r="AX317" i="1"/>
  <c r="AW317" i="1"/>
  <c r="AV317" i="1"/>
  <c r="AU317" i="1"/>
  <c r="AT317" i="1"/>
  <c r="AS317" i="1"/>
  <c r="AH317" i="1"/>
  <c r="W317" i="1"/>
  <c r="L317" i="1"/>
  <c r="L316" i="1" s="1"/>
  <c r="IV316" i="1"/>
  <c r="IU316" i="1"/>
  <c r="IS316" i="1"/>
  <c r="IR316" i="1"/>
  <c r="IQ316" i="1"/>
  <c r="IP316" i="1"/>
  <c r="IN316" i="1"/>
  <c r="IN310" i="1" s="1"/>
  <c r="IN309" i="1" s="1"/>
  <c r="IM316" i="1"/>
  <c r="IL316" i="1"/>
  <c r="IK316" i="1"/>
  <c r="ID316" i="1"/>
  <c r="IC316" i="1"/>
  <c r="IB316" i="1"/>
  <c r="IA316" i="1"/>
  <c r="HY316" i="1"/>
  <c r="HX316" i="1"/>
  <c r="HW316" i="1"/>
  <c r="HV316" i="1"/>
  <c r="HT316" i="1"/>
  <c r="HS316" i="1"/>
  <c r="HR316" i="1"/>
  <c r="HQ316" i="1"/>
  <c r="HN316" i="1"/>
  <c r="HJ316" i="1"/>
  <c r="HI316" i="1"/>
  <c r="HH316" i="1"/>
  <c r="HG316" i="1"/>
  <c r="HE316" i="1"/>
  <c r="HD316" i="1"/>
  <c r="HC316" i="1"/>
  <c r="HB316" i="1"/>
  <c r="HB310" i="1" s="1"/>
  <c r="GZ316" i="1"/>
  <c r="GY316" i="1"/>
  <c r="GX316" i="1"/>
  <c r="GW316" i="1"/>
  <c r="GU316" i="1"/>
  <c r="GT316" i="1"/>
  <c r="GS316" i="1"/>
  <c r="GR316" i="1"/>
  <c r="GR310" i="1" s="1"/>
  <c r="GR309" i="1" s="1"/>
  <c r="FT316" i="1"/>
  <c r="FS316" i="1"/>
  <c r="FR316" i="1"/>
  <c r="FQ316" i="1"/>
  <c r="FP316" i="1"/>
  <c r="FO316" i="1"/>
  <c r="FN316" i="1"/>
  <c r="FN310" i="1" s="1"/>
  <c r="FM316" i="1"/>
  <c r="FL316" i="1"/>
  <c r="FI316" i="1"/>
  <c r="FH316" i="1"/>
  <c r="FH310" i="1" s="1"/>
  <c r="FH309" i="1" s="1"/>
  <c r="FG316" i="1"/>
  <c r="FF316" i="1"/>
  <c r="FE316" i="1"/>
  <c r="FD316" i="1"/>
  <c r="FD310" i="1" s="1"/>
  <c r="FD309" i="1" s="1"/>
  <c r="FC316" i="1"/>
  <c r="FB316" i="1"/>
  <c r="FA316" i="1"/>
  <c r="EX316" i="1"/>
  <c r="EX310" i="1" s="1"/>
  <c r="EX309" i="1" s="1"/>
  <c r="EW316" i="1"/>
  <c r="EV316" i="1"/>
  <c r="EU316" i="1"/>
  <c r="ET316" i="1"/>
  <c r="ET310" i="1" s="1"/>
  <c r="ET309" i="1" s="1"/>
  <c r="ES316" i="1"/>
  <c r="ER316" i="1"/>
  <c r="EQ316" i="1"/>
  <c r="EP316" i="1"/>
  <c r="EP310" i="1" s="1"/>
  <c r="EP309" i="1" s="1"/>
  <c r="EC316" i="1"/>
  <c r="EB316" i="1"/>
  <c r="EA316" i="1"/>
  <c r="DZ316" i="1"/>
  <c r="DY316" i="1"/>
  <c r="DX316" i="1"/>
  <c r="DW316" i="1"/>
  <c r="DV316" i="1"/>
  <c r="DU316" i="1"/>
  <c r="DT316" i="1"/>
  <c r="DQ316" i="1"/>
  <c r="DP316" i="1"/>
  <c r="DO316" i="1"/>
  <c r="DN316" i="1"/>
  <c r="DM316" i="1"/>
  <c r="DL316" i="1"/>
  <c r="DK316" i="1"/>
  <c r="DJ316" i="1"/>
  <c r="DI316" i="1"/>
  <c r="DF316" i="1"/>
  <c r="DE316" i="1"/>
  <c r="DD316" i="1"/>
  <c r="DC316" i="1"/>
  <c r="DB316" i="1"/>
  <c r="DA316" i="1"/>
  <c r="CZ316" i="1"/>
  <c r="CY316" i="1"/>
  <c r="CX316" i="1"/>
  <c r="CK316" i="1"/>
  <c r="CJ316" i="1"/>
  <c r="CI316" i="1"/>
  <c r="CH316" i="1"/>
  <c r="CG316" i="1"/>
  <c r="CF316" i="1"/>
  <c r="CE316" i="1"/>
  <c r="CD316" i="1"/>
  <c r="CC316" i="1"/>
  <c r="CC310" i="1" s="1"/>
  <c r="CC309" i="1" s="1"/>
  <c r="CB316" i="1"/>
  <c r="BY316" i="1"/>
  <c r="BX316" i="1"/>
  <c r="BW316" i="1"/>
  <c r="BW310" i="1" s="1"/>
  <c r="BW309" i="1" s="1"/>
  <c r="BV316" i="1"/>
  <c r="BU316" i="1"/>
  <c r="BT316" i="1"/>
  <c r="BS316" i="1"/>
  <c r="BS310" i="1" s="1"/>
  <c r="BS309" i="1" s="1"/>
  <c r="BR316" i="1"/>
  <c r="BQ316" i="1"/>
  <c r="BN316" i="1"/>
  <c r="BM316" i="1"/>
  <c r="BM310" i="1" s="1"/>
  <c r="BM309" i="1" s="1"/>
  <c r="BL316" i="1"/>
  <c r="BK316" i="1"/>
  <c r="BJ316" i="1"/>
  <c r="BI316" i="1"/>
  <c r="BI310" i="1" s="1"/>
  <c r="BI309" i="1" s="1"/>
  <c r="BH316" i="1"/>
  <c r="BG316" i="1"/>
  <c r="BF316" i="1"/>
  <c r="BA316" i="1"/>
  <c r="AR316" i="1"/>
  <c r="AQ316" i="1"/>
  <c r="AP316" i="1"/>
  <c r="AO316" i="1"/>
  <c r="AN316" i="1"/>
  <c r="AM316" i="1"/>
  <c r="AL316" i="1"/>
  <c r="AK316" i="1"/>
  <c r="AJ316" i="1"/>
  <c r="AG316" i="1"/>
  <c r="AF316" i="1"/>
  <c r="AE316" i="1"/>
  <c r="AE310" i="1" s="1"/>
  <c r="AD316" i="1"/>
  <c r="AC316" i="1"/>
  <c r="AB316" i="1"/>
  <c r="AA316" i="1"/>
  <c r="AA310" i="1" s="1"/>
  <c r="AA309" i="1" s="1"/>
  <c r="Z316" i="1"/>
  <c r="Y316" i="1"/>
  <c r="V316" i="1"/>
  <c r="U316" i="1"/>
  <c r="U310" i="1" s="1"/>
  <c r="U309" i="1" s="1"/>
  <c r="T316" i="1"/>
  <c r="S316" i="1"/>
  <c r="R316" i="1"/>
  <c r="Q316" i="1"/>
  <c r="Q310" i="1" s="1"/>
  <c r="Q309" i="1" s="1"/>
  <c r="P316" i="1"/>
  <c r="O316" i="1"/>
  <c r="N316" i="1"/>
  <c r="K316" i="1"/>
  <c r="K310" i="1" s="1"/>
  <c r="J316" i="1"/>
  <c r="I316" i="1"/>
  <c r="H316" i="1"/>
  <c r="G316" i="1"/>
  <c r="G310" i="1" s="1"/>
  <c r="G309" i="1" s="1"/>
  <c r="F316" i="1"/>
  <c r="E316" i="1"/>
  <c r="D316" i="1"/>
  <c r="C316" i="1"/>
  <c r="C310" i="1" s="1"/>
  <c r="C309" i="1" s="1"/>
  <c r="IT315" i="1"/>
  <c r="IO315" i="1"/>
  <c r="II315" i="1"/>
  <c r="IH315" i="1"/>
  <c r="IG315" i="1"/>
  <c r="IF315" i="1"/>
  <c r="IE315" i="1"/>
  <c r="HZ315" i="1"/>
  <c r="HU315" i="1"/>
  <c r="HO315" i="1"/>
  <c r="HN315" i="1"/>
  <c r="HM315" i="1"/>
  <c r="HL315" i="1"/>
  <c r="HK315" i="1"/>
  <c r="HF315" i="1"/>
  <c r="HA315" i="1"/>
  <c r="GV315" i="1"/>
  <c r="GE315" i="1"/>
  <c r="GD315" i="1"/>
  <c r="GC315" i="1"/>
  <c r="GB315" i="1"/>
  <c r="GA315" i="1"/>
  <c r="FZ315" i="1"/>
  <c r="FY315" i="1"/>
  <c r="FX315" i="1"/>
  <c r="FW315" i="1"/>
  <c r="FV315" i="1"/>
  <c r="FU315" i="1"/>
  <c r="FJ315" i="1"/>
  <c r="EY315" i="1"/>
  <c r="EM315" i="1"/>
  <c r="EL315" i="1"/>
  <c r="EL312" i="1" s="1"/>
  <c r="EK315" i="1"/>
  <c r="EJ315" i="1"/>
  <c r="EI315" i="1"/>
  <c r="EH315" i="1"/>
  <c r="EG315" i="1"/>
  <c r="EF315" i="1"/>
  <c r="EE315" i="1"/>
  <c r="ED315" i="1"/>
  <c r="DR315" i="1"/>
  <c r="DG315" i="1"/>
  <c r="CU315" i="1"/>
  <c r="CT315" i="1"/>
  <c r="CS315" i="1"/>
  <c r="CR315" i="1"/>
  <c r="CQ315" i="1"/>
  <c r="CP315" i="1"/>
  <c r="CO315" i="1"/>
  <c r="CN315" i="1"/>
  <c r="CM315" i="1"/>
  <c r="CL315" i="1"/>
  <c r="CK315" i="1"/>
  <c r="BZ315" i="1"/>
  <c r="BO315" i="1"/>
  <c r="BC315" i="1"/>
  <c r="BB315" i="1"/>
  <c r="BA315" i="1"/>
  <c r="AZ315" i="1"/>
  <c r="AY315" i="1"/>
  <c r="AX315" i="1"/>
  <c r="AW315" i="1"/>
  <c r="AV315" i="1"/>
  <c r="AU315" i="1"/>
  <c r="AT315" i="1"/>
  <c r="AS315" i="1"/>
  <c r="AH315" i="1"/>
  <c r="W315" i="1"/>
  <c r="L315" i="1"/>
  <c r="IT314" i="1"/>
  <c r="IO314" i="1"/>
  <c r="II314" i="1"/>
  <c r="IH314" i="1"/>
  <c r="IG314" i="1"/>
  <c r="IF314" i="1"/>
  <c r="IE314" i="1"/>
  <c r="IE312" i="1" s="1"/>
  <c r="HZ314" i="1"/>
  <c r="HU314" i="1"/>
  <c r="HO314" i="1"/>
  <c r="HN314" i="1"/>
  <c r="HM314" i="1"/>
  <c r="HL314" i="1"/>
  <c r="HK314" i="1"/>
  <c r="HF314" i="1"/>
  <c r="HA314" i="1"/>
  <c r="GV314" i="1"/>
  <c r="GE314" i="1"/>
  <c r="GD314" i="1"/>
  <c r="GC314" i="1"/>
  <c r="GB314" i="1"/>
  <c r="GB312" i="1" s="1"/>
  <c r="GA314" i="1"/>
  <c r="FZ314" i="1"/>
  <c r="FZ312" i="1" s="1"/>
  <c r="FY314" i="1"/>
  <c r="FX314" i="1"/>
  <c r="FW314" i="1"/>
  <c r="FV314" i="1"/>
  <c r="FU314" i="1"/>
  <c r="FJ314" i="1"/>
  <c r="FJ312" i="1" s="1"/>
  <c r="EY314" i="1"/>
  <c r="EM314" i="1"/>
  <c r="EL314" i="1"/>
  <c r="EK314" i="1"/>
  <c r="EJ314" i="1"/>
  <c r="EI314" i="1"/>
  <c r="EH314" i="1"/>
  <c r="EG314" i="1"/>
  <c r="EF314" i="1"/>
  <c r="EE314" i="1"/>
  <c r="EE312" i="1" s="1"/>
  <c r="ED314" i="1"/>
  <c r="DR314" i="1"/>
  <c r="DG314" i="1"/>
  <c r="CU314" i="1"/>
  <c r="CU312" i="1" s="1"/>
  <c r="CT314" i="1"/>
  <c r="CS314" i="1"/>
  <c r="CR314" i="1"/>
  <c r="CQ314" i="1"/>
  <c r="CQ312" i="1" s="1"/>
  <c r="CP314" i="1"/>
  <c r="CO314" i="1"/>
  <c r="CN314" i="1"/>
  <c r="CM314" i="1"/>
  <c r="CM312" i="1" s="1"/>
  <c r="CL314" i="1"/>
  <c r="CK314" i="1"/>
  <c r="BZ314" i="1"/>
  <c r="BO314" i="1"/>
  <c r="BO312" i="1" s="1"/>
  <c r="BC314" i="1"/>
  <c r="BB314" i="1"/>
  <c r="BA314" i="1"/>
  <c r="AZ314" i="1"/>
  <c r="AY314" i="1"/>
  <c r="AX314" i="1"/>
  <c r="AW314" i="1"/>
  <c r="AV314" i="1"/>
  <c r="AU314" i="1"/>
  <c r="AT314" i="1"/>
  <c r="AS314" i="1"/>
  <c r="AH314" i="1"/>
  <c r="W314" i="1"/>
  <c r="L314" i="1"/>
  <c r="IT313" i="1"/>
  <c r="IO313" i="1"/>
  <c r="II313" i="1"/>
  <c r="IH313" i="1"/>
  <c r="IG313" i="1"/>
  <c r="IF313" i="1"/>
  <c r="IE313" i="1"/>
  <c r="HZ313" i="1"/>
  <c r="HU313" i="1"/>
  <c r="HO313" i="1"/>
  <c r="HO312" i="1" s="1"/>
  <c r="HN313" i="1"/>
  <c r="HM313" i="1"/>
  <c r="HL313" i="1"/>
  <c r="HK313" i="1"/>
  <c r="HF313" i="1"/>
  <c r="HA313" i="1"/>
  <c r="GV313" i="1"/>
  <c r="GE313" i="1"/>
  <c r="GE312" i="1" s="1"/>
  <c r="GD313" i="1"/>
  <c r="GC313" i="1"/>
  <c r="GB313" i="1"/>
  <c r="GA313" i="1"/>
  <c r="FZ313" i="1"/>
  <c r="FY313" i="1"/>
  <c r="FX313" i="1"/>
  <c r="FW313" i="1"/>
  <c r="FW312" i="1" s="1"/>
  <c r="FV313" i="1"/>
  <c r="FU313" i="1"/>
  <c r="FJ313" i="1"/>
  <c r="EY313" i="1"/>
  <c r="EM313" i="1"/>
  <c r="EL313" i="1"/>
  <c r="EK313" i="1"/>
  <c r="EJ313" i="1"/>
  <c r="EI313" i="1"/>
  <c r="EH313" i="1"/>
  <c r="EG313" i="1"/>
  <c r="EF313" i="1"/>
  <c r="EE313" i="1"/>
  <c r="ED313" i="1"/>
  <c r="DR313" i="1"/>
  <c r="DG313" i="1"/>
  <c r="DG312" i="1" s="1"/>
  <c r="CU313" i="1"/>
  <c r="CT313" i="1"/>
  <c r="CS313" i="1"/>
  <c r="CR313" i="1"/>
  <c r="CQ313" i="1"/>
  <c r="CP313" i="1"/>
  <c r="CO313" i="1"/>
  <c r="CN313" i="1"/>
  <c r="CM313" i="1"/>
  <c r="CL313" i="1"/>
  <c r="CK313" i="1"/>
  <c r="BZ313" i="1"/>
  <c r="BO313" i="1"/>
  <c r="BC313" i="1"/>
  <c r="BB313" i="1"/>
  <c r="BA313" i="1"/>
  <c r="BA312" i="1" s="1"/>
  <c r="AZ313" i="1"/>
  <c r="AY313" i="1"/>
  <c r="AX313" i="1"/>
  <c r="AW313" i="1"/>
  <c r="AW312" i="1" s="1"/>
  <c r="AV313" i="1"/>
  <c r="AU313" i="1"/>
  <c r="AT313" i="1"/>
  <c r="AS313" i="1"/>
  <c r="AH313" i="1"/>
  <c r="W313" i="1"/>
  <c r="L313" i="1"/>
  <c r="IV312" i="1"/>
  <c r="IV310" i="1" s="1"/>
  <c r="IV309" i="1" s="1"/>
  <c r="IU312" i="1"/>
  <c r="IS312" i="1"/>
  <c r="IR312" i="1"/>
  <c r="IQ312" i="1"/>
  <c r="IQ310" i="1" s="1"/>
  <c r="IQ309" i="1" s="1"/>
  <c r="IP312" i="1"/>
  <c r="IN312" i="1"/>
  <c r="IM312" i="1"/>
  <c r="IL312" i="1"/>
  <c r="IL310" i="1" s="1"/>
  <c r="IL309" i="1" s="1"/>
  <c r="IK312" i="1"/>
  <c r="ID312" i="1"/>
  <c r="IC312" i="1"/>
  <c r="IB312" i="1"/>
  <c r="IA312" i="1"/>
  <c r="HY312" i="1"/>
  <c r="HX312" i="1"/>
  <c r="HW312" i="1"/>
  <c r="HV312" i="1"/>
  <c r="HT312" i="1"/>
  <c r="HS312" i="1"/>
  <c r="HR312" i="1"/>
  <c r="HQ312" i="1"/>
  <c r="HL312" i="1"/>
  <c r="HJ312" i="1"/>
  <c r="HI312" i="1"/>
  <c r="HI310" i="1" s="1"/>
  <c r="HI309" i="1" s="1"/>
  <c r="HH312" i="1"/>
  <c r="HG312" i="1"/>
  <c r="HE312" i="1"/>
  <c r="HD312" i="1"/>
  <c r="HD310" i="1" s="1"/>
  <c r="HD309" i="1" s="1"/>
  <c r="HC312" i="1"/>
  <c r="HB312" i="1"/>
  <c r="GZ312" i="1"/>
  <c r="GY312" i="1"/>
  <c r="GY310" i="1" s="1"/>
  <c r="GY309" i="1" s="1"/>
  <c r="GX312" i="1"/>
  <c r="GW312" i="1"/>
  <c r="GU312" i="1"/>
  <c r="GT312" i="1"/>
  <c r="GT310" i="1" s="1"/>
  <c r="GT309" i="1" s="1"/>
  <c r="GS312" i="1"/>
  <c r="GR312" i="1"/>
  <c r="FT312" i="1"/>
  <c r="FS312" i="1"/>
  <c r="FR312" i="1"/>
  <c r="FQ312" i="1"/>
  <c r="FQ310" i="1" s="1"/>
  <c r="FQ309" i="1" s="1"/>
  <c r="FP312" i="1"/>
  <c r="FP310" i="1" s="1"/>
  <c r="FP309" i="1" s="1"/>
  <c r="FO312" i="1"/>
  <c r="FN312" i="1"/>
  <c r="FM312" i="1"/>
  <c r="FL312" i="1"/>
  <c r="FI312" i="1"/>
  <c r="FH312" i="1"/>
  <c r="FG312" i="1"/>
  <c r="FG310" i="1" s="1"/>
  <c r="FF312" i="1"/>
  <c r="FE312" i="1"/>
  <c r="FD312" i="1"/>
  <c r="FC312" i="1"/>
  <c r="FB312" i="1"/>
  <c r="FA312" i="1"/>
  <c r="EX312" i="1"/>
  <c r="EW312" i="1"/>
  <c r="EW310" i="1" s="1"/>
  <c r="EV312" i="1"/>
  <c r="EU312" i="1"/>
  <c r="ET312" i="1"/>
  <c r="ES312" i="1"/>
  <c r="ER312" i="1"/>
  <c r="EQ312" i="1"/>
  <c r="EP312" i="1"/>
  <c r="EC312" i="1"/>
  <c r="EC310" i="1" s="1"/>
  <c r="EB312" i="1"/>
  <c r="EA312" i="1"/>
  <c r="DZ312" i="1"/>
  <c r="DY312" i="1"/>
  <c r="DX312" i="1"/>
  <c r="DW312" i="1"/>
  <c r="DV312" i="1"/>
  <c r="DU312" i="1"/>
  <c r="DU310" i="1" s="1"/>
  <c r="DT312" i="1"/>
  <c r="DQ312" i="1"/>
  <c r="DP312" i="1"/>
  <c r="DO312" i="1"/>
  <c r="DN312" i="1"/>
  <c r="DM312" i="1"/>
  <c r="DL312" i="1"/>
  <c r="DK312" i="1"/>
  <c r="DJ312" i="1"/>
  <c r="DI312" i="1"/>
  <c r="DF312" i="1"/>
  <c r="DE312" i="1"/>
  <c r="DD312" i="1"/>
  <c r="DC312" i="1"/>
  <c r="DB312" i="1"/>
  <c r="DA312" i="1"/>
  <c r="CZ312" i="1"/>
  <c r="CY312" i="1"/>
  <c r="CX312" i="1"/>
  <c r="CJ312" i="1"/>
  <c r="CI312" i="1"/>
  <c r="CH312" i="1"/>
  <c r="CG312" i="1"/>
  <c r="CF312" i="1"/>
  <c r="CE312" i="1"/>
  <c r="CD312" i="1"/>
  <c r="CC312" i="1"/>
  <c r="CB312" i="1"/>
  <c r="BY312" i="1"/>
  <c r="BX312" i="1"/>
  <c r="BW312" i="1"/>
  <c r="BV312" i="1"/>
  <c r="BU312" i="1"/>
  <c r="BT312" i="1"/>
  <c r="BS312" i="1"/>
  <c r="BR312" i="1"/>
  <c r="BQ312" i="1"/>
  <c r="BN312" i="1"/>
  <c r="BN310" i="1" s="1"/>
  <c r="BM312" i="1"/>
  <c r="BL312" i="1"/>
  <c r="BK312" i="1"/>
  <c r="BJ312" i="1"/>
  <c r="BJ310" i="1" s="1"/>
  <c r="BI312" i="1"/>
  <c r="BH312" i="1"/>
  <c r="BG312" i="1"/>
  <c r="BF312" i="1"/>
  <c r="BF310" i="1" s="1"/>
  <c r="AR312" i="1"/>
  <c r="AQ312" i="1"/>
  <c r="AQ310" i="1" s="1"/>
  <c r="AQ309" i="1" s="1"/>
  <c r="AP312" i="1"/>
  <c r="AO312" i="1"/>
  <c r="AN312" i="1"/>
  <c r="AM312" i="1"/>
  <c r="AM310" i="1" s="1"/>
  <c r="AM309" i="1" s="1"/>
  <c r="AL312" i="1"/>
  <c r="AK312" i="1"/>
  <c r="AJ312" i="1"/>
  <c r="AG312" i="1"/>
  <c r="AG310" i="1" s="1"/>
  <c r="AG309" i="1" s="1"/>
  <c r="AF312" i="1"/>
  <c r="AE312" i="1"/>
  <c r="AD312" i="1"/>
  <c r="AC312" i="1"/>
  <c r="AC310" i="1" s="1"/>
  <c r="AC309" i="1" s="1"/>
  <c r="AB312" i="1"/>
  <c r="AA312" i="1"/>
  <c r="Z312" i="1"/>
  <c r="Y312" i="1"/>
  <c r="Y310" i="1" s="1"/>
  <c r="Y309" i="1" s="1"/>
  <c r="V312" i="1"/>
  <c r="U312" i="1"/>
  <c r="T312" i="1"/>
  <c r="S312" i="1"/>
  <c r="S310" i="1" s="1"/>
  <c r="S309" i="1" s="1"/>
  <c r="R312" i="1"/>
  <c r="Q312" i="1"/>
  <c r="P312" i="1"/>
  <c r="O312" i="1"/>
  <c r="O310" i="1" s="1"/>
  <c r="O309" i="1" s="1"/>
  <c r="N312" i="1"/>
  <c r="L312" i="1"/>
  <c r="K312" i="1"/>
  <c r="J312" i="1"/>
  <c r="I312" i="1"/>
  <c r="H312" i="1"/>
  <c r="G312" i="1"/>
  <c r="F312" i="1"/>
  <c r="F310" i="1" s="1"/>
  <c r="F309" i="1" s="1"/>
  <c r="E312" i="1"/>
  <c r="D312" i="1"/>
  <c r="C312" i="1"/>
  <c r="IT311" i="1"/>
  <c r="IO311" i="1"/>
  <c r="II311" i="1"/>
  <c r="IH311" i="1"/>
  <c r="IG311" i="1"/>
  <c r="IF311" i="1"/>
  <c r="IE311" i="1"/>
  <c r="HZ311" i="1"/>
  <c r="HU311" i="1"/>
  <c r="HO311" i="1"/>
  <c r="HN311" i="1"/>
  <c r="HM311" i="1"/>
  <c r="HL311" i="1"/>
  <c r="HK311" i="1"/>
  <c r="HF311" i="1"/>
  <c r="HA311" i="1"/>
  <c r="GV311" i="1"/>
  <c r="GE311" i="1"/>
  <c r="GD311" i="1"/>
  <c r="GC311" i="1"/>
  <c r="GB311" i="1"/>
  <c r="GA311" i="1"/>
  <c r="FZ311" i="1"/>
  <c r="FY311" i="1"/>
  <c r="FX311" i="1"/>
  <c r="FW311" i="1"/>
  <c r="FV311" i="1"/>
  <c r="FU311" i="1"/>
  <c r="FJ311" i="1"/>
  <c r="EY311" i="1"/>
  <c r="EM311" i="1"/>
  <c r="EL311" i="1"/>
  <c r="EK311" i="1"/>
  <c r="EJ311" i="1"/>
  <c r="EI311" i="1"/>
  <c r="EH311" i="1"/>
  <c r="EG311" i="1"/>
  <c r="EF311" i="1"/>
  <c r="EE311" i="1"/>
  <c r="ED311" i="1"/>
  <c r="DR311" i="1"/>
  <c r="DG311" i="1"/>
  <c r="CU311" i="1"/>
  <c r="CT311" i="1"/>
  <c r="CS311" i="1"/>
  <c r="CR311" i="1"/>
  <c r="CQ311" i="1"/>
  <c r="CP311" i="1"/>
  <c r="CO311" i="1"/>
  <c r="CN311" i="1"/>
  <c r="CM311" i="1"/>
  <c r="CL311" i="1"/>
  <c r="CK311" i="1"/>
  <c r="BZ311" i="1"/>
  <c r="BO311" i="1"/>
  <c r="BC311" i="1"/>
  <c r="BB311" i="1"/>
  <c r="BA311" i="1"/>
  <c r="AZ311" i="1"/>
  <c r="AY311" i="1"/>
  <c r="AX311" i="1"/>
  <c r="AW311" i="1"/>
  <c r="AV311" i="1"/>
  <c r="AU311" i="1"/>
  <c r="AT311" i="1"/>
  <c r="AS311" i="1"/>
  <c r="AH311" i="1"/>
  <c r="W311" i="1"/>
  <c r="L311" i="1"/>
  <c r="HS310" i="1"/>
  <c r="HS309" i="1" s="1"/>
  <c r="HH310" i="1"/>
  <c r="HH309" i="1" s="1"/>
  <c r="HE310" i="1"/>
  <c r="HE309" i="1" s="1"/>
  <c r="GX310" i="1"/>
  <c r="FT310" i="1"/>
  <c r="FT309" i="1" s="1"/>
  <c r="FM310" i="1"/>
  <c r="FL310" i="1"/>
  <c r="FC310" i="1"/>
  <c r="FC309" i="1" s="1"/>
  <c r="ES310" i="1"/>
  <c r="ES309" i="1" s="1"/>
  <c r="DZ310" i="1"/>
  <c r="DZ309" i="1" s="1"/>
  <c r="DY310" i="1"/>
  <c r="DY309" i="1" s="1"/>
  <c r="DV310" i="1"/>
  <c r="DV309" i="1" s="1"/>
  <c r="DL310" i="1"/>
  <c r="DL309" i="1" s="1"/>
  <c r="CI310" i="1"/>
  <c r="CI309" i="1" s="1"/>
  <c r="CH310" i="1"/>
  <c r="CD310" i="1"/>
  <c r="BX310" i="1"/>
  <c r="BU310" i="1"/>
  <c r="BT310" i="1"/>
  <c r="BG310" i="1"/>
  <c r="BG309" i="1" s="1"/>
  <c r="AN310" i="1"/>
  <c r="AN309" i="1" s="1"/>
  <c r="AD310" i="1"/>
  <c r="AD309" i="1" s="1"/>
  <c r="Z310" i="1"/>
  <c r="Z309" i="1" s="1"/>
  <c r="T310" i="1"/>
  <c r="T309" i="1" s="1"/>
  <c r="P310" i="1"/>
  <c r="P309" i="1" s="1"/>
  <c r="J310" i="1"/>
  <c r="J309" i="1" s="1"/>
  <c r="I310" i="1"/>
  <c r="H310" i="1"/>
  <c r="H309" i="1" s="1"/>
  <c r="E310" i="1"/>
  <c r="E309" i="1" s="1"/>
  <c r="D310" i="1"/>
  <c r="D309" i="1" s="1"/>
  <c r="HB309" i="1"/>
  <c r="GX309" i="1"/>
  <c r="FN309" i="1"/>
  <c r="FM309" i="1"/>
  <c r="FL309" i="1"/>
  <c r="FG309" i="1"/>
  <c r="EW309" i="1"/>
  <c r="EC309" i="1"/>
  <c r="DW309" i="1"/>
  <c r="DU309" i="1"/>
  <c r="DN309" i="1"/>
  <c r="DJ309" i="1"/>
  <c r="DB309" i="1"/>
  <c r="CH309" i="1"/>
  <c r="CE309" i="1"/>
  <c r="CD309" i="1"/>
  <c r="BY309" i="1"/>
  <c r="BX309" i="1"/>
  <c r="BU309" i="1"/>
  <c r="BT309" i="1"/>
  <c r="BQ309" i="1"/>
  <c r="BN309" i="1"/>
  <c r="BK309" i="1"/>
  <c r="BJ309" i="1"/>
  <c r="BF309" i="1"/>
  <c r="AE309" i="1"/>
  <c r="K309" i="1"/>
  <c r="I309" i="1"/>
  <c r="IT308" i="1"/>
  <c r="IO308" i="1"/>
  <c r="II308" i="1"/>
  <c r="IH308" i="1"/>
  <c r="IG308" i="1"/>
  <c r="IF308" i="1"/>
  <c r="IE308" i="1"/>
  <c r="HZ308" i="1"/>
  <c r="HU308" i="1"/>
  <c r="HO308" i="1"/>
  <c r="HN308" i="1"/>
  <c r="HM308" i="1"/>
  <c r="HL308" i="1"/>
  <c r="HK308" i="1"/>
  <c r="HF308" i="1"/>
  <c r="HA308" i="1"/>
  <c r="GV308" i="1"/>
  <c r="GE308" i="1"/>
  <c r="GD308" i="1"/>
  <c r="GC308" i="1"/>
  <c r="GB308" i="1"/>
  <c r="GA308" i="1"/>
  <c r="FZ308" i="1"/>
  <c r="FY308" i="1"/>
  <c r="FX308" i="1"/>
  <c r="FW308" i="1"/>
  <c r="FV308" i="1"/>
  <c r="FU308" i="1"/>
  <c r="FJ308" i="1"/>
  <c r="EY308" i="1"/>
  <c r="EM308" i="1"/>
  <c r="EL308" i="1"/>
  <c r="EK308" i="1"/>
  <c r="EJ308" i="1"/>
  <c r="EI308" i="1"/>
  <c r="EH308" i="1"/>
  <c r="EG308" i="1"/>
  <c r="EF308" i="1"/>
  <c r="EE308" i="1"/>
  <c r="ED308" i="1"/>
  <c r="DR308" i="1"/>
  <c r="DG308" i="1"/>
  <c r="CU308" i="1"/>
  <c r="CT308" i="1"/>
  <c r="CS308" i="1"/>
  <c r="CR308" i="1"/>
  <c r="CQ308" i="1"/>
  <c r="CP308" i="1"/>
  <c r="CO308" i="1"/>
  <c r="CN308" i="1"/>
  <c r="CM308" i="1"/>
  <c r="CL308" i="1"/>
  <c r="CK308" i="1"/>
  <c r="BZ308" i="1"/>
  <c r="BO308" i="1"/>
  <c r="BC308" i="1"/>
  <c r="BB308" i="1"/>
  <c r="BA308" i="1"/>
  <c r="AZ308" i="1"/>
  <c r="AY308" i="1"/>
  <c r="AX308" i="1"/>
  <c r="AW308" i="1"/>
  <c r="AV308" i="1"/>
  <c r="AU308" i="1"/>
  <c r="AT308" i="1"/>
  <c r="AS308" i="1"/>
  <c r="AH308" i="1"/>
  <c r="W308" i="1"/>
  <c r="L308" i="1"/>
  <c r="IT307" i="1"/>
  <c r="IO307" i="1"/>
  <c r="II307" i="1"/>
  <c r="IH307" i="1"/>
  <c r="IG307" i="1"/>
  <c r="IF307" i="1"/>
  <c r="IE307" i="1"/>
  <c r="HZ307" i="1"/>
  <c r="HU307" i="1"/>
  <c r="HO307" i="1"/>
  <c r="HN307" i="1"/>
  <c r="HM307" i="1"/>
  <c r="HL307" i="1"/>
  <c r="HK307" i="1"/>
  <c r="HF307" i="1"/>
  <c r="HA307" i="1"/>
  <c r="GV307" i="1"/>
  <c r="GE307" i="1"/>
  <c r="GD307" i="1"/>
  <c r="GC307" i="1"/>
  <c r="GB307" i="1"/>
  <c r="GA307" i="1"/>
  <c r="FZ307" i="1"/>
  <c r="FY307" i="1"/>
  <c r="FX307" i="1"/>
  <c r="FW307" i="1"/>
  <c r="FV307" i="1"/>
  <c r="FU307" i="1"/>
  <c r="FJ307" i="1"/>
  <c r="EY307" i="1"/>
  <c r="EM307" i="1"/>
  <c r="EL307" i="1"/>
  <c r="EK307" i="1"/>
  <c r="EJ307" i="1"/>
  <c r="EI307" i="1"/>
  <c r="EH307" i="1"/>
  <c r="EG307" i="1"/>
  <c r="EF307" i="1"/>
  <c r="EE307" i="1"/>
  <c r="ED307" i="1"/>
  <c r="DR307" i="1"/>
  <c r="DG307" i="1"/>
  <c r="CU307" i="1"/>
  <c r="CT307" i="1"/>
  <c r="CS307" i="1"/>
  <c r="CR307" i="1"/>
  <c r="CQ307" i="1"/>
  <c r="CP307" i="1"/>
  <c r="CO307" i="1"/>
  <c r="CN307" i="1"/>
  <c r="CM307" i="1"/>
  <c r="CL307" i="1"/>
  <c r="CK307" i="1"/>
  <c r="BZ307" i="1"/>
  <c r="BO307" i="1"/>
  <c r="BC307" i="1"/>
  <c r="BB307" i="1"/>
  <c r="BA307" i="1"/>
  <c r="AZ307" i="1"/>
  <c r="AY307" i="1"/>
  <c r="AX307" i="1"/>
  <c r="AW307" i="1"/>
  <c r="AV307" i="1"/>
  <c r="AU307" i="1"/>
  <c r="AT307" i="1"/>
  <c r="AS307" i="1"/>
  <c r="AH307" i="1"/>
  <c r="W307" i="1"/>
  <c r="L307" i="1"/>
  <c r="IT306" i="1"/>
  <c r="IO306" i="1"/>
  <c r="II306" i="1"/>
  <c r="IH306" i="1"/>
  <c r="IG306" i="1"/>
  <c r="IF306" i="1"/>
  <c r="IE306" i="1"/>
  <c r="HZ306" i="1"/>
  <c r="HU306" i="1"/>
  <c r="HO306" i="1"/>
  <c r="HN306" i="1"/>
  <c r="HM306" i="1"/>
  <c r="HL306" i="1"/>
  <c r="HK306" i="1"/>
  <c r="HF306" i="1"/>
  <c r="HA306" i="1"/>
  <c r="GV306" i="1"/>
  <c r="GE306" i="1"/>
  <c r="GD306" i="1"/>
  <c r="GC306" i="1"/>
  <c r="GC302" i="1" s="1"/>
  <c r="GB306" i="1"/>
  <c r="GA306" i="1"/>
  <c r="FZ306" i="1"/>
  <c r="FY306" i="1"/>
  <c r="FX306" i="1"/>
  <c r="FW306" i="1"/>
  <c r="FV306" i="1"/>
  <c r="FU306" i="1"/>
  <c r="FJ306" i="1"/>
  <c r="EY306" i="1"/>
  <c r="EM306" i="1"/>
  <c r="EL306" i="1"/>
  <c r="EK306" i="1"/>
  <c r="EJ306" i="1"/>
  <c r="EI306" i="1"/>
  <c r="EH306" i="1"/>
  <c r="EG306" i="1"/>
  <c r="EF306" i="1"/>
  <c r="EE306" i="1"/>
  <c r="ED306" i="1"/>
  <c r="DR306" i="1"/>
  <c r="DG306" i="1"/>
  <c r="CU306" i="1"/>
  <c r="CT306" i="1"/>
  <c r="CS306" i="1"/>
  <c r="CR306" i="1"/>
  <c r="CQ306" i="1"/>
  <c r="CP306" i="1"/>
  <c r="CP302" i="1" s="1"/>
  <c r="CO306" i="1"/>
  <c r="CN306" i="1"/>
  <c r="CM306" i="1"/>
  <c r="CL306" i="1"/>
  <c r="CK306" i="1"/>
  <c r="BZ306" i="1"/>
  <c r="BO306" i="1"/>
  <c r="BC306" i="1"/>
  <c r="BC302" i="1" s="1"/>
  <c r="BB306" i="1"/>
  <c r="BA306" i="1"/>
  <c r="AZ306" i="1"/>
  <c r="AY306" i="1"/>
  <c r="AX306" i="1"/>
  <c r="AW306" i="1"/>
  <c r="AV306" i="1"/>
  <c r="AU306" i="1"/>
  <c r="AT306" i="1"/>
  <c r="AS306" i="1"/>
  <c r="AH306" i="1"/>
  <c r="W306" i="1"/>
  <c r="W302" i="1" s="1"/>
  <c r="L306" i="1"/>
  <c r="IT305" i="1"/>
  <c r="IO305" i="1"/>
  <c r="II305" i="1"/>
  <c r="IH305" i="1"/>
  <c r="IG305" i="1"/>
  <c r="IF305" i="1"/>
  <c r="IE305" i="1"/>
  <c r="HZ305" i="1"/>
  <c r="HU305" i="1"/>
  <c r="HO305" i="1"/>
  <c r="HN305" i="1"/>
  <c r="HM305" i="1"/>
  <c r="HL305" i="1"/>
  <c r="HK305" i="1"/>
  <c r="HF305" i="1"/>
  <c r="HA305" i="1"/>
  <c r="GV305" i="1"/>
  <c r="GE305" i="1"/>
  <c r="GD305" i="1"/>
  <c r="GC305" i="1"/>
  <c r="GB305" i="1"/>
  <c r="GA305" i="1"/>
  <c r="FZ305" i="1"/>
  <c r="FY305" i="1"/>
  <c r="FX305" i="1"/>
  <c r="FW305" i="1"/>
  <c r="FV305" i="1"/>
  <c r="FU305" i="1"/>
  <c r="FJ305" i="1"/>
  <c r="EY305" i="1"/>
  <c r="EM305" i="1"/>
  <c r="EL305" i="1"/>
  <c r="EK305" i="1"/>
  <c r="EJ305" i="1"/>
  <c r="EI305" i="1"/>
  <c r="EH305" i="1"/>
  <c r="EG305" i="1"/>
  <c r="EF305" i="1"/>
  <c r="EE305" i="1"/>
  <c r="ED305" i="1"/>
  <c r="DR305" i="1"/>
  <c r="DG305" i="1"/>
  <c r="CU305" i="1"/>
  <c r="CT305" i="1"/>
  <c r="CS305" i="1"/>
  <c r="CR305" i="1"/>
  <c r="CQ305" i="1"/>
  <c r="CP305" i="1"/>
  <c r="CO305" i="1"/>
  <c r="CN305" i="1"/>
  <c r="CM305" i="1"/>
  <c r="CL305" i="1"/>
  <c r="CK305" i="1"/>
  <c r="BZ305" i="1"/>
  <c r="BO305" i="1"/>
  <c r="BC305" i="1"/>
  <c r="BB305" i="1"/>
  <c r="BA305" i="1"/>
  <c r="AZ305" i="1"/>
  <c r="AY305" i="1"/>
  <c r="AX305" i="1"/>
  <c r="AW305" i="1"/>
  <c r="AV305" i="1"/>
  <c r="AU305" i="1"/>
  <c r="AT305" i="1"/>
  <c r="AS305" i="1"/>
  <c r="AH305" i="1"/>
  <c r="W305" i="1"/>
  <c r="L305" i="1"/>
  <c r="IT304" i="1"/>
  <c r="IO304" i="1"/>
  <c r="II304" i="1"/>
  <c r="IH304" i="1"/>
  <c r="IG304" i="1"/>
  <c r="IF304" i="1"/>
  <c r="IE304" i="1"/>
  <c r="HZ304" i="1"/>
  <c r="HU304" i="1"/>
  <c r="HO304" i="1"/>
  <c r="HN304" i="1"/>
  <c r="HM304" i="1"/>
  <c r="HL304" i="1"/>
  <c r="HK304" i="1"/>
  <c r="HF304" i="1"/>
  <c r="HA304" i="1"/>
  <c r="GV304" i="1"/>
  <c r="GE304" i="1"/>
  <c r="GD304" i="1"/>
  <c r="GC304" i="1"/>
  <c r="GB304" i="1"/>
  <c r="GA304" i="1"/>
  <c r="FZ304" i="1"/>
  <c r="FY304" i="1"/>
  <c r="FX304" i="1"/>
  <c r="FW304" i="1"/>
  <c r="FV304" i="1"/>
  <c r="FU304" i="1"/>
  <c r="FJ304" i="1"/>
  <c r="EY304" i="1"/>
  <c r="EM304" i="1"/>
  <c r="EL304" i="1"/>
  <c r="EK304" i="1"/>
  <c r="EJ304" i="1"/>
  <c r="EI304" i="1"/>
  <c r="EH304" i="1"/>
  <c r="EG304" i="1"/>
  <c r="EF304" i="1"/>
  <c r="EE304" i="1"/>
  <c r="ED304" i="1"/>
  <c r="DR304" i="1"/>
  <c r="DG304" i="1"/>
  <c r="CU304" i="1"/>
  <c r="CT304" i="1"/>
  <c r="CS304" i="1"/>
  <c r="CR304" i="1"/>
  <c r="CQ304" i="1"/>
  <c r="CP304" i="1"/>
  <c r="CO304" i="1"/>
  <c r="CN304" i="1"/>
  <c r="CN302" i="1" s="1"/>
  <c r="CM304" i="1"/>
  <c r="CL304" i="1"/>
  <c r="CK304" i="1"/>
  <c r="BZ304" i="1"/>
  <c r="BO304" i="1"/>
  <c r="BC304" i="1"/>
  <c r="BB304" i="1"/>
  <c r="BA304" i="1"/>
  <c r="AZ304" i="1"/>
  <c r="AY304" i="1"/>
  <c r="AX304" i="1"/>
  <c r="AW304" i="1"/>
  <c r="AV304" i="1"/>
  <c r="AU304" i="1"/>
  <c r="AT304" i="1"/>
  <c r="AS304" i="1"/>
  <c r="AH304" i="1"/>
  <c r="W304" i="1"/>
  <c r="L304" i="1"/>
  <c r="IT303" i="1"/>
  <c r="IT302" i="1" s="1"/>
  <c r="IO303" i="1"/>
  <c r="II303" i="1"/>
  <c r="IH303" i="1"/>
  <c r="IG303" i="1"/>
  <c r="IF303" i="1"/>
  <c r="IE303" i="1"/>
  <c r="HZ303" i="1"/>
  <c r="HU303" i="1"/>
  <c r="HO303" i="1"/>
  <c r="HN303" i="1"/>
  <c r="HM303" i="1"/>
  <c r="HL303" i="1"/>
  <c r="HK303" i="1"/>
  <c r="HF303" i="1"/>
  <c r="HA303" i="1"/>
  <c r="GV303" i="1"/>
  <c r="GV302" i="1" s="1"/>
  <c r="GE303" i="1"/>
  <c r="GD303" i="1"/>
  <c r="GC303" i="1"/>
  <c r="GB303" i="1"/>
  <c r="GA303" i="1"/>
  <c r="FZ303" i="1"/>
  <c r="FY303" i="1"/>
  <c r="FX303" i="1"/>
  <c r="FW303" i="1"/>
  <c r="FV303" i="1"/>
  <c r="FU303" i="1"/>
  <c r="FJ303" i="1"/>
  <c r="EY303" i="1"/>
  <c r="EM303" i="1"/>
  <c r="EL303" i="1"/>
  <c r="EK303" i="1"/>
  <c r="EJ303" i="1"/>
  <c r="EI303" i="1"/>
  <c r="EH303" i="1"/>
  <c r="EG303" i="1"/>
  <c r="EG302" i="1" s="1"/>
  <c r="EF303" i="1"/>
  <c r="EE303" i="1"/>
  <c r="ED303" i="1"/>
  <c r="DR303" i="1"/>
  <c r="DR302" i="1" s="1"/>
  <c r="DG303" i="1"/>
  <c r="CU303" i="1"/>
  <c r="CT303" i="1"/>
  <c r="CS303" i="1"/>
  <c r="CR303" i="1"/>
  <c r="CQ303" i="1"/>
  <c r="CP303" i="1"/>
  <c r="CO303" i="1"/>
  <c r="CN303" i="1"/>
  <c r="CM303" i="1"/>
  <c r="CL303" i="1"/>
  <c r="CK303" i="1"/>
  <c r="BZ303" i="1"/>
  <c r="BO303" i="1"/>
  <c r="BC303" i="1"/>
  <c r="BB303" i="1"/>
  <c r="BA303" i="1"/>
  <c r="AZ303" i="1"/>
  <c r="AY303" i="1"/>
  <c r="AX303" i="1"/>
  <c r="AW303" i="1"/>
  <c r="AV303" i="1"/>
  <c r="AU303" i="1"/>
  <c r="AT303" i="1"/>
  <c r="AS303" i="1"/>
  <c r="AH303" i="1"/>
  <c r="W303" i="1"/>
  <c r="L303" i="1"/>
  <c r="L302" i="1" s="1"/>
  <c r="IV302" i="1"/>
  <c r="IU302" i="1"/>
  <c r="IS302" i="1"/>
  <c r="IR302" i="1"/>
  <c r="IQ302" i="1"/>
  <c r="IP302" i="1"/>
  <c r="IN302" i="1"/>
  <c r="IM302" i="1"/>
  <c r="IL302" i="1"/>
  <c r="IK302" i="1"/>
  <c r="ID302" i="1"/>
  <c r="IC302" i="1"/>
  <c r="IB302" i="1"/>
  <c r="IA302" i="1"/>
  <c r="HY302" i="1"/>
  <c r="HX302" i="1"/>
  <c r="HW302" i="1"/>
  <c r="HV302" i="1"/>
  <c r="HU302" i="1"/>
  <c r="HT302" i="1"/>
  <c r="HS302" i="1"/>
  <c r="HR302" i="1"/>
  <c r="HQ302" i="1"/>
  <c r="HJ302" i="1"/>
  <c r="HI302" i="1"/>
  <c r="HH302" i="1"/>
  <c r="HG302" i="1"/>
  <c r="HE302" i="1"/>
  <c r="HD302" i="1"/>
  <c r="HC302" i="1"/>
  <c r="HB302" i="1"/>
  <c r="GZ302" i="1"/>
  <c r="GY302" i="1"/>
  <c r="GX302" i="1"/>
  <c r="GW302" i="1"/>
  <c r="GU302" i="1"/>
  <c r="GT302" i="1"/>
  <c r="GS302" i="1"/>
  <c r="GR302" i="1"/>
  <c r="FT302" i="1"/>
  <c r="FS302" i="1"/>
  <c r="FR302" i="1"/>
  <c r="FQ302" i="1"/>
  <c r="FP302" i="1"/>
  <c r="FO302" i="1"/>
  <c r="FN302" i="1"/>
  <c r="FM302" i="1"/>
  <c r="FL302" i="1"/>
  <c r="FI302" i="1"/>
  <c r="FH302" i="1"/>
  <c r="FG302" i="1"/>
  <c r="FF302" i="1"/>
  <c r="FE302" i="1"/>
  <c r="FD302" i="1"/>
  <c r="FC302" i="1"/>
  <c r="FB302" i="1"/>
  <c r="FA302" i="1"/>
  <c r="EX302" i="1"/>
  <c r="EW302" i="1"/>
  <c r="EV302" i="1"/>
  <c r="EU302" i="1"/>
  <c r="ET302" i="1"/>
  <c r="ES302" i="1"/>
  <c r="ER302" i="1"/>
  <c r="EQ302" i="1"/>
  <c r="EP302" i="1"/>
  <c r="EC302" i="1"/>
  <c r="EB302" i="1"/>
  <c r="EA302" i="1"/>
  <c r="DZ302" i="1"/>
  <c r="DY302" i="1"/>
  <c r="DX302" i="1"/>
  <c r="DW302" i="1"/>
  <c r="DV302" i="1"/>
  <c r="DU302" i="1"/>
  <c r="DT302" i="1"/>
  <c r="DQ302" i="1"/>
  <c r="DP302" i="1"/>
  <c r="DO302" i="1"/>
  <c r="DN302" i="1"/>
  <c r="DM302" i="1"/>
  <c r="DL302" i="1"/>
  <c r="DK302" i="1"/>
  <c r="DJ302" i="1"/>
  <c r="DI302" i="1"/>
  <c r="DF302" i="1"/>
  <c r="DE302" i="1"/>
  <c r="DD302" i="1"/>
  <c r="DC302" i="1"/>
  <c r="DB302" i="1"/>
  <c r="DA302" i="1"/>
  <c r="CZ302" i="1"/>
  <c r="CY302" i="1"/>
  <c r="CX302" i="1"/>
  <c r="CR302" i="1"/>
  <c r="CJ302" i="1"/>
  <c r="CI302" i="1"/>
  <c r="CH302" i="1"/>
  <c r="CG302" i="1"/>
  <c r="CF302" i="1"/>
  <c r="CE302" i="1"/>
  <c r="CD302" i="1"/>
  <c r="CC302" i="1"/>
  <c r="CB302" i="1"/>
  <c r="BZ302" i="1"/>
  <c r="BY302" i="1"/>
  <c r="BX302" i="1"/>
  <c r="BW302" i="1"/>
  <c r="BV302" i="1"/>
  <c r="BU302" i="1"/>
  <c r="BT302" i="1"/>
  <c r="BS302" i="1"/>
  <c r="BR302" i="1"/>
  <c r="BQ302" i="1"/>
  <c r="BN302" i="1"/>
  <c r="BM302" i="1"/>
  <c r="BL302" i="1"/>
  <c r="BK302" i="1"/>
  <c r="BJ302" i="1"/>
  <c r="BI302" i="1"/>
  <c r="BH302" i="1"/>
  <c r="BG302" i="1"/>
  <c r="BF302" i="1"/>
  <c r="AU302" i="1"/>
  <c r="AR302" i="1"/>
  <c r="AQ302" i="1"/>
  <c r="AP302" i="1"/>
  <c r="AO302" i="1"/>
  <c r="AN302" i="1"/>
  <c r="AM302" i="1"/>
  <c r="AL302" i="1"/>
  <c r="AK302" i="1"/>
  <c r="AJ302" i="1"/>
  <c r="AG302" i="1"/>
  <c r="AF302" i="1"/>
  <c r="AE302" i="1"/>
  <c r="AD302" i="1"/>
  <c r="AC302" i="1"/>
  <c r="AB302" i="1"/>
  <c r="AA302" i="1"/>
  <c r="Z302" i="1"/>
  <c r="Y302" i="1"/>
  <c r="V302" i="1"/>
  <c r="U302" i="1"/>
  <c r="T302" i="1"/>
  <c r="S302" i="1"/>
  <c r="R302" i="1"/>
  <c r="Q302" i="1"/>
  <c r="P302" i="1"/>
  <c r="O302" i="1"/>
  <c r="N302" i="1"/>
  <c r="K302" i="1"/>
  <c r="J302" i="1"/>
  <c r="I302" i="1"/>
  <c r="H302" i="1"/>
  <c r="G302" i="1"/>
  <c r="F302" i="1"/>
  <c r="E302" i="1"/>
  <c r="D302" i="1"/>
  <c r="C302" i="1"/>
  <c r="IT301" i="1"/>
  <c r="IO301" i="1"/>
  <c r="II301" i="1"/>
  <c r="IH301" i="1"/>
  <c r="IG301" i="1"/>
  <c r="IF301" i="1"/>
  <c r="IE301" i="1"/>
  <c r="HZ301" i="1"/>
  <c r="HU301" i="1"/>
  <c r="HO301" i="1"/>
  <c r="HN301" i="1"/>
  <c r="HM301" i="1"/>
  <c r="HL301" i="1"/>
  <c r="HK301" i="1"/>
  <c r="HF301" i="1"/>
  <c r="HA301" i="1"/>
  <c r="GV301" i="1"/>
  <c r="GE301" i="1"/>
  <c r="GD301" i="1"/>
  <c r="GC301" i="1"/>
  <c r="GB301" i="1"/>
  <c r="GA301" i="1"/>
  <c r="FZ301" i="1"/>
  <c r="FY301" i="1"/>
  <c r="FX301" i="1"/>
  <c r="FW301" i="1"/>
  <c r="FV301" i="1"/>
  <c r="FU301" i="1"/>
  <c r="FJ301" i="1"/>
  <c r="EY301" i="1"/>
  <c r="EY298" i="1" s="1"/>
  <c r="EM301" i="1"/>
  <c r="EL301" i="1"/>
  <c r="EK301" i="1"/>
  <c r="EJ301" i="1"/>
  <c r="EI301" i="1"/>
  <c r="EH301" i="1"/>
  <c r="EG301" i="1"/>
  <c r="EF301" i="1"/>
  <c r="EE301" i="1"/>
  <c r="ED301" i="1"/>
  <c r="DR301" i="1"/>
  <c r="DG301" i="1"/>
  <c r="CU301" i="1"/>
  <c r="CT301" i="1"/>
  <c r="CS301" i="1"/>
  <c r="CR301" i="1"/>
  <c r="CR298" i="1" s="1"/>
  <c r="CQ301" i="1"/>
  <c r="CP301" i="1"/>
  <c r="CO301" i="1"/>
  <c r="CN301" i="1"/>
  <c r="CM301" i="1"/>
  <c r="CL301" i="1"/>
  <c r="CK301" i="1"/>
  <c r="BZ301" i="1"/>
  <c r="BZ298" i="1" s="1"/>
  <c r="BO301" i="1"/>
  <c r="BC301" i="1"/>
  <c r="BB301" i="1"/>
  <c r="BA301" i="1"/>
  <c r="AZ301" i="1"/>
  <c r="AY301" i="1"/>
  <c r="AX301" i="1"/>
  <c r="AW301" i="1"/>
  <c r="AV301" i="1"/>
  <c r="AU301" i="1"/>
  <c r="AT301" i="1"/>
  <c r="AS301" i="1"/>
  <c r="AH301" i="1"/>
  <c r="W301" i="1"/>
  <c r="L301" i="1"/>
  <c r="IT300" i="1"/>
  <c r="IO300" i="1"/>
  <c r="II300" i="1"/>
  <c r="IH300" i="1"/>
  <c r="IG300" i="1"/>
  <c r="IG298" i="1" s="1"/>
  <c r="IF300" i="1"/>
  <c r="IE300" i="1"/>
  <c r="HZ300" i="1"/>
  <c r="HU300" i="1"/>
  <c r="HO300" i="1"/>
  <c r="HN300" i="1"/>
  <c r="HM300" i="1"/>
  <c r="HL300" i="1"/>
  <c r="HK300" i="1"/>
  <c r="HF300" i="1"/>
  <c r="HA300" i="1"/>
  <c r="GV300" i="1"/>
  <c r="GE300" i="1"/>
  <c r="GD300" i="1"/>
  <c r="GC300" i="1"/>
  <c r="GB300" i="1"/>
  <c r="GA300" i="1"/>
  <c r="FZ300" i="1"/>
  <c r="FY300" i="1"/>
  <c r="FX300" i="1"/>
  <c r="FW300" i="1"/>
  <c r="FV300" i="1"/>
  <c r="FU300" i="1"/>
  <c r="FJ300" i="1"/>
  <c r="EY300" i="1"/>
  <c r="EM300" i="1"/>
  <c r="EL300" i="1"/>
  <c r="EK300" i="1"/>
  <c r="EJ300" i="1"/>
  <c r="EI300" i="1"/>
  <c r="EH300" i="1"/>
  <c r="EG300" i="1"/>
  <c r="EF300" i="1"/>
  <c r="EE300" i="1"/>
  <c r="ED300" i="1"/>
  <c r="DR300" i="1"/>
  <c r="DG300" i="1"/>
  <c r="CU300" i="1"/>
  <c r="CT300" i="1"/>
  <c r="CS300" i="1"/>
  <c r="CR300" i="1"/>
  <c r="CQ300" i="1"/>
  <c r="CP300" i="1"/>
  <c r="CO300" i="1"/>
  <c r="CN300" i="1"/>
  <c r="CM300" i="1"/>
  <c r="CL300" i="1"/>
  <c r="CK300" i="1"/>
  <c r="BZ300" i="1"/>
  <c r="BO300" i="1"/>
  <c r="BC300" i="1"/>
  <c r="BB300" i="1"/>
  <c r="BB298" i="1" s="1"/>
  <c r="BA300" i="1"/>
  <c r="AZ300" i="1"/>
  <c r="AY300" i="1"/>
  <c r="AX300" i="1"/>
  <c r="AW300" i="1"/>
  <c r="AV300" i="1"/>
  <c r="AU300" i="1"/>
  <c r="AT300" i="1"/>
  <c r="AS300" i="1"/>
  <c r="AH300" i="1"/>
  <c r="W300" i="1"/>
  <c r="L300" i="1"/>
  <c r="IT299" i="1"/>
  <c r="IO299" i="1"/>
  <c r="II299" i="1"/>
  <c r="IH299" i="1"/>
  <c r="IG299" i="1"/>
  <c r="IF299" i="1"/>
  <c r="IE299" i="1"/>
  <c r="HZ299" i="1"/>
  <c r="HZ298" i="1" s="1"/>
  <c r="HU299" i="1"/>
  <c r="HO299" i="1"/>
  <c r="HN299" i="1"/>
  <c r="HM299" i="1"/>
  <c r="HL299" i="1"/>
  <c r="HL298" i="1" s="1"/>
  <c r="HK299" i="1"/>
  <c r="HF299" i="1"/>
  <c r="HA299" i="1"/>
  <c r="HA298" i="1" s="1"/>
  <c r="GV299" i="1"/>
  <c r="GE299" i="1"/>
  <c r="GD299" i="1"/>
  <c r="GC299" i="1"/>
  <c r="GB299" i="1"/>
  <c r="GA299" i="1"/>
  <c r="FZ299" i="1"/>
  <c r="FY299" i="1"/>
  <c r="FY298" i="1" s="1"/>
  <c r="FX299" i="1"/>
  <c r="FW299" i="1"/>
  <c r="FV299" i="1"/>
  <c r="FU299" i="1"/>
  <c r="FU298" i="1" s="1"/>
  <c r="FJ299" i="1"/>
  <c r="FJ298" i="1" s="1"/>
  <c r="EY299" i="1"/>
  <c r="EM299" i="1"/>
  <c r="EL299" i="1"/>
  <c r="EL298" i="1" s="1"/>
  <c r="EK299" i="1"/>
  <c r="EJ299" i="1"/>
  <c r="EI299" i="1"/>
  <c r="EH299" i="1"/>
  <c r="EG299" i="1"/>
  <c r="EF299" i="1"/>
  <c r="EE299" i="1"/>
  <c r="ED299" i="1"/>
  <c r="DR299" i="1"/>
  <c r="DR298" i="1" s="1"/>
  <c r="DG299" i="1"/>
  <c r="CU299" i="1"/>
  <c r="CT299" i="1"/>
  <c r="CT298" i="1" s="1"/>
  <c r="CS299" i="1"/>
  <c r="CR299" i="1"/>
  <c r="CQ299" i="1"/>
  <c r="CP299" i="1"/>
  <c r="CP298" i="1" s="1"/>
  <c r="CO299" i="1"/>
  <c r="CN299" i="1"/>
  <c r="CM299" i="1"/>
  <c r="CL299" i="1"/>
  <c r="CK299" i="1"/>
  <c r="BZ299" i="1"/>
  <c r="BO299" i="1"/>
  <c r="BC299" i="1"/>
  <c r="BB299" i="1"/>
  <c r="BA299" i="1"/>
  <c r="AZ299" i="1"/>
  <c r="AY299" i="1"/>
  <c r="AY298" i="1" s="1"/>
  <c r="AX299" i="1"/>
  <c r="AW299" i="1"/>
  <c r="AV299" i="1"/>
  <c r="AU299" i="1"/>
  <c r="AT299" i="1"/>
  <c r="AS299" i="1"/>
  <c r="AH299" i="1"/>
  <c r="W299" i="1"/>
  <c r="L299" i="1"/>
  <c r="IV298" i="1"/>
  <c r="IU298" i="1"/>
  <c r="IS298" i="1"/>
  <c r="IR298" i="1"/>
  <c r="IQ298" i="1"/>
  <c r="IP298" i="1"/>
  <c r="IN298" i="1"/>
  <c r="IM298" i="1"/>
  <c r="IL298" i="1"/>
  <c r="IK298" i="1"/>
  <c r="II298" i="1"/>
  <c r="ID298" i="1"/>
  <c r="IC298" i="1"/>
  <c r="IB298" i="1"/>
  <c r="IA298" i="1"/>
  <c r="HY298" i="1"/>
  <c r="HX298" i="1"/>
  <c r="HW298" i="1"/>
  <c r="HV298" i="1"/>
  <c r="HT298" i="1"/>
  <c r="HS298" i="1"/>
  <c r="HR298" i="1"/>
  <c r="HQ298" i="1"/>
  <c r="HN298" i="1"/>
  <c r="HJ298" i="1"/>
  <c r="HI298" i="1"/>
  <c r="HH298" i="1"/>
  <c r="HG298" i="1"/>
  <c r="HE298" i="1"/>
  <c r="HD298" i="1"/>
  <c r="HC298" i="1"/>
  <c r="HB298" i="1"/>
  <c r="GZ298" i="1"/>
  <c r="GY298" i="1"/>
  <c r="GX298" i="1"/>
  <c r="GW298" i="1"/>
  <c r="GU298" i="1"/>
  <c r="GT298" i="1"/>
  <c r="GS298" i="1"/>
  <c r="GR298" i="1"/>
  <c r="GB298" i="1"/>
  <c r="FT298" i="1"/>
  <c r="FS298" i="1"/>
  <c r="FR298" i="1"/>
  <c r="FQ298" i="1"/>
  <c r="FP298" i="1"/>
  <c r="FO298" i="1"/>
  <c r="FN298" i="1"/>
  <c r="FM298" i="1"/>
  <c r="FL298" i="1"/>
  <c r="FI298" i="1"/>
  <c r="FH298" i="1"/>
  <c r="FG298" i="1"/>
  <c r="FF298" i="1"/>
  <c r="FE298" i="1"/>
  <c r="FD298" i="1"/>
  <c r="FC298" i="1"/>
  <c r="FB298" i="1"/>
  <c r="FA298" i="1"/>
  <c r="EX298" i="1"/>
  <c r="EW298" i="1"/>
  <c r="EV298" i="1"/>
  <c r="EU298" i="1"/>
  <c r="ET298" i="1"/>
  <c r="ES298" i="1"/>
  <c r="ER298" i="1"/>
  <c r="EQ298" i="1"/>
  <c r="EP298" i="1"/>
  <c r="EH298" i="1"/>
  <c r="EC298" i="1"/>
  <c r="EB298" i="1"/>
  <c r="EA298" i="1"/>
  <c r="DZ298" i="1"/>
  <c r="DY298" i="1"/>
  <c r="DX298" i="1"/>
  <c r="DW298" i="1"/>
  <c r="DV298" i="1"/>
  <c r="DU298" i="1"/>
  <c r="DT298" i="1"/>
  <c r="DQ298" i="1"/>
  <c r="DP298" i="1"/>
  <c r="DO298" i="1"/>
  <c r="DN298" i="1"/>
  <c r="DM298" i="1"/>
  <c r="DL298" i="1"/>
  <c r="DK298" i="1"/>
  <c r="DJ298" i="1"/>
  <c r="DI298" i="1"/>
  <c r="DF298" i="1"/>
  <c r="DE298" i="1"/>
  <c r="DD298" i="1"/>
  <c r="DC298" i="1"/>
  <c r="DB298" i="1"/>
  <c r="DA298" i="1"/>
  <c r="CZ298" i="1"/>
  <c r="CY298" i="1"/>
  <c r="CX298" i="1"/>
  <c r="CN298" i="1"/>
  <c r="CJ298" i="1"/>
  <c r="CI298" i="1"/>
  <c r="CH298" i="1"/>
  <c r="CG298" i="1"/>
  <c r="CF298" i="1"/>
  <c r="CE298" i="1"/>
  <c r="CD298" i="1"/>
  <c r="CC298" i="1"/>
  <c r="CB298" i="1"/>
  <c r="BY298" i="1"/>
  <c r="BX298" i="1"/>
  <c r="BW298" i="1"/>
  <c r="BV298" i="1"/>
  <c r="BU298" i="1"/>
  <c r="BT298" i="1"/>
  <c r="BS298" i="1"/>
  <c r="BR298" i="1"/>
  <c r="BQ298" i="1"/>
  <c r="BN298" i="1"/>
  <c r="BM298" i="1"/>
  <c r="BL298" i="1"/>
  <c r="BK298" i="1"/>
  <c r="BJ298" i="1"/>
  <c r="BI298" i="1"/>
  <c r="BH298" i="1"/>
  <c r="BG298" i="1"/>
  <c r="BF298" i="1"/>
  <c r="AV298" i="1"/>
  <c r="AR298" i="1"/>
  <c r="AQ298" i="1"/>
  <c r="AP298" i="1"/>
  <c r="AO298" i="1"/>
  <c r="AN298" i="1"/>
  <c r="AM298" i="1"/>
  <c r="AL298" i="1"/>
  <c r="AK298" i="1"/>
  <c r="AJ298" i="1"/>
  <c r="AG298" i="1"/>
  <c r="AF298" i="1"/>
  <c r="AE298" i="1"/>
  <c r="AD298" i="1"/>
  <c r="AC298" i="1"/>
  <c r="AB298" i="1"/>
  <c r="AA298" i="1"/>
  <c r="Z298" i="1"/>
  <c r="Y298" i="1"/>
  <c r="V298" i="1"/>
  <c r="U298" i="1"/>
  <c r="T298" i="1"/>
  <c r="S298" i="1"/>
  <c r="R298" i="1"/>
  <c r="Q298" i="1"/>
  <c r="P298" i="1"/>
  <c r="O298" i="1"/>
  <c r="N298" i="1"/>
  <c r="K298" i="1"/>
  <c r="J298" i="1"/>
  <c r="I298" i="1"/>
  <c r="H298" i="1"/>
  <c r="G298" i="1"/>
  <c r="F298" i="1"/>
  <c r="E298" i="1"/>
  <c r="D298" i="1"/>
  <c r="C298" i="1"/>
  <c r="IT297" i="1"/>
  <c r="IT296" i="1" s="1"/>
  <c r="IO297" i="1"/>
  <c r="IO296" i="1" s="1"/>
  <c r="II297" i="1"/>
  <c r="II296" i="1" s="1"/>
  <c r="IH297" i="1"/>
  <c r="IH296" i="1" s="1"/>
  <c r="IG297" i="1"/>
  <c r="IF297" i="1"/>
  <c r="IF296" i="1" s="1"/>
  <c r="IE297" i="1"/>
  <c r="HZ297" i="1"/>
  <c r="HZ296" i="1" s="1"/>
  <c r="HU297" i="1"/>
  <c r="HU296" i="1" s="1"/>
  <c r="HO297" i="1"/>
  <c r="HO296" i="1" s="1"/>
  <c r="HN297" i="1"/>
  <c r="HN296" i="1" s="1"/>
  <c r="HM297" i="1"/>
  <c r="HM296" i="1" s="1"/>
  <c r="HL297" i="1"/>
  <c r="HL296" i="1" s="1"/>
  <c r="HK297" i="1"/>
  <c r="HK296" i="1" s="1"/>
  <c r="HF297" i="1"/>
  <c r="HA297" i="1"/>
  <c r="HA296" i="1" s="1"/>
  <c r="GV297" i="1"/>
  <c r="GV296" i="1" s="1"/>
  <c r="GE297" i="1"/>
  <c r="GE296" i="1" s="1"/>
  <c r="GD297" i="1"/>
  <c r="GD296" i="1" s="1"/>
  <c r="GC297" i="1"/>
  <c r="GC296" i="1" s="1"/>
  <c r="GB297" i="1"/>
  <c r="GB296" i="1" s="1"/>
  <c r="GA297" i="1"/>
  <c r="GA296" i="1" s="1"/>
  <c r="FZ297" i="1"/>
  <c r="FY297" i="1"/>
  <c r="FY296" i="1" s="1"/>
  <c r="FX297" i="1"/>
  <c r="FW297" i="1"/>
  <c r="FW296" i="1" s="1"/>
  <c r="FV297" i="1"/>
  <c r="FU297" i="1"/>
  <c r="FU296" i="1" s="1"/>
  <c r="FJ297" i="1"/>
  <c r="FJ296" i="1" s="1"/>
  <c r="EY297" i="1"/>
  <c r="EY296" i="1" s="1"/>
  <c r="EM297" i="1"/>
  <c r="EM296" i="1" s="1"/>
  <c r="EL297" i="1"/>
  <c r="EL296" i="1" s="1"/>
  <c r="EK297" i="1"/>
  <c r="EK296" i="1" s="1"/>
  <c r="EJ297" i="1"/>
  <c r="EJ296" i="1" s="1"/>
  <c r="EI297" i="1"/>
  <c r="EH297" i="1"/>
  <c r="EH296" i="1" s="1"/>
  <c r="EG297" i="1"/>
  <c r="EG296" i="1" s="1"/>
  <c r="EF297" i="1"/>
  <c r="EF296" i="1" s="1"/>
  <c r="EE297" i="1"/>
  <c r="ED297" i="1"/>
  <c r="DR297" i="1"/>
  <c r="DR296" i="1" s="1"/>
  <c r="DG297" i="1"/>
  <c r="CU297" i="1"/>
  <c r="CU296" i="1" s="1"/>
  <c r="CT297" i="1"/>
  <c r="CT296" i="1" s="1"/>
  <c r="CS297" i="1"/>
  <c r="CS296" i="1" s="1"/>
  <c r="CR297" i="1"/>
  <c r="CR296" i="1" s="1"/>
  <c r="CQ297" i="1"/>
  <c r="CP297" i="1"/>
  <c r="CP296" i="1" s="1"/>
  <c r="CO297" i="1"/>
  <c r="CO296" i="1" s="1"/>
  <c r="CN297" i="1"/>
  <c r="CN296" i="1" s="1"/>
  <c r="CM297" i="1"/>
  <c r="CM296" i="1" s="1"/>
  <c r="CL297" i="1"/>
  <c r="CK297" i="1"/>
  <c r="CK296" i="1" s="1"/>
  <c r="BZ297" i="1"/>
  <c r="BZ296" i="1" s="1"/>
  <c r="BO297" i="1"/>
  <c r="BO296" i="1" s="1"/>
  <c r="BC297" i="1"/>
  <c r="BB297" i="1"/>
  <c r="BB296" i="1" s="1"/>
  <c r="BA297" i="1"/>
  <c r="BA296" i="1" s="1"/>
  <c r="AZ297" i="1"/>
  <c r="AY297" i="1"/>
  <c r="AX297" i="1"/>
  <c r="AW297" i="1"/>
  <c r="AW296" i="1" s="1"/>
  <c r="AV297" i="1"/>
  <c r="AU297" i="1"/>
  <c r="AT297" i="1"/>
  <c r="AS297" i="1"/>
  <c r="AS296" i="1" s="1"/>
  <c r="AH297" i="1"/>
  <c r="W297" i="1"/>
  <c r="W296" i="1" s="1"/>
  <c r="L297" i="1"/>
  <c r="L296" i="1" s="1"/>
  <c r="IV296" i="1"/>
  <c r="IU296" i="1"/>
  <c r="IS296" i="1"/>
  <c r="IR296" i="1"/>
  <c r="IQ296" i="1"/>
  <c r="IP296" i="1"/>
  <c r="IN296" i="1"/>
  <c r="IM296" i="1"/>
  <c r="IL296" i="1"/>
  <c r="IK296" i="1"/>
  <c r="IG296" i="1"/>
  <c r="IE296" i="1"/>
  <c r="ID296" i="1"/>
  <c r="IC296" i="1"/>
  <c r="IB296" i="1"/>
  <c r="IA296" i="1"/>
  <c r="HY296" i="1"/>
  <c r="HX296" i="1"/>
  <c r="HW296" i="1"/>
  <c r="HV296" i="1"/>
  <c r="HT296" i="1"/>
  <c r="HS296" i="1"/>
  <c r="HR296" i="1"/>
  <c r="HQ296" i="1"/>
  <c r="HJ296" i="1"/>
  <c r="HI296" i="1"/>
  <c r="HH296" i="1"/>
  <c r="HG296" i="1"/>
  <c r="HF296" i="1"/>
  <c r="HE296" i="1"/>
  <c r="HD296" i="1"/>
  <c r="HC296" i="1"/>
  <c r="HB296" i="1"/>
  <c r="GZ296" i="1"/>
  <c r="GY296" i="1"/>
  <c r="GX296" i="1"/>
  <c r="GW296" i="1"/>
  <c r="GU296" i="1"/>
  <c r="GT296" i="1"/>
  <c r="GS296" i="1"/>
  <c r="GR296" i="1"/>
  <c r="FZ296" i="1"/>
  <c r="FX296" i="1"/>
  <c r="FT296" i="1"/>
  <c r="FS296" i="1"/>
  <c r="FR296" i="1"/>
  <c r="FQ296" i="1"/>
  <c r="FP296" i="1"/>
  <c r="FO296" i="1"/>
  <c r="FN296" i="1"/>
  <c r="FM296" i="1"/>
  <c r="FL296" i="1"/>
  <c r="FI296" i="1"/>
  <c r="FH296" i="1"/>
  <c r="FG296" i="1"/>
  <c r="FF296" i="1"/>
  <c r="FE296" i="1"/>
  <c r="FD296" i="1"/>
  <c r="FC296" i="1"/>
  <c r="FB296" i="1"/>
  <c r="FA296" i="1"/>
  <c r="EX296" i="1"/>
  <c r="EW296" i="1"/>
  <c r="EV296" i="1"/>
  <c r="EU296" i="1"/>
  <c r="ET296" i="1"/>
  <c r="ES296" i="1"/>
  <c r="ER296" i="1"/>
  <c r="EQ296" i="1"/>
  <c r="EP296" i="1"/>
  <c r="EI296" i="1"/>
  <c r="EE296" i="1"/>
  <c r="EC296" i="1"/>
  <c r="EB296" i="1"/>
  <c r="EA296" i="1"/>
  <c r="DZ296" i="1"/>
  <c r="DY296" i="1"/>
  <c r="DX296" i="1"/>
  <c r="DW296" i="1"/>
  <c r="DV296" i="1"/>
  <c r="DU296" i="1"/>
  <c r="DT296" i="1"/>
  <c r="DQ296" i="1"/>
  <c r="DP296" i="1"/>
  <c r="DO296" i="1"/>
  <c r="DN296" i="1"/>
  <c r="DM296" i="1"/>
  <c r="DL296" i="1"/>
  <c r="DK296" i="1"/>
  <c r="DJ296" i="1"/>
  <c r="DI296" i="1"/>
  <c r="DG296" i="1"/>
  <c r="DF296" i="1"/>
  <c r="DE296" i="1"/>
  <c r="DD296" i="1"/>
  <c r="DC296" i="1"/>
  <c r="DB296" i="1"/>
  <c r="DA296" i="1"/>
  <c r="CZ296" i="1"/>
  <c r="CY296" i="1"/>
  <c r="CX296" i="1"/>
  <c r="CQ296" i="1"/>
  <c r="CJ296" i="1"/>
  <c r="CI296" i="1"/>
  <c r="CH296" i="1"/>
  <c r="CG296" i="1"/>
  <c r="CF296" i="1"/>
  <c r="CE296" i="1"/>
  <c r="CD296" i="1"/>
  <c r="CC296" i="1"/>
  <c r="CB296" i="1"/>
  <c r="BY296" i="1"/>
  <c r="BX296" i="1"/>
  <c r="BW296" i="1"/>
  <c r="BV296" i="1"/>
  <c r="BU296" i="1"/>
  <c r="BT296" i="1"/>
  <c r="BS296" i="1"/>
  <c r="BR296" i="1"/>
  <c r="BQ296" i="1"/>
  <c r="BN296" i="1"/>
  <c r="BM296" i="1"/>
  <c r="BL296" i="1"/>
  <c r="BK296" i="1"/>
  <c r="BJ296" i="1"/>
  <c r="BI296" i="1"/>
  <c r="BH296" i="1"/>
  <c r="BG296" i="1"/>
  <c r="BF296" i="1"/>
  <c r="AZ296" i="1"/>
  <c r="AX296" i="1"/>
  <c r="AV296" i="1"/>
  <c r="AR296" i="1"/>
  <c r="AQ296" i="1"/>
  <c r="AP296" i="1"/>
  <c r="AO296" i="1"/>
  <c r="AN296" i="1"/>
  <c r="AM296" i="1"/>
  <c r="AL296" i="1"/>
  <c r="AK296" i="1"/>
  <c r="AJ296" i="1"/>
  <c r="AH296" i="1"/>
  <c r="AG296" i="1"/>
  <c r="AF296" i="1"/>
  <c r="AE296" i="1"/>
  <c r="AD296" i="1"/>
  <c r="AC296" i="1"/>
  <c r="AB296" i="1"/>
  <c r="AA296" i="1"/>
  <c r="Z296" i="1"/>
  <c r="Y296" i="1"/>
  <c r="V296" i="1"/>
  <c r="U296" i="1"/>
  <c r="T296" i="1"/>
  <c r="S296" i="1"/>
  <c r="R296" i="1"/>
  <c r="Q296" i="1"/>
  <c r="P296" i="1"/>
  <c r="O296" i="1"/>
  <c r="N296" i="1"/>
  <c r="K296" i="1"/>
  <c r="J296" i="1"/>
  <c r="I296" i="1"/>
  <c r="H296" i="1"/>
  <c r="G296" i="1"/>
  <c r="F296" i="1"/>
  <c r="E296" i="1"/>
  <c r="D296" i="1"/>
  <c r="C296" i="1"/>
  <c r="IT295" i="1"/>
  <c r="IT294" i="1" s="1"/>
  <c r="IO295" i="1"/>
  <c r="IO294" i="1" s="1"/>
  <c r="II295" i="1"/>
  <c r="II294" i="1" s="1"/>
  <c r="IH295" i="1"/>
  <c r="IG295" i="1"/>
  <c r="IF295" i="1"/>
  <c r="IE295" i="1"/>
  <c r="IE294" i="1" s="1"/>
  <c r="HZ295" i="1"/>
  <c r="HU295" i="1"/>
  <c r="HU294" i="1" s="1"/>
  <c r="HO295" i="1"/>
  <c r="HO294" i="1" s="1"/>
  <c r="HN295" i="1"/>
  <c r="HN294" i="1" s="1"/>
  <c r="HM295" i="1"/>
  <c r="HL295" i="1"/>
  <c r="HL294" i="1" s="1"/>
  <c r="HK295" i="1"/>
  <c r="HK294" i="1" s="1"/>
  <c r="HF295" i="1"/>
  <c r="HF294" i="1" s="1"/>
  <c r="HA295" i="1"/>
  <c r="GV295" i="1"/>
  <c r="GV294" i="1" s="1"/>
  <c r="GE295" i="1"/>
  <c r="GE294" i="1" s="1"/>
  <c r="GD295" i="1"/>
  <c r="GC295" i="1"/>
  <c r="GB295" i="1"/>
  <c r="GB294" i="1" s="1"/>
  <c r="GA295" i="1"/>
  <c r="GA294" i="1" s="1"/>
  <c r="FZ295" i="1"/>
  <c r="FZ294" i="1" s="1"/>
  <c r="FY295" i="1"/>
  <c r="FX295" i="1"/>
  <c r="FX294" i="1" s="1"/>
  <c r="FW295" i="1"/>
  <c r="FV295" i="1"/>
  <c r="FU295" i="1"/>
  <c r="FJ295" i="1"/>
  <c r="FJ294" i="1" s="1"/>
  <c r="EY295" i="1"/>
  <c r="EM295" i="1"/>
  <c r="EM294" i="1" s="1"/>
  <c r="EL295" i="1"/>
  <c r="EK295" i="1"/>
  <c r="EK294" i="1" s="1"/>
  <c r="EJ295" i="1"/>
  <c r="EJ294" i="1" s="1"/>
  <c r="EI295" i="1"/>
  <c r="EI294" i="1" s="1"/>
  <c r="EH295" i="1"/>
  <c r="EG295" i="1"/>
  <c r="EG294" i="1" s="1"/>
  <c r="EF295" i="1"/>
  <c r="EF294" i="1" s="1"/>
  <c r="EE295" i="1"/>
  <c r="ED295" i="1"/>
  <c r="DR295" i="1"/>
  <c r="DR294" i="1" s="1"/>
  <c r="DG295" i="1"/>
  <c r="DG294" i="1" s="1"/>
  <c r="CU295" i="1"/>
  <c r="CU294" i="1" s="1"/>
  <c r="CT295" i="1"/>
  <c r="CS295" i="1"/>
  <c r="CS294" i="1" s="1"/>
  <c r="CR295" i="1"/>
  <c r="CR294" i="1" s="1"/>
  <c r="CQ295" i="1"/>
  <c r="CQ294" i="1" s="1"/>
  <c r="CP295" i="1"/>
  <c r="CO295" i="1"/>
  <c r="CO294" i="1" s="1"/>
  <c r="CN295" i="1"/>
  <c r="CM295" i="1"/>
  <c r="CM294" i="1" s="1"/>
  <c r="CL295" i="1"/>
  <c r="CK295" i="1"/>
  <c r="CK294" i="1" s="1"/>
  <c r="BZ295" i="1"/>
  <c r="BZ294" i="1" s="1"/>
  <c r="BO295" i="1"/>
  <c r="BO294" i="1" s="1"/>
  <c r="BC295" i="1"/>
  <c r="BB295" i="1"/>
  <c r="BB294" i="1" s="1"/>
  <c r="BA295" i="1"/>
  <c r="AZ295" i="1"/>
  <c r="AY295" i="1"/>
  <c r="AX295" i="1"/>
  <c r="AX294" i="1" s="1"/>
  <c r="AW295" i="1"/>
  <c r="AV295" i="1"/>
  <c r="AU295" i="1"/>
  <c r="AT295" i="1"/>
  <c r="AS295" i="1"/>
  <c r="AS294" i="1" s="1"/>
  <c r="AH295" i="1"/>
  <c r="AH294" i="1" s="1"/>
  <c r="W295" i="1"/>
  <c r="L295" i="1"/>
  <c r="L294" i="1" s="1"/>
  <c r="IV294" i="1"/>
  <c r="IU294" i="1"/>
  <c r="IS294" i="1"/>
  <c r="IR294" i="1"/>
  <c r="IQ294" i="1"/>
  <c r="IP294" i="1"/>
  <c r="IN294" i="1"/>
  <c r="IM294" i="1"/>
  <c r="IL294" i="1"/>
  <c r="IK294" i="1"/>
  <c r="IH294" i="1"/>
  <c r="IG294" i="1"/>
  <c r="ID294" i="1"/>
  <c r="IC294" i="1"/>
  <c r="IB294" i="1"/>
  <c r="IA294" i="1"/>
  <c r="HZ294" i="1"/>
  <c r="HY294" i="1"/>
  <c r="HX294" i="1"/>
  <c r="HW294" i="1"/>
  <c r="HV294" i="1"/>
  <c r="HT294" i="1"/>
  <c r="HS294" i="1"/>
  <c r="HR294" i="1"/>
  <c r="HQ294" i="1"/>
  <c r="HM294" i="1"/>
  <c r="HJ294" i="1"/>
  <c r="HI294" i="1"/>
  <c r="HH294" i="1"/>
  <c r="HG294" i="1"/>
  <c r="HE294" i="1"/>
  <c r="HD294" i="1"/>
  <c r="HC294" i="1"/>
  <c r="HB294" i="1"/>
  <c r="HA294" i="1"/>
  <c r="GZ294" i="1"/>
  <c r="GY294" i="1"/>
  <c r="GX294" i="1"/>
  <c r="GW294" i="1"/>
  <c r="GU294" i="1"/>
  <c r="GT294" i="1"/>
  <c r="GS294" i="1"/>
  <c r="GR294" i="1"/>
  <c r="GD294" i="1"/>
  <c r="GC294" i="1"/>
  <c r="FY294" i="1"/>
  <c r="FU294" i="1"/>
  <c r="FT294" i="1"/>
  <c r="FS294" i="1"/>
  <c r="FR294" i="1"/>
  <c r="FQ294" i="1"/>
  <c r="FP294" i="1"/>
  <c r="FO294" i="1"/>
  <c r="FN294" i="1"/>
  <c r="FM294" i="1"/>
  <c r="FL294" i="1"/>
  <c r="FI294" i="1"/>
  <c r="FH294" i="1"/>
  <c r="FG294" i="1"/>
  <c r="FF294" i="1"/>
  <c r="FE294" i="1"/>
  <c r="FD294" i="1"/>
  <c r="FC294" i="1"/>
  <c r="FB294" i="1"/>
  <c r="FA294" i="1"/>
  <c r="EY294" i="1"/>
  <c r="EX294" i="1"/>
  <c r="EW294" i="1"/>
  <c r="EV294" i="1"/>
  <c r="EU294" i="1"/>
  <c r="ET294" i="1"/>
  <c r="ES294" i="1"/>
  <c r="ER294" i="1"/>
  <c r="EQ294" i="1"/>
  <c r="EP294" i="1"/>
  <c r="EL294" i="1"/>
  <c r="EH294" i="1"/>
  <c r="EC294" i="1"/>
  <c r="EB294" i="1"/>
  <c r="EA294" i="1"/>
  <c r="DZ294" i="1"/>
  <c r="DY294" i="1"/>
  <c r="DX294" i="1"/>
  <c r="DW294" i="1"/>
  <c r="DV294" i="1"/>
  <c r="DU294" i="1"/>
  <c r="DT294" i="1"/>
  <c r="DQ294" i="1"/>
  <c r="DP294" i="1"/>
  <c r="DO294" i="1"/>
  <c r="DN294" i="1"/>
  <c r="DM294" i="1"/>
  <c r="DL294" i="1"/>
  <c r="DK294" i="1"/>
  <c r="DJ294" i="1"/>
  <c r="DI294" i="1"/>
  <c r="DF294" i="1"/>
  <c r="DE294" i="1"/>
  <c r="DD294" i="1"/>
  <c r="DC294" i="1"/>
  <c r="DB294" i="1"/>
  <c r="DA294" i="1"/>
  <c r="CZ294" i="1"/>
  <c r="CY294" i="1"/>
  <c r="CX294" i="1"/>
  <c r="CT294" i="1"/>
  <c r="CP294" i="1"/>
  <c r="CN294" i="1"/>
  <c r="CJ294" i="1"/>
  <c r="CI294" i="1"/>
  <c r="CH294" i="1"/>
  <c r="CG294" i="1"/>
  <c r="CF294" i="1"/>
  <c r="CE294" i="1"/>
  <c r="CD294" i="1"/>
  <c r="CC294" i="1"/>
  <c r="CB294" i="1"/>
  <c r="BY294" i="1"/>
  <c r="BX294" i="1"/>
  <c r="BW294" i="1"/>
  <c r="BV294" i="1"/>
  <c r="BU294" i="1"/>
  <c r="BT294" i="1"/>
  <c r="BS294" i="1"/>
  <c r="BR294" i="1"/>
  <c r="BQ294" i="1"/>
  <c r="BN294" i="1"/>
  <c r="BM294" i="1"/>
  <c r="BL294" i="1"/>
  <c r="BK294" i="1"/>
  <c r="BJ294" i="1"/>
  <c r="BI294" i="1"/>
  <c r="BH294" i="1"/>
  <c r="BG294" i="1"/>
  <c r="BF294" i="1"/>
  <c r="BC294" i="1"/>
  <c r="AY294" i="1"/>
  <c r="AU294" i="1"/>
  <c r="AR294" i="1"/>
  <c r="AQ294" i="1"/>
  <c r="AP294" i="1"/>
  <c r="AO294" i="1"/>
  <c r="AN294" i="1"/>
  <c r="AM294" i="1"/>
  <c r="AL294" i="1"/>
  <c r="AK294" i="1"/>
  <c r="AJ294" i="1"/>
  <c r="AG294" i="1"/>
  <c r="AF294" i="1"/>
  <c r="AE294" i="1"/>
  <c r="AD294" i="1"/>
  <c r="AC294" i="1"/>
  <c r="AB294" i="1"/>
  <c r="AA294" i="1"/>
  <c r="Z294" i="1"/>
  <c r="Y294" i="1"/>
  <c r="W294" i="1"/>
  <c r="V294" i="1"/>
  <c r="U294" i="1"/>
  <c r="T294" i="1"/>
  <c r="S294" i="1"/>
  <c r="R294" i="1"/>
  <c r="Q294" i="1"/>
  <c r="P294" i="1"/>
  <c r="O294" i="1"/>
  <c r="N294" i="1"/>
  <c r="K294" i="1"/>
  <c r="J294" i="1"/>
  <c r="I294" i="1"/>
  <c r="H294" i="1"/>
  <c r="G294" i="1"/>
  <c r="F294" i="1"/>
  <c r="E294" i="1"/>
  <c r="D294" i="1"/>
  <c r="C294" i="1"/>
  <c r="IT293" i="1"/>
  <c r="IO293" i="1"/>
  <c r="II293" i="1"/>
  <c r="IH293" i="1"/>
  <c r="IG293" i="1"/>
  <c r="IF293" i="1"/>
  <c r="IE293" i="1"/>
  <c r="HZ293" i="1"/>
  <c r="HU293" i="1"/>
  <c r="HO293" i="1"/>
  <c r="HN293" i="1"/>
  <c r="HM293" i="1"/>
  <c r="HL293" i="1"/>
  <c r="HK293" i="1"/>
  <c r="HF293" i="1"/>
  <c r="HA293" i="1"/>
  <c r="GV293" i="1"/>
  <c r="GE293" i="1"/>
  <c r="GD293" i="1"/>
  <c r="GC293" i="1"/>
  <c r="GB293" i="1"/>
  <c r="GA293" i="1"/>
  <c r="FZ293" i="1"/>
  <c r="FY293" i="1"/>
  <c r="FX293" i="1"/>
  <c r="FW293" i="1"/>
  <c r="FV293" i="1"/>
  <c r="FU293" i="1"/>
  <c r="FJ293" i="1"/>
  <c r="EY293" i="1"/>
  <c r="EM293" i="1"/>
  <c r="EL293" i="1"/>
  <c r="EK293" i="1"/>
  <c r="EJ293" i="1"/>
  <c r="EI293" i="1"/>
  <c r="EH293" i="1"/>
  <c r="EG293" i="1"/>
  <c r="EF293" i="1"/>
  <c r="EE293" i="1"/>
  <c r="ED293" i="1"/>
  <c r="DR293" i="1"/>
  <c r="DG293" i="1"/>
  <c r="CU293" i="1"/>
  <c r="CT293" i="1"/>
  <c r="CS293" i="1"/>
  <c r="CR293" i="1"/>
  <c r="CQ293" i="1"/>
  <c r="CP293" i="1"/>
  <c r="CO293" i="1"/>
  <c r="CN293" i="1"/>
  <c r="CM293" i="1"/>
  <c r="CL293" i="1"/>
  <c r="CK293" i="1"/>
  <c r="BZ293" i="1"/>
  <c r="BO293" i="1"/>
  <c r="BC293" i="1"/>
  <c r="BB293" i="1"/>
  <c r="BA293" i="1"/>
  <c r="AZ293" i="1"/>
  <c r="AY293" i="1"/>
  <c r="AX293" i="1"/>
  <c r="AW293" i="1"/>
  <c r="AV293" i="1"/>
  <c r="AU293" i="1"/>
  <c r="AT293" i="1"/>
  <c r="AS293" i="1"/>
  <c r="AH293" i="1"/>
  <c r="W293" i="1"/>
  <c r="L293" i="1"/>
  <c r="IT292" i="1"/>
  <c r="IO292" i="1"/>
  <c r="II292" i="1"/>
  <c r="IH292" i="1"/>
  <c r="IG292" i="1"/>
  <c r="IF292" i="1"/>
  <c r="IE292" i="1"/>
  <c r="HZ292" i="1"/>
  <c r="HU292" i="1"/>
  <c r="HO292" i="1"/>
  <c r="HN292" i="1"/>
  <c r="HM292" i="1"/>
  <c r="HL292" i="1"/>
  <c r="HK292" i="1"/>
  <c r="HF292" i="1"/>
  <c r="HA292" i="1"/>
  <c r="GV292" i="1"/>
  <c r="GE292" i="1"/>
  <c r="GD292" i="1"/>
  <c r="GC292" i="1"/>
  <c r="GB292" i="1"/>
  <c r="GA292" i="1"/>
  <c r="FZ292" i="1"/>
  <c r="FY292" i="1"/>
  <c r="FX292" i="1"/>
  <c r="FW292" i="1"/>
  <c r="FV292" i="1"/>
  <c r="FU292" i="1"/>
  <c r="FJ292" i="1"/>
  <c r="EY292" i="1"/>
  <c r="EM292" i="1"/>
  <c r="EL292" i="1"/>
  <c r="EK292" i="1"/>
  <c r="EJ292" i="1"/>
  <c r="EI292" i="1"/>
  <c r="EH292" i="1"/>
  <c r="EG292" i="1"/>
  <c r="EF292" i="1"/>
  <c r="EE292" i="1"/>
  <c r="ED292" i="1"/>
  <c r="DR292" i="1"/>
  <c r="DG292" i="1"/>
  <c r="CU292" i="1"/>
  <c r="CT292" i="1"/>
  <c r="CS292" i="1"/>
  <c r="CR292" i="1"/>
  <c r="CQ292" i="1"/>
  <c r="CP292" i="1"/>
  <c r="CO292" i="1"/>
  <c r="CN292" i="1"/>
  <c r="CM292" i="1"/>
  <c r="CL292" i="1"/>
  <c r="CK292" i="1"/>
  <c r="BZ292" i="1"/>
  <c r="BO292" i="1"/>
  <c r="BC292" i="1"/>
  <c r="BB292" i="1"/>
  <c r="BA292" i="1"/>
  <c r="AZ292" i="1"/>
  <c r="AY292" i="1"/>
  <c r="AX292" i="1"/>
  <c r="AW292" i="1"/>
  <c r="AV292" i="1"/>
  <c r="AU292" i="1"/>
  <c r="AT292" i="1"/>
  <c r="AS292" i="1"/>
  <c r="AH292" i="1"/>
  <c r="W292" i="1"/>
  <c r="L292" i="1"/>
  <c r="IT291" i="1"/>
  <c r="IO291" i="1"/>
  <c r="II291" i="1"/>
  <c r="IH291" i="1"/>
  <c r="IG291" i="1"/>
  <c r="IF291" i="1"/>
  <c r="IE291" i="1"/>
  <c r="HZ291" i="1"/>
  <c r="HU291" i="1"/>
  <c r="HO291" i="1"/>
  <c r="HN291" i="1"/>
  <c r="HM291" i="1"/>
  <c r="HL291" i="1"/>
  <c r="HK291" i="1"/>
  <c r="HF291" i="1"/>
  <c r="HA291" i="1"/>
  <c r="GV291" i="1"/>
  <c r="GE291" i="1"/>
  <c r="GD291" i="1"/>
  <c r="GC291" i="1"/>
  <c r="GB291" i="1"/>
  <c r="GA291" i="1"/>
  <c r="FZ291" i="1"/>
  <c r="FY291" i="1"/>
  <c r="FX291" i="1"/>
  <c r="FW291" i="1"/>
  <c r="FV291" i="1"/>
  <c r="FU291" i="1"/>
  <c r="FJ291" i="1"/>
  <c r="EY291" i="1"/>
  <c r="EM291" i="1"/>
  <c r="EL291" i="1"/>
  <c r="EK291" i="1"/>
  <c r="EJ291" i="1"/>
  <c r="EI291" i="1"/>
  <c r="EH291" i="1"/>
  <c r="EG291" i="1"/>
  <c r="EF291" i="1"/>
  <c r="EE291" i="1"/>
  <c r="ED291" i="1"/>
  <c r="DR291" i="1"/>
  <c r="DG291" i="1"/>
  <c r="CU291" i="1"/>
  <c r="CT291" i="1"/>
  <c r="CS291" i="1"/>
  <c r="CR291" i="1"/>
  <c r="CQ291" i="1"/>
  <c r="CP291" i="1"/>
  <c r="CO291" i="1"/>
  <c r="CN291" i="1"/>
  <c r="CM291" i="1"/>
  <c r="CL291" i="1"/>
  <c r="CK291" i="1"/>
  <c r="BZ291" i="1"/>
  <c r="BO291" i="1"/>
  <c r="BC291" i="1"/>
  <c r="BB291" i="1"/>
  <c r="BA291" i="1"/>
  <c r="AZ291" i="1"/>
  <c r="AY291" i="1"/>
  <c r="AX291" i="1"/>
  <c r="AW291" i="1"/>
  <c r="AV291" i="1"/>
  <c r="AU291" i="1"/>
  <c r="AT291" i="1"/>
  <c r="AS291" i="1"/>
  <c r="AH291" i="1"/>
  <c r="W291" i="1"/>
  <c r="L291" i="1"/>
  <c r="IT290" i="1"/>
  <c r="IO290" i="1"/>
  <c r="II290" i="1"/>
  <c r="IH290" i="1"/>
  <c r="IG290" i="1"/>
  <c r="IF290" i="1"/>
  <c r="IE290" i="1"/>
  <c r="HZ290" i="1"/>
  <c r="HU290" i="1"/>
  <c r="HO290" i="1"/>
  <c r="HN290" i="1"/>
  <c r="HM290" i="1"/>
  <c r="HL290" i="1"/>
  <c r="HK290" i="1"/>
  <c r="HF290" i="1"/>
  <c r="HA290" i="1"/>
  <c r="GV290" i="1"/>
  <c r="GE290" i="1"/>
  <c r="GD290" i="1"/>
  <c r="GC290" i="1"/>
  <c r="GB290" i="1"/>
  <c r="GA290" i="1"/>
  <c r="FZ290" i="1"/>
  <c r="FY290" i="1"/>
  <c r="FX290" i="1"/>
  <c r="FW290" i="1"/>
  <c r="FV290" i="1"/>
  <c r="FU290" i="1"/>
  <c r="FJ290" i="1"/>
  <c r="EY290" i="1"/>
  <c r="EM290" i="1"/>
  <c r="EL290" i="1"/>
  <c r="EK290" i="1"/>
  <c r="EJ290" i="1"/>
  <c r="EI290" i="1"/>
  <c r="EH290" i="1"/>
  <c r="EG290" i="1"/>
  <c r="EF290" i="1"/>
  <c r="EE290" i="1"/>
  <c r="ED290" i="1"/>
  <c r="DR290" i="1"/>
  <c r="DG290" i="1"/>
  <c r="CU290" i="1"/>
  <c r="CT290" i="1"/>
  <c r="CS290" i="1"/>
  <c r="CR290" i="1"/>
  <c r="CQ290" i="1"/>
  <c r="CP290" i="1"/>
  <c r="CO290" i="1"/>
  <c r="CN290" i="1"/>
  <c r="CM290" i="1"/>
  <c r="CL290" i="1"/>
  <c r="CK290" i="1"/>
  <c r="BZ290" i="1"/>
  <c r="BO290" i="1"/>
  <c r="BC290" i="1"/>
  <c r="BB290" i="1"/>
  <c r="BA290" i="1"/>
  <c r="AZ290" i="1"/>
  <c r="AY290" i="1"/>
  <c r="AX290" i="1"/>
  <c r="AW290" i="1"/>
  <c r="AV290" i="1"/>
  <c r="AU290" i="1"/>
  <c r="AT290" i="1"/>
  <c r="AS290" i="1"/>
  <c r="AH290" i="1"/>
  <c r="W290" i="1"/>
  <c r="L290" i="1"/>
  <c r="IT289" i="1"/>
  <c r="IO289" i="1"/>
  <c r="II289" i="1"/>
  <c r="IH289" i="1"/>
  <c r="IG289" i="1"/>
  <c r="IF289" i="1"/>
  <c r="IE289" i="1"/>
  <c r="HZ289" i="1"/>
  <c r="HU289" i="1"/>
  <c r="HO289" i="1"/>
  <c r="HN289" i="1"/>
  <c r="HM289" i="1"/>
  <c r="HL289" i="1"/>
  <c r="HK289" i="1"/>
  <c r="HF289" i="1"/>
  <c r="HA289" i="1"/>
  <c r="GV289" i="1"/>
  <c r="GE289" i="1"/>
  <c r="GD289" i="1"/>
  <c r="GC289" i="1"/>
  <c r="GB289" i="1"/>
  <c r="GA289" i="1"/>
  <c r="FZ289" i="1"/>
  <c r="FY289" i="1"/>
  <c r="FX289" i="1"/>
  <c r="FW289" i="1"/>
  <c r="FV289" i="1"/>
  <c r="FU289" i="1"/>
  <c r="FJ289" i="1"/>
  <c r="EY289" i="1"/>
  <c r="EM289" i="1"/>
  <c r="EL289" i="1"/>
  <c r="EK289" i="1"/>
  <c r="EJ289" i="1"/>
  <c r="EI289" i="1"/>
  <c r="EH289" i="1"/>
  <c r="EG289" i="1"/>
  <c r="EF289" i="1"/>
  <c r="EE289" i="1"/>
  <c r="ED289" i="1"/>
  <c r="DR289" i="1"/>
  <c r="DG289" i="1"/>
  <c r="CU289" i="1"/>
  <c r="CT289" i="1"/>
  <c r="CS289" i="1"/>
  <c r="CR289" i="1"/>
  <c r="CQ289" i="1"/>
  <c r="CP289" i="1"/>
  <c r="CO289" i="1"/>
  <c r="CN289" i="1"/>
  <c r="CM289" i="1"/>
  <c r="CL289" i="1"/>
  <c r="CK289" i="1"/>
  <c r="BZ289" i="1"/>
  <c r="BO289" i="1"/>
  <c r="BC289" i="1"/>
  <c r="BB289" i="1"/>
  <c r="BA289" i="1"/>
  <c r="AZ289" i="1"/>
  <c r="AY289" i="1"/>
  <c r="AX289" i="1"/>
  <c r="AW289" i="1"/>
  <c r="AV289" i="1"/>
  <c r="AU289" i="1"/>
  <c r="AT289" i="1"/>
  <c r="AS289" i="1"/>
  <c r="AH289" i="1"/>
  <c r="W289" i="1"/>
  <c r="L289" i="1"/>
  <c r="IT288" i="1"/>
  <c r="IO288" i="1"/>
  <c r="II288" i="1"/>
  <c r="IH288" i="1"/>
  <c r="IG288" i="1"/>
  <c r="IF288" i="1"/>
  <c r="IE288" i="1"/>
  <c r="HZ288" i="1"/>
  <c r="HU288" i="1"/>
  <c r="HO288" i="1"/>
  <c r="HN288" i="1"/>
  <c r="HM288" i="1"/>
  <c r="HL288" i="1"/>
  <c r="HK288" i="1"/>
  <c r="HF288" i="1"/>
  <c r="HA288" i="1"/>
  <c r="GV288" i="1"/>
  <c r="GE288" i="1"/>
  <c r="GD288" i="1"/>
  <c r="GC288" i="1"/>
  <c r="GB288" i="1"/>
  <c r="GA288" i="1"/>
  <c r="FZ288" i="1"/>
  <c r="FY288" i="1"/>
  <c r="FX288" i="1"/>
  <c r="FW288" i="1"/>
  <c r="FV288" i="1"/>
  <c r="FU288" i="1"/>
  <c r="FJ288" i="1"/>
  <c r="EY288" i="1"/>
  <c r="EM288" i="1"/>
  <c r="EL288" i="1"/>
  <c r="EK288" i="1"/>
  <c r="EJ288" i="1"/>
  <c r="EI288" i="1"/>
  <c r="EH288" i="1"/>
  <c r="EG288" i="1"/>
  <c r="EF288" i="1"/>
  <c r="EE288" i="1"/>
  <c r="ED288" i="1"/>
  <c r="DR288" i="1"/>
  <c r="DG288" i="1"/>
  <c r="CU288" i="1"/>
  <c r="CT288" i="1"/>
  <c r="CS288" i="1"/>
  <c r="CR288" i="1"/>
  <c r="CQ288" i="1"/>
  <c r="CP288" i="1"/>
  <c r="CO288" i="1"/>
  <c r="CN288" i="1"/>
  <c r="CM288" i="1"/>
  <c r="CL288" i="1"/>
  <c r="CK288" i="1"/>
  <c r="BZ288" i="1"/>
  <c r="BO288" i="1"/>
  <c r="BC288" i="1"/>
  <c r="BB288" i="1"/>
  <c r="BA288" i="1"/>
  <c r="AZ288" i="1"/>
  <c r="AY288" i="1"/>
  <c r="AX288" i="1"/>
  <c r="AW288" i="1"/>
  <c r="AV288" i="1"/>
  <c r="AU288" i="1"/>
  <c r="AT288" i="1"/>
  <c r="AS288" i="1"/>
  <c r="AH288" i="1"/>
  <c r="W288" i="1"/>
  <c r="L288" i="1"/>
  <c r="IT287" i="1"/>
  <c r="IO287" i="1"/>
  <c r="II287" i="1"/>
  <c r="IH287" i="1"/>
  <c r="IG287" i="1"/>
  <c r="IF287" i="1"/>
  <c r="IE287" i="1"/>
  <c r="HZ287" i="1"/>
  <c r="HU287" i="1"/>
  <c r="HO287" i="1"/>
  <c r="HN287" i="1"/>
  <c r="HM287" i="1"/>
  <c r="HL287" i="1"/>
  <c r="HK287" i="1"/>
  <c r="HF287" i="1"/>
  <c r="HA287" i="1"/>
  <c r="GV287" i="1"/>
  <c r="GE287" i="1"/>
  <c r="GD287" i="1"/>
  <c r="GC287" i="1"/>
  <c r="GB287" i="1"/>
  <c r="GA287" i="1"/>
  <c r="FZ287" i="1"/>
  <c r="FY287" i="1"/>
  <c r="FX287" i="1"/>
  <c r="FW287" i="1"/>
  <c r="FV287" i="1"/>
  <c r="FU287" i="1"/>
  <c r="FJ287" i="1"/>
  <c r="EY287" i="1"/>
  <c r="EM287" i="1"/>
  <c r="EL287" i="1"/>
  <c r="EK287" i="1"/>
  <c r="EJ287" i="1"/>
  <c r="EI287" i="1"/>
  <c r="EH287" i="1"/>
  <c r="EG287" i="1"/>
  <c r="EF287" i="1"/>
  <c r="EE287" i="1"/>
  <c r="ED287" i="1"/>
  <c r="DR287" i="1"/>
  <c r="DG287" i="1"/>
  <c r="CU287" i="1"/>
  <c r="CT287" i="1"/>
  <c r="CS287" i="1"/>
  <c r="CR287" i="1"/>
  <c r="CQ287" i="1"/>
  <c r="CP287" i="1"/>
  <c r="CO287" i="1"/>
  <c r="CN287" i="1"/>
  <c r="CM287" i="1"/>
  <c r="CL287" i="1"/>
  <c r="CK287" i="1"/>
  <c r="BZ287" i="1"/>
  <c r="BO287" i="1"/>
  <c r="BC287" i="1"/>
  <c r="BB287" i="1"/>
  <c r="BA287" i="1"/>
  <c r="AZ287" i="1"/>
  <c r="AY287" i="1"/>
  <c r="AX287" i="1"/>
  <c r="AW287" i="1"/>
  <c r="AV287" i="1"/>
  <c r="AU287" i="1"/>
  <c r="AT287" i="1"/>
  <c r="AS287" i="1"/>
  <c r="AH287" i="1"/>
  <c r="W287" i="1"/>
  <c r="L287" i="1"/>
  <c r="IT286" i="1"/>
  <c r="IO286" i="1"/>
  <c r="II286" i="1"/>
  <c r="IH286" i="1"/>
  <c r="IG286" i="1"/>
  <c r="IF286" i="1"/>
  <c r="IE286" i="1"/>
  <c r="HZ286" i="1"/>
  <c r="HU286" i="1"/>
  <c r="HO286" i="1"/>
  <c r="HN286" i="1"/>
  <c r="HM286" i="1"/>
  <c r="HL286" i="1"/>
  <c r="HK286" i="1"/>
  <c r="HF286" i="1"/>
  <c r="HA286" i="1"/>
  <c r="GV286" i="1"/>
  <c r="GE286" i="1"/>
  <c r="GD286" i="1"/>
  <c r="GC286" i="1"/>
  <c r="GB286" i="1"/>
  <c r="GA286" i="1"/>
  <c r="FZ286" i="1"/>
  <c r="FY286" i="1"/>
  <c r="FX286" i="1"/>
  <c r="FW286" i="1"/>
  <c r="FV286" i="1"/>
  <c r="FU286" i="1"/>
  <c r="FJ286" i="1"/>
  <c r="EY286" i="1"/>
  <c r="EM286" i="1"/>
  <c r="EL286" i="1"/>
  <c r="EK286" i="1"/>
  <c r="EJ286" i="1"/>
  <c r="EI286" i="1"/>
  <c r="EH286" i="1"/>
  <c r="EG286" i="1"/>
  <c r="EF286" i="1"/>
  <c r="EE286" i="1"/>
  <c r="ED286" i="1"/>
  <c r="DR286" i="1"/>
  <c r="DG286" i="1"/>
  <c r="CU286" i="1"/>
  <c r="CT286" i="1"/>
  <c r="CS286" i="1"/>
  <c r="CR286" i="1"/>
  <c r="CQ286" i="1"/>
  <c r="CP286" i="1"/>
  <c r="CO286" i="1"/>
  <c r="CN286" i="1"/>
  <c r="CM286" i="1"/>
  <c r="CL286" i="1"/>
  <c r="CK286" i="1"/>
  <c r="BZ286" i="1"/>
  <c r="BO286" i="1"/>
  <c r="BC286" i="1"/>
  <c r="BB286" i="1"/>
  <c r="BA286" i="1"/>
  <c r="AZ286" i="1"/>
  <c r="AY286" i="1"/>
  <c r="AX286" i="1"/>
  <c r="AW286" i="1"/>
  <c r="AV286" i="1"/>
  <c r="AU286" i="1"/>
  <c r="AT286" i="1"/>
  <c r="AS286" i="1"/>
  <c r="AH286" i="1"/>
  <c r="W286" i="1"/>
  <c r="L286" i="1"/>
  <c r="IT285" i="1"/>
  <c r="IO285" i="1"/>
  <c r="II285" i="1"/>
  <c r="IH285" i="1"/>
  <c r="IG285" i="1"/>
  <c r="IF285" i="1"/>
  <c r="IE285" i="1"/>
  <c r="HZ285" i="1"/>
  <c r="HU285" i="1"/>
  <c r="HO285" i="1"/>
  <c r="HN285" i="1"/>
  <c r="HM285" i="1"/>
  <c r="HL285" i="1"/>
  <c r="HK285" i="1"/>
  <c r="HF285" i="1"/>
  <c r="HA285" i="1"/>
  <c r="HA281" i="1" s="1"/>
  <c r="HA280" i="1" s="1"/>
  <c r="HA279" i="1" s="1"/>
  <c r="GV285" i="1"/>
  <c r="GE285" i="1"/>
  <c r="GD285" i="1"/>
  <c r="GC285" i="1"/>
  <c r="GB285" i="1"/>
  <c r="GA285" i="1"/>
  <c r="FZ285" i="1"/>
  <c r="FY285" i="1"/>
  <c r="FX285" i="1"/>
  <c r="FW285" i="1"/>
  <c r="FV285" i="1"/>
  <c r="FU285" i="1"/>
  <c r="FJ285" i="1"/>
  <c r="EY285" i="1"/>
  <c r="EM285" i="1"/>
  <c r="EL285" i="1"/>
  <c r="EK285" i="1"/>
  <c r="EJ285" i="1"/>
  <c r="EI285" i="1"/>
  <c r="EH285" i="1"/>
  <c r="EG285" i="1"/>
  <c r="EF285" i="1"/>
  <c r="EE285" i="1"/>
  <c r="ED285" i="1"/>
  <c r="DR285" i="1"/>
  <c r="DG285" i="1"/>
  <c r="CU285" i="1"/>
  <c r="CT285" i="1"/>
  <c r="CS285" i="1"/>
  <c r="CR285" i="1"/>
  <c r="CQ285" i="1"/>
  <c r="CP285" i="1"/>
  <c r="CP281" i="1" s="1"/>
  <c r="CP280" i="1" s="1"/>
  <c r="CP279" i="1" s="1"/>
  <c r="CO285" i="1"/>
  <c r="CN285" i="1"/>
  <c r="CM285" i="1"/>
  <c r="CL285" i="1"/>
  <c r="CK285" i="1"/>
  <c r="BZ285" i="1"/>
  <c r="BO285" i="1"/>
  <c r="BC285" i="1"/>
  <c r="BB285" i="1"/>
  <c r="BA285" i="1"/>
  <c r="AZ285" i="1"/>
  <c r="AY285" i="1"/>
  <c r="AX285" i="1"/>
  <c r="AW285" i="1"/>
  <c r="AV285" i="1"/>
  <c r="AU285" i="1"/>
  <c r="AU281" i="1" s="1"/>
  <c r="AT285" i="1"/>
  <c r="AS285" i="1"/>
  <c r="AH285" i="1"/>
  <c r="W285" i="1"/>
  <c r="W281" i="1" s="1"/>
  <c r="W280" i="1" s="1"/>
  <c r="W279" i="1" s="1"/>
  <c r="L285" i="1"/>
  <c r="IT284" i="1"/>
  <c r="IO284" i="1"/>
  <c r="II284" i="1"/>
  <c r="II281" i="1" s="1"/>
  <c r="IH284" i="1"/>
  <c r="IG284" i="1"/>
  <c r="IF284" i="1"/>
  <c r="IE284" i="1"/>
  <c r="HZ284" i="1"/>
  <c r="HU284" i="1"/>
  <c r="HO284" i="1"/>
  <c r="HN284" i="1"/>
  <c r="HM284" i="1"/>
  <c r="HL284" i="1"/>
  <c r="HK284" i="1"/>
  <c r="HF284" i="1"/>
  <c r="HA284" i="1"/>
  <c r="GV284" i="1"/>
  <c r="GE284" i="1"/>
  <c r="GD284" i="1"/>
  <c r="GC284" i="1"/>
  <c r="GB284" i="1"/>
  <c r="GA284" i="1"/>
  <c r="FZ284" i="1"/>
  <c r="FY284" i="1"/>
  <c r="FX284" i="1"/>
  <c r="FW284" i="1"/>
  <c r="FV284" i="1"/>
  <c r="FU284" i="1"/>
  <c r="FJ284" i="1"/>
  <c r="EY284" i="1"/>
  <c r="EM284" i="1"/>
  <c r="EM281" i="1" s="1"/>
  <c r="EL284" i="1"/>
  <c r="EK284" i="1"/>
  <c r="EJ284" i="1"/>
  <c r="EI284" i="1"/>
  <c r="EI281" i="1" s="1"/>
  <c r="EI280" i="1" s="1"/>
  <c r="EI279" i="1" s="1"/>
  <c r="EH284" i="1"/>
  <c r="EG284" i="1"/>
  <c r="EF284" i="1"/>
  <c r="EE284" i="1"/>
  <c r="EE281" i="1" s="1"/>
  <c r="ED284" i="1"/>
  <c r="DR284" i="1"/>
  <c r="DG284" i="1"/>
  <c r="CU284" i="1"/>
  <c r="CU281" i="1" s="1"/>
  <c r="CT284" i="1"/>
  <c r="CS284" i="1"/>
  <c r="CR284" i="1"/>
  <c r="CQ284" i="1"/>
  <c r="CP284" i="1"/>
  <c r="CO284" i="1"/>
  <c r="CN284" i="1"/>
  <c r="CM284" i="1"/>
  <c r="CL284" i="1"/>
  <c r="CK284" i="1"/>
  <c r="BZ284" i="1"/>
  <c r="BO284" i="1"/>
  <c r="BO281" i="1" s="1"/>
  <c r="BC284" i="1"/>
  <c r="BB284" i="1"/>
  <c r="BA284" i="1"/>
  <c r="AZ284" i="1"/>
  <c r="AY284" i="1"/>
  <c r="AX284" i="1"/>
  <c r="AW284" i="1"/>
  <c r="AV284" i="1"/>
  <c r="AU284" i="1"/>
  <c r="AT284" i="1"/>
  <c r="AS284" i="1"/>
  <c r="AH284" i="1"/>
  <c r="W284" i="1"/>
  <c r="L284" i="1"/>
  <c r="IT283" i="1"/>
  <c r="IO283" i="1"/>
  <c r="II283" i="1"/>
  <c r="IH283" i="1"/>
  <c r="IG283" i="1"/>
  <c r="IF283" i="1"/>
  <c r="IE283" i="1"/>
  <c r="HZ283" i="1"/>
  <c r="HU283" i="1"/>
  <c r="HO283" i="1"/>
  <c r="HN283" i="1"/>
  <c r="HM283" i="1"/>
  <c r="HL283" i="1"/>
  <c r="HK283" i="1"/>
  <c r="HF283" i="1"/>
  <c r="HA283" i="1"/>
  <c r="GV283" i="1"/>
  <c r="GE283" i="1"/>
  <c r="GD283" i="1"/>
  <c r="GC283" i="1"/>
  <c r="GB283" i="1"/>
  <c r="GA283" i="1"/>
  <c r="FZ283" i="1"/>
  <c r="FY283" i="1"/>
  <c r="FX283" i="1"/>
  <c r="FW283" i="1"/>
  <c r="FV283" i="1"/>
  <c r="FU283" i="1"/>
  <c r="FJ283" i="1"/>
  <c r="EY283" i="1"/>
  <c r="EM283" i="1"/>
  <c r="EL283" i="1"/>
  <c r="EK283" i="1"/>
  <c r="EJ283" i="1"/>
  <c r="EI283" i="1"/>
  <c r="EH283" i="1"/>
  <c r="EG283" i="1"/>
  <c r="EF283" i="1"/>
  <c r="EE283" i="1"/>
  <c r="ED283" i="1"/>
  <c r="DR283" i="1"/>
  <c r="DG283" i="1"/>
  <c r="DG281" i="1" s="1"/>
  <c r="DG280" i="1" s="1"/>
  <c r="DG279" i="1" s="1"/>
  <c r="CU283" i="1"/>
  <c r="CT283" i="1"/>
  <c r="CS283" i="1"/>
  <c r="CR283" i="1"/>
  <c r="CQ283" i="1"/>
  <c r="CP283" i="1"/>
  <c r="CO283" i="1"/>
  <c r="CN283" i="1"/>
  <c r="CM283" i="1"/>
  <c r="CL283" i="1"/>
  <c r="CK283" i="1"/>
  <c r="BZ283" i="1"/>
  <c r="BO283" i="1"/>
  <c r="BC283" i="1"/>
  <c r="BB283" i="1"/>
  <c r="BA283" i="1"/>
  <c r="AZ283" i="1"/>
  <c r="AY283" i="1"/>
  <c r="AX283" i="1"/>
  <c r="AW283" i="1"/>
  <c r="AV283" i="1"/>
  <c r="AU283" i="1"/>
  <c r="AT283" i="1"/>
  <c r="AS283" i="1"/>
  <c r="AH283" i="1"/>
  <c r="W283" i="1"/>
  <c r="L283" i="1"/>
  <c r="IT282" i="1"/>
  <c r="IO282" i="1"/>
  <c r="II282" i="1"/>
  <c r="IH282" i="1"/>
  <c r="IG282" i="1"/>
  <c r="IF282" i="1"/>
  <c r="IE282" i="1"/>
  <c r="HZ282" i="1"/>
  <c r="HU282" i="1"/>
  <c r="HO282" i="1"/>
  <c r="HN282" i="1"/>
  <c r="HM282" i="1"/>
  <c r="HL282" i="1"/>
  <c r="HK282" i="1"/>
  <c r="HF282" i="1"/>
  <c r="HA282" i="1"/>
  <c r="GV282" i="1"/>
  <c r="GE282" i="1"/>
  <c r="GD282" i="1"/>
  <c r="GC282" i="1"/>
  <c r="GB282" i="1"/>
  <c r="GA282" i="1"/>
  <c r="FZ282" i="1"/>
  <c r="FY282" i="1"/>
  <c r="FX282" i="1"/>
  <c r="FW282" i="1"/>
  <c r="FV282" i="1"/>
  <c r="FU282" i="1"/>
  <c r="FJ282" i="1"/>
  <c r="EY282" i="1"/>
  <c r="EM282" i="1"/>
  <c r="EL282" i="1"/>
  <c r="EK282" i="1"/>
  <c r="EJ282" i="1"/>
  <c r="EI282" i="1"/>
  <c r="EH282" i="1"/>
  <c r="EG282" i="1"/>
  <c r="EF282" i="1"/>
  <c r="EE282" i="1"/>
  <c r="ED282" i="1"/>
  <c r="DR282" i="1"/>
  <c r="DG282" i="1"/>
  <c r="CU282" i="1"/>
  <c r="CT282" i="1"/>
  <c r="CS282" i="1"/>
  <c r="CS281" i="1" s="1"/>
  <c r="CS280" i="1" s="1"/>
  <c r="CS279" i="1" s="1"/>
  <c r="CR282" i="1"/>
  <c r="CQ282" i="1"/>
  <c r="CP282" i="1"/>
  <c r="CO282" i="1"/>
  <c r="CN282" i="1"/>
  <c r="CM282" i="1"/>
  <c r="CL282" i="1"/>
  <c r="CK282" i="1"/>
  <c r="BZ282" i="1"/>
  <c r="BO282" i="1"/>
  <c r="BC282" i="1"/>
  <c r="BB282" i="1"/>
  <c r="BA282" i="1"/>
  <c r="AZ282" i="1"/>
  <c r="AY282" i="1"/>
  <c r="AX282" i="1"/>
  <c r="AW282" i="1"/>
  <c r="AV282" i="1"/>
  <c r="AU282" i="1"/>
  <c r="AT282" i="1"/>
  <c r="AS282" i="1"/>
  <c r="AH282" i="1"/>
  <c r="W282" i="1"/>
  <c r="L282" i="1"/>
  <c r="IV281" i="1"/>
  <c r="IV280" i="1" s="1"/>
  <c r="IV279" i="1" s="1"/>
  <c r="IU281" i="1"/>
  <c r="IS281" i="1"/>
  <c r="IR281" i="1"/>
  <c r="IQ281" i="1"/>
  <c r="IQ280" i="1" s="1"/>
  <c r="IQ279" i="1" s="1"/>
  <c r="IP281" i="1"/>
  <c r="IN281" i="1"/>
  <c r="IN280" i="1" s="1"/>
  <c r="IN279" i="1" s="1"/>
  <c r="IM281" i="1"/>
  <c r="IM280" i="1" s="1"/>
  <c r="IM279" i="1" s="1"/>
  <c r="IL281" i="1"/>
  <c r="IL280" i="1" s="1"/>
  <c r="IL279" i="1" s="1"/>
  <c r="IK281" i="1"/>
  <c r="ID281" i="1"/>
  <c r="ID280" i="1" s="1"/>
  <c r="ID279" i="1" s="1"/>
  <c r="IC281" i="1"/>
  <c r="IB281" i="1"/>
  <c r="IA281" i="1"/>
  <c r="HY281" i="1"/>
  <c r="HY280" i="1" s="1"/>
  <c r="HY279" i="1" s="1"/>
  <c r="HX281" i="1"/>
  <c r="HW281" i="1"/>
  <c r="HV281" i="1"/>
  <c r="HT281" i="1"/>
  <c r="HT280" i="1" s="1"/>
  <c r="HT279" i="1" s="1"/>
  <c r="HS281" i="1"/>
  <c r="HR281" i="1"/>
  <c r="HQ281" i="1"/>
  <c r="HN281" i="1"/>
  <c r="HJ281" i="1"/>
  <c r="HI281" i="1"/>
  <c r="HH281" i="1"/>
  <c r="HH280" i="1" s="1"/>
  <c r="HH279" i="1" s="1"/>
  <c r="HG281" i="1"/>
  <c r="HG280" i="1" s="1"/>
  <c r="HG279" i="1" s="1"/>
  <c r="HE281" i="1"/>
  <c r="HE280" i="1" s="1"/>
  <c r="HE279" i="1" s="1"/>
  <c r="HD281" i="1"/>
  <c r="HD280" i="1" s="1"/>
  <c r="HD279" i="1" s="1"/>
  <c r="HC281" i="1"/>
  <c r="HC280" i="1" s="1"/>
  <c r="HC279" i="1" s="1"/>
  <c r="HB281" i="1"/>
  <c r="HB280" i="1" s="1"/>
  <c r="HB279" i="1" s="1"/>
  <c r="GZ281" i="1"/>
  <c r="GY281" i="1"/>
  <c r="GY280" i="1" s="1"/>
  <c r="GY279" i="1" s="1"/>
  <c r="GX281" i="1"/>
  <c r="GX280" i="1" s="1"/>
  <c r="GX279" i="1" s="1"/>
  <c r="GW281" i="1"/>
  <c r="GW280" i="1" s="1"/>
  <c r="GW279" i="1" s="1"/>
  <c r="GU281" i="1"/>
  <c r="GT281" i="1"/>
  <c r="GT280" i="1" s="1"/>
  <c r="GT279" i="1" s="1"/>
  <c r="GS281" i="1"/>
  <c r="GS280" i="1" s="1"/>
  <c r="GS279" i="1" s="1"/>
  <c r="GR281" i="1"/>
  <c r="FT281" i="1"/>
  <c r="FS281" i="1"/>
  <c r="FR281" i="1"/>
  <c r="FQ281" i="1"/>
  <c r="FQ280" i="1" s="1"/>
  <c r="FQ279" i="1" s="1"/>
  <c r="FP281" i="1"/>
  <c r="FO281" i="1"/>
  <c r="FO280" i="1" s="1"/>
  <c r="FO279" i="1" s="1"/>
  <c r="FN281" i="1"/>
  <c r="FN280" i="1" s="1"/>
  <c r="FN279" i="1" s="1"/>
  <c r="FM281" i="1"/>
  <c r="FM280" i="1" s="1"/>
  <c r="FM279" i="1" s="1"/>
  <c r="FL281" i="1"/>
  <c r="FI281" i="1"/>
  <c r="FH281" i="1"/>
  <c r="FH280" i="1" s="1"/>
  <c r="FH279" i="1" s="1"/>
  <c r="FG281" i="1"/>
  <c r="FF281" i="1"/>
  <c r="FE281" i="1"/>
  <c r="FD281" i="1"/>
  <c r="FD280" i="1" s="1"/>
  <c r="FD279" i="1" s="1"/>
  <c r="FC281" i="1"/>
  <c r="FB281" i="1"/>
  <c r="FA281" i="1"/>
  <c r="EX281" i="1"/>
  <c r="EX280" i="1" s="1"/>
  <c r="EX279" i="1" s="1"/>
  <c r="EW281" i="1"/>
  <c r="EW280" i="1" s="1"/>
  <c r="EW279" i="1" s="1"/>
  <c r="EV281" i="1"/>
  <c r="EV280" i="1" s="1"/>
  <c r="EV279" i="1" s="1"/>
  <c r="EU281" i="1"/>
  <c r="EU280" i="1" s="1"/>
  <c r="EU279" i="1" s="1"/>
  <c r="ET281" i="1"/>
  <c r="ES281" i="1"/>
  <c r="ES280" i="1" s="1"/>
  <c r="ES279" i="1" s="1"/>
  <c r="ER281" i="1"/>
  <c r="ER280" i="1" s="1"/>
  <c r="ER279" i="1" s="1"/>
  <c r="EQ281" i="1"/>
  <c r="EP281" i="1"/>
  <c r="EP280" i="1" s="1"/>
  <c r="EP279" i="1" s="1"/>
  <c r="EC281" i="1"/>
  <c r="EC280" i="1" s="1"/>
  <c r="EC279" i="1" s="1"/>
  <c r="EB281" i="1"/>
  <c r="EA281" i="1"/>
  <c r="DZ281" i="1"/>
  <c r="DZ280" i="1" s="1"/>
  <c r="DZ279" i="1" s="1"/>
  <c r="DY281" i="1"/>
  <c r="DY280" i="1" s="1"/>
  <c r="DY279" i="1" s="1"/>
  <c r="DX281" i="1"/>
  <c r="DW281" i="1"/>
  <c r="DV281" i="1"/>
  <c r="DU281" i="1"/>
  <c r="DU280" i="1" s="1"/>
  <c r="DU279" i="1" s="1"/>
  <c r="DT281" i="1"/>
  <c r="DT280" i="1" s="1"/>
  <c r="DT279" i="1" s="1"/>
  <c r="DQ281" i="1"/>
  <c r="DP281" i="1"/>
  <c r="DO281" i="1"/>
  <c r="DO280" i="1" s="1"/>
  <c r="DO279" i="1" s="1"/>
  <c r="DN281" i="1"/>
  <c r="DM281" i="1"/>
  <c r="DL281" i="1"/>
  <c r="DK281" i="1"/>
  <c r="DK280" i="1" s="1"/>
  <c r="DK279" i="1" s="1"/>
  <c r="DJ281" i="1"/>
  <c r="DI281" i="1"/>
  <c r="DF281" i="1"/>
  <c r="DF280" i="1" s="1"/>
  <c r="DF279" i="1" s="1"/>
  <c r="DE281" i="1"/>
  <c r="DD281" i="1"/>
  <c r="DC281" i="1"/>
  <c r="DC280" i="1" s="1"/>
  <c r="DC279" i="1" s="1"/>
  <c r="DB281" i="1"/>
  <c r="DB280" i="1" s="1"/>
  <c r="DB279" i="1" s="1"/>
  <c r="DA281" i="1"/>
  <c r="DA280" i="1" s="1"/>
  <c r="DA279" i="1" s="1"/>
  <c r="CZ281" i="1"/>
  <c r="CY281" i="1"/>
  <c r="CY280" i="1" s="1"/>
  <c r="CY279" i="1" s="1"/>
  <c r="CX281" i="1"/>
  <c r="CX280" i="1" s="1"/>
  <c r="CX279" i="1" s="1"/>
  <c r="CJ281" i="1"/>
  <c r="CJ280" i="1" s="1"/>
  <c r="CJ279" i="1" s="1"/>
  <c r="CI281" i="1"/>
  <c r="CH281" i="1"/>
  <c r="CH280" i="1" s="1"/>
  <c r="CH279" i="1" s="1"/>
  <c r="CG281" i="1"/>
  <c r="CG280" i="1" s="1"/>
  <c r="CG279" i="1" s="1"/>
  <c r="CF281" i="1"/>
  <c r="CF280" i="1" s="1"/>
  <c r="CF279" i="1" s="1"/>
  <c r="CE281" i="1"/>
  <c r="CD281" i="1"/>
  <c r="CD280" i="1" s="1"/>
  <c r="CD279" i="1" s="1"/>
  <c r="CC281" i="1"/>
  <c r="CB281" i="1"/>
  <c r="CB280" i="1" s="1"/>
  <c r="CB279" i="1" s="1"/>
  <c r="BY281" i="1"/>
  <c r="BX281" i="1"/>
  <c r="BX280" i="1" s="1"/>
  <c r="BX279" i="1" s="1"/>
  <c r="BW281" i="1"/>
  <c r="BV281" i="1"/>
  <c r="BV280" i="1" s="1"/>
  <c r="BV279" i="1" s="1"/>
  <c r="BU281" i="1"/>
  <c r="BT281" i="1"/>
  <c r="BT280" i="1" s="1"/>
  <c r="BT279" i="1" s="1"/>
  <c r="BS281" i="1"/>
  <c r="BR281" i="1"/>
  <c r="BR280" i="1" s="1"/>
  <c r="BR279" i="1" s="1"/>
  <c r="BQ281" i="1"/>
  <c r="BN281" i="1"/>
  <c r="BN280" i="1" s="1"/>
  <c r="BM281" i="1"/>
  <c r="BM280" i="1" s="1"/>
  <c r="BM279" i="1" s="1"/>
  <c r="BL281" i="1"/>
  <c r="BK281" i="1"/>
  <c r="BK280" i="1" s="1"/>
  <c r="BK279" i="1" s="1"/>
  <c r="BJ281" i="1"/>
  <c r="BJ280" i="1" s="1"/>
  <c r="BJ279" i="1" s="1"/>
  <c r="BI281" i="1"/>
  <c r="BI280" i="1" s="1"/>
  <c r="BI279" i="1" s="1"/>
  <c r="BH281" i="1"/>
  <c r="BG281" i="1"/>
  <c r="BF281" i="1"/>
  <c r="BF280" i="1" s="1"/>
  <c r="BF279" i="1" s="1"/>
  <c r="BC281" i="1"/>
  <c r="AY281" i="1"/>
  <c r="AR281" i="1"/>
  <c r="AQ281" i="1"/>
  <c r="AQ280" i="1" s="1"/>
  <c r="AQ279" i="1" s="1"/>
  <c r="AP281" i="1"/>
  <c r="AP280" i="1" s="1"/>
  <c r="AP279" i="1" s="1"/>
  <c r="AO281" i="1"/>
  <c r="AN281" i="1"/>
  <c r="AM281" i="1"/>
  <c r="AM280" i="1" s="1"/>
  <c r="AM279" i="1" s="1"/>
  <c r="AL281" i="1"/>
  <c r="AL280" i="1" s="1"/>
  <c r="AL279" i="1" s="1"/>
  <c r="AK281" i="1"/>
  <c r="AJ281" i="1"/>
  <c r="AH281" i="1"/>
  <c r="AH280" i="1" s="1"/>
  <c r="AH279" i="1" s="1"/>
  <c r="AG281" i="1"/>
  <c r="AG280" i="1" s="1"/>
  <c r="AG279" i="1" s="1"/>
  <c r="AF281" i="1"/>
  <c r="AE281" i="1"/>
  <c r="AD281" i="1"/>
  <c r="AD280" i="1" s="1"/>
  <c r="AD279" i="1" s="1"/>
  <c r="AC281" i="1"/>
  <c r="AC280" i="1" s="1"/>
  <c r="AC279" i="1" s="1"/>
  <c r="AB281" i="1"/>
  <c r="AB280" i="1" s="1"/>
  <c r="AB279" i="1" s="1"/>
  <c r="AA281" i="1"/>
  <c r="Z281" i="1"/>
  <c r="Z280" i="1" s="1"/>
  <c r="Z279" i="1" s="1"/>
  <c r="Y281" i="1"/>
  <c r="Y280" i="1" s="1"/>
  <c r="Y279" i="1" s="1"/>
  <c r="V281" i="1"/>
  <c r="U281" i="1"/>
  <c r="U280" i="1" s="1"/>
  <c r="U279" i="1" s="1"/>
  <c r="T281" i="1"/>
  <c r="T280" i="1" s="1"/>
  <c r="T279" i="1" s="1"/>
  <c r="S281" i="1"/>
  <c r="S280" i="1" s="1"/>
  <c r="S279" i="1" s="1"/>
  <c r="R281" i="1"/>
  <c r="Q281" i="1"/>
  <c r="Q280" i="1" s="1"/>
  <c r="Q279" i="1" s="1"/>
  <c r="P281" i="1"/>
  <c r="P280" i="1" s="1"/>
  <c r="P279" i="1" s="1"/>
  <c r="O281" i="1"/>
  <c r="O280" i="1" s="1"/>
  <c r="O279" i="1" s="1"/>
  <c r="N281" i="1"/>
  <c r="K281" i="1"/>
  <c r="K280" i="1" s="1"/>
  <c r="K279" i="1" s="1"/>
  <c r="J281" i="1"/>
  <c r="J280" i="1" s="1"/>
  <c r="J279" i="1" s="1"/>
  <c r="I281" i="1"/>
  <c r="I280" i="1" s="1"/>
  <c r="I279" i="1" s="1"/>
  <c r="H281" i="1"/>
  <c r="H280" i="1" s="1"/>
  <c r="H279" i="1" s="1"/>
  <c r="G281" i="1"/>
  <c r="G280" i="1" s="1"/>
  <c r="G279" i="1" s="1"/>
  <c r="F281" i="1"/>
  <c r="E281" i="1"/>
  <c r="D281" i="1"/>
  <c r="D280" i="1" s="1"/>
  <c r="D279" i="1" s="1"/>
  <c r="C281" i="1"/>
  <c r="C280" i="1" s="1"/>
  <c r="C279" i="1" s="1"/>
  <c r="IU280" i="1"/>
  <c r="IU279" i="1" s="1"/>
  <c r="IS280" i="1"/>
  <c r="IS279" i="1" s="1"/>
  <c r="IP280" i="1"/>
  <c r="IP279" i="1" s="1"/>
  <c r="IK280" i="1"/>
  <c r="IK279" i="1" s="1"/>
  <c r="IC280" i="1"/>
  <c r="IC279" i="1" s="1"/>
  <c r="IA280" i="1"/>
  <c r="IA279" i="1" s="1"/>
  <c r="HW280" i="1"/>
  <c r="HW279" i="1" s="1"/>
  <c r="HV280" i="1"/>
  <c r="HV279" i="1" s="1"/>
  <c r="HS280" i="1"/>
  <c r="HS279" i="1" s="1"/>
  <c r="HR280" i="1"/>
  <c r="HR279" i="1" s="1"/>
  <c r="HQ280" i="1"/>
  <c r="HQ279" i="1" s="1"/>
  <c r="HJ280" i="1"/>
  <c r="HI280" i="1"/>
  <c r="HI279" i="1" s="1"/>
  <c r="GR280" i="1"/>
  <c r="GR279" i="1" s="1"/>
  <c r="FV280" i="1"/>
  <c r="FV279" i="1" s="1"/>
  <c r="FT280" i="1"/>
  <c r="FS280" i="1"/>
  <c r="FS279" i="1" s="1"/>
  <c r="FR280" i="1"/>
  <c r="FR279" i="1" s="1"/>
  <c r="FP280" i="1"/>
  <c r="FP279" i="1" s="1"/>
  <c r="FL280" i="1"/>
  <c r="FL279" i="1" s="1"/>
  <c r="FK280" i="1"/>
  <c r="FK279" i="1" s="1"/>
  <c r="FI280" i="1"/>
  <c r="FI279" i="1" s="1"/>
  <c r="FG280" i="1"/>
  <c r="FG279" i="1" s="1"/>
  <c r="FF280" i="1"/>
  <c r="FF279" i="1" s="1"/>
  <c r="FE280" i="1"/>
  <c r="FE279" i="1" s="1"/>
  <c r="FC280" i="1"/>
  <c r="FC279" i="1" s="1"/>
  <c r="FB280" i="1"/>
  <c r="FA280" i="1"/>
  <c r="FA279" i="1" s="1"/>
  <c r="EZ280" i="1"/>
  <c r="ET280" i="1"/>
  <c r="ET279" i="1" s="1"/>
  <c r="EQ280" i="1"/>
  <c r="EQ279" i="1" s="1"/>
  <c r="EO280" i="1"/>
  <c r="EO279" i="1" s="1"/>
  <c r="ED280" i="1"/>
  <c r="ED279" i="1" s="1"/>
  <c r="EB280" i="1"/>
  <c r="EB279" i="1" s="1"/>
  <c r="EA280" i="1"/>
  <c r="EA279" i="1" s="1"/>
  <c r="DX280" i="1"/>
  <c r="DX279" i="1" s="1"/>
  <c r="DW280" i="1"/>
  <c r="DV280" i="1"/>
  <c r="DV279" i="1" s="1"/>
  <c r="DS280" i="1"/>
  <c r="DS279" i="1" s="1"/>
  <c r="DQ280" i="1"/>
  <c r="DQ279" i="1" s="1"/>
  <c r="DP280" i="1"/>
  <c r="DP279" i="1" s="1"/>
  <c r="DN280" i="1"/>
  <c r="DN279" i="1" s="1"/>
  <c r="DM280" i="1"/>
  <c r="DL280" i="1"/>
  <c r="DL279" i="1" s="1"/>
  <c r="DJ280" i="1"/>
  <c r="DJ279" i="1" s="1"/>
  <c r="DI280" i="1"/>
  <c r="DI279" i="1" s="1"/>
  <c r="DH280" i="1"/>
  <c r="DH279" i="1" s="1"/>
  <c r="DE280" i="1"/>
  <c r="DE279" i="1" s="1"/>
  <c r="DD280" i="1"/>
  <c r="DD279" i="1" s="1"/>
  <c r="CZ280" i="1"/>
  <c r="CZ279" i="1" s="1"/>
  <c r="CW280" i="1"/>
  <c r="CW279" i="1" s="1"/>
  <c r="CL280" i="1"/>
  <c r="CI280" i="1"/>
  <c r="CI279" i="1" s="1"/>
  <c r="CE280" i="1"/>
  <c r="CE279" i="1" s="1"/>
  <c r="CC280" i="1"/>
  <c r="CC279" i="1" s="1"/>
  <c r="CA280" i="1"/>
  <c r="CA279" i="1" s="1"/>
  <c r="BY280" i="1"/>
  <c r="BY279" i="1" s="1"/>
  <c r="BW280" i="1"/>
  <c r="BW279" i="1" s="1"/>
  <c r="BU280" i="1"/>
  <c r="BU279" i="1" s="1"/>
  <c r="BS280" i="1"/>
  <c r="BS279" i="1" s="1"/>
  <c r="BQ280" i="1"/>
  <c r="BQ279" i="1" s="1"/>
  <c r="BP280" i="1"/>
  <c r="BP279" i="1" s="1"/>
  <c r="BL280" i="1"/>
  <c r="BL279" i="1" s="1"/>
  <c r="BH280" i="1"/>
  <c r="BG280" i="1"/>
  <c r="BG279" i="1" s="1"/>
  <c r="BE280" i="1"/>
  <c r="AT280" i="1"/>
  <c r="AT279" i="1" s="1"/>
  <c r="AR280" i="1"/>
  <c r="AO280" i="1"/>
  <c r="AO279" i="1" s="1"/>
  <c r="AN280" i="1"/>
  <c r="AN279" i="1" s="1"/>
  <c r="AK280" i="1"/>
  <c r="AK279" i="1" s="1"/>
  <c r="AJ280" i="1"/>
  <c r="AJ279" i="1" s="1"/>
  <c r="AI280" i="1"/>
  <c r="AI279" i="1" s="1"/>
  <c r="AF280" i="1"/>
  <c r="AF279" i="1" s="1"/>
  <c r="AE280" i="1"/>
  <c r="AE279" i="1" s="1"/>
  <c r="AA280" i="1"/>
  <c r="AA279" i="1" s="1"/>
  <c r="X280" i="1"/>
  <c r="V280" i="1"/>
  <c r="V279" i="1" s="1"/>
  <c r="R280" i="1"/>
  <c r="R279" i="1" s="1"/>
  <c r="N280" i="1"/>
  <c r="N279" i="1" s="1"/>
  <c r="M280" i="1"/>
  <c r="F280" i="1"/>
  <c r="F279" i="1" s="1"/>
  <c r="E280" i="1"/>
  <c r="E279" i="1" s="1"/>
  <c r="B280" i="1"/>
  <c r="B279" i="1" s="1"/>
  <c r="HJ279" i="1"/>
  <c r="FT279" i="1"/>
  <c r="FB279" i="1"/>
  <c r="EZ279" i="1"/>
  <c r="DW279" i="1"/>
  <c r="DM279" i="1"/>
  <c r="CL279" i="1"/>
  <c r="BN279" i="1"/>
  <c r="BH279" i="1"/>
  <c r="BE279" i="1"/>
  <c r="AR279" i="1"/>
  <c r="X279" i="1"/>
  <c r="M279" i="1"/>
  <c r="IT278" i="1"/>
  <c r="IO278" i="1"/>
  <c r="II278" i="1"/>
  <c r="IH278" i="1"/>
  <c r="IG278" i="1"/>
  <c r="IF278" i="1"/>
  <c r="IE278" i="1"/>
  <c r="HZ278" i="1"/>
  <c r="HU278" i="1"/>
  <c r="HO278" i="1"/>
  <c r="HN278" i="1"/>
  <c r="HM278" i="1"/>
  <c r="HL278" i="1"/>
  <c r="HK278" i="1"/>
  <c r="HF278" i="1"/>
  <c r="HA278" i="1"/>
  <c r="GV278" i="1"/>
  <c r="GE278" i="1"/>
  <c r="GD278" i="1"/>
  <c r="GC278" i="1"/>
  <c r="GB278" i="1"/>
  <c r="GA278" i="1"/>
  <c r="FZ278" i="1"/>
  <c r="FY278" i="1"/>
  <c r="FX278" i="1"/>
  <c r="FW278" i="1"/>
  <c r="FV278" i="1"/>
  <c r="FU278" i="1"/>
  <c r="FJ278" i="1"/>
  <c r="EY278" i="1"/>
  <c r="EM278" i="1"/>
  <c r="EL278" i="1"/>
  <c r="EK278" i="1"/>
  <c r="EJ278" i="1"/>
  <c r="EI278" i="1"/>
  <c r="EH278" i="1"/>
  <c r="EG278" i="1"/>
  <c r="EF278" i="1"/>
  <c r="EE278" i="1"/>
  <c r="ED278" i="1"/>
  <c r="DR278" i="1"/>
  <c r="DG278" i="1"/>
  <c r="CU278" i="1"/>
  <c r="CT278" i="1"/>
  <c r="CS278" i="1"/>
  <c r="CR278" i="1"/>
  <c r="CQ278" i="1"/>
  <c r="CP278" i="1"/>
  <c r="CO278" i="1"/>
  <c r="CN278" i="1"/>
  <c r="CM278" i="1"/>
  <c r="CL278" i="1"/>
  <c r="CK278" i="1"/>
  <c r="BZ278" i="1"/>
  <c r="BO278" i="1"/>
  <c r="BC278" i="1"/>
  <c r="BB278" i="1"/>
  <c r="BA278" i="1"/>
  <c r="AZ278" i="1"/>
  <c r="AY278" i="1"/>
  <c r="AX278" i="1"/>
  <c r="AW278" i="1"/>
  <c r="AV278" i="1"/>
  <c r="AU278" i="1"/>
  <c r="AT278" i="1"/>
  <c r="AS278" i="1"/>
  <c r="AH278" i="1"/>
  <c r="W278" i="1"/>
  <c r="L278" i="1"/>
  <c r="IT277" i="1"/>
  <c r="IO277" i="1"/>
  <c r="II277" i="1"/>
  <c r="IH277" i="1"/>
  <c r="IG277" i="1"/>
  <c r="IF277" i="1"/>
  <c r="IE277" i="1"/>
  <c r="HZ277" i="1"/>
  <c r="HU277" i="1"/>
  <c r="HO277" i="1"/>
  <c r="HN277" i="1"/>
  <c r="HM277" i="1"/>
  <c r="HL277" i="1"/>
  <c r="HK277" i="1"/>
  <c r="HF277" i="1"/>
  <c r="HA277" i="1"/>
  <c r="GV277" i="1"/>
  <c r="GE277" i="1"/>
  <c r="GD277" i="1"/>
  <c r="GC277" i="1"/>
  <c r="GB277" i="1"/>
  <c r="GA277" i="1"/>
  <c r="FZ277" i="1"/>
  <c r="FY277" i="1"/>
  <c r="FX277" i="1"/>
  <c r="FW277" i="1"/>
  <c r="FV277" i="1"/>
  <c r="FU277" i="1"/>
  <c r="FJ277" i="1"/>
  <c r="EY277" i="1"/>
  <c r="EM277" i="1"/>
  <c r="EL277" i="1"/>
  <c r="EK277" i="1"/>
  <c r="EJ277" i="1"/>
  <c r="EI277" i="1"/>
  <c r="EH277" i="1"/>
  <c r="EG277" i="1"/>
  <c r="EF277" i="1"/>
  <c r="EE277" i="1"/>
  <c r="ED277" i="1"/>
  <c r="DR277" i="1"/>
  <c r="DG277" i="1"/>
  <c r="CU277" i="1"/>
  <c r="CT277" i="1"/>
  <c r="CS277" i="1"/>
  <c r="CR277" i="1"/>
  <c r="CQ277" i="1"/>
  <c r="CP277" i="1"/>
  <c r="CO277" i="1"/>
  <c r="CN277" i="1"/>
  <c r="CM277" i="1"/>
  <c r="CL277" i="1"/>
  <c r="CK277" i="1"/>
  <c r="BZ277" i="1"/>
  <c r="BO277" i="1"/>
  <c r="BC277" i="1"/>
  <c r="BB277" i="1"/>
  <c r="BA277" i="1"/>
  <c r="AZ277" i="1"/>
  <c r="AY277" i="1"/>
  <c r="AX277" i="1"/>
  <c r="AW277" i="1"/>
  <c r="AV277" i="1"/>
  <c r="AU277" i="1"/>
  <c r="AT277" i="1"/>
  <c r="AS277" i="1"/>
  <c r="AH277" i="1"/>
  <c r="W277" i="1"/>
  <c r="L277" i="1"/>
  <c r="IT276" i="1"/>
  <c r="IT272" i="1" s="1"/>
  <c r="IO276" i="1"/>
  <c r="II276" i="1"/>
  <c r="IH276" i="1"/>
  <c r="IG276" i="1"/>
  <c r="IF276" i="1"/>
  <c r="IE276" i="1"/>
  <c r="HZ276" i="1"/>
  <c r="HU276" i="1"/>
  <c r="HO276" i="1"/>
  <c r="HN276" i="1"/>
  <c r="HM276" i="1"/>
  <c r="HL276" i="1"/>
  <c r="HK276" i="1"/>
  <c r="HF276" i="1"/>
  <c r="HA276" i="1"/>
  <c r="GV276" i="1"/>
  <c r="GE276" i="1"/>
  <c r="GD276" i="1"/>
  <c r="GC276" i="1"/>
  <c r="GB276" i="1"/>
  <c r="GA276" i="1"/>
  <c r="FZ276" i="1"/>
  <c r="FY276" i="1"/>
  <c r="FX276" i="1"/>
  <c r="FW276" i="1"/>
  <c r="FV276" i="1"/>
  <c r="FU276" i="1"/>
  <c r="FJ276" i="1"/>
  <c r="FJ272" i="1" s="1"/>
  <c r="EY276" i="1"/>
  <c r="EM276" i="1"/>
  <c r="EL276" i="1"/>
  <c r="EK276" i="1"/>
  <c r="EJ276" i="1"/>
  <c r="EI276" i="1"/>
  <c r="EH276" i="1"/>
  <c r="EG276" i="1"/>
  <c r="EF276" i="1"/>
  <c r="EE276" i="1"/>
  <c r="ED276" i="1"/>
  <c r="DR276" i="1"/>
  <c r="DG276" i="1"/>
  <c r="CU276" i="1"/>
  <c r="CT276" i="1"/>
  <c r="CS276" i="1"/>
  <c r="CR276" i="1"/>
  <c r="CQ276" i="1"/>
  <c r="CP276" i="1"/>
  <c r="CO276" i="1"/>
  <c r="CN276" i="1"/>
  <c r="CM276" i="1"/>
  <c r="CL276" i="1"/>
  <c r="CK276" i="1"/>
  <c r="BZ276" i="1"/>
  <c r="BO276" i="1"/>
  <c r="BC276" i="1"/>
  <c r="BB276" i="1"/>
  <c r="BA276" i="1"/>
  <c r="AZ276" i="1"/>
  <c r="AY276" i="1"/>
  <c r="AX276" i="1"/>
  <c r="AW276" i="1"/>
  <c r="AV276" i="1"/>
  <c r="AU276" i="1"/>
  <c r="AT276" i="1"/>
  <c r="AT272" i="1" s="1"/>
  <c r="AS276" i="1"/>
  <c r="AH276" i="1"/>
  <c r="W276" i="1"/>
  <c r="L276" i="1"/>
  <c r="IT275" i="1"/>
  <c r="IO275" i="1"/>
  <c r="II275" i="1"/>
  <c r="IH275" i="1"/>
  <c r="IG275" i="1"/>
  <c r="IF275" i="1"/>
  <c r="IE275" i="1"/>
  <c r="HZ275" i="1"/>
  <c r="HU275" i="1"/>
  <c r="HO275" i="1"/>
  <c r="HN275" i="1"/>
  <c r="HM275" i="1"/>
  <c r="HM272" i="1" s="1"/>
  <c r="HL275" i="1"/>
  <c r="HK275" i="1"/>
  <c r="HF275" i="1"/>
  <c r="HA275" i="1"/>
  <c r="GV275" i="1"/>
  <c r="GE275" i="1"/>
  <c r="GD275" i="1"/>
  <c r="GC275" i="1"/>
  <c r="GB275" i="1"/>
  <c r="GA275" i="1"/>
  <c r="FZ275" i="1"/>
  <c r="FY275" i="1"/>
  <c r="FX275" i="1"/>
  <c r="FW275" i="1"/>
  <c r="FV275" i="1"/>
  <c r="FU275" i="1"/>
  <c r="FJ275" i="1"/>
  <c r="EY275" i="1"/>
  <c r="EM275" i="1"/>
  <c r="EL275" i="1"/>
  <c r="EL272" i="1" s="1"/>
  <c r="EK275" i="1"/>
  <c r="EJ275" i="1"/>
  <c r="EI275" i="1"/>
  <c r="EH275" i="1"/>
  <c r="EG275" i="1"/>
  <c r="EF275" i="1"/>
  <c r="EE275" i="1"/>
  <c r="ED275" i="1"/>
  <c r="DR275" i="1"/>
  <c r="DG275" i="1"/>
  <c r="CU275" i="1"/>
  <c r="CT275" i="1"/>
  <c r="CS275" i="1"/>
  <c r="CR275" i="1"/>
  <c r="CQ275" i="1"/>
  <c r="CP275" i="1"/>
  <c r="CP272" i="1" s="1"/>
  <c r="CO275" i="1"/>
  <c r="CN275" i="1"/>
  <c r="CM275" i="1"/>
  <c r="CL275" i="1"/>
  <c r="CL272" i="1" s="1"/>
  <c r="CK275" i="1"/>
  <c r="BZ275" i="1"/>
  <c r="BO275" i="1"/>
  <c r="BC275" i="1"/>
  <c r="BB275" i="1"/>
  <c r="BA275" i="1"/>
  <c r="AZ275" i="1"/>
  <c r="AY275" i="1"/>
  <c r="AX275" i="1"/>
  <c r="AW275" i="1"/>
  <c r="AV275" i="1"/>
  <c r="AU275" i="1"/>
  <c r="AT275" i="1"/>
  <c r="AS275" i="1"/>
  <c r="AH275" i="1"/>
  <c r="W275" i="1"/>
  <c r="L275" i="1"/>
  <c r="IT274" i="1"/>
  <c r="IO274" i="1"/>
  <c r="II274" i="1"/>
  <c r="IH274" i="1"/>
  <c r="IG274" i="1"/>
  <c r="IF274" i="1"/>
  <c r="IE274" i="1"/>
  <c r="HZ274" i="1"/>
  <c r="HU274" i="1"/>
  <c r="HO274" i="1"/>
  <c r="HN274" i="1"/>
  <c r="HM274" i="1"/>
  <c r="HL274" i="1"/>
  <c r="HK274" i="1"/>
  <c r="HF274" i="1"/>
  <c r="HA274" i="1"/>
  <c r="GV274" i="1"/>
  <c r="GE274" i="1"/>
  <c r="GD274" i="1"/>
  <c r="GC274" i="1"/>
  <c r="GB274" i="1"/>
  <c r="GA274" i="1"/>
  <c r="FZ274" i="1"/>
  <c r="FY274" i="1"/>
  <c r="FX274" i="1"/>
  <c r="FW274" i="1"/>
  <c r="FV274" i="1"/>
  <c r="FU274" i="1"/>
  <c r="FJ274" i="1"/>
  <c r="EY274" i="1"/>
  <c r="EM274" i="1"/>
  <c r="EL274" i="1"/>
  <c r="EK274" i="1"/>
  <c r="EJ274" i="1"/>
  <c r="EI274" i="1"/>
  <c r="EH274" i="1"/>
  <c r="EG274" i="1"/>
  <c r="EF274" i="1"/>
  <c r="EE274" i="1"/>
  <c r="ED274" i="1"/>
  <c r="DR274" i="1"/>
  <c r="DG274" i="1"/>
  <c r="CU274" i="1"/>
  <c r="CT274" i="1"/>
  <c r="CS274" i="1"/>
  <c r="CR274" i="1"/>
  <c r="CQ274" i="1"/>
  <c r="CP274" i="1"/>
  <c r="CO274" i="1"/>
  <c r="CN274" i="1"/>
  <c r="CM274" i="1"/>
  <c r="CL274" i="1"/>
  <c r="CK274" i="1"/>
  <c r="BZ274" i="1"/>
  <c r="BO274" i="1"/>
  <c r="BC274" i="1"/>
  <c r="BB274" i="1"/>
  <c r="BA274" i="1"/>
  <c r="AZ274" i="1"/>
  <c r="GM274" i="1" s="1"/>
  <c r="AY274" i="1"/>
  <c r="AX274" i="1"/>
  <c r="AW274" i="1"/>
  <c r="AV274" i="1"/>
  <c r="GI274" i="1" s="1"/>
  <c r="AU274" i="1"/>
  <c r="AT274" i="1"/>
  <c r="AS274" i="1"/>
  <c r="AH274" i="1"/>
  <c r="W274" i="1"/>
  <c r="L274" i="1"/>
  <c r="IT273" i="1"/>
  <c r="IO273" i="1"/>
  <c r="II273" i="1"/>
  <c r="IH273" i="1"/>
  <c r="IG273" i="1"/>
  <c r="IF273" i="1"/>
  <c r="IJ273" i="1" s="1"/>
  <c r="IE273" i="1"/>
  <c r="HZ273" i="1"/>
  <c r="HU273" i="1"/>
  <c r="HO273" i="1"/>
  <c r="HO272" i="1" s="1"/>
  <c r="HN273" i="1"/>
  <c r="HM273" i="1"/>
  <c r="HL273" i="1"/>
  <c r="HK273" i="1"/>
  <c r="HK272" i="1" s="1"/>
  <c r="HF273" i="1"/>
  <c r="HA273" i="1"/>
  <c r="GV273" i="1"/>
  <c r="GE273" i="1"/>
  <c r="GE272" i="1" s="1"/>
  <c r="GD273" i="1"/>
  <c r="GC273" i="1"/>
  <c r="GB273" i="1"/>
  <c r="GA273" i="1"/>
  <c r="GA272" i="1" s="1"/>
  <c r="FZ273" i="1"/>
  <c r="FY273" i="1"/>
  <c r="FX273" i="1"/>
  <c r="FW273" i="1"/>
  <c r="GF273" i="1" s="1"/>
  <c r="FV273" i="1"/>
  <c r="FU273" i="1"/>
  <c r="FJ273" i="1"/>
  <c r="EY273" i="1"/>
  <c r="EY272" i="1" s="1"/>
  <c r="EM273" i="1"/>
  <c r="EL273" i="1"/>
  <c r="EK273" i="1"/>
  <c r="EJ273" i="1"/>
  <c r="EJ272" i="1" s="1"/>
  <c r="EI273" i="1"/>
  <c r="EH273" i="1"/>
  <c r="EG273" i="1"/>
  <c r="EF273" i="1"/>
  <c r="EE273" i="1"/>
  <c r="ED273" i="1"/>
  <c r="DR273" i="1"/>
  <c r="DG273" i="1"/>
  <c r="DG272" i="1" s="1"/>
  <c r="CU273" i="1"/>
  <c r="CT273" i="1"/>
  <c r="CS273" i="1"/>
  <c r="CR273" i="1"/>
  <c r="CR272" i="1" s="1"/>
  <c r="CQ273" i="1"/>
  <c r="CP273" i="1"/>
  <c r="CO273" i="1"/>
  <c r="CN273" i="1"/>
  <c r="CN272" i="1" s="1"/>
  <c r="CM273" i="1"/>
  <c r="CL273" i="1"/>
  <c r="CK273" i="1"/>
  <c r="BZ273" i="1"/>
  <c r="BZ272" i="1" s="1"/>
  <c r="BO273" i="1"/>
  <c r="BC273" i="1"/>
  <c r="BB273" i="1"/>
  <c r="BA273" i="1"/>
  <c r="GN273" i="1" s="1"/>
  <c r="AZ273" i="1"/>
  <c r="AY273" i="1"/>
  <c r="AX273" i="1"/>
  <c r="AW273" i="1"/>
  <c r="GJ273" i="1" s="1"/>
  <c r="AV273" i="1"/>
  <c r="AU273" i="1"/>
  <c r="AT273" i="1"/>
  <c r="AS273" i="1"/>
  <c r="AS272" i="1" s="1"/>
  <c r="AH273" i="1"/>
  <c r="W273" i="1"/>
  <c r="L273" i="1"/>
  <c r="IV272" i="1"/>
  <c r="IU272" i="1"/>
  <c r="IS272" i="1"/>
  <c r="IR272" i="1"/>
  <c r="IQ272" i="1"/>
  <c r="IP272" i="1"/>
  <c r="IN272" i="1"/>
  <c r="IM272" i="1"/>
  <c r="IL272" i="1"/>
  <c r="IK272" i="1"/>
  <c r="ID272" i="1"/>
  <c r="IC272" i="1"/>
  <c r="IB272" i="1"/>
  <c r="IA272" i="1"/>
  <c r="HY272" i="1"/>
  <c r="HX272" i="1"/>
  <c r="HW272" i="1"/>
  <c r="HV272" i="1"/>
  <c r="HT272" i="1"/>
  <c r="HS272" i="1"/>
  <c r="HR272" i="1"/>
  <c r="HQ272" i="1"/>
  <c r="HJ272" i="1"/>
  <c r="HI272" i="1"/>
  <c r="HH272" i="1"/>
  <c r="HG272" i="1"/>
  <c r="HE272" i="1"/>
  <c r="HD272" i="1"/>
  <c r="HC272" i="1"/>
  <c r="HB272" i="1"/>
  <c r="GZ272" i="1"/>
  <c r="GY272" i="1"/>
  <c r="GX272" i="1"/>
  <c r="GW272" i="1"/>
  <c r="GU272" i="1"/>
  <c r="GT272" i="1"/>
  <c r="GS272" i="1"/>
  <c r="GR272" i="1"/>
  <c r="FT272" i="1"/>
  <c r="FS272" i="1"/>
  <c r="FR272" i="1"/>
  <c r="FQ272" i="1"/>
  <c r="FP272" i="1"/>
  <c r="FO272" i="1"/>
  <c r="FN272" i="1"/>
  <c r="FM272" i="1"/>
  <c r="FL272" i="1"/>
  <c r="FK272" i="1"/>
  <c r="FI272" i="1"/>
  <c r="FH272" i="1"/>
  <c r="FG272" i="1"/>
  <c r="FF272" i="1"/>
  <c r="FE272" i="1"/>
  <c r="FD272" i="1"/>
  <c r="FC272" i="1"/>
  <c r="FB272" i="1"/>
  <c r="FA272" i="1"/>
  <c r="EZ272" i="1"/>
  <c r="EX272" i="1"/>
  <c r="EW272" i="1"/>
  <c r="EV272" i="1"/>
  <c r="EU272" i="1"/>
  <c r="ET272" i="1"/>
  <c r="ES272" i="1"/>
  <c r="ER272" i="1"/>
  <c r="EQ272" i="1"/>
  <c r="EP272" i="1"/>
  <c r="EO272" i="1"/>
  <c r="ED272" i="1"/>
  <c r="EC272" i="1"/>
  <c r="EB272" i="1"/>
  <c r="EA272" i="1"/>
  <c r="DZ272" i="1"/>
  <c r="DY272" i="1"/>
  <c r="DX272" i="1"/>
  <c r="DW272" i="1"/>
  <c r="DV272" i="1"/>
  <c r="DU272" i="1"/>
  <c r="DT272" i="1"/>
  <c r="DS272" i="1"/>
  <c r="DQ272" i="1"/>
  <c r="DP272" i="1"/>
  <c r="DO272" i="1"/>
  <c r="DN272" i="1"/>
  <c r="DM272" i="1"/>
  <c r="DL272" i="1"/>
  <c r="DK272" i="1"/>
  <c r="DJ272" i="1"/>
  <c r="DI272" i="1"/>
  <c r="DH272" i="1"/>
  <c r="DF272" i="1"/>
  <c r="DE272" i="1"/>
  <c r="DD272" i="1"/>
  <c r="DC272" i="1"/>
  <c r="DB272" i="1"/>
  <c r="DA272" i="1"/>
  <c r="CZ272" i="1"/>
  <c r="CY272" i="1"/>
  <c r="CX272" i="1"/>
  <c r="CW272" i="1"/>
  <c r="CS272" i="1"/>
  <c r="CJ272" i="1"/>
  <c r="CI272" i="1"/>
  <c r="CH272" i="1"/>
  <c r="CG272" i="1"/>
  <c r="CF272" i="1"/>
  <c r="CE272" i="1"/>
  <c r="CD272" i="1"/>
  <c r="CC272" i="1"/>
  <c r="CB272" i="1"/>
  <c r="CA272" i="1"/>
  <c r="BY272" i="1"/>
  <c r="BX272" i="1"/>
  <c r="BW272" i="1"/>
  <c r="BV272" i="1"/>
  <c r="BU272" i="1"/>
  <c r="BT272" i="1"/>
  <c r="BS272" i="1"/>
  <c r="BR272" i="1"/>
  <c r="BQ272" i="1"/>
  <c r="BP272" i="1"/>
  <c r="BN272" i="1"/>
  <c r="BM272" i="1"/>
  <c r="BL272" i="1"/>
  <c r="BK272" i="1"/>
  <c r="BJ272" i="1"/>
  <c r="BI272" i="1"/>
  <c r="BH272" i="1"/>
  <c r="BG272" i="1"/>
  <c r="BF272" i="1"/>
  <c r="BE272" i="1"/>
  <c r="AR272" i="1"/>
  <c r="AQ272" i="1"/>
  <c r="AP272" i="1"/>
  <c r="AO272" i="1"/>
  <c r="AN272" i="1"/>
  <c r="AM272" i="1"/>
  <c r="AL272" i="1"/>
  <c r="AK272" i="1"/>
  <c r="AJ272" i="1"/>
  <c r="AI272" i="1"/>
  <c r="AG272" i="1"/>
  <c r="AF272" i="1"/>
  <c r="AE272" i="1"/>
  <c r="AD272" i="1"/>
  <c r="AC272" i="1"/>
  <c r="AB272" i="1"/>
  <c r="AA272" i="1"/>
  <c r="Z272" i="1"/>
  <c r="Y272" i="1"/>
  <c r="X272" i="1"/>
  <c r="V272" i="1"/>
  <c r="U272" i="1"/>
  <c r="T272" i="1"/>
  <c r="S272" i="1"/>
  <c r="R272" i="1"/>
  <c r="Q272" i="1"/>
  <c r="P272" i="1"/>
  <c r="O272" i="1"/>
  <c r="N272" i="1"/>
  <c r="M272" i="1"/>
  <c r="K272" i="1"/>
  <c r="J272" i="1"/>
  <c r="I272" i="1"/>
  <c r="H272" i="1"/>
  <c r="G272" i="1"/>
  <c r="F272" i="1"/>
  <c r="E272" i="1"/>
  <c r="D272" i="1"/>
  <c r="C272" i="1"/>
  <c r="B272" i="1"/>
  <c r="IT271" i="1"/>
  <c r="IO271" i="1"/>
  <c r="II271" i="1"/>
  <c r="IH271" i="1"/>
  <c r="IG271" i="1"/>
  <c r="IF271" i="1"/>
  <c r="IE271" i="1"/>
  <c r="HZ271" i="1"/>
  <c r="HU271" i="1"/>
  <c r="HO271" i="1"/>
  <c r="HN271" i="1"/>
  <c r="HM271" i="1"/>
  <c r="HL271" i="1"/>
  <c r="HK271" i="1"/>
  <c r="HF271" i="1"/>
  <c r="HA271" i="1"/>
  <c r="GV271" i="1"/>
  <c r="GE271" i="1"/>
  <c r="GD271" i="1"/>
  <c r="GC271" i="1"/>
  <c r="GB271" i="1"/>
  <c r="GA271" i="1"/>
  <c r="FZ271" i="1"/>
  <c r="FY271" i="1"/>
  <c r="FX271" i="1"/>
  <c r="FW271" i="1"/>
  <c r="FV271" i="1"/>
  <c r="FU271" i="1"/>
  <c r="FJ271" i="1"/>
  <c r="EY271" i="1"/>
  <c r="EM271" i="1"/>
  <c r="EL271" i="1"/>
  <c r="EK271" i="1"/>
  <c r="EJ271" i="1"/>
  <c r="EI271" i="1"/>
  <c r="EH271" i="1"/>
  <c r="EG271" i="1"/>
  <c r="EF271" i="1"/>
  <c r="EE271" i="1"/>
  <c r="ED271" i="1"/>
  <c r="DR271" i="1"/>
  <c r="DG271" i="1"/>
  <c r="CU271" i="1"/>
  <c r="CT271" i="1"/>
  <c r="CS271" i="1"/>
  <c r="CR271" i="1"/>
  <c r="CQ271" i="1"/>
  <c r="CP271" i="1"/>
  <c r="CO271" i="1"/>
  <c r="CN271" i="1"/>
  <c r="CM271" i="1"/>
  <c r="CL271" i="1"/>
  <c r="CK271" i="1"/>
  <c r="BZ271" i="1"/>
  <c r="BO271" i="1"/>
  <c r="BC271" i="1"/>
  <c r="BB271" i="1"/>
  <c r="BA271" i="1"/>
  <c r="AZ271" i="1"/>
  <c r="AY271" i="1"/>
  <c r="AX271" i="1"/>
  <c r="AW271" i="1"/>
  <c r="AV271" i="1"/>
  <c r="AU271" i="1"/>
  <c r="AT271" i="1"/>
  <c r="AS271" i="1"/>
  <c r="AH271" i="1"/>
  <c r="W271" i="1"/>
  <c r="L271" i="1"/>
  <c r="IT270" i="1"/>
  <c r="IO270" i="1"/>
  <c r="II270" i="1"/>
  <c r="IH270" i="1"/>
  <c r="IG270" i="1"/>
  <c r="IF270" i="1"/>
  <c r="IE270" i="1"/>
  <c r="HZ270" i="1"/>
  <c r="HU270" i="1"/>
  <c r="HO270" i="1"/>
  <c r="HN270" i="1"/>
  <c r="HM270" i="1"/>
  <c r="HL270" i="1"/>
  <c r="HK270" i="1"/>
  <c r="HF270" i="1"/>
  <c r="HA270" i="1"/>
  <c r="GV270" i="1"/>
  <c r="GE270" i="1"/>
  <c r="GD270" i="1"/>
  <c r="GC270" i="1"/>
  <c r="GB270" i="1"/>
  <c r="GA270" i="1"/>
  <c r="FZ270" i="1"/>
  <c r="FY270" i="1"/>
  <c r="FX270" i="1"/>
  <c r="FW270" i="1"/>
  <c r="FV270" i="1"/>
  <c r="FU270" i="1"/>
  <c r="FJ270" i="1"/>
  <c r="EY270" i="1"/>
  <c r="EM270" i="1"/>
  <c r="EL270" i="1"/>
  <c r="EK270" i="1"/>
  <c r="EJ270" i="1"/>
  <c r="EI270" i="1"/>
  <c r="EH270" i="1"/>
  <c r="EG270" i="1"/>
  <c r="EF270" i="1"/>
  <c r="EE270" i="1"/>
  <c r="ED270" i="1"/>
  <c r="DR270" i="1"/>
  <c r="DG270" i="1"/>
  <c r="CU270" i="1"/>
  <c r="CT270" i="1"/>
  <c r="CS270" i="1"/>
  <c r="CR270" i="1"/>
  <c r="CQ270" i="1"/>
  <c r="CP270" i="1"/>
  <c r="CO270" i="1"/>
  <c r="CN270" i="1"/>
  <c r="CM270" i="1"/>
  <c r="CL270" i="1"/>
  <c r="CK270" i="1"/>
  <c r="BZ270" i="1"/>
  <c r="BO270" i="1"/>
  <c r="BC270" i="1"/>
  <c r="BB270" i="1"/>
  <c r="BA270" i="1"/>
  <c r="AZ270" i="1"/>
  <c r="AY270" i="1"/>
  <c r="AX270" i="1"/>
  <c r="AW270" i="1"/>
  <c r="AV270" i="1"/>
  <c r="AU270" i="1"/>
  <c r="AT270" i="1"/>
  <c r="AS270" i="1"/>
  <c r="AH270" i="1"/>
  <c r="W270" i="1"/>
  <c r="L270" i="1"/>
  <c r="IT269" i="1"/>
  <c r="IO269" i="1"/>
  <c r="II269" i="1"/>
  <c r="IH269" i="1"/>
  <c r="IG269" i="1"/>
  <c r="IF269" i="1"/>
  <c r="IE269" i="1"/>
  <c r="HZ269" i="1"/>
  <c r="HU269" i="1"/>
  <c r="HO269" i="1"/>
  <c r="HN269" i="1"/>
  <c r="HM269" i="1"/>
  <c r="HL269" i="1"/>
  <c r="HK269" i="1"/>
  <c r="HF269" i="1"/>
  <c r="HA269" i="1"/>
  <c r="GV269" i="1"/>
  <c r="GE269" i="1"/>
  <c r="GD269" i="1"/>
  <c r="GC269" i="1"/>
  <c r="GB269" i="1"/>
  <c r="GA269" i="1"/>
  <c r="FZ269" i="1"/>
  <c r="FY269" i="1"/>
  <c r="FX269" i="1"/>
  <c r="FW269" i="1"/>
  <c r="FV269" i="1"/>
  <c r="FU269" i="1"/>
  <c r="FJ269" i="1"/>
  <c r="EY269" i="1"/>
  <c r="EM269" i="1"/>
  <c r="EL269" i="1"/>
  <c r="EK269" i="1"/>
  <c r="EJ269" i="1"/>
  <c r="EI269" i="1"/>
  <c r="EH269" i="1"/>
  <c r="EG269" i="1"/>
  <c r="EF269" i="1"/>
  <c r="EE269" i="1"/>
  <c r="ED269" i="1"/>
  <c r="DR269" i="1"/>
  <c r="DG269" i="1"/>
  <c r="CU269" i="1"/>
  <c r="CT269" i="1"/>
  <c r="CS269" i="1"/>
  <c r="CR269" i="1"/>
  <c r="CQ269" i="1"/>
  <c r="CP269" i="1"/>
  <c r="CO269" i="1"/>
  <c r="CN269" i="1"/>
  <c r="CM269" i="1"/>
  <c r="CL269" i="1"/>
  <c r="CK269" i="1"/>
  <c r="BZ269" i="1"/>
  <c r="BO269" i="1"/>
  <c r="BC269" i="1"/>
  <c r="BB269" i="1"/>
  <c r="BA269" i="1"/>
  <c r="AZ269" i="1"/>
  <c r="AY269" i="1"/>
  <c r="AX269" i="1"/>
  <c r="AW269" i="1"/>
  <c r="AV269" i="1"/>
  <c r="AU269" i="1"/>
  <c r="AT269" i="1"/>
  <c r="AS269" i="1"/>
  <c r="AH269" i="1"/>
  <c r="W269" i="1"/>
  <c r="L269" i="1"/>
  <c r="IT268" i="1"/>
  <c r="IO268" i="1"/>
  <c r="II268" i="1"/>
  <c r="IH268" i="1"/>
  <c r="IG268" i="1"/>
  <c r="IF268" i="1"/>
  <c r="IE268" i="1"/>
  <c r="HZ268" i="1"/>
  <c r="HU268" i="1"/>
  <c r="HO268" i="1"/>
  <c r="HN268" i="1"/>
  <c r="HM268" i="1"/>
  <c r="HL268" i="1"/>
  <c r="HK268" i="1"/>
  <c r="HF268" i="1"/>
  <c r="HA268" i="1"/>
  <c r="GV268" i="1"/>
  <c r="GE268" i="1"/>
  <c r="GD268" i="1"/>
  <c r="GC268" i="1"/>
  <c r="GB268" i="1"/>
  <c r="GA268" i="1"/>
  <c r="FZ268" i="1"/>
  <c r="FY268" i="1"/>
  <c r="FX268" i="1"/>
  <c r="FW268" i="1"/>
  <c r="FV268" i="1"/>
  <c r="FU268" i="1"/>
  <c r="FJ268" i="1"/>
  <c r="EY268" i="1"/>
  <c r="EM268" i="1"/>
  <c r="EL268" i="1"/>
  <c r="EK268" i="1"/>
  <c r="EJ268" i="1"/>
  <c r="EI268" i="1"/>
  <c r="EH268" i="1"/>
  <c r="EG268" i="1"/>
  <c r="EF268" i="1"/>
  <c r="EE268" i="1"/>
  <c r="ED268" i="1"/>
  <c r="DR268" i="1"/>
  <c r="DG268" i="1"/>
  <c r="CU268" i="1"/>
  <c r="CT268" i="1"/>
  <c r="CS268" i="1"/>
  <c r="CR268" i="1"/>
  <c r="CQ268" i="1"/>
  <c r="CP268" i="1"/>
  <c r="CO268" i="1"/>
  <c r="CN268" i="1"/>
  <c r="CM268" i="1"/>
  <c r="CL268" i="1"/>
  <c r="CK268" i="1"/>
  <c r="BZ268" i="1"/>
  <c r="BO268" i="1"/>
  <c r="BC268" i="1"/>
  <c r="BB268" i="1"/>
  <c r="BA268" i="1"/>
  <c r="AZ268" i="1"/>
  <c r="AY268" i="1"/>
  <c r="AX268" i="1"/>
  <c r="AW268" i="1"/>
  <c r="AV268" i="1"/>
  <c r="AU268" i="1"/>
  <c r="AT268" i="1"/>
  <c r="AS268" i="1"/>
  <c r="AH268" i="1"/>
  <c r="W268" i="1"/>
  <c r="L268" i="1"/>
  <c r="IT267" i="1"/>
  <c r="IO267" i="1"/>
  <c r="II267" i="1"/>
  <c r="IH267" i="1"/>
  <c r="IG267" i="1"/>
  <c r="IF267" i="1"/>
  <c r="IE267" i="1"/>
  <c r="HZ267" i="1"/>
  <c r="HU267" i="1"/>
  <c r="HO267" i="1"/>
  <c r="HN267" i="1"/>
  <c r="HM267" i="1"/>
  <c r="HL267" i="1"/>
  <c r="HK267" i="1"/>
  <c r="HF267" i="1"/>
  <c r="HF264" i="1" s="1"/>
  <c r="HA267" i="1"/>
  <c r="GV267" i="1"/>
  <c r="GE267" i="1"/>
  <c r="GD267" i="1"/>
  <c r="GC267" i="1"/>
  <c r="GB267" i="1"/>
  <c r="GA267" i="1"/>
  <c r="FZ267" i="1"/>
  <c r="FY267" i="1"/>
  <c r="FX267" i="1"/>
  <c r="FW267" i="1"/>
  <c r="FV267" i="1"/>
  <c r="FU267" i="1"/>
  <c r="FJ267" i="1"/>
  <c r="EY267" i="1"/>
  <c r="EM267" i="1"/>
  <c r="EL267" i="1"/>
  <c r="EK267" i="1"/>
  <c r="EJ267" i="1"/>
  <c r="EI267" i="1"/>
  <c r="EH267" i="1"/>
  <c r="EG267" i="1"/>
  <c r="EF267" i="1"/>
  <c r="EE267" i="1"/>
  <c r="ED267" i="1"/>
  <c r="DR267" i="1"/>
  <c r="DG267" i="1"/>
  <c r="CU267" i="1"/>
  <c r="CT267" i="1"/>
  <c r="CS267" i="1"/>
  <c r="CR267" i="1"/>
  <c r="CQ267" i="1"/>
  <c r="CP267" i="1"/>
  <c r="CO267" i="1"/>
  <c r="CN267" i="1"/>
  <c r="CM267" i="1"/>
  <c r="CL267" i="1"/>
  <c r="CK267" i="1"/>
  <c r="BZ267" i="1"/>
  <c r="BO267" i="1"/>
  <c r="BC267" i="1"/>
  <c r="BB267" i="1"/>
  <c r="BA267" i="1"/>
  <c r="AZ267" i="1"/>
  <c r="AZ264" i="1" s="1"/>
  <c r="AY267" i="1"/>
  <c r="AX267" i="1"/>
  <c r="AW267" i="1"/>
  <c r="AV267" i="1"/>
  <c r="AV264" i="1" s="1"/>
  <c r="AU267" i="1"/>
  <c r="AT267" i="1"/>
  <c r="AS267" i="1"/>
  <c r="AH267" i="1"/>
  <c r="W267" i="1"/>
  <c r="L267" i="1"/>
  <c r="IT266" i="1"/>
  <c r="IO266" i="1"/>
  <c r="II266" i="1"/>
  <c r="IH266" i="1"/>
  <c r="IG266" i="1"/>
  <c r="IF266" i="1"/>
  <c r="IE266" i="1"/>
  <c r="HZ266" i="1"/>
  <c r="HU266" i="1"/>
  <c r="HO266" i="1"/>
  <c r="HN266" i="1"/>
  <c r="HM266" i="1"/>
  <c r="HL266" i="1"/>
  <c r="HK266" i="1"/>
  <c r="HF266" i="1"/>
  <c r="HA266" i="1"/>
  <c r="GV266" i="1"/>
  <c r="GE266" i="1"/>
  <c r="GD266" i="1"/>
  <c r="GC266" i="1"/>
  <c r="GB266" i="1"/>
  <c r="GA266" i="1"/>
  <c r="FZ266" i="1"/>
  <c r="FY266" i="1"/>
  <c r="FX266" i="1"/>
  <c r="FW266" i="1"/>
  <c r="FV266" i="1"/>
  <c r="FU266" i="1"/>
  <c r="FJ266" i="1"/>
  <c r="EY266" i="1"/>
  <c r="EM266" i="1"/>
  <c r="EL266" i="1"/>
  <c r="EK266" i="1"/>
  <c r="EJ266" i="1"/>
  <c r="EI266" i="1"/>
  <c r="EH266" i="1"/>
  <c r="EG266" i="1"/>
  <c r="EF266" i="1"/>
  <c r="EE266" i="1"/>
  <c r="ED266" i="1"/>
  <c r="DR266" i="1"/>
  <c r="DG266" i="1"/>
  <c r="CU266" i="1"/>
  <c r="CT266" i="1"/>
  <c r="CS266" i="1"/>
  <c r="CR266" i="1"/>
  <c r="CR264" i="1" s="1"/>
  <c r="CQ266" i="1"/>
  <c r="CP266" i="1"/>
  <c r="CO266" i="1"/>
  <c r="CN266" i="1"/>
  <c r="CM266" i="1"/>
  <c r="CL266" i="1"/>
  <c r="CK266" i="1"/>
  <c r="BZ266" i="1"/>
  <c r="BO266" i="1"/>
  <c r="BC266" i="1"/>
  <c r="BB266" i="1"/>
  <c r="BA266" i="1"/>
  <c r="AZ266" i="1"/>
  <c r="AY266" i="1"/>
  <c r="AX266" i="1"/>
  <c r="AW266" i="1"/>
  <c r="AV266" i="1"/>
  <c r="AU266" i="1"/>
  <c r="AT266" i="1"/>
  <c r="AS266" i="1"/>
  <c r="AH266" i="1"/>
  <c r="W266" i="1"/>
  <c r="L266" i="1"/>
  <c r="IT265" i="1"/>
  <c r="IO265" i="1"/>
  <c r="II265" i="1"/>
  <c r="IH265" i="1"/>
  <c r="IG265" i="1"/>
  <c r="IF265" i="1"/>
  <c r="IE265" i="1"/>
  <c r="HZ265" i="1"/>
  <c r="HU265" i="1"/>
  <c r="HO265" i="1"/>
  <c r="HN265" i="1"/>
  <c r="HM265" i="1"/>
  <c r="HL265" i="1"/>
  <c r="HK265" i="1"/>
  <c r="HF265" i="1"/>
  <c r="HA265" i="1"/>
  <c r="GV265" i="1"/>
  <c r="GE265" i="1"/>
  <c r="GD265" i="1"/>
  <c r="GC265" i="1"/>
  <c r="GB265" i="1"/>
  <c r="GA265" i="1"/>
  <c r="FZ265" i="1"/>
  <c r="FY265" i="1"/>
  <c r="FX265" i="1"/>
  <c r="FW265" i="1"/>
  <c r="FV265" i="1"/>
  <c r="FU265" i="1"/>
  <c r="FJ265" i="1"/>
  <c r="FJ264" i="1" s="1"/>
  <c r="EY265" i="1"/>
  <c r="EM265" i="1"/>
  <c r="EL265" i="1"/>
  <c r="EK265" i="1"/>
  <c r="EJ265" i="1"/>
  <c r="EI265" i="1"/>
  <c r="EH265" i="1"/>
  <c r="EG265" i="1"/>
  <c r="EG264" i="1" s="1"/>
  <c r="EF265" i="1"/>
  <c r="EE265" i="1"/>
  <c r="ED265" i="1"/>
  <c r="DR265" i="1"/>
  <c r="DG265" i="1"/>
  <c r="CU265" i="1"/>
  <c r="CT265" i="1"/>
  <c r="CS265" i="1"/>
  <c r="CR265" i="1"/>
  <c r="CQ265" i="1"/>
  <c r="CP265" i="1"/>
  <c r="CO265" i="1"/>
  <c r="CN265" i="1"/>
  <c r="CM265" i="1"/>
  <c r="CL265" i="1"/>
  <c r="CK265" i="1"/>
  <c r="BZ265" i="1"/>
  <c r="BO265" i="1"/>
  <c r="BC265" i="1"/>
  <c r="BB265" i="1"/>
  <c r="BA265" i="1"/>
  <c r="AZ265" i="1"/>
  <c r="AY265" i="1"/>
  <c r="AX265" i="1"/>
  <c r="AX264" i="1" s="1"/>
  <c r="AW265" i="1"/>
  <c r="AV265" i="1"/>
  <c r="AU265" i="1"/>
  <c r="AT265" i="1"/>
  <c r="AS265" i="1"/>
  <c r="AH265" i="1"/>
  <c r="W265" i="1"/>
  <c r="L265" i="1"/>
  <c r="IV264" i="1"/>
  <c r="IU264" i="1"/>
  <c r="IS264" i="1"/>
  <c r="IR264" i="1"/>
  <c r="IQ264" i="1"/>
  <c r="IP264" i="1"/>
  <c r="IP259" i="1" s="1"/>
  <c r="IP257" i="1" s="1"/>
  <c r="IP256" i="1" s="1"/>
  <c r="IN264" i="1"/>
  <c r="IM264" i="1"/>
  <c r="IL264" i="1"/>
  <c r="IL259" i="1" s="1"/>
  <c r="IK264" i="1"/>
  <c r="ID264" i="1"/>
  <c r="ID259" i="1" s="1"/>
  <c r="IC264" i="1"/>
  <c r="IB264" i="1"/>
  <c r="IA264" i="1"/>
  <c r="HY264" i="1"/>
  <c r="HX264" i="1"/>
  <c r="HW264" i="1"/>
  <c r="HV264" i="1"/>
  <c r="HV259" i="1" s="1"/>
  <c r="HT264" i="1"/>
  <c r="HS264" i="1"/>
  <c r="HR264" i="1"/>
  <c r="HR259" i="1" s="1"/>
  <c r="HQ264" i="1"/>
  <c r="HJ264" i="1"/>
  <c r="HJ259" i="1" s="1"/>
  <c r="HJ257" i="1" s="1"/>
  <c r="HJ256" i="1" s="1"/>
  <c r="HI264" i="1"/>
  <c r="HH264" i="1"/>
  <c r="HG264" i="1"/>
  <c r="HE264" i="1"/>
  <c r="HD264" i="1"/>
  <c r="HC264" i="1"/>
  <c r="HB264" i="1"/>
  <c r="HB259" i="1" s="1"/>
  <c r="GZ264" i="1"/>
  <c r="GY264" i="1"/>
  <c r="GX264" i="1"/>
  <c r="GX259" i="1" s="1"/>
  <c r="GW264" i="1"/>
  <c r="GU264" i="1"/>
  <c r="GT264" i="1"/>
  <c r="GT259" i="1" s="1"/>
  <c r="GT257" i="1" s="1"/>
  <c r="GS264" i="1"/>
  <c r="GS259" i="1" s="1"/>
  <c r="GR264" i="1"/>
  <c r="FT264" i="1"/>
  <c r="FS264" i="1"/>
  <c r="FR264" i="1"/>
  <c r="FR259" i="1" s="1"/>
  <c r="FQ264" i="1"/>
  <c r="FQ259" i="1" s="1"/>
  <c r="FP264" i="1"/>
  <c r="FO264" i="1"/>
  <c r="FN264" i="1"/>
  <c r="FN259" i="1" s="1"/>
  <c r="FM264" i="1"/>
  <c r="FL264" i="1"/>
  <c r="FK264" i="1"/>
  <c r="FI264" i="1"/>
  <c r="FI259" i="1" s="1"/>
  <c r="FI257" i="1" s="1"/>
  <c r="FI256" i="1" s="1"/>
  <c r="FH264" i="1"/>
  <c r="FG264" i="1"/>
  <c r="FF264" i="1"/>
  <c r="FE264" i="1"/>
  <c r="FD264" i="1"/>
  <c r="FC264" i="1"/>
  <c r="FB264" i="1"/>
  <c r="FB259" i="1" s="1"/>
  <c r="FB257" i="1" s="1"/>
  <c r="FA264" i="1"/>
  <c r="EZ264" i="1"/>
  <c r="EX264" i="1"/>
  <c r="EX259" i="1" s="1"/>
  <c r="EW264" i="1"/>
  <c r="EV264" i="1"/>
  <c r="EU264" i="1"/>
  <c r="ET264" i="1"/>
  <c r="ET259" i="1" s="1"/>
  <c r="ES264" i="1"/>
  <c r="ES259" i="1" s="1"/>
  <c r="ER264" i="1"/>
  <c r="EQ264" i="1"/>
  <c r="EP264" i="1"/>
  <c r="EP259" i="1" s="1"/>
  <c r="EO264" i="1"/>
  <c r="EC264" i="1"/>
  <c r="EB264" i="1"/>
  <c r="EA264" i="1"/>
  <c r="EA259" i="1" s="1"/>
  <c r="DZ264" i="1"/>
  <c r="DZ259" i="1" s="1"/>
  <c r="DY264" i="1"/>
  <c r="DX264" i="1"/>
  <c r="DW264" i="1"/>
  <c r="DV264" i="1"/>
  <c r="DV259" i="1" s="1"/>
  <c r="DU264" i="1"/>
  <c r="DT264" i="1"/>
  <c r="DS264" i="1"/>
  <c r="DQ264" i="1"/>
  <c r="DP264" i="1"/>
  <c r="DO264" i="1"/>
  <c r="DO259" i="1" s="1"/>
  <c r="DN264" i="1"/>
  <c r="DM264" i="1"/>
  <c r="DL264" i="1"/>
  <c r="DK264" i="1"/>
  <c r="DK259" i="1" s="1"/>
  <c r="DJ264" i="1"/>
  <c r="DI264" i="1"/>
  <c r="DH264" i="1"/>
  <c r="DF264" i="1"/>
  <c r="DF259" i="1" s="1"/>
  <c r="DE264" i="1"/>
  <c r="DD264" i="1"/>
  <c r="DC264" i="1"/>
  <c r="DB264" i="1"/>
  <c r="DB259" i="1" s="1"/>
  <c r="DA264" i="1"/>
  <c r="CZ264" i="1"/>
  <c r="CY264" i="1"/>
  <c r="CY259" i="1" s="1"/>
  <c r="CY257" i="1" s="1"/>
  <c r="CY256" i="1" s="1"/>
  <c r="CX264" i="1"/>
  <c r="CX259" i="1" s="1"/>
  <c r="CW264" i="1"/>
  <c r="CJ264" i="1"/>
  <c r="CI264" i="1"/>
  <c r="CI259" i="1" s="1"/>
  <c r="CI257" i="1" s="1"/>
  <c r="CI256" i="1" s="1"/>
  <c r="CH264" i="1"/>
  <c r="CH259" i="1" s="1"/>
  <c r="CG264" i="1"/>
  <c r="CF264" i="1"/>
  <c r="CE264" i="1"/>
  <c r="CD264" i="1"/>
  <c r="CD259" i="1" s="1"/>
  <c r="CC264" i="1"/>
  <c r="CB264" i="1"/>
  <c r="CA264" i="1"/>
  <c r="BY264" i="1"/>
  <c r="BX264" i="1"/>
  <c r="BW264" i="1"/>
  <c r="BV264" i="1"/>
  <c r="BU264" i="1"/>
  <c r="BT264" i="1"/>
  <c r="BT259" i="1" s="1"/>
  <c r="BS264" i="1"/>
  <c r="BR264" i="1"/>
  <c r="BQ264" i="1"/>
  <c r="BP264" i="1"/>
  <c r="BN264" i="1"/>
  <c r="BN259" i="1" s="1"/>
  <c r="BN257" i="1" s="1"/>
  <c r="BN256" i="1" s="1"/>
  <c r="BM264" i="1"/>
  <c r="BL264" i="1"/>
  <c r="BK264" i="1"/>
  <c r="BJ264" i="1"/>
  <c r="BJ259" i="1" s="1"/>
  <c r="BI264" i="1"/>
  <c r="BH264" i="1"/>
  <c r="BG264" i="1"/>
  <c r="BG259" i="1" s="1"/>
  <c r="BG257" i="1" s="1"/>
  <c r="BG256" i="1" s="1"/>
  <c r="BF264" i="1"/>
  <c r="BF259" i="1" s="1"/>
  <c r="BE264" i="1"/>
  <c r="AR264" i="1"/>
  <c r="AQ264" i="1"/>
  <c r="AQ259" i="1" s="1"/>
  <c r="AQ257" i="1" s="1"/>
  <c r="AQ256" i="1" s="1"/>
  <c r="AP264" i="1"/>
  <c r="AO264" i="1"/>
  <c r="AN264" i="1"/>
  <c r="AM264" i="1"/>
  <c r="AL264" i="1"/>
  <c r="AK264" i="1"/>
  <c r="AJ264" i="1"/>
  <c r="AI264" i="1"/>
  <c r="AG264" i="1"/>
  <c r="AF264" i="1"/>
  <c r="AE264" i="1"/>
  <c r="AE259" i="1" s="1"/>
  <c r="AD264" i="1"/>
  <c r="AC264" i="1"/>
  <c r="AB264" i="1"/>
  <c r="AA264" i="1"/>
  <c r="Z264" i="1"/>
  <c r="Y264" i="1"/>
  <c r="X264" i="1"/>
  <c r="V264" i="1"/>
  <c r="U264" i="1"/>
  <c r="T264" i="1"/>
  <c r="S264" i="1"/>
  <c r="R264" i="1"/>
  <c r="Q264" i="1"/>
  <c r="P264" i="1"/>
  <c r="O264" i="1"/>
  <c r="N264" i="1"/>
  <c r="M264" i="1"/>
  <c r="K264" i="1"/>
  <c r="J264" i="1"/>
  <c r="J259" i="1" s="1"/>
  <c r="I264" i="1"/>
  <c r="H264" i="1"/>
  <c r="G264" i="1"/>
  <c r="F264" i="1"/>
  <c r="F259" i="1" s="1"/>
  <c r="F257" i="1" s="1"/>
  <c r="F256" i="1" s="1"/>
  <c r="E264" i="1"/>
  <c r="D264" i="1"/>
  <c r="C264" i="1"/>
  <c r="B264" i="1"/>
  <c r="IT263" i="1"/>
  <c r="IO263" i="1"/>
  <c r="II263" i="1"/>
  <c r="IH263" i="1"/>
  <c r="IG263" i="1"/>
  <c r="IF263" i="1"/>
  <c r="IE263" i="1"/>
  <c r="HZ263" i="1"/>
  <c r="HU263" i="1"/>
  <c r="HO263" i="1"/>
  <c r="HN263" i="1"/>
  <c r="HM263" i="1"/>
  <c r="HL263" i="1"/>
  <c r="HK263" i="1"/>
  <c r="HF263" i="1"/>
  <c r="HA263" i="1"/>
  <c r="GV263" i="1"/>
  <c r="GE263" i="1"/>
  <c r="GD263" i="1"/>
  <c r="GC263" i="1"/>
  <c r="GB263" i="1"/>
  <c r="GA263" i="1"/>
  <c r="FZ263" i="1"/>
  <c r="FY263" i="1"/>
  <c r="FX263" i="1"/>
  <c r="FW263" i="1"/>
  <c r="FV263" i="1"/>
  <c r="FU263" i="1"/>
  <c r="FJ263" i="1"/>
  <c r="EY263" i="1"/>
  <c r="EM263" i="1"/>
  <c r="EL263" i="1"/>
  <c r="EK263" i="1"/>
  <c r="EJ263" i="1"/>
  <c r="EI263" i="1"/>
  <c r="EH263" i="1"/>
  <c r="EG263" i="1"/>
  <c r="EF263" i="1"/>
  <c r="EE263" i="1"/>
  <c r="ED263" i="1"/>
  <c r="DR263" i="1"/>
  <c r="DG263" i="1"/>
  <c r="CU263" i="1"/>
  <c r="CT263" i="1"/>
  <c r="CS263" i="1"/>
  <c r="CR263" i="1"/>
  <c r="CQ263" i="1"/>
  <c r="CP263" i="1"/>
  <c r="CO263" i="1"/>
  <c r="CN263" i="1"/>
  <c r="CM263" i="1"/>
  <c r="CL263" i="1"/>
  <c r="CK263" i="1"/>
  <c r="BZ263" i="1"/>
  <c r="BO263" i="1"/>
  <c r="BC263" i="1"/>
  <c r="BB263" i="1"/>
  <c r="BA263" i="1"/>
  <c r="AZ263" i="1"/>
  <c r="AY263" i="1"/>
  <c r="AX263" i="1"/>
  <c r="AW263" i="1"/>
  <c r="AV263" i="1"/>
  <c r="AU263" i="1"/>
  <c r="AT263" i="1"/>
  <c r="AS263" i="1"/>
  <c r="AH263" i="1"/>
  <c r="W263" i="1"/>
  <c r="L263" i="1"/>
  <c r="IT262" i="1"/>
  <c r="IO262" i="1"/>
  <c r="II262" i="1"/>
  <c r="IH262" i="1"/>
  <c r="IG262" i="1"/>
  <c r="IF262" i="1"/>
  <c r="IE262" i="1"/>
  <c r="HZ262" i="1"/>
  <c r="HU262" i="1"/>
  <c r="HO262" i="1"/>
  <c r="HN262" i="1"/>
  <c r="HM262" i="1"/>
  <c r="HL262" i="1"/>
  <c r="HK262" i="1"/>
  <c r="HF262" i="1"/>
  <c r="HA262" i="1"/>
  <c r="GV262" i="1"/>
  <c r="GE262" i="1"/>
  <c r="GD262" i="1"/>
  <c r="GC262" i="1"/>
  <c r="GB262" i="1"/>
  <c r="GA262" i="1"/>
  <c r="FZ262" i="1"/>
  <c r="FY262" i="1"/>
  <c r="FX262" i="1"/>
  <c r="FW262" i="1"/>
  <c r="FV262" i="1"/>
  <c r="FU262" i="1"/>
  <c r="FJ262" i="1"/>
  <c r="EY262" i="1"/>
  <c r="EM262" i="1"/>
  <c r="EL262" i="1"/>
  <c r="EK262" i="1"/>
  <c r="EJ262" i="1"/>
  <c r="EI262" i="1"/>
  <c r="EH262" i="1"/>
  <c r="EG262" i="1"/>
  <c r="EF262" i="1"/>
  <c r="EE262" i="1"/>
  <c r="ED262" i="1"/>
  <c r="DR262" i="1"/>
  <c r="DG262" i="1"/>
  <c r="CU262" i="1"/>
  <c r="CT262" i="1"/>
  <c r="CS262" i="1"/>
  <c r="CR262" i="1"/>
  <c r="CQ262" i="1"/>
  <c r="CP262" i="1"/>
  <c r="CO262" i="1"/>
  <c r="CN262" i="1"/>
  <c r="CM262" i="1"/>
  <c r="CL262" i="1"/>
  <c r="CK262" i="1"/>
  <c r="BZ262" i="1"/>
  <c r="BO262" i="1"/>
  <c r="BC262" i="1"/>
  <c r="BB262" i="1"/>
  <c r="BA262" i="1"/>
  <c r="AZ262" i="1"/>
  <c r="AY262" i="1"/>
  <c r="AX262" i="1"/>
  <c r="AW262" i="1"/>
  <c r="AV262" i="1"/>
  <c r="AU262" i="1"/>
  <c r="AT262" i="1"/>
  <c r="AS262" i="1"/>
  <c r="AH262" i="1"/>
  <c r="W262" i="1"/>
  <c r="L262" i="1"/>
  <c r="IT261" i="1"/>
  <c r="IO261" i="1"/>
  <c r="II261" i="1"/>
  <c r="IH261" i="1"/>
  <c r="IG261" i="1"/>
  <c r="IF261" i="1"/>
  <c r="IE261" i="1"/>
  <c r="HZ261" i="1"/>
  <c r="HU261" i="1"/>
  <c r="HO261" i="1"/>
  <c r="HN261" i="1"/>
  <c r="HM261" i="1"/>
  <c r="HL261" i="1"/>
  <c r="HK261" i="1"/>
  <c r="HF261" i="1"/>
  <c r="HA261" i="1"/>
  <c r="GV261" i="1"/>
  <c r="GE261" i="1"/>
  <c r="GD261" i="1"/>
  <c r="GC261" i="1"/>
  <c r="GB261" i="1"/>
  <c r="GA261" i="1"/>
  <c r="FZ261" i="1"/>
  <c r="FY261" i="1"/>
  <c r="FX261" i="1"/>
  <c r="FW261" i="1"/>
  <c r="FV261" i="1"/>
  <c r="FU261" i="1"/>
  <c r="FJ261" i="1"/>
  <c r="EY261" i="1"/>
  <c r="EM261" i="1"/>
  <c r="EL261" i="1"/>
  <c r="EK261" i="1"/>
  <c r="EJ261" i="1"/>
  <c r="EI261" i="1"/>
  <c r="EH261" i="1"/>
  <c r="EG261" i="1"/>
  <c r="EF261" i="1"/>
  <c r="EE261" i="1"/>
  <c r="ED261" i="1"/>
  <c r="DR261" i="1"/>
  <c r="DG261" i="1"/>
  <c r="CU261" i="1"/>
  <c r="CT261" i="1"/>
  <c r="CS261" i="1"/>
  <c r="CR261" i="1"/>
  <c r="CQ261" i="1"/>
  <c r="CP261" i="1"/>
  <c r="CO261" i="1"/>
  <c r="CN261" i="1"/>
  <c r="CM261" i="1"/>
  <c r="CL261" i="1"/>
  <c r="CK261" i="1"/>
  <c r="BZ261" i="1"/>
  <c r="BO261" i="1"/>
  <c r="BC261" i="1"/>
  <c r="BB261" i="1"/>
  <c r="BA261" i="1"/>
  <c r="AZ261" i="1"/>
  <c r="AY261" i="1"/>
  <c r="AX261" i="1"/>
  <c r="AW261" i="1"/>
  <c r="AV261" i="1"/>
  <c r="AU261" i="1"/>
  <c r="AT261" i="1"/>
  <c r="AS261" i="1"/>
  <c r="AH261" i="1"/>
  <c r="W261" i="1"/>
  <c r="L261" i="1"/>
  <c r="IT260" i="1"/>
  <c r="IO260" i="1"/>
  <c r="II260" i="1"/>
  <c r="IH260" i="1"/>
  <c r="IG260" i="1"/>
  <c r="IF260" i="1"/>
  <c r="IE260" i="1"/>
  <c r="HZ260" i="1"/>
  <c r="HU260" i="1"/>
  <c r="HO260" i="1"/>
  <c r="HN260" i="1"/>
  <c r="HM260" i="1"/>
  <c r="HL260" i="1"/>
  <c r="HK260" i="1"/>
  <c r="HF260" i="1"/>
  <c r="HA260" i="1"/>
  <c r="GV260" i="1"/>
  <c r="GE260" i="1"/>
  <c r="GD260" i="1"/>
  <c r="GC260" i="1"/>
  <c r="GB260" i="1"/>
  <c r="GA260" i="1"/>
  <c r="FZ260" i="1"/>
  <c r="FY260" i="1"/>
  <c r="FX260" i="1"/>
  <c r="FW260" i="1"/>
  <c r="FV260" i="1"/>
  <c r="FU260" i="1"/>
  <c r="FJ260" i="1"/>
  <c r="EY260" i="1"/>
  <c r="EM260" i="1"/>
  <c r="EL260" i="1"/>
  <c r="EK260" i="1"/>
  <c r="EJ260" i="1"/>
  <c r="EI260" i="1"/>
  <c r="EH260" i="1"/>
  <c r="EG260" i="1"/>
  <c r="EF260" i="1"/>
  <c r="EE260" i="1"/>
  <c r="ED260" i="1"/>
  <c r="DR260" i="1"/>
  <c r="DG260" i="1"/>
  <c r="CU260" i="1"/>
  <c r="CT260" i="1"/>
  <c r="CS260" i="1"/>
  <c r="CR260" i="1"/>
  <c r="CQ260" i="1"/>
  <c r="CP260" i="1"/>
  <c r="CO260" i="1"/>
  <c r="CN260" i="1"/>
  <c r="CM260" i="1"/>
  <c r="CL260" i="1"/>
  <c r="CK260" i="1"/>
  <c r="BZ260" i="1"/>
  <c r="BO260" i="1"/>
  <c r="BC260" i="1"/>
  <c r="BB260" i="1"/>
  <c r="BA260" i="1"/>
  <c r="AZ260" i="1"/>
  <c r="AY260" i="1"/>
  <c r="AX260" i="1"/>
  <c r="AW260" i="1"/>
  <c r="AV260" i="1"/>
  <c r="AU260" i="1"/>
  <c r="AT260" i="1"/>
  <c r="AS260" i="1"/>
  <c r="AH260" i="1"/>
  <c r="W260" i="1"/>
  <c r="L260" i="1"/>
  <c r="IV259" i="1"/>
  <c r="IV257" i="1" s="1"/>
  <c r="IV256" i="1" s="1"/>
  <c r="IU259" i="1"/>
  <c r="IS259" i="1"/>
  <c r="IR259" i="1"/>
  <c r="IQ259" i="1"/>
  <c r="IN259" i="1"/>
  <c r="IK259" i="1"/>
  <c r="IC259" i="1"/>
  <c r="IC257" i="1" s="1"/>
  <c r="IC256" i="1" s="1"/>
  <c r="IB259" i="1"/>
  <c r="IA259" i="1"/>
  <c r="HY259" i="1"/>
  <c r="HX259" i="1"/>
  <c r="HW259" i="1"/>
  <c r="HT259" i="1"/>
  <c r="HQ259" i="1"/>
  <c r="HQ257" i="1" s="1"/>
  <c r="HI259" i="1"/>
  <c r="HH259" i="1"/>
  <c r="HG259" i="1"/>
  <c r="HG257" i="1" s="1"/>
  <c r="HG256" i="1" s="1"/>
  <c r="HE259" i="1"/>
  <c r="HD259" i="1"/>
  <c r="HC259" i="1"/>
  <c r="HC257" i="1" s="1"/>
  <c r="HC256" i="1" s="1"/>
  <c r="GZ259" i="1"/>
  <c r="GY259" i="1"/>
  <c r="GW259" i="1"/>
  <c r="GU259" i="1"/>
  <c r="GR259" i="1"/>
  <c r="FT259" i="1"/>
  <c r="FP259" i="1"/>
  <c r="FM259" i="1"/>
  <c r="FL259" i="1"/>
  <c r="FH259" i="1"/>
  <c r="FF259" i="1"/>
  <c r="FE259" i="1"/>
  <c r="FE257" i="1" s="1"/>
  <c r="FE256" i="1" s="1"/>
  <c r="FD259" i="1"/>
  <c r="FA259" i="1"/>
  <c r="FA257" i="1" s="1"/>
  <c r="FA256" i="1" s="1"/>
  <c r="EW259" i="1"/>
  <c r="EV259" i="1"/>
  <c r="EV257" i="1" s="1"/>
  <c r="EV256" i="1" s="1"/>
  <c r="ER259" i="1"/>
  <c r="EC259" i="1"/>
  <c r="EC257" i="1" s="1"/>
  <c r="EC256" i="1" s="1"/>
  <c r="EB259" i="1"/>
  <c r="EB257" i="1" s="1"/>
  <c r="EB256" i="1" s="1"/>
  <c r="DY259" i="1"/>
  <c r="DX259" i="1"/>
  <c r="DW259" i="1"/>
  <c r="DW257" i="1" s="1"/>
  <c r="DW256" i="1" s="1"/>
  <c r="DU259" i="1"/>
  <c r="DT259" i="1"/>
  <c r="DT257" i="1" s="1"/>
  <c r="DT256" i="1" s="1"/>
  <c r="DQ259" i="1"/>
  <c r="DP259" i="1"/>
  <c r="DP257" i="1" s="1"/>
  <c r="DP256" i="1" s="1"/>
  <c r="DN259" i="1"/>
  <c r="DM259" i="1"/>
  <c r="DM257" i="1" s="1"/>
  <c r="DM256" i="1" s="1"/>
  <c r="DL259" i="1"/>
  <c r="DJ259" i="1"/>
  <c r="DI259" i="1"/>
  <c r="DE259" i="1"/>
  <c r="DD259" i="1"/>
  <c r="DC259" i="1"/>
  <c r="DA259" i="1"/>
  <c r="CZ259" i="1"/>
  <c r="CZ257" i="1" s="1"/>
  <c r="CZ256" i="1" s="1"/>
  <c r="CJ259" i="1"/>
  <c r="CF259" i="1"/>
  <c r="CE259" i="1"/>
  <c r="CE257" i="1" s="1"/>
  <c r="CE256" i="1" s="1"/>
  <c r="CB259" i="1"/>
  <c r="BX259" i="1"/>
  <c r="BW259" i="1"/>
  <c r="BW257" i="1" s="1"/>
  <c r="BW256" i="1" s="1"/>
  <c r="BV259" i="1"/>
  <c r="BS259" i="1"/>
  <c r="BS257" i="1" s="1"/>
  <c r="BS256" i="1" s="1"/>
  <c r="BR259" i="1"/>
  <c r="BM259" i="1"/>
  <c r="BL259" i="1"/>
  <c r="BK259" i="1"/>
  <c r="BI259" i="1"/>
  <c r="BH259" i="1"/>
  <c r="BH257" i="1" s="1"/>
  <c r="BH256" i="1" s="1"/>
  <c r="AR259" i="1"/>
  <c r="AO259" i="1"/>
  <c r="AN259" i="1"/>
  <c r="AM259" i="1"/>
  <c r="AM257" i="1" s="1"/>
  <c r="AK259" i="1"/>
  <c r="AJ259" i="1"/>
  <c r="AJ257" i="1" s="1"/>
  <c r="AJ256" i="1" s="1"/>
  <c r="AG259" i="1"/>
  <c r="AF259" i="1"/>
  <c r="AF257" i="1" s="1"/>
  <c r="AF256" i="1" s="1"/>
  <c r="AC259" i="1"/>
  <c r="AB259" i="1"/>
  <c r="AA259" i="1"/>
  <c r="Y259" i="1"/>
  <c r="U259" i="1"/>
  <c r="T259" i="1"/>
  <c r="S259" i="1"/>
  <c r="Q259" i="1"/>
  <c r="P259" i="1"/>
  <c r="O259" i="1"/>
  <c r="K259" i="1"/>
  <c r="H259" i="1"/>
  <c r="H257" i="1" s="1"/>
  <c r="H256" i="1" s="1"/>
  <c r="G259" i="1"/>
  <c r="D259" i="1"/>
  <c r="C259" i="1"/>
  <c r="IT258" i="1"/>
  <c r="IO258" i="1"/>
  <c r="II258" i="1"/>
  <c r="IH258" i="1"/>
  <c r="IG258" i="1"/>
  <c r="IF258" i="1"/>
  <c r="IE258" i="1"/>
  <c r="HZ258" i="1"/>
  <c r="HU258" i="1"/>
  <c r="HO258" i="1"/>
  <c r="HN258" i="1"/>
  <c r="HM258" i="1"/>
  <c r="HL258" i="1"/>
  <c r="HK258" i="1"/>
  <c r="HF258" i="1"/>
  <c r="HA258" i="1"/>
  <c r="GV258" i="1"/>
  <c r="GE258" i="1"/>
  <c r="GD258" i="1"/>
  <c r="GC258" i="1"/>
  <c r="GB258" i="1"/>
  <c r="GA258" i="1"/>
  <c r="FZ258" i="1"/>
  <c r="FY258" i="1"/>
  <c r="FX258" i="1"/>
  <c r="FW258" i="1"/>
  <c r="FV258" i="1"/>
  <c r="FU258" i="1"/>
  <c r="FJ258" i="1"/>
  <c r="EY258" i="1"/>
  <c r="EM258" i="1"/>
  <c r="EL258" i="1"/>
  <c r="EK258" i="1"/>
  <c r="EJ258" i="1"/>
  <c r="EI258" i="1"/>
  <c r="EH258" i="1"/>
  <c r="EG258" i="1"/>
  <c r="EF258" i="1"/>
  <c r="EE258" i="1"/>
  <c r="ED258" i="1"/>
  <c r="DR258" i="1"/>
  <c r="DG258" i="1"/>
  <c r="CU258" i="1"/>
  <c r="CT258" i="1"/>
  <c r="CS258" i="1"/>
  <c r="CR258" i="1"/>
  <c r="CQ258" i="1"/>
  <c r="CP258" i="1"/>
  <c r="CO258" i="1"/>
  <c r="CN258" i="1"/>
  <c r="CM258" i="1"/>
  <c r="CL258" i="1"/>
  <c r="CK258" i="1"/>
  <c r="BZ258" i="1"/>
  <c r="BO258" i="1"/>
  <c r="BC258" i="1"/>
  <c r="BB258" i="1"/>
  <c r="BA258" i="1"/>
  <c r="AZ258" i="1"/>
  <c r="AY258" i="1"/>
  <c r="AX258" i="1"/>
  <c r="AW258" i="1"/>
  <c r="AV258" i="1"/>
  <c r="AU258" i="1"/>
  <c r="AT258" i="1"/>
  <c r="AS258" i="1"/>
  <c r="AH258" i="1"/>
  <c r="W258" i="1"/>
  <c r="L258" i="1"/>
  <c r="IN257" i="1"/>
  <c r="HT257" i="1"/>
  <c r="HT256" i="1" s="1"/>
  <c r="GY257" i="1"/>
  <c r="GY256" i="1" s="1"/>
  <c r="GR257" i="1"/>
  <c r="GR256" i="1" s="1"/>
  <c r="FT257" i="1"/>
  <c r="FT256" i="1" s="1"/>
  <c r="FR257" i="1"/>
  <c r="FR256" i="1" s="1"/>
  <c r="FH257" i="1"/>
  <c r="FD257" i="1"/>
  <c r="FD256" i="1" s="1"/>
  <c r="ER257" i="1"/>
  <c r="ER256" i="1" s="1"/>
  <c r="DY257" i="1"/>
  <c r="DY256" i="1" s="1"/>
  <c r="DX257" i="1"/>
  <c r="DU257" i="1"/>
  <c r="DQ257" i="1"/>
  <c r="DQ256" i="1" s="1"/>
  <c r="DL257" i="1"/>
  <c r="DL256" i="1" s="1"/>
  <c r="DD257" i="1"/>
  <c r="DD256" i="1" s="1"/>
  <c r="CJ257" i="1"/>
  <c r="CJ256" i="1" s="1"/>
  <c r="CF257" i="1"/>
  <c r="CF256" i="1" s="1"/>
  <c r="CB257" i="1"/>
  <c r="CB256" i="1" s="1"/>
  <c r="AR257" i="1"/>
  <c r="AR256" i="1" s="1"/>
  <c r="D257" i="1"/>
  <c r="D256" i="1" s="1"/>
  <c r="IN256" i="1"/>
  <c r="HQ256" i="1"/>
  <c r="GT256" i="1"/>
  <c r="FH256" i="1"/>
  <c r="FB256" i="1"/>
  <c r="DX256" i="1"/>
  <c r="DU256" i="1"/>
  <c r="AM256" i="1"/>
  <c r="IT255" i="1"/>
  <c r="IO255" i="1"/>
  <c r="II255" i="1"/>
  <c r="IH255" i="1"/>
  <c r="IG255" i="1"/>
  <c r="IF255" i="1"/>
  <c r="IE255" i="1"/>
  <c r="HZ255" i="1"/>
  <c r="HU255" i="1"/>
  <c r="HO255" i="1"/>
  <c r="HN255" i="1"/>
  <c r="HM255" i="1"/>
  <c r="HL255" i="1"/>
  <c r="HK255" i="1"/>
  <c r="HF255" i="1"/>
  <c r="HA255" i="1"/>
  <c r="GV255" i="1"/>
  <c r="GE255" i="1"/>
  <c r="GP255" i="1" s="1"/>
  <c r="GD255" i="1"/>
  <c r="GO255" i="1" s="1"/>
  <c r="GC255" i="1"/>
  <c r="GN255" i="1" s="1"/>
  <c r="GB255" i="1"/>
  <c r="GM255" i="1" s="1"/>
  <c r="GA255" i="1"/>
  <c r="GL255" i="1" s="1"/>
  <c r="FZ255" i="1"/>
  <c r="GK255" i="1" s="1"/>
  <c r="FY255" i="1"/>
  <c r="GJ255" i="1" s="1"/>
  <c r="FX255" i="1"/>
  <c r="GI255" i="1" s="1"/>
  <c r="FW255" i="1"/>
  <c r="GH255" i="1" s="1"/>
  <c r="FV255" i="1"/>
  <c r="GG255" i="1" s="1"/>
  <c r="IT254" i="1"/>
  <c r="IO254" i="1"/>
  <c r="II254" i="1"/>
  <c r="IH254" i="1"/>
  <c r="IG254" i="1"/>
  <c r="IF254" i="1"/>
  <c r="IE254" i="1"/>
  <c r="HZ254" i="1"/>
  <c r="HU254" i="1"/>
  <c r="HO254" i="1"/>
  <c r="HN254" i="1"/>
  <c r="HM254" i="1"/>
  <c r="HL254" i="1"/>
  <c r="HK254" i="1"/>
  <c r="HF254" i="1"/>
  <c r="HA254" i="1"/>
  <c r="GV254" i="1"/>
  <c r="GE254" i="1"/>
  <c r="GP254" i="1" s="1"/>
  <c r="GD254" i="1"/>
  <c r="GO254" i="1" s="1"/>
  <c r="GC254" i="1"/>
  <c r="GN254" i="1" s="1"/>
  <c r="GB254" i="1"/>
  <c r="GM254" i="1" s="1"/>
  <c r="GA254" i="1"/>
  <c r="GL254" i="1" s="1"/>
  <c r="FZ254" i="1"/>
  <c r="GK254" i="1" s="1"/>
  <c r="FY254" i="1"/>
  <c r="GJ254" i="1" s="1"/>
  <c r="FX254" i="1"/>
  <c r="GI254" i="1" s="1"/>
  <c r="FW254" i="1"/>
  <c r="GH254" i="1" s="1"/>
  <c r="FV254" i="1"/>
  <c r="GG254" i="1" s="1"/>
  <c r="IT253" i="1"/>
  <c r="IO253" i="1"/>
  <c r="II253" i="1"/>
  <c r="IH253" i="1"/>
  <c r="IG253" i="1"/>
  <c r="IF253" i="1"/>
  <c r="IE253" i="1"/>
  <c r="HZ253" i="1"/>
  <c r="HU253" i="1"/>
  <c r="HO253" i="1"/>
  <c r="HN253" i="1"/>
  <c r="HM253" i="1"/>
  <c r="HL253" i="1"/>
  <c r="HK253" i="1"/>
  <c r="HF253" i="1"/>
  <c r="HA253" i="1"/>
  <c r="GV253" i="1"/>
  <c r="GE253" i="1"/>
  <c r="GP253" i="1" s="1"/>
  <c r="GD253" i="1"/>
  <c r="GO253" i="1" s="1"/>
  <c r="GC253" i="1"/>
  <c r="GN253" i="1" s="1"/>
  <c r="GB253" i="1"/>
  <c r="GM253" i="1" s="1"/>
  <c r="GA253" i="1"/>
  <c r="GL253" i="1" s="1"/>
  <c r="FZ253" i="1"/>
  <c r="GK253" i="1" s="1"/>
  <c r="FY253" i="1"/>
  <c r="GJ253" i="1" s="1"/>
  <c r="FX253" i="1"/>
  <c r="GI253" i="1" s="1"/>
  <c r="FW253" i="1"/>
  <c r="GH253" i="1" s="1"/>
  <c r="FV253" i="1"/>
  <c r="GG253" i="1" s="1"/>
  <c r="IT252" i="1"/>
  <c r="IO252" i="1"/>
  <c r="II252" i="1"/>
  <c r="IH252" i="1"/>
  <c r="IG252" i="1"/>
  <c r="IF252" i="1"/>
  <c r="IE252" i="1"/>
  <c r="HZ252" i="1"/>
  <c r="HU252" i="1"/>
  <c r="HO252" i="1"/>
  <c r="HN252" i="1"/>
  <c r="HM252" i="1"/>
  <c r="HL252" i="1"/>
  <c r="HK252" i="1"/>
  <c r="HF252" i="1"/>
  <c r="HA252" i="1"/>
  <c r="GV252" i="1"/>
  <c r="GE252" i="1"/>
  <c r="GP252" i="1" s="1"/>
  <c r="GD252" i="1"/>
  <c r="GO252" i="1" s="1"/>
  <c r="GC252" i="1"/>
  <c r="GN252" i="1" s="1"/>
  <c r="GB252" i="1"/>
  <c r="GM252" i="1" s="1"/>
  <c r="GA252" i="1"/>
  <c r="GL252" i="1" s="1"/>
  <c r="FZ252" i="1"/>
  <c r="GK252" i="1" s="1"/>
  <c r="FY252" i="1"/>
  <c r="GJ252" i="1" s="1"/>
  <c r="FX252" i="1"/>
  <c r="GI252" i="1" s="1"/>
  <c r="FW252" i="1"/>
  <c r="FV252" i="1"/>
  <c r="GG252" i="1" s="1"/>
  <c r="IT251" i="1"/>
  <c r="IO251" i="1"/>
  <c r="II251" i="1"/>
  <c r="IH251" i="1"/>
  <c r="IG251" i="1"/>
  <c r="IF251" i="1"/>
  <c r="IE251" i="1"/>
  <c r="HZ251" i="1"/>
  <c r="HU251" i="1"/>
  <c r="HO251" i="1"/>
  <c r="HN251" i="1"/>
  <c r="HM251" i="1"/>
  <c r="HL251" i="1"/>
  <c r="HK251" i="1"/>
  <c r="HF251" i="1"/>
  <c r="HA251" i="1"/>
  <c r="GV251" i="1"/>
  <c r="GE251" i="1"/>
  <c r="GP251" i="1" s="1"/>
  <c r="GD251" i="1"/>
  <c r="GO251" i="1" s="1"/>
  <c r="GC251" i="1"/>
  <c r="GN251" i="1" s="1"/>
  <c r="GB251" i="1"/>
  <c r="GM251" i="1" s="1"/>
  <c r="GA251" i="1"/>
  <c r="GL251" i="1" s="1"/>
  <c r="FZ251" i="1"/>
  <c r="GK251" i="1" s="1"/>
  <c r="FY251" i="1"/>
  <c r="GJ251" i="1" s="1"/>
  <c r="FX251" i="1"/>
  <c r="GI251" i="1" s="1"/>
  <c r="FW251" i="1"/>
  <c r="GH251" i="1" s="1"/>
  <c r="FV251" i="1"/>
  <c r="GG251" i="1" s="1"/>
  <c r="IT250" i="1"/>
  <c r="IO250" i="1"/>
  <c r="II250" i="1"/>
  <c r="IH250" i="1"/>
  <c r="IG250" i="1"/>
  <c r="IF250" i="1"/>
  <c r="IE250" i="1"/>
  <c r="HZ250" i="1"/>
  <c r="HU250" i="1"/>
  <c r="HO250" i="1"/>
  <c r="HN250" i="1"/>
  <c r="HM250" i="1"/>
  <c r="HL250" i="1"/>
  <c r="HK250" i="1"/>
  <c r="HF250" i="1"/>
  <c r="HA250" i="1"/>
  <c r="GV250" i="1"/>
  <c r="GE250" i="1"/>
  <c r="GP250" i="1" s="1"/>
  <c r="GD250" i="1"/>
  <c r="GO250" i="1" s="1"/>
  <c r="GC250" i="1"/>
  <c r="GN250" i="1" s="1"/>
  <c r="GB250" i="1"/>
  <c r="GM250" i="1" s="1"/>
  <c r="GA250" i="1"/>
  <c r="GL250" i="1" s="1"/>
  <c r="FZ250" i="1"/>
  <c r="GK250" i="1" s="1"/>
  <c r="FY250" i="1"/>
  <c r="GJ250" i="1" s="1"/>
  <c r="FX250" i="1"/>
  <c r="GI250" i="1" s="1"/>
  <c r="FW250" i="1"/>
  <c r="FV250" i="1"/>
  <c r="GG250" i="1" s="1"/>
  <c r="IT249" i="1"/>
  <c r="IO249" i="1"/>
  <c r="II249" i="1"/>
  <c r="IH249" i="1"/>
  <c r="IG249" i="1"/>
  <c r="IF249" i="1"/>
  <c r="IE249" i="1"/>
  <c r="HZ249" i="1"/>
  <c r="HU249" i="1"/>
  <c r="HO249" i="1"/>
  <c r="HN249" i="1"/>
  <c r="HM249" i="1"/>
  <c r="HL249" i="1"/>
  <c r="HK249" i="1"/>
  <c r="HF249" i="1"/>
  <c r="HA249" i="1"/>
  <c r="GV249" i="1"/>
  <c r="GE249" i="1"/>
  <c r="GP249" i="1" s="1"/>
  <c r="GD249" i="1"/>
  <c r="GO249" i="1" s="1"/>
  <c r="GC249" i="1"/>
  <c r="GN249" i="1" s="1"/>
  <c r="GB249" i="1"/>
  <c r="GM249" i="1" s="1"/>
  <c r="GA249" i="1"/>
  <c r="GL249" i="1" s="1"/>
  <c r="FZ249" i="1"/>
  <c r="GK249" i="1" s="1"/>
  <c r="FY249" i="1"/>
  <c r="GJ249" i="1" s="1"/>
  <c r="FX249" i="1"/>
  <c r="GI249" i="1" s="1"/>
  <c r="FW249" i="1"/>
  <c r="FV249" i="1"/>
  <c r="GG249" i="1" s="1"/>
  <c r="IT248" i="1"/>
  <c r="IO248" i="1"/>
  <c r="II248" i="1"/>
  <c r="IH248" i="1"/>
  <c r="IG248" i="1"/>
  <c r="IF248" i="1"/>
  <c r="IE248" i="1"/>
  <c r="HZ248" i="1"/>
  <c r="HU248" i="1"/>
  <c r="HO248" i="1"/>
  <c r="HN248" i="1"/>
  <c r="HM248" i="1"/>
  <c r="HL248" i="1"/>
  <c r="HK248" i="1"/>
  <c r="HF248" i="1"/>
  <c r="HA248" i="1"/>
  <c r="GV248" i="1"/>
  <c r="GE248" i="1"/>
  <c r="GD248" i="1"/>
  <c r="GO248" i="1" s="1"/>
  <c r="GC248" i="1"/>
  <c r="GN248" i="1" s="1"/>
  <c r="GB248" i="1"/>
  <c r="GM248" i="1" s="1"/>
  <c r="GA248" i="1"/>
  <c r="FZ248" i="1"/>
  <c r="GK248" i="1" s="1"/>
  <c r="FY248" i="1"/>
  <c r="GJ248" i="1" s="1"/>
  <c r="FX248" i="1"/>
  <c r="GI248" i="1" s="1"/>
  <c r="FW248" i="1"/>
  <c r="FV248" i="1"/>
  <c r="GG248" i="1" s="1"/>
  <c r="IT247" i="1"/>
  <c r="IO247" i="1"/>
  <c r="II247" i="1"/>
  <c r="IH247" i="1"/>
  <c r="IG247" i="1"/>
  <c r="IF247" i="1"/>
  <c r="IE247" i="1"/>
  <c r="HZ247" i="1"/>
  <c r="HU247" i="1"/>
  <c r="HO247" i="1"/>
  <c r="HN247" i="1"/>
  <c r="HM247" i="1"/>
  <c r="HL247" i="1"/>
  <c r="HK247" i="1"/>
  <c r="HF247" i="1"/>
  <c r="HA247" i="1"/>
  <c r="GV247" i="1"/>
  <c r="GE247" i="1"/>
  <c r="GP247" i="1" s="1"/>
  <c r="GD247" i="1"/>
  <c r="GO247" i="1" s="1"/>
  <c r="GC247" i="1"/>
  <c r="GN247" i="1" s="1"/>
  <c r="GB247" i="1"/>
  <c r="GM247" i="1" s="1"/>
  <c r="GA247" i="1"/>
  <c r="GL247" i="1" s="1"/>
  <c r="FZ247" i="1"/>
  <c r="GK247" i="1" s="1"/>
  <c r="FY247" i="1"/>
  <c r="GJ247" i="1" s="1"/>
  <c r="FX247" i="1"/>
  <c r="GI247" i="1" s="1"/>
  <c r="FW247" i="1"/>
  <c r="GH247" i="1" s="1"/>
  <c r="FV247" i="1"/>
  <c r="GG247" i="1" s="1"/>
  <c r="IT246" i="1"/>
  <c r="IO246" i="1"/>
  <c r="II246" i="1"/>
  <c r="IH246" i="1"/>
  <c r="IG246" i="1"/>
  <c r="IF246" i="1"/>
  <c r="IE246" i="1"/>
  <c r="HZ246" i="1"/>
  <c r="HU246" i="1"/>
  <c r="HO246" i="1"/>
  <c r="HN246" i="1"/>
  <c r="HM246" i="1"/>
  <c r="HL246" i="1"/>
  <c r="HK246" i="1"/>
  <c r="HF246" i="1"/>
  <c r="HA246" i="1"/>
  <c r="GV246" i="1"/>
  <c r="GE246" i="1"/>
  <c r="GP246" i="1" s="1"/>
  <c r="GD246" i="1"/>
  <c r="GO246" i="1" s="1"/>
  <c r="GC246" i="1"/>
  <c r="GN246" i="1" s="1"/>
  <c r="GB246" i="1"/>
  <c r="GM246" i="1" s="1"/>
  <c r="GA246" i="1"/>
  <c r="GL246" i="1" s="1"/>
  <c r="FZ246" i="1"/>
  <c r="GK246" i="1" s="1"/>
  <c r="FY246" i="1"/>
  <c r="FX246" i="1"/>
  <c r="GI246" i="1" s="1"/>
  <c r="FW246" i="1"/>
  <c r="FV246" i="1"/>
  <c r="GG246" i="1" s="1"/>
  <c r="IT245" i="1"/>
  <c r="IO245" i="1"/>
  <c r="II245" i="1"/>
  <c r="IH245" i="1"/>
  <c r="IG245" i="1"/>
  <c r="IF245" i="1"/>
  <c r="IE245" i="1"/>
  <c r="HZ245" i="1"/>
  <c r="HU245" i="1"/>
  <c r="HO245" i="1"/>
  <c r="HN245" i="1"/>
  <c r="HM245" i="1"/>
  <c r="HL245" i="1"/>
  <c r="HK245" i="1"/>
  <c r="HF245" i="1"/>
  <c r="HA245" i="1"/>
  <c r="GV245" i="1"/>
  <c r="GE245" i="1"/>
  <c r="GP245" i="1" s="1"/>
  <c r="GD245" i="1"/>
  <c r="GC245" i="1"/>
  <c r="GN245" i="1" s="1"/>
  <c r="GB245" i="1"/>
  <c r="GM245" i="1" s="1"/>
  <c r="GA245" i="1"/>
  <c r="GL245" i="1" s="1"/>
  <c r="FZ245" i="1"/>
  <c r="FY245" i="1"/>
  <c r="GJ245" i="1" s="1"/>
  <c r="FX245" i="1"/>
  <c r="GI245" i="1" s="1"/>
  <c r="FW245" i="1"/>
  <c r="FV245" i="1"/>
  <c r="GG245" i="1" s="1"/>
  <c r="IT244" i="1"/>
  <c r="IO244" i="1"/>
  <c r="II244" i="1"/>
  <c r="IH244" i="1"/>
  <c r="IG244" i="1"/>
  <c r="IF244" i="1"/>
  <c r="IE244" i="1"/>
  <c r="HZ244" i="1"/>
  <c r="HU244" i="1"/>
  <c r="HO244" i="1"/>
  <c r="HN244" i="1"/>
  <c r="HM244" i="1"/>
  <c r="HL244" i="1"/>
  <c r="HK244" i="1"/>
  <c r="HF244" i="1"/>
  <c r="HA244" i="1"/>
  <c r="GV244" i="1"/>
  <c r="GE244" i="1"/>
  <c r="GP244" i="1" s="1"/>
  <c r="GD244" i="1"/>
  <c r="GO244" i="1" s="1"/>
  <c r="GC244" i="1"/>
  <c r="GN244" i="1" s="1"/>
  <c r="GB244" i="1"/>
  <c r="GM244" i="1" s="1"/>
  <c r="GA244" i="1"/>
  <c r="GL244" i="1" s="1"/>
  <c r="FZ244" i="1"/>
  <c r="GK244" i="1" s="1"/>
  <c r="FY244" i="1"/>
  <c r="GJ244" i="1" s="1"/>
  <c r="FX244" i="1"/>
  <c r="GI244" i="1" s="1"/>
  <c r="FW244" i="1"/>
  <c r="FV244" i="1"/>
  <c r="GG244" i="1" s="1"/>
  <c r="IT243" i="1"/>
  <c r="IO243" i="1"/>
  <c r="II243" i="1"/>
  <c r="IH243" i="1"/>
  <c r="IG243" i="1"/>
  <c r="IF243" i="1"/>
  <c r="IE243" i="1"/>
  <c r="HZ243" i="1"/>
  <c r="HU243" i="1"/>
  <c r="HO243" i="1"/>
  <c r="HN243" i="1"/>
  <c r="HM243" i="1"/>
  <c r="HL243" i="1"/>
  <c r="HK243" i="1"/>
  <c r="HF243" i="1"/>
  <c r="HA243" i="1"/>
  <c r="GV243" i="1"/>
  <c r="GE243" i="1"/>
  <c r="GD243" i="1"/>
  <c r="GC243" i="1"/>
  <c r="GB243" i="1"/>
  <c r="GA243" i="1"/>
  <c r="FZ243" i="1"/>
  <c r="FY243" i="1"/>
  <c r="FX243" i="1"/>
  <c r="FW243" i="1"/>
  <c r="FV243" i="1"/>
  <c r="FU243" i="1"/>
  <c r="FU242" i="1" s="1"/>
  <c r="FU241" i="1" s="1"/>
  <c r="FJ243" i="1"/>
  <c r="EY243" i="1"/>
  <c r="EY242" i="1" s="1"/>
  <c r="EM243" i="1"/>
  <c r="EL243" i="1"/>
  <c r="EL242" i="1" s="1"/>
  <c r="EL241" i="1" s="1"/>
  <c r="EK243" i="1"/>
  <c r="EK242" i="1" s="1"/>
  <c r="EK241" i="1" s="1"/>
  <c r="EJ243" i="1"/>
  <c r="EJ242" i="1" s="1"/>
  <c r="EJ241" i="1" s="1"/>
  <c r="EI243" i="1"/>
  <c r="EH243" i="1"/>
  <c r="EH242" i="1" s="1"/>
  <c r="EH241" i="1" s="1"/>
  <c r="EG243" i="1"/>
  <c r="EF243" i="1"/>
  <c r="EF242" i="1" s="1"/>
  <c r="EF241" i="1" s="1"/>
  <c r="EE243" i="1"/>
  <c r="ED243" i="1"/>
  <c r="DR243" i="1"/>
  <c r="DR242" i="1" s="1"/>
  <c r="DR241" i="1" s="1"/>
  <c r="DG243" i="1"/>
  <c r="DG242" i="1" s="1"/>
  <c r="DG241" i="1" s="1"/>
  <c r="CU243" i="1"/>
  <c r="CT243" i="1"/>
  <c r="CT242" i="1" s="1"/>
  <c r="CT241" i="1" s="1"/>
  <c r="CS243" i="1"/>
  <c r="CS242" i="1" s="1"/>
  <c r="CS241" i="1" s="1"/>
  <c r="CR243" i="1"/>
  <c r="CR242" i="1" s="1"/>
  <c r="CQ243" i="1"/>
  <c r="CP243" i="1"/>
  <c r="CP242" i="1" s="1"/>
  <c r="CP241" i="1" s="1"/>
  <c r="CO243" i="1"/>
  <c r="CO242" i="1" s="1"/>
  <c r="CO241" i="1" s="1"/>
  <c r="CN243" i="1"/>
  <c r="CN242" i="1" s="1"/>
  <c r="CN241" i="1" s="1"/>
  <c r="CM243" i="1"/>
  <c r="CL243" i="1"/>
  <c r="CK243" i="1"/>
  <c r="CK242" i="1" s="1"/>
  <c r="BZ243" i="1"/>
  <c r="BZ242" i="1" s="1"/>
  <c r="BZ241" i="1" s="1"/>
  <c r="BO243" i="1"/>
  <c r="BC243" i="1"/>
  <c r="GP243" i="1" s="1"/>
  <c r="BB243" i="1"/>
  <c r="BA243" i="1"/>
  <c r="BA242" i="1" s="1"/>
  <c r="BA241" i="1" s="1"/>
  <c r="AZ243" i="1"/>
  <c r="AY243" i="1"/>
  <c r="GL243" i="1" s="1"/>
  <c r="AX243" i="1"/>
  <c r="AW243" i="1"/>
  <c r="AW242" i="1" s="1"/>
  <c r="AW241" i="1" s="1"/>
  <c r="AV243" i="1"/>
  <c r="AU243" i="1"/>
  <c r="AU242" i="1" s="1"/>
  <c r="AU241" i="1" s="1"/>
  <c r="AT243" i="1"/>
  <c r="AS243" i="1"/>
  <c r="AS242" i="1" s="1"/>
  <c r="AS241" i="1" s="1"/>
  <c r="AH243" i="1"/>
  <c r="W243" i="1"/>
  <c r="W242" i="1" s="1"/>
  <c r="W241" i="1" s="1"/>
  <c r="L243" i="1"/>
  <c r="IV242" i="1"/>
  <c r="IV241" i="1" s="1"/>
  <c r="IU242" i="1"/>
  <c r="IS242" i="1"/>
  <c r="IS241" i="1" s="1"/>
  <c r="IR242" i="1"/>
  <c r="IQ242" i="1"/>
  <c r="IQ241" i="1" s="1"/>
  <c r="IP242" i="1"/>
  <c r="IN242" i="1"/>
  <c r="IN241" i="1" s="1"/>
  <c r="IM242" i="1"/>
  <c r="IL242" i="1"/>
  <c r="IK242" i="1"/>
  <c r="ID242" i="1"/>
  <c r="IC242" i="1"/>
  <c r="IC241" i="1" s="1"/>
  <c r="IB242" i="1"/>
  <c r="IB241" i="1" s="1"/>
  <c r="IA242" i="1"/>
  <c r="HY242" i="1"/>
  <c r="HX242" i="1"/>
  <c r="HX241" i="1" s="1"/>
  <c r="HW242" i="1"/>
  <c r="HW241" i="1" s="1"/>
  <c r="HV242" i="1"/>
  <c r="HT242" i="1"/>
  <c r="HT241" i="1" s="1"/>
  <c r="HS242" i="1"/>
  <c r="HS241" i="1" s="1"/>
  <c r="HR242" i="1"/>
  <c r="HQ242" i="1"/>
  <c r="HJ242" i="1"/>
  <c r="HI242" i="1"/>
  <c r="HH242" i="1"/>
  <c r="HG242" i="1"/>
  <c r="HE242" i="1"/>
  <c r="HD242" i="1"/>
  <c r="HC242" i="1"/>
  <c r="HB242" i="1"/>
  <c r="GZ242" i="1"/>
  <c r="GZ241" i="1" s="1"/>
  <c r="GY242" i="1"/>
  <c r="GX242" i="1"/>
  <c r="GX241" i="1" s="1"/>
  <c r="GW242" i="1"/>
  <c r="GU242" i="1"/>
  <c r="GU241" i="1" s="1"/>
  <c r="GT242" i="1"/>
  <c r="GS242" i="1"/>
  <c r="GS241" i="1" s="1"/>
  <c r="GR242" i="1"/>
  <c r="GR241" i="1" s="1"/>
  <c r="FX242" i="1"/>
  <c r="FX241" i="1" s="1"/>
  <c r="FV242" i="1"/>
  <c r="FT242" i="1"/>
  <c r="FT241" i="1" s="1"/>
  <c r="FS242" i="1"/>
  <c r="FS241" i="1" s="1"/>
  <c r="FR242" i="1"/>
  <c r="FR241" i="1" s="1"/>
  <c r="FQ242" i="1"/>
  <c r="FP242" i="1"/>
  <c r="FP241" i="1" s="1"/>
  <c r="FO242" i="1"/>
  <c r="FN242" i="1"/>
  <c r="FM242" i="1"/>
  <c r="FL242" i="1"/>
  <c r="FL241" i="1" s="1"/>
  <c r="FJ242" i="1"/>
  <c r="FI242" i="1"/>
  <c r="FI241" i="1" s="1"/>
  <c r="FH242" i="1"/>
  <c r="FG242" i="1"/>
  <c r="FG241" i="1" s="1"/>
  <c r="FF242" i="1"/>
  <c r="FF241" i="1" s="1"/>
  <c r="FE242" i="1"/>
  <c r="FE241" i="1" s="1"/>
  <c r="FD242" i="1"/>
  <c r="FC242" i="1"/>
  <c r="FC241" i="1" s="1"/>
  <c r="FB242" i="1"/>
  <c r="FB241" i="1" s="1"/>
  <c r="FA242" i="1"/>
  <c r="FA241" i="1" s="1"/>
  <c r="EX242" i="1"/>
  <c r="EX241" i="1" s="1"/>
  <c r="EW242" i="1"/>
  <c r="EV242" i="1"/>
  <c r="EU242" i="1"/>
  <c r="ET242" i="1"/>
  <c r="ET241" i="1" s="1"/>
  <c r="ES242" i="1"/>
  <c r="ER242" i="1"/>
  <c r="EQ242" i="1"/>
  <c r="EP242" i="1"/>
  <c r="EP241" i="1" s="1"/>
  <c r="EM242" i="1"/>
  <c r="EM241" i="1" s="1"/>
  <c r="EI242" i="1"/>
  <c r="EI241" i="1" s="1"/>
  <c r="EG242" i="1"/>
  <c r="EG241" i="1" s="1"/>
  <c r="EE242" i="1"/>
  <c r="ED242" i="1"/>
  <c r="ED241" i="1" s="1"/>
  <c r="EC242" i="1"/>
  <c r="EC241" i="1" s="1"/>
  <c r="EB242" i="1"/>
  <c r="EA242" i="1"/>
  <c r="DZ242" i="1"/>
  <c r="DY242" i="1"/>
  <c r="DY241" i="1" s="1"/>
  <c r="DX242" i="1"/>
  <c r="DW242" i="1"/>
  <c r="DW241" i="1" s="1"/>
  <c r="DV242" i="1"/>
  <c r="DU242" i="1"/>
  <c r="DU241" i="1" s="1"/>
  <c r="DT242" i="1"/>
  <c r="DQ242" i="1"/>
  <c r="DQ241" i="1" s="1"/>
  <c r="DP242" i="1"/>
  <c r="DP241" i="1" s="1"/>
  <c r="DO242" i="1"/>
  <c r="DN242" i="1"/>
  <c r="DM242" i="1"/>
  <c r="DM241" i="1" s="1"/>
  <c r="DL242" i="1"/>
  <c r="DL241" i="1" s="1"/>
  <c r="DK242" i="1"/>
  <c r="DJ242" i="1"/>
  <c r="DI242" i="1"/>
  <c r="DF242" i="1"/>
  <c r="DE242" i="1"/>
  <c r="DD242" i="1"/>
  <c r="DD241" i="1" s="1"/>
  <c r="DC242" i="1"/>
  <c r="DC241" i="1" s="1"/>
  <c r="DB242" i="1"/>
  <c r="DA242" i="1"/>
  <c r="CZ242" i="1"/>
  <c r="CZ241" i="1" s="1"/>
  <c r="CY242" i="1"/>
  <c r="CY241" i="1" s="1"/>
  <c r="CX242" i="1"/>
  <c r="CU242" i="1"/>
  <c r="CU241" i="1" s="1"/>
  <c r="CQ242" i="1"/>
  <c r="CQ241" i="1" s="1"/>
  <c r="CM242" i="1"/>
  <c r="CL242" i="1"/>
  <c r="CL241" i="1" s="1"/>
  <c r="CJ242" i="1"/>
  <c r="CI242" i="1"/>
  <c r="CI241" i="1" s="1"/>
  <c r="CH242" i="1"/>
  <c r="CH241" i="1" s="1"/>
  <c r="CG242" i="1"/>
  <c r="CF242" i="1"/>
  <c r="CE242" i="1"/>
  <c r="CE241" i="1" s="1"/>
  <c r="CD242" i="1"/>
  <c r="CD241" i="1" s="1"/>
  <c r="CC242" i="1"/>
  <c r="CB242" i="1"/>
  <c r="BY242" i="1"/>
  <c r="BY241" i="1" s="1"/>
  <c r="BX242" i="1"/>
  <c r="BW242" i="1"/>
  <c r="BV242" i="1"/>
  <c r="BU242" i="1"/>
  <c r="BU241" i="1" s="1"/>
  <c r="BT242" i="1"/>
  <c r="BS242" i="1"/>
  <c r="BR242" i="1"/>
  <c r="BR241" i="1" s="1"/>
  <c r="BQ242" i="1"/>
  <c r="BQ241" i="1" s="1"/>
  <c r="BO242" i="1"/>
  <c r="BN242" i="1"/>
  <c r="BM242" i="1"/>
  <c r="BM241" i="1" s="1"/>
  <c r="BL242" i="1"/>
  <c r="BL241" i="1" s="1"/>
  <c r="BK242" i="1"/>
  <c r="BJ242" i="1"/>
  <c r="BI242" i="1"/>
  <c r="BH242" i="1"/>
  <c r="BH241" i="1" s="1"/>
  <c r="BG242" i="1"/>
  <c r="BF242" i="1"/>
  <c r="BB242" i="1"/>
  <c r="AZ242" i="1"/>
  <c r="AX242" i="1"/>
  <c r="AV242" i="1"/>
  <c r="AT242" i="1"/>
  <c r="AT241" i="1" s="1"/>
  <c r="AR242" i="1"/>
  <c r="AQ242" i="1"/>
  <c r="AQ241" i="1" s="1"/>
  <c r="AP242" i="1"/>
  <c r="AP241" i="1" s="1"/>
  <c r="AO242" i="1"/>
  <c r="AN242" i="1"/>
  <c r="AN241" i="1" s="1"/>
  <c r="AM242" i="1"/>
  <c r="AM241" i="1" s="1"/>
  <c r="AL242" i="1"/>
  <c r="AL241" i="1" s="1"/>
  <c r="AK242" i="1"/>
  <c r="AJ242" i="1"/>
  <c r="AH242" i="1"/>
  <c r="AH241" i="1" s="1"/>
  <c r="AG242" i="1"/>
  <c r="AF242" i="1"/>
  <c r="AE242" i="1"/>
  <c r="AD242" i="1"/>
  <c r="AD241" i="1" s="1"/>
  <c r="AC242" i="1"/>
  <c r="AC241" i="1" s="1"/>
  <c r="AB242" i="1"/>
  <c r="AA242" i="1"/>
  <c r="Z242" i="1"/>
  <c r="Z241" i="1" s="1"/>
  <c r="Y242" i="1"/>
  <c r="Y241" i="1" s="1"/>
  <c r="V242" i="1"/>
  <c r="U242" i="1"/>
  <c r="U241" i="1" s="1"/>
  <c r="T242" i="1"/>
  <c r="T241" i="1" s="1"/>
  <c r="S242" i="1"/>
  <c r="R242" i="1"/>
  <c r="Q242" i="1"/>
  <c r="Q241" i="1" s="1"/>
  <c r="P242" i="1"/>
  <c r="P241" i="1" s="1"/>
  <c r="O242" i="1"/>
  <c r="N242" i="1"/>
  <c r="L242" i="1"/>
  <c r="L241" i="1" s="1"/>
  <c r="K242" i="1"/>
  <c r="K241" i="1" s="1"/>
  <c r="J242" i="1"/>
  <c r="I242" i="1"/>
  <c r="H242" i="1"/>
  <c r="H241" i="1" s="1"/>
  <c r="G242" i="1"/>
  <c r="G241" i="1" s="1"/>
  <c r="F242" i="1"/>
  <c r="E242" i="1"/>
  <c r="D242" i="1"/>
  <c r="D241" i="1" s="1"/>
  <c r="C242" i="1"/>
  <c r="C241" i="1" s="1"/>
  <c r="IU241" i="1"/>
  <c r="IR241" i="1"/>
  <c r="IP241" i="1"/>
  <c r="IM241" i="1"/>
  <c r="IL241" i="1"/>
  <c r="IK241" i="1"/>
  <c r="ID241" i="1"/>
  <c r="IA241" i="1"/>
  <c r="HY241" i="1"/>
  <c r="HV241" i="1"/>
  <c r="HR241" i="1"/>
  <c r="HQ241" i="1"/>
  <c r="HJ241" i="1"/>
  <c r="HI241" i="1"/>
  <c r="HH241" i="1"/>
  <c r="HG241" i="1"/>
  <c r="HE241" i="1"/>
  <c r="HD241" i="1"/>
  <c r="HC241" i="1"/>
  <c r="HB241" i="1"/>
  <c r="GY241" i="1"/>
  <c r="GW241" i="1"/>
  <c r="GT241" i="1"/>
  <c r="FV241" i="1"/>
  <c r="FQ241" i="1"/>
  <c r="FO241" i="1"/>
  <c r="FN241" i="1"/>
  <c r="FM241" i="1"/>
  <c r="FJ241" i="1"/>
  <c r="FH241" i="1"/>
  <c r="FD241" i="1"/>
  <c r="EY241" i="1"/>
  <c r="EW241" i="1"/>
  <c r="EV241" i="1"/>
  <c r="EU241" i="1"/>
  <c r="ES241" i="1"/>
  <c r="ER241" i="1"/>
  <c r="EQ241" i="1"/>
  <c r="EE241" i="1"/>
  <c r="EB241" i="1"/>
  <c r="EA241" i="1"/>
  <c r="DZ241" i="1"/>
  <c r="DX241" i="1"/>
  <c r="DV241" i="1"/>
  <c r="DT241" i="1"/>
  <c r="DO241" i="1"/>
  <c r="DN241" i="1"/>
  <c r="DK241" i="1"/>
  <c r="DJ241" i="1"/>
  <c r="DI241" i="1"/>
  <c r="DF241" i="1"/>
  <c r="DE241" i="1"/>
  <c r="DB241" i="1"/>
  <c r="DA241" i="1"/>
  <c r="CX241" i="1"/>
  <c r="CR241" i="1"/>
  <c r="CM241" i="1"/>
  <c r="CK241" i="1"/>
  <c r="CJ241" i="1"/>
  <c r="CG241" i="1"/>
  <c r="CF241" i="1"/>
  <c r="CC241" i="1"/>
  <c r="CB241" i="1"/>
  <c r="BX241" i="1"/>
  <c r="BW241" i="1"/>
  <c r="BV241" i="1"/>
  <c r="BT241" i="1"/>
  <c r="BS241" i="1"/>
  <c r="BO241" i="1"/>
  <c r="BN241" i="1"/>
  <c r="BK241" i="1"/>
  <c r="BJ241" i="1"/>
  <c r="BI241" i="1"/>
  <c r="BG241" i="1"/>
  <c r="BF241" i="1"/>
  <c r="BB241" i="1"/>
  <c r="AZ241" i="1"/>
  <c r="AX241" i="1"/>
  <c r="AV241" i="1"/>
  <c r="AR241" i="1"/>
  <c r="AO241" i="1"/>
  <c r="AK241" i="1"/>
  <c r="AJ241" i="1"/>
  <c r="AG241" i="1"/>
  <c r="AF241" i="1"/>
  <c r="AE241" i="1"/>
  <c r="AB241" i="1"/>
  <c r="AA241" i="1"/>
  <c r="V241" i="1"/>
  <c r="S241" i="1"/>
  <c r="R241" i="1"/>
  <c r="O241" i="1"/>
  <c r="N241" i="1"/>
  <c r="J241" i="1"/>
  <c r="I241" i="1"/>
  <c r="F241" i="1"/>
  <c r="E241" i="1"/>
  <c r="IT240" i="1"/>
  <c r="IO240" i="1"/>
  <c r="II240" i="1"/>
  <c r="IH240" i="1"/>
  <c r="IG240" i="1"/>
  <c r="IF240" i="1"/>
  <c r="IE240" i="1"/>
  <c r="HZ240" i="1"/>
  <c r="HU240" i="1"/>
  <c r="HO240" i="1"/>
  <c r="HN240" i="1"/>
  <c r="HM240" i="1"/>
  <c r="HL240" i="1"/>
  <c r="HK240" i="1"/>
  <c r="HF240" i="1"/>
  <c r="HA240" i="1"/>
  <c r="GV240" i="1"/>
  <c r="GE240" i="1"/>
  <c r="GD240" i="1"/>
  <c r="GC240" i="1"/>
  <c r="GB240" i="1"/>
  <c r="GA240" i="1"/>
  <c r="FZ240" i="1"/>
  <c r="FY240" i="1"/>
  <c r="FX240" i="1"/>
  <c r="FW240" i="1"/>
  <c r="FV240" i="1"/>
  <c r="FU240" i="1"/>
  <c r="FJ240" i="1"/>
  <c r="EY240" i="1"/>
  <c r="EM240" i="1"/>
  <c r="EL240" i="1"/>
  <c r="EK240" i="1"/>
  <c r="EJ240" i="1"/>
  <c r="EI240" i="1"/>
  <c r="EH240" i="1"/>
  <c r="EG240" i="1"/>
  <c r="EF240" i="1"/>
  <c r="EE240" i="1"/>
  <c r="ED240" i="1"/>
  <c r="DR240" i="1"/>
  <c r="DG240" i="1"/>
  <c r="CU240" i="1"/>
  <c r="CT240" i="1"/>
  <c r="CS240" i="1"/>
  <c r="CR240" i="1"/>
  <c r="CQ240" i="1"/>
  <c r="CP240" i="1"/>
  <c r="CO240" i="1"/>
  <c r="CN240" i="1"/>
  <c r="CM240" i="1"/>
  <c r="CL240" i="1"/>
  <c r="CK240" i="1"/>
  <c r="BZ240" i="1"/>
  <c r="BO240" i="1"/>
  <c r="BC240" i="1"/>
  <c r="BB240" i="1"/>
  <c r="BA240" i="1"/>
  <c r="AZ240" i="1"/>
  <c r="AY240" i="1"/>
  <c r="AX240" i="1"/>
  <c r="AW240" i="1"/>
  <c r="AV240" i="1"/>
  <c r="AU240" i="1"/>
  <c r="AT240" i="1"/>
  <c r="AS240" i="1"/>
  <c r="AH240" i="1"/>
  <c r="W240" i="1"/>
  <c r="L240" i="1"/>
  <c r="IT239" i="1"/>
  <c r="IO239" i="1"/>
  <c r="II239" i="1"/>
  <c r="IH239" i="1"/>
  <c r="IG239" i="1"/>
  <c r="IF239" i="1"/>
  <c r="IE239" i="1"/>
  <c r="HZ239" i="1"/>
  <c r="HU239" i="1"/>
  <c r="HO239" i="1"/>
  <c r="HN239" i="1"/>
  <c r="HM239" i="1"/>
  <c r="HL239" i="1"/>
  <c r="HK239" i="1"/>
  <c r="HF239" i="1"/>
  <c r="HA239" i="1"/>
  <c r="GV239" i="1"/>
  <c r="GE239" i="1"/>
  <c r="GD239" i="1"/>
  <c r="GC239" i="1"/>
  <c r="GB239" i="1"/>
  <c r="GA239" i="1"/>
  <c r="FZ239" i="1"/>
  <c r="FY239" i="1"/>
  <c r="FX239" i="1"/>
  <c r="FW239" i="1"/>
  <c r="FV239" i="1"/>
  <c r="FU239" i="1"/>
  <c r="FJ239" i="1"/>
  <c r="EY239" i="1"/>
  <c r="EM239" i="1"/>
  <c r="EL239" i="1"/>
  <c r="EK239" i="1"/>
  <c r="EJ239" i="1"/>
  <c r="EI239" i="1"/>
  <c r="EH239" i="1"/>
  <c r="EG239" i="1"/>
  <c r="EF239" i="1"/>
  <c r="EE239" i="1"/>
  <c r="ED239" i="1"/>
  <c r="DR239" i="1"/>
  <c r="DG239" i="1"/>
  <c r="CU239" i="1"/>
  <c r="CT239" i="1"/>
  <c r="CS239" i="1"/>
  <c r="CR239" i="1"/>
  <c r="CQ239" i="1"/>
  <c r="CP239" i="1"/>
  <c r="CO239" i="1"/>
  <c r="CN239" i="1"/>
  <c r="CM239" i="1"/>
  <c r="CL239" i="1"/>
  <c r="CK239" i="1"/>
  <c r="BZ239" i="1"/>
  <c r="BO239" i="1"/>
  <c r="BC239" i="1"/>
  <c r="BB239" i="1"/>
  <c r="BA239" i="1"/>
  <c r="AZ239" i="1"/>
  <c r="AY239" i="1"/>
  <c r="AX239" i="1"/>
  <c r="AW239" i="1"/>
  <c r="AV239" i="1"/>
  <c r="AU239" i="1"/>
  <c r="AT239" i="1"/>
  <c r="AS239" i="1"/>
  <c r="AH239" i="1"/>
  <c r="W239" i="1"/>
  <c r="L239" i="1"/>
  <c r="IT238" i="1"/>
  <c r="IO238" i="1"/>
  <c r="II238" i="1"/>
  <c r="IH238" i="1"/>
  <c r="IG238" i="1"/>
  <c r="IF238" i="1"/>
  <c r="IE238" i="1"/>
  <c r="HZ238" i="1"/>
  <c r="HU238" i="1"/>
  <c r="HO238" i="1"/>
  <c r="HN238" i="1"/>
  <c r="HM238" i="1"/>
  <c r="HL238" i="1"/>
  <c r="HK238" i="1"/>
  <c r="HF238" i="1"/>
  <c r="HA238" i="1"/>
  <c r="GV238" i="1"/>
  <c r="GE238" i="1"/>
  <c r="GD238" i="1"/>
  <c r="GC238" i="1"/>
  <c r="GB238" i="1"/>
  <c r="GA238" i="1"/>
  <c r="FZ238" i="1"/>
  <c r="FY238" i="1"/>
  <c r="FX238" i="1"/>
  <c r="FW238" i="1"/>
  <c r="FV238" i="1"/>
  <c r="FU238" i="1"/>
  <c r="FJ238" i="1"/>
  <c r="EY238" i="1"/>
  <c r="EM238" i="1"/>
  <c r="EL238" i="1"/>
  <c r="EK238" i="1"/>
  <c r="EJ238" i="1"/>
  <c r="EI238" i="1"/>
  <c r="EH238" i="1"/>
  <c r="EG238" i="1"/>
  <c r="EF238" i="1"/>
  <c r="EE238" i="1"/>
  <c r="ED238" i="1"/>
  <c r="DR238" i="1"/>
  <c r="DG238" i="1"/>
  <c r="CU238" i="1"/>
  <c r="CT238" i="1"/>
  <c r="CS238" i="1"/>
  <c r="CR238" i="1"/>
  <c r="CQ238" i="1"/>
  <c r="CP238" i="1"/>
  <c r="CO238" i="1"/>
  <c r="CN238" i="1"/>
  <c r="CM238" i="1"/>
  <c r="CL238" i="1"/>
  <c r="CK238" i="1"/>
  <c r="BZ238" i="1"/>
  <c r="BO238" i="1"/>
  <c r="BC238" i="1"/>
  <c r="BB238" i="1"/>
  <c r="GO238" i="1" s="1"/>
  <c r="BA238" i="1"/>
  <c r="AZ238" i="1"/>
  <c r="AY238" i="1"/>
  <c r="AX238" i="1"/>
  <c r="GK238" i="1" s="1"/>
  <c r="AW238" i="1"/>
  <c r="AV238" i="1"/>
  <c r="AU238" i="1"/>
  <c r="AT238" i="1"/>
  <c r="GG238" i="1" s="1"/>
  <c r="AS238" i="1"/>
  <c r="AH238" i="1"/>
  <c r="W238" i="1"/>
  <c r="L238" i="1"/>
  <c r="IT237" i="1"/>
  <c r="IO237" i="1"/>
  <c r="II237" i="1"/>
  <c r="IH237" i="1"/>
  <c r="IG237" i="1"/>
  <c r="IF237" i="1"/>
  <c r="IE237" i="1"/>
  <c r="HZ237" i="1"/>
  <c r="HU237" i="1"/>
  <c r="HO237" i="1"/>
  <c r="HN237" i="1"/>
  <c r="HM237" i="1"/>
  <c r="HL237" i="1"/>
  <c r="HK237" i="1"/>
  <c r="HF237" i="1"/>
  <c r="HA237" i="1"/>
  <c r="GV237" i="1"/>
  <c r="GE237" i="1"/>
  <c r="GD237" i="1"/>
  <c r="GC237" i="1"/>
  <c r="GB237" i="1"/>
  <c r="GA237" i="1"/>
  <c r="FZ237" i="1"/>
  <c r="FY237" i="1"/>
  <c r="FX237" i="1"/>
  <c r="FW237" i="1"/>
  <c r="FV237" i="1"/>
  <c r="FU237" i="1"/>
  <c r="FJ237" i="1"/>
  <c r="EY237" i="1"/>
  <c r="EM237" i="1"/>
  <c r="EL237" i="1"/>
  <c r="EK237" i="1"/>
  <c r="EJ237" i="1"/>
  <c r="EI237" i="1"/>
  <c r="EH237" i="1"/>
  <c r="EG237" i="1"/>
  <c r="EF237" i="1"/>
  <c r="EE237" i="1"/>
  <c r="ED237" i="1"/>
  <c r="DR237" i="1"/>
  <c r="DG237" i="1"/>
  <c r="CU237" i="1"/>
  <c r="CT237" i="1"/>
  <c r="CS237" i="1"/>
  <c r="CR237" i="1"/>
  <c r="CQ237" i="1"/>
  <c r="CP237" i="1"/>
  <c r="CO237" i="1"/>
  <c r="CN237" i="1"/>
  <c r="CM237" i="1"/>
  <c r="CL237" i="1"/>
  <c r="CK237" i="1"/>
  <c r="BZ237" i="1"/>
  <c r="BO237" i="1"/>
  <c r="BC237" i="1"/>
  <c r="BB237" i="1"/>
  <c r="BA237" i="1"/>
  <c r="AZ237" i="1"/>
  <c r="AY237" i="1"/>
  <c r="AX237" i="1"/>
  <c r="AW237" i="1"/>
  <c r="AV237" i="1"/>
  <c r="AU237" i="1"/>
  <c r="AT237" i="1"/>
  <c r="AS237" i="1"/>
  <c r="AH237" i="1"/>
  <c r="W237" i="1"/>
  <c r="L237" i="1"/>
  <c r="IV236" i="1"/>
  <c r="IU236" i="1"/>
  <c r="IU228" i="1" s="1"/>
  <c r="IS236" i="1"/>
  <c r="IS228" i="1" s="1"/>
  <c r="IR236" i="1"/>
  <c r="IQ236" i="1"/>
  <c r="IQ228" i="1" s="1"/>
  <c r="IP236" i="1"/>
  <c r="IN236" i="1"/>
  <c r="IM236" i="1"/>
  <c r="IM228" i="1" s="1"/>
  <c r="IL236" i="1"/>
  <c r="IL228" i="1" s="1"/>
  <c r="IK236" i="1"/>
  <c r="ID236" i="1"/>
  <c r="ID228" i="1" s="1"/>
  <c r="IC236" i="1"/>
  <c r="IB236" i="1"/>
  <c r="IB228" i="1" s="1"/>
  <c r="IA236" i="1"/>
  <c r="IA228" i="1" s="1"/>
  <c r="HY236" i="1"/>
  <c r="HX236" i="1"/>
  <c r="HW236" i="1"/>
  <c r="HW228" i="1" s="1"/>
  <c r="HV236" i="1"/>
  <c r="HT236" i="1"/>
  <c r="II236" i="1" s="1"/>
  <c r="HS236" i="1"/>
  <c r="HR236" i="1"/>
  <c r="IG236" i="1" s="1"/>
  <c r="HQ236" i="1"/>
  <c r="HJ236" i="1"/>
  <c r="HI236" i="1"/>
  <c r="HH236" i="1"/>
  <c r="HG236" i="1"/>
  <c r="HG228" i="1" s="1"/>
  <c r="HE236" i="1"/>
  <c r="HE228" i="1" s="1"/>
  <c r="HD236" i="1"/>
  <c r="HC236" i="1"/>
  <c r="HC228" i="1" s="1"/>
  <c r="HB236" i="1"/>
  <c r="GZ236" i="1"/>
  <c r="HO236" i="1" s="1"/>
  <c r="GY236" i="1"/>
  <c r="GX236" i="1"/>
  <c r="HM236" i="1" s="1"/>
  <c r="GW236" i="1"/>
  <c r="GU236" i="1"/>
  <c r="GU228" i="1" s="1"/>
  <c r="GT236" i="1"/>
  <c r="GS236" i="1"/>
  <c r="GR236" i="1"/>
  <c r="FV236" i="1"/>
  <c r="FT236" i="1"/>
  <c r="FS236" i="1"/>
  <c r="FS228" i="1" s="1"/>
  <c r="FR236" i="1"/>
  <c r="FQ236" i="1"/>
  <c r="FP236" i="1"/>
  <c r="FO236" i="1"/>
  <c r="FO228" i="1" s="1"/>
  <c r="FN236" i="1"/>
  <c r="FM236" i="1"/>
  <c r="FM228" i="1" s="1"/>
  <c r="FL236" i="1"/>
  <c r="FI236" i="1"/>
  <c r="FI228" i="1" s="1"/>
  <c r="FH236" i="1"/>
  <c r="FG236" i="1"/>
  <c r="FG228" i="1" s="1"/>
  <c r="FF236" i="1"/>
  <c r="FF228" i="1" s="1"/>
  <c r="FE236" i="1"/>
  <c r="FD236" i="1"/>
  <c r="FC236" i="1"/>
  <c r="FB236" i="1"/>
  <c r="FB228" i="1" s="1"/>
  <c r="FA236" i="1"/>
  <c r="FA228" i="1" s="1"/>
  <c r="EX236" i="1"/>
  <c r="EW236" i="1"/>
  <c r="EV236" i="1"/>
  <c r="EU236" i="1"/>
  <c r="ET236" i="1"/>
  <c r="ES236" i="1"/>
  <c r="ER236" i="1"/>
  <c r="EQ236" i="1"/>
  <c r="EQ228" i="1" s="1"/>
  <c r="EP236" i="1"/>
  <c r="ED236" i="1"/>
  <c r="EC236" i="1"/>
  <c r="EB236" i="1"/>
  <c r="EA236" i="1"/>
  <c r="DZ236" i="1"/>
  <c r="DY236" i="1"/>
  <c r="DX236" i="1"/>
  <c r="DW236" i="1"/>
  <c r="DV236" i="1"/>
  <c r="DU236" i="1"/>
  <c r="DT236" i="1"/>
  <c r="DQ236" i="1"/>
  <c r="DP236" i="1"/>
  <c r="DO236" i="1"/>
  <c r="DN236" i="1"/>
  <c r="DM236" i="1"/>
  <c r="DL236" i="1"/>
  <c r="DK236" i="1"/>
  <c r="DJ236" i="1"/>
  <c r="DI236" i="1"/>
  <c r="DF236" i="1"/>
  <c r="DE236" i="1"/>
  <c r="DD236" i="1"/>
  <c r="DD228" i="1" s="1"/>
  <c r="DC236" i="1"/>
  <c r="DB236" i="1"/>
  <c r="DA236" i="1"/>
  <c r="CZ236" i="1"/>
  <c r="CY236" i="1"/>
  <c r="CX236" i="1"/>
  <c r="CL236" i="1"/>
  <c r="CJ236" i="1"/>
  <c r="CI236" i="1"/>
  <c r="CH236" i="1"/>
  <c r="CG236" i="1"/>
  <c r="CG228" i="1" s="1"/>
  <c r="CF236" i="1"/>
  <c r="CF228" i="1" s="1"/>
  <c r="CE236" i="1"/>
  <c r="CD236" i="1"/>
  <c r="CD228" i="1" s="1"/>
  <c r="CC236" i="1"/>
  <c r="CC228" i="1" s="1"/>
  <c r="CB236" i="1"/>
  <c r="BY236" i="1"/>
  <c r="BX236" i="1"/>
  <c r="BX228" i="1" s="1"/>
  <c r="BW236" i="1"/>
  <c r="BV236" i="1"/>
  <c r="BV228" i="1" s="1"/>
  <c r="BU236" i="1"/>
  <c r="BT236" i="1"/>
  <c r="BT228" i="1" s="1"/>
  <c r="BS236" i="1"/>
  <c r="BR236" i="1"/>
  <c r="BQ236" i="1"/>
  <c r="BN236" i="1"/>
  <c r="BM236" i="1"/>
  <c r="BL236" i="1"/>
  <c r="BK236" i="1"/>
  <c r="BJ236" i="1"/>
  <c r="CQ236" i="1" s="1"/>
  <c r="BI236" i="1"/>
  <c r="BH236" i="1"/>
  <c r="BH228" i="1" s="1"/>
  <c r="BG236" i="1"/>
  <c r="BF236" i="1"/>
  <c r="CM236" i="1" s="1"/>
  <c r="AT236" i="1"/>
  <c r="AR236" i="1"/>
  <c r="AR228" i="1" s="1"/>
  <c r="AQ236" i="1"/>
  <c r="AP236" i="1"/>
  <c r="AP228" i="1" s="1"/>
  <c r="AO236" i="1"/>
  <c r="AN236" i="1"/>
  <c r="AM236" i="1"/>
  <c r="AL236" i="1"/>
  <c r="AL228" i="1" s="1"/>
  <c r="AK236" i="1"/>
  <c r="AJ236" i="1"/>
  <c r="AJ228" i="1" s="1"/>
  <c r="AG236" i="1"/>
  <c r="AG228" i="1" s="1"/>
  <c r="AF236" i="1"/>
  <c r="AE236" i="1"/>
  <c r="AD236" i="1"/>
  <c r="AC236" i="1"/>
  <c r="AC228" i="1" s="1"/>
  <c r="AB236" i="1"/>
  <c r="AB228" i="1" s="1"/>
  <c r="AA236" i="1"/>
  <c r="Z236" i="1"/>
  <c r="Z228" i="1" s="1"/>
  <c r="Y236" i="1"/>
  <c r="V236" i="1"/>
  <c r="U236" i="1"/>
  <c r="T236" i="1"/>
  <c r="S236" i="1"/>
  <c r="R236" i="1"/>
  <c r="R228" i="1" s="1"/>
  <c r="Q236" i="1"/>
  <c r="P236" i="1"/>
  <c r="O236" i="1"/>
  <c r="N236" i="1"/>
  <c r="K236" i="1"/>
  <c r="K228" i="1" s="1"/>
  <c r="J236" i="1"/>
  <c r="J228" i="1" s="1"/>
  <c r="I236" i="1"/>
  <c r="H236" i="1"/>
  <c r="H228" i="1" s="1"/>
  <c r="IT235" i="1"/>
  <c r="IO235" i="1"/>
  <c r="II235" i="1"/>
  <c r="IH235" i="1"/>
  <c r="IG235" i="1"/>
  <c r="IF235" i="1"/>
  <c r="IE235" i="1"/>
  <c r="HZ235" i="1"/>
  <c r="HU235" i="1"/>
  <c r="HO235" i="1"/>
  <c r="HN235" i="1"/>
  <c r="HM235" i="1"/>
  <c r="HL235" i="1"/>
  <c r="HK235" i="1"/>
  <c r="HF235" i="1"/>
  <c r="HA235" i="1"/>
  <c r="GV235" i="1"/>
  <c r="GE235" i="1"/>
  <c r="GD235" i="1"/>
  <c r="GC235" i="1"/>
  <c r="GB235" i="1"/>
  <c r="GA235" i="1"/>
  <c r="FZ235" i="1"/>
  <c r="FY235" i="1"/>
  <c r="FX235" i="1"/>
  <c r="FW235" i="1"/>
  <c r="FV235" i="1"/>
  <c r="FU235" i="1"/>
  <c r="FJ235" i="1"/>
  <c r="EY235" i="1"/>
  <c r="EM235" i="1"/>
  <c r="EL235" i="1"/>
  <c r="EK235" i="1"/>
  <c r="EJ235" i="1"/>
  <c r="EI235" i="1"/>
  <c r="EH235" i="1"/>
  <c r="EG235" i="1"/>
  <c r="EF235" i="1"/>
  <c r="EE235" i="1"/>
  <c r="ED235" i="1"/>
  <c r="DR235" i="1"/>
  <c r="DG235" i="1"/>
  <c r="CU235" i="1"/>
  <c r="CT235" i="1"/>
  <c r="CS235" i="1"/>
  <c r="CR235" i="1"/>
  <c r="CQ235" i="1"/>
  <c r="CP235" i="1"/>
  <c r="CO235" i="1"/>
  <c r="CN235" i="1"/>
  <c r="CM235" i="1"/>
  <c r="CL235" i="1"/>
  <c r="CK235" i="1"/>
  <c r="BZ235" i="1"/>
  <c r="BO235" i="1"/>
  <c r="BC235" i="1"/>
  <c r="GP235" i="1" s="1"/>
  <c r="BB235" i="1"/>
  <c r="BA235" i="1"/>
  <c r="AZ235" i="1"/>
  <c r="AY235" i="1"/>
  <c r="GL235" i="1" s="1"/>
  <c r="AX235" i="1"/>
  <c r="AW235" i="1"/>
  <c r="AV235" i="1"/>
  <c r="AU235" i="1"/>
  <c r="BD235" i="1" s="1"/>
  <c r="AT235" i="1"/>
  <c r="AS235" i="1"/>
  <c r="AH235" i="1"/>
  <c r="W235" i="1"/>
  <c r="L235" i="1"/>
  <c r="IT234" i="1"/>
  <c r="IO234" i="1"/>
  <c r="II234" i="1"/>
  <c r="IH234" i="1"/>
  <c r="IG234" i="1"/>
  <c r="IF234" i="1"/>
  <c r="IE234" i="1"/>
  <c r="HZ234" i="1"/>
  <c r="HU234" i="1"/>
  <c r="HO234" i="1"/>
  <c r="HN234" i="1"/>
  <c r="HM234" i="1"/>
  <c r="HL234" i="1"/>
  <c r="HK234" i="1"/>
  <c r="HF234" i="1"/>
  <c r="HA234" i="1"/>
  <c r="GV234" i="1"/>
  <c r="GE234" i="1"/>
  <c r="GD234" i="1"/>
  <c r="GC234" i="1"/>
  <c r="GB234" i="1"/>
  <c r="GA234" i="1"/>
  <c r="FZ234" i="1"/>
  <c r="FY234" i="1"/>
  <c r="FX234" i="1"/>
  <c r="FW234" i="1"/>
  <c r="FV234" i="1"/>
  <c r="FU234" i="1"/>
  <c r="FJ234" i="1"/>
  <c r="EY234" i="1"/>
  <c r="EM234" i="1"/>
  <c r="EL234" i="1"/>
  <c r="EK234" i="1"/>
  <c r="EJ234" i="1"/>
  <c r="EI234" i="1"/>
  <c r="EH234" i="1"/>
  <c r="EG234" i="1"/>
  <c r="EF234" i="1"/>
  <c r="EE234" i="1"/>
  <c r="ED234" i="1"/>
  <c r="DR234" i="1"/>
  <c r="DG234" i="1"/>
  <c r="CU234" i="1"/>
  <c r="CT234" i="1"/>
  <c r="CS234" i="1"/>
  <c r="CR234" i="1"/>
  <c r="CQ234" i="1"/>
  <c r="CP234" i="1"/>
  <c r="CO234" i="1"/>
  <c r="CN234" i="1"/>
  <c r="CM234" i="1"/>
  <c r="CL234" i="1"/>
  <c r="CK234" i="1"/>
  <c r="BZ234" i="1"/>
  <c r="BO234" i="1"/>
  <c r="BC234" i="1"/>
  <c r="BB234" i="1"/>
  <c r="BA234" i="1"/>
  <c r="AZ234" i="1"/>
  <c r="AY234" i="1"/>
  <c r="AX234" i="1"/>
  <c r="AW234" i="1"/>
  <c r="AV234" i="1"/>
  <c r="AU234" i="1"/>
  <c r="AT234" i="1"/>
  <c r="AS234" i="1"/>
  <c r="AH234" i="1"/>
  <c r="W234" i="1"/>
  <c r="L234" i="1"/>
  <c r="IT233" i="1"/>
  <c r="IO233" i="1"/>
  <c r="II233" i="1"/>
  <c r="IH233" i="1"/>
  <c r="IG233" i="1"/>
  <c r="IF233" i="1"/>
  <c r="IE233" i="1"/>
  <c r="HZ233" i="1"/>
  <c r="HU233" i="1"/>
  <c r="HO233" i="1"/>
  <c r="HN233" i="1"/>
  <c r="HM233" i="1"/>
  <c r="HL233" i="1"/>
  <c r="HK233" i="1"/>
  <c r="HF233" i="1"/>
  <c r="HA233" i="1"/>
  <c r="GV233" i="1"/>
  <c r="GE233" i="1"/>
  <c r="GD233" i="1"/>
  <c r="GC233" i="1"/>
  <c r="GB233" i="1"/>
  <c r="GA233" i="1"/>
  <c r="FZ233" i="1"/>
  <c r="FY233" i="1"/>
  <c r="FX233" i="1"/>
  <c r="FW233" i="1"/>
  <c r="FV233" i="1"/>
  <c r="FU233" i="1"/>
  <c r="FJ233" i="1"/>
  <c r="EY233" i="1"/>
  <c r="EM233" i="1"/>
  <c r="EL233" i="1"/>
  <c r="EK233" i="1"/>
  <c r="EJ233" i="1"/>
  <c r="EI233" i="1"/>
  <c r="EH233" i="1"/>
  <c r="EG233" i="1"/>
  <c r="EF233" i="1"/>
  <c r="EN233" i="1" s="1"/>
  <c r="EE233" i="1"/>
  <c r="ED233" i="1"/>
  <c r="DR233" i="1"/>
  <c r="DG233" i="1"/>
  <c r="CU233" i="1"/>
  <c r="CT233" i="1"/>
  <c r="CS233" i="1"/>
  <c r="CR233" i="1"/>
  <c r="CQ233" i="1"/>
  <c r="CP233" i="1"/>
  <c r="CO233" i="1"/>
  <c r="CN233" i="1"/>
  <c r="CM233" i="1"/>
  <c r="CL233" i="1"/>
  <c r="CK233" i="1"/>
  <c r="BZ233" i="1"/>
  <c r="BO233" i="1"/>
  <c r="BC233" i="1"/>
  <c r="GP233" i="1" s="1"/>
  <c r="BB233" i="1"/>
  <c r="BA233" i="1"/>
  <c r="GN233" i="1" s="1"/>
  <c r="AZ233" i="1"/>
  <c r="AY233" i="1"/>
  <c r="AX233" i="1"/>
  <c r="AW233" i="1"/>
  <c r="GJ233" i="1" s="1"/>
  <c r="AV233" i="1"/>
  <c r="AU233" i="1"/>
  <c r="AT233" i="1"/>
  <c r="AS233" i="1"/>
  <c r="AH233" i="1"/>
  <c r="W233" i="1"/>
  <c r="L233" i="1"/>
  <c r="IT232" i="1"/>
  <c r="IO232" i="1"/>
  <c r="II232" i="1"/>
  <c r="IH232" i="1"/>
  <c r="IG232" i="1"/>
  <c r="IF232" i="1"/>
  <c r="IE232" i="1"/>
  <c r="HZ232" i="1"/>
  <c r="HU232" i="1"/>
  <c r="HO232" i="1"/>
  <c r="HN232" i="1"/>
  <c r="HM232" i="1"/>
  <c r="HL232" i="1"/>
  <c r="HP232" i="1" s="1"/>
  <c r="HK232" i="1"/>
  <c r="HF232" i="1"/>
  <c r="HA232" i="1"/>
  <c r="GV232" i="1"/>
  <c r="GE232" i="1"/>
  <c r="GD232" i="1"/>
  <c r="GC232" i="1"/>
  <c r="GB232" i="1"/>
  <c r="GA232" i="1"/>
  <c r="FZ232" i="1"/>
  <c r="FY232" i="1"/>
  <c r="FX232" i="1"/>
  <c r="FW232" i="1"/>
  <c r="FV232" i="1"/>
  <c r="FU232" i="1"/>
  <c r="FJ232" i="1"/>
  <c r="EY232" i="1"/>
  <c r="EM232" i="1"/>
  <c r="EL232" i="1"/>
  <c r="EK232" i="1"/>
  <c r="EJ232" i="1"/>
  <c r="EI232" i="1"/>
  <c r="EH232" i="1"/>
  <c r="EG232" i="1"/>
  <c r="EF232" i="1"/>
  <c r="EE232" i="1"/>
  <c r="ED232" i="1"/>
  <c r="DR232" i="1"/>
  <c r="DG232" i="1"/>
  <c r="CU232" i="1"/>
  <c r="CT232" i="1"/>
  <c r="CS232" i="1"/>
  <c r="CR232" i="1"/>
  <c r="CQ232" i="1"/>
  <c r="CP232" i="1"/>
  <c r="CO232" i="1"/>
  <c r="CN232" i="1"/>
  <c r="CM232" i="1"/>
  <c r="CL232" i="1"/>
  <c r="CK232" i="1"/>
  <c r="BZ232" i="1"/>
  <c r="BO232" i="1"/>
  <c r="BC232" i="1"/>
  <c r="BB232" i="1"/>
  <c r="BA232" i="1"/>
  <c r="AZ232" i="1"/>
  <c r="AY232" i="1"/>
  <c r="AX232" i="1"/>
  <c r="AW232" i="1"/>
  <c r="AV232" i="1"/>
  <c r="AU232" i="1"/>
  <c r="AT232" i="1"/>
  <c r="AS232" i="1"/>
  <c r="AH232" i="1"/>
  <c r="W232" i="1"/>
  <c r="L232" i="1"/>
  <c r="IT231" i="1"/>
  <c r="IO231" i="1"/>
  <c r="II231" i="1"/>
  <c r="IH231" i="1"/>
  <c r="IG231" i="1"/>
  <c r="IF231" i="1"/>
  <c r="IE231" i="1"/>
  <c r="HZ231" i="1"/>
  <c r="HU231" i="1"/>
  <c r="HO231" i="1"/>
  <c r="HN231" i="1"/>
  <c r="HM231" i="1"/>
  <c r="HL231" i="1"/>
  <c r="HK231" i="1"/>
  <c r="HF231" i="1"/>
  <c r="HA231" i="1"/>
  <c r="GV231" i="1"/>
  <c r="GE231" i="1"/>
  <c r="GD231" i="1"/>
  <c r="GC231" i="1"/>
  <c r="GB231" i="1"/>
  <c r="GA231" i="1"/>
  <c r="FZ231" i="1"/>
  <c r="FY231" i="1"/>
  <c r="FX231" i="1"/>
  <c r="FW231" i="1"/>
  <c r="FV231" i="1"/>
  <c r="FU231" i="1"/>
  <c r="FJ231" i="1"/>
  <c r="EY231" i="1"/>
  <c r="EM231" i="1"/>
  <c r="EL231" i="1"/>
  <c r="EK231" i="1"/>
  <c r="EJ231" i="1"/>
  <c r="EI231" i="1"/>
  <c r="EH231" i="1"/>
  <c r="EG231" i="1"/>
  <c r="EF231" i="1"/>
  <c r="EE231" i="1"/>
  <c r="ED231" i="1"/>
  <c r="DR231" i="1"/>
  <c r="DG231" i="1"/>
  <c r="CU231" i="1"/>
  <c r="CT231" i="1"/>
  <c r="CS231" i="1"/>
  <c r="CR231" i="1"/>
  <c r="CQ231" i="1"/>
  <c r="CP231" i="1"/>
  <c r="CO231" i="1"/>
  <c r="CN231" i="1"/>
  <c r="CM231" i="1"/>
  <c r="CL231" i="1"/>
  <c r="CK231" i="1"/>
  <c r="BZ231" i="1"/>
  <c r="BO231" i="1"/>
  <c r="BC231" i="1"/>
  <c r="BB231" i="1"/>
  <c r="BA231" i="1"/>
  <c r="AZ231" i="1"/>
  <c r="AY231" i="1"/>
  <c r="AX231" i="1"/>
  <c r="AW231" i="1"/>
  <c r="AV231" i="1"/>
  <c r="AU231" i="1"/>
  <c r="AT231" i="1"/>
  <c r="AS231" i="1"/>
  <c r="AH231" i="1"/>
  <c r="W231" i="1"/>
  <c r="L231" i="1"/>
  <c r="IT230" i="1"/>
  <c r="IO230" i="1"/>
  <c r="II230" i="1"/>
  <c r="IH230" i="1"/>
  <c r="IG230" i="1"/>
  <c r="IF230" i="1"/>
  <c r="IE230" i="1"/>
  <c r="HZ230" i="1"/>
  <c r="HU230" i="1"/>
  <c r="HO230" i="1"/>
  <c r="HN230" i="1"/>
  <c r="HM230" i="1"/>
  <c r="HL230" i="1"/>
  <c r="HK230" i="1"/>
  <c r="HF230" i="1"/>
  <c r="HA230" i="1"/>
  <c r="GV230" i="1"/>
  <c r="GE230" i="1"/>
  <c r="GD230" i="1"/>
  <c r="GC230" i="1"/>
  <c r="GB230" i="1"/>
  <c r="GA230" i="1"/>
  <c r="FZ230" i="1"/>
  <c r="FY230" i="1"/>
  <c r="FX230" i="1"/>
  <c r="FW230" i="1"/>
  <c r="FV230" i="1"/>
  <c r="FU230" i="1"/>
  <c r="FJ230" i="1"/>
  <c r="EY230" i="1"/>
  <c r="EM230" i="1"/>
  <c r="EL230" i="1"/>
  <c r="EK230" i="1"/>
  <c r="EJ230" i="1"/>
  <c r="EI230" i="1"/>
  <c r="EH230" i="1"/>
  <c r="EG230" i="1"/>
  <c r="EF230" i="1"/>
  <c r="EE230" i="1"/>
  <c r="ED230" i="1"/>
  <c r="DR230" i="1"/>
  <c r="DG230" i="1"/>
  <c r="CU230" i="1"/>
  <c r="CT230" i="1"/>
  <c r="CS230" i="1"/>
  <c r="CR230" i="1"/>
  <c r="CQ230" i="1"/>
  <c r="CP230" i="1"/>
  <c r="CO230" i="1"/>
  <c r="CN230" i="1"/>
  <c r="CM230" i="1"/>
  <c r="CL230" i="1"/>
  <c r="CK230" i="1"/>
  <c r="BZ230" i="1"/>
  <c r="BO230" i="1"/>
  <c r="BC230" i="1"/>
  <c r="BB230" i="1"/>
  <c r="GO230" i="1" s="1"/>
  <c r="BA230" i="1"/>
  <c r="AZ230" i="1"/>
  <c r="AY230" i="1"/>
  <c r="AX230" i="1"/>
  <c r="GK230" i="1" s="1"/>
  <c r="AW230" i="1"/>
  <c r="AV230" i="1"/>
  <c r="AU230" i="1"/>
  <c r="AT230" i="1"/>
  <c r="GG230" i="1" s="1"/>
  <c r="AS230" i="1"/>
  <c r="AH230" i="1"/>
  <c r="W230" i="1"/>
  <c r="L230" i="1"/>
  <c r="IT229" i="1"/>
  <c r="IO229" i="1"/>
  <c r="II229" i="1"/>
  <c r="IH229" i="1"/>
  <c r="IG229" i="1"/>
  <c r="IF229" i="1"/>
  <c r="IE229" i="1"/>
  <c r="HZ229" i="1"/>
  <c r="HU229" i="1"/>
  <c r="HO229" i="1"/>
  <c r="HN229" i="1"/>
  <c r="HM229" i="1"/>
  <c r="HL229" i="1"/>
  <c r="HK229" i="1"/>
  <c r="HF229" i="1"/>
  <c r="HA229" i="1"/>
  <c r="GV229" i="1"/>
  <c r="GE229" i="1"/>
  <c r="GD229" i="1"/>
  <c r="GC229" i="1"/>
  <c r="GB229" i="1"/>
  <c r="GA229" i="1"/>
  <c r="FZ229" i="1"/>
  <c r="FY229" i="1"/>
  <c r="FX229" i="1"/>
  <c r="FW229" i="1"/>
  <c r="FV229" i="1"/>
  <c r="FU229" i="1"/>
  <c r="FJ229" i="1"/>
  <c r="EY229" i="1"/>
  <c r="EM229" i="1"/>
  <c r="EL229" i="1"/>
  <c r="EK229" i="1"/>
  <c r="EJ229" i="1"/>
  <c r="EI229" i="1"/>
  <c r="EH229" i="1"/>
  <c r="EG229" i="1"/>
  <c r="EF229" i="1"/>
  <c r="EE229" i="1"/>
  <c r="ED229" i="1"/>
  <c r="DR229" i="1"/>
  <c r="DG229" i="1"/>
  <c r="CU229" i="1"/>
  <c r="CT229" i="1"/>
  <c r="CS229" i="1"/>
  <c r="CR229" i="1"/>
  <c r="CQ229" i="1"/>
  <c r="CP229" i="1"/>
  <c r="CO229" i="1"/>
  <c r="CN229" i="1"/>
  <c r="CM229" i="1"/>
  <c r="CL229" i="1"/>
  <c r="CK229" i="1"/>
  <c r="BZ229" i="1"/>
  <c r="BO229" i="1"/>
  <c r="BC229" i="1"/>
  <c r="BB229" i="1"/>
  <c r="BA229" i="1"/>
  <c r="AZ229" i="1"/>
  <c r="AY229" i="1"/>
  <c r="AX229" i="1"/>
  <c r="AW229" i="1"/>
  <c r="AV229" i="1"/>
  <c r="AU229" i="1"/>
  <c r="GH229" i="1" s="1"/>
  <c r="AT229" i="1"/>
  <c r="AS229" i="1"/>
  <c r="AH229" i="1"/>
  <c r="W229" i="1"/>
  <c r="L229" i="1"/>
  <c r="IV228" i="1"/>
  <c r="IR228" i="1"/>
  <c r="IP228" i="1"/>
  <c r="IN228" i="1"/>
  <c r="IK228" i="1"/>
  <c r="IC228" i="1"/>
  <c r="HY228" i="1"/>
  <c r="HX228" i="1"/>
  <c r="HV228" i="1"/>
  <c r="HR228" i="1"/>
  <c r="HQ228" i="1"/>
  <c r="HJ228" i="1"/>
  <c r="HI228" i="1"/>
  <c r="HH228" i="1"/>
  <c r="HD228" i="1"/>
  <c r="HB228" i="1"/>
  <c r="GZ228" i="1"/>
  <c r="GW228" i="1"/>
  <c r="GT228" i="1"/>
  <c r="GS228" i="1"/>
  <c r="GR228" i="1"/>
  <c r="FT228" i="1"/>
  <c r="FR228" i="1"/>
  <c r="FQ228" i="1"/>
  <c r="FP228" i="1"/>
  <c r="FN228" i="1"/>
  <c r="FL228" i="1"/>
  <c r="FH228" i="1"/>
  <c r="FE228" i="1"/>
  <c r="FD228" i="1"/>
  <c r="FC228" i="1"/>
  <c r="EX228" i="1"/>
  <c r="EV228" i="1"/>
  <c r="EU228" i="1"/>
  <c r="ET228" i="1"/>
  <c r="ER228" i="1"/>
  <c r="EP228" i="1"/>
  <c r="EC228" i="1"/>
  <c r="EB228" i="1"/>
  <c r="EA228" i="1"/>
  <c r="DZ228" i="1"/>
  <c r="DY228" i="1"/>
  <c r="DX228" i="1"/>
  <c r="DW228" i="1"/>
  <c r="DV228" i="1"/>
  <c r="DU228" i="1"/>
  <c r="DT228" i="1"/>
  <c r="DQ228" i="1"/>
  <c r="DP228" i="1"/>
  <c r="DO228" i="1"/>
  <c r="DN228" i="1"/>
  <c r="DM228" i="1"/>
  <c r="DL228" i="1"/>
  <c r="DK228" i="1"/>
  <c r="DJ228" i="1"/>
  <c r="DI228" i="1"/>
  <c r="DE228" i="1"/>
  <c r="DC228" i="1"/>
  <c r="DA228" i="1"/>
  <c r="CZ228" i="1"/>
  <c r="CY228" i="1"/>
  <c r="CJ228" i="1"/>
  <c r="CI228" i="1"/>
  <c r="CH228" i="1"/>
  <c r="CE228" i="1"/>
  <c r="CB228" i="1"/>
  <c r="BY228" i="1"/>
  <c r="BW228" i="1"/>
  <c r="BU228" i="1"/>
  <c r="BS228" i="1"/>
  <c r="BR228" i="1"/>
  <c r="BQ228" i="1"/>
  <c r="BN228" i="1"/>
  <c r="BM228" i="1"/>
  <c r="BL228" i="1"/>
  <c r="BI228" i="1"/>
  <c r="BF228" i="1"/>
  <c r="AQ228" i="1"/>
  <c r="AO228" i="1"/>
  <c r="AN228" i="1"/>
  <c r="AM228" i="1"/>
  <c r="AK228" i="1"/>
  <c r="AF228" i="1"/>
  <c r="AE228" i="1"/>
  <c r="AD228" i="1"/>
  <c r="AA228" i="1"/>
  <c r="V228" i="1"/>
  <c r="U228" i="1"/>
  <c r="S228" i="1"/>
  <c r="Q228" i="1"/>
  <c r="O228" i="1"/>
  <c r="N228" i="1"/>
  <c r="I228" i="1"/>
  <c r="G228" i="1"/>
  <c r="F228" i="1"/>
  <c r="E228" i="1"/>
  <c r="D228" i="1"/>
  <c r="C228" i="1"/>
  <c r="IT227" i="1"/>
  <c r="IO227" i="1"/>
  <c r="II227" i="1"/>
  <c r="IH227" i="1"/>
  <c r="IG227" i="1"/>
  <c r="IF227" i="1"/>
  <c r="IE227" i="1"/>
  <c r="HZ227" i="1"/>
  <c r="HU227" i="1"/>
  <c r="HO227" i="1"/>
  <c r="HN227" i="1"/>
  <c r="HM227" i="1"/>
  <c r="HL227" i="1"/>
  <c r="HK227" i="1"/>
  <c r="HF227" i="1"/>
  <c r="HA227" i="1"/>
  <c r="GV227" i="1"/>
  <c r="GE227" i="1"/>
  <c r="GD227" i="1"/>
  <c r="GC227" i="1"/>
  <c r="GB227" i="1"/>
  <c r="GA227" i="1"/>
  <c r="FZ227" i="1"/>
  <c r="FY227" i="1"/>
  <c r="FX227" i="1"/>
  <c r="FW227" i="1"/>
  <c r="FV227" i="1"/>
  <c r="FU227" i="1"/>
  <c r="FJ227" i="1"/>
  <c r="EY227" i="1"/>
  <c r="EM227" i="1"/>
  <c r="EL227" i="1"/>
  <c r="EK227" i="1"/>
  <c r="EJ227" i="1"/>
  <c r="EI227" i="1"/>
  <c r="EH227" i="1"/>
  <c r="EG227" i="1"/>
  <c r="EF227" i="1"/>
  <c r="EE227" i="1"/>
  <c r="ED227" i="1"/>
  <c r="DR227" i="1"/>
  <c r="DG227" i="1"/>
  <c r="CU227" i="1"/>
  <c r="CT227" i="1"/>
  <c r="CS227" i="1"/>
  <c r="CR227" i="1"/>
  <c r="CQ227" i="1"/>
  <c r="CP227" i="1"/>
  <c r="CO227" i="1"/>
  <c r="CN227" i="1"/>
  <c r="CM227" i="1"/>
  <c r="CL227" i="1"/>
  <c r="CK227" i="1"/>
  <c r="BZ227" i="1"/>
  <c r="BO227" i="1"/>
  <c r="BC227" i="1"/>
  <c r="BB227" i="1"/>
  <c r="BA227" i="1"/>
  <c r="AZ227" i="1"/>
  <c r="AY227" i="1"/>
  <c r="AX227" i="1"/>
  <c r="AW227" i="1"/>
  <c r="AV227" i="1"/>
  <c r="AU227" i="1"/>
  <c r="AT227" i="1"/>
  <c r="AS227" i="1"/>
  <c r="AH227" i="1"/>
  <c r="W227" i="1"/>
  <c r="L227" i="1"/>
  <c r="IT226" i="1"/>
  <c r="IO226" i="1"/>
  <c r="II226" i="1"/>
  <c r="IH226" i="1"/>
  <c r="IG226" i="1"/>
  <c r="IF226" i="1"/>
  <c r="IE226" i="1"/>
  <c r="HZ226" i="1"/>
  <c r="HU226" i="1"/>
  <c r="HO226" i="1"/>
  <c r="HN226" i="1"/>
  <c r="HM226" i="1"/>
  <c r="HL226" i="1"/>
  <c r="HK226" i="1"/>
  <c r="HF226" i="1"/>
  <c r="HA226" i="1"/>
  <c r="GV226" i="1"/>
  <c r="GE226" i="1"/>
  <c r="GD226" i="1"/>
  <c r="GC226" i="1"/>
  <c r="GB226" i="1"/>
  <c r="GA226" i="1"/>
  <c r="FZ226" i="1"/>
  <c r="FY226" i="1"/>
  <c r="FX226" i="1"/>
  <c r="FW226" i="1"/>
  <c r="FV226" i="1"/>
  <c r="FU226" i="1"/>
  <c r="FJ226" i="1"/>
  <c r="EY226" i="1"/>
  <c r="EM226" i="1"/>
  <c r="EL226" i="1"/>
  <c r="EK226" i="1"/>
  <c r="EJ226" i="1"/>
  <c r="EI226" i="1"/>
  <c r="EH226" i="1"/>
  <c r="EG226" i="1"/>
  <c r="EF226" i="1"/>
  <c r="EE226" i="1"/>
  <c r="ED226" i="1"/>
  <c r="DR226" i="1"/>
  <c r="DG226" i="1"/>
  <c r="CU226" i="1"/>
  <c r="CT226" i="1"/>
  <c r="CS226" i="1"/>
  <c r="CR226" i="1"/>
  <c r="CQ226" i="1"/>
  <c r="CP226" i="1"/>
  <c r="CO226" i="1"/>
  <c r="CN226" i="1"/>
  <c r="CM226" i="1"/>
  <c r="CL226" i="1"/>
  <c r="CK226" i="1"/>
  <c r="BZ226" i="1"/>
  <c r="BO226" i="1"/>
  <c r="BC226" i="1"/>
  <c r="BB226" i="1"/>
  <c r="BA226" i="1"/>
  <c r="AZ226" i="1"/>
  <c r="AY226" i="1"/>
  <c r="AX226" i="1"/>
  <c r="AW226" i="1"/>
  <c r="AV226" i="1"/>
  <c r="AU226" i="1"/>
  <c r="AT226" i="1"/>
  <c r="AS226" i="1"/>
  <c r="AH226" i="1"/>
  <c r="W226" i="1"/>
  <c r="L226" i="1"/>
  <c r="IT225" i="1"/>
  <c r="IO225" i="1"/>
  <c r="II225" i="1"/>
  <c r="IH225" i="1"/>
  <c r="IG225" i="1"/>
  <c r="IF225" i="1"/>
  <c r="IE225" i="1"/>
  <c r="HZ225" i="1"/>
  <c r="HU225" i="1"/>
  <c r="HO225" i="1"/>
  <c r="HN225" i="1"/>
  <c r="HM225" i="1"/>
  <c r="HL225" i="1"/>
  <c r="HK225" i="1"/>
  <c r="HF225" i="1"/>
  <c r="HA225" i="1"/>
  <c r="GV225" i="1"/>
  <c r="GE225" i="1"/>
  <c r="GD225" i="1"/>
  <c r="GC225" i="1"/>
  <c r="GB225" i="1"/>
  <c r="GA225" i="1"/>
  <c r="FZ225" i="1"/>
  <c r="FY225" i="1"/>
  <c r="FX225" i="1"/>
  <c r="FW225" i="1"/>
  <c r="FV225" i="1"/>
  <c r="FU225" i="1"/>
  <c r="FJ225" i="1"/>
  <c r="EY225" i="1"/>
  <c r="EM225" i="1"/>
  <c r="EL225" i="1"/>
  <c r="EK225" i="1"/>
  <c r="EJ225" i="1"/>
  <c r="EI225" i="1"/>
  <c r="EH225" i="1"/>
  <c r="EG225" i="1"/>
  <c r="EF225" i="1"/>
  <c r="EE225" i="1"/>
  <c r="ED225" i="1"/>
  <c r="DR225" i="1"/>
  <c r="DG225" i="1"/>
  <c r="CU225" i="1"/>
  <c r="CT225" i="1"/>
  <c r="CS225" i="1"/>
  <c r="CR225" i="1"/>
  <c r="CQ225" i="1"/>
  <c r="CP225" i="1"/>
  <c r="CO225" i="1"/>
  <c r="CN225" i="1"/>
  <c r="CM225" i="1"/>
  <c r="CL225" i="1"/>
  <c r="CK225" i="1"/>
  <c r="BZ225" i="1"/>
  <c r="BO225" i="1"/>
  <c r="BC225" i="1"/>
  <c r="BB225" i="1"/>
  <c r="BA225" i="1"/>
  <c r="AZ225" i="1"/>
  <c r="AY225" i="1"/>
  <c r="AX225" i="1"/>
  <c r="AW225" i="1"/>
  <c r="AV225" i="1"/>
  <c r="AU225" i="1"/>
  <c r="AT225" i="1"/>
  <c r="AS225" i="1"/>
  <c r="AH225" i="1"/>
  <c r="W225" i="1"/>
  <c r="L225" i="1"/>
  <c r="IT224" i="1"/>
  <c r="IO224" i="1"/>
  <c r="II224" i="1"/>
  <c r="IH224" i="1"/>
  <c r="IG224" i="1"/>
  <c r="IF224" i="1"/>
  <c r="IE224" i="1"/>
  <c r="HZ224" i="1"/>
  <c r="HU224" i="1"/>
  <c r="HO224" i="1"/>
  <c r="HN224" i="1"/>
  <c r="HM224" i="1"/>
  <c r="HL224" i="1"/>
  <c r="HK224" i="1"/>
  <c r="HF224" i="1"/>
  <c r="HA224" i="1"/>
  <c r="GV224" i="1"/>
  <c r="GE224" i="1"/>
  <c r="GD224" i="1"/>
  <c r="GC224" i="1"/>
  <c r="GB224" i="1"/>
  <c r="GA224" i="1"/>
  <c r="FZ224" i="1"/>
  <c r="FZ223" i="1" s="1"/>
  <c r="FY224" i="1"/>
  <c r="FX224" i="1"/>
  <c r="FW224" i="1"/>
  <c r="FV224" i="1"/>
  <c r="FU224" i="1"/>
  <c r="FJ224" i="1"/>
  <c r="EY224" i="1"/>
  <c r="EM224" i="1"/>
  <c r="EL224" i="1"/>
  <c r="EK224" i="1"/>
  <c r="EJ224" i="1"/>
  <c r="EI224" i="1"/>
  <c r="EH224" i="1"/>
  <c r="EG224" i="1"/>
  <c r="EF224" i="1"/>
  <c r="EE224" i="1"/>
  <c r="ED224" i="1"/>
  <c r="DR224" i="1"/>
  <c r="DG224" i="1"/>
  <c r="CU224" i="1"/>
  <c r="CT224" i="1"/>
  <c r="CS224" i="1"/>
  <c r="CR224" i="1"/>
  <c r="CQ224" i="1"/>
  <c r="CQ223" i="1" s="1"/>
  <c r="CP224" i="1"/>
  <c r="CO224" i="1"/>
  <c r="CN224" i="1"/>
  <c r="CM224" i="1"/>
  <c r="CL224" i="1"/>
  <c r="CK224" i="1"/>
  <c r="BZ224" i="1"/>
  <c r="BO224" i="1"/>
  <c r="BC224" i="1"/>
  <c r="BB224" i="1"/>
  <c r="BA224" i="1"/>
  <c r="AZ224" i="1"/>
  <c r="AY224" i="1"/>
  <c r="AX224" i="1"/>
  <c r="AW224" i="1"/>
  <c r="AV224" i="1"/>
  <c r="AU224" i="1"/>
  <c r="AT224" i="1"/>
  <c r="AS224" i="1"/>
  <c r="AH224" i="1"/>
  <c r="W224" i="1"/>
  <c r="L224" i="1"/>
  <c r="IV223" i="1"/>
  <c r="IU223" i="1"/>
  <c r="IS223" i="1"/>
  <c r="IR223" i="1"/>
  <c r="IQ223" i="1"/>
  <c r="IP223" i="1"/>
  <c r="IN223" i="1"/>
  <c r="IM223" i="1"/>
  <c r="IL223" i="1"/>
  <c r="IK223" i="1"/>
  <c r="IF223" i="1"/>
  <c r="ID223" i="1"/>
  <c r="IC223" i="1"/>
  <c r="IB223" i="1"/>
  <c r="IA223" i="1"/>
  <c r="HY223" i="1"/>
  <c r="HX223" i="1"/>
  <c r="HW223" i="1"/>
  <c r="HV223" i="1"/>
  <c r="HT223" i="1"/>
  <c r="HS223" i="1"/>
  <c r="HR223" i="1"/>
  <c r="HQ223" i="1"/>
  <c r="HJ223" i="1"/>
  <c r="HI223" i="1"/>
  <c r="HH223" i="1"/>
  <c r="HG223" i="1"/>
  <c r="HE223" i="1"/>
  <c r="HD223" i="1"/>
  <c r="HC223" i="1"/>
  <c r="HB223" i="1"/>
  <c r="GZ223" i="1"/>
  <c r="GY223" i="1"/>
  <c r="GX223" i="1"/>
  <c r="GW223" i="1"/>
  <c r="GU223" i="1"/>
  <c r="GT223" i="1"/>
  <c r="GS223" i="1"/>
  <c r="GR223" i="1"/>
  <c r="GB223" i="1"/>
  <c r="FX223" i="1"/>
  <c r="FT223" i="1"/>
  <c r="FS223" i="1"/>
  <c r="FR223" i="1"/>
  <c r="FQ223" i="1"/>
  <c r="FP223" i="1"/>
  <c r="FO223" i="1"/>
  <c r="FN223" i="1"/>
  <c r="FM223" i="1"/>
  <c r="FL223" i="1"/>
  <c r="FJ223" i="1"/>
  <c r="FI223" i="1"/>
  <c r="FH223" i="1"/>
  <c r="FG223" i="1"/>
  <c r="FF223" i="1"/>
  <c r="FE223" i="1"/>
  <c r="FD223" i="1"/>
  <c r="FC223" i="1"/>
  <c r="FB223" i="1"/>
  <c r="FA223" i="1"/>
  <c r="EX223" i="1"/>
  <c r="EW223" i="1"/>
  <c r="EV223" i="1"/>
  <c r="EU223" i="1"/>
  <c r="ET223" i="1"/>
  <c r="ES223" i="1"/>
  <c r="ER223" i="1"/>
  <c r="EQ223" i="1"/>
  <c r="EP223" i="1"/>
  <c r="EC223" i="1"/>
  <c r="EB223" i="1"/>
  <c r="EA223" i="1"/>
  <c r="DZ223" i="1"/>
  <c r="DY223" i="1"/>
  <c r="DX223" i="1"/>
  <c r="DW223" i="1"/>
  <c r="DV223" i="1"/>
  <c r="DU223" i="1"/>
  <c r="DT223" i="1"/>
  <c r="DQ223" i="1"/>
  <c r="DP223" i="1"/>
  <c r="DO223" i="1"/>
  <c r="DN223" i="1"/>
  <c r="DM223" i="1"/>
  <c r="DL223" i="1"/>
  <c r="DK223" i="1"/>
  <c r="DJ223" i="1"/>
  <c r="DI223" i="1"/>
  <c r="DF223" i="1"/>
  <c r="DE223" i="1"/>
  <c r="DD223" i="1"/>
  <c r="DC223" i="1"/>
  <c r="DB223" i="1"/>
  <c r="DA223" i="1"/>
  <c r="CZ223" i="1"/>
  <c r="CY223" i="1"/>
  <c r="CX223" i="1"/>
  <c r="CS223" i="1"/>
  <c r="CO223" i="1"/>
  <c r="CJ223" i="1"/>
  <c r="CI223" i="1"/>
  <c r="CH223" i="1"/>
  <c r="CG223" i="1"/>
  <c r="CF223" i="1"/>
  <c r="CE223" i="1"/>
  <c r="CD223" i="1"/>
  <c r="CC223" i="1"/>
  <c r="CB223" i="1"/>
  <c r="BY223" i="1"/>
  <c r="BX223" i="1"/>
  <c r="BW223" i="1"/>
  <c r="BV223" i="1"/>
  <c r="BU223" i="1"/>
  <c r="BT223" i="1"/>
  <c r="BS223" i="1"/>
  <c r="BR223" i="1"/>
  <c r="BQ223" i="1"/>
  <c r="BN223" i="1"/>
  <c r="BM223" i="1"/>
  <c r="BL223" i="1"/>
  <c r="BK223" i="1"/>
  <c r="BJ223" i="1"/>
  <c r="BI223" i="1"/>
  <c r="BH223" i="1"/>
  <c r="BG223" i="1"/>
  <c r="BF223" i="1"/>
  <c r="AX223" i="1"/>
  <c r="AR223" i="1"/>
  <c r="AQ223" i="1"/>
  <c r="AP223" i="1"/>
  <c r="AO223" i="1"/>
  <c r="AN223" i="1"/>
  <c r="AM223" i="1"/>
  <c r="AL223" i="1"/>
  <c r="AK223" i="1"/>
  <c r="AJ223" i="1"/>
  <c r="AG223" i="1"/>
  <c r="AF223" i="1"/>
  <c r="AE223" i="1"/>
  <c r="AD223" i="1"/>
  <c r="AC223" i="1"/>
  <c r="AB223" i="1"/>
  <c r="AA223" i="1"/>
  <c r="Z223" i="1"/>
  <c r="Y223" i="1"/>
  <c r="V223" i="1"/>
  <c r="U223" i="1"/>
  <c r="T223" i="1"/>
  <c r="S223" i="1"/>
  <c r="R223" i="1"/>
  <c r="Q223" i="1"/>
  <c r="P223" i="1"/>
  <c r="O223" i="1"/>
  <c r="N223" i="1"/>
  <c r="K223" i="1"/>
  <c r="J223" i="1"/>
  <c r="I223" i="1"/>
  <c r="H223" i="1"/>
  <c r="G223" i="1"/>
  <c r="F223" i="1"/>
  <c r="E223" i="1"/>
  <c r="D223" i="1"/>
  <c r="C223" i="1"/>
  <c r="IT222" i="1"/>
  <c r="IO222" i="1"/>
  <c r="II222" i="1"/>
  <c r="IH222" i="1"/>
  <c r="IG222" i="1"/>
  <c r="IF222" i="1"/>
  <c r="IE222" i="1"/>
  <c r="HZ222" i="1"/>
  <c r="HU222" i="1"/>
  <c r="HO222" i="1"/>
  <c r="HN222" i="1"/>
  <c r="HM222" i="1"/>
  <c r="HL222" i="1"/>
  <c r="HK222" i="1"/>
  <c r="HF222" i="1"/>
  <c r="HA222" i="1"/>
  <c r="GV222" i="1"/>
  <c r="GE222" i="1"/>
  <c r="GD222" i="1"/>
  <c r="GC222" i="1"/>
  <c r="GB222" i="1"/>
  <c r="GA222" i="1"/>
  <c r="FZ222" i="1"/>
  <c r="FY222" i="1"/>
  <c r="FX222" i="1"/>
  <c r="FW222" i="1"/>
  <c r="FV222" i="1"/>
  <c r="FU222" i="1"/>
  <c r="FJ222" i="1"/>
  <c r="EY222" i="1"/>
  <c r="EM222" i="1"/>
  <c r="EL222" i="1"/>
  <c r="EK222" i="1"/>
  <c r="EJ222" i="1"/>
  <c r="EI222" i="1"/>
  <c r="EH222" i="1"/>
  <c r="EG222" i="1"/>
  <c r="EF222" i="1"/>
  <c r="EE222" i="1"/>
  <c r="ED222" i="1"/>
  <c r="DR222" i="1"/>
  <c r="DG222" i="1"/>
  <c r="CU222" i="1"/>
  <c r="CT222" i="1"/>
  <c r="CS222" i="1"/>
  <c r="CR222" i="1"/>
  <c r="CQ222" i="1"/>
  <c r="CP222" i="1"/>
  <c r="CO222" i="1"/>
  <c r="CN222" i="1"/>
  <c r="CM222" i="1"/>
  <c r="CL222" i="1"/>
  <c r="CK222" i="1"/>
  <c r="BZ222" i="1"/>
  <c r="BO222" i="1"/>
  <c r="BC222" i="1"/>
  <c r="BB222" i="1"/>
  <c r="BA222" i="1"/>
  <c r="AZ222" i="1"/>
  <c r="AY222" i="1"/>
  <c r="AX222" i="1"/>
  <c r="AW222" i="1"/>
  <c r="AV222" i="1"/>
  <c r="AU222" i="1"/>
  <c r="AT222" i="1"/>
  <c r="AS222" i="1"/>
  <c r="AH222" i="1"/>
  <c r="W222" i="1"/>
  <c r="L222" i="1"/>
  <c r="IT221" i="1"/>
  <c r="IO221" i="1"/>
  <c r="II221" i="1"/>
  <c r="IH221" i="1"/>
  <c r="IG221" i="1"/>
  <c r="IF221" i="1"/>
  <c r="IE221" i="1"/>
  <c r="HZ221" i="1"/>
  <c r="HU221" i="1"/>
  <c r="HO221" i="1"/>
  <c r="HN221" i="1"/>
  <c r="HM221" i="1"/>
  <c r="HL221" i="1"/>
  <c r="HK221" i="1"/>
  <c r="HF221" i="1"/>
  <c r="HA221" i="1"/>
  <c r="GV221" i="1"/>
  <c r="GE221" i="1"/>
  <c r="GD221" i="1"/>
  <c r="GC221" i="1"/>
  <c r="GB221" i="1"/>
  <c r="GA221" i="1"/>
  <c r="FZ221" i="1"/>
  <c r="FY221" i="1"/>
  <c r="FX221" i="1"/>
  <c r="FW221" i="1"/>
  <c r="FV221" i="1"/>
  <c r="FU221" i="1"/>
  <c r="FJ221" i="1"/>
  <c r="EY221" i="1"/>
  <c r="EM221" i="1"/>
  <c r="EL221" i="1"/>
  <c r="EK221" i="1"/>
  <c r="EJ221" i="1"/>
  <c r="EI221" i="1"/>
  <c r="EH221" i="1"/>
  <c r="EG221" i="1"/>
  <c r="EF221" i="1"/>
  <c r="EE221" i="1"/>
  <c r="ED221" i="1"/>
  <c r="DR221" i="1"/>
  <c r="DG221" i="1"/>
  <c r="CU221" i="1"/>
  <c r="CT221" i="1"/>
  <c r="CS221" i="1"/>
  <c r="CR221" i="1"/>
  <c r="CQ221" i="1"/>
  <c r="CP221" i="1"/>
  <c r="CO221" i="1"/>
  <c r="CN221" i="1"/>
  <c r="CM221" i="1"/>
  <c r="CL221" i="1"/>
  <c r="CK221" i="1"/>
  <c r="BZ221" i="1"/>
  <c r="BO221" i="1"/>
  <c r="BC221" i="1"/>
  <c r="BB221" i="1"/>
  <c r="BA221" i="1"/>
  <c r="AZ221" i="1"/>
  <c r="AY221" i="1"/>
  <c r="AX221" i="1"/>
  <c r="AW221" i="1"/>
  <c r="AV221" i="1"/>
  <c r="AU221" i="1"/>
  <c r="AT221" i="1"/>
  <c r="AS221" i="1"/>
  <c r="AH221" i="1"/>
  <c r="W221" i="1"/>
  <c r="L221" i="1"/>
  <c r="IT220" i="1"/>
  <c r="IO220" i="1"/>
  <c r="II220" i="1"/>
  <c r="IH220" i="1"/>
  <c r="IG220" i="1"/>
  <c r="IF220" i="1"/>
  <c r="IE220" i="1"/>
  <c r="HZ220" i="1"/>
  <c r="HU220" i="1"/>
  <c r="HO220" i="1"/>
  <c r="HN220" i="1"/>
  <c r="HM220" i="1"/>
  <c r="HL220" i="1"/>
  <c r="HK220" i="1"/>
  <c r="HF220" i="1"/>
  <c r="HA220" i="1"/>
  <c r="GV220" i="1"/>
  <c r="GE220" i="1"/>
  <c r="GD220" i="1"/>
  <c r="GC220" i="1"/>
  <c r="GB220" i="1"/>
  <c r="GA220" i="1"/>
  <c r="FZ220" i="1"/>
  <c r="FY220" i="1"/>
  <c r="FX220" i="1"/>
  <c r="FW220" i="1"/>
  <c r="FV220" i="1"/>
  <c r="FU220" i="1"/>
  <c r="FJ220" i="1"/>
  <c r="EY220" i="1"/>
  <c r="EM220" i="1"/>
  <c r="EL220" i="1"/>
  <c r="EK220" i="1"/>
  <c r="EJ220" i="1"/>
  <c r="EI220" i="1"/>
  <c r="EH220" i="1"/>
  <c r="EG220" i="1"/>
  <c r="EF220" i="1"/>
  <c r="EE220" i="1"/>
  <c r="ED220" i="1"/>
  <c r="DR220" i="1"/>
  <c r="DG220" i="1"/>
  <c r="CU220" i="1"/>
  <c r="CT220" i="1"/>
  <c r="CS220" i="1"/>
  <c r="CR220" i="1"/>
  <c r="CQ220" i="1"/>
  <c r="CP220" i="1"/>
  <c r="CO220" i="1"/>
  <c r="CN220" i="1"/>
  <c r="CM220" i="1"/>
  <c r="CL220" i="1"/>
  <c r="CK220" i="1"/>
  <c r="BZ220" i="1"/>
  <c r="BO220" i="1"/>
  <c r="BC220" i="1"/>
  <c r="BB220" i="1"/>
  <c r="BA220" i="1"/>
  <c r="AZ220" i="1"/>
  <c r="AY220" i="1"/>
  <c r="GL220" i="1" s="1"/>
  <c r="AX220" i="1"/>
  <c r="AW220" i="1"/>
  <c r="AV220" i="1"/>
  <c r="AU220" i="1"/>
  <c r="AT220" i="1"/>
  <c r="AS220" i="1"/>
  <c r="AH220" i="1"/>
  <c r="W220" i="1"/>
  <c r="L220" i="1"/>
  <c r="IT219" i="1"/>
  <c r="IO219" i="1"/>
  <c r="II219" i="1"/>
  <c r="II218" i="1" s="1"/>
  <c r="IH219" i="1"/>
  <c r="IG219" i="1"/>
  <c r="IF219" i="1"/>
  <c r="IE219" i="1"/>
  <c r="IE218" i="1" s="1"/>
  <c r="HZ219" i="1"/>
  <c r="HU219" i="1"/>
  <c r="HO219" i="1"/>
  <c r="HN219" i="1"/>
  <c r="HM219" i="1"/>
  <c r="HL219" i="1"/>
  <c r="HK219" i="1"/>
  <c r="HF219" i="1"/>
  <c r="HA219" i="1"/>
  <c r="GV219" i="1"/>
  <c r="GE219" i="1"/>
  <c r="GD219" i="1"/>
  <c r="GD218" i="1" s="1"/>
  <c r="GC219" i="1"/>
  <c r="GB219" i="1"/>
  <c r="GA219" i="1"/>
  <c r="FZ219" i="1"/>
  <c r="FY219" i="1"/>
  <c r="FX219" i="1"/>
  <c r="FW219" i="1"/>
  <c r="FV219" i="1"/>
  <c r="FU219" i="1"/>
  <c r="FJ219" i="1"/>
  <c r="EY219" i="1"/>
  <c r="EM219" i="1"/>
  <c r="EL219" i="1"/>
  <c r="EK219" i="1"/>
  <c r="EJ219" i="1"/>
  <c r="EI219" i="1"/>
  <c r="EH219" i="1"/>
  <c r="EG219" i="1"/>
  <c r="EF219" i="1"/>
  <c r="EE219" i="1"/>
  <c r="ED219" i="1"/>
  <c r="DR219" i="1"/>
  <c r="DG219" i="1"/>
  <c r="CU219" i="1"/>
  <c r="CT219" i="1"/>
  <c r="CS219" i="1"/>
  <c r="CR219" i="1"/>
  <c r="CQ219" i="1"/>
  <c r="CP219" i="1"/>
  <c r="CO219" i="1"/>
  <c r="CN219" i="1"/>
  <c r="CM219" i="1"/>
  <c r="CL219" i="1"/>
  <c r="CK219" i="1"/>
  <c r="BZ219" i="1"/>
  <c r="BO219" i="1"/>
  <c r="BC219" i="1"/>
  <c r="BB219" i="1"/>
  <c r="BA219" i="1"/>
  <c r="AZ219" i="1"/>
  <c r="AY219" i="1"/>
  <c r="AX219" i="1"/>
  <c r="AW219" i="1"/>
  <c r="AV219" i="1"/>
  <c r="AU219" i="1"/>
  <c r="AT219" i="1"/>
  <c r="AS219" i="1"/>
  <c r="AH219" i="1"/>
  <c r="W219" i="1"/>
  <c r="L219" i="1"/>
  <c r="IV218" i="1"/>
  <c r="IV217" i="1" s="1"/>
  <c r="IV215" i="1" s="1"/>
  <c r="IU218" i="1"/>
  <c r="IU217" i="1" s="1"/>
  <c r="IS218" i="1"/>
  <c r="IR218" i="1"/>
  <c r="IQ218" i="1"/>
  <c r="IP218" i="1"/>
  <c r="IN218" i="1"/>
  <c r="IM218" i="1"/>
  <c r="IM217" i="1" s="1"/>
  <c r="IM215" i="1" s="1"/>
  <c r="IL218" i="1"/>
  <c r="IK218" i="1"/>
  <c r="ID218" i="1"/>
  <c r="ID217" i="1" s="1"/>
  <c r="ID215" i="1" s="1"/>
  <c r="IC218" i="1"/>
  <c r="IC217" i="1" s="1"/>
  <c r="IC215" i="1" s="1"/>
  <c r="IB218" i="1"/>
  <c r="IA218" i="1"/>
  <c r="IA217" i="1" s="1"/>
  <c r="IA215" i="1" s="1"/>
  <c r="HY218" i="1"/>
  <c r="HY217" i="1" s="1"/>
  <c r="HY215" i="1" s="1"/>
  <c r="HX218" i="1"/>
  <c r="HX217" i="1" s="1"/>
  <c r="HX215" i="1" s="1"/>
  <c r="HW218" i="1"/>
  <c r="HV218" i="1"/>
  <c r="HV217" i="1" s="1"/>
  <c r="HV215" i="1" s="1"/>
  <c r="HT218" i="1"/>
  <c r="HT217" i="1" s="1"/>
  <c r="HT215" i="1" s="1"/>
  <c r="HS218" i="1"/>
  <c r="HS217" i="1" s="1"/>
  <c r="HS215" i="1" s="1"/>
  <c r="HR218" i="1"/>
  <c r="HQ218" i="1"/>
  <c r="HJ218" i="1"/>
  <c r="HJ217" i="1" s="1"/>
  <c r="HJ215" i="1" s="1"/>
  <c r="HI218" i="1"/>
  <c r="HI217" i="1" s="1"/>
  <c r="HI215" i="1" s="1"/>
  <c r="HH218" i="1"/>
  <c r="HH217" i="1" s="1"/>
  <c r="HH215" i="1" s="1"/>
  <c r="HG218" i="1"/>
  <c r="HG217" i="1" s="1"/>
  <c r="HG215" i="1" s="1"/>
  <c r="HE218" i="1"/>
  <c r="HD218" i="1"/>
  <c r="HD217" i="1" s="1"/>
  <c r="HD215" i="1" s="1"/>
  <c r="HC218" i="1"/>
  <c r="HC217" i="1" s="1"/>
  <c r="HC215" i="1" s="1"/>
  <c r="HB218" i="1"/>
  <c r="GZ218" i="1"/>
  <c r="GY218" i="1"/>
  <c r="GY217" i="1" s="1"/>
  <c r="GX218" i="1"/>
  <c r="GX217" i="1" s="1"/>
  <c r="GX215" i="1" s="1"/>
  <c r="GW218" i="1"/>
  <c r="GV218" i="1"/>
  <c r="GU218" i="1"/>
  <c r="GT218" i="1"/>
  <c r="GT217" i="1" s="1"/>
  <c r="GT215" i="1" s="1"/>
  <c r="GS218" i="1"/>
  <c r="GR218" i="1"/>
  <c r="GR217" i="1" s="1"/>
  <c r="GR215" i="1" s="1"/>
  <c r="FZ218" i="1"/>
  <c r="FT218" i="1"/>
  <c r="FS218" i="1"/>
  <c r="FS217" i="1" s="1"/>
  <c r="FS215" i="1" s="1"/>
  <c r="FR218" i="1"/>
  <c r="FR217" i="1" s="1"/>
  <c r="FR215" i="1" s="1"/>
  <c r="FQ218" i="1"/>
  <c r="FQ217" i="1" s="1"/>
  <c r="FQ215" i="1" s="1"/>
  <c r="FP218" i="1"/>
  <c r="FO218" i="1"/>
  <c r="FO217" i="1" s="1"/>
  <c r="FO215" i="1" s="1"/>
  <c r="FN218" i="1"/>
  <c r="FN217" i="1" s="1"/>
  <c r="FN215" i="1" s="1"/>
  <c r="FM218" i="1"/>
  <c r="FM217" i="1" s="1"/>
  <c r="FM215" i="1" s="1"/>
  <c r="FL218" i="1"/>
  <c r="FI218" i="1"/>
  <c r="FI217" i="1" s="1"/>
  <c r="FI215" i="1" s="1"/>
  <c r="FH218" i="1"/>
  <c r="FG218" i="1"/>
  <c r="FG217" i="1" s="1"/>
  <c r="FG215" i="1" s="1"/>
  <c r="FF218" i="1"/>
  <c r="FE218" i="1"/>
  <c r="FE217" i="1" s="1"/>
  <c r="FE215" i="1" s="1"/>
  <c r="FD218" i="1"/>
  <c r="FC218" i="1"/>
  <c r="FC217" i="1" s="1"/>
  <c r="FC215" i="1" s="1"/>
  <c r="FB218" i="1"/>
  <c r="FA218" i="1"/>
  <c r="FA217" i="1" s="1"/>
  <c r="FA215" i="1" s="1"/>
  <c r="EX218" i="1"/>
  <c r="EW218" i="1"/>
  <c r="EW217" i="1" s="1"/>
  <c r="EW215" i="1" s="1"/>
  <c r="EV218" i="1"/>
  <c r="EU218" i="1"/>
  <c r="EU217" i="1" s="1"/>
  <c r="ET218" i="1"/>
  <c r="ES218" i="1"/>
  <c r="ES217" i="1" s="1"/>
  <c r="ES215" i="1" s="1"/>
  <c r="ER218" i="1"/>
  <c r="EQ218" i="1"/>
  <c r="EQ217" i="1" s="1"/>
  <c r="EQ215" i="1" s="1"/>
  <c r="EP218" i="1"/>
  <c r="EC218" i="1"/>
  <c r="EC217" i="1" s="1"/>
  <c r="EB218" i="1"/>
  <c r="EA218" i="1"/>
  <c r="EA217" i="1" s="1"/>
  <c r="EA215" i="1" s="1"/>
  <c r="DZ218" i="1"/>
  <c r="DY218" i="1"/>
  <c r="DY217" i="1" s="1"/>
  <c r="DY215" i="1" s="1"/>
  <c r="DX218" i="1"/>
  <c r="DW218" i="1"/>
  <c r="DW217" i="1" s="1"/>
  <c r="DW215" i="1" s="1"/>
  <c r="DV218" i="1"/>
  <c r="DU218" i="1"/>
  <c r="DU217" i="1" s="1"/>
  <c r="DT218" i="1"/>
  <c r="DQ218" i="1"/>
  <c r="DQ217" i="1" s="1"/>
  <c r="DQ215" i="1" s="1"/>
  <c r="DP218" i="1"/>
  <c r="DP217" i="1" s="1"/>
  <c r="DO218" i="1"/>
  <c r="DN218" i="1"/>
  <c r="DN217" i="1" s="1"/>
  <c r="DN215" i="1" s="1"/>
  <c r="DM218" i="1"/>
  <c r="DL218" i="1"/>
  <c r="DL217" i="1" s="1"/>
  <c r="DK218" i="1"/>
  <c r="DJ218" i="1"/>
  <c r="DJ217" i="1" s="1"/>
  <c r="DJ215" i="1" s="1"/>
  <c r="DI218" i="1"/>
  <c r="DI217" i="1" s="1"/>
  <c r="DI215" i="1" s="1"/>
  <c r="DF218" i="1"/>
  <c r="DE218" i="1"/>
  <c r="DE217" i="1" s="1"/>
  <c r="DE215" i="1" s="1"/>
  <c r="DD218" i="1"/>
  <c r="DC218" i="1"/>
  <c r="DC217" i="1" s="1"/>
  <c r="DC215" i="1" s="1"/>
  <c r="DB218" i="1"/>
  <c r="DA218" i="1"/>
  <c r="DA217" i="1" s="1"/>
  <c r="DA215" i="1" s="1"/>
  <c r="CZ218" i="1"/>
  <c r="CY218" i="1"/>
  <c r="CY217" i="1" s="1"/>
  <c r="CX218" i="1"/>
  <c r="CT218" i="1"/>
  <c r="CJ218" i="1"/>
  <c r="CI218" i="1"/>
  <c r="CH218" i="1"/>
  <c r="CH217" i="1" s="1"/>
  <c r="CH215" i="1" s="1"/>
  <c r="CG218" i="1"/>
  <c r="CG217" i="1" s="1"/>
  <c r="CF218" i="1"/>
  <c r="CE218" i="1"/>
  <c r="CE217" i="1" s="1"/>
  <c r="CE215" i="1" s="1"/>
  <c r="CD218" i="1"/>
  <c r="CD217" i="1" s="1"/>
  <c r="CD215" i="1" s="1"/>
  <c r="CC218" i="1"/>
  <c r="CC217" i="1" s="1"/>
  <c r="CB218" i="1"/>
  <c r="BY218" i="1"/>
  <c r="BX218" i="1"/>
  <c r="BX217" i="1" s="1"/>
  <c r="BW218" i="1"/>
  <c r="BV218" i="1"/>
  <c r="BV217" i="1" s="1"/>
  <c r="BV215" i="1" s="1"/>
  <c r="BU218" i="1"/>
  <c r="BU217" i="1" s="1"/>
  <c r="BU215" i="1" s="1"/>
  <c r="BT218" i="1"/>
  <c r="BT217" i="1" s="1"/>
  <c r="BT215" i="1" s="1"/>
  <c r="BS218" i="1"/>
  <c r="BR218" i="1"/>
  <c r="BR217" i="1" s="1"/>
  <c r="BR215" i="1" s="1"/>
  <c r="BQ218" i="1"/>
  <c r="BN218" i="1"/>
  <c r="BM218" i="1"/>
  <c r="BL218" i="1"/>
  <c r="BL217" i="1" s="1"/>
  <c r="BL215" i="1" s="1"/>
  <c r="BK218" i="1"/>
  <c r="BK217" i="1" s="1"/>
  <c r="BJ218" i="1"/>
  <c r="BI218" i="1"/>
  <c r="BI217" i="1" s="1"/>
  <c r="BI215" i="1" s="1"/>
  <c r="BH218" i="1"/>
  <c r="BH217" i="1" s="1"/>
  <c r="BH215" i="1" s="1"/>
  <c r="BG218" i="1"/>
  <c r="BG217" i="1" s="1"/>
  <c r="BF218" i="1"/>
  <c r="AX218" i="1"/>
  <c r="AX217" i="1" s="1"/>
  <c r="AR218" i="1"/>
  <c r="AQ218" i="1"/>
  <c r="AQ217" i="1" s="1"/>
  <c r="AQ215" i="1" s="1"/>
  <c r="AP218" i="1"/>
  <c r="AP217" i="1" s="1"/>
  <c r="AP215" i="1" s="1"/>
  <c r="AO218" i="1"/>
  <c r="AO217" i="1" s="1"/>
  <c r="AO215" i="1" s="1"/>
  <c r="AN218" i="1"/>
  <c r="AM218" i="1"/>
  <c r="AM217" i="1" s="1"/>
  <c r="AM215" i="1" s="1"/>
  <c r="AL218" i="1"/>
  <c r="AK218" i="1"/>
  <c r="AK217" i="1" s="1"/>
  <c r="AJ218" i="1"/>
  <c r="AG218" i="1"/>
  <c r="AG217" i="1" s="1"/>
  <c r="AG215" i="1" s="1"/>
  <c r="AF218" i="1"/>
  <c r="AF217" i="1" s="1"/>
  <c r="AE218" i="1"/>
  <c r="AD218" i="1"/>
  <c r="AD217" i="1" s="1"/>
  <c r="AD215" i="1" s="1"/>
  <c r="AC218" i="1"/>
  <c r="AB218" i="1"/>
  <c r="AB217" i="1" s="1"/>
  <c r="AA218" i="1"/>
  <c r="Z218" i="1"/>
  <c r="Z217" i="1" s="1"/>
  <c r="Z215" i="1" s="1"/>
  <c r="Y218" i="1"/>
  <c r="Y217" i="1" s="1"/>
  <c r="Y215" i="1" s="1"/>
  <c r="V218" i="1"/>
  <c r="U218" i="1"/>
  <c r="U217" i="1" s="1"/>
  <c r="U215" i="1" s="1"/>
  <c r="T218" i="1"/>
  <c r="S218" i="1"/>
  <c r="S217" i="1" s="1"/>
  <c r="S215" i="1" s="1"/>
  <c r="R218" i="1"/>
  <c r="Q218" i="1"/>
  <c r="Q217" i="1" s="1"/>
  <c r="Q215" i="1" s="1"/>
  <c r="P218" i="1"/>
  <c r="O218" i="1"/>
  <c r="O217" i="1" s="1"/>
  <c r="N218" i="1"/>
  <c r="K218" i="1"/>
  <c r="K217" i="1" s="1"/>
  <c r="K215" i="1" s="1"/>
  <c r="J218" i="1"/>
  <c r="J217" i="1" s="1"/>
  <c r="I218" i="1"/>
  <c r="H218" i="1"/>
  <c r="G218" i="1"/>
  <c r="G217" i="1" s="1"/>
  <c r="G215" i="1" s="1"/>
  <c r="F218" i="1"/>
  <c r="F217" i="1" s="1"/>
  <c r="E218" i="1"/>
  <c r="D218" i="1"/>
  <c r="D217" i="1" s="1"/>
  <c r="D215" i="1" s="1"/>
  <c r="C218" i="1"/>
  <c r="C217" i="1" s="1"/>
  <c r="C215" i="1" s="1"/>
  <c r="IS217" i="1"/>
  <c r="IS215" i="1" s="1"/>
  <c r="IR217" i="1"/>
  <c r="IR215" i="1" s="1"/>
  <c r="IN217" i="1"/>
  <c r="IN215" i="1" s="1"/>
  <c r="IK217" i="1"/>
  <c r="IK215" i="1" s="1"/>
  <c r="IB217" i="1"/>
  <c r="IB215" i="1" s="1"/>
  <c r="HQ217" i="1"/>
  <c r="HQ215" i="1" s="1"/>
  <c r="HE217" i="1"/>
  <c r="HE215" i="1" s="1"/>
  <c r="HB217" i="1"/>
  <c r="GZ217" i="1"/>
  <c r="GZ215" i="1" s="1"/>
  <c r="GW217" i="1"/>
  <c r="GW215" i="1" s="1"/>
  <c r="GS217" i="1"/>
  <c r="GS215" i="1" s="1"/>
  <c r="FT217" i="1"/>
  <c r="FT215" i="1" s="1"/>
  <c r="FP217" i="1"/>
  <c r="FL217" i="1"/>
  <c r="FF217" i="1"/>
  <c r="FF215" i="1" s="1"/>
  <c r="FB217" i="1"/>
  <c r="FB215" i="1" s="1"/>
  <c r="EV217" i="1"/>
  <c r="EV215" i="1" s="1"/>
  <c r="EP217" i="1"/>
  <c r="EP215" i="1" s="1"/>
  <c r="DZ217" i="1"/>
  <c r="DZ215" i="1" s="1"/>
  <c r="DV217" i="1"/>
  <c r="DV215" i="1" s="1"/>
  <c r="DM217" i="1"/>
  <c r="DM215" i="1" s="1"/>
  <c r="DD217" i="1"/>
  <c r="DD215" i="1" s="1"/>
  <c r="CZ217" i="1"/>
  <c r="CZ215" i="1" s="1"/>
  <c r="CI217" i="1"/>
  <c r="CI215" i="1" s="1"/>
  <c r="BY217" i="1"/>
  <c r="BY215" i="1" s="1"/>
  <c r="BQ217" i="1"/>
  <c r="BQ215" i="1" s="1"/>
  <c r="BM217" i="1"/>
  <c r="BM215" i="1" s="1"/>
  <c r="AL217" i="1"/>
  <c r="AL215" i="1" s="1"/>
  <c r="AC217" i="1"/>
  <c r="AC215" i="1" s="1"/>
  <c r="T217" i="1"/>
  <c r="T215" i="1" s="1"/>
  <c r="P217" i="1"/>
  <c r="P215" i="1" s="1"/>
  <c r="H217" i="1"/>
  <c r="H215" i="1" s="1"/>
  <c r="IT216" i="1"/>
  <c r="IO216" i="1"/>
  <c r="II216" i="1"/>
  <c r="IH216" i="1"/>
  <c r="IG216" i="1"/>
  <c r="IF216" i="1"/>
  <c r="IE216" i="1"/>
  <c r="HZ216" i="1"/>
  <c r="HU216" i="1"/>
  <c r="HO216" i="1"/>
  <c r="HN216" i="1"/>
  <c r="HM216" i="1"/>
  <c r="HL216" i="1"/>
  <c r="HK216" i="1"/>
  <c r="HF216" i="1"/>
  <c r="HA216" i="1"/>
  <c r="GV216" i="1"/>
  <c r="GE216" i="1"/>
  <c r="GD216" i="1"/>
  <c r="GC216" i="1"/>
  <c r="GB216" i="1"/>
  <c r="GA216" i="1"/>
  <c r="FZ216" i="1"/>
  <c r="FY216" i="1"/>
  <c r="FX216" i="1"/>
  <c r="FW216" i="1"/>
  <c r="FV216" i="1"/>
  <c r="FU216" i="1"/>
  <c r="FJ216" i="1"/>
  <c r="EY216" i="1"/>
  <c r="EM216" i="1"/>
  <c r="EL216" i="1"/>
  <c r="EK216" i="1"/>
  <c r="EJ216" i="1"/>
  <c r="EI216" i="1"/>
  <c r="EH216" i="1"/>
  <c r="EG216" i="1"/>
  <c r="EF216" i="1"/>
  <c r="EE216" i="1"/>
  <c r="ED216" i="1"/>
  <c r="DR216" i="1"/>
  <c r="DG216" i="1"/>
  <c r="CU216" i="1"/>
  <c r="CT216" i="1"/>
  <c r="CS216" i="1"/>
  <c r="CR216" i="1"/>
  <c r="CQ216" i="1"/>
  <c r="CP216" i="1"/>
  <c r="CO216" i="1"/>
  <c r="CN216" i="1"/>
  <c r="CM216" i="1"/>
  <c r="CL216" i="1"/>
  <c r="CK216" i="1"/>
  <c r="BZ216" i="1"/>
  <c r="BO216" i="1"/>
  <c r="BC216" i="1"/>
  <c r="BB216" i="1"/>
  <c r="BA216" i="1"/>
  <c r="AZ216" i="1"/>
  <c r="AY216" i="1"/>
  <c r="AX216" i="1"/>
  <c r="AW216" i="1"/>
  <c r="AV216" i="1"/>
  <c r="AU216" i="1"/>
  <c r="AT216" i="1"/>
  <c r="AS216" i="1"/>
  <c r="AH216" i="1"/>
  <c r="W216" i="1"/>
  <c r="L216" i="1"/>
  <c r="IU215" i="1"/>
  <c r="HB215" i="1"/>
  <c r="GY215" i="1"/>
  <c r="FP215" i="1"/>
  <c r="FL215" i="1"/>
  <c r="EU215" i="1"/>
  <c r="EC215" i="1"/>
  <c r="DU215" i="1"/>
  <c r="DP215" i="1"/>
  <c r="DL215" i="1"/>
  <c r="CY215" i="1"/>
  <c r="CG215" i="1"/>
  <c r="CC215" i="1"/>
  <c r="BX215" i="1"/>
  <c r="BK215" i="1"/>
  <c r="BG215" i="1"/>
  <c r="AX215" i="1"/>
  <c r="AK215" i="1"/>
  <c r="AF215" i="1"/>
  <c r="AB215" i="1"/>
  <c r="O215" i="1"/>
  <c r="J215" i="1"/>
  <c r="F215" i="1"/>
  <c r="IT214" i="1"/>
  <c r="IO214" i="1"/>
  <c r="II214" i="1"/>
  <c r="IH214" i="1"/>
  <c r="IG214" i="1"/>
  <c r="IF214" i="1"/>
  <c r="IE214" i="1"/>
  <c r="HZ214" i="1"/>
  <c r="HU214" i="1"/>
  <c r="HO214" i="1"/>
  <c r="HN214" i="1"/>
  <c r="HM214" i="1"/>
  <c r="HL214" i="1"/>
  <c r="HK214" i="1"/>
  <c r="HF214" i="1"/>
  <c r="HA214" i="1"/>
  <c r="GV214" i="1"/>
  <c r="GE214" i="1"/>
  <c r="GD214" i="1"/>
  <c r="GC214" i="1"/>
  <c r="GB214" i="1"/>
  <c r="GA214" i="1"/>
  <c r="FZ214" i="1"/>
  <c r="FY214" i="1"/>
  <c r="FX214" i="1"/>
  <c r="FW214" i="1"/>
  <c r="FV214" i="1"/>
  <c r="FU214" i="1"/>
  <c r="FJ214" i="1"/>
  <c r="EY214" i="1"/>
  <c r="EM214" i="1"/>
  <c r="EL214" i="1"/>
  <c r="EK214" i="1"/>
  <c r="EJ214" i="1"/>
  <c r="EI214" i="1"/>
  <c r="EH214" i="1"/>
  <c r="EG214" i="1"/>
  <c r="EF214" i="1"/>
  <c r="EE214" i="1"/>
  <c r="ED214" i="1"/>
  <c r="DR214" i="1"/>
  <c r="DG214" i="1"/>
  <c r="CU214" i="1"/>
  <c r="CT214" i="1"/>
  <c r="CS214" i="1"/>
  <c r="CR214" i="1"/>
  <c r="CQ214" i="1"/>
  <c r="CP214" i="1"/>
  <c r="CO214" i="1"/>
  <c r="CN214" i="1"/>
  <c r="CM214" i="1"/>
  <c r="CL214" i="1"/>
  <c r="CK214" i="1"/>
  <c r="BZ214" i="1"/>
  <c r="BO214" i="1"/>
  <c r="BC214" i="1"/>
  <c r="GP214" i="1" s="1"/>
  <c r="BB214" i="1"/>
  <c r="BA214" i="1"/>
  <c r="GN214" i="1" s="1"/>
  <c r="AZ214" i="1"/>
  <c r="AY214" i="1"/>
  <c r="GL214" i="1" s="1"/>
  <c r="AX214" i="1"/>
  <c r="AW214" i="1"/>
  <c r="GJ214" i="1" s="1"/>
  <c r="AV214" i="1"/>
  <c r="AU214" i="1"/>
  <c r="AT214" i="1"/>
  <c r="AS214" i="1"/>
  <c r="AH214" i="1"/>
  <c r="W214" i="1"/>
  <c r="L214" i="1"/>
  <c r="IT213" i="1"/>
  <c r="IO213" i="1"/>
  <c r="II213" i="1"/>
  <c r="IH213" i="1"/>
  <c r="IG213" i="1"/>
  <c r="IF213" i="1"/>
  <c r="IE213" i="1"/>
  <c r="HZ213" i="1"/>
  <c r="HU213" i="1"/>
  <c r="HO213" i="1"/>
  <c r="HN213" i="1"/>
  <c r="HM213" i="1"/>
  <c r="HL213" i="1"/>
  <c r="HK213" i="1"/>
  <c r="HF213" i="1"/>
  <c r="HA213" i="1"/>
  <c r="GV213" i="1"/>
  <c r="GE213" i="1"/>
  <c r="GD213" i="1"/>
  <c r="GC213" i="1"/>
  <c r="GB213" i="1"/>
  <c r="GA213" i="1"/>
  <c r="FZ213" i="1"/>
  <c r="FY213" i="1"/>
  <c r="FX213" i="1"/>
  <c r="FW213" i="1"/>
  <c r="FV213" i="1"/>
  <c r="FU213" i="1"/>
  <c r="FJ213" i="1"/>
  <c r="EY213" i="1"/>
  <c r="EM213" i="1"/>
  <c r="EL213" i="1"/>
  <c r="EK213" i="1"/>
  <c r="EJ213" i="1"/>
  <c r="EI213" i="1"/>
  <c r="EH213" i="1"/>
  <c r="EG213" i="1"/>
  <c r="EF213" i="1"/>
  <c r="EE213" i="1"/>
  <c r="ED213" i="1"/>
  <c r="DR213" i="1"/>
  <c r="DG213" i="1"/>
  <c r="CU213" i="1"/>
  <c r="CT213" i="1"/>
  <c r="CS213" i="1"/>
  <c r="CR213" i="1"/>
  <c r="CQ213" i="1"/>
  <c r="CP213" i="1"/>
  <c r="CO213" i="1"/>
  <c r="CN213" i="1"/>
  <c r="CM213" i="1"/>
  <c r="CL213" i="1"/>
  <c r="CK213" i="1"/>
  <c r="BZ213" i="1"/>
  <c r="BO213" i="1"/>
  <c r="BC213" i="1"/>
  <c r="BB213" i="1"/>
  <c r="GO213" i="1" s="1"/>
  <c r="BA213" i="1"/>
  <c r="AZ213" i="1"/>
  <c r="AY213" i="1"/>
  <c r="AX213" i="1"/>
  <c r="GK213" i="1" s="1"/>
  <c r="AW213" i="1"/>
  <c r="AV213" i="1"/>
  <c r="AU213" i="1"/>
  <c r="AT213" i="1"/>
  <c r="GG213" i="1" s="1"/>
  <c r="AS213" i="1"/>
  <c r="AH213" i="1"/>
  <c r="W213" i="1"/>
  <c r="L213" i="1"/>
  <c r="IT212" i="1"/>
  <c r="IO212" i="1"/>
  <c r="II212" i="1"/>
  <c r="IH212" i="1"/>
  <c r="IH211" i="1" s="1"/>
  <c r="IG212" i="1"/>
  <c r="IF212" i="1"/>
  <c r="IE212" i="1"/>
  <c r="HZ212" i="1"/>
  <c r="HZ211" i="1" s="1"/>
  <c r="HU212" i="1"/>
  <c r="HO212" i="1"/>
  <c r="HO211" i="1" s="1"/>
  <c r="HN212" i="1"/>
  <c r="HM212" i="1"/>
  <c r="HL212" i="1"/>
  <c r="HK212" i="1"/>
  <c r="HK211" i="1" s="1"/>
  <c r="HF212" i="1"/>
  <c r="HA212" i="1"/>
  <c r="GV212" i="1"/>
  <c r="GE212" i="1"/>
  <c r="GE211" i="1" s="1"/>
  <c r="GD212" i="1"/>
  <c r="GD211" i="1" s="1"/>
  <c r="GC212" i="1"/>
  <c r="GC211" i="1" s="1"/>
  <c r="GB212" i="1"/>
  <c r="GA212" i="1"/>
  <c r="GA211" i="1" s="1"/>
  <c r="FZ212" i="1"/>
  <c r="FY212" i="1"/>
  <c r="FY211" i="1" s="1"/>
  <c r="FX212" i="1"/>
  <c r="FW212" i="1"/>
  <c r="FV212" i="1"/>
  <c r="FU212" i="1"/>
  <c r="FU211" i="1" s="1"/>
  <c r="FJ212" i="1"/>
  <c r="EY212" i="1"/>
  <c r="EY211" i="1" s="1"/>
  <c r="EM212" i="1"/>
  <c r="EL212" i="1"/>
  <c r="EL211" i="1" s="1"/>
  <c r="EK212" i="1"/>
  <c r="EJ212" i="1"/>
  <c r="EI212" i="1"/>
  <c r="EH212" i="1"/>
  <c r="EH211" i="1" s="1"/>
  <c r="EG212" i="1"/>
  <c r="EF212" i="1"/>
  <c r="EE212" i="1"/>
  <c r="ED212" i="1"/>
  <c r="DR212" i="1"/>
  <c r="DG212" i="1"/>
  <c r="DG211" i="1" s="1"/>
  <c r="CU212" i="1"/>
  <c r="CT212" i="1"/>
  <c r="CS212" i="1"/>
  <c r="CR212" i="1"/>
  <c r="CQ212" i="1"/>
  <c r="CP212" i="1"/>
  <c r="CO212" i="1"/>
  <c r="CN212" i="1"/>
  <c r="GI212" i="1" s="1"/>
  <c r="CM212" i="1"/>
  <c r="CL212" i="1"/>
  <c r="CK212" i="1"/>
  <c r="BZ212" i="1"/>
  <c r="BO212" i="1"/>
  <c r="BC212" i="1"/>
  <c r="BC211" i="1" s="1"/>
  <c r="BB212" i="1"/>
  <c r="BA212" i="1"/>
  <c r="BA211" i="1" s="1"/>
  <c r="AZ212" i="1"/>
  <c r="AY212" i="1"/>
  <c r="AY211" i="1" s="1"/>
  <c r="AX212" i="1"/>
  <c r="AW212" i="1"/>
  <c r="AW211" i="1" s="1"/>
  <c r="AV212" i="1"/>
  <c r="AU212" i="1"/>
  <c r="AU211" i="1" s="1"/>
  <c r="AT212" i="1"/>
  <c r="AS212" i="1"/>
  <c r="AS211" i="1" s="1"/>
  <c r="AH212" i="1"/>
  <c r="W212" i="1"/>
  <c r="W211" i="1" s="1"/>
  <c r="L212" i="1"/>
  <c r="IV211" i="1"/>
  <c r="IU211" i="1"/>
  <c r="IS211" i="1"/>
  <c r="IR211" i="1"/>
  <c r="IQ211" i="1"/>
  <c r="IP211" i="1"/>
  <c r="IN211" i="1"/>
  <c r="IM211" i="1"/>
  <c r="IL211" i="1"/>
  <c r="IK211" i="1"/>
  <c r="ID211" i="1"/>
  <c r="IC211" i="1"/>
  <c r="IB211" i="1"/>
  <c r="IA211" i="1"/>
  <c r="HY211" i="1"/>
  <c r="HX211" i="1"/>
  <c r="HW211" i="1"/>
  <c r="HV211" i="1"/>
  <c r="HT211" i="1"/>
  <c r="HS211" i="1"/>
  <c r="HR211" i="1"/>
  <c r="HQ211" i="1"/>
  <c r="HN211" i="1"/>
  <c r="HJ211" i="1"/>
  <c r="HI211" i="1"/>
  <c r="HH211" i="1"/>
  <c r="HG211" i="1"/>
  <c r="HE211" i="1"/>
  <c r="HD211" i="1"/>
  <c r="HC211" i="1"/>
  <c r="HB211" i="1"/>
  <c r="GZ211" i="1"/>
  <c r="GY211" i="1"/>
  <c r="GX211" i="1"/>
  <c r="GW211" i="1"/>
  <c r="GU211" i="1"/>
  <c r="GT211" i="1"/>
  <c r="GS211" i="1"/>
  <c r="GR211" i="1"/>
  <c r="FT211" i="1"/>
  <c r="FS211" i="1"/>
  <c r="FR211" i="1"/>
  <c r="FQ211" i="1"/>
  <c r="FP211" i="1"/>
  <c r="FO211" i="1"/>
  <c r="FN211" i="1"/>
  <c r="FM211" i="1"/>
  <c r="FL211" i="1"/>
  <c r="FI211" i="1"/>
  <c r="FH211" i="1"/>
  <c r="FG211" i="1"/>
  <c r="FF211" i="1"/>
  <c r="FE211" i="1"/>
  <c r="FD211" i="1"/>
  <c r="FC211" i="1"/>
  <c r="FB211" i="1"/>
  <c r="FA211" i="1"/>
  <c r="EX211" i="1"/>
  <c r="EW211" i="1"/>
  <c r="EV211" i="1"/>
  <c r="EU211" i="1"/>
  <c r="ET211" i="1"/>
  <c r="ES211" i="1"/>
  <c r="ER211" i="1"/>
  <c r="EQ211" i="1"/>
  <c r="EP211" i="1"/>
  <c r="EC211" i="1"/>
  <c r="EB211" i="1"/>
  <c r="EA211" i="1"/>
  <c r="DZ211" i="1"/>
  <c r="DY211" i="1"/>
  <c r="DX211" i="1"/>
  <c r="DW211" i="1"/>
  <c r="DV211" i="1"/>
  <c r="DU211" i="1"/>
  <c r="DT211" i="1"/>
  <c r="DQ211" i="1"/>
  <c r="DP211" i="1"/>
  <c r="DO211" i="1"/>
  <c r="DN211" i="1"/>
  <c r="DM211" i="1"/>
  <c r="DL211" i="1"/>
  <c r="DK211" i="1"/>
  <c r="DJ211" i="1"/>
  <c r="DI211" i="1"/>
  <c r="DF211" i="1"/>
  <c r="DE211" i="1"/>
  <c r="DD211" i="1"/>
  <c r="DC211" i="1"/>
  <c r="DB211" i="1"/>
  <c r="DA211" i="1"/>
  <c r="CZ211" i="1"/>
  <c r="CY211" i="1"/>
  <c r="CX211" i="1"/>
  <c r="CJ211" i="1"/>
  <c r="CI211" i="1"/>
  <c r="CH211" i="1"/>
  <c r="CG211" i="1"/>
  <c r="CF211" i="1"/>
  <c r="CE211" i="1"/>
  <c r="CD211" i="1"/>
  <c r="CC211" i="1"/>
  <c r="CB211" i="1"/>
  <c r="BY211" i="1"/>
  <c r="BX211" i="1"/>
  <c r="BW211" i="1"/>
  <c r="BV211" i="1"/>
  <c r="BU211" i="1"/>
  <c r="BT211" i="1"/>
  <c r="BS211" i="1"/>
  <c r="BR211" i="1"/>
  <c r="BQ211" i="1"/>
  <c r="BO211" i="1"/>
  <c r="BN211" i="1"/>
  <c r="BM211" i="1"/>
  <c r="BL211" i="1"/>
  <c r="BK211" i="1"/>
  <c r="BJ211" i="1"/>
  <c r="BI211" i="1"/>
  <c r="BH211" i="1"/>
  <c r="BG211" i="1"/>
  <c r="BF211" i="1"/>
  <c r="AR211" i="1"/>
  <c r="AQ211" i="1"/>
  <c r="AP211" i="1"/>
  <c r="AO211" i="1"/>
  <c r="AN211" i="1"/>
  <c r="AM211" i="1"/>
  <c r="AL211" i="1"/>
  <c r="AK211" i="1"/>
  <c r="AJ211" i="1"/>
  <c r="AG211" i="1"/>
  <c r="AF211" i="1"/>
  <c r="AE211" i="1"/>
  <c r="AD211" i="1"/>
  <c r="AC211" i="1"/>
  <c r="AB211" i="1"/>
  <c r="AA211" i="1"/>
  <c r="Z211" i="1"/>
  <c r="Y211" i="1"/>
  <c r="V211" i="1"/>
  <c r="U211" i="1"/>
  <c r="T211" i="1"/>
  <c r="S211" i="1"/>
  <c r="R211" i="1"/>
  <c r="Q211" i="1"/>
  <c r="P211" i="1"/>
  <c r="O211" i="1"/>
  <c r="N211" i="1"/>
  <c r="K211" i="1"/>
  <c r="J211" i="1"/>
  <c r="I211" i="1"/>
  <c r="H211" i="1"/>
  <c r="G211" i="1"/>
  <c r="F211" i="1"/>
  <c r="E211" i="1"/>
  <c r="D211" i="1"/>
  <c r="C211" i="1"/>
  <c r="IT210" i="1"/>
  <c r="IO210" i="1"/>
  <c r="II210" i="1"/>
  <c r="IH210" i="1"/>
  <c r="IG210" i="1"/>
  <c r="IF210" i="1"/>
  <c r="IE210" i="1"/>
  <c r="HZ210" i="1"/>
  <c r="HU210" i="1"/>
  <c r="HO210" i="1"/>
  <c r="HN210" i="1"/>
  <c r="HM210" i="1"/>
  <c r="HL210" i="1"/>
  <c r="HK210" i="1"/>
  <c r="HF210" i="1"/>
  <c r="HA210" i="1"/>
  <c r="GV210" i="1"/>
  <c r="GE210" i="1"/>
  <c r="GD210" i="1"/>
  <c r="GC210" i="1"/>
  <c r="GB210" i="1"/>
  <c r="GA210" i="1"/>
  <c r="FZ210" i="1"/>
  <c r="FY210" i="1"/>
  <c r="FX210" i="1"/>
  <c r="FW210" i="1"/>
  <c r="FV210" i="1"/>
  <c r="FU210" i="1"/>
  <c r="FJ210" i="1"/>
  <c r="EY210" i="1"/>
  <c r="EM210" i="1"/>
  <c r="EL210" i="1"/>
  <c r="EK210" i="1"/>
  <c r="EJ210" i="1"/>
  <c r="EI210" i="1"/>
  <c r="EH210" i="1"/>
  <c r="EG210" i="1"/>
  <c r="EF210" i="1"/>
  <c r="EE210" i="1"/>
  <c r="ED210" i="1"/>
  <c r="DR210" i="1"/>
  <c r="DG210" i="1"/>
  <c r="CU210" i="1"/>
  <c r="CT210" i="1"/>
  <c r="CS210" i="1"/>
  <c r="CR210" i="1"/>
  <c r="CQ210" i="1"/>
  <c r="CP210" i="1"/>
  <c r="CO210" i="1"/>
  <c r="CN210" i="1"/>
  <c r="CM210" i="1"/>
  <c r="CL210" i="1"/>
  <c r="CK210" i="1"/>
  <c r="BZ210" i="1"/>
  <c r="BO210" i="1"/>
  <c r="BC210" i="1"/>
  <c r="BB210" i="1"/>
  <c r="BA210" i="1"/>
  <c r="AZ210" i="1"/>
  <c r="AY210" i="1"/>
  <c r="AX210" i="1"/>
  <c r="AW210" i="1"/>
  <c r="AV210" i="1"/>
  <c r="AU210" i="1"/>
  <c r="AT210" i="1"/>
  <c r="AS210" i="1"/>
  <c r="AH210" i="1"/>
  <c r="W210" i="1"/>
  <c r="L210" i="1"/>
  <c r="IT209" i="1"/>
  <c r="IO209" i="1"/>
  <c r="II209" i="1"/>
  <c r="IH209" i="1"/>
  <c r="IG209" i="1"/>
  <c r="IF209" i="1"/>
  <c r="IE209" i="1"/>
  <c r="HZ209" i="1"/>
  <c r="HU209" i="1"/>
  <c r="HO209" i="1"/>
  <c r="HN209" i="1"/>
  <c r="HM209" i="1"/>
  <c r="HL209" i="1"/>
  <c r="HK209" i="1"/>
  <c r="HF209" i="1"/>
  <c r="HA209" i="1"/>
  <c r="GV209" i="1"/>
  <c r="GE209" i="1"/>
  <c r="GD209" i="1"/>
  <c r="GC209" i="1"/>
  <c r="GB209" i="1"/>
  <c r="GA209" i="1"/>
  <c r="FZ209" i="1"/>
  <c r="FY209" i="1"/>
  <c r="FX209" i="1"/>
  <c r="FW209" i="1"/>
  <c r="FV209" i="1"/>
  <c r="FU209" i="1"/>
  <c r="FJ209" i="1"/>
  <c r="EY209" i="1"/>
  <c r="EM209" i="1"/>
  <c r="EL209" i="1"/>
  <c r="EK209" i="1"/>
  <c r="EJ209" i="1"/>
  <c r="EI209" i="1"/>
  <c r="EH209" i="1"/>
  <c r="EG209" i="1"/>
  <c r="EF209" i="1"/>
  <c r="EE209" i="1"/>
  <c r="ED209" i="1"/>
  <c r="DR209" i="1"/>
  <c r="DG209" i="1"/>
  <c r="CU209" i="1"/>
  <c r="CT209" i="1"/>
  <c r="CS209" i="1"/>
  <c r="CR209" i="1"/>
  <c r="CQ209" i="1"/>
  <c r="CP209" i="1"/>
  <c r="CO209" i="1"/>
  <c r="CN209" i="1"/>
  <c r="CM209" i="1"/>
  <c r="CL209" i="1"/>
  <c r="CK209" i="1"/>
  <c r="BZ209" i="1"/>
  <c r="BO209" i="1"/>
  <c r="BC209" i="1"/>
  <c r="BB209" i="1"/>
  <c r="BA209" i="1"/>
  <c r="AZ209" i="1"/>
  <c r="AY209" i="1"/>
  <c r="AX209" i="1"/>
  <c r="AW209" i="1"/>
  <c r="AV209" i="1"/>
  <c r="AU209" i="1"/>
  <c r="AT209" i="1"/>
  <c r="AS209" i="1"/>
  <c r="AH209" i="1"/>
  <c r="W209" i="1"/>
  <c r="L209" i="1"/>
  <c r="IT208" i="1"/>
  <c r="IO208" i="1"/>
  <c r="II208" i="1"/>
  <c r="IH208" i="1"/>
  <c r="IG208" i="1"/>
  <c r="IF208" i="1"/>
  <c r="IE208" i="1"/>
  <c r="HZ208" i="1"/>
  <c r="HU208" i="1"/>
  <c r="HO208" i="1"/>
  <c r="HN208" i="1"/>
  <c r="HM208" i="1"/>
  <c r="HL208" i="1"/>
  <c r="HK208" i="1"/>
  <c r="HF208" i="1"/>
  <c r="HA208" i="1"/>
  <c r="GV208" i="1"/>
  <c r="GE208" i="1"/>
  <c r="GD208" i="1"/>
  <c r="GC208" i="1"/>
  <c r="GB208" i="1"/>
  <c r="GA208" i="1"/>
  <c r="FZ208" i="1"/>
  <c r="FY208" i="1"/>
  <c r="FY207" i="1" s="1"/>
  <c r="FX208" i="1"/>
  <c r="FW208" i="1"/>
  <c r="FV208" i="1"/>
  <c r="FU208" i="1"/>
  <c r="FJ208" i="1"/>
  <c r="EY208" i="1"/>
  <c r="EM208" i="1"/>
  <c r="EL208" i="1"/>
  <c r="EK208" i="1"/>
  <c r="EJ208" i="1"/>
  <c r="EI208" i="1"/>
  <c r="EH208" i="1"/>
  <c r="EG208" i="1"/>
  <c r="EF208" i="1"/>
  <c r="EE208" i="1"/>
  <c r="ED208" i="1"/>
  <c r="DR208" i="1"/>
  <c r="DG208" i="1"/>
  <c r="CU208" i="1"/>
  <c r="CT208" i="1"/>
  <c r="CS208" i="1"/>
  <c r="CR208" i="1"/>
  <c r="CQ208" i="1"/>
  <c r="CP208" i="1"/>
  <c r="CO208" i="1"/>
  <c r="CN208" i="1"/>
  <c r="CM208" i="1"/>
  <c r="CL208" i="1"/>
  <c r="CK208" i="1"/>
  <c r="BZ208" i="1"/>
  <c r="BO208" i="1"/>
  <c r="BC208" i="1"/>
  <c r="BB208" i="1"/>
  <c r="BA208" i="1"/>
  <c r="AZ208" i="1"/>
  <c r="AY208" i="1"/>
  <c r="AX208" i="1"/>
  <c r="AW208" i="1"/>
  <c r="AV208" i="1"/>
  <c r="AU208" i="1"/>
  <c r="AT208" i="1"/>
  <c r="AS208" i="1"/>
  <c r="AH208" i="1"/>
  <c r="W208" i="1"/>
  <c r="L208" i="1"/>
  <c r="IV207" i="1"/>
  <c r="IU207" i="1"/>
  <c r="IS207" i="1"/>
  <c r="IS205" i="1" s="1"/>
  <c r="IR207" i="1"/>
  <c r="IQ207" i="1"/>
  <c r="IP207" i="1"/>
  <c r="IP205" i="1" s="1"/>
  <c r="IN207" i="1"/>
  <c r="IN205" i="1" s="1"/>
  <c r="IM207" i="1"/>
  <c r="IL207" i="1"/>
  <c r="IL205" i="1" s="1"/>
  <c r="IK207" i="1"/>
  <c r="ID207" i="1"/>
  <c r="ID205" i="1" s="1"/>
  <c r="IC207" i="1"/>
  <c r="IC205" i="1" s="1"/>
  <c r="IB207" i="1"/>
  <c r="IB205" i="1" s="1"/>
  <c r="IA207" i="1"/>
  <c r="HY207" i="1"/>
  <c r="HY205" i="1" s="1"/>
  <c r="HX207" i="1"/>
  <c r="HW207" i="1"/>
  <c r="HV207" i="1"/>
  <c r="HV205" i="1" s="1"/>
  <c r="HT207" i="1"/>
  <c r="HT205" i="1" s="1"/>
  <c r="HS207" i="1"/>
  <c r="HR207" i="1"/>
  <c r="HR205" i="1" s="1"/>
  <c r="HQ207" i="1"/>
  <c r="HQ205" i="1" s="1"/>
  <c r="HN207" i="1"/>
  <c r="HJ207" i="1"/>
  <c r="HJ205" i="1" s="1"/>
  <c r="HI207" i="1"/>
  <c r="HI205" i="1" s="1"/>
  <c r="HH207" i="1"/>
  <c r="HG207" i="1"/>
  <c r="HE207" i="1"/>
  <c r="HD207" i="1"/>
  <c r="HD205" i="1" s="1"/>
  <c r="HC207" i="1"/>
  <c r="HB207" i="1"/>
  <c r="HB205" i="1" s="1"/>
  <c r="GZ207" i="1"/>
  <c r="GY207" i="1"/>
  <c r="GX207" i="1"/>
  <c r="GW207" i="1"/>
  <c r="GW205" i="1" s="1"/>
  <c r="GU207" i="1"/>
  <c r="GT207" i="1"/>
  <c r="GS207" i="1"/>
  <c r="GR207" i="1"/>
  <c r="FT207" i="1"/>
  <c r="FS207" i="1"/>
  <c r="FS205" i="1" s="1"/>
  <c r="FR207" i="1"/>
  <c r="FQ207" i="1"/>
  <c r="FP207" i="1"/>
  <c r="FO207" i="1"/>
  <c r="FO205" i="1" s="1"/>
  <c r="FN207" i="1"/>
  <c r="FM207" i="1"/>
  <c r="FL207" i="1"/>
  <c r="FJ207" i="1"/>
  <c r="FI207" i="1"/>
  <c r="FH207" i="1"/>
  <c r="FG207" i="1"/>
  <c r="FF207" i="1"/>
  <c r="FF205" i="1" s="1"/>
  <c r="FE207" i="1"/>
  <c r="FE205" i="1" s="1"/>
  <c r="FD207" i="1"/>
  <c r="FC207" i="1"/>
  <c r="FB207" i="1"/>
  <c r="FB205" i="1" s="1"/>
  <c r="FA207" i="1"/>
  <c r="FA205" i="1" s="1"/>
  <c r="EX207" i="1"/>
  <c r="EW207" i="1"/>
  <c r="EV207" i="1"/>
  <c r="EU207" i="1"/>
  <c r="EU205" i="1" s="1"/>
  <c r="ET207" i="1"/>
  <c r="ET205" i="1" s="1"/>
  <c r="ES207" i="1"/>
  <c r="ER207" i="1"/>
  <c r="ER205" i="1" s="1"/>
  <c r="EQ207" i="1"/>
  <c r="EQ205" i="1" s="1"/>
  <c r="EP207" i="1"/>
  <c r="EC207" i="1"/>
  <c r="EB207" i="1"/>
  <c r="EA207" i="1"/>
  <c r="EA205" i="1" s="1"/>
  <c r="DZ207" i="1"/>
  <c r="DY207" i="1"/>
  <c r="DY205" i="1" s="1"/>
  <c r="DX207" i="1"/>
  <c r="DW207" i="1"/>
  <c r="DW205" i="1" s="1"/>
  <c r="DV207" i="1"/>
  <c r="DU207" i="1"/>
  <c r="DT207" i="1"/>
  <c r="DR207" i="1"/>
  <c r="DQ207" i="1"/>
  <c r="DP207" i="1"/>
  <c r="DO207" i="1"/>
  <c r="DO205" i="1" s="1"/>
  <c r="DN207" i="1"/>
  <c r="DN205" i="1" s="1"/>
  <c r="DM207" i="1"/>
  <c r="DL207" i="1"/>
  <c r="DK207" i="1"/>
  <c r="DJ207" i="1"/>
  <c r="DJ205" i="1" s="1"/>
  <c r="DI207" i="1"/>
  <c r="DF207" i="1"/>
  <c r="DF205" i="1" s="1"/>
  <c r="DE207" i="1"/>
  <c r="DE205" i="1" s="1"/>
  <c r="DD207" i="1"/>
  <c r="DD205" i="1" s="1"/>
  <c r="DC207" i="1"/>
  <c r="DB207" i="1"/>
  <c r="DB205" i="1" s="1"/>
  <c r="DA207" i="1"/>
  <c r="DA205" i="1" s="1"/>
  <c r="CZ207" i="1"/>
  <c r="CZ205" i="1" s="1"/>
  <c r="CY207" i="1"/>
  <c r="CX207" i="1"/>
  <c r="CX205" i="1" s="1"/>
  <c r="CJ207" i="1"/>
  <c r="CI207" i="1"/>
  <c r="CI205" i="1" s="1"/>
  <c r="CH207" i="1"/>
  <c r="CG207" i="1"/>
  <c r="CG205" i="1" s="1"/>
  <c r="CF207" i="1"/>
  <c r="CE207" i="1"/>
  <c r="CE205" i="1" s="1"/>
  <c r="CD207" i="1"/>
  <c r="CC207" i="1"/>
  <c r="CB207" i="1"/>
  <c r="BY207" i="1"/>
  <c r="BY205" i="1" s="1"/>
  <c r="BX207" i="1"/>
  <c r="BW207" i="1"/>
  <c r="BV207" i="1"/>
  <c r="BU207" i="1"/>
  <c r="BU205" i="1" s="1"/>
  <c r="BT207" i="1"/>
  <c r="BS207" i="1"/>
  <c r="BS205" i="1" s="1"/>
  <c r="BR207" i="1"/>
  <c r="BQ207" i="1"/>
  <c r="BN207" i="1"/>
  <c r="BM207" i="1"/>
  <c r="BM205" i="1" s="1"/>
  <c r="BL207" i="1"/>
  <c r="BK207" i="1"/>
  <c r="BJ207" i="1"/>
  <c r="BI207" i="1"/>
  <c r="BI205" i="1" s="1"/>
  <c r="BH207" i="1"/>
  <c r="BH205" i="1" s="1"/>
  <c r="BG207" i="1"/>
  <c r="BF207" i="1"/>
  <c r="AR207" i="1"/>
  <c r="AR205" i="1" s="1"/>
  <c r="AQ207" i="1"/>
  <c r="AP207" i="1"/>
  <c r="AP205" i="1" s="1"/>
  <c r="AO207" i="1"/>
  <c r="AN207" i="1"/>
  <c r="AN205" i="1" s="1"/>
  <c r="AM207" i="1"/>
  <c r="AL207" i="1"/>
  <c r="AL205" i="1" s="1"/>
  <c r="AK207" i="1"/>
  <c r="AJ207" i="1"/>
  <c r="AJ205" i="1" s="1"/>
  <c r="AG207" i="1"/>
  <c r="AF207" i="1"/>
  <c r="AE207" i="1"/>
  <c r="AD207" i="1"/>
  <c r="AD205" i="1" s="1"/>
  <c r="AC207" i="1"/>
  <c r="AB207" i="1"/>
  <c r="AB205" i="1" s="1"/>
  <c r="AA207" i="1"/>
  <c r="Z207" i="1"/>
  <c r="Y207" i="1"/>
  <c r="V207" i="1"/>
  <c r="V205" i="1" s="1"/>
  <c r="U207" i="1"/>
  <c r="T207" i="1"/>
  <c r="T205" i="1" s="1"/>
  <c r="S207" i="1"/>
  <c r="R207" i="1"/>
  <c r="R205" i="1" s="1"/>
  <c r="Q207" i="1"/>
  <c r="P207" i="1"/>
  <c r="P205" i="1" s="1"/>
  <c r="O207" i="1"/>
  <c r="N207" i="1"/>
  <c r="K207" i="1"/>
  <c r="K205" i="1" s="1"/>
  <c r="J207" i="1"/>
  <c r="J205" i="1" s="1"/>
  <c r="I207" i="1"/>
  <c r="I205" i="1" s="1"/>
  <c r="H207" i="1"/>
  <c r="H205" i="1" s="1"/>
  <c r="G207" i="1"/>
  <c r="F207" i="1"/>
  <c r="F205" i="1" s="1"/>
  <c r="E207" i="1"/>
  <c r="D207" i="1"/>
  <c r="D205" i="1" s="1"/>
  <c r="C207" i="1"/>
  <c r="C205" i="1" s="1"/>
  <c r="IT206" i="1"/>
  <c r="IO206" i="1"/>
  <c r="II206" i="1"/>
  <c r="IH206" i="1"/>
  <c r="IG206" i="1"/>
  <c r="IF206" i="1"/>
  <c r="IE206" i="1"/>
  <c r="HZ206" i="1"/>
  <c r="HU206" i="1"/>
  <c r="HO206" i="1"/>
  <c r="HN206" i="1"/>
  <c r="HM206" i="1"/>
  <c r="HL206" i="1"/>
  <c r="HK206" i="1"/>
  <c r="HF206" i="1"/>
  <c r="HA206" i="1"/>
  <c r="GV206" i="1"/>
  <c r="GE206" i="1"/>
  <c r="GD206" i="1"/>
  <c r="GC206" i="1"/>
  <c r="GB206" i="1"/>
  <c r="GA206" i="1"/>
  <c r="FZ206" i="1"/>
  <c r="FY206" i="1"/>
  <c r="FX206" i="1"/>
  <c r="FW206" i="1"/>
  <c r="FV206" i="1"/>
  <c r="FU206" i="1"/>
  <c r="FJ206" i="1"/>
  <c r="EY206" i="1"/>
  <c r="EM206" i="1"/>
  <c r="EL206" i="1"/>
  <c r="EK206" i="1"/>
  <c r="EJ206" i="1"/>
  <c r="EI206" i="1"/>
  <c r="EH206" i="1"/>
  <c r="EG206" i="1"/>
  <c r="EF206" i="1"/>
  <c r="EE206" i="1"/>
  <c r="ED206" i="1"/>
  <c r="DR206" i="1"/>
  <c r="DG206" i="1"/>
  <c r="CU206" i="1"/>
  <c r="CT206" i="1"/>
  <c r="CS206" i="1"/>
  <c r="CR206" i="1"/>
  <c r="CQ206" i="1"/>
  <c r="CP206" i="1"/>
  <c r="CO206" i="1"/>
  <c r="CN206" i="1"/>
  <c r="CM206" i="1"/>
  <c r="CL206" i="1"/>
  <c r="CK206" i="1"/>
  <c r="BZ206" i="1"/>
  <c r="BO206" i="1"/>
  <c r="BC206" i="1"/>
  <c r="BB206" i="1"/>
  <c r="BA206" i="1"/>
  <c r="AZ206" i="1"/>
  <c r="AY206" i="1"/>
  <c r="AX206" i="1"/>
  <c r="AW206" i="1"/>
  <c r="AV206" i="1"/>
  <c r="AU206" i="1"/>
  <c r="AT206" i="1"/>
  <c r="AS206" i="1"/>
  <c r="AH206" i="1"/>
  <c r="W206" i="1"/>
  <c r="L206" i="1"/>
  <c r="IV205" i="1"/>
  <c r="IR205" i="1"/>
  <c r="IK205" i="1"/>
  <c r="HX205" i="1"/>
  <c r="HH205" i="1"/>
  <c r="HE205" i="1"/>
  <c r="GZ205" i="1"/>
  <c r="GR205" i="1"/>
  <c r="FV205" i="1"/>
  <c r="FT205" i="1"/>
  <c r="FR205" i="1"/>
  <c r="FL205" i="1"/>
  <c r="FI205" i="1"/>
  <c r="FG205" i="1"/>
  <c r="FC205" i="1"/>
  <c r="EX205" i="1"/>
  <c r="EW205" i="1"/>
  <c r="EV205" i="1"/>
  <c r="ES205" i="1"/>
  <c r="EP205" i="1"/>
  <c r="ED205" i="1"/>
  <c r="EC205" i="1"/>
  <c r="DZ205" i="1"/>
  <c r="DV205" i="1"/>
  <c r="DQ205" i="1"/>
  <c r="DP205" i="1"/>
  <c r="DM205" i="1"/>
  <c r="DL205" i="1"/>
  <c r="DK205" i="1"/>
  <c r="DI205" i="1"/>
  <c r="DC205" i="1"/>
  <c r="CY205" i="1"/>
  <c r="CL205" i="1"/>
  <c r="CH205" i="1"/>
  <c r="CC205" i="1"/>
  <c r="BW205" i="1"/>
  <c r="BQ205" i="1"/>
  <c r="BL205" i="1"/>
  <c r="AT205" i="1"/>
  <c r="AM205" i="1"/>
  <c r="AF205" i="1"/>
  <c r="AC205" i="1"/>
  <c r="Z205" i="1"/>
  <c r="S205" i="1"/>
  <c r="N205" i="1"/>
  <c r="G205" i="1"/>
  <c r="E205" i="1"/>
  <c r="IT204" i="1"/>
  <c r="IO204" i="1"/>
  <c r="II204" i="1"/>
  <c r="IH204" i="1"/>
  <c r="IG204" i="1"/>
  <c r="IF204" i="1"/>
  <c r="IE204" i="1"/>
  <c r="HZ204" i="1"/>
  <c r="HU204" i="1"/>
  <c r="HO204" i="1"/>
  <c r="HN204" i="1"/>
  <c r="HM204" i="1"/>
  <c r="HL204" i="1"/>
  <c r="HK204" i="1"/>
  <c r="HF204" i="1"/>
  <c r="HA204" i="1"/>
  <c r="GV204" i="1"/>
  <c r="GE204" i="1"/>
  <c r="GD204" i="1"/>
  <c r="GC204" i="1"/>
  <c r="GB204" i="1"/>
  <c r="GA204" i="1"/>
  <c r="FZ204" i="1"/>
  <c r="FY204" i="1"/>
  <c r="FX204" i="1"/>
  <c r="FW204" i="1"/>
  <c r="FV204" i="1"/>
  <c r="FU204" i="1"/>
  <c r="FJ204" i="1"/>
  <c r="EY204" i="1"/>
  <c r="EM204" i="1"/>
  <c r="EL204" i="1"/>
  <c r="EK204" i="1"/>
  <c r="EJ204" i="1"/>
  <c r="EI204" i="1"/>
  <c r="EH204" i="1"/>
  <c r="EG204" i="1"/>
  <c r="EF204" i="1"/>
  <c r="EE204" i="1"/>
  <c r="ED204" i="1"/>
  <c r="DR204" i="1"/>
  <c r="DG204" i="1"/>
  <c r="CU204" i="1"/>
  <c r="CT204" i="1"/>
  <c r="CS204" i="1"/>
  <c r="CR204" i="1"/>
  <c r="CQ204" i="1"/>
  <c r="CP204" i="1"/>
  <c r="CO204" i="1"/>
  <c r="CN204" i="1"/>
  <c r="CM204" i="1"/>
  <c r="CL204" i="1"/>
  <c r="CK204" i="1"/>
  <c r="BZ204" i="1"/>
  <c r="BO204" i="1"/>
  <c r="BC204" i="1"/>
  <c r="BB204" i="1"/>
  <c r="BA204" i="1"/>
  <c r="AZ204" i="1"/>
  <c r="AY204" i="1"/>
  <c r="AX204" i="1"/>
  <c r="AW204" i="1"/>
  <c r="AV204" i="1"/>
  <c r="AU204" i="1"/>
  <c r="AT204" i="1"/>
  <c r="AS204" i="1"/>
  <c r="AH204" i="1"/>
  <c r="W204" i="1"/>
  <c r="L204" i="1"/>
  <c r="IT203" i="1"/>
  <c r="IT202" i="1" s="1"/>
  <c r="IO203" i="1"/>
  <c r="II203" i="1"/>
  <c r="IH203" i="1"/>
  <c r="IG203" i="1"/>
  <c r="IF203" i="1"/>
  <c r="IE203" i="1"/>
  <c r="HZ203" i="1"/>
  <c r="HU203" i="1"/>
  <c r="HO203" i="1"/>
  <c r="HN203" i="1"/>
  <c r="HM203" i="1"/>
  <c r="HL203" i="1"/>
  <c r="HK203" i="1"/>
  <c r="HF203" i="1"/>
  <c r="HA203" i="1"/>
  <c r="GV203" i="1"/>
  <c r="GE203" i="1"/>
  <c r="GD203" i="1"/>
  <c r="GC203" i="1"/>
  <c r="GB203" i="1"/>
  <c r="GA203" i="1"/>
  <c r="FZ203" i="1"/>
  <c r="FY203" i="1"/>
  <c r="FX203" i="1"/>
  <c r="FW203" i="1"/>
  <c r="FV203" i="1"/>
  <c r="FU203" i="1"/>
  <c r="FJ203" i="1"/>
  <c r="EY203" i="1"/>
  <c r="EM203" i="1"/>
  <c r="EL203" i="1"/>
  <c r="EK203" i="1"/>
  <c r="EJ203" i="1"/>
  <c r="EI203" i="1"/>
  <c r="EH203" i="1"/>
  <c r="EG203" i="1"/>
  <c r="EG202" i="1" s="1"/>
  <c r="EF203" i="1"/>
  <c r="EE203" i="1"/>
  <c r="ED203" i="1"/>
  <c r="DR203" i="1"/>
  <c r="DG203" i="1"/>
  <c r="CU203" i="1"/>
  <c r="CT203" i="1"/>
  <c r="CS203" i="1"/>
  <c r="CR203" i="1"/>
  <c r="CQ203" i="1"/>
  <c r="CP203" i="1"/>
  <c r="CO203" i="1"/>
  <c r="CN203" i="1"/>
  <c r="CM203" i="1"/>
  <c r="CL203" i="1"/>
  <c r="CK203" i="1"/>
  <c r="BZ203" i="1"/>
  <c r="BO203" i="1"/>
  <c r="BC203" i="1"/>
  <c r="BB203" i="1"/>
  <c r="BA203" i="1"/>
  <c r="AZ203" i="1"/>
  <c r="AY203" i="1"/>
  <c r="AX203" i="1"/>
  <c r="AW203" i="1"/>
  <c r="AV203" i="1"/>
  <c r="AU203" i="1"/>
  <c r="AT203" i="1"/>
  <c r="AS203" i="1"/>
  <c r="AH203" i="1"/>
  <c r="W203" i="1"/>
  <c r="L203" i="1"/>
  <c r="IV202" i="1"/>
  <c r="IU202" i="1"/>
  <c r="IS202" i="1"/>
  <c r="IR202" i="1"/>
  <c r="IQ202" i="1"/>
  <c r="IP202" i="1"/>
  <c r="IN202" i="1"/>
  <c r="IM202" i="1"/>
  <c r="IL202" i="1"/>
  <c r="IK202" i="1"/>
  <c r="ID202" i="1"/>
  <c r="IC202" i="1"/>
  <c r="IB202" i="1"/>
  <c r="IA202" i="1"/>
  <c r="HY202" i="1"/>
  <c r="HX202" i="1"/>
  <c r="HW202" i="1"/>
  <c r="HV202" i="1"/>
  <c r="HT202" i="1"/>
  <c r="HS202" i="1"/>
  <c r="HR202" i="1"/>
  <c r="HQ202" i="1"/>
  <c r="HJ202" i="1"/>
  <c r="HI202" i="1"/>
  <c r="HH202" i="1"/>
  <c r="HG202" i="1"/>
  <c r="HE202" i="1"/>
  <c r="HD202" i="1"/>
  <c r="HC202" i="1"/>
  <c r="HB202" i="1"/>
  <c r="GZ202" i="1"/>
  <c r="GY202" i="1"/>
  <c r="GX202" i="1"/>
  <c r="GW202" i="1"/>
  <c r="GU202" i="1"/>
  <c r="GT202" i="1"/>
  <c r="GS202" i="1"/>
  <c r="GR202" i="1"/>
  <c r="GA202" i="1"/>
  <c r="FT202" i="1"/>
  <c r="FS202" i="1"/>
  <c r="FR202" i="1"/>
  <c r="FQ202" i="1"/>
  <c r="FP202" i="1"/>
  <c r="FO202" i="1"/>
  <c r="FN202" i="1"/>
  <c r="FM202" i="1"/>
  <c r="FL202" i="1"/>
  <c r="FI202" i="1"/>
  <c r="FH202" i="1"/>
  <c r="FG202" i="1"/>
  <c r="FF202" i="1"/>
  <c r="FE202" i="1"/>
  <c r="FD202" i="1"/>
  <c r="FC202" i="1"/>
  <c r="FB202" i="1"/>
  <c r="FA202" i="1"/>
  <c r="EX202" i="1"/>
  <c r="EW202" i="1"/>
  <c r="EV202" i="1"/>
  <c r="EU202" i="1"/>
  <c r="ET202" i="1"/>
  <c r="ES202" i="1"/>
  <c r="ER202" i="1"/>
  <c r="EQ202" i="1"/>
  <c r="EP202" i="1"/>
  <c r="EM202" i="1"/>
  <c r="EC202" i="1"/>
  <c r="EB202" i="1"/>
  <c r="EA202" i="1"/>
  <c r="DZ202" i="1"/>
  <c r="DY202" i="1"/>
  <c r="DX202" i="1"/>
  <c r="DW202" i="1"/>
  <c r="DV202" i="1"/>
  <c r="DU202" i="1"/>
  <c r="DT202" i="1"/>
  <c r="DQ202" i="1"/>
  <c r="DP202" i="1"/>
  <c r="DO202" i="1"/>
  <c r="DN202" i="1"/>
  <c r="DM202" i="1"/>
  <c r="DL202" i="1"/>
  <c r="DK202" i="1"/>
  <c r="DJ202" i="1"/>
  <c r="DI202" i="1"/>
  <c r="DF202" i="1"/>
  <c r="DE202" i="1"/>
  <c r="DD202" i="1"/>
  <c r="DC202" i="1"/>
  <c r="DB202" i="1"/>
  <c r="DA202" i="1"/>
  <c r="CZ202" i="1"/>
  <c r="CY202" i="1"/>
  <c r="CX202" i="1"/>
  <c r="CO202" i="1"/>
  <c r="CJ202" i="1"/>
  <c r="CI202" i="1"/>
  <c r="CH202" i="1"/>
  <c r="CG202" i="1"/>
  <c r="CF202" i="1"/>
  <c r="CE202" i="1"/>
  <c r="CD202" i="1"/>
  <c r="CC202" i="1"/>
  <c r="CB202" i="1"/>
  <c r="BY202" i="1"/>
  <c r="BX202" i="1"/>
  <c r="BW202" i="1"/>
  <c r="BV202" i="1"/>
  <c r="BU202" i="1"/>
  <c r="BT202" i="1"/>
  <c r="BS202" i="1"/>
  <c r="BR202" i="1"/>
  <c r="BQ202" i="1"/>
  <c r="BN202" i="1"/>
  <c r="BM202" i="1"/>
  <c r="BL202" i="1"/>
  <c r="BK202" i="1"/>
  <c r="BJ202" i="1"/>
  <c r="BI202" i="1"/>
  <c r="BH202" i="1"/>
  <c r="BG202" i="1"/>
  <c r="BF202" i="1"/>
  <c r="BB202" i="1"/>
  <c r="AW202" i="1"/>
  <c r="AR202" i="1"/>
  <c r="AQ202" i="1"/>
  <c r="AP202" i="1"/>
  <c r="AO202" i="1"/>
  <c r="AN202" i="1"/>
  <c r="AM202" i="1"/>
  <c r="AL202" i="1"/>
  <c r="AK202" i="1"/>
  <c r="AJ202" i="1"/>
  <c r="AG202" i="1"/>
  <c r="AF202" i="1"/>
  <c r="AE202" i="1"/>
  <c r="AD202" i="1"/>
  <c r="AC202" i="1"/>
  <c r="AB202" i="1"/>
  <c r="AA202" i="1"/>
  <c r="Z202" i="1"/>
  <c r="Y202" i="1"/>
  <c r="V202" i="1"/>
  <c r="U202" i="1"/>
  <c r="T202" i="1"/>
  <c r="S202" i="1"/>
  <c r="R202" i="1"/>
  <c r="Q202" i="1"/>
  <c r="P202" i="1"/>
  <c r="O202" i="1"/>
  <c r="N202" i="1"/>
  <c r="K202" i="1"/>
  <c r="J202" i="1"/>
  <c r="I202" i="1"/>
  <c r="H202" i="1"/>
  <c r="G202" i="1"/>
  <c r="F202" i="1"/>
  <c r="E202" i="1"/>
  <c r="D202" i="1"/>
  <c r="C202" i="1"/>
  <c r="IT201" i="1"/>
  <c r="IO201" i="1"/>
  <c r="II201" i="1"/>
  <c r="IH201" i="1"/>
  <c r="IG201" i="1"/>
  <c r="IF201" i="1"/>
  <c r="IE201" i="1"/>
  <c r="HZ201" i="1"/>
  <c r="HU201" i="1"/>
  <c r="HO201" i="1"/>
  <c r="HN201" i="1"/>
  <c r="HM201" i="1"/>
  <c r="HL201" i="1"/>
  <c r="HK201" i="1"/>
  <c r="HF201" i="1"/>
  <c r="HA201" i="1"/>
  <c r="GV201" i="1"/>
  <c r="GE201" i="1"/>
  <c r="GD201" i="1"/>
  <c r="GC201" i="1"/>
  <c r="GB201" i="1"/>
  <c r="GA201" i="1"/>
  <c r="FZ201" i="1"/>
  <c r="FY201" i="1"/>
  <c r="FX201" i="1"/>
  <c r="FW201" i="1"/>
  <c r="FV201" i="1"/>
  <c r="FU201" i="1"/>
  <c r="FJ201" i="1"/>
  <c r="EY201" i="1"/>
  <c r="EM201" i="1"/>
  <c r="EL201" i="1"/>
  <c r="EK201" i="1"/>
  <c r="EJ201" i="1"/>
  <c r="EI201" i="1"/>
  <c r="EH201" i="1"/>
  <c r="EG201" i="1"/>
  <c r="EF201" i="1"/>
  <c r="EE201" i="1"/>
  <c r="ED201" i="1"/>
  <c r="DR201" i="1"/>
  <c r="DG201" i="1"/>
  <c r="CU201" i="1"/>
  <c r="CT201" i="1"/>
  <c r="CS201" i="1"/>
  <c r="CR201" i="1"/>
  <c r="CQ201" i="1"/>
  <c r="CP201" i="1"/>
  <c r="CO201" i="1"/>
  <c r="CN201" i="1"/>
  <c r="CM201" i="1"/>
  <c r="CL201" i="1"/>
  <c r="CK201" i="1"/>
  <c r="BZ201" i="1"/>
  <c r="BO201" i="1"/>
  <c r="BC201" i="1"/>
  <c r="BB201" i="1"/>
  <c r="BA201" i="1"/>
  <c r="AZ201" i="1"/>
  <c r="AY201" i="1"/>
  <c r="AX201" i="1"/>
  <c r="AW201" i="1"/>
  <c r="AV201" i="1"/>
  <c r="AU201" i="1"/>
  <c r="AT201" i="1"/>
  <c r="AS201" i="1"/>
  <c r="AH201" i="1"/>
  <c r="W201" i="1"/>
  <c r="L201" i="1"/>
  <c r="IT200" i="1"/>
  <c r="IO200" i="1"/>
  <c r="II200" i="1"/>
  <c r="IH200" i="1"/>
  <c r="IG200" i="1"/>
  <c r="IF200" i="1"/>
  <c r="IE200" i="1"/>
  <c r="HZ200" i="1"/>
  <c r="HU200" i="1"/>
  <c r="HO200" i="1"/>
  <c r="HN200" i="1"/>
  <c r="HM200" i="1"/>
  <c r="HL200" i="1"/>
  <c r="HK200" i="1"/>
  <c r="HF200" i="1"/>
  <c r="HA200" i="1"/>
  <c r="GV200" i="1"/>
  <c r="GE200" i="1"/>
  <c r="GD200" i="1"/>
  <c r="GC200" i="1"/>
  <c r="GB200" i="1"/>
  <c r="GA200" i="1"/>
  <c r="FZ200" i="1"/>
  <c r="FY200" i="1"/>
  <c r="FX200" i="1"/>
  <c r="FW200" i="1"/>
  <c r="FV200" i="1"/>
  <c r="FU200" i="1"/>
  <c r="FJ200" i="1"/>
  <c r="EY200" i="1"/>
  <c r="EM200" i="1"/>
  <c r="EL200" i="1"/>
  <c r="EK200" i="1"/>
  <c r="EJ200" i="1"/>
  <c r="EI200" i="1"/>
  <c r="EH200" i="1"/>
  <c r="EG200" i="1"/>
  <c r="EF200" i="1"/>
  <c r="EE200" i="1"/>
  <c r="ED200" i="1"/>
  <c r="DR200" i="1"/>
  <c r="DG200" i="1"/>
  <c r="CU200" i="1"/>
  <c r="CT200" i="1"/>
  <c r="CS200" i="1"/>
  <c r="CR200" i="1"/>
  <c r="CQ200" i="1"/>
  <c r="CP200" i="1"/>
  <c r="CO200" i="1"/>
  <c r="CN200" i="1"/>
  <c r="CM200" i="1"/>
  <c r="CL200" i="1"/>
  <c r="CK200" i="1"/>
  <c r="BZ200" i="1"/>
  <c r="BO200" i="1"/>
  <c r="BC200" i="1"/>
  <c r="BB200" i="1"/>
  <c r="BA200" i="1"/>
  <c r="AZ200" i="1"/>
  <c r="AY200" i="1"/>
  <c r="AX200" i="1"/>
  <c r="AW200" i="1"/>
  <c r="AV200" i="1"/>
  <c r="AU200" i="1"/>
  <c r="AT200" i="1"/>
  <c r="AS200" i="1"/>
  <c r="AH200" i="1"/>
  <c r="W200" i="1"/>
  <c r="L200" i="1"/>
  <c r="IT199" i="1"/>
  <c r="IO199" i="1"/>
  <c r="II199" i="1"/>
  <c r="IH199" i="1"/>
  <c r="IG199" i="1"/>
  <c r="IF199" i="1"/>
  <c r="IE199" i="1"/>
  <c r="HZ199" i="1"/>
  <c r="HU199" i="1"/>
  <c r="HO199" i="1"/>
  <c r="HN199" i="1"/>
  <c r="HM199" i="1"/>
  <c r="HL199" i="1"/>
  <c r="HK199" i="1"/>
  <c r="HF199" i="1"/>
  <c r="HA199" i="1"/>
  <c r="GV199" i="1"/>
  <c r="GE199" i="1"/>
  <c r="GD199" i="1"/>
  <c r="GC199" i="1"/>
  <c r="GB199" i="1"/>
  <c r="GA199" i="1"/>
  <c r="FZ199" i="1"/>
  <c r="FY199" i="1"/>
  <c r="FX199" i="1"/>
  <c r="FW199" i="1"/>
  <c r="FV199" i="1"/>
  <c r="FU199" i="1"/>
  <c r="FJ199" i="1"/>
  <c r="EY199" i="1"/>
  <c r="EM199" i="1"/>
  <c r="EL199" i="1"/>
  <c r="EK199" i="1"/>
  <c r="EJ199" i="1"/>
  <c r="EI199" i="1"/>
  <c r="EH199" i="1"/>
  <c r="EG199" i="1"/>
  <c r="EF199" i="1"/>
  <c r="EE199" i="1"/>
  <c r="ED199" i="1"/>
  <c r="DR199" i="1"/>
  <c r="DG199" i="1"/>
  <c r="CU199" i="1"/>
  <c r="CT199" i="1"/>
  <c r="CS199" i="1"/>
  <c r="CR199" i="1"/>
  <c r="CQ199" i="1"/>
  <c r="CP199" i="1"/>
  <c r="CO199" i="1"/>
  <c r="CN199" i="1"/>
  <c r="CM199" i="1"/>
  <c r="CL199" i="1"/>
  <c r="CK199" i="1"/>
  <c r="BZ199" i="1"/>
  <c r="BO199" i="1"/>
  <c r="BC199" i="1"/>
  <c r="BB199" i="1"/>
  <c r="BA199" i="1"/>
  <c r="AZ199" i="1"/>
  <c r="AY199" i="1"/>
  <c r="AX199" i="1"/>
  <c r="AW199" i="1"/>
  <c r="AV199" i="1"/>
  <c r="AU199" i="1"/>
  <c r="AT199" i="1"/>
  <c r="AS199" i="1"/>
  <c r="AH199" i="1"/>
  <c r="W199" i="1"/>
  <c r="L199" i="1"/>
  <c r="IT198" i="1"/>
  <c r="IO198" i="1"/>
  <c r="II198" i="1"/>
  <c r="IH198" i="1"/>
  <c r="IG198" i="1"/>
  <c r="IF198" i="1"/>
  <c r="IE198" i="1"/>
  <c r="HZ198" i="1"/>
  <c r="HU198" i="1"/>
  <c r="HO198" i="1"/>
  <c r="HN198" i="1"/>
  <c r="HM198" i="1"/>
  <c r="HL198" i="1"/>
  <c r="HK198" i="1"/>
  <c r="HF198" i="1"/>
  <c r="HA198" i="1"/>
  <c r="GV198" i="1"/>
  <c r="GE198" i="1"/>
  <c r="GD198" i="1"/>
  <c r="GC198" i="1"/>
  <c r="GB198" i="1"/>
  <c r="GA198" i="1"/>
  <c r="FZ198" i="1"/>
  <c r="FY198" i="1"/>
  <c r="FX198" i="1"/>
  <c r="FW198" i="1"/>
  <c r="FV198" i="1"/>
  <c r="FU198" i="1"/>
  <c r="FJ198" i="1"/>
  <c r="EY198" i="1"/>
  <c r="EM198" i="1"/>
  <c r="EL198" i="1"/>
  <c r="EK198" i="1"/>
  <c r="EJ198" i="1"/>
  <c r="EI198" i="1"/>
  <c r="EH198" i="1"/>
  <c r="EG198" i="1"/>
  <c r="EF198" i="1"/>
  <c r="EE198" i="1"/>
  <c r="ED198" i="1"/>
  <c r="DR198" i="1"/>
  <c r="DG198" i="1"/>
  <c r="CU198" i="1"/>
  <c r="CT198" i="1"/>
  <c r="CS198" i="1"/>
  <c r="CR198" i="1"/>
  <c r="CQ198" i="1"/>
  <c r="CP198" i="1"/>
  <c r="CO198" i="1"/>
  <c r="CN198" i="1"/>
  <c r="CM198" i="1"/>
  <c r="CL198" i="1"/>
  <c r="CK198" i="1"/>
  <c r="BZ198" i="1"/>
  <c r="BO198" i="1"/>
  <c r="BC198" i="1"/>
  <c r="BB198" i="1"/>
  <c r="BA198" i="1"/>
  <c r="AZ198" i="1"/>
  <c r="AY198" i="1"/>
  <c r="AX198" i="1"/>
  <c r="AW198" i="1"/>
  <c r="AV198" i="1"/>
  <c r="AU198" i="1"/>
  <c r="AT198" i="1"/>
  <c r="AS198" i="1"/>
  <c r="AH198" i="1"/>
  <c r="W198" i="1"/>
  <c r="L198" i="1"/>
  <c r="IT197" i="1"/>
  <c r="IO197" i="1"/>
  <c r="II197" i="1"/>
  <c r="IH197" i="1"/>
  <c r="IG197" i="1"/>
  <c r="IF197" i="1"/>
  <c r="IE197" i="1"/>
  <c r="HZ197" i="1"/>
  <c r="HU197" i="1"/>
  <c r="HO197" i="1"/>
  <c r="HN197" i="1"/>
  <c r="HM197" i="1"/>
  <c r="HL197" i="1"/>
  <c r="HK197" i="1"/>
  <c r="HF197" i="1"/>
  <c r="HA197" i="1"/>
  <c r="GV197" i="1"/>
  <c r="GE197" i="1"/>
  <c r="GD197" i="1"/>
  <c r="GC197" i="1"/>
  <c r="GB197" i="1"/>
  <c r="GA197" i="1"/>
  <c r="FZ197" i="1"/>
  <c r="FY197" i="1"/>
  <c r="FX197" i="1"/>
  <c r="FW197" i="1"/>
  <c r="FV197" i="1"/>
  <c r="FU197" i="1"/>
  <c r="FJ197" i="1"/>
  <c r="EY197" i="1"/>
  <c r="EM197" i="1"/>
  <c r="EL197" i="1"/>
  <c r="EK197" i="1"/>
  <c r="EJ197" i="1"/>
  <c r="EI197" i="1"/>
  <c r="EH197" i="1"/>
  <c r="EG197" i="1"/>
  <c r="EF197" i="1"/>
  <c r="EE197" i="1"/>
  <c r="ED197" i="1"/>
  <c r="DR197" i="1"/>
  <c r="DG197" i="1"/>
  <c r="CU197" i="1"/>
  <c r="CT197" i="1"/>
  <c r="CS197" i="1"/>
  <c r="CR197" i="1"/>
  <c r="CQ197" i="1"/>
  <c r="CP197" i="1"/>
  <c r="CO197" i="1"/>
  <c r="CN197" i="1"/>
  <c r="CM197" i="1"/>
  <c r="CL197" i="1"/>
  <c r="CK197" i="1"/>
  <c r="BZ197" i="1"/>
  <c r="BO197" i="1"/>
  <c r="BC197" i="1"/>
  <c r="BB197" i="1"/>
  <c r="BA197" i="1"/>
  <c r="AZ197" i="1"/>
  <c r="AY197" i="1"/>
  <c r="AX197" i="1"/>
  <c r="AW197" i="1"/>
  <c r="AV197" i="1"/>
  <c r="AU197" i="1"/>
  <c r="AT197" i="1"/>
  <c r="AS197" i="1"/>
  <c r="AH197" i="1"/>
  <c r="W197" i="1"/>
  <c r="L197" i="1"/>
  <c r="IT196" i="1"/>
  <c r="IO196" i="1"/>
  <c r="II196" i="1"/>
  <c r="IH196" i="1"/>
  <c r="IG196" i="1"/>
  <c r="IF196" i="1"/>
  <c r="IE196" i="1"/>
  <c r="HZ196" i="1"/>
  <c r="HU196" i="1"/>
  <c r="HO196" i="1"/>
  <c r="HN196" i="1"/>
  <c r="HM196" i="1"/>
  <c r="HL196" i="1"/>
  <c r="HK196" i="1"/>
  <c r="HF196" i="1"/>
  <c r="HA196" i="1"/>
  <c r="GV196" i="1"/>
  <c r="GE196" i="1"/>
  <c r="GD196" i="1"/>
  <c r="GC196" i="1"/>
  <c r="GB196" i="1"/>
  <c r="GA196" i="1"/>
  <c r="FZ196" i="1"/>
  <c r="FY196" i="1"/>
  <c r="FX196" i="1"/>
  <c r="FW196" i="1"/>
  <c r="FV196" i="1"/>
  <c r="FU196" i="1"/>
  <c r="FJ196" i="1"/>
  <c r="EY196" i="1"/>
  <c r="EM196" i="1"/>
  <c r="EL196" i="1"/>
  <c r="EK196" i="1"/>
  <c r="EJ196" i="1"/>
  <c r="EI196" i="1"/>
  <c r="EH196" i="1"/>
  <c r="EG196" i="1"/>
  <c r="EF196" i="1"/>
  <c r="EE196" i="1"/>
  <c r="ED196" i="1"/>
  <c r="DR196" i="1"/>
  <c r="DG196" i="1"/>
  <c r="CU196" i="1"/>
  <c r="CT196" i="1"/>
  <c r="CS196" i="1"/>
  <c r="CR196" i="1"/>
  <c r="CQ196" i="1"/>
  <c r="CP196" i="1"/>
  <c r="CO196" i="1"/>
  <c r="CN196" i="1"/>
  <c r="CM196" i="1"/>
  <c r="CL196" i="1"/>
  <c r="CK196" i="1"/>
  <c r="BZ196" i="1"/>
  <c r="BO196" i="1"/>
  <c r="BC196" i="1"/>
  <c r="BB196" i="1"/>
  <c r="BA196" i="1"/>
  <c r="AZ196" i="1"/>
  <c r="AY196" i="1"/>
  <c r="AX196" i="1"/>
  <c r="AW196" i="1"/>
  <c r="AV196" i="1"/>
  <c r="AU196" i="1"/>
  <c r="AT196" i="1"/>
  <c r="AS196" i="1"/>
  <c r="AH196" i="1"/>
  <c r="W196" i="1"/>
  <c r="L196" i="1"/>
  <c r="IT195" i="1"/>
  <c r="IO195" i="1"/>
  <c r="II195" i="1"/>
  <c r="IH195" i="1"/>
  <c r="IG195" i="1"/>
  <c r="IF195" i="1"/>
  <c r="IE195" i="1"/>
  <c r="HZ195" i="1"/>
  <c r="HU195" i="1"/>
  <c r="HO195" i="1"/>
  <c r="HN195" i="1"/>
  <c r="HM195" i="1"/>
  <c r="HL195" i="1"/>
  <c r="HK195" i="1"/>
  <c r="HF195" i="1"/>
  <c r="HA195" i="1"/>
  <c r="GV195" i="1"/>
  <c r="GE195" i="1"/>
  <c r="GD195" i="1"/>
  <c r="GC195" i="1"/>
  <c r="GB195" i="1"/>
  <c r="GA195" i="1"/>
  <c r="FZ195" i="1"/>
  <c r="FY195" i="1"/>
  <c r="FX195" i="1"/>
  <c r="FW195" i="1"/>
  <c r="FV195" i="1"/>
  <c r="FU195" i="1"/>
  <c r="FJ195" i="1"/>
  <c r="EY195" i="1"/>
  <c r="EM195" i="1"/>
  <c r="EL195" i="1"/>
  <c r="EK195" i="1"/>
  <c r="EJ195" i="1"/>
  <c r="EI195" i="1"/>
  <c r="EH195" i="1"/>
  <c r="EG195" i="1"/>
  <c r="EF195" i="1"/>
  <c r="EE195" i="1"/>
  <c r="ED195" i="1"/>
  <c r="DR195" i="1"/>
  <c r="DG195" i="1"/>
  <c r="CU195" i="1"/>
  <c r="CT195" i="1"/>
  <c r="CS195" i="1"/>
  <c r="CR195" i="1"/>
  <c r="CQ195" i="1"/>
  <c r="CP195" i="1"/>
  <c r="CO195" i="1"/>
  <c r="CN195" i="1"/>
  <c r="CM195" i="1"/>
  <c r="CL195" i="1"/>
  <c r="CK195" i="1"/>
  <c r="BZ195" i="1"/>
  <c r="BO195" i="1"/>
  <c r="BC195" i="1"/>
  <c r="BB195" i="1"/>
  <c r="BA195" i="1"/>
  <c r="AZ195" i="1"/>
  <c r="AY195" i="1"/>
  <c r="AX195" i="1"/>
  <c r="AW195" i="1"/>
  <c r="AV195" i="1"/>
  <c r="AU195" i="1"/>
  <c r="AT195" i="1"/>
  <c r="AS195" i="1"/>
  <c r="AH195" i="1"/>
  <c r="W195" i="1"/>
  <c r="L195" i="1"/>
  <c r="IT194" i="1"/>
  <c r="IO194" i="1"/>
  <c r="II194" i="1"/>
  <c r="IH194" i="1"/>
  <c r="IG194" i="1"/>
  <c r="IF194" i="1"/>
  <c r="IE194" i="1"/>
  <c r="HZ194" i="1"/>
  <c r="HU194" i="1"/>
  <c r="HO194" i="1"/>
  <c r="HN194" i="1"/>
  <c r="HM194" i="1"/>
  <c r="HL194" i="1"/>
  <c r="HK194" i="1"/>
  <c r="HF194" i="1"/>
  <c r="HA194" i="1"/>
  <c r="GV194" i="1"/>
  <c r="GE194" i="1"/>
  <c r="GD194" i="1"/>
  <c r="GC194" i="1"/>
  <c r="GB194" i="1"/>
  <c r="GA194" i="1"/>
  <c r="FZ194" i="1"/>
  <c r="FY194" i="1"/>
  <c r="FX194" i="1"/>
  <c r="FW194" i="1"/>
  <c r="FV194" i="1"/>
  <c r="FU194" i="1"/>
  <c r="FJ194" i="1"/>
  <c r="EY194" i="1"/>
  <c r="EM194" i="1"/>
  <c r="EL194" i="1"/>
  <c r="EK194" i="1"/>
  <c r="EJ194" i="1"/>
  <c r="EI194" i="1"/>
  <c r="EH194" i="1"/>
  <c r="EG194" i="1"/>
  <c r="EF194" i="1"/>
  <c r="EE194" i="1"/>
  <c r="ED194" i="1"/>
  <c r="DR194" i="1"/>
  <c r="DG194" i="1"/>
  <c r="CU194" i="1"/>
  <c r="CT194" i="1"/>
  <c r="CS194" i="1"/>
  <c r="CR194" i="1"/>
  <c r="CQ194" i="1"/>
  <c r="CP194" i="1"/>
  <c r="CO194" i="1"/>
  <c r="CN194" i="1"/>
  <c r="CM194" i="1"/>
  <c r="CL194" i="1"/>
  <c r="CK194" i="1"/>
  <c r="BZ194" i="1"/>
  <c r="BO194" i="1"/>
  <c r="BC194" i="1"/>
  <c r="BB194" i="1"/>
  <c r="BA194" i="1"/>
  <c r="AZ194" i="1"/>
  <c r="AY194" i="1"/>
  <c r="AX194" i="1"/>
  <c r="AW194" i="1"/>
  <c r="AV194" i="1"/>
  <c r="AU194" i="1"/>
  <c r="AT194" i="1"/>
  <c r="AS194" i="1"/>
  <c r="AH194" i="1"/>
  <c r="W194" i="1"/>
  <c r="L194" i="1"/>
  <c r="IT193" i="1"/>
  <c r="IO193" i="1"/>
  <c r="II193" i="1"/>
  <c r="IH193" i="1"/>
  <c r="IG193" i="1"/>
  <c r="IF193" i="1"/>
  <c r="IE193" i="1"/>
  <c r="HZ193" i="1"/>
  <c r="HU193" i="1"/>
  <c r="HO193" i="1"/>
  <c r="HN193" i="1"/>
  <c r="HM193" i="1"/>
  <c r="HL193" i="1"/>
  <c r="HK193" i="1"/>
  <c r="HF193" i="1"/>
  <c r="HA193" i="1"/>
  <c r="GV193" i="1"/>
  <c r="GE193" i="1"/>
  <c r="GD193" i="1"/>
  <c r="GC193" i="1"/>
  <c r="GB193" i="1"/>
  <c r="GA193" i="1"/>
  <c r="FZ193" i="1"/>
  <c r="FY193" i="1"/>
  <c r="FX193" i="1"/>
  <c r="FW193" i="1"/>
  <c r="FV193" i="1"/>
  <c r="FU193" i="1"/>
  <c r="FJ193" i="1"/>
  <c r="EY193" i="1"/>
  <c r="EM193" i="1"/>
  <c r="EL193" i="1"/>
  <c r="EK193" i="1"/>
  <c r="EJ193" i="1"/>
  <c r="EI193" i="1"/>
  <c r="EH193" i="1"/>
  <c r="EG193" i="1"/>
  <c r="EF193" i="1"/>
  <c r="EE193" i="1"/>
  <c r="ED193" i="1"/>
  <c r="DR193" i="1"/>
  <c r="DG193" i="1"/>
  <c r="CU193" i="1"/>
  <c r="CT193" i="1"/>
  <c r="CS193" i="1"/>
  <c r="CR193" i="1"/>
  <c r="CQ193" i="1"/>
  <c r="CP193" i="1"/>
  <c r="CO193" i="1"/>
  <c r="CN193" i="1"/>
  <c r="CM193" i="1"/>
  <c r="CL193" i="1"/>
  <c r="CK193" i="1"/>
  <c r="BZ193" i="1"/>
  <c r="BO193" i="1"/>
  <c r="BC193" i="1"/>
  <c r="BB193" i="1"/>
  <c r="BA193" i="1"/>
  <c r="AZ193" i="1"/>
  <c r="AY193" i="1"/>
  <c r="AX193" i="1"/>
  <c r="AW193" i="1"/>
  <c r="AV193" i="1"/>
  <c r="AU193" i="1"/>
  <c r="AT193" i="1"/>
  <c r="AS193" i="1"/>
  <c r="AH193" i="1"/>
  <c r="W193" i="1"/>
  <c r="L193" i="1"/>
  <c r="IT192" i="1"/>
  <c r="IO192" i="1"/>
  <c r="II192" i="1"/>
  <c r="IH192" i="1"/>
  <c r="IG192" i="1"/>
  <c r="IF192" i="1"/>
  <c r="IE192" i="1"/>
  <c r="HZ192" i="1"/>
  <c r="HU192" i="1"/>
  <c r="HO192" i="1"/>
  <c r="HN192" i="1"/>
  <c r="HM192" i="1"/>
  <c r="HL192" i="1"/>
  <c r="HK192" i="1"/>
  <c r="HF192" i="1"/>
  <c r="HA192" i="1"/>
  <c r="HA191" i="1" s="1"/>
  <c r="GV192" i="1"/>
  <c r="GE192" i="1"/>
  <c r="GD192" i="1"/>
  <c r="GC192" i="1"/>
  <c r="GC191" i="1" s="1"/>
  <c r="GB192" i="1"/>
  <c r="GA192" i="1"/>
  <c r="FZ192" i="1"/>
  <c r="FY192" i="1"/>
  <c r="FY191" i="1" s="1"/>
  <c r="FX192" i="1"/>
  <c r="FW192" i="1"/>
  <c r="FV192" i="1"/>
  <c r="FU192" i="1"/>
  <c r="FU191" i="1" s="1"/>
  <c r="FJ192" i="1"/>
  <c r="EY192" i="1"/>
  <c r="EY191" i="1" s="1"/>
  <c r="EM192" i="1"/>
  <c r="EL192" i="1"/>
  <c r="EL191" i="1" s="1"/>
  <c r="EK192" i="1"/>
  <c r="EJ192" i="1"/>
  <c r="EI192" i="1"/>
  <c r="EH192" i="1"/>
  <c r="EH191" i="1" s="1"/>
  <c r="EG192" i="1"/>
  <c r="EF192" i="1"/>
  <c r="EE192" i="1"/>
  <c r="ED192" i="1"/>
  <c r="DR192" i="1"/>
  <c r="DG192" i="1"/>
  <c r="CU192" i="1"/>
  <c r="CT192" i="1"/>
  <c r="CS192" i="1"/>
  <c r="CR192" i="1"/>
  <c r="CQ192" i="1"/>
  <c r="CP192" i="1"/>
  <c r="CP191" i="1" s="1"/>
  <c r="CO192" i="1"/>
  <c r="CN192" i="1"/>
  <c r="CN191" i="1" s="1"/>
  <c r="CM192" i="1"/>
  <c r="CL192" i="1"/>
  <c r="CK192" i="1"/>
  <c r="BZ192" i="1"/>
  <c r="BZ191" i="1" s="1"/>
  <c r="BO192" i="1"/>
  <c r="BC192" i="1"/>
  <c r="GP192" i="1" s="1"/>
  <c r="BB192" i="1"/>
  <c r="BA192" i="1"/>
  <c r="AZ192" i="1"/>
  <c r="AY192" i="1"/>
  <c r="GL192" i="1" s="1"/>
  <c r="AX192" i="1"/>
  <c r="AW192" i="1"/>
  <c r="AV192" i="1"/>
  <c r="AU192" i="1"/>
  <c r="GH192" i="1" s="1"/>
  <c r="AT192" i="1"/>
  <c r="AS192" i="1"/>
  <c r="AH192" i="1"/>
  <c r="W192" i="1"/>
  <c r="W191" i="1" s="1"/>
  <c r="L192" i="1"/>
  <c r="IV191" i="1"/>
  <c r="IV189" i="1" s="1"/>
  <c r="IV188" i="1" s="1"/>
  <c r="IU191" i="1"/>
  <c r="IS191" i="1"/>
  <c r="IS189" i="1" s="1"/>
  <c r="IR191" i="1"/>
  <c r="IQ191" i="1"/>
  <c r="IP191" i="1"/>
  <c r="IN191" i="1"/>
  <c r="IN189" i="1" s="1"/>
  <c r="IM191" i="1"/>
  <c r="IL191" i="1"/>
  <c r="IL189" i="1" s="1"/>
  <c r="IK191" i="1"/>
  <c r="IK189" i="1" s="1"/>
  <c r="II191" i="1"/>
  <c r="ID191" i="1"/>
  <c r="IC191" i="1"/>
  <c r="IC189" i="1" s="1"/>
  <c r="IB191" i="1"/>
  <c r="IA191" i="1"/>
  <c r="IA189" i="1" s="1"/>
  <c r="HY191" i="1"/>
  <c r="HY189" i="1" s="1"/>
  <c r="HX191" i="1"/>
  <c r="HW191" i="1"/>
  <c r="HV191" i="1"/>
  <c r="HT191" i="1"/>
  <c r="HS191" i="1"/>
  <c r="HR191" i="1"/>
  <c r="HQ191" i="1"/>
  <c r="HQ189" i="1" s="1"/>
  <c r="HJ191" i="1"/>
  <c r="HI191" i="1"/>
  <c r="HI189" i="1" s="1"/>
  <c r="HI188" i="1" s="1"/>
  <c r="HH191" i="1"/>
  <c r="HH189" i="1" s="1"/>
  <c r="HH188" i="1" s="1"/>
  <c r="HG191" i="1"/>
  <c r="HG189" i="1" s="1"/>
  <c r="HE191" i="1"/>
  <c r="HE189" i="1" s="1"/>
  <c r="HD191" i="1"/>
  <c r="HC191" i="1"/>
  <c r="HC189" i="1" s="1"/>
  <c r="HB191" i="1"/>
  <c r="HB189" i="1" s="1"/>
  <c r="HB188" i="1" s="1"/>
  <c r="GZ191" i="1"/>
  <c r="GY191" i="1"/>
  <c r="GY189" i="1" s="1"/>
  <c r="GX191" i="1"/>
  <c r="GX189" i="1" s="1"/>
  <c r="GW191" i="1"/>
  <c r="GW189" i="1" s="1"/>
  <c r="GU191" i="1"/>
  <c r="GU189" i="1" s="1"/>
  <c r="GT191" i="1"/>
  <c r="GT189" i="1" s="1"/>
  <c r="GS191" i="1"/>
  <c r="GS189" i="1" s="1"/>
  <c r="GR191" i="1"/>
  <c r="FT191" i="1"/>
  <c r="FT189" i="1" s="1"/>
  <c r="FT188" i="1" s="1"/>
  <c r="FS191" i="1"/>
  <c r="FS189" i="1" s="1"/>
  <c r="FS188" i="1" s="1"/>
  <c r="FR191" i="1"/>
  <c r="FQ191" i="1"/>
  <c r="FQ189" i="1" s="1"/>
  <c r="FP191" i="1"/>
  <c r="FP189" i="1" s="1"/>
  <c r="FO191" i="1"/>
  <c r="FN191" i="1"/>
  <c r="FM191" i="1"/>
  <c r="FL191" i="1"/>
  <c r="FL189" i="1" s="1"/>
  <c r="FL188" i="1" s="1"/>
  <c r="FI191" i="1"/>
  <c r="FI189" i="1" s="1"/>
  <c r="FI188" i="1" s="1"/>
  <c r="FH191" i="1"/>
  <c r="FH189" i="1" s="1"/>
  <c r="FG191" i="1"/>
  <c r="FF191" i="1"/>
  <c r="FE191" i="1"/>
  <c r="FD191" i="1"/>
  <c r="FD189" i="1" s="1"/>
  <c r="FC191" i="1"/>
  <c r="FC189" i="1" s="1"/>
  <c r="FC188" i="1" s="1"/>
  <c r="FB191" i="1"/>
  <c r="FA191" i="1"/>
  <c r="FA189" i="1" s="1"/>
  <c r="FA188" i="1" s="1"/>
  <c r="EX191" i="1"/>
  <c r="EW191" i="1"/>
  <c r="EV191" i="1"/>
  <c r="EU191" i="1"/>
  <c r="EU189" i="1" s="1"/>
  <c r="EU188" i="1" s="1"/>
  <c r="ET191" i="1"/>
  <c r="ET189" i="1" s="1"/>
  <c r="ES191" i="1"/>
  <c r="ES189" i="1" s="1"/>
  <c r="ER191" i="1"/>
  <c r="EQ191" i="1"/>
  <c r="EQ189" i="1" s="1"/>
  <c r="EP191" i="1"/>
  <c r="EP189" i="1" s="1"/>
  <c r="EP188" i="1" s="1"/>
  <c r="EC191" i="1"/>
  <c r="EB191" i="1"/>
  <c r="EA191" i="1"/>
  <c r="EA189" i="1" s="1"/>
  <c r="DZ191" i="1"/>
  <c r="DY191" i="1"/>
  <c r="DY189" i="1" s="1"/>
  <c r="DY188" i="1" s="1"/>
  <c r="DX191" i="1"/>
  <c r="DW191" i="1"/>
  <c r="DW189" i="1" s="1"/>
  <c r="DV191" i="1"/>
  <c r="DV189" i="1" s="1"/>
  <c r="DV188" i="1" s="1"/>
  <c r="DU191" i="1"/>
  <c r="DU189" i="1" s="1"/>
  <c r="DT191" i="1"/>
  <c r="DQ191" i="1"/>
  <c r="DQ189" i="1" s="1"/>
  <c r="DP191" i="1"/>
  <c r="DO191" i="1"/>
  <c r="DN191" i="1"/>
  <c r="DM191" i="1"/>
  <c r="DM189" i="1" s="1"/>
  <c r="DM188" i="1" s="1"/>
  <c r="DL191" i="1"/>
  <c r="DK191" i="1"/>
  <c r="DK189" i="1" s="1"/>
  <c r="DJ191" i="1"/>
  <c r="DI191" i="1"/>
  <c r="DI189" i="1" s="1"/>
  <c r="DF191" i="1"/>
  <c r="DE191" i="1"/>
  <c r="DD191" i="1"/>
  <c r="DD189" i="1" s="1"/>
  <c r="DC191" i="1"/>
  <c r="DC189" i="1" s="1"/>
  <c r="DC188" i="1" s="1"/>
  <c r="DB191" i="1"/>
  <c r="DB189" i="1" s="1"/>
  <c r="DA191" i="1"/>
  <c r="CZ191" i="1"/>
  <c r="CZ189" i="1" s="1"/>
  <c r="CZ188" i="1" s="1"/>
  <c r="CY191" i="1"/>
  <c r="CY189" i="1" s="1"/>
  <c r="CY188" i="1" s="1"/>
  <c r="CX191" i="1"/>
  <c r="CT191" i="1"/>
  <c r="CJ191" i="1"/>
  <c r="CJ189" i="1" s="1"/>
  <c r="CI191" i="1"/>
  <c r="CI189" i="1" s="1"/>
  <c r="CH191" i="1"/>
  <c r="CG191" i="1"/>
  <c r="CF191" i="1"/>
  <c r="CE191" i="1"/>
  <c r="CE189" i="1" s="1"/>
  <c r="CD191" i="1"/>
  <c r="CD189" i="1" s="1"/>
  <c r="CC191" i="1"/>
  <c r="CB191" i="1"/>
  <c r="CB189" i="1" s="1"/>
  <c r="BY191" i="1"/>
  <c r="BY189" i="1" s="1"/>
  <c r="BY188" i="1" s="1"/>
  <c r="BX191" i="1"/>
  <c r="BW191" i="1"/>
  <c r="BW189" i="1" s="1"/>
  <c r="BV191" i="1"/>
  <c r="BV189" i="1" s="1"/>
  <c r="BU191" i="1"/>
  <c r="BT191" i="1"/>
  <c r="BS191" i="1"/>
  <c r="BR191" i="1"/>
  <c r="BR189" i="1" s="1"/>
  <c r="BQ191" i="1"/>
  <c r="BQ189" i="1" s="1"/>
  <c r="BQ188" i="1" s="1"/>
  <c r="BN191" i="1"/>
  <c r="BM191" i="1"/>
  <c r="BM189" i="1" s="1"/>
  <c r="BL191" i="1"/>
  <c r="BK191" i="1"/>
  <c r="BJ191" i="1"/>
  <c r="BI191" i="1"/>
  <c r="BI189" i="1" s="1"/>
  <c r="BH191" i="1"/>
  <c r="BG191" i="1"/>
  <c r="BG189" i="1" s="1"/>
  <c r="BF191" i="1"/>
  <c r="BC191" i="1"/>
  <c r="AR191" i="1"/>
  <c r="AQ191" i="1"/>
  <c r="AP191" i="1"/>
  <c r="AO191" i="1"/>
  <c r="AN191" i="1"/>
  <c r="AM191" i="1"/>
  <c r="AL191" i="1"/>
  <c r="AK191" i="1"/>
  <c r="AJ191" i="1"/>
  <c r="AG191" i="1"/>
  <c r="AF191" i="1"/>
  <c r="AE191" i="1"/>
  <c r="AD191" i="1"/>
  <c r="AC191" i="1"/>
  <c r="AB191" i="1"/>
  <c r="AA191" i="1"/>
  <c r="Z191" i="1"/>
  <c r="Y191" i="1"/>
  <c r="V191" i="1"/>
  <c r="V189" i="1" s="1"/>
  <c r="U191" i="1"/>
  <c r="T191" i="1"/>
  <c r="T189" i="1" s="1"/>
  <c r="S191" i="1"/>
  <c r="S189" i="1" s="1"/>
  <c r="R191" i="1"/>
  <c r="Q191" i="1"/>
  <c r="P191" i="1"/>
  <c r="O191" i="1"/>
  <c r="O189" i="1" s="1"/>
  <c r="N191" i="1"/>
  <c r="N189" i="1" s="1"/>
  <c r="K191" i="1"/>
  <c r="J191" i="1"/>
  <c r="J189" i="1" s="1"/>
  <c r="I191" i="1"/>
  <c r="H191" i="1"/>
  <c r="G191" i="1"/>
  <c r="F191" i="1"/>
  <c r="F189" i="1" s="1"/>
  <c r="E191" i="1"/>
  <c r="D191" i="1"/>
  <c r="D189" i="1" s="1"/>
  <c r="D188" i="1" s="1"/>
  <c r="C191" i="1"/>
  <c r="IT190" i="1"/>
  <c r="IO190" i="1"/>
  <c r="II190" i="1"/>
  <c r="IH190" i="1"/>
  <c r="IG190" i="1"/>
  <c r="IF190" i="1"/>
  <c r="IE190" i="1"/>
  <c r="HZ190" i="1"/>
  <c r="HU190" i="1"/>
  <c r="HO190" i="1"/>
  <c r="HN190" i="1"/>
  <c r="HM190" i="1"/>
  <c r="HL190" i="1"/>
  <c r="HK190" i="1"/>
  <c r="HF190" i="1"/>
  <c r="HA190" i="1"/>
  <c r="GV190" i="1"/>
  <c r="GE190" i="1"/>
  <c r="GD190" i="1"/>
  <c r="GC190" i="1"/>
  <c r="GB190" i="1"/>
  <c r="GA190" i="1"/>
  <c r="FZ190" i="1"/>
  <c r="FY190" i="1"/>
  <c r="FX190" i="1"/>
  <c r="FW190" i="1"/>
  <c r="FV190" i="1"/>
  <c r="FU190" i="1"/>
  <c r="FJ190" i="1"/>
  <c r="EY190" i="1"/>
  <c r="EM190" i="1"/>
  <c r="EL190" i="1"/>
  <c r="EK190" i="1"/>
  <c r="EJ190" i="1"/>
  <c r="EI190" i="1"/>
  <c r="EH190" i="1"/>
  <c r="EG190" i="1"/>
  <c r="EF190" i="1"/>
  <c r="EE190" i="1"/>
  <c r="ED190" i="1"/>
  <c r="DR190" i="1"/>
  <c r="DG190" i="1"/>
  <c r="CU190" i="1"/>
  <c r="CT190" i="1"/>
  <c r="CS190" i="1"/>
  <c r="CR190" i="1"/>
  <c r="CQ190" i="1"/>
  <c r="CP190" i="1"/>
  <c r="CO190" i="1"/>
  <c r="CN190" i="1"/>
  <c r="CM190" i="1"/>
  <c r="CL190" i="1"/>
  <c r="CK190" i="1"/>
  <c r="BZ190" i="1"/>
  <c r="BO190" i="1"/>
  <c r="BC190" i="1"/>
  <c r="BB190" i="1"/>
  <c r="BA190" i="1"/>
  <c r="AZ190" i="1"/>
  <c r="AY190" i="1"/>
  <c r="AX190" i="1"/>
  <c r="AW190" i="1"/>
  <c r="AV190" i="1"/>
  <c r="AU190" i="1"/>
  <c r="AT190" i="1"/>
  <c r="AS190" i="1"/>
  <c r="AH190" i="1"/>
  <c r="W190" i="1"/>
  <c r="L190" i="1"/>
  <c r="IU189" i="1"/>
  <c r="IR189" i="1"/>
  <c r="IR188" i="1" s="1"/>
  <c r="IQ189" i="1"/>
  <c r="IP189" i="1"/>
  <c r="IM189" i="1"/>
  <c r="ID189" i="1"/>
  <c r="IB189" i="1"/>
  <c r="HX189" i="1"/>
  <c r="HX188" i="1" s="1"/>
  <c r="HW189" i="1"/>
  <c r="HV189" i="1"/>
  <c r="HT189" i="1"/>
  <c r="HS189" i="1"/>
  <c r="HR189" i="1"/>
  <c r="HJ189" i="1"/>
  <c r="HD189" i="1"/>
  <c r="HD188" i="1" s="1"/>
  <c r="GZ189" i="1"/>
  <c r="GZ188" i="1" s="1"/>
  <c r="GR189" i="1"/>
  <c r="FR189" i="1"/>
  <c r="FO189" i="1"/>
  <c r="FO188" i="1" s="1"/>
  <c r="FN189" i="1"/>
  <c r="FM189" i="1"/>
  <c r="FG189" i="1"/>
  <c r="FF189" i="1"/>
  <c r="FE189" i="1"/>
  <c r="FB189" i="1"/>
  <c r="FB188" i="1" s="1"/>
  <c r="EX189" i="1"/>
  <c r="EW189" i="1"/>
  <c r="EV189" i="1"/>
  <c r="EV188" i="1" s="1"/>
  <c r="ER189" i="1"/>
  <c r="EC189" i="1"/>
  <c r="EC188" i="1" s="1"/>
  <c r="EB189" i="1"/>
  <c r="DZ189" i="1"/>
  <c r="DZ188" i="1" s="1"/>
  <c r="DX189" i="1"/>
  <c r="DT189" i="1"/>
  <c r="DP189" i="1"/>
  <c r="DP188" i="1" s="1"/>
  <c r="DO189" i="1"/>
  <c r="DN189" i="1"/>
  <c r="DL189" i="1"/>
  <c r="DL188" i="1" s="1"/>
  <c r="DJ189" i="1"/>
  <c r="DJ188" i="1" s="1"/>
  <c r="DF189" i="1"/>
  <c r="DE189" i="1"/>
  <c r="DE188" i="1" s="1"/>
  <c r="DA189" i="1"/>
  <c r="DA188" i="1" s="1"/>
  <c r="CX189" i="1"/>
  <c r="CH189" i="1"/>
  <c r="CH188" i="1" s="1"/>
  <c r="CG189" i="1"/>
  <c r="CF189" i="1"/>
  <c r="CC189" i="1"/>
  <c r="CC188" i="1" s="1"/>
  <c r="BX189" i="1"/>
  <c r="BU189" i="1"/>
  <c r="BT189" i="1"/>
  <c r="BS189" i="1"/>
  <c r="BN189" i="1"/>
  <c r="BL189" i="1"/>
  <c r="BK189" i="1"/>
  <c r="BJ189" i="1"/>
  <c r="BH189" i="1"/>
  <c r="BF189" i="1"/>
  <c r="AR189" i="1"/>
  <c r="AQ189" i="1"/>
  <c r="AP189" i="1"/>
  <c r="AO189" i="1"/>
  <c r="AN189" i="1"/>
  <c r="AM189" i="1"/>
  <c r="AM188" i="1" s="1"/>
  <c r="AL189" i="1"/>
  <c r="AK189" i="1"/>
  <c r="AJ189" i="1"/>
  <c r="AG189" i="1"/>
  <c r="AF189" i="1"/>
  <c r="AF188" i="1" s="1"/>
  <c r="AE189" i="1"/>
  <c r="AD189" i="1"/>
  <c r="AC189" i="1"/>
  <c r="AC188" i="1" s="1"/>
  <c r="AB189" i="1"/>
  <c r="AA189" i="1"/>
  <c r="Z189" i="1"/>
  <c r="Y189" i="1"/>
  <c r="U189" i="1"/>
  <c r="R189" i="1"/>
  <c r="Q189" i="1"/>
  <c r="P189" i="1"/>
  <c r="K189" i="1"/>
  <c r="I189" i="1"/>
  <c r="H189" i="1"/>
  <c r="H188" i="1" s="1"/>
  <c r="G189" i="1"/>
  <c r="G188" i="1" s="1"/>
  <c r="E189" i="1"/>
  <c r="C189" i="1"/>
  <c r="IK188" i="1"/>
  <c r="HY188" i="1"/>
  <c r="HQ188" i="1"/>
  <c r="GG188" i="1"/>
  <c r="FV188" i="1"/>
  <c r="ED188" i="1"/>
  <c r="DN188" i="1"/>
  <c r="CL188" i="1"/>
  <c r="BL188" i="1"/>
  <c r="AT188" i="1"/>
  <c r="IT187" i="1"/>
  <c r="IO187" i="1"/>
  <c r="II187" i="1"/>
  <c r="IH187" i="1"/>
  <c r="IG187" i="1"/>
  <c r="IF187" i="1"/>
  <c r="IE187" i="1"/>
  <c r="HZ187" i="1"/>
  <c r="HU187" i="1"/>
  <c r="HO187" i="1"/>
  <c r="HN187" i="1"/>
  <c r="HM187" i="1"/>
  <c r="HL187" i="1"/>
  <c r="HK187" i="1"/>
  <c r="HF187" i="1"/>
  <c r="HA187" i="1"/>
  <c r="GV187" i="1"/>
  <c r="GE187" i="1"/>
  <c r="GP187" i="1" s="1"/>
  <c r="GD187" i="1"/>
  <c r="GO187" i="1" s="1"/>
  <c r="GC187" i="1"/>
  <c r="GN187" i="1" s="1"/>
  <c r="GB187" i="1"/>
  <c r="GM187" i="1" s="1"/>
  <c r="GA187" i="1"/>
  <c r="GL187" i="1" s="1"/>
  <c r="FZ187" i="1"/>
  <c r="GK187" i="1" s="1"/>
  <c r="FY187" i="1"/>
  <c r="GJ187" i="1" s="1"/>
  <c r="FX187" i="1"/>
  <c r="FW187" i="1"/>
  <c r="GH187" i="1" s="1"/>
  <c r="FV187" i="1"/>
  <c r="GG187" i="1" s="1"/>
  <c r="IT186" i="1"/>
  <c r="IO186" i="1"/>
  <c r="II186" i="1"/>
  <c r="IH186" i="1"/>
  <c r="IG186" i="1"/>
  <c r="IF186" i="1"/>
  <c r="IE186" i="1"/>
  <c r="HZ186" i="1"/>
  <c r="HU186" i="1"/>
  <c r="HO186" i="1"/>
  <c r="HN186" i="1"/>
  <c r="HM186" i="1"/>
  <c r="HL186" i="1"/>
  <c r="HK186" i="1"/>
  <c r="HF186" i="1"/>
  <c r="HA186" i="1"/>
  <c r="GV186" i="1"/>
  <c r="GE186" i="1"/>
  <c r="GD186" i="1"/>
  <c r="GC186" i="1"/>
  <c r="GB186" i="1"/>
  <c r="GA186" i="1"/>
  <c r="FZ186" i="1"/>
  <c r="FY186" i="1"/>
  <c r="FX186" i="1"/>
  <c r="FW186" i="1"/>
  <c r="FV186" i="1"/>
  <c r="FU186" i="1"/>
  <c r="FJ186" i="1"/>
  <c r="EY186" i="1"/>
  <c r="EM186" i="1"/>
  <c r="EL186" i="1"/>
  <c r="EK186" i="1"/>
  <c r="EJ186" i="1"/>
  <c r="EI186" i="1"/>
  <c r="EH186" i="1"/>
  <c r="EG186" i="1"/>
  <c r="EF186" i="1"/>
  <c r="EE186" i="1"/>
  <c r="ED186" i="1"/>
  <c r="DR186" i="1"/>
  <c r="DG186" i="1"/>
  <c r="CU186" i="1"/>
  <c r="CT186" i="1"/>
  <c r="CS186" i="1"/>
  <c r="CR186" i="1"/>
  <c r="CQ186" i="1"/>
  <c r="CP186" i="1"/>
  <c r="CO186" i="1"/>
  <c r="CN186" i="1"/>
  <c r="CM186" i="1"/>
  <c r="CL186" i="1"/>
  <c r="CK186" i="1"/>
  <c r="BZ186" i="1"/>
  <c r="BO186" i="1"/>
  <c r="BC186" i="1"/>
  <c r="BB186" i="1"/>
  <c r="BA186" i="1"/>
  <c r="AZ186" i="1"/>
  <c r="AY186" i="1"/>
  <c r="AX186" i="1"/>
  <c r="AW186" i="1"/>
  <c r="AV186" i="1"/>
  <c r="AU186" i="1"/>
  <c r="AT186" i="1"/>
  <c r="AS186" i="1"/>
  <c r="AH186" i="1"/>
  <c r="W186" i="1"/>
  <c r="L186" i="1"/>
  <c r="IT185" i="1"/>
  <c r="IO185" i="1"/>
  <c r="II185" i="1"/>
  <c r="IH185" i="1"/>
  <c r="IG185" i="1"/>
  <c r="IF185" i="1"/>
  <c r="IE185" i="1"/>
  <c r="HZ185" i="1"/>
  <c r="HU185" i="1"/>
  <c r="HO185" i="1"/>
  <c r="HN185" i="1"/>
  <c r="HM185" i="1"/>
  <c r="HL185" i="1"/>
  <c r="HK185" i="1"/>
  <c r="HF185" i="1"/>
  <c r="HA185" i="1"/>
  <c r="GV185" i="1"/>
  <c r="GE185" i="1"/>
  <c r="GD185" i="1"/>
  <c r="GC185" i="1"/>
  <c r="GB185" i="1"/>
  <c r="GA185" i="1"/>
  <c r="FZ185" i="1"/>
  <c r="FY185" i="1"/>
  <c r="FX185" i="1"/>
  <c r="FW185" i="1"/>
  <c r="FV185" i="1"/>
  <c r="FU185" i="1"/>
  <c r="FJ185" i="1"/>
  <c r="EY185" i="1"/>
  <c r="EM185" i="1"/>
  <c r="EL185" i="1"/>
  <c r="EK185" i="1"/>
  <c r="EJ185" i="1"/>
  <c r="EI185" i="1"/>
  <c r="EH185" i="1"/>
  <c r="EG185" i="1"/>
  <c r="EF185" i="1"/>
  <c r="EE185" i="1"/>
  <c r="ED185" i="1"/>
  <c r="DR185" i="1"/>
  <c r="DG185" i="1"/>
  <c r="CU185" i="1"/>
  <c r="CT185" i="1"/>
  <c r="CS185" i="1"/>
  <c r="CR185" i="1"/>
  <c r="CQ185" i="1"/>
  <c r="CP185" i="1"/>
  <c r="CO185" i="1"/>
  <c r="CN185" i="1"/>
  <c r="CM185" i="1"/>
  <c r="CL185" i="1"/>
  <c r="CK185" i="1"/>
  <c r="BZ185" i="1"/>
  <c r="BO185" i="1"/>
  <c r="BC185" i="1"/>
  <c r="BB185" i="1"/>
  <c r="BA185" i="1"/>
  <c r="AZ185" i="1"/>
  <c r="AY185" i="1"/>
  <c r="AX185" i="1"/>
  <c r="AW185" i="1"/>
  <c r="AV185" i="1"/>
  <c r="AU185" i="1"/>
  <c r="AT185" i="1"/>
  <c r="AS185" i="1"/>
  <c r="AH185" i="1"/>
  <c r="W185" i="1"/>
  <c r="L185" i="1"/>
  <c r="IT184" i="1"/>
  <c r="IO184" i="1"/>
  <c r="II184" i="1"/>
  <c r="IH184" i="1"/>
  <c r="IG184" i="1"/>
  <c r="IF184" i="1"/>
  <c r="IE184" i="1"/>
  <c r="HZ184" i="1"/>
  <c r="HU184" i="1"/>
  <c r="HO184" i="1"/>
  <c r="HN184" i="1"/>
  <c r="HM184" i="1"/>
  <c r="HL184" i="1"/>
  <c r="HK184" i="1"/>
  <c r="HF184" i="1"/>
  <c r="HA184" i="1"/>
  <c r="GV184" i="1"/>
  <c r="GE184" i="1"/>
  <c r="GD184" i="1"/>
  <c r="GC184" i="1"/>
  <c r="GB184" i="1"/>
  <c r="GA184" i="1"/>
  <c r="FZ184" i="1"/>
  <c r="FY184" i="1"/>
  <c r="FX184" i="1"/>
  <c r="FW184" i="1"/>
  <c r="FV184" i="1"/>
  <c r="FU184" i="1"/>
  <c r="FJ184" i="1"/>
  <c r="EY184" i="1"/>
  <c r="EM184" i="1"/>
  <c r="EL184" i="1"/>
  <c r="EK184" i="1"/>
  <c r="EJ184" i="1"/>
  <c r="EI184" i="1"/>
  <c r="EH184" i="1"/>
  <c r="EG184" i="1"/>
  <c r="EF184" i="1"/>
  <c r="EE184" i="1"/>
  <c r="ED184" i="1"/>
  <c r="DR184" i="1"/>
  <c r="DG184" i="1"/>
  <c r="CU184" i="1"/>
  <c r="CT184" i="1"/>
  <c r="CS184" i="1"/>
  <c r="CR184" i="1"/>
  <c r="CQ184" i="1"/>
  <c r="CP184" i="1"/>
  <c r="CO184" i="1"/>
  <c r="CN184" i="1"/>
  <c r="CM184" i="1"/>
  <c r="CL184" i="1"/>
  <c r="CK184" i="1"/>
  <c r="BZ184" i="1"/>
  <c r="BO184" i="1"/>
  <c r="BC184" i="1"/>
  <c r="BB184" i="1"/>
  <c r="BA184" i="1"/>
  <c r="AZ184" i="1"/>
  <c r="AY184" i="1"/>
  <c r="AX184" i="1"/>
  <c r="AW184" i="1"/>
  <c r="AV184" i="1"/>
  <c r="AU184" i="1"/>
  <c r="AT184" i="1"/>
  <c r="AS184" i="1"/>
  <c r="AH184" i="1"/>
  <c r="W184" i="1"/>
  <c r="L184" i="1"/>
  <c r="IT183" i="1"/>
  <c r="IO183" i="1"/>
  <c r="II183" i="1"/>
  <c r="IH183" i="1"/>
  <c r="IG183" i="1"/>
  <c r="IF183" i="1"/>
  <c r="IE183" i="1"/>
  <c r="HZ183" i="1"/>
  <c r="HU183" i="1"/>
  <c r="HO183" i="1"/>
  <c r="HN183" i="1"/>
  <c r="HM183" i="1"/>
  <c r="HL183" i="1"/>
  <c r="HK183" i="1"/>
  <c r="HF183" i="1"/>
  <c r="HA183" i="1"/>
  <c r="GV183" i="1"/>
  <c r="GE183" i="1"/>
  <c r="GD183" i="1"/>
  <c r="GC183" i="1"/>
  <c r="GB183" i="1"/>
  <c r="GA183" i="1"/>
  <c r="FZ183" i="1"/>
  <c r="FY183" i="1"/>
  <c r="FX183" i="1"/>
  <c r="FW183" i="1"/>
  <c r="FV183" i="1"/>
  <c r="FU183" i="1"/>
  <c r="FJ183" i="1"/>
  <c r="EY183" i="1"/>
  <c r="EM183" i="1"/>
  <c r="EL183" i="1"/>
  <c r="EK183" i="1"/>
  <c r="EJ183" i="1"/>
  <c r="EI183" i="1"/>
  <c r="EH183" i="1"/>
  <c r="EG183" i="1"/>
  <c r="EF183" i="1"/>
  <c r="EE183" i="1"/>
  <c r="ED183" i="1"/>
  <c r="DR183" i="1"/>
  <c r="DG183" i="1"/>
  <c r="CU183" i="1"/>
  <c r="CT183" i="1"/>
  <c r="CS183" i="1"/>
  <c r="CR183" i="1"/>
  <c r="CQ183" i="1"/>
  <c r="CP183" i="1"/>
  <c r="CO183" i="1"/>
  <c r="CN183" i="1"/>
  <c r="CM183" i="1"/>
  <c r="CL183" i="1"/>
  <c r="CK183" i="1"/>
  <c r="BZ183" i="1"/>
  <c r="BO183" i="1"/>
  <c r="BC183" i="1"/>
  <c r="BB183" i="1"/>
  <c r="BA183" i="1"/>
  <c r="AZ183" i="1"/>
  <c r="AY183" i="1"/>
  <c r="AX183" i="1"/>
  <c r="AW183" i="1"/>
  <c r="AV183" i="1"/>
  <c r="AU183" i="1"/>
  <c r="AT183" i="1"/>
  <c r="AS183" i="1"/>
  <c r="AH183" i="1"/>
  <c r="W183" i="1"/>
  <c r="L183" i="1"/>
  <c r="IT182" i="1"/>
  <c r="IO182" i="1"/>
  <c r="II182" i="1"/>
  <c r="IH182" i="1"/>
  <c r="IG182" i="1"/>
  <c r="IF182" i="1"/>
  <c r="IE182" i="1"/>
  <c r="HZ182" i="1"/>
  <c r="HU182" i="1"/>
  <c r="HO182" i="1"/>
  <c r="HN182" i="1"/>
  <c r="HM182" i="1"/>
  <c r="HL182" i="1"/>
  <c r="HK182" i="1"/>
  <c r="HF182" i="1"/>
  <c r="HA182" i="1"/>
  <c r="GV182" i="1"/>
  <c r="GE182" i="1"/>
  <c r="GD182" i="1"/>
  <c r="GC182" i="1"/>
  <c r="GB182" i="1"/>
  <c r="GA182" i="1"/>
  <c r="FZ182" i="1"/>
  <c r="FY182" i="1"/>
  <c r="FX182" i="1"/>
  <c r="FW182" i="1"/>
  <c r="FV182" i="1"/>
  <c r="FU182" i="1"/>
  <c r="FJ182" i="1"/>
  <c r="EY182" i="1"/>
  <c r="EM182" i="1"/>
  <c r="EL182" i="1"/>
  <c r="EK182" i="1"/>
  <c r="EJ182" i="1"/>
  <c r="EI182" i="1"/>
  <c r="EH182" i="1"/>
  <c r="EG182" i="1"/>
  <c r="EF182" i="1"/>
  <c r="EE182" i="1"/>
  <c r="ED182" i="1"/>
  <c r="DR182" i="1"/>
  <c r="DG182" i="1"/>
  <c r="CU182" i="1"/>
  <c r="CT182" i="1"/>
  <c r="CS182" i="1"/>
  <c r="CR182" i="1"/>
  <c r="CQ182" i="1"/>
  <c r="CP182" i="1"/>
  <c r="CO182" i="1"/>
  <c r="CN182" i="1"/>
  <c r="CM182" i="1"/>
  <c r="CL182" i="1"/>
  <c r="CK182" i="1"/>
  <c r="BZ182" i="1"/>
  <c r="BO182" i="1"/>
  <c r="BC182" i="1"/>
  <c r="BB182" i="1"/>
  <c r="BA182" i="1"/>
  <c r="AZ182" i="1"/>
  <c r="AY182" i="1"/>
  <c r="AX182" i="1"/>
  <c r="AW182" i="1"/>
  <c r="AV182" i="1"/>
  <c r="AU182" i="1"/>
  <c r="AT182" i="1"/>
  <c r="AS182" i="1"/>
  <c r="AH182" i="1"/>
  <c r="W182" i="1"/>
  <c r="L182" i="1"/>
  <c r="IT181" i="1"/>
  <c r="IO181" i="1"/>
  <c r="II181" i="1"/>
  <c r="IH181" i="1"/>
  <c r="IG181" i="1"/>
  <c r="IF181" i="1"/>
  <c r="IE181" i="1"/>
  <c r="HZ181" i="1"/>
  <c r="HU181" i="1"/>
  <c r="HO181" i="1"/>
  <c r="HN181" i="1"/>
  <c r="HM181" i="1"/>
  <c r="HL181" i="1"/>
  <c r="HK181" i="1"/>
  <c r="HF181" i="1"/>
  <c r="HA181" i="1"/>
  <c r="GV181" i="1"/>
  <c r="GE181" i="1"/>
  <c r="GD181" i="1"/>
  <c r="GC181" i="1"/>
  <c r="GB181" i="1"/>
  <c r="GA181" i="1"/>
  <c r="FZ181" i="1"/>
  <c r="FY181" i="1"/>
  <c r="FX181" i="1"/>
  <c r="FW181" i="1"/>
  <c r="FV181" i="1"/>
  <c r="FU181" i="1"/>
  <c r="FJ181" i="1"/>
  <c r="EY181" i="1"/>
  <c r="EM181" i="1"/>
  <c r="EL181" i="1"/>
  <c r="EK181" i="1"/>
  <c r="EJ181" i="1"/>
  <c r="EI181" i="1"/>
  <c r="EH181" i="1"/>
  <c r="EG181" i="1"/>
  <c r="EF181" i="1"/>
  <c r="EE181" i="1"/>
  <c r="ED181" i="1"/>
  <c r="DR181" i="1"/>
  <c r="DG181" i="1"/>
  <c r="CU181" i="1"/>
  <c r="CT181" i="1"/>
  <c r="CS181" i="1"/>
  <c r="CR181" i="1"/>
  <c r="CQ181" i="1"/>
  <c r="CP181" i="1"/>
  <c r="CO181" i="1"/>
  <c r="CN181" i="1"/>
  <c r="CM181" i="1"/>
  <c r="CL181" i="1"/>
  <c r="CK181" i="1"/>
  <c r="BZ181" i="1"/>
  <c r="BO181" i="1"/>
  <c r="BC181" i="1"/>
  <c r="BB181" i="1"/>
  <c r="BA181" i="1"/>
  <c r="AZ181" i="1"/>
  <c r="AY181" i="1"/>
  <c r="AX181" i="1"/>
  <c r="AW181" i="1"/>
  <c r="AV181" i="1"/>
  <c r="AU181" i="1"/>
  <c r="AT181" i="1"/>
  <c r="AS181" i="1"/>
  <c r="AH181" i="1"/>
  <c r="W181" i="1"/>
  <c r="L181" i="1"/>
  <c r="IT180" i="1"/>
  <c r="IO180" i="1"/>
  <c r="II180" i="1"/>
  <c r="IH180" i="1"/>
  <c r="IG180" i="1"/>
  <c r="IF180" i="1"/>
  <c r="IE180" i="1"/>
  <c r="HZ180" i="1"/>
  <c r="HU180" i="1"/>
  <c r="HO180" i="1"/>
  <c r="HN180" i="1"/>
  <c r="HM180" i="1"/>
  <c r="HL180" i="1"/>
  <c r="HK180" i="1"/>
  <c r="HF180" i="1"/>
  <c r="HA180" i="1"/>
  <c r="GV180" i="1"/>
  <c r="GE180" i="1"/>
  <c r="GD180" i="1"/>
  <c r="GC180" i="1"/>
  <c r="GB180" i="1"/>
  <c r="GA180" i="1"/>
  <c r="FZ180" i="1"/>
  <c r="FY180" i="1"/>
  <c r="FX180" i="1"/>
  <c r="FW180" i="1"/>
  <c r="FV180" i="1"/>
  <c r="FU180" i="1"/>
  <c r="FJ180" i="1"/>
  <c r="EY180" i="1"/>
  <c r="EM180" i="1"/>
  <c r="EL180" i="1"/>
  <c r="EK180" i="1"/>
  <c r="EJ180" i="1"/>
  <c r="EI180" i="1"/>
  <c r="EH180" i="1"/>
  <c r="EG180" i="1"/>
  <c r="EF180" i="1"/>
  <c r="EE180" i="1"/>
  <c r="ED180" i="1"/>
  <c r="DR180" i="1"/>
  <c r="DG180" i="1"/>
  <c r="CU180" i="1"/>
  <c r="CT180" i="1"/>
  <c r="CS180" i="1"/>
  <c r="CR180" i="1"/>
  <c r="CQ180" i="1"/>
  <c r="CP180" i="1"/>
  <c r="CO180" i="1"/>
  <c r="CN180" i="1"/>
  <c r="CM180" i="1"/>
  <c r="CL180" i="1"/>
  <c r="CK180" i="1"/>
  <c r="BZ180" i="1"/>
  <c r="BO180" i="1"/>
  <c r="BC180" i="1"/>
  <c r="BB180" i="1"/>
  <c r="BA180" i="1"/>
  <c r="AZ180" i="1"/>
  <c r="AY180" i="1"/>
  <c r="AX180" i="1"/>
  <c r="AW180" i="1"/>
  <c r="AV180" i="1"/>
  <c r="AU180" i="1"/>
  <c r="AT180" i="1"/>
  <c r="AS180" i="1"/>
  <c r="AH180" i="1"/>
  <c r="W180" i="1"/>
  <c r="L180" i="1"/>
  <c r="IT179" i="1"/>
  <c r="IO179" i="1"/>
  <c r="II179" i="1"/>
  <c r="IH179" i="1"/>
  <c r="IG179" i="1"/>
  <c r="IF179" i="1"/>
  <c r="IE179" i="1"/>
  <c r="HZ179" i="1"/>
  <c r="HU179" i="1"/>
  <c r="HO179" i="1"/>
  <c r="HN179" i="1"/>
  <c r="HM179" i="1"/>
  <c r="HL179" i="1"/>
  <c r="HK179" i="1"/>
  <c r="HF179" i="1"/>
  <c r="HA179" i="1"/>
  <c r="GV179" i="1"/>
  <c r="GE179" i="1"/>
  <c r="GD179" i="1"/>
  <c r="GC179" i="1"/>
  <c r="GB179" i="1"/>
  <c r="GA179" i="1"/>
  <c r="FZ179" i="1"/>
  <c r="FY179" i="1"/>
  <c r="FX179" i="1"/>
  <c r="FW179" i="1"/>
  <c r="FV179" i="1"/>
  <c r="FU179" i="1"/>
  <c r="FJ179" i="1"/>
  <c r="EY179" i="1"/>
  <c r="EM179" i="1"/>
  <c r="EL179" i="1"/>
  <c r="EK179" i="1"/>
  <c r="EJ179" i="1"/>
  <c r="EI179" i="1"/>
  <c r="EH179" i="1"/>
  <c r="EG179" i="1"/>
  <c r="EF179" i="1"/>
  <c r="EE179" i="1"/>
  <c r="ED179" i="1"/>
  <c r="DR179" i="1"/>
  <c r="DG179" i="1"/>
  <c r="CU179" i="1"/>
  <c r="CT179" i="1"/>
  <c r="CS179" i="1"/>
  <c r="CR179" i="1"/>
  <c r="CQ179" i="1"/>
  <c r="CP179" i="1"/>
  <c r="CO179" i="1"/>
  <c r="CN179" i="1"/>
  <c r="CM179" i="1"/>
  <c r="CL179" i="1"/>
  <c r="CK179" i="1"/>
  <c r="BZ179" i="1"/>
  <c r="BO179" i="1"/>
  <c r="BC179" i="1"/>
  <c r="BB179" i="1"/>
  <c r="BA179" i="1"/>
  <c r="AZ179" i="1"/>
  <c r="AY179" i="1"/>
  <c r="AX179" i="1"/>
  <c r="AW179" i="1"/>
  <c r="AV179" i="1"/>
  <c r="AU179" i="1"/>
  <c r="AT179" i="1"/>
  <c r="AS179" i="1"/>
  <c r="AH179" i="1"/>
  <c r="W179" i="1"/>
  <c r="L179" i="1"/>
  <c r="IT178" i="1"/>
  <c r="IO178" i="1"/>
  <c r="IO177" i="1" s="1"/>
  <c r="IO176" i="1" s="1"/>
  <c r="II178" i="1"/>
  <c r="IH178" i="1"/>
  <c r="IG178" i="1"/>
  <c r="IF178" i="1"/>
  <c r="IE178" i="1"/>
  <c r="HZ178" i="1"/>
  <c r="HZ177" i="1" s="1"/>
  <c r="HZ176" i="1" s="1"/>
  <c r="HU178" i="1"/>
  <c r="HO178" i="1"/>
  <c r="HO177" i="1" s="1"/>
  <c r="HO176" i="1" s="1"/>
  <c r="HN178" i="1"/>
  <c r="HM178" i="1"/>
  <c r="HL178" i="1"/>
  <c r="HK178" i="1"/>
  <c r="HK177" i="1" s="1"/>
  <c r="HK176" i="1" s="1"/>
  <c r="HF178" i="1"/>
  <c r="HA178" i="1"/>
  <c r="HA177" i="1" s="1"/>
  <c r="HA176" i="1" s="1"/>
  <c r="GV178" i="1"/>
  <c r="GE178" i="1"/>
  <c r="GE177" i="1" s="1"/>
  <c r="GE176" i="1" s="1"/>
  <c r="GD178" i="1"/>
  <c r="GC178" i="1"/>
  <c r="GB178" i="1"/>
  <c r="GA178" i="1"/>
  <c r="FZ178" i="1"/>
  <c r="FY178" i="1"/>
  <c r="FX178" i="1"/>
  <c r="FW178" i="1"/>
  <c r="FW177" i="1" s="1"/>
  <c r="FW176" i="1" s="1"/>
  <c r="FV178" i="1"/>
  <c r="FU178" i="1"/>
  <c r="FJ178" i="1"/>
  <c r="EY178" i="1"/>
  <c r="EY177" i="1" s="1"/>
  <c r="EY176" i="1" s="1"/>
  <c r="EM178" i="1"/>
  <c r="EL178" i="1"/>
  <c r="EL177" i="1" s="1"/>
  <c r="EL176" i="1" s="1"/>
  <c r="EK178" i="1"/>
  <c r="EJ178" i="1"/>
  <c r="EJ177" i="1" s="1"/>
  <c r="EJ176" i="1" s="1"/>
  <c r="EI178" i="1"/>
  <c r="EH178" i="1"/>
  <c r="EH177" i="1" s="1"/>
  <c r="EH176" i="1" s="1"/>
  <c r="EG178" i="1"/>
  <c r="EF178" i="1"/>
  <c r="EF177" i="1" s="1"/>
  <c r="EF176" i="1" s="1"/>
  <c r="EE178" i="1"/>
  <c r="ED178" i="1"/>
  <c r="DR178" i="1"/>
  <c r="DG178" i="1"/>
  <c r="DG177" i="1" s="1"/>
  <c r="DG176" i="1" s="1"/>
  <c r="CU178" i="1"/>
  <c r="CT178" i="1"/>
  <c r="CS178" i="1"/>
  <c r="CR178" i="1"/>
  <c r="CR177" i="1" s="1"/>
  <c r="CR176" i="1" s="1"/>
  <c r="CQ178" i="1"/>
  <c r="CP178" i="1"/>
  <c r="CO178" i="1"/>
  <c r="CN178" i="1"/>
  <c r="CM178" i="1"/>
  <c r="CL178" i="1"/>
  <c r="CK178" i="1"/>
  <c r="BZ178" i="1"/>
  <c r="BO178" i="1"/>
  <c r="BC178" i="1"/>
  <c r="BB178" i="1"/>
  <c r="BA178" i="1"/>
  <c r="AZ178" i="1"/>
  <c r="AY178" i="1"/>
  <c r="AX178" i="1"/>
  <c r="AW178" i="1"/>
  <c r="AV178" i="1"/>
  <c r="AU178" i="1"/>
  <c r="AT178" i="1"/>
  <c r="AS178" i="1"/>
  <c r="AS177" i="1" s="1"/>
  <c r="AS176" i="1" s="1"/>
  <c r="AH178" i="1"/>
  <c r="W178" i="1"/>
  <c r="L178" i="1"/>
  <c r="IV177" i="1"/>
  <c r="IV176" i="1" s="1"/>
  <c r="IU177" i="1"/>
  <c r="IU176" i="1" s="1"/>
  <c r="IS177" i="1"/>
  <c r="IR177" i="1"/>
  <c r="IR176" i="1" s="1"/>
  <c r="IQ177" i="1"/>
  <c r="IQ176" i="1" s="1"/>
  <c r="IP177" i="1"/>
  <c r="IP176" i="1" s="1"/>
  <c r="IN177" i="1"/>
  <c r="IN176" i="1" s="1"/>
  <c r="IM177" i="1"/>
  <c r="IM176" i="1" s="1"/>
  <c r="IL177" i="1"/>
  <c r="IL176" i="1" s="1"/>
  <c r="IK177" i="1"/>
  <c r="IK176" i="1" s="1"/>
  <c r="ID177" i="1"/>
  <c r="ID176" i="1" s="1"/>
  <c r="IC177" i="1"/>
  <c r="IC176" i="1" s="1"/>
  <c r="IB177" i="1"/>
  <c r="IB176" i="1" s="1"/>
  <c r="IA177" i="1"/>
  <c r="IA176" i="1" s="1"/>
  <c r="HY177" i="1"/>
  <c r="HY176" i="1" s="1"/>
  <c r="HX177" i="1"/>
  <c r="HX176" i="1" s="1"/>
  <c r="HW177" i="1"/>
  <c r="HW176" i="1" s="1"/>
  <c r="HV177" i="1"/>
  <c r="HV176" i="1" s="1"/>
  <c r="HT177" i="1"/>
  <c r="HT176" i="1" s="1"/>
  <c r="HS177" i="1"/>
  <c r="HS176" i="1" s="1"/>
  <c r="HR177" i="1"/>
  <c r="HR176" i="1" s="1"/>
  <c r="HQ177" i="1"/>
  <c r="HM177" i="1"/>
  <c r="HM176" i="1" s="1"/>
  <c r="HJ177" i="1"/>
  <c r="HJ176" i="1" s="1"/>
  <c r="HI177" i="1"/>
  <c r="HI176" i="1" s="1"/>
  <c r="HH177" i="1"/>
  <c r="HG177" i="1"/>
  <c r="HG176" i="1" s="1"/>
  <c r="HE177" i="1"/>
  <c r="HE176" i="1" s="1"/>
  <c r="HD177" i="1"/>
  <c r="HC177" i="1"/>
  <c r="HB177" i="1"/>
  <c r="HB176" i="1" s="1"/>
  <c r="GZ177" i="1"/>
  <c r="GY177" i="1"/>
  <c r="GX177" i="1"/>
  <c r="GX176" i="1" s="1"/>
  <c r="GW177" i="1"/>
  <c r="GW176" i="1" s="1"/>
  <c r="GU177" i="1"/>
  <c r="GU176" i="1" s="1"/>
  <c r="GT177" i="1"/>
  <c r="GT176" i="1" s="1"/>
  <c r="GS177" i="1"/>
  <c r="GS176" i="1" s="1"/>
  <c r="GR177" i="1"/>
  <c r="GR176" i="1" s="1"/>
  <c r="FT177" i="1"/>
  <c r="FS177" i="1"/>
  <c r="FS176" i="1" s="1"/>
  <c r="FR177" i="1"/>
  <c r="FR176" i="1" s="1"/>
  <c r="FQ177" i="1"/>
  <c r="FQ176" i="1" s="1"/>
  <c r="FP177" i="1"/>
  <c r="FP176" i="1" s="1"/>
  <c r="FO177" i="1"/>
  <c r="FO176" i="1" s="1"/>
  <c r="FN177" i="1"/>
  <c r="FN176" i="1" s="1"/>
  <c r="FM177" i="1"/>
  <c r="FL177" i="1"/>
  <c r="FI177" i="1"/>
  <c r="FI176" i="1" s="1"/>
  <c r="FH177" i="1"/>
  <c r="FG177" i="1"/>
  <c r="FG176" i="1" s="1"/>
  <c r="FF177" i="1"/>
  <c r="FF176" i="1" s="1"/>
  <c r="FE177" i="1"/>
  <c r="FE176" i="1" s="1"/>
  <c r="FD177" i="1"/>
  <c r="FC177" i="1"/>
  <c r="FC176" i="1" s="1"/>
  <c r="FB177" i="1"/>
  <c r="FB176" i="1" s="1"/>
  <c r="FA177" i="1"/>
  <c r="FA176" i="1" s="1"/>
  <c r="EX177" i="1"/>
  <c r="EX176" i="1" s="1"/>
  <c r="EW177" i="1"/>
  <c r="EW176" i="1" s="1"/>
  <c r="EV177" i="1"/>
  <c r="EV176" i="1" s="1"/>
  <c r="EU177" i="1"/>
  <c r="ET177" i="1"/>
  <c r="ET176" i="1" s="1"/>
  <c r="ES177" i="1"/>
  <c r="ES176" i="1" s="1"/>
  <c r="ER177" i="1"/>
  <c r="ER176" i="1" s="1"/>
  <c r="EQ177" i="1"/>
  <c r="EP177" i="1"/>
  <c r="EP176" i="1" s="1"/>
  <c r="EC177" i="1"/>
  <c r="EC176" i="1" s="1"/>
  <c r="EB177" i="1"/>
  <c r="EA177" i="1"/>
  <c r="DZ177" i="1"/>
  <c r="DZ176" i="1" s="1"/>
  <c r="DY177" i="1"/>
  <c r="DY176" i="1" s="1"/>
  <c r="DX177" i="1"/>
  <c r="DW177" i="1"/>
  <c r="DW176" i="1" s="1"/>
  <c r="DV177" i="1"/>
  <c r="DV176" i="1" s="1"/>
  <c r="DU177" i="1"/>
  <c r="DU176" i="1" s="1"/>
  <c r="DT177" i="1"/>
  <c r="DT176" i="1" s="1"/>
  <c r="DQ177" i="1"/>
  <c r="DQ176" i="1" s="1"/>
  <c r="DP177" i="1"/>
  <c r="DP176" i="1" s="1"/>
  <c r="DO177" i="1"/>
  <c r="DN177" i="1"/>
  <c r="DN176" i="1" s="1"/>
  <c r="DM177" i="1"/>
  <c r="DM176" i="1" s="1"/>
  <c r="DL177" i="1"/>
  <c r="DL176" i="1" s="1"/>
  <c r="DK177" i="1"/>
  <c r="DK176" i="1" s="1"/>
  <c r="DJ177" i="1"/>
  <c r="DI177" i="1"/>
  <c r="DI176" i="1" s="1"/>
  <c r="DF177" i="1"/>
  <c r="DE177" i="1"/>
  <c r="DD177" i="1"/>
  <c r="DD176" i="1" s="1"/>
  <c r="DC177" i="1"/>
  <c r="DC176" i="1" s="1"/>
  <c r="DB177" i="1"/>
  <c r="DB176" i="1" s="1"/>
  <c r="DA177" i="1"/>
  <c r="DA176" i="1" s="1"/>
  <c r="CZ177" i="1"/>
  <c r="CZ176" i="1" s="1"/>
  <c r="CY177" i="1"/>
  <c r="CY176" i="1" s="1"/>
  <c r="CX177" i="1"/>
  <c r="CN177" i="1"/>
  <c r="CN176" i="1" s="1"/>
  <c r="CJ177" i="1"/>
  <c r="CJ176" i="1" s="1"/>
  <c r="CI177" i="1"/>
  <c r="CH177" i="1"/>
  <c r="CG177" i="1"/>
  <c r="CG176" i="1" s="1"/>
  <c r="CF177" i="1"/>
  <c r="CF176" i="1" s="1"/>
  <c r="CE177" i="1"/>
  <c r="CD177" i="1"/>
  <c r="CD176" i="1" s="1"/>
  <c r="CC177" i="1"/>
  <c r="CC176" i="1" s="1"/>
  <c r="CB177" i="1"/>
  <c r="CB176" i="1" s="1"/>
  <c r="BZ177" i="1"/>
  <c r="BZ176" i="1" s="1"/>
  <c r="BY177" i="1"/>
  <c r="BY176" i="1" s="1"/>
  <c r="BX177" i="1"/>
  <c r="BX176" i="1" s="1"/>
  <c r="BW177" i="1"/>
  <c r="BW176" i="1" s="1"/>
  <c r="BV177" i="1"/>
  <c r="BV176" i="1" s="1"/>
  <c r="BU177" i="1"/>
  <c r="BU176" i="1" s="1"/>
  <c r="BT177" i="1"/>
  <c r="BT176" i="1" s="1"/>
  <c r="BS177" i="1"/>
  <c r="BS176" i="1" s="1"/>
  <c r="BR177" i="1"/>
  <c r="BR176" i="1" s="1"/>
  <c r="BQ177" i="1"/>
  <c r="BN177" i="1"/>
  <c r="BN176" i="1" s="1"/>
  <c r="BM177" i="1"/>
  <c r="BL177" i="1"/>
  <c r="BL176" i="1" s="1"/>
  <c r="BK177" i="1"/>
  <c r="BK176" i="1" s="1"/>
  <c r="BJ177" i="1"/>
  <c r="BJ176" i="1" s="1"/>
  <c r="BI177" i="1"/>
  <c r="BH177" i="1"/>
  <c r="BH176" i="1" s="1"/>
  <c r="BG177" i="1"/>
  <c r="BG176" i="1" s="1"/>
  <c r="BF177" i="1"/>
  <c r="BF176" i="1" s="1"/>
  <c r="AR177" i="1"/>
  <c r="AR176" i="1" s="1"/>
  <c r="AQ177" i="1"/>
  <c r="AQ176" i="1" s="1"/>
  <c r="AP177" i="1"/>
  <c r="AO177" i="1"/>
  <c r="AO176" i="1" s="1"/>
  <c r="AN177" i="1"/>
  <c r="AN176" i="1" s="1"/>
  <c r="AM177" i="1"/>
  <c r="AM176" i="1" s="1"/>
  <c r="AL177" i="1"/>
  <c r="AK177" i="1"/>
  <c r="AK176" i="1" s="1"/>
  <c r="AJ177" i="1"/>
  <c r="AJ176" i="1" s="1"/>
  <c r="AG177" i="1"/>
  <c r="AG176" i="1" s="1"/>
  <c r="AF177" i="1"/>
  <c r="AF176" i="1" s="1"/>
  <c r="AE177" i="1"/>
  <c r="AE176" i="1" s="1"/>
  <c r="AD177" i="1"/>
  <c r="AD176" i="1" s="1"/>
  <c r="AC177" i="1"/>
  <c r="AB177" i="1"/>
  <c r="AA177" i="1"/>
  <c r="AA176" i="1" s="1"/>
  <c r="Z177" i="1"/>
  <c r="Z176" i="1" s="1"/>
  <c r="Y177" i="1"/>
  <c r="V177" i="1"/>
  <c r="V176" i="1" s="1"/>
  <c r="U177" i="1"/>
  <c r="U176" i="1" s="1"/>
  <c r="T177" i="1"/>
  <c r="T176" i="1" s="1"/>
  <c r="S177" i="1"/>
  <c r="S176" i="1" s="1"/>
  <c r="R177" i="1"/>
  <c r="R176" i="1" s="1"/>
  <c r="Q177" i="1"/>
  <c r="Q176" i="1" s="1"/>
  <c r="P177" i="1"/>
  <c r="O177" i="1"/>
  <c r="O176" i="1" s="1"/>
  <c r="N177" i="1"/>
  <c r="N176" i="1" s="1"/>
  <c r="L177" i="1"/>
  <c r="L176" i="1" s="1"/>
  <c r="K177" i="1"/>
  <c r="K176" i="1" s="1"/>
  <c r="J177" i="1"/>
  <c r="J176" i="1" s="1"/>
  <c r="I177" i="1"/>
  <c r="I176" i="1" s="1"/>
  <c r="H177" i="1"/>
  <c r="H176" i="1" s="1"/>
  <c r="G177" i="1"/>
  <c r="F177" i="1"/>
  <c r="F176" i="1" s="1"/>
  <c r="E177" i="1"/>
  <c r="E176" i="1" s="1"/>
  <c r="D177" i="1"/>
  <c r="D176" i="1" s="1"/>
  <c r="C177" i="1"/>
  <c r="C176" i="1" s="1"/>
  <c r="IS176" i="1"/>
  <c r="HQ176" i="1"/>
  <c r="HH176" i="1"/>
  <c r="HD176" i="1"/>
  <c r="HC176" i="1"/>
  <c r="GZ176" i="1"/>
  <c r="GY176" i="1"/>
  <c r="FT176" i="1"/>
  <c r="FM176" i="1"/>
  <c r="FL176" i="1"/>
  <c r="FH176" i="1"/>
  <c r="FD176" i="1"/>
  <c r="EU176" i="1"/>
  <c r="EQ176" i="1"/>
  <c r="EB176" i="1"/>
  <c r="EA176" i="1"/>
  <c r="DX176" i="1"/>
  <c r="DO176" i="1"/>
  <c r="DJ176" i="1"/>
  <c r="DF176" i="1"/>
  <c r="DE176" i="1"/>
  <c r="CX176" i="1"/>
  <c r="CI176" i="1"/>
  <c r="CH176" i="1"/>
  <c r="CE176" i="1"/>
  <c r="BQ176" i="1"/>
  <c r="BM176" i="1"/>
  <c r="BI176" i="1"/>
  <c r="AP176" i="1"/>
  <c r="AL176" i="1"/>
  <c r="AC176" i="1"/>
  <c r="AB176" i="1"/>
  <c r="Y176" i="1"/>
  <c r="P176" i="1"/>
  <c r="G176" i="1"/>
  <c r="IT175" i="1"/>
  <c r="IO175" i="1"/>
  <c r="II175" i="1"/>
  <c r="IH175" i="1"/>
  <c r="IG175" i="1"/>
  <c r="IF175" i="1"/>
  <c r="IE175" i="1"/>
  <c r="HZ175" i="1"/>
  <c r="HU175" i="1"/>
  <c r="HO175" i="1"/>
  <c r="HN175" i="1"/>
  <c r="HM175" i="1"/>
  <c r="HL175" i="1"/>
  <c r="HK175" i="1"/>
  <c r="HF175" i="1"/>
  <c r="HA175" i="1"/>
  <c r="GV175" i="1"/>
  <c r="GE175" i="1"/>
  <c r="GD175" i="1"/>
  <c r="GC175" i="1"/>
  <c r="GB175" i="1"/>
  <c r="GA175" i="1"/>
  <c r="FZ175" i="1"/>
  <c r="FY175" i="1"/>
  <c r="FX175" i="1"/>
  <c r="FW175" i="1"/>
  <c r="FV175" i="1"/>
  <c r="FU175" i="1"/>
  <c r="FJ175" i="1"/>
  <c r="EY175" i="1"/>
  <c r="EM175" i="1"/>
  <c r="EL175" i="1"/>
  <c r="EK175" i="1"/>
  <c r="EJ175" i="1"/>
  <c r="EI175" i="1"/>
  <c r="EH175" i="1"/>
  <c r="EG175" i="1"/>
  <c r="EF175" i="1"/>
  <c r="EE175" i="1"/>
  <c r="ED175" i="1"/>
  <c r="DR175" i="1"/>
  <c r="DG175" i="1"/>
  <c r="CU175" i="1"/>
  <c r="CT175" i="1"/>
  <c r="CS175" i="1"/>
  <c r="CR175" i="1"/>
  <c r="CQ175" i="1"/>
  <c r="CP175" i="1"/>
  <c r="CO175" i="1"/>
  <c r="CN175" i="1"/>
  <c r="CM175" i="1"/>
  <c r="CL175" i="1"/>
  <c r="CK175" i="1"/>
  <c r="BZ175" i="1"/>
  <c r="BO175" i="1"/>
  <c r="BC175" i="1"/>
  <c r="BB175" i="1"/>
  <c r="BA175" i="1"/>
  <c r="AZ175" i="1"/>
  <c r="AY175" i="1"/>
  <c r="AX175" i="1"/>
  <c r="AW175" i="1"/>
  <c r="AV175" i="1"/>
  <c r="AU175" i="1"/>
  <c r="AT175" i="1"/>
  <c r="AS175" i="1"/>
  <c r="AH175" i="1"/>
  <c r="W175" i="1"/>
  <c r="L175" i="1"/>
  <c r="IT174" i="1"/>
  <c r="IO174" i="1"/>
  <c r="II174" i="1"/>
  <c r="IH174" i="1"/>
  <c r="IG174" i="1"/>
  <c r="IF174" i="1"/>
  <c r="IE174" i="1"/>
  <c r="HZ174" i="1"/>
  <c r="HU174" i="1"/>
  <c r="HO174" i="1"/>
  <c r="HN174" i="1"/>
  <c r="HM174" i="1"/>
  <c r="HL174" i="1"/>
  <c r="HK174" i="1"/>
  <c r="HF174" i="1"/>
  <c r="HA174" i="1"/>
  <c r="GV174" i="1"/>
  <c r="GE174" i="1"/>
  <c r="GD174" i="1"/>
  <c r="GC174" i="1"/>
  <c r="GB174" i="1"/>
  <c r="GA174" i="1"/>
  <c r="FZ174" i="1"/>
  <c r="FY174" i="1"/>
  <c r="FX174" i="1"/>
  <c r="FW174" i="1"/>
  <c r="FV174" i="1"/>
  <c r="FU174" i="1"/>
  <c r="FJ174" i="1"/>
  <c r="EY174" i="1"/>
  <c r="EM174" i="1"/>
  <c r="EL174" i="1"/>
  <c r="EK174" i="1"/>
  <c r="EJ174" i="1"/>
  <c r="EI174" i="1"/>
  <c r="EH174" i="1"/>
  <c r="EG174" i="1"/>
  <c r="EF174" i="1"/>
  <c r="EE174" i="1"/>
  <c r="ED174" i="1"/>
  <c r="DR174" i="1"/>
  <c r="DG174" i="1"/>
  <c r="CU174" i="1"/>
  <c r="CT174" i="1"/>
  <c r="CS174" i="1"/>
  <c r="CR174" i="1"/>
  <c r="CQ174" i="1"/>
  <c r="CP174" i="1"/>
  <c r="CO174" i="1"/>
  <c r="CN174" i="1"/>
  <c r="CM174" i="1"/>
  <c r="CL174" i="1"/>
  <c r="CK174" i="1"/>
  <c r="BZ174" i="1"/>
  <c r="BO174" i="1"/>
  <c r="BC174" i="1"/>
  <c r="BB174" i="1"/>
  <c r="BA174" i="1"/>
  <c r="AZ174" i="1"/>
  <c r="AY174" i="1"/>
  <c r="AX174" i="1"/>
  <c r="AW174" i="1"/>
  <c r="AV174" i="1"/>
  <c r="AU174" i="1"/>
  <c r="AT174" i="1"/>
  <c r="AS174" i="1"/>
  <c r="AH174" i="1"/>
  <c r="W174" i="1"/>
  <c r="L174" i="1"/>
  <c r="IT173" i="1"/>
  <c r="IO173" i="1"/>
  <c r="IO172" i="1" s="1"/>
  <c r="IO171" i="1" s="1"/>
  <c r="IO170" i="1" s="1"/>
  <c r="II173" i="1"/>
  <c r="IH173" i="1"/>
  <c r="IG173" i="1"/>
  <c r="IF173" i="1"/>
  <c r="IE173" i="1"/>
  <c r="HZ173" i="1"/>
  <c r="HU173" i="1"/>
  <c r="HO173" i="1"/>
  <c r="HO172" i="1" s="1"/>
  <c r="HO171" i="1" s="1"/>
  <c r="HN173" i="1"/>
  <c r="HM173" i="1"/>
  <c r="HL173" i="1"/>
  <c r="HK173" i="1"/>
  <c r="HK172" i="1" s="1"/>
  <c r="HK171" i="1" s="1"/>
  <c r="HK170" i="1" s="1"/>
  <c r="HF173" i="1"/>
  <c r="HA173" i="1"/>
  <c r="GV173" i="1"/>
  <c r="GE173" i="1"/>
  <c r="GE172" i="1" s="1"/>
  <c r="GE171" i="1" s="1"/>
  <c r="GE170" i="1" s="1"/>
  <c r="GD173" i="1"/>
  <c r="GC173" i="1"/>
  <c r="GB173" i="1"/>
  <c r="GA173" i="1"/>
  <c r="GA172" i="1" s="1"/>
  <c r="GA171" i="1" s="1"/>
  <c r="FZ173" i="1"/>
  <c r="FY173" i="1"/>
  <c r="FX173" i="1"/>
  <c r="FW173" i="1"/>
  <c r="FV173" i="1"/>
  <c r="FU173" i="1"/>
  <c r="FU172" i="1" s="1"/>
  <c r="FU171" i="1" s="1"/>
  <c r="FJ173" i="1"/>
  <c r="EY173" i="1"/>
  <c r="EY172" i="1" s="1"/>
  <c r="EY171" i="1" s="1"/>
  <c r="EM173" i="1"/>
  <c r="EL173" i="1"/>
  <c r="EK173" i="1"/>
  <c r="EJ173" i="1"/>
  <c r="EJ172" i="1" s="1"/>
  <c r="EJ171" i="1" s="1"/>
  <c r="EI173" i="1"/>
  <c r="EH173" i="1"/>
  <c r="EG173" i="1"/>
  <c r="EF173" i="1"/>
  <c r="EF172" i="1" s="1"/>
  <c r="EF171" i="1" s="1"/>
  <c r="EF170" i="1" s="1"/>
  <c r="EE173" i="1"/>
  <c r="ED173" i="1"/>
  <c r="DR173" i="1"/>
  <c r="DG173" i="1"/>
  <c r="DG172" i="1" s="1"/>
  <c r="DG171" i="1" s="1"/>
  <c r="CU173" i="1"/>
  <c r="CT173" i="1"/>
  <c r="CS173" i="1"/>
  <c r="CR173" i="1"/>
  <c r="CR172" i="1" s="1"/>
  <c r="CR171" i="1" s="1"/>
  <c r="CR170" i="1" s="1"/>
  <c r="CQ173" i="1"/>
  <c r="CP173" i="1"/>
  <c r="CO173" i="1"/>
  <c r="CN173" i="1"/>
  <c r="CM173" i="1"/>
  <c r="CL173" i="1"/>
  <c r="CK173" i="1"/>
  <c r="BZ173" i="1"/>
  <c r="BZ172" i="1" s="1"/>
  <c r="BZ171" i="1" s="1"/>
  <c r="BZ170" i="1" s="1"/>
  <c r="BO173" i="1"/>
  <c r="BC173" i="1"/>
  <c r="BC172" i="1" s="1"/>
  <c r="BC171" i="1" s="1"/>
  <c r="BB173" i="1"/>
  <c r="BA173" i="1"/>
  <c r="AZ173" i="1"/>
  <c r="AY173" i="1"/>
  <c r="AX173" i="1"/>
  <c r="AW173" i="1"/>
  <c r="AV173" i="1"/>
  <c r="AU173" i="1"/>
  <c r="AU172" i="1" s="1"/>
  <c r="AU171" i="1" s="1"/>
  <c r="AT173" i="1"/>
  <c r="AS173" i="1"/>
  <c r="AS172" i="1" s="1"/>
  <c r="AS171" i="1" s="1"/>
  <c r="AS170" i="1" s="1"/>
  <c r="AH173" i="1"/>
  <c r="W173" i="1"/>
  <c r="L173" i="1"/>
  <c r="IV172" i="1"/>
  <c r="IV171" i="1" s="1"/>
  <c r="IV170" i="1" s="1"/>
  <c r="IU172" i="1"/>
  <c r="IU171" i="1" s="1"/>
  <c r="IS172" i="1"/>
  <c r="IS171" i="1" s="1"/>
  <c r="IS170" i="1" s="1"/>
  <c r="IR172" i="1"/>
  <c r="IR171" i="1" s="1"/>
  <c r="IQ172" i="1"/>
  <c r="IQ171" i="1" s="1"/>
  <c r="IQ170" i="1" s="1"/>
  <c r="IP172" i="1"/>
  <c r="IN172" i="1"/>
  <c r="IN171" i="1" s="1"/>
  <c r="IN170" i="1" s="1"/>
  <c r="IM172" i="1"/>
  <c r="IM171" i="1" s="1"/>
  <c r="IM170" i="1" s="1"/>
  <c r="IL172" i="1"/>
  <c r="IL171" i="1" s="1"/>
  <c r="IL170" i="1" s="1"/>
  <c r="IK172" i="1"/>
  <c r="II172" i="1"/>
  <c r="II171" i="1" s="1"/>
  <c r="ID172" i="1"/>
  <c r="ID171" i="1" s="1"/>
  <c r="IC172" i="1"/>
  <c r="IB172" i="1"/>
  <c r="IA172" i="1"/>
  <c r="IA171" i="1" s="1"/>
  <c r="HY172" i="1"/>
  <c r="HY171" i="1" s="1"/>
  <c r="HX172" i="1"/>
  <c r="HW172" i="1"/>
  <c r="HW171" i="1" s="1"/>
  <c r="HV172" i="1"/>
  <c r="HV171" i="1" s="1"/>
  <c r="HV170" i="1" s="1"/>
  <c r="HT172" i="1"/>
  <c r="HT171" i="1" s="1"/>
  <c r="HS172" i="1"/>
  <c r="HS171" i="1" s="1"/>
  <c r="HR172" i="1"/>
  <c r="HR171" i="1" s="1"/>
  <c r="HQ172" i="1"/>
  <c r="HJ172" i="1"/>
  <c r="HJ171" i="1" s="1"/>
  <c r="HI172" i="1"/>
  <c r="HI171" i="1" s="1"/>
  <c r="HH172" i="1"/>
  <c r="HG172" i="1"/>
  <c r="HE172" i="1"/>
  <c r="HE171" i="1" s="1"/>
  <c r="HE170" i="1" s="1"/>
  <c r="HD172" i="1"/>
  <c r="HC172" i="1"/>
  <c r="HC171" i="1" s="1"/>
  <c r="HC170" i="1" s="1"/>
  <c r="HB172" i="1"/>
  <c r="HB171" i="1" s="1"/>
  <c r="GZ172" i="1"/>
  <c r="GZ171" i="1" s="1"/>
  <c r="GZ170" i="1" s="1"/>
  <c r="GY172" i="1"/>
  <c r="GX172" i="1"/>
  <c r="GX171" i="1" s="1"/>
  <c r="GX170" i="1" s="1"/>
  <c r="GW172" i="1"/>
  <c r="GW171" i="1" s="1"/>
  <c r="GU172" i="1"/>
  <c r="GU171" i="1" s="1"/>
  <c r="GU170" i="1" s="1"/>
  <c r="GT172" i="1"/>
  <c r="GS172" i="1"/>
  <c r="GS171" i="1" s="1"/>
  <c r="GS170" i="1" s="1"/>
  <c r="GR172" i="1"/>
  <c r="GD172" i="1"/>
  <c r="FT172" i="1"/>
  <c r="FT171" i="1" s="1"/>
  <c r="FS172" i="1"/>
  <c r="FS171" i="1" s="1"/>
  <c r="FS170" i="1" s="1"/>
  <c r="FR172" i="1"/>
  <c r="FQ172" i="1"/>
  <c r="FQ171" i="1" s="1"/>
  <c r="FQ170" i="1" s="1"/>
  <c r="FP172" i="1"/>
  <c r="FP171" i="1" s="1"/>
  <c r="FO172" i="1"/>
  <c r="FN172" i="1"/>
  <c r="FM172" i="1"/>
  <c r="FL172" i="1"/>
  <c r="FL171" i="1" s="1"/>
  <c r="FI172" i="1"/>
  <c r="FI171" i="1" s="1"/>
  <c r="FI170" i="1" s="1"/>
  <c r="FH172" i="1"/>
  <c r="FG172" i="1"/>
  <c r="FG171" i="1" s="1"/>
  <c r="FF172" i="1"/>
  <c r="FE172" i="1"/>
  <c r="FD172" i="1"/>
  <c r="FC172" i="1"/>
  <c r="FC171" i="1" s="1"/>
  <c r="FB172" i="1"/>
  <c r="FA172" i="1"/>
  <c r="FA171" i="1" s="1"/>
  <c r="FA170" i="1" s="1"/>
  <c r="EX172" i="1"/>
  <c r="EX171" i="1" s="1"/>
  <c r="EW172" i="1"/>
  <c r="EV172" i="1"/>
  <c r="EV171" i="1" s="1"/>
  <c r="EV170" i="1" s="1"/>
  <c r="EU172" i="1"/>
  <c r="ET172" i="1"/>
  <c r="ET171" i="1" s="1"/>
  <c r="ET170" i="1" s="1"/>
  <c r="ES172" i="1"/>
  <c r="ER172" i="1"/>
  <c r="EQ172" i="1"/>
  <c r="EP172" i="1"/>
  <c r="EP171" i="1" s="1"/>
  <c r="EP170" i="1" s="1"/>
  <c r="EC172" i="1"/>
  <c r="EB172" i="1"/>
  <c r="EB171" i="1" s="1"/>
  <c r="EA172" i="1"/>
  <c r="EA171" i="1" s="1"/>
  <c r="DZ172" i="1"/>
  <c r="DY172" i="1"/>
  <c r="DX172" i="1"/>
  <c r="DW172" i="1"/>
  <c r="DW171" i="1" s="1"/>
  <c r="DV172" i="1"/>
  <c r="DV171" i="1" s="1"/>
  <c r="DU172" i="1"/>
  <c r="DT172" i="1"/>
  <c r="DT171" i="1" s="1"/>
  <c r="DT170" i="1" s="1"/>
  <c r="DQ172" i="1"/>
  <c r="DP172" i="1"/>
  <c r="DO172" i="1"/>
  <c r="DN172" i="1"/>
  <c r="DN171" i="1" s="1"/>
  <c r="DM172" i="1"/>
  <c r="DM171" i="1" s="1"/>
  <c r="DM170" i="1" s="1"/>
  <c r="DL172" i="1"/>
  <c r="DK172" i="1"/>
  <c r="DK171" i="1" s="1"/>
  <c r="DK170" i="1" s="1"/>
  <c r="DJ172" i="1"/>
  <c r="DJ171" i="1" s="1"/>
  <c r="DI172" i="1"/>
  <c r="DF172" i="1"/>
  <c r="DE172" i="1"/>
  <c r="DE171" i="1" s="1"/>
  <c r="DD172" i="1"/>
  <c r="DC172" i="1"/>
  <c r="DC171" i="1" s="1"/>
  <c r="DC170" i="1" s="1"/>
  <c r="DB172" i="1"/>
  <c r="DA172" i="1"/>
  <c r="DA171" i="1" s="1"/>
  <c r="CZ172" i="1"/>
  <c r="CY172" i="1"/>
  <c r="CY171" i="1" s="1"/>
  <c r="CY170" i="1" s="1"/>
  <c r="CX172" i="1"/>
  <c r="CS172" i="1"/>
  <c r="CS171" i="1" s="1"/>
  <c r="CJ172" i="1"/>
  <c r="CJ171" i="1" s="1"/>
  <c r="CI172" i="1"/>
  <c r="CH172" i="1"/>
  <c r="CH171" i="1" s="1"/>
  <c r="CH170" i="1" s="1"/>
  <c r="CG172" i="1"/>
  <c r="CF172" i="1"/>
  <c r="CF171" i="1" s="1"/>
  <c r="CF170" i="1" s="1"/>
  <c r="CE172" i="1"/>
  <c r="CD172" i="1"/>
  <c r="CD171" i="1" s="1"/>
  <c r="CC172" i="1"/>
  <c r="CB172" i="1"/>
  <c r="CB171" i="1" s="1"/>
  <c r="CB170" i="1" s="1"/>
  <c r="BY172" i="1"/>
  <c r="BY171" i="1" s="1"/>
  <c r="BX172" i="1"/>
  <c r="BW172" i="1"/>
  <c r="BW171" i="1" s="1"/>
  <c r="BV172" i="1"/>
  <c r="BU172" i="1"/>
  <c r="BU171" i="1" s="1"/>
  <c r="BU170" i="1" s="1"/>
  <c r="BT172" i="1"/>
  <c r="BS172" i="1"/>
  <c r="BS171" i="1" s="1"/>
  <c r="BS170" i="1" s="1"/>
  <c r="BR172" i="1"/>
  <c r="BQ172" i="1"/>
  <c r="BQ171" i="1" s="1"/>
  <c r="BN172" i="1"/>
  <c r="BM172" i="1"/>
  <c r="BM171" i="1" s="1"/>
  <c r="BM170" i="1" s="1"/>
  <c r="BL172" i="1"/>
  <c r="BK172" i="1"/>
  <c r="BK171" i="1" s="1"/>
  <c r="BJ172" i="1"/>
  <c r="BI172" i="1"/>
  <c r="BI171" i="1" s="1"/>
  <c r="BH172" i="1"/>
  <c r="BG172" i="1"/>
  <c r="BG171" i="1" s="1"/>
  <c r="BG170" i="1" s="1"/>
  <c r="BF172" i="1"/>
  <c r="AY172" i="1"/>
  <c r="AY171" i="1" s="1"/>
  <c r="AR172" i="1"/>
  <c r="AQ172" i="1"/>
  <c r="AQ171" i="1" s="1"/>
  <c r="AQ170" i="1" s="1"/>
  <c r="AP172" i="1"/>
  <c r="AO172" i="1"/>
  <c r="AO171" i="1" s="1"/>
  <c r="AN172" i="1"/>
  <c r="AM172" i="1"/>
  <c r="AM171" i="1" s="1"/>
  <c r="AL172" i="1"/>
  <c r="AK172" i="1"/>
  <c r="AK171" i="1" s="1"/>
  <c r="AJ172" i="1"/>
  <c r="AG172" i="1"/>
  <c r="AG171" i="1" s="1"/>
  <c r="AG170" i="1" s="1"/>
  <c r="AF172" i="1"/>
  <c r="AE172" i="1"/>
  <c r="AE171" i="1" s="1"/>
  <c r="AD172" i="1"/>
  <c r="AC172" i="1"/>
  <c r="AC171" i="1" s="1"/>
  <c r="AC170" i="1" s="1"/>
  <c r="AB172" i="1"/>
  <c r="AA172" i="1"/>
  <c r="AA171" i="1" s="1"/>
  <c r="AA170" i="1" s="1"/>
  <c r="Z172" i="1"/>
  <c r="Y172" i="1"/>
  <c r="Y171" i="1" s="1"/>
  <c r="Y170" i="1" s="1"/>
  <c r="V172" i="1"/>
  <c r="U172" i="1"/>
  <c r="U171" i="1" s="1"/>
  <c r="T172" i="1"/>
  <c r="S172" i="1"/>
  <c r="S171" i="1" s="1"/>
  <c r="S170" i="1" s="1"/>
  <c r="R172" i="1"/>
  <c r="Q172" i="1"/>
  <c r="Q171" i="1" s="1"/>
  <c r="Q170" i="1" s="1"/>
  <c r="P172" i="1"/>
  <c r="O172" i="1"/>
  <c r="O171" i="1" s="1"/>
  <c r="O170" i="1" s="1"/>
  <c r="N172" i="1"/>
  <c r="K172" i="1"/>
  <c r="J172" i="1"/>
  <c r="J171" i="1" s="1"/>
  <c r="I172" i="1"/>
  <c r="H172" i="1"/>
  <c r="H171" i="1" s="1"/>
  <c r="G172" i="1"/>
  <c r="F172" i="1"/>
  <c r="F171" i="1" s="1"/>
  <c r="E172" i="1"/>
  <c r="D172" i="1"/>
  <c r="D171" i="1" s="1"/>
  <c r="D170" i="1" s="1"/>
  <c r="C172" i="1"/>
  <c r="IP171" i="1"/>
  <c r="IK171" i="1"/>
  <c r="IC171" i="1"/>
  <c r="IB171" i="1"/>
  <c r="IB170" i="1" s="1"/>
  <c r="HX171" i="1"/>
  <c r="HX170" i="1" s="1"/>
  <c r="HQ171" i="1"/>
  <c r="HQ170" i="1" s="1"/>
  <c r="HH171" i="1"/>
  <c r="HG171" i="1"/>
  <c r="HD171" i="1"/>
  <c r="GY171" i="1"/>
  <c r="GY170" i="1" s="1"/>
  <c r="GT171" i="1"/>
  <c r="GR171" i="1"/>
  <c r="GD171" i="1"/>
  <c r="FR171" i="1"/>
  <c r="FR170" i="1" s="1"/>
  <c r="FO171" i="1"/>
  <c r="FO170" i="1" s="1"/>
  <c r="FN171" i="1"/>
  <c r="FN170" i="1" s="1"/>
  <c r="FM171" i="1"/>
  <c r="FM170" i="1" s="1"/>
  <c r="FH171" i="1"/>
  <c r="FH170" i="1" s="1"/>
  <c r="FF171" i="1"/>
  <c r="FE171" i="1"/>
  <c r="FE170" i="1" s="1"/>
  <c r="FD171" i="1"/>
  <c r="FB171" i="1"/>
  <c r="FB170" i="1" s="1"/>
  <c r="EW171" i="1"/>
  <c r="EW170" i="1" s="1"/>
  <c r="EU171" i="1"/>
  <c r="EU170" i="1" s="1"/>
  <c r="ES171" i="1"/>
  <c r="ER171" i="1"/>
  <c r="ER170" i="1" s="1"/>
  <c r="EQ171" i="1"/>
  <c r="EC171" i="1"/>
  <c r="EC170" i="1" s="1"/>
  <c r="DZ171" i="1"/>
  <c r="DZ170" i="1" s="1"/>
  <c r="DY171" i="1"/>
  <c r="DY170" i="1" s="1"/>
  <c r="DX171" i="1"/>
  <c r="DX170" i="1" s="1"/>
  <c r="DU171" i="1"/>
  <c r="DU170" i="1" s="1"/>
  <c r="DQ171" i="1"/>
  <c r="DQ170" i="1" s="1"/>
  <c r="DP171" i="1"/>
  <c r="DO171" i="1"/>
  <c r="DO170" i="1" s="1"/>
  <c r="DL171" i="1"/>
  <c r="DL170" i="1" s="1"/>
  <c r="DI171" i="1"/>
  <c r="DI170" i="1" s="1"/>
  <c r="DF171" i="1"/>
  <c r="DF170" i="1" s="1"/>
  <c r="DD171" i="1"/>
  <c r="DB171" i="1"/>
  <c r="DB170" i="1" s="1"/>
  <c r="CZ171" i="1"/>
  <c r="CZ170" i="1" s="1"/>
  <c r="CX171" i="1"/>
  <c r="CX170" i="1" s="1"/>
  <c r="CI171" i="1"/>
  <c r="CI170" i="1" s="1"/>
  <c r="CG171" i="1"/>
  <c r="CG170" i="1" s="1"/>
  <c r="CE171" i="1"/>
  <c r="CE170" i="1" s="1"/>
  <c r="CC171" i="1"/>
  <c r="CC170" i="1" s="1"/>
  <c r="BX171" i="1"/>
  <c r="BX170" i="1" s="1"/>
  <c r="BV171" i="1"/>
  <c r="BT171" i="1"/>
  <c r="BT170" i="1" s="1"/>
  <c r="BR171" i="1"/>
  <c r="BR170" i="1" s="1"/>
  <c r="BN171" i="1"/>
  <c r="BN170" i="1" s="1"/>
  <c r="BL171" i="1"/>
  <c r="BL170" i="1" s="1"/>
  <c r="BJ171" i="1"/>
  <c r="BJ170" i="1" s="1"/>
  <c r="BH171" i="1"/>
  <c r="BF171" i="1"/>
  <c r="AR171" i="1"/>
  <c r="AP171" i="1"/>
  <c r="AP170" i="1" s="1"/>
  <c r="AN171" i="1"/>
  <c r="AN170" i="1" s="1"/>
  <c r="AL171" i="1"/>
  <c r="AL170" i="1" s="1"/>
  <c r="AJ171" i="1"/>
  <c r="AF171" i="1"/>
  <c r="AF170" i="1" s="1"/>
  <c r="AD171" i="1"/>
  <c r="AD170" i="1" s="1"/>
  <c r="AB171" i="1"/>
  <c r="Z171" i="1"/>
  <c r="Z170" i="1" s="1"/>
  <c r="V171" i="1"/>
  <c r="V170" i="1" s="1"/>
  <c r="T171" i="1"/>
  <c r="T170" i="1" s="1"/>
  <c r="R171" i="1"/>
  <c r="R170" i="1" s="1"/>
  <c r="P171" i="1"/>
  <c r="P170" i="1" s="1"/>
  <c r="N171" i="1"/>
  <c r="N170" i="1" s="1"/>
  <c r="K171" i="1"/>
  <c r="K170" i="1" s="1"/>
  <c r="I171" i="1"/>
  <c r="I170" i="1" s="1"/>
  <c r="G171" i="1"/>
  <c r="G170" i="1" s="1"/>
  <c r="E171" i="1"/>
  <c r="E170" i="1" s="1"/>
  <c r="C171" i="1"/>
  <c r="C170" i="1" s="1"/>
  <c r="IR170" i="1"/>
  <c r="IP170" i="1"/>
  <c r="IK170" i="1"/>
  <c r="IC170" i="1"/>
  <c r="IA170" i="1"/>
  <c r="HW170" i="1"/>
  <c r="HS170" i="1"/>
  <c r="HO170" i="1"/>
  <c r="HJ170" i="1"/>
  <c r="HG170" i="1"/>
  <c r="HD170" i="1"/>
  <c r="HB170" i="1"/>
  <c r="GT170" i="1"/>
  <c r="GR170" i="1"/>
  <c r="FT170" i="1"/>
  <c r="FP170" i="1"/>
  <c r="FL170" i="1"/>
  <c r="FG170" i="1"/>
  <c r="FF170" i="1"/>
  <c r="FC170" i="1"/>
  <c r="EX170" i="1"/>
  <c r="ES170" i="1"/>
  <c r="EJ170" i="1"/>
  <c r="EA170" i="1"/>
  <c r="DW170" i="1"/>
  <c r="DV170" i="1"/>
  <c r="DN170" i="1"/>
  <c r="DJ170" i="1"/>
  <c r="DE170" i="1"/>
  <c r="DD170" i="1"/>
  <c r="DA170" i="1"/>
  <c r="CJ170" i="1"/>
  <c r="CD170" i="1"/>
  <c r="BW170" i="1"/>
  <c r="BQ170" i="1"/>
  <c r="BK170" i="1"/>
  <c r="BH170" i="1"/>
  <c r="BF170" i="1"/>
  <c r="AR170" i="1"/>
  <c r="AO170" i="1"/>
  <c r="AM170" i="1"/>
  <c r="AJ170" i="1"/>
  <c r="AE170" i="1"/>
  <c r="AB170" i="1"/>
  <c r="U170" i="1"/>
  <c r="H170" i="1"/>
  <c r="IT169" i="1"/>
  <c r="IO169" i="1"/>
  <c r="II169" i="1"/>
  <c r="IH169" i="1"/>
  <c r="IG169" i="1"/>
  <c r="IF169" i="1"/>
  <c r="IE169" i="1"/>
  <c r="HZ169" i="1"/>
  <c r="HU169" i="1"/>
  <c r="HO169" i="1"/>
  <c r="HN169" i="1"/>
  <c r="HM169" i="1"/>
  <c r="HL169" i="1"/>
  <c r="HK169" i="1"/>
  <c r="HF169" i="1"/>
  <c r="HA169" i="1"/>
  <c r="GV169" i="1"/>
  <c r="GE169" i="1"/>
  <c r="GD169" i="1"/>
  <c r="GC169" i="1"/>
  <c r="GB169" i="1"/>
  <c r="GA169" i="1"/>
  <c r="FZ169" i="1"/>
  <c r="FY169" i="1"/>
  <c r="FX169" i="1"/>
  <c r="FW169" i="1"/>
  <c r="FV169" i="1"/>
  <c r="FU169" i="1"/>
  <c r="FJ169" i="1"/>
  <c r="EY169" i="1"/>
  <c r="EM169" i="1"/>
  <c r="EL169" i="1"/>
  <c r="EK169" i="1"/>
  <c r="EJ169" i="1"/>
  <c r="EI169" i="1"/>
  <c r="EH169" i="1"/>
  <c r="EG169" i="1"/>
  <c r="EF169" i="1"/>
  <c r="EE169" i="1"/>
  <c r="ED169" i="1"/>
  <c r="DR169" i="1"/>
  <c r="DG169" i="1"/>
  <c r="CU169" i="1"/>
  <c r="CT169" i="1"/>
  <c r="CS169" i="1"/>
  <c r="CR169" i="1"/>
  <c r="CQ169" i="1"/>
  <c r="CP169" i="1"/>
  <c r="CO169" i="1"/>
  <c r="CN169" i="1"/>
  <c r="CM169" i="1"/>
  <c r="CL169" i="1"/>
  <c r="CK169" i="1"/>
  <c r="BZ169" i="1"/>
  <c r="BO169" i="1"/>
  <c r="BC169" i="1"/>
  <c r="BB169" i="1"/>
  <c r="BA169" i="1"/>
  <c r="AZ169" i="1"/>
  <c r="AY169" i="1"/>
  <c r="AX169" i="1"/>
  <c r="AW169" i="1"/>
  <c r="AV169" i="1"/>
  <c r="AU169" i="1"/>
  <c r="AT169" i="1"/>
  <c r="AS169" i="1"/>
  <c r="AH169" i="1"/>
  <c r="W169" i="1"/>
  <c r="L169" i="1"/>
  <c r="IT168" i="1"/>
  <c r="IO168" i="1"/>
  <c r="II168" i="1"/>
  <c r="IH168" i="1"/>
  <c r="IG168" i="1"/>
  <c r="IF168" i="1"/>
  <c r="IE168" i="1"/>
  <c r="HZ168" i="1"/>
  <c r="HU168" i="1"/>
  <c r="HO168" i="1"/>
  <c r="HN168" i="1"/>
  <c r="HM168" i="1"/>
  <c r="HL168" i="1"/>
  <c r="HK168" i="1"/>
  <c r="HF168" i="1"/>
  <c r="HA168" i="1"/>
  <c r="GV168" i="1"/>
  <c r="GE168" i="1"/>
  <c r="GD168" i="1"/>
  <c r="GC168" i="1"/>
  <c r="GB168" i="1"/>
  <c r="GA168" i="1"/>
  <c r="FZ168" i="1"/>
  <c r="FY168" i="1"/>
  <c r="FX168" i="1"/>
  <c r="FW168" i="1"/>
  <c r="FV168" i="1"/>
  <c r="FU168" i="1"/>
  <c r="FJ168" i="1"/>
  <c r="EY168" i="1"/>
  <c r="EM168" i="1"/>
  <c r="EL168" i="1"/>
  <c r="EK168" i="1"/>
  <c r="EJ168" i="1"/>
  <c r="EI168" i="1"/>
  <c r="EH168" i="1"/>
  <c r="EG168" i="1"/>
  <c r="EF168" i="1"/>
  <c r="EE168" i="1"/>
  <c r="ED168" i="1"/>
  <c r="DR168" i="1"/>
  <c r="DG168" i="1"/>
  <c r="CU168" i="1"/>
  <c r="CT168" i="1"/>
  <c r="CS168" i="1"/>
  <c r="CR168" i="1"/>
  <c r="CQ168" i="1"/>
  <c r="CP168" i="1"/>
  <c r="CO168" i="1"/>
  <c r="CN168" i="1"/>
  <c r="CM168" i="1"/>
  <c r="CL168" i="1"/>
  <c r="CK168" i="1"/>
  <c r="BZ168" i="1"/>
  <c r="BO168" i="1"/>
  <c r="BC168" i="1"/>
  <c r="GP168" i="1" s="1"/>
  <c r="BB168" i="1"/>
  <c r="BA168" i="1"/>
  <c r="AZ168" i="1"/>
  <c r="AY168" i="1"/>
  <c r="GL168" i="1" s="1"/>
  <c r="AX168" i="1"/>
  <c r="AW168" i="1"/>
  <c r="AV168" i="1"/>
  <c r="AU168" i="1"/>
  <c r="BD168" i="1" s="1"/>
  <c r="AT168" i="1"/>
  <c r="AS168" i="1"/>
  <c r="AH168" i="1"/>
  <c r="W168" i="1"/>
  <c r="L168" i="1"/>
  <c r="IT167" i="1"/>
  <c r="IT166" i="1" s="1"/>
  <c r="IO167" i="1"/>
  <c r="II167" i="1"/>
  <c r="II166" i="1" s="1"/>
  <c r="IH167" i="1"/>
  <c r="IG167" i="1"/>
  <c r="IG166" i="1" s="1"/>
  <c r="IF167" i="1"/>
  <c r="IE167" i="1"/>
  <c r="IE166" i="1" s="1"/>
  <c r="HZ167" i="1"/>
  <c r="HU167" i="1"/>
  <c r="HU166" i="1" s="1"/>
  <c r="HO167" i="1"/>
  <c r="HN167" i="1"/>
  <c r="HN166" i="1" s="1"/>
  <c r="HM167" i="1"/>
  <c r="HL167" i="1"/>
  <c r="HL166" i="1" s="1"/>
  <c r="HK167" i="1"/>
  <c r="HF167" i="1"/>
  <c r="HF166" i="1" s="1"/>
  <c r="HA167" i="1"/>
  <c r="GV167" i="1"/>
  <c r="GV166" i="1" s="1"/>
  <c r="GE167" i="1"/>
  <c r="GD167" i="1"/>
  <c r="GD166" i="1" s="1"/>
  <c r="GC167" i="1"/>
  <c r="GB167" i="1"/>
  <c r="GB166" i="1" s="1"/>
  <c r="GA167" i="1"/>
  <c r="FZ167" i="1"/>
  <c r="FZ166" i="1" s="1"/>
  <c r="FY167" i="1"/>
  <c r="FX167" i="1"/>
  <c r="FX166" i="1" s="1"/>
  <c r="FW167" i="1"/>
  <c r="FV167" i="1"/>
  <c r="FU167" i="1"/>
  <c r="FJ167" i="1"/>
  <c r="FJ166" i="1" s="1"/>
  <c r="EY167" i="1"/>
  <c r="EM167" i="1"/>
  <c r="EM166" i="1" s="1"/>
  <c r="EL167" i="1"/>
  <c r="EK167" i="1"/>
  <c r="EK166" i="1" s="1"/>
  <c r="EJ167" i="1"/>
  <c r="EI167" i="1"/>
  <c r="EI166" i="1" s="1"/>
  <c r="EH167" i="1"/>
  <c r="EG167" i="1"/>
  <c r="EG166" i="1" s="1"/>
  <c r="EF167" i="1"/>
  <c r="EE167" i="1"/>
  <c r="EE166" i="1" s="1"/>
  <c r="ED167" i="1"/>
  <c r="DR167" i="1"/>
  <c r="DR166" i="1" s="1"/>
  <c r="DG167" i="1"/>
  <c r="CU167" i="1"/>
  <c r="CU166" i="1" s="1"/>
  <c r="CT167" i="1"/>
  <c r="CS167" i="1"/>
  <c r="CS166" i="1" s="1"/>
  <c r="CR167" i="1"/>
  <c r="CQ167" i="1"/>
  <c r="CQ166" i="1" s="1"/>
  <c r="CP167" i="1"/>
  <c r="CO167" i="1"/>
  <c r="CO166" i="1" s="1"/>
  <c r="CN167" i="1"/>
  <c r="CM167" i="1"/>
  <c r="CL167" i="1"/>
  <c r="CK167" i="1"/>
  <c r="CK166" i="1" s="1"/>
  <c r="BZ167" i="1"/>
  <c r="BO167" i="1"/>
  <c r="BO166" i="1" s="1"/>
  <c r="BC167" i="1"/>
  <c r="BB167" i="1"/>
  <c r="BB166" i="1" s="1"/>
  <c r="BA167" i="1"/>
  <c r="AZ167" i="1"/>
  <c r="GM167" i="1" s="1"/>
  <c r="AY167" i="1"/>
  <c r="AX167" i="1"/>
  <c r="AX166" i="1" s="1"/>
  <c r="AW167" i="1"/>
  <c r="AV167" i="1"/>
  <c r="GI167" i="1" s="1"/>
  <c r="AU167" i="1"/>
  <c r="AT167" i="1"/>
  <c r="AS167" i="1"/>
  <c r="AH167" i="1"/>
  <c r="AH166" i="1" s="1"/>
  <c r="W167" i="1"/>
  <c r="L167" i="1"/>
  <c r="L166" i="1" s="1"/>
  <c r="IV166" i="1"/>
  <c r="IU166" i="1"/>
  <c r="IS166" i="1"/>
  <c r="IR166" i="1"/>
  <c r="IQ166" i="1"/>
  <c r="IP166" i="1"/>
  <c r="IN166" i="1"/>
  <c r="IM166" i="1"/>
  <c r="IL166" i="1"/>
  <c r="IK166" i="1"/>
  <c r="ID166" i="1"/>
  <c r="IC166" i="1"/>
  <c r="IB166" i="1"/>
  <c r="IA166" i="1"/>
  <c r="HY166" i="1"/>
  <c r="HX166" i="1"/>
  <c r="HW166" i="1"/>
  <c r="HV166" i="1"/>
  <c r="HT166" i="1"/>
  <c r="HS166" i="1"/>
  <c r="HR166" i="1"/>
  <c r="HQ166" i="1"/>
  <c r="HO166" i="1"/>
  <c r="HJ166" i="1"/>
  <c r="HI166" i="1"/>
  <c r="HH166" i="1"/>
  <c r="HG166" i="1"/>
  <c r="HE166" i="1"/>
  <c r="HD166" i="1"/>
  <c r="HC166" i="1"/>
  <c r="HB166" i="1"/>
  <c r="HA166" i="1"/>
  <c r="GZ166" i="1"/>
  <c r="GY166" i="1"/>
  <c r="GX166" i="1"/>
  <c r="GW166" i="1"/>
  <c r="GU166" i="1"/>
  <c r="GT166" i="1"/>
  <c r="GS166" i="1"/>
  <c r="GR166" i="1"/>
  <c r="FW166" i="1"/>
  <c r="FT166" i="1"/>
  <c r="FS166" i="1"/>
  <c r="FR166" i="1"/>
  <c r="FQ166" i="1"/>
  <c r="FP166" i="1"/>
  <c r="FO166" i="1"/>
  <c r="FN166" i="1"/>
  <c r="FM166" i="1"/>
  <c r="FL166" i="1"/>
  <c r="FI166" i="1"/>
  <c r="FH166" i="1"/>
  <c r="FG166" i="1"/>
  <c r="FF166" i="1"/>
  <c r="FE166" i="1"/>
  <c r="FD166" i="1"/>
  <c r="FC166" i="1"/>
  <c r="FB166" i="1"/>
  <c r="FA166" i="1"/>
  <c r="EY166" i="1"/>
  <c r="EX166" i="1"/>
  <c r="EW166" i="1"/>
  <c r="EV166" i="1"/>
  <c r="EU166" i="1"/>
  <c r="ET166" i="1"/>
  <c r="ES166" i="1"/>
  <c r="ER166" i="1"/>
  <c r="EQ166" i="1"/>
  <c r="EP166" i="1"/>
  <c r="EC166" i="1"/>
  <c r="EB166" i="1"/>
  <c r="EA166" i="1"/>
  <c r="DZ166" i="1"/>
  <c r="DY166" i="1"/>
  <c r="DX166" i="1"/>
  <c r="DW166" i="1"/>
  <c r="DV166" i="1"/>
  <c r="DU166" i="1"/>
  <c r="DT166" i="1"/>
  <c r="DQ166" i="1"/>
  <c r="DP166" i="1"/>
  <c r="DO166" i="1"/>
  <c r="DN166" i="1"/>
  <c r="DM166" i="1"/>
  <c r="DL166" i="1"/>
  <c r="DK166" i="1"/>
  <c r="DJ166" i="1"/>
  <c r="DI166" i="1"/>
  <c r="DF166" i="1"/>
  <c r="DE166" i="1"/>
  <c r="DD166" i="1"/>
  <c r="DC166" i="1"/>
  <c r="DB166" i="1"/>
  <c r="DA166" i="1"/>
  <c r="CZ166" i="1"/>
  <c r="CY166" i="1"/>
  <c r="CX166" i="1"/>
  <c r="CR166" i="1"/>
  <c r="CN166" i="1"/>
  <c r="CJ166" i="1"/>
  <c r="CI166" i="1"/>
  <c r="CH166" i="1"/>
  <c r="CG166" i="1"/>
  <c r="CF166" i="1"/>
  <c r="CE166" i="1"/>
  <c r="CD166" i="1"/>
  <c r="CC166" i="1"/>
  <c r="CB166" i="1"/>
  <c r="BY166" i="1"/>
  <c r="BX166" i="1"/>
  <c r="BW166" i="1"/>
  <c r="BV166" i="1"/>
  <c r="BU166" i="1"/>
  <c r="BT166" i="1"/>
  <c r="BS166" i="1"/>
  <c r="BR166" i="1"/>
  <c r="BQ166" i="1"/>
  <c r="BN166" i="1"/>
  <c r="BM166" i="1"/>
  <c r="BL166" i="1"/>
  <c r="BK166" i="1"/>
  <c r="BJ166" i="1"/>
  <c r="BI166" i="1"/>
  <c r="BH166" i="1"/>
  <c r="BG166" i="1"/>
  <c r="BF166" i="1"/>
  <c r="AR166" i="1"/>
  <c r="AQ166" i="1"/>
  <c r="AP166" i="1"/>
  <c r="AO166" i="1"/>
  <c r="AN166" i="1"/>
  <c r="AM166" i="1"/>
  <c r="AL166" i="1"/>
  <c r="AK166" i="1"/>
  <c r="AJ166" i="1"/>
  <c r="AG166" i="1"/>
  <c r="AF166" i="1"/>
  <c r="AE166" i="1"/>
  <c r="AD166" i="1"/>
  <c r="AC166" i="1"/>
  <c r="AB166" i="1"/>
  <c r="AA166" i="1"/>
  <c r="Z166" i="1"/>
  <c r="Y166" i="1"/>
  <c r="V166" i="1"/>
  <c r="U166" i="1"/>
  <c r="T166" i="1"/>
  <c r="S166" i="1"/>
  <c r="R166" i="1"/>
  <c r="Q166" i="1"/>
  <c r="P166" i="1"/>
  <c r="O166" i="1"/>
  <c r="N166" i="1"/>
  <c r="K166" i="1"/>
  <c r="J166" i="1"/>
  <c r="I166" i="1"/>
  <c r="H166" i="1"/>
  <c r="G166" i="1"/>
  <c r="F166" i="1"/>
  <c r="E166" i="1"/>
  <c r="D166" i="1"/>
  <c r="C166" i="1"/>
  <c r="IT165" i="1"/>
  <c r="IO165" i="1"/>
  <c r="II165" i="1"/>
  <c r="IH165" i="1"/>
  <c r="IG165" i="1"/>
  <c r="IF165" i="1"/>
  <c r="IE165" i="1"/>
  <c r="HZ165" i="1"/>
  <c r="HU165" i="1"/>
  <c r="HO165" i="1"/>
  <c r="HN165" i="1"/>
  <c r="HM165" i="1"/>
  <c r="HL165" i="1"/>
  <c r="HK165" i="1"/>
  <c r="HF165" i="1"/>
  <c r="HA165" i="1"/>
  <c r="GV165" i="1"/>
  <c r="GE165" i="1"/>
  <c r="GD165" i="1"/>
  <c r="GC165" i="1"/>
  <c r="GB165" i="1"/>
  <c r="GA165" i="1"/>
  <c r="FZ165" i="1"/>
  <c r="FY165" i="1"/>
  <c r="FX165" i="1"/>
  <c r="FW165" i="1"/>
  <c r="FV165" i="1"/>
  <c r="FU165" i="1"/>
  <c r="FJ165" i="1"/>
  <c r="EY165" i="1"/>
  <c r="EM165" i="1"/>
  <c r="EL165" i="1"/>
  <c r="EK165" i="1"/>
  <c r="EJ165" i="1"/>
  <c r="EI165" i="1"/>
  <c r="EH165" i="1"/>
  <c r="EG165" i="1"/>
  <c r="EF165" i="1"/>
  <c r="EE165" i="1"/>
  <c r="ED165" i="1"/>
  <c r="DR165" i="1"/>
  <c r="DG165" i="1"/>
  <c r="CU165" i="1"/>
  <c r="CT165" i="1"/>
  <c r="CS165" i="1"/>
  <c r="CR165" i="1"/>
  <c r="CQ165" i="1"/>
  <c r="CP165" i="1"/>
  <c r="CO165" i="1"/>
  <c r="CN165" i="1"/>
  <c r="CM165" i="1"/>
  <c r="CL165" i="1"/>
  <c r="CK165" i="1"/>
  <c r="BZ165" i="1"/>
  <c r="BO165" i="1"/>
  <c r="BC165" i="1"/>
  <c r="BB165" i="1"/>
  <c r="BA165" i="1"/>
  <c r="AZ165" i="1"/>
  <c r="AY165" i="1"/>
  <c r="AX165" i="1"/>
  <c r="AW165" i="1"/>
  <c r="AV165" i="1"/>
  <c r="AU165" i="1"/>
  <c r="AT165" i="1"/>
  <c r="AS165" i="1"/>
  <c r="AH165" i="1"/>
  <c r="W165" i="1"/>
  <c r="L165" i="1"/>
  <c r="IT164" i="1"/>
  <c r="IO164" i="1"/>
  <c r="II164" i="1"/>
  <c r="IH164" i="1"/>
  <c r="IG164" i="1"/>
  <c r="IF164" i="1"/>
  <c r="IE164" i="1"/>
  <c r="HZ164" i="1"/>
  <c r="HU164" i="1"/>
  <c r="HO164" i="1"/>
  <c r="HN164" i="1"/>
  <c r="HM164" i="1"/>
  <c r="HL164" i="1"/>
  <c r="HK164" i="1"/>
  <c r="HF164" i="1"/>
  <c r="HA164" i="1"/>
  <c r="GV164" i="1"/>
  <c r="GE164" i="1"/>
  <c r="GD164" i="1"/>
  <c r="GC164" i="1"/>
  <c r="GB164" i="1"/>
  <c r="GA164" i="1"/>
  <c r="FZ164" i="1"/>
  <c r="FY164" i="1"/>
  <c r="FX164" i="1"/>
  <c r="FW164" i="1"/>
  <c r="FV164" i="1"/>
  <c r="FU164" i="1"/>
  <c r="FJ164" i="1"/>
  <c r="EY164" i="1"/>
  <c r="EM164" i="1"/>
  <c r="EL164" i="1"/>
  <c r="EK164" i="1"/>
  <c r="EJ164" i="1"/>
  <c r="EI164" i="1"/>
  <c r="EH164" i="1"/>
  <c r="EG164" i="1"/>
  <c r="EF164" i="1"/>
  <c r="EE164" i="1"/>
  <c r="ED164" i="1"/>
  <c r="DR164" i="1"/>
  <c r="DG164" i="1"/>
  <c r="CU164" i="1"/>
  <c r="CT164" i="1"/>
  <c r="CS164" i="1"/>
  <c r="CR164" i="1"/>
  <c r="CQ164" i="1"/>
  <c r="CP164" i="1"/>
  <c r="CO164" i="1"/>
  <c r="CN164" i="1"/>
  <c r="CM164" i="1"/>
  <c r="CL164" i="1"/>
  <c r="CK164" i="1"/>
  <c r="BZ164" i="1"/>
  <c r="BO164" i="1"/>
  <c r="BC164" i="1"/>
  <c r="BB164" i="1"/>
  <c r="BA164" i="1"/>
  <c r="AZ164" i="1"/>
  <c r="AY164" i="1"/>
  <c r="AX164" i="1"/>
  <c r="AW164" i="1"/>
  <c r="AV164" i="1"/>
  <c r="AU164" i="1"/>
  <c r="AT164" i="1"/>
  <c r="AS164" i="1"/>
  <c r="AH164" i="1"/>
  <c r="W164" i="1"/>
  <c r="L164" i="1"/>
  <c r="IT163" i="1"/>
  <c r="IO163" i="1"/>
  <c r="IO162" i="1" s="1"/>
  <c r="II163" i="1"/>
  <c r="IH163" i="1"/>
  <c r="IH162" i="1" s="1"/>
  <c r="IG163" i="1"/>
  <c r="IF163" i="1"/>
  <c r="IE163" i="1"/>
  <c r="HZ163" i="1"/>
  <c r="HZ162" i="1" s="1"/>
  <c r="HU163" i="1"/>
  <c r="HO163" i="1"/>
  <c r="HO162" i="1" s="1"/>
  <c r="HN163" i="1"/>
  <c r="HM163" i="1"/>
  <c r="HM162" i="1" s="1"/>
  <c r="HL163" i="1"/>
  <c r="HK163" i="1"/>
  <c r="HF163" i="1"/>
  <c r="HA163" i="1"/>
  <c r="HA162" i="1" s="1"/>
  <c r="GV163" i="1"/>
  <c r="GE163" i="1"/>
  <c r="GE162" i="1" s="1"/>
  <c r="GD163" i="1"/>
  <c r="GC163" i="1"/>
  <c r="GB163" i="1"/>
  <c r="GA163" i="1"/>
  <c r="FZ163" i="1"/>
  <c r="FY163" i="1"/>
  <c r="FX163" i="1"/>
  <c r="FW163" i="1"/>
  <c r="FV163" i="1"/>
  <c r="FU163" i="1"/>
  <c r="FJ163" i="1"/>
  <c r="EY163" i="1"/>
  <c r="EM163" i="1"/>
  <c r="EL163" i="1"/>
  <c r="EL162" i="1" s="1"/>
  <c r="EK163" i="1"/>
  <c r="EJ163" i="1"/>
  <c r="EI163" i="1"/>
  <c r="EH163" i="1"/>
  <c r="EH162" i="1" s="1"/>
  <c r="EG163" i="1"/>
  <c r="EF163" i="1"/>
  <c r="EE163" i="1"/>
  <c r="ED163" i="1"/>
  <c r="DR163" i="1"/>
  <c r="DG163" i="1"/>
  <c r="CU163" i="1"/>
  <c r="CT163" i="1"/>
  <c r="CS163" i="1"/>
  <c r="CR163" i="1"/>
  <c r="CQ163" i="1"/>
  <c r="CP163" i="1"/>
  <c r="CO163" i="1"/>
  <c r="CN163" i="1"/>
  <c r="CM163" i="1"/>
  <c r="CL163" i="1"/>
  <c r="CK163" i="1"/>
  <c r="BZ163" i="1"/>
  <c r="BO163" i="1"/>
  <c r="BC163" i="1"/>
  <c r="BB163" i="1"/>
  <c r="BA163" i="1"/>
  <c r="AZ163" i="1"/>
  <c r="AY163" i="1"/>
  <c r="AX163" i="1"/>
  <c r="AW163" i="1"/>
  <c r="AV163" i="1"/>
  <c r="AU163" i="1"/>
  <c r="AT163" i="1"/>
  <c r="AS163" i="1"/>
  <c r="AH163" i="1"/>
  <c r="W163" i="1"/>
  <c r="L163" i="1"/>
  <c r="IV162" i="1"/>
  <c r="IU162" i="1"/>
  <c r="IU160" i="1" s="1"/>
  <c r="IU159" i="1" s="1"/>
  <c r="IT162" i="1"/>
  <c r="IS162" i="1"/>
  <c r="IS160" i="1" s="1"/>
  <c r="IR162" i="1"/>
  <c r="IQ162" i="1"/>
  <c r="IQ160" i="1" s="1"/>
  <c r="IQ159" i="1" s="1"/>
  <c r="IP162" i="1"/>
  <c r="IN162" i="1"/>
  <c r="IM162" i="1"/>
  <c r="IM160" i="1" s="1"/>
  <c r="IM159" i="1" s="1"/>
  <c r="IL162" i="1"/>
  <c r="IK162" i="1"/>
  <c r="IK160" i="1" s="1"/>
  <c r="IG162" i="1"/>
  <c r="IF162" i="1"/>
  <c r="ID162" i="1"/>
  <c r="ID160" i="1" s="1"/>
  <c r="ID159" i="1" s="1"/>
  <c r="IC162" i="1"/>
  <c r="IC160" i="1" s="1"/>
  <c r="IB162" i="1"/>
  <c r="IA162" i="1"/>
  <c r="HY162" i="1"/>
  <c r="HY160" i="1" s="1"/>
  <c r="HX162" i="1"/>
  <c r="HW162" i="1"/>
  <c r="HV162" i="1"/>
  <c r="HV160" i="1" s="1"/>
  <c r="HV159" i="1" s="1"/>
  <c r="HU162" i="1"/>
  <c r="HT162" i="1"/>
  <c r="HS162" i="1"/>
  <c r="HR162" i="1"/>
  <c r="HQ162" i="1"/>
  <c r="HQ160" i="1" s="1"/>
  <c r="HL162" i="1"/>
  <c r="HK162" i="1"/>
  <c r="HJ162" i="1"/>
  <c r="HI162" i="1"/>
  <c r="HI160" i="1" s="1"/>
  <c r="HH162" i="1"/>
  <c r="HH160" i="1" s="1"/>
  <c r="HH159" i="1" s="1"/>
  <c r="HG162" i="1"/>
  <c r="HE162" i="1"/>
  <c r="HE160" i="1" s="1"/>
  <c r="HD162" i="1"/>
  <c r="HC162" i="1"/>
  <c r="HC160" i="1" s="1"/>
  <c r="HC159" i="1" s="1"/>
  <c r="HB162" i="1"/>
  <c r="GZ162" i="1"/>
  <c r="GY162" i="1"/>
  <c r="GX162" i="1"/>
  <c r="GW162" i="1"/>
  <c r="GW160" i="1" s="1"/>
  <c r="GV162" i="1"/>
  <c r="GU162" i="1"/>
  <c r="GU160" i="1" s="1"/>
  <c r="GU159" i="1" s="1"/>
  <c r="GT162" i="1"/>
  <c r="GS162" i="1"/>
  <c r="GS160" i="1" s="1"/>
  <c r="GR162" i="1"/>
  <c r="GR160" i="1" s="1"/>
  <c r="GR159" i="1" s="1"/>
  <c r="GD162" i="1"/>
  <c r="GB162" i="1"/>
  <c r="GB160" i="1" s="1"/>
  <c r="GA162" i="1"/>
  <c r="FX162" i="1"/>
  <c r="FX160" i="1" s="1"/>
  <c r="FW162" i="1"/>
  <c r="FT162" i="1"/>
  <c r="FS162" i="1"/>
  <c r="FR162" i="1"/>
  <c r="FR160" i="1" s="1"/>
  <c r="FR159" i="1" s="1"/>
  <c r="FQ162" i="1"/>
  <c r="FP162" i="1"/>
  <c r="FP160" i="1" s="1"/>
  <c r="FP159" i="1" s="1"/>
  <c r="FO162" i="1"/>
  <c r="FN162" i="1"/>
  <c r="FM162" i="1"/>
  <c r="FL162" i="1"/>
  <c r="FI162" i="1"/>
  <c r="FH162" i="1"/>
  <c r="FG162" i="1"/>
  <c r="FF162" i="1"/>
  <c r="FF160" i="1" s="1"/>
  <c r="FE162" i="1"/>
  <c r="FE160" i="1" s="1"/>
  <c r="FE159" i="1" s="1"/>
  <c r="FD162" i="1"/>
  <c r="FC162" i="1"/>
  <c r="FB162" i="1"/>
  <c r="FB160" i="1" s="1"/>
  <c r="FA162" i="1"/>
  <c r="FA160" i="1" s="1"/>
  <c r="FA159" i="1" s="1"/>
  <c r="EY162" i="1"/>
  <c r="EY160" i="1" s="1"/>
  <c r="EY159" i="1" s="1"/>
  <c r="EX162" i="1"/>
  <c r="EW162" i="1"/>
  <c r="EW160" i="1" s="1"/>
  <c r="EV162" i="1"/>
  <c r="EU162" i="1"/>
  <c r="ET162" i="1"/>
  <c r="ES162" i="1"/>
  <c r="ES160" i="1" s="1"/>
  <c r="ER162" i="1"/>
  <c r="EQ162" i="1"/>
  <c r="EQ160" i="1" s="1"/>
  <c r="EQ159" i="1" s="1"/>
  <c r="EP162" i="1"/>
  <c r="EK162" i="1"/>
  <c r="EJ162" i="1"/>
  <c r="EF162" i="1"/>
  <c r="EC162" i="1"/>
  <c r="EC160" i="1" s="1"/>
  <c r="EC159" i="1" s="1"/>
  <c r="EB162" i="1"/>
  <c r="EA162" i="1"/>
  <c r="DZ162" i="1"/>
  <c r="DZ160" i="1" s="1"/>
  <c r="DZ159" i="1" s="1"/>
  <c r="DY162" i="1"/>
  <c r="DY160" i="1" s="1"/>
  <c r="DY159" i="1" s="1"/>
  <c r="DX162" i="1"/>
  <c r="DW162" i="1"/>
  <c r="DV162" i="1"/>
  <c r="DV160" i="1" s="1"/>
  <c r="DV159" i="1" s="1"/>
  <c r="DU162" i="1"/>
  <c r="DU160" i="1" s="1"/>
  <c r="DU159" i="1" s="1"/>
  <c r="DT162" i="1"/>
  <c r="DQ162" i="1"/>
  <c r="DQ160" i="1" s="1"/>
  <c r="DQ159" i="1" s="1"/>
  <c r="DP162" i="1"/>
  <c r="DP160" i="1" s="1"/>
  <c r="DP159" i="1" s="1"/>
  <c r="DO162" i="1"/>
  <c r="DN162" i="1"/>
  <c r="DM162" i="1"/>
  <c r="DM160" i="1" s="1"/>
  <c r="DM159" i="1" s="1"/>
  <c r="DL162" i="1"/>
  <c r="DL160" i="1" s="1"/>
  <c r="DL159" i="1" s="1"/>
  <c r="DK162" i="1"/>
  <c r="DJ162" i="1"/>
  <c r="DI162" i="1"/>
  <c r="DI160" i="1" s="1"/>
  <c r="DI159" i="1" s="1"/>
  <c r="DG162" i="1"/>
  <c r="DF162" i="1"/>
  <c r="DE162" i="1"/>
  <c r="DE160" i="1" s="1"/>
  <c r="DE159" i="1" s="1"/>
  <c r="DD162" i="1"/>
  <c r="DC162" i="1"/>
  <c r="DB162" i="1"/>
  <c r="DA162" i="1"/>
  <c r="CZ162" i="1"/>
  <c r="CY162" i="1"/>
  <c r="CY160" i="1" s="1"/>
  <c r="CY159" i="1" s="1"/>
  <c r="CX162" i="1"/>
  <c r="CT162" i="1"/>
  <c r="CS162" i="1"/>
  <c r="CR162" i="1"/>
  <c r="CP162" i="1"/>
  <c r="CO162" i="1"/>
  <c r="CO160" i="1" s="1"/>
  <c r="CO159" i="1" s="1"/>
  <c r="CN162" i="1"/>
  <c r="CK162" i="1"/>
  <c r="CJ162" i="1"/>
  <c r="CI162" i="1"/>
  <c r="CH162" i="1"/>
  <c r="CG162" i="1"/>
  <c r="CG160" i="1" s="1"/>
  <c r="CG159" i="1" s="1"/>
  <c r="CF162" i="1"/>
  <c r="CE162" i="1"/>
  <c r="CE160" i="1" s="1"/>
  <c r="CE159" i="1" s="1"/>
  <c r="CD162" i="1"/>
  <c r="CC162" i="1"/>
  <c r="CC160" i="1" s="1"/>
  <c r="CC159" i="1" s="1"/>
  <c r="CB162" i="1"/>
  <c r="BZ162" i="1"/>
  <c r="BY162" i="1"/>
  <c r="BX162" i="1"/>
  <c r="BX160" i="1" s="1"/>
  <c r="BX159" i="1" s="1"/>
  <c r="BW162" i="1"/>
  <c r="BV162" i="1"/>
  <c r="BV160" i="1" s="1"/>
  <c r="BV159" i="1" s="1"/>
  <c r="BU162" i="1"/>
  <c r="BT162" i="1"/>
  <c r="BT160" i="1" s="1"/>
  <c r="BT159" i="1" s="1"/>
  <c r="BS162" i="1"/>
  <c r="BR162" i="1"/>
  <c r="BQ162" i="1"/>
  <c r="BO162" i="1"/>
  <c r="BN162" i="1"/>
  <c r="BM162" i="1"/>
  <c r="BM160" i="1" s="1"/>
  <c r="BM159" i="1" s="1"/>
  <c r="BL162" i="1"/>
  <c r="BK162" i="1"/>
  <c r="BK160" i="1" s="1"/>
  <c r="BK159" i="1" s="1"/>
  <c r="BJ162" i="1"/>
  <c r="BI162" i="1"/>
  <c r="BH162" i="1"/>
  <c r="BG162" i="1"/>
  <c r="BG160" i="1" s="1"/>
  <c r="BG159" i="1" s="1"/>
  <c r="BF162" i="1"/>
  <c r="BA162" i="1"/>
  <c r="AZ162" i="1"/>
  <c r="AY162" i="1"/>
  <c r="AW162" i="1"/>
  <c r="AU162" i="1"/>
  <c r="AS162" i="1"/>
  <c r="AR162" i="1"/>
  <c r="AQ162" i="1"/>
  <c r="AP162" i="1"/>
  <c r="AP160" i="1" s="1"/>
  <c r="AP159" i="1" s="1"/>
  <c r="AO162" i="1"/>
  <c r="AN162" i="1"/>
  <c r="AN160" i="1" s="1"/>
  <c r="AN159" i="1" s="1"/>
  <c r="AM162" i="1"/>
  <c r="AL162" i="1"/>
  <c r="AL160" i="1" s="1"/>
  <c r="AL159" i="1" s="1"/>
  <c r="AK162" i="1"/>
  <c r="AJ162" i="1"/>
  <c r="AG162" i="1"/>
  <c r="AG160" i="1" s="1"/>
  <c r="AG159" i="1" s="1"/>
  <c r="AF162" i="1"/>
  <c r="AF160" i="1" s="1"/>
  <c r="AF159" i="1" s="1"/>
  <c r="AE162" i="1"/>
  <c r="AD162" i="1"/>
  <c r="AD160" i="1" s="1"/>
  <c r="AD159" i="1" s="1"/>
  <c r="AC162" i="1"/>
  <c r="AC160" i="1" s="1"/>
  <c r="AC159" i="1" s="1"/>
  <c r="AB162" i="1"/>
  <c r="AA162" i="1"/>
  <c r="Z162" i="1"/>
  <c r="Y162" i="1"/>
  <c r="Y160" i="1" s="1"/>
  <c r="Y159" i="1" s="1"/>
  <c r="W162" i="1"/>
  <c r="V162" i="1"/>
  <c r="U162" i="1"/>
  <c r="U160" i="1" s="1"/>
  <c r="U159" i="1" s="1"/>
  <c r="T162" i="1"/>
  <c r="S162" i="1"/>
  <c r="R162" i="1"/>
  <c r="Q162" i="1"/>
  <c r="P162" i="1"/>
  <c r="O162" i="1"/>
  <c r="O160" i="1" s="1"/>
  <c r="O159" i="1" s="1"/>
  <c r="N162" i="1"/>
  <c r="K162" i="1"/>
  <c r="K160" i="1" s="1"/>
  <c r="K159" i="1" s="1"/>
  <c r="J162" i="1"/>
  <c r="I162" i="1"/>
  <c r="H162" i="1"/>
  <c r="G162" i="1"/>
  <c r="G160" i="1" s="1"/>
  <c r="G159" i="1" s="1"/>
  <c r="F162" i="1"/>
  <c r="E162" i="1"/>
  <c r="E160" i="1" s="1"/>
  <c r="E159" i="1" s="1"/>
  <c r="D162" i="1"/>
  <c r="C162" i="1"/>
  <c r="C160" i="1" s="1"/>
  <c r="C159" i="1" s="1"/>
  <c r="IT161" i="1"/>
  <c r="IO161" i="1"/>
  <c r="II161" i="1"/>
  <c r="IH161" i="1"/>
  <c r="IG161" i="1"/>
  <c r="IF161" i="1"/>
  <c r="IE161" i="1"/>
  <c r="HZ161" i="1"/>
  <c r="HU161" i="1"/>
  <c r="HO161" i="1"/>
  <c r="HN161" i="1"/>
  <c r="HM161" i="1"/>
  <c r="HL161" i="1"/>
  <c r="HK161" i="1"/>
  <c r="HF161" i="1"/>
  <c r="HA161" i="1"/>
  <c r="GV161" i="1"/>
  <c r="GE161" i="1"/>
  <c r="GD161" i="1"/>
  <c r="GC161" i="1"/>
  <c r="GB161" i="1"/>
  <c r="GA161" i="1"/>
  <c r="FZ161" i="1"/>
  <c r="FY161" i="1"/>
  <c r="FX161" i="1"/>
  <c r="FW161" i="1"/>
  <c r="FV161" i="1"/>
  <c r="FU161" i="1"/>
  <c r="FJ161" i="1"/>
  <c r="EY161" i="1"/>
  <c r="EM161" i="1"/>
  <c r="EL161" i="1"/>
  <c r="EK161" i="1"/>
  <c r="EJ161" i="1"/>
  <c r="EI161" i="1"/>
  <c r="EH161" i="1"/>
  <c r="EG161" i="1"/>
  <c r="EF161" i="1"/>
  <c r="EE161" i="1"/>
  <c r="ED161" i="1"/>
  <c r="DR161" i="1"/>
  <c r="DG161" i="1"/>
  <c r="CU161" i="1"/>
  <c r="CT161" i="1"/>
  <c r="CS161" i="1"/>
  <c r="CR161" i="1"/>
  <c r="CQ161" i="1"/>
  <c r="CP161" i="1"/>
  <c r="CO161" i="1"/>
  <c r="CN161" i="1"/>
  <c r="CM161" i="1"/>
  <c r="CL161" i="1"/>
  <c r="CK161" i="1"/>
  <c r="BZ161" i="1"/>
  <c r="BO161" i="1"/>
  <c r="BC161" i="1"/>
  <c r="BB161" i="1"/>
  <c r="BA161" i="1"/>
  <c r="GN161" i="1" s="1"/>
  <c r="AZ161" i="1"/>
  <c r="AY161" i="1"/>
  <c r="AX161" i="1"/>
  <c r="AW161" i="1"/>
  <c r="AV161" i="1"/>
  <c r="AU161" i="1"/>
  <c r="AT161" i="1"/>
  <c r="AS161" i="1"/>
  <c r="AH161" i="1"/>
  <c r="W161" i="1"/>
  <c r="L161" i="1"/>
  <c r="IV160" i="1"/>
  <c r="IV159" i="1" s="1"/>
  <c r="IT160" i="1"/>
  <c r="IT159" i="1" s="1"/>
  <c r="IR160" i="1"/>
  <c r="IP160" i="1"/>
  <c r="IN160" i="1"/>
  <c r="IN159" i="1" s="1"/>
  <c r="IL160" i="1"/>
  <c r="IL159" i="1" s="1"/>
  <c r="IB160" i="1"/>
  <c r="IB159" i="1" s="1"/>
  <c r="IA160" i="1"/>
  <c r="HX160" i="1"/>
  <c r="HX159" i="1" s="1"/>
  <c r="HW160" i="1"/>
  <c r="HW159" i="1" s="1"/>
  <c r="HT160" i="1"/>
  <c r="HT159" i="1" s="1"/>
  <c r="HS160" i="1"/>
  <c r="HS159" i="1" s="1"/>
  <c r="HR160" i="1"/>
  <c r="HJ160" i="1"/>
  <c r="HG160" i="1"/>
  <c r="HG159" i="1" s="1"/>
  <c r="HD160" i="1"/>
  <c r="HD159" i="1" s="1"/>
  <c r="HB160" i="1"/>
  <c r="HB159" i="1" s="1"/>
  <c r="GZ160" i="1"/>
  <c r="GY160" i="1"/>
  <c r="GX160" i="1"/>
  <c r="GV160" i="1"/>
  <c r="GV159" i="1" s="1"/>
  <c r="GT160" i="1"/>
  <c r="FW160" i="1"/>
  <c r="FW159" i="1" s="1"/>
  <c r="FT160" i="1"/>
  <c r="FT159" i="1" s="1"/>
  <c r="FN160" i="1"/>
  <c r="FN159" i="1" s="1"/>
  <c r="FM160" i="1"/>
  <c r="FL160" i="1"/>
  <c r="FI160" i="1"/>
  <c r="FI159" i="1" s="1"/>
  <c r="FH160" i="1"/>
  <c r="FH159" i="1" s="1"/>
  <c r="FG160" i="1"/>
  <c r="FD160" i="1"/>
  <c r="FD159" i="1" s="1"/>
  <c r="FC160" i="1"/>
  <c r="EX160" i="1"/>
  <c r="EX159" i="1" s="1"/>
  <c r="EV160" i="1"/>
  <c r="EV159" i="1" s="1"/>
  <c r="EU160" i="1"/>
  <c r="EU159" i="1" s="1"/>
  <c r="ET160" i="1"/>
  <c r="ER160" i="1"/>
  <c r="ER159" i="1" s="1"/>
  <c r="EP160" i="1"/>
  <c r="EP159" i="1" s="1"/>
  <c r="EB160" i="1"/>
  <c r="EB159" i="1" s="1"/>
  <c r="EA160" i="1"/>
  <c r="DX160" i="1"/>
  <c r="DX159" i="1" s="1"/>
  <c r="DW160" i="1"/>
  <c r="DT160" i="1"/>
  <c r="DT159" i="1" s="1"/>
  <c r="DO160" i="1"/>
  <c r="DO159" i="1" s="1"/>
  <c r="DN160" i="1"/>
  <c r="DN159" i="1" s="1"/>
  <c r="DK160" i="1"/>
  <c r="DK159" i="1" s="1"/>
  <c r="DJ160" i="1"/>
  <c r="DJ159" i="1" s="1"/>
  <c r="DF160" i="1"/>
  <c r="DF159" i="1" s="1"/>
  <c r="DC160" i="1"/>
  <c r="DC159" i="1" s="1"/>
  <c r="DB160" i="1"/>
  <c r="DB159" i="1" s="1"/>
  <c r="DA160" i="1"/>
  <c r="CX160" i="1"/>
  <c r="CX159" i="1" s="1"/>
  <c r="CS160" i="1"/>
  <c r="CS159" i="1" s="1"/>
  <c r="CR160" i="1"/>
  <c r="CR159" i="1" s="1"/>
  <c r="CN160" i="1"/>
  <c r="CN159" i="1" s="1"/>
  <c r="CJ160" i="1"/>
  <c r="CI160" i="1"/>
  <c r="CI159" i="1" s="1"/>
  <c r="CH160" i="1"/>
  <c r="CF160" i="1"/>
  <c r="CD160" i="1"/>
  <c r="CD159" i="1" s="1"/>
  <c r="CB160" i="1"/>
  <c r="CB159" i="1" s="1"/>
  <c r="BY160" i="1"/>
  <c r="BW160" i="1"/>
  <c r="BW159" i="1" s="1"/>
  <c r="BU160" i="1"/>
  <c r="BU159" i="1" s="1"/>
  <c r="BS160" i="1"/>
  <c r="BR160" i="1"/>
  <c r="BR159" i="1" s="1"/>
  <c r="BQ160" i="1"/>
  <c r="BQ159" i="1" s="1"/>
  <c r="BN160" i="1"/>
  <c r="BL160" i="1"/>
  <c r="BL159" i="1" s="1"/>
  <c r="BJ160" i="1"/>
  <c r="BI160" i="1"/>
  <c r="BI159" i="1" s="1"/>
  <c r="BH160" i="1"/>
  <c r="BH159" i="1" s="1"/>
  <c r="BF160" i="1"/>
  <c r="BF159" i="1" s="1"/>
  <c r="AR160" i="1"/>
  <c r="AR159" i="1" s="1"/>
  <c r="AQ160" i="1"/>
  <c r="AO160" i="1"/>
  <c r="AO159" i="1" s="1"/>
  <c r="AM160" i="1"/>
  <c r="AM159" i="1" s="1"/>
  <c r="AK160" i="1"/>
  <c r="AJ160" i="1"/>
  <c r="AJ159" i="1" s="1"/>
  <c r="AE160" i="1"/>
  <c r="AE159" i="1" s="1"/>
  <c r="AB160" i="1"/>
  <c r="AB159" i="1" s="1"/>
  <c r="AA160" i="1"/>
  <c r="AA159" i="1" s="1"/>
  <c r="Z160" i="1"/>
  <c r="Z159" i="1" s="1"/>
  <c r="V160" i="1"/>
  <c r="V159" i="1" s="1"/>
  <c r="S160" i="1"/>
  <c r="S159" i="1" s="1"/>
  <c r="R160" i="1"/>
  <c r="R159" i="1" s="1"/>
  <c r="Q160" i="1"/>
  <c r="N160" i="1"/>
  <c r="N159" i="1" s="1"/>
  <c r="J160" i="1"/>
  <c r="J159" i="1" s="1"/>
  <c r="I160" i="1"/>
  <c r="I159" i="1" s="1"/>
  <c r="H160" i="1"/>
  <c r="H159" i="1" s="1"/>
  <c r="F160" i="1"/>
  <c r="F159" i="1" s="1"/>
  <c r="D160" i="1"/>
  <c r="D159" i="1" s="1"/>
  <c r="IS159" i="1"/>
  <c r="IR159" i="1"/>
  <c r="IP159" i="1"/>
  <c r="IK159" i="1"/>
  <c r="IC159" i="1"/>
  <c r="IA159" i="1"/>
  <c r="HY159" i="1"/>
  <c r="HR159" i="1"/>
  <c r="HQ159" i="1"/>
  <c r="HJ159" i="1"/>
  <c r="HI159" i="1"/>
  <c r="HE159" i="1"/>
  <c r="GZ159" i="1"/>
  <c r="GY159" i="1"/>
  <c r="GX159" i="1"/>
  <c r="GW159" i="1"/>
  <c r="GT159" i="1"/>
  <c r="GS159" i="1"/>
  <c r="GB159" i="1"/>
  <c r="FX159" i="1"/>
  <c r="FM159" i="1"/>
  <c r="FL159" i="1"/>
  <c r="FG159" i="1"/>
  <c r="FF159" i="1"/>
  <c r="FC159" i="1"/>
  <c r="FB159" i="1"/>
  <c r="EW159" i="1"/>
  <c r="ET159" i="1"/>
  <c r="ES159" i="1"/>
  <c r="EA159" i="1"/>
  <c r="DW159" i="1"/>
  <c r="DA159" i="1"/>
  <c r="CJ159" i="1"/>
  <c r="CH159" i="1"/>
  <c r="CF159" i="1"/>
  <c r="BY159" i="1"/>
  <c r="BS159" i="1"/>
  <c r="BN159" i="1"/>
  <c r="BJ159" i="1"/>
  <c r="AQ159" i="1"/>
  <c r="AK159" i="1"/>
  <c r="Q159" i="1"/>
  <c r="IT158" i="1"/>
  <c r="IO158" i="1"/>
  <c r="II158" i="1"/>
  <c r="IH158" i="1"/>
  <c r="IG158" i="1"/>
  <c r="IF158" i="1"/>
  <c r="IE158" i="1"/>
  <c r="HZ158" i="1"/>
  <c r="HU158" i="1"/>
  <c r="HO158" i="1"/>
  <c r="HN158" i="1"/>
  <c r="HM158" i="1"/>
  <c r="HL158" i="1"/>
  <c r="HK158" i="1"/>
  <c r="HF158" i="1"/>
  <c r="HA158" i="1"/>
  <c r="GV158" i="1"/>
  <c r="GE158" i="1"/>
  <c r="GD158" i="1"/>
  <c r="GC158" i="1"/>
  <c r="GB158" i="1"/>
  <c r="GA158" i="1"/>
  <c r="FZ158" i="1"/>
  <c r="FY158" i="1"/>
  <c r="FX158" i="1"/>
  <c r="FW158" i="1"/>
  <c r="FV158" i="1"/>
  <c r="FU158" i="1"/>
  <c r="FJ158" i="1"/>
  <c r="EY158" i="1"/>
  <c r="EM158" i="1"/>
  <c r="EL158" i="1"/>
  <c r="EK158" i="1"/>
  <c r="EJ158" i="1"/>
  <c r="EI158" i="1"/>
  <c r="EH158" i="1"/>
  <c r="EG158" i="1"/>
  <c r="EF158" i="1"/>
  <c r="EE158" i="1"/>
  <c r="ED158" i="1"/>
  <c r="DR158" i="1"/>
  <c r="DG158" i="1"/>
  <c r="CU158" i="1"/>
  <c r="CT158" i="1"/>
  <c r="CS158" i="1"/>
  <c r="CR158" i="1"/>
  <c r="CQ158" i="1"/>
  <c r="CP158" i="1"/>
  <c r="CO158" i="1"/>
  <c r="CN158" i="1"/>
  <c r="CM158" i="1"/>
  <c r="CL158" i="1"/>
  <c r="CK158" i="1"/>
  <c r="BZ158" i="1"/>
  <c r="BO158" i="1"/>
  <c r="BC158" i="1"/>
  <c r="BB158" i="1"/>
  <c r="BA158" i="1"/>
  <c r="AZ158" i="1"/>
  <c r="AY158" i="1"/>
  <c r="AX158" i="1"/>
  <c r="AW158" i="1"/>
  <c r="AV158" i="1"/>
  <c r="GI158" i="1" s="1"/>
  <c r="AU158" i="1"/>
  <c r="AT158" i="1"/>
  <c r="AS158" i="1"/>
  <c r="AH158" i="1"/>
  <c r="W158" i="1"/>
  <c r="L158" i="1"/>
  <c r="IT157" i="1"/>
  <c r="IO157" i="1"/>
  <c r="II157" i="1"/>
  <c r="IH157" i="1"/>
  <c r="IG157" i="1"/>
  <c r="IF157" i="1"/>
  <c r="IE157" i="1"/>
  <c r="HZ157" i="1"/>
  <c r="HU157" i="1"/>
  <c r="HO157" i="1"/>
  <c r="HN157" i="1"/>
  <c r="HM157" i="1"/>
  <c r="HL157" i="1"/>
  <c r="HK157" i="1"/>
  <c r="HF157" i="1"/>
  <c r="HA157" i="1"/>
  <c r="GV157" i="1"/>
  <c r="GE157" i="1"/>
  <c r="GD157" i="1"/>
  <c r="GC157" i="1"/>
  <c r="GB157" i="1"/>
  <c r="GA157" i="1"/>
  <c r="FZ157" i="1"/>
  <c r="FY157" i="1"/>
  <c r="FX157" i="1"/>
  <c r="FW157" i="1"/>
  <c r="FV157" i="1"/>
  <c r="FU157" i="1"/>
  <c r="FJ157" i="1"/>
  <c r="EY157" i="1"/>
  <c r="EM157" i="1"/>
  <c r="EL157" i="1"/>
  <c r="EK157" i="1"/>
  <c r="EJ157" i="1"/>
  <c r="EI157" i="1"/>
  <c r="EH157" i="1"/>
  <c r="EG157" i="1"/>
  <c r="EF157" i="1"/>
  <c r="EE157" i="1"/>
  <c r="ED157" i="1"/>
  <c r="DR157" i="1"/>
  <c r="DG157" i="1"/>
  <c r="CU157" i="1"/>
  <c r="CT157" i="1"/>
  <c r="CS157" i="1"/>
  <c r="CR157" i="1"/>
  <c r="CQ157" i="1"/>
  <c r="CP157" i="1"/>
  <c r="CO157" i="1"/>
  <c r="CN157" i="1"/>
  <c r="CM157" i="1"/>
  <c r="CL157" i="1"/>
  <c r="CK157" i="1"/>
  <c r="BZ157" i="1"/>
  <c r="BO157" i="1"/>
  <c r="BC157" i="1"/>
  <c r="BB157" i="1"/>
  <c r="BA157" i="1"/>
  <c r="GN157" i="1" s="1"/>
  <c r="AZ157" i="1"/>
  <c r="AY157" i="1"/>
  <c r="AX157" i="1"/>
  <c r="AW157" i="1"/>
  <c r="GJ157" i="1" s="1"/>
  <c r="AV157" i="1"/>
  <c r="AU157" i="1"/>
  <c r="AT157" i="1"/>
  <c r="AS157" i="1"/>
  <c r="AH157" i="1"/>
  <c r="W157" i="1"/>
  <c r="L157" i="1"/>
  <c r="IT156" i="1"/>
  <c r="IT155" i="1" s="1"/>
  <c r="IO156" i="1"/>
  <c r="II156" i="1"/>
  <c r="II155" i="1" s="1"/>
  <c r="IH156" i="1"/>
  <c r="IG156" i="1"/>
  <c r="IG155" i="1" s="1"/>
  <c r="IF156" i="1"/>
  <c r="IE156" i="1"/>
  <c r="IE155" i="1" s="1"/>
  <c r="HZ156" i="1"/>
  <c r="HU156" i="1"/>
  <c r="HU155" i="1" s="1"/>
  <c r="HO156" i="1"/>
  <c r="HN156" i="1"/>
  <c r="HM156" i="1"/>
  <c r="HL156" i="1"/>
  <c r="HP156" i="1" s="1"/>
  <c r="HK156" i="1"/>
  <c r="HF156" i="1"/>
  <c r="HF155" i="1" s="1"/>
  <c r="HA156" i="1"/>
  <c r="GV156" i="1"/>
  <c r="GV155" i="1" s="1"/>
  <c r="GE156" i="1"/>
  <c r="GD156" i="1"/>
  <c r="GD155" i="1" s="1"/>
  <c r="GC156" i="1"/>
  <c r="GB156" i="1"/>
  <c r="GB155" i="1" s="1"/>
  <c r="GA156" i="1"/>
  <c r="FZ156" i="1"/>
  <c r="FZ155" i="1" s="1"/>
  <c r="FY156" i="1"/>
  <c r="FX156" i="1"/>
  <c r="FX155" i="1" s="1"/>
  <c r="FW156" i="1"/>
  <c r="FV156" i="1"/>
  <c r="FU156" i="1"/>
  <c r="FJ156" i="1"/>
  <c r="FJ155" i="1" s="1"/>
  <c r="EY156" i="1"/>
  <c r="EM156" i="1"/>
  <c r="EL156" i="1"/>
  <c r="EK156" i="1"/>
  <c r="EK155" i="1" s="1"/>
  <c r="EJ156" i="1"/>
  <c r="EI156" i="1"/>
  <c r="EH156" i="1"/>
  <c r="EG156" i="1"/>
  <c r="EG155" i="1" s="1"/>
  <c r="EF156" i="1"/>
  <c r="EE156" i="1"/>
  <c r="ED156" i="1"/>
  <c r="DR156" i="1"/>
  <c r="DR155" i="1" s="1"/>
  <c r="DG156" i="1"/>
  <c r="CU156" i="1"/>
  <c r="CT156" i="1"/>
  <c r="CS156" i="1"/>
  <c r="CS155" i="1" s="1"/>
  <c r="CR156" i="1"/>
  <c r="CQ156" i="1"/>
  <c r="CP156" i="1"/>
  <c r="CO156" i="1"/>
  <c r="CO155" i="1" s="1"/>
  <c r="CN156" i="1"/>
  <c r="CM156" i="1"/>
  <c r="CL156" i="1"/>
  <c r="CK156" i="1"/>
  <c r="CK155" i="1" s="1"/>
  <c r="BZ156" i="1"/>
  <c r="BO156" i="1"/>
  <c r="BC156" i="1"/>
  <c r="BB156" i="1"/>
  <c r="GO156" i="1" s="1"/>
  <c r="BA156" i="1"/>
  <c r="AZ156" i="1"/>
  <c r="AZ155" i="1" s="1"/>
  <c r="AY156" i="1"/>
  <c r="AX156" i="1"/>
  <c r="GK156" i="1" s="1"/>
  <c r="AW156" i="1"/>
  <c r="AV156" i="1"/>
  <c r="AU156" i="1"/>
  <c r="AT156" i="1"/>
  <c r="GG156" i="1" s="1"/>
  <c r="AS156" i="1"/>
  <c r="AH156" i="1"/>
  <c r="AH155" i="1" s="1"/>
  <c r="W156" i="1"/>
  <c r="L156" i="1"/>
  <c r="L155" i="1" s="1"/>
  <c r="IV155" i="1"/>
  <c r="IU155" i="1"/>
  <c r="IS155" i="1"/>
  <c r="IR155" i="1"/>
  <c r="IQ155" i="1"/>
  <c r="IP155" i="1"/>
  <c r="IN155" i="1"/>
  <c r="IM155" i="1"/>
  <c r="IL155" i="1"/>
  <c r="IK155" i="1"/>
  <c r="IF155" i="1"/>
  <c r="ID155" i="1"/>
  <c r="IC155" i="1"/>
  <c r="IB155" i="1"/>
  <c r="IA155" i="1"/>
  <c r="HZ155" i="1"/>
  <c r="HY155" i="1"/>
  <c r="HX155" i="1"/>
  <c r="HW155" i="1"/>
  <c r="HV155" i="1"/>
  <c r="HT155" i="1"/>
  <c r="HS155" i="1"/>
  <c r="HR155" i="1"/>
  <c r="HQ155" i="1"/>
  <c r="HN155" i="1"/>
  <c r="HK155" i="1"/>
  <c r="HJ155" i="1"/>
  <c r="HI155" i="1"/>
  <c r="HH155" i="1"/>
  <c r="HG155" i="1"/>
  <c r="HE155" i="1"/>
  <c r="HD155" i="1"/>
  <c r="HC155" i="1"/>
  <c r="HB155" i="1"/>
  <c r="HA155" i="1"/>
  <c r="GZ155" i="1"/>
  <c r="GY155" i="1"/>
  <c r="GX155" i="1"/>
  <c r="GW155" i="1"/>
  <c r="GU155" i="1"/>
  <c r="GT155" i="1"/>
  <c r="GS155" i="1"/>
  <c r="GR155" i="1"/>
  <c r="GA155" i="1"/>
  <c r="FY155" i="1"/>
  <c r="FU155" i="1"/>
  <c r="FT155" i="1"/>
  <c r="FS155" i="1"/>
  <c r="FR155" i="1"/>
  <c r="FQ155" i="1"/>
  <c r="FP155" i="1"/>
  <c r="FO155" i="1"/>
  <c r="FN155" i="1"/>
  <c r="FM155" i="1"/>
  <c r="FL155" i="1"/>
  <c r="FI155" i="1"/>
  <c r="FH155" i="1"/>
  <c r="FG155" i="1"/>
  <c r="FF155" i="1"/>
  <c r="FE155" i="1"/>
  <c r="FD155" i="1"/>
  <c r="FC155" i="1"/>
  <c r="FB155" i="1"/>
  <c r="FA155" i="1"/>
  <c r="EX155" i="1"/>
  <c r="EW155" i="1"/>
  <c r="EV155" i="1"/>
  <c r="EU155" i="1"/>
  <c r="ET155" i="1"/>
  <c r="ES155" i="1"/>
  <c r="ER155" i="1"/>
  <c r="EQ155" i="1"/>
  <c r="EP155" i="1"/>
  <c r="EL155" i="1"/>
  <c r="EC155" i="1"/>
  <c r="EB155" i="1"/>
  <c r="EA155" i="1"/>
  <c r="DZ155" i="1"/>
  <c r="DY155" i="1"/>
  <c r="DX155" i="1"/>
  <c r="DW155" i="1"/>
  <c r="DV155" i="1"/>
  <c r="DU155" i="1"/>
  <c r="DT155" i="1"/>
  <c r="DQ155" i="1"/>
  <c r="DP155" i="1"/>
  <c r="DO155" i="1"/>
  <c r="DN155" i="1"/>
  <c r="DM155" i="1"/>
  <c r="DL155" i="1"/>
  <c r="DK155" i="1"/>
  <c r="DJ155" i="1"/>
  <c r="DI155" i="1"/>
  <c r="DF155" i="1"/>
  <c r="DE155" i="1"/>
  <c r="DD155" i="1"/>
  <c r="DC155" i="1"/>
  <c r="DB155" i="1"/>
  <c r="DA155" i="1"/>
  <c r="CZ155" i="1"/>
  <c r="CY155" i="1"/>
  <c r="CX155" i="1"/>
  <c r="CP155" i="1"/>
  <c r="CJ155" i="1"/>
  <c r="CI155" i="1"/>
  <c r="CH155" i="1"/>
  <c r="CG155" i="1"/>
  <c r="CF155" i="1"/>
  <c r="CE155" i="1"/>
  <c r="CD155" i="1"/>
  <c r="CC155" i="1"/>
  <c r="CB155" i="1"/>
  <c r="BY155" i="1"/>
  <c r="BX155" i="1"/>
  <c r="BW155" i="1"/>
  <c r="BV155" i="1"/>
  <c r="BU155" i="1"/>
  <c r="BT155" i="1"/>
  <c r="BS155" i="1"/>
  <c r="BR155" i="1"/>
  <c r="BQ155" i="1"/>
  <c r="BN155" i="1"/>
  <c r="BM155" i="1"/>
  <c r="BL155" i="1"/>
  <c r="BK155" i="1"/>
  <c r="BJ155" i="1"/>
  <c r="BI155" i="1"/>
  <c r="BH155" i="1"/>
  <c r="BG155" i="1"/>
  <c r="BF155" i="1"/>
  <c r="AV155" i="1"/>
  <c r="AR155" i="1"/>
  <c r="AQ155" i="1"/>
  <c r="AP155" i="1"/>
  <c r="AO155" i="1"/>
  <c r="AN155" i="1"/>
  <c r="AM155" i="1"/>
  <c r="AL155" i="1"/>
  <c r="AK155" i="1"/>
  <c r="AJ155" i="1"/>
  <c r="AG155" i="1"/>
  <c r="AF155" i="1"/>
  <c r="AE155" i="1"/>
  <c r="AD155" i="1"/>
  <c r="AC155" i="1"/>
  <c r="AB155" i="1"/>
  <c r="AA155" i="1"/>
  <c r="Z155" i="1"/>
  <c r="Y155" i="1"/>
  <c r="V155" i="1"/>
  <c r="U155" i="1"/>
  <c r="T155" i="1"/>
  <c r="S155" i="1"/>
  <c r="R155" i="1"/>
  <c r="Q155" i="1"/>
  <c r="P155" i="1"/>
  <c r="O155" i="1"/>
  <c r="N155" i="1"/>
  <c r="K155" i="1"/>
  <c r="J155" i="1"/>
  <c r="I155" i="1"/>
  <c r="H155" i="1"/>
  <c r="G155" i="1"/>
  <c r="F155" i="1"/>
  <c r="E155" i="1"/>
  <c r="D155" i="1"/>
  <c r="C155" i="1"/>
  <c r="IT154" i="1"/>
  <c r="IO154" i="1"/>
  <c r="II154" i="1"/>
  <c r="IH154" i="1"/>
  <c r="IG154" i="1"/>
  <c r="IF154" i="1"/>
  <c r="IE154" i="1"/>
  <c r="HZ154" i="1"/>
  <c r="HU154" i="1"/>
  <c r="HO154" i="1"/>
  <c r="HN154" i="1"/>
  <c r="HM154" i="1"/>
  <c r="HL154" i="1"/>
  <c r="HK154" i="1"/>
  <c r="HF154" i="1"/>
  <c r="HA154" i="1"/>
  <c r="GV154" i="1"/>
  <c r="GE154" i="1"/>
  <c r="GD154" i="1"/>
  <c r="GC154" i="1"/>
  <c r="GB154" i="1"/>
  <c r="GA154" i="1"/>
  <c r="FZ154" i="1"/>
  <c r="FY154" i="1"/>
  <c r="FX154" i="1"/>
  <c r="FW154" i="1"/>
  <c r="FV154" i="1"/>
  <c r="FU154" i="1"/>
  <c r="FJ154" i="1"/>
  <c r="EY154" i="1"/>
  <c r="EM154" i="1"/>
  <c r="EL154" i="1"/>
  <c r="EK154" i="1"/>
  <c r="EJ154" i="1"/>
  <c r="EI154" i="1"/>
  <c r="EH154" i="1"/>
  <c r="EG154" i="1"/>
  <c r="EF154" i="1"/>
  <c r="EE154" i="1"/>
  <c r="ED154" i="1"/>
  <c r="DR154" i="1"/>
  <c r="DG154" i="1"/>
  <c r="CU154" i="1"/>
  <c r="CT154" i="1"/>
  <c r="CS154" i="1"/>
  <c r="CR154" i="1"/>
  <c r="CQ154" i="1"/>
  <c r="CP154" i="1"/>
  <c r="CO154" i="1"/>
  <c r="CN154" i="1"/>
  <c r="CM154" i="1"/>
  <c r="CL154" i="1"/>
  <c r="CK154" i="1"/>
  <c r="BZ154" i="1"/>
  <c r="BO154" i="1"/>
  <c r="BC154" i="1"/>
  <c r="BB154" i="1"/>
  <c r="BA154" i="1"/>
  <c r="AZ154" i="1"/>
  <c r="AY154" i="1"/>
  <c r="AX154" i="1"/>
  <c r="AW154" i="1"/>
  <c r="AV154" i="1"/>
  <c r="AU154" i="1"/>
  <c r="AT154" i="1"/>
  <c r="AS154" i="1"/>
  <c r="AH154" i="1"/>
  <c r="W154" i="1"/>
  <c r="L154" i="1"/>
  <c r="IT153" i="1"/>
  <c r="IO153" i="1"/>
  <c r="II153" i="1"/>
  <c r="IH153" i="1"/>
  <c r="IG153" i="1"/>
  <c r="IF153" i="1"/>
  <c r="IE153" i="1"/>
  <c r="HZ153" i="1"/>
  <c r="HU153" i="1"/>
  <c r="HO153" i="1"/>
  <c r="HN153" i="1"/>
  <c r="HM153" i="1"/>
  <c r="HL153" i="1"/>
  <c r="HK153" i="1"/>
  <c r="HF153" i="1"/>
  <c r="HA153" i="1"/>
  <c r="GV153" i="1"/>
  <c r="GE153" i="1"/>
  <c r="GD153" i="1"/>
  <c r="GC153" i="1"/>
  <c r="GB153" i="1"/>
  <c r="GA153" i="1"/>
  <c r="FZ153" i="1"/>
  <c r="FY153" i="1"/>
  <c r="FX153" i="1"/>
  <c r="FW153" i="1"/>
  <c r="FV153" i="1"/>
  <c r="FU153" i="1"/>
  <c r="FJ153" i="1"/>
  <c r="EY153" i="1"/>
  <c r="EM153" i="1"/>
  <c r="EL153" i="1"/>
  <c r="EK153" i="1"/>
  <c r="EJ153" i="1"/>
  <c r="EI153" i="1"/>
  <c r="EH153" i="1"/>
  <c r="EG153" i="1"/>
  <c r="EF153" i="1"/>
  <c r="EE153" i="1"/>
  <c r="ED153" i="1"/>
  <c r="DR153" i="1"/>
  <c r="DG153" i="1"/>
  <c r="CU153" i="1"/>
  <c r="CT153" i="1"/>
  <c r="CS153" i="1"/>
  <c r="CR153" i="1"/>
  <c r="CQ153" i="1"/>
  <c r="CP153" i="1"/>
  <c r="CO153" i="1"/>
  <c r="CN153" i="1"/>
  <c r="CM153" i="1"/>
  <c r="CL153" i="1"/>
  <c r="CK153" i="1"/>
  <c r="BZ153" i="1"/>
  <c r="BO153" i="1"/>
  <c r="BC153" i="1"/>
  <c r="BB153" i="1"/>
  <c r="BA153" i="1"/>
  <c r="AZ153" i="1"/>
  <c r="AY153" i="1"/>
  <c r="AX153" i="1"/>
  <c r="AW153" i="1"/>
  <c r="AV153" i="1"/>
  <c r="AU153" i="1"/>
  <c r="AT153" i="1"/>
  <c r="AS153" i="1"/>
  <c r="AH153" i="1"/>
  <c r="W153" i="1"/>
  <c r="L153" i="1"/>
  <c r="IT152" i="1"/>
  <c r="IO152" i="1"/>
  <c r="II152" i="1"/>
  <c r="IH152" i="1"/>
  <c r="IG152" i="1"/>
  <c r="IF152" i="1"/>
  <c r="IE152" i="1"/>
  <c r="HZ152" i="1"/>
  <c r="HU152" i="1"/>
  <c r="HO152" i="1"/>
  <c r="HN152" i="1"/>
  <c r="HM152" i="1"/>
  <c r="HL152" i="1"/>
  <c r="HK152" i="1"/>
  <c r="HF152" i="1"/>
  <c r="HA152" i="1"/>
  <c r="GV152" i="1"/>
  <c r="GE152" i="1"/>
  <c r="GD152" i="1"/>
  <c r="GC152" i="1"/>
  <c r="GB152" i="1"/>
  <c r="GA152" i="1"/>
  <c r="FZ152" i="1"/>
  <c r="FY152" i="1"/>
  <c r="FX152" i="1"/>
  <c r="FW152" i="1"/>
  <c r="FV152" i="1"/>
  <c r="FU152" i="1"/>
  <c r="FJ152" i="1"/>
  <c r="EY152" i="1"/>
  <c r="EM152" i="1"/>
  <c r="EL152" i="1"/>
  <c r="EK152" i="1"/>
  <c r="EJ152" i="1"/>
  <c r="EI152" i="1"/>
  <c r="EH152" i="1"/>
  <c r="EG152" i="1"/>
  <c r="EF152" i="1"/>
  <c r="EE152" i="1"/>
  <c r="ED152" i="1"/>
  <c r="DR152" i="1"/>
  <c r="DG152" i="1"/>
  <c r="CU152" i="1"/>
  <c r="CT152" i="1"/>
  <c r="CS152" i="1"/>
  <c r="CR152" i="1"/>
  <c r="CQ152" i="1"/>
  <c r="CP152" i="1"/>
  <c r="CO152" i="1"/>
  <c r="CN152" i="1"/>
  <c r="CM152" i="1"/>
  <c r="CL152" i="1"/>
  <c r="CK152" i="1"/>
  <c r="BZ152" i="1"/>
  <c r="BO152" i="1"/>
  <c r="BC152" i="1"/>
  <c r="BB152" i="1"/>
  <c r="BA152" i="1"/>
  <c r="AZ152" i="1"/>
  <c r="AY152" i="1"/>
  <c r="AX152" i="1"/>
  <c r="AW152" i="1"/>
  <c r="AV152" i="1"/>
  <c r="AU152" i="1"/>
  <c r="AT152" i="1"/>
  <c r="AS152" i="1"/>
  <c r="AH152" i="1"/>
  <c r="W152" i="1"/>
  <c r="L152" i="1"/>
  <c r="IT151" i="1"/>
  <c r="IO151" i="1"/>
  <c r="II151" i="1"/>
  <c r="IH151" i="1"/>
  <c r="IG151" i="1"/>
  <c r="IF151" i="1"/>
  <c r="IE151" i="1"/>
  <c r="HZ151" i="1"/>
  <c r="HU151" i="1"/>
  <c r="HO151" i="1"/>
  <c r="HN151" i="1"/>
  <c r="HM151" i="1"/>
  <c r="HL151" i="1"/>
  <c r="HK151" i="1"/>
  <c r="HF151" i="1"/>
  <c r="HA151" i="1"/>
  <c r="GV151" i="1"/>
  <c r="GE151" i="1"/>
  <c r="GD151" i="1"/>
  <c r="GC151" i="1"/>
  <c r="GB151" i="1"/>
  <c r="GA151" i="1"/>
  <c r="FZ151" i="1"/>
  <c r="FY151" i="1"/>
  <c r="FX151" i="1"/>
  <c r="FW151" i="1"/>
  <c r="FV151" i="1"/>
  <c r="FU151" i="1"/>
  <c r="FJ151" i="1"/>
  <c r="EY151" i="1"/>
  <c r="EM151" i="1"/>
  <c r="EL151" i="1"/>
  <c r="EK151" i="1"/>
  <c r="EJ151" i="1"/>
  <c r="EI151" i="1"/>
  <c r="EH151" i="1"/>
  <c r="EG151" i="1"/>
  <c r="EF151" i="1"/>
  <c r="EE151" i="1"/>
  <c r="ED151" i="1"/>
  <c r="DR151" i="1"/>
  <c r="DG151" i="1"/>
  <c r="CU151" i="1"/>
  <c r="CT151" i="1"/>
  <c r="CS151" i="1"/>
  <c r="CR151" i="1"/>
  <c r="CQ151" i="1"/>
  <c r="CP151" i="1"/>
  <c r="CO151" i="1"/>
  <c r="CN151" i="1"/>
  <c r="CM151" i="1"/>
  <c r="CL151" i="1"/>
  <c r="CK151" i="1"/>
  <c r="BZ151" i="1"/>
  <c r="BO151" i="1"/>
  <c r="BC151" i="1"/>
  <c r="BB151" i="1"/>
  <c r="BA151" i="1"/>
  <c r="AZ151" i="1"/>
  <c r="AY151" i="1"/>
  <c r="AX151" i="1"/>
  <c r="AW151" i="1"/>
  <c r="AV151" i="1"/>
  <c r="AU151" i="1"/>
  <c r="AT151" i="1"/>
  <c r="AS151" i="1"/>
  <c r="AH151" i="1"/>
  <c r="W151" i="1"/>
  <c r="L151" i="1"/>
  <c r="IT150" i="1"/>
  <c r="IO150" i="1"/>
  <c r="II150" i="1"/>
  <c r="IH150" i="1"/>
  <c r="IG150" i="1"/>
  <c r="IF150" i="1"/>
  <c r="IE150" i="1"/>
  <c r="HZ150" i="1"/>
  <c r="HU150" i="1"/>
  <c r="HO150" i="1"/>
  <c r="HN150" i="1"/>
  <c r="HM150" i="1"/>
  <c r="HL150" i="1"/>
  <c r="HK150" i="1"/>
  <c r="HF150" i="1"/>
  <c r="HA150" i="1"/>
  <c r="GV150" i="1"/>
  <c r="GE150" i="1"/>
  <c r="GD150" i="1"/>
  <c r="GC150" i="1"/>
  <c r="GB150" i="1"/>
  <c r="GA150" i="1"/>
  <c r="FZ150" i="1"/>
  <c r="FY150" i="1"/>
  <c r="FX150" i="1"/>
  <c r="FW150" i="1"/>
  <c r="FV150" i="1"/>
  <c r="FU150" i="1"/>
  <c r="FJ150" i="1"/>
  <c r="EY150" i="1"/>
  <c r="EM150" i="1"/>
  <c r="EL150" i="1"/>
  <c r="EK150" i="1"/>
  <c r="EJ150" i="1"/>
  <c r="EI150" i="1"/>
  <c r="EH150" i="1"/>
  <c r="EG150" i="1"/>
  <c r="EF150" i="1"/>
  <c r="EE150" i="1"/>
  <c r="ED150" i="1"/>
  <c r="DR150" i="1"/>
  <c r="DG150" i="1"/>
  <c r="CU150" i="1"/>
  <c r="CT150" i="1"/>
  <c r="CS150" i="1"/>
  <c r="CR150" i="1"/>
  <c r="CQ150" i="1"/>
  <c r="CP150" i="1"/>
  <c r="CO150" i="1"/>
  <c r="CN150" i="1"/>
  <c r="CM150" i="1"/>
  <c r="CL150" i="1"/>
  <c r="CK150" i="1"/>
  <c r="BZ150" i="1"/>
  <c r="BO150" i="1"/>
  <c r="BC150" i="1"/>
  <c r="BB150" i="1"/>
  <c r="BA150" i="1"/>
  <c r="AZ150" i="1"/>
  <c r="AY150" i="1"/>
  <c r="AX150" i="1"/>
  <c r="AW150" i="1"/>
  <c r="AV150" i="1"/>
  <c r="AU150" i="1"/>
  <c r="AT150" i="1"/>
  <c r="AS150" i="1"/>
  <c r="AH150" i="1"/>
  <c r="W150" i="1"/>
  <c r="L150" i="1"/>
  <c r="IT149" i="1"/>
  <c r="IO149" i="1"/>
  <c r="II149" i="1"/>
  <c r="IH149" i="1"/>
  <c r="IG149" i="1"/>
  <c r="IF149" i="1"/>
  <c r="IE149" i="1"/>
  <c r="HZ149" i="1"/>
  <c r="HU149" i="1"/>
  <c r="HO149" i="1"/>
  <c r="HN149" i="1"/>
  <c r="HM149" i="1"/>
  <c r="HL149" i="1"/>
  <c r="HK149" i="1"/>
  <c r="HF149" i="1"/>
  <c r="HA149" i="1"/>
  <c r="GV149" i="1"/>
  <c r="GE149" i="1"/>
  <c r="GD149" i="1"/>
  <c r="GC149" i="1"/>
  <c r="GB149" i="1"/>
  <c r="GA149" i="1"/>
  <c r="FZ149" i="1"/>
  <c r="FY149" i="1"/>
  <c r="FX149" i="1"/>
  <c r="FW149" i="1"/>
  <c r="FV149" i="1"/>
  <c r="FU149" i="1"/>
  <c r="FJ149" i="1"/>
  <c r="EY149" i="1"/>
  <c r="EM149" i="1"/>
  <c r="EL149" i="1"/>
  <c r="EK149" i="1"/>
  <c r="EJ149" i="1"/>
  <c r="EI149" i="1"/>
  <c r="EH149" i="1"/>
  <c r="EG149" i="1"/>
  <c r="EF149" i="1"/>
  <c r="EE149" i="1"/>
  <c r="ED149" i="1"/>
  <c r="DR149" i="1"/>
  <c r="DG149" i="1"/>
  <c r="CU149" i="1"/>
  <c r="CT149" i="1"/>
  <c r="CS149" i="1"/>
  <c r="CR149" i="1"/>
  <c r="CQ149" i="1"/>
  <c r="CP149" i="1"/>
  <c r="CO149" i="1"/>
  <c r="CN149" i="1"/>
  <c r="CM149" i="1"/>
  <c r="CL149" i="1"/>
  <c r="CK149" i="1"/>
  <c r="BZ149" i="1"/>
  <c r="BO149" i="1"/>
  <c r="BC149" i="1"/>
  <c r="BB149" i="1"/>
  <c r="BA149" i="1"/>
  <c r="AZ149" i="1"/>
  <c r="AY149" i="1"/>
  <c r="AX149" i="1"/>
  <c r="AW149" i="1"/>
  <c r="AV149" i="1"/>
  <c r="AU149" i="1"/>
  <c r="AT149" i="1"/>
  <c r="AS149" i="1"/>
  <c r="AH149" i="1"/>
  <c r="W149" i="1"/>
  <c r="L149" i="1"/>
  <c r="IT148" i="1"/>
  <c r="IO148" i="1"/>
  <c r="II148" i="1"/>
  <c r="IH148" i="1"/>
  <c r="IG148" i="1"/>
  <c r="IF148" i="1"/>
  <c r="IE148" i="1"/>
  <c r="HZ148" i="1"/>
  <c r="HU148" i="1"/>
  <c r="HO148" i="1"/>
  <c r="HN148" i="1"/>
  <c r="HM148" i="1"/>
  <c r="HL148" i="1"/>
  <c r="HK148" i="1"/>
  <c r="HF148" i="1"/>
  <c r="HA148" i="1"/>
  <c r="GV148" i="1"/>
  <c r="GE148" i="1"/>
  <c r="GD148" i="1"/>
  <c r="GC148" i="1"/>
  <c r="GB148" i="1"/>
  <c r="GA148" i="1"/>
  <c r="FZ148" i="1"/>
  <c r="FY148" i="1"/>
  <c r="FX148" i="1"/>
  <c r="FW148" i="1"/>
  <c r="FV148" i="1"/>
  <c r="FU148" i="1"/>
  <c r="FJ148" i="1"/>
  <c r="EY148" i="1"/>
  <c r="EM148" i="1"/>
  <c r="EL148" i="1"/>
  <c r="EK148" i="1"/>
  <c r="EJ148" i="1"/>
  <c r="EI148" i="1"/>
  <c r="EH148" i="1"/>
  <c r="EG148" i="1"/>
  <c r="EF148" i="1"/>
  <c r="EE148" i="1"/>
  <c r="ED148" i="1"/>
  <c r="DR148" i="1"/>
  <c r="DG148" i="1"/>
  <c r="CU148" i="1"/>
  <c r="CT148" i="1"/>
  <c r="CS148" i="1"/>
  <c r="CR148" i="1"/>
  <c r="CQ148" i="1"/>
  <c r="CP148" i="1"/>
  <c r="CO148" i="1"/>
  <c r="CN148" i="1"/>
  <c r="CM148" i="1"/>
  <c r="CL148" i="1"/>
  <c r="CK148" i="1"/>
  <c r="BZ148" i="1"/>
  <c r="BO148" i="1"/>
  <c r="BC148" i="1"/>
  <c r="BB148" i="1"/>
  <c r="BA148" i="1"/>
  <c r="AZ148" i="1"/>
  <c r="AY148" i="1"/>
  <c r="AX148" i="1"/>
  <c r="AW148" i="1"/>
  <c r="AV148" i="1"/>
  <c r="AU148" i="1"/>
  <c r="AT148" i="1"/>
  <c r="AS148" i="1"/>
  <c r="AH148" i="1"/>
  <c r="W148" i="1"/>
  <c r="L148" i="1"/>
  <c r="IT147" i="1"/>
  <c r="IO147" i="1"/>
  <c r="II147" i="1"/>
  <c r="IH147" i="1"/>
  <c r="IG147" i="1"/>
  <c r="IF147" i="1"/>
  <c r="IE147" i="1"/>
  <c r="HZ147" i="1"/>
  <c r="HU147" i="1"/>
  <c r="HO147" i="1"/>
  <c r="HN147" i="1"/>
  <c r="HM147" i="1"/>
  <c r="HL147" i="1"/>
  <c r="HK147" i="1"/>
  <c r="HF147" i="1"/>
  <c r="HA147" i="1"/>
  <c r="GV147" i="1"/>
  <c r="GE147" i="1"/>
  <c r="GD147" i="1"/>
  <c r="GC147" i="1"/>
  <c r="GB147" i="1"/>
  <c r="GA147" i="1"/>
  <c r="FZ147" i="1"/>
  <c r="FY147" i="1"/>
  <c r="FX147" i="1"/>
  <c r="FW147" i="1"/>
  <c r="FV147" i="1"/>
  <c r="FU147" i="1"/>
  <c r="FJ147" i="1"/>
  <c r="EY147" i="1"/>
  <c r="EM147" i="1"/>
  <c r="EL147" i="1"/>
  <c r="EK147" i="1"/>
  <c r="EJ147" i="1"/>
  <c r="EI147" i="1"/>
  <c r="EH147" i="1"/>
  <c r="EG147" i="1"/>
  <c r="EF147" i="1"/>
  <c r="EE147" i="1"/>
  <c r="ED147" i="1"/>
  <c r="DR147" i="1"/>
  <c r="DG147" i="1"/>
  <c r="CU147" i="1"/>
  <c r="CT147" i="1"/>
  <c r="CS147" i="1"/>
  <c r="CR147" i="1"/>
  <c r="CQ147" i="1"/>
  <c r="CP147" i="1"/>
  <c r="CO147" i="1"/>
  <c r="CN147" i="1"/>
  <c r="CM147" i="1"/>
  <c r="CL147" i="1"/>
  <c r="CK147" i="1"/>
  <c r="BZ147" i="1"/>
  <c r="BO147" i="1"/>
  <c r="BC147" i="1"/>
  <c r="BB147" i="1"/>
  <c r="BA147" i="1"/>
  <c r="AZ147" i="1"/>
  <c r="AY147" i="1"/>
  <c r="AX147" i="1"/>
  <c r="AW147" i="1"/>
  <c r="AV147" i="1"/>
  <c r="AU147" i="1"/>
  <c r="AT147" i="1"/>
  <c r="AS147" i="1"/>
  <c r="AH147" i="1"/>
  <c r="W147" i="1"/>
  <c r="L147" i="1"/>
  <c r="IT146" i="1"/>
  <c r="IO146" i="1"/>
  <c r="II146" i="1"/>
  <c r="IH146" i="1"/>
  <c r="IG146" i="1"/>
  <c r="IF146" i="1"/>
  <c r="IE146" i="1"/>
  <c r="HZ146" i="1"/>
  <c r="HU146" i="1"/>
  <c r="HO146" i="1"/>
  <c r="HN146" i="1"/>
  <c r="HM146" i="1"/>
  <c r="HL146" i="1"/>
  <c r="HK146" i="1"/>
  <c r="HF146" i="1"/>
  <c r="HA146" i="1"/>
  <c r="GV146" i="1"/>
  <c r="GE146" i="1"/>
  <c r="GD146" i="1"/>
  <c r="GC146" i="1"/>
  <c r="GB146" i="1"/>
  <c r="GA146" i="1"/>
  <c r="FZ146" i="1"/>
  <c r="FY146" i="1"/>
  <c r="FX146" i="1"/>
  <c r="FW146" i="1"/>
  <c r="FV146" i="1"/>
  <c r="FU146" i="1"/>
  <c r="FJ146" i="1"/>
  <c r="EY146" i="1"/>
  <c r="EM146" i="1"/>
  <c r="EL146" i="1"/>
  <c r="EK146" i="1"/>
  <c r="EJ146" i="1"/>
  <c r="EI146" i="1"/>
  <c r="EH146" i="1"/>
  <c r="EG146" i="1"/>
  <c r="EF146" i="1"/>
  <c r="EE146" i="1"/>
  <c r="ED146" i="1"/>
  <c r="DR146" i="1"/>
  <c r="DG146" i="1"/>
  <c r="CU146" i="1"/>
  <c r="CT146" i="1"/>
  <c r="CS146" i="1"/>
  <c r="CR146" i="1"/>
  <c r="CQ146" i="1"/>
  <c r="CP146" i="1"/>
  <c r="CO146" i="1"/>
  <c r="CN146" i="1"/>
  <c r="CM146" i="1"/>
  <c r="CL146" i="1"/>
  <c r="CK146" i="1"/>
  <c r="BZ146" i="1"/>
  <c r="BO146" i="1"/>
  <c r="BC146" i="1"/>
  <c r="BB146" i="1"/>
  <c r="BA146" i="1"/>
  <c r="AZ146" i="1"/>
  <c r="AY146" i="1"/>
  <c r="AX146" i="1"/>
  <c r="AW146" i="1"/>
  <c r="AV146" i="1"/>
  <c r="AU146" i="1"/>
  <c r="AT146" i="1"/>
  <c r="AS146" i="1"/>
  <c r="AH146" i="1"/>
  <c r="W146" i="1"/>
  <c r="L146" i="1"/>
  <c r="IT145" i="1"/>
  <c r="IO145" i="1"/>
  <c r="II145" i="1"/>
  <c r="IH145" i="1"/>
  <c r="IG145" i="1"/>
  <c r="IF145" i="1"/>
  <c r="IE145" i="1"/>
  <c r="HZ145" i="1"/>
  <c r="HU145" i="1"/>
  <c r="HO145" i="1"/>
  <c r="HN145" i="1"/>
  <c r="HM145" i="1"/>
  <c r="HL145" i="1"/>
  <c r="HK145" i="1"/>
  <c r="HF145" i="1"/>
  <c r="HA145" i="1"/>
  <c r="GV145" i="1"/>
  <c r="GE145" i="1"/>
  <c r="GD145" i="1"/>
  <c r="GC145" i="1"/>
  <c r="GB145" i="1"/>
  <c r="GA145" i="1"/>
  <c r="FZ145" i="1"/>
  <c r="FY145" i="1"/>
  <c r="FX145" i="1"/>
  <c r="FW145" i="1"/>
  <c r="FV145" i="1"/>
  <c r="FU145" i="1"/>
  <c r="FJ145" i="1"/>
  <c r="EY145" i="1"/>
  <c r="EM145" i="1"/>
  <c r="EL145" i="1"/>
  <c r="EK145" i="1"/>
  <c r="EJ145" i="1"/>
  <c r="EI145" i="1"/>
  <c r="EH145" i="1"/>
  <c r="EG145" i="1"/>
  <c r="EF145" i="1"/>
  <c r="EE145" i="1"/>
  <c r="ED145" i="1"/>
  <c r="DR145" i="1"/>
  <c r="DG145" i="1"/>
  <c r="CU145" i="1"/>
  <c r="CT145" i="1"/>
  <c r="CS145" i="1"/>
  <c r="CR145" i="1"/>
  <c r="CQ145" i="1"/>
  <c r="CP145" i="1"/>
  <c r="CO145" i="1"/>
  <c r="CN145" i="1"/>
  <c r="CM145" i="1"/>
  <c r="CL145" i="1"/>
  <c r="CK145" i="1"/>
  <c r="BZ145" i="1"/>
  <c r="BO145" i="1"/>
  <c r="BC145" i="1"/>
  <c r="BB145" i="1"/>
  <c r="BA145" i="1"/>
  <c r="AZ145" i="1"/>
  <c r="AY145" i="1"/>
  <c r="AX145" i="1"/>
  <c r="AW145" i="1"/>
  <c r="AV145" i="1"/>
  <c r="AU145" i="1"/>
  <c r="AT145" i="1"/>
  <c r="AS145" i="1"/>
  <c r="AH145" i="1"/>
  <c r="W145" i="1"/>
  <c r="L145" i="1"/>
  <c r="IT144" i="1"/>
  <c r="IO144" i="1"/>
  <c r="II144" i="1"/>
  <c r="IH144" i="1"/>
  <c r="IG144" i="1"/>
  <c r="IF144" i="1"/>
  <c r="IE144" i="1"/>
  <c r="HZ144" i="1"/>
  <c r="HU144" i="1"/>
  <c r="HO144" i="1"/>
  <c r="HN144" i="1"/>
  <c r="HM144" i="1"/>
  <c r="HL144" i="1"/>
  <c r="HK144" i="1"/>
  <c r="HF144" i="1"/>
  <c r="HA144" i="1"/>
  <c r="GV144" i="1"/>
  <c r="GE144" i="1"/>
  <c r="GD144" i="1"/>
  <c r="GC144" i="1"/>
  <c r="GB144" i="1"/>
  <c r="GA144" i="1"/>
  <c r="FZ144" i="1"/>
  <c r="FY144" i="1"/>
  <c r="FX144" i="1"/>
  <c r="FW144" i="1"/>
  <c r="FV144" i="1"/>
  <c r="FU144" i="1"/>
  <c r="FJ144" i="1"/>
  <c r="EY144" i="1"/>
  <c r="EM144" i="1"/>
  <c r="EL144" i="1"/>
  <c r="EK144" i="1"/>
  <c r="EJ144" i="1"/>
  <c r="EI144" i="1"/>
  <c r="EH144" i="1"/>
  <c r="EG144" i="1"/>
  <c r="EG143" i="1" s="1"/>
  <c r="EF144" i="1"/>
  <c r="EE144" i="1"/>
  <c r="ED144" i="1"/>
  <c r="DR144" i="1"/>
  <c r="DR143" i="1" s="1"/>
  <c r="DG144" i="1"/>
  <c r="CU144" i="1"/>
  <c r="CT144" i="1"/>
  <c r="CS144" i="1"/>
  <c r="CS143" i="1" s="1"/>
  <c r="CR144" i="1"/>
  <c r="CQ144" i="1"/>
  <c r="CP144" i="1"/>
  <c r="CO144" i="1"/>
  <c r="CO143" i="1" s="1"/>
  <c r="CN144" i="1"/>
  <c r="CM144" i="1"/>
  <c r="CL144" i="1"/>
  <c r="CK144" i="1"/>
  <c r="CK143" i="1" s="1"/>
  <c r="BZ144" i="1"/>
  <c r="BO144" i="1"/>
  <c r="BC144" i="1"/>
  <c r="BB144" i="1"/>
  <c r="BA144" i="1"/>
  <c r="AZ144" i="1"/>
  <c r="AY144" i="1"/>
  <c r="AX144" i="1"/>
  <c r="AW144" i="1"/>
  <c r="AV144" i="1"/>
  <c r="AU144" i="1"/>
  <c r="AT144" i="1"/>
  <c r="AS144" i="1"/>
  <c r="AH144" i="1"/>
  <c r="W144" i="1"/>
  <c r="L144" i="1"/>
  <c r="L143" i="1" s="1"/>
  <c r="IV143" i="1"/>
  <c r="IU143" i="1"/>
  <c r="IS143" i="1"/>
  <c r="IS139" i="1" s="1"/>
  <c r="IS137" i="1" s="1"/>
  <c r="IS136" i="1" s="1"/>
  <c r="IR143" i="1"/>
  <c r="IQ143" i="1"/>
  <c r="IP143" i="1"/>
  <c r="IN143" i="1"/>
  <c r="IM143" i="1"/>
  <c r="IL143" i="1"/>
  <c r="IK143" i="1"/>
  <c r="IK139" i="1" s="1"/>
  <c r="IK137" i="1" s="1"/>
  <c r="IK136" i="1" s="1"/>
  <c r="ID143" i="1"/>
  <c r="IC143" i="1"/>
  <c r="IB143" i="1"/>
  <c r="IB139" i="1" s="1"/>
  <c r="IB137" i="1" s="1"/>
  <c r="IB136" i="1" s="1"/>
  <c r="IA143" i="1"/>
  <c r="HY143" i="1"/>
  <c r="HX143" i="1"/>
  <c r="HX139" i="1" s="1"/>
  <c r="HX137" i="1" s="1"/>
  <c r="HX136" i="1" s="1"/>
  <c r="HW143" i="1"/>
  <c r="HV143" i="1"/>
  <c r="HT143" i="1"/>
  <c r="HT139" i="1" s="1"/>
  <c r="HT137" i="1" s="1"/>
  <c r="HT136" i="1" s="1"/>
  <c r="HS143" i="1"/>
  <c r="HR143" i="1"/>
  <c r="HQ143" i="1"/>
  <c r="HK143" i="1"/>
  <c r="HJ143" i="1"/>
  <c r="HI143" i="1"/>
  <c r="HH143" i="1"/>
  <c r="HG143" i="1"/>
  <c r="HG139" i="1" s="1"/>
  <c r="HG137" i="1" s="1"/>
  <c r="HG136" i="1" s="1"/>
  <c r="HE143" i="1"/>
  <c r="HD143" i="1"/>
  <c r="HC143" i="1"/>
  <c r="HC139" i="1" s="1"/>
  <c r="HC137" i="1" s="1"/>
  <c r="HC136" i="1" s="1"/>
  <c r="HB143" i="1"/>
  <c r="GZ143" i="1"/>
  <c r="GY143" i="1"/>
  <c r="GY139" i="1" s="1"/>
  <c r="GY137" i="1" s="1"/>
  <c r="GY136" i="1" s="1"/>
  <c r="GX143" i="1"/>
  <c r="GW143" i="1"/>
  <c r="GU143" i="1"/>
  <c r="GU139" i="1" s="1"/>
  <c r="GU137" i="1" s="1"/>
  <c r="GU136" i="1" s="1"/>
  <c r="GT143" i="1"/>
  <c r="GS143" i="1"/>
  <c r="GR143" i="1"/>
  <c r="GA143" i="1"/>
  <c r="FT143" i="1"/>
  <c r="FS143" i="1"/>
  <c r="FR143" i="1"/>
  <c r="FR139" i="1" s="1"/>
  <c r="FR137" i="1" s="1"/>
  <c r="FR136" i="1" s="1"/>
  <c r="FQ143" i="1"/>
  <c r="FP143" i="1"/>
  <c r="FO143" i="1"/>
  <c r="FN143" i="1"/>
  <c r="FN139" i="1" s="1"/>
  <c r="FN137" i="1" s="1"/>
  <c r="FN136" i="1" s="1"/>
  <c r="FM143" i="1"/>
  <c r="FL143" i="1"/>
  <c r="FI143" i="1"/>
  <c r="FI139" i="1" s="1"/>
  <c r="FI137" i="1" s="1"/>
  <c r="FI136" i="1" s="1"/>
  <c r="FH143" i="1"/>
  <c r="FG143" i="1"/>
  <c r="FF143" i="1"/>
  <c r="FE143" i="1"/>
  <c r="FE139" i="1" s="1"/>
  <c r="FE137" i="1" s="1"/>
  <c r="FE136" i="1" s="1"/>
  <c r="FD143" i="1"/>
  <c r="FC143" i="1"/>
  <c r="FB143" i="1"/>
  <c r="FA143" i="1"/>
  <c r="FA139" i="1" s="1"/>
  <c r="FA137" i="1" s="1"/>
  <c r="FA136" i="1" s="1"/>
  <c r="EX143" i="1"/>
  <c r="EW143" i="1"/>
  <c r="EV143" i="1"/>
  <c r="EV139" i="1" s="1"/>
  <c r="EV137" i="1" s="1"/>
  <c r="EV136" i="1" s="1"/>
  <c r="EU143" i="1"/>
  <c r="ET143" i="1"/>
  <c r="ES143" i="1"/>
  <c r="ER143" i="1"/>
  <c r="ER139" i="1" s="1"/>
  <c r="ER137" i="1" s="1"/>
  <c r="ER136" i="1" s="1"/>
  <c r="EQ143" i="1"/>
  <c r="EP143" i="1"/>
  <c r="EL143" i="1"/>
  <c r="EC143" i="1"/>
  <c r="EC139" i="1" s="1"/>
  <c r="EC137" i="1" s="1"/>
  <c r="EC136" i="1" s="1"/>
  <c r="EB143" i="1"/>
  <c r="EA143" i="1"/>
  <c r="DZ143" i="1"/>
  <c r="DY143" i="1"/>
  <c r="DY139" i="1" s="1"/>
  <c r="DY137" i="1" s="1"/>
  <c r="DY136" i="1" s="1"/>
  <c r="DX143" i="1"/>
  <c r="DW143" i="1"/>
  <c r="DV143" i="1"/>
  <c r="DU143" i="1"/>
  <c r="DU139" i="1" s="1"/>
  <c r="DU137" i="1" s="1"/>
  <c r="DU136" i="1" s="1"/>
  <c r="DT143" i="1"/>
  <c r="DQ143" i="1"/>
  <c r="DP143" i="1"/>
  <c r="DP139" i="1" s="1"/>
  <c r="DP137" i="1" s="1"/>
  <c r="DP136" i="1" s="1"/>
  <c r="DO143" i="1"/>
  <c r="DN143" i="1"/>
  <c r="DM143" i="1"/>
  <c r="DL143" i="1"/>
  <c r="DL139" i="1" s="1"/>
  <c r="DL137" i="1" s="1"/>
  <c r="DL136" i="1" s="1"/>
  <c r="DK143" i="1"/>
  <c r="DJ143" i="1"/>
  <c r="DI143" i="1"/>
  <c r="DF143" i="1"/>
  <c r="DE143" i="1"/>
  <c r="DD143" i="1"/>
  <c r="DC143" i="1"/>
  <c r="DC139" i="1" s="1"/>
  <c r="DC137" i="1" s="1"/>
  <c r="DC136" i="1" s="1"/>
  <c r="DB143" i="1"/>
  <c r="DA143" i="1"/>
  <c r="CZ143" i="1"/>
  <c r="CY143" i="1"/>
  <c r="CY139" i="1" s="1"/>
  <c r="CY137" i="1" s="1"/>
  <c r="CY136" i="1" s="1"/>
  <c r="CX143" i="1"/>
  <c r="CJ143" i="1"/>
  <c r="CJ139" i="1" s="1"/>
  <c r="CJ137" i="1" s="1"/>
  <c r="CJ136" i="1" s="1"/>
  <c r="CI143" i="1"/>
  <c r="CH143" i="1"/>
  <c r="CG143" i="1"/>
  <c r="CF143" i="1"/>
  <c r="CF139" i="1" s="1"/>
  <c r="CF137" i="1" s="1"/>
  <c r="CF136" i="1" s="1"/>
  <c r="CE143" i="1"/>
  <c r="CD143" i="1"/>
  <c r="CC143" i="1"/>
  <c r="CB143" i="1"/>
  <c r="CB139" i="1" s="1"/>
  <c r="CB137" i="1" s="1"/>
  <c r="CB136" i="1" s="1"/>
  <c r="BY143" i="1"/>
  <c r="BX143" i="1"/>
  <c r="BW143" i="1"/>
  <c r="BW139" i="1" s="1"/>
  <c r="BW137" i="1" s="1"/>
  <c r="BW136" i="1" s="1"/>
  <c r="BV143" i="1"/>
  <c r="BU143" i="1"/>
  <c r="BT143" i="1"/>
  <c r="BS143" i="1"/>
  <c r="BS139" i="1" s="1"/>
  <c r="BS137" i="1" s="1"/>
  <c r="BS136" i="1" s="1"/>
  <c r="BR143" i="1"/>
  <c r="BQ143" i="1"/>
  <c r="BN143" i="1"/>
  <c r="BN139" i="1" s="1"/>
  <c r="BN137" i="1" s="1"/>
  <c r="BN136" i="1" s="1"/>
  <c r="BM143" i="1"/>
  <c r="BL143" i="1"/>
  <c r="BK143" i="1"/>
  <c r="BJ143" i="1"/>
  <c r="BJ139" i="1" s="1"/>
  <c r="BJ137" i="1" s="1"/>
  <c r="BJ136" i="1" s="1"/>
  <c r="BI143" i="1"/>
  <c r="BH143" i="1"/>
  <c r="BG143" i="1"/>
  <c r="BF143" i="1"/>
  <c r="BF139" i="1" s="1"/>
  <c r="BF137" i="1" s="1"/>
  <c r="BF136" i="1" s="1"/>
  <c r="AZ143" i="1"/>
  <c r="AV143" i="1"/>
  <c r="AR143" i="1"/>
  <c r="AQ143" i="1"/>
  <c r="AQ139" i="1" s="1"/>
  <c r="AQ137" i="1" s="1"/>
  <c r="AQ136" i="1" s="1"/>
  <c r="AP143" i="1"/>
  <c r="AO143" i="1"/>
  <c r="AN143" i="1"/>
  <c r="AM143" i="1"/>
  <c r="AM139" i="1" s="1"/>
  <c r="AM137" i="1" s="1"/>
  <c r="AM136" i="1" s="1"/>
  <c r="AL143" i="1"/>
  <c r="AK143" i="1"/>
  <c r="AJ143" i="1"/>
  <c r="AH143" i="1"/>
  <c r="AG143" i="1"/>
  <c r="AF143" i="1"/>
  <c r="AE143" i="1"/>
  <c r="AD143" i="1"/>
  <c r="AD139" i="1" s="1"/>
  <c r="AD137" i="1" s="1"/>
  <c r="AD136" i="1" s="1"/>
  <c r="AC143" i="1"/>
  <c r="AB143" i="1"/>
  <c r="AA143" i="1"/>
  <c r="Z143" i="1"/>
  <c r="Z139" i="1" s="1"/>
  <c r="Z137" i="1" s="1"/>
  <c r="Z136" i="1" s="1"/>
  <c r="Y143" i="1"/>
  <c r="V143" i="1"/>
  <c r="U143" i="1"/>
  <c r="U139" i="1" s="1"/>
  <c r="U137" i="1" s="1"/>
  <c r="U136" i="1" s="1"/>
  <c r="T143" i="1"/>
  <c r="S143" i="1"/>
  <c r="R143" i="1"/>
  <c r="Q143" i="1"/>
  <c r="Q139" i="1" s="1"/>
  <c r="Q137" i="1" s="1"/>
  <c r="Q136" i="1" s="1"/>
  <c r="P143" i="1"/>
  <c r="O143" i="1"/>
  <c r="N143" i="1"/>
  <c r="K143" i="1"/>
  <c r="J143" i="1"/>
  <c r="I143" i="1"/>
  <c r="H143" i="1"/>
  <c r="H139" i="1" s="1"/>
  <c r="H137" i="1" s="1"/>
  <c r="H136" i="1" s="1"/>
  <c r="G143" i="1"/>
  <c r="F143" i="1"/>
  <c r="E143" i="1"/>
  <c r="D143" i="1"/>
  <c r="D139" i="1" s="1"/>
  <c r="D137" i="1" s="1"/>
  <c r="D136" i="1" s="1"/>
  <c r="C143" i="1"/>
  <c r="B143" i="1"/>
  <c r="IT142" i="1"/>
  <c r="IO142" i="1"/>
  <c r="II142" i="1"/>
  <c r="IH142" i="1"/>
  <c r="IG142" i="1"/>
  <c r="IF142" i="1"/>
  <c r="IE142" i="1"/>
  <c r="HZ142" i="1"/>
  <c r="HU142" i="1"/>
  <c r="HO142" i="1"/>
  <c r="HN142" i="1"/>
  <c r="HM142" i="1"/>
  <c r="HL142" i="1"/>
  <c r="HK142" i="1"/>
  <c r="HF142" i="1"/>
  <c r="HA142" i="1"/>
  <c r="GV142" i="1"/>
  <c r="GE142" i="1"/>
  <c r="GD142" i="1"/>
  <c r="GC142" i="1"/>
  <c r="GB142" i="1"/>
  <c r="GA142" i="1"/>
  <c r="FZ142" i="1"/>
  <c r="FY142" i="1"/>
  <c r="FX142" i="1"/>
  <c r="FW142" i="1"/>
  <c r="FV142" i="1"/>
  <c r="FU142" i="1"/>
  <c r="FJ142" i="1"/>
  <c r="EY142" i="1"/>
  <c r="EM142" i="1"/>
  <c r="EL142" i="1"/>
  <c r="EK142" i="1"/>
  <c r="EJ142" i="1"/>
  <c r="EI142" i="1"/>
  <c r="EH142" i="1"/>
  <c r="EG142" i="1"/>
  <c r="EF142" i="1"/>
  <c r="EE142" i="1"/>
  <c r="ED142" i="1"/>
  <c r="DR142" i="1"/>
  <c r="DG142" i="1"/>
  <c r="CU142" i="1"/>
  <c r="CT142" i="1"/>
  <c r="CS142" i="1"/>
  <c r="CR142" i="1"/>
  <c r="CQ142" i="1"/>
  <c r="CP142" i="1"/>
  <c r="CO142" i="1"/>
  <c r="CN142" i="1"/>
  <c r="CM142" i="1"/>
  <c r="CL142" i="1"/>
  <c r="CK142" i="1"/>
  <c r="BZ142" i="1"/>
  <c r="BO142" i="1"/>
  <c r="BC142" i="1"/>
  <c r="BB142" i="1"/>
  <c r="BA142" i="1"/>
  <c r="AZ142" i="1"/>
  <c r="AY142" i="1"/>
  <c r="AX142" i="1"/>
  <c r="AW142" i="1"/>
  <c r="AV142" i="1"/>
  <c r="AU142" i="1"/>
  <c r="AT142" i="1"/>
  <c r="AS142" i="1"/>
  <c r="AH142" i="1"/>
  <c r="W142" i="1"/>
  <c r="L142" i="1"/>
  <c r="IT141" i="1"/>
  <c r="IO141" i="1"/>
  <c r="II141" i="1"/>
  <c r="IH141" i="1"/>
  <c r="IG141" i="1"/>
  <c r="IF141" i="1"/>
  <c r="IE141" i="1"/>
  <c r="HZ141" i="1"/>
  <c r="HU141" i="1"/>
  <c r="HO141" i="1"/>
  <c r="HN141" i="1"/>
  <c r="HM141" i="1"/>
  <c r="HL141" i="1"/>
  <c r="HK141" i="1"/>
  <c r="HF141" i="1"/>
  <c r="HA141" i="1"/>
  <c r="GV141" i="1"/>
  <c r="GE141" i="1"/>
  <c r="GD141" i="1"/>
  <c r="GC141" i="1"/>
  <c r="GB141" i="1"/>
  <c r="GA141" i="1"/>
  <c r="FZ141" i="1"/>
  <c r="FY141" i="1"/>
  <c r="FX141" i="1"/>
  <c r="FW141" i="1"/>
  <c r="FV141" i="1"/>
  <c r="FU141" i="1"/>
  <c r="FJ141" i="1"/>
  <c r="EY141" i="1"/>
  <c r="EM141" i="1"/>
  <c r="EL141" i="1"/>
  <c r="EK141" i="1"/>
  <c r="EJ141" i="1"/>
  <c r="EI141" i="1"/>
  <c r="EH141" i="1"/>
  <c r="EG141" i="1"/>
  <c r="EF141" i="1"/>
  <c r="EE141" i="1"/>
  <c r="ED141" i="1"/>
  <c r="DR141" i="1"/>
  <c r="DG141" i="1"/>
  <c r="CU141" i="1"/>
  <c r="CT141" i="1"/>
  <c r="CS141" i="1"/>
  <c r="CR141" i="1"/>
  <c r="CQ141" i="1"/>
  <c r="CP141" i="1"/>
  <c r="CO141" i="1"/>
  <c r="CN141" i="1"/>
  <c r="CM141" i="1"/>
  <c r="CL141" i="1"/>
  <c r="CK141" i="1"/>
  <c r="BZ141" i="1"/>
  <c r="BO141" i="1"/>
  <c r="BC141" i="1"/>
  <c r="BB141" i="1"/>
  <c r="BA141" i="1"/>
  <c r="AZ141" i="1"/>
  <c r="AY141" i="1"/>
  <c r="AX141" i="1"/>
  <c r="AW141" i="1"/>
  <c r="AV141" i="1"/>
  <c r="AU141" i="1"/>
  <c r="AT141" i="1"/>
  <c r="AS141" i="1"/>
  <c r="AH141" i="1"/>
  <c r="W141" i="1"/>
  <c r="L141" i="1"/>
  <c r="IT140" i="1"/>
  <c r="IO140" i="1"/>
  <c r="II140" i="1"/>
  <c r="IH140" i="1"/>
  <c r="IG140" i="1"/>
  <c r="IF140" i="1"/>
  <c r="IE140" i="1"/>
  <c r="HZ140" i="1"/>
  <c r="HU140" i="1"/>
  <c r="HO140" i="1"/>
  <c r="HN140" i="1"/>
  <c r="HM140" i="1"/>
  <c r="HL140" i="1"/>
  <c r="HK140" i="1"/>
  <c r="HF140" i="1"/>
  <c r="HA140" i="1"/>
  <c r="GV140" i="1"/>
  <c r="GE140" i="1"/>
  <c r="GD140" i="1"/>
  <c r="GC140" i="1"/>
  <c r="GB140" i="1"/>
  <c r="GA140" i="1"/>
  <c r="FZ140" i="1"/>
  <c r="FY140" i="1"/>
  <c r="FX140" i="1"/>
  <c r="FW140" i="1"/>
  <c r="FV140" i="1"/>
  <c r="FU140" i="1"/>
  <c r="FJ140" i="1"/>
  <c r="EY140" i="1"/>
  <c r="EM140" i="1"/>
  <c r="EL140" i="1"/>
  <c r="EK140" i="1"/>
  <c r="EJ140" i="1"/>
  <c r="EI140" i="1"/>
  <c r="EH140" i="1"/>
  <c r="EG140" i="1"/>
  <c r="EF140" i="1"/>
  <c r="EE140" i="1"/>
  <c r="ED140" i="1"/>
  <c r="DR140" i="1"/>
  <c r="DG140" i="1"/>
  <c r="CU140" i="1"/>
  <c r="CT140" i="1"/>
  <c r="CS140" i="1"/>
  <c r="CR140" i="1"/>
  <c r="CQ140" i="1"/>
  <c r="CP140" i="1"/>
  <c r="CO140" i="1"/>
  <c r="CN140" i="1"/>
  <c r="CM140" i="1"/>
  <c r="CL140" i="1"/>
  <c r="CK140" i="1"/>
  <c r="BZ140" i="1"/>
  <c r="BO140" i="1"/>
  <c r="BC140" i="1"/>
  <c r="BB140" i="1"/>
  <c r="BA140" i="1"/>
  <c r="AZ140" i="1"/>
  <c r="AY140" i="1"/>
  <c r="AX140" i="1"/>
  <c r="AW140" i="1"/>
  <c r="AV140" i="1"/>
  <c r="AU140" i="1"/>
  <c r="AT140" i="1"/>
  <c r="AS140" i="1"/>
  <c r="AH140" i="1"/>
  <c r="W140" i="1"/>
  <c r="L140" i="1"/>
  <c r="IV139" i="1"/>
  <c r="IV137" i="1" s="1"/>
  <c r="IV136" i="1" s="1"/>
  <c r="IU139" i="1"/>
  <c r="IU137" i="1" s="1"/>
  <c r="IU136" i="1" s="1"/>
  <c r="IR139" i="1"/>
  <c r="IQ139" i="1"/>
  <c r="IP139" i="1"/>
  <c r="IP137" i="1" s="1"/>
  <c r="IP136" i="1" s="1"/>
  <c r="IN139" i="1"/>
  <c r="IM139" i="1"/>
  <c r="IM137" i="1" s="1"/>
  <c r="IM136" i="1" s="1"/>
  <c r="IL139" i="1"/>
  <c r="IL137" i="1" s="1"/>
  <c r="IL136" i="1" s="1"/>
  <c r="ID139" i="1"/>
  <c r="IC139" i="1"/>
  <c r="IC137" i="1" s="1"/>
  <c r="IC136" i="1" s="1"/>
  <c r="IA139" i="1"/>
  <c r="IA137" i="1" s="1"/>
  <c r="IA136" i="1" s="1"/>
  <c r="HY139" i="1"/>
  <c r="HY137" i="1" s="1"/>
  <c r="HY136" i="1" s="1"/>
  <c r="HW139" i="1"/>
  <c r="HW137" i="1" s="1"/>
  <c r="HW136" i="1" s="1"/>
  <c r="HV139" i="1"/>
  <c r="HV137" i="1" s="1"/>
  <c r="HV136" i="1" s="1"/>
  <c r="HS139" i="1"/>
  <c r="HS137" i="1" s="1"/>
  <c r="HS136" i="1" s="1"/>
  <c r="HR139" i="1"/>
  <c r="HQ139" i="1"/>
  <c r="HQ137" i="1" s="1"/>
  <c r="HQ136" i="1" s="1"/>
  <c r="HJ139" i="1"/>
  <c r="HI139" i="1"/>
  <c r="HH139" i="1"/>
  <c r="HH137" i="1" s="1"/>
  <c r="HH136" i="1" s="1"/>
  <c r="HE139" i="1"/>
  <c r="HE137" i="1" s="1"/>
  <c r="HE136" i="1" s="1"/>
  <c r="HD139" i="1"/>
  <c r="HD137" i="1" s="1"/>
  <c r="HD136" i="1" s="1"/>
  <c r="HB139" i="1"/>
  <c r="HB137" i="1" s="1"/>
  <c r="HB136" i="1" s="1"/>
  <c r="GZ139" i="1"/>
  <c r="GZ137" i="1" s="1"/>
  <c r="GZ136" i="1" s="1"/>
  <c r="GX139" i="1"/>
  <c r="GX137" i="1" s="1"/>
  <c r="GX136" i="1" s="1"/>
  <c r="GW139" i="1"/>
  <c r="GW137" i="1" s="1"/>
  <c r="GW136" i="1" s="1"/>
  <c r="GT139" i="1"/>
  <c r="GS139" i="1"/>
  <c r="GR139" i="1"/>
  <c r="GR137" i="1" s="1"/>
  <c r="GR136" i="1" s="1"/>
  <c r="FT139" i="1"/>
  <c r="FS139" i="1"/>
  <c r="FS137" i="1" s="1"/>
  <c r="FS136" i="1" s="1"/>
  <c r="FQ139" i="1"/>
  <c r="FP139" i="1"/>
  <c r="FO139" i="1"/>
  <c r="FO137" i="1" s="1"/>
  <c r="FO136" i="1" s="1"/>
  <c r="FM139" i="1"/>
  <c r="FM137" i="1" s="1"/>
  <c r="FM136" i="1" s="1"/>
  <c r="FL139" i="1"/>
  <c r="FH139" i="1"/>
  <c r="FH137" i="1" s="1"/>
  <c r="FH136" i="1" s="1"/>
  <c r="FG139" i="1"/>
  <c r="FF139" i="1"/>
  <c r="FF137" i="1" s="1"/>
  <c r="FF136" i="1" s="1"/>
  <c r="FD139" i="1"/>
  <c r="FC139" i="1"/>
  <c r="FB139" i="1"/>
  <c r="FB137" i="1" s="1"/>
  <c r="FB136" i="1" s="1"/>
  <c r="EX139" i="1"/>
  <c r="EX137" i="1" s="1"/>
  <c r="EX136" i="1" s="1"/>
  <c r="EW139" i="1"/>
  <c r="EW137" i="1" s="1"/>
  <c r="EW136" i="1" s="1"/>
  <c r="EU139" i="1"/>
  <c r="ET139" i="1"/>
  <c r="ES139" i="1"/>
  <c r="ES137" i="1" s="1"/>
  <c r="ES136" i="1" s="1"/>
  <c r="EQ139" i="1"/>
  <c r="EP139" i="1"/>
  <c r="EP137" i="1" s="1"/>
  <c r="EP136" i="1" s="1"/>
  <c r="EB139" i="1"/>
  <c r="EA139" i="1"/>
  <c r="EA137" i="1" s="1"/>
  <c r="EA136" i="1" s="1"/>
  <c r="DZ139" i="1"/>
  <c r="DZ137" i="1" s="1"/>
  <c r="DX139" i="1"/>
  <c r="DW139" i="1"/>
  <c r="DW137" i="1" s="1"/>
  <c r="DW136" i="1" s="1"/>
  <c r="DV139" i="1"/>
  <c r="DV137" i="1" s="1"/>
  <c r="DT139" i="1"/>
  <c r="DQ139" i="1"/>
  <c r="DQ137" i="1" s="1"/>
  <c r="DO139" i="1"/>
  <c r="DO137" i="1" s="1"/>
  <c r="DO136" i="1" s="1"/>
  <c r="DN139" i="1"/>
  <c r="DN137" i="1" s="1"/>
  <c r="DN136" i="1" s="1"/>
  <c r="DM139" i="1"/>
  <c r="DM137" i="1" s="1"/>
  <c r="DK139" i="1"/>
  <c r="DJ139" i="1"/>
  <c r="DI139" i="1"/>
  <c r="DI137" i="1" s="1"/>
  <c r="DF139" i="1"/>
  <c r="DE139" i="1"/>
  <c r="DE137" i="1" s="1"/>
  <c r="DE136" i="1" s="1"/>
  <c r="DD139" i="1"/>
  <c r="DD137" i="1" s="1"/>
  <c r="DD136" i="1" s="1"/>
  <c r="DB139" i="1"/>
  <c r="DB137" i="1" s="1"/>
  <c r="DB136" i="1" s="1"/>
  <c r="DA139" i="1"/>
  <c r="CZ139" i="1"/>
  <c r="CZ137" i="1" s="1"/>
  <c r="CX139" i="1"/>
  <c r="CI139" i="1"/>
  <c r="CI137" i="1" s="1"/>
  <c r="CI136" i="1" s="1"/>
  <c r="CH139" i="1"/>
  <c r="CG139" i="1"/>
  <c r="CG137" i="1" s="1"/>
  <c r="CG136" i="1" s="1"/>
  <c r="CE139" i="1"/>
  <c r="CE137" i="1" s="1"/>
  <c r="CE136" i="1" s="1"/>
  <c r="CD139" i="1"/>
  <c r="CC139" i="1"/>
  <c r="CC137" i="1" s="1"/>
  <c r="BY139" i="1"/>
  <c r="BY137" i="1" s="1"/>
  <c r="BY136" i="1" s="1"/>
  <c r="BX139" i="1"/>
  <c r="BX137" i="1" s="1"/>
  <c r="BX136" i="1" s="1"/>
  <c r="BV139" i="1"/>
  <c r="BU139" i="1"/>
  <c r="BT139" i="1"/>
  <c r="BT137" i="1" s="1"/>
  <c r="BT136" i="1" s="1"/>
  <c r="BR139" i="1"/>
  <c r="BR137" i="1" s="1"/>
  <c r="BR136" i="1" s="1"/>
  <c r="BQ139" i="1"/>
  <c r="BQ137" i="1" s="1"/>
  <c r="BQ136" i="1" s="1"/>
  <c r="BM139" i="1"/>
  <c r="BL139" i="1"/>
  <c r="BL137" i="1" s="1"/>
  <c r="BL136" i="1" s="1"/>
  <c r="BK139" i="1"/>
  <c r="BK137" i="1" s="1"/>
  <c r="BI139" i="1"/>
  <c r="BH139" i="1"/>
  <c r="BG139" i="1"/>
  <c r="BG137" i="1" s="1"/>
  <c r="BG136" i="1" s="1"/>
  <c r="AR139" i="1"/>
  <c r="AR137" i="1" s="1"/>
  <c r="AR136" i="1" s="1"/>
  <c r="AP139" i="1"/>
  <c r="AP137" i="1" s="1"/>
  <c r="AP136" i="1" s="1"/>
  <c r="AO139" i="1"/>
  <c r="AN139" i="1"/>
  <c r="AN137" i="1" s="1"/>
  <c r="AL139" i="1"/>
  <c r="AK139" i="1"/>
  <c r="AK137" i="1" s="1"/>
  <c r="AK136" i="1" s="1"/>
  <c r="AJ139" i="1"/>
  <c r="AJ137" i="1" s="1"/>
  <c r="AG139" i="1"/>
  <c r="AF139" i="1"/>
  <c r="AF137" i="1" s="1"/>
  <c r="AF136" i="1" s="1"/>
  <c r="AE139" i="1"/>
  <c r="AE137" i="1" s="1"/>
  <c r="AE136" i="1" s="1"/>
  <c r="AC139" i="1"/>
  <c r="AB139" i="1"/>
  <c r="AB137" i="1" s="1"/>
  <c r="AB136" i="1" s="1"/>
  <c r="AA139" i="1"/>
  <c r="AA137" i="1" s="1"/>
  <c r="AA136" i="1" s="1"/>
  <c r="Y139" i="1"/>
  <c r="V139" i="1"/>
  <c r="V137" i="1" s="1"/>
  <c r="T139" i="1"/>
  <c r="T137" i="1" s="1"/>
  <c r="T136" i="1" s="1"/>
  <c r="S139" i="1"/>
  <c r="R139" i="1"/>
  <c r="R137" i="1" s="1"/>
  <c r="R136" i="1" s="1"/>
  <c r="P139" i="1"/>
  <c r="O139" i="1"/>
  <c r="N139" i="1"/>
  <c r="N137" i="1" s="1"/>
  <c r="N136" i="1" s="1"/>
  <c r="K139" i="1"/>
  <c r="K137" i="1" s="1"/>
  <c r="K136" i="1" s="1"/>
  <c r="J139" i="1"/>
  <c r="I139" i="1"/>
  <c r="I137" i="1" s="1"/>
  <c r="I136" i="1" s="1"/>
  <c r="G139" i="1"/>
  <c r="F139" i="1"/>
  <c r="F137" i="1" s="1"/>
  <c r="F136" i="1" s="1"/>
  <c r="E139" i="1"/>
  <c r="E137" i="1" s="1"/>
  <c r="C139" i="1"/>
  <c r="C137" i="1" s="1"/>
  <c r="C136" i="1" s="1"/>
  <c r="IT138" i="1"/>
  <c r="IO138" i="1"/>
  <c r="II138" i="1"/>
  <c r="IH138" i="1"/>
  <c r="IG138" i="1"/>
  <c r="IF138" i="1"/>
  <c r="IE138" i="1"/>
  <c r="HZ138" i="1"/>
  <c r="HU138" i="1"/>
  <c r="HO138" i="1"/>
  <c r="HN138" i="1"/>
  <c r="HM138" i="1"/>
  <c r="HL138" i="1"/>
  <c r="HK138" i="1"/>
  <c r="HF138" i="1"/>
  <c r="HA138" i="1"/>
  <c r="GV138" i="1"/>
  <c r="GQ138" i="1"/>
  <c r="GE138" i="1"/>
  <c r="GD138" i="1"/>
  <c r="GC138" i="1"/>
  <c r="GB138" i="1"/>
  <c r="GA138" i="1"/>
  <c r="FZ138" i="1"/>
  <c r="FY138" i="1"/>
  <c r="FX138" i="1"/>
  <c r="FW138" i="1"/>
  <c r="FV138" i="1"/>
  <c r="FU138" i="1"/>
  <c r="FJ138" i="1"/>
  <c r="EY138" i="1"/>
  <c r="EM138" i="1"/>
  <c r="EL138" i="1"/>
  <c r="EK138" i="1"/>
  <c r="EJ138" i="1"/>
  <c r="EI138" i="1"/>
  <c r="EH138" i="1"/>
  <c r="EG138" i="1"/>
  <c r="EF138" i="1"/>
  <c r="EE138" i="1"/>
  <c r="ED138" i="1"/>
  <c r="DR138" i="1"/>
  <c r="DG138" i="1"/>
  <c r="CU138" i="1"/>
  <c r="CT138" i="1"/>
  <c r="CS138" i="1"/>
  <c r="CR138" i="1"/>
  <c r="CQ138" i="1"/>
  <c r="CP138" i="1"/>
  <c r="CO138" i="1"/>
  <c r="CN138" i="1"/>
  <c r="CM138" i="1"/>
  <c r="CL138" i="1"/>
  <c r="CK138" i="1"/>
  <c r="BZ138" i="1"/>
  <c r="BO138" i="1"/>
  <c r="BC138" i="1"/>
  <c r="BB138" i="1"/>
  <c r="BA138" i="1"/>
  <c r="AZ138" i="1"/>
  <c r="AY138" i="1"/>
  <c r="AX138" i="1"/>
  <c r="AW138" i="1"/>
  <c r="AV138" i="1"/>
  <c r="AU138" i="1"/>
  <c r="AT138" i="1"/>
  <c r="AS138" i="1"/>
  <c r="AH138" i="1"/>
  <c r="W138" i="1"/>
  <c r="L138" i="1"/>
  <c r="IR137" i="1"/>
  <c r="IR136" i="1" s="1"/>
  <c r="IQ137" i="1"/>
  <c r="IN137" i="1"/>
  <c r="ID137" i="1"/>
  <c r="ID136" i="1" s="1"/>
  <c r="HR137" i="1"/>
  <c r="HR136" i="1" s="1"/>
  <c r="HJ137" i="1"/>
  <c r="HJ136" i="1" s="1"/>
  <c r="HI137" i="1"/>
  <c r="HI136" i="1" s="1"/>
  <c r="GT137" i="1"/>
  <c r="GT136" i="1" s="1"/>
  <c r="GS137" i="1"/>
  <c r="GS136" i="1" s="1"/>
  <c r="FT137" i="1"/>
  <c r="FQ137" i="1"/>
  <c r="FP137" i="1"/>
  <c r="FP136" i="1" s="1"/>
  <c r="FL137" i="1"/>
  <c r="FL136" i="1" s="1"/>
  <c r="FG137" i="1"/>
  <c r="FG136" i="1" s="1"/>
  <c r="FD137" i="1"/>
  <c r="FC137" i="1"/>
  <c r="FC136" i="1" s="1"/>
  <c r="EU137" i="1"/>
  <c r="EU136" i="1" s="1"/>
  <c r="ET137" i="1"/>
  <c r="EQ137" i="1"/>
  <c r="EQ136" i="1" s="1"/>
  <c r="EB137" i="1"/>
  <c r="EB136" i="1" s="1"/>
  <c r="DX137" i="1"/>
  <c r="DX136" i="1" s="1"/>
  <c r="DT137" i="1"/>
  <c r="DT136" i="1" s="1"/>
  <c r="DK137" i="1"/>
  <c r="DK136" i="1" s="1"/>
  <c r="DJ137" i="1"/>
  <c r="DJ136" i="1" s="1"/>
  <c r="DF137" i="1"/>
  <c r="DF136" i="1" s="1"/>
  <c r="DA137" i="1"/>
  <c r="DA136" i="1" s="1"/>
  <c r="CX137" i="1"/>
  <c r="CX136" i="1" s="1"/>
  <c r="CH137" i="1"/>
  <c r="CH136" i="1" s="1"/>
  <c r="CD137" i="1"/>
  <c r="CD136" i="1" s="1"/>
  <c r="BV137" i="1"/>
  <c r="BU137" i="1"/>
  <c r="BU136" i="1" s="1"/>
  <c r="BM137" i="1"/>
  <c r="BM136" i="1" s="1"/>
  <c r="BI137" i="1"/>
  <c r="BI136" i="1" s="1"/>
  <c r="BH137" i="1"/>
  <c r="BH136" i="1" s="1"/>
  <c r="AO137" i="1"/>
  <c r="AO136" i="1" s="1"/>
  <c r="AL137" i="1"/>
  <c r="AL136" i="1" s="1"/>
  <c r="AG137" i="1"/>
  <c r="AG136" i="1" s="1"/>
  <c r="AC137" i="1"/>
  <c r="AC136" i="1" s="1"/>
  <c r="Y137" i="1"/>
  <c r="Y136" i="1" s="1"/>
  <c r="S137" i="1"/>
  <c r="S136" i="1" s="1"/>
  <c r="P137" i="1"/>
  <c r="P136" i="1" s="1"/>
  <c r="O137" i="1"/>
  <c r="O136" i="1" s="1"/>
  <c r="J137" i="1"/>
  <c r="G137" i="1"/>
  <c r="G136" i="1" s="1"/>
  <c r="IQ136" i="1"/>
  <c r="IN136" i="1"/>
  <c r="FT136" i="1"/>
  <c r="FQ136" i="1"/>
  <c r="FD136" i="1"/>
  <c r="ET136" i="1"/>
  <c r="DZ136" i="1"/>
  <c r="DV136" i="1"/>
  <c r="DQ136" i="1"/>
  <c r="DM136" i="1"/>
  <c r="DI136" i="1"/>
  <c r="CZ136" i="1"/>
  <c r="CC136" i="1"/>
  <c r="BV136" i="1"/>
  <c r="BK136" i="1"/>
  <c r="AN136" i="1"/>
  <c r="AJ136" i="1"/>
  <c r="V136" i="1"/>
  <c r="J136" i="1"/>
  <c r="E136" i="1"/>
  <c r="IT135" i="1"/>
  <c r="IO135" i="1"/>
  <c r="II135" i="1"/>
  <c r="IH135" i="1"/>
  <c r="IG135" i="1"/>
  <c r="IF135" i="1"/>
  <c r="IE135" i="1"/>
  <c r="HZ135" i="1"/>
  <c r="HU135" i="1"/>
  <c r="HO135" i="1"/>
  <c r="HN135" i="1"/>
  <c r="HM135" i="1"/>
  <c r="HL135" i="1"/>
  <c r="HK135" i="1"/>
  <c r="HF135" i="1"/>
  <c r="HA135" i="1"/>
  <c r="GV135" i="1"/>
  <c r="GE135" i="1"/>
  <c r="GD135" i="1"/>
  <c r="GC135" i="1"/>
  <c r="GB135" i="1"/>
  <c r="GA135" i="1"/>
  <c r="FZ135" i="1"/>
  <c r="FY135" i="1"/>
  <c r="FX135" i="1"/>
  <c r="FW135" i="1"/>
  <c r="FV135" i="1"/>
  <c r="FU135" i="1"/>
  <c r="FJ135" i="1"/>
  <c r="EY135" i="1"/>
  <c r="EM135" i="1"/>
  <c r="EL135" i="1"/>
  <c r="EK135" i="1"/>
  <c r="EJ135" i="1"/>
  <c r="EI135" i="1"/>
  <c r="EH135" i="1"/>
  <c r="EG135" i="1"/>
  <c r="EF135" i="1"/>
  <c r="EE135" i="1"/>
  <c r="ED135" i="1"/>
  <c r="DR135" i="1"/>
  <c r="DG135" i="1"/>
  <c r="CU135" i="1"/>
  <c r="CT135" i="1"/>
  <c r="CS135" i="1"/>
  <c r="CR135" i="1"/>
  <c r="CQ135" i="1"/>
  <c r="CP135" i="1"/>
  <c r="CO135" i="1"/>
  <c r="CN135" i="1"/>
  <c r="CM135" i="1"/>
  <c r="CL135" i="1"/>
  <c r="CK135" i="1"/>
  <c r="BZ135" i="1"/>
  <c r="BO135" i="1"/>
  <c r="BC135" i="1"/>
  <c r="BB135" i="1"/>
  <c r="BA135" i="1"/>
  <c r="AZ135" i="1"/>
  <c r="AY135" i="1"/>
  <c r="AX135" i="1"/>
  <c r="AW135" i="1"/>
  <c r="AV135" i="1"/>
  <c r="AU135" i="1"/>
  <c r="AT135" i="1"/>
  <c r="AS135" i="1"/>
  <c r="AH135" i="1"/>
  <c r="W135" i="1"/>
  <c r="L135" i="1"/>
  <c r="IT134" i="1"/>
  <c r="IO134" i="1"/>
  <c r="II134" i="1"/>
  <c r="IH134" i="1"/>
  <c r="IG134" i="1"/>
  <c r="IF134" i="1"/>
  <c r="IE134" i="1"/>
  <c r="HZ134" i="1"/>
  <c r="HU134" i="1"/>
  <c r="HO134" i="1"/>
  <c r="HN134" i="1"/>
  <c r="HM134" i="1"/>
  <c r="HL134" i="1"/>
  <c r="HK134" i="1"/>
  <c r="HF134" i="1"/>
  <c r="HA134" i="1"/>
  <c r="GV134" i="1"/>
  <c r="GE134" i="1"/>
  <c r="GD134" i="1"/>
  <c r="GC134" i="1"/>
  <c r="GB134" i="1"/>
  <c r="GA134" i="1"/>
  <c r="FZ134" i="1"/>
  <c r="FY134" i="1"/>
  <c r="FX134" i="1"/>
  <c r="FW134" i="1"/>
  <c r="FV134" i="1"/>
  <c r="FU134" i="1"/>
  <c r="FJ134" i="1"/>
  <c r="EY134" i="1"/>
  <c r="EM134" i="1"/>
  <c r="EL134" i="1"/>
  <c r="EK134" i="1"/>
  <c r="EJ134" i="1"/>
  <c r="EI134" i="1"/>
  <c r="EH134" i="1"/>
  <c r="EG134" i="1"/>
  <c r="EF134" i="1"/>
  <c r="EE134" i="1"/>
  <c r="ED134" i="1"/>
  <c r="DR134" i="1"/>
  <c r="DG134" i="1"/>
  <c r="CU134" i="1"/>
  <c r="CT134" i="1"/>
  <c r="CS134" i="1"/>
  <c r="CR134" i="1"/>
  <c r="CQ134" i="1"/>
  <c r="CP134" i="1"/>
  <c r="CO134" i="1"/>
  <c r="CN134" i="1"/>
  <c r="CM134" i="1"/>
  <c r="CL134" i="1"/>
  <c r="CK134" i="1"/>
  <c r="BZ134" i="1"/>
  <c r="BO134" i="1"/>
  <c r="BC134" i="1"/>
  <c r="BB134" i="1"/>
  <c r="BA134" i="1"/>
  <c r="AZ134" i="1"/>
  <c r="AY134" i="1"/>
  <c r="AX134" i="1"/>
  <c r="AW134" i="1"/>
  <c r="AV134" i="1"/>
  <c r="AU134" i="1"/>
  <c r="AT134" i="1"/>
  <c r="AS134" i="1"/>
  <c r="AH134" i="1"/>
  <c r="W134" i="1"/>
  <c r="L134" i="1"/>
  <c r="IT133" i="1"/>
  <c r="IO133" i="1"/>
  <c r="II133" i="1"/>
  <c r="IH133" i="1"/>
  <c r="IG133" i="1"/>
  <c r="IF133" i="1"/>
  <c r="IE133" i="1"/>
  <c r="HZ133" i="1"/>
  <c r="HU133" i="1"/>
  <c r="HO133" i="1"/>
  <c r="HN133" i="1"/>
  <c r="HM133" i="1"/>
  <c r="HL133" i="1"/>
  <c r="HK133" i="1"/>
  <c r="HF133" i="1"/>
  <c r="HA133" i="1"/>
  <c r="GV133" i="1"/>
  <c r="GE133" i="1"/>
  <c r="GD133" i="1"/>
  <c r="GC133" i="1"/>
  <c r="GB133" i="1"/>
  <c r="GA133" i="1"/>
  <c r="FZ133" i="1"/>
  <c r="FY133" i="1"/>
  <c r="FX133" i="1"/>
  <c r="FW133" i="1"/>
  <c r="FV133" i="1"/>
  <c r="FU133" i="1"/>
  <c r="FJ133" i="1"/>
  <c r="EY133" i="1"/>
  <c r="EM133" i="1"/>
  <c r="EL133" i="1"/>
  <c r="EK133" i="1"/>
  <c r="EJ133" i="1"/>
  <c r="EI133" i="1"/>
  <c r="EH133" i="1"/>
  <c r="EG133" i="1"/>
  <c r="EF133" i="1"/>
  <c r="EE133" i="1"/>
  <c r="ED133" i="1"/>
  <c r="DR133" i="1"/>
  <c r="DG133" i="1"/>
  <c r="CU133" i="1"/>
  <c r="CT133" i="1"/>
  <c r="CS133" i="1"/>
  <c r="CR133" i="1"/>
  <c r="CQ133" i="1"/>
  <c r="CP133" i="1"/>
  <c r="CO133" i="1"/>
  <c r="CN133" i="1"/>
  <c r="CM133" i="1"/>
  <c r="CL133" i="1"/>
  <c r="CK133" i="1"/>
  <c r="BZ133" i="1"/>
  <c r="BO133" i="1"/>
  <c r="BC133" i="1"/>
  <c r="BB133" i="1"/>
  <c r="BA133" i="1"/>
  <c r="AZ133" i="1"/>
  <c r="AY133" i="1"/>
  <c r="AX133" i="1"/>
  <c r="AW133" i="1"/>
  <c r="AV133" i="1"/>
  <c r="AU133" i="1"/>
  <c r="AT133" i="1"/>
  <c r="AS133" i="1"/>
  <c r="AH133" i="1"/>
  <c r="W133" i="1"/>
  <c r="L133" i="1"/>
  <c r="IT132" i="1"/>
  <c r="IO132" i="1"/>
  <c r="II132" i="1"/>
  <c r="IH132" i="1"/>
  <c r="IG132" i="1"/>
  <c r="IF132" i="1"/>
  <c r="IE132" i="1"/>
  <c r="HZ132" i="1"/>
  <c r="HU132" i="1"/>
  <c r="HO132" i="1"/>
  <c r="HN132" i="1"/>
  <c r="HM132" i="1"/>
  <c r="HL132" i="1"/>
  <c r="HK132" i="1"/>
  <c r="HF132" i="1"/>
  <c r="HA132" i="1"/>
  <c r="GV132" i="1"/>
  <c r="GE132" i="1"/>
  <c r="GD132" i="1"/>
  <c r="GC132" i="1"/>
  <c r="GB132" i="1"/>
  <c r="GA132" i="1"/>
  <c r="FZ132" i="1"/>
  <c r="FY132" i="1"/>
  <c r="FX132" i="1"/>
  <c r="FW132" i="1"/>
  <c r="FV132" i="1"/>
  <c r="FU132" i="1"/>
  <c r="FJ132" i="1"/>
  <c r="EY132" i="1"/>
  <c r="EM132" i="1"/>
  <c r="EL132" i="1"/>
  <c r="EK132" i="1"/>
  <c r="EJ132" i="1"/>
  <c r="EI132" i="1"/>
  <c r="EH132" i="1"/>
  <c r="EG132" i="1"/>
  <c r="EF132" i="1"/>
  <c r="EE132" i="1"/>
  <c r="ED132" i="1"/>
  <c r="DR132" i="1"/>
  <c r="DG132" i="1"/>
  <c r="CU132" i="1"/>
  <c r="CT132" i="1"/>
  <c r="CS132" i="1"/>
  <c r="CR132" i="1"/>
  <c r="CR130" i="1" s="1"/>
  <c r="CQ132" i="1"/>
  <c r="CP132" i="1"/>
  <c r="CO132" i="1"/>
  <c r="CN132" i="1"/>
  <c r="CM132" i="1"/>
  <c r="CL132" i="1"/>
  <c r="CK132" i="1"/>
  <c r="BZ132" i="1"/>
  <c r="BO132" i="1"/>
  <c r="BC132" i="1"/>
  <c r="BB132" i="1"/>
  <c r="BA132" i="1"/>
  <c r="AZ132" i="1"/>
  <c r="AY132" i="1"/>
  <c r="AX132" i="1"/>
  <c r="AW132" i="1"/>
  <c r="AV132" i="1"/>
  <c r="AU132" i="1"/>
  <c r="AT132" i="1"/>
  <c r="AS132" i="1"/>
  <c r="AS130" i="1" s="1"/>
  <c r="AH132" i="1"/>
  <c r="AH130" i="1" s="1"/>
  <c r="W132" i="1"/>
  <c r="L132" i="1"/>
  <c r="IT131" i="1"/>
  <c r="IO131" i="1"/>
  <c r="IO130" i="1" s="1"/>
  <c r="II131" i="1"/>
  <c r="IH131" i="1"/>
  <c r="IG131" i="1"/>
  <c r="IF131" i="1"/>
  <c r="IE131" i="1"/>
  <c r="HZ131" i="1"/>
  <c r="HU131" i="1"/>
  <c r="HO131" i="1"/>
  <c r="HO130" i="1" s="1"/>
  <c r="HN131" i="1"/>
  <c r="HM131" i="1"/>
  <c r="HL131" i="1"/>
  <c r="HK131" i="1"/>
  <c r="HK130" i="1" s="1"/>
  <c r="HF131" i="1"/>
  <c r="HA131" i="1"/>
  <c r="GV131" i="1"/>
  <c r="IV130" i="1"/>
  <c r="IU130" i="1"/>
  <c r="IS130" i="1"/>
  <c r="IR130" i="1"/>
  <c r="IQ130" i="1"/>
  <c r="IP130" i="1"/>
  <c r="IN130" i="1"/>
  <c r="IM130" i="1"/>
  <c r="IL130" i="1"/>
  <c r="IK130" i="1"/>
  <c r="ID130" i="1"/>
  <c r="IC130" i="1"/>
  <c r="IB130" i="1"/>
  <c r="IA130" i="1"/>
  <c r="HY130" i="1"/>
  <c r="HX130" i="1"/>
  <c r="HW130" i="1"/>
  <c r="HV130" i="1"/>
  <c r="HT130" i="1"/>
  <c r="HS130" i="1"/>
  <c r="HR130" i="1"/>
  <c r="HQ130" i="1"/>
  <c r="HJ130" i="1"/>
  <c r="HI130" i="1"/>
  <c r="HH130" i="1"/>
  <c r="HG130" i="1"/>
  <c r="HE130" i="1"/>
  <c r="HD130" i="1"/>
  <c r="HC130" i="1"/>
  <c r="HB130" i="1"/>
  <c r="GZ130" i="1"/>
  <c r="GY130" i="1"/>
  <c r="GX130" i="1"/>
  <c r="GW130" i="1"/>
  <c r="GU130" i="1"/>
  <c r="GT130" i="1"/>
  <c r="GS130" i="1"/>
  <c r="GR130" i="1"/>
  <c r="FT130" i="1"/>
  <c r="FS130" i="1"/>
  <c r="FR130" i="1"/>
  <c r="FQ130" i="1"/>
  <c r="FP130" i="1"/>
  <c r="FO130" i="1"/>
  <c r="FN130" i="1"/>
  <c r="FM130" i="1"/>
  <c r="FL130" i="1"/>
  <c r="FI130" i="1"/>
  <c r="FH130" i="1"/>
  <c r="FG130" i="1"/>
  <c r="FF130" i="1"/>
  <c r="FE130" i="1"/>
  <c r="FD130" i="1"/>
  <c r="FC130" i="1"/>
  <c r="FB130" i="1"/>
  <c r="FA130" i="1"/>
  <c r="EX130" i="1"/>
  <c r="EW130" i="1"/>
  <c r="EV130" i="1"/>
  <c r="EU130" i="1"/>
  <c r="ET130" i="1"/>
  <c r="ES130" i="1"/>
  <c r="ER130" i="1"/>
  <c r="EQ130" i="1"/>
  <c r="EP130" i="1"/>
  <c r="EC130" i="1"/>
  <c r="EB130" i="1"/>
  <c r="EA130" i="1"/>
  <c r="DZ130" i="1"/>
  <c r="DY130" i="1"/>
  <c r="DX130" i="1"/>
  <c r="DW130" i="1"/>
  <c r="DV130" i="1"/>
  <c r="DU130" i="1"/>
  <c r="DT130" i="1"/>
  <c r="DQ130" i="1"/>
  <c r="DP130" i="1"/>
  <c r="DO130" i="1"/>
  <c r="DN130" i="1"/>
  <c r="DM130" i="1"/>
  <c r="DL130" i="1"/>
  <c r="DK130" i="1"/>
  <c r="DJ130" i="1"/>
  <c r="DI130" i="1"/>
  <c r="DF130" i="1"/>
  <c r="DE130" i="1"/>
  <c r="DD130" i="1"/>
  <c r="DC130" i="1"/>
  <c r="DB130" i="1"/>
  <c r="DA130" i="1"/>
  <c r="CZ130" i="1"/>
  <c r="CY130" i="1"/>
  <c r="CX130" i="1"/>
  <c r="CJ130" i="1"/>
  <c r="CI130" i="1"/>
  <c r="CH130" i="1"/>
  <c r="CG130" i="1"/>
  <c r="CF130" i="1"/>
  <c r="CE130" i="1"/>
  <c r="CD130" i="1"/>
  <c r="CC130" i="1"/>
  <c r="CB130" i="1"/>
  <c r="BY130" i="1"/>
  <c r="BX130" i="1"/>
  <c r="BW130" i="1"/>
  <c r="BV130" i="1"/>
  <c r="BU130" i="1"/>
  <c r="BT130" i="1"/>
  <c r="BS130" i="1"/>
  <c r="BR130" i="1"/>
  <c r="BQ130" i="1"/>
  <c r="BN130" i="1"/>
  <c r="BM130" i="1"/>
  <c r="BL130" i="1"/>
  <c r="BK130" i="1"/>
  <c r="BJ130" i="1"/>
  <c r="BI130" i="1"/>
  <c r="BH130" i="1"/>
  <c r="BG130" i="1"/>
  <c r="BF130" i="1"/>
  <c r="AR130" i="1"/>
  <c r="AQ130" i="1"/>
  <c r="AP130" i="1"/>
  <c r="AO130" i="1"/>
  <c r="AN130" i="1"/>
  <c r="AM130" i="1"/>
  <c r="AL130" i="1"/>
  <c r="AK130" i="1"/>
  <c r="AJ130" i="1"/>
  <c r="AG130" i="1"/>
  <c r="AF130" i="1"/>
  <c r="AE130" i="1"/>
  <c r="AD130" i="1"/>
  <c r="AC130" i="1"/>
  <c r="AB130" i="1"/>
  <c r="AA130" i="1"/>
  <c r="Z130" i="1"/>
  <c r="Y130" i="1"/>
  <c r="V130" i="1"/>
  <c r="U130" i="1"/>
  <c r="T130" i="1"/>
  <c r="S130" i="1"/>
  <c r="R130" i="1"/>
  <c r="Q130" i="1"/>
  <c r="P130" i="1"/>
  <c r="O130" i="1"/>
  <c r="N130" i="1"/>
  <c r="K130" i="1"/>
  <c r="J130" i="1"/>
  <c r="I130" i="1"/>
  <c r="H130" i="1"/>
  <c r="G130" i="1"/>
  <c r="F130" i="1"/>
  <c r="E130" i="1"/>
  <c r="D130" i="1"/>
  <c r="C130" i="1"/>
  <c r="IT129" i="1"/>
  <c r="IO129" i="1"/>
  <c r="II129" i="1"/>
  <c r="IH129" i="1"/>
  <c r="IG129" i="1"/>
  <c r="IF129" i="1"/>
  <c r="IE129" i="1"/>
  <c r="HZ129" i="1"/>
  <c r="HU129" i="1"/>
  <c r="HO129" i="1"/>
  <c r="HN129" i="1"/>
  <c r="HM129" i="1"/>
  <c r="HL129" i="1"/>
  <c r="HK129" i="1"/>
  <c r="HF129" i="1"/>
  <c r="HA129" i="1"/>
  <c r="GV129" i="1"/>
  <c r="GE129" i="1"/>
  <c r="GD129" i="1"/>
  <c r="GC129" i="1"/>
  <c r="GB129" i="1"/>
  <c r="GA129" i="1"/>
  <c r="FZ129" i="1"/>
  <c r="FY129" i="1"/>
  <c r="FX129" i="1"/>
  <c r="FW129" i="1"/>
  <c r="FV129" i="1"/>
  <c r="FU129" i="1"/>
  <c r="FJ129" i="1"/>
  <c r="EY129" i="1"/>
  <c r="EM129" i="1"/>
  <c r="EL129" i="1"/>
  <c r="EK129" i="1"/>
  <c r="EJ129" i="1"/>
  <c r="EI129" i="1"/>
  <c r="EH129" i="1"/>
  <c r="EG129" i="1"/>
  <c r="EF129" i="1"/>
  <c r="EE129" i="1"/>
  <c r="ED129" i="1"/>
  <c r="DR129" i="1"/>
  <c r="DG129" i="1"/>
  <c r="CU129" i="1"/>
  <c r="CT129" i="1"/>
  <c r="CS129" i="1"/>
  <c r="CR129" i="1"/>
  <c r="CQ129" i="1"/>
  <c r="CP129" i="1"/>
  <c r="CO129" i="1"/>
  <c r="CN129" i="1"/>
  <c r="CM129" i="1"/>
  <c r="CL129" i="1"/>
  <c r="CK129" i="1"/>
  <c r="BZ129" i="1"/>
  <c r="BO129" i="1"/>
  <c r="BC129" i="1"/>
  <c r="BB129" i="1"/>
  <c r="BA129" i="1"/>
  <c r="AZ129" i="1"/>
  <c r="AY129" i="1"/>
  <c r="AX129" i="1"/>
  <c r="AW129" i="1"/>
  <c r="AV129" i="1"/>
  <c r="AU129" i="1"/>
  <c r="AT129" i="1"/>
  <c r="AS129" i="1"/>
  <c r="AH129" i="1"/>
  <c r="W129" i="1"/>
  <c r="L129" i="1"/>
  <c r="IT128" i="1"/>
  <c r="IO128" i="1"/>
  <c r="II128" i="1"/>
  <c r="IH128" i="1"/>
  <c r="IG128" i="1"/>
  <c r="IF128" i="1"/>
  <c r="IE128" i="1"/>
  <c r="HZ128" i="1"/>
  <c r="HU128" i="1"/>
  <c r="HO128" i="1"/>
  <c r="HN128" i="1"/>
  <c r="HM128" i="1"/>
  <c r="HL128" i="1"/>
  <c r="HK128" i="1"/>
  <c r="HF128" i="1"/>
  <c r="HA128" i="1"/>
  <c r="GV128" i="1"/>
  <c r="GE128" i="1"/>
  <c r="GD128" i="1"/>
  <c r="GC128" i="1"/>
  <c r="GB128" i="1"/>
  <c r="GA128" i="1"/>
  <c r="FZ128" i="1"/>
  <c r="FY128" i="1"/>
  <c r="FX128" i="1"/>
  <c r="FW128" i="1"/>
  <c r="FV128" i="1"/>
  <c r="FU128" i="1"/>
  <c r="FJ128" i="1"/>
  <c r="EY128" i="1"/>
  <c r="EM128" i="1"/>
  <c r="EL128" i="1"/>
  <c r="EK128" i="1"/>
  <c r="EJ128" i="1"/>
  <c r="EI128" i="1"/>
  <c r="EH128" i="1"/>
  <c r="EG128" i="1"/>
  <c r="EF128" i="1"/>
  <c r="EE128" i="1"/>
  <c r="ED128" i="1"/>
  <c r="DR128" i="1"/>
  <c r="DG128" i="1"/>
  <c r="CU128" i="1"/>
  <c r="CT128" i="1"/>
  <c r="CS128" i="1"/>
  <c r="CR128" i="1"/>
  <c r="CQ128" i="1"/>
  <c r="CP128" i="1"/>
  <c r="CO128" i="1"/>
  <c r="CN128" i="1"/>
  <c r="CM128" i="1"/>
  <c r="CL128" i="1"/>
  <c r="CK128" i="1"/>
  <c r="BZ128" i="1"/>
  <c r="BO128" i="1"/>
  <c r="BC128" i="1"/>
  <c r="BB128" i="1"/>
  <c r="BA128" i="1"/>
  <c r="AZ128" i="1"/>
  <c r="AY128" i="1"/>
  <c r="AX128" i="1"/>
  <c r="AW128" i="1"/>
  <c r="AV128" i="1"/>
  <c r="AU128" i="1"/>
  <c r="AT128" i="1"/>
  <c r="AS128" i="1"/>
  <c r="AH128" i="1"/>
  <c r="W128" i="1"/>
  <c r="L128" i="1"/>
  <c r="IT127" i="1"/>
  <c r="IO127" i="1"/>
  <c r="II127" i="1"/>
  <c r="IH127" i="1"/>
  <c r="IG127" i="1"/>
  <c r="IF127" i="1"/>
  <c r="IE127" i="1"/>
  <c r="HZ127" i="1"/>
  <c r="HU127" i="1"/>
  <c r="HO127" i="1"/>
  <c r="HN127" i="1"/>
  <c r="HM127" i="1"/>
  <c r="HL127" i="1"/>
  <c r="HK127" i="1"/>
  <c r="HF127" i="1"/>
  <c r="HA127" i="1"/>
  <c r="GV127" i="1"/>
  <c r="GE127" i="1"/>
  <c r="GD127" i="1"/>
  <c r="GC127" i="1"/>
  <c r="GB127" i="1"/>
  <c r="GA127" i="1"/>
  <c r="FZ127" i="1"/>
  <c r="FY127" i="1"/>
  <c r="FX127" i="1"/>
  <c r="FW127" i="1"/>
  <c r="FV127" i="1"/>
  <c r="FU127" i="1"/>
  <c r="FJ127" i="1"/>
  <c r="EY127" i="1"/>
  <c r="EM127" i="1"/>
  <c r="EL127" i="1"/>
  <c r="EK127" i="1"/>
  <c r="EJ127" i="1"/>
  <c r="EI127" i="1"/>
  <c r="EH127" i="1"/>
  <c r="EG127" i="1"/>
  <c r="EF127" i="1"/>
  <c r="EE127" i="1"/>
  <c r="ED127" i="1"/>
  <c r="DR127" i="1"/>
  <c r="DG127" i="1"/>
  <c r="CU127" i="1"/>
  <c r="CT127" i="1"/>
  <c r="CS127" i="1"/>
  <c r="CR127" i="1"/>
  <c r="CQ127" i="1"/>
  <c r="CP127" i="1"/>
  <c r="CO127" i="1"/>
  <c r="CN127" i="1"/>
  <c r="CM127" i="1"/>
  <c r="CL127" i="1"/>
  <c r="CK127" i="1"/>
  <c r="BZ127" i="1"/>
  <c r="BO127" i="1"/>
  <c r="BC127" i="1"/>
  <c r="BB127" i="1"/>
  <c r="BA127" i="1"/>
  <c r="AZ127" i="1"/>
  <c r="AY127" i="1"/>
  <c r="AX127" i="1"/>
  <c r="AW127" i="1"/>
  <c r="AV127" i="1"/>
  <c r="AU127" i="1"/>
  <c r="AT127" i="1"/>
  <c r="AS127" i="1"/>
  <c r="AH127" i="1"/>
  <c r="W127" i="1"/>
  <c r="L127" i="1"/>
  <c r="IT126" i="1"/>
  <c r="IO126" i="1"/>
  <c r="II126" i="1"/>
  <c r="IH126" i="1"/>
  <c r="IG126" i="1"/>
  <c r="IF126" i="1"/>
  <c r="IE126" i="1"/>
  <c r="HZ126" i="1"/>
  <c r="HU126" i="1"/>
  <c r="HO126" i="1"/>
  <c r="HN126" i="1"/>
  <c r="HM126" i="1"/>
  <c r="HL126" i="1"/>
  <c r="HK126" i="1"/>
  <c r="HF126" i="1"/>
  <c r="HA126" i="1"/>
  <c r="GV126" i="1"/>
  <c r="GE126" i="1"/>
  <c r="GD126" i="1"/>
  <c r="GC126" i="1"/>
  <c r="GB126" i="1"/>
  <c r="GA126" i="1"/>
  <c r="FZ126" i="1"/>
  <c r="FY126" i="1"/>
  <c r="FX126" i="1"/>
  <c r="FW126" i="1"/>
  <c r="FV126" i="1"/>
  <c r="FU126" i="1"/>
  <c r="FJ126" i="1"/>
  <c r="EY126" i="1"/>
  <c r="EM126" i="1"/>
  <c r="EL126" i="1"/>
  <c r="EK126" i="1"/>
  <c r="EJ126" i="1"/>
  <c r="EI126" i="1"/>
  <c r="EH126" i="1"/>
  <c r="EG126" i="1"/>
  <c r="EF126" i="1"/>
  <c r="EE126" i="1"/>
  <c r="ED126" i="1"/>
  <c r="DR126" i="1"/>
  <c r="DG126" i="1"/>
  <c r="CU126" i="1"/>
  <c r="CT126" i="1"/>
  <c r="CS126" i="1"/>
  <c r="CR126" i="1"/>
  <c r="CQ126" i="1"/>
  <c r="CP126" i="1"/>
  <c r="CO126" i="1"/>
  <c r="CN126" i="1"/>
  <c r="CM126" i="1"/>
  <c r="CL126" i="1"/>
  <c r="CK126" i="1"/>
  <c r="BZ126" i="1"/>
  <c r="BO126" i="1"/>
  <c r="BC126" i="1"/>
  <c r="BB126" i="1"/>
  <c r="BA126" i="1"/>
  <c r="AZ126" i="1"/>
  <c r="AY126" i="1"/>
  <c r="AX126" i="1"/>
  <c r="AW126" i="1"/>
  <c r="AV126" i="1"/>
  <c r="AU126" i="1"/>
  <c r="AT126" i="1"/>
  <c r="AS126" i="1"/>
  <c r="AH126" i="1"/>
  <c r="W126" i="1"/>
  <c r="L126" i="1"/>
  <c r="IT125" i="1"/>
  <c r="IO125" i="1"/>
  <c r="II125" i="1"/>
  <c r="IH125" i="1"/>
  <c r="IG125" i="1"/>
  <c r="IF125" i="1"/>
  <c r="IE125" i="1"/>
  <c r="HZ125" i="1"/>
  <c r="HU125" i="1"/>
  <c r="HO125" i="1"/>
  <c r="HN125" i="1"/>
  <c r="HM125" i="1"/>
  <c r="HL125" i="1"/>
  <c r="HK125" i="1"/>
  <c r="HF125" i="1"/>
  <c r="HA125" i="1"/>
  <c r="GV125" i="1"/>
  <c r="GE125" i="1"/>
  <c r="GD125" i="1"/>
  <c r="GC125" i="1"/>
  <c r="GB125" i="1"/>
  <c r="GA125" i="1"/>
  <c r="FZ125" i="1"/>
  <c r="FY125" i="1"/>
  <c r="FX125" i="1"/>
  <c r="FW125" i="1"/>
  <c r="FV125" i="1"/>
  <c r="FU125" i="1"/>
  <c r="FJ125" i="1"/>
  <c r="EY125" i="1"/>
  <c r="EM125" i="1"/>
  <c r="EL125" i="1"/>
  <c r="EK125" i="1"/>
  <c r="EJ125" i="1"/>
  <c r="EI125" i="1"/>
  <c r="EH125" i="1"/>
  <c r="EG125" i="1"/>
  <c r="EF125" i="1"/>
  <c r="EE125" i="1"/>
  <c r="ED125" i="1"/>
  <c r="DR125" i="1"/>
  <c r="DG125" i="1"/>
  <c r="CU125" i="1"/>
  <c r="CT125" i="1"/>
  <c r="CS125" i="1"/>
  <c r="CR125" i="1"/>
  <c r="CQ125" i="1"/>
  <c r="CP125" i="1"/>
  <c r="CO125" i="1"/>
  <c r="CN125" i="1"/>
  <c r="CM125" i="1"/>
  <c r="CL125" i="1"/>
  <c r="CK125" i="1"/>
  <c r="BZ125" i="1"/>
  <c r="BO125" i="1"/>
  <c r="BC125" i="1"/>
  <c r="BB125" i="1"/>
  <c r="BA125" i="1"/>
  <c r="AZ125" i="1"/>
  <c r="AY125" i="1"/>
  <c r="AX125" i="1"/>
  <c r="AW125" i="1"/>
  <c r="AV125" i="1"/>
  <c r="AU125" i="1"/>
  <c r="AT125" i="1"/>
  <c r="AS125" i="1"/>
  <c r="AH125" i="1"/>
  <c r="W125" i="1"/>
  <c r="L125" i="1"/>
  <c r="IT124" i="1"/>
  <c r="IO124" i="1"/>
  <c r="II124" i="1"/>
  <c r="IH124" i="1"/>
  <c r="IG124" i="1"/>
  <c r="IF124" i="1"/>
  <c r="IE124" i="1"/>
  <c r="HZ124" i="1"/>
  <c r="HU124" i="1"/>
  <c r="HO124" i="1"/>
  <c r="HN124" i="1"/>
  <c r="HM124" i="1"/>
  <c r="HL124" i="1"/>
  <c r="HK124" i="1"/>
  <c r="HF124" i="1"/>
  <c r="HA124" i="1"/>
  <c r="GV124" i="1"/>
  <c r="GE124" i="1"/>
  <c r="GD124" i="1"/>
  <c r="GC124" i="1"/>
  <c r="GB124" i="1"/>
  <c r="GA124" i="1"/>
  <c r="FZ124" i="1"/>
  <c r="FY124" i="1"/>
  <c r="FX124" i="1"/>
  <c r="FW124" i="1"/>
  <c r="FV124" i="1"/>
  <c r="FU124" i="1"/>
  <c r="FJ124" i="1"/>
  <c r="EY124" i="1"/>
  <c r="EM124" i="1"/>
  <c r="EL124" i="1"/>
  <c r="EK124" i="1"/>
  <c r="EJ124" i="1"/>
  <c r="EI124" i="1"/>
  <c r="EH124" i="1"/>
  <c r="EG124" i="1"/>
  <c r="EF124" i="1"/>
  <c r="EE124" i="1"/>
  <c r="ED124" i="1"/>
  <c r="DR124" i="1"/>
  <c r="DG124" i="1"/>
  <c r="CU124" i="1"/>
  <c r="CT124" i="1"/>
  <c r="CS124" i="1"/>
  <c r="CR124" i="1"/>
  <c r="CQ124" i="1"/>
  <c r="CP124" i="1"/>
  <c r="CO124" i="1"/>
  <c r="CN124" i="1"/>
  <c r="CM124" i="1"/>
  <c r="CL124" i="1"/>
  <c r="CK124" i="1"/>
  <c r="BZ124" i="1"/>
  <c r="BO124" i="1"/>
  <c r="BC124" i="1"/>
  <c r="BB124" i="1"/>
  <c r="BA124" i="1"/>
  <c r="AZ124" i="1"/>
  <c r="AY124" i="1"/>
  <c r="AX124" i="1"/>
  <c r="AW124" i="1"/>
  <c r="AV124" i="1"/>
  <c r="AU124" i="1"/>
  <c r="AT124" i="1"/>
  <c r="AS124" i="1"/>
  <c r="AH124" i="1"/>
  <c r="W124" i="1"/>
  <c r="L124" i="1"/>
  <c r="IT123" i="1"/>
  <c r="IO123" i="1"/>
  <c r="II123" i="1"/>
  <c r="IH123" i="1"/>
  <c r="IG123" i="1"/>
  <c r="IF123" i="1"/>
  <c r="IE123" i="1"/>
  <c r="HZ123" i="1"/>
  <c r="HU123" i="1"/>
  <c r="HO123" i="1"/>
  <c r="HN123" i="1"/>
  <c r="HM123" i="1"/>
  <c r="HL123" i="1"/>
  <c r="HK123" i="1"/>
  <c r="HF123" i="1"/>
  <c r="HA123" i="1"/>
  <c r="GV123" i="1"/>
  <c r="GE123" i="1"/>
  <c r="GD123" i="1"/>
  <c r="GC123" i="1"/>
  <c r="GB123" i="1"/>
  <c r="GA123" i="1"/>
  <c r="FZ123" i="1"/>
  <c r="FY123" i="1"/>
  <c r="FX123" i="1"/>
  <c r="FW123" i="1"/>
  <c r="FV123" i="1"/>
  <c r="FU123" i="1"/>
  <c r="FJ123" i="1"/>
  <c r="EY123" i="1"/>
  <c r="EM123" i="1"/>
  <c r="EL123" i="1"/>
  <c r="EK123" i="1"/>
  <c r="EJ123" i="1"/>
  <c r="EI123" i="1"/>
  <c r="EH123" i="1"/>
  <c r="EG123" i="1"/>
  <c r="EF123" i="1"/>
  <c r="EE123" i="1"/>
  <c r="ED123" i="1"/>
  <c r="DR123" i="1"/>
  <c r="DG123" i="1"/>
  <c r="CU123" i="1"/>
  <c r="CT123" i="1"/>
  <c r="CS123" i="1"/>
  <c r="CR123" i="1"/>
  <c r="CQ123" i="1"/>
  <c r="CP123" i="1"/>
  <c r="CO123" i="1"/>
  <c r="CN123" i="1"/>
  <c r="CM123" i="1"/>
  <c r="CL123" i="1"/>
  <c r="CK123" i="1"/>
  <c r="BZ123" i="1"/>
  <c r="BO123" i="1"/>
  <c r="BC123" i="1"/>
  <c r="BB123" i="1"/>
  <c r="BA123" i="1"/>
  <c r="AZ123" i="1"/>
  <c r="AY123" i="1"/>
  <c r="AX123" i="1"/>
  <c r="AW123" i="1"/>
  <c r="AV123" i="1"/>
  <c r="AU123" i="1"/>
  <c r="AT123" i="1"/>
  <c r="AS123" i="1"/>
  <c r="AH123" i="1"/>
  <c r="W123" i="1"/>
  <c r="L123" i="1"/>
  <c r="IT122" i="1"/>
  <c r="IO122" i="1"/>
  <c r="II122" i="1"/>
  <c r="IH122" i="1"/>
  <c r="IG122" i="1"/>
  <c r="IF122" i="1"/>
  <c r="IE122" i="1"/>
  <c r="HZ122" i="1"/>
  <c r="HU122" i="1"/>
  <c r="HO122" i="1"/>
  <c r="HN122" i="1"/>
  <c r="HM122" i="1"/>
  <c r="HL122" i="1"/>
  <c r="HK122" i="1"/>
  <c r="HF122" i="1"/>
  <c r="HA122" i="1"/>
  <c r="GV122" i="1"/>
  <c r="GE122" i="1"/>
  <c r="GD122" i="1"/>
  <c r="GC122" i="1"/>
  <c r="GB122" i="1"/>
  <c r="GA122" i="1"/>
  <c r="FZ122" i="1"/>
  <c r="FY122" i="1"/>
  <c r="FX122" i="1"/>
  <c r="FW122" i="1"/>
  <c r="FV122" i="1"/>
  <c r="FU122" i="1"/>
  <c r="FJ122" i="1"/>
  <c r="EY122" i="1"/>
  <c r="EM122" i="1"/>
  <c r="EL122" i="1"/>
  <c r="EK122" i="1"/>
  <c r="EJ122" i="1"/>
  <c r="EI122" i="1"/>
  <c r="EH122" i="1"/>
  <c r="EG122" i="1"/>
  <c r="EF122" i="1"/>
  <c r="EE122" i="1"/>
  <c r="ED122" i="1"/>
  <c r="DR122" i="1"/>
  <c r="DG122" i="1"/>
  <c r="CU122" i="1"/>
  <c r="CT122" i="1"/>
  <c r="CT120" i="1" s="1"/>
  <c r="CS122" i="1"/>
  <c r="CR122" i="1"/>
  <c r="CQ122" i="1"/>
  <c r="CP122" i="1"/>
  <c r="CP120" i="1" s="1"/>
  <c r="CO122" i="1"/>
  <c r="CN122" i="1"/>
  <c r="CM122" i="1"/>
  <c r="CL122" i="1"/>
  <c r="CL120" i="1" s="1"/>
  <c r="CK122" i="1"/>
  <c r="BZ122" i="1"/>
  <c r="BO122" i="1"/>
  <c r="BC122" i="1"/>
  <c r="GP122" i="1" s="1"/>
  <c r="BB122" i="1"/>
  <c r="BA122" i="1"/>
  <c r="AZ122" i="1"/>
  <c r="AY122" i="1"/>
  <c r="GL122" i="1" s="1"/>
  <c r="AX122" i="1"/>
  <c r="AW122" i="1"/>
  <c r="AV122" i="1"/>
  <c r="AU122" i="1"/>
  <c r="BD122" i="1" s="1"/>
  <c r="AT122" i="1"/>
  <c r="AS122" i="1"/>
  <c r="AH122" i="1"/>
  <c r="W122" i="1"/>
  <c r="W120" i="1" s="1"/>
  <c r="L122" i="1"/>
  <c r="IT121" i="1"/>
  <c r="IT120" i="1" s="1"/>
  <c r="IO121" i="1"/>
  <c r="II121" i="1"/>
  <c r="II120" i="1" s="1"/>
  <c r="IH121" i="1"/>
  <c r="IG121" i="1"/>
  <c r="IG120" i="1" s="1"/>
  <c r="IF121" i="1"/>
  <c r="IE121" i="1"/>
  <c r="IE120" i="1" s="1"/>
  <c r="HZ121" i="1"/>
  <c r="HU121" i="1"/>
  <c r="HU120" i="1" s="1"/>
  <c r="HO121" i="1"/>
  <c r="HN121" i="1"/>
  <c r="HN120" i="1" s="1"/>
  <c r="HM121" i="1"/>
  <c r="HL121" i="1"/>
  <c r="HL120" i="1" s="1"/>
  <c r="HK121" i="1"/>
  <c r="HF121" i="1"/>
  <c r="HF120" i="1" s="1"/>
  <c r="HA121" i="1"/>
  <c r="GV121" i="1"/>
  <c r="GV120" i="1" s="1"/>
  <c r="GE121" i="1"/>
  <c r="GD121" i="1"/>
  <c r="GD120" i="1" s="1"/>
  <c r="GC121" i="1"/>
  <c r="GB121" i="1"/>
  <c r="GB120" i="1" s="1"/>
  <c r="GA121" i="1"/>
  <c r="FZ121" i="1"/>
  <c r="FZ120" i="1" s="1"/>
  <c r="FY121" i="1"/>
  <c r="FX121" i="1"/>
  <c r="FX120" i="1" s="1"/>
  <c r="FW121" i="1"/>
  <c r="FV121" i="1"/>
  <c r="FV120" i="1" s="1"/>
  <c r="FU121" i="1"/>
  <c r="FJ121" i="1"/>
  <c r="EY121" i="1"/>
  <c r="EM121" i="1"/>
  <c r="EM120" i="1" s="1"/>
  <c r="EL121" i="1"/>
  <c r="EK121" i="1"/>
  <c r="EK120" i="1" s="1"/>
  <c r="EJ121" i="1"/>
  <c r="EI121" i="1"/>
  <c r="EI120" i="1" s="1"/>
  <c r="EH121" i="1"/>
  <c r="EG121" i="1"/>
  <c r="EG120" i="1" s="1"/>
  <c r="EF121" i="1"/>
  <c r="EE121" i="1"/>
  <c r="EE120" i="1" s="1"/>
  <c r="ED121" i="1"/>
  <c r="DR121" i="1"/>
  <c r="DR120" i="1" s="1"/>
  <c r="DG121" i="1"/>
  <c r="CU121" i="1"/>
  <c r="CU120" i="1" s="1"/>
  <c r="CT121" i="1"/>
  <c r="CS121" i="1"/>
  <c r="CR121" i="1"/>
  <c r="CQ121" i="1"/>
  <c r="CQ120" i="1" s="1"/>
  <c r="CP121" i="1"/>
  <c r="CO121" i="1"/>
  <c r="CN121" i="1"/>
  <c r="CM121" i="1"/>
  <c r="CV121" i="1" s="1"/>
  <c r="CL121" i="1"/>
  <c r="CK121" i="1"/>
  <c r="CK120" i="1" s="1"/>
  <c r="BZ121" i="1"/>
  <c r="BO121" i="1"/>
  <c r="BO120" i="1" s="1"/>
  <c r="BC121" i="1"/>
  <c r="BB121" i="1"/>
  <c r="BA121" i="1"/>
  <c r="AZ121" i="1"/>
  <c r="GM121" i="1" s="1"/>
  <c r="AY121" i="1"/>
  <c r="AX121" i="1"/>
  <c r="AX120" i="1" s="1"/>
  <c r="AW121" i="1"/>
  <c r="AV121" i="1"/>
  <c r="GI121" i="1" s="1"/>
  <c r="AU121" i="1"/>
  <c r="AT121" i="1"/>
  <c r="AT120" i="1" s="1"/>
  <c r="AS121" i="1"/>
  <c r="AH121" i="1"/>
  <c r="AH120" i="1" s="1"/>
  <c r="W121" i="1"/>
  <c r="L121" i="1"/>
  <c r="L120" i="1" s="1"/>
  <c r="IV120" i="1"/>
  <c r="IU120" i="1"/>
  <c r="IS120" i="1"/>
  <c r="IR120" i="1"/>
  <c r="IQ120" i="1"/>
  <c r="IP120" i="1"/>
  <c r="IN120" i="1"/>
  <c r="IM120" i="1"/>
  <c r="IL120" i="1"/>
  <c r="IK120" i="1"/>
  <c r="ID120" i="1"/>
  <c r="IC120" i="1"/>
  <c r="IB120" i="1"/>
  <c r="IA120" i="1"/>
  <c r="HY120" i="1"/>
  <c r="HX120" i="1"/>
  <c r="HW120" i="1"/>
  <c r="HV120" i="1"/>
  <c r="HT120" i="1"/>
  <c r="HS120" i="1"/>
  <c r="HR120" i="1"/>
  <c r="HQ120" i="1"/>
  <c r="HJ120" i="1"/>
  <c r="HI120" i="1"/>
  <c r="HH120" i="1"/>
  <c r="HG120" i="1"/>
  <c r="HE120" i="1"/>
  <c r="HD120" i="1"/>
  <c r="HC120" i="1"/>
  <c r="HB120" i="1"/>
  <c r="HA120" i="1"/>
  <c r="GZ120" i="1"/>
  <c r="GY120" i="1"/>
  <c r="GX120" i="1"/>
  <c r="GW120" i="1"/>
  <c r="GU120" i="1"/>
  <c r="GT120" i="1"/>
  <c r="GS120" i="1"/>
  <c r="GR120" i="1"/>
  <c r="GC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X120" i="1"/>
  <c r="EW120" i="1"/>
  <c r="EV120" i="1"/>
  <c r="EU120" i="1"/>
  <c r="ET120" i="1"/>
  <c r="ES120" i="1"/>
  <c r="ER120" i="1"/>
  <c r="EQ120" i="1"/>
  <c r="EP120" i="1"/>
  <c r="EO120" i="1"/>
  <c r="EC120" i="1"/>
  <c r="EB120" i="1"/>
  <c r="EA120" i="1"/>
  <c r="DZ120" i="1"/>
  <c r="DY120" i="1"/>
  <c r="DX120" i="1"/>
  <c r="DW120" i="1"/>
  <c r="DV120" i="1"/>
  <c r="DU120" i="1"/>
  <c r="DT120" i="1"/>
  <c r="DS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S120" i="1"/>
  <c r="CO120" i="1"/>
  <c r="CJ120" i="1"/>
  <c r="CI120" i="1"/>
  <c r="CH120" i="1"/>
  <c r="CG120" i="1"/>
  <c r="CF120" i="1"/>
  <c r="CE120" i="1"/>
  <c r="CD120" i="1"/>
  <c r="CC120" i="1"/>
  <c r="CB120" i="1"/>
  <c r="CA120" i="1"/>
  <c r="BY120" i="1"/>
  <c r="BX120" i="1"/>
  <c r="BW120" i="1"/>
  <c r="BV120" i="1"/>
  <c r="BU120" i="1"/>
  <c r="BT120" i="1"/>
  <c r="BS120" i="1"/>
  <c r="BR120" i="1"/>
  <c r="BQ120" i="1"/>
  <c r="BP120" i="1"/>
  <c r="BN120" i="1"/>
  <c r="BM120" i="1"/>
  <c r="BL120" i="1"/>
  <c r="BK120" i="1"/>
  <c r="BJ120" i="1"/>
  <c r="BI120" i="1"/>
  <c r="BH120" i="1"/>
  <c r="BG120" i="1"/>
  <c r="BF120" i="1"/>
  <c r="BE120" i="1"/>
  <c r="BB120" i="1"/>
  <c r="AY120" i="1"/>
  <c r="AR120" i="1"/>
  <c r="AQ120" i="1"/>
  <c r="AP120" i="1"/>
  <c r="AO120" i="1"/>
  <c r="AN120" i="1"/>
  <c r="AM120" i="1"/>
  <c r="AL120" i="1"/>
  <c r="AK120" i="1"/>
  <c r="AJ120" i="1"/>
  <c r="AI120" i="1"/>
  <c r="AG120" i="1"/>
  <c r="AF120" i="1"/>
  <c r="AE120" i="1"/>
  <c r="AD120" i="1"/>
  <c r="AC120" i="1"/>
  <c r="AB120" i="1"/>
  <c r="AA120" i="1"/>
  <c r="Z120" i="1"/>
  <c r="Y120" i="1"/>
  <c r="X120" i="1"/>
  <c r="V120" i="1"/>
  <c r="U120" i="1"/>
  <c r="T120" i="1"/>
  <c r="S120" i="1"/>
  <c r="R120" i="1"/>
  <c r="Q120" i="1"/>
  <c r="P120" i="1"/>
  <c r="O120" i="1"/>
  <c r="N120" i="1"/>
  <c r="M120" i="1"/>
  <c r="K120" i="1"/>
  <c r="J120" i="1"/>
  <c r="I120" i="1"/>
  <c r="H120" i="1"/>
  <c r="G120" i="1"/>
  <c r="F120" i="1"/>
  <c r="E120" i="1"/>
  <c r="D120" i="1"/>
  <c r="C120" i="1"/>
  <c r="B120" i="1"/>
  <c r="IT119" i="1"/>
  <c r="IO119" i="1"/>
  <c r="II119" i="1"/>
  <c r="IH119" i="1"/>
  <c r="IG119" i="1"/>
  <c r="IF119" i="1"/>
  <c r="IE119" i="1"/>
  <c r="HZ119" i="1"/>
  <c r="HU119" i="1"/>
  <c r="HO119" i="1"/>
  <c r="HN119" i="1"/>
  <c r="HM119" i="1"/>
  <c r="HL119" i="1"/>
  <c r="HK119" i="1"/>
  <c r="HF119" i="1"/>
  <c r="HA119" i="1"/>
  <c r="GV119" i="1"/>
  <c r="GE119" i="1"/>
  <c r="GD119" i="1"/>
  <c r="GC119" i="1"/>
  <c r="GB119" i="1"/>
  <c r="GA119" i="1"/>
  <c r="FZ119" i="1"/>
  <c r="FY119" i="1"/>
  <c r="FX119" i="1"/>
  <c r="FW119" i="1"/>
  <c r="FV119" i="1"/>
  <c r="FU119" i="1"/>
  <c r="FJ119" i="1"/>
  <c r="EY119" i="1"/>
  <c r="EM119" i="1"/>
  <c r="EL119" i="1"/>
  <c r="EK119" i="1"/>
  <c r="EJ119" i="1"/>
  <c r="EI119" i="1"/>
  <c r="EH119" i="1"/>
  <c r="EG119" i="1"/>
  <c r="EF119" i="1"/>
  <c r="EE119" i="1"/>
  <c r="ED119" i="1"/>
  <c r="DR119" i="1"/>
  <c r="DG119" i="1"/>
  <c r="CU119" i="1"/>
  <c r="CT119" i="1"/>
  <c r="CS119" i="1"/>
  <c r="CR119" i="1"/>
  <c r="CQ119" i="1"/>
  <c r="CP119" i="1"/>
  <c r="CO119" i="1"/>
  <c r="CN119" i="1"/>
  <c r="CM119" i="1"/>
  <c r="CL119" i="1"/>
  <c r="CK119" i="1"/>
  <c r="BZ119" i="1"/>
  <c r="BO119" i="1"/>
  <c r="BC119" i="1"/>
  <c r="BB119" i="1"/>
  <c r="BA119" i="1"/>
  <c r="AZ119" i="1"/>
  <c r="AY119" i="1"/>
  <c r="AX119" i="1"/>
  <c r="AW119" i="1"/>
  <c r="AV119" i="1"/>
  <c r="AU119" i="1"/>
  <c r="AT119" i="1"/>
  <c r="AS119" i="1"/>
  <c r="AH119" i="1"/>
  <c r="W119" i="1"/>
  <c r="L119" i="1"/>
  <c r="IT118" i="1"/>
  <c r="IO118" i="1"/>
  <c r="II118" i="1"/>
  <c r="IH118" i="1"/>
  <c r="IG118" i="1"/>
  <c r="IF118" i="1"/>
  <c r="IE118" i="1"/>
  <c r="HZ118" i="1"/>
  <c r="HU118" i="1"/>
  <c r="HO118" i="1"/>
  <c r="HN118" i="1"/>
  <c r="HM118" i="1"/>
  <c r="HL118" i="1"/>
  <c r="HK118" i="1"/>
  <c r="HF118" i="1"/>
  <c r="HA118" i="1"/>
  <c r="GV118" i="1"/>
  <c r="GE118" i="1"/>
  <c r="GD118" i="1"/>
  <c r="GC118" i="1"/>
  <c r="GB118" i="1"/>
  <c r="GA118" i="1"/>
  <c r="FZ118" i="1"/>
  <c r="FY118" i="1"/>
  <c r="FX118" i="1"/>
  <c r="FW118" i="1"/>
  <c r="FV118" i="1"/>
  <c r="FU118" i="1"/>
  <c r="FJ118" i="1"/>
  <c r="EY118" i="1"/>
  <c r="EM118" i="1"/>
  <c r="EL118" i="1"/>
  <c r="EK118" i="1"/>
  <c r="EJ118" i="1"/>
  <c r="EI118" i="1"/>
  <c r="EH118" i="1"/>
  <c r="EG118" i="1"/>
  <c r="EF118" i="1"/>
  <c r="EE118" i="1"/>
  <c r="ED118" i="1"/>
  <c r="DR118" i="1"/>
  <c r="DG118" i="1"/>
  <c r="CU118" i="1"/>
  <c r="CT118" i="1"/>
  <c r="CS118" i="1"/>
  <c r="CR118" i="1"/>
  <c r="CQ118" i="1"/>
  <c r="CP118" i="1"/>
  <c r="CO118" i="1"/>
  <c r="CN118" i="1"/>
  <c r="CM118" i="1"/>
  <c r="CL118" i="1"/>
  <c r="CK118" i="1"/>
  <c r="BZ118" i="1"/>
  <c r="BO118" i="1"/>
  <c r="BC118" i="1"/>
  <c r="BB118" i="1"/>
  <c r="BA118" i="1"/>
  <c r="AZ118" i="1"/>
  <c r="AY118" i="1"/>
  <c r="AX118" i="1"/>
  <c r="AW118" i="1"/>
  <c r="AV118" i="1"/>
  <c r="AU118" i="1"/>
  <c r="AT118" i="1"/>
  <c r="AS118" i="1"/>
  <c r="AH118" i="1"/>
  <c r="W118" i="1"/>
  <c r="L118" i="1"/>
  <c r="IT117" i="1"/>
  <c r="IO117" i="1"/>
  <c r="II117" i="1"/>
  <c r="IH117" i="1"/>
  <c r="IG117" i="1"/>
  <c r="IF117" i="1"/>
  <c r="IE117" i="1"/>
  <c r="HZ117" i="1"/>
  <c r="HU117" i="1"/>
  <c r="HO117" i="1"/>
  <c r="HN117" i="1"/>
  <c r="HM117" i="1"/>
  <c r="HL117" i="1"/>
  <c r="HK117" i="1"/>
  <c r="HF117" i="1"/>
  <c r="HA117" i="1"/>
  <c r="GV117" i="1"/>
  <c r="GE117" i="1"/>
  <c r="GD117" i="1"/>
  <c r="GC117" i="1"/>
  <c r="GB117" i="1"/>
  <c r="GA117" i="1"/>
  <c r="FZ117" i="1"/>
  <c r="FY117" i="1"/>
  <c r="FX117" i="1"/>
  <c r="FW117" i="1"/>
  <c r="FV117" i="1"/>
  <c r="FU117" i="1"/>
  <c r="FJ117" i="1"/>
  <c r="EY117" i="1"/>
  <c r="EM117" i="1"/>
  <c r="EL117" i="1"/>
  <c r="EK117" i="1"/>
  <c r="EJ117" i="1"/>
  <c r="EI117" i="1"/>
  <c r="EH117" i="1"/>
  <c r="EG117" i="1"/>
  <c r="EF117" i="1"/>
  <c r="EE117" i="1"/>
  <c r="ED117" i="1"/>
  <c r="DR117" i="1"/>
  <c r="DG117" i="1"/>
  <c r="CU117" i="1"/>
  <c r="CT117" i="1"/>
  <c r="CS117" i="1"/>
  <c r="CR117" i="1"/>
  <c r="CQ117" i="1"/>
  <c r="CP117" i="1"/>
  <c r="CO117" i="1"/>
  <c r="CN117" i="1"/>
  <c r="CM117" i="1"/>
  <c r="CL117" i="1"/>
  <c r="CK117" i="1"/>
  <c r="BZ117" i="1"/>
  <c r="BO117" i="1"/>
  <c r="BC117" i="1"/>
  <c r="BB117" i="1"/>
  <c r="BA117" i="1"/>
  <c r="AZ117" i="1"/>
  <c r="AY117" i="1"/>
  <c r="AX117" i="1"/>
  <c r="AW117" i="1"/>
  <c r="AW115" i="1" s="1"/>
  <c r="AV117" i="1"/>
  <c r="AU117" i="1"/>
  <c r="AT117" i="1"/>
  <c r="AS117" i="1"/>
  <c r="AH117" i="1"/>
  <c r="W117" i="1"/>
  <c r="L117" i="1"/>
  <c r="IT116" i="1"/>
  <c r="IT115" i="1" s="1"/>
  <c r="IO116" i="1"/>
  <c r="II116" i="1"/>
  <c r="II115" i="1" s="1"/>
  <c r="IH116" i="1"/>
  <c r="IG116" i="1"/>
  <c r="IG115" i="1" s="1"/>
  <c r="IF116" i="1"/>
  <c r="IE116" i="1"/>
  <c r="HZ116" i="1"/>
  <c r="HU116" i="1"/>
  <c r="HU115" i="1" s="1"/>
  <c r="HO116" i="1"/>
  <c r="HN116" i="1"/>
  <c r="HM116" i="1"/>
  <c r="HL116" i="1"/>
  <c r="HK116" i="1"/>
  <c r="HF116" i="1"/>
  <c r="HA116" i="1"/>
  <c r="GV116" i="1"/>
  <c r="GV115" i="1" s="1"/>
  <c r="GE116" i="1"/>
  <c r="GD116" i="1"/>
  <c r="GD115" i="1" s="1"/>
  <c r="GC116" i="1"/>
  <c r="GB116" i="1"/>
  <c r="GB115" i="1" s="1"/>
  <c r="GA116" i="1"/>
  <c r="FZ116" i="1"/>
  <c r="FY116" i="1"/>
  <c r="FX116" i="1"/>
  <c r="FX115" i="1" s="1"/>
  <c r="FW116" i="1"/>
  <c r="FV116" i="1"/>
  <c r="FU116" i="1"/>
  <c r="FJ116" i="1"/>
  <c r="FJ115" i="1" s="1"/>
  <c r="EY116" i="1"/>
  <c r="EM116" i="1"/>
  <c r="EL116" i="1"/>
  <c r="EK116" i="1"/>
  <c r="EK115" i="1" s="1"/>
  <c r="EJ116" i="1"/>
  <c r="EI116" i="1"/>
  <c r="EH116" i="1"/>
  <c r="EG116" i="1"/>
  <c r="EG115" i="1" s="1"/>
  <c r="EF116" i="1"/>
  <c r="EE116" i="1"/>
  <c r="ED116" i="1"/>
  <c r="DR116" i="1"/>
  <c r="DR115" i="1" s="1"/>
  <c r="DG116" i="1"/>
  <c r="CU116" i="1"/>
  <c r="CT116" i="1"/>
  <c r="CS116" i="1"/>
  <c r="CS115" i="1" s="1"/>
  <c r="CR116" i="1"/>
  <c r="CQ116" i="1"/>
  <c r="CP116" i="1"/>
  <c r="CO116" i="1"/>
  <c r="CO115" i="1" s="1"/>
  <c r="CN116" i="1"/>
  <c r="CM116" i="1"/>
  <c r="CL116" i="1"/>
  <c r="CK116" i="1"/>
  <c r="CK115" i="1" s="1"/>
  <c r="BZ116" i="1"/>
  <c r="BO116" i="1"/>
  <c r="BC116" i="1"/>
  <c r="BB116" i="1"/>
  <c r="GO116" i="1" s="1"/>
  <c r="BA116" i="1"/>
  <c r="AZ116" i="1"/>
  <c r="AY116" i="1"/>
  <c r="AX116" i="1"/>
  <c r="GK116" i="1" s="1"/>
  <c r="AW116" i="1"/>
  <c r="AV116" i="1"/>
  <c r="AU116" i="1"/>
  <c r="AT116" i="1"/>
  <c r="GG116" i="1" s="1"/>
  <c r="AS116" i="1"/>
  <c r="AH116" i="1"/>
  <c r="AH115" i="1" s="1"/>
  <c r="W116" i="1"/>
  <c r="L116" i="1"/>
  <c r="L115" i="1" s="1"/>
  <c r="IV115" i="1"/>
  <c r="IU115" i="1"/>
  <c r="IS115" i="1"/>
  <c r="IR115" i="1"/>
  <c r="IQ115" i="1"/>
  <c r="IP115" i="1"/>
  <c r="IN115" i="1"/>
  <c r="IM115" i="1"/>
  <c r="IL115" i="1"/>
  <c r="IK115" i="1"/>
  <c r="ID115" i="1"/>
  <c r="IC115" i="1"/>
  <c r="IB115" i="1"/>
  <c r="IA115" i="1"/>
  <c r="HY115" i="1"/>
  <c r="HX115" i="1"/>
  <c r="HW115" i="1"/>
  <c r="HV115" i="1"/>
  <c r="HT115" i="1"/>
  <c r="HS115" i="1"/>
  <c r="HR115" i="1"/>
  <c r="HQ115" i="1"/>
  <c r="HN115" i="1"/>
  <c r="HJ115" i="1"/>
  <c r="HI115" i="1"/>
  <c r="HH115" i="1"/>
  <c r="HG115" i="1"/>
  <c r="HE115" i="1"/>
  <c r="HD115" i="1"/>
  <c r="HC115" i="1"/>
  <c r="HB115" i="1"/>
  <c r="GZ115" i="1"/>
  <c r="GY115" i="1"/>
  <c r="GX115" i="1"/>
  <c r="GW115" i="1"/>
  <c r="GU115" i="1"/>
  <c r="GT115" i="1"/>
  <c r="GS115" i="1"/>
  <c r="GR115" i="1"/>
  <c r="FU115" i="1"/>
  <c r="FT115" i="1"/>
  <c r="FS115" i="1"/>
  <c r="FR115" i="1"/>
  <c r="FQ115" i="1"/>
  <c r="FP115" i="1"/>
  <c r="FO115" i="1"/>
  <c r="FN115" i="1"/>
  <c r="FM115" i="1"/>
  <c r="FL115" i="1"/>
  <c r="FI115" i="1"/>
  <c r="FH115" i="1"/>
  <c r="FG115" i="1"/>
  <c r="FF115" i="1"/>
  <c r="FE115" i="1"/>
  <c r="FD115" i="1"/>
  <c r="FC115" i="1"/>
  <c r="FB115" i="1"/>
  <c r="FA115" i="1"/>
  <c r="EX115" i="1"/>
  <c r="EW115" i="1"/>
  <c r="EV115" i="1"/>
  <c r="EU115" i="1"/>
  <c r="ET115" i="1"/>
  <c r="ES115" i="1"/>
  <c r="ER115" i="1"/>
  <c r="EQ115" i="1"/>
  <c r="EP115" i="1"/>
  <c r="EC115" i="1"/>
  <c r="EB115" i="1"/>
  <c r="EA115" i="1"/>
  <c r="DZ115" i="1"/>
  <c r="DY115" i="1"/>
  <c r="DX115" i="1"/>
  <c r="DW115" i="1"/>
  <c r="DV115" i="1"/>
  <c r="DU115" i="1"/>
  <c r="DT115" i="1"/>
  <c r="DQ115" i="1"/>
  <c r="DP115" i="1"/>
  <c r="DO115" i="1"/>
  <c r="DN115" i="1"/>
  <c r="DM115" i="1"/>
  <c r="DL115" i="1"/>
  <c r="DK115" i="1"/>
  <c r="DJ115" i="1"/>
  <c r="DI115" i="1"/>
  <c r="DF115" i="1"/>
  <c r="DE115" i="1"/>
  <c r="DD115" i="1"/>
  <c r="DC115" i="1"/>
  <c r="DB115" i="1"/>
  <c r="DA115" i="1"/>
  <c r="CZ115" i="1"/>
  <c r="CY115" i="1"/>
  <c r="CX115" i="1"/>
  <c r="CR115" i="1"/>
  <c r="CJ115" i="1"/>
  <c r="CI115" i="1"/>
  <c r="CH115" i="1"/>
  <c r="CG115" i="1"/>
  <c r="CF115" i="1"/>
  <c r="CE115" i="1"/>
  <c r="CD115" i="1"/>
  <c r="CC115" i="1"/>
  <c r="CB115" i="1"/>
  <c r="BY115" i="1"/>
  <c r="BX115" i="1"/>
  <c r="BW115" i="1"/>
  <c r="BV115" i="1"/>
  <c r="BU115" i="1"/>
  <c r="BT115" i="1"/>
  <c r="BS115" i="1"/>
  <c r="BR115" i="1"/>
  <c r="BQ115" i="1"/>
  <c r="BN115" i="1"/>
  <c r="BM115" i="1"/>
  <c r="BL115" i="1"/>
  <c r="BK115" i="1"/>
  <c r="BJ115" i="1"/>
  <c r="BI115" i="1"/>
  <c r="BH115" i="1"/>
  <c r="BG115" i="1"/>
  <c r="BF115" i="1"/>
  <c r="BC115" i="1"/>
  <c r="AR115" i="1"/>
  <c r="AQ115" i="1"/>
  <c r="AP115" i="1"/>
  <c r="AO115" i="1"/>
  <c r="AN115" i="1"/>
  <c r="AM115" i="1"/>
  <c r="AL115" i="1"/>
  <c r="AK115" i="1"/>
  <c r="AJ115" i="1"/>
  <c r="AG115" i="1"/>
  <c r="AF115" i="1"/>
  <c r="AE115" i="1"/>
  <c r="AD115" i="1"/>
  <c r="AC115" i="1"/>
  <c r="AB115" i="1"/>
  <c r="AA115" i="1"/>
  <c r="Z115" i="1"/>
  <c r="Y115" i="1"/>
  <c r="V115" i="1"/>
  <c r="U115" i="1"/>
  <c r="T115" i="1"/>
  <c r="S115" i="1"/>
  <c r="R115" i="1"/>
  <c r="Q115" i="1"/>
  <c r="P115" i="1"/>
  <c r="O115" i="1"/>
  <c r="N115" i="1"/>
  <c r="K115" i="1"/>
  <c r="J115" i="1"/>
  <c r="I115" i="1"/>
  <c r="H115" i="1"/>
  <c r="G115" i="1"/>
  <c r="F115" i="1"/>
  <c r="E115" i="1"/>
  <c r="D115" i="1"/>
  <c r="C115" i="1"/>
  <c r="IT114" i="1"/>
  <c r="IO114" i="1"/>
  <c r="II114" i="1"/>
  <c r="IH114" i="1"/>
  <c r="IG114" i="1"/>
  <c r="IF114" i="1"/>
  <c r="IE114" i="1"/>
  <c r="HZ114" i="1"/>
  <c r="HU114" i="1"/>
  <c r="HO114" i="1"/>
  <c r="HN114" i="1"/>
  <c r="HM114" i="1"/>
  <c r="HL114" i="1"/>
  <c r="HK114" i="1"/>
  <c r="HF114" i="1"/>
  <c r="HA114" i="1"/>
  <c r="GV114" i="1"/>
  <c r="GE114" i="1"/>
  <c r="GD114" i="1"/>
  <c r="GC114" i="1"/>
  <c r="GB114" i="1"/>
  <c r="GA114" i="1"/>
  <c r="FZ114" i="1"/>
  <c r="FY114" i="1"/>
  <c r="FX114" i="1"/>
  <c r="FW114" i="1"/>
  <c r="FV114" i="1"/>
  <c r="FU114" i="1"/>
  <c r="FJ114" i="1"/>
  <c r="EY114" i="1"/>
  <c r="EM114" i="1"/>
  <c r="EL114" i="1"/>
  <c r="EK114" i="1"/>
  <c r="EJ114" i="1"/>
  <c r="EI114" i="1"/>
  <c r="EH114" i="1"/>
  <c r="EG114" i="1"/>
  <c r="EF114" i="1"/>
  <c r="EE114" i="1"/>
  <c r="ED114" i="1"/>
  <c r="DR114" i="1"/>
  <c r="DG114" i="1"/>
  <c r="CU114" i="1"/>
  <c r="CT114" i="1"/>
  <c r="CS114" i="1"/>
  <c r="CR114" i="1"/>
  <c r="CQ114" i="1"/>
  <c r="CP114" i="1"/>
  <c r="CO114" i="1"/>
  <c r="CN114" i="1"/>
  <c r="CM114" i="1"/>
  <c r="CL114" i="1"/>
  <c r="CK114" i="1"/>
  <c r="BZ114" i="1"/>
  <c r="BO114" i="1"/>
  <c r="BC114" i="1"/>
  <c r="BB114" i="1"/>
  <c r="BA114" i="1"/>
  <c r="AZ114" i="1"/>
  <c r="AY114" i="1"/>
  <c r="AX114" i="1"/>
  <c r="AW114" i="1"/>
  <c r="AV114" i="1"/>
  <c r="AU114" i="1"/>
  <c r="AT114" i="1"/>
  <c r="AS114" i="1"/>
  <c r="AH114" i="1"/>
  <c r="W114" i="1"/>
  <c r="L114" i="1"/>
  <c r="IT113" i="1"/>
  <c r="IO113" i="1"/>
  <c r="II113" i="1"/>
  <c r="IH113" i="1"/>
  <c r="IG113" i="1"/>
  <c r="IF113" i="1"/>
  <c r="IE113" i="1"/>
  <c r="HZ113" i="1"/>
  <c r="HU113" i="1"/>
  <c r="HO113" i="1"/>
  <c r="HN113" i="1"/>
  <c r="HM113" i="1"/>
  <c r="HL113" i="1"/>
  <c r="HK113" i="1"/>
  <c r="HF113" i="1"/>
  <c r="HA113" i="1"/>
  <c r="GV113" i="1"/>
  <c r="GE113" i="1"/>
  <c r="GD113" i="1"/>
  <c r="GC113" i="1"/>
  <c r="GB113" i="1"/>
  <c r="GA113" i="1"/>
  <c r="FZ113" i="1"/>
  <c r="FY113" i="1"/>
  <c r="FX113" i="1"/>
  <c r="FW113" i="1"/>
  <c r="FV113" i="1"/>
  <c r="FU113" i="1"/>
  <c r="FJ113" i="1"/>
  <c r="EY113" i="1"/>
  <c r="EM113" i="1"/>
  <c r="EL113" i="1"/>
  <c r="EK113" i="1"/>
  <c r="EJ113" i="1"/>
  <c r="EI113" i="1"/>
  <c r="EH113" i="1"/>
  <c r="EG113" i="1"/>
  <c r="EF113" i="1"/>
  <c r="EE113" i="1"/>
  <c r="ED113" i="1"/>
  <c r="DR113" i="1"/>
  <c r="DG113" i="1"/>
  <c r="CU113" i="1"/>
  <c r="CT113" i="1"/>
  <c r="CS113" i="1"/>
  <c r="CR113" i="1"/>
  <c r="CQ113" i="1"/>
  <c r="CP113" i="1"/>
  <c r="CO113" i="1"/>
  <c r="CN113" i="1"/>
  <c r="CM113" i="1"/>
  <c r="CL113" i="1"/>
  <c r="CK113" i="1"/>
  <c r="BZ113" i="1"/>
  <c r="BO113" i="1"/>
  <c r="BC113" i="1"/>
  <c r="BB113" i="1"/>
  <c r="BA113" i="1"/>
  <c r="AZ113" i="1"/>
  <c r="AY113" i="1"/>
  <c r="AX113" i="1"/>
  <c r="AW113" i="1"/>
  <c r="AV113" i="1"/>
  <c r="AU113" i="1"/>
  <c r="AT113" i="1"/>
  <c r="AS113" i="1"/>
  <c r="AH113" i="1"/>
  <c r="W113" i="1"/>
  <c r="L113" i="1"/>
  <c r="IT112" i="1"/>
  <c r="IO112" i="1"/>
  <c r="II112" i="1"/>
  <c r="IH112" i="1"/>
  <c r="IG112" i="1"/>
  <c r="IF112" i="1"/>
  <c r="IE112" i="1"/>
  <c r="HZ112" i="1"/>
  <c r="HU112" i="1"/>
  <c r="HO112" i="1"/>
  <c r="HN112" i="1"/>
  <c r="HM112" i="1"/>
  <c r="HL112" i="1"/>
  <c r="HK112" i="1"/>
  <c r="HF112" i="1"/>
  <c r="HA112" i="1"/>
  <c r="GV112" i="1"/>
  <c r="GE112" i="1"/>
  <c r="GD112" i="1"/>
  <c r="GC112" i="1"/>
  <c r="GB112" i="1"/>
  <c r="GA112" i="1"/>
  <c r="FZ112" i="1"/>
  <c r="FY112" i="1"/>
  <c r="FX112" i="1"/>
  <c r="FW112" i="1"/>
  <c r="FV112" i="1"/>
  <c r="FU112" i="1"/>
  <c r="FJ112" i="1"/>
  <c r="EY112" i="1"/>
  <c r="EM112" i="1"/>
  <c r="EL112" i="1"/>
  <c r="EK112" i="1"/>
  <c r="EJ112" i="1"/>
  <c r="EI112" i="1"/>
  <c r="EH112" i="1"/>
  <c r="EG112" i="1"/>
  <c r="EF112" i="1"/>
  <c r="EE112" i="1"/>
  <c r="ED112" i="1"/>
  <c r="DR112" i="1"/>
  <c r="DG112" i="1"/>
  <c r="CU112" i="1"/>
  <c r="CT112" i="1"/>
  <c r="CS112" i="1"/>
  <c r="CS110" i="1" s="1"/>
  <c r="CR112" i="1"/>
  <c r="CQ112" i="1"/>
  <c r="CP112" i="1"/>
  <c r="CO112" i="1"/>
  <c r="CN112" i="1"/>
  <c r="CM112" i="1"/>
  <c r="CL112" i="1"/>
  <c r="CK112" i="1"/>
  <c r="BZ112" i="1"/>
  <c r="BO112" i="1"/>
  <c r="BC112" i="1"/>
  <c r="BB112" i="1"/>
  <c r="BA112" i="1"/>
  <c r="AZ112" i="1"/>
  <c r="AY112" i="1"/>
  <c r="AX112" i="1"/>
  <c r="AW112" i="1"/>
  <c r="AV112" i="1"/>
  <c r="AU112" i="1"/>
  <c r="AT112" i="1"/>
  <c r="AS112" i="1"/>
  <c r="AH112" i="1"/>
  <c r="W112" i="1"/>
  <c r="L112" i="1"/>
  <c r="IT111" i="1"/>
  <c r="IO111" i="1"/>
  <c r="II111" i="1"/>
  <c r="IH111" i="1"/>
  <c r="IG111" i="1"/>
  <c r="IF111" i="1"/>
  <c r="IE111" i="1"/>
  <c r="HZ111" i="1"/>
  <c r="HU111" i="1"/>
  <c r="HO111" i="1"/>
  <c r="HN111" i="1"/>
  <c r="HM111" i="1"/>
  <c r="HL111" i="1"/>
  <c r="HK111" i="1"/>
  <c r="HF111" i="1"/>
  <c r="HA111" i="1"/>
  <c r="GV111" i="1"/>
  <c r="GE111" i="1"/>
  <c r="GE110" i="1" s="1"/>
  <c r="GD111" i="1"/>
  <c r="GC111" i="1"/>
  <c r="GB111" i="1"/>
  <c r="GA111" i="1"/>
  <c r="FZ111" i="1"/>
  <c r="FY111" i="1"/>
  <c r="FX111" i="1"/>
  <c r="FW111" i="1"/>
  <c r="FV111" i="1"/>
  <c r="FU111" i="1"/>
  <c r="FJ111" i="1"/>
  <c r="EY111" i="1"/>
  <c r="EM111" i="1"/>
  <c r="EL111" i="1"/>
  <c r="EK111" i="1"/>
  <c r="EJ111" i="1"/>
  <c r="EI111" i="1"/>
  <c r="EI110" i="1" s="1"/>
  <c r="EH111" i="1"/>
  <c r="EG111" i="1"/>
  <c r="EF111" i="1"/>
  <c r="EE111" i="1"/>
  <c r="ED111" i="1"/>
  <c r="DR111" i="1"/>
  <c r="DG111" i="1"/>
  <c r="CU111" i="1"/>
  <c r="CT111" i="1"/>
  <c r="CS111" i="1"/>
  <c r="CR111" i="1"/>
  <c r="CQ111" i="1"/>
  <c r="CP111" i="1"/>
  <c r="CO111" i="1"/>
  <c r="CN111" i="1"/>
  <c r="CM111" i="1"/>
  <c r="CL111" i="1"/>
  <c r="CK111" i="1"/>
  <c r="BZ111" i="1"/>
  <c r="BO111" i="1"/>
  <c r="BO110" i="1" s="1"/>
  <c r="BC111" i="1"/>
  <c r="BB111" i="1"/>
  <c r="BA111" i="1"/>
  <c r="BA110" i="1" s="1"/>
  <c r="AZ111" i="1"/>
  <c r="AY111" i="1"/>
  <c r="AX111" i="1"/>
  <c r="AW111" i="1"/>
  <c r="AV111" i="1"/>
  <c r="AU111" i="1"/>
  <c r="AT111" i="1"/>
  <c r="AS111" i="1"/>
  <c r="AH111" i="1"/>
  <c r="W111" i="1"/>
  <c r="W110" i="1" s="1"/>
  <c r="L111" i="1"/>
  <c r="IV110" i="1"/>
  <c r="IU110" i="1"/>
  <c r="IS110" i="1"/>
  <c r="IR110" i="1"/>
  <c r="IQ110" i="1"/>
  <c r="IP110" i="1"/>
  <c r="IO110" i="1"/>
  <c r="IN110" i="1"/>
  <c r="IM110" i="1"/>
  <c r="IL110" i="1"/>
  <c r="IK110" i="1"/>
  <c r="ID110" i="1"/>
  <c r="IC110" i="1"/>
  <c r="IB110" i="1"/>
  <c r="IA110" i="1"/>
  <c r="HY110" i="1"/>
  <c r="HX110" i="1"/>
  <c r="HW110" i="1"/>
  <c r="HV110" i="1"/>
  <c r="HT110" i="1"/>
  <c r="HS110" i="1"/>
  <c r="HR110" i="1"/>
  <c r="HQ110" i="1"/>
  <c r="HJ110" i="1"/>
  <c r="HI110" i="1"/>
  <c r="HH110" i="1"/>
  <c r="HG110" i="1"/>
  <c r="HE110" i="1"/>
  <c r="HD110" i="1"/>
  <c r="HC110" i="1"/>
  <c r="HB110" i="1"/>
  <c r="GZ110" i="1"/>
  <c r="GY110" i="1"/>
  <c r="GX110" i="1"/>
  <c r="GW110" i="1"/>
  <c r="GU110" i="1"/>
  <c r="GT110" i="1"/>
  <c r="GS110" i="1"/>
  <c r="GR110" i="1"/>
  <c r="FT110" i="1"/>
  <c r="FS110" i="1"/>
  <c r="FR110" i="1"/>
  <c r="FQ110" i="1"/>
  <c r="FP110" i="1"/>
  <c r="FO110" i="1"/>
  <c r="FN110" i="1"/>
  <c r="FM110" i="1"/>
  <c r="FL110" i="1"/>
  <c r="FI110" i="1"/>
  <c r="FH110" i="1"/>
  <c r="FG110" i="1"/>
  <c r="FF110" i="1"/>
  <c r="FE110" i="1"/>
  <c r="FD110" i="1"/>
  <c r="FC110" i="1"/>
  <c r="FB110" i="1"/>
  <c r="FA110" i="1"/>
  <c r="EX110" i="1"/>
  <c r="EW110" i="1"/>
  <c r="EV110" i="1"/>
  <c r="EU110" i="1"/>
  <c r="ET110" i="1"/>
  <c r="ES110" i="1"/>
  <c r="ER110" i="1"/>
  <c r="EQ110" i="1"/>
  <c r="EP110" i="1"/>
  <c r="EC110" i="1"/>
  <c r="EB110" i="1"/>
  <c r="EA110" i="1"/>
  <c r="DZ110" i="1"/>
  <c r="DY110" i="1"/>
  <c r="DX110" i="1"/>
  <c r="DW110" i="1"/>
  <c r="DV110" i="1"/>
  <c r="DU110" i="1"/>
  <c r="DT110" i="1"/>
  <c r="DQ110" i="1"/>
  <c r="DP110" i="1"/>
  <c r="DO110" i="1"/>
  <c r="DN110" i="1"/>
  <c r="DM110" i="1"/>
  <c r="DL110" i="1"/>
  <c r="DK110" i="1"/>
  <c r="DJ110" i="1"/>
  <c r="DI110" i="1"/>
  <c r="DF110" i="1"/>
  <c r="DE110" i="1"/>
  <c r="DD110" i="1"/>
  <c r="DC110" i="1"/>
  <c r="DB110" i="1"/>
  <c r="DA110" i="1"/>
  <c r="CZ110" i="1"/>
  <c r="CY110" i="1"/>
  <c r="CX110" i="1"/>
  <c r="CJ110" i="1"/>
  <c r="CI110" i="1"/>
  <c r="CH110" i="1"/>
  <c r="CG110" i="1"/>
  <c r="CF110" i="1"/>
  <c r="CE110" i="1"/>
  <c r="CD110" i="1"/>
  <c r="CC110" i="1"/>
  <c r="CB110" i="1"/>
  <c r="BY110" i="1"/>
  <c r="BX110" i="1"/>
  <c r="BW110" i="1"/>
  <c r="BV110" i="1"/>
  <c r="BU110" i="1"/>
  <c r="BT110" i="1"/>
  <c r="BS110" i="1"/>
  <c r="BR110" i="1"/>
  <c r="BQ110" i="1"/>
  <c r="BN110" i="1"/>
  <c r="BM110" i="1"/>
  <c r="BL110" i="1"/>
  <c r="BK110" i="1"/>
  <c r="BJ110" i="1"/>
  <c r="BI110" i="1"/>
  <c r="BH110" i="1"/>
  <c r="BG110" i="1"/>
  <c r="BF110" i="1"/>
  <c r="AV110" i="1"/>
  <c r="AR110" i="1"/>
  <c r="AQ110" i="1"/>
  <c r="AP110" i="1"/>
  <c r="AO110" i="1"/>
  <c r="AN110" i="1"/>
  <c r="AM110" i="1"/>
  <c r="AL110" i="1"/>
  <c r="AK110" i="1"/>
  <c r="AJ110" i="1"/>
  <c r="AG110" i="1"/>
  <c r="AF110" i="1"/>
  <c r="AE110" i="1"/>
  <c r="AD110" i="1"/>
  <c r="AC110" i="1"/>
  <c r="AB110" i="1"/>
  <c r="AA110" i="1"/>
  <c r="Z110" i="1"/>
  <c r="Y110" i="1"/>
  <c r="V110" i="1"/>
  <c r="U110" i="1"/>
  <c r="T110" i="1"/>
  <c r="S110" i="1"/>
  <c r="R110" i="1"/>
  <c r="Q110" i="1"/>
  <c r="P110" i="1"/>
  <c r="O110" i="1"/>
  <c r="N110" i="1"/>
  <c r="K110" i="1"/>
  <c r="J110" i="1"/>
  <c r="I110" i="1"/>
  <c r="H110" i="1"/>
  <c r="G110" i="1"/>
  <c r="F110" i="1"/>
  <c r="E110" i="1"/>
  <c r="D110" i="1"/>
  <c r="C110" i="1"/>
  <c r="IT109" i="1"/>
  <c r="IO109" i="1"/>
  <c r="II109" i="1"/>
  <c r="IH109" i="1"/>
  <c r="IG109" i="1"/>
  <c r="IF109" i="1"/>
  <c r="IE109" i="1"/>
  <c r="HZ109" i="1"/>
  <c r="HU109" i="1"/>
  <c r="HO109" i="1"/>
  <c r="HN109" i="1"/>
  <c r="HM109" i="1"/>
  <c r="HL109" i="1"/>
  <c r="HK109" i="1"/>
  <c r="HF109" i="1"/>
  <c r="HA109" i="1"/>
  <c r="GV109" i="1"/>
  <c r="GE109" i="1"/>
  <c r="GD109" i="1"/>
  <c r="GC109" i="1"/>
  <c r="GB109" i="1"/>
  <c r="GA109" i="1"/>
  <c r="FZ109" i="1"/>
  <c r="FY109" i="1"/>
  <c r="FX109" i="1"/>
  <c r="FW109" i="1"/>
  <c r="FV109" i="1"/>
  <c r="FU109" i="1"/>
  <c r="FJ109" i="1"/>
  <c r="EY109" i="1"/>
  <c r="EM109" i="1"/>
  <c r="EL109" i="1"/>
  <c r="EK109" i="1"/>
  <c r="EJ109" i="1"/>
  <c r="EI109" i="1"/>
  <c r="EH109" i="1"/>
  <c r="EG109" i="1"/>
  <c r="EF109" i="1"/>
  <c r="EE109" i="1"/>
  <c r="ED109" i="1"/>
  <c r="DR109" i="1"/>
  <c r="DG109" i="1"/>
  <c r="CU109" i="1"/>
  <c r="CT109" i="1"/>
  <c r="CS109" i="1"/>
  <c r="CR109" i="1"/>
  <c r="CQ109" i="1"/>
  <c r="CP109" i="1"/>
  <c r="CO109" i="1"/>
  <c r="CN109" i="1"/>
  <c r="CM109" i="1"/>
  <c r="CL109" i="1"/>
  <c r="CK109" i="1"/>
  <c r="BZ109" i="1"/>
  <c r="BO109" i="1"/>
  <c r="BC109" i="1"/>
  <c r="BB109" i="1"/>
  <c r="BA109" i="1"/>
  <c r="AZ109" i="1"/>
  <c r="AY109" i="1"/>
  <c r="AX109" i="1"/>
  <c r="AW109" i="1"/>
  <c r="AV109" i="1"/>
  <c r="AU109" i="1"/>
  <c r="AT109" i="1"/>
  <c r="AS109" i="1"/>
  <c r="AH109" i="1"/>
  <c r="W109" i="1"/>
  <c r="L109" i="1"/>
  <c r="IT108" i="1"/>
  <c r="IO108" i="1"/>
  <c r="II108" i="1"/>
  <c r="IH108" i="1"/>
  <c r="IG108" i="1"/>
  <c r="IF108" i="1"/>
  <c r="IE108" i="1"/>
  <c r="HZ108" i="1"/>
  <c r="HU108" i="1"/>
  <c r="HO108" i="1"/>
  <c r="HN108" i="1"/>
  <c r="HM108" i="1"/>
  <c r="HL108" i="1"/>
  <c r="HK108" i="1"/>
  <c r="HF108" i="1"/>
  <c r="HA108" i="1"/>
  <c r="GV108" i="1"/>
  <c r="GE108" i="1"/>
  <c r="GD108" i="1"/>
  <c r="GC108" i="1"/>
  <c r="GB108" i="1"/>
  <c r="GA108" i="1"/>
  <c r="FZ108" i="1"/>
  <c r="FY108" i="1"/>
  <c r="FX108" i="1"/>
  <c r="FW108" i="1"/>
  <c r="FV108" i="1"/>
  <c r="FU108" i="1"/>
  <c r="FJ108" i="1"/>
  <c r="FJ105" i="1" s="1"/>
  <c r="EY108" i="1"/>
  <c r="EM108" i="1"/>
  <c r="EL108" i="1"/>
  <c r="EK108" i="1"/>
  <c r="EJ108" i="1"/>
  <c r="EI108" i="1"/>
  <c r="EH108" i="1"/>
  <c r="EG108" i="1"/>
  <c r="EG105" i="1" s="1"/>
  <c r="EF108" i="1"/>
  <c r="EE108" i="1"/>
  <c r="ED108" i="1"/>
  <c r="DR108" i="1"/>
  <c r="DG108" i="1"/>
  <c r="CU108" i="1"/>
  <c r="CT108" i="1"/>
  <c r="CS108" i="1"/>
  <c r="CR108" i="1"/>
  <c r="CQ108" i="1"/>
  <c r="CP108" i="1"/>
  <c r="CO108" i="1"/>
  <c r="CN108" i="1"/>
  <c r="CM108" i="1"/>
  <c r="CL108" i="1"/>
  <c r="CK108" i="1"/>
  <c r="BZ108" i="1"/>
  <c r="BO108" i="1"/>
  <c r="BC108" i="1"/>
  <c r="BB108" i="1"/>
  <c r="BA108" i="1"/>
  <c r="AZ108" i="1"/>
  <c r="AY108" i="1"/>
  <c r="AX108" i="1"/>
  <c r="AW108" i="1"/>
  <c r="AV108" i="1"/>
  <c r="AU108" i="1"/>
  <c r="AT108" i="1"/>
  <c r="AS108" i="1"/>
  <c r="AH108" i="1"/>
  <c r="W108" i="1"/>
  <c r="L108" i="1"/>
  <c r="IT107" i="1"/>
  <c r="IO107" i="1"/>
  <c r="II107" i="1"/>
  <c r="IH107" i="1"/>
  <c r="IG107" i="1"/>
  <c r="IF107" i="1"/>
  <c r="IE107" i="1"/>
  <c r="HZ107" i="1"/>
  <c r="HU107" i="1"/>
  <c r="HO107" i="1"/>
  <c r="HN107" i="1"/>
  <c r="HM107" i="1"/>
  <c r="HL107" i="1"/>
  <c r="HK107" i="1"/>
  <c r="HF107" i="1"/>
  <c r="HA107" i="1"/>
  <c r="GV107" i="1"/>
  <c r="GE107" i="1"/>
  <c r="GD107" i="1"/>
  <c r="GC107" i="1"/>
  <c r="GB107" i="1"/>
  <c r="GA107" i="1"/>
  <c r="FZ107" i="1"/>
  <c r="FY107" i="1"/>
  <c r="FX107" i="1"/>
  <c r="FW107" i="1"/>
  <c r="FV107" i="1"/>
  <c r="FU107" i="1"/>
  <c r="FJ107" i="1"/>
  <c r="EY107" i="1"/>
  <c r="EM107" i="1"/>
  <c r="EL107" i="1"/>
  <c r="EK107" i="1"/>
  <c r="EJ107" i="1"/>
  <c r="EI107" i="1"/>
  <c r="EH107" i="1"/>
  <c r="EG107" i="1"/>
  <c r="EF107" i="1"/>
  <c r="EE107" i="1"/>
  <c r="ED107" i="1"/>
  <c r="DR107" i="1"/>
  <c r="DG107" i="1"/>
  <c r="CU107" i="1"/>
  <c r="CT107" i="1"/>
  <c r="CS107" i="1"/>
  <c r="CR107" i="1"/>
  <c r="CQ107" i="1"/>
  <c r="CP107" i="1"/>
  <c r="CP105" i="1" s="1"/>
  <c r="CO107" i="1"/>
  <c r="CN107" i="1"/>
  <c r="CM107" i="1"/>
  <c r="CL107" i="1"/>
  <c r="CK107" i="1"/>
  <c r="BZ107" i="1"/>
  <c r="BO107" i="1"/>
  <c r="BC107" i="1"/>
  <c r="BB107" i="1"/>
  <c r="BA107" i="1"/>
  <c r="AZ107" i="1"/>
  <c r="AY107" i="1"/>
  <c r="AX107" i="1"/>
  <c r="AW107" i="1"/>
  <c r="AV107" i="1"/>
  <c r="AU107" i="1"/>
  <c r="AT107" i="1"/>
  <c r="AS107" i="1"/>
  <c r="AH107" i="1"/>
  <c r="W107" i="1"/>
  <c r="L107" i="1"/>
  <c r="IT106" i="1"/>
  <c r="IO106" i="1"/>
  <c r="II106" i="1"/>
  <c r="IH106" i="1"/>
  <c r="IG106" i="1"/>
  <c r="IG105" i="1" s="1"/>
  <c r="IF106" i="1"/>
  <c r="IE106" i="1"/>
  <c r="HZ106" i="1"/>
  <c r="HU106" i="1"/>
  <c r="HO106" i="1"/>
  <c r="HN106" i="1"/>
  <c r="HM106" i="1"/>
  <c r="HL106" i="1"/>
  <c r="HK106" i="1"/>
  <c r="HF106" i="1"/>
  <c r="HA106" i="1"/>
  <c r="GV106" i="1"/>
  <c r="GE106" i="1"/>
  <c r="GD106" i="1"/>
  <c r="GC106" i="1"/>
  <c r="GB106" i="1"/>
  <c r="GA106" i="1"/>
  <c r="FZ106" i="1"/>
  <c r="FY106" i="1"/>
  <c r="FX106" i="1"/>
  <c r="FW106" i="1"/>
  <c r="FV106" i="1"/>
  <c r="FU106" i="1"/>
  <c r="FJ106" i="1"/>
  <c r="EY106" i="1"/>
  <c r="EM106" i="1"/>
  <c r="EL106" i="1"/>
  <c r="EK106" i="1"/>
  <c r="EJ106" i="1"/>
  <c r="EI106" i="1"/>
  <c r="EH106" i="1"/>
  <c r="EG106" i="1"/>
  <c r="EF106" i="1"/>
  <c r="EE106" i="1"/>
  <c r="ED106" i="1"/>
  <c r="DR106" i="1"/>
  <c r="DG106" i="1"/>
  <c r="CU106" i="1"/>
  <c r="CT106" i="1"/>
  <c r="CS106" i="1"/>
  <c r="CR106" i="1"/>
  <c r="CQ106" i="1"/>
  <c r="CP106" i="1"/>
  <c r="CO106" i="1"/>
  <c r="CN106" i="1"/>
  <c r="CM106" i="1"/>
  <c r="CL106" i="1"/>
  <c r="CK106" i="1"/>
  <c r="BZ106" i="1"/>
  <c r="BO106" i="1"/>
  <c r="BC106" i="1"/>
  <c r="BB106" i="1"/>
  <c r="BA106" i="1"/>
  <c r="AZ106" i="1"/>
  <c r="AY106" i="1"/>
  <c r="AX106" i="1"/>
  <c r="AW106" i="1"/>
  <c r="AV106" i="1"/>
  <c r="AU106" i="1"/>
  <c r="AT106" i="1"/>
  <c r="AS106" i="1"/>
  <c r="AH106" i="1"/>
  <c r="W106" i="1"/>
  <c r="L106" i="1"/>
  <c r="IV105" i="1"/>
  <c r="IU105" i="1"/>
  <c r="IS105" i="1"/>
  <c r="IR105" i="1"/>
  <c r="IQ105" i="1"/>
  <c r="IP105" i="1"/>
  <c r="IP104" i="1" s="1"/>
  <c r="IN105" i="1"/>
  <c r="IM105" i="1"/>
  <c r="IL105" i="1"/>
  <c r="IL104" i="1" s="1"/>
  <c r="IK105" i="1"/>
  <c r="IK104" i="1" s="1"/>
  <c r="IK92" i="1" s="1"/>
  <c r="IK91" i="1" s="1"/>
  <c r="ID105" i="1"/>
  <c r="IC105" i="1"/>
  <c r="IC104" i="1" s="1"/>
  <c r="IB105" i="1"/>
  <c r="IA105" i="1"/>
  <c r="HY105" i="1"/>
  <c r="HY104" i="1" s="1"/>
  <c r="HX105" i="1"/>
  <c r="HW105" i="1"/>
  <c r="HV105" i="1"/>
  <c r="HT105" i="1"/>
  <c r="HS105" i="1"/>
  <c r="HS104" i="1" s="1"/>
  <c r="HR105" i="1"/>
  <c r="HR104" i="1" s="1"/>
  <c r="HQ105" i="1"/>
  <c r="HQ104" i="1" s="1"/>
  <c r="HL105" i="1"/>
  <c r="HJ105" i="1"/>
  <c r="HI105" i="1"/>
  <c r="HH105" i="1"/>
  <c r="HH104" i="1" s="1"/>
  <c r="HG105" i="1"/>
  <c r="HE105" i="1"/>
  <c r="HE104" i="1" s="1"/>
  <c r="HD105" i="1"/>
  <c r="HD104" i="1" s="1"/>
  <c r="HC105" i="1"/>
  <c r="HB105" i="1"/>
  <c r="HA105" i="1"/>
  <c r="GZ105" i="1"/>
  <c r="GZ104" i="1" s="1"/>
  <c r="GY105" i="1"/>
  <c r="GX105" i="1"/>
  <c r="GW105" i="1"/>
  <c r="GU105" i="1"/>
  <c r="GT105" i="1"/>
  <c r="GS105" i="1"/>
  <c r="GR105" i="1"/>
  <c r="GR104" i="1" s="1"/>
  <c r="FT105" i="1"/>
  <c r="FT104" i="1" s="1"/>
  <c r="FS105" i="1"/>
  <c r="FS104" i="1" s="1"/>
  <c r="FR105" i="1"/>
  <c r="FQ105" i="1"/>
  <c r="FP105" i="1"/>
  <c r="FP104" i="1" s="1"/>
  <c r="FP92" i="1" s="1"/>
  <c r="FP91" i="1" s="1"/>
  <c r="FO105" i="1"/>
  <c r="FO104" i="1" s="1"/>
  <c r="FN105" i="1"/>
  <c r="FM105" i="1"/>
  <c r="FL105" i="1"/>
  <c r="FI105" i="1"/>
  <c r="FH105" i="1"/>
  <c r="FG105" i="1"/>
  <c r="FF105" i="1"/>
  <c r="FF104" i="1" s="1"/>
  <c r="FE105" i="1"/>
  <c r="FD105" i="1"/>
  <c r="FC105" i="1"/>
  <c r="FC104" i="1" s="1"/>
  <c r="FB105" i="1"/>
  <c r="FB104" i="1" s="1"/>
  <c r="FA105" i="1"/>
  <c r="EX105" i="1"/>
  <c r="EW105" i="1"/>
  <c r="EW104" i="1" s="1"/>
  <c r="EV105" i="1"/>
  <c r="EV104" i="1" s="1"/>
  <c r="EU105" i="1"/>
  <c r="ET105" i="1"/>
  <c r="ES105" i="1"/>
  <c r="ES104" i="1" s="1"/>
  <c r="ER105" i="1"/>
  <c r="ER104" i="1" s="1"/>
  <c r="EQ105" i="1"/>
  <c r="EP105" i="1"/>
  <c r="EK105" i="1"/>
  <c r="EC105" i="1"/>
  <c r="EB105" i="1"/>
  <c r="EB104" i="1" s="1"/>
  <c r="EA105" i="1"/>
  <c r="EA104" i="1" s="1"/>
  <c r="DZ105" i="1"/>
  <c r="DZ104" i="1" s="1"/>
  <c r="DY105" i="1"/>
  <c r="DX105" i="1"/>
  <c r="DX104" i="1" s="1"/>
  <c r="DW105" i="1"/>
  <c r="DV105" i="1"/>
  <c r="DV104" i="1" s="1"/>
  <c r="DU105" i="1"/>
  <c r="DT105" i="1"/>
  <c r="DR105" i="1"/>
  <c r="DQ105" i="1"/>
  <c r="DQ104" i="1" s="1"/>
  <c r="DP105" i="1"/>
  <c r="DO105" i="1"/>
  <c r="DO104" i="1" s="1"/>
  <c r="DN105" i="1"/>
  <c r="DM105" i="1"/>
  <c r="DM104" i="1" s="1"/>
  <c r="DL105" i="1"/>
  <c r="DK105" i="1"/>
  <c r="DK104" i="1" s="1"/>
  <c r="DJ105" i="1"/>
  <c r="DJ104" i="1" s="1"/>
  <c r="DI105" i="1"/>
  <c r="DI104" i="1" s="1"/>
  <c r="DF105" i="1"/>
  <c r="DE105" i="1"/>
  <c r="DD105" i="1"/>
  <c r="DD104" i="1" s="1"/>
  <c r="DC105" i="1"/>
  <c r="DB105" i="1"/>
  <c r="DA105" i="1"/>
  <c r="DA104" i="1" s="1"/>
  <c r="CZ105" i="1"/>
  <c r="CZ104" i="1" s="1"/>
  <c r="CY105" i="1"/>
  <c r="CX105" i="1"/>
  <c r="CU105" i="1"/>
  <c r="CR105" i="1"/>
  <c r="CN105" i="1"/>
  <c r="CJ105" i="1"/>
  <c r="CI105" i="1"/>
  <c r="CI104" i="1" s="1"/>
  <c r="CH105" i="1"/>
  <c r="CG105" i="1"/>
  <c r="CG104" i="1" s="1"/>
  <c r="CF105" i="1"/>
  <c r="CE105" i="1"/>
  <c r="CE104" i="1" s="1"/>
  <c r="CE92" i="1" s="1"/>
  <c r="CE91" i="1" s="1"/>
  <c r="CD105" i="1"/>
  <c r="CD104" i="1" s="1"/>
  <c r="CC105" i="1"/>
  <c r="CC104" i="1" s="1"/>
  <c r="CB105" i="1"/>
  <c r="BZ105" i="1"/>
  <c r="BY105" i="1"/>
  <c r="BY104" i="1" s="1"/>
  <c r="BX105" i="1"/>
  <c r="BX104" i="1" s="1"/>
  <c r="BW105" i="1"/>
  <c r="BV105" i="1"/>
  <c r="BU105" i="1"/>
  <c r="BT105" i="1"/>
  <c r="BT104" i="1" s="1"/>
  <c r="BS105" i="1"/>
  <c r="BR105" i="1"/>
  <c r="BQ105" i="1"/>
  <c r="BQ104" i="1" s="1"/>
  <c r="BN105" i="1"/>
  <c r="BM105" i="1"/>
  <c r="BL105" i="1"/>
  <c r="BL104" i="1" s="1"/>
  <c r="BL92" i="1" s="1"/>
  <c r="BL91" i="1" s="1"/>
  <c r="BK105" i="1"/>
  <c r="BK104" i="1" s="1"/>
  <c r="BJ105" i="1"/>
  <c r="BI105" i="1"/>
  <c r="BH105" i="1"/>
  <c r="BH104" i="1" s="1"/>
  <c r="BG105" i="1"/>
  <c r="BG104" i="1" s="1"/>
  <c r="BF105" i="1"/>
  <c r="BB105" i="1"/>
  <c r="BA105" i="1"/>
  <c r="AW105" i="1"/>
  <c r="AR105" i="1"/>
  <c r="AR104" i="1" s="1"/>
  <c r="AQ105" i="1"/>
  <c r="AP105" i="1"/>
  <c r="AO105" i="1"/>
  <c r="AN105" i="1"/>
  <c r="AN104" i="1" s="1"/>
  <c r="AM105" i="1"/>
  <c r="AL105" i="1"/>
  <c r="AL104" i="1" s="1"/>
  <c r="AK105" i="1"/>
  <c r="AJ105" i="1"/>
  <c r="AJ104" i="1" s="1"/>
  <c r="AG105" i="1"/>
  <c r="AF105" i="1"/>
  <c r="AF104" i="1" s="1"/>
  <c r="AE105" i="1"/>
  <c r="AE104" i="1" s="1"/>
  <c r="AD105" i="1"/>
  <c r="AC105" i="1"/>
  <c r="AB105" i="1"/>
  <c r="AB104" i="1" s="1"/>
  <c r="AA105" i="1"/>
  <c r="AA104" i="1" s="1"/>
  <c r="Z105" i="1"/>
  <c r="Y105" i="1"/>
  <c r="W105" i="1"/>
  <c r="V105" i="1"/>
  <c r="V104" i="1" s="1"/>
  <c r="U105" i="1"/>
  <c r="T105" i="1"/>
  <c r="S105" i="1"/>
  <c r="S104" i="1" s="1"/>
  <c r="R105" i="1"/>
  <c r="R104" i="1" s="1"/>
  <c r="Q105" i="1"/>
  <c r="P105" i="1"/>
  <c r="O105" i="1"/>
  <c r="O104" i="1" s="1"/>
  <c r="N105" i="1"/>
  <c r="N104" i="1" s="1"/>
  <c r="K105" i="1"/>
  <c r="J105" i="1"/>
  <c r="I105" i="1"/>
  <c r="I104" i="1" s="1"/>
  <c r="H105" i="1"/>
  <c r="G105" i="1"/>
  <c r="F105" i="1"/>
  <c r="E105" i="1"/>
  <c r="E104" i="1" s="1"/>
  <c r="D105" i="1"/>
  <c r="C105" i="1"/>
  <c r="IV104" i="1"/>
  <c r="IU104" i="1"/>
  <c r="IS104" i="1"/>
  <c r="IR104" i="1"/>
  <c r="IQ104" i="1"/>
  <c r="IN104" i="1"/>
  <c r="IM104" i="1"/>
  <c r="ID104" i="1"/>
  <c r="IB104" i="1"/>
  <c r="IA104" i="1"/>
  <c r="HX104" i="1"/>
  <c r="HW104" i="1"/>
  <c r="HV104" i="1"/>
  <c r="HT104" i="1"/>
  <c r="HJ104" i="1"/>
  <c r="HI104" i="1"/>
  <c r="HG104" i="1"/>
  <c r="HC104" i="1"/>
  <c r="HB104" i="1"/>
  <c r="GY104" i="1"/>
  <c r="GX104" i="1"/>
  <c r="GW104" i="1"/>
  <c r="GU104" i="1"/>
  <c r="GT104" i="1"/>
  <c r="GS104" i="1"/>
  <c r="FR104" i="1"/>
  <c r="FQ104" i="1"/>
  <c r="FN104" i="1"/>
  <c r="FM104" i="1"/>
  <c r="FL104" i="1"/>
  <c r="FI104" i="1"/>
  <c r="FH104" i="1"/>
  <c r="FG104" i="1"/>
  <c r="FE104" i="1"/>
  <c r="FD104" i="1"/>
  <c r="FA104" i="1"/>
  <c r="EX104" i="1"/>
  <c r="EU104" i="1"/>
  <c r="ET104" i="1"/>
  <c r="EQ104" i="1"/>
  <c r="EP104" i="1"/>
  <c r="EC104" i="1"/>
  <c r="DY104" i="1"/>
  <c r="DW104" i="1"/>
  <c r="DU104" i="1"/>
  <c r="DT104" i="1"/>
  <c r="DP104" i="1"/>
  <c r="DN104" i="1"/>
  <c r="DL104" i="1"/>
  <c r="DF104" i="1"/>
  <c r="DE104" i="1"/>
  <c r="DC104" i="1"/>
  <c r="DB104" i="1"/>
  <c r="CY104" i="1"/>
  <c r="CX104" i="1"/>
  <c r="CJ104" i="1"/>
  <c r="CH104" i="1"/>
  <c r="CF104" i="1"/>
  <c r="CB104" i="1"/>
  <c r="BW104" i="1"/>
  <c r="BV104" i="1"/>
  <c r="BU104" i="1"/>
  <c r="BS104" i="1"/>
  <c r="BR104" i="1"/>
  <c r="BN104" i="1"/>
  <c r="BM104" i="1"/>
  <c r="BJ104" i="1"/>
  <c r="BI104" i="1"/>
  <c r="BF104" i="1"/>
  <c r="AQ104" i="1"/>
  <c r="AP104" i="1"/>
  <c r="AO104" i="1"/>
  <c r="AM104" i="1"/>
  <c r="AK104" i="1"/>
  <c r="AG104" i="1"/>
  <c r="AD104" i="1"/>
  <c r="AC104" i="1"/>
  <c r="Z104" i="1"/>
  <c r="Y104" i="1"/>
  <c r="U104" i="1"/>
  <c r="T104" i="1"/>
  <c r="Q104" i="1"/>
  <c r="P104" i="1"/>
  <c r="K104" i="1"/>
  <c r="J104" i="1"/>
  <c r="H104" i="1"/>
  <c r="G104" i="1"/>
  <c r="F104" i="1"/>
  <c r="D104" i="1"/>
  <c r="C104" i="1"/>
  <c r="IT103" i="1"/>
  <c r="IO103" i="1"/>
  <c r="II103" i="1"/>
  <c r="IH103" i="1"/>
  <c r="IG103" i="1"/>
  <c r="IF103" i="1"/>
  <c r="IE103" i="1"/>
  <c r="HZ103" i="1"/>
  <c r="HU103" i="1"/>
  <c r="HO103" i="1"/>
  <c r="HN103" i="1"/>
  <c r="HM103" i="1"/>
  <c r="HL103" i="1"/>
  <c r="HK103" i="1"/>
  <c r="HF103" i="1"/>
  <c r="HA103" i="1"/>
  <c r="GV103" i="1"/>
  <c r="GE103" i="1"/>
  <c r="GD103" i="1"/>
  <c r="GC103" i="1"/>
  <c r="GB103" i="1"/>
  <c r="GA103" i="1"/>
  <c r="FZ103" i="1"/>
  <c r="FY103" i="1"/>
  <c r="FX103" i="1"/>
  <c r="FW103" i="1"/>
  <c r="FV103" i="1"/>
  <c r="FU103" i="1"/>
  <c r="FJ103" i="1"/>
  <c r="EY103" i="1"/>
  <c r="EM103" i="1"/>
  <c r="EL103" i="1"/>
  <c r="EK103" i="1"/>
  <c r="EJ103" i="1"/>
  <c r="EI103" i="1"/>
  <c r="EH103" i="1"/>
  <c r="EG103" i="1"/>
  <c r="EF103" i="1"/>
  <c r="EE103" i="1"/>
  <c r="ED103" i="1"/>
  <c r="DR103" i="1"/>
  <c r="DG103" i="1"/>
  <c r="CU103" i="1"/>
  <c r="CT103" i="1"/>
  <c r="CS103" i="1"/>
  <c r="CR103" i="1"/>
  <c r="CQ103" i="1"/>
  <c r="CP103" i="1"/>
  <c r="CO103" i="1"/>
  <c r="CN103" i="1"/>
  <c r="CM103" i="1"/>
  <c r="CL103" i="1"/>
  <c r="CK103" i="1"/>
  <c r="BZ103" i="1"/>
  <c r="BO103" i="1"/>
  <c r="BC103" i="1"/>
  <c r="BB103" i="1"/>
  <c r="BA103" i="1"/>
  <c r="AZ103" i="1"/>
  <c r="AY103" i="1"/>
  <c r="AX103" i="1"/>
  <c r="AW103" i="1"/>
  <c r="AV103" i="1"/>
  <c r="AU103" i="1"/>
  <c r="AT103" i="1"/>
  <c r="AS103" i="1"/>
  <c r="AH103" i="1"/>
  <c r="W103" i="1"/>
  <c r="L103" i="1"/>
  <c r="IT102" i="1"/>
  <c r="IO102" i="1"/>
  <c r="II102" i="1"/>
  <c r="IH102" i="1"/>
  <c r="IH100" i="1" s="1"/>
  <c r="IG102" i="1"/>
  <c r="IF102" i="1"/>
  <c r="IE102" i="1"/>
  <c r="HZ102" i="1"/>
  <c r="HU102" i="1"/>
  <c r="HO102" i="1"/>
  <c r="HN102" i="1"/>
  <c r="HM102" i="1"/>
  <c r="HL102" i="1"/>
  <c r="HK102" i="1"/>
  <c r="HF102" i="1"/>
  <c r="HA102" i="1"/>
  <c r="GV102" i="1"/>
  <c r="GE102" i="1"/>
  <c r="GD102" i="1"/>
  <c r="GC102" i="1"/>
  <c r="GB102" i="1"/>
  <c r="GA102" i="1"/>
  <c r="FZ102" i="1"/>
  <c r="FY102" i="1"/>
  <c r="FX102" i="1"/>
  <c r="FW102" i="1"/>
  <c r="FV102" i="1"/>
  <c r="FU102" i="1"/>
  <c r="FJ102" i="1"/>
  <c r="EY102" i="1"/>
  <c r="EM102" i="1"/>
  <c r="EL102" i="1"/>
  <c r="EK102" i="1"/>
  <c r="EJ102" i="1"/>
  <c r="EI102" i="1"/>
  <c r="EH102" i="1"/>
  <c r="EH100" i="1" s="1"/>
  <c r="EG102" i="1"/>
  <c r="EF102" i="1"/>
  <c r="EE102" i="1"/>
  <c r="ED102" i="1"/>
  <c r="DR102" i="1"/>
  <c r="DG102" i="1"/>
  <c r="CU102" i="1"/>
  <c r="CT102" i="1"/>
  <c r="CT100" i="1" s="1"/>
  <c r="CT94" i="1" s="1"/>
  <c r="CS102" i="1"/>
  <c r="CR102" i="1"/>
  <c r="CQ102" i="1"/>
  <c r="CP102" i="1"/>
  <c r="CO102" i="1"/>
  <c r="CN102" i="1"/>
  <c r="CM102" i="1"/>
  <c r="CL102" i="1"/>
  <c r="CK102" i="1"/>
  <c r="BZ102" i="1"/>
  <c r="BO102" i="1"/>
  <c r="BC102" i="1"/>
  <c r="BB102" i="1"/>
  <c r="BA102" i="1"/>
  <c r="AZ102" i="1"/>
  <c r="GM102" i="1" s="1"/>
  <c r="AY102" i="1"/>
  <c r="AX102" i="1"/>
  <c r="AW102" i="1"/>
  <c r="AV102" i="1"/>
  <c r="GI102" i="1" s="1"/>
  <c r="AU102" i="1"/>
  <c r="AU100" i="1" s="1"/>
  <c r="AU94" i="1" s="1"/>
  <c r="AT102" i="1"/>
  <c r="AS102" i="1"/>
  <c r="AH102" i="1"/>
  <c r="W102" i="1"/>
  <c r="L102" i="1"/>
  <c r="IT101" i="1"/>
  <c r="IO101" i="1"/>
  <c r="IO100" i="1" s="1"/>
  <c r="II101" i="1"/>
  <c r="IH101" i="1"/>
  <c r="IG101" i="1"/>
  <c r="IF101" i="1"/>
  <c r="IE101" i="1"/>
  <c r="HZ101" i="1"/>
  <c r="HU101" i="1"/>
  <c r="HO101" i="1"/>
  <c r="HO100" i="1" s="1"/>
  <c r="HN101" i="1"/>
  <c r="HM101" i="1"/>
  <c r="HL101" i="1"/>
  <c r="HK101" i="1"/>
  <c r="HK100" i="1" s="1"/>
  <c r="HF101" i="1"/>
  <c r="HF100" i="1" s="1"/>
  <c r="HA101" i="1"/>
  <c r="GV101" i="1"/>
  <c r="GE101" i="1"/>
  <c r="GE100" i="1" s="1"/>
  <c r="GD101" i="1"/>
  <c r="GC101" i="1"/>
  <c r="GB101" i="1"/>
  <c r="GA101" i="1"/>
  <c r="GA100" i="1" s="1"/>
  <c r="FZ101" i="1"/>
  <c r="FY101" i="1"/>
  <c r="FX101" i="1"/>
  <c r="FW101" i="1"/>
  <c r="FV101" i="1"/>
  <c r="FU101" i="1"/>
  <c r="FJ101" i="1"/>
  <c r="EY101" i="1"/>
  <c r="EY100" i="1" s="1"/>
  <c r="EM101" i="1"/>
  <c r="EL101" i="1"/>
  <c r="EK101" i="1"/>
  <c r="EJ101" i="1"/>
  <c r="EJ100" i="1" s="1"/>
  <c r="EI101" i="1"/>
  <c r="EH101" i="1"/>
  <c r="EG101" i="1"/>
  <c r="EF101" i="1"/>
  <c r="EE101" i="1"/>
  <c r="ED101" i="1"/>
  <c r="DR101" i="1"/>
  <c r="DG101" i="1"/>
  <c r="DG100" i="1" s="1"/>
  <c r="CU101" i="1"/>
  <c r="CT101" i="1"/>
  <c r="CS101" i="1"/>
  <c r="CR101" i="1"/>
  <c r="CR100" i="1" s="1"/>
  <c r="CQ101" i="1"/>
  <c r="CP101" i="1"/>
  <c r="CO101" i="1"/>
  <c r="CN101" i="1"/>
  <c r="CN100" i="1" s="1"/>
  <c r="CM101" i="1"/>
  <c r="CL101" i="1"/>
  <c r="CK101" i="1"/>
  <c r="BZ101" i="1"/>
  <c r="BZ100" i="1" s="1"/>
  <c r="BO101" i="1"/>
  <c r="BC101" i="1"/>
  <c r="BB101" i="1"/>
  <c r="BA101" i="1"/>
  <c r="GN101" i="1" s="1"/>
  <c r="AZ101" i="1"/>
  <c r="AY101" i="1"/>
  <c r="AX101" i="1"/>
  <c r="AW101" i="1"/>
  <c r="GJ101" i="1" s="1"/>
  <c r="AV101" i="1"/>
  <c r="AU101" i="1"/>
  <c r="AT101" i="1"/>
  <c r="AS101" i="1"/>
  <c r="AH101" i="1"/>
  <c r="W101" i="1"/>
  <c r="L101" i="1"/>
  <c r="IV100" i="1"/>
  <c r="IU100" i="1"/>
  <c r="IT100" i="1"/>
  <c r="IS100" i="1"/>
  <c r="IR100" i="1"/>
  <c r="IQ100" i="1"/>
  <c r="IP100" i="1"/>
  <c r="IN100" i="1"/>
  <c r="IM100" i="1"/>
  <c r="IL100" i="1"/>
  <c r="IK100" i="1"/>
  <c r="IG100" i="1"/>
  <c r="ID100" i="1"/>
  <c r="IC100" i="1"/>
  <c r="IB100" i="1"/>
  <c r="IA100" i="1"/>
  <c r="HY100" i="1"/>
  <c r="HX100" i="1"/>
  <c r="HW100" i="1"/>
  <c r="HV100" i="1"/>
  <c r="HU100" i="1"/>
  <c r="HT100" i="1"/>
  <c r="HS100" i="1"/>
  <c r="HR100" i="1"/>
  <c r="HQ100" i="1"/>
  <c r="HL100" i="1"/>
  <c r="HJ100" i="1"/>
  <c r="HI100" i="1"/>
  <c r="HH100" i="1"/>
  <c r="HG100" i="1"/>
  <c r="HE100" i="1"/>
  <c r="HD100" i="1"/>
  <c r="HC100" i="1"/>
  <c r="HB100" i="1"/>
  <c r="GZ100" i="1"/>
  <c r="GY100" i="1"/>
  <c r="GX100" i="1"/>
  <c r="GW100" i="1"/>
  <c r="GV100" i="1"/>
  <c r="GU100" i="1"/>
  <c r="GT100" i="1"/>
  <c r="GS100" i="1"/>
  <c r="GR100" i="1"/>
  <c r="GC100" i="1"/>
  <c r="GB100" i="1"/>
  <c r="FX100" i="1"/>
  <c r="FT100" i="1"/>
  <c r="FS100" i="1"/>
  <c r="FR100" i="1"/>
  <c r="FQ100" i="1"/>
  <c r="FP100" i="1"/>
  <c r="FO100" i="1"/>
  <c r="FN100" i="1"/>
  <c r="FM100" i="1"/>
  <c r="FL100" i="1"/>
  <c r="FJ100" i="1"/>
  <c r="FI100" i="1"/>
  <c r="FH100" i="1"/>
  <c r="FG100" i="1"/>
  <c r="FF100" i="1"/>
  <c r="FE100" i="1"/>
  <c r="FD100" i="1"/>
  <c r="FC100" i="1"/>
  <c r="FB100" i="1"/>
  <c r="FA100" i="1"/>
  <c r="EX100" i="1"/>
  <c r="EW100" i="1"/>
  <c r="EV100" i="1"/>
  <c r="EU100" i="1"/>
  <c r="ET100" i="1"/>
  <c r="ES100" i="1"/>
  <c r="ER100" i="1"/>
  <c r="EQ100" i="1"/>
  <c r="EP100" i="1"/>
  <c r="EL100" i="1"/>
  <c r="EK100" i="1"/>
  <c r="EG100" i="1"/>
  <c r="EF100" i="1"/>
  <c r="EC100" i="1"/>
  <c r="EB100" i="1"/>
  <c r="EA100" i="1"/>
  <c r="DZ100" i="1"/>
  <c r="DY100" i="1"/>
  <c r="DX100" i="1"/>
  <c r="DW100" i="1"/>
  <c r="DV100" i="1"/>
  <c r="DU100" i="1"/>
  <c r="DT100" i="1"/>
  <c r="DR100" i="1"/>
  <c r="DQ100" i="1"/>
  <c r="DP100" i="1"/>
  <c r="DO100" i="1"/>
  <c r="DN100" i="1"/>
  <c r="DM100" i="1"/>
  <c r="DL100" i="1"/>
  <c r="DK100" i="1"/>
  <c r="DJ100" i="1"/>
  <c r="DI100" i="1"/>
  <c r="DF100" i="1"/>
  <c r="DE100" i="1"/>
  <c r="DD100" i="1"/>
  <c r="DC100" i="1"/>
  <c r="DB100" i="1"/>
  <c r="DA100" i="1"/>
  <c r="CZ100" i="1"/>
  <c r="CY100" i="1"/>
  <c r="CX100" i="1"/>
  <c r="CS100" i="1"/>
  <c r="CP100" i="1"/>
  <c r="CO100" i="1"/>
  <c r="CK100" i="1"/>
  <c r="CJ100" i="1"/>
  <c r="CI100" i="1"/>
  <c r="CH100" i="1"/>
  <c r="CG100" i="1"/>
  <c r="CF100" i="1"/>
  <c r="CE100" i="1"/>
  <c r="CD100" i="1"/>
  <c r="CC100" i="1"/>
  <c r="CB100" i="1"/>
  <c r="BY100" i="1"/>
  <c r="BX100" i="1"/>
  <c r="BW100" i="1"/>
  <c r="BV100" i="1"/>
  <c r="BU100" i="1"/>
  <c r="BT100" i="1"/>
  <c r="BS100" i="1"/>
  <c r="BR100" i="1"/>
  <c r="BQ100" i="1"/>
  <c r="BN100" i="1"/>
  <c r="BM100" i="1"/>
  <c r="BL100" i="1"/>
  <c r="BK100" i="1"/>
  <c r="BJ100" i="1"/>
  <c r="BI100" i="1"/>
  <c r="BH100" i="1"/>
  <c r="BG100" i="1"/>
  <c r="BF100" i="1"/>
  <c r="BC100" i="1"/>
  <c r="BB100" i="1"/>
  <c r="AY100" i="1"/>
  <c r="AX100" i="1"/>
  <c r="AS100" i="1"/>
  <c r="AR100" i="1"/>
  <c r="AQ100" i="1"/>
  <c r="AP100" i="1"/>
  <c r="AO100" i="1"/>
  <c r="AN100" i="1"/>
  <c r="AM100" i="1"/>
  <c r="AL100" i="1"/>
  <c r="AK100" i="1"/>
  <c r="AJ100" i="1"/>
  <c r="AG100" i="1"/>
  <c r="AF100" i="1"/>
  <c r="AE100" i="1"/>
  <c r="AD100" i="1"/>
  <c r="AC100" i="1"/>
  <c r="AB100" i="1"/>
  <c r="AA100" i="1"/>
  <c r="Z100" i="1"/>
  <c r="Y100" i="1"/>
  <c r="W100" i="1"/>
  <c r="V100" i="1"/>
  <c r="U100" i="1"/>
  <c r="T100" i="1"/>
  <c r="S100" i="1"/>
  <c r="R100" i="1"/>
  <c r="Q100" i="1"/>
  <c r="P100" i="1"/>
  <c r="O100" i="1"/>
  <c r="N100" i="1"/>
  <c r="L100" i="1"/>
  <c r="K100" i="1"/>
  <c r="J100" i="1"/>
  <c r="I100" i="1"/>
  <c r="H100" i="1"/>
  <c r="G100" i="1"/>
  <c r="F100" i="1"/>
  <c r="E100" i="1"/>
  <c r="D100" i="1"/>
  <c r="C100" i="1"/>
  <c r="IT99" i="1"/>
  <c r="IO99" i="1"/>
  <c r="II99" i="1"/>
  <c r="IH99" i="1"/>
  <c r="IG99" i="1"/>
  <c r="IF99" i="1"/>
  <c r="IE99" i="1"/>
  <c r="HZ99" i="1"/>
  <c r="HU99" i="1"/>
  <c r="HO99" i="1"/>
  <c r="HN99" i="1"/>
  <c r="HM99" i="1"/>
  <c r="HL99" i="1"/>
  <c r="HK99" i="1"/>
  <c r="HF99" i="1"/>
  <c r="HA99" i="1"/>
  <c r="GV99" i="1"/>
  <c r="GE99" i="1"/>
  <c r="GD99" i="1"/>
  <c r="GC99" i="1"/>
  <c r="GB99" i="1"/>
  <c r="GA99" i="1"/>
  <c r="FZ99" i="1"/>
  <c r="FY99" i="1"/>
  <c r="FX99" i="1"/>
  <c r="FW99" i="1"/>
  <c r="FV99" i="1"/>
  <c r="FU99" i="1"/>
  <c r="FJ99" i="1"/>
  <c r="EY99" i="1"/>
  <c r="EM99" i="1"/>
  <c r="EL99" i="1"/>
  <c r="EK99" i="1"/>
  <c r="EJ99" i="1"/>
  <c r="EI99" i="1"/>
  <c r="EH99" i="1"/>
  <c r="EG99" i="1"/>
  <c r="EF99" i="1"/>
  <c r="EE99" i="1"/>
  <c r="ED99" i="1"/>
  <c r="DR99" i="1"/>
  <c r="DG99" i="1"/>
  <c r="CU99" i="1"/>
  <c r="CT99" i="1"/>
  <c r="CS99" i="1"/>
  <c r="CR99" i="1"/>
  <c r="CQ99" i="1"/>
  <c r="CP99" i="1"/>
  <c r="CO99" i="1"/>
  <c r="CN99" i="1"/>
  <c r="CM99" i="1"/>
  <c r="CL99" i="1"/>
  <c r="CK99" i="1"/>
  <c r="BZ99" i="1"/>
  <c r="BO99" i="1"/>
  <c r="BC99" i="1"/>
  <c r="BB99" i="1"/>
  <c r="BA99" i="1"/>
  <c r="AZ99" i="1"/>
  <c r="AY99" i="1"/>
  <c r="AX99" i="1"/>
  <c r="AW99" i="1"/>
  <c r="AV99" i="1"/>
  <c r="AU99" i="1"/>
  <c r="AT99" i="1"/>
  <c r="AS99" i="1"/>
  <c r="AH99" i="1"/>
  <c r="W99" i="1"/>
  <c r="L99" i="1"/>
  <c r="IT98" i="1"/>
  <c r="IO98" i="1"/>
  <c r="II98" i="1"/>
  <c r="IH98" i="1"/>
  <c r="IG98" i="1"/>
  <c r="IF98" i="1"/>
  <c r="IE98" i="1"/>
  <c r="HZ98" i="1"/>
  <c r="HU98" i="1"/>
  <c r="HO98" i="1"/>
  <c r="HN98" i="1"/>
  <c r="HM98" i="1"/>
  <c r="HL98" i="1"/>
  <c r="HK98" i="1"/>
  <c r="HF98" i="1"/>
  <c r="HA98" i="1"/>
  <c r="GV98" i="1"/>
  <c r="GE98" i="1"/>
  <c r="GD98" i="1"/>
  <c r="GC98" i="1"/>
  <c r="GB98" i="1"/>
  <c r="GA98" i="1"/>
  <c r="FZ98" i="1"/>
  <c r="FY98" i="1"/>
  <c r="FX98" i="1"/>
  <c r="FW98" i="1"/>
  <c r="FV98" i="1"/>
  <c r="FU98" i="1"/>
  <c r="FJ98" i="1"/>
  <c r="EY98" i="1"/>
  <c r="EM98" i="1"/>
  <c r="EL98" i="1"/>
  <c r="EK98" i="1"/>
  <c r="EJ98" i="1"/>
  <c r="EI98" i="1"/>
  <c r="EH98" i="1"/>
  <c r="EG98" i="1"/>
  <c r="EF98" i="1"/>
  <c r="EE98" i="1"/>
  <c r="ED98" i="1"/>
  <c r="DR98" i="1"/>
  <c r="DG98" i="1"/>
  <c r="CU98" i="1"/>
  <c r="CT98" i="1"/>
  <c r="CS98" i="1"/>
  <c r="CR98" i="1"/>
  <c r="CQ98" i="1"/>
  <c r="CP98" i="1"/>
  <c r="CO98" i="1"/>
  <c r="CN98" i="1"/>
  <c r="CM98" i="1"/>
  <c r="CL98" i="1"/>
  <c r="CK98" i="1"/>
  <c r="BZ98" i="1"/>
  <c r="BO98" i="1"/>
  <c r="BC98" i="1"/>
  <c r="BB98" i="1"/>
  <c r="BA98" i="1"/>
  <c r="AZ98" i="1"/>
  <c r="AY98" i="1"/>
  <c r="AX98" i="1"/>
  <c r="AW98" i="1"/>
  <c r="AV98" i="1"/>
  <c r="AU98" i="1"/>
  <c r="AT98" i="1"/>
  <c r="AS98" i="1"/>
  <c r="AH98" i="1"/>
  <c r="W98" i="1"/>
  <c r="L98" i="1"/>
  <c r="IT97" i="1"/>
  <c r="IO97" i="1"/>
  <c r="II97" i="1"/>
  <c r="IH97" i="1"/>
  <c r="IG97" i="1"/>
  <c r="IF97" i="1"/>
  <c r="IE97" i="1"/>
  <c r="HZ97" i="1"/>
  <c r="HU97" i="1"/>
  <c r="HO97" i="1"/>
  <c r="HO95" i="1" s="1"/>
  <c r="HN97" i="1"/>
  <c r="HM97" i="1"/>
  <c r="HL97" i="1"/>
  <c r="HK97" i="1"/>
  <c r="HF97" i="1"/>
  <c r="HA97" i="1"/>
  <c r="GV97" i="1"/>
  <c r="GE97" i="1"/>
  <c r="GD97" i="1"/>
  <c r="GC97" i="1"/>
  <c r="GB97" i="1"/>
  <c r="GA97" i="1"/>
  <c r="FZ97" i="1"/>
  <c r="FY97" i="1"/>
  <c r="FX97" i="1"/>
  <c r="FW97" i="1"/>
  <c r="FV97" i="1"/>
  <c r="FU97" i="1"/>
  <c r="FJ97" i="1"/>
  <c r="EY97" i="1"/>
  <c r="EM97" i="1"/>
  <c r="EL97" i="1"/>
  <c r="EK97" i="1"/>
  <c r="EJ97" i="1"/>
  <c r="EI97" i="1"/>
  <c r="EH97" i="1"/>
  <c r="EG97" i="1"/>
  <c r="EF97" i="1"/>
  <c r="EE97" i="1"/>
  <c r="ED97" i="1"/>
  <c r="DR97" i="1"/>
  <c r="DG97" i="1"/>
  <c r="CU97" i="1"/>
  <c r="CT97" i="1"/>
  <c r="CS97" i="1"/>
  <c r="CR97" i="1"/>
  <c r="CQ97" i="1"/>
  <c r="CP97" i="1"/>
  <c r="CO97" i="1"/>
  <c r="CN97" i="1"/>
  <c r="CM97" i="1"/>
  <c r="CL97" i="1"/>
  <c r="CK97" i="1"/>
  <c r="BZ97" i="1"/>
  <c r="BO97" i="1"/>
  <c r="BC97" i="1"/>
  <c r="BB97" i="1"/>
  <c r="BA97" i="1"/>
  <c r="AZ97" i="1"/>
  <c r="AY97" i="1"/>
  <c r="AX97" i="1"/>
  <c r="AW97" i="1"/>
  <c r="AV97" i="1"/>
  <c r="AU97" i="1"/>
  <c r="AT97" i="1"/>
  <c r="AS97" i="1"/>
  <c r="AH97" i="1"/>
  <c r="W97" i="1"/>
  <c r="L97" i="1"/>
  <c r="IT96" i="1"/>
  <c r="IO96" i="1"/>
  <c r="II96" i="1"/>
  <c r="IH96" i="1"/>
  <c r="IG96" i="1"/>
  <c r="IF96" i="1"/>
  <c r="IE96" i="1"/>
  <c r="HZ96" i="1"/>
  <c r="HU96" i="1"/>
  <c r="HO96" i="1"/>
  <c r="HN96" i="1"/>
  <c r="HM96" i="1"/>
  <c r="HL96" i="1"/>
  <c r="HK96" i="1"/>
  <c r="HF96" i="1"/>
  <c r="HA96" i="1"/>
  <c r="GV96" i="1"/>
  <c r="GV95" i="1" s="1"/>
  <c r="GV94" i="1" s="1"/>
  <c r="GE96" i="1"/>
  <c r="GD96" i="1"/>
  <c r="GC96" i="1"/>
  <c r="GB96" i="1"/>
  <c r="GB95" i="1" s="1"/>
  <c r="GB94" i="1" s="1"/>
  <c r="GA96" i="1"/>
  <c r="FZ96" i="1"/>
  <c r="FY96" i="1"/>
  <c r="FX96" i="1"/>
  <c r="FX95" i="1" s="1"/>
  <c r="FX94" i="1" s="1"/>
  <c r="FW96" i="1"/>
  <c r="FV96" i="1"/>
  <c r="FU96" i="1"/>
  <c r="FJ96" i="1"/>
  <c r="FJ95" i="1" s="1"/>
  <c r="FJ94" i="1" s="1"/>
  <c r="EY96" i="1"/>
  <c r="EM96" i="1"/>
  <c r="EL96" i="1"/>
  <c r="EK96" i="1"/>
  <c r="EJ96" i="1"/>
  <c r="EI96" i="1"/>
  <c r="EH96" i="1"/>
  <c r="EG96" i="1"/>
  <c r="EF96" i="1"/>
  <c r="EE96" i="1"/>
  <c r="ED96" i="1"/>
  <c r="DR96" i="1"/>
  <c r="DR95" i="1" s="1"/>
  <c r="DR94" i="1" s="1"/>
  <c r="DG96" i="1"/>
  <c r="CU96" i="1"/>
  <c r="CT96" i="1"/>
  <c r="CS96" i="1"/>
  <c r="CR96" i="1"/>
  <c r="CQ96" i="1"/>
  <c r="CP96" i="1"/>
  <c r="CO96" i="1"/>
  <c r="CN96" i="1"/>
  <c r="CM96" i="1"/>
  <c r="CL96" i="1"/>
  <c r="CK96" i="1"/>
  <c r="CK95" i="1" s="1"/>
  <c r="CK94" i="1" s="1"/>
  <c r="BZ96" i="1"/>
  <c r="BO96" i="1"/>
  <c r="BC96" i="1"/>
  <c r="BB96" i="1"/>
  <c r="GO96" i="1" s="1"/>
  <c r="BA96" i="1"/>
  <c r="AZ96" i="1"/>
  <c r="AY96" i="1"/>
  <c r="AX96" i="1"/>
  <c r="GK96" i="1" s="1"/>
  <c r="AW96" i="1"/>
  <c r="AV96" i="1"/>
  <c r="AU96" i="1"/>
  <c r="AT96" i="1"/>
  <c r="GG96" i="1" s="1"/>
  <c r="AS96" i="1"/>
  <c r="AH96" i="1"/>
  <c r="W96" i="1"/>
  <c r="L96" i="1"/>
  <c r="IV95" i="1"/>
  <c r="IV94" i="1" s="1"/>
  <c r="IV92" i="1" s="1"/>
  <c r="IV91" i="1" s="1"/>
  <c r="IU95" i="1"/>
  <c r="IS95" i="1"/>
  <c r="IR95" i="1"/>
  <c r="IQ95" i="1"/>
  <c r="IQ94" i="1" s="1"/>
  <c r="IQ92" i="1" s="1"/>
  <c r="IQ91" i="1" s="1"/>
  <c r="IP95" i="1"/>
  <c r="IN95" i="1"/>
  <c r="IM95" i="1"/>
  <c r="IL95" i="1"/>
  <c r="IK95" i="1"/>
  <c r="II95" i="1"/>
  <c r="IH95" i="1"/>
  <c r="IH94" i="1" s="1"/>
  <c r="ID95" i="1"/>
  <c r="IC95" i="1"/>
  <c r="IB95" i="1"/>
  <c r="IA95" i="1"/>
  <c r="IA94" i="1" s="1"/>
  <c r="IA92" i="1" s="1"/>
  <c r="IA91" i="1" s="1"/>
  <c r="HZ95" i="1"/>
  <c r="HY95" i="1"/>
  <c r="HX95" i="1"/>
  <c r="HW95" i="1"/>
  <c r="HV95" i="1"/>
  <c r="HV94" i="1" s="1"/>
  <c r="HV92" i="1" s="1"/>
  <c r="HV91" i="1" s="1"/>
  <c r="HT95" i="1"/>
  <c r="HS95" i="1"/>
  <c r="HR95" i="1"/>
  <c r="HQ95" i="1"/>
  <c r="HQ94" i="1" s="1"/>
  <c r="HK95" i="1"/>
  <c r="HJ95" i="1"/>
  <c r="HJ94" i="1" s="1"/>
  <c r="HJ92" i="1" s="1"/>
  <c r="HJ91" i="1" s="1"/>
  <c r="HI95" i="1"/>
  <c r="HH95" i="1"/>
  <c r="HG95" i="1"/>
  <c r="HF95" i="1"/>
  <c r="HE95" i="1"/>
  <c r="HE94" i="1" s="1"/>
  <c r="HD95" i="1"/>
  <c r="HC95" i="1"/>
  <c r="HB95" i="1"/>
  <c r="HB94" i="1" s="1"/>
  <c r="HB92" i="1" s="1"/>
  <c r="HB91" i="1" s="1"/>
  <c r="GZ95" i="1"/>
  <c r="GZ94" i="1" s="1"/>
  <c r="GY95" i="1"/>
  <c r="GX95" i="1"/>
  <c r="GX94" i="1" s="1"/>
  <c r="GX92" i="1" s="1"/>
  <c r="GX91" i="1" s="1"/>
  <c r="GW95" i="1"/>
  <c r="GU95" i="1"/>
  <c r="GT95" i="1"/>
  <c r="GS95" i="1"/>
  <c r="GS94" i="1" s="1"/>
  <c r="GS92" i="1" s="1"/>
  <c r="GS91" i="1" s="1"/>
  <c r="GR95" i="1"/>
  <c r="GR94" i="1" s="1"/>
  <c r="GD95" i="1"/>
  <c r="GC95" i="1"/>
  <c r="FY95" i="1"/>
  <c r="FW95" i="1"/>
  <c r="FU95" i="1"/>
  <c r="FT95" i="1"/>
  <c r="FS95" i="1"/>
  <c r="FR95" i="1"/>
  <c r="FR94" i="1" s="1"/>
  <c r="FR92" i="1" s="1"/>
  <c r="FR91" i="1" s="1"/>
  <c r="FQ95" i="1"/>
  <c r="FQ94" i="1" s="1"/>
  <c r="FQ92" i="1" s="1"/>
  <c r="FQ91" i="1" s="1"/>
  <c r="FP95" i="1"/>
  <c r="FO95" i="1"/>
  <c r="FN95" i="1"/>
  <c r="FN94" i="1" s="1"/>
  <c r="FN92" i="1" s="1"/>
  <c r="FN91" i="1" s="1"/>
  <c r="FM95" i="1"/>
  <c r="FL95" i="1"/>
  <c r="FI95" i="1"/>
  <c r="FH95" i="1"/>
  <c r="FH94" i="1" s="1"/>
  <c r="FH92" i="1" s="1"/>
  <c r="FH91" i="1" s="1"/>
  <c r="FG95" i="1"/>
  <c r="FF95" i="1"/>
  <c r="FE95" i="1"/>
  <c r="FD95" i="1"/>
  <c r="FD94" i="1" s="1"/>
  <c r="FD92" i="1" s="1"/>
  <c r="FD91" i="1" s="1"/>
  <c r="FC95" i="1"/>
  <c r="FC94" i="1" s="1"/>
  <c r="FC92" i="1" s="1"/>
  <c r="FC91" i="1" s="1"/>
  <c r="FB95" i="1"/>
  <c r="FA95" i="1"/>
  <c r="EY95" i="1"/>
  <c r="EY94" i="1" s="1"/>
  <c r="EX95" i="1"/>
  <c r="EW95" i="1"/>
  <c r="EV95" i="1"/>
  <c r="EU95" i="1"/>
  <c r="EU94" i="1" s="1"/>
  <c r="EU92" i="1" s="1"/>
  <c r="EU91" i="1" s="1"/>
  <c r="ET95" i="1"/>
  <c r="ES95" i="1"/>
  <c r="ER95" i="1"/>
  <c r="EQ95" i="1"/>
  <c r="EQ94" i="1" s="1"/>
  <c r="EQ92" i="1" s="1"/>
  <c r="EQ91" i="1" s="1"/>
  <c r="EP95" i="1"/>
  <c r="EL95" i="1"/>
  <c r="EK95" i="1"/>
  <c r="EH95" i="1"/>
  <c r="EG95" i="1"/>
  <c r="EG94" i="1" s="1"/>
  <c r="EC95" i="1"/>
  <c r="EB95" i="1"/>
  <c r="EA95" i="1"/>
  <c r="EA94" i="1" s="1"/>
  <c r="DZ95" i="1"/>
  <c r="DY95" i="1"/>
  <c r="DX95" i="1"/>
  <c r="DW95" i="1"/>
  <c r="DW94" i="1" s="1"/>
  <c r="DW92" i="1" s="1"/>
  <c r="DW91" i="1" s="1"/>
  <c r="DV95" i="1"/>
  <c r="DU95" i="1"/>
  <c r="DT95" i="1"/>
  <c r="DQ95" i="1"/>
  <c r="DQ94" i="1" s="1"/>
  <c r="DP95" i="1"/>
  <c r="DO95" i="1"/>
  <c r="DN95" i="1"/>
  <c r="DM95" i="1"/>
  <c r="DM94" i="1" s="1"/>
  <c r="DL95" i="1"/>
  <c r="DL94" i="1" s="1"/>
  <c r="DL92" i="1" s="1"/>
  <c r="DL91" i="1" s="1"/>
  <c r="DK95" i="1"/>
  <c r="DJ95" i="1"/>
  <c r="DI95" i="1"/>
  <c r="DI94" i="1" s="1"/>
  <c r="DG95" i="1"/>
  <c r="DF95" i="1"/>
  <c r="DE95" i="1"/>
  <c r="DD95" i="1"/>
  <c r="DD94" i="1" s="1"/>
  <c r="DC95" i="1"/>
  <c r="DB95" i="1"/>
  <c r="DA95" i="1"/>
  <c r="CZ95" i="1"/>
  <c r="CZ94" i="1" s="1"/>
  <c r="CY95" i="1"/>
  <c r="CY94" i="1" s="1"/>
  <c r="CY92" i="1" s="1"/>
  <c r="CY91" i="1" s="1"/>
  <c r="CX95" i="1"/>
  <c r="CT95" i="1"/>
  <c r="CS95" i="1"/>
  <c r="CS94" i="1" s="1"/>
  <c r="CR95" i="1"/>
  <c r="CP95" i="1"/>
  <c r="CO95" i="1"/>
  <c r="CN95" i="1"/>
  <c r="CJ95" i="1"/>
  <c r="CI95" i="1"/>
  <c r="CH95" i="1"/>
  <c r="CG95" i="1"/>
  <c r="CG94" i="1" s="1"/>
  <c r="CF95" i="1"/>
  <c r="CF94" i="1" s="1"/>
  <c r="CF92" i="1" s="1"/>
  <c r="CF91" i="1" s="1"/>
  <c r="CE95" i="1"/>
  <c r="CD95" i="1"/>
  <c r="CC95" i="1"/>
  <c r="CC94" i="1" s="1"/>
  <c r="CB95" i="1"/>
  <c r="BZ95" i="1"/>
  <c r="BY95" i="1"/>
  <c r="BX95" i="1"/>
  <c r="BX94" i="1" s="1"/>
  <c r="BW95" i="1"/>
  <c r="BV95" i="1"/>
  <c r="BU95" i="1"/>
  <c r="BT95" i="1"/>
  <c r="BT94" i="1" s="1"/>
  <c r="BS95" i="1"/>
  <c r="BS94" i="1" s="1"/>
  <c r="BS92" i="1" s="1"/>
  <c r="BS91" i="1" s="1"/>
  <c r="BR95" i="1"/>
  <c r="BQ95" i="1"/>
  <c r="BN95" i="1"/>
  <c r="BN94" i="1" s="1"/>
  <c r="BN92" i="1" s="1"/>
  <c r="BN91" i="1" s="1"/>
  <c r="BM95" i="1"/>
  <c r="BL95" i="1"/>
  <c r="BK95" i="1"/>
  <c r="BJ95" i="1"/>
  <c r="BJ94" i="1" s="1"/>
  <c r="BJ92" i="1" s="1"/>
  <c r="BJ91" i="1" s="1"/>
  <c r="BI95" i="1"/>
  <c r="BH95" i="1"/>
  <c r="BG95" i="1"/>
  <c r="BF95" i="1"/>
  <c r="BF94" i="1" s="1"/>
  <c r="BF92" i="1" s="1"/>
  <c r="BF91" i="1" s="1"/>
  <c r="BC95" i="1"/>
  <c r="AZ95" i="1"/>
  <c r="AY95" i="1"/>
  <c r="AY94" i="1" s="1"/>
  <c r="AV95" i="1"/>
  <c r="AU95" i="1"/>
  <c r="AR95" i="1"/>
  <c r="AQ95" i="1"/>
  <c r="AQ94" i="1" s="1"/>
  <c r="AQ92" i="1" s="1"/>
  <c r="AQ91" i="1" s="1"/>
  <c r="AP95" i="1"/>
  <c r="AO95" i="1"/>
  <c r="AN95" i="1"/>
  <c r="AM95" i="1"/>
  <c r="AM94" i="1" s="1"/>
  <c r="AM92" i="1" s="1"/>
  <c r="AM91" i="1" s="1"/>
  <c r="AL95" i="1"/>
  <c r="AL94" i="1" s="1"/>
  <c r="AK95" i="1"/>
  <c r="AJ95" i="1"/>
  <c r="AH95" i="1"/>
  <c r="AG95" i="1"/>
  <c r="AF95" i="1"/>
  <c r="AE95" i="1"/>
  <c r="AD95" i="1"/>
  <c r="AD94" i="1" s="1"/>
  <c r="AD92" i="1" s="1"/>
  <c r="AD91" i="1" s="1"/>
  <c r="AC95" i="1"/>
  <c r="AB95" i="1"/>
  <c r="AA95" i="1"/>
  <c r="Z95" i="1"/>
  <c r="Z94" i="1" s="1"/>
  <c r="Z92" i="1" s="1"/>
  <c r="Z91" i="1" s="1"/>
  <c r="Y95" i="1"/>
  <c r="W95" i="1"/>
  <c r="V95" i="1"/>
  <c r="U95" i="1"/>
  <c r="U94" i="1" s="1"/>
  <c r="U92" i="1" s="1"/>
  <c r="U91" i="1" s="1"/>
  <c r="T95" i="1"/>
  <c r="T94" i="1" s="1"/>
  <c r="T92" i="1" s="1"/>
  <c r="T91" i="1" s="1"/>
  <c r="S95" i="1"/>
  <c r="R95" i="1"/>
  <c r="Q95" i="1"/>
  <c r="Q94" i="1" s="1"/>
  <c r="Q92" i="1" s="1"/>
  <c r="Q91" i="1" s="1"/>
  <c r="P95" i="1"/>
  <c r="O95" i="1"/>
  <c r="N95" i="1"/>
  <c r="L95" i="1"/>
  <c r="L94" i="1" s="1"/>
  <c r="K95" i="1"/>
  <c r="J95" i="1"/>
  <c r="I95" i="1"/>
  <c r="H95" i="1"/>
  <c r="H94" i="1" s="1"/>
  <c r="H92" i="1" s="1"/>
  <c r="H91" i="1" s="1"/>
  <c r="G95" i="1"/>
  <c r="F95" i="1"/>
  <c r="E95" i="1"/>
  <c r="D95" i="1"/>
  <c r="D94" i="1" s="1"/>
  <c r="D92" i="1" s="1"/>
  <c r="D91" i="1" s="1"/>
  <c r="C95" i="1"/>
  <c r="C94" i="1" s="1"/>
  <c r="C92" i="1" s="1"/>
  <c r="C91" i="1" s="1"/>
  <c r="IU94" i="1"/>
  <c r="IS94" i="1"/>
  <c r="IR94" i="1"/>
  <c r="IR92" i="1" s="1"/>
  <c r="IR91" i="1" s="1"/>
  <c r="IP94" i="1"/>
  <c r="IN94" i="1"/>
  <c r="IM94" i="1"/>
  <c r="IL94" i="1"/>
  <c r="IK94" i="1"/>
  <c r="ID94" i="1"/>
  <c r="IC94" i="1"/>
  <c r="IB94" i="1"/>
  <c r="HY94" i="1"/>
  <c r="HX94" i="1"/>
  <c r="HX92" i="1" s="1"/>
  <c r="HX91" i="1" s="1"/>
  <c r="HW94" i="1"/>
  <c r="HT94" i="1"/>
  <c r="HS94" i="1"/>
  <c r="HR94" i="1"/>
  <c r="HR92" i="1" s="1"/>
  <c r="HR91" i="1" s="1"/>
  <c r="HI94" i="1"/>
  <c r="HH94" i="1"/>
  <c r="HG94" i="1"/>
  <c r="HD94" i="1"/>
  <c r="HC94" i="1"/>
  <c r="GY94" i="1"/>
  <c r="GW94" i="1"/>
  <c r="GW92" i="1" s="1"/>
  <c r="GW91" i="1" s="1"/>
  <c r="GU94" i="1"/>
  <c r="GU92" i="1" s="1"/>
  <c r="GU91" i="1" s="1"/>
  <c r="GT94" i="1"/>
  <c r="GC94" i="1"/>
  <c r="FT94" i="1"/>
  <c r="FS94" i="1"/>
  <c r="FP94" i="1"/>
  <c r="FO94" i="1"/>
  <c r="FM94" i="1"/>
  <c r="FM92" i="1" s="1"/>
  <c r="FM91" i="1" s="1"/>
  <c r="FL94" i="1"/>
  <c r="FI94" i="1"/>
  <c r="FG94" i="1"/>
  <c r="FG92" i="1" s="1"/>
  <c r="FG91" i="1" s="1"/>
  <c r="FF94" i="1"/>
  <c r="FE94" i="1"/>
  <c r="FB94" i="1"/>
  <c r="FA94" i="1"/>
  <c r="FA92" i="1" s="1"/>
  <c r="FA91" i="1" s="1"/>
  <c r="EX94" i="1"/>
  <c r="EW94" i="1"/>
  <c r="EV94" i="1"/>
  <c r="ET94" i="1"/>
  <c r="ET92" i="1" s="1"/>
  <c r="ET91" i="1" s="1"/>
  <c r="ES94" i="1"/>
  <c r="ER94" i="1"/>
  <c r="EP94" i="1"/>
  <c r="EP92" i="1" s="1"/>
  <c r="EP91" i="1" s="1"/>
  <c r="EL94" i="1"/>
  <c r="EK94" i="1"/>
  <c r="EC94" i="1"/>
  <c r="EC92" i="1" s="1"/>
  <c r="EC91" i="1" s="1"/>
  <c r="EB94" i="1"/>
  <c r="DZ94" i="1"/>
  <c r="DY94" i="1"/>
  <c r="DX94" i="1"/>
  <c r="DV94" i="1"/>
  <c r="DU94" i="1"/>
  <c r="DT94" i="1"/>
  <c r="DP94" i="1"/>
  <c r="DP92" i="1" s="1"/>
  <c r="DP91" i="1" s="1"/>
  <c r="DO94" i="1"/>
  <c r="DN94" i="1"/>
  <c r="DK94" i="1"/>
  <c r="DJ94" i="1"/>
  <c r="DJ92" i="1" s="1"/>
  <c r="DJ91" i="1" s="1"/>
  <c r="DF94" i="1"/>
  <c r="DE94" i="1"/>
  <c r="DC94" i="1"/>
  <c r="DB94" i="1"/>
  <c r="DB92" i="1" s="1"/>
  <c r="DB91" i="1" s="1"/>
  <c r="DA94" i="1"/>
  <c r="CX94" i="1"/>
  <c r="CX92" i="1" s="1"/>
  <c r="CX91" i="1" s="1"/>
  <c r="CP94" i="1"/>
  <c r="CO94" i="1"/>
  <c r="CJ94" i="1"/>
  <c r="CI94" i="1"/>
  <c r="CI92" i="1" s="1"/>
  <c r="CI91" i="1" s="1"/>
  <c r="CH94" i="1"/>
  <c r="CE94" i="1"/>
  <c r="CD94" i="1"/>
  <c r="CB94" i="1"/>
  <c r="CB92" i="1" s="1"/>
  <c r="CB91" i="1" s="1"/>
  <c r="BY94" i="1"/>
  <c r="BW94" i="1"/>
  <c r="BV94" i="1"/>
  <c r="BV92" i="1" s="1"/>
  <c r="BV91" i="1" s="1"/>
  <c r="BU94" i="1"/>
  <c r="BR94" i="1"/>
  <c r="BQ94" i="1"/>
  <c r="BM94" i="1"/>
  <c r="BM92" i="1" s="1"/>
  <c r="BM91" i="1" s="1"/>
  <c r="BL94" i="1"/>
  <c r="BK94" i="1"/>
  <c r="BI94" i="1"/>
  <c r="BI92" i="1" s="1"/>
  <c r="BI91" i="1" s="1"/>
  <c r="BH94" i="1"/>
  <c r="BG94" i="1"/>
  <c r="BC94" i="1"/>
  <c r="AR94" i="1"/>
  <c r="AP94" i="1"/>
  <c r="AO94" i="1"/>
  <c r="AO92" i="1" s="1"/>
  <c r="AO91" i="1" s="1"/>
  <c r="AN94" i="1"/>
  <c r="AK94" i="1"/>
  <c r="AK92" i="1" s="1"/>
  <c r="AK91" i="1" s="1"/>
  <c r="AJ94" i="1"/>
  <c r="AG94" i="1"/>
  <c r="AF94" i="1"/>
  <c r="AE94" i="1"/>
  <c r="AC94" i="1"/>
  <c r="AC92" i="1" s="1"/>
  <c r="AC91" i="1" s="1"/>
  <c r="AB94" i="1"/>
  <c r="AA94" i="1"/>
  <c r="Y94" i="1"/>
  <c r="W94" i="1"/>
  <c r="V94" i="1"/>
  <c r="S94" i="1"/>
  <c r="R94" i="1"/>
  <c r="P94" i="1"/>
  <c r="O94" i="1"/>
  <c r="N94" i="1"/>
  <c r="K94" i="1"/>
  <c r="K92" i="1" s="1"/>
  <c r="K91" i="1" s="1"/>
  <c r="J94" i="1"/>
  <c r="I94" i="1"/>
  <c r="G94" i="1"/>
  <c r="F94" i="1"/>
  <c r="F92" i="1" s="1"/>
  <c r="F91" i="1" s="1"/>
  <c r="E94" i="1"/>
  <c r="IT93" i="1"/>
  <c r="IO93" i="1"/>
  <c r="II93" i="1"/>
  <c r="IH93" i="1"/>
  <c r="IG93" i="1"/>
  <c r="IF93" i="1"/>
  <c r="IE93" i="1"/>
  <c r="HZ93" i="1"/>
  <c r="HU93" i="1"/>
  <c r="HO93" i="1"/>
  <c r="HN93" i="1"/>
  <c r="HM93" i="1"/>
  <c r="HL93" i="1"/>
  <c r="HK93" i="1"/>
  <c r="HF93" i="1"/>
  <c r="HA93" i="1"/>
  <c r="GV93" i="1"/>
  <c r="GE93" i="1"/>
  <c r="GD93" i="1"/>
  <c r="GC93" i="1"/>
  <c r="GB93" i="1"/>
  <c r="GA93" i="1"/>
  <c r="FZ93" i="1"/>
  <c r="FY93" i="1"/>
  <c r="FX93" i="1"/>
  <c r="FW93" i="1"/>
  <c r="FV93" i="1"/>
  <c r="FU93" i="1"/>
  <c r="FJ93" i="1"/>
  <c r="EY93" i="1"/>
  <c r="EM93" i="1"/>
  <c r="EL93" i="1"/>
  <c r="EK93" i="1"/>
  <c r="EJ93" i="1"/>
  <c r="EI93" i="1"/>
  <c r="EH93" i="1"/>
  <c r="EG93" i="1"/>
  <c r="EF93" i="1"/>
  <c r="EE93" i="1"/>
  <c r="ED93" i="1"/>
  <c r="DR93" i="1"/>
  <c r="DG93" i="1"/>
  <c r="CU93" i="1"/>
  <c r="CT93" i="1"/>
  <c r="CS93" i="1"/>
  <c r="CR93" i="1"/>
  <c r="CQ93" i="1"/>
  <c r="CP93" i="1"/>
  <c r="CO93" i="1"/>
  <c r="CN93" i="1"/>
  <c r="CM93" i="1"/>
  <c r="CL93" i="1"/>
  <c r="CK93" i="1"/>
  <c r="BZ93" i="1"/>
  <c r="BO93" i="1"/>
  <c r="BC93" i="1"/>
  <c r="BB93" i="1"/>
  <c r="BA93" i="1"/>
  <c r="AZ93" i="1"/>
  <c r="AY93" i="1"/>
  <c r="AX93" i="1"/>
  <c r="AW93" i="1"/>
  <c r="AV93" i="1"/>
  <c r="AU93" i="1"/>
  <c r="AT93" i="1"/>
  <c r="AS93" i="1"/>
  <c r="AH93" i="1"/>
  <c r="W93" i="1"/>
  <c r="L93" i="1"/>
  <c r="IU92" i="1"/>
  <c r="IU91" i="1" s="1"/>
  <c r="IS92" i="1"/>
  <c r="IN92" i="1"/>
  <c r="IM92" i="1"/>
  <c r="IM91" i="1" s="1"/>
  <c r="ID92" i="1"/>
  <c r="IB92" i="1"/>
  <c r="HW92" i="1"/>
  <c r="HW91" i="1" s="1"/>
  <c r="HT92" i="1"/>
  <c r="HI92" i="1"/>
  <c r="HI91" i="1" s="1"/>
  <c r="HG92" i="1"/>
  <c r="HG91" i="1" s="1"/>
  <c r="HC92" i="1"/>
  <c r="GY92" i="1"/>
  <c r="GT92" i="1"/>
  <c r="GT91" i="1" s="1"/>
  <c r="FL92" i="1"/>
  <c r="FL91" i="1" s="1"/>
  <c r="FI92" i="1"/>
  <c r="FI91" i="1" s="1"/>
  <c r="FE92" i="1"/>
  <c r="EX92" i="1"/>
  <c r="EX91" i="1" s="1"/>
  <c r="DY92" i="1"/>
  <c r="DU92" i="1"/>
  <c r="DU91" i="1" s="1"/>
  <c r="DT92" i="1"/>
  <c r="DT91" i="1" s="1"/>
  <c r="DN92" i="1"/>
  <c r="DF92" i="1"/>
  <c r="DF91" i="1" s="1"/>
  <c r="DE92" i="1"/>
  <c r="DC92" i="1"/>
  <c r="CJ92" i="1"/>
  <c r="CH92" i="1"/>
  <c r="CH91" i="1" s="1"/>
  <c r="BW92" i="1"/>
  <c r="BU92" i="1"/>
  <c r="BU91" i="1" s="1"/>
  <c r="BR92" i="1"/>
  <c r="AP92" i="1"/>
  <c r="AP91" i="1" s="1"/>
  <c r="AG92" i="1"/>
  <c r="AG91" i="1" s="1"/>
  <c r="Y92" i="1"/>
  <c r="Y91" i="1" s="1"/>
  <c r="P92" i="1"/>
  <c r="P91" i="1" s="1"/>
  <c r="J92" i="1"/>
  <c r="G92" i="1"/>
  <c r="G91" i="1" s="1"/>
  <c r="IS91" i="1"/>
  <c r="IN91" i="1"/>
  <c r="ID91" i="1"/>
  <c r="IB91" i="1"/>
  <c r="HT91" i="1"/>
  <c r="HC91" i="1"/>
  <c r="GY91" i="1"/>
  <c r="FE91" i="1"/>
  <c r="DY91" i="1"/>
  <c r="DN91" i="1"/>
  <c r="DE91" i="1"/>
  <c r="DC91" i="1"/>
  <c r="CJ91" i="1"/>
  <c r="BW91" i="1"/>
  <c r="BR91" i="1"/>
  <c r="J91" i="1"/>
  <c r="IT90" i="1"/>
  <c r="IO90" i="1"/>
  <c r="II90" i="1"/>
  <c r="IH90" i="1"/>
  <c r="IG90" i="1"/>
  <c r="IF90" i="1"/>
  <c r="IE90" i="1"/>
  <c r="HZ90" i="1"/>
  <c r="HU90" i="1"/>
  <c r="HO90" i="1"/>
  <c r="HN90" i="1"/>
  <c r="HM90" i="1"/>
  <c r="HL90" i="1"/>
  <c r="HK90" i="1"/>
  <c r="HF90" i="1"/>
  <c r="HA90" i="1"/>
  <c r="GV90" i="1"/>
  <c r="GE90" i="1"/>
  <c r="GD90" i="1"/>
  <c r="GC90" i="1"/>
  <c r="GB90" i="1"/>
  <c r="GA90" i="1"/>
  <c r="FZ90" i="1"/>
  <c r="FY90" i="1"/>
  <c r="FX90" i="1"/>
  <c r="FW90" i="1"/>
  <c r="FV90" i="1"/>
  <c r="FU90" i="1"/>
  <c r="FJ90" i="1"/>
  <c r="EY90" i="1"/>
  <c r="EM90" i="1"/>
  <c r="EL90" i="1"/>
  <c r="EK90" i="1"/>
  <c r="EJ90" i="1"/>
  <c r="EI90" i="1"/>
  <c r="EH90" i="1"/>
  <c r="EG90" i="1"/>
  <c r="EF90" i="1"/>
  <c r="EE90" i="1"/>
  <c r="ED90" i="1"/>
  <c r="DR90" i="1"/>
  <c r="DG90" i="1"/>
  <c r="CU90" i="1"/>
  <c r="CT90" i="1"/>
  <c r="CS90" i="1"/>
  <c r="CR90" i="1"/>
  <c r="CQ90" i="1"/>
  <c r="CP90" i="1"/>
  <c r="CO90" i="1"/>
  <c r="CN90" i="1"/>
  <c r="CM90" i="1"/>
  <c r="CL90" i="1"/>
  <c r="CK90" i="1"/>
  <c r="BZ90" i="1"/>
  <c r="BO90" i="1"/>
  <c r="BC90" i="1"/>
  <c r="GP90" i="1" s="1"/>
  <c r="BB90" i="1"/>
  <c r="BA90" i="1"/>
  <c r="AZ90" i="1"/>
  <c r="AY90" i="1"/>
  <c r="GL90" i="1" s="1"/>
  <c r="AX90" i="1"/>
  <c r="AW90" i="1"/>
  <c r="AV90" i="1"/>
  <c r="AU90" i="1"/>
  <c r="AT90" i="1"/>
  <c r="AS90" i="1"/>
  <c r="AH90" i="1"/>
  <c r="W90" i="1"/>
  <c r="L90" i="1"/>
  <c r="IT89" i="1"/>
  <c r="IO89" i="1"/>
  <c r="II89" i="1"/>
  <c r="IH89" i="1"/>
  <c r="IG89" i="1"/>
  <c r="IF89" i="1"/>
  <c r="IE89" i="1"/>
  <c r="HZ89" i="1"/>
  <c r="HU89" i="1"/>
  <c r="HO89" i="1"/>
  <c r="HN89" i="1"/>
  <c r="HM89" i="1"/>
  <c r="HL89" i="1"/>
  <c r="HK89" i="1"/>
  <c r="HF89" i="1"/>
  <c r="HA89" i="1"/>
  <c r="GV89" i="1"/>
  <c r="GE89" i="1"/>
  <c r="GD89" i="1"/>
  <c r="GC89" i="1"/>
  <c r="GB89" i="1"/>
  <c r="GA89" i="1"/>
  <c r="FZ89" i="1"/>
  <c r="FY89" i="1"/>
  <c r="FX89" i="1"/>
  <c r="FW89" i="1"/>
  <c r="FV89" i="1"/>
  <c r="FU89" i="1"/>
  <c r="FJ89" i="1"/>
  <c r="EY89" i="1"/>
  <c r="EM89" i="1"/>
  <c r="EL89" i="1"/>
  <c r="EK89" i="1"/>
  <c r="EJ89" i="1"/>
  <c r="EI89" i="1"/>
  <c r="EH89" i="1"/>
  <c r="EG89" i="1"/>
  <c r="EF89" i="1"/>
  <c r="EE89" i="1"/>
  <c r="ED89" i="1"/>
  <c r="DR89" i="1"/>
  <c r="DG89" i="1"/>
  <c r="CU89" i="1"/>
  <c r="CT89" i="1"/>
  <c r="CS89" i="1"/>
  <c r="CR89" i="1"/>
  <c r="CQ89" i="1"/>
  <c r="CP89" i="1"/>
  <c r="CO89" i="1"/>
  <c r="CN89" i="1"/>
  <c r="CM89" i="1"/>
  <c r="CL89" i="1"/>
  <c r="CK89" i="1"/>
  <c r="BZ89" i="1"/>
  <c r="BO89" i="1"/>
  <c r="BC89" i="1"/>
  <c r="BB89" i="1"/>
  <c r="BA89" i="1"/>
  <c r="AZ89" i="1"/>
  <c r="GM89" i="1" s="1"/>
  <c r="AY89" i="1"/>
  <c r="AX89" i="1"/>
  <c r="AW89" i="1"/>
  <c r="AV89" i="1"/>
  <c r="GI89" i="1" s="1"/>
  <c r="AU89" i="1"/>
  <c r="AT89" i="1"/>
  <c r="AS89" i="1"/>
  <c r="AH89" i="1"/>
  <c r="W89" i="1"/>
  <c r="L89" i="1"/>
  <c r="IT88" i="1"/>
  <c r="IO88" i="1"/>
  <c r="II88" i="1"/>
  <c r="IH88" i="1"/>
  <c r="IG88" i="1"/>
  <c r="IF88" i="1"/>
  <c r="IE88" i="1"/>
  <c r="HZ88" i="1"/>
  <c r="HU88" i="1"/>
  <c r="HO88" i="1"/>
  <c r="HN88" i="1"/>
  <c r="HM88" i="1"/>
  <c r="HL88" i="1"/>
  <c r="HK88" i="1"/>
  <c r="HF88" i="1"/>
  <c r="HA88" i="1"/>
  <c r="GV88" i="1"/>
  <c r="GE88" i="1"/>
  <c r="GD88" i="1"/>
  <c r="GC88" i="1"/>
  <c r="GB88" i="1"/>
  <c r="GA88" i="1"/>
  <c r="FZ88" i="1"/>
  <c r="FY88" i="1"/>
  <c r="FX88" i="1"/>
  <c r="FW88" i="1"/>
  <c r="FV88" i="1"/>
  <c r="FU88" i="1"/>
  <c r="FJ88" i="1"/>
  <c r="EY88" i="1"/>
  <c r="EM88" i="1"/>
  <c r="EL88" i="1"/>
  <c r="EK88" i="1"/>
  <c r="EJ88" i="1"/>
  <c r="EI88" i="1"/>
  <c r="EH88" i="1"/>
  <c r="EG88" i="1"/>
  <c r="EF88" i="1"/>
  <c r="EE88" i="1"/>
  <c r="ED88" i="1"/>
  <c r="DR88" i="1"/>
  <c r="DG88" i="1"/>
  <c r="CU88" i="1"/>
  <c r="CT88" i="1"/>
  <c r="CS88" i="1"/>
  <c r="CR88" i="1"/>
  <c r="CQ88" i="1"/>
  <c r="CP88" i="1"/>
  <c r="CO88" i="1"/>
  <c r="CN88" i="1"/>
  <c r="CM88" i="1"/>
  <c r="CL88" i="1"/>
  <c r="CK88" i="1"/>
  <c r="BZ88" i="1"/>
  <c r="BO88" i="1"/>
  <c r="BC88" i="1"/>
  <c r="BB88" i="1"/>
  <c r="BA88" i="1"/>
  <c r="GN88" i="1" s="1"/>
  <c r="AZ88" i="1"/>
  <c r="AY88" i="1"/>
  <c r="AX88" i="1"/>
  <c r="AW88" i="1"/>
  <c r="GJ88" i="1" s="1"/>
  <c r="AV88" i="1"/>
  <c r="AU88" i="1"/>
  <c r="AT88" i="1"/>
  <c r="AS88" i="1"/>
  <c r="AH88" i="1"/>
  <c r="W88" i="1"/>
  <c r="L88" i="1"/>
  <c r="IT87" i="1"/>
  <c r="IO87" i="1"/>
  <c r="II87" i="1"/>
  <c r="IH87" i="1"/>
  <c r="IG87" i="1"/>
  <c r="IF87" i="1"/>
  <c r="IE87" i="1"/>
  <c r="HZ87" i="1"/>
  <c r="HU87" i="1"/>
  <c r="HO87" i="1"/>
  <c r="HN87" i="1"/>
  <c r="HM87" i="1"/>
  <c r="HL87" i="1"/>
  <c r="HK87" i="1"/>
  <c r="HF87" i="1"/>
  <c r="HA87" i="1"/>
  <c r="GV87" i="1"/>
  <c r="GE87" i="1"/>
  <c r="GD87" i="1"/>
  <c r="GC87" i="1"/>
  <c r="GB87" i="1"/>
  <c r="GA87" i="1"/>
  <c r="FZ87" i="1"/>
  <c r="FY87" i="1"/>
  <c r="FX87" i="1"/>
  <c r="FW87" i="1"/>
  <c r="FV87" i="1"/>
  <c r="FU87" i="1"/>
  <c r="FJ87" i="1"/>
  <c r="EY87" i="1"/>
  <c r="EM87" i="1"/>
  <c r="EL87" i="1"/>
  <c r="EK87" i="1"/>
  <c r="EJ87" i="1"/>
  <c r="EI87" i="1"/>
  <c r="EH87" i="1"/>
  <c r="EG87" i="1"/>
  <c r="EF87" i="1"/>
  <c r="EE87" i="1"/>
  <c r="ED87" i="1"/>
  <c r="DR87" i="1"/>
  <c r="DG87" i="1"/>
  <c r="CU87" i="1"/>
  <c r="CT87" i="1"/>
  <c r="CS87" i="1"/>
  <c r="CR87" i="1"/>
  <c r="CQ87" i="1"/>
  <c r="CP87" i="1"/>
  <c r="CO87" i="1"/>
  <c r="CN87" i="1"/>
  <c r="CM87" i="1"/>
  <c r="CL87" i="1"/>
  <c r="CK87" i="1"/>
  <c r="BZ87" i="1"/>
  <c r="BO87" i="1"/>
  <c r="BC87" i="1"/>
  <c r="BB87" i="1"/>
  <c r="GO87" i="1" s="1"/>
  <c r="BA87" i="1"/>
  <c r="AZ87" i="1"/>
  <c r="AY87" i="1"/>
  <c r="AX87" i="1"/>
  <c r="GK87" i="1" s="1"/>
  <c r="AW87" i="1"/>
  <c r="AV87" i="1"/>
  <c r="AU87" i="1"/>
  <c r="AT87" i="1"/>
  <c r="GG87" i="1" s="1"/>
  <c r="AS87" i="1"/>
  <c r="AH87" i="1"/>
  <c r="W87" i="1"/>
  <c r="L87" i="1"/>
  <c r="IT86" i="1"/>
  <c r="IO86" i="1"/>
  <c r="II86" i="1"/>
  <c r="IH86" i="1"/>
  <c r="IG86" i="1"/>
  <c r="IF86" i="1"/>
  <c r="IE86" i="1"/>
  <c r="HZ86" i="1"/>
  <c r="HU86" i="1"/>
  <c r="HO86" i="1"/>
  <c r="HN86" i="1"/>
  <c r="HM86" i="1"/>
  <c r="HL86" i="1"/>
  <c r="HK86" i="1"/>
  <c r="HF86" i="1"/>
  <c r="HA86" i="1"/>
  <c r="GV86" i="1"/>
  <c r="GE86" i="1"/>
  <c r="GD86" i="1"/>
  <c r="GC86" i="1"/>
  <c r="GB86" i="1"/>
  <c r="GA86" i="1"/>
  <c r="FZ86" i="1"/>
  <c r="FY86" i="1"/>
  <c r="FX86" i="1"/>
  <c r="FW86" i="1"/>
  <c r="FV86" i="1"/>
  <c r="FU86" i="1"/>
  <c r="FJ86" i="1"/>
  <c r="EY86" i="1"/>
  <c r="EM86" i="1"/>
  <c r="EL86" i="1"/>
  <c r="EK86" i="1"/>
  <c r="EJ86" i="1"/>
  <c r="EI86" i="1"/>
  <c r="EH86" i="1"/>
  <c r="EG86" i="1"/>
  <c r="EF86" i="1"/>
  <c r="EE86" i="1"/>
  <c r="ED86" i="1"/>
  <c r="DR86" i="1"/>
  <c r="DG86" i="1"/>
  <c r="CU86" i="1"/>
  <c r="CT86" i="1"/>
  <c r="CS86" i="1"/>
  <c r="CR86" i="1"/>
  <c r="CQ86" i="1"/>
  <c r="CP86" i="1"/>
  <c r="CO86" i="1"/>
  <c r="CN86" i="1"/>
  <c r="CM86" i="1"/>
  <c r="CL86" i="1"/>
  <c r="CK86" i="1"/>
  <c r="BZ86" i="1"/>
  <c r="BO86" i="1"/>
  <c r="BC86" i="1"/>
  <c r="GP86" i="1" s="1"/>
  <c r="BB86" i="1"/>
  <c r="BA86" i="1"/>
  <c r="AZ86" i="1"/>
  <c r="AY86" i="1"/>
  <c r="GL86" i="1" s="1"/>
  <c r="AX86" i="1"/>
  <c r="AW86" i="1"/>
  <c r="AV86" i="1"/>
  <c r="AU86" i="1"/>
  <c r="AT86" i="1"/>
  <c r="AS86" i="1"/>
  <c r="AH86" i="1"/>
  <c r="W86" i="1"/>
  <c r="L86" i="1"/>
  <c r="IT85" i="1"/>
  <c r="IO85" i="1"/>
  <c r="II85" i="1"/>
  <c r="IH85" i="1"/>
  <c r="IG85" i="1"/>
  <c r="IF85" i="1"/>
  <c r="IE85" i="1"/>
  <c r="HZ85" i="1"/>
  <c r="HU85" i="1"/>
  <c r="HO85" i="1"/>
  <c r="HN85" i="1"/>
  <c r="HM85" i="1"/>
  <c r="HL85" i="1"/>
  <c r="HK85" i="1"/>
  <c r="HF85" i="1"/>
  <c r="HA85" i="1"/>
  <c r="GV85" i="1"/>
  <c r="GE85" i="1"/>
  <c r="GD85" i="1"/>
  <c r="GC85" i="1"/>
  <c r="GB85" i="1"/>
  <c r="GA85" i="1"/>
  <c r="FZ85" i="1"/>
  <c r="FY85" i="1"/>
  <c r="FX85" i="1"/>
  <c r="FW85" i="1"/>
  <c r="FV85" i="1"/>
  <c r="FU85" i="1"/>
  <c r="FJ85" i="1"/>
  <c r="EY85" i="1"/>
  <c r="EM85" i="1"/>
  <c r="EL85" i="1"/>
  <c r="EK85" i="1"/>
  <c r="EJ85" i="1"/>
  <c r="EI85" i="1"/>
  <c r="EH85" i="1"/>
  <c r="EG85" i="1"/>
  <c r="EF85" i="1"/>
  <c r="EE85" i="1"/>
  <c r="ED85" i="1"/>
  <c r="DR85" i="1"/>
  <c r="DG85" i="1"/>
  <c r="CU85" i="1"/>
  <c r="CT85" i="1"/>
  <c r="CS85" i="1"/>
  <c r="CR85" i="1"/>
  <c r="CQ85" i="1"/>
  <c r="CP85" i="1"/>
  <c r="CO85" i="1"/>
  <c r="CN85" i="1"/>
  <c r="CM85" i="1"/>
  <c r="CL85" i="1"/>
  <c r="CK85" i="1"/>
  <c r="BZ85" i="1"/>
  <c r="BO85" i="1"/>
  <c r="BC85" i="1"/>
  <c r="BB85" i="1"/>
  <c r="BA85" i="1"/>
  <c r="AZ85" i="1"/>
  <c r="GM85" i="1" s="1"/>
  <c r="AY85" i="1"/>
  <c r="AX85" i="1"/>
  <c r="AW85" i="1"/>
  <c r="AV85" i="1"/>
  <c r="GI85" i="1" s="1"/>
  <c r="AU85" i="1"/>
  <c r="AT85" i="1"/>
  <c r="AS85" i="1"/>
  <c r="AH85" i="1"/>
  <c r="W85" i="1"/>
  <c r="L85" i="1"/>
  <c r="IT84" i="1"/>
  <c r="IO84" i="1"/>
  <c r="II84" i="1"/>
  <c r="IH84" i="1"/>
  <c r="IG84" i="1"/>
  <c r="IF84" i="1"/>
  <c r="IE84" i="1"/>
  <c r="HZ84" i="1"/>
  <c r="HU84" i="1"/>
  <c r="HO84" i="1"/>
  <c r="HN84" i="1"/>
  <c r="HM84" i="1"/>
  <c r="HL84" i="1"/>
  <c r="HK84" i="1"/>
  <c r="HF84" i="1"/>
  <c r="HA84" i="1"/>
  <c r="GV84" i="1"/>
  <c r="GE84" i="1"/>
  <c r="GD84" i="1"/>
  <c r="GC84" i="1"/>
  <c r="GB84" i="1"/>
  <c r="GA84" i="1"/>
  <c r="FZ84" i="1"/>
  <c r="FY84" i="1"/>
  <c r="FX84" i="1"/>
  <c r="FW84" i="1"/>
  <c r="FV84" i="1"/>
  <c r="FU84" i="1"/>
  <c r="FJ84" i="1"/>
  <c r="EY84" i="1"/>
  <c r="EM84" i="1"/>
  <c r="EL84" i="1"/>
  <c r="EK84" i="1"/>
  <c r="EJ84" i="1"/>
  <c r="EI84" i="1"/>
  <c r="EH84" i="1"/>
  <c r="EG84" i="1"/>
  <c r="EF84" i="1"/>
  <c r="EE84" i="1"/>
  <c r="ED84" i="1"/>
  <c r="DR84" i="1"/>
  <c r="DG84" i="1"/>
  <c r="CU84" i="1"/>
  <c r="CT84" i="1"/>
  <c r="CS84" i="1"/>
  <c r="CR84" i="1"/>
  <c r="CQ84" i="1"/>
  <c r="CP84" i="1"/>
  <c r="CO84" i="1"/>
  <c r="CN84" i="1"/>
  <c r="CM84" i="1"/>
  <c r="CL84" i="1"/>
  <c r="CK84" i="1"/>
  <c r="BZ84" i="1"/>
  <c r="BO84" i="1"/>
  <c r="BC84" i="1"/>
  <c r="BB84" i="1"/>
  <c r="BA84" i="1"/>
  <c r="GN84" i="1" s="1"/>
  <c r="AZ84" i="1"/>
  <c r="AY84" i="1"/>
  <c r="AX84" i="1"/>
  <c r="AW84" i="1"/>
  <c r="GJ84" i="1" s="1"/>
  <c r="AV84" i="1"/>
  <c r="AU84" i="1"/>
  <c r="AT84" i="1"/>
  <c r="AS84" i="1"/>
  <c r="AH84" i="1"/>
  <c r="W84" i="1"/>
  <c r="L84" i="1"/>
  <c r="IT83" i="1"/>
  <c r="IO83" i="1"/>
  <c r="II83" i="1"/>
  <c r="IH83" i="1"/>
  <c r="IG83" i="1"/>
  <c r="IF83" i="1"/>
  <c r="IE83" i="1"/>
  <c r="HZ83" i="1"/>
  <c r="HU83" i="1"/>
  <c r="HO83" i="1"/>
  <c r="HN83" i="1"/>
  <c r="HM83" i="1"/>
  <c r="HL83" i="1"/>
  <c r="HK83" i="1"/>
  <c r="HF83" i="1"/>
  <c r="HA83" i="1"/>
  <c r="GV83" i="1"/>
  <c r="GE83" i="1"/>
  <c r="GD83" i="1"/>
  <c r="GC83" i="1"/>
  <c r="GB83" i="1"/>
  <c r="GA83" i="1"/>
  <c r="FZ83" i="1"/>
  <c r="FY83" i="1"/>
  <c r="FX83" i="1"/>
  <c r="FW83" i="1"/>
  <c r="FV83" i="1"/>
  <c r="FU83" i="1"/>
  <c r="FJ83" i="1"/>
  <c r="EY83" i="1"/>
  <c r="EM83" i="1"/>
  <c r="EL83" i="1"/>
  <c r="EK83" i="1"/>
  <c r="EJ83" i="1"/>
  <c r="EI83" i="1"/>
  <c r="EH83" i="1"/>
  <c r="EG83" i="1"/>
  <c r="EF83" i="1"/>
  <c r="EE83" i="1"/>
  <c r="ED83" i="1"/>
  <c r="DR83" i="1"/>
  <c r="DG83" i="1"/>
  <c r="CU83" i="1"/>
  <c r="CT83" i="1"/>
  <c r="CS83" i="1"/>
  <c r="CR83" i="1"/>
  <c r="CQ83" i="1"/>
  <c r="CP83" i="1"/>
  <c r="CO83" i="1"/>
  <c r="CN83" i="1"/>
  <c r="CM83" i="1"/>
  <c r="CL83" i="1"/>
  <c r="CK83" i="1"/>
  <c r="BZ83" i="1"/>
  <c r="BO83" i="1"/>
  <c r="BC83" i="1"/>
  <c r="BB83" i="1"/>
  <c r="GO83" i="1" s="1"/>
  <c r="BA83" i="1"/>
  <c r="AZ83" i="1"/>
  <c r="AY83" i="1"/>
  <c r="AX83" i="1"/>
  <c r="GK83" i="1" s="1"/>
  <c r="AW83" i="1"/>
  <c r="AV83" i="1"/>
  <c r="AU83" i="1"/>
  <c r="AT83" i="1"/>
  <c r="GG83" i="1" s="1"/>
  <c r="AS83" i="1"/>
  <c r="AH83" i="1"/>
  <c r="W83" i="1"/>
  <c r="L83" i="1"/>
  <c r="IT82" i="1"/>
  <c r="IO82" i="1"/>
  <c r="II82" i="1"/>
  <c r="IH82" i="1"/>
  <c r="IG82" i="1"/>
  <c r="IF82" i="1"/>
  <c r="IE82" i="1"/>
  <c r="HZ82" i="1"/>
  <c r="HU82" i="1"/>
  <c r="HO82" i="1"/>
  <c r="HN82" i="1"/>
  <c r="HM82" i="1"/>
  <c r="HL82" i="1"/>
  <c r="HK82" i="1"/>
  <c r="HF82" i="1"/>
  <c r="HA82" i="1"/>
  <c r="GV82" i="1"/>
  <c r="GE82" i="1"/>
  <c r="GD82" i="1"/>
  <c r="GC82" i="1"/>
  <c r="GB82" i="1"/>
  <c r="GA82" i="1"/>
  <c r="FZ82" i="1"/>
  <c r="FY82" i="1"/>
  <c r="FX82" i="1"/>
  <c r="FW82" i="1"/>
  <c r="FV82" i="1"/>
  <c r="FU82" i="1"/>
  <c r="FJ82" i="1"/>
  <c r="EY82" i="1"/>
  <c r="EM82" i="1"/>
  <c r="EL82" i="1"/>
  <c r="EK82" i="1"/>
  <c r="EJ82" i="1"/>
  <c r="EI82" i="1"/>
  <c r="EH82" i="1"/>
  <c r="EG82" i="1"/>
  <c r="EF82" i="1"/>
  <c r="EE82" i="1"/>
  <c r="ED82" i="1"/>
  <c r="DR82" i="1"/>
  <c r="DG82" i="1"/>
  <c r="CU82" i="1"/>
  <c r="CT82" i="1"/>
  <c r="CS82" i="1"/>
  <c r="CR82" i="1"/>
  <c r="CQ82" i="1"/>
  <c r="CP82" i="1"/>
  <c r="CO82" i="1"/>
  <c r="CN82" i="1"/>
  <c r="CM82" i="1"/>
  <c r="CL82" i="1"/>
  <c r="CK82" i="1"/>
  <c r="BZ82" i="1"/>
  <c r="BO82" i="1"/>
  <c r="BC82" i="1"/>
  <c r="GP82" i="1" s="1"/>
  <c r="BB82" i="1"/>
  <c r="BA82" i="1"/>
  <c r="AZ82" i="1"/>
  <c r="AY82" i="1"/>
  <c r="GL82" i="1" s="1"/>
  <c r="AX82" i="1"/>
  <c r="AW82" i="1"/>
  <c r="AV82" i="1"/>
  <c r="AU82" i="1"/>
  <c r="AT82" i="1"/>
  <c r="AS82" i="1"/>
  <c r="AH82" i="1"/>
  <c r="W82" i="1"/>
  <c r="L82" i="1"/>
  <c r="IT81" i="1"/>
  <c r="IO81" i="1"/>
  <c r="II81" i="1"/>
  <c r="IH81" i="1"/>
  <c r="IG81" i="1"/>
  <c r="IF81" i="1"/>
  <c r="IE81" i="1"/>
  <c r="HZ81" i="1"/>
  <c r="HU81" i="1"/>
  <c r="HO81" i="1"/>
  <c r="HN81" i="1"/>
  <c r="HM81" i="1"/>
  <c r="HL81" i="1"/>
  <c r="HK81" i="1"/>
  <c r="HF81" i="1"/>
  <c r="HA81" i="1"/>
  <c r="GV81" i="1"/>
  <c r="GE81" i="1"/>
  <c r="GD81" i="1"/>
  <c r="GC81" i="1"/>
  <c r="GB81" i="1"/>
  <c r="GA81" i="1"/>
  <c r="FZ81" i="1"/>
  <c r="FY81" i="1"/>
  <c r="FX81" i="1"/>
  <c r="FW81" i="1"/>
  <c r="FV81" i="1"/>
  <c r="FU81" i="1"/>
  <c r="FJ81" i="1"/>
  <c r="EY81" i="1"/>
  <c r="EM81" i="1"/>
  <c r="EL81" i="1"/>
  <c r="EK81" i="1"/>
  <c r="EJ81" i="1"/>
  <c r="EI81" i="1"/>
  <c r="EH81" i="1"/>
  <c r="EG81" i="1"/>
  <c r="EF81" i="1"/>
  <c r="EE81" i="1"/>
  <c r="ED81" i="1"/>
  <c r="DR81" i="1"/>
  <c r="DG81" i="1"/>
  <c r="CU81" i="1"/>
  <c r="CT81" i="1"/>
  <c r="CS81" i="1"/>
  <c r="CR81" i="1"/>
  <c r="CQ81" i="1"/>
  <c r="CP81" i="1"/>
  <c r="CO81" i="1"/>
  <c r="CN81" i="1"/>
  <c r="CM81" i="1"/>
  <c r="CL81" i="1"/>
  <c r="CK81" i="1"/>
  <c r="BZ81" i="1"/>
  <c r="BO81" i="1"/>
  <c r="BC81" i="1"/>
  <c r="BB81" i="1"/>
  <c r="BA81" i="1"/>
  <c r="AZ81" i="1"/>
  <c r="AY81" i="1"/>
  <c r="AX81" i="1"/>
  <c r="AW81" i="1"/>
  <c r="AV81" i="1"/>
  <c r="AU81" i="1"/>
  <c r="AT81" i="1"/>
  <c r="AS81" i="1"/>
  <c r="AH81" i="1"/>
  <c r="W81" i="1"/>
  <c r="L81" i="1"/>
  <c r="IT80" i="1"/>
  <c r="IO80" i="1"/>
  <c r="II80" i="1"/>
  <c r="IH80" i="1"/>
  <c r="IG80" i="1"/>
  <c r="IF80" i="1"/>
  <c r="IE80" i="1"/>
  <c r="HZ80" i="1"/>
  <c r="HU80" i="1"/>
  <c r="HO80" i="1"/>
  <c r="HN80" i="1"/>
  <c r="HM80" i="1"/>
  <c r="HL80" i="1"/>
  <c r="HK80" i="1"/>
  <c r="HF80" i="1"/>
  <c r="HA80" i="1"/>
  <c r="GV80" i="1"/>
  <c r="GE80" i="1"/>
  <c r="GD80" i="1"/>
  <c r="GC80" i="1"/>
  <c r="GB80" i="1"/>
  <c r="GA80" i="1"/>
  <c r="FZ80" i="1"/>
  <c r="FY80" i="1"/>
  <c r="FX80" i="1"/>
  <c r="FW80" i="1"/>
  <c r="FV80" i="1"/>
  <c r="FU80" i="1"/>
  <c r="FJ80" i="1"/>
  <c r="EY80" i="1"/>
  <c r="EM80" i="1"/>
  <c r="EL80" i="1"/>
  <c r="EK80" i="1"/>
  <c r="EJ80" i="1"/>
  <c r="EI80" i="1"/>
  <c r="EH80" i="1"/>
  <c r="EG80" i="1"/>
  <c r="EF80" i="1"/>
  <c r="EE80" i="1"/>
  <c r="ED80" i="1"/>
  <c r="DR80" i="1"/>
  <c r="DG80" i="1"/>
  <c r="CU80" i="1"/>
  <c r="CT80" i="1"/>
  <c r="CS80" i="1"/>
  <c r="CR80" i="1"/>
  <c r="CQ80" i="1"/>
  <c r="CP80" i="1"/>
  <c r="CO80" i="1"/>
  <c r="CN80" i="1"/>
  <c r="CM80" i="1"/>
  <c r="CL80" i="1"/>
  <c r="CK80" i="1"/>
  <c r="BZ80" i="1"/>
  <c r="BO80" i="1"/>
  <c r="BC80" i="1"/>
  <c r="BB80" i="1"/>
  <c r="BA80" i="1"/>
  <c r="AZ80" i="1"/>
  <c r="AY80" i="1"/>
  <c r="AX80" i="1"/>
  <c r="AW80" i="1"/>
  <c r="AV80" i="1"/>
  <c r="AU80" i="1"/>
  <c r="AT80" i="1"/>
  <c r="AS80" i="1"/>
  <c r="AH80" i="1"/>
  <c r="W80" i="1"/>
  <c r="L80" i="1"/>
  <c r="IT79" i="1"/>
  <c r="IO79" i="1"/>
  <c r="II79" i="1"/>
  <c r="IH79" i="1"/>
  <c r="IG79" i="1"/>
  <c r="IF79" i="1"/>
  <c r="IE79" i="1"/>
  <c r="HZ79" i="1"/>
  <c r="HU79" i="1"/>
  <c r="HO79" i="1"/>
  <c r="HN79" i="1"/>
  <c r="HM79" i="1"/>
  <c r="HL79" i="1"/>
  <c r="HK79" i="1"/>
  <c r="HF79" i="1"/>
  <c r="HA79" i="1"/>
  <c r="GV79" i="1"/>
  <c r="GE79" i="1"/>
  <c r="GD79" i="1"/>
  <c r="GC79" i="1"/>
  <c r="GB79" i="1"/>
  <c r="GA79" i="1"/>
  <c r="FZ79" i="1"/>
  <c r="FY79" i="1"/>
  <c r="FX79" i="1"/>
  <c r="FW79" i="1"/>
  <c r="FV79" i="1"/>
  <c r="FU79" i="1"/>
  <c r="FJ79" i="1"/>
  <c r="EY79" i="1"/>
  <c r="EM79" i="1"/>
  <c r="EL79" i="1"/>
  <c r="EK79" i="1"/>
  <c r="EJ79" i="1"/>
  <c r="EI79" i="1"/>
  <c r="EH79" i="1"/>
  <c r="EG79" i="1"/>
  <c r="EF79" i="1"/>
  <c r="EE79" i="1"/>
  <c r="ED79" i="1"/>
  <c r="DR79" i="1"/>
  <c r="DG79" i="1"/>
  <c r="CU79" i="1"/>
  <c r="CT79" i="1"/>
  <c r="CS79" i="1"/>
  <c r="CR79" i="1"/>
  <c r="CQ79" i="1"/>
  <c r="CP79" i="1"/>
  <c r="CO79" i="1"/>
  <c r="CN79" i="1"/>
  <c r="CM79" i="1"/>
  <c r="CL79" i="1"/>
  <c r="CK79" i="1"/>
  <c r="BZ79" i="1"/>
  <c r="BO79" i="1"/>
  <c r="BC79" i="1"/>
  <c r="BB79" i="1"/>
  <c r="BA79" i="1"/>
  <c r="AZ79" i="1"/>
  <c r="AY79" i="1"/>
  <c r="AX79" i="1"/>
  <c r="AW79" i="1"/>
  <c r="AV79" i="1"/>
  <c r="AU79" i="1"/>
  <c r="AT79" i="1"/>
  <c r="AS79" i="1"/>
  <c r="AH79" i="1"/>
  <c r="W79" i="1"/>
  <c r="L79" i="1"/>
  <c r="IT78" i="1"/>
  <c r="IO78" i="1"/>
  <c r="II78" i="1"/>
  <c r="IH78" i="1"/>
  <c r="IG78" i="1"/>
  <c r="IF78" i="1"/>
  <c r="IE78" i="1"/>
  <c r="HZ78" i="1"/>
  <c r="HU78" i="1"/>
  <c r="HO78" i="1"/>
  <c r="HN78" i="1"/>
  <c r="HM78" i="1"/>
  <c r="HL78" i="1"/>
  <c r="HK78" i="1"/>
  <c r="HF78" i="1"/>
  <c r="HA78" i="1"/>
  <c r="GV78" i="1"/>
  <c r="GE78" i="1"/>
  <c r="GD78" i="1"/>
  <c r="GC78" i="1"/>
  <c r="GB78" i="1"/>
  <c r="GA78" i="1"/>
  <c r="FZ78" i="1"/>
  <c r="FY78" i="1"/>
  <c r="FX78" i="1"/>
  <c r="FW78" i="1"/>
  <c r="FV78" i="1"/>
  <c r="FU78" i="1"/>
  <c r="FJ78" i="1"/>
  <c r="EY78" i="1"/>
  <c r="EM78" i="1"/>
  <c r="EL78" i="1"/>
  <c r="EK78" i="1"/>
  <c r="EJ78" i="1"/>
  <c r="EI78" i="1"/>
  <c r="EH78" i="1"/>
  <c r="EG78" i="1"/>
  <c r="EF78" i="1"/>
  <c r="EE78" i="1"/>
  <c r="ED78" i="1"/>
  <c r="DR78" i="1"/>
  <c r="DG78" i="1"/>
  <c r="CU78" i="1"/>
  <c r="CT78" i="1"/>
  <c r="CS78" i="1"/>
  <c r="CR78" i="1"/>
  <c r="CQ78" i="1"/>
  <c r="CP78" i="1"/>
  <c r="CO78" i="1"/>
  <c r="CN78" i="1"/>
  <c r="CM78" i="1"/>
  <c r="CL78" i="1"/>
  <c r="CK78" i="1"/>
  <c r="BZ78" i="1"/>
  <c r="BO78" i="1"/>
  <c r="BC78" i="1"/>
  <c r="BB78" i="1"/>
  <c r="BA78" i="1"/>
  <c r="AZ78" i="1"/>
  <c r="AY78" i="1"/>
  <c r="AX78" i="1"/>
  <c r="AW78" i="1"/>
  <c r="AV78" i="1"/>
  <c r="AU78" i="1"/>
  <c r="AT78" i="1"/>
  <c r="AS78" i="1"/>
  <c r="AH78" i="1"/>
  <c r="W78" i="1"/>
  <c r="L78" i="1"/>
  <c r="IT77" i="1"/>
  <c r="IO77" i="1"/>
  <c r="II77" i="1"/>
  <c r="IH77" i="1"/>
  <c r="IG77" i="1"/>
  <c r="IF77" i="1"/>
  <c r="IE77" i="1"/>
  <c r="HZ77" i="1"/>
  <c r="HU77" i="1"/>
  <c r="HO77" i="1"/>
  <c r="HN77" i="1"/>
  <c r="HM77" i="1"/>
  <c r="HL77" i="1"/>
  <c r="HK77" i="1"/>
  <c r="HF77" i="1"/>
  <c r="HA77" i="1"/>
  <c r="GV77" i="1"/>
  <c r="GE77" i="1"/>
  <c r="GD77" i="1"/>
  <c r="GC77" i="1"/>
  <c r="GB77" i="1"/>
  <c r="GA77" i="1"/>
  <c r="FZ77" i="1"/>
  <c r="FY77" i="1"/>
  <c r="FX77" i="1"/>
  <c r="FW77" i="1"/>
  <c r="FV77" i="1"/>
  <c r="FU77" i="1"/>
  <c r="FJ77" i="1"/>
  <c r="EY77" i="1"/>
  <c r="EM77" i="1"/>
  <c r="EL77" i="1"/>
  <c r="EK77" i="1"/>
  <c r="EJ77" i="1"/>
  <c r="EI77" i="1"/>
  <c r="EH77" i="1"/>
  <c r="EG77" i="1"/>
  <c r="EF77" i="1"/>
  <c r="EE77" i="1"/>
  <c r="ED77" i="1"/>
  <c r="DR77" i="1"/>
  <c r="DG77" i="1"/>
  <c r="CU77" i="1"/>
  <c r="CT77" i="1"/>
  <c r="CS77" i="1"/>
  <c r="CR77" i="1"/>
  <c r="CQ77" i="1"/>
  <c r="CP77" i="1"/>
  <c r="CO77" i="1"/>
  <c r="CN77" i="1"/>
  <c r="CM77" i="1"/>
  <c r="CL77" i="1"/>
  <c r="CK77" i="1"/>
  <c r="BZ77" i="1"/>
  <c r="BO77" i="1"/>
  <c r="BC77" i="1"/>
  <c r="BB77" i="1"/>
  <c r="BA77" i="1"/>
  <c r="AZ77" i="1"/>
  <c r="AY77" i="1"/>
  <c r="AX77" i="1"/>
  <c r="AW77" i="1"/>
  <c r="AV77" i="1"/>
  <c r="AU77" i="1"/>
  <c r="AT77" i="1"/>
  <c r="AS77" i="1"/>
  <c r="AH77" i="1"/>
  <c r="W77" i="1"/>
  <c r="L77" i="1"/>
  <c r="IT76" i="1"/>
  <c r="IO76" i="1"/>
  <c r="II76" i="1"/>
  <c r="IH76" i="1"/>
  <c r="IG76" i="1"/>
  <c r="IF76" i="1"/>
  <c r="IE76" i="1"/>
  <c r="HZ76" i="1"/>
  <c r="HU76" i="1"/>
  <c r="HO76" i="1"/>
  <c r="HN76" i="1"/>
  <c r="HM76" i="1"/>
  <c r="HL76" i="1"/>
  <c r="HK76" i="1"/>
  <c r="HF76" i="1"/>
  <c r="HA76" i="1"/>
  <c r="GV76" i="1"/>
  <c r="GE76" i="1"/>
  <c r="GD76" i="1"/>
  <c r="GC76" i="1"/>
  <c r="GB76" i="1"/>
  <c r="GA76" i="1"/>
  <c r="FZ76" i="1"/>
  <c r="FY76" i="1"/>
  <c r="FX76" i="1"/>
  <c r="FW76" i="1"/>
  <c r="FV76" i="1"/>
  <c r="FU76" i="1"/>
  <c r="FJ76" i="1"/>
  <c r="EY76" i="1"/>
  <c r="EM76" i="1"/>
  <c r="EL76" i="1"/>
  <c r="EK76" i="1"/>
  <c r="EJ76" i="1"/>
  <c r="EI76" i="1"/>
  <c r="EH76" i="1"/>
  <c r="EG76" i="1"/>
  <c r="EF76" i="1"/>
  <c r="EE76" i="1"/>
  <c r="ED76" i="1"/>
  <c r="DR76" i="1"/>
  <c r="DG76" i="1"/>
  <c r="CU76" i="1"/>
  <c r="CT76" i="1"/>
  <c r="CS76" i="1"/>
  <c r="CR76" i="1"/>
  <c r="CQ76" i="1"/>
  <c r="CP76" i="1"/>
  <c r="CO76" i="1"/>
  <c r="CN76" i="1"/>
  <c r="CM76" i="1"/>
  <c r="CL76" i="1"/>
  <c r="CK76" i="1"/>
  <c r="BZ76" i="1"/>
  <c r="BO76" i="1"/>
  <c r="BC76" i="1"/>
  <c r="BB76" i="1"/>
  <c r="BA76" i="1"/>
  <c r="AZ76" i="1"/>
  <c r="AY76" i="1"/>
  <c r="AX76" i="1"/>
  <c r="AW76" i="1"/>
  <c r="AV76" i="1"/>
  <c r="AU76" i="1"/>
  <c r="AT76" i="1"/>
  <c r="AS76" i="1"/>
  <c r="AH76" i="1"/>
  <c r="W76" i="1"/>
  <c r="L76" i="1"/>
  <c r="IT75" i="1"/>
  <c r="IO75" i="1"/>
  <c r="II75" i="1"/>
  <c r="IH75" i="1"/>
  <c r="IG75" i="1"/>
  <c r="IF75" i="1"/>
  <c r="IE75" i="1"/>
  <c r="HZ75" i="1"/>
  <c r="HU75" i="1"/>
  <c r="HO75" i="1"/>
  <c r="HN75" i="1"/>
  <c r="HM75" i="1"/>
  <c r="HL75" i="1"/>
  <c r="HK75" i="1"/>
  <c r="HF75" i="1"/>
  <c r="HA75" i="1"/>
  <c r="GV75" i="1"/>
  <c r="GE75" i="1"/>
  <c r="GD75" i="1"/>
  <c r="GC75" i="1"/>
  <c r="GB75" i="1"/>
  <c r="GA75" i="1"/>
  <c r="FZ75" i="1"/>
  <c r="FY75" i="1"/>
  <c r="FX75" i="1"/>
  <c r="FW75" i="1"/>
  <c r="FV75" i="1"/>
  <c r="FU75" i="1"/>
  <c r="FJ75" i="1"/>
  <c r="EY75" i="1"/>
  <c r="EM75" i="1"/>
  <c r="EL75" i="1"/>
  <c r="EK75" i="1"/>
  <c r="EJ75" i="1"/>
  <c r="EI75" i="1"/>
  <c r="EH75" i="1"/>
  <c r="EG75" i="1"/>
  <c r="EF75" i="1"/>
  <c r="EE75" i="1"/>
  <c r="ED75" i="1"/>
  <c r="DR75" i="1"/>
  <c r="DG75" i="1"/>
  <c r="CU75" i="1"/>
  <c r="CT75" i="1"/>
  <c r="CS75" i="1"/>
  <c r="CR75" i="1"/>
  <c r="CQ75" i="1"/>
  <c r="CP75" i="1"/>
  <c r="CO75" i="1"/>
  <c r="CN75" i="1"/>
  <c r="CM75" i="1"/>
  <c r="CL75" i="1"/>
  <c r="CK75" i="1"/>
  <c r="BZ75" i="1"/>
  <c r="BO75" i="1"/>
  <c r="BC75" i="1"/>
  <c r="BB75" i="1"/>
  <c r="BA75" i="1"/>
  <c r="AZ75" i="1"/>
  <c r="AY75" i="1"/>
  <c r="AX75" i="1"/>
  <c r="AW75" i="1"/>
  <c r="AV75" i="1"/>
  <c r="AU75" i="1"/>
  <c r="AT75" i="1"/>
  <c r="AS75" i="1"/>
  <c r="AH75" i="1"/>
  <c r="W75" i="1"/>
  <c r="L75" i="1"/>
  <c r="IT74" i="1"/>
  <c r="IO74" i="1"/>
  <c r="II74" i="1"/>
  <c r="IH74" i="1"/>
  <c r="IG74" i="1"/>
  <c r="IF74" i="1"/>
  <c r="IE74" i="1"/>
  <c r="HZ74" i="1"/>
  <c r="HU74" i="1"/>
  <c r="HO74" i="1"/>
  <c r="HN74" i="1"/>
  <c r="HM74" i="1"/>
  <c r="HL74" i="1"/>
  <c r="HK74" i="1"/>
  <c r="HF74" i="1"/>
  <c r="HA74" i="1"/>
  <c r="GV74" i="1"/>
  <c r="GE74" i="1"/>
  <c r="GD74" i="1"/>
  <c r="GC74" i="1"/>
  <c r="GB74" i="1"/>
  <c r="GA74" i="1"/>
  <c r="FZ74" i="1"/>
  <c r="FY74" i="1"/>
  <c r="FX74" i="1"/>
  <c r="FW74" i="1"/>
  <c r="FV74" i="1"/>
  <c r="FU74" i="1"/>
  <c r="FJ74" i="1"/>
  <c r="EY74" i="1"/>
  <c r="EM74" i="1"/>
  <c r="EL74" i="1"/>
  <c r="EK74" i="1"/>
  <c r="EJ74" i="1"/>
  <c r="EI74" i="1"/>
  <c r="EH74" i="1"/>
  <c r="EG74" i="1"/>
  <c r="EF74" i="1"/>
  <c r="EE74" i="1"/>
  <c r="ED74" i="1"/>
  <c r="DR74" i="1"/>
  <c r="DG74" i="1"/>
  <c r="CU74" i="1"/>
  <c r="CT74" i="1"/>
  <c r="CS74" i="1"/>
  <c r="CR74" i="1"/>
  <c r="CQ74" i="1"/>
  <c r="CP74" i="1"/>
  <c r="CO74" i="1"/>
  <c r="CN74" i="1"/>
  <c r="CM74" i="1"/>
  <c r="CL74" i="1"/>
  <c r="CK74" i="1"/>
  <c r="BZ74" i="1"/>
  <c r="BO74" i="1"/>
  <c r="BC74" i="1"/>
  <c r="BB74" i="1"/>
  <c r="BA74" i="1"/>
  <c r="AZ74" i="1"/>
  <c r="AY74" i="1"/>
  <c r="AX74" i="1"/>
  <c r="AW74" i="1"/>
  <c r="AV74" i="1"/>
  <c r="AU74" i="1"/>
  <c r="AT74" i="1"/>
  <c r="AS74" i="1"/>
  <c r="AH74" i="1"/>
  <c r="W74" i="1"/>
  <c r="L74" i="1"/>
  <c r="IT73" i="1"/>
  <c r="IO73" i="1"/>
  <c r="II73" i="1"/>
  <c r="IH73" i="1"/>
  <c r="IG73" i="1"/>
  <c r="IF73" i="1"/>
  <c r="IE73" i="1"/>
  <c r="HZ73" i="1"/>
  <c r="HZ69" i="1" s="1"/>
  <c r="HU73" i="1"/>
  <c r="HO73" i="1"/>
  <c r="HN73" i="1"/>
  <c r="HM73" i="1"/>
  <c r="HL73" i="1"/>
  <c r="HK73" i="1"/>
  <c r="HF73" i="1"/>
  <c r="HA73" i="1"/>
  <c r="GV73" i="1"/>
  <c r="GE73" i="1"/>
  <c r="GD73" i="1"/>
  <c r="GC73" i="1"/>
  <c r="GB73" i="1"/>
  <c r="GA73" i="1"/>
  <c r="FZ73" i="1"/>
  <c r="FY73" i="1"/>
  <c r="FX73" i="1"/>
  <c r="FW73" i="1"/>
  <c r="FV73" i="1"/>
  <c r="FU73" i="1"/>
  <c r="FJ73" i="1"/>
  <c r="EY73" i="1"/>
  <c r="EM73" i="1"/>
  <c r="EL73" i="1"/>
  <c r="EK73" i="1"/>
  <c r="EJ73" i="1"/>
  <c r="EI73" i="1"/>
  <c r="EH73" i="1"/>
  <c r="EG73" i="1"/>
  <c r="EF73" i="1"/>
  <c r="EE73" i="1"/>
  <c r="ED73" i="1"/>
  <c r="DR73" i="1"/>
  <c r="DG73" i="1"/>
  <c r="CU73" i="1"/>
  <c r="CT73" i="1"/>
  <c r="CS73" i="1"/>
  <c r="CR73" i="1"/>
  <c r="CQ73" i="1"/>
  <c r="CP73" i="1"/>
  <c r="CO73" i="1"/>
  <c r="CN73" i="1"/>
  <c r="CM73" i="1"/>
  <c r="CL73" i="1"/>
  <c r="CK73" i="1"/>
  <c r="BZ73" i="1"/>
  <c r="BO73" i="1"/>
  <c r="BC73" i="1"/>
  <c r="BB73" i="1"/>
  <c r="BA73" i="1"/>
  <c r="AZ73" i="1"/>
  <c r="AY73" i="1"/>
  <c r="AX73" i="1"/>
  <c r="AW73" i="1"/>
  <c r="AV73" i="1"/>
  <c r="AU73" i="1"/>
  <c r="AU69" i="1" s="1"/>
  <c r="AT73" i="1"/>
  <c r="AS73" i="1"/>
  <c r="AH73" i="1"/>
  <c r="W73" i="1"/>
  <c r="L73" i="1"/>
  <c r="IT72" i="1"/>
  <c r="IO72" i="1"/>
  <c r="II72" i="1"/>
  <c r="IH72" i="1"/>
  <c r="IG72" i="1"/>
  <c r="IF72" i="1"/>
  <c r="IE72" i="1"/>
  <c r="HZ72" i="1"/>
  <c r="HU72" i="1"/>
  <c r="HO72" i="1"/>
  <c r="HN72" i="1"/>
  <c r="HM72" i="1"/>
  <c r="HL72" i="1"/>
  <c r="HK72" i="1"/>
  <c r="HF72" i="1"/>
  <c r="HA72" i="1"/>
  <c r="GV72" i="1"/>
  <c r="GE72" i="1"/>
  <c r="GD72" i="1"/>
  <c r="GC72" i="1"/>
  <c r="GB72" i="1"/>
  <c r="GA72" i="1"/>
  <c r="FZ72" i="1"/>
  <c r="FY72" i="1"/>
  <c r="FX72" i="1"/>
  <c r="FW72" i="1"/>
  <c r="FV72" i="1"/>
  <c r="FU72" i="1"/>
  <c r="FJ72" i="1"/>
  <c r="EY72" i="1"/>
  <c r="EM72" i="1"/>
  <c r="EL72" i="1"/>
  <c r="EK72" i="1"/>
  <c r="EJ72" i="1"/>
  <c r="EI72" i="1"/>
  <c r="EI69" i="1" s="1"/>
  <c r="EH72" i="1"/>
  <c r="EG72" i="1"/>
  <c r="EF72" i="1"/>
  <c r="EE72" i="1"/>
  <c r="ED72" i="1"/>
  <c r="DR72" i="1"/>
  <c r="DG72" i="1"/>
  <c r="CU72" i="1"/>
  <c r="CT72" i="1"/>
  <c r="CS72" i="1"/>
  <c r="CR72" i="1"/>
  <c r="CQ72" i="1"/>
  <c r="CP72" i="1"/>
  <c r="CO72" i="1"/>
  <c r="CN72" i="1"/>
  <c r="CM72" i="1"/>
  <c r="CL72" i="1"/>
  <c r="CK72" i="1"/>
  <c r="BZ72" i="1"/>
  <c r="BO72" i="1"/>
  <c r="BC72" i="1"/>
  <c r="BB72" i="1"/>
  <c r="BA72" i="1"/>
  <c r="AZ72" i="1"/>
  <c r="AZ69" i="1" s="1"/>
  <c r="AY72" i="1"/>
  <c r="AX72" i="1"/>
  <c r="AW72" i="1"/>
  <c r="AV72" i="1"/>
  <c r="AV69" i="1" s="1"/>
  <c r="AU72" i="1"/>
  <c r="AT72" i="1"/>
  <c r="AS72" i="1"/>
  <c r="AH72" i="1"/>
  <c r="AH69" i="1" s="1"/>
  <c r="W72" i="1"/>
  <c r="L72" i="1"/>
  <c r="IT71" i="1"/>
  <c r="IO71" i="1"/>
  <c r="II71" i="1"/>
  <c r="IH71" i="1"/>
  <c r="IG71" i="1"/>
  <c r="IF71" i="1"/>
  <c r="IF69" i="1" s="1"/>
  <c r="IE71" i="1"/>
  <c r="HZ71" i="1"/>
  <c r="HU71" i="1"/>
  <c r="HO71" i="1"/>
  <c r="HN71" i="1"/>
  <c r="HM71" i="1"/>
  <c r="HL71" i="1"/>
  <c r="HK71" i="1"/>
  <c r="HK69" i="1" s="1"/>
  <c r="HF71" i="1"/>
  <c r="HA71" i="1"/>
  <c r="GV71" i="1"/>
  <c r="GE71" i="1"/>
  <c r="GE69" i="1" s="1"/>
  <c r="GD71" i="1"/>
  <c r="GC71" i="1"/>
  <c r="GB71" i="1"/>
  <c r="GA71" i="1"/>
  <c r="GA69" i="1" s="1"/>
  <c r="FZ71" i="1"/>
  <c r="FY71" i="1"/>
  <c r="FX71" i="1"/>
  <c r="FW71" i="1"/>
  <c r="FW69" i="1" s="1"/>
  <c r="FV71" i="1"/>
  <c r="FU71" i="1"/>
  <c r="FJ71" i="1"/>
  <c r="EY71" i="1"/>
  <c r="EY69" i="1" s="1"/>
  <c r="EM71" i="1"/>
  <c r="EL71" i="1"/>
  <c r="EK71" i="1"/>
  <c r="EJ71" i="1"/>
  <c r="EI71" i="1"/>
  <c r="EH71" i="1"/>
  <c r="EG71" i="1"/>
  <c r="EF71" i="1"/>
  <c r="EE71" i="1"/>
  <c r="ED71" i="1"/>
  <c r="DR71" i="1"/>
  <c r="DG71" i="1"/>
  <c r="CU71" i="1"/>
  <c r="CT71" i="1"/>
  <c r="CS71" i="1"/>
  <c r="CR71" i="1"/>
  <c r="CQ71" i="1"/>
  <c r="CP71" i="1"/>
  <c r="CO71" i="1"/>
  <c r="CN71" i="1"/>
  <c r="CM71" i="1"/>
  <c r="CL71" i="1"/>
  <c r="CK71" i="1"/>
  <c r="BZ71" i="1"/>
  <c r="BO71" i="1"/>
  <c r="BC71" i="1"/>
  <c r="BB71" i="1"/>
  <c r="BA71" i="1"/>
  <c r="AZ71" i="1"/>
  <c r="AY71" i="1"/>
  <c r="AX71" i="1"/>
  <c r="AW71" i="1"/>
  <c r="AV71" i="1"/>
  <c r="AU71" i="1"/>
  <c r="AT71" i="1"/>
  <c r="AS71" i="1"/>
  <c r="AH71" i="1"/>
  <c r="W71" i="1"/>
  <c r="L71" i="1"/>
  <c r="IT70" i="1"/>
  <c r="IT69" i="1" s="1"/>
  <c r="IO70" i="1"/>
  <c r="II70" i="1"/>
  <c r="IH70" i="1"/>
  <c r="IG70" i="1"/>
  <c r="IG69" i="1" s="1"/>
  <c r="IF70" i="1"/>
  <c r="IE70" i="1"/>
  <c r="HZ70" i="1"/>
  <c r="HU70" i="1"/>
  <c r="HU69" i="1" s="1"/>
  <c r="HO70" i="1"/>
  <c r="HN70" i="1"/>
  <c r="HM70" i="1"/>
  <c r="HM69" i="1" s="1"/>
  <c r="HL70" i="1"/>
  <c r="HL69" i="1" s="1"/>
  <c r="HK70" i="1"/>
  <c r="HF70" i="1"/>
  <c r="HA70" i="1"/>
  <c r="GV70" i="1"/>
  <c r="GE70" i="1"/>
  <c r="GD70" i="1"/>
  <c r="GC70" i="1"/>
  <c r="GB70" i="1"/>
  <c r="GB69" i="1" s="1"/>
  <c r="GB67" i="1" s="1"/>
  <c r="GB66" i="1" s="1"/>
  <c r="GA70" i="1"/>
  <c r="FZ70" i="1"/>
  <c r="FY70" i="1"/>
  <c r="FX70" i="1"/>
  <c r="FX69" i="1" s="1"/>
  <c r="FX67" i="1" s="1"/>
  <c r="FX66" i="1" s="1"/>
  <c r="FW70" i="1"/>
  <c r="FV70" i="1"/>
  <c r="FU70" i="1"/>
  <c r="FJ70" i="1"/>
  <c r="EY70" i="1"/>
  <c r="EM70" i="1"/>
  <c r="EL70" i="1"/>
  <c r="EK70" i="1"/>
  <c r="EK69" i="1" s="1"/>
  <c r="EK67" i="1" s="1"/>
  <c r="EK66" i="1" s="1"/>
  <c r="EJ70" i="1"/>
  <c r="EI70" i="1"/>
  <c r="EH70" i="1"/>
  <c r="EG70" i="1"/>
  <c r="EG69" i="1" s="1"/>
  <c r="EF70" i="1"/>
  <c r="EE70" i="1"/>
  <c r="ED70" i="1"/>
  <c r="DR70" i="1"/>
  <c r="DR69" i="1" s="1"/>
  <c r="DR67" i="1" s="1"/>
  <c r="DR66" i="1" s="1"/>
  <c r="DG70" i="1"/>
  <c r="CU70" i="1"/>
  <c r="CT70" i="1"/>
  <c r="CS70" i="1"/>
  <c r="CR70" i="1"/>
  <c r="CQ70" i="1"/>
  <c r="CP70" i="1"/>
  <c r="CO70" i="1"/>
  <c r="CN70" i="1"/>
  <c r="CM70" i="1"/>
  <c r="CL70" i="1"/>
  <c r="CK70" i="1"/>
  <c r="CK69" i="1" s="1"/>
  <c r="BZ70" i="1"/>
  <c r="BO70" i="1"/>
  <c r="BC70" i="1"/>
  <c r="BB70" i="1"/>
  <c r="BB69" i="1" s="1"/>
  <c r="BA70" i="1"/>
  <c r="AZ70" i="1"/>
  <c r="AY70" i="1"/>
  <c r="AX70" i="1"/>
  <c r="AX69" i="1" s="1"/>
  <c r="AX67" i="1" s="1"/>
  <c r="AX66" i="1" s="1"/>
  <c r="AW70" i="1"/>
  <c r="AV70" i="1"/>
  <c r="AU70" i="1"/>
  <c r="AT70" i="1"/>
  <c r="AS70" i="1"/>
  <c r="AH70" i="1"/>
  <c r="W70" i="1"/>
  <c r="L70" i="1"/>
  <c r="L69" i="1" s="1"/>
  <c r="L67" i="1" s="1"/>
  <c r="L66" i="1" s="1"/>
  <c r="IV69" i="1"/>
  <c r="IU69" i="1"/>
  <c r="IU67" i="1" s="1"/>
  <c r="IU66" i="1" s="1"/>
  <c r="IS69" i="1"/>
  <c r="IR69" i="1"/>
  <c r="IQ69" i="1"/>
  <c r="IQ67" i="1" s="1"/>
  <c r="IQ66" i="1" s="1"/>
  <c r="IP69" i="1"/>
  <c r="IP67" i="1" s="1"/>
  <c r="IP66" i="1" s="1"/>
  <c r="IO69" i="1"/>
  <c r="IN69" i="1"/>
  <c r="IM69" i="1"/>
  <c r="IM67" i="1" s="1"/>
  <c r="IM66" i="1" s="1"/>
  <c r="IL69" i="1"/>
  <c r="IL67" i="1" s="1"/>
  <c r="IL66" i="1" s="1"/>
  <c r="IK69" i="1"/>
  <c r="ID69" i="1"/>
  <c r="ID67" i="1" s="1"/>
  <c r="ID66" i="1" s="1"/>
  <c r="IC69" i="1"/>
  <c r="IC67" i="1" s="1"/>
  <c r="IC66" i="1" s="1"/>
  <c r="IB69" i="1"/>
  <c r="IA69" i="1"/>
  <c r="HY69" i="1"/>
  <c r="HY67" i="1" s="1"/>
  <c r="HY66" i="1" s="1"/>
  <c r="HX69" i="1"/>
  <c r="HW69" i="1"/>
  <c r="HV69" i="1"/>
  <c r="HV67" i="1" s="1"/>
  <c r="HV66" i="1" s="1"/>
  <c r="HT69" i="1"/>
  <c r="HS69" i="1"/>
  <c r="HR69" i="1"/>
  <c r="HR67" i="1" s="1"/>
  <c r="HR66" i="1" s="1"/>
  <c r="HQ69" i="1"/>
  <c r="HQ67" i="1" s="1"/>
  <c r="HQ66" i="1" s="1"/>
  <c r="HO69" i="1"/>
  <c r="HJ69" i="1"/>
  <c r="HI69" i="1"/>
  <c r="HI67" i="1" s="1"/>
  <c r="HI66" i="1" s="1"/>
  <c r="HH69" i="1"/>
  <c r="HH67" i="1" s="1"/>
  <c r="HH66" i="1" s="1"/>
  <c r="HG69" i="1"/>
  <c r="HE69" i="1"/>
  <c r="HE67" i="1" s="1"/>
  <c r="HE66" i="1" s="1"/>
  <c r="HD69" i="1"/>
  <c r="HD67" i="1" s="1"/>
  <c r="HD66" i="1" s="1"/>
  <c r="HC69" i="1"/>
  <c r="HB69" i="1"/>
  <c r="HA69" i="1"/>
  <c r="GZ69" i="1"/>
  <c r="GZ67" i="1" s="1"/>
  <c r="GZ66" i="1" s="1"/>
  <c r="GY69" i="1"/>
  <c r="GX69" i="1"/>
  <c r="GW69" i="1"/>
  <c r="GW67" i="1" s="1"/>
  <c r="GW66" i="1" s="1"/>
  <c r="GV69" i="1"/>
  <c r="GU69" i="1"/>
  <c r="GT69" i="1"/>
  <c r="GS69" i="1"/>
  <c r="GS67" i="1" s="1"/>
  <c r="GS66" i="1" s="1"/>
  <c r="GR69" i="1"/>
  <c r="GR67" i="1" s="1"/>
  <c r="GR66" i="1" s="1"/>
  <c r="FY69" i="1"/>
  <c r="FY67" i="1" s="1"/>
  <c r="FY66" i="1" s="1"/>
  <c r="FT69" i="1"/>
  <c r="FT67" i="1" s="1"/>
  <c r="FT66" i="1" s="1"/>
  <c r="FS69" i="1"/>
  <c r="FS67" i="1" s="1"/>
  <c r="FS66" i="1" s="1"/>
  <c r="FR69" i="1"/>
  <c r="FR67" i="1" s="1"/>
  <c r="FQ69" i="1"/>
  <c r="FP69" i="1"/>
  <c r="FP67" i="1" s="1"/>
  <c r="FP66" i="1" s="1"/>
  <c r="FO69" i="1"/>
  <c r="FO67" i="1" s="1"/>
  <c r="FO66" i="1" s="1"/>
  <c r="FN69" i="1"/>
  <c r="FM69" i="1"/>
  <c r="FL69" i="1"/>
  <c r="FL67" i="1" s="1"/>
  <c r="FL66" i="1" s="1"/>
  <c r="FK69" i="1"/>
  <c r="FI69" i="1"/>
  <c r="FI67" i="1" s="1"/>
  <c r="FH69" i="1"/>
  <c r="FG69" i="1"/>
  <c r="FF69" i="1"/>
  <c r="FE69" i="1"/>
  <c r="FE67" i="1" s="1"/>
  <c r="FD69" i="1"/>
  <c r="FC69" i="1"/>
  <c r="FB69" i="1"/>
  <c r="FA69" i="1"/>
  <c r="FA67" i="1" s="1"/>
  <c r="EZ69" i="1"/>
  <c r="EX69" i="1"/>
  <c r="EW69" i="1"/>
  <c r="EV69" i="1"/>
  <c r="EU69" i="1"/>
  <c r="ET69" i="1"/>
  <c r="ES69" i="1"/>
  <c r="ER69" i="1"/>
  <c r="EQ69" i="1"/>
  <c r="EP69" i="1"/>
  <c r="EO69" i="1"/>
  <c r="EC69" i="1"/>
  <c r="EC67" i="1" s="1"/>
  <c r="EC66" i="1" s="1"/>
  <c r="EB69" i="1"/>
  <c r="EA69" i="1"/>
  <c r="DZ69" i="1"/>
  <c r="DY69" i="1"/>
  <c r="DY67" i="1" s="1"/>
  <c r="DY66" i="1" s="1"/>
  <c r="DY65" i="1" s="1"/>
  <c r="DY63" i="1" s="1"/>
  <c r="DX69" i="1"/>
  <c r="DW69" i="1"/>
  <c r="DV69" i="1"/>
  <c r="DU69" i="1"/>
  <c r="DU67" i="1" s="1"/>
  <c r="DU66" i="1" s="1"/>
  <c r="DU65" i="1" s="1"/>
  <c r="DT69" i="1"/>
  <c r="DS69" i="1"/>
  <c r="DQ69" i="1"/>
  <c r="DP69" i="1"/>
  <c r="DP67" i="1" s="1"/>
  <c r="DP66" i="1" s="1"/>
  <c r="DO69" i="1"/>
  <c r="DN69" i="1"/>
  <c r="DM69" i="1"/>
  <c r="DL69" i="1"/>
  <c r="DL67" i="1" s="1"/>
  <c r="DL66" i="1" s="1"/>
  <c r="DL65" i="1" s="1"/>
  <c r="DL63" i="1" s="1"/>
  <c r="DK69" i="1"/>
  <c r="DJ69" i="1"/>
  <c r="DI69" i="1"/>
  <c r="DH69" i="1"/>
  <c r="DF69" i="1"/>
  <c r="DE69" i="1"/>
  <c r="DD69" i="1"/>
  <c r="DC69" i="1"/>
  <c r="DB69" i="1"/>
  <c r="DA69" i="1"/>
  <c r="CZ69" i="1"/>
  <c r="CY69" i="1"/>
  <c r="CX69" i="1"/>
  <c r="CW69" i="1"/>
  <c r="CT69" i="1"/>
  <c r="CR69" i="1"/>
  <c r="CJ69" i="1"/>
  <c r="CI69" i="1"/>
  <c r="CH69" i="1"/>
  <c r="CG69" i="1"/>
  <c r="CF69" i="1"/>
  <c r="CE69" i="1"/>
  <c r="CD69" i="1"/>
  <c r="CC69" i="1"/>
  <c r="CB69" i="1"/>
  <c r="CA69" i="1"/>
  <c r="BY69" i="1"/>
  <c r="BY67" i="1" s="1"/>
  <c r="BY66" i="1" s="1"/>
  <c r="BX69" i="1"/>
  <c r="BW69" i="1"/>
  <c r="BV69" i="1"/>
  <c r="BU69" i="1"/>
  <c r="BU67" i="1" s="1"/>
  <c r="BU66" i="1" s="1"/>
  <c r="BT69" i="1"/>
  <c r="BS69" i="1"/>
  <c r="BR69" i="1"/>
  <c r="BQ69" i="1"/>
  <c r="BQ67" i="1" s="1"/>
  <c r="BQ66" i="1" s="1"/>
  <c r="BP69" i="1"/>
  <c r="BN69" i="1"/>
  <c r="BM69" i="1"/>
  <c r="BL69" i="1"/>
  <c r="BL67" i="1" s="1"/>
  <c r="BL66" i="1" s="1"/>
  <c r="BK69" i="1"/>
  <c r="BJ69" i="1"/>
  <c r="BI69" i="1"/>
  <c r="BH69" i="1"/>
  <c r="BH67" i="1" s="1"/>
  <c r="BH66" i="1" s="1"/>
  <c r="BG69" i="1"/>
  <c r="BF69" i="1"/>
  <c r="BE69" i="1"/>
  <c r="BC69" i="1"/>
  <c r="AY69" i="1"/>
  <c r="AY67" i="1" s="1"/>
  <c r="AY66" i="1" s="1"/>
  <c r="AR69" i="1"/>
  <c r="AQ69" i="1"/>
  <c r="AP69" i="1"/>
  <c r="AO69" i="1"/>
  <c r="AN69" i="1"/>
  <c r="AM69" i="1"/>
  <c r="AL69" i="1"/>
  <c r="AK69" i="1"/>
  <c r="AJ69" i="1"/>
  <c r="AI69" i="1"/>
  <c r="AG69" i="1"/>
  <c r="AF69" i="1"/>
  <c r="AE69" i="1"/>
  <c r="AD69" i="1"/>
  <c r="AC69" i="1"/>
  <c r="AB69" i="1"/>
  <c r="AA69" i="1"/>
  <c r="Z69" i="1"/>
  <c r="Y69" i="1"/>
  <c r="X69" i="1"/>
  <c r="V69" i="1"/>
  <c r="U69" i="1"/>
  <c r="U67" i="1" s="1"/>
  <c r="U66" i="1" s="1"/>
  <c r="T69" i="1"/>
  <c r="S69" i="1"/>
  <c r="R69" i="1"/>
  <c r="Q69" i="1"/>
  <c r="Q67" i="1" s="1"/>
  <c r="Q66" i="1" s="1"/>
  <c r="P69" i="1"/>
  <c r="O69" i="1"/>
  <c r="N69" i="1"/>
  <c r="M69" i="1"/>
  <c r="K69" i="1"/>
  <c r="J69" i="1"/>
  <c r="I69" i="1"/>
  <c r="H69" i="1"/>
  <c r="H67" i="1" s="1"/>
  <c r="H66" i="1" s="1"/>
  <c r="G69" i="1"/>
  <c r="F69" i="1"/>
  <c r="E69" i="1"/>
  <c r="D69" i="1"/>
  <c r="D67" i="1" s="1"/>
  <c r="D66" i="1" s="1"/>
  <c r="C69" i="1"/>
  <c r="C67" i="1" s="1"/>
  <c r="C66" i="1" s="1"/>
  <c r="B69" i="1"/>
  <c r="IT68" i="1"/>
  <c r="IO68" i="1"/>
  <c r="IO67" i="1" s="1"/>
  <c r="II68" i="1"/>
  <c r="IH68" i="1"/>
  <c r="IG68" i="1"/>
  <c r="IF68" i="1"/>
  <c r="IE68" i="1"/>
  <c r="HZ68" i="1"/>
  <c r="HU68" i="1"/>
  <c r="HO68" i="1"/>
  <c r="HN68" i="1"/>
  <c r="HM68" i="1"/>
  <c r="HL68" i="1"/>
  <c r="HK68" i="1"/>
  <c r="HF68" i="1"/>
  <c r="HA68" i="1"/>
  <c r="GV68" i="1"/>
  <c r="GE68" i="1"/>
  <c r="GD68" i="1"/>
  <c r="GC68" i="1"/>
  <c r="GB68" i="1"/>
  <c r="GA68" i="1"/>
  <c r="FZ68" i="1"/>
  <c r="FY68" i="1"/>
  <c r="FX68" i="1"/>
  <c r="FW68" i="1"/>
  <c r="FV68" i="1"/>
  <c r="FU68" i="1"/>
  <c r="FJ68" i="1"/>
  <c r="EY68" i="1"/>
  <c r="EM68" i="1"/>
  <c r="EL68" i="1"/>
  <c r="EK68" i="1"/>
  <c r="EJ68" i="1"/>
  <c r="EI68" i="1"/>
  <c r="EH68" i="1"/>
  <c r="EG68" i="1"/>
  <c r="EF68" i="1"/>
  <c r="EE68" i="1"/>
  <c r="ED68" i="1"/>
  <c r="DR68" i="1"/>
  <c r="DG68" i="1"/>
  <c r="CU68" i="1"/>
  <c r="CT68" i="1"/>
  <c r="CS68" i="1"/>
  <c r="CR68" i="1"/>
  <c r="CQ68" i="1"/>
  <c r="CP68" i="1"/>
  <c r="CO68" i="1"/>
  <c r="CN68" i="1"/>
  <c r="CM68" i="1"/>
  <c r="CL68" i="1"/>
  <c r="CK68" i="1"/>
  <c r="BZ68" i="1"/>
  <c r="BO68" i="1"/>
  <c r="BC68" i="1"/>
  <c r="BB68" i="1"/>
  <c r="BA68" i="1"/>
  <c r="AZ68" i="1"/>
  <c r="AY68" i="1"/>
  <c r="AX68" i="1"/>
  <c r="AW68" i="1"/>
  <c r="AV68" i="1"/>
  <c r="AU68" i="1"/>
  <c r="AT68" i="1"/>
  <c r="AS68" i="1"/>
  <c r="AH68" i="1"/>
  <c r="W68" i="1"/>
  <c r="L68" i="1"/>
  <c r="IV67" i="1"/>
  <c r="IS67" i="1"/>
  <c r="IS66" i="1" s="1"/>
  <c r="IR67" i="1"/>
  <c r="IN67" i="1"/>
  <c r="IN66" i="1" s="1"/>
  <c r="IK67" i="1"/>
  <c r="IB67" i="1"/>
  <c r="IB66" i="1" s="1"/>
  <c r="IA67" i="1"/>
  <c r="IA66" i="1" s="1"/>
  <c r="HX67" i="1"/>
  <c r="HW67" i="1"/>
  <c r="HW66" i="1" s="1"/>
  <c r="HT67" i="1"/>
  <c r="HT66" i="1" s="1"/>
  <c r="HS67" i="1"/>
  <c r="HS66" i="1" s="1"/>
  <c r="HJ67" i="1"/>
  <c r="HG67" i="1"/>
  <c r="HG66" i="1" s="1"/>
  <c r="HG65" i="1" s="1"/>
  <c r="HC67" i="1"/>
  <c r="HC66" i="1" s="1"/>
  <c r="HB67" i="1"/>
  <c r="GY67" i="1"/>
  <c r="GY66" i="1" s="1"/>
  <c r="GX67" i="1"/>
  <c r="GU67" i="1"/>
  <c r="GU66" i="1" s="1"/>
  <c r="GT67" i="1"/>
  <c r="GE67" i="1"/>
  <c r="GA67" i="1"/>
  <c r="FW67" i="1"/>
  <c r="FW66" i="1" s="1"/>
  <c r="FQ67" i="1"/>
  <c r="FQ66" i="1" s="1"/>
  <c r="FN67" i="1"/>
  <c r="FM67" i="1"/>
  <c r="FM66" i="1" s="1"/>
  <c r="FH67" i="1"/>
  <c r="FH66" i="1" s="1"/>
  <c r="FG67" i="1"/>
  <c r="FG66" i="1" s="1"/>
  <c r="FF67" i="1"/>
  <c r="FF66" i="1" s="1"/>
  <c r="FD67" i="1"/>
  <c r="FD66" i="1" s="1"/>
  <c r="FC67" i="1"/>
  <c r="FC66" i="1" s="1"/>
  <c r="FC65" i="1" s="1"/>
  <c r="FB67" i="1"/>
  <c r="FB66" i="1" s="1"/>
  <c r="EY67" i="1"/>
  <c r="EY66" i="1" s="1"/>
  <c r="EX67" i="1"/>
  <c r="EX66" i="1" s="1"/>
  <c r="EW67" i="1"/>
  <c r="EW66" i="1" s="1"/>
  <c r="EV67" i="1"/>
  <c r="EU67" i="1"/>
  <c r="EU66" i="1" s="1"/>
  <c r="ET67" i="1"/>
  <c r="ES67" i="1"/>
  <c r="ES66" i="1" s="1"/>
  <c r="ER67" i="1"/>
  <c r="EQ67" i="1"/>
  <c r="EQ66" i="1" s="1"/>
  <c r="EP67" i="1"/>
  <c r="EP66" i="1" s="1"/>
  <c r="EI67" i="1"/>
  <c r="EI66" i="1" s="1"/>
  <c r="EG67" i="1"/>
  <c r="EG66" i="1" s="1"/>
  <c r="EB67" i="1"/>
  <c r="EA67" i="1"/>
  <c r="EA66" i="1" s="1"/>
  <c r="DZ67" i="1"/>
  <c r="DX67" i="1"/>
  <c r="DX66" i="1" s="1"/>
  <c r="DW67" i="1"/>
  <c r="DW66" i="1" s="1"/>
  <c r="DV67" i="1"/>
  <c r="DT67" i="1"/>
  <c r="DT66" i="1" s="1"/>
  <c r="DT65" i="1" s="1"/>
  <c r="DQ67" i="1"/>
  <c r="DO67" i="1"/>
  <c r="DO66" i="1" s="1"/>
  <c r="DN67" i="1"/>
  <c r="DN66" i="1" s="1"/>
  <c r="DM67" i="1"/>
  <c r="DM66" i="1" s="1"/>
  <c r="DK67" i="1"/>
  <c r="DJ67" i="1"/>
  <c r="DJ66" i="1" s="1"/>
  <c r="DJ65" i="1" s="1"/>
  <c r="DI67" i="1"/>
  <c r="DI66" i="1" s="1"/>
  <c r="DF67" i="1"/>
  <c r="DF66" i="1" s="1"/>
  <c r="DE67" i="1"/>
  <c r="DE66" i="1" s="1"/>
  <c r="DD67" i="1"/>
  <c r="DC67" i="1"/>
  <c r="DC66" i="1" s="1"/>
  <c r="DB67" i="1"/>
  <c r="DA67" i="1"/>
  <c r="DA66" i="1" s="1"/>
  <c r="CZ67" i="1"/>
  <c r="CY67" i="1"/>
  <c r="CY66" i="1" s="1"/>
  <c r="CX67" i="1"/>
  <c r="CX66" i="1" s="1"/>
  <c r="CX65" i="1" s="1"/>
  <c r="CT67" i="1"/>
  <c r="CT66" i="1" s="1"/>
  <c r="CR67" i="1"/>
  <c r="CR66" i="1" s="1"/>
  <c r="CK67" i="1"/>
  <c r="CK66" i="1" s="1"/>
  <c r="CJ67" i="1"/>
  <c r="CJ66" i="1" s="1"/>
  <c r="CJ65" i="1" s="1"/>
  <c r="CI67" i="1"/>
  <c r="CI66" i="1" s="1"/>
  <c r="CH67" i="1"/>
  <c r="CG67" i="1"/>
  <c r="CG66" i="1" s="1"/>
  <c r="CF67" i="1"/>
  <c r="CF66" i="1" s="1"/>
  <c r="CE67" i="1"/>
  <c r="CE66" i="1" s="1"/>
  <c r="CD67" i="1"/>
  <c r="CD66" i="1" s="1"/>
  <c r="CC67" i="1"/>
  <c r="CC66" i="1" s="1"/>
  <c r="CB67" i="1"/>
  <c r="CB66" i="1" s="1"/>
  <c r="BX67" i="1"/>
  <c r="BX66" i="1" s="1"/>
  <c r="BW67" i="1"/>
  <c r="BW66" i="1" s="1"/>
  <c r="BW65" i="1" s="1"/>
  <c r="BV67" i="1"/>
  <c r="BV66" i="1" s="1"/>
  <c r="BT67" i="1"/>
  <c r="BT66" i="1" s="1"/>
  <c r="BS67" i="1"/>
  <c r="BR67" i="1"/>
  <c r="BR66" i="1" s="1"/>
  <c r="BR65" i="1" s="1"/>
  <c r="BN67" i="1"/>
  <c r="BN66" i="1" s="1"/>
  <c r="BM67" i="1"/>
  <c r="BM66" i="1" s="1"/>
  <c r="BK67" i="1"/>
  <c r="BK66" i="1" s="1"/>
  <c r="BJ67" i="1"/>
  <c r="BJ66" i="1" s="1"/>
  <c r="BI67" i="1"/>
  <c r="BI66" i="1" s="1"/>
  <c r="BG67" i="1"/>
  <c r="BG66" i="1" s="1"/>
  <c r="BF67" i="1"/>
  <c r="BF66" i="1" s="1"/>
  <c r="BC67" i="1"/>
  <c r="BC66" i="1" s="1"/>
  <c r="BB67" i="1"/>
  <c r="BB66" i="1" s="1"/>
  <c r="AZ67" i="1"/>
  <c r="AZ66" i="1" s="1"/>
  <c r="AV67" i="1"/>
  <c r="AV66" i="1" s="1"/>
  <c r="AU67" i="1"/>
  <c r="AU66" i="1" s="1"/>
  <c r="AR67" i="1"/>
  <c r="AQ67" i="1"/>
  <c r="AQ66" i="1" s="1"/>
  <c r="AP67" i="1"/>
  <c r="AO67" i="1"/>
  <c r="AO66" i="1" s="1"/>
  <c r="AN67" i="1"/>
  <c r="AM67" i="1"/>
  <c r="AM66" i="1" s="1"/>
  <c r="AL67" i="1"/>
  <c r="AL66" i="1" s="1"/>
  <c r="AK67" i="1"/>
  <c r="AK66" i="1" s="1"/>
  <c r="AJ67" i="1"/>
  <c r="AH67" i="1"/>
  <c r="AH66" i="1" s="1"/>
  <c r="AG67" i="1"/>
  <c r="AG66" i="1" s="1"/>
  <c r="AF67" i="1"/>
  <c r="AF66" i="1" s="1"/>
  <c r="AE67" i="1"/>
  <c r="AD67" i="1"/>
  <c r="AD66" i="1" s="1"/>
  <c r="AC67" i="1"/>
  <c r="AC66" i="1" s="1"/>
  <c r="AB67" i="1"/>
  <c r="AB66" i="1" s="1"/>
  <c r="AA67" i="1"/>
  <c r="Z67" i="1"/>
  <c r="Z66" i="1" s="1"/>
  <c r="Y67" i="1"/>
  <c r="Y66" i="1" s="1"/>
  <c r="V67" i="1"/>
  <c r="V66" i="1" s="1"/>
  <c r="T67" i="1"/>
  <c r="T66" i="1" s="1"/>
  <c r="S67" i="1"/>
  <c r="S66" i="1" s="1"/>
  <c r="R67" i="1"/>
  <c r="R66" i="1" s="1"/>
  <c r="P67" i="1"/>
  <c r="P66" i="1" s="1"/>
  <c r="O67" i="1"/>
  <c r="O66" i="1" s="1"/>
  <c r="N67" i="1"/>
  <c r="K67" i="1"/>
  <c r="K66" i="1" s="1"/>
  <c r="J67" i="1"/>
  <c r="J66" i="1" s="1"/>
  <c r="I67" i="1"/>
  <c r="G67" i="1"/>
  <c r="G66" i="1" s="1"/>
  <c r="F67" i="1"/>
  <c r="F66" i="1" s="1"/>
  <c r="E67" i="1"/>
  <c r="E66" i="1" s="1"/>
  <c r="IV66" i="1"/>
  <c r="IR66" i="1"/>
  <c r="IO66" i="1"/>
  <c r="IK66" i="1"/>
  <c r="IK65" i="1" s="1"/>
  <c r="HX66" i="1"/>
  <c r="HJ66" i="1"/>
  <c r="HB66" i="1"/>
  <c r="GX66" i="1"/>
  <c r="GT66" i="1"/>
  <c r="GT65" i="1" s="1"/>
  <c r="GE66" i="1"/>
  <c r="GA66" i="1"/>
  <c r="FR66" i="1"/>
  <c r="FN66" i="1"/>
  <c r="FN65" i="1" s="1"/>
  <c r="FI66" i="1"/>
  <c r="FI65" i="1" s="1"/>
  <c r="FE66" i="1"/>
  <c r="FE65" i="1" s="1"/>
  <c r="FA66" i="1"/>
  <c r="FA65" i="1" s="1"/>
  <c r="EV66" i="1"/>
  <c r="ET66" i="1"/>
  <c r="ER66" i="1"/>
  <c r="EB66" i="1"/>
  <c r="DZ66" i="1"/>
  <c r="DV66" i="1"/>
  <c r="DQ66" i="1"/>
  <c r="DK66" i="1"/>
  <c r="DD66" i="1"/>
  <c r="DB66" i="1"/>
  <c r="DB65" i="1" s="1"/>
  <c r="CZ66" i="1"/>
  <c r="CH66" i="1"/>
  <c r="BS66" i="1"/>
  <c r="BS65" i="1" s="1"/>
  <c r="AR66" i="1"/>
  <c r="AP66" i="1"/>
  <c r="AN66" i="1"/>
  <c r="AJ66" i="1"/>
  <c r="AE66" i="1"/>
  <c r="AA66" i="1"/>
  <c r="N66" i="1"/>
  <c r="I66" i="1"/>
  <c r="FR65" i="1"/>
  <c r="IT64" i="1"/>
  <c r="IO64" i="1"/>
  <c r="II64" i="1"/>
  <c r="IH64" i="1"/>
  <c r="IG64" i="1"/>
  <c r="IF64" i="1"/>
  <c r="IE64" i="1"/>
  <c r="HZ64" i="1"/>
  <c r="HU64" i="1"/>
  <c r="HO64" i="1"/>
  <c r="HN64" i="1"/>
  <c r="HM64" i="1"/>
  <c r="HL64" i="1"/>
  <c r="HK64" i="1"/>
  <c r="HF64" i="1"/>
  <c r="HA64" i="1"/>
  <c r="GV64" i="1"/>
  <c r="GE64" i="1"/>
  <c r="GD64" i="1"/>
  <c r="GC64" i="1"/>
  <c r="GB64" i="1"/>
  <c r="GA64" i="1"/>
  <c r="FZ64" i="1"/>
  <c r="FY64" i="1"/>
  <c r="FX64" i="1"/>
  <c r="FW64" i="1"/>
  <c r="FV64" i="1"/>
  <c r="FU64" i="1"/>
  <c r="FJ64" i="1"/>
  <c r="EY64" i="1"/>
  <c r="EM64" i="1"/>
  <c r="EL64" i="1"/>
  <c r="EK64" i="1"/>
  <c r="EJ64" i="1"/>
  <c r="EI64" i="1"/>
  <c r="EH64" i="1"/>
  <c r="EG64" i="1"/>
  <c r="EF64" i="1"/>
  <c r="EE64" i="1"/>
  <c r="ED64" i="1"/>
  <c r="DR64" i="1"/>
  <c r="DG64" i="1"/>
  <c r="CU64" i="1"/>
  <c r="CT64" i="1"/>
  <c r="CS64" i="1"/>
  <c r="CR64" i="1"/>
  <c r="CQ64" i="1"/>
  <c r="CP64" i="1"/>
  <c r="CO64" i="1"/>
  <c r="CN64" i="1"/>
  <c r="CM64" i="1"/>
  <c r="CL64" i="1"/>
  <c r="CK64" i="1"/>
  <c r="BZ64" i="1"/>
  <c r="BO64" i="1"/>
  <c r="BC64" i="1"/>
  <c r="BB64" i="1"/>
  <c r="BA64" i="1"/>
  <c r="AZ64" i="1"/>
  <c r="AY64" i="1"/>
  <c r="AX64" i="1"/>
  <c r="AW64" i="1"/>
  <c r="AV64" i="1"/>
  <c r="AU64" i="1"/>
  <c r="AT64" i="1"/>
  <c r="AS64" i="1"/>
  <c r="AH64" i="1"/>
  <c r="W64" i="1"/>
  <c r="L64" i="1"/>
  <c r="IT62" i="1"/>
  <c r="IO62" i="1"/>
  <c r="II62" i="1"/>
  <c r="IH62" i="1"/>
  <c r="IG62" i="1"/>
  <c r="IF62" i="1"/>
  <c r="IE62" i="1"/>
  <c r="HZ62" i="1"/>
  <c r="HU62" i="1"/>
  <c r="HO62" i="1"/>
  <c r="HN62" i="1"/>
  <c r="HM62" i="1"/>
  <c r="HL62" i="1"/>
  <c r="HK62" i="1"/>
  <c r="HF62" i="1"/>
  <c r="HA62" i="1"/>
  <c r="GV62" i="1"/>
  <c r="GE62" i="1"/>
  <c r="GD62" i="1"/>
  <c r="GC62" i="1"/>
  <c r="GB62" i="1"/>
  <c r="GA62" i="1"/>
  <c r="FZ62" i="1"/>
  <c r="FY62" i="1"/>
  <c r="FX62" i="1"/>
  <c r="FW62" i="1"/>
  <c r="FV62" i="1"/>
  <c r="FU62" i="1"/>
  <c r="FJ62" i="1"/>
  <c r="EY62" i="1"/>
  <c r="EM62" i="1"/>
  <c r="EL62" i="1"/>
  <c r="EK62" i="1"/>
  <c r="EJ62" i="1"/>
  <c r="EI62" i="1"/>
  <c r="EH62" i="1"/>
  <c r="EG62" i="1"/>
  <c r="EF62" i="1"/>
  <c r="EE62" i="1"/>
  <c r="ED62" i="1"/>
  <c r="DR62" i="1"/>
  <c r="DG62" i="1"/>
  <c r="CU62" i="1"/>
  <c r="CT62" i="1"/>
  <c r="CS62" i="1"/>
  <c r="CR62" i="1"/>
  <c r="CQ62" i="1"/>
  <c r="CP62" i="1"/>
  <c r="CO62" i="1"/>
  <c r="CN62" i="1"/>
  <c r="CM62" i="1"/>
  <c r="CL62" i="1"/>
  <c r="CK62" i="1"/>
  <c r="BZ62" i="1"/>
  <c r="BO62" i="1"/>
  <c r="BC62" i="1"/>
  <c r="BB62" i="1"/>
  <c r="BA62" i="1"/>
  <c r="AZ62" i="1"/>
  <c r="AY62" i="1"/>
  <c r="AX62" i="1"/>
  <c r="AW62" i="1"/>
  <c r="AV62" i="1"/>
  <c r="AU62" i="1"/>
  <c r="AT62" i="1"/>
  <c r="AS62" i="1"/>
  <c r="AH62" i="1"/>
  <c r="W62" i="1"/>
  <c r="L62" i="1"/>
  <c r="IT61" i="1"/>
  <c r="IO61" i="1"/>
  <c r="IO59" i="1" s="1"/>
  <c r="II61" i="1"/>
  <c r="IH61" i="1"/>
  <c r="IG61" i="1"/>
  <c r="IF61" i="1"/>
  <c r="IE61" i="1"/>
  <c r="HZ61" i="1"/>
  <c r="HU61" i="1"/>
  <c r="HO61" i="1"/>
  <c r="HO59" i="1" s="1"/>
  <c r="HN61" i="1"/>
  <c r="HM61" i="1"/>
  <c r="HL61" i="1"/>
  <c r="HK61" i="1"/>
  <c r="HF61" i="1"/>
  <c r="HA61" i="1"/>
  <c r="GV61" i="1"/>
  <c r="GE61" i="1"/>
  <c r="GD61" i="1"/>
  <c r="GC61" i="1"/>
  <c r="GB61" i="1"/>
  <c r="GA61" i="1"/>
  <c r="FZ61" i="1"/>
  <c r="FY61" i="1"/>
  <c r="FX61" i="1"/>
  <c r="FW61" i="1"/>
  <c r="FV61" i="1"/>
  <c r="FU61" i="1"/>
  <c r="FJ61" i="1"/>
  <c r="EY61" i="1"/>
  <c r="EM61" i="1"/>
  <c r="EL61" i="1"/>
  <c r="EK61" i="1"/>
  <c r="EJ61" i="1"/>
  <c r="EI61" i="1"/>
  <c r="EH61" i="1"/>
  <c r="EG61" i="1"/>
  <c r="EF61" i="1"/>
  <c r="EE61" i="1"/>
  <c r="ED61" i="1"/>
  <c r="DR61" i="1"/>
  <c r="DG61" i="1"/>
  <c r="CU61" i="1"/>
  <c r="CT61" i="1"/>
  <c r="CS61" i="1"/>
  <c r="CR61" i="1"/>
  <c r="CQ61" i="1"/>
  <c r="CP61" i="1"/>
  <c r="CO61" i="1"/>
  <c r="CN61" i="1"/>
  <c r="CM61" i="1"/>
  <c r="CL61" i="1"/>
  <c r="CK61" i="1"/>
  <c r="BZ61" i="1"/>
  <c r="BO61" i="1"/>
  <c r="BC61" i="1"/>
  <c r="BB61" i="1"/>
  <c r="BA61" i="1"/>
  <c r="AZ61" i="1"/>
  <c r="AY61" i="1"/>
  <c r="AX61" i="1"/>
  <c r="AW61" i="1"/>
  <c r="AV61" i="1"/>
  <c r="AU61" i="1"/>
  <c r="AT61" i="1"/>
  <c r="AS61" i="1"/>
  <c r="AH61" i="1"/>
  <c r="W61" i="1"/>
  <c r="L61" i="1"/>
  <c r="IT60" i="1"/>
  <c r="IT59" i="1" s="1"/>
  <c r="IO60" i="1"/>
  <c r="II60" i="1"/>
  <c r="II59" i="1" s="1"/>
  <c r="IH60" i="1"/>
  <c r="IG60" i="1"/>
  <c r="IG59" i="1" s="1"/>
  <c r="IF60" i="1"/>
  <c r="IE60" i="1"/>
  <c r="IE59" i="1" s="1"/>
  <c r="HZ60" i="1"/>
  <c r="HU60" i="1"/>
  <c r="HU59" i="1" s="1"/>
  <c r="HO60" i="1"/>
  <c r="HN60" i="1"/>
  <c r="HM60" i="1"/>
  <c r="HL60" i="1"/>
  <c r="HK60" i="1"/>
  <c r="HF60" i="1"/>
  <c r="HF59" i="1" s="1"/>
  <c r="HA60" i="1"/>
  <c r="GV60" i="1"/>
  <c r="GV59" i="1" s="1"/>
  <c r="GE60" i="1"/>
  <c r="GD60" i="1"/>
  <c r="GC60" i="1"/>
  <c r="GB60" i="1"/>
  <c r="GA60" i="1"/>
  <c r="FZ60" i="1"/>
  <c r="FY60" i="1"/>
  <c r="FX60" i="1"/>
  <c r="FW60" i="1"/>
  <c r="FV60" i="1"/>
  <c r="FU60" i="1"/>
  <c r="FJ60" i="1"/>
  <c r="EY60" i="1"/>
  <c r="EM60" i="1"/>
  <c r="EL60" i="1"/>
  <c r="EK60" i="1"/>
  <c r="EJ60" i="1"/>
  <c r="EI60" i="1"/>
  <c r="EH60" i="1"/>
  <c r="EG60" i="1"/>
  <c r="EF60" i="1"/>
  <c r="EE60" i="1"/>
  <c r="ED60" i="1"/>
  <c r="DR60" i="1"/>
  <c r="DG60" i="1"/>
  <c r="CU60" i="1"/>
  <c r="CT60" i="1"/>
  <c r="CS60" i="1"/>
  <c r="CR60" i="1"/>
  <c r="CQ60" i="1"/>
  <c r="CP60" i="1"/>
  <c r="CO60" i="1"/>
  <c r="CN60" i="1"/>
  <c r="CM60" i="1"/>
  <c r="CL60" i="1"/>
  <c r="CK60" i="1"/>
  <c r="BZ60" i="1"/>
  <c r="BO60" i="1"/>
  <c r="BC60" i="1"/>
  <c r="BB60" i="1"/>
  <c r="BA60" i="1"/>
  <c r="AZ60" i="1"/>
  <c r="AY60" i="1"/>
  <c r="AX60" i="1"/>
  <c r="AW60" i="1"/>
  <c r="AV60" i="1"/>
  <c r="AU60" i="1"/>
  <c r="AT60" i="1"/>
  <c r="AS60" i="1"/>
  <c r="AH60" i="1"/>
  <c r="W60" i="1"/>
  <c r="L60" i="1"/>
  <c r="IV59" i="1"/>
  <c r="IU59" i="1"/>
  <c r="IS59" i="1"/>
  <c r="IR59" i="1"/>
  <c r="IQ59" i="1"/>
  <c r="IP59" i="1"/>
  <c r="IN59" i="1"/>
  <c r="IM59" i="1"/>
  <c r="IL59" i="1"/>
  <c r="IK59" i="1"/>
  <c r="IF59" i="1"/>
  <c r="ID59" i="1"/>
  <c r="IC59" i="1"/>
  <c r="IB59" i="1"/>
  <c r="IA59" i="1"/>
  <c r="HY59" i="1"/>
  <c r="HX59" i="1"/>
  <c r="HW59" i="1"/>
  <c r="HV59" i="1"/>
  <c r="HT59" i="1"/>
  <c r="HS59" i="1"/>
  <c r="HR59" i="1"/>
  <c r="HQ59" i="1"/>
  <c r="HN59" i="1"/>
  <c r="HK59" i="1"/>
  <c r="HJ59" i="1"/>
  <c r="HI59" i="1"/>
  <c r="HH59" i="1"/>
  <c r="HG59" i="1"/>
  <c r="HE59" i="1"/>
  <c r="HD59" i="1"/>
  <c r="HC59" i="1"/>
  <c r="HB59" i="1"/>
  <c r="HA59" i="1"/>
  <c r="GZ59" i="1"/>
  <c r="GY59" i="1"/>
  <c r="GX59" i="1"/>
  <c r="GW59" i="1"/>
  <c r="GU59" i="1"/>
  <c r="GT59" i="1"/>
  <c r="GS59" i="1"/>
  <c r="GR59" i="1"/>
  <c r="GE59" i="1"/>
  <c r="GD59" i="1"/>
  <c r="GC59" i="1"/>
  <c r="GB59" i="1"/>
  <c r="GA59" i="1"/>
  <c r="FZ59" i="1"/>
  <c r="FY59" i="1"/>
  <c r="FX59" i="1"/>
  <c r="FW59" i="1"/>
  <c r="FV59" i="1"/>
  <c r="FU59" i="1"/>
  <c r="FJ59" i="1"/>
  <c r="EY59" i="1"/>
  <c r="EM59" i="1"/>
  <c r="EL59" i="1"/>
  <c r="EK59" i="1"/>
  <c r="EJ59" i="1"/>
  <c r="EI59" i="1"/>
  <c r="EH59" i="1"/>
  <c r="EG59" i="1"/>
  <c r="EF59" i="1"/>
  <c r="EE59" i="1"/>
  <c r="ED59" i="1"/>
  <c r="DR59" i="1"/>
  <c r="DG59" i="1"/>
  <c r="CU59" i="1"/>
  <c r="CT59" i="1"/>
  <c r="CS59" i="1"/>
  <c r="CR59" i="1"/>
  <c r="CQ59" i="1"/>
  <c r="CP59" i="1"/>
  <c r="CO59" i="1"/>
  <c r="CN59" i="1"/>
  <c r="CM59" i="1"/>
  <c r="CL59" i="1"/>
  <c r="CK59" i="1"/>
  <c r="BZ59" i="1"/>
  <c r="BO59" i="1"/>
  <c r="BC59" i="1"/>
  <c r="BB59" i="1"/>
  <c r="BA59" i="1"/>
  <c r="AZ59" i="1"/>
  <c r="AY59" i="1"/>
  <c r="AX59" i="1"/>
  <c r="AW59" i="1"/>
  <c r="AV59" i="1"/>
  <c r="AU59" i="1"/>
  <c r="AT59" i="1"/>
  <c r="AS59" i="1"/>
  <c r="AH59" i="1"/>
  <c r="W59" i="1"/>
  <c r="L59" i="1"/>
  <c r="IT58" i="1"/>
  <c r="IO58" i="1"/>
  <c r="II58" i="1"/>
  <c r="IH58" i="1"/>
  <c r="IG58" i="1"/>
  <c r="IF58" i="1"/>
  <c r="IE58" i="1"/>
  <c r="HZ58" i="1"/>
  <c r="HU58" i="1"/>
  <c r="HO58" i="1"/>
  <c r="HN58" i="1"/>
  <c r="HM58" i="1"/>
  <c r="HL58" i="1"/>
  <c r="HK58" i="1"/>
  <c r="HF58" i="1"/>
  <c r="HA58" i="1"/>
  <c r="GV58" i="1"/>
  <c r="GE58" i="1"/>
  <c r="GD58" i="1"/>
  <c r="GC58" i="1"/>
  <c r="GB58" i="1"/>
  <c r="GA58" i="1"/>
  <c r="FZ58" i="1"/>
  <c r="FY58" i="1"/>
  <c r="FX58" i="1"/>
  <c r="FW58" i="1"/>
  <c r="FV58" i="1"/>
  <c r="FU58" i="1"/>
  <c r="FJ58" i="1"/>
  <c r="EY58" i="1"/>
  <c r="EM58" i="1"/>
  <c r="EL58" i="1"/>
  <c r="EK58" i="1"/>
  <c r="EJ58" i="1"/>
  <c r="EI58" i="1"/>
  <c r="EH58" i="1"/>
  <c r="EG58" i="1"/>
  <c r="EF58" i="1"/>
  <c r="EE58" i="1"/>
  <c r="ED58" i="1"/>
  <c r="DR58" i="1"/>
  <c r="DG58" i="1"/>
  <c r="CU58" i="1"/>
  <c r="CT58" i="1"/>
  <c r="CS58" i="1"/>
  <c r="CR58" i="1"/>
  <c r="CQ58" i="1"/>
  <c r="CP58" i="1"/>
  <c r="CO58" i="1"/>
  <c r="CN58" i="1"/>
  <c r="CM58" i="1"/>
  <c r="CL58" i="1"/>
  <c r="CK58" i="1"/>
  <c r="BZ58" i="1"/>
  <c r="BO58" i="1"/>
  <c r="BC58" i="1"/>
  <c r="BB58" i="1"/>
  <c r="BA58" i="1"/>
  <c r="AZ58" i="1"/>
  <c r="AY58" i="1"/>
  <c r="AX58" i="1"/>
  <c r="AW58" i="1"/>
  <c r="AV58" i="1"/>
  <c r="AU58" i="1"/>
  <c r="AT58" i="1"/>
  <c r="AS58" i="1"/>
  <c r="AH58" i="1"/>
  <c r="W58" i="1"/>
  <c r="L58" i="1"/>
  <c r="IT57" i="1"/>
  <c r="IO57" i="1"/>
  <c r="II57" i="1"/>
  <c r="II56" i="1" s="1"/>
  <c r="II54" i="1" s="1"/>
  <c r="IH57" i="1"/>
  <c r="IG57" i="1"/>
  <c r="IF57" i="1"/>
  <c r="IE57" i="1"/>
  <c r="IE56" i="1" s="1"/>
  <c r="IE54" i="1" s="1"/>
  <c r="HZ57" i="1"/>
  <c r="HU57" i="1"/>
  <c r="HO57" i="1"/>
  <c r="HN57" i="1"/>
  <c r="HN56" i="1" s="1"/>
  <c r="HN54" i="1" s="1"/>
  <c r="HM57" i="1"/>
  <c r="HL57" i="1"/>
  <c r="HK57" i="1"/>
  <c r="HF57" i="1"/>
  <c r="HA57" i="1"/>
  <c r="GV57" i="1"/>
  <c r="GE57" i="1"/>
  <c r="GD57" i="1"/>
  <c r="GC57" i="1"/>
  <c r="GB57" i="1"/>
  <c r="GA57" i="1"/>
  <c r="FZ57" i="1"/>
  <c r="FY57" i="1"/>
  <c r="FX57" i="1"/>
  <c r="FW57" i="1"/>
  <c r="FV57" i="1"/>
  <c r="FU57" i="1"/>
  <c r="FJ57" i="1"/>
  <c r="EY57" i="1"/>
  <c r="EM57" i="1"/>
  <c r="EL57" i="1"/>
  <c r="EK57" i="1"/>
  <c r="EJ57" i="1"/>
  <c r="EI57" i="1"/>
  <c r="EH57" i="1"/>
  <c r="EG57" i="1"/>
  <c r="EF57" i="1"/>
  <c r="EE57" i="1"/>
  <c r="ED57" i="1"/>
  <c r="DR57" i="1"/>
  <c r="DG57" i="1"/>
  <c r="CU57" i="1"/>
  <c r="CT57" i="1"/>
  <c r="CS57" i="1"/>
  <c r="CR57" i="1"/>
  <c r="CQ57" i="1"/>
  <c r="CP57" i="1"/>
  <c r="CO57" i="1"/>
  <c r="CN57" i="1"/>
  <c r="CM57" i="1"/>
  <c r="CL57" i="1"/>
  <c r="CK57" i="1"/>
  <c r="BZ57" i="1"/>
  <c r="BO57" i="1"/>
  <c r="BC57" i="1"/>
  <c r="BB57" i="1"/>
  <c r="BA57" i="1"/>
  <c r="AZ57" i="1"/>
  <c r="AY57" i="1"/>
  <c r="AX57" i="1"/>
  <c r="AW57" i="1"/>
  <c r="AV57" i="1"/>
  <c r="AU57" i="1"/>
  <c r="AT57" i="1"/>
  <c r="AS57" i="1"/>
  <c r="AH57" i="1"/>
  <c r="W57" i="1"/>
  <c r="L57" i="1"/>
  <c r="IV56" i="1"/>
  <c r="IU56" i="1"/>
  <c r="IT56" i="1"/>
  <c r="IT54" i="1" s="1"/>
  <c r="IS56" i="1"/>
  <c r="IS54" i="1" s="1"/>
  <c r="IR56" i="1"/>
  <c r="IQ56" i="1"/>
  <c r="IP56" i="1"/>
  <c r="IP54" i="1" s="1"/>
  <c r="IO56" i="1"/>
  <c r="IN56" i="1"/>
  <c r="IM56" i="1"/>
  <c r="IL56" i="1"/>
  <c r="IL54" i="1" s="1"/>
  <c r="IK56" i="1"/>
  <c r="IK54" i="1" s="1"/>
  <c r="IG56" i="1"/>
  <c r="IG54" i="1" s="1"/>
  <c r="IF56" i="1"/>
  <c r="IF54" i="1" s="1"/>
  <c r="ID56" i="1"/>
  <c r="IC56" i="1"/>
  <c r="IC54" i="1" s="1"/>
  <c r="IB56" i="1"/>
  <c r="IB54" i="1" s="1"/>
  <c r="IA56" i="1"/>
  <c r="HY56" i="1"/>
  <c r="HY54" i="1" s="1"/>
  <c r="HX56" i="1"/>
  <c r="HX54" i="1" s="1"/>
  <c r="HW56" i="1"/>
  <c r="HV56" i="1"/>
  <c r="HU56" i="1"/>
  <c r="HU54" i="1" s="1"/>
  <c r="HT56" i="1"/>
  <c r="HT54" i="1" s="1"/>
  <c r="HS56" i="1"/>
  <c r="HR56" i="1"/>
  <c r="HQ56" i="1"/>
  <c r="HQ54" i="1" s="1"/>
  <c r="HO56" i="1"/>
  <c r="HL56" i="1"/>
  <c r="HK56" i="1"/>
  <c r="HK54" i="1" s="1"/>
  <c r="HJ56" i="1"/>
  <c r="HI56" i="1"/>
  <c r="HH56" i="1"/>
  <c r="HH54" i="1" s="1"/>
  <c r="HG56" i="1"/>
  <c r="HG54" i="1" s="1"/>
  <c r="HF56" i="1"/>
  <c r="HE56" i="1"/>
  <c r="HD56" i="1"/>
  <c r="HD54" i="1" s="1"/>
  <c r="HC56" i="1"/>
  <c r="HC54" i="1" s="1"/>
  <c r="HB56" i="1"/>
  <c r="GZ56" i="1"/>
  <c r="GZ54" i="1" s="1"/>
  <c r="GY56" i="1"/>
  <c r="GY54" i="1" s="1"/>
  <c r="GX56" i="1"/>
  <c r="GW56" i="1"/>
  <c r="GV56" i="1"/>
  <c r="GV54" i="1" s="1"/>
  <c r="GU56" i="1"/>
  <c r="GU54" i="1" s="1"/>
  <c r="GT56" i="1"/>
  <c r="GS56" i="1"/>
  <c r="GR56" i="1"/>
  <c r="GR54" i="1" s="1"/>
  <c r="GE56" i="1"/>
  <c r="GE54" i="1" s="1"/>
  <c r="GD56" i="1"/>
  <c r="GC56" i="1"/>
  <c r="GB56" i="1"/>
  <c r="GB54" i="1" s="1"/>
  <c r="GA56" i="1"/>
  <c r="GA54" i="1" s="1"/>
  <c r="FZ56" i="1"/>
  <c r="FY56" i="1"/>
  <c r="FX56" i="1"/>
  <c r="FX54" i="1" s="1"/>
  <c r="FW56" i="1"/>
  <c r="FV56" i="1"/>
  <c r="FU56" i="1"/>
  <c r="FJ56" i="1"/>
  <c r="FJ54" i="1" s="1"/>
  <c r="EY56" i="1"/>
  <c r="EM56" i="1"/>
  <c r="EL56" i="1"/>
  <c r="EK56" i="1"/>
  <c r="EJ56" i="1"/>
  <c r="EI56" i="1"/>
  <c r="EH56" i="1"/>
  <c r="EG56" i="1"/>
  <c r="EF56" i="1"/>
  <c r="EE56" i="1"/>
  <c r="ED56" i="1"/>
  <c r="DR56" i="1"/>
  <c r="DR54" i="1" s="1"/>
  <c r="DG56" i="1"/>
  <c r="DG54" i="1" s="1"/>
  <c r="CU56" i="1"/>
  <c r="CT56" i="1"/>
  <c r="CS56" i="1"/>
  <c r="CS54" i="1" s="1"/>
  <c r="CR56" i="1"/>
  <c r="CQ56" i="1"/>
  <c r="CP56" i="1"/>
  <c r="CO56" i="1"/>
  <c r="CO54" i="1" s="1"/>
  <c r="CN56" i="1"/>
  <c r="CM56" i="1"/>
  <c r="CL56" i="1"/>
  <c r="CK56" i="1"/>
  <c r="CK54" i="1" s="1"/>
  <c r="BZ56" i="1"/>
  <c r="BO56" i="1"/>
  <c r="BC56" i="1"/>
  <c r="BB56" i="1"/>
  <c r="GO56" i="1" s="1"/>
  <c r="BA56" i="1"/>
  <c r="AZ56" i="1"/>
  <c r="AY56" i="1"/>
  <c r="AX56" i="1"/>
  <c r="GK56" i="1" s="1"/>
  <c r="AW56" i="1"/>
  <c r="AV56" i="1"/>
  <c r="AU56" i="1"/>
  <c r="AT56" i="1"/>
  <c r="GG56" i="1" s="1"/>
  <c r="AS56" i="1"/>
  <c r="AH56" i="1"/>
  <c r="W56" i="1"/>
  <c r="L56" i="1"/>
  <c r="L54" i="1" s="1"/>
  <c r="IT55" i="1"/>
  <c r="IO55" i="1"/>
  <c r="II55" i="1"/>
  <c r="IH55" i="1"/>
  <c r="IG55" i="1"/>
  <c r="IF55" i="1"/>
  <c r="IE55" i="1"/>
  <c r="HZ55" i="1"/>
  <c r="HU55" i="1"/>
  <c r="HO55" i="1"/>
  <c r="HN55" i="1"/>
  <c r="HM55" i="1"/>
  <c r="HL55" i="1"/>
  <c r="HK55" i="1"/>
  <c r="HF55" i="1"/>
  <c r="HA55" i="1"/>
  <c r="GV55" i="1"/>
  <c r="GP55" i="1"/>
  <c r="GO55" i="1"/>
  <c r="GN55" i="1"/>
  <c r="GM55" i="1"/>
  <c r="GL55" i="1"/>
  <c r="GK55" i="1"/>
  <c r="GJ55" i="1"/>
  <c r="GI55" i="1"/>
  <c r="GH55" i="1"/>
  <c r="GG55" i="1"/>
  <c r="IV54" i="1"/>
  <c r="IU54" i="1"/>
  <c r="IR54" i="1"/>
  <c r="IQ54" i="1"/>
  <c r="IN54" i="1"/>
  <c r="IM54" i="1"/>
  <c r="ID54" i="1"/>
  <c r="IA54" i="1"/>
  <c r="HW54" i="1"/>
  <c r="HV54" i="1"/>
  <c r="HS54" i="1"/>
  <c r="HR54" i="1"/>
  <c r="HJ54" i="1"/>
  <c r="HI54" i="1"/>
  <c r="HE54" i="1"/>
  <c r="HB54" i="1"/>
  <c r="GX54" i="1"/>
  <c r="GW54" i="1"/>
  <c r="GT54" i="1"/>
  <c r="GS54" i="1"/>
  <c r="GD54" i="1"/>
  <c r="GC54" i="1"/>
  <c r="FZ54" i="1"/>
  <c r="FY54" i="1"/>
  <c r="FU54" i="1"/>
  <c r="FT54" i="1"/>
  <c r="FS54" i="1"/>
  <c r="FR54" i="1"/>
  <c r="FQ54" i="1"/>
  <c r="FP54" i="1"/>
  <c r="FO54" i="1"/>
  <c r="FN54" i="1"/>
  <c r="FM54" i="1"/>
  <c r="FL54" i="1"/>
  <c r="FI54" i="1"/>
  <c r="FH54" i="1"/>
  <c r="FG54" i="1"/>
  <c r="FF54" i="1"/>
  <c r="FE54" i="1"/>
  <c r="FD54" i="1"/>
  <c r="FC54" i="1"/>
  <c r="FB54" i="1"/>
  <c r="FA54" i="1"/>
  <c r="EY54" i="1"/>
  <c r="EX54" i="1"/>
  <c r="EW54" i="1"/>
  <c r="EV54" i="1"/>
  <c r="EU54" i="1"/>
  <c r="ET54" i="1"/>
  <c r="ES54" i="1"/>
  <c r="ER54" i="1"/>
  <c r="EQ54" i="1"/>
  <c r="EP54" i="1"/>
  <c r="EM54" i="1"/>
  <c r="EK54" i="1"/>
  <c r="EJ54" i="1"/>
  <c r="EI54" i="1"/>
  <c r="EG54" i="1"/>
  <c r="EF54" i="1"/>
  <c r="EE54" i="1"/>
  <c r="EC54" i="1"/>
  <c r="EB54" i="1"/>
  <c r="EA54" i="1"/>
  <c r="DZ54" i="1"/>
  <c r="DY54" i="1"/>
  <c r="DX54" i="1"/>
  <c r="DW54" i="1"/>
  <c r="DV54" i="1"/>
  <c r="DU54" i="1"/>
  <c r="DT54" i="1"/>
  <c r="DQ54" i="1"/>
  <c r="DP54" i="1"/>
  <c r="DO54" i="1"/>
  <c r="DN54" i="1"/>
  <c r="DM54" i="1"/>
  <c r="DL54" i="1"/>
  <c r="DK54" i="1"/>
  <c r="DJ54" i="1"/>
  <c r="DI54" i="1"/>
  <c r="DF54" i="1"/>
  <c r="DE54" i="1"/>
  <c r="DD54" i="1"/>
  <c r="DC54" i="1"/>
  <c r="DB54" i="1"/>
  <c r="DA54" i="1"/>
  <c r="CZ54" i="1"/>
  <c r="CY54" i="1"/>
  <c r="CX54" i="1"/>
  <c r="CU54" i="1"/>
  <c r="CR54" i="1"/>
  <c r="CQ54" i="1"/>
  <c r="CN54" i="1"/>
  <c r="CM54" i="1"/>
  <c r="CJ54" i="1"/>
  <c r="CI54" i="1"/>
  <c r="CH54" i="1"/>
  <c r="CG54" i="1"/>
  <c r="CF54" i="1"/>
  <c r="CE54" i="1"/>
  <c r="CD54" i="1"/>
  <c r="CC54" i="1"/>
  <c r="CB54" i="1"/>
  <c r="BZ54" i="1"/>
  <c r="BY54" i="1"/>
  <c r="BX54" i="1"/>
  <c r="BW54" i="1"/>
  <c r="BV54" i="1"/>
  <c r="BU54" i="1"/>
  <c r="BT54" i="1"/>
  <c r="BS54" i="1"/>
  <c r="BR54" i="1"/>
  <c r="BQ54" i="1"/>
  <c r="BO54" i="1"/>
  <c r="BN54" i="1"/>
  <c r="BM54" i="1"/>
  <c r="BL54" i="1"/>
  <c r="BK54" i="1"/>
  <c r="BJ54" i="1"/>
  <c r="BI54" i="1"/>
  <c r="BH54" i="1"/>
  <c r="BG54" i="1"/>
  <c r="BF54" i="1"/>
  <c r="BC54" i="1"/>
  <c r="AY54" i="1"/>
  <c r="AU54" i="1"/>
  <c r="AS54" i="1"/>
  <c r="AR54" i="1"/>
  <c r="AQ54" i="1"/>
  <c r="AP54" i="1"/>
  <c r="AO54" i="1"/>
  <c r="AN54" i="1"/>
  <c r="AM54" i="1"/>
  <c r="AL54" i="1"/>
  <c r="AK54" i="1"/>
  <c r="AJ54" i="1"/>
  <c r="AG54" i="1"/>
  <c r="AF54" i="1"/>
  <c r="AE54" i="1"/>
  <c r="AD54" i="1"/>
  <c r="AC54" i="1"/>
  <c r="AB54" i="1"/>
  <c r="AA54" i="1"/>
  <c r="Z54" i="1"/>
  <c r="Y54" i="1"/>
  <c r="W54" i="1"/>
  <c r="V54" i="1"/>
  <c r="U54" i="1"/>
  <c r="T54" i="1"/>
  <c r="S54" i="1"/>
  <c r="R54" i="1"/>
  <c r="Q54" i="1"/>
  <c r="P54" i="1"/>
  <c r="O54" i="1"/>
  <c r="N54" i="1"/>
  <c r="K54" i="1"/>
  <c r="J54" i="1"/>
  <c r="I54" i="1"/>
  <c r="H54" i="1"/>
  <c r="G54" i="1"/>
  <c r="F54" i="1"/>
  <c r="E54" i="1"/>
  <c r="D54" i="1"/>
  <c r="C54" i="1"/>
  <c r="IT53" i="1"/>
  <c r="IO53" i="1"/>
  <c r="II53" i="1"/>
  <c r="IH53" i="1"/>
  <c r="IG53" i="1"/>
  <c r="IF53" i="1"/>
  <c r="IE53" i="1"/>
  <c r="HZ53" i="1"/>
  <c r="HU53" i="1"/>
  <c r="HO53" i="1"/>
  <c r="HN53" i="1"/>
  <c r="HM53" i="1"/>
  <c r="HL53" i="1"/>
  <c r="HK53" i="1"/>
  <c r="HF53" i="1"/>
  <c r="HA53" i="1"/>
  <c r="GV53" i="1"/>
  <c r="GE53" i="1"/>
  <c r="GD53" i="1"/>
  <c r="GC53" i="1"/>
  <c r="GB53" i="1"/>
  <c r="GA53" i="1"/>
  <c r="FZ53" i="1"/>
  <c r="FY53" i="1"/>
  <c r="FX53" i="1"/>
  <c r="FW53" i="1"/>
  <c r="FV53" i="1"/>
  <c r="FU53" i="1"/>
  <c r="FJ53" i="1"/>
  <c r="EY53" i="1"/>
  <c r="EM53" i="1"/>
  <c r="EL53" i="1"/>
  <c r="EK53" i="1"/>
  <c r="EJ53" i="1"/>
  <c r="EI53" i="1"/>
  <c r="EH53" i="1"/>
  <c r="EG53" i="1"/>
  <c r="EF53" i="1"/>
  <c r="EE53" i="1"/>
  <c r="ED53" i="1"/>
  <c r="DR53" i="1"/>
  <c r="DG53" i="1"/>
  <c r="CU53" i="1"/>
  <c r="CT53" i="1"/>
  <c r="CS53" i="1"/>
  <c r="CR53" i="1"/>
  <c r="CQ53" i="1"/>
  <c r="CP53" i="1"/>
  <c r="CO53" i="1"/>
  <c r="CN53" i="1"/>
  <c r="CM53" i="1"/>
  <c r="CL53" i="1"/>
  <c r="CK53" i="1"/>
  <c r="BZ53" i="1"/>
  <c r="BO53" i="1"/>
  <c r="BC53" i="1"/>
  <c r="BB53" i="1"/>
  <c r="BA53" i="1"/>
  <c r="AZ53" i="1"/>
  <c r="AY53" i="1"/>
  <c r="GL53" i="1" s="1"/>
  <c r="AX53" i="1"/>
  <c r="AW53" i="1"/>
  <c r="AV53" i="1"/>
  <c r="AU53" i="1"/>
  <c r="GH53" i="1" s="1"/>
  <c r="AT53" i="1"/>
  <c r="AS53" i="1"/>
  <c r="AH53" i="1"/>
  <c r="W53" i="1"/>
  <c r="L53" i="1"/>
  <c r="IT52" i="1"/>
  <c r="IO52" i="1"/>
  <c r="II52" i="1"/>
  <c r="II51" i="1" s="1"/>
  <c r="IH52" i="1"/>
  <c r="IG52" i="1"/>
  <c r="IF52" i="1"/>
  <c r="IE52" i="1"/>
  <c r="IE51" i="1" s="1"/>
  <c r="HZ52" i="1"/>
  <c r="HU52" i="1"/>
  <c r="HO52" i="1"/>
  <c r="HN52" i="1"/>
  <c r="HN51" i="1" s="1"/>
  <c r="HM52" i="1"/>
  <c r="HL52" i="1"/>
  <c r="HK52" i="1"/>
  <c r="HF52" i="1"/>
  <c r="HF51" i="1" s="1"/>
  <c r="HA52" i="1"/>
  <c r="GV52" i="1"/>
  <c r="GE52" i="1"/>
  <c r="GD52" i="1"/>
  <c r="GD51" i="1" s="1"/>
  <c r="GC52" i="1"/>
  <c r="GB52" i="1"/>
  <c r="GA52" i="1"/>
  <c r="FZ52" i="1"/>
  <c r="FZ51" i="1" s="1"/>
  <c r="FY52" i="1"/>
  <c r="FX52" i="1"/>
  <c r="FW52" i="1"/>
  <c r="FV52" i="1"/>
  <c r="FU52" i="1"/>
  <c r="FU51" i="1" s="1"/>
  <c r="FJ52" i="1"/>
  <c r="EY52" i="1"/>
  <c r="EM52" i="1"/>
  <c r="EM51" i="1" s="1"/>
  <c r="EL52" i="1"/>
  <c r="EL51" i="1" s="1"/>
  <c r="EK52" i="1"/>
  <c r="EK51" i="1" s="1"/>
  <c r="EJ52" i="1"/>
  <c r="EI52" i="1"/>
  <c r="EI51" i="1" s="1"/>
  <c r="EH52" i="1"/>
  <c r="EH51" i="1" s="1"/>
  <c r="EG52" i="1"/>
  <c r="EG51" i="1" s="1"/>
  <c r="EF52" i="1"/>
  <c r="EE52" i="1"/>
  <c r="ED52" i="1"/>
  <c r="DR52" i="1"/>
  <c r="DG52" i="1"/>
  <c r="CU52" i="1"/>
  <c r="CT52" i="1"/>
  <c r="CS52" i="1"/>
  <c r="CR52" i="1"/>
  <c r="CQ52" i="1"/>
  <c r="CP52" i="1"/>
  <c r="CO52" i="1"/>
  <c r="CN52" i="1"/>
  <c r="CM52" i="1"/>
  <c r="CL52" i="1"/>
  <c r="CK52" i="1"/>
  <c r="BZ52" i="1"/>
  <c r="BO52" i="1"/>
  <c r="BO51" i="1" s="1"/>
  <c r="BC52" i="1"/>
  <c r="BB52" i="1"/>
  <c r="BA52" i="1"/>
  <c r="AZ52" i="1"/>
  <c r="GM52" i="1" s="1"/>
  <c r="AY52" i="1"/>
  <c r="AX52" i="1"/>
  <c r="AW52" i="1"/>
  <c r="AV52" i="1"/>
  <c r="GI52" i="1" s="1"/>
  <c r="AU52" i="1"/>
  <c r="AT52" i="1"/>
  <c r="AS52" i="1"/>
  <c r="AH52" i="1"/>
  <c r="AH51" i="1" s="1"/>
  <c r="W52" i="1"/>
  <c r="L52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H51" i="1"/>
  <c r="IG51" i="1"/>
  <c r="IF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O51" i="1"/>
  <c r="HM51" i="1"/>
  <c r="HL51" i="1"/>
  <c r="HK51" i="1"/>
  <c r="HJ51" i="1"/>
  <c r="HI51" i="1"/>
  <c r="HH51" i="1"/>
  <c r="HG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E51" i="1"/>
  <c r="GC51" i="1"/>
  <c r="GB51" i="1"/>
  <c r="GA51" i="1"/>
  <c r="FY51" i="1"/>
  <c r="FX51" i="1"/>
  <c r="FW51" i="1"/>
  <c r="FT51" i="1"/>
  <c r="FS51" i="1"/>
  <c r="FR51" i="1"/>
  <c r="FQ51" i="1"/>
  <c r="FP51" i="1"/>
  <c r="FO51" i="1"/>
  <c r="FN51" i="1"/>
  <c r="FM51" i="1"/>
  <c r="FL51" i="1"/>
  <c r="FJ51" i="1"/>
  <c r="FI51" i="1"/>
  <c r="FH51" i="1"/>
  <c r="FG51" i="1"/>
  <c r="FF51" i="1"/>
  <c r="FE51" i="1"/>
  <c r="FD51" i="1"/>
  <c r="FC51" i="1"/>
  <c r="FB51" i="1"/>
  <c r="FA51" i="1"/>
  <c r="EX51" i="1"/>
  <c r="EW51" i="1"/>
  <c r="EV51" i="1"/>
  <c r="EU51" i="1"/>
  <c r="ET51" i="1"/>
  <c r="ES51" i="1"/>
  <c r="ER51" i="1"/>
  <c r="EQ51" i="1"/>
  <c r="EP51" i="1"/>
  <c r="EJ51" i="1"/>
  <c r="EF51" i="1"/>
  <c r="EC51" i="1"/>
  <c r="EB51" i="1"/>
  <c r="EA51" i="1"/>
  <c r="DZ51" i="1"/>
  <c r="DY51" i="1"/>
  <c r="DX51" i="1"/>
  <c r="DW51" i="1"/>
  <c r="DV51" i="1"/>
  <c r="DU51" i="1"/>
  <c r="DT51" i="1"/>
  <c r="DR51" i="1"/>
  <c r="DQ51" i="1"/>
  <c r="DP51" i="1"/>
  <c r="DO51" i="1"/>
  <c r="DN51" i="1"/>
  <c r="DM51" i="1"/>
  <c r="DL51" i="1"/>
  <c r="DK51" i="1"/>
  <c r="DJ51" i="1"/>
  <c r="DI51" i="1"/>
  <c r="DG51" i="1"/>
  <c r="DF51" i="1"/>
  <c r="DE51" i="1"/>
  <c r="DD51" i="1"/>
  <c r="DC51" i="1"/>
  <c r="DB51" i="1"/>
  <c r="DA51" i="1"/>
  <c r="CZ51" i="1"/>
  <c r="CY51" i="1"/>
  <c r="CX51" i="1"/>
  <c r="CU51" i="1"/>
  <c r="CQ51" i="1"/>
  <c r="CM51" i="1"/>
  <c r="CK51" i="1"/>
  <c r="CJ51" i="1"/>
  <c r="CI51" i="1"/>
  <c r="CH51" i="1"/>
  <c r="CG51" i="1"/>
  <c r="CF51" i="1"/>
  <c r="CE51" i="1"/>
  <c r="CD51" i="1"/>
  <c r="CC51" i="1"/>
  <c r="CB51" i="1"/>
  <c r="BY51" i="1"/>
  <c r="BX51" i="1"/>
  <c r="BW51" i="1"/>
  <c r="BV51" i="1"/>
  <c r="BU51" i="1"/>
  <c r="BT51" i="1"/>
  <c r="BS51" i="1"/>
  <c r="BR51" i="1"/>
  <c r="BQ51" i="1"/>
  <c r="BN51" i="1"/>
  <c r="BM51" i="1"/>
  <c r="BL51" i="1"/>
  <c r="BK51" i="1"/>
  <c r="BJ51" i="1"/>
  <c r="BI51" i="1"/>
  <c r="BH51" i="1"/>
  <c r="BG51" i="1"/>
  <c r="BF51" i="1"/>
  <c r="BB51" i="1"/>
  <c r="BA51" i="1"/>
  <c r="AX51" i="1"/>
  <c r="AW51" i="1"/>
  <c r="AS51" i="1"/>
  <c r="AR51" i="1"/>
  <c r="AQ51" i="1"/>
  <c r="AP51" i="1"/>
  <c r="AO51" i="1"/>
  <c r="AN51" i="1"/>
  <c r="AM51" i="1"/>
  <c r="AL51" i="1"/>
  <c r="AK51" i="1"/>
  <c r="AJ51" i="1"/>
  <c r="AG51" i="1"/>
  <c r="AF51" i="1"/>
  <c r="AE51" i="1"/>
  <c r="AD51" i="1"/>
  <c r="AC51" i="1"/>
  <c r="AB51" i="1"/>
  <c r="AA51" i="1"/>
  <c r="Z51" i="1"/>
  <c r="Y51" i="1"/>
  <c r="W51" i="1"/>
  <c r="V51" i="1"/>
  <c r="U51" i="1"/>
  <c r="T51" i="1"/>
  <c r="S51" i="1"/>
  <c r="R51" i="1"/>
  <c r="Q51" i="1"/>
  <c r="P51" i="1"/>
  <c r="O51" i="1"/>
  <c r="N51" i="1"/>
  <c r="K51" i="1"/>
  <c r="J51" i="1"/>
  <c r="I51" i="1"/>
  <c r="H51" i="1"/>
  <c r="G51" i="1"/>
  <c r="F51" i="1"/>
  <c r="E51" i="1"/>
  <c r="D51" i="1"/>
  <c r="C51" i="1"/>
  <c r="IT50" i="1"/>
  <c r="IO50" i="1"/>
  <c r="II50" i="1"/>
  <c r="IH50" i="1"/>
  <c r="IG50" i="1"/>
  <c r="IF50" i="1"/>
  <c r="IE50" i="1"/>
  <c r="HZ50" i="1"/>
  <c r="HU50" i="1"/>
  <c r="HO50" i="1"/>
  <c r="HN50" i="1"/>
  <c r="HM50" i="1"/>
  <c r="HL50" i="1"/>
  <c r="HK50" i="1"/>
  <c r="HF50" i="1"/>
  <c r="HA50" i="1"/>
  <c r="GV50" i="1"/>
  <c r="GE50" i="1"/>
  <c r="GD50" i="1"/>
  <c r="GC50" i="1"/>
  <c r="GB50" i="1"/>
  <c r="GA50" i="1"/>
  <c r="FZ50" i="1"/>
  <c r="FY50" i="1"/>
  <c r="FX50" i="1"/>
  <c r="FW50" i="1"/>
  <c r="FV50" i="1"/>
  <c r="FU50" i="1"/>
  <c r="FJ50" i="1"/>
  <c r="EY50" i="1"/>
  <c r="EM50" i="1"/>
  <c r="EL50" i="1"/>
  <c r="EK50" i="1"/>
  <c r="EJ50" i="1"/>
  <c r="EI50" i="1"/>
  <c r="EH50" i="1"/>
  <c r="EG50" i="1"/>
  <c r="EF50" i="1"/>
  <c r="EE50" i="1"/>
  <c r="ED50" i="1"/>
  <c r="DR50" i="1"/>
  <c r="DG50" i="1"/>
  <c r="CU50" i="1"/>
  <c r="CT50" i="1"/>
  <c r="CS50" i="1"/>
  <c r="CR50" i="1"/>
  <c r="CQ50" i="1"/>
  <c r="CP50" i="1"/>
  <c r="CO50" i="1"/>
  <c r="CN50" i="1"/>
  <c r="CM50" i="1"/>
  <c r="CL50" i="1"/>
  <c r="CK50" i="1"/>
  <c r="BZ50" i="1"/>
  <c r="BO50" i="1"/>
  <c r="BC50" i="1"/>
  <c r="BB50" i="1"/>
  <c r="BA50" i="1"/>
  <c r="AZ50" i="1"/>
  <c r="AY50" i="1"/>
  <c r="AX50" i="1"/>
  <c r="AW50" i="1"/>
  <c r="AV50" i="1"/>
  <c r="AU50" i="1"/>
  <c r="AT50" i="1"/>
  <c r="AS50" i="1"/>
  <c r="AH50" i="1"/>
  <c r="W50" i="1"/>
  <c r="L50" i="1"/>
  <c r="IT49" i="1"/>
  <c r="IO49" i="1"/>
  <c r="II49" i="1"/>
  <c r="IH49" i="1"/>
  <c r="IG49" i="1"/>
  <c r="IF49" i="1"/>
  <c r="IE49" i="1"/>
  <c r="HZ49" i="1"/>
  <c r="HU49" i="1"/>
  <c r="HO49" i="1"/>
  <c r="HN49" i="1"/>
  <c r="HM49" i="1"/>
  <c r="HL49" i="1"/>
  <c r="HK49" i="1"/>
  <c r="HF49" i="1"/>
  <c r="HA49" i="1"/>
  <c r="GV49" i="1"/>
  <c r="GE49" i="1"/>
  <c r="GD49" i="1"/>
  <c r="GC49" i="1"/>
  <c r="GB49" i="1"/>
  <c r="GA49" i="1"/>
  <c r="FZ49" i="1"/>
  <c r="FY49" i="1"/>
  <c r="FX49" i="1"/>
  <c r="FW49" i="1"/>
  <c r="FV49" i="1"/>
  <c r="FU49" i="1"/>
  <c r="FJ49" i="1"/>
  <c r="EY49" i="1"/>
  <c r="EM49" i="1"/>
  <c r="EL49" i="1"/>
  <c r="EK49" i="1"/>
  <c r="EJ49" i="1"/>
  <c r="EI49" i="1"/>
  <c r="EH49" i="1"/>
  <c r="EG49" i="1"/>
  <c r="EF49" i="1"/>
  <c r="EE49" i="1"/>
  <c r="ED49" i="1"/>
  <c r="DR49" i="1"/>
  <c r="DG49" i="1"/>
  <c r="CU49" i="1"/>
  <c r="CT49" i="1"/>
  <c r="CS49" i="1"/>
  <c r="CR49" i="1"/>
  <c r="CQ49" i="1"/>
  <c r="CP49" i="1"/>
  <c r="CO49" i="1"/>
  <c r="CN49" i="1"/>
  <c r="CM49" i="1"/>
  <c r="CL49" i="1"/>
  <c r="CK49" i="1"/>
  <c r="BZ49" i="1"/>
  <c r="BO49" i="1"/>
  <c r="BC49" i="1"/>
  <c r="BB49" i="1"/>
  <c r="BA49" i="1"/>
  <c r="AZ49" i="1"/>
  <c r="AY49" i="1"/>
  <c r="AX49" i="1"/>
  <c r="AW49" i="1"/>
  <c r="AV49" i="1"/>
  <c r="AU49" i="1"/>
  <c r="AT49" i="1"/>
  <c r="AS49" i="1"/>
  <c r="AH49" i="1"/>
  <c r="W49" i="1"/>
  <c r="L49" i="1"/>
  <c r="IT48" i="1"/>
  <c r="IO48" i="1"/>
  <c r="II48" i="1"/>
  <c r="IH48" i="1"/>
  <c r="IG48" i="1"/>
  <c r="IF48" i="1"/>
  <c r="IE48" i="1"/>
  <c r="HZ48" i="1"/>
  <c r="HU48" i="1"/>
  <c r="HO48" i="1"/>
  <c r="HN48" i="1"/>
  <c r="HM48" i="1"/>
  <c r="HL48" i="1"/>
  <c r="HK48" i="1"/>
  <c r="HF48" i="1"/>
  <c r="HA48" i="1"/>
  <c r="GV48" i="1"/>
  <c r="GE48" i="1"/>
  <c r="GD48" i="1"/>
  <c r="GC48" i="1"/>
  <c r="GB48" i="1"/>
  <c r="GA48" i="1"/>
  <c r="FZ48" i="1"/>
  <c r="FY48" i="1"/>
  <c r="FX48" i="1"/>
  <c r="FW48" i="1"/>
  <c r="FV48" i="1"/>
  <c r="FU48" i="1"/>
  <c r="FJ48" i="1"/>
  <c r="EY48" i="1"/>
  <c r="EM48" i="1"/>
  <c r="EL48" i="1"/>
  <c r="EK48" i="1"/>
  <c r="EJ48" i="1"/>
  <c r="EI48" i="1"/>
  <c r="EH48" i="1"/>
  <c r="EG48" i="1"/>
  <c r="EF48" i="1"/>
  <c r="EE48" i="1"/>
  <c r="ED48" i="1"/>
  <c r="DR48" i="1"/>
  <c r="DG48" i="1"/>
  <c r="CU48" i="1"/>
  <c r="CT48" i="1"/>
  <c r="CS48" i="1"/>
  <c r="CR48" i="1"/>
  <c r="CQ48" i="1"/>
  <c r="CP48" i="1"/>
  <c r="CO48" i="1"/>
  <c r="CN48" i="1"/>
  <c r="CM48" i="1"/>
  <c r="CL48" i="1"/>
  <c r="CK48" i="1"/>
  <c r="BZ48" i="1"/>
  <c r="BO48" i="1"/>
  <c r="BC48" i="1"/>
  <c r="BB48" i="1"/>
  <c r="BA48" i="1"/>
  <c r="AZ48" i="1"/>
  <c r="AY48" i="1"/>
  <c r="AX48" i="1"/>
  <c r="AW48" i="1"/>
  <c r="AV48" i="1"/>
  <c r="AU48" i="1"/>
  <c r="AT48" i="1"/>
  <c r="AS48" i="1"/>
  <c r="AH48" i="1"/>
  <c r="W48" i="1"/>
  <c r="L48" i="1"/>
  <c r="IT47" i="1"/>
  <c r="IO47" i="1"/>
  <c r="II47" i="1"/>
  <c r="IH47" i="1"/>
  <c r="IG47" i="1"/>
  <c r="IF47" i="1"/>
  <c r="IE47" i="1"/>
  <c r="HZ47" i="1"/>
  <c r="HU47" i="1"/>
  <c r="HO47" i="1"/>
  <c r="HN47" i="1"/>
  <c r="HM47" i="1"/>
  <c r="HL47" i="1"/>
  <c r="HK47" i="1"/>
  <c r="HF47" i="1"/>
  <c r="HA47" i="1"/>
  <c r="GV47" i="1"/>
  <c r="GE47" i="1"/>
  <c r="GD47" i="1"/>
  <c r="GC47" i="1"/>
  <c r="GB47" i="1"/>
  <c r="GA47" i="1"/>
  <c r="FZ47" i="1"/>
  <c r="FY47" i="1"/>
  <c r="FX47" i="1"/>
  <c r="FW47" i="1"/>
  <c r="FV47" i="1"/>
  <c r="FU47" i="1"/>
  <c r="FJ47" i="1"/>
  <c r="EY47" i="1"/>
  <c r="EM47" i="1"/>
  <c r="EL47" i="1"/>
  <c r="EK47" i="1"/>
  <c r="EJ47" i="1"/>
  <c r="EI47" i="1"/>
  <c r="EH47" i="1"/>
  <c r="EG47" i="1"/>
  <c r="EF47" i="1"/>
  <c r="EE47" i="1"/>
  <c r="ED47" i="1"/>
  <c r="DR47" i="1"/>
  <c r="DG47" i="1"/>
  <c r="CU47" i="1"/>
  <c r="CT47" i="1"/>
  <c r="CS47" i="1"/>
  <c r="CR47" i="1"/>
  <c r="CQ47" i="1"/>
  <c r="CP47" i="1"/>
  <c r="CO47" i="1"/>
  <c r="CN47" i="1"/>
  <c r="CM47" i="1"/>
  <c r="CL47" i="1"/>
  <c r="CK47" i="1"/>
  <c r="BZ47" i="1"/>
  <c r="BO47" i="1"/>
  <c r="BC47" i="1"/>
  <c r="BB47" i="1"/>
  <c r="BA47" i="1"/>
  <c r="AZ47" i="1"/>
  <c r="AY47" i="1"/>
  <c r="AX47" i="1"/>
  <c r="AW47" i="1"/>
  <c r="AV47" i="1"/>
  <c r="AU47" i="1"/>
  <c r="AT47" i="1"/>
  <c r="AS47" i="1"/>
  <c r="AH47" i="1"/>
  <c r="W47" i="1"/>
  <c r="L47" i="1"/>
  <c r="IT46" i="1"/>
  <c r="IO46" i="1"/>
  <c r="II46" i="1"/>
  <c r="IH46" i="1"/>
  <c r="IG46" i="1"/>
  <c r="IF46" i="1"/>
  <c r="IE46" i="1"/>
  <c r="HZ46" i="1"/>
  <c r="HU46" i="1"/>
  <c r="HO46" i="1"/>
  <c r="HN46" i="1"/>
  <c r="HM46" i="1"/>
  <c r="HL46" i="1"/>
  <c r="HK46" i="1"/>
  <c r="HF46" i="1"/>
  <c r="HA46" i="1"/>
  <c r="GV46" i="1"/>
  <c r="GE46" i="1"/>
  <c r="GD46" i="1"/>
  <c r="GC46" i="1"/>
  <c r="GB46" i="1"/>
  <c r="GA46" i="1"/>
  <c r="FZ46" i="1"/>
  <c r="FY46" i="1"/>
  <c r="FX46" i="1"/>
  <c r="FW46" i="1"/>
  <c r="FV46" i="1"/>
  <c r="FU46" i="1"/>
  <c r="FJ46" i="1"/>
  <c r="EY46" i="1"/>
  <c r="EM46" i="1"/>
  <c r="EL46" i="1"/>
  <c r="EK46" i="1"/>
  <c r="EJ46" i="1"/>
  <c r="EI46" i="1"/>
  <c r="EH46" i="1"/>
  <c r="EG46" i="1"/>
  <c r="EF46" i="1"/>
  <c r="EE46" i="1"/>
  <c r="ED46" i="1"/>
  <c r="DR46" i="1"/>
  <c r="DG46" i="1"/>
  <c r="CU46" i="1"/>
  <c r="CT46" i="1"/>
  <c r="CS46" i="1"/>
  <c r="CR46" i="1"/>
  <c r="CQ46" i="1"/>
  <c r="CP46" i="1"/>
  <c r="CO46" i="1"/>
  <c r="CN46" i="1"/>
  <c r="CM46" i="1"/>
  <c r="CL46" i="1"/>
  <c r="CK46" i="1"/>
  <c r="BZ46" i="1"/>
  <c r="BO46" i="1"/>
  <c r="BC46" i="1"/>
  <c r="BB46" i="1"/>
  <c r="BA46" i="1"/>
  <c r="AZ46" i="1"/>
  <c r="AY46" i="1"/>
  <c r="AX46" i="1"/>
  <c r="AW46" i="1"/>
  <c r="AV46" i="1"/>
  <c r="AU46" i="1"/>
  <c r="AT46" i="1"/>
  <c r="AS46" i="1"/>
  <c r="AH46" i="1"/>
  <c r="W46" i="1"/>
  <c r="L46" i="1"/>
  <c r="IT45" i="1"/>
  <c r="IO45" i="1"/>
  <c r="II45" i="1"/>
  <c r="IH45" i="1"/>
  <c r="IG45" i="1"/>
  <c r="IF45" i="1"/>
  <c r="IE45" i="1"/>
  <c r="HZ45" i="1"/>
  <c r="HU45" i="1"/>
  <c r="HO45" i="1"/>
  <c r="HN45" i="1"/>
  <c r="HM45" i="1"/>
  <c r="HL45" i="1"/>
  <c r="HK45" i="1"/>
  <c r="HF45" i="1"/>
  <c r="HA45" i="1"/>
  <c r="GV45" i="1"/>
  <c r="GE45" i="1"/>
  <c r="GD45" i="1"/>
  <c r="GC45" i="1"/>
  <c r="GB45" i="1"/>
  <c r="GA45" i="1"/>
  <c r="FZ45" i="1"/>
  <c r="FY45" i="1"/>
  <c r="FX45" i="1"/>
  <c r="FW45" i="1"/>
  <c r="FV45" i="1"/>
  <c r="FU45" i="1"/>
  <c r="FJ45" i="1"/>
  <c r="EY45" i="1"/>
  <c r="EM45" i="1"/>
  <c r="EL45" i="1"/>
  <c r="EK45" i="1"/>
  <c r="EJ45" i="1"/>
  <c r="EI45" i="1"/>
  <c r="EH45" i="1"/>
  <c r="EG45" i="1"/>
  <c r="EF45" i="1"/>
  <c r="EE45" i="1"/>
  <c r="ED45" i="1"/>
  <c r="DR45" i="1"/>
  <c r="DG45" i="1"/>
  <c r="CU45" i="1"/>
  <c r="CT45" i="1"/>
  <c r="CS45" i="1"/>
  <c r="CR45" i="1"/>
  <c r="CQ45" i="1"/>
  <c r="CP45" i="1"/>
  <c r="CO45" i="1"/>
  <c r="CN45" i="1"/>
  <c r="CM45" i="1"/>
  <c r="CL45" i="1"/>
  <c r="CK45" i="1"/>
  <c r="BZ45" i="1"/>
  <c r="BO45" i="1"/>
  <c r="BC45" i="1"/>
  <c r="BB45" i="1"/>
  <c r="BA45" i="1"/>
  <c r="AZ45" i="1"/>
  <c r="AY45" i="1"/>
  <c r="AX45" i="1"/>
  <c r="AW45" i="1"/>
  <c r="AV45" i="1"/>
  <c r="AU45" i="1"/>
  <c r="AT45" i="1"/>
  <c r="AS45" i="1"/>
  <c r="AH45" i="1"/>
  <c r="W45" i="1"/>
  <c r="L45" i="1"/>
  <c r="IT44" i="1"/>
  <c r="IT43" i="1" s="1"/>
  <c r="IO44" i="1"/>
  <c r="II44" i="1"/>
  <c r="IH44" i="1"/>
  <c r="IG44" i="1"/>
  <c r="IF44" i="1"/>
  <c r="IE44" i="1"/>
  <c r="HZ44" i="1"/>
  <c r="HU44" i="1"/>
  <c r="HO44" i="1"/>
  <c r="HN44" i="1"/>
  <c r="HM44" i="1"/>
  <c r="HL44" i="1"/>
  <c r="HK44" i="1"/>
  <c r="HF44" i="1"/>
  <c r="HA44" i="1"/>
  <c r="GV44" i="1"/>
  <c r="GE44" i="1"/>
  <c r="GD44" i="1"/>
  <c r="GC44" i="1"/>
  <c r="GB44" i="1"/>
  <c r="GA44" i="1"/>
  <c r="FZ44" i="1"/>
  <c r="FY44" i="1"/>
  <c r="FX44" i="1"/>
  <c r="FW44" i="1"/>
  <c r="FV44" i="1"/>
  <c r="FU44" i="1"/>
  <c r="FJ44" i="1"/>
  <c r="EY44" i="1"/>
  <c r="EM44" i="1"/>
  <c r="EL44" i="1"/>
  <c r="EK44" i="1"/>
  <c r="EJ44" i="1"/>
  <c r="EJ43" i="1" s="1"/>
  <c r="EI44" i="1"/>
  <c r="EH44" i="1"/>
  <c r="EG44" i="1"/>
  <c r="EF44" i="1"/>
  <c r="EF43" i="1" s="1"/>
  <c r="EE44" i="1"/>
  <c r="ED44" i="1"/>
  <c r="DR44" i="1"/>
  <c r="DG44" i="1"/>
  <c r="CU44" i="1"/>
  <c r="CT44" i="1"/>
  <c r="CS44" i="1"/>
  <c r="CR44" i="1"/>
  <c r="CQ44" i="1"/>
  <c r="CP44" i="1"/>
  <c r="CO44" i="1"/>
  <c r="CN44" i="1"/>
  <c r="CM44" i="1"/>
  <c r="CL44" i="1"/>
  <c r="CK44" i="1"/>
  <c r="BZ44" i="1"/>
  <c r="BO44" i="1"/>
  <c r="BC44" i="1"/>
  <c r="BB44" i="1"/>
  <c r="BA44" i="1"/>
  <c r="AZ44" i="1"/>
  <c r="AY44" i="1"/>
  <c r="AX44" i="1"/>
  <c r="AW44" i="1"/>
  <c r="AV44" i="1"/>
  <c r="AU44" i="1"/>
  <c r="AT44" i="1"/>
  <c r="AS44" i="1"/>
  <c r="AS43" i="1" s="1"/>
  <c r="AH44" i="1"/>
  <c r="W44" i="1"/>
  <c r="L44" i="1"/>
  <c r="IV43" i="1"/>
  <c r="IU43" i="1"/>
  <c r="IU41" i="1" s="1"/>
  <c r="IS43" i="1"/>
  <c r="IR43" i="1"/>
  <c r="IQ43" i="1"/>
  <c r="IQ41" i="1" s="1"/>
  <c r="IP43" i="1"/>
  <c r="IP41" i="1" s="1"/>
  <c r="IN43" i="1"/>
  <c r="IM43" i="1"/>
  <c r="IM41" i="1" s="1"/>
  <c r="IL43" i="1"/>
  <c r="IL41" i="1" s="1"/>
  <c r="IK43" i="1"/>
  <c r="ID43" i="1"/>
  <c r="ID41" i="1" s="1"/>
  <c r="IC43" i="1"/>
  <c r="IC41" i="1" s="1"/>
  <c r="IB43" i="1"/>
  <c r="IA43" i="1"/>
  <c r="HZ43" i="1"/>
  <c r="HY43" i="1"/>
  <c r="HY41" i="1" s="1"/>
  <c r="HX43" i="1"/>
  <c r="HW43" i="1"/>
  <c r="HV43" i="1"/>
  <c r="HV41" i="1" s="1"/>
  <c r="HT43" i="1"/>
  <c r="HS43" i="1"/>
  <c r="HR43" i="1"/>
  <c r="HR41" i="1" s="1"/>
  <c r="HQ43" i="1"/>
  <c r="HQ41" i="1" s="1"/>
  <c r="HM43" i="1"/>
  <c r="HJ43" i="1"/>
  <c r="HI43" i="1"/>
  <c r="HI41" i="1" s="1"/>
  <c r="HH43" i="1"/>
  <c r="HH41" i="1" s="1"/>
  <c r="HG43" i="1"/>
  <c r="HE43" i="1"/>
  <c r="HE41" i="1" s="1"/>
  <c r="HD43" i="1"/>
  <c r="HD41" i="1" s="1"/>
  <c r="HC43" i="1"/>
  <c r="HB43" i="1"/>
  <c r="GZ43" i="1"/>
  <c r="GZ41" i="1" s="1"/>
  <c r="GY43" i="1"/>
  <c r="GX43" i="1"/>
  <c r="GW43" i="1"/>
  <c r="GW41" i="1" s="1"/>
  <c r="GV43" i="1"/>
  <c r="GU43" i="1"/>
  <c r="GT43" i="1"/>
  <c r="GS43" i="1"/>
  <c r="GS41" i="1" s="1"/>
  <c r="GR43" i="1"/>
  <c r="GR41" i="1" s="1"/>
  <c r="FY43" i="1"/>
  <c r="FT43" i="1"/>
  <c r="FT41" i="1" s="1"/>
  <c r="FS43" i="1"/>
  <c r="FS41" i="1" s="1"/>
  <c r="FR43" i="1"/>
  <c r="FQ43" i="1"/>
  <c r="FP43" i="1"/>
  <c r="FP41" i="1" s="1"/>
  <c r="FO43" i="1"/>
  <c r="FO41" i="1" s="1"/>
  <c r="FN43" i="1"/>
  <c r="FM43" i="1"/>
  <c r="FL43" i="1"/>
  <c r="FL41" i="1" s="1"/>
  <c r="FI43" i="1"/>
  <c r="FH43" i="1"/>
  <c r="FG43" i="1"/>
  <c r="FG41" i="1" s="1"/>
  <c r="FF43" i="1"/>
  <c r="FF41" i="1" s="1"/>
  <c r="FE43" i="1"/>
  <c r="FD43" i="1"/>
  <c r="FC43" i="1"/>
  <c r="FC41" i="1" s="1"/>
  <c r="FB43" i="1"/>
  <c r="FB41" i="1" s="1"/>
  <c r="FA43" i="1"/>
  <c r="EX43" i="1"/>
  <c r="EX41" i="1" s="1"/>
  <c r="EW43" i="1"/>
  <c r="EW41" i="1" s="1"/>
  <c r="EV43" i="1"/>
  <c r="EU43" i="1"/>
  <c r="ET43" i="1"/>
  <c r="ET41" i="1" s="1"/>
  <c r="ES43" i="1"/>
  <c r="ES41" i="1" s="1"/>
  <c r="ER43" i="1"/>
  <c r="EQ43" i="1"/>
  <c r="EP43" i="1"/>
  <c r="EP41" i="1" s="1"/>
  <c r="EC43" i="1"/>
  <c r="EB43" i="1"/>
  <c r="EA43" i="1"/>
  <c r="EA41" i="1" s="1"/>
  <c r="DZ43" i="1"/>
  <c r="DZ41" i="1" s="1"/>
  <c r="DY43" i="1"/>
  <c r="DX43" i="1"/>
  <c r="DW43" i="1"/>
  <c r="DW41" i="1" s="1"/>
  <c r="DV43" i="1"/>
  <c r="DV41" i="1" s="1"/>
  <c r="DU43" i="1"/>
  <c r="DT43" i="1"/>
  <c r="DR43" i="1"/>
  <c r="DQ43" i="1"/>
  <c r="DQ41" i="1" s="1"/>
  <c r="DP43" i="1"/>
  <c r="DO43" i="1"/>
  <c r="DN43" i="1"/>
  <c r="DN41" i="1" s="1"/>
  <c r="DM43" i="1"/>
  <c r="DM41" i="1" s="1"/>
  <c r="DL43" i="1"/>
  <c r="DK43" i="1"/>
  <c r="DJ43" i="1"/>
  <c r="DJ41" i="1" s="1"/>
  <c r="DI43" i="1"/>
  <c r="DI41" i="1" s="1"/>
  <c r="DF43" i="1"/>
  <c r="DE43" i="1"/>
  <c r="DE41" i="1" s="1"/>
  <c r="DD43" i="1"/>
  <c r="DD41" i="1" s="1"/>
  <c r="DC43" i="1"/>
  <c r="DB43" i="1"/>
  <c r="DA43" i="1"/>
  <c r="DA41" i="1" s="1"/>
  <c r="CZ43" i="1"/>
  <c r="CZ41" i="1" s="1"/>
  <c r="CY43" i="1"/>
  <c r="CX43" i="1"/>
  <c r="CU43" i="1"/>
  <c r="CQ43" i="1"/>
  <c r="CK43" i="1"/>
  <c r="CJ43" i="1"/>
  <c r="CI43" i="1"/>
  <c r="CH43" i="1"/>
  <c r="CH41" i="1" s="1"/>
  <c r="CG43" i="1"/>
  <c r="CG41" i="1" s="1"/>
  <c r="CF43" i="1"/>
  <c r="CE43" i="1"/>
  <c r="CD43" i="1"/>
  <c r="CD41" i="1" s="1"/>
  <c r="CC43" i="1"/>
  <c r="CC41" i="1" s="1"/>
  <c r="CB43" i="1"/>
  <c r="BY43" i="1"/>
  <c r="BY41" i="1" s="1"/>
  <c r="BX43" i="1"/>
  <c r="BX41" i="1" s="1"/>
  <c r="BW43" i="1"/>
  <c r="BV43" i="1"/>
  <c r="BU43" i="1"/>
  <c r="BU41" i="1" s="1"/>
  <c r="BT43" i="1"/>
  <c r="BT41" i="1" s="1"/>
  <c r="BS43" i="1"/>
  <c r="BR43" i="1"/>
  <c r="BQ43" i="1"/>
  <c r="BQ41" i="1" s="1"/>
  <c r="BN43" i="1"/>
  <c r="BM43" i="1"/>
  <c r="BL43" i="1"/>
  <c r="BL41" i="1" s="1"/>
  <c r="BK43" i="1"/>
  <c r="BK41" i="1" s="1"/>
  <c r="BJ43" i="1"/>
  <c r="BI43" i="1"/>
  <c r="BH43" i="1"/>
  <c r="BH41" i="1" s="1"/>
  <c r="BG43" i="1"/>
  <c r="BG41" i="1" s="1"/>
  <c r="BF43" i="1"/>
  <c r="BB43" i="1"/>
  <c r="BA43" i="1"/>
  <c r="AX43" i="1"/>
  <c r="AW43" i="1"/>
  <c r="AR43" i="1"/>
  <c r="AR41" i="1" s="1"/>
  <c r="AQ43" i="1"/>
  <c r="AP43" i="1"/>
  <c r="AP41" i="1" s="1"/>
  <c r="AO43" i="1"/>
  <c r="AO41" i="1" s="1"/>
  <c r="AN43" i="1"/>
  <c r="AN41" i="1" s="1"/>
  <c r="AM43" i="1"/>
  <c r="AL43" i="1"/>
  <c r="AK43" i="1"/>
  <c r="AK41" i="1" s="1"/>
  <c r="AJ43" i="1"/>
  <c r="AJ41" i="1" s="1"/>
  <c r="AG43" i="1"/>
  <c r="AF43" i="1"/>
  <c r="AF41" i="1" s="1"/>
  <c r="AE43" i="1"/>
  <c r="AE41" i="1" s="1"/>
  <c r="AD43" i="1"/>
  <c r="AC43" i="1"/>
  <c r="AB43" i="1"/>
  <c r="AB41" i="1" s="1"/>
  <c r="AA43" i="1"/>
  <c r="AA41" i="1" s="1"/>
  <c r="Z43" i="1"/>
  <c r="Y43" i="1"/>
  <c r="W43" i="1"/>
  <c r="V43" i="1"/>
  <c r="V41" i="1" s="1"/>
  <c r="U43" i="1"/>
  <c r="T43" i="1"/>
  <c r="S43" i="1"/>
  <c r="S41" i="1" s="1"/>
  <c r="R43" i="1"/>
  <c r="R41" i="1" s="1"/>
  <c r="Q43" i="1"/>
  <c r="P43" i="1"/>
  <c r="O43" i="1"/>
  <c r="O41" i="1" s="1"/>
  <c r="N43" i="1"/>
  <c r="N41" i="1" s="1"/>
  <c r="K43" i="1"/>
  <c r="J43" i="1"/>
  <c r="J41" i="1" s="1"/>
  <c r="I43" i="1"/>
  <c r="I41" i="1" s="1"/>
  <c r="H43" i="1"/>
  <c r="G43" i="1"/>
  <c r="F43" i="1"/>
  <c r="F41" i="1" s="1"/>
  <c r="E43" i="1"/>
  <c r="E41" i="1" s="1"/>
  <c r="D43" i="1"/>
  <c r="C43" i="1"/>
  <c r="IT42" i="1"/>
  <c r="IO42" i="1"/>
  <c r="II42" i="1"/>
  <c r="IH42" i="1"/>
  <c r="IG42" i="1"/>
  <c r="IF42" i="1"/>
  <c r="IE42" i="1"/>
  <c r="HZ42" i="1"/>
  <c r="HU42" i="1"/>
  <c r="HO42" i="1"/>
  <c r="HN42" i="1"/>
  <c r="HM42" i="1"/>
  <c r="HL42" i="1"/>
  <c r="HK42" i="1"/>
  <c r="HF42" i="1"/>
  <c r="HA42" i="1"/>
  <c r="GV42" i="1"/>
  <c r="GV41" i="1" s="1"/>
  <c r="GE42" i="1"/>
  <c r="GD42" i="1"/>
  <c r="GC42" i="1"/>
  <c r="GB42" i="1"/>
  <c r="GA42" i="1"/>
  <c r="FZ42" i="1"/>
  <c r="FY42" i="1"/>
  <c r="FX42" i="1"/>
  <c r="FW42" i="1"/>
  <c r="FV42" i="1"/>
  <c r="FU42" i="1"/>
  <c r="FJ42" i="1"/>
  <c r="EY42" i="1"/>
  <c r="EM42" i="1"/>
  <c r="EL42" i="1"/>
  <c r="EK42" i="1"/>
  <c r="EJ42" i="1"/>
  <c r="EI42" i="1"/>
  <c r="EH42" i="1"/>
  <c r="EG42" i="1"/>
  <c r="EF42" i="1"/>
  <c r="EE42" i="1"/>
  <c r="ED42" i="1"/>
  <c r="DR42" i="1"/>
  <c r="DG42" i="1"/>
  <c r="CU42" i="1"/>
  <c r="CT42" i="1"/>
  <c r="CS42" i="1"/>
  <c r="CR42" i="1"/>
  <c r="CQ42" i="1"/>
  <c r="CP42" i="1"/>
  <c r="CO42" i="1"/>
  <c r="CN42" i="1"/>
  <c r="CM42" i="1"/>
  <c r="CL42" i="1"/>
  <c r="CK42" i="1"/>
  <c r="CK41" i="1" s="1"/>
  <c r="BZ42" i="1"/>
  <c r="BO42" i="1"/>
  <c r="BC42" i="1"/>
  <c r="BB42" i="1"/>
  <c r="BA42" i="1"/>
  <c r="AZ42" i="1"/>
  <c r="AY42" i="1"/>
  <c r="AX42" i="1"/>
  <c r="AW42" i="1"/>
  <c r="AV42" i="1"/>
  <c r="AU42" i="1"/>
  <c r="AT42" i="1"/>
  <c r="AS42" i="1"/>
  <c r="AH42" i="1"/>
  <c r="W42" i="1"/>
  <c r="L42" i="1"/>
  <c r="IV41" i="1"/>
  <c r="IS41" i="1"/>
  <c r="IR41" i="1"/>
  <c r="IN41" i="1"/>
  <c r="IK41" i="1"/>
  <c r="IB41" i="1"/>
  <c r="IA41" i="1"/>
  <c r="HX41" i="1"/>
  <c r="HW41" i="1"/>
  <c r="HT41" i="1"/>
  <c r="HS41" i="1"/>
  <c r="HJ41" i="1"/>
  <c r="HG41" i="1"/>
  <c r="HC41" i="1"/>
  <c r="HB41" i="1"/>
  <c r="GY41" i="1"/>
  <c r="GX41" i="1"/>
  <c r="GU41" i="1"/>
  <c r="GT41" i="1"/>
  <c r="FR41" i="1"/>
  <c r="FQ41" i="1"/>
  <c r="FN41" i="1"/>
  <c r="FM41" i="1"/>
  <c r="FI41" i="1"/>
  <c r="FH41" i="1"/>
  <c r="FE41" i="1"/>
  <c r="FD41" i="1"/>
  <c r="FA41" i="1"/>
  <c r="EV41" i="1"/>
  <c r="EU41" i="1"/>
  <c r="ER41" i="1"/>
  <c r="EQ41" i="1"/>
  <c r="EC41" i="1"/>
  <c r="EB41" i="1"/>
  <c r="DY41" i="1"/>
  <c r="DX41" i="1"/>
  <c r="DU41" i="1"/>
  <c r="DT41" i="1"/>
  <c r="DP41" i="1"/>
  <c r="DO41" i="1"/>
  <c r="DL41" i="1"/>
  <c r="DK41" i="1"/>
  <c r="DF41" i="1"/>
  <c r="DC41" i="1"/>
  <c r="DB41" i="1"/>
  <c r="CY41" i="1"/>
  <c r="CX41" i="1"/>
  <c r="CJ41" i="1"/>
  <c r="CI41" i="1"/>
  <c r="CF41" i="1"/>
  <c r="CE41" i="1"/>
  <c r="CB41" i="1"/>
  <c r="BW41" i="1"/>
  <c r="BV41" i="1"/>
  <c r="BS41" i="1"/>
  <c r="BR41" i="1"/>
  <c r="BN41" i="1"/>
  <c r="BM41" i="1"/>
  <c r="BJ41" i="1"/>
  <c r="BI41" i="1"/>
  <c r="BF41" i="1"/>
  <c r="AQ41" i="1"/>
  <c r="AM41" i="1"/>
  <c r="AL41" i="1"/>
  <c r="AG41" i="1"/>
  <c r="AD41" i="1"/>
  <c r="AC41" i="1"/>
  <c r="Z41" i="1"/>
  <c r="Y41" i="1"/>
  <c r="U41" i="1"/>
  <c r="T41" i="1"/>
  <c r="Q41" i="1"/>
  <c r="P41" i="1"/>
  <c r="K41" i="1"/>
  <c r="H41" i="1"/>
  <c r="G41" i="1"/>
  <c r="D41" i="1"/>
  <c r="C41" i="1"/>
  <c r="IT40" i="1"/>
  <c r="IT39" i="1" s="1"/>
  <c r="IO40" i="1"/>
  <c r="IO39" i="1" s="1"/>
  <c r="II40" i="1"/>
  <c r="II39" i="1" s="1"/>
  <c r="IH40" i="1"/>
  <c r="IG40" i="1"/>
  <c r="IG39" i="1" s="1"/>
  <c r="IF40" i="1"/>
  <c r="IE40" i="1"/>
  <c r="IE39" i="1" s="1"/>
  <c r="HZ40" i="1"/>
  <c r="HU40" i="1"/>
  <c r="HU39" i="1" s="1"/>
  <c r="HO40" i="1"/>
  <c r="HO39" i="1" s="1"/>
  <c r="HN40" i="1"/>
  <c r="HN39" i="1" s="1"/>
  <c r="HM40" i="1"/>
  <c r="HM39" i="1" s="1"/>
  <c r="HL40" i="1"/>
  <c r="HL39" i="1" s="1"/>
  <c r="HK40" i="1"/>
  <c r="HF40" i="1"/>
  <c r="HF39" i="1" s="1"/>
  <c r="HA40" i="1"/>
  <c r="HA39" i="1" s="1"/>
  <c r="GV40" i="1"/>
  <c r="GV39" i="1" s="1"/>
  <c r="GE40" i="1"/>
  <c r="GD40" i="1"/>
  <c r="GD39" i="1" s="1"/>
  <c r="GC40" i="1"/>
  <c r="GB40" i="1"/>
  <c r="GB39" i="1" s="1"/>
  <c r="GA40" i="1"/>
  <c r="GA39" i="1" s="1"/>
  <c r="FZ40" i="1"/>
  <c r="FZ39" i="1" s="1"/>
  <c r="FY40" i="1"/>
  <c r="FX40" i="1"/>
  <c r="FX39" i="1" s="1"/>
  <c r="FW40" i="1"/>
  <c r="FV40" i="1"/>
  <c r="FU40" i="1"/>
  <c r="FJ40" i="1"/>
  <c r="FJ39" i="1" s="1"/>
  <c r="EY40" i="1"/>
  <c r="EM40" i="1"/>
  <c r="EM39" i="1" s="1"/>
  <c r="EL40" i="1"/>
  <c r="EL39" i="1" s="1"/>
  <c r="EK40" i="1"/>
  <c r="EK39" i="1" s="1"/>
  <c r="EJ40" i="1"/>
  <c r="EJ39" i="1" s="1"/>
  <c r="EI40" i="1"/>
  <c r="EH40" i="1"/>
  <c r="EG40" i="1"/>
  <c r="EF40" i="1"/>
  <c r="EE40" i="1"/>
  <c r="EE39" i="1" s="1"/>
  <c r="ED40" i="1"/>
  <c r="DR40" i="1"/>
  <c r="DR39" i="1" s="1"/>
  <c r="DG40" i="1"/>
  <c r="CU40" i="1"/>
  <c r="CU39" i="1" s="1"/>
  <c r="CT40" i="1"/>
  <c r="CS40" i="1"/>
  <c r="CS39" i="1" s="1"/>
  <c r="CR40" i="1"/>
  <c r="CR39" i="1" s="1"/>
  <c r="CQ40" i="1"/>
  <c r="CQ39" i="1" s="1"/>
  <c r="CP40" i="1"/>
  <c r="CP39" i="1" s="1"/>
  <c r="CO40" i="1"/>
  <c r="CO39" i="1" s="1"/>
  <c r="CN40" i="1"/>
  <c r="CM40" i="1"/>
  <c r="CL40" i="1"/>
  <c r="CK40" i="1"/>
  <c r="BZ40" i="1"/>
  <c r="BZ39" i="1" s="1"/>
  <c r="BO40" i="1"/>
  <c r="BO39" i="1" s="1"/>
  <c r="BC40" i="1"/>
  <c r="BB40" i="1"/>
  <c r="BB39" i="1" s="1"/>
  <c r="BA40" i="1"/>
  <c r="AZ40" i="1"/>
  <c r="AY40" i="1"/>
  <c r="AX40" i="1"/>
  <c r="AW40" i="1"/>
  <c r="AW39" i="1" s="1"/>
  <c r="AV40" i="1"/>
  <c r="AU40" i="1"/>
  <c r="AT40" i="1"/>
  <c r="AS40" i="1"/>
  <c r="AS39" i="1" s="1"/>
  <c r="AH40" i="1"/>
  <c r="AH39" i="1" s="1"/>
  <c r="W40" i="1"/>
  <c r="W39" i="1" s="1"/>
  <c r="L40" i="1"/>
  <c r="IV39" i="1"/>
  <c r="IU39" i="1"/>
  <c r="IS39" i="1"/>
  <c r="IR39" i="1"/>
  <c r="IQ39" i="1"/>
  <c r="IP39" i="1"/>
  <c r="IN39" i="1"/>
  <c r="IM39" i="1"/>
  <c r="IL39" i="1"/>
  <c r="IK39" i="1"/>
  <c r="IH39" i="1"/>
  <c r="IF39" i="1"/>
  <c r="ID39" i="1"/>
  <c r="IC39" i="1"/>
  <c r="IB39" i="1"/>
  <c r="IA39" i="1"/>
  <c r="HZ39" i="1"/>
  <c r="HY39" i="1"/>
  <c r="HX39" i="1"/>
  <c r="HW39" i="1"/>
  <c r="HV39" i="1"/>
  <c r="HT39" i="1"/>
  <c r="HS39" i="1"/>
  <c r="HR39" i="1"/>
  <c r="HQ39" i="1"/>
  <c r="HK39" i="1"/>
  <c r="HJ39" i="1"/>
  <c r="HI39" i="1"/>
  <c r="HH39" i="1"/>
  <c r="HG39" i="1"/>
  <c r="HE39" i="1"/>
  <c r="HD39" i="1"/>
  <c r="HC39" i="1"/>
  <c r="HB39" i="1"/>
  <c r="GZ39" i="1"/>
  <c r="GY39" i="1"/>
  <c r="GX39" i="1"/>
  <c r="GW39" i="1"/>
  <c r="GU39" i="1"/>
  <c r="GT39" i="1"/>
  <c r="GS39" i="1"/>
  <c r="GR39" i="1"/>
  <c r="GE39" i="1"/>
  <c r="GC39" i="1"/>
  <c r="FY39" i="1"/>
  <c r="FW39" i="1"/>
  <c r="FU39" i="1"/>
  <c r="FT39" i="1"/>
  <c r="FS39" i="1"/>
  <c r="FR39" i="1"/>
  <c r="FQ39" i="1"/>
  <c r="FP39" i="1"/>
  <c r="FO39" i="1"/>
  <c r="FN39" i="1"/>
  <c r="FM39" i="1"/>
  <c r="FL39" i="1"/>
  <c r="FI39" i="1"/>
  <c r="FH39" i="1"/>
  <c r="FG39" i="1"/>
  <c r="FF39" i="1"/>
  <c r="FE39" i="1"/>
  <c r="FD39" i="1"/>
  <c r="FC39" i="1"/>
  <c r="FB39" i="1"/>
  <c r="FA39" i="1"/>
  <c r="EY39" i="1"/>
  <c r="EX39" i="1"/>
  <c r="EW39" i="1"/>
  <c r="EV39" i="1"/>
  <c r="EU39" i="1"/>
  <c r="ET39" i="1"/>
  <c r="ES39" i="1"/>
  <c r="ER39" i="1"/>
  <c r="EQ39" i="1"/>
  <c r="EP39" i="1"/>
  <c r="EI39" i="1"/>
  <c r="EH39" i="1"/>
  <c r="EG39" i="1"/>
  <c r="EC39" i="1"/>
  <c r="EB39" i="1"/>
  <c r="EA39" i="1"/>
  <c r="DZ39" i="1"/>
  <c r="DY39" i="1"/>
  <c r="DX39" i="1"/>
  <c r="DW39" i="1"/>
  <c r="DV39" i="1"/>
  <c r="DU39" i="1"/>
  <c r="DT39" i="1"/>
  <c r="DQ39" i="1"/>
  <c r="DP39" i="1"/>
  <c r="DO39" i="1"/>
  <c r="DN39" i="1"/>
  <c r="DM39" i="1"/>
  <c r="DL39" i="1"/>
  <c r="DK39" i="1"/>
  <c r="DJ39" i="1"/>
  <c r="DI39" i="1"/>
  <c r="DG39" i="1"/>
  <c r="DF39" i="1"/>
  <c r="DE39" i="1"/>
  <c r="DD39" i="1"/>
  <c r="DC39" i="1"/>
  <c r="DB39" i="1"/>
  <c r="DA39" i="1"/>
  <c r="CZ39" i="1"/>
  <c r="CY39" i="1"/>
  <c r="CX39" i="1"/>
  <c r="CN39" i="1"/>
  <c r="CK39" i="1"/>
  <c r="CJ39" i="1"/>
  <c r="CI39" i="1"/>
  <c r="CH39" i="1"/>
  <c r="CG39" i="1"/>
  <c r="CF39" i="1"/>
  <c r="CE39" i="1"/>
  <c r="CD39" i="1"/>
  <c r="CC39" i="1"/>
  <c r="CB39" i="1"/>
  <c r="BY39" i="1"/>
  <c r="BX39" i="1"/>
  <c r="BW39" i="1"/>
  <c r="BV39" i="1"/>
  <c r="BU39" i="1"/>
  <c r="BT39" i="1"/>
  <c r="BS39" i="1"/>
  <c r="BR39" i="1"/>
  <c r="BQ39" i="1"/>
  <c r="BN39" i="1"/>
  <c r="BM39" i="1"/>
  <c r="BL39" i="1"/>
  <c r="BK39" i="1"/>
  <c r="BJ39" i="1"/>
  <c r="BI39" i="1"/>
  <c r="BH39" i="1"/>
  <c r="BG39" i="1"/>
  <c r="BF39" i="1"/>
  <c r="BC39" i="1"/>
  <c r="BA39" i="1"/>
  <c r="AX39" i="1"/>
  <c r="AR39" i="1"/>
  <c r="AQ39" i="1"/>
  <c r="AP39" i="1"/>
  <c r="AO39" i="1"/>
  <c r="AN39" i="1"/>
  <c r="AM39" i="1"/>
  <c r="AL39" i="1"/>
  <c r="AK39" i="1"/>
  <c r="AJ39" i="1"/>
  <c r="AG39" i="1"/>
  <c r="AF39" i="1"/>
  <c r="AE39" i="1"/>
  <c r="AD39" i="1"/>
  <c r="AC39" i="1"/>
  <c r="AB39" i="1"/>
  <c r="AA39" i="1"/>
  <c r="Z39" i="1"/>
  <c r="Y39" i="1"/>
  <c r="V39" i="1"/>
  <c r="U39" i="1"/>
  <c r="T39" i="1"/>
  <c r="S39" i="1"/>
  <c r="R39" i="1"/>
  <c r="Q39" i="1"/>
  <c r="P39" i="1"/>
  <c r="O39" i="1"/>
  <c r="N39" i="1"/>
  <c r="L39" i="1"/>
  <c r="K39" i="1"/>
  <c r="J39" i="1"/>
  <c r="I39" i="1"/>
  <c r="H39" i="1"/>
  <c r="G39" i="1"/>
  <c r="F39" i="1"/>
  <c r="E39" i="1"/>
  <c r="D39" i="1"/>
  <c r="C39" i="1"/>
  <c r="IT38" i="1"/>
  <c r="IO38" i="1"/>
  <c r="II38" i="1"/>
  <c r="IH38" i="1"/>
  <c r="IG38" i="1"/>
  <c r="IF38" i="1"/>
  <c r="IE38" i="1"/>
  <c r="HZ38" i="1"/>
  <c r="HU38" i="1"/>
  <c r="HO38" i="1"/>
  <c r="HN38" i="1"/>
  <c r="HM38" i="1"/>
  <c r="HL38" i="1"/>
  <c r="HK38" i="1"/>
  <c r="HF38" i="1"/>
  <c r="HA38" i="1"/>
  <c r="GV38" i="1"/>
  <c r="GE38" i="1"/>
  <c r="GD38" i="1"/>
  <c r="GC38" i="1"/>
  <c r="GB38" i="1"/>
  <c r="GA38" i="1"/>
  <c r="FZ38" i="1"/>
  <c r="FY38" i="1"/>
  <c r="FX38" i="1"/>
  <c r="FW38" i="1"/>
  <c r="FV38" i="1"/>
  <c r="FU38" i="1"/>
  <c r="FJ38" i="1"/>
  <c r="EY38" i="1"/>
  <c r="EM38" i="1"/>
  <c r="EL38" i="1"/>
  <c r="EK38" i="1"/>
  <c r="EJ38" i="1"/>
  <c r="EI38" i="1"/>
  <c r="EH38" i="1"/>
  <c r="EG38" i="1"/>
  <c r="EF38" i="1"/>
  <c r="EE38" i="1"/>
  <c r="ED38" i="1"/>
  <c r="DR38" i="1"/>
  <c r="DG38" i="1"/>
  <c r="CU38" i="1"/>
  <c r="CT38" i="1"/>
  <c r="CS38" i="1"/>
  <c r="CR38" i="1"/>
  <c r="CQ38" i="1"/>
  <c r="CP38" i="1"/>
  <c r="CO38" i="1"/>
  <c r="CN38" i="1"/>
  <c r="CM38" i="1"/>
  <c r="CL38" i="1"/>
  <c r="CK38" i="1"/>
  <c r="BZ38" i="1"/>
  <c r="BO38" i="1"/>
  <c r="BC38" i="1"/>
  <c r="BB38" i="1"/>
  <c r="BA38" i="1"/>
  <c r="AZ38" i="1"/>
  <c r="AY38" i="1"/>
  <c r="AX38" i="1"/>
  <c r="AW38" i="1"/>
  <c r="AV38" i="1"/>
  <c r="AU38" i="1"/>
  <c r="AT38" i="1"/>
  <c r="AS38" i="1"/>
  <c r="AH38" i="1"/>
  <c r="W38" i="1"/>
  <c r="L38" i="1"/>
  <c r="IT37" i="1"/>
  <c r="IO37" i="1"/>
  <c r="II37" i="1"/>
  <c r="IH37" i="1"/>
  <c r="IG37" i="1"/>
  <c r="IF37" i="1"/>
  <c r="IE37" i="1"/>
  <c r="HZ37" i="1"/>
  <c r="HU37" i="1"/>
  <c r="HO37" i="1"/>
  <c r="HN37" i="1"/>
  <c r="HM37" i="1"/>
  <c r="HL37" i="1"/>
  <c r="HK37" i="1"/>
  <c r="HF37" i="1"/>
  <c r="HA37" i="1"/>
  <c r="GV37" i="1"/>
  <c r="GE37" i="1"/>
  <c r="GD37" i="1"/>
  <c r="GC37" i="1"/>
  <c r="GB37" i="1"/>
  <c r="GA37" i="1"/>
  <c r="FZ37" i="1"/>
  <c r="FY37" i="1"/>
  <c r="FX37" i="1"/>
  <c r="FW37" i="1"/>
  <c r="FV37" i="1"/>
  <c r="FU37" i="1"/>
  <c r="FJ37" i="1"/>
  <c r="EY37" i="1"/>
  <c r="EM37" i="1"/>
  <c r="EL37" i="1"/>
  <c r="EK37" i="1"/>
  <c r="EJ37" i="1"/>
  <c r="EI37" i="1"/>
  <c r="EH37" i="1"/>
  <c r="EG37" i="1"/>
  <c r="EF37" i="1"/>
  <c r="EE37" i="1"/>
  <c r="ED37" i="1"/>
  <c r="DR37" i="1"/>
  <c r="DG37" i="1"/>
  <c r="CU37" i="1"/>
  <c r="CT37" i="1"/>
  <c r="CS37" i="1"/>
  <c r="CR37" i="1"/>
  <c r="CQ37" i="1"/>
  <c r="CP37" i="1"/>
  <c r="CO37" i="1"/>
  <c r="CN37" i="1"/>
  <c r="CM37" i="1"/>
  <c r="CL37" i="1"/>
  <c r="CK37" i="1"/>
  <c r="BZ37" i="1"/>
  <c r="BO37" i="1"/>
  <c r="BC37" i="1"/>
  <c r="BB37" i="1"/>
  <c r="BA37" i="1"/>
  <c r="AZ37" i="1"/>
  <c r="AY37" i="1"/>
  <c r="AX37" i="1"/>
  <c r="AW37" i="1"/>
  <c r="AV37" i="1"/>
  <c r="AU37" i="1"/>
  <c r="AT37" i="1"/>
  <c r="AS37" i="1"/>
  <c r="AH37" i="1"/>
  <c r="W37" i="1"/>
  <c r="L37" i="1"/>
  <c r="IT36" i="1"/>
  <c r="IT35" i="1" s="1"/>
  <c r="IO36" i="1"/>
  <c r="IO35" i="1" s="1"/>
  <c r="II36" i="1"/>
  <c r="IH36" i="1"/>
  <c r="IG36" i="1"/>
  <c r="IG35" i="1" s="1"/>
  <c r="IF36" i="1"/>
  <c r="IE36" i="1"/>
  <c r="HZ36" i="1"/>
  <c r="HU36" i="1"/>
  <c r="HU35" i="1" s="1"/>
  <c r="HO36" i="1"/>
  <c r="HN36" i="1"/>
  <c r="HM36" i="1"/>
  <c r="HL36" i="1"/>
  <c r="HK36" i="1"/>
  <c r="HF36" i="1"/>
  <c r="HA36" i="1"/>
  <c r="GV36" i="1"/>
  <c r="GV35" i="1" s="1"/>
  <c r="GE36" i="1"/>
  <c r="GD36" i="1"/>
  <c r="GD35" i="1" s="1"/>
  <c r="GC36" i="1"/>
  <c r="GB36" i="1"/>
  <c r="GB35" i="1" s="1"/>
  <c r="GA36" i="1"/>
  <c r="FZ36" i="1"/>
  <c r="FZ35" i="1" s="1"/>
  <c r="FY36" i="1"/>
  <c r="FX36" i="1"/>
  <c r="FX35" i="1" s="1"/>
  <c r="FW36" i="1"/>
  <c r="FV36" i="1"/>
  <c r="FU36" i="1"/>
  <c r="FJ36" i="1"/>
  <c r="FJ35" i="1" s="1"/>
  <c r="EY36" i="1"/>
  <c r="EM36" i="1"/>
  <c r="EL36" i="1"/>
  <c r="EK36" i="1"/>
  <c r="EK35" i="1" s="1"/>
  <c r="EJ36" i="1"/>
  <c r="EI36" i="1"/>
  <c r="EH36" i="1"/>
  <c r="EG36" i="1"/>
  <c r="EG35" i="1" s="1"/>
  <c r="EF36" i="1"/>
  <c r="EE36" i="1"/>
  <c r="ED36" i="1"/>
  <c r="DR36" i="1"/>
  <c r="DR35" i="1" s="1"/>
  <c r="DG36" i="1"/>
  <c r="CU36" i="1"/>
  <c r="CU35" i="1" s="1"/>
  <c r="CT36" i="1"/>
  <c r="CS36" i="1"/>
  <c r="CS35" i="1" s="1"/>
  <c r="CR36" i="1"/>
  <c r="CQ36" i="1"/>
  <c r="CQ35" i="1" s="1"/>
  <c r="CP36" i="1"/>
  <c r="CO36" i="1"/>
  <c r="CO35" i="1" s="1"/>
  <c r="CN36" i="1"/>
  <c r="CM36" i="1"/>
  <c r="CM35" i="1" s="1"/>
  <c r="CL36" i="1"/>
  <c r="CK36" i="1"/>
  <c r="CK35" i="1" s="1"/>
  <c r="BZ36" i="1"/>
  <c r="BO36" i="1"/>
  <c r="BC36" i="1"/>
  <c r="BB36" i="1"/>
  <c r="BA36" i="1"/>
  <c r="AZ36" i="1"/>
  <c r="AZ35" i="1" s="1"/>
  <c r="AY36" i="1"/>
  <c r="AX36" i="1"/>
  <c r="AW36" i="1"/>
  <c r="AV36" i="1"/>
  <c r="AV35" i="1" s="1"/>
  <c r="AU36" i="1"/>
  <c r="AT36" i="1"/>
  <c r="AS36" i="1"/>
  <c r="AH36" i="1"/>
  <c r="AH35" i="1" s="1"/>
  <c r="W36" i="1"/>
  <c r="L36" i="1"/>
  <c r="L35" i="1" s="1"/>
  <c r="IV35" i="1"/>
  <c r="IU35" i="1"/>
  <c r="IS35" i="1"/>
  <c r="IR35" i="1"/>
  <c r="IQ35" i="1"/>
  <c r="IP35" i="1"/>
  <c r="IN35" i="1"/>
  <c r="IM35" i="1"/>
  <c r="IL35" i="1"/>
  <c r="IK35" i="1"/>
  <c r="II35" i="1"/>
  <c r="IF35" i="1"/>
  <c r="IE35" i="1"/>
  <c r="ID35" i="1"/>
  <c r="IC35" i="1"/>
  <c r="IB35" i="1"/>
  <c r="IA35" i="1"/>
  <c r="HY35" i="1"/>
  <c r="HX35" i="1"/>
  <c r="HW35" i="1"/>
  <c r="HV35" i="1"/>
  <c r="HT35" i="1"/>
  <c r="HS35" i="1"/>
  <c r="HR35" i="1"/>
  <c r="HQ35" i="1"/>
  <c r="HO35" i="1"/>
  <c r="HN35" i="1"/>
  <c r="HK35" i="1"/>
  <c r="HJ35" i="1"/>
  <c r="HI35" i="1"/>
  <c r="HH35" i="1"/>
  <c r="HG35" i="1"/>
  <c r="HF35" i="1"/>
  <c r="HE35" i="1"/>
  <c r="HD35" i="1"/>
  <c r="HC35" i="1"/>
  <c r="HB35" i="1"/>
  <c r="GZ35" i="1"/>
  <c r="GY35" i="1"/>
  <c r="GX35" i="1"/>
  <c r="GW35" i="1"/>
  <c r="GU35" i="1"/>
  <c r="GT35" i="1"/>
  <c r="GS35" i="1"/>
  <c r="GR35" i="1"/>
  <c r="GC35" i="1"/>
  <c r="FY35" i="1"/>
  <c r="FT35" i="1"/>
  <c r="FS35" i="1"/>
  <c r="FR35" i="1"/>
  <c r="FQ35" i="1"/>
  <c r="FP35" i="1"/>
  <c r="FO35" i="1"/>
  <c r="FN35" i="1"/>
  <c r="FM35" i="1"/>
  <c r="FL35" i="1"/>
  <c r="FI35" i="1"/>
  <c r="FH35" i="1"/>
  <c r="FG35" i="1"/>
  <c r="FF35" i="1"/>
  <c r="FE35" i="1"/>
  <c r="FD35" i="1"/>
  <c r="FC35" i="1"/>
  <c r="FB35" i="1"/>
  <c r="FA35" i="1"/>
  <c r="EX35" i="1"/>
  <c r="EW35" i="1"/>
  <c r="EV35" i="1"/>
  <c r="EU35" i="1"/>
  <c r="ET35" i="1"/>
  <c r="ES35" i="1"/>
  <c r="ER35" i="1"/>
  <c r="EQ35" i="1"/>
  <c r="EP35" i="1"/>
  <c r="EL35" i="1"/>
  <c r="EC35" i="1"/>
  <c r="EB35" i="1"/>
  <c r="EA35" i="1"/>
  <c r="DZ35" i="1"/>
  <c r="DY35" i="1"/>
  <c r="DX35" i="1"/>
  <c r="DW35" i="1"/>
  <c r="DV35" i="1"/>
  <c r="DU35" i="1"/>
  <c r="DT35" i="1"/>
  <c r="DQ35" i="1"/>
  <c r="DP35" i="1"/>
  <c r="DO35" i="1"/>
  <c r="DN35" i="1"/>
  <c r="DM35" i="1"/>
  <c r="DL35" i="1"/>
  <c r="DK35" i="1"/>
  <c r="DJ35" i="1"/>
  <c r="DI35" i="1"/>
  <c r="DF35" i="1"/>
  <c r="DE35" i="1"/>
  <c r="DD35" i="1"/>
  <c r="DC35" i="1"/>
  <c r="DB35" i="1"/>
  <c r="DA35" i="1"/>
  <c r="CZ35" i="1"/>
  <c r="CY35" i="1"/>
  <c r="CX35" i="1"/>
  <c r="CT35" i="1"/>
  <c r="CP35" i="1"/>
  <c r="CJ35" i="1"/>
  <c r="CI35" i="1"/>
  <c r="CH35" i="1"/>
  <c r="CG35" i="1"/>
  <c r="CF35" i="1"/>
  <c r="CE35" i="1"/>
  <c r="CD35" i="1"/>
  <c r="CC35" i="1"/>
  <c r="CB35" i="1"/>
  <c r="BY35" i="1"/>
  <c r="BX35" i="1"/>
  <c r="BW35" i="1"/>
  <c r="BV35" i="1"/>
  <c r="BU35" i="1"/>
  <c r="BT35" i="1"/>
  <c r="BS35" i="1"/>
  <c r="BR35" i="1"/>
  <c r="BQ35" i="1"/>
  <c r="BO35" i="1"/>
  <c r="BN35" i="1"/>
  <c r="BM35" i="1"/>
  <c r="BL35" i="1"/>
  <c r="BK35" i="1"/>
  <c r="BJ35" i="1"/>
  <c r="BI35" i="1"/>
  <c r="BH35" i="1"/>
  <c r="BG35" i="1"/>
  <c r="BF35" i="1"/>
  <c r="BA35" i="1"/>
  <c r="AR35" i="1"/>
  <c r="AQ35" i="1"/>
  <c r="AP35" i="1"/>
  <c r="AO35" i="1"/>
  <c r="AN35" i="1"/>
  <c r="AM35" i="1"/>
  <c r="AL35" i="1"/>
  <c r="AK35" i="1"/>
  <c r="AJ35" i="1"/>
  <c r="AG35" i="1"/>
  <c r="AF35" i="1"/>
  <c r="AE35" i="1"/>
  <c r="AD35" i="1"/>
  <c r="AC35" i="1"/>
  <c r="AB35" i="1"/>
  <c r="AA35" i="1"/>
  <c r="Z35" i="1"/>
  <c r="Y35" i="1"/>
  <c r="W35" i="1"/>
  <c r="V35" i="1"/>
  <c r="U35" i="1"/>
  <c r="T35" i="1"/>
  <c r="S35" i="1"/>
  <c r="R35" i="1"/>
  <c r="Q35" i="1"/>
  <c r="P35" i="1"/>
  <c r="O35" i="1"/>
  <c r="N35" i="1"/>
  <c r="K35" i="1"/>
  <c r="J35" i="1"/>
  <c r="I35" i="1"/>
  <c r="H35" i="1"/>
  <c r="G35" i="1"/>
  <c r="F35" i="1"/>
  <c r="E35" i="1"/>
  <c r="D35" i="1"/>
  <c r="C35" i="1"/>
  <c r="IT34" i="1"/>
  <c r="IO34" i="1"/>
  <c r="II34" i="1"/>
  <c r="IH34" i="1"/>
  <c r="IG34" i="1"/>
  <c r="IF34" i="1"/>
  <c r="IE34" i="1"/>
  <c r="HZ34" i="1"/>
  <c r="HU34" i="1"/>
  <c r="HO34" i="1"/>
  <c r="HN34" i="1"/>
  <c r="HM34" i="1"/>
  <c r="HL34" i="1"/>
  <c r="HK34" i="1"/>
  <c r="HF34" i="1"/>
  <c r="HA34" i="1"/>
  <c r="GV34" i="1"/>
  <c r="GE34" i="1"/>
  <c r="GD34" i="1"/>
  <c r="GC34" i="1"/>
  <c r="GB34" i="1"/>
  <c r="GA34" i="1"/>
  <c r="FZ34" i="1"/>
  <c r="FY34" i="1"/>
  <c r="FX34" i="1"/>
  <c r="FW34" i="1"/>
  <c r="FV34" i="1"/>
  <c r="FU34" i="1"/>
  <c r="FJ34" i="1"/>
  <c r="EY34" i="1"/>
  <c r="EM34" i="1"/>
  <c r="EL34" i="1"/>
  <c r="EK34" i="1"/>
  <c r="EJ34" i="1"/>
  <c r="EI34" i="1"/>
  <c r="EH34" i="1"/>
  <c r="EG34" i="1"/>
  <c r="EF34" i="1"/>
  <c r="EE34" i="1"/>
  <c r="ED34" i="1"/>
  <c r="DR34" i="1"/>
  <c r="DG34" i="1"/>
  <c r="CU34" i="1"/>
  <c r="CT34" i="1"/>
  <c r="CS34" i="1"/>
  <c r="CR34" i="1"/>
  <c r="CQ34" i="1"/>
  <c r="CP34" i="1"/>
  <c r="CO34" i="1"/>
  <c r="CN34" i="1"/>
  <c r="CM34" i="1"/>
  <c r="CL34" i="1"/>
  <c r="CK34" i="1"/>
  <c r="BZ34" i="1"/>
  <c r="BO34" i="1"/>
  <c r="BC34" i="1"/>
  <c r="BB34" i="1"/>
  <c r="BA34" i="1"/>
  <c r="AZ34" i="1"/>
  <c r="AY34" i="1"/>
  <c r="AX34" i="1"/>
  <c r="AW34" i="1"/>
  <c r="AV34" i="1"/>
  <c r="AU34" i="1"/>
  <c r="AT34" i="1"/>
  <c r="AS34" i="1"/>
  <c r="AH34" i="1"/>
  <c r="W34" i="1"/>
  <c r="L34" i="1"/>
  <c r="IT33" i="1"/>
  <c r="IO33" i="1"/>
  <c r="II33" i="1"/>
  <c r="IH33" i="1"/>
  <c r="IG33" i="1"/>
  <c r="IF33" i="1"/>
  <c r="IE33" i="1"/>
  <c r="HZ33" i="1"/>
  <c r="HU33" i="1"/>
  <c r="HO33" i="1"/>
  <c r="HN33" i="1"/>
  <c r="HM33" i="1"/>
  <c r="HL33" i="1"/>
  <c r="HK33" i="1"/>
  <c r="HF33" i="1"/>
  <c r="HA33" i="1"/>
  <c r="GV33" i="1"/>
  <c r="GE33" i="1"/>
  <c r="GD33" i="1"/>
  <c r="GC33" i="1"/>
  <c r="GB33" i="1"/>
  <c r="GA33" i="1"/>
  <c r="FZ33" i="1"/>
  <c r="FY33" i="1"/>
  <c r="FX33" i="1"/>
  <c r="FW33" i="1"/>
  <c r="FV33" i="1"/>
  <c r="FU33" i="1"/>
  <c r="FJ33" i="1"/>
  <c r="EY33" i="1"/>
  <c r="EM33" i="1"/>
  <c r="EL33" i="1"/>
  <c r="EK33" i="1"/>
  <c r="EJ33" i="1"/>
  <c r="EI33" i="1"/>
  <c r="EH33" i="1"/>
  <c r="EG33" i="1"/>
  <c r="EF33" i="1"/>
  <c r="EE33" i="1"/>
  <c r="ED33" i="1"/>
  <c r="DR33" i="1"/>
  <c r="DG33" i="1"/>
  <c r="CU33" i="1"/>
  <c r="CT33" i="1"/>
  <c r="CS33" i="1"/>
  <c r="CR33" i="1"/>
  <c r="CQ33" i="1"/>
  <c r="CP33" i="1"/>
  <c r="CO33" i="1"/>
  <c r="CN33" i="1"/>
  <c r="CM33" i="1"/>
  <c r="CL33" i="1"/>
  <c r="CK33" i="1"/>
  <c r="BZ33" i="1"/>
  <c r="BO33" i="1"/>
  <c r="BC33" i="1"/>
  <c r="BB33" i="1"/>
  <c r="BA33" i="1"/>
  <c r="AZ33" i="1"/>
  <c r="AY33" i="1"/>
  <c r="AX33" i="1"/>
  <c r="AW33" i="1"/>
  <c r="AV33" i="1"/>
  <c r="AU33" i="1"/>
  <c r="AT33" i="1"/>
  <c r="AS33" i="1"/>
  <c r="AH33" i="1"/>
  <c r="W33" i="1"/>
  <c r="L33" i="1"/>
  <c r="IT32" i="1"/>
  <c r="IO32" i="1"/>
  <c r="II32" i="1"/>
  <c r="IH32" i="1"/>
  <c r="IG32" i="1"/>
  <c r="IF32" i="1"/>
  <c r="IE32" i="1"/>
  <c r="HZ32" i="1"/>
  <c r="HU32" i="1"/>
  <c r="HO32" i="1"/>
  <c r="HN32" i="1"/>
  <c r="HM32" i="1"/>
  <c r="HL32" i="1"/>
  <c r="HK32" i="1"/>
  <c r="HF32" i="1"/>
  <c r="HA32" i="1"/>
  <c r="GV32" i="1"/>
  <c r="GE32" i="1"/>
  <c r="GD32" i="1"/>
  <c r="GC32" i="1"/>
  <c r="GB32" i="1"/>
  <c r="GA32" i="1"/>
  <c r="FZ32" i="1"/>
  <c r="FY32" i="1"/>
  <c r="FX32" i="1"/>
  <c r="FW32" i="1"/>
  <c r="FV32" i="1"/>
  <c r="FU32" i="1"/>
  <c r="FJ32" i="1"/>
  <c r="EY32" i="1"/>
  <c r="EM32" i="1"/>
  <c r="EL32" i="1"/>
  <c r="EK32" i="1"/>
  <c r="EJ32" i="1"/>
  <c r="EI32" i="1"/>
  <c r="EH32" i="1"/>
  <c r="EG32" i="1"/>
  <c r="EF32" i="1"/>
  <c r="EE32" i="1"/>
  <c r="ED32" i="1"/>
  <c r="DR32" i="1"/>
  <c r="DG32" i="1"/>
  <c r="CU32" i="1"/>
  <c r="CT32" i="1"/>
  <c r="CT30" i="1" s="1"/>
  <c r="CS32" i="1"/>
  <c r="CR32" i="1"/>
  <c r="CQ32" i="1"/>
  <c r="CP32" i="1"/>
  <c r="CO32" i="1"/>
  <c r="CN32" i="1"/>
  <c r="CM32" i="1"/>
  <c r="CL32" i="1"/>
  <c r="CK32" i="1"/>
  <c r="BZ32" i="1"/>
  <c r="BO32" i="1"/>
  <c r="BC32" i="1"/>
  <c r="BB32" i="1"/>
  <c r="BA32" i="1"/>
  <c r="AZ32" i="1"/>
  <c r="AY32" i="1"/>
  <c r="AX32" i="1"/>
  <c r="AW32" i="1"/>
  <c r="AV32" i="1"/>
  <c r="AU32" i="1"/>
  <c r="AT32" i="1"/>
  <c r="AS32" i="1"/>
  <c r="AH32" i="1"/>
  <c r="W32" i="1"/>
  <c r="L32" i="1"/>
  <c r="IT31" i="1"/>
  <c r="IO31" i="1"/>
  <c r="IO30" i="1" s="1"/>
  <c r="II31" i="1"/>
  <c r="IH31" i="1"/>
  <c r="IG31" i="1"/>
  <c r="IF31" i="1"/>
  <c r="IE31" i="1"/>
  <c r="HZ31" i="1"/>
  <c r="HU31" i="1"/>
  <c r="HO31" i="1"/>
  <c r="HO30" i="1" s="1"/>
  <c r="HN31" i="1"/>
  <c r="HM31" i="1"/>
  <c r="HL31" i="1"/>
  <c r="HK31" i="1"/>
  <c r="HF31" i="1"/>
  <c r="HA31" i="1"/>
  <c r="GV31" i="1"/>
  <c r="GV30" i="1" s="1"/>
  <c r="GE31" i="1"/>
  <c r="GE30" i="1" s="1"/>
  <c r="GD31" i="1"/>
  <c r="GC31" i="1"/>
  <c r="GB31" i="1"/>
  <c r="GB30" i="1" s="1"/>
  <c r="GA31" i="1"/>
  <c r="FZ31" i="1"/>
  <c r="FY31" i="1"/>
  <c r="FX31" i="1"/>
  <c r="FX30" i="1" s="1"/>
  <c r="FW31" i="1"/>
  <c r="FW30" i="1" s="1"/>
  <c r="FV31" i="1"/>
  <c r="FU31" i="1"/>
  <c r="FJ31" i="1"/>
  <c r="FJ30" i="1" s="1"/>
  <c r="EY31" i="1"/>
  <c r="EM31" i="1"/>
  <c r="EM30" i="1" s="1"/>
  <c r="EL31" i="1"/>
  <c r="EK31" i="1"/>
  <c r="EK30" i="1" s="1"/>
  <c r="EJ31" i="1"/>
  <c r="EI31" i="1"/>
  <c r="EH31" i="1"/>
  <c r="EG31" i="1"/>
  <c r="EG30" i="1" s="1"/>
  <c r="EF31" i="1"/>
  <c r="EE31" i="1"/>
  <c r="ED31" i="1"/>
  <c r="DR31" i="1"/>
  <c r="DR30" i="1" s="1"/>
  <c r="DG31" i="1"/>
  <c r="CU31" i="1"/>
  <c r="CT31" i="1"/>
  <c r="CS31" i="1"/>
  <c r="CS30" i="1" s="1"/>
  <c r="CR31" i="1"/>
  <c r="CQ31" i="1"/>
  <c r="CP31" i="1"/>
  <c r="CO31" i="1"/>
  <c r="CO30" i="1" s="1"/>
  <c r="CN31" i="1"/>
  <c r="CM31" i="1"/>
  <c r="CL31" i="1"/>
  <c r="CK31" i="1"/>
  <c r="CK30" i="1" s="1"/>
  <c r="BZ31" i="1"/>
  <c r="BO31" i="1"/>
  <c r="BC31" i="1"/>
  <c r="BB31" i="1"/>
  <c r="BB30" i="1" s="1"/>
  <c r="BA31" i="1"/>
  <c r="AZ31" i="1"/>
  <c r="AY31" i="1"/>
  <c r="AX31" i="1"/>
  <c r="AW31" i="1"/>
  <c r="AV31" i="1"/>
  <c r="AU31" i="1"/>
  <c r="AT31" i="1"/>
  <c r="AS31" i="1"/>
  <c r="AH31" i="1"/>
  <c r="W31" i="1"/>
  <c r="L31" i="1"/>
  <c r="L30" i="1" s="1"/>
  <c r="IV30" i="1"/>
  <c r="IU30" i="1"/>
  <c r="IS30" i="1"/>
  <c r="IR30" i="1"/>
  <c r="IQ30" i="1"/>
  <c r="IP30" i="1"/>
  <c r="IN30" i="1"/>
  <c r="IM30" i="1"/>
  <c r="IL30" i="1"/>
  <c r="IK30" i="1"/>
  <c r="II30" i="1"/>
  <c r="IF30" i="1"/>
  <c r="IE30" i="1"/>
  <c r="ID30" i="1"/>
  <c r="IC30" i="1"/>
  <c r="IB30" i="1"/>
  <c r="IA30" i="1"/>
  <c r="HY30" i="1"/>
  <c r="HX30" i="1"/>
  <c r="HW30" i="1"/>
  <c r="HV30" i="1"/>
  <c r="HT30" i="1"/>
  <c r="HS30" i="1"/>
  <c r="HR30" i="1"/>
  <c r="HQ30" i="1"/>
  <c r="HN30" i="1"/>
  <c r="HK30" i="1"/>
  <c r="HJ30" i="1"/>
  <c r="HI30" i="1"/>
  <c r="HH30" i="1"/>
  <c r="HG30" i="1"/>
  <c r="HF30" i="1"/>
  <c r="HE30" i="1"/>
  <c r="HD30" i="1"/>
  <c r="HC30" i="1"/>
  <c r="HB30" i="1"/>
  <c r="GZ30" i="1"/>
  <c r="GY30" i="1"/>
  <c r="GX30" i="1"/>
  <c r="GW30" i="1"/>
  <c r="GU30" i="1"/>
  <c r="GT30" i="1"/>
  <c r="GS30" i="1"/>
  <c r="GR30" i="1"/>
  <c r="GD30" i="1"/>
  <c r="GA30" i="1"/>
  <c r="FZ30" i="1"/>
  <c r="FU30" i="1"/>
  <c r="FT30" i="1"/>
  <c r="FS30" i="1"/>
  <c r="FR30" i="1"/>
  <c r="FQ30" i="1"/>
  <c r="FP30" i="1"/>
  <c r="FO30" i="1"/>
  <c r="FN30" i="1"/>
  <c r="FM30" i="1"/>
  <c r="FL30" i="1"/>
  <c r="FI30" i="1"/>
  <c r="FH30" i="1"/>
  <c r="FG30" i="1"/>
  <c r="FF30" i="1"/>
  <c r="FE30" i="1"/>
  <c r="FD30" i="1"/>
  <c r="FC30" i="1"/>
  <c r="FB30" i="1"/>
  <c r="FA30" i="1"/>
  <c r="EX30" i="1"/>
  <c r="EW30" i="1"/>
  <c r="EV30" i="1"/>
  <c r="EU30" i="1"/>
  <c r="ET30" i="1"/>
  <c r="ES30" i="1"/>
  <c r="ER30" i="1"/>
  <c r="EQ30" i="1"/>
  <c r="EP30" i="1"/>
  <c r="EL30" i="1"/>
  <c r="EE30" i="1"/>
  <c r="EC30" i="1"/>
  <c r="EB30" i="1"/>
  <c r="EA30" i="1"/>
  <c r="DZ30" i="1"/>
  <c r="DY30" i="1"/>
  <c r="DX30" i="1"/>
  <c r="DW30" i="1"/>
  <c r="DV30" i="1"/>
  <c r="DU30" i="1"/>
  <c r="DT30" i="1"/>
  <c r="DQ30" i="1"/>
  <c r="DP30" i="1"/>
  <c r="DO30" i="1"/>
  <c r="DN30" i="1"/>
  <c r="DM30" i="1"/>
  <c r="DL30" i="1"/>
  <c r="DK30" i="1"/>
  <c r="DJ30" i="1"/>
  <c r="DI30" i="1"/>
  <c r="DF30" i="1"/>
  <c r="DE30" i="1"/>
  <c r="DD30" i="1"/>
  <c r="DC30" i="1"/>
  <c r="DB30" i="1"/>
  <c r="DA30" i="1"/>
  <c r="CZ30" i="1"/>
  <c r="CY30" i="1"/>
  <c r="CX30" i="1"/>
  <c r="CU30" i="1"/>
  <c r="CQ30" i="1"/>
  <c r="CP30" i="1"/>
  <c r="CM30" i="1"/>
  <c r="CJ30" i="1"/>
  <c r="CI30" i="1"/>
  <c r="CH30" i="1"/>
  <c r="CG30" i="1"/>
  <c r="CF30" i="1"/>
  <c r="CE30" i="1"/>
  <c r="CD30" i="1"/>
  <c r="CC30" i="1"/>
  <c r="CB30" i="1"/>
  <c r="BY30" i="1"/>
  <c r="BX30" i="1"/>
  <c r="BW30" i="1"/>
  <c r="BV30" i="1"/>
  <c r="BU30" i="1"/>
  <c r="BT30" i="1"/>
  <c r="BS30" i="1"/>
  <c r="BR30" i="1"/>
  <c r="BQ30" i="1"/>
  <c r="BO30" i="1"/>
  <c r="BN30" i="1"/>
  <c r="BM30" i="1"/>
  <c r="BL30" i="1"/>
  <c r="BK30" i="1"/>
  <c r="BJ30" i="1"/>
  <c r="BI30" i="1"/>
  <c r="BH30" i="1"/>
  <c r="BG30" i="1"/>
  <c r="BF30" i="1"/>
  <c r="AX30" i="1"/>
  <c r="AS30" i="1"/>
  <c r="AR30" i="1"/>
  <c r="AQ30" i="1"/>
  <c r="AP30" i="1"/>
  <c r="AO30" i="1"/>
  <c r="AN30" i="1"/>
  <c r="AM30" i="1"/>
  <c r="AL30" i="1"/>
  <c r="AK30" i="1"/>
  <c r="AJ30" i="1"/>
  <c r="AG30" i="1"/>
  <c r="AF30" i="1"/>
  <c r="AE30" i="1"/>
  <c r="AD30" i="1"/>
  <c r="AC30" i="1"/>
  <c r="AB30" i="1"/>
  <c r="AA30" i="1"/>
  <c r="Z30" i="1"/>
  <c r="Y30" i="1"/>
  <c r="W30" i="1"/>
  <c r="V30" i="1"/>
  <c r="U30" i="1"/>
  <c r="T30" i="1"/>
  <c r="S30" i="1"/>
  <c r="R30" i="1"/>
  <c r="Q30" i="1"/>
  <c r="P30" i="1"/>
  <c r="O30" i="1"/>
  <c r="N30" i="1"/>
  <c r="K30" i="1"/>
  <c r="J30" i="1"/>
  <c r="I30" i="1"/>
  <c r="H30" i="1"/>
  <c r="G30" i="1"/>
  <c r="F30" i="1"/>
  <c r="E30" i="1"/>
  <c r="D30" i="1"/>
  <c r="C30" i="1"/>
  <c r="IT29" i="1"/>
  <c r="IO29" i="1"/>
  <c r="II29" i="1"/>
  <c r="IH29" i="1"/>
  <c r="IG29" i="1"/>
  <c r="IF29" i="1"/>
  <c r="IE29" i="1"/>
  <c r="HZ29" i="1"/>
  <c r="HU29" i="1"/>
  <c r="HO29" i="1"/>
  <c r="HN29" i="1"/>
  <c r="HM29" i="1"/>
  <c r="HL29" i="1"/>
  <c r="HK29" i="1"/>
  <c r="HF29" i="1"/>
  <c r="HA29" i="1"/>
  <c r="GV29" i="1"/>
  <c r="GE29" i="1"/>
  <c r="GD29" i="1"/>
  <c r="GC29" i="1"/>
  <c r="GB29" i="1"/>
  <c r="GA29" i="1"/>
  <c r="FZ29" i="1"/>
  <c r="FY29" i="1"/>
  <c r="FX29" i="1"/>
  <c r="FW29" i="1"/>
  <c r="FV29" i="1"/>
  <c r="FU29" i="1"/>
  <c r="FJ29" i="1"/>
  <c r="EY29" i="1"/>
  <c r="EM29" i="1"/>
  <c r="EL29" i="1"/>
  <c r="EK29" i="1"/>
  <c r="EJ29" i="1"/>
  <c r="EI29" i="1"/>
  <c r="EH29" i="1"/>
  <c r="EG29" i="1"/>
  <c r="EF29" i="1"/>
  <c r="EE29" i="1"/>
  <c r="ED29" i="1"/>
  <c r="DR29" i="1"/>
  <c r="DG29" i="1"/>
  <c r="CU29" i="1"/>
  <c r="CT29" i="1"/>
  <c r="CS29" i="1"/>
  <c r="CR29" i="1"/>
  <c r="CQ29" i="1"/>
  <c r="CP29" i="1"/>
  <c r="CO29" i="1"/>
  <c r="CN29" i="1"/>
  <c r="CM29" i="1"/>
  <c r="CL29" i="1"/>
  <c r="CK29" i="1"/>
  <c r="BZ29" i="1"/>
  <c r="BO29" i="1"/>
  <c r="BC29" i="1"/>
  <c r="BB29" i="1"/>
  <c r="BA29" i="1"/>
  <c r="AZ29" i="1"/>
  <c r="AY29" i="1"/>
  <c r="AX29" i="1"/>
  <c r="AW29" i="1"/>
  <c r="AV29" i="1"/>
  <c r="AU29" i="1"/>
  <c r="AT29" i="1"/>
  <c r="AS29" i="1"/>
  <c r="AH29" i="1"/>
  <c r="W29" i="1"/>
  <c r="L29" i="1"/>
  <c r="IT28" i="1"/>
  <c r="IO28" i="1"/>
  <c r="II28" i="1"/>
  <c r="IH28" i="1"/>
  <c r="IG28" i="1"/>
  <c r="IF28" i="1"/>
  <c r="IE28" i="1"/>
  <c r="HZ28" i="1"/>
  <c r="HU28" i="1"/>
  <c r="HO28" i="1"/>
  <c r="HN28" i="1"/>
  <c r="HM28" i="1"/>
  <c r="HL28" i="1"/>
  <c r="HK28" i="1"/>
  <c r="HF28" i="1"/>
  <c r="HA28" i="1"/>
  <c r="GV28" i="1"/>
  <c r="GE28" i="1"/>
  <c r="GD28" i="1"/>
  <c r="GC28" i="1"/>
  <c r="GB28" i="1"/>
  <c r="GA28" i="1"/>
  <c r="FZ28" i="1"/>
  <c r="FY28" i="1"/>
  <c r="FX28" i="1"/>
  <c r="FW28" i="1"/>
  <c r="FV28" i="1"/>
  <c r="FU28" i="1"/>
  <c r="FJ28" i="1"/>
  <c r="EY28" i="1"/>
  <c r="EM28" i="1"/>
  <c r="EL28" i="1"/>
  <c r="EK28" i="1"/>
  <c r="EK27" i="1" s="1"/>
  <c r="EJ28" i="1"/>
  <c r="EJ27" i="1" s="1"/>
  <c r="EI28" i="1"/>
  <c r="EH28" i="1"/>
  <c r="EG28" i="1"/>
  <c r="EG27" i="1" s="1"/>
  <c r="EF28" i="1"/>
  <c r="EF27" i="1" s="1"/>
  <c r="EE28" i="1"/>
  <c r="ED28" i="1"/>
  <c r="DR28" i="1"/>
  <c r="DR27" i="1" s="1"/>
  <c r="DG28" i="1"/>
  <c r="CU28" i="1"/>
  <c r="CT28" i="1"/>
  <c r="CS28" i="1"/>
  <c r="CR28" i="1"/>
  <c r="CQ28" i="1"/>
  <c r="CP28" i="1"/>
  <c r="CO28" i="1"/>
  <c r="CN28" i="1"/>
  <c r="CM28" i="1"/>
  <c r="CL28" i="1"/>
  <c r="CK28" i="1"/>
  <c r="BZ28" i="1"/>
  <c r="BO28" i="1"/>
  <c r="BC28" i="1"/>
  <c r="BB28" i="1"/>
  <c r="BA28" i="1"/>
  <c r="AZ28" i="1"/>
  <c r="AY28" i="1"/>
  <c r="AX28" i="1"/>
  <c r="AW28" i="1"/>
  <c r="AV28" i="1"/>
  <c r="AU28" i="1"/>
  <c r="AT28" i="1"/>
  <c r="AS28" i="1"/>
  <c r="AS27" i="1" s="1"/>
  <c r="AH28" i="1"/>
  <c r="W28" i="1"/>
  <c r="L28" i="1"/>
  <c r="IV27" i="1"/>
  <c r="IU27" i="1"/>
  <c r="IT27" i="1"/>
  <c r="IS27" i="1"/>
  <c r="IS25" i="1" s="1"/>
  <c r="IS24" i="1" s="1"/>
  <c r="IR27" i="1"/>
  <c r="IQ27" i="1"/>
  <c r="IP27" i="1"/>
  <c r="IP25" i="1" s="1"/>
  <c r="IP24" i="1" s="1"/>
  <c r="IO27" i="1"/>
  <c r="IN27" i="1"/>
  <c r="IM27" i="1"/>
  <c r="IL27" i="1"/>
  <c r="IL25" i="1" s="1"/>
  <c r="IL24" i="1" s="1"/>
  <c r="IK27" i="1"/>
  <c r="IK25" i="1" s="1"/>
  <c r="IK24" i="1" s="1"/>
  <c r="II27" i="1"/>
  <c r="IG27" i="1"/>
  <c r="IF27" i="1"/>
  <c r="IE27" i="1"/>
  <c r="ID27" i="1"/>
  <c r="IC27" i="1"/>
  <c r="IC25" i="1" s="1"/>
  <c r="IC24" i="1" s="1"/>
  <c r="IB27" i="1"/>
  <c r="IB25" i="1" s="1"/>
  <c r="IB24" i="1" s="1"/>
  <c r="IA27" i="1"/>
  <c r="HY27" i="1"/>
  <c r="HY25" i="1" s="1"/>
  <c r="HY24" i="1" s="1"/>
  <c r="HX27" i="1"/>
  <c r="HX25" i="1" s="1"/>
  <c r="HX24" i="1" s="1"/>
  <c r="HW27" i="1"/>
  <c r="HV27" i="1"/>
  <c r="HU27" i="1"/>
  <c r="HT27" i="1"/>
  <c r="HT25" i="1" s="1"/>
  <c r="HT24" i="1" s="1"/>
  <c r="HS27" i="1"/>
  <c r="HR27" i="1"/>
  <c r="HQ27" i="1"/>
  <c r="HQ25" i="1" s="1"/>
  <c r="HQ24" i="1" s="1"/>
  <c r="HO27" i="1"/>
  <c r="HN27" i="1"/>
  <c r="HL27" i="1"/>
  <c r="HK27" i="1"/>
  <c r="HJ27" i="1"/>
  <c r="HI27" i="1"/>
  <c r="HH27" i="1"/>
  <c r="HH25" i="1" s="1"/>
  <c r="HH24" i="1" s="1"/>
  <c r="HG27" i="1"/>
  <c r="HG25" i="1" s="1"/>
  <c r="HG24" i="1" s="1"/>
  <c r="HF27" i="1"/>
  <c r="HE27" i="1"/>
  <c r="HD27" i="1"/>
  <c r="HD25" i="1" s="1"/>
  <c r="HD24" i="1" s="1"/>
  <c r="HC27" i="1"/>
  <c r="HC25" i="1" s="1"/>
  <c r="HC24" i="1" s="1"/>
  <c r="HB27" i="1"/>
  <c r="GZ27" i="1"/>
  <c r="GZ25" i="1" s="1"/>
  <c r="GZ24" i="1" s="1"/>
  <c r="GY27" i="1"/>
  <c r="GY25" i="1" s="1"/>
  <c r="GY24" i="1" s="1"/>
  <c r="GX27" i="1"/>
  <c r="GW27" i="1"/>
  <c r="GV27" i="1"/>
  <c r="GU27" i="1"/>
  <c r="GU25" i="1" s="1"/>
  <c r="GU24" i="1" s="1"/>
  <c r="GT27" i="1"/>
  <c r="GS27" i="1"/>
  <c r="GR27" i="1"/>
  <c r="GR25" i="1" s="1"/>
  <c r="GR24" i="1" s="1"/>
  <c r="GE27" i="1"/>
  <c r="GD27" i="1"/>
  <c r="GB27" i="1"/>
  <c r="GA27" i="1"/>
  <c r="FZ27" i="1"/>
  <c r="FX27" i="1"/>
  <c r="FW27" i="1"/>
  <c r="FT27" i="1"/>
  <c r="FS27" i="1"/>
  <c r="FR27" i="1"/>
  <c r="FQ27" i="1"/>
  <c r="FP27" i="1"/>
  <c r="FO27" i="1"/>
  <c r="FN27" i="1"/>
  <c r="FM27" i="1"/>
  <c r="FL27" i="1"/>
  <c r="FJ27" i="1"/>
  <c r="FI27" i="1"/>
  <c r="FH27" i="1"/>
  <c r="FG27" i="1"/>
  <c r="FF27" i="1"/>
  <c r="FF25" i="1" s="1"/>
  <c r="FF24" i="1" s="1"/>
  <c r="FE27" i="1"/>
  <c r="FD27" i="1"/>
  <c r="FC27" i="1"/>
  <c r="FB27" i="1"/>
  <c r="FB25" i="1" s="1"/>
  <c r="FB24" i="1" s="1"/>
  <c r="FA27" i="1"/>
  <c r="EX27" i="1"/>
  <c r="EW27" i="1"/>
  <c r="EW25" i="1" s="1"/>
  <c r="EW24" i="1" s="1"/>
  <c r="EV27" i="1"/>
  <c r="EU27" i="1"/>
  <c r="ET27" i="1"/>
  <c r="ES27" i="1"/>
  <c r="ES25" i="1" s="1"/>
  <c r="ES24" i="1" s="1"/>
  <c r="ER27" i="1"/>
  <c r="EQ27" i="1"/>
  <c r="EP27" i="1"/>
  <c r="EM27" i="1"/>
  <c r="EI27" i="1"/>
  <c r="EE27" i="1"/>
  <c r="EC27" i="1"/>
  <c r="EB27" i="1"/>
  <c r="EA27" i="1"/>
  <c r="DZ27" i="1"/>
  <c r="DZ25" i="1" s="1"/>
  <c r="DZ24" i="1" s="1"/>
  <c r="DY27" i="1"/>
  <c r="DX27" i="1"/>
  <c r="DW27" i="1"/>
  <c r="DV27" i="1"/>
  <c r="DV25" i="1" s="1"/>
  <c r="DV24" i="1" s="1"/>
  <c r="DU27" i="1"/>
  <c r="DT27" i="1"/>
  <c r="DQ27" i="1"/>
  <c r="DQ25" i="1" s="1"/>
  <c r="DQ24" i="1" s="1"/>
  <c r="DP27" i="1"/>
  <c r="DP25" i="1" s="1"/>
  <c r="DP24" i="1" s="1"/>
  <c r="DO27" i="1"/>
  <c r="DN27" i="1"/>
  <c r="DM27" i="1"/>
  <c r="DM25" i="1" s="1"/>
  <c r="DM24" i="1" s="1"/>
  <c r="DL27" i="1"/>
  <c r="DL25" i="1" s="1"/>
  <c r="DL24" i="1" s="1"/>
  <c r="DK27" i="1"/>
  <c r="DJ27" i="1"/>
  <c r="DI27" i="1"/>
  <c r="DI25" i="1" s="1"/>
  <c r="DI24" i="1" s="1"/>
  <c r="DG27" i="1"/>
  <c r="DF27" i="1"/>
  <c r="DE27" i="1"/>
  <c r="DD27" i="1"/>
  <c r="DD25" i="1" s="1"/>
  <c r="DD24" i="1" s="1"/>
  <c r="DC27" i="1"/>
  <c r="DC25" i="1" s="1"/>
  <c r="DC24" i="1" s="1"/>
  <c r="DB27" i="1"/>
  <c r="DA27" i="1"/>
  <c r="CZ27" i="1"/>
  <c r="CZ25" i="1" s="1"/>
  <c r="CZ24" i="1" s="1"/>
  <c r="CY27" i="1"/>
  <c r="CY25" i="1" s="1"/>
  <c r="CY24" i="1" s="1"/>
  <c r="CX27" i="1"/>
  <c r="CT27" i="1"/>
  <c r="CP27" i="1"/>
  <c r="CK27" i="1"/>
  <c r="CJ27" i="1"/>
  <c r="CI27" i="1"/>
  <c r="CH27" i="1"/>
  <c r="CG27" i="1"/>
  <c r="CG25" i="1" s="1"/>
  <c r="CG24" i="1" s="1"/>
  <c r="CF27" i="1"/>
  <c r="CE27" i="1"/>
  <c r="CD27" i="1"/>
  <c r="CC27" i="1"/>
  <c r="CC25" i="1" s="1"/>
  <c r="CC24" i="1" s="1"/>
  <c r="CB27" i="1"/>
  <c r="BY27" i="1"/>
  <c r="BX27" i="1"/>
  <c r="BX25" i="1" s="1"/>
  <c r="BX24" i="1" s="1"/>
  <c r="BW27" i="1"/>
  <c r="BV27" i="1"/>
  <c r="BU27" i="1"/>
  <c r="BT27" i="1"/>
  <c r="BT25" i="1" s="1"/>
  <c r="BT24" i="1" s="1"/>
  <c r="BS27" i="1"/>
  <c r="BR27" i="1"/>
  <c r="BQ27" i="1"/>
  <c r="BO27" i="1"/>
  <c r="BN27" i="1"/>
  <c r="BM27" i="1"/>
  <c r="BL27" i="1"/>
  <c r="BK27" i="1"/>
  <c r="BK25" i="1" s="1"/>
  <c r="BK24" i="1" s="1"/>
  <c r="BJ27" i="1"/>
  <c r="BI27" i="1"/>
  <c r="BH27" i="1"/>
  <c r="BG27" i="1"/>
  <c r="BG25" i="1" s="1"/>
  <c r="BG24" i="1" s="1"/>
  <c r="BF27" i="1"/>
  <c r="BA27" i="1"/>
  <c r="AZ27" i="1"/>
  <c r="AW27" i="1"/>
  <c r="AV27" i="1"/>
  <c r="AR27" i="1"/>
  <c r="AR25" i="1" s="1"/>
  <c r="AR24" i="1" s="1"/>
  <c r="AQ27" i="1"/>
  <c r="AP27" i="1"/>
  <c r="AO27" i="1"/>
  <c r="AN27" i="1"/>
  <c r="AN25" i="1" s="1"/>
  <c r="AN24" i="1" s="1"/>
  <c r="AM27" i="1"/>
  <c r="AL27" i="1"/>
  <c r="AK27" i="1"/>
  <c r="AJ27" i="1"/>
  <c r="AJ25" i="1" s="1"/>
  <c r="AJ24" i="1" s="1"/>
  <c r="AH27" i="1"/>
  <c r="AG27" i="1"/>
  <c r="AF27" i="1"/>
  <c r="AE27" i="1"/>
  <c r="AE25" i="1" s="1"/>
  <c r="AE24" i="1" s="1"/>
  <c r="AD27" i="1"/>
  <c r="AD25" i="1" s="1"/>
  <c r="AD24" i="1" s="1"/>
  <c r="AC27" i="1"/>
  <c r="AB27" i="1"/>
  <c r="AA27" i="1"/>
  <c r="AA25" i="1" s="1"/>
  <c r="AA24" i="1" s="1"/>
  <c r="Z27" i="1"/>
  <c r="Z25" i="1" s="1"/>
  <c r="Z24" i="1" s="1"/>
  <c r="Y27" i="1"/>
  <c r="V27" i="1"/>
  <c r="V25" i="1" s="1"/>
  <c r="V24" i="1" s="1"/>
  <c r="U27" i="1"/>
  <c r="U25" i="1" s="1"/>
  <c r="U24" i="1" s="1"/>
  <c r="T27" i="1"/>
  <c r="S27" i="1"/>
  <c r="R27" i="1"/>
  <c r="R25" i="1" s="1"/>
  <c r="R24" i="1" s="1"/>
  <c r="Q27" i="1"/>
  <c r="Q25" i="1" s="1"/>
  <c r="Q24" i="1" s="1"/>
  <c r="P27" i="1"/>
  <c r="O27" i="1"/>
  <c r="N27" i="1"/>
  <c r="N25" i="1" s="1"/>
  <c r="N24" i="1" s="1"/>
  <c r="K27" i="1"/>
  <c r="J27" i="1"/>
  <c r="I27" i="1"/>
  <c r="I25" i="1" s="1"/>
  <c r="I24" i="1" s="1"/>
  <c r="H27" i="1"/>
  <c r="H25" i="1" s="1"/>
  <c r="H24" i="1" s="1"/>
  <c r="G27" i="1"/>
  <c r="F27" i="1"/>
  <c r="E27" i="1"/>
  <c r="E25" i="1" s="1"/>
  <c r="E24" i="1" s="1"/>
  <c r="D27" i="1"/>
  <c r="D25" i="1" s="1"/>
  <c r="D24" i="1" s="1"/>
  <c r="C27" i="1"/>
  <c r="IT26" i="1"/>
  <c r="IO26" i="1"/>
  <c r="II26" i="1"/>
  <c r="IH26" i="1"/>
  <c r="IG26" i="1"/>
  <c r="IF26" i="1"/>
  <c r="IE26" i="1"/>
  <c r="HZ26" i="1"/>
  <c r="HU26" i="1"/>
  <c r="HO26" i="1"/>
  <c r="HN26" i="1"/>
  <c r="HM26" i="1"/>
  <c r="HL26" i="1"/>
  <c r="HK26" i="1"/>
  <c r="HF26" i="1"/>
  <c r="HA26" i="1"/>
  <c r="GV26" i="1"/>
  <c r="GE26" i="1"/>
  <c r="GD26" i="1"/>
  <c r="GC26" i="1"/>
  <c r="GB26" i="1"/>
  <c r="GA26" i="1"/>
  <c r="FZ26" i="1"/>
  <c r="FY26" i="1"/>
  <c r="FX26" i="1"/>
  <c r="FW26" i="1"/>
  <c r="FV26" i="1"/>
  <c r="FV25" i="1" s="1"/>
  <c r="FV24" i="1" s="1"/>
  <c r="FU26" i="1"/>
  <c r="FJ26" i="1"/>
  <c r="EY26" i="1"/>
  <c r="EM26" i="1"/>
  <c r="EL26" i="1"/>
  <c r="EK26" i="1"/>
  <c r="EJ26" i="1"/>
  <c r="EI26" i="1"/>
  <c r="EH26" i="1"/>
  <c r="EG26" i="1"/>
  <c r="EF26" i="1"/>
  <c r="EE26" i="1"/>
  <c r="ED26" i="1"/>
  <c r="ED25" i="1" s="1"/>
  <c r="ED24" i="1" s="1"/>
  <c r="DR26" i="1"/>
  <c r="DG26" i="1"/>
  <c r="CU26" i="1"/>
  <c r="CT26" i="1"/>
  <c r="CS26" i="1"/>
  <c r="CR26" i="1"/>
  <c r="CQ26" i="1"/>
  <c r="CP26" i="1"/>
  <c r="CO26" i="1"/>
  <c r="CN26" i="1"/>
  <c r="CM26" i="1"/>
  <c r="CL26" i="1"/>
  <c r="CK26" i="1"/>
  <c r="BZ26" i="1"/>
  <c r="BO26" i="1"/>
  <c r="BC26" i="1"/>
  <c r="BB26" i="1"/>
  <c r="BA26" i="1"/>
  <c r="GN26" i="1" s="1"/>
  <c r="AZ26" i="1"/>
  <c r="AY26" i="1"/>
  <c r="AX26" i="1"/>
  <c r="AW26" i="1"/>
  <c r="GJ26" i="1" s="1"/>
  <c r="AV26" i="1"/>
  <c r="AU26" i="1"/>
  <c r="AT26" i="1"/>
  <c r="AS26" i="1"/>
  <c r="AH26" i="1"/>
  <c r="W26" i="1"/>
  <c r="L26" i="1"/>
  <c r="IV25" i="1"/>
  <c r="IU25" i="1"/>
  <c r="IU24" i="1" s="1"/>
  <c r="IR25" i="1"/>
  <c r="IQ25" i="1"/>
  <c r="IQ24" i="1" s="1"/>
  <c r="IN25" i="1"/>
  <c r="IM25" i="1"/>
  <c r="IM24" i="1" s="1"/>
  <c r="ID25" i="1"/>
  <c r="ID24" i="1" s="1"/>
  <c r="IA25" i="1"/>
  <c r="HW25" i="1"/>
  <c r="HV25" i="1"/>
  <c r="HV24" i="1" s="1"/>
  <c r="HS25" i="1"/>
  <c r="HR25" i="1"/>
  <c r="HR24" i="1" s="1"/>
  <c r="HJ25" i="1"/>
  <c r="HI25" i="1"/>
  <c r="HI24" i="1" s="1"/>
  <c r="HE25" i="1"/>
  <c r="HE24" i="1" s="1"/>
  <c r="HB25" i="1"/>
  <c r="GX25" i="1"/>
  <c r="GW25" i="1"/>
  <c r="GW24" i="1" s="1"/>
  <c r="GT25" i="1"/>
  <c r="GS25" i="1"/>
  <c r="GS24" i="1" s="1"/>
  <c r="FT25" i="1"/>
  <c r="FS25" i="1"/>
  <c r="FR25" i="1"/>
  <c r="FR24" i="1" s="1"/>
  <c r="FP25" i="1"/>
  <c r="FO25" i="1"/>
  <c r="FN25" i="1"/>
  <c r="FN24" i="1" s="1"/>
  <c r="FL25" i="1"/>
  <c r="FI25" i="1"/>
  <c r="FH25" i="1"/>
  <c r="FH24" i="1" s="1"/>
  <c r="FG25" i="1"/>
  <c r="FE25" i="1"/>
  <c r="FD25" i="1"/>
  <c r="FD24" i="1" s="1"/>
  <c r="FC25" i="1"/>
  <c r="FA25" i="1"/>
  <c r="EX25" i="1"/>
  <c r="EV25" i="1"/>
  <c r="EU25" i="1"/>
  <c r="EU24" i="1" s="1"/>
  <c r="ET25" i="1"/>
  <c r="ER25" i="1"/>
  <c r="EQ25" i="1"/>
  <c r="EQ24" i="1" s="1"/>
  <c r="EP25" i="1"/>
  <c r="EC25" i="1"/>
  <c r="EB25" i="1"/>
  <c r="EB24" i="1" s="1"/>
  <c r="DY25" i="1"/>
  <c r="DX25" i="1"/>
  <c r="DX24" i="1" s="1"/>
  <c r="DU25" i="1"/>
  <c r="DU24" i="1" s="1"/>
  <c r="DT25" i="1"/>
  <c r="DT24" i="1" s="1"/>
  <c r="DO25" i="1"/>
  <c r="DN25" i="1"/>
  <c r="DN24" i="1" s="1"/>
  <c r="DK25" i="1"/>
  <c r="DJ25" i="1"/>
  <c r="DJ24" i="1" s="1"/>
  <c r="DF25" i="1"/>
  <c r="DE25" i="1"/>
  <c r="DE24" i="1" s="1"/>
  <c r="DB25" i="1"/>
  <c r="DB24" i="1" s="1"/>
  <c r="DA25" i="1"/>
  <c r="DA24" i="1" s="1"/>
  <c r="CX25" i="1"/>
  <c r="CL25" i="1"/>
  <c r="CL24" i="1" s="1"/>
  <c r="CJ25" i="1"/>
  <c r="CJ24" i="1" s="1"/>
  <c r="CI25" i="1"/>
  <c r="CI24" i="1" s="1"/>
  <c r="CF25" i="1"/>
  <c r="CE25" i="1"/>
  <c r="CE24" i="1" s="1"/>
  <c r="CB25" i="1"/>
  <c r="BW25" i="1"/>
  <c r="BV25" i="1"/>
  <c r="BV24" i="1" s="1"/>
  <c r="BS25" i="1"/>
  <c r="BS24" i="1" s="1"/>
  <c r="BR25" i="1"/>
  <c r="BR24" i="1" s="1"/>
  <c r="BN25" i="1"/>
  <c r="BN24" i="1" s="1"/>
  <c r="BM25" i="1"/>
  <c r="BM24" i="1" s="1"/>
  <c r="BJ25" i="1"/>
  <c r="BJ24" i="1" s="1"/>
  <c r="BI25" i="1"/>
  <c r="BI24" i="1" s="1"/>
  <c r="BF25" i="1"/>
  <c r="AT25" i="1"/>
  <c r="AT24" i="1" s="1"/>
  <c r="AQ25" i="1"/>
  <c r="AQ24" i="1" s="1"/>
  <c r="AP25" i="1"/>
  <c r="AM25" i="1"/>
  <c r="AM24" i="1" s="1"/>
  <c r="AL25" i="1"/>
  <c r="AL24" i="1" s="1"/>
  <c r="AG25" i="1"/>
  <c r="AG24" i="1" s="1"/>
  <c r="AF25" i="1"/>
  <c r="AF24" i="1" s="1"/>
  <c r="AC25" i="1"/>
  <c r="AB25" i="1"/>
  <c r="AB24" i="1" s="1"/>
  <c r="Y25" i="1"/>
  <c r="Y24" i="1" s="1"/>
  <c r="T25" i="1"/>
  <c r="T24" i="1" s="1"/>
  <c r="S25" i="1"/>
  <c r="S24" i="1" s="1"/>
  <c r="P25" i="1"/>
  <c r="O25" i="1"/>
  <c r="O24" i="1" s="1"/>
  <c r="K25" i="1"/>
  <c r="K24" i="1" s="1"/>
  <c r="J25" i="1"/>
  <c r="J24" i="1" s="1"/>
  <c r="G25" i="1"/>
  <c r="F25" i="1"/>
  <c r="F24" i="1" s="1"/>
  <c r="C25" i="1"/>
  <c r="C24" i="1" s="1"/>
  <c r="IV24" i="1"/>
  <c r="IR24" i="1"/>
  <c r="IN24" i="1"/>
  <c r="IA24" i="1"/>
  <c r="HW24" i="1"/>
  <c r="HS24" i="1"/>
  <c r="HJ24" i="1"/>
  <c r="HB24" i="1"/>
  <c r="GX24" i="1"/>
  <c r="GT24" i="1"/>
  <c r="FI24" i="1"/>
  <c r="FE24" i="1"/>
  <c r="FA24" i="1"/>
  <c r="EV24" i="1"/>
  <c r="ER24" i="1"/>
  <c r="EC24" i="1"/>
  <c r="DY24" i="1"/>
  <c r="DO24" i="1"/>
  <c r="DK24" i="1"/>
  <c r="DF24" i="1"/>
  <c r="CX24" i="1"/>
  <c r="CF24" i="1"/>
  <c r="CB24" i="1"/>
  <c r="BW24" i="1"/>
  <c r="BF24" i="1"/>
  <c r="AC24" i="1"/>
  <c r="P24" i="1"/>
  <c r="G24" i="1"/>
  <c r="IT23" i="1"/>
  <c r="IO23" i="1"/>
  <c r="II23" i="1"/>
  <c r="IH23" i="1"/>
  <c r="IG23" i="1"/>
  <c r="IF23" i="1"/>
  <c r="IE23" i="1"/>
  <c r="HZ23" i="1"/>
  <c r="HU23" i="1"/>
  <c r="HO23" i="1"/>
  <c r="HN23" i="1"/>
  <c r="HM23" i="1"/>
  <c r="HL23" i="1"/>
  <c r="HK23" i="1"/>
  <c r="HF23" i="1"/>
  <c r="HA23" i="1"/>
  <c r="GV23" i="1"/>
  <c r="GE23" i="1"/>
  <c r="GD23" i="1"/>
  <c r="GC23" i="1"/>
  <c r="GB23" i="1"/>
  <c r="GA23" i="1"/>
  <c r="FZ23" i="1"/>
  <c r="FY23" i="1"/>
  <c r="FX23" i="1"/>
  <c r="FW23" i="1"/>
  <c r="FV23" i="1"/>
  <c r="FU23" i="1"/>
  <c r="FJ23" i="1"/>
  <c r="EY23" i="1"/>
  <c r="EM23" i="1"/>
  <c r="EL23" i="1"/>
  <c r="EK23" i="1"/>
  <c r="EJ23" i="1"/>
  <c r="EI23" i="1"/>
  <c r="EH23" i="1"/>
  <c r="EG23" i="1"/>
  <c r="EF23" i="1"/>
  <c r="EE23" i="1"/>
  <c r="ED23" i="1"/>
  <c r="DR23" i="1"/>
  <c r="DG23" i="1"/>
  <c r="CU23" i="1"/>
  <c r="CT23" i="1"/>
  <c r="CS23" i="1"/>
  <c r="CR23" i="1"/>
  <c r="CQ23" i="1"/>
  <c r="CP23" i="1"/>
  <c r="CO23" i="1"/>
  <c r="CN23" i="1"/>
  <c r="CM23" i="1"/>
  <c r="CL23" i="1"/>
  <c r="CK23" i="1"/>
  <c r="BZ23" i="1"/>
  <c r="BO23" i="1"/>
  <c r="BC23" i="1"/>
  <c r="BB23" i="1"/>
  <c r="BA23" i="1"/>
  <c r="AZ23" i="1"/>
  <c r="AY23" i="1"/>
  <c r="AX23" i="1"/>
  <c r="AW23" i="1"/>
  <c r="AV23" i="1"/>
  <c r="AU23" i="1"/>
  <c r="AT23" i="1"/>
  <c r="AS23" i="1"/>
  <c r="AH23" i="1"/>
  <c r="W23" i="1"/>
  <c r="L23" i="1"/>
  <c r="IT22" i="1"/>
  <c r="IO22" i="1"/>
  <c r="II22" i="1"/>
  <c r="IH22" i="1"/>
  <c r="IG22" i="1"/>
  <c r="IF22" i="1"/>
  <c r="IE22" i="1"/>
  <c r="HZ22" i="1"/>
  <c r="HU22" i="1"/>
  <c r="HO22" i="1"/>
  <c r="HN22" i="1"/>
  <c r="HM22" i="1"/>
  <c r="HL22" i="1"/>
  <c r="HK22" i="1"/>
  <c r="HF22" i="1"/>
  <c r="HA22" i="1"/>
  <c r="GV22" i="1"/>
  <c r="IT21" i="1"/>
  <c r="IO21" i="1"/>
  <c r="II21" i="1"/>
  <c r="IH21" i="1"/>
  <c r="IG21" i="1"/>
  <c r="IF21" i="1"/>
  <c r="IE21" i="1"/>
  <c r="HZ21" i="1"/>
  <c r="HU21" i="1"/>
  <c r="HO21" i="1"/>
  <c r="HN21" i="1"/>
  <c r="HM21" i="1"/>
  <c r="HL21" i="1"/>
  <c r="HK21" i="1"/>
  <c r="HF21" i="1"/>
  <c r="HA21" i="1"/>
  <c r="GV21" i="1"/>
  <c r="GE21" i="1"/>
  <c r="GD21" i="1"/>
  <c r="GC21" i="1"/>
  <c r="GB21" i="1"/>
  <c r="GA21" i="1"/>
  <c r="FZ21" i="1"/>
  <c r="FY21" i="1"/>
  <c r="FX21" i="1"/>
  <c r="FW21" i="1"/>
  <c r="FV21" i="1"/>
  <c r="FU21" i="1"/>
  <c r="FJ21" i="1"/>
  <c r="EY21" i="1"/>
  <c r="EM21" i="1"/>
  <c r="EL21" i="1"/>
  <c r="EK21" i="1"/>
  <c r="EJ21" i="1"/>
  <c r="EI21" i="1"/>
  <c r="EH21" i="1"/>
  <c r="EG21" i="1"/>
  <c r="EF21" i="1"/>
  <c r="EE21" i="1"/>
  <c r="ED21" i="1"/>
  <c r="DR21" i="1"/>
  <c r="DG21" i="1"/>
  <c r="CU21" i="1"/>
  <c r="CT21" i="1"/>
  <c r="CS21" i="1"/>
  <c r="CR21" i="1"/>
  <c r="CQ21" i="1"/>
  <c r="CP21" i="1"/>
  <c r="CO21" i="1"/>
  <c r="CN21" i="1"/>
  <c r="CM21" i="1"/>
  <c r="CL21" i="1"/>
  <c r="CK21" i="1"/>
  <c r="BZ21" i="1"/>
  <c r="BO21" i="1"/>
  <c r="BC21" i="1"/>
  <c r="BB21" i="1"/>
  <c r="BA21" i="1"/>
  <c r="AZ21" i="1"/>
  <c r="AY21" i="1"/>
  <c r="AX21" i="1"/>
  <c r="AW21" i="1"/>
  <c r="AV21" i="1"/>
  <c r="AU21" i="1"/>
  <c r="AT21" i="1"/>
  <c r="AS21" i="1"/>
  <c r="AH21" i="1"/>
  <c r="W21" i="1"/>
  <c r="L21" i="1"/>
  <c r="IT20" i="1"/>
  <c r="IO20" i="1"/>
  <c r="II20" i="1"/>
  <c r="IH20" i="1"/>
  <c r="IG20" i="1"/>
  <c r="IF20" i="1"/>
  <c r="IE20" i="1"/>
  <c r="HZ20" i="1"/>
  <c r="HU20" i="1"/>
  <c r="HO20" i="1"/>
  <c r="HN20" i="1"/>
  <c r="HM20" i="1"/>
  <c r="HL20" i="1"/>
  <c r="HK20" i="1"/>
  <c r="HF20" i="1"/>
  <c r="HA20" i="1"/>
  <c r="GV20" i="1"/>
  <c r="GE20" i="1"/>
  <c r="GD20" i="1"/>
  <c r="GC20" i="1"/>
  <c r="GB20" i="1"/>
  <c r="GA20" i="1"/>
  <c r="FZ20" i="1"/>
  <c r="FY20" i="1"/>
  <c r="FX20" i="1"/>
  <c r="FW20" i="1"/>
  <c r="FV20" i="1"/>
  <c r="FU20" i="1"/>
  <c r="FJ20" i="1"/>
  <c r="EY20" i="1"/>
  <c r="EM20" i="1"/>
  <c r="EL20" i="1"/>
  <c r="EK20" i="1"/>
  <c r="EJ20" i="1"/>
  <c r="EI20" i="1"/>
  <c r="EH20" i="1"/>
  <c r="EG20" i="1"/>
  <c r="EF20" i="1"/>
  <c r="EE20" i="1"/>
  <c r="ED20" i="1"/>
  <c r="DR20" i="1"/>
  <c r="DG20" i="1"/>
  <c r="CU20" i="1"/>
  <c r="CT20" i="1"/>
  <c r="CS20" i="1"/>
  <c r="CR20" i="1"/>
  <c r="CQ20" i="1"/>
  <c r="CP20" i="1"/>
  <c r="CO20" i="1"/>
  <c r="CN20" i="1"/>
  <c r="CM20" i="1"/>
  <c r="CL20" i="1"/>
  <c r="CK20" i="1"/>
  <c r="BZ20" i="1"/>
  <c r="BO20" i="1"/>
  <c r="BC20" i="1"/>
  <c r="BB20" i="1"/>
  <c r="BA20" i="1"/>
  <c r="AZ20" i="1"/>
  <c r="AY20" i="1"/>
  <c r="AX20" i="1"/>
  <c r="AW20" i="1"/>
  <c r="AV20" i="1"/>
  <c r="AU20" i="1"/>
  <c r="AT20" i="1"/>
  <c r="AS20" i="1"/>
  <c r="AH20" i="1"/>
  <c r="W20" i="1"/>
  <c r="L20" i="1"/>
  <c r="IT19" i="1"/>
  <c r="IO19" i="1"/>
  <c r="II19" i="1"/>
  <c r="IH19" i="1"/>
  <c r="IG19" i="1"/>
  <c r="IF19" i="1"/>
  <c r="IE19" i="1"/>
  <c r="HZ19" i="1"/>
  <c r="HU19" i="1"/>
  <c r="HO19" i="1"/>
  <c r="HN19" i="1"/>
  <c r="HM19" i="1"/>
  <c r="HL19" i="1"/>
  <c r="HK19" i="1"/>
  <c r="HF19" i="1"/>
  <c r="HA19" i="1"/>
  <c r="GV19" i="1"/>
  <c r="GE19" i="1"/>
  <c r="GD19" i="1"/>
  <c r="GC19" i="1"/>
  <c r="GB19" i="1"/>
  <c r="GA19" i="1"/>
  <c r="FZ19" i="1"/>
  <c r="FY19" i="1"/>
  <c r="FX19" i="1"/>
  <c r="FW19" i="1"/>
  <c r="FV19" i="1"/>
  <c r="FU19" i="1"/>
  <c r="FJ19" i="1"/>
  <c r="EY19" i="1"/>
  <c r="EM19" i="1"/>
  <c r="EL19" i="1"/>
  <c r="EK19" i="1"/>
  <c r="EJ19" i="1"/>
  <c r="EI19" i="1"/>
  <c r="EH19" i="1"/>
  <c r="EG19" i="1"/>
  <c r="EF19" i="1"/>
  <c r="EE19" i="1"/>
  <c r="ED19" i="1"/>
  <c r="DR19" i="1"/>
  <c r="DG19" i="1"/>
  <c r="CU19" i="1"/>
  <c r="CT19" i="1"/>
  <c r="CS19" i="1"/>
  <c r="CR19" i="1"/>
  <c r="CQ19" i="1"/>
  <c r="CP19" i="1"/>
  <c r="CO19" i="1"/>
  <c r="CN19" i="1"/>
  <c r="CM19" i="1"/>
  <c r="CL19" i="1"/>
  <c r="CK19" i="1"/>
  <c r="BZ19" i="1"/>
  <c r="BO19" i="1"/>
  <c r="BC19" i="1"/>
  <c r="BB19" i="1"/>
  <c r="BA19" i="1"/>
  <c r="AZ19" i="1"/>
  <c r="AY19" i="1"/>
  <c r="AX19" i="1"/>
  <c r="AW19" i="1"/>
  <c r="AV19" i="1"/>
  <c r="AU19" i="1"/>
  <c r="AT19" i="1"/>
  <c r="AS19" i="1"/>
  <c r="AH19" i="1"/>
  <c r="W19" i="1"/>
  <c r="L19" i="1"/>
  <c r="IT18" i="1"/>
  <c r="IO18" i="1"/>
  <c r="II18" i="1"/>
  <c r="IH18" i="1"/>
  <c r="IG18" i="1"/>
  <c r="IF18" i="1"/>
  <c r="IE18" i="1"/>
  <c r="HZ18" i="1"/>
  <c r="HU18" i="1"/>
  <c r="HO18" i="1"/>
  <c r="HN18" i="1"/>
  <c r="HM18" i="1"/>
  <c r="HL18" i="1"/>
  <c r="HK18" i="1"/>
  <c r="HF18" i="1"/>
  <c r="HA18" i="1"/>
  <c r="GV18" i="1"/>
  <c r="GE18" i="1"/>
  <c r="GD18" i="1"/>
  <c r="GC18" i="1"/>
  <c r="GB18" i="1"/>
  <c r="GA18" i="1"/>
  <c r="FZ18" i="1"/>
  <c r="FY18" i="1"/>
  <c r="FX18" i="1"/>
  <c r="FW18" i="1"/>
  <c r="FV18" i="1"/>
  <c r="FU18" i="1"/>
  <c r="FJ18" i="1"/>
  <c r="EY18" i="1"/>
  <c r="EM18" i="1"/>
  <c r="EL18" i="1"/>
  <c r="EK18" i="1"/>
  <c r="EJ18" i="1"/>
  <c r="EI18" i="1"/>
  <c r="EH18" i="1"/>
  <c r="EG18" i="1"/>
  <c r="EF18" i="1"/>
  <c r="EE18" i="1"/>
  <c r="ED18" i="1"/>
  <c r="DR18" i="1"/>
  <c r="DG18" i="1"/>
  <c r="CU18" i="1"/>
  <c r="CT18" i="1"/>
  <c r="CS18" i="1"/>
  <c r="CR18" i="1"/>
  <c r="CQ18" i="1"/>
  <c r="CP18" i="1"/>
  <c r="CO18" i="1"/>
  <c r="CN18" i="1"/>
  <c r="CM18" i="1"/>
  <c r="CL18" i="1"/>
  <c r="CK18" i="1"/>
  <c r="BZ18" i="1"/>
  <c r="BO18" i="1"/>
  <c r="BC18" i="1"/>
  <c r="BB18" i="1"/>
  <c r="BA18" i="1"/>
  <c r="AZ18" i="1"/>
  <c r="AY18" i="1"/>
  <c r="AX18" i="1"/>
  <c r="AW18" i="1"/>
  <c r="AV18" i="1"/>
  <c r="AU18" i="1"/>
  <c r="AT18" i="1"/>
  <c r="AS18" i="1"/>
  <c r="AH18" i="1"/>
  <c r="W18" i="1"/>
  <c r="L18" i="1"/>
  <c r="IT17" i="1"/>
  <c r="IO17" i="1"/>
  <c r="II17" i="1"/>
  <c r="IH17" i="1"/>
  <c r="IG17" i="1"/>
  <c r="IF17" i="1"/>
  <c r="IE17" i="1"/>
  <c r="HZ17" i="1"/>
  <c r="HU17" i="1"/>
  <c r="HO17" i="1"/>
  <c r="HN17" i="1"/>
  <c r="HM17" i="1"/>
  <c r="HL17" i="1"/>
  <c r="HK17" i="1"/>
  <c r="HF17" i="1"/>
  <c r="HA17" i="1"/>
  <c r="GV17" i="1"/>
  <c r="GE17" i="1"/>
  <c r="GD17" i="1"/>
  <c r="GC17" i="1"/>
  <c r="GB17" i="1"/>
  <c r="GA17" i="1"/>
  <c r="FZ17" i="1"/>
  <c r="FY17" i="1"/>
  <c r="FX17" i="1"/>
  <c r="FW17" i="1"/>
  <c r="FV17" i="1"/>
  <c r="FU17" i="1"/>
  <c r="FJ17" i="1"/>
  <c r="EY17" i="1"/>
  <c r="EM17" i="1"/>
  <c r="EL17" i="1"/>
  <c r="EK17" i="1"/>
  <c r="EJ17" i="1"/>
  <c r="EI17" i="1"/>
  <c r="EH17" i="1"/>
  <c r="EG17" i="1"/>
  <c r="EF17" i="1"/>
  <c r="EE17" i="1"/>
  <c r="ED17" i="1"/>
  <c r="DR17" i="1"/>
  <c r="DG17" i="1"/>
  <c r="CU17" i="1"/>
  <c r="CT17" i="1"/>
  <c r="CS17" i="1"/>
  <c r="CR17" i="1"/>
  <c r="CQ17" i="1"/>
  <c r="CP17" i="1"/>
  <c r="CO17" i="1"/>
  <c r="CN17" i="1"/>
  <c r="CM17" i="1"/>
  <c r="CL17" i="1"/>
  <c r="CK17" i="1"/>
  <c r="BZ17" i="1"/>
  <c r="BO17" i="1"/>
  <c r="BC17" i="1"/>
  <c r="BB17" i="1"/>
  <c r="BA17" i="1"/>
  <c r="AZ17" i="1"/>
  <c r="AY17" i="1"/>
  <c r="AX17" i="1"/>
  <c r="AW17" i="1"/>
  <c r="AV17" i="1"/>
  <c r="AU17" i="1"/>
  <c r="AT17" i="1"/>
  <c r="AS17" i="1"/>
  <c r="AH17" i="1"/>
  <c r="W17" i="1"/>
  <c r="L17" i="1"/>
  <c r="IT16" i="1"/>
  <c r="IO16" i="1"/>
  <c r="II16" i="1"/>
  <c r="IH16" i="1"/>
  <c r="IH15" i="1" s="1"/>
  <c r="IH14" i="1" s="1"/>
  <c r="IG16" i="1"/>
  <c r="IF16" i="1"/>
  <c r="IE16" i="1"/>
  <c r="HZ16" i="1"/>
  <c r="HZ15" i="1" s="1"/>
  <c r="HZ14" i="1" s="1"/>
  <c r="HU16" i="1"/>
  <c r="HO16" i="1"/>
  <c r="HN16" i="1"/>
  <c r="HM16" i="1"/>
  <c r="HM15" i="1" s="1"/>
  <c r="HM14" i="1" s="1"/>
  <c r="HL16" i="1"/>
  <c r="HK16" i="1"/>
  <c r="HF16" i="1"/>
  <c r="HA16" i="1"/>
  <c r="HA15" i="1" s="1"/>
  <c r="HA14" i="1" s="1"/>
  <c r="GV16" i="1"/>
  <c r="GE16" i="1"/>
  <c r="GD16" i="1"/>
  <c r="GC16" i="1"/>
  <c r="GC15" i="1" s="1"/>
  <c r="GC14" i="1" s="1"/>
  <c r="GB16" i="1"/>
  <c r="GA16" i="1"/>
  <c r="FZ16" i="1"/>
  <c r="FY16" i="1"/>
  <c r="FY15" i="1" s="1"/>
  <c r="FY14" i="1" s="1"/>
  <c r="FX16" i="1"/>
  <c r="FW16" i="1"/>
  <c r="FV16" i="1"/>
  <c r="FU16" i="1"/>
  <c r="FU15" i="1" s="1"/>
  <c r="FU14" i="1" s="1"/>
  <c r="FJ16" i="1"/>
  <c r="EY16" i="1"/>
  <c r="EM16" i="1"/>
  <c r="EL16" i="1"/>
  <c r="EL15" i="1" s="1"/>
  <c r="EL14" i="1" s="1"/>
  <c r="EK16" i="1"/>
  <c r="EJ16" i="1"/>
  <c r="EI16" i="1"/>
  <c r="EH16" i="1"/>
  <c r="EH15" i="1" s="1"/>
  <c r="EH14" i="1" s="1"/>
  <c r="EG16" i="1"/>
  <c r="EF16" i="1"/>
  <c r="EE16" i="1"/>
  <c r="ED16" i="1"/>
  <c r="ED15" i="1" s="1"/>
  <c r="ED14" i="1" s="1"/>
  <c r="ED13" i="1" s="1"/>
  <c r="ED12" i="1" s="1"/>
  <c r="ED11" i="1" s="1"/>
  <c r="ED10" i="1" s="1"/>
  <c r="DR16" i="1"/>
  <c r="DG16" i="1"/>
  <c r="CU16" i="1"/>
  <c r="CT16" i="1"/>
  <c r="CT15" i="1" s="1"/>
  <c r="CT14" i="1" s="1"/>
  <c r="CS16" i="1"/>
  <c r="CR16" i="1"/>
  <c r="CQ16" i="1"/>
  <c r="CP16" i="1"/>
  <c r="CP15" i="1" s="1"/>
  <c r="CP14" i="1" s="1"/>
  <c r="CO16" i="1"/>
  <c r="CN16" i="1"/>
  <c r="CM16" i="1"/>
  <c r="CL16" i="1"/>
  <c r="CL15" i="1" s="1"/>
  <c r="CL14" i="1" s="1"/>
  <c r="CK16" i="1"/>
  <c r="BZ16" i="1"/>
  <c r="BO16" i="1"/>
  <c r="BC16" i="1"/>
  <c r="BB16" i="1"/>
  <c r="BA16" i="1"/>
  <c r="AZ16" i="1"/>
  <c r="AY16" i="1"/>
  <c r="AX16" i="1"/>
  <c r="AW16" i="1"/>
  <c r="AV16" i="1"/>
  <c r="AU16" i="1"/>
  <c r="AT16" i="1"/>
  <c r="AS16" i="1"/>
  <c r="AH16" i="1"/>
  <c r="W16" i="1"/>
  <c r="W15" i="1" s="1"/>
  <c r="W14" i="1" s="1"/>
  <c r="L16" i="1"/>
  <c r="IV15" i="1"/>
  <c r="IU15" i="1"/>
  <c r="IT15" i="1"/>
  <c r="IT14" i="1" s="1"/>
  <c r="IS15" i="1"/>
  <c r="IS14" i="1" s="1"/>
  <c r="IR15" i="1"/>
  <c r="IQ15" i="1"/>
  <c r="IP15" i="1"/>
  <c r="IP14" i="1" s="1"/>
  <c r="IN15" i="1"/>
  <c r="IM15" i="1"/>
  <c r="IL15" i="1"/>
  <c r="IL14" i="1" s="1"/>
  <c r="IK15" i="1"/>
  <c r="IK14" i="1" s="1"/>
  <c r="ID15" i="1"/>
  <c r="IC15" i="1"/>
  <c r="IC14" i="1" s="1"/>
  <c r="IB15" i="1"/>
  <c r="IB14" i="1" s="1"/>
  <c r="IA15" i="1"/>
  <c r="IA14" i="1" s="1"/>
  <c r="HY15" i="1"/>
  <c r="HY14" i="1" s="1"/>
  <c r="HX15" i="1"/>
  <c r="HX14" i="1" s="1"/>
  <c r="HW15" i="1"/>
  <c r="HV15" i="1"/>
  <c r="HV14" i="1" s="1"/>
  <c r="HT15" i="1"/>
  <c r="HT14" i="1" s="1"/>
  <c r="HS15" i="1"/>
  <c r="HR15" i="1"/>
  <c r="HR14" i="1" s="1"/>
  <c r="HQ15" i="1"/>
  <c r="HQ14" i="1" s="1"/>
  <c r="HJ15" i="1"/>
  <c r="HI15" i="1"/>
  <c r="HH15" i="1"/>
  <c r="HH14" i="1" s="1"/>
  <c r="HG15" i="1"/>
  <c r="HG14" i="1" s="1"/>
  <c r="HE15" i="1"/>
  <c r="HD15" i="1"/>
  <c r="HD14" i="1" s="1"/>
  <c r="HC15" i="1"/>
  <c r="HC14" i="1" s="1"/>
  <c r="HB15" i="1"/>
  <c r="GZ15" i="1"/>
  <c r="GZ14" i="1" s="1"/>
  <c r="GY15" i="1"/>
  <c r="GY14" i="1" s="1"/>
  <c r="GX15" i="1"/>
  <c r="GX14" i="1" s="1"/>
  <c r="GW15" i="1"/>
  <c r="GW14" i="1" s="1"/>
  <c r="GU15" i="1"/>
  <c r="GU14" i="1" s="1"/>
  <c r="GT15" i="1"/>
  <c r="GS15" i="1"/>
  <c r="GR15" i="1"/>
  <c r="GR14" i="1" s="1"/>
  <c r="FT15" i="1"/>
  <c r="FT14" i="1" s="1"/>
  <c r="FS15" i="1"/>
  <c r="FS14" i="1" s="1"/>
  <c r="FR15" i="1"/>
  <c r="FQ15" i="1"/>
  <c r="FQ14" i="1" s="1"/>
  <c r="FP15" i="1"/>
  <c r="FP14" i="1" s="1"/>
  <c r="FO15" i="1"/>
  <c r="FO14" i="1" s="1"/>
  <c r="FN15" i="1"/>
  <c r="FM15" i="1"/>
  <c r="FM14" i="1" s="1"/>
  <c r="FL15" i="1"/>
  <c r="FL14" i="1" s="1"/>
  <c r="FK15" i="1"/>
  <c r="FK14" i="1" s="1"/>
  <c r="FI15" i="1"/>
  <c r="FH15" i="1"/>
  <c r="FH14" i="1" s="1"/>
  <c r="FG15" i="1"/>
  <c r="FG14" i="1" s="1"/>
  <c r="FF15" i="1"/>
  <c r="FE15" i="1"/>
  <c r="FD15" i="1"/>
  <c r="FD14" i="1" s="1"/>
  <c r="FC15" i="1"/>
  <c r="FC14" i="1" s="1"/>
  <c r="FB15" i="1"/>
  <c r="FA15" i="1"/>
  <c r="EZ15" i="1"/>
  <c r="EZ14" i="1" s="1"/>
  <c r="EZ13" i="1" s="1"/>
  <c r="EX15" i="1"/>
  <c r="EX14" i="1" s="1"/>
  <c r="EW15" i="1"/>
  <c r="EV15" i="1"/>
  <c r="EV14" i="1" s="1"/>
  <c r="EU15" i="1"/>
  <c r="EU14" i="1" s="1"/>
  <c r="ET15" i="1"/>
  <c r="ET14" i="1" s="1"/>
  <c r="ES15" i="1"/>
  <c r="ER15" i="1"/>
  <c r="ER14" i="1" s="1"/>
  <c r="EQ15" i="1"/>
  <c r="EQ14" i="1" s="1"/>
  <c r="EP15" i="1"/>
  <c r="EP14" i="1" s="1"/>
  <c r="EC15" i="1"/>
  <c r="EB15" i="1"/>
  <c r="EB14" i="1" s="1"/>
  <c r="EA15" i="1"/>
  <c r="EA14" i="1" s="1"/>
  <c r="DZ15" i="1"/>
  <c r="DZ14" i="1" s="1"/>
  <c r="DY15" i="1"/>
  <c r="DX15" i="1"/>
  <c r="DX14" i="1" s="1"/>
  <c r="DW15" i="1"/>
  <c r="DW14" i="1" s="1"/>
  <c r="DV15" i="1"/>
  <c r="DV14" i="1" s="1"/>
  <c r="DU15" i="1"/>
  <c r="DT15" i="1"/>
  <c r="DS15" i="1"/>
  <c r="DS14" i="1" s="1"/>
  <c r="DS13" i="1" s="1"/>
  <c r="DS12" i="1" s="1"/>
  <c r="DS11" i="1" s="1"/>
  <c r="DS10" i="1" s="1"/>
  <c r="DR15" i="1"/>
  <c r="DR14" i="1" s="1"/>
  <c r="DQ15" i="1"/>
  <c r="DP15" i="1"/>
  <c r="DP14" i="1" s="1"/>
  <c r="DO15" i="1"/>
  <c r="DO14" i="1" s="1"/>
  <c r="DN15" i="1"/>
  <c r="DN14" i="1" s="1"/>
  <c r="DM15" i="1"/>
  <c r="DL15" i="1"/>
  <c r="DL14" i="1" s="1"/>
  <c r="DL13" i="1" s="1"/>
  <c r="DL12" i="1" s="1"/>
  <c r="DL11" i="1" s="1"/>
  <c r="DL10" i="1" s="1"/>
  <c r="DL335" i="1" s="1"/>
  <c r="DK15" i="1"/>
  <c r="DK14" i="1" s="1"/>
  <c r="DJ15" i="1"/>
  <c r="DJ14" i="1" s="1"/>
  <c r="DI15" i="1"/>
  <c r="DH15" i="1"/>
  <c r="DH14" i="1" s="1"/>
  <c r="DH13" i="1" s="1"/>
  <c r="DH12" i="1" s="1"/>
  <c r="DH11" i="1" s="1"/>
  <c r="DH10" i="1" s="1"/>
  <c r="DF15" i="1"/>
  <c r="DF14" i="1" s="1"/>
  <c r="DE15" i="1"/>
  <c r="DE14" i="1" s="1"/>
  <c r="DD15" i="1"/>
  <c r="DC15" i="1"/>
  <c r="DC14" i="1" s="1"/>
  <c r="DB15" i="1"/>
  <c r="DB14" i="1" s="1"/>
  <c r="DA15" i="1"/>
  <c r="CZ15" i="1"/>
  <c r="CY15" i="1"/>
  <c r="CY14" i="1" s="1"/>
  <c r="CX15" i="1"/>
  <c r="CX14" i="1" s="1"/>
  <c r="CU15" i="1"/>
  <c r="CM15" i="1"/>
  <c r="CJ15" i="1"/>
  <c r="CJ14" i="1" s="1"/>
  <c r="CI15" i="1"/>
  <c r="CI14" i="1" s="1"/>
  <c r="CH15" i="1"/>
  <c r="CG15" i="1"/>
  <c r="CF15" i="1"/>
  <c r="CF14" i="1" s="1"/>
  <c r="CE15" i="1"/>
  <c r="CE14" i="1" s="1"/>
  <c r="CD15" i="1"/>
  <c r="CC15" i="1"/>
  <c r="CB15" i="1"/>
  <c r="CB14" i="1" s="1"/>
  <c r="CA15" i="1"/>
  <c r="CA14" i="1" s="1"/>
  <c r="CA13" i="1" s="1"/>
  <c r="CA12" i="1" s="1"/>
  <c r="CA11" i="1" s="1"/>
  <c r="CA10" i="1" s="1"/>
  <c r="BY15" i="1"/>
  <c r="BX15" i="1"/>
  <c r="BW15" i="1"/>
  <c r="BW14" i="1" s="1"/>
  <c r="BV15" i="1"/>
  <c r="BU15" i="1"/>
  <c r="BT15" i="1"/>
  <c r="BS15" i="1"/>
  <c r="BS14" i="1" s="1"/>
  <c r="BR15" i="1"/>
  <c r="BR14" i="1" s="1"/>
  <c r="BQ15" i="1"/>
  <c r="BP15" i="1"/>
  <c r="BN15" i="1"/>
  <c r="BN14" i="1" s="1"/>
  <c r="BM15" i="1"/>
  <c r="BM14" i="1" s="1"/>
  <c r="BL15" i="1"/>
  <c r="BK15" i="1"/>
  <c r="BJ15" i="1"/>
  <c r="BJ14" i="1" s="1"/>
  <c r="BI15" i="1"/>
  <c r="BH15" i="1"/>
  <c r="BG15" i="1"/>
  <c r="BF15" i="1"/>
  <c r="BF14" i="1" s="1"/>
  <c r="BA15" i="1"/>
  <c r="BA14" i="1" s="1"/>
  <c r="AS15" i="1"/>
  <c r="AS14" i="1" s="1"/>
  <c r="AR15" i="1"/>
  <c r="AQ15" i="1"/>
  <c r="AQ14" i="1" s="1"/>
  <c r="AP15" i="1"/>
  <c r="AP14" i="1" s="1"/>
  <c r="AO15" i="1"/>
  <c r="AO14" i="1" s="1"/>
  <c r="AN15" i="1"/>
  <c r="AM15" i="1"/>
  <c r="AL15" i="1"/>
  <c r="AL14" i="1" s="1"/>
  <c r="AK15" i="1"/>
  <c r="AK14" i="1" s="1"/>
  <c r="AJ15" i="1"/>
  <c r="AI15" i="1"/>
  <c r="AI14" i="1" s="1"/>
  <c r="AI13" i="1" s="1"/>
  <c r="AI12" i="1" s="1"/>
  <c r="AI11" i="1" s="1"/>
  <c r="AI10" i="1" s="1"/>
  <c r="AG15" i="1"/>
  <c r="AG14" i="1" s="1"/>
  <c r="AF15" i="1"/>
  <c r="AE15" i="1"/>
  <c r="AD15" i="1"/>
  <c r="AD14" i="1" s="1"/>
  <c r="AC15" i="1"/>
  <c r="AC14" i="1" s="1"/>
  <c r="AB15" i="1"/>
  <c r="AA15" i="1"/>
  <c r="Z15" i="1"/>
  <c r="Z14" i="1" s="1"/>
  <c r="Y15" i="1"/>
  <c r="Y14" i="1" s="1"/>
  <c r="X15" i="1"/>
  <c r="V15" i="1"/>
  <c r="U15" i="1"/>
  <c r="U14" i="1" s="1"/>
  <c r="T15" i="1"/>
  <c r="T14" i="1" s="1"/>
  <c r="S15" i="1"/>
  <c r="R15" i="1"/>
  <c r="Q15" i="1"/>
  <c r="Q14" i="1" s="1"/>
  <c r="P15" i="1"/>
  <c r="P14" i="1" s="1"/>
  <c r="O15" i="1"/>
  <c r="N15" i="1"/>
  <c r="K15" i="1"/>
  <c r="K14" i="1" s="1"/>
  <c r="J15" i="1"/>
  <c r="J14" i="1" s="1"/>
  <c r="I15" i="1"/>
  <c r="I14" i="1" s="1"/>
  <c r="H15" i="1"/>
  <c r="H14" i="1" s="1"/>
  <c r="G15" i="1"/>
  <c r="G14" i="1" s="1"/>
  <c r="F15" i="1"/>
  <c r="F14" i="1" s="1"/>
  <c r="E15" i="1"/>
  <c r="E14" i="1" s="1"/>
  <c r="D15" i="1"/>
  <c r="D14" i="1" s="1"/>
  <c r="C15" i="1"/>
  <c r="C14" i="1" s="1"/>
  <c r="B15" i="1"/>
  <c r="B14" i="1" s="1"/>
  <c r="B13" i="1" s="1"/>
  <c r="B12" i="1" s="1"/>
  <c r="B11" i="1" s="1"/>
  <c r="B10" i="1" s="1"/>
  <c r="IV14" i="1"/>
  <c r="IU14" i="1"/>
  <c r="IR14" i="1"/>
  <c r="IQ14" i="1"/>
  <c r="IN14" i="1"/>
  <c r="IM14" i="1"/>
  <c r="ID14" i="1"/>
  <c r="HW14" i="1"/>
  <c r="HS14" i="1"/>
  <c r="HJ14" i="1"/>
  <c r="HI14" i="1"/>
  <c r="HE14" i="1"/>
  <c r="HB14" i="1"/>
  <c r="GT14" i="1"/>
  <c r="GS14" i="1"/>
  <c r="FR14" i="1"/>
  <c r="FN14" i="1"/>
  <c r="FI14" i="1"/>
  <c r="FF14" i="1"/>
  <c r="FE14" i="1"/>
  <c r="FB14" i="1"/>
  <c r="FA14" i="1"/>
  <c r="EW14" i="1"/>
  <c r="ES14" i="1"/>
  <c r="EO14" i="1"/>
  <c r="EO13" i="1" s="1"/>
  <c r="EC14" i="1"/>
  <c r="DY14" i="1"/>
  <c r="DY13" i="1" s="1"/>
  <c r="DY12" i="1" s="1"/>
  <c r="DY11" i="1" s="1"/>
  <c r="DY10" i="1" s="1"/>
  <c r="DY335" i="1" s="1"/>
  <c r="DU14" i="1"/>
  <c r="DT14" i="1"/>
  <c r="DQ14" i="1"/>
  <c r="DM14" i="1"/>
  <c r="DI14" i="1"/>
  <c r="DD14" i="1"/>
  <c r="DA14" i="1"/>
  <c r="CZ14" i="1"/>
  <c r="CW14" i="1"/>
  <c r="CU14" i="1"/>
  <c r="CM14" i="1"/>
  <c r="CH14" i="1"/>
  <c r="CG14" i="1"/>
  <c r="CD14" i="1"/>
  <c r="CC14" i="1"/>
  <c r="BY14" i="1"/>
  <c r="BX14" i="1"/>
  <c r="BV14" i="1"/>
  <c r="BU14" i="1"/>
  <c r="BT14" i="1"/>
  <c r="BQ14" i="1"/>
  <c r="BP14" i="1"/>
  <c r="BP13" i="1" s="1"/>
  <c r="BP12" i="1" s="1"/>
  <c r="BP11" i="1" s="1"/>
  <c r="BP10" i="1" s="1"/>
  <c r="BL14" i="1"/>
  <c r="BK14" i="1"/>
  <c r="BI14" i="1"/>
  <c r="BH14" i="1"/>
  <c r="BG14" i="1"/>
  <c r="BE14" i="1"/>
  <c r="AR14" i="1"/>
  <c r="AN14" i="1"/>
  <c r="AM14" i="1"/>
  <c r="AJ14" i="1"/>
  <c r="AF14" i="1"/>
  <c r="AE14" i="1"/>
  <c r="AB14" i="1"/>
  <c r="AA14" i="1"/>
  <c r="X14" i="1"/>
  <c r="X13" i="1" s="1"/>
  <c r="X12" i="1" s="1"/>
  <c r="X11" i="1" s="1"/>
  <c r="X10" i="1" s="1"/>
  <c r="V14" i="1"/>
  <c r="S14" i="1"/>
  <c r="R14" i="1"/>
  <c r="O14" i="1"/>
  <c r="N14" i="1"/>
  <c r="M14" i="1"/>
  <c r="M13" i="1" s="1"/>
  <c r="M12" i="1" s="1"/>
  <c r="M11" i="1" s="1"/>
  <c r="M10" i="1" s="1"/>
  <c r="FK13" i="1"/>
  <c r="FK12" i="1" s="1"/>
  <c r="CW13" i="1"/>
  <c r="CW12" i="1" s="1"/>
  <c r="CW11" i="1" s="1"/>
  <c r="CW10" i="1" s="1"/>
  <c r="BE13" i="1"/>
  <c r="BE12" i="1" s="1"/>
  <c r="BE11" i="1" s="1"/>
  <c r="BE10" i="1" s="1"/>
  <c r="EZ12" i="1"/>
  <c r="EZ11" i="1" s="1"/>
  <c r="EZ10" i="1" s="1"/>
  <c r="EO12" i="1"/>
  <c r="EO11" i="1" s="1"/>
  <c r="EO10" i="1" s="1"/>
  <c r="FK11" i="1"/>
  <c r="FK10" i="1" s="1"/>
  <c r="EJ41" i="1" l="1"/>
  <c r="AP24" i="1"/>
  <c r="IT41" i="1"/>
  <c r="CV52" i="1"/>
  <c r="EN52" i="1"/>
  <c r="GP53" i="1"/>
  <c r="HO54" i="1"/>
  <c r="IO54" i="1"/>
  <c r="GF26" i="1"/>
  <c r="GG36" i="1"/>
  <c r="GK36" i="1"/>
  <c r="GO36" i="1"/>
  <c r="HP36" i="1"/>
  <c r="GJ37" i="1"/>
  <c r="GN37" i="1"/>
  <c r="GI38" i="1"/>
  <c r="GM38" i="1"/>
  <c r="EH43" i="1"/>
  <c r="EL43" i="1"/>
  <c r="FU43" i="1"/>
  <c r="GC43" i="1"/>
  <c r="AH54" i="1"/>
  <c r="AV54" i="1"/>
  <c r="AZ54" i="1"/>
  <c r="GG17" i="1"/>
  <c r="GK17" i="1"/>
  <c r="GO17" i="1"/>
  <c r="HP17" i="1"/>
  <c r="GJ18" i="1"/>
  <c r="GN18" i="1"/>
  <c r="GF18" i="1"/>
  <c r="IJ18" i="1"/>
  <c r="GI19" i="1"/>
  <c r="GM19" i="1"/>
  <c r="CV19" i="1"/>
  <c r="GL20" i="1"/>
  <c r="GG21" i="1"/>
  <c r="GK21" i="1"/>
  <c r="GO21" i="1"/>
  <c r="HP21" i="1"/>
  <c r="GI23" i="1"/>
  <c r="GM23" i="1"/>
  <c r="W27" i="1"/>
  <c r="EH27" i="1"/>
  <c r="EL27" i="1"/>
  <c r="FU27" i="1"/>
  <c r="FY27" i="1"/>
  <c r="GC27" i="1"/>
  <c r="HA27" i="1"/>
  <c r="HM27" i="1"/>
  <c r="HZ27" i="1"/>
  <c r="IH27" i="1"/>
  <c r="IJ47" i="1"/>
  <c r="GI48" i="1"/>
  <c r="GM48" i="1"/>
  <c r="CV48" i="1"/>
  <c r="EN48" i="1"/>
  <c r="BD49" i="1"/>
  <c r="GL49" i="1"/>
  <c r="GP49" i="1"/>
  <c r="GG50" i="1"/>
  <c r="GK50" i="1"/>
  <c r="GO50" i="1"/>
  <c r="FT92" i="1"/>
  <c r="FT91" i="1" s="1"/>
  <c r="EA92" i="1"/>
  <c r="EA91" i="1" s="1"/>
  <c r="EH94" i="1"/>
  <c r="HF94" i="1"/>
  <c r="FU120" i="1"/>
  <c r="FY120" i="1"/>
  <c r="HM120" i="1"/>
  <c r="HZ120" i="1"/>
  <c r="GG144" i="1"/>
  <c r="GK144" i="1"/>
  <c r="GO144" i="1"/>
  <c r="EK143" i="1"/>
  <c r="FJ143" i="1"/>
  <c r="FX143" i="1"/>
  <c r="GB143" i="1"/>
  <c r="GV143" i="1"/>
  <c r="HU143" i="1"/>
  <c r="IG143" i="1"/>
  <c r="IT143" i="1"/>
  <c r="W69" i="1"/>
  <c r="W67" i="1" s="1"/>
  <c r="W66" i="1" s="1"/>
  <c r="CP69" i="1"/>
  <c r="CP67" i="1" s="1"/>
  <c r="CP66" i="1" s="1"/>
  <c r="EH69" i="1"/>
  <c r="EH67" i="1" s="1"/>
  <c r="EH66" i="1" s="1"/>
  <c r="EL69" i="1"/>
  <c r="EL67" i="1" s="1"/>
  <c r="EL66" i="1" s="1"/>
  <c r="GC69" i="1"/>
  <c r="GC67" i="1" s="1"/>
  <c r="GC66" i="1" s="1"/>
  <c r="IH69" i="1"/>
  <c r="GF101" i="1"/>
  <c r="IJ101" i="1"/>
  <c r="HO67" i="1"/>
  <c r="HO66" i="1" s="1"/>
  <c r="IF67" i="1"/>
  <c r="IF66" i="1" s="1"/>
  <c r="GI70" i="1"/>
  <c r="GM70" i="1"/>
  <c r="BO69" i="1"/>
  <c r="BO67" i="1" s="1"/>
  <c r="BO66" i="1" s="1"/>
  <c r="CV70" i="1"/>
  <c r="CQ69" i="1"/>
  <c r="CQ67" i="1" s="1"/>
  <c r="CQ66" i="1" s="1"/>
  <c r="CU69" i="1"/>
  <c r="CU67" i="1" s="1"/>
  <c r="CU66" i="1" s="1"/>
  <c r="EE69" i="1"/>
  <c r="EE67" i="1" s="1"/>
  <c r="EE66" i="1" s="1"/>
  <c r="EM69" i="1"/>
  <c r="EM67" i="1" s="1"/>
  <c r="EM66" i="1" s="1"/>
  <c r="FZ69" i="1"/>
  <c r="FZ67" i="1" s="1"/>
  <c r="FZ66" i="1" s="1"/>
  <c r="GD69" i="1"/>
  <c r="GD67" i="1" s="1"/>
  <c r="GD66" i="1" s="1"/>
  <c r="HF69" i="1"/>
  <c r="HN69" i="1"/>
  <c r="IE69" i="1"/>
  <c r="II69" i="1"/>
  <c r="GH71" i="1"/>
  <c r="GL71" i="1"/>
  <c r="GP71" i="1"/>
  <c r="GG72" i="1"/>
  <c r="GK72" i="1"/>
  <c r="GO72" i="1"/>
  <c r="GF72" i="1"/>
  <c r="HP72" i="1"/>
  <c r="GJ73" i="1"/>
  <c r="GN73" i="1"/>
  <c r="EN73" i="1"/>
  <c r="IJ73" i="1"/>
  <c r="GI74" i="1"/>
  <c r="GM74" i="1"/>
  <c r="CV74" i="1"/>
  <c r="GH75" i="1"/>
  <c r="GL75" i="1"/>
  <c r="GP75" i="1"/>
  <c r="GG76" i="1"/>
  <c r="GK76" i="1"/>
  <c r="GO76" i="1"/>
  <c r="GF76" i="1"/>
  <c r="HP76" i="1"/>
  <c r="GJ77" i="1"/>
  <c r="GN77" i="1"/>
  <c r="EN77" i="1"/>
  <c r="IJ77" i="1"/>
  <c r="GI78" i="1"/>
  <c r="GM78" i="1"/>
  <c r="CV78" i="1"/>
  <c r="GH79" i="1"/>
  <c r="GL79" i="1"/>
  <c r="GP79" i="1"/>
  <c r="GG80" i="1"/>
  <c r="GK80" i="1"/>
  <c r="BB95" i="1"/>
  <c r="BB94" i="1" s="1"/>
  <c r="GB105" i="1"/>
  <c r="BO130" i="1"/>
  <c r="CQ130" i="1"/>
  <c r="CU130" i="1"/>
  <c r="EI130" i="1"/>
  <c r="EM130" i="1"/>
  <c r="FZ130" i="1"/>
  <c r="GD130" i="1"/>
  <c r="HF130" i="1"/>
  <c r="IE130" i="1"/>
  <c r="II130" i="1"/>
  <c r="W130" i="1"/>
  <c r="GH133" i="1"/>
  <c r="GL133" i="1"/>
  <c r="GP133" i="1"/>
  <c r="CP130" i="1"/>
  <c r="CT130" i="1"/>
  <c r="EH130" i="1"/>
  <c r="EL130" i="1"/>
  <c r="FU130" i="1"/>
  <c r="FY130" i="1"/>
  <c r="GC130" i="1"/>
  <c r="GG134" i="1"/>
  <c r="GK134" i="1"/>
  <c r="J170" i="1"/>
  <c r="J65" i="1" s="1"/>
  <c r="GJ208" i="1"/>
  <c r="GN208" i="1"/>
  <c r="BZ207" i="1"/>
  <c r="CV208" i="1"/>
  <c r="CR207" i="1"/>
  <c r="EF207" i="1"/>
  <c r="EJ207" i="1"/>
  <c r="GA207" i="1"/>
  <c r="GA205" i="1" s="1"/>
  <c r="GE207" i="1"/>
  <c r="GE205" i="1" s="1"/>
  <c r="IO207" i="1"/>
  <c r="CK223" i="1"/>
  <c r="GV223" i="1"/>
  <c r="HL223" i="1"/>
  <c r="IT223" i="1"/>
  <c r="GG68" i="1"/>
  <c r="GK68" i="1"/>
  <c r="GO68" i="1"/>
  <c r="GV67" i="1"/>
  <c r="GV66" i="1" s="1"/>
  <c r="HP68" i="1"/>
  <c r="IG67" i="1"/>
  <c r="IG66" i="1" s="1"/>
  <c r="IT67" i="1"/>
  <c r="IT66" i="1" s="1"/>
  <c r="BH92" i="1"/>
  <c r="BH91" i="1" s="1"/>
  <c r="AS95" i="1"/>
  <c r="AS94" i="1" s="1"/>
  <c r="AW95" i="1"/>
  <c r="BA95" i="1"/>
  <c r="EF95" i="1"/>
  <c r="EF94" i="1" s="1"/>
  <c r="EJ95" i="1"/>
  <c r="GA95" i="1"/>
  <c r="GE95" i="1"/>
  <c r="IF95" i="1"/>
  <c r="IO95" i="1"/>
  <c r="EN157" i="1"/>
  <c r="GF157" i="1"/>
  <c r="IJ157" i="1"/>
  <c r="W166" i="1"/>
  <c r="W160" i="1" s="1"/>
  <c r="W159" i="1" s="1"/>
  <c r="F170" i="1"/>
  <c r="GI174" i="1"/>
  <c r="GM174" i="1"/>
  <c r="GF213" i="1"/>
  <c r="EN214" i="1"/>
  <c r="GG219" i="1"/>
  <c r="GK219" i="1"/>
  <c r="GO219" i="1"/>
  <c r="CK218" i="1"/>
  <c r="CK217" i="1" s="1"/>
  <c r="CK215" i="1" s="1"/>
  <c r="GI221" i="1"/>
  <c r="GM221" i="1"/>
  <c r="CV221" i="1"/>
  <c r="CU236" i="1"/>
  <c r="DF257" i="1"/>
  <c r="DF256" i="1" s="1"/>
  <c r="DK257" i="1"/>
  <c r="DK256" i="1" s="1"/>
  <c r="DO257" i="1"/>
  <c r="DO256" i="1" s="1"/>
  <c r="EP257" i="1"/>
  <c r="EP256" i="1" s="1"/>
  <c r="ET257" i="1"/>
  <c r="ET256" i="1" s="1"/>
  <c r="HK281" i="1"/>
  <c r="CK298" i="1"/>
  <c r="AS302" i="1"/>
  <c r="GJ303" i="1"/>
  <c r="GN303" i="1"/>
  <c r="DG302" i="1"/>
  <c r="EF302" i="1"/>
  <c r="EJ302" i="1"/>
  <c r="EY302" i="1"/>
  <c r="GA302" i="1"/>
  <c r="GE302" i="1"/>
  <c r="HK302" i="1"/>
  <c r="HO302" i="1"/>
  <c r="IO302" i="1"/>
  <c r="GI304" i="1"/>
  <c r="GM304" i="1"/>
  <c r="GH305" i="1"/>
  <c r="GL305" i="1"/>
  <c r="AO257" i="1"/>
  <c r="AO256" i="1" s="1"/>
  <c r="DI257" i="1"/>
  <c r="DI256" i="1" s="1"/>
  <c r="FF257" i="1"/>
  <c r="FF256" i="1" s="1"/>
  <c r="HI257" i="1"/>
  <c r="HI256" i="1" s="1"/>
  <c r="J257" i="1"/>
  <c r="J256" i="1" s="1"/>
  <c r="ID257" i="1"/>
  <c r="ID256" i="1" s="1"/>
  <c r="CT281" i="1"/>
  <c r="CT280" i="1" s="1"/>
  <c r="CT279" i="1" s="1"/>
  <c r="EH281" i="1"/>
  <c r="EH280" i="1" s="1"/>
  <c r="EH279" i="1" s="1"/>
  <c r="EL281" i="1"/>
  <c r="EL280" i="1" s="1"/>
  <c r="EL279" i="1" s="1"/>
  <c r="FU281" i="1"/>
  <c r="FU280" i="1" s="1"/>
  <c r="FU279" i="1" s="1"/>
  <c r="FY281" i="1"/>
  <c r="FY280" i="1" s="1"/>
  <c r="FY279" i="1" s="1"/>
  <c r="GC281" i="1"/>
  <c r="GC280" i="1" s="1"/>
  <c r="GC279" i="1" s="1"/>
  <c r="HM281" i="1"/>
  <c r="HM280" i="1" s="1"/>
  <c r="HM279" i="1" s="1"/>
  <c r="HZ281" i="1"/>
  <c r="HZ280" i="1" s="1"/>
  <c r="HZ279" i="1" s="1"/>
  <c r="IH281" i="1"/>
  <c r="IH280" i="1" s="1"/>
  <c r="IH279" i="1" s="1"/>
  <c r="AH298" i="1"/>
  <c r="AZ298" i="1"/>
  <c r="CM298" i="1"/>
  <c r="CQ298" i="1"/>
  <c r="CU298" i="1"/>
  <c r="FZ298" i="1"/>
  <c r="GD298" i="1"/>
  <c r="HF298" i="1"/>
  <c r="IE298" i="1"/>
  <c r="CT302" i="1"/>
  <c r="EL302" i="1"/>
  <c r="IH302" i="1"/>
  <c r="HJ310" i="1"/>
  <c r="HJ309" i="1" s="1"/>
  <c r="FN257" i="1"/>
  <c r="FN256" i="1" s="1"/>
  <c r="GS257" i="1"/>
  <c r="GS256" i="1" s="1"/>
  <c r="GX257" i="1"/>
  <c r="GX256" i="1" s="1"/>
  <c r="AH264" i="1"/>
  <c r="EE264" i="1"/>
  <c r="EI264" i="1"/>
  <c r="EM264" i="1"/>
  <c r="FV264" i="1"/>
  <c r="FZ264" i="1"/>
  <c r="IE264" i="1"/>
  <c r="W272" i="1"/>
  <c r="AU272" i="1"/>
  <c r="BC272" i="1"/>
  <c r="GC272" i="1"/>
  <c r="IH272" i="1"/>
  <c r="BO280" i="1"/>
  <c r="BO279" i="1" s="1"/>
  <c r="AH302" i="1"/>
  <c r="AZ302" i="1"/>
  <c r="BO302" i="1"/>
  <c r="EI302" i="1"/>
  <c r="FZ302" i="1"/>
  <c r="HF302" i="1"/>
  <c r="IE302" i="1"/>
  <c r="HM302" i="1"/>
  <c r="AX302" i="1"/>
  <c r="CK302" i="1"/>
  <c r="FX302" i="1"/>
  <c r="BH310" i="1"/>
  <c r="BH309" i="1" s="1"/>
  <c r="CY310" i="1"/>
  <c r="CY309" i="1" s="1"/>
  <c r="DC310" i="1"/>
  <c r="DC309" i="1" s="1"/>
  <c r="FR310" i="1"/>
  <c r="FR309" i="1" s="1"/>
  <c r="IM310" i="1"/>
  <c r="IM309" i="1" s="1"/>
  <c r="AW325" i="1"/>
  <c r="BZ325" i="1"/>
  <c r="CR325" i="1"/>
  <c r="BO325" i="1"/>
  <c r="EI325" i="1"/>
  <c r="FZ325" i="1"/>
  <c r="BC325" i="1"/>
  <c r="HA325" i="1"/>
  <c r="HM325" i="1"/>
  <c r="HZ325" i="1"/>
  <c r="IH325" i="1"/>
  <c r="HA330" i="1"/>
  <c r="FB310" i="1"/>
  <c r="FB309" i="1" s="1"/>
  <c r="FF310" i="1"/>
  <c r="FF309" i="1" s="1"/>
  <c r="IP310" i="1"/>
  <c r="IP309" i="1" s="1"/>
  <c r="AJ310" i="1"/>
  <c r="AJ309" i="1" s="1"/>
  <c r="AR310" i="1"/>
  <c r="AR309" i="1" s="1"/>
  <c r="AW316" i="1"/>
  <c r="CR316" i="1"/>
  <c r="GE316" i="1"/>
  <c r="IF316" i="1"/>
  <c r="AK310" i="1"/>
  <c r="AK309" i="1" s="1"/>
  <c r="AO310" i="1"/>
  <c r="AO309" i="1" s="1"/>
  <c r="BL310" i="1"/>
  <c r="BL309" i="1" s="1"/>
  <c r="BR310" i="1"/>
  <c r="BR309" i="1" s="1"/>
  <c r="BV310" i="1"/>
  <c r="BV309" i="1" s="1"/>
  <c r="CB310" i="1"/>
  <c r="CB309" i="1" s="1"/>
  <c r="CF310" i="1"/>
  <c r="CF309" i="1" s="1"/>
  <c r="CJ310" i="1"/>
  <c r="CJ309" i="1" s="1"/>
  <c r="HQ310" i="1"/>
  <c r="HQ309" i="1" s="1"/>
  <c r="IA310" i="1"/>
  <c r="IA309" i="1" s="1"/>
  <c r="DA310" i="1"/>
  <c r="DA309" i="1" s="1"/>
  <c r="DE310" i="1"/>
  <c r="DE309" i="1" s="1"/>
  <c r="DK310" i="1"/>
  <c r="DK309" i="1" s="1"/>
  <c r="DO310" i="1"/>
  <c r="DO309" i="1" s="1"/>
  <c r="DT310" i="1"/>
  <c r="DT309" i="1" s="1"/>
  <c r="DX310" i="1"/>
  <c r="DX309" i="1" s="1"/>
  <c r="EB310" i="1"/>
  <c r="EB309" i="1" s="1"/>
  <c r="HW310" i="1"/>
  <c r="HW309" i="1" s="1"/>
  <c r="L325" i="1"/>
  <c r="GG326" i="1"/>
  <c r="AX325" i="1"/>
  <c r="BB325" i="1"/>
  <c r="CK325" i="1"/>
  <c r="CO325" i="1"/>
  <c r="CS325" i="1"/>
  <c r="DR325" i="1"/>
  <c r="EG325" i="1"/>
  <c r="EK325" i="1"/>
  <c r="FJ325" i="1"/>
  <c r="FX325" i="1"/>
  <c r="GB325" i="1"/>
  <c r="GV325" i="1"/>
  <c r="HL325" i="1"/>
  <c r="HU325" i="1"/>
  <c r="IG325" i="1"/>
  <c r="IT325" i="1"/>
  <c r="GJ327" i="1"/>
  <c r="GI328" i="1"/>
  <c r="HZ330" i="1"/>
  <c r="CG310" i="1"/>
  <c r="CG309" i="1" s="1"/>
  <c r="GU310" i="1"/>
  <c r="GU309" i="1" s="1"/>
  <c r="HX310" i="1"/>
  <c r="HX309" i="1" s="1"/>
  <c r="IR310" i="1"/>
  <c r="IR309" i="1" s="1"/>
  <c r="CK312" i="1"/>
  <c r="CO312" i="1"/>
  <c r="CS312" i="1"/>
  <c r="FX312" i="1"/>
  <c r="GV312" i="1"/>
  <c r="HU312" i="1"/>
  <c r="IG312" i="1"/>
  <c r="FA310" i="1"/>
  <c r="FA309" i="1" s="1"/>
  <c r="FA63" i="1" s="1"/>
  <c r="FA13" i="1" s="1"/>
  <c r="FA12" i="1" s="1"/>
  <c r="FA11" i="1" s="1"/>
  <c r="FA10" i="1" s="1"/>
  <c r="FA335" i="1" s="1"/>
  <c r="FE310" i="1"/>
  <c r="FE309" i="1" s="1"/>
  <c r="FI310" i="1"/>
  <c r="FI309" i="1" s="1"/>
  <c r="FI63" i="1" s="1"/>
  <c r="FI13" i="1" s="1"/>
  <c r="FI12" i="1" s="1"/>
  <c r="FI11" i="1" s="1"/>
  <c r="FI10" i="1" s="1"/>
  <c r="FI335" i="1" s="1"/>
  <c r="GS310" i="1"/>
  <c r="GS309" i="1" s="1"/>
  <c r="W316" i="1"/>
  <c r="CT316" i="1"/>
  <c r="EH316" i="1"/>
  <c r="EL316" i="1"/>
  <c r="FU316" i="1"/>
  <c r="FY316" i="1"/>
  <c r="GC316" i="1"/>
  <c r="HA316" i="1"/>
  <c r="HM316" i="1"/>
  <c r="HZ316" i="1"/>
  <c r="IH316" i="1"/>
  <c r="CZ310" i="1"/>
  <c r="CZ309" i="1" s="1"/>
  <c r="DD310" i="1"/>
  <c r="DD309" i="1" s="1"/>
  <c r="DG320" i="1"/>
  <c r="EY320" i="1"/>
  <c r="FW320" i="1"/>
  <c r="IF320" i="1"/>
  <c r="AL310" i="1"/>
  <c r="AL309" i="1" s="1"/>
  <c r="AP310" i="1"/>
  <c r="AP309" i="1" s="1"/>
  <c r="GJ324" i="1"/>
  <c r="GJ323" i="1" s="1"/>
  <c r="HX65" i="1"/>
  <c r="HU67" i="1"/>
  <c r="HU66" i="1" s="1"/>
  <c r="Q65" i="1"/>
  <c r="GO80" i="1"/>
  <c r="GJ81" i="1"/>
  <c r="GN81" i="1"/>
  <c r="GI82" i="1"/>
  <c r="GM82" i="1"/>
  <c r="GH83" i="1"/>
  <c r="GL83" i="1"/>
  <c r="GP83" i="1"/>
  <c r="GG84" i="1"/>
  <c r="GK84" i="1"/>
  <c r="GO84" i="1"/>
  <c r="GJ85" i="1"/>
  <c r="GN85" i="1"/>
  <c r="GI86" i="1"/>
  <c r="GM86" i="1"/>
  <c r="GH87" i="1"/>
  <c r="GL87" i="1"/>
  <c r="GP87" i="1"/>
  <c r="GG88" i="1"/>
  <c r="GK88" i="1"/>
  <c r="GO88" i="1"/>
  <c r="GJ89" i="1"/>
  <c r="GN89" i="1"/>
  <c r="GI90" i="1"/>
  <c r="GM90" i="1"/>
  <c r="AS110" i="1"/>
  <c r="DG110" i="1"/>
  <c r="EJ110" i="1"/>
  <c r="FW110" i="1"/>
  <c r="HO110" i="1"/>
  <c r="DG115" i="1"/>
  <c r="EE115" i="1"/>
  <c r="HP144" i="1"/>
  <c r="AS143" i="1"/>
  <c r="GJ145" i="1"/>
  <c r="GN145" i="1"/>
  <c r="BZ143" i="1"/>
  <c r="CV145" i="1"/>
  <c r="CR143" i="1"/>
  <c r="DG143" i="1"/>
  <c r="GF145" i="1"/>
  <c r="IJ145" i="1"/>
  <c r="HO160" i="1"/>
  <c r="HO159" i="1" s="1"/>
  <c r="HA43" i="1"/>
  <c r="IH43" i="1"/>
  <c r="IR65" i="1"/>
  <c r="AC65" i="1"/>
  <c r="FG65" i="1"/>
  <c r="BH65" i="1"/>
  <c r="EC65" i="1"/>
  <c r="EC63" i="1" s="1"/>
  <c r="EC13" i="1" s="1"/>
  <c r="EC12" i="1" s="1"/>
  <c r="EC11" i="1" s="1"/>
  <c r="EC10" i="1" s="1"/>
  <c r="HP116" i="1"/>
  <c r="GJ117" i="1"/>
  <c r="GN117" i="1"/>
  <c r="GI118" i="1"/>
  <c r="GM118" i="1"/>
  <c r="GL119" i="1"/>
  <c r="GP119" i="1"/>
  <c r="Z65" i="1"/>
  <c r="AM65" i="1"/>
  <c r="AM63" i="1" s="1"/>
  <c r="AQ65" i="1"/>
  <c r="HV65" i="1"/>
  <c r="GH111" i="1"/>
  <c r="GL111" i="1"/>
  <c r="GP111" i="1"/>
  <c r="CP110" i="1"/>
  <c r="CT110" i="1"/>
  <c r="EH110" i="1"/>
  <c r="EL110" i="1"/>
  <c r="FU110" i="1"/>
  <c r="FY110" i="1"/>
  <c r="GC110" i="1"/>
  <c r="HA110" i="1"/>
  <c r="HM110" i="1"/>
  <c r="HZ110" i="1"/>
  <c r="IH110" i="1"/>
  <c r="CH65" i="1"/>
  <c r="HK67" i="1"/>
  <c r="HK66" i="1" s="1"/>
  <c r="H65" i="1"/>
  <c r="H63" i="1" s="1"/>
  <c r="H13" i="1" s="1"/>
  <c r="H12" i="1" s="1"/>
  <c r="H11" i="1" s="1"/>
  <c r="H10" i="1" s="1"/>
  <c r="H335" i="1" s="1"/>
  <c r="EN80" i="1"/>
  <c r="IJ80" i="1"/>
  <c r="CV81" i="1"/>
  <c r="BD82" i="1"/>
  <c r="GF83" i="1"/>
  <c r="HP83" i="1"/>
  <c r="GF84" i="1"/>
  <c r="IJ84" i="1"/>
  <c r="CV85" i="1"/>
  <c r="EN85" i="1"/>
  <c r="BD86" i="1"/>
  <c r="HP87" i="1"/>
  <c r="CV88" i="1"/>
  <c r="GF88" i="1"/>
  <c r="IJ88" i="1"/>
  <c r="BD90" i="1"/>
  <c r="IH120" i="1"/>
  <c r="BZ155" i="1"/>
  <c r="CN155" i="1"/>
  <c r="CR155" i="1"/>
  <c r="DG155" i="1"/>
  <c r="AS166" i="1"/>
  <c r="AW166" i="1"/>
  <c r="AW160" i="1" s="1"/>
  <c r="AW159" i="1" s="1"/>
  <c r="BA166" i="1"/>
  <c r="BA160" i="1" s="1"/>
  <c r="BA159" i="1" s="1"/>
  <c r="BZ166" i="1"/>
  <c r="DG166" i="1"/>
  <c r="DG160" i="1" s="1"/>
  <c r="DG159" i="1" s="1"/>
  <c r="GI179" i="1"/>
  <c r="GM179" i="1"/>
  <c r="GH180" i="1"/>
  <c r="GL180" i="1"/>
  <c r="GP180" i="1"/>
  <c r="GG181" i="1"/>
  <c r="GK181" i="1"/>
  <c r="GO181" i="1"/>
  <c r="CU280" i="1"/>
  <c r="CU279" i="1" s="1"/>
  <c r="EM280" i="1"/>
  <c r="EM279" i="1" s="1"/>
  <c r="GL297" i="1"/>
  <c r="GL296" i="1" s="1"/>
  <c r="GP297" i="1"/>
  <c r="GP296" i="1" s="1"/>
  <c r="L298" i="1"/>
  <c r="GG299" i="1"/>
  <c r="GK299" i="1"/>
  <c r="CO298" i="1"/>
  <c r="CS298" i="1"/>
  <c r="EG298" i="1"/>
  <c r="EK298" i="1"/>
  <c r="FX298" i="1"/>
  <c r="GV298" i="1"/>
  <c r="HU298" i="1"/>
  <c r="IT298" i="1"/>
  <c r="GI301" i="1"/>
  <c r="AY302" i="1"/>
  <c r="EH302" i="1"/>
  <c r="FU302" i="1"/>
  <c r="FY302" i="1"/>
  <c r="HA302" i="1"/>
  <c r="HZ302" i="1"/>
  <c r="HF312" i="1"/>
  <c r="II312" i="1"/>
  <c r="GN324" i="1"/>
  <c r="GN323" i="1" s="1"/>
  <c r="BA323" i="1"/>
  <c r="CP264" i="1"/>
  <c r="FU264" i="1"/>
  <c r="FL257" i="1"/>
  <c r="FL256" i="1" s="1"/>
  <c r="AV281" i="1"/>
  <c r="HN280" i="1"/>
  <c r="HN279" i="1" s="1"/>
  <c r="N310" i="1"/>
  <c r="N309" i="1" s="1"/>
  <c r="R310" i="1"/>
  <c r="R309" i="1" s="1"/>
  <c r="V310" i="1"/>
  <c r="V309" i="1" s="1"/>
  <c r="AB310" i="1"/>
  <c r="AB309" i="1" s="1"/>
  <c r="AF310" i="1"/>
  <c r="AF309" i="1" s="1"/>
  <c r="EQ310" i="1"/>
  <c r="EQ309" i="1" s="1"/>
  <c r="EU310" i="1"/>
  <c r="EU309" i="1" s="1"/>
  <c r="CP166" i="1"/>
  <c r="CT166" i="1"/>
  <c r="FY166" i="1"/>
  <c r="GC166" i="1"/>
  <c r="HM166" i="1"/>
  <c r="HZ166" i="1"/>
  <c r="IH166" i="1"/>
  <c r="IH160" i="1" s="1"/>
  <c r="IH159" i="1" s="1"/>
  <c r="GG169" i="1"/>
  <c r="GK169" i="1"/>
  <c r="GO169" i="1"/>
  <c r="GF169" i="1"/>
  <c r="HP169" i="1"/>
  <c r="BI257" i="1"/>
  <c r="BI256" i="1" s="1"/>
  <c r="W298" i="1"/>
  <c r="AU298" i="1"/>
  <c r="GF303" i="1"/>
  <c r="IJ303" i="1"/>
  <c r="CV304" i="1"/>
  <c r="EN304" i="1"/>
  <c r="GP305" i="1"/>
  <c r="GG306" i="1"/>
  <c r="HP330" i="1"/>
  <c r="L191" i="1"/>
  <c r="GG193" i="1"/>
  <c r="GK193" i="1"/>
  <c r="GO193" i="1"/>
  <c r="CK191" i="1"/>
  <c r="CO191" i="1"/>
  <c r="CO189" i="1" s="1"/>
  <c r="CS191" i="1"/>
  <c r="FJ191" i="1"/>
  <c r="FX191" i="1"/>
  <c r="GB191" i="1"/>
  <c r="GV191" i="1"/>
  <c r="HP193" i="1"/>
  <c r="HU191" i="1"/>
  <c r="IG191" i="1"/>
  <c r="IT191" i="1"/>
  <c r="GJ194" i="1"/>
  <c r="GN194" i="1"/>
  <c r="L207" i="1"/>
  <c r="EG207" i="1"/>
  <c r="GB207" i="1"/>
  <c r="DE257" i="1"/>
  <c r="DE256" i="1" s="1"/>
  <c r="AH272" i="1"/>
  <c r="BO272" i="1"/>
  <c r="ER310" i="1"/>
  <c r="ER309" i="1" s="1"/>
  <c r="EV310" i="1"/>
  <c r="EV309" i="1" s="1"/>
  <c r="FO310" i="1"/>
  <c r="FO309" i="1" s="1"/>
  <c r="FS310" i="1"/>
  <c r="FS309" i="1" s="1"/>
  <c r="HT310" i="1"/>
  <c r="HT309" i="1" s="1"/>
  <c r="HY310" i="1"/>
  <c r="HY309" i="1" s="1"/>
  <c r="ID310" i="1"/>
  <c r="ID309" i="1" s="1"/>
  <c r="HF330" i="1"/>
  <c r="GW310" i="1"/>
  <c r="GW309" i="1" s="1"/>
  <c r="HR310" i="1"/>
  <c r="HR309" i="1" s="1"/>
  <c r="IB310" i="1"/>
  <c r="IB309" i="1" s="1"/>
  <c r="IS310" i="1"/>
  <c r="IS309" i="1" s="1"/>
  <c r="BO316" i="1"/>
  <c r="EI316" i="1"/>
  <c r="HF316" i="1"/>
  <c r="M2" i="6"/>
  <c r="M4" i="6" s="1"/>
  <c r="HC310" i="1"/>
  <c r="HC309" i="1" s="1"/>
  <c r="HG310" i="1"/>
  <c r="HG309" i="1" s="1"/>
  <c r="IK310" i="1"/>
  <c r="IK309" i="1" s="1"/>
  <c r="AH312" i="1"/>
  <c r="AV312" i="1"/>
  <c r="AZ312" i="1"/>
  <c r="EI312" i="1"/>
  <c r="EM312" i="1"/>
  <c r="GD312" i="1"/>
  <c r="HN312" i="1"/>
  <c r="AS320" i="1"/>
  <c r="AW320" i="1"/>
  <c r="BA320" i="1"/>
  <c r="BZ320" i="1"/>
  <c r="CN320" i="1"/>
  <c r="CR320" i="1"/>
  <c r="EF320" i="1"/>
  <c r="EJ320" i="1"/>
  <c r="GA320" i="1"/>
  <c r="GE320" i="1"/>
  <c r="HK320" i="1"/>
  <c r="HO320" i="1"/>
  <c r="IO320" i="1"/>
  <c r="AH325" i="1"/>
  <c r="AV325" i="1"/>
  <c r="GM326" i="1"/>
  <c r="CQ325" i="1"/>
  <c r="CU325" i="1"/>
  <c r="EM325" i="1"/>
  <c r="GD325" i="1"/>
  <c r="HF325" i="1"/>
  <c r="HN325" i="1"/>
  <c r="IE325" i="1"/>
  <c r="II325" i="1"/>
  <c r="GL327" i="1"/>
  <c r="GP327" i="1"/>
  <c r="GG328" i="1"/>
  <c r="GK328" i="1"/>
  <c r="GO328" i="1"/>
  <c r="GI331" i="1"/>
  <c r="GM331" i="1"/>
  <c r="GI333" i="1"/>
  <c r="GM333" i="1"/>
  <c r="GG334" i="1"/>
  <c r="GK334" i="1"/>
  <c r="GO334" i="1"/>
  <c r="GF334" i="1"/>
  <c r="IJ334" i="1"/>
  <c r="HV310" i="1"/>
  <c r="HV309" i="1" s="1"/>
  <c r="GV310" i="1"/>
  <c r="GV309" i="1" s="1"/>
  <c r="GG318" i="1"/>
  <c r="GK318" i="1"/>
  <c r="GO318" i="1"/>
  <c r="HP318" i="1"/>
  <c r="GJ319" i="1"/>
  <c r="GN319" i="1"/>
  <c r="GH321" i="1"/>
  <c r="GL321" i="1"/>
  <c r="GP321" i="1"/>
  <c r="GG322" i="1"/>
  <c r="GK322" i="1"/>
  <c r="GO322" i="1"/>
  <c r="AS325" i="1"/>
  <c r="HK330" i="1"/>
  <c r="HU330" i="1"/>
  <c r="GG331" i="1"/>
  <c r="GK331" i="1"/>
  <c r="GO331" i="1"/>
  <c r="GG333" i="1"/>
  <c r="GK333" i="1"/>
  <c r="GO333" i="1"/>
  <c r="GI334" i="1"/>
  <c r="GM334" i="1"/>
  <c r="CL13" i="1"/>
  <c r="CL12" i="1" s="1"/>
  <c r="CL11" i="1" s="1"/>
  <c r="CL10" i="1" s="1"/>
  <c r="IJ22" i="1"/>
  <c r="CV23" i="1"/>
  <c r="EN23" i="1"/>
  <c r="AS35" i="1"/>
  <c r="FJ43" i="1"/>
  <c r="FX43" i="1"/>
  <c r="HU43" i="1"/>
  <c r="BJ65" i="1"/>
  <c r="CF65" i="1"/>
  <c r="HU95" i="1"/>
  <c r="HU94" i="1" s="1"/>
  <c r="IG95" i="1"/>
  <c r="IG94" i="1" s="1"/>
  <c r="BZ115" i="1"/>
  <c r="CN115" i="1"/>
  <c r="EY115" i="1"/>
  <c r="GF117" i="1"/>
  <c r="GA115" i="1"/>
  <c r="GE115" i="1"/>
  <c r="HK115" i="1"/>
  <c r="HO115" i="1"/>
  <c r="IJ117" i="1"/>
  <c r="IO115" i="1"/>
  <c r="CV118" i="1"/>
  <c r="EN118" i="1"/>
  <c r="BD119" i="1"/>
  <c r="EY143" i="1"/>
  <c r="GE143" i="1"/>
  <c r="HO143" i="1"/>
  <c r="IO143" i="1"/>
  <c r="GI146" i="1"/>
  <c r="GM146" i="1"/>
  <c r="CV146" i="1"/>
  <c r="EN146" i="1"/>
  <c r="BD147" i="1"/>
  <c r="GL147" i="1"/>
  <c r="GP147" i="1"/>
  <c r="Y65" i="1"/>
  <c r="AG65" i="1"/>
  <c r="GF89" i="1"/>
  <c r="EN90" i="1"/>
  <c r="AZ110" i="1"/>
  <c r="CM110" i="1"/>
  <c r="EE110" i="1"/>
  <c r="BA120" i="1"/>
  <c r="BZ120" i="1"/>
  <c r="EF120" i="1"/>
  <c r="EY155" i="1"/>
  <c r="GE155" i="1"/>
  <c r="HO155" i="1"/>
  <c r="IO155" i="1"/>
  <c r="HJ65" i="1"/>
  <c r="G65" i="1"/>
  <c r="DW65" i="1"/>
  <c r="AS105" i="1"/>
  <c r="DG105" i="1"/>
  <c r="EF105" i="1"/>
  <c r="EJ105" i="1"/>
  <c r="EY105" i="1"/>
  <c r="GA105" i="1"/>
  <c r="GE105" i="1"/>
  <c r="HK105" i="1"/>
  <c r="HO105" i="1"/>
  <c r="IO105" i="1"/>
  <c r="EI115" i="1"/>
  <c r="AY115" i="1"/>
  <c r="CP115" i="1"/>
  <c r="AU120" i="1"/>
  <c r="EK130" i="1"/>
  <c r="CN130" i="1"/>
  <c r="EY130" i="1"/>
  <c r="AY143" i="1"/>
  <c r="BC143" i="1"/>
  <c r="EH143" i="1"/>
  <c r="GG112" i="1"/>
  <c r="GK112" i="1"/>
  <c r="GO112" i="1"/>
  <c r="GJ113" i="1"/>
  <c r="GN113" i="1"/>
  <c r="GI114" i="1"/>
  <c r="GM114" i="1"/>
  <c r="GG123" i="1"/>
  <c r="GK123" i="1"/>
  <c r="GO123" i="1"/>
  <c r="HP123" i="1"/>
  <c r="GJ124" i="1"/>
  <c r="GN124" i="1"/>
  <c r="CV124" i="1"/>
  <c r="IJ124" i="1"/>
  <c r="GI125" i="1"/>
  <c r="GM125" i="1"/>
  <c r="CV125" i="1"/>
  <c r="BD126" i="1"/>
  <c r="GL126" i="1"/>
  <c r="GP126" i="1"/>
  <c r="GG127" i="1"/>
  <c r="GK127" i="1"/>
  <c r="GO127" i="1"/>
  <c r="HP127" i="1"/>
  <c r="GJ128" i="1"/>
  <c r="GN128" i="1"/>
  <c r="GF128" i="1"/>
  <c r="IJ128" i="1"/>
  <c r="GI129" i="1"/>
  <c r="GM129" i="1"/>
  <c r="CV129" i="1"/>
  <c r="DF65" i="1"/>
  <c r="W155" i="1"/>
  <c r="AU155" i="1"/>
  <c r="AY155" i="1"/>
  <c r="BC155" i="1"/>
  <c r="CT155" i="1"/>
  <c r="EH155" i="1"/>
  <c r="GC155" i="1"/>
  <c r="HM155" i="1"/>
  <c r="CV194" i="1"/>
  <c r="AD188" i="1"/>
  <c r="CG188" i="1"/>
  <c r="IJ208" i="1"/>
  <c r="AH207" i="1"/>
  <c r="AV207" i="1"/>
  <c r="GM209" i="1"/>
  <c r="BO207" i="1"/>
  <c r="CQ207" i="1"/>
  <c r="CU207" i="1"/>
  <c r="HF207" i="1"/>
  <c r="IE207" i="1"/>
  <c r="II207" i="1"/>
  <c r="GL210" i="1"/>
  <c r="GP210" i="1"/>
  <c r="HF211" i="1"/>
  <c r="Z188" i="1"/>
  <c r="BH188" i="1"/>
  <c r="BH63" i="1" s="1"/>
  <c r="FE188" i="1"/>
  <c r="FE63" i="1" s="1"/>
  <c r="FE13" i="1" s="1"/>
  <c r="FE12" i="1" s="1"/>
  <c r="FE11" i="1" s="1"/>
  <c r="FE10" i="1" s="1"/>
  <c r="FE335" i="1" s="1"/>
  <c r="FR188" i="1"/>
  <c r="FR63" i="1" s="1"/>
  <c r="FR13" i="1" s="1"/>
  <c r="FR12" i="1" s="1"/>
  <c r="FR11" i="1" s="1"/>
  <c r="FR10" i="1" s="1"/>
  <c r="FR335" i="1" s="1"/>
  <c r="CX257" i="1"/>
  <c r="CX256" i="1" s="1"/>
  <c r="HV257" i="1"/>
  <c r="HV256" i="1" s="1"/>
  <c r="FP257" i="1"/>
  <c r="FP256" i="1" s="1"/>
  <c r="U257" i="1"/>
  <c r="U256" i="1" s="1"/>
  <c r="HK280" i="1"/>
  <c r="HK279" i="1" s="1"/>
  <c r="AZ281" i="1"/>
  <c r="CM281" i="1"/>
  <c r="CM280" i="1" s="1"/>
  <c r="CM279" i="1" s="1"/>
  <c r="CQ281" i="1"/>
  <c r="CQ280" i="1" s="1"/>
  <c r="CQ279" i="1" s="1"/>
  <c r="FZ281" i="1"/>
  <c r="FZ280" i="1" s="1"/>
  <c r="FZ279" i="1" s="1"/>
  <c r="GD281" i="1"/>
  <c r="GD280" i="1" s="1"/>
  <c r="GD279" i="1" s="1"/>
  <c r="HF281" i="1"/>
  <c r="HF280" i="1" s="1"/>
  <c r="HF279" i="1" s="1"/>
  <c r="IE281" i="1"/>
  <c r="IE280" i="1" s="1"/>
  <c r="IE279" i="1" s="1"/>
  <c r="BC298" i="1"/>
  <c r="GC298" i="1"/>
  <c r="HM298" i="1"/>
  <c r="IH298" i="1"/>
  <c r="CQ302" i="1"/>
  <c r="CU302" i="1"/>
  <c r="EM302" i="1"/>
  <c r="GD302" i="1"/>
  <c r="HN302" i="1"/>
  <c r="II302" i="1"/>
  <c r="GG317" i="1"/>
  <c r="GK317" i="1"/>
  <c r="GO317" i="1"/>
  <c r="HP317" i="1"/>
  <c r="CV326" i="1"/>
  <c r="EN326" i="1"/>
  <c r="W325" i="1"/>
  <c r="CP325" i="1"/>
  <c r="CT325" i="1"/>
  <c r="EL325" i="1"/>
  <c r="FU325" i="1"/>
  <c r="GC325" i="1"/>
  <c r="HP328" i="1"/>
  <c r="GV330" i="1"/>
  <c r="IE330" i="1"/>
  <c r="GM158" i="1"/>
  <c r="CV158" i="1"/>
  <c r="HL160" i="1"/>
  <c r="HL159" i="1" s="1"/>
  <c r="AS160" i="1"/>
  <c r="AS159" i="1" s="1"/>
  <c r="BZ160" i="1"/>
  <c r="BZ159" i="1" s="1"/>
  <c r="EF166" i="1"/>
  <c r="EF160" i="1" s="1"/>
  <c r="EF159" i="1" s="1"/>
  <c r="EJ166" i="1"/>
  <c r="EJ160" i="1" s="1"/>
  <c r="EJ159" i="1" s="1"/>
  <c r="GA166" i="1"/>
  <c r="GA160" i="1" s="1"/>
  <c r="GA159" i="1" s="1"/>
  <c r="GE166" i="1"/>
  <c r="HK166" i="1"/>
  <c r="HK160" i="1" s="1"/>
  <c r="HK159" i="1" s="1"/>
  <c r="IF166" i="1"/>
  <c r="IF160" i="1" s="1"/>
  <c r="IF159" i="1" s="1"/>
  <c r="IO166" i="1"/>
  <c r="L172" i="1"/>
  <c r="L171" i="1" s="1"/>
  <c r="L170" i="1" s="1"/>
  <c r="AX172" i="1"/>
  <c r="AX171" i="1" s="1"/>
  <c r="BB172" i="1"/>
  <c r="BB171" i="1" s="1"/>
  <c r="CO172" i="1"/>
  <c r="CO171" i="1" s="1"/>
  <c r="DR172" i="1"/>
  <c r="DR171" i="1" s="1"/>
  <c r="EG172" i="1"/>
  <c r="EG171" i="1" s="1"/>
  <c r="EK172" i="1"/>
  <c r="EK171" i="1" s="1"/>
  <c r="HH170" i="1"/>
  <c r="HY170" i="1"/>
  <c r="CO177" i="1"/>
  <c r="CO176" i="1" s="1"/>
  <c r="GB177" i="1"/>
  <c r="GB176" i="1" s="1"/>
  <c r="GH197" i="1"/>
  <c r="GL197" i="1"/>
  <c r="GP197" i="1"/>
  <c r="GG198" i="1"/>
  <c r="GK198" i="1"/>
  <c r="GO198" i="1"/>
  <c r="GJ199" i="1"/>
  <c r="GN199" i="1"/>
  <c r="GI200" i="1"/>
  <c r="GM200" i="1"/>
  <c r="AX202" i="1"/>
  <c r="CS202" i="1"/>
  <c r="CS189" i="1" s="1"/>
  <c r="EK202" i="1"/>
  <c r="C188" i="1"/>
  <c r="K188" i="1"/>
  <c r="BA223" i="1"/>
  <c r="GI226" i="1"/>
  <c r="HP254" i="1"/>
  <c r="CM272" i="1"/>
  <c r="CQ272" i="1"/>
  <c r="CU272" i="1"/>
  <c r="EN274" i="1"/>
  <c r="EI272" i="1"/>
  <c r="EM272" i="1"/>
  <c r="FV272" i="1"/>
  <c r="FZ272" i="1"/>
  <c r="GD272" i="1"/>
  <c r="HF272" i="1"/>
  <c r="HN272" i="1"/>
  <c r="IE272" i="1"/>
  <c r="II272" i="1"/>
  <c r="GA312" i="1"/>
  <c r="HK312" i="1"/>
  <c r="IF312" i="1"/>
  <c r="IO312" i="1"/>
  <c r="L320" i="1"/>
  <c r="CK320" i="1"/>
  <c r="FX320" i="1"/>
  <c r="HL320" i="1"/>
  <c r="HU320" i="1"/>
  <c r="IG320" i="1"/>
  <c r="GE160" i="1"/>
  <c r="GE159" i="1" s="1"/>
  <c r="AP188" i="1"/>
  <c r="CE188" i="1"/>
  <c r="GW188" i="1"/>
  <c r="IS188" i="1"/>
  <c r="O205" i="1"/>
  <c r="Y205" i="1"/>
  <c r="AG205" i="1"/>
  <c r="CD205" i="1"/>
  <c r="CD188" i="1" s="1"/>
  <c r="CO211" i="1"/>
  <c r="HO218" i="1"/>
  <c r="HE188" i="1"/>
  <c r="DN257" i="1"/>
  <c r="DN256" i="1" s="1"/>
  <c r="AK257" i="1"/>
  <c r="AK256" i="1" s="1"/>
  <c r="O257" i="1"/>
  <c r="O256" i="1" s="1"/>
  <c r="BK257" i="1"/>
  <c r="BK256" i="1" s="1"/>
  <c r="BX257" i="1"/>
  <c r="BX256" i="1" s="1"/>
  <c r="CD257" i="1"/>
  <c r="CD256" i="1" s="1"/>
  <c r="CH257" i="1"/>
  <c r="CH256" i="1" s="1"/>
  <c r="CH63" i="1" s="1"/>
  <c r="II280" i="1"/>
  <c r="II279" i="1" s="1"/>
  <c r="BD297" i="1"/>
  <c r="BD296" i="1" s="1"/>
  <c r="GJ300" i="1"/>
  <c r="GN300" i="1"/>
  <c r="BB302" i="1"/>
  <c r="CO302" i="1"/>
  <c r="CS302" i="1"/>
  <c r="EK302" i="1"/>
  <c r="FJ302" i="1"/>
  <c r="GB302" i="1"/>
  <c r="HL302" i="1"/>
  <c r="IG302" i="1"/>
  <c r="BA325" i="1"/>
  <c r="CN325" i="1"/>
  <c r="DG325" i="1"/>
  <c r="DG310" i="1" s="1"/>
  <c r="DG309" i="1" s="1"/>
  <c r="EF325" i="1"/>
  <c r="EJ325" i="1"/>
  <c r="EY325" i="1"/>
  <c r="HK325" i="1"/>
  <c r="HO325" i="1"/>
  <c r="IF325" i="1"/>
  <c r="IO325" i="1"/>
  <c r="IG330" i="1"/>
  <c r="IH155" i="1"/>
  <c r="FZ172" i="1"/>
  <c r="FZ171" i="1" s="1"/>
  <c r="HF172" i="1"/>
  <c r="HF171" i="1" s="1"/>
  <c r="HN172" i="1"/>
  <c r="HN171" i="1" s="1"/>
  <c r="IE172" i="1"/>
  <c r="IE171" i="1" s="1"/>
  <c r="AG188" i="1"/>
  <c r="GG190" i="1"/>
  <c r="GK190" i="1"/>
  <c r="GO190" i="1"/>
  <c r="IT189" i="1"/>
  <c r="F188" i="1"/>
  <c r="DG202" i="1"/>
  <c r="EF202" i="1"/>
  <c r="EJ202" i="1"/>
  <c r="EY202" i="1"/>
  <c r="EY189" i="1" s="1"/>
  <c r="FW202" i="1"/>
  <c r="GE202" i="1"/>
  <c r="HK202" i="1"/>
  <c r="HO202" i="1"/>
  <c r="FF188" i="1"/>
  <c r="EB205" i="1"/>
  <c r="GK225" i="1"/>
  <c r="EH223" i="1"/>
  <c r="IH223" i="1"/>
  <c r="GG226" i="1"/>
  <c r="GK226" i="1"/>
  <c r="GO226" i="1"/>
  <c r="GM263" i="1"/>
  <c r="GA264" i="1"/>
  <c r="HK264" i="1"/>
  <c r="IO264" i="1"/>
  <c r="BD268" i="1"/>
  <c r="GL268" i="1"/>
  <c r="GP268" i="1"/>
  <c r="IJ270" i="1"/>
  <c r="GI271" i="1"/>
  <c r="GM271" i="1"/>
  <c r="AW272" i="1"/>
  <c r="CK272" i="1"/>
  <c r="CO272" i="1"/>
  <c r="BL257" i="1"/>
  <c r="BL256" i="1" s="1"/>
  <c r="IU257" i="1"/>
  <c r="IU256" i="1" s="1"/>
  <c r="HN310" i="1"/>
  <c r="HN309" i="1" s="1"/>
  <c r="BA310" i="1"/>
  <c r="BA309" i="1" s="1"/>
  <c r="BO320" i="1"/>
  <c r="BO310" i="1" s="1"/>
  <c r="BO309" i="1" s="1"/>
  <c r="GD320" i="1"/>
  <c r="HF320" i="1"/>
  <c r="HF310" i="1" s="1"/>
  <c r="HF309" i="1" s="1"/>
  <c r="IE320" i="1"/>
  <c r="IE310" i="1" s="1"/>
  <c r="IE309" i="1" s="1"/>
  <c r="II320" i="1"/>
  <c r="II330" i="1"/>
  <c r="L15" i="1"/>
  <c r="L14" i="1" s="1"/>
  <c r="EG15" i="1"/>
  <c r="EG14" i="1" s="1"/>
  <c r="EK15" i="1"/>
  <c r="EK14" i="1" s="1"/>
  <c r="FX15" i="1"/>
  <c r="FX14" i="1" s="1"/>
  <c r="GB15" i="1"/>
  <c r="GB14" i="1" s="1"/>
  <c r="GV15" i="1"/>
  <c r="GV14" i="1" s="1"/>
  <c r="HU15" i="1"/>
  <c r="HU14" i="1" s="1"/>
  <c r="IG15" i="1"/>
  <c r="IG14" i="1" s="1"/>
  <c r="CN15" i="1"/>
  <c r="CN14" i="1" s="1"/>
  <c r="CR15" i="1"/>
  <c r="CR14" i="1" s="1"/>
  <c r="EY15" i="1"/>
  <c r="EY14" i="1" s="1"/>
  <c r="GA15" i="1"/>
  <c r="GA14" i="1" s="1"/>
  <c r="GE15" i="1"/>
  <c r="GE14" i="1" s="1"/>
  <c r="HK15" i="1"/>
  <c r="HK14" i="1" s="1"/>
  <c r="HO15" i="1"/>
  <c r="HO14" i="1" s="1"/>
  <c r="IO15" i="1"/>
  <c r="IO14" i="1" s="1"/>
  <c r="EN19" i="1"/>
  <c r="BD20" i="1"/>
  <c r="GP20" i="1"/>
  <c r="EF35" i="1"/>
  <c r="EH35" i="1"/>
  <c r="AP65" i="1"/>
  <c r="HB65" i="1"/>
  <c r="IB65" i="1"/>
  <c r="C65" i="1"/>
  <c r="F65" i="1"/>
  <c r="F63" i="1" s="1"/>
  <c r="K65" i="1"/>
  <c r="BF65" i="1"/>
  <c r="BN65" i="1"/>
  <c r="CE65" i="1"/>
  <c r="CE63" i="1" s="1"/>
  <c r="CE13" i="1" s="1"/>
  <c r="CE12" i="1" s="1"/>
  <c r="CE11" i="1" s="1"/>
  <c r="CE10" i="1" s="1"/>
  <c r="CE335" i="1" s="1"/>
  <c r="CI65" i="1"/>
  <c r="CY65" i="1"/>
  <c r="CY63" i="1" s="1"/>
  <c r="DC65" i="1"/>
  <c r="DE65" i="1"/>
  <c r="DE63" i="1" s="1"/>
  <c r="DN65" i="1"/>
  <c r="EA65" i="1"/>
  <c r="EP65" i="1"/>
  <c r="EP63" i="1" s="1"/>
  <c r="EX65" i="1"/>
  <c r="IS65" i="1"/>
  <c r="U65" i="1"/>
  <c r="IM65" i="1"/>
  <c r="BO95" i="1"/>
  <c r="CM95" i="1"/>
  <c r="CQ95" i="1"/>
  <c r="CU95" i="1"/>
  <c r="EE95" i="1"/>
  <c r="EI95" i="1"/>
  <c r="EM95" i="1"/>
  <c r="FZ95" i="1"/>
  <c r="HN95" i="1"/>
  <c r="IE95" i="1"/>
  <c r="HA95" i="1"/>
  <c r="HM95" i="1"/>
  <c r="BZ94" i="1"/>
  <c r="CN94" i="1"/>
  <c r="CR94" i="1"/>
  <c r="AH100" i="1"/>
  <c r="AH94" i="1" s="1"/>
  <c r="BO100" i="1"/>
  <c r="CV102" i="1"/>
  <c r="CQ100" i="1"/>
  <c r="CU100" i="1"/>
  <c r="EN102" i="1"/>
  <c r="FZ100" i="1"/>
  <c r="GD100" i="1"/>
  <c r="GD94" i="1" s="1"/>
  <c r="HN100" i="1"/>
  <c r="IE100" i="1"/>
  <c r="II100" i="1"/>
  <c r="II94" i="1" s="1"/>
  <c r="BD103" i="1"/>
  <c r="GL103" i="1"/>
  <c r="GP103" i="1"/>
  <c r="FU100" i="1"/>
  <c r="FU94" i="1" s="1"/>
  <c r="FY100" i="1"/>
  <c r="FY94" i="1" s="1"/>
  <c r="HA100" i="1"/>
  <c r="HM100" i="1"/>
  <c r="HZ100" i="1"/>
  <c r="HZ94" i="1" s="1"/>
  <c r="BQ92" i="1"/>
  <c r="BQ91" i="1" s="1"/>
  <c r="BY92" i="1"/>
  <c r="BY91" i="1" s="1"/>
  <c r="CD92" i="1"/>
  <c r="CD91" i="1" s="1"/>
  <c r="CD65" i="1" s="1"/>
  <c r="CP104" i="1"/>
  <c r="DA92" i="1"/>
  <c r="DA91" i="1" s="1"/>
  <c r="DA65" i="1" s="1"/>
  <c r="DK92" i="1"/>
  <c r="DK91" i="1" s="1"/>
  <c r="DK65" i="1" s="1"/>
  <c r="DO92" i="1"/>
  <c r="DO91" i="1" s="1"/>
  <c r="DX92" i="1"/>
  <c r="DX91" i="1" s="1"/>
  <c r="DX65" i="1" s="1"/>
  <c r="EB92" i="1"/>
  <c r="EB91" i="1" s="1"/>
  <c r="ER92" i="1"/>
  <c r="ER91" i="1" s="1"/>
  <c r="ER65" i="1" s="1"/>
  <c r="EV92" i="1"/>
  <c r="EV91" i="1" s="1"/>
  <c r="EV65" i="1" s="1"/>
  <c r="EV63" i="1" s="1"/>
  <c r="EV13" i="1" s="1"/>
  <c r="EV12" i="1" s="1"/>
  <c r="EV11" i="1" s="1"/>
  <c r="EV10" i="1" s="1"/>
  <c r="EV335" i="1" s="1"/>
  <c r="AH105" i="1"/>
  <c r="GI106" i="1"/>
  <c r="GM106" i="1"/>
  <c r="BO105" i="1"/>
  <c r="CV106" i="1"/>
  <c r="CQ105" i="1"/>
  <c r="EI105" i="1"/>
  <c r="EI104" i="1" s="1"/>
  <c r="EM105" i="1"/>
  <c r="FZ105" i="1"/>
  <c r="GD105" i="1"/>
  <c r="HF105" i="1"/>
  <c r="HN105" i="1"/>
  <c r="IE105" i="1"/>
  <c r="II105" i="1"/>
  <c r="BD107" i="1"/>
  <c r="GL107" i="1"/>
  <c r="GP107" i="1"/>
  <c r="CT105" i="1"/>
  <c r="FY105" i="1"/>
  <c r="GC105" i="1"/>
  <c r="HM105" i="1"/>
  <c r="HZ105" i="1"/>
  <c r="IH105" i="1"/>
  <c r="GG108" i="1"/>
  <c r="GO108" i="1"/>
  <c r="CK105" i="1"/>
  <c r="FX105" i="1"/>
  <c r="GV105" i="1"/>
  <c r="HP108" i="1"/>
  <c r="HU105" i="1"/>
  <c r="IT105" i="1"/>
  <c r="GJ109" i="1"/>
  <c r="GN109" i="1"/>
  <c r="GF109" i="1"/>
  <c r="IJ109" i="1"/>
  <c r="L110" i="1"/>
  <c r="AX110" i="1"/>
  <c r="BB110" i="1"/>
  <c r="CK110" i="1"/>
  <c r="CO110" i="1"/>
  <c r="DR110" i="1"/>
  <c r="EG110" i="1"/>
  <c r="EK110" i="1"/>
  <c r="FJ110" i="1"/>
  <c r="FJ104" i="1" s="1"/>
  <c r="FJ92" i="1" s="1"/>
  <c r="FX110" i="1"/>
  <c r="GB110" i="1"/>
  <c r="GB104" i="1" s="1"/>
  <c r="GB92" i="1" s="1"/>
  <c r="GV110" i="1"/>
  <c r="HL110" i="1"/>
  <c r="HU110" i="1"/>
  <c r="IG110" i="1"/>
  <c r="IT110" i="1"/>
  <c r="AW110" i="1"/>
  <c r="AW104" i="1" s="1"/>
  <c r="BZ110" i="1"/>
  <c r="CN110" i="1"/>
  <c r="CR110" i="1"/>
  <c r="EF110" i="1"/>
  <c r="EY110" i="1"/>
  <c r="GA110" i="1"/>
  <c r="HK110" i="1"/>
  <c r="IF110" i="1"/>
  <c r="AH110" i="1"/>
  <c r="CQ110" i="1"/>
  <c r="CU110" i="1"/>
  <c r="EM110" i="1"/>
  <c r="FW115" i="1"/>
  <c r="W115" i="1"/>
  <c r="AU115" i="1"/>
  <c r="GL116" i="1"/>
  <c r="GP116" i="1"/>
  <c r="CT115" i="1"/>
  <c r="EH115" i="1"/>
  <c r="EL115" i="1"/>
  <c r="FY115" i="1"/>
  <c r="GC115" i="1"/>
  <c r="HA115" i="1"/>
  <c r="HM115" i="1"/>
  <c r="HZ115" i="1"/>
  <c r="IH115" i="1"/>
  <c r="GG117" i="1"/>
  <c r="GK117" i="1"/>
  <c r="GO117" i="1"/>
  <c r="GJ118" i="1"/>
  <c r="GN118" i="1"/>
  <c r="GI119" i="1"/>
  <c r="GM119" i="1"/>
  <c r="AS120" i="1"/>
  <c r="GJ121" i="1"/>
  <c r="GN121" i="1"/>
  <c r="CN120" i="1"/>
  <c r="CR120" i="1"/>
  <c r="EJ120" i="1"/>
  <c r="EY120" i="1"/>
  <c r="GA120" i="1"/>
  <c r="GE120" i="1"/>
  <c r="HK120" i="1"/>
  <c r="HO120" i="1"/>
  <c r="IO120" i="1"/>
  <c r="GI122" i="1"/>
  <c r="GM122" i="1"/>
  <c r="GH123" i="1"/>
  <c r="GL123" i="1"/>
  <c r="GP123" i="1"/>
  <c r="GG124" i="1"/>
  <c r="GK124" i="1"/>
  <c r="GO124" i="1"/>
  <c r="GJ125" i="1"/>
  <c r="GN125" i="1"/>
  <c r="GI126" i="1"/>
  <c r="GM126" i="1"/>
  <c r="GH127" i="1"/>
  <c r="GL127" i="1"/>
  <c r="GP127" i="1"/>
  <c r="GG128" i="1"/>
  <c r="GK128" i="1"/>
  <c r="GO128" i="1"/>
  <c r="GJ129" i="1"/>
  <c r="GN129" i="1"/>
  <c r="AU130" i="1"/>
  <c r="HN130" i="1"/>
  <c r="BZ130" i="1"/>
  <c r="GI133" i="1"/>
  <c r="GG135" i="1"/>
  <c r="IF143" i="1"/>
  <c r="FW155" i="1"/>
  <c r="P160" i="1"/>
  <c r="P159" i="1" s="1"/>
  <c r="T160" i="1"/>
  <c r="T159" i="1" s="1"/>
  <c r="T65" i="1" s="1"/>
  <c r="CP160" i="1"/>
  <c r="CP159" i="1" s="1"/>
  <c r="CZ160" i="1"/>
  <c r="CZ159" i="1" s="1"/>
  <c r="DD160" i="1"/>
  <c r="DD159" i="1" s="1"/>
  <c r="FO160" i="1"/>
  <c r="FO159" i="1" s="1"/>
  <c r="FQ160" i="1"/>
  <c r="FQ159" i="1" s="1"/>
  <c r="FQ65" i="1" s="1"/>
  <c r="FS160" i="1"/>
  <c r="FS159" i="1" s="1"/>
  <c r="BV170" i="1"/>
  <c r="BV65" i="1" s="1"/>
  <c r="AK170" i="1"/>
  <c r="BI170" i="1"/>
  <c r="BI65" i="1" s="1"/>
  <c r="EB170" i="1"/>
  <c r="EB65" i="1" s="1"/>
  <c r="HI170" i="1"/>
  <c r="HR170" i="1"/>
  <c r="HR65" i="1" s="1"/>
  <c r="HT170" i="1"/>
  <c r="HT65" i="1" s="1"/>
  <c r="ID170" i="1"/>
  <c r="ID65" i="1" s="1"/>
  <c r="F13" i="1"/>
  <c r="F12" i="1" s="1"/>
  <c r="F11" i="1" s="1"/>
  <c r="F10" i="1" s="1"/>
  <c r="F335" i="1" s="1"/>
  <c r="DE13" i="1"/>
  <c r="DE12" i="1" s="1"/>
  <c r="DE11" i="1" s="1"/>
  <c r="DE10" i="1" s="1"/>
  <c r="DE335" i="1" s="1"/>
  <c r="GH28" i="1"/>
  <c r="GL28" i="1"/>
  <c r="GP28" i="1"/>
  <c r="GG29" i="1"/>
  <c r="GK29" i="1"/>
  <c r="GO29" i="1"/>
  <c r="BZ30" i="1"/>
  <c r="CN30" i="1"/>
  <c r="CR30" i="1"/>
  <c r="DG30" i="1"/>
  <c r="GI40" i="1"/>
  <c r="GI39" i="1" s="1"/>
  <c r="GM40" i="1"/>
  <c r="GM39" i="1" s="1"/>
  <c r="CV40" i="1"/>
  <c r="CV39" i="1" s="1"/>
  <c r="IE25" i="1"/>
  <c r="II25" i="1"/>
  <c r="GG42" i="1"/>
  <c r="GK42" i="1"/>
  <c r="GO42" i="1"/>
  <c r="DR41" i="1"/>
  <c r="FJ41" i="1"/>
  <c r="FX41" i="1"/>
  <c r="HU41" i="1"/>
  <c r="AH43" i="1"/>
  <c r="GI44" i="1"/>
  <c r="GM44" i="1"/>
  <c r="BO43" i="1"/>
  <c r="BO41" i="1" s="1"/>
  <c r="CV44" i="1"/>
  <c r="EN44" i="1"/>
  <c r="EG43" i="1"/>
  <c r="EG41" i="1" s="1"/>
  <c r="EI43" i="1"/>
  <c r="EI41" i="1" s="1"/>
  <c r="EK43" i="1"/>
  <c r="EK41" i="1" s="1"/>
  <c r="EM43" i="1"/>
  <c r="EM41" i="1" s="1"/>
  <c r="FZ43" i="1"/>
  <c r="GB43" i="1"/>
  <c r="GD43" i="1"/>
  <c r="HF43" i="1"/>
  <c r="HL43" i="1"/>
  <c r="HN43" i="1"/>
  <c r="IE43" i="1"/>
  <c r="IG43" i="1"/>
  <c r="II43" i="1"/>
  <c r="BD45" i="1"/>
  <c r="GL45" i="1"/>
  <c r="GP45" i="1"/>
  <c r="BZ43" i="1"/>
  <c r="CN43" i="1"/>
  <c r="CR43" i="1"/>
  <c r="GG46" i="1"/>
  <c r="GK46" i="1"/>
  <c r="GO46" i="1"/>
  <c r="HP46" i="1"/>
  <c r="GJ47" i="1"/>
  <c r="GN47" i="1"/>
  <c r="CV47" i="1"/>
  <c r="GF47" i="1"/>
  <c r="HF54" i="1"/>
  <c r="HM59" i="1"/>
  <c r="HZ59" i="1"/>
  <c r="IH59" i="1"/>
  <c r="CB65" i="1"/>
  <c r="ET65" i="1"/>
  <c r="GX65" i="1"/>
  <c r="IV65" i="1"/>
  <c r="IV63" i="1" s="1"/>
  <c r="IV13" i="1" s="1"/>
  <c r="IV12" i="1" s="1"/>
  <c r="IV11" i="1" s="1"/>
  <c r="IV10" i="1" s="1"/>
  <c r="IV335" i="1" s="1"/>
  <c r="P65" i="1"/>
  <c r="AD65" i="1"/>
  <c r="AK65" i="1"/>
  <c r="AO65" i="1"/>
  <c r="BM65" i="1"/>
  <c r="DO65" i="1"/>
  <c r="EU65" i="1"/>
  <c r="FH65" i="1"/>
  <c r="FM65" i="1"/>
  <c r="GU65" i="1"/>
  <c r="GY65" i="1"/>
  <c r="HC65" i="1"/>
  <c r="HW65" i="1"/>
  <c r="IA65" i="1"/>
  <c r="IN65" i="1"/>
  <c r="D65" i="1"/>
  <c r="D63" i="1" s="1"/>
  <c r="D13" i="1" s="1"/>
  <c r="D12" i="1" s="1"/>
  <c r="D11" i="1" s="1"/>
  <c r="D10" i="1" s="1"/>
  <c r="D335" i="1" s="1"/>
  <c r="BL65" i="1"/>
  <c r="BL63" i="1" s="1"/>
  <c r="BU65" i="1"/>
  <c r="FL65" i="1"/>
  <c r="FL63" i="1" s="1"/>
  <c r="FP65" i="1"/>
  <c r="FT65" i="1"/>
  <c r="FT63" i="1" s="1"/>
  <c r="HI65" i="1"/>
  <c r="HI63" i="1" s="1"/>
  <c r="HI13" i="1" s="1"/>
  <c r="HI12" i="1" s="1"/>
  <c r="HI11" i="1" s="1"/>
  <c r="HI10" i="1" s="1"/>
  <c r="HI335" i="1" s="1"/>
  <c r="FU69" i="1"/>
  <c r="FU67" i="1" s="1"/>
  <c r="FU66" i="1" s="1"/>
  <c r="CV89" i="1"/>
  <c r="GJ97" i="1"/>
  <c r="GN97" i="1"/>
  <c r="GI98" i="1"/>
  <c r="GM98" i="1"/>
  <c r="GH99" i="1"/>
  <c r="GL99" i="1"/>
  <c r="GP99" i="1"/>
  <c r="O92" i="1"/>
  <c r="O91" i="1" s="1"/>
  <c r="O65" i="1" s="1"/>
  <c r="S92" i="1"/>
  <c r="S91" i="1" s="1"/>
  <c r="S65" i="1" s="1"/>
  <c r="AB92" i="1"/>
  <c r="AB91" i="1" s="1"/>
  <c r="AB65" i="1" s="1"/>
  <c r="AF92" i="1"/>
  <c r="AF91" i="1" s="1"/>
  <c r="AF65" i="1" s="1"/>
  <c r="AF63" i="1" s="1"/>
  <c r="AF13" i="1" s="1"/>
  <c r="AF12" i="1" s="1"/>
  <c r="AF11" i="1" s="1"/>
  <c r="AF10" i="1" s="1"/>
  <c r="AF335" i="1" s="1"/>
  <c r="AL92" i="1"/>
  <c r="AL91" i="1" s="1"/>
  <c r="AL65" i="1" s="1"/>
  <c r="HE92" i="1"/>
  <c r="HE91" i="1" s="1"/>
  <c r="HS92" i="1"/>
  <c r="HS91" i="1" s="1"/>
  <c r="HS65" i="1" s="1"/>
  <c r="IG104" i="1"/>
  <c r="DG104" i="1"/>
  <c r="GA104" i="1"/>
  <c r="GE104" i="1"/>
  <c r="HK104" i="1"/>
  <c r="HO104" i="1"/>
  <c r="IO104" i="1"/>
  <c r="BO115" i="1"/>
  <c r="EM115" i="1"/>
  <c r="FZ115" i="1"/>
  <c r="HF115" i="1"/>
  <c r="IE115" i="1"/>
  <c r="HA130" i="1"/>
  <c r="HM130" i="1"/>
  <c r="HZ130" i="1"/>
  <c r="IH130" i="1"/>
  <c r="L130" i="1"/>
  <c r="CK130" i="1"/>
  <c r="CO130" i="1"/>
  <c r="CS130" i="1"/>
  <c r="DR130" i="1"/>
  <c r="EG130" i="1"/>
  <c r="FJ130" i="1"/>
  <c r="FX130" i="1"/>
  <c r="GB130" i="1"/>
  <c r="BO160" i="1"/>
  <c r="BO159" i="1" s="1"/>
  <c r="CK160" i="1"/>
  <c r="CK159" i="1" s="1"/>
  <c r="CT160" i="1"/>
  <c r="CT159" i="1" s="1"/>
  <c r="CV167" i="1"/>
  <c r="CM166" i="1"/>
  <c r="CV173" i="1"/>
  <c r="CN172" i="1"/>
  <c r="CN171" i="1" s="1"/>
  <c r="CN170" i="1" s="1"/>
  <c r="DG170" i="1"/>
  <c r="EY170" i="1"/>
  <c r="AH162" i="1"/>
  <c r="AH160" i="1" s="1"/>
  <c r="AH159" i="1" s="1"/>
  <c r="AV162" i="1"/>
  <c r="CM162" i="1"/>
  <c r="CM160" i="1" s="1"/>
  <c r="CM159" i="1" s="1"/>
  <c r="CQ162" i="1"/>
  <c r="CQ160" i="1" s="1"/>
  <c r="CQ159" i="1" s="1"/>
  <c r="CU162" i="1"/>
  <c r="CU160" i="1" s="1"/>
  <c r="CU159" i="1" s="1"/>
  <c r="EI162" i="1"/>
  <c r="EI160" i="1" s="1"/>
  <c r="EI159" i="1" s="1"/>
  <c r="EM162" i="1"/>
  <c r="EM160" i="1" s="1"/>
  <c r="EM159" i="1" s="1"/>
  <c r="FZ162" i="1"/>
  <c r="FZ160" i="1" s="1"/>
  <c r="FZ159" i="1" s="1"/>
  <c r="HF162" i="1"/>
  <c r="HN162" i="1"/>
  <c r="IE162" i="1"/>
  <c r="II162" i="1"/>
  <c r="GL164" i="1"/>
  <c r="GP164" i="1"/>
  <c r="GG165" i="1"/>
  <c r="GK165" i="1"/>
  <c r="GO165" i="1"/>
  <c r="EH166" i="1"/>
  <c r="EH160" i="1" s="1"/>
  <c r="EH159" i="1" s="1"/>
  <c r="EL166" i="1"/>
  <c r="EL160" i="1" s="1"/>
  <c r="EL159" i="1" s="1"/>
  <c r="FU166" i="1"/>
  <c r="DP170" i="1"/>
  <c r="DP65" i="1" s="1"/>
  <c r="DP63" i="1" s="1"/>
  <c r="DP13" i="1" s="1"/>
  <c r="DP12" i="1" s="1"/>
  <c r="DP11" i="1" s="1"/>
  <c r="DP10" i="1" s="1"/>
  <c r="DP335" i="1" s="1"/>
  <c r="EQ170" i="1"/>
  <c r="EQ65" i="1" s="1"/>
  <c r="FD170" i="1"/>
  <c r="FD65" i="1" s="1"/>
  <c r="AH172" i="1"/>
  <c r="AH171" i="1" s="1"/>
  <c r="BO172" i="1"/>
  <c r="BO171" i="1" s="1"/>
  <c r="CK172" i="1"/>
  <c r="CK171" i="1" s="1"/>
  <c r="EI172" i="1"/>
  <c r="EI171" i="1" s="1"/>
  <c r="EM172" i="1"/>
  <c r="EM171" i="1" s="1"/>
  <c r="FJ172" i="1"/>
  <c r="FJ171" i="1" s="1"/>
  <c r="FX172" i="1"/>
  <c r="FX171" i="1" s="1"/>
  <c r="GB172" i="1"/>
  <c r="GB171" i="1" s="1"/>
  <c r="GB170" i="1" s="1"/>
  <c r="BY170" i="1"/>
  <c r="AH177" i="1"/>
  <c r="AH176" i="1" s="1"/>
  <c r="GM178" i="1"/>
  <c r="BO177" i="1"/>
  <c r="BO176" i="1" s="1"/>
  <c r="CM177" i="1"/>
  <c r="CM176" i="1" s="1"/>
  <c r="CQ177" i="1"/>
  <c r="CQ176" i="1" s="1"/>
  <c r="CU177" i="1"/>
  <c r="CU176" i="1" s="1"/>
  <c r="EN178" i="1"/>
  <c r="EI177" i="1"/>
  <c r="EI176" i="1" s="1"/>
  <c r="EM177" i="1"/>
  <c r="EM176" i="1" s="1"/>
  <c r="FZ177" i="1"/>
  <c r="FZ176" i="1" s="1"/>
  <c r="FZ170" i="1" s="1"/>
  <c r="GD177" i="1"/>
  <c r="GD176" i="1" s="1"/>
  <c r="GD170" i="1" s="1"/>
  <c r="HF177" i="1"/>
  <c r="HF176" i="1" s="1"/>
  <c r="HF170" i="1" s="1"/>
  <c r="HN177" i="1"/>
  <c r="HN176" i="1" s="1"/>
  <c r="HN170" i="1" s="1"/>
  <c r="IE177" i="1"/>
  <c r="IE176" i="1" s="1"/>
  <c r="IE170" i="1" s="1"/>
  <c r="II177" i="1"/>
  <c r="II176" i="1" s="1"/>
  <c r="II170" i="1" s="1"/>
  <c r="GH179" i="1"/>
  <c r="GL179" i="1"/>
  <c r="GP179" i="1"/>
  <c r="CP177" i="1"/>
  <c r="CP176" i="1" s="1"/>
  <c r="CT177" i="1"/>
  <c r="CT176" i="1" s="1"/>
  <c r="FU177" i="1"/>
  <c r="FU176" i="1" s="1"/>
  <c r="FU170" i="1" s="1"/>
  <c r="IH177" i="1"/>
  <c r="IH176" i="1" s="1"/>
  <c r="GG180" i="1"/>
  <c r="GK180" i="1"/>
  <c r="GO180" i="1"/>
  <c r="CK177" i="1"/>
  <c r="CK176" i="1" s="1"/>
  <c r="CS177" i="1"/>
  <c r="CS176" i="1" s="1"/>
  <c r="CS170" i="1" s="1"/>
  <c r="EG177" i="1"/>
  <c r="EG176" i="1" s="1"/>
  <c r="EG170" i="1" s="1"/>
  <c r="EK177" i="1"/>
  <c r="EK176" i="1" s="1"/>
  <c r="EK170" i="1" s="1"/>
  <c r="FJ177" i="1"/>
  <c r="FJ176" i="1" s="1"/>
  <c r="FX177" i="1"/>
  <c r="FX176" i="1" s="1"/>
  <c r="GV177" i="1"/>
  <c r="GV176" i="1" s="1"/>
  <c r="HP180" i="1"/>
  <c r="HU177" i="1"/>
  <c r="HU176" i="1" s="1"/>
  <c r="IG177" i="1"/>
  <c r="IG176" i="1" s="1"/>
  <c r="IT177" i="1"/>
  <c r="IT176" i="1" s="1"/>
  <c r="GJ181" i="1"/>
  <c r="GN181" i="1"/>
  <c r="CV181" i="1"/>
  <c r="GF181" i="1"/>
  <c r="IJ181" i="1"/>
  <c r="GI182" i="1"/>
  <c r="GM182" i="1"/>
  <c r="EN182" i="1"/>
  <c r="GH183" i="1"/>
  <c r="GL183" i="1"/>
  <c r="GP183" i="1"/>
  <c r="GG184" i="1"/>
  <c r="GK184" i="1"/>
  <c r="GO184" i="1"/>
  <c r="HP184" i="1"/>
  <c r="GJ185" i="1"/>
  <c r="GN185" i="1"/>
  <c r="GI186" i="1"/>
  <c r="GM186" i="1"/>
  <c r="AB188" i="1"/>
  <c r="AL188" i="1"/>
  <c r="IB188" i="1"/>
  <c r="O188" i="1"/>
  <c r="S188" i="1"/>
  <c r="DD188" i="1"/>
  <c r="EQ188" i="1"/>
  <c r="CM191" i="1"/>
  <c r="CU191" i="1"/>
  <c r="GD191" i="1"/>
  <c r="IE191" i="1"/>
  <c r="GH193" i="1"/>
  <c r="GL193" i="1"/>
  <c r="GP193" i="1"/>
  <c r="GG194" i="1"/>
  <c r="GK194" i="1"/>
  <c r="GO194" i="1"/>
  <c r="GJ195" i="1"/>
  <c r="GN195" i="1"/>
  <c r="GI196" i="1"/>
  <c r="GM196" i="1"/>
  <c r="BU188" i="1"/>
  <c r="FY205" i="1"/>
  <c r="FZ217" i="1"/>
  <c r="FZ215" i="1" s="1"/>
  <c r="FG188" i="1"/>
  <c r="GR188" i="1"/>
  <c r="HJ188" i="1"/>
  <c r="HJ63" i="1" s="1"/>
  <c r="HJ13" i="1" s="1"/>
  <c r="HJ12" i="1" s="1"/>
  <c r="HJ11" i="1" s="1"/>
  <c r="HJ10" i="1" s="1"/>
  <c r="HJ335" i="1" s="1"/>
  <c r="HV188" i="1"/>
  <c r="HV63" i="1" s="1"/>
  <c r="HV13" i="1" s="1"/>
  <c r="HV12" i="1" s="1"/>
  <c r="HV11" i="1" s="1"/>
  <c r="HV10" i="1" s="1"/>
  <c r="HV335" i="1" s="1"/>
  <c r="ID188" i="1"/>
  <c r="J188" i="1"/>
  <c r="BI188" i="1"/>
  <c r="BM188" i="1"/>
  <c r="DI188" i="1"/>
  <c r="DQ188" i="1"/>
  <c r="DW188" i="1"/>
  <c r="DW63" i="1" s="1"/>
  <c r="EA188" i="1"/>
  <c r="IC188" i="1"/>
  <c r="IN188" i="1"/>
  <c r="AH202" i="1"/>
  <c r="AV202" i="1"/>
  <c r="AZ202" i="1"/>
  <c r="CV203" i="1"/>
  <c r="EE202" i="1"/>
  <c r="EI202" i="1"/>
  <c r="FZ202" i="1"/>
  <c r="GD202" i="1"/>
  <c r="HF202" i="1"/>
  <c r="HN202" i="1"/>
  <c r="IE202" i="1"/>
  <c r="II202" i="1"/>
  <c r="II189" i="1" s="1"/>
  <c r="GL204" i="1"/>
  <c r="GP204" i="1"/>
  <c r="GK206" i="1"/>
  <c r="Q205" i="1"/>
  <c r="Q188" i="1" s="1"/>
  <c r="U205" i="1"/>
  <c r="U188" i="1" s="1"/>
  <c r="AA205" i="1"/>
  <c r="AE205" i="1"/>
  <c r="AK205" i="1"/>
  <c r="AK188" i="1" s="1"/>
  <c r="AO205" i="1"/>
  <c r="AO188" i="1" s="1"/>
  <c r="AQ205" i="1"/>
  <c r="AQ188" i="1" s="1"/>
  <c r="AQ63" i="1" s="1"/>
  <c r="AQ13" i="1" s="1"/>
  <c r="AQ12" i="1" s="1"/>
  <c r="AQ11" i="1" s="1"/>
  <c r="AQ10" i="1" s="1"/>
  <c r="AQ335" i="1" s="1"/>
  <c r="BR205" i="1"/>
  <c r="BR188" i="1" s="1"/>
  <c r="BV205" i="1"/>
  <c r="BV188" i="1" s="1"/>
  <c r="CB205" i="1"/>
  <c r="CF205" i="1"/>
  <c r="CJ205" i="1"/>
  <c r="DT205" i="1"/>
  <c r="DX205" i="1"/>
  <c r="FN205" i="1"/>
  <c r="FN188" i="1" s="1"/>
  <c r="FN63" i="1" s="1"/>
  <c r="FN13" i="1" s="1"/>
  <c r="FN12" i="1" s="1"/>
  <c r="FN11" i="1" s="1"/>
  <c r="FN10" i="1" s="1"/>
  <c r="FN335" i="1" s="1"/>
  <c r="FP205" i="1"/>
  <c r="FP188" i="1" s="1"/>
  <c r="GG208" i="1"/>
  <c r="CS207" i="1"/>
  <c r="EK207" i="1"/>
  <c r="FX207" i="1"/>
  <c r="IG207" i="1"/>
  <c r="GJ209" i="1"/>
  <c r="GN209" i="1"/>
  <c r="II211" i="1"/>
  <c r="GI216" i="1"/>
  <c r="GM216" i="1"/>
  <c r="BB218" i="1"/>
  <c r="ER217" i="1"/>
  <c r="ER215" i="1" s="1"/>
  <c r="ER188" i="1" s="1"/>
  <c r="ET217" i="1"/>
  <c r="ET215" i="1" s="1"/>
  <c r="ET188" i="1" s="1"/>
  <c r="EX217" i="1"/>
  <c r="EX215" i="1" s="1"/>
  <c r="EX188" i="1" s="1"/>
  <c r="FD217" i="1"/>
  <c r="FD215" i="1" s="1"/>
  <c r="FH217" i="1"/>
  <c r="FH215" i="1" s="1"/>
  <c r="GU217" i="1"/>
  <c r="GU215" i="1" s="1"/>
  <c r="AS218" i="1"/>
  <c r="GM219" i="1"/>
  <c r="DG218" i="1"/>
  <c r="EY218" i="1"/>
  <c r="FW218" i="1"/>
  <c r="GA218" i="1"/>
  <c r="GE218" i="1"/>
  <c r="GG220" i="1"/>
  <c r="GJ221" i="1"/>
  <c r="AS223" i="1"/>
  <c r="AW223" i="1"/>
  <c r="DG223" i="1"/>
  <c r="EN224" i="1"/>
  <c r="EJ223" i="1"/>
  <c r="EY223" i="1"/>
  <c r="GA223" i="1"/>
  <c r="GE223" i="1"/>
  <c r="HK223" i="1"/>
  <c r="HO223" i="1"/>
  <c r="HO217" i="1" s="1"/>
  <c r="HO215" i="1" s="1"/>
  <c r="GG225" i="1"/>
  <c r="GI225" i="1"/>
  <c r="GM225" i="1"/>
  <c r="BJ228" i="1"/>
  <c r="GX228" i="1"/>
  <c r="HT228" i="1"/>
  <c r="HT188" i="1" s="1"/>
  <c r="GG231" i="1"/>
  <c r="GK231" i="1"/>
  <c r="GO231" i="1"/>
  <c r="GL232" i="1"/>
  <c r="GP232" i="1"/>
  <c r="GN234" i="1"/>
  <c r="GG236" i="1"/>
  <c r="EJ236" i="1"/>
  <c r="FW236" i="1"/>
  <c r="GA236" i="1"/>
  <c r="GG237" i="1"/>
  <c r="GK237" i="1"/>
  <c r="GO237" i="1"/>
  <c r="CV238" i="1"/>
  <c r="AY242" i="1"/>
  <c r="AY241" i="1" s="1"/>
  <c r="BC242" i="1"/>
  <c r="BC241" i="1" s="1"/>
  <c r="GF243" i="1"/>
  <c r="GB242" i="1"/>
  <c r="GB241" i="1" s="1"/>
  <c r="HP250" i="1"/>
  <c r="GJ258" i="1"/>
  <c r="GN258" i="1"/>
  <c r="S257" i="1"/>
  <c r="S256" i="1" s="1"/>
  <c r="BR257" i="1"/>
  <c r="BR256" i="1" s="1"/>
  <c r="BR63" i="1" s="1"/>
  <c r="BR13" i="1" s="1"/>
  <c r="BR12" i="1" s="1"/>
  <c r="BR11" i="1" s="1"/>
  <c r="BR10" i="1" s="1"/>
  <c r="BR335" i="1" s="1"/>
  <c r="BV257" i="1"/>
  <c r="BV256" i="1" s="1"/>
  <c r="DA257" i="1"/>
  <c r="DA256" i="1" s="1"/>
  <c r="GW257" i="1"/>
  <c r="GW256" i="1" s="1"/>
  <c r="GG260" i="1"/>
  <c r="GJ261" i="1"/>
  <c r="GN261" i="1"/>
  <c r="BT257" i="1"/>
  <c r="BT256" i="1" s="1"/>
  <c r="HR257" i="1"/>
  <c r="HR256" i="1" s="1"/>
  <c r="W264" i="1"/>
  <c r="CL264" i="1"/>
  <c r="CT264" i="1"/>
  <c r="FY264" i="1"/>
  <c r="GC264" i="1"/>
  <c r="HA264" i="1"/>
  <c r="HM264" i="1"/>
  <c r="GG266" i="1"/>
  <c r="GK266" i="1"/>
  <c r="GO266" i="1"/>
  <c r="HU264" i="1"/>
  <c r="GL267" i="1"/>
  <c r="GI268" i="1"/>
  <c r="GM268" i="1"/>
  <c r="GG270" i="1"/>
  <c r="GK270" i="1"/>
  <c r="GO270" i="1"/>
  <c r="EE272" i="1"/>
  <c r="IA257" i="1"/>
  <c r="IA256" i="1" s="1"/>
  <c r="P257" i="1"/>
  <c r="P256" i="1" s="1"/>
  <c r="Y257" i="1"/>
  <c r="Y256" i="1" s="1"/>
  <c r="AC257" i="1"/>
  <c r="AC256" i="1" s="1"/>
  <c r="AC63" i="1" s="1"/>
  <c r="AC13" i="1" s="1"/>
  <c r="AC12" i="1" s="1"/>
  <c r="AC11" i="1" s="1"/>
  <c r="AC10" i="1" s="1"/>
  <c r="AC335" i="1" s="1"/>
  <c r="Q257" i="1"/>
  <c r="Q256" i="1" s="1"/>
  <c r="Q63" i="1" s="1"/>
  <c r="Q13" i="1" s="1"/>
  <c r="Q12" i="1" s="1"/>
  <c r="Q11" i="1" s="1"/>
  <c r="Q10" i="1" s="1"/>
  <c r="Q335" i="1" s="1"/>
  <c r="AB257" i="1"/>
  <c r="AB256" i="1" s="1"/>
  <c r="BM257" i="1"/>
  <c r="BM256" i="1" s="1"/>
  <c r="DJ257" i="1"/>
  <c r="DJ256" i="1" s="1"/>
  <c r="DJ63" i="1" s="1"/>
  <c r="DJ13" i="1" s="1"/>
  <c r="DJ12" i="1" s="1"/>
  <c r="DJ11" i="1" s="1"/>
  <c r="DJ10" i="1" s="1"/>
  <c r="DJ335" i="1" s="1"/>
  <c r="HE257" i="1"/>
  <c r="HE256" i="1" s="1"/>
  <c r="HY257" i="1"/>
  <c r="HY256" i="1" s="1"/>
  <c r="IK257" i="1"/>
  <c r="IK256" i="1" s="1"/>
  <c r="IK63" i="1" s="1"/>
  <c r="IK13" i="1" s="1"/>
  <c r="IK12" i="1" s="1"/>
  <c r="IK11" i="1" s="1"/>
  <c r="IK10" i="1" s="1"/>
  <c r="IK335" i="1" s="1"/>
  <c r="IQ257" i="1"/>
  <c r="IQ256" i="1" s="1"/>
  <c r="HM259" i="1"/>
  <c r="ES257" i="1"/>
  <c r="ES256" i="1" s="1"/>
  <c r="HB257" i="1"/>
  <c r="HB256" i="1" s="1"/>
  <c r="IL257" i="1"/>
  <c r="IL256" i="1" s="1"/>
  <c r="GN268" i="1"/>
  <c r="AY272" i="1"/>
  <c r="CT272" i="1"/>
  <c r="EH272" i="1"/>
  <c r="HA272" i="1"/>
  <c r="HZ272" i="1"/>
  <c r="G257" i="1"/>
  <c r="G256" i="1" s="1"/>
  <c r="G63" i="1" s="1"/>
  <c r="G13" i="1" s="1"/>
  <c r="G12" i="1" s="1"/>
  <c r="G11" i="1" s="1"/>
  <c r="G10" i="1" s="1"/>
  <c r="G335" i="1" s="1"/>
  <c r="DV257" i="1"/>
  <c r="DV256" i="1" s="1"/>
  <c r="HW257" i="1"/>
  <c r="HW256" i="1" s="1"/>
  <c r="DZ257" i="1"/>
  <c r="DZ256" i="1" s="1"/>
  <c r="FM257" i="1"/>
  <c r="FM256" i="1" s="1"/>
  <c r="GU280" i="1"/>
  <c r="GU279" i="1" s="1"/>
  <c r="GU257" i="1" s="1"/>
  <c r="GU256" i="1" s="1"/>
  <c r="GZ280" i="1"/>
  <c r="GZ279" i="1" s="1"/>
  <c r="GZ257" i="1" s="1"/>
  <c r="GZ256" i="1" s="1"/>
  <c r="HD257" i="1"/>
  <c r="HD256" i="1" s="1"/>
  <c r="HX280" i="1"/>
  <c r="HX279" i="1" s="1"/>
  <c r="IB280" i="1"/>
  <c r="IB279" i="1" s="1"/>
  <c r="IB257" i="1" s="1"/>
  <c r="IB256" i="1" s="1"/>
  <c r="IR280" i="1"/>
  <c r="IR279" i="1" s="1"/>
  <c r="IR257" i="1" s="1"/>
  <c r="IR256" i="1" s="1"/>
  <c r="IR63" i="1" s="1"/>
  <c r="IR13" i="1" s="1"/>
  <c r="IR12" i="1" s="1"/>
  <c r="IR11" i="1" s="1"/>
  <c r="IR10" i="1" s="1"/>
  <c r="IR335" i="1" s="1"/>
  <c r="L281" i="1"/>
  <c r="L280" i="1" s="1"/>
  <c r="L279" i="1" s="1"/>
  <c r="GG282" i="1"/>
  <c r="GK282" i="1"/>
  <c r="GO282" i="1"/>
  <c r="CK281" i="1"/>
  <c r="CK280" i="1" s="1"/>
  <c r="CK279" i="1" s="1"/>
  <c r="CO281" i="1"/>
  <c r="CO280" i="1" s="1"/>
  <c r="CO279" i="1" s="1"/>
  <c r="DR281" i="1"/>
  <c r="DR280" i="1" s="1"/>
  <c r="DR279" i="1" s="1"/>
  <c r="EG281" i="1"/>
  <c r="EG280" i="1" s="1"/>
  <c r="EG279" i="1" s="1"/>
  <c r="EK281" i="1"/>
  <c r="EK280" i="1" s="1"/>
  <c r="EK279" i="1" s="1"/>
  <c r="FJ281" i="1"/>
  <c r="FJ280" i="1" s="1"/>
  <c r="FJ279" i="1" s="1"/>
  <c r="FX281" i="1"/>
  <c r="FX280" i="1" s="1"/>
  <c r="FX279" i="1" s="1"/>
  <c r="GB281" i="1"/>
  <c r="GB280" i="1" s="1"/>
  <c r="GB279" i="1" s="1"/>
  <c r="GV281" i="1"/>
  <c r="GV280" i="1" s="1"/>
  <c r="GV279" i="1" s="1"/>
  <c r="HU281" i="1"/>
  <c r="HU280" i="1" s="1"/>
  <c r="HU279" i="1" s="1"/>
  <c r="IG281" i="1"/>
  <c r="IG280" i="1" s="1"/>
  <c r="IG279" i="1" s="1"/>
  <c r="IT281" i="1"/>
  <c r="IT280" i="1" s="1"/>
  <c r="IT279" i="1" s="1"/>
  <c r="AS281" i="1"/>
  <c r="AS280" i="1" s="1"/>
  <c r="AS279" i="1" s="1"/>
  <c r="GJ283" i="1"/>
  <c r="GN283" i="1"/>
  <c r="BZ281" i="1"/>
  <c r="BZ280" i="1" s="1"/>
  <c r="BZ279" i="1" s="1"/>
  <c r="CV283" i="1"/>
  <c r="CR281" i="1"/>
  <c r="CR280" i="1" s="1"/>
  <c r="CR279" i="1" s="1"/>
  <c r="EF281" i="1"/>
  <c r="EF280" i="1" s="1"/>
  <c r="EF279" i="1" s="1"/>
  <c r="EJ281" i="1"/>
  <c r="EJ280" i="1" s="1"/>
  <c r="EJ279" i="1" s="1"/>
  <c r="EY281" i="1"/>
  <c r="EY280" i="1" s="1"/>
  <c r="EY279" i="1" s="1"/>
  <c r="GF283" i="1"/>
  <c r="GA281" i="1"/>
  <c r="GA280" i="1" s="1"/>
  <c r="GA279" i="1" s="1"/>
  <c r="GE281" i="1"/>
  <c r="GE280" i="1" s="1"/>
  <c r="GE279" i="1" s="1"/>
  <c r="HO281" i="1"/>
  <c r="HO280" i="1" s="1"/>
  <c r="HO279" i="1" s="1"/>
  <c r="IJ283" i="1"/>
  <c r="IO281" i="1"/>
  <c r="IO280" i="1" s="1"/>
  <c r="IO279" i="1" s="1"/>
  <c r="GI284" i="1"/>
  <c r="GM284" i="1"/>
  <c r="EN284" i="1"/>
  <c r="GH285" i="1"/>
  <c r="GL285" i="1"/>
  <c r="GP285" i="1"/>
  <c r="GG286" i="1"/>
  <c r="GK286" i="1"/>
  <c r="GO286" i="1"/>
  <c r="HP286" i="1"/>
  <c r="GJ287" i="1"/>
  <c r="GN287" i="1"/>
  <c r="CV287" i="1"/>
  <c r="GF287" i="1"/>
  <c r="IJ287" i="1"/>
  <c r="GI288" i="1"/>
  <c r="GM288" i="1"/>
  <c r="EN288" i="1"/>
  <c r="GH289" i="1"/>
  <c r="GL289" i="1"/>
  <c r="GP289" i="1"/>
  <c r="GG290" i="1"/>
  <c r="GK290" i="1"/>
  <c r="GO290" i="1"/>
  <c r="HP290" i="1"/>
  <c r="GJ291" i="1"/>
  <c r="GN291" i="1"/>
  <c r="CV291" i="1"/>
  <c r="GF291" i="1"/>
  <c r="IJ291" i="1"/>
  <c r="GI292" i="1"/>
  <c r="GM292" i="1"/>
  <c r="EN292" i="1"/>
  <c r="GH293" i="1"/>
  <c r="GL293" i="1"/>
  <c r="GP293" i="1"/>
  <c r="GJ295" i="1"/>
  <c r="GJ294" i="1" s="1"/>
  <c r="GN295" i="1"/>
  <c r="GN294" i="1" s="1"/>
  <c r="AX298" i="1"/>
  <c r="AS298" i="1"/>
  <c r="GJ299" i="1"/>
  <c r="GN299" i="1"/>
  <c r="DG298" i="1"/>
  <c r="EF298" i="1"/>
  <c r="EJ298" i="1"/>
  <c r="GA298" i="1"/>
  <c r="GE298" i="1"/>
  <c r="HK298" i="1"/>
  <c r="HO298" i="1"/>
  <c r="IO298" i="1"/>
  <c r="AV302" i="1"/>
  <c r="CM302" i="1"/>
  <c r="EE302" i="1"/>
  <c r="EI310" i="1"/>
  <c r="EI309" i="1" s="1"/>
  <c r="IO310" i="1"/>
  <c r="IO309" i="1" s="1"/>
  <c r="GK306" i="1"/>
  <c r="GH307" i="1"/>
  <c r="GJ307" i="1"/>
  <c r="GL307" i="1"/>
  <c r="GN307" i="1"/>
  <c r="GP307" i="1"/>
  <c r="GG308" i="1"/>
  <c r="GI308" i="1"/>
  <c r="GM308" i="1"/>
  <c r="GJ311" i="1"/>
  <c r="GN311" i="1"/>
  <c r="W312" i="1"/>
  <c r="W310" i="1" s="1"/>
  <c r="W309" i="1" s="1"/>
  <c r="GH313" i="1"/>
  <c r="GL313" i="1"/>
  <c r="GP313" i="1"/>
  <c r="CP312" i="1"/>
  <c r="CP310" i="1" s="1"/>
  <c r="CP309" i="1" s="1"/>
  <c r="CT312" i="1"/>
  <c r="EH312" i="1"/>
  <c r="FU312" i="1"/>
  <c r="FU310" i="1" s="1"/>
  <c r="FU309" i="1" s="1"/>
  <c r="FY312" i="1"/>
  <c r="GC312" i="1"/>
  <c r="GC310" i="1" s="1"/>
  <c r="GC309" i="1" s="1"/>
  <c r="HA312" i="1"/>
  <c r="HA310" i="1" s="1"/>
  <c r="HA309" i="1" s="1"/>
  <c r="HM312" i="1"/>
  <c r="HZ312" i="1"/>
  <c r="HZ310" i="1" s="1"/>
  <c r="HZ309" i="1" s="1"/>
  <c r="IH312" i="1"/>
  <c r="GG314" i="1"/>
  <c r="GK314" i="1"/>
  <c r="GO314" i="1"/>
  <c r="GJ315" i="1"/>
  <c r="GN315" i="1"/>
  <c r="GL317" i="1"/>
  <c r="GP317" i="1"/>
  <c r="GH327" i="1"/>
  <c r="AU325" i="1"/>
  <c r="II310" i="1"/>
  <c r="II309" i="1" s="1"/>
  <c r="L310" i="1"/>
  <c r="L309" i="1" s="1"/>
  <c r="HU316" i="1"/>
  <c r="IG316" i="1"/>
  <c r="GJ318" i="1"/>
  <c r="GN318" i="1"/>
  <c r="AY325" i="1"/>
  <c r="EE325" i="1"/>
  <c r="EE310" i="1" s="1"/>
  <c r="EE309" i="1" s="1"/>
  <c r="GG321" i="1"/>
  <c r="GK321" i="1"/>
  <c r="DR320" i="1"/>
  <c r="EG320" i="1"/>
  <c r="EK320" i="1"/>
  <c r="GJ322" i="1"/>
  <c r="GN322" i="1"/>
  <c r="GG324" i="1"/>
  <c r="GK324" i="1"/>
  <c r="GK323" i="1" s="1"/>
  <c r="GO324" i="1"/>
  <c r="GO323" i="1" s="1"/>
  <c r="HP324" i="1"/>
  <c r="HP323" i="1" s="1"/>
  <c r="EH325" i="1"/>
  <c r="FY325" i="1"/>
  <c r="GG327" i="1"/>
  <c r="GJ328" i="1"/>
  <c r="GH331" i="1"/>
  <c r="GL331" i="1"/>
  <c r="GP331" i="1"/>
  <c r="HP331" i="1"/>
  <c r="GH333" i="1"/>
  <c r="GL333" i="1"/>
  <c r="GP333" i="1"/>
  <c r="GH334" i="1"/>
  <c r="GJ334" i="1"/>
  <c r="GL334" i="1"/>
  <c r="GN334" i="1"/>
  <c r="GP334" i="1"/>
  <c r="M4" i="5"/>
  <c r="HO25" i="1"/>
  <c r="FM25" i="1"/>
  <c r="FM24" i="1" s="1"/>
  <c r="FQ25" i="1"/>
  <c r="FQ24" i="1" s="1"/>
  <c r="GD25" i="1"/>
  <c r="GG31" i="1"/>
  <c r="GK31" i="1"/>
  <c r="GO31" i="1"/>
  <c r="HP31" i="1"/>
  <c r="HU30" i="1"/>
  <c r="HU25" i="1" s="1"/>
  <c r="HU24" i="1" s="1"/>
  <c r="IG30" i="1"/>
  <c r="IT30" i="1"/>
  <c r="GJ32" i="1"/>
  <c r="GN32" i="1"/>
  <c r="EY30" i="1"/>
  <c r="IJ32" i="1"/>
  <c r="GI33" i="1"/>
  <c r="GM33" i="1"/>
  <c r="CV33" i="1"/>
  <c r="GH34" i="1"/>
  <c r="GL34" i="1"/>
  <c r="GP34" i="1"/>
  <c r="BZ35" i="1"/>
  <c r="CR35" i="1"/>
  <c r="DG35" i="1"/>
  <c r="DG25" i="1" s="1"/>
  <c r="EJ35" i="1"/>
  <c r="EY35" i="1"/>
  <c r="FU35" i="1"/>
  <c r="HA35" i="1"/>
  <c r="HM35" i="1"/>
  <c r="HZ35" i="1"/>
  <c r="IH35" i="1"/>
  <c r="AS41" i="1"/>
  <c r="W41" i="1"/>
  <c r="CM43" i="1"/>
  <c r="CM41" i="1" s="1"/>
  <c r="FO24" i="1"/>
  <c r="FS24" i="1"/>
  <c r="L51" i="1"/>
  <c r="CO51" i="1"/>
  <c r="CS51" i="1"/>
  <c r="AM13" i="1"/>
  <c r="AM12" i="1" s="1"/>
  <c r="AM11" i="1" s="1"/>
  <c r="AM10" i="1" s="1"/>
  <c r="AM335" i="1" s="1"/>
  <c r="AH15" i="1"/>
  <c r="AH14" i="1" s="1"/>
  <c r="BO15" i="1"/>
  <c r="BO14" i="1" s="1"/>
  <c r="CQ15" i="1"/>
  <c r="CQ14" i="1" s="1"/>
  <c r="CK25" i="1"/>
  <c r="CK24" i="1" s="1"/>
  <c r="CY13" i="1"/>
  <c r="CY12" i="1" s="1"/>
  <c r="CY11" i="1" s="1"/>
  <c r="CY10" i="1" s="1"/>
  <c r="CY335" i="1" s="1"/>
  <c r="HK25" i="1"/>
  <c r="AS25" i="1"/>
  <c r="AS24" i="1" s="1"/>
  <c r="CM27" i="1"/>
  <c r="CQ27" i="1"/>
  <c r="CQ25" i="1" s="1"/>
  <c r="CU27" i="1"/>
  <c r="CU25" i="1" s="1"/>
  <c r="AK25" i="1"/>
  <c r="AK24" i="1" s="1"/>
  <c r="AO25" i="1"/>
  <c r="AO24" i="1" s="1"/>
  <c r="CD25" i="1"/>
  <c r="CD24" i="1" s="1"/>
  <c r="CH25" i="1"/>
  <c r="CH24" i="1" s="1"/>
  <c r="GF37" i="1"/>
  <c r="IJ37" i="1"/>
  <c r="EN38" i="1"/>
  <c r="GB41" i="1"/>
  <c r="HP42" i="1"/>
  <c r="IG41" i="1"/>
  <c r="CQ41" i="1"/>
  <c r="FC24" i="1"/>
  <c r="FG24" i="1"/>
  <c r="FL24" i="1"/>
  <c r="FL13" i="1" s="1"/>
  <c r="FL12" i="1" s="1"/>
  <c r="FL11" i="1" s="1"/>
  <c r="FL10" i="1" s="1"/>
  <c r="FL335" i="1" s="1"/>
  <c r="FP24" i="1"/>
  <c r="FT24" i="1"/>
  <c r="FT13" i="1" s="1"/>
  <c r="FT12" i="1" s="1"/>
  <c r="FT11" i="1" s="1"/>
  <c r="FT10" i="1" s="1"/>
  <c r="FT335" i="1" s="1"/>
  <c r="GC41" i="1"/>
  <c r="HM41" i="1"/>
  <c r="IH41" i="1"/>
  <c r="EY43" i="1"/>
  <c r="CP51" i="1"/>
  <c r="CT51" i="1"/>
  <c r="IJ26" i="1"/>
  <c r="BO25" i="1"/>
  <c r="CP25" i="1"/>
  <c r="IO25" i="1"/>
  <c r="EG25" i="1"/>
  <c r="EK25" i="1"/>
  <c r="BZ27" i="1"/>
  <c r="BZ25" i="1" s="1"/>
  <c r="CR27" i="1"/>
  <c r="EY27" i="1"/>
  <c r="BH25" i="1"/>
  <c r="BH24" i="1" s="1"/>
  <c r="BL25" i="1"/>
  <c r="BL24" i="1" s="1"/>
  <c r="BL13" i="1" s="1"/>
  <c r="BL12" i="1" s="1"/>
  <c r="BL11" i="1" s="1"/>
  <c r="BL10" i="1" s="1"/>
  <c r="BL335" i="1" s="1"/>
  <c r="BQ25" i="1"/>
  <c r="BQ24" i="1" s="1"/>
  <c r="BU25" i="1"/>
  <c r="BU24" i="1" s="1"/>
  <c r="BY25" i="1"/>
  <c r="BY24" i="1" s="1"/>
  <c r="FZ25" i="1"/>
  <c r="AU30" i="1"/>
  <c r="AY30" i="1"/>
  <c r="BC30" i="1"/>
  <c r="EH30" i="1"/>
  <c r="EH25" i="1" s="1"/>
  <c r="CU41" i="1"/>
  <c r="EP24" i="1"/>
  <c r="EP13" i="1" s="1"/>
  <c r="EP12" i="1" s="1"/>
  <c r="EP11" i="1" s="1"/>
  <c r="EP10" i="1" s="1"/>
  <c r="EP335" i="1" s="1"/>
  <c r="ET24" i="1"/>
  <c r="EX24" i="1"/>
  <c r="EH41" i="1"/>
  <c r="EL41" i="1"/>
  <c r="FU41" i="1"/>
  <c r="L43" i="1"/>
  <c r="L41" i="1" s="1"/>
  <c r="CO43" i="1"/>
  <c r="CO41" i="1" s="1"/>
  <c r="CS43" i="1"/>
  <c r="DG43" i="1"/>
  <c r="DG41" i="1" s="1"/>
  <c r="GA43" i="1"/>
  <c r="GA41" i="1" s="1"/>
  <c r="GE43" i="1"/>
  <c r="GE41" i="1" s="1"/>
  <c r="HK43" i="1"/>
  <c r="HK41" i="1" s="1"/>
  <c r="HO43" i="1"/>
  <c r="HO41" i="1" s="1"/>
  <c r="IO43" i="1"/>
  <c r="IO41" i="1" s="1"/>
  <c r="GG60" i="1"/>
  <c r="GK60" i="1"/>
  <c r="GO60" i="1"/>
  <c r="HP60" i="1"/>
  <c r="GJ61" i="1"/>
  <c r="GN61" i="1"/>
  <c r="GF61" i="1"/>
  <c r="IJ61" i="1"/>
  <c r="GI62" i="1"/>
  <c r="GM62" i="1"/>
  <c r="CV62" i="1"/>
  <c r="EN62" i="1"/>
  <c r="GH64" i="1"/>
  <c r="GL64" i="1"/>
  <c r="GP64" i="1"/>
  <c r="EJ94" i="1"/>
  <c r="BO94" i="1"/>
  <c r="CQ94" i="1"/>
  <c r="CU94" i="1"/>
  <c r="FZ94" i="1"/>
  <c r="HN94" i="1"/>
  <c r="IE94" i="1"/>
  <c r="HA94" i="1"/>
  <c r="HM94" i="1"/>
  <c r="GV25" i="1"/>
  <c r="GV24" i="1" s="1"/>
  <c r="IF25" i="1"/>
  <c r="IT25" i="1"/>
  <c r="IT24" i="1" s="1"/>
  <c r="W25" i="1"/>
  <c r="W24" i="1" s="1"/>
  <c r="EL25" i="1"/>
  <c r="FU25" i="1"/>
  <c r="FU24" i="1" s="1"/>
  <c r="L27" i="1"/>
  <c r="L25" i="1" s="1"/>
  <c r="L24" i="1" s="1"/>
  <c r="CO27" i="1"/>
  <c r="CO25" i="1" s="1"/>
  <c r="CS27" i="1"/>
  <c r="CS25" i="1" s="1"/>
  <c r="HP29" i="1"/>
  <c r="DW25" i="1"/>
  <c r="DW24" i="1" s="1"/>
  <c r="EA25" i="1"/>
  <c r="EA24" i="1" s="1"/>
  <c r="AH30" i="1"/>
  <c r="EI30" i="1"/>
  <c r="FY30" i="1"/>
  <c r="FY25" i="1" s="1"/>
  <c r="GC30" i="1"/>
  <c r="GC25" i="1" s="1"/>
  <c r="HA30" i="1"/>
  <c r="HA25" i="1" s="1"/>
  <c r="HM30" i="1"/>
  <c r="HM25" i="1" s="1"/>
  <c r="HZ30" i="1"/>
  <c r="HZ25" i="1" s="1"/>
  <c r="IH30" i="1"/>
  <c r="IH25" i="1" s="1"/>
  <c r="HF25" i="1"/>
  <c r="HN25" i="1"/>
  <c r="FY41" i="1"/>
  <c r="HA41" i="1"/>
  <c r="HZ41" i="1"/>
  <c r="AH41" i="1"/>
  <c r="FZ41" i="1"/>
  <c r="CP43" i="1"/>
  <c r="CT43" i="1"/>
  <c r="HP50" i="1"/>
  <c r="BZ51" i="1"/>
  <c r="BZ41" i="1" s="1"/>
  <c r="CN51" i="1"/>
  <c r="CN41" i="1" s="1"/>
  <c r="CR51" i="1"/>
  <c r="CR41" i="1" s="1"/>
  <c r="EY51" i="1"/>
  <c r="BD57" i="1"/>
  <c r="GL57" i="1"/>
  <c r="GP57" i="1"/>
  <c r="CP54" i="1"/>
  <c r="CT54" i="1"/>
  <c r="EH54" i="1"/>
  <c r="EL54" i="1"/>
  <c r="HA56" i="1"/>
  <c r="HA54" i="1" s="1"/>
  <c r="HM56" i="1"/>
  <c r="HM54" i="1" s="1"/>
  <c r="HZ56" i="1"/>
  <c r="HZ54" i="1" s="1"/>
  <c r="IH56" i="1"/>
  <c r="IH54" i="1" s="1"/>
  <c r="GG58" i="1"/>
  <c r="GK58" i="1"/>
  <c r="GO58" i="1"/>
  <c r="HP58" i="1"/>
  <c r="GJ59" i="1"/>
  <c r="GN59" i="1"/>
  <c r="GF59" i="1"/>
  <c r="GS65" i="1"/>
  <c r="HA67" i="1"/>
  <c r="HA66" i="1" s="1"/>
  <c r="HE65" i="1"/>
  <c r="HE63" i="1" s="1"/>
  <c r="HE13" i="1" s="1"/>
  <c r="HE12" i="1" s="1"/>
  <c r="HE11" i="1" s="1"/>
  <c r="HE10" i="1" s="1"/>
  <c r="HE335" i="1" s="1"/>
  <c r="IQ65" i="1"/>
  <c r="HF67" i="1"/>
  <c r="HF66" i="1" s="1"/>
  <c r="HN67" i="1"/>
  <c r="HN66" i="1" s="1"/>
  <c r="IE67" i="1"/>
  <c r="IE66" i="1" s="1"/>
  <c r="II67" i="1"/>
  <c r="II66" i="1" s="1"/>
  <c r="DG94" i="1"/>
  <c r="DG92" i="1" s="1"/>
  <c r="GA94" i="1"/>
  <c r="GA92" i="1" s="1"/>
  <c r="GE94" i="1"/>
  <c r="GE92" i="1" s="1"/>
  <c r="HK94" i="1"/>
  <c r="HK92" i="1" s="1"/>
  <c r="HK91" i="1" s="1"/>
  <c r="HO94" i="1"/>
  <c r="HO92" i="1" s="1"/>
  <c r="HO91" i="1" s="1"/>
  <c r="IO94" i="1"/>
  <c r="IO92" i="1" s="1"/>
  <c r="IO91" i="1" s="1"/>
  <c r="E92" i="1"/>
  <c r="E91" i="1" s="1"/>
  <c r="E65" i="1" s="1"/>
  <c r="I92" i="1"/>
  <c r="I91" i="1" s="1"/>
  <c r="I65" i="1" s="1"/>
  <c r="FB92" i="1"/>
  <c r="FB91" i="1" s="1"/>
  <c r="FF92" i="1"/>
  <c r="FF91" i="1" s="1"/>
  <c r="FF65" i="1" s="1"/>
  <c r="FF63" i="1" s="1"/>
  <c r="FF13" i="1" s="1"/>
  <c r="FF12" i="1" s="1"/>
  <c r="FF11" i="1" s="1"/>
  <c r="FF10" i="1" s="1"/>
  <c r="FF335" i="1" s="1"/>
  <c r="FO92" i="1"/>
  <c r="FO91" i="1" s="1"/>
  <c r="FO65" i="1" s="1"/>
  <c r="FS92" i="1"/>
  <c r="FS91" i="1" s="1"/>
  <c r="EN106" i="1"/>
  <c r="EE105" i="1"/>
  <c r="EE104" i="1" s="1"/>
  <c r="GK108" i="1"/>
  <c r="AX105" i="1"/>
  <c r="BQ65" i="1"/>
  <c r="BY65" i="1"/>
  <c r="IH67" i="1"/>
  <c r="IH66" i="1" s="1"/>
  <c r="HP96" i="1"/>
  <c r="IT95" i="1"/>
  <c r="IT94" i="1" s="1"/>
  <c r="GF97" i="1"/>
  <c r="IJ97" i="1"/>
  <c r="CV98" i="1"/>
  <c r="EN98" i="1"/>
  <c r="AZ100" i="1"/>
  <c r="AZ94" i="1" s="1"/>
  <c r="CP92" i="1"/>
  <c r="CP91" i="1" s="1"/>
  <c r="ES92" i="1"/>
  <c r="ES91" i="1" s="1"/>
  <c r="ES65" i="1" s="1"/>
  <c r="EW92" i="1"/>
  <c r="EW91" i="1" s="1"/>
  <c r="EW65" i="1" s="1"/>
  <c r="IL92" i="1"/>
  <c r="IL91" i="1" s="1"/>
  <c r="IL65" i="1" s="1"/>
  <c r="FB65" i="1"/>
  <c r="FB63" i="1" s="1"/>
  <c r="FB13" i="1" s="1"/>
  <c r="FB12" i="1" s="1"/>
  <c r="FB11" i="1" s="1"/>
  <c r="FB10" i="1" s="1"/>
  <c r="FB335" i="1" s="1"/>
  <c r="FS65" i="1"/>
  <c r="HZ67" i="1"/>
  <c r="HZ66" i="1" s="1"/>
  <c r="CN69" i="1"/>
  <c r="CN67" i="1" s="1"/>
  <c r="CN66" i="1" s="1"/>
  <c r="GJ93" i="1"/>
  <c r="GN93" i="1"/>
  <c r="GF93" i="1"/>
  <c r="IJ93" i="1"/>
  <c r="AV100" i="1"/>
  <c r="AV94" i="1" s="1"/>
  <c r="CM100" i="1"/>
  <c r="CM94" i="1" s="1"/>
  <c r="AJ92" i="1"/>
  <c r="AJ91" i="1" s="1"/>
  <c r="AJ65" i="1" s="1"/>
  <c r="AN92" i="1"/>
  <c r="AN91" i="1" s="1"/>
  <c r="AN65" i="1" s="1"/>
  <c r="AR92" i="1"/>
  <c r="AR91" i="1" s="1"/>
  <c r="AR65" i="1" s="1"/>
  <c r="DI92" i="1"/>
  <c r="DI91" i="1" s="1"/>
  <c r="DI65" i="1" s="1"/>
  <c r="DI63" i="1" s="1"/>
  <c r="DI13" i="1" s="1"/>
  <c r="DI12" i="1" s="1"/>
  <c r="DI11" i="1" s="1"/>
  <c r="DI10" i="1" s="1"/>
  <c r="DI335" i="1" s="1"/>
  <c r="DM92" i="1"/>
  <c r="DM91" i="1" s="1"/>
  <c r="DM65" i="1" s="1"/>
  <c r="DM63" i="1" s="1"/>
  <c r="DM13" i="1" s="1"/>
  <c r="DM12" i="1" s="1"/>
  <c r="DM11" i="1" s="1"/>
  <c r="DM10" i="1" s="1"/>
  <c r="DM335" i="1" s="1"/>
  <c r="DQ92" i="1"/>
  <c r="DQ91" i="1" s="1"/>
  <c r="DQ65" i="1" s="1"/>
  <c r="DQ63" i="1" s="1"/>
  <c r="DQ13" i="1" s="1"/>
  <c r="DQ12" i="1" s="1"/>
  <c r="DQ11" i="1" s="1"/>
  <c r="DQ10" i="1" s="1"/>
  <c r="DQ335" i="1" s="1"/>
  <c r="HM67" i="1"/>
  <c r="HM66" i="1" s="1"/>
  <c r="BZ69" i="1"/>
  <c r="BZ67" i="1" s="1"/>
  <c r="BZ66" i="1" s="1"/>
  <c r="EN89" i="1"/>
  <c r="GG93" i="1"/>
  <c r="GK93" i="1"/>
  <c r="GO93" i="1"/>
  <c r="AX95" i="1"/>
  <c r="AX94" i="1" s="1"/>
  <c r="EI100" i="1"/>
  <c r="EI94" i="1" s="1"/>
  <c r="EI92" i="1" s="1"/>
  <c r="EI91" i="1" s="1"/>
  <c r="EM100" i="1"/>
  <c r="EM94" i="1" s="1"/>
  <c r="N92" i="1"/>
  <c r="N91" i="1" s="1"/>
  <c r="N65" i="1" s="1"/>
  <c r="R92" i="1"/>
  <c r="R91" i="1" s="1"/>
  <c r="R65" i="1" s="1"/>
  <c r="V92" i="1"/>
  <c r="V91" i="1" s="1"/>
  <c r="V65" i="1" s="1"/>
  <c r="AA92" i="1"/>
  <c r="AA91" i="1" s="1"/>
  <c r="AA65" i="1" s="1"/>
  <c r="AE92" i="1"/>
  <c r="AE91" i="1" s="1"/>
  <c r="AE65" i="1" s="1"/>
  <c r="CM105" i="1"/>
  <c r="CZ92" i="1"/>
  <c r="CZ91" i="1" s="1"/>
  <c r="CZ65" i="1" s="1"/>
  <c r="CZ63" i="1" s="1"/>
  <c r="CZ13" i="1" s="1"/>
  <c r="CZ12" i="1" s="1"/>
  <c r="CZ11" i="1" s="1"/>
  <c r="CZ10" i="1" s="1"/>
  <c r="CZ335" i="1" s="1"/>
  <c r="DD92" i="1"/>
  <c r="DD91" i="1" s="1"/>
  <c r="DD65" i="1" s="1"/>
  <c r="DD63" i="1" s="1"/>
  <c r="DD13" i="1" s="1"/>
  <c r="DD12" i="1" s="1"/>
  <c r="DD11" i="1" s="1"/>
  <c r="DD10" i="1" s="1"/>
  <c r="DD335" i="1" s="1"/>
  <c r="BG92" i="1"/>
  <c r="BG91" i="1" s="1"/>
  <c r="BG65" i="1" s="1"/>
  <c r="BK92" i="1"/>
  <c r="BK91" i="1" s="1"/>
  <c r="BK65" i="1" s="1"/>
  <c r="BT92" i="1"/>
  <c r="BT91" i="1" s="1"/>
  <c r="BT65" i="1" s="1"/>
  <c r="BX92" i="1"/>
  <c r="BX91" i="1" s="1"/>
  <c r="BX65" i="1" s="1"/>
  <c r="CC92" i="1"/>
  <c r="CC91" i="1" s="1"/>
  <c r="CC65" i="1" s="1"/>
  <c r="CG92" i="1"/>
  <c r="CG91" i="1" s="1"/>
  <c r="CG65" i="1" s="1"/>
  <c r="HH92" i="1"/>
  <c r="HH91" i="1" s="1"/>
  <c r="HH65" i="1" s="1"/>
  <c r="FZ110" i="1"/>
  <c r="FZ104" i="1" s="1"/>
  <c r="FZ92" i="1" s="1"/>
  <c r="FZ91" i="1" s="1"/>
  <c r="GD110" i="1"/>
  <c r="GD104" i="1" s="1"/>
  <c r="GD92" i="1" s="1"/>
  <c r="GD91" i="1" s="1"/>
  <c r="HF110" i="1"/>
  <c r="HF104" i="1" s="1"/>
  <c r="HF92" i="1" s="1"/>
  <c r="HF91" i="1" s="1"/>
  <c r="HN110" i="1"/>
  <c r="HN104" i="1" s="1"/>
  <c r="IE110" i="1"/>
  <c r="IE104" i="1" s="1"/>
  <c r="IE92" i="1" s="1"/>
  <c r="IE91" i="1" s="1"/>
  <c r="II110" i="1"/>
  <c r="II104" i="1" s="1"/>
  <c r="II92" i="1" s="1"/>
  <c r="II91" i="1" s="1"/>
  <c r="GG113" i="1"/>
  <c r="GK113" i="1"/>
  <c r="GJ114" i="1"/>
  <c r="GN114" i="1"/>
  <c r="AZ115" i="1"/>
  <c r="AW120" i="1"/>
  <c r="CM120" i="1"/>
  <c r="GG129" i="1"/>
  <c r="GK129" i="1"/>
  <c r="GO129" i="1"/>
  <c r="HP129" i="1"/>
  <c r="AX130" i="1"/>
  <c r="AS155" i="1"/>
  <c r="EF155" i="1"/>
  <c r="EJ155" i="1"/>
  <c r="GI161" i="1"/>
  <c r="GM161" i="1"/>
  <c r="CV161" i="1"/>
  <c r="EN161" i="1"/>
  <c r="DR162" i="1"/>
  <c r="DR160" i="1" s="1"/>
  <c r="DR159" i="1" s="1"/>
  <c r="EG162" i="1"/>
  <c r="EG160" i="1" s="1"/>
  <c r="EG159" i="1" s="1"/>
  <c r="FJ162" i="1"/>
  <c r="FJ160" i="1" s="1"/>
  <c r="FJ159" i="1" s="1"/>
  <c r="GD160" i="1"/>
  <c r="GD159" i="1" s="1"/>
  <c r="CP172" i="1"/>
  <c r="CP171" i="1" s="1"/>
  <c r="CP170" i="1" s="1"/>
  <c r="CT172" i="1"/>
  <c r="CT171" i="1" s="1"/>
  <c r="CT170" i="1" s="1"/>
  <c r="DV92" i="1"/>
  <c r="DV91" i="1" s="1"/>
  <c r="DV65" i="1" s="1"/>
  <c r="DV63" i="1" s="1"/>
  <c r="DV13" i="1" s="1"/>
  <c r="DV12" i="1" s="1"/>
  <c r="DV11" i="1" s="1"/>
  <c r="DV10" i="1" s="1"/>
  <c r="DV335" i="1" s="1"/>
  <c r="DZ92" i="1"/>
  <c r="DZ91" i="1" s="1"/>
  <c r="DZ65" i="1" s="1"/>
  <c r="DZ63" i="1" s="1"/>
  <c r="DZ13" i="1" s="1"/>
  <c r="DZ12" i="1" s="1"/>
  <c r="DZ11" i="1" s="1"/>
  <c r="DZ10" i="1" s="1"/>
  <c r="DZ335" i="1" s="1"/>
  <c r="GR92" i="1"/>
  <c r="GR91" i="1" s="1"/>
  <c r="GR65" i="1" s="1"/>
  <c r="GR63" i="1" s="1"/>
  <c r="GR13" i="1" s="1"/>
  <c r="GR12" i="1" s="1"/>
  <c r="GR11" i="1" s="1"/>
  <c r="GR10" i="1" s="1"/>
  <c r="GR335" i="1" s="1"/>
  <c r="GZ92" i="1"/>
  <c r="GZ91" i="1" s="1"/>
  <c r="GZ65" i="1" s="1"/>
  <c r="GZ63" i="1" s="1"/>
  <c r="GZ13" i="1" s="1"/>
  <c r="GZ12" i="1" s="1"/>
  <c r="GZ11" i="1" s="1"/>
  <c r="GZ10" i="1" s="1"/>
  <c r="GZ335" i="1" s="1"/>
  <c r="HD92" i="1"/>
  <c r="HD91" i="1" s="1"/>
  <c r="HD65" i="1" s="1"/>
  <c r="HD63" i="1" s="1"/>
  <c r="HD13" i="1" s="1"/>
  <c r="HD12" i="1" s="1"/>
  <c r="HD11" i="1" s="1"/>
  <c r="HD10" i="1" s="1"/>
  <c r="HD335" i="1" s="1"/>
  <c r="HQ92" i="1"/>
  <c r="HQ91" i="1" s="1"/>
  <c r="HQ65" i="1" s="1"/>
  <c r="HQ63" i="1" s="1"/>
  <c r="HQ13" i="1" s="1"/>
  <c r="HQ12" i="1" s="1"/>
  <c r="HQ11" i="1" s="1"/>
  <c r="HQ10" i="1" s="1"/>
  <c r="HQ335" i="1" s="1"/>
  <c r="HY92" i="1"/>
  <c r="HY91" i="1" s="1"/>
  <c r="HY65" i="1" s="1"/>
  <c r="HY63" i="1" s="1"/>
  <c r="HY13" i="1" s="1"/>
  <c r="HY12" i="1" s="1"/>
  <c r="HY11" i="1" s="1"/>
  <c r="HY10" i="1" s="1"/>
  <c r="HY335" i="1" s="1"/>
  <c r="IC92" i="1"/>
  <c r="IC91" i="1" s="1"/>
  <c r="IC65" i="1" s="1"/>
  <c r="IC63" i="1" s="1"/>
  <c r="IC13" i="1" s="1"/>
  <c r="IC12" i="1" s="1"/>
  <c r="IC11" i="1" s="1"/>
  <c r="IC10" i="1" s="1"/>
  <c r="IC335" i="1" s="1"/>
  <c r="IP92" i="1"/>
  <c r="IP91" i="1" s="1"/>
  <c r="IP65" i="1" s="1"/>
  <c r="EH105" i="1"/>
  <c r="EH104" i="1" s="1"/>
  <c r="EL105" i="1"/>
  <c r="EL104" i="1" s="1"/>
  <c r="FU105" i="1"/>
  <c r="FU104" i="1" s="1"/>
  <c r="FU92" i="1" s="1"/>
  <c r="FU91" i="1" s="1"/>
  <c r="L105" i="1"/>
  <c r="L104" i="1" s="1"/>
  <c r="L92" i="1" s="1"/>
  <c r="L91" i="1" s="1"/>
  <c r="CO105" i="1"/>
  <c r="CO104" i="1" s="1"/>
  <c r="CO92" i="1" s="1"/>
  <c r="CO91" i="1" s="1"/>
  <c r="CS105" i="1"/>
  <c r="CS104" i="1" s="1"/>
  <c r="CS92" i="1" s="1"/>
  <c r="CS91" i="1" s="1"/>
  <c r="AV115" i="1"/>
  <c r="BA115" i="1"/>
  <c r="BA104" i="1" s="1"/>
  <c r="IF115" i="1"/>
  <c r="AS115" i="1"/>
  <c r="AS104" i="1" s="1"/>
  <c r="AS92" i="1" s="1"/>
  <c r="AS91" i="1" s="1"/>
  <c r="EJ115" i="1"/>
  <c r="EJ104" i="1" s="1"/>
  <c r="EJ92" i="1" s="1"/>
  <c r="CQ115" i="1"/>
  <c r="CQ104" i="1" s="1"/>
  <c r="CQ92" i="1" s="1"/>
  <c r="CQ91" i="1" s="1"/>
  <c r="CU115" i="1"/>
  <c r="CU104" i="1" s="1"/>
  <c r="CU92" i="1" s="1"/>
  <c r="CU91" i="1" s="1"/>
  <c r="BC120" i="1"/>
  <c r="ED120" i="1"/>
  <c r="EH120" i="1"/>
  <c r="EL120" i="1"/>
  <c r="BC130" i="1"/>
  <c r="AH139" i="1"/>
  <c r="AH137" i="1" s="1"/>
  <c r="AH136" i="1" s="1"/>
  <c r="AZ139" i="1"/>
  <c r="AZ137" i="1" s="1"/>
  <c r="AZ136" i="1" s="1"/>
  <c r="BO155" i="1"/>
  <c r="CQ155" i="1"/>
  <c r="CU155" i="1"/>
  <c r="EE155" i="1"/>
  <c r="EI155" i="1"/>
  <c r="EM155" i="1"/>
  <c r="HF160" i="1"/>
  <c r="HF159" i="1" s="1"/>
  <c r="HN160" i="1"/>
  <c r="HN159" i="1" s="1"/>
  <c r="IE160" i="1"/>
  <c r="IE159" i="1" s="1"/>
  <c r="II160" i="1"/>
  <c r="II159" i="1" s="1"/>
  <c r="BD164" i="1"/>
  <c r="L162" i="1"/>
  <c r="L160" i="1" s="1"/>
  <c r="L159" i="1" s="1"/>
  <c r="HP165" i="1"/>
  <c r="CM172" i="1"/>
  <c r="CM171" i="1" s="1"/>
  <c r="CM170" i="1" s="1"/>
  <c r="CQ172" i="1"/>
  <c r="CQ171" i="1" s="1"/>
  <c r="CQ170" i="1" s="1"/>
  <c r="CU172" i="1"/>
  <c r="CU171" i="1" s="1"/>
  <c r="CU170" i="1" s="1"/>
  <c r="EN174" i="1"/>
  <c r="W172" i="1"/>
  <c r="W171" i="1" s="1"/>
  <c r="GH175" i="1"/>
  <c r="EG104" i="1"/>
  <c r="EG92" i="1" s="1"/>
  <c r="EG91" i="1" s="1"/>
  <c r="EK104" i="1"/>
  <c r="EK92" i="1" s="1"/>
  <c r="EK91" i="1" s="1"/>
  <c r="BZ104" i="1"/>
  <c r="BZ92" i="1" s="1"/>
  <c r="BZ91" i="1" s="1"/>
  <c r="CN104" i="1"/>
  <c r="CN92" i="1" s="1"/>
  <c r="CN91" i="1" s="1"/>
  <c r="CR104" i="1"/>
  <c r="CR92" i="1" s="1"/>
  <c r="CR91" i="1" s="1"/>
  <c r="EY104" i="1"/>
  <c r="EY92" i="1" s="1"/>
  <c r="EY91" i="1" s="1"/>
  <c r="DR104" i="1"/>
  <c r="DR92" i="1" s="1"/>
  <c r="DR91" i="1" s="1"/>
  <c r="GV130" i="1"/>
  <c r="HU130" i="1"/>
  <c r="IG130" i="1"/>
  <c r="IT130" i="1"/>
  <c r="DG130" i="1"/>
  <c r="EF130" i="1"/>
  <c r="EJ130" i="1"/>
  <c r="GA130" i="1"/>
  <c r="GE130" i="1"/>
  <c r="IJ135" i="1"/>
  <c r="IJ138" i="1"/>
  <c r="BD140" i="1"/>
  <c r="GL140" i="1"/>
  <c r="GP140" i="1"/>
  <c r="EH139" i="1"/>
  <c r="EH137" i="1" s="1"/>
  <c r="EH136" i="1" s="1"/>
  <c r="EL139" i="1"/>
  <c r="EL137" i="1" s="1"/>
  <c r="EL136" i="1" s="1"/>
  <c r="L139" i="1"/>
  <c r="L137" i="1" s="1"/>
  <c r="L136" i="1" s="1"/>
  <c r="GG141" i="1"/>
  <c r="GK141" i="1"/>
  <c r="GO141" i="1"/>
  <c r="CO139" i="1"/>
  <c r="CO137" i="1" s="1"/>
  <c r="CO136" i="1" s="1"/>
  <c r="CS139" i="1"/>
  <c r="CS137" i="1" s="1"/>
  <c r="CS136" i="1" s="1"/>
  <c r="HP141" i="1"/>
  <c r="GJ142" i="1"/>
  <c r="GN142" i="1"/>
  <c r="DG139" i="1"/>
  <c r="DG137" i="1" s="1"/>
  <c r="DG136" i="1" s="1"/>
  <c r="GF142" i="1"/>
  <c r="GA139" i="1"/>
  <c r="GA137" i="1" s="1"/>
  <c r="GA136" i="1" s="1"/>
  <c r="GE139" i="1"/>
  <c r="GE137" i="1" s="1"/>
  <c r="GE136" i="1" s="1"/>
  <c r="HK139" i="1"/>
  <c r="HK137" i="1" s="1"/>
  <c r="HK136" i="1" s="1"/>
  <c r="HO139" i="1"/>
  <c r="HO137" i="1" s="1"/>
  <c r="HO136" i="1" s="1"/>
  <c r="IJ142" i="1"/>
  <c r="IO139" i="1"/>
  <c r="IO137" i="1" s="1"/>
  <c r="IO136" i="1" s="1"/>
  <c r="FW143" i="1"/>
  <c r="EF143" i="1"/>
  <c r="EF139" i="1" s="1"/>
  <c r="EF137" i="1" s="1"/>
  <c r="EF136" i="1" s="1"/>
  <c r="EJ143" i="1"/>
  <c r="EJ139" i="1" s="1"/>
  <c r="EJ137" i="1" s="1"/>
  <c r="EJ136" i="1" s="1"/>
  <c r="EK160" i="1"/>
  <c r="EK159" i="1" s="1"/>
  <c r="GV172" i="1"/>
  <c r="GV171" i="1" s="1"/>
  <c r="GV170" i="1" s="1"/>
  <c r="HU172" i="1"/>
  <c r="HU171" i="1" s="1"/>
  <c r="HU170" i="1" s="1"/>
  <c r="IG172" i="1"/>
  <c r="IG171" i="1" s="1"/>
  <c r="IG170" i="1" s="1"/>
  <c r="IT172" i="1"/>
  <c r="IT171" i="1" s="1"/>
  <c r="IT170" i="1" s="1"/>
  <c r="W104" i="1"/>
  <c r="W92" i="1" s="1"/>
  <c r="W91" i="1" s="1"/>
  <c r="FY104" i="1"/>
  <c r="FY92" i="1" s="1"/>
  <c r="FY91" i="1" s="1"/>
  <c r="GC104" i="1"/>
  <c r="GC92" i="1" s="1"/>
  <c r="GC91" i="1" s="1"/>
  <c r="HA104" i="1"/>
  <c r="HA92" i="1" s="1"/>
  <c r="HA91" i="1" s="1"/>
  <c r="HM104" i="1"/>
  <c r="HM92" i="1" s="1"/>
  <c r="HM91" i="1" s="1"/>
  <c r="HZ104" i="1"/>
  <c r="HZ92" i="1" s="1"/>
  <c r="HZ91" i="1" s="1"/>
  <c r="IH104" i="1"/>
  <c r="IH92" i="1" s="1"/>
  <c r="IH91" i="1" s="1"/>
  <c r="HP112" i="1"/>
  <c r="GF113" i="1"/>
  <c r="IJ113" i="1"/>
  <c r="CV114" i="1"/>
  <c r="EN114" i="1"/>
  <c r="AV139" i="1"/>
  <c r="AV137" i="1" s="1"/>
  <c r="AV136" i="1" s="1"/>
  <c r="CK139" i="1"/>
  <c r="CK137" i="1" s="1"/>
  <c r="CK136" i="1" s="1"/>
  <c r="FJ139" i="1"/>
  <c r="FJ137" i="1" s="1"/>
  <c r="FJ136" i="1" s="1"/>
  <c r="FX139" i="1"/>
  <c r="FX137" i="1" s="1"/>
  <c r="FX136" i="1" s="1"/>
  <c r="GB139" i="1"/>
  <c r="GB137" i="1" s="1"/>
  <c r="GB136" i="1" s="1"/>
  <c r="GV139" i="1"/>
  <c r="GV137" i="1" s="1"/>
  <c r="GV136" i="1" s="1"/>
  <c r="HU139" i="1"/>
  <c r="HU137" i="1" s="1"/>
  <c r="HU136" i="1" s="1"/>
  <c r="IG139" i="1"/>
  <c r="IG137" i="1" s="1"/>
  <c r="IG136" i="1" s="1"/>
  <c r="IT139" i="1"/>
  <c r="IT137" i="1" s="1"/>
  <c r="IT136" i="1" s="1"/>
  <c r="BO143" i="1"/>
  <c r="BO139" i="1" s="1"/>
  <c r="BO137" i="1" s="1"/>
  <c r="BO136" i="1" s="1"/>
  <c r="CQ143" i="1"/>
  <c r="CQ139" i="1" s="1"/>
  <c r="CQ137" i="1" s="1"/>
  <c r="CQ136" i="1" s="1"/>
  <c r="CU143" i="1"/>
  <c r="CU139" i="1" s="1"/>
  <c r="CU137" i="1" s="1"/>
  <c r="CU136" i="1" s="1"/>
  <c r="EI143" i="1"/>
  <c r="EI139" i="1" s="1"/>
  <c r="EI137" i="1" s="1"/>
  <c r="EI136" i="1" s="1"/>
  <c r="EM143" i="1"/>
  <c r="EM139" i="1" s="1"/>
  <c r="FZ143" i="1"/>
  <c r="FZ139" i="1" s="1"/>
  <c r="FZ137" i="1" s="1"/>
  <c r="FZ136" i="1" s="1"/>
  <c r="GD143" i="1"/>
  <c r="GD139" i="1" s="1"/>
  <c r="GD137" i="1" s="1"/>
  <c r="GD136" i="1" s="1"/>
  <c r="HF143" i="1"/>
  <c r="HF139" i="1" s="1"/>
  <c r="HF137" i="1" s="1"/>
  <c r="HF136" i="1" s="1"/>
  <c r="HN143" i="1"/>
  <c r="HN139" i="1" s="1"/>
  <c r="HN137" i="1" s="1"/>
  <c r="HN136" i="1" s="1"/>
  <c r="IE143" i="1"/>
  <c r="IE139" i="1" s="1"/>
  <c r="IE137" i="1" s="1"/>
  <c r="IE136" i="1" s="1"/>
  <c r="II143" i="1"/>
  <c r="II139" i="1" s="1"/>
  <c r="II137" i="1" s="1"/>
  <c r="II136" i="1" s="1"/>
  <c r="W143" i="1"/>
  <c r="W139" i="1" s="1"/>
  <c r="W137" i="1" s="1"/>
  <c r="W136" i="1" s="1"/>
  <c r="CP143" i="1"/>
  <c r="CP139" i="1" s="1"/>
  <c r="CP137" i="1" s="1"/>
  <c r="CP136" i="1" s="1"/>
  <c r="CP65" i="1" s="1"/>
  <c r="CT143" i="1"/>
  <c r="CT139" i="1" s="1"/>
  <c r="CT137" i="1" s="1"/>
  <c r="CT136" i="1" s="1"/>
  <c r="FU143" i="1"/>
  <c r="FU139" i="1" s="1"/>
  <c r="FU137" i="1" s="1"/>
  <c r="FU136" i="1" s="1"/>
  <c r="FY143" i="1"/>
  <c r="FY139" i="1" s="1"/>
  <c r="FY137" i="1" s="1"/>
  <c r="FY136" i="1" s="1"/>
  <c r="GC143" i="1"/>
  <c r="GC139" i="1" s="1"/>
  <c r="GC137" i="1" s="1"/>
  <c r="GC136" i="1" s="1"/>
  <c r="HA143" i="1"/>
  <c r="HA139" i="1" s="1"/>
  <c r="HA137" i="1" s="1"/>
  <c r="HA136" i="1" s="1"/>
  <c r="HM143" i="1"/>
  <c r="HM139" i="1" s="1"/>
  <c r="HM137" i="1" s="1"/>
  <c r="HM136" i="1" s="1"/>
  <c r="HZ143" i="1"/>
  <c r="HZ139" i="1" s="1"/>
  <c r="HZ137" i="1" s="1"/>
  <c r="HZ136" i="1" s="1"/>
  <c r="IH143" i="1"/>
  <c r="IH139" i="1" s="1"/>
  <c r="IH137" i="1" s="1"/>
  <c r="IH136" i="1" s="1"/>
  <c r="GG148" i="1"/>
  <c r="GK148" i="1"/>
  <c r="GO148" i="1"/>
  <c r="HP148" i="1"/>
  <c r="GJ149" i="1"/>
  <c r="GN149" i="1"/>
  <c r="GF149" i="1"/>
  <c r="IJ149" i="1"/>
  <c r="GI150" i="1"/>
  <c r="GM150" i="1"/>
  <c r="CV150" i="1"/>
  <c r="EN150" i="1"/>
  <c r="BD151" i="1"/>
  <c r="GL151" i="1"/>
  <c r="GP151" i="1"/>
  <c r="GG152" i="1"/>
  <c r="GK152" i="1"/>
  <c r="GO152" i="1"/>
  <c r="HP152" i="1"/>
  <c r="GJ153" i="1"/>
  <c r="GN153" i="1"/>
  <c r="GF153" i="1"/>
  <c r="IJ153" i="1"/>
  <c r="GI154" i="1"/>
  <c r="GM154" i="1"/>
  <c r="CV154" i="1"/>
  <c r="EN154" i="1"/>
  <c r="HZ160" i="1"/>
  <c r="HZ159" i="1" s="1"/>
  <c r="GI178" i="1"/>
  <c r="AV177" i="1"/>
  <c r="AV176" i="1" s="1"/>
  <c r="GL175" i="1"/>
  <c r="GP175" i="1"/>
  <c r="EH172" i="1"/>
  <c r="EH171" i="1" s="1"/>
  <c r="EH170" i="1" s="1"/>
  <c r="EL172" i="1"/>
  <c r="EL171" i="1" s="1"/>
  <c r="EL170" i="1" s="1"/>
  <c r="FY172" i="1"/>
  <c r="FY171" i="1" s="1"/>
  <c r="GC172" i="1"/>
  <c r="GC171" i="1" s="1"/>
  <c r="HA172" i="1"/>
  <c r="HA171" i="1" s="1"/>
  <c r="HM172" i="1"/>
  <c r="HM171" i="1" s="1"/>
  <c r="HZ172" i="1"/>
  <c r="HZ171" i="1" s="1"/>
  <c r="HZ170" i="1" s="1"/>
  <c r="IH172" i="1"/>
  <c r="IH171" i="1" s="1"/>
  <c r="AZ177" i="1"/>
  <c r="AZ176" i="1" s="1"/>
  <c r="AU191" i="1"/>
  <c r="CI188" i="1"/>
  <c r="CI63" i="1" s="1"/>
  <c r="CI13" i="1" s="1"/>
  <c r="CI12" i="1" s="1"/>
  <c r="CI11" i="1" s="1"/>
  <c r="CI10" i="1" s="1"/>
  <c r="CI335" i="1" s="1"/>
  <c r="HL191" i="1"/>
  <c r="GJ203" i="1"/>
  <c r="GN203" i="1"/>
  <c r="GI204" i="1"/>
  <c r="GM204" i="1"/>
  <c r="AW207" i="1"/>
  <c r="W218" i="1"/>
  <c r="AU218" i="1"/>
  <c r="BC218" i="1"/>
  <c r="CP218" i="1"/>
  <c r="GO220" i="1"/>
  <c r="EH218" i="1"/>
  <c r="EH217" i="1" s="1"/>
  <c r="EH215" i="1" s="1"/>
  <c r="EL218" i="1"/>
  <c r="FU218" i="1"/>
  <c r="HF223" i="1"/>
  <c r="HN223" i="1"/>
  <c r="IE223" i="1"/>
  <c r="IE217" i="1" s="1"/>
  <c r="IE215" i="1" s="1"/>
  <c r="W223" i="1"/>
  <c r="CT223" i="1"/>
  <c r="EL223" i="1"/>
  <c r="HZ223" i="1"/>
  <c r="GF231" i="1"/>
  <c r="GJ234" i="1"/>
  <c r="GF234" i="1"/>
  <c r="IJ235" i="1"/>
  <c r="AS236" i="1"/>
  <c r="GI239" i="1"/>
  <c r="GF250" i="1"/>
  <c r="W177" i="1"/>
  <c r="W176" i="1" s="1"/>
  <c r="DR177" i="1"/>
  <c r="DR176" i="1" s="1"/>
  <c r="DR170" i="1" s="1"/>
  <c r="AS191" i="1"/>
  <c r="CR191" i="1"/>
  <c r="DG191" i="1"/>
  <c r="DG189" i="1" s="1"/>
  <c r="EF191" i="1"/>
  <c r="EJ191" i="1"/>
  <c r="GF194" i="1"/>
  <c r="HK191" i="1"/>
  <c r="HK189" i="1" s="1"/>
  <c r="HO191" i="1"/>
  <c r="HO189" i="1" s="1"/>
  <c r="IJ194" i="1"/>
  <c r="GI195" i="1"/>
  <c r="GM195" i="1"/>
  <c r="BO191" i="1"/>
  <c r="CQ191" i="1"/>
  <c r="EN195" i="1"/>
  <c r="FZ191" i="1"/>
  <c r="GH196" i="1"/>
  <c r="GL196" i="1"/>
  <c r="GP196" i="1"/>
  <c r="GG197" i="1"/>
  <c r="GK197" i="1"/>
  <c r="GO197" i="1"/>
  <c r="HP197" i="1"/>
  <c r="GJ198" i="1"/>
  <c r="GN198" i="1"/>
  <c r="CV198" i="1"/>
  <c r="GF198" i="1"/>
  <c r="IJ198" i="1"/>
  <c r="GI199" i="1"/>
  <c r="GM199" i="1"/>
  <c r="EN199" i="1"/>
  <c r="GH200" i="1"/>
  <c r="GL200" i="1"/>
  <c r="GP200" i="1"/>
  <c r="GG201" i="1"/>
  <c r="GK201" i="1"/>
  <c r="GO201" i="1"/>
  <c r="HP201" i="1"/>
  <c r="CK202" i="1"/>
  <c r="CK189" i="1" s="1"/>
  <c r="DR202" i="1"/>
  <c r="FJ202" i="1"/>
  <c r="FX202" i="1"/>
  <c r="FX189" i="1" s="1"/>
  <c r="GB202" i="1"/>
  <c r="GB189" i="1" s="1"/>
  <c r="GJ206" i="1"/>
  <c r="GN206" i="1"/>
  <c r="CV206" i="1"/>
  <c r="EN219" i="1"/>
  <c r="GI220" i="1"/>
  <c r="GM220" i="1"/>
  <c r="CV226" i="1"/>
  <c r="GF226" i="1"/>
  <c r="GL233" i="1"/>
  <c r="AX236" i="1"/>
  <c r="IE242" i="1"/>
  <c r="IE241" i="1" s="1"/>
  <c r="II242" i="1"/>
  <c r="II241" i="1" s="1"/>
  <c r="GF245" i="1"/>
  <c r="HP248" i="1"/>
  <c r="IJ251" i="1"/>
  <c r="GA177" i="1"/>
  <c r="GA176" i="1" s="1"/>
  <c r="GA170" i="1" s="1"/>
  <c r="CV185" i="1"/>
  <c r="GF185" i="1"/>
  <c r="IJ185" i="1"/>
  <c r="EN186" i="1"/>
  <c r="GF190" i="1"/>
  <c r="HP190" i="1"/>
  <c r="IE189" i="1"/>
  <c r="GH201" i="1"/>
  <c r="GL201" i="1"/>
  <c r="GP201" i="1"/>
  <c r="HF205" i="1"/>
  <c r="HA207" i="1"/>
  <c r="HZ207" i="1"/>
  <c r="HZ205" i="1" s="1"/>
  <c r="IH207" i="1"/>
  <c r="FD205" i="1"/>
  <c r="FD188" i="1" s="1"/>
  <c r="FH205" i="1"/>
  <c r="FH188" i="1" s="1"/>
  <c r="FH63" i="1" s="1"/>
  <c r="FH13" i="1" s="1"/>
  <c r="FH12" i="1" s="1"/>
  <c r="FH11" i="1" s="1"/>
  <c r="FH10" i="1" s="1"/>
  <c r="FH335" i="1" s="1"/>
  <c r="L211" i="1"/>
  <c r="L205" i="1" s="1"/>
  <c r="GV211" i="1"/>
  <c r="HL211" i="1"/>
  <c r="HU211" i="1"/>
  <c r="IG211" i="1"/>
  <c r="IT211" i="1"/>
  <c r="GH214" i="1"/>
  <c r="HK218" i="1"/>
  <c r="HK217" i="1" s="1"/>
  <c r="HK215" i="1" s="1"/>
  <c r="BO218" i="1"/>
  <c r="CQ218" i="1"/>
  <c r="CQ217" i="1" s="1"/>
  <c r="CQ215" i="1" s="1"/>
  <c r="CU218" i="1"/>
  <c r="BD222" i="1"/>
  <c r="GJ232" i="1"/>
  <c r="CO236" i="1"/>
  <c r="CO228" i="1" s="1"/>
  <c r="CS236" i="1"/>
  <c r="HP245" i="1"/>
  <c r="IT242" i="1"/>
  <c r="IT241" i="1" s="1"/>
  <c r="IJ253" i="1"/>
  <c r="GJ182" i="1"/>
  <c r="GN182" i="1"/>
  <c r="GI183" i="1"/>
  <c r="GM183" i="1"/>
  <c r="GH184" i="1"/>
  <c r="GL184" i="1"/>
  <c r="GP184" i="1"/>
  <c r="GG185" i="1"/>
  <c r="GK185" i="1"/>
  <c r="GO185" i="1"/>
  <c r="GJ186" i="1"/>
  <c r="GN186" i="1"/>
  <c r="GL190" i="1"/>
  <c r="GP190" i="1"/>
  <c r="BD204" i="1"/>
  <c r="CP202" i="1"/>
  <c r="CP189" i="1" s="1"/>
  <c r="CT202" i="1"/>
  <c r="CT189" i="1" s="1"/>
  <c r="EH202" i="1"/>
  <c r="EL202" i="1"/>
  <c r="FU202" i="1"/>
  <c r="FU189" i="1" s="1"/>
  <c r="FY202" i="1"/>
  <c r="FY189" i="1" s="1"/>
  <c r="GC202" i="1"/>
  <c r="GC189" i="1" s="1"/>
  <c r="HA202" i="1"/>
  <c r="HA189" i="1" s="1"/>
  <c r="HM202" i="1"/>
  <c r="HZ202" i="1"/>
  <c r="IH202" i="1"/>
  <c r="GM212" i="1"/>
  <c r="HP216" i="1"/>
  <c r="HU218" i="1"/>
  <c r="IG218" i="1"/>
  <c r="IT218" i="1"/>
  <c r="BO223" i="1"/>
  <c r="CM223" i="1"/>
  <c r="CU223" i="1"/>
  <c r="GH231" i="1"/>
  <c r="BD232" i="1"/>
  <c r="BB236" i="1"/>
  <c r="GE236" i="1"/>
  <c r="GV236" i="1"/>
  <c r="GV228" i="1" s="1"/>
  <c r="EN240" i="1"/>
  <c r="EW257" i="1"/>
  <c r="EW256" i="1" s="1"/>
  <c r="HX257" i="1"/>
  <c r="HX256" i="1" s="1"/>
  <c r="HX63" i="1" s="1"/>
  <c r="HX13" i="1" s="1"/>
  <c r="HX12" i="1" s="1"/>
  <c r="HX11" i="1" s="1"/>
  <c r="HX10" i="1" s="1"/>
  <c r="HX335" i="1" s="1"/>
  <c r="EA257" i="1"/>
  <c r="EA256" i="1" s="1"/>
  <c r="EA63" i="1" s="1"/>
  <c r="FQ257" i="1"/>
  <c r="FQ256" i="1" s="1"/>
  <c r="HA259" i="1"/>
  <c r="HA257" i="1" s="1"/>
  <c r="HA256" i="1" s="1"/>
  <c r="DC257" i="1"/>
  <c r="DC256" i="1" s="1"/>
  <c r="DC63" i="1" s="1"/>
  <c r="DC13" i="1" s="1"/>
  <c r="DC12" i="1" s="1"/>
  <c r="DC11" i="1" s="1"/>
  <c r="DC10" i="1" s="1"/>
  <c r="DC335" i="1" s="1"/>
  <c r="GF295" i="1"/>
  <c r="GF294" i="1" s="1"/>
  <c r="IJ295" i="1"/>
  <c r="IJ294" i="1" s="1"/>
  <c r="GJ306" i="1"/>
  <c r="GN306" i="1"/>
  <c r="GF306" i="1"/>
  <c r="GI307" i="1"/>
  <c r="GM307" i="1"/>
  <c r="GL308" i="1"/>
  <c r="GP308" i="1"/>
  <c r="GI311" i="1"/>
  <c r="GM311" i="1"/>
  <c r="CV311" i="1"/>
  <c r="EN311" i="1"/>
  <c r="GG313" i="1"/>
  <c r="GK313" i="1"/>
  <c r="GO313" i="1"/>
  <c r="DR312" i="1"/>
  <c r="DR310" i="1" s="1"/>
  <c r="DR309" i="1" s="1"/>
  <c r="EG312" i="1"/>
  <c r="EK312" i="1"/>
  <c r="HP313" i="1"/>
  <c r="IT312" i="1"/>
  <c r="IT310" i="1" s="1"/>
  <c r="IT309" i="1" s="1"/>
  <c r="AS312" i="1"/>
  <c r="GJ314" i="1"/>
  <c r="GN314" i="1"/>
  <c r="BZ312" i="1"/>
  <c r="CV314" i="1"/>
  <c r="CR312" i="1"/>
  <c r="CR310" i="1" s="1"/>
  <c r="CR309" i="1" s="1"/>
  <c r="EF312" i="1"/>
  <c r="EJ312" i="1"/>
  <c r="EY312" i="1"/>
  <c r="EY310" i="1" s="1"/>
  <c r="EY309" i="1" s="1"/>
  <c r="GF314" i="1"/>
  <c r="IJ314" i="1"/>
  <c r="GI315" i="1"/>
  <c r="GM315" i="1"/>
  <c r="CV315" i="1"/>
  <c r="EN315" i="1"/>
  <c r="HL316" i="1"/>
  <c r="HP334" i="1"/>
  <c r="IS257" i="1"/>
  <c r="IS256" i="1" s="1"/>
  <c r="IS63" i="1" s="1"/>
  <c r="IS13" i="1" s="1"/>
  <c r="IS12" i="1" s="1"/>
  <c r="IS11" i="1" s="1"/>
  <c r="IS10" i="1" s="1"/>
  <c r="IS335" i="1" s="1"/>
  <c r="HM257" i="1"/>
  <c r="HM256" i="1" s="1"/>
  <c r="IJ262" i="1"/>
  <c r="BD263" i="1"/>
  <c r="DB257" i="1"/>
  <c r="DB256" i="1" s="1"/>
  <c r="II264" i="1"/>
  <c r="GN270" i="1"/>
  <c r="GF270" i="1"/>
  <c r="BD275" i="1"/>
  <c r="GM275" i="1"/>
  <c r="HM310" i="1"/>
  <c r="HM309" i="1" s="1"/>
  <c r="IH310" i="1"/>
  <c r="IH309" i="1" s="1"/>
  <c r="CO310" i="1"/>
  <c r="CO309" i="1" s="1"/>
  <c r="CS310" i="1"/>
  <c r="CS309" i="1" s="1"/>
  <c r="FJ310" i="1"/>
  <c r="FJ309" i="1" s="1"/>
  <c r="FX310" i="1"/>
  <c r="FX309" i="1" s="1"/>
  <c r="GB310" i="1"/>
  <c r="GB309" i="1" s="1"/>
  <c r="HU310" i="1"/>
  <c r="HU309" i="1" s="1"/>
  <c r="IG310" i="1"/>
  <c r="IG309" i="1" s="1"/>
  <c r="AS316" i="1"/>
  <c r="BZ316" i="1"/>
  <c r="CN316" i="1"/>
  <c r="HK316" i="1"/>
  <c r="HK310" i="1" s="1"/>
  <c r="HK309" i="1" s="1"/>
  <c r="HO316" i="1"/>
  <c r="CQ316" i="1"/>
  <c r="CQ310" i="1" s="1"/>
  <c r="CQ309" i="1" s="1"/>
  <c r="CU316" i="1"/>
  <c r="CU310" i="1" s="1"/>
  <c r="CU309" i="1" s="1"/>
  <c r="IJ333" i="1"/>
  <c r="M4" i="3"/>
  <c r="C257" i="1"/>
  <c r="C256" i="1" s="1"/>
  <c r="C63" i="1" s="1"/>
  <c r="C13" i="1" s="1"/>
  <c r="C12" i="1" s="1"/>
  <c r="C11" i="1" s="1"/>
  <c r="C10" i="1" s="1"/>
  <c r="C335" i="1" s="1"/>
  <c r="K257" i="1"/>
  <c r="K256" i="1" s="1"/>
  <c r="K63" i="1" s="1"/>
  <c r="K13" i="1" s="1"/>
  <c r="K12" i="1" s="1"/>
  <c r="K11" i="1" s="1"/>
  <c r="K10" i="1" s="1"/>
  <c r="K335" i="1" s="1"/>
  <c r="AA257" i="1"/>
  <c r="AA256" i="1" s="1"/>
  <c r="AG257" i="1"/>
  <c r="AG256" i="1" s="1"/>
  <c r="AG63" i="1" s="1"/>
  <c r="AG13" i="1" s="1"/>
  <c r="AG12" i="1" s="1"/>
  <c r="AG11" i="1" s="1"/>
  <c r="AG10" i="1" s="1"/>
  <c r="AG335" i="1" s="1"/>
  <c r="AN257" i="1"/>
  <c r="AN256" i="1" s="1"/>
  <c r="GG262" i="1"/>
  <c r="GK262" i="1"/>
  <c r="GO262" i="1"/>
  <c r="EX257" i="1"/>
  <c r="EX256" i="1" s="1"/>
  <c r="GP267" i="1"/>
  <c r="GJ268" i="1"/>
  <c r="HO264" i="1"/>
  <c r="IJ268" i="1"/>
  <c r="GP269" i="1"/>
  <c r="FW272" i="1"/>
  <c r="GG274" i="1"/>
  <c r="GK274" i="1"/>
  <c r="GO274" i="1"/>
  <c r="EN276" i="1"/>
  <c r="BD277" i="1"/>
  <c r="GL277" i="1"/>
  <c r="GP277" i="1"/>
  <c r="GG278" i="1"/>
  <c r="GK278" i="1"/>
  <c r="GO278" i="1"/>
  <c r="HP278" i="1"/>
  <c r="GF299" i="1"/>
  <c r="IJ299" i="1"/>
  <c r="GI300" i="1"/>
  <c r="GM300" i="1"/>
  <c r="BO298" i="1"/>
  <c r="CV300" i="1"/>
  <c r="EN300" i="1"/>
  <c r="EI298" i="1"/>
  <c r="EM298" i="1"/>
  <c r="BD301" i="1"/>
  <c r="GL301" i="1"/>
  <c r="GP301" i="1"/>
  <c r="IF310" i="1"/>
  <c r="IF309" i="1" s="1"/>
  <c r="BD317" i="1"/>
  <c r="CT310" i="1"/>
  <c r="CT309" i="1" s="1"/>
  <c r="EH310" i="1"/>
  <c r="EH309" i="1" s="1"/>
  <c r="EL310" i="1"/>
  <c r="EL309" i="1" s="1"/>
  <c r="GF319" i="1"/>
  <c r="IJ319" i="1"/>
  <c r="GO321" i="1"/>
  <c r="HP333" i="1"/>
  <c r="HP332" i="1" s="1"/>
  <c r="EN334" i="1"/>
  <c r="GI258" i="1"/>
  <c r="GM258" i="1"/>
  <c r="CV258" i="1"/>
  <c r="EN258" i="1"/>
  <c r="T257" i="1"/>
  <c r="T256" i="1" s="1"/>
  <c r="HH257" i="1"/>
  <c r="HH256" i="1" s="1"/>
  <c r="CV260" i="1"/>
  <c r="CR259" i="1"/>
  <c r="CR257" i="1" s="1"/>
  <c r="CR256" i="1" s="1"/>
  <c r="GF260" i="1"/>
  <c r="BD261" i="1"/>
  <c r="GM261" i="1"/>
  <c r="EN261" i="1"/>
  <c r="AE257" i="1"/>
  <c r="AE256" i="1" s="1"/>
  <c r="L264" i="1"/>
  <c r="AT264" i="1"/>
  <c r="BB264" i="1"/>
  <c r="DR264" i="1"/>
  <c r="EK264" i="1"/>
  <c r="IG264" i="1"/>
  <c r="IT264" i="1"/>
  <c r="GJ266" i="1"/>
  <c r="GN266" i="1"/>
  <c r="BZ264" i="1"/>
  <c r="BZ259" i="1" s="1"/>
  <c r="BZ257" i="1" s="1"/>
  <c r="BZ256" i="1" s="1"/>
  <c r="CN264" i="1"/>
  <c r="CN259" i="1" s="1"/>
  <c r="EY264" i="1"/>
  <c r="FW264" i="1"/>
  <c r="GE264" i="1"/>
  <c r="GJ269" i="1"/>
  <c r="GN269" i="1"/>
  <c r="GG275" i="1"/>
  <c r="GK275" i="1"/>
  <c r="GO275" i="1"/>
  <c r="GJ276" i="1"/>
  <c r="GN276" i="1"/>
  <c r="GI277" i="1"/>
  <c r="GM277" i="1"/>
  <c r="GH278" i="1"/>
  <c r="GL278" i="1"/>
  <c r="GP278" i="1"/>
  <c r="GK308" i="1"/>
  <c r="GO308" i="1"/>
  <c r="HP308" i="1"/>
  <c r="HO310" i="1"/>
  <c r="HO309" i="1" s="1"/>
  <c r="HP322" i="1"/>
  <c r="IJ330" i="1"/>
  <c r="AX15" i="1"/>
  <c r="AX14" i="1" s="1"/>
  <c r="FW15" i="1"/>
  <c r="FW14" i="1" s="1"/>
  <c r="GG16" i="1"/>
  <c r="GK16" i="1"/>
  <c r="GO16" i="1"/>
  <c r="CK15" i="1"/>
  <c r="CK14" i="1" s="1"/>
  <c r="CO15" i="1"/>
  <c r="CO14" i="1" s="1"/>
  <c r="CS15" i="1"/>
  <c r="CS14" i="1" s="1"/>
  <c r="FJ15" i="1"/>
  <c r="FJ14" i="1" s="1"/>
  <c r="HP16" i="1"/>
  <c r="GJ17" i="1"/>
  <c r="GN17" i="1"/>
  <c r="BZ15" i="1"/>
  <c r="BZ14" i="1" s="1"/>
  <c r="DG15" i="1"/>
  <c r="DG14" i="1" s="1"/>
  <c r="EF15" i="1"/>
  <c r="EF14" i="1" s="1"/>
  <c r="EJ15" i="1"/>
  <c r="EJ14" i="1" s="1"/>
  <c r="GF17" i="1"/>
  <c r="IJ17" i="1"/>
  <c r="GI18" i="1"/>
  <c r="AV15" i="1"/>
  <c r="AV14" i="1" s="1"/>
  <c r="GM18" i="1"/>
  <c r="AZ15" i="1"/>
  <c r="AZ14" i="1" s="1"/>
  <c r="CV18" i="1"/>
  <c r="EN18" i="1"/>
  <c r="EE15" i="1"/>
  <c r="EE14" i="1" s="1"/>
  <c r="EI15" i="1"/>
  <c r="EI14" i="1" s="1"/>
  <c r="EM15" i="1"/>
  <c r="EM14" i="1" s="1"/>
  <c r="FV15" i="1"/>
  <c r="FV14" i="1" s="1"/>
  <c r="FV13" i="1" s="1"/>
  <c r="FV12" i="1" s="1"/>
  <c r="FV11" i="1" s="1"/>
  <c r="FV10" i="1" s="1"/>
  <c r="FZ15" i="1"/>
  <c r="FZ14" i="1" s="1"/>
  <c r="GD15" i="1"/>
  <c r="GD14" i="1" s="1"/>
  <c r="HF15" i="1"/>
  <c r="HF14" i="1" s="1"/>
  <c r="HN15" i="1"/>
  <c r="HN14" i="1" s="1"/>
  <c r="IE15" i="1"/>
  <c r="IE14" i="1" s="1"/>
  <c r="II15" i="1"/>
  <c r="II14" i="1" s="1"/>
  <c r="BD19" i="1"/>
  <c r="GL19" i="1"/>
  <c r="GP19" i="1"/>
  <c r="IG25" i="1"/>
  <c r="IG24" i="1" s="1"/>
  <c r="FX25" i="1"/>
  <c r="FX24" i="1" s="1"/>
  <c r="GB25" i="1"/>
  <c r="GB24" i="1" s="1"/>
  <c r="BD16" i="1"/>
  <c r="AU15" i="1"/>
  <c r="AU14" i="1" s="1"/>
  <c r="GL16" i="1"/>
  <c r="AY15" i="1"/>
  <c r="AY14" i="1" s="1"/>
  <c r="GP16" i="1"/>
  <c r="BC15" i="1"/>
  <c r="BC14" i="1" s="1"/>
  <c r="AT15" i="1"/>
  <c r="AT14" i="1" s="1"/>
  <c r="AT13" i="1" s="1"/>
  <c r="AT12" i="1" s="1"/>
  <c r="AT11" i="1" s="1"/>
  <c r="AT10" i="1" s="1"/>
  <c r="BB15" i="1"/>
  <c r="BB14" i="1" s="1"/>
  <c r="IF15" i="1"/>
  <c r="IF14" i="1" s="1"/>
  <c r="AW15" i="1"/>
  <c r="AW14" i="1" s="1"/>
  <c r="HL15" i="1"/>
  <c r="HL14" i="1" s="1"/>
  <c r="GD41" i="1"/>
  <c r="GD24" i="1" s="1"/>
  <c r="HF41" i="1"/>
  <c r="HF24" i="1" s="1"/>
  <c r="HN41" i="1"/>
  <c r="HN24" i="1" s="1"/>
  <c r="IE41" i="1"/>
  <c r="IE24" i="1" s="1"/>
  <c r="II41" i="1"/>
  <c r="II24" i="1" s="1"/>
  <c r="CP41" i="1"/>
  <c r="CP24" i="1" s="1"/>
  <c r="CT41" i="1"/>
  <c r="GG20" i="1"/>
  <c r="GK20" i="1"/>
  <c r="GO20" i="1"/>
  <c r="HP20" i="1"/>
  <c r="GJ21" i="1"/>
  <c r="GN21" i="1"/>
  <c r="GF21" i="1"/>
  <c r="IJ21" i="1"/>
  <c r="GH23" i="1"/>
  <c r="GL23" i="1"/>
  <c r="GP23" i="1"/>
  <c r="GI26" i="1"/>
  <c r="GM26" i="1"/>
  <c r="CV26" i="1"/>
  <c r="EN26" i="1"/>
  <c r="GG28" i="1"/>
  <c r="GK28" i="1"/>
  <c r="GK27" i="1" s="1"/>
  <c r="GO28" i="1"/>
  <c r="GO27" i="1" s="1"/>
  <c r="HP28" i="1"/>
  <c r="HP27" i="1" s="1"/>
  <c r="GJ29" i="1"/>
  <c r="GN29" i="1"/>
  <c r="CV29" i="1"/>
  <c r="GF29" i="1"/>
  <c r="IJ29" i="1"/>
  <c r="AW30" i="1"/>
  <c r="BA30" i="1"/>
  <c r="BA25" i="1" s="1"/>
  <c r="GJ31" i="1"/>
  <c r="GN31" i="1"/>
  <c r="EN31" i="1"/>
  <c r="EJ30" i="1"/>
  <c r="EJ25" i="1" s="1"/>
  <c r="EJ24" i="1" s="1"/>
  <c r="GF31" i="1"/>
  <c r="IJ31" i="1"/>
  <c r="GI32" i="1"/>
  <c r="GM32" i="1"/>
  <c r="CV32" i="1"/>
  <c r="EN32" i="1"/>
  <c r="BD33" i="1"/>
  <c r="GL33" i="1"/>
  <c r="GP33" i="1"/>
  <c r="GG34" i="1"/>
  <c r="GK34" i="1"/>
  <c r="GO34" i="1"/>
  <c r="GF34" i="1"/>
  <c r="HP34" i="1"/>
  <c r="GJ36" i="1"/>
  <c r="GN36" i="1"/>
  <c r="CV36" i="1"/>
  <c r="GF36" i="1"/>
  <c r="GA35" i="1"/>
  <c r="GA25" i="1" s="1"/>
  <c r="GA24" i="1" s="1"/>
  <c r="GE35" i="1"/>
  <c r="GE25" i="1" s="1"/>
  <c r="GE24" i="1" s="1"/>
  <c r="IJ36" i="1"/>
  <c r="GI37" i="1"/>
  <c r="GM37" i="1"/>
  <c r="CV37" i="1"/>
  <c r="EN37" i="1"/>
  <c r="BD38" i="1"/>
  <c r="GL38" i="1"/>
  <c r="GP38" i="1"/>
  <c r="CM39" i="1"/>
  <c r="CM25" i="1" s="1"/>
  <c r="CM24" i="1" s="1"/>
  <c r="GH40" i="1"/>
  <c r="GH39" i="1" s="1"/>
  <c r="GL40" i="1"/>
  <c r="GL39" i="1" s="1"/>
  <c r="GP40" i="1"/>
  <c r="GP39" i="1" s="1"/>
  <c r="GG40" i="1"/>
  <c r="GO40" i="1"/>
  <c r="GO39" i="1" s="1"/>
  <c r="GJ42" i="1"/>
  <c r="GN42" i="1"/>
  <c r="EN42" i="1"/>
  <c r="GF42" i="1"/>
  <c r="IJ42" i="1"/>
  <c r="EE43" i="1"/>
  <c r="GH44" i="1"/>
  <c r="GL44" i="1"/>
  <c r="GP44" i="1"/>
  <c r="GG45" i="1"/>
  <c r="GK45" i="1"/>
  <c r="GO45" i="1"/>
  <c r="HP45" i="1"/>
  <c r="GJ46" i="1"/>
  <c r="GN46" i="1"/>
  <c r="GF46" i="1"/>
  <c r="IJ46" i="1"/>
  <c r="GI47" i="1"/>
  <c r="GM47" i="1"/>
  <c r="EN47" i="1"/>
  <c r="GH48" i="1"/>
  <c r="GL48" i="1"/>
  <c r="GP48" i="1"/>
  <c r="GG49" i="1"/>
  <c r="GK49" i="1"/>
  <c r="GO49" i="1"/>
  <c r="HP49" i="1"/>
  <c r="GJ50" i="1"/>
  <c r="GN50" i="1"/>
  <c r="GF50" i="1"/>
  <c r="IJ50" i="1"/>
  <c r="EE51" i="1"/>
  <c r="BD52" i="1"/>
  <c r="GL52" i="1"/>
  <c r="GL51" i="1" s="1"/>
  <c r="GP52" i="1"/>
  <c r="GP51" i="1" s="1"/>
  <c r="GG53" i="1"/>
  <c r="GK53" i="1"/>
  <c r="GO53" i="1"/>
  <c r="HP53" i="1"/>
  <c r="AX54" i="1"/>
  <c r="BB54" i="1"/>
  <c r="HP55" i="1"/>
  <c r="GJ56" i="1"/>
  <c r="GN56" i="1"/>
  <c r="GF56" i="1"/>
  <c r="GG57" i="1"/>
  <c r="GK57" i="1"/>
  <c r="GO57" i="1"/>
  <c r="HP57" i="1"/>
  <c r="HP56" i="1" s="1"/>
  <c r="GJ58" i="1"/>
  <c r="GN58" i="1"/>
  <c r="GF58" i="1"/>
  <c r="IJ58" i="1"/>
  <c r="GI59" i="1"/>
  <c r="GM59" i="1"/>
  <c r="CV59" i="1"/>
  <c r="EN59" i="1"/>
  <c r="GJ60" i="1"/>
  <c r="GN60" i="1"/>
  <c r="GF60" i="1"/>
  <c r="IJ60" i="1"/>
  <c r="IJ59" i="1" s="1"/>
  <c r="GI61" i="1"/>
  <c r="GM61" i="1"/>
  <c r="CV61" i="1"/>
  <c r="EN61" i="1"/>
  <c r="BD62" i="1"/>
  <c r="GL62" i="1"/>
  <c r="GP62" i="1"/>
  <c r="GG64" i="1"/>
  <c r="GK64" i="1"/>
  <c r="GO64" i="1"/>
  <c r="GF64" i="1"/>
  <c r="HP64" i="1"/>
  <c r="GJ68" i="1"/>
  <c r="GN68" i="1"/>
  <c r="CV68" i="1"/>
  <c r="GF68" i="1"/>
  <c r="IJ68" i="1"/>
  <c r="BD70" i="1"/>
  <c r="GL70" i="1"/>
  <c r="GP70" i="1"/>
  <c r="GG71" i="1"/>
  <c r="GK71" i="1"/>
  <c r="GO71" i="1"/>
  <c r="GF71" i="1"/>
  <c r="HP71" i="1"/>
  <c r="GJ72" i="1"/>
  <c r="GN72" i="1"/>
  <c r="EN72" i="1"/>
  <c r="IJ72" i="1"/>
  <c r="GI73" i="1"/>
  <c r="GM73" i="1"/>
  <c r="CV73" i="1"/>
  <c r="BD74" i="1"/>
  <c r="GL74" i="1"/>
  <c r="GP74" i="1"/>
  <c r="GG75" i="1"/>
  <c r="GK75" i="1"/>
  <c r="GO75" i="1"/>
  <c r="GF75" i="1"/>
  <c r="HP75" i="1"/>
  <c r="GJ76" i="1"/>
  <c r="GN76" i="1"/>
  <c r="EN76" i="1"/>
  <c r="IJ76" i="1"/>
  <c r="GI77" i="1"/>
  <c r="GM77" i="1"/>
  <c r="CV77" i="1"/>
  <c r="BD78" i="1"/>
  <c r="GL78" i="1"/>
  <c r="GP78" i="1"/>
  <c r="GG79" i="1"/>
  <c r="GK79" i="1"/>
  <c r="GO79" i="1"/>
  <c r="GF79" i="1"/>
  <c r="HP79" i="1"/>
  <c r="GJ80" i="1"/>
  <c r="GN80" i="1"/>
  <c r="AH25" i="1"/>
  <c r="AH24" i="1" s="1"/>
  <c r="GI16" i="1"/>
  <c r="GM16" i="1"/>
  <c r="CV16" i="1"/>
  <c r="EN16" i="1"/>
  <c r="BD17" i="1"/>
  <c r="GL17" i="1"/>
  <c r="GP17" i="1"/>
  <c r="GG18" i="1"/>
  <c r="GK18" i="1"/>
  <c r="GO18" i="1"/>
  <c r="HP18" i="1"/>
  <c r="GJ19" i="1"/>
  <c r="GN19" i="1"/>
  <c r="GF19" i="1"/>
  <c r="IJ19" i="1"/>
  <c r="GI20" i="1"/>
  <c r="GM20" i="1"/>
  <c r="CV20" i="1"/>
  <c r="EN20" i="1"/>
  <c r="BD21" i="1"/>
  <c r="GL21" i="1"/>
  <c r="GP21" i="1"/>
  <c r="HP22" i="1"/>
  <c r="GJ23" i="1"/>
  <c r="GN23" i="1"/>
  <c r="GF23" i="1"/>
  <c r="IJ23" i="1"/>
  <c r="GG26" i="1"/>
  <c r="GG25" i="1" s="1"/>
  <c r="GG24" i="1" s="1"/>
  <c r="GK26" i="1"/>
  <c r="GO26" i="1"/>
  <c r="HP26" i="1"/>
  <c r="AX27" i="1"/>
  <c r="BB27" i="1"/>
  <c r="GI28" i="1"/>
  <c r="GM28" i="1"/>
  <c r="CV28" i="1"/>
  <c r="EN28" i="1"/>
  <c r="BD29" i="1"/>
  <c r="GL29" i="1"/>
  <c r="GP29" i="1"/>
  <c r="HL30" i="1"/>
  <c r="BD31" i="1"/>
  <c r="GL31" i="1"/>
  <c r="GP31" i="1"/>
  <c r="GG32" i="1"/>
  <c r="GK32" i="1"/>
  <c r="GO32" i="1"/>
  <c r="GF32" i="1"/>
  <c r="HP32" i="1"/>
  <c r="GJ33" i="1"/>
  <c r="GN33" i="1"/>
  <c r="EN33" i="1"/>
  <c r="GF33" i="1"/>
  <c r="IJ33" i="1"/>
  <c r="GI34" i="1"/>
  <c r="GM34" i="1"/>
  <c r="CV34" i="1"/>
  <c r="EN34" i="1"/>
  <c r="AW35" i="1"/>
  <c r="BB35" i="1"/>
  <c r="CN35" i="1"/>
  <c r="HL35" i="1"/>
  <c r="BD36" i="1"/>
  <c r="GL36" i="1"/>
  <c r="GP36" i="1"/>
  <c r="GG37" i="1"/>
  <c r="GK37" i="1"/>
  <c r="GO37" i="1"/>
  <c r="HP37" i="1"/>
  <c r="GJ38" i="1"/>
  <c r="GN38" i="1"/>
  <c r="CV38" i="1"/>
  <c r="GF38" i="1"/>
  <c r="IJ38" i="1"/>
  <c r="AY39" i="1"/>
  <c r="GJ40" i="1"/>
  <c r="GJ39" i="1" s="1"/>
  <c r="GN40" i="1"/>
  <c r="GN39" i="1" s="1"/>
  <c r="EN40" i="1"/>
  <c r="EN39" i="1" s="1"/>
  <c r="GF40" i="1"/>
  <c r="GF39" i="1" s="1"/>
  <c r="IJ40" i="1"/>
  <c r="IJ39" i="1" s="1"/>
  <c r="AW41" i="1"/>
  <c r="BA41" i="1"/>
  <c r="HL41" i="1"/>
  <c r="GH42" i="1"/>
  <c r="GL42" i="1"/>
  <c r="GP42" i="1"/>
  <c r="AU43" i="1"/>
  <c r="AY43" i="1"/>
  <c r="BC43" i="1"/>
  <c r="GJ44" i="1"/>
  <c r="GN44" i="1"/>
  <c r="GF44" i="1"/>
  <c r="IJ44" i="1"/>
  <c r="GI45" i="1"/>
  <c r="GM45" i="1"/>
  <c r="EN45" i="1"/>
  <c r="GH46" i="1"/>
  <c r="GL46" i="1"/>
  <c r="GP46" i="1"/>
  <c r="GG47" i="1"/>
  <c r="GK47" i="1"/>
  <c r="GO47" i="1"/>
  <c r="HP47" i="1"/>
  <c r="GJ48" i="1"/>
  <c r="GN48" i="1"/>
  <c r="GF48" i="1"/>
  <c r="IJ48" i="1"/>
  <c r="GI49" i="1"/>
  <c r="GM49" i="1"/>
  <c r="EN49" i="1"/>
  <c r="GH50" i="1"/>
  <c r="GL50" i="1"/>
  <c r="GP50" i="1"/>
  <c r="AU51" i="1"/>
  <c r="AY51" i="1"/>
  <c r="BC51" i="1"/>
  <c r="GJ52" i="1"/>
  <c r="GN52" i="1"/>
  <c r="GF52" i="1"/>
  <c r="IJ52" i="1"/>
  <c r="GI53" i="1"/>
  <c r="GM53" i="1"/>
  <c r="CV53" i="1"/>
  <c r="EN53" i="1"/>
  <c r="FW54" i="1"/>
  <c r="BD56" i="1"/>
  <c r="GL56" i="1"/>
  <c r="GP56" i="1"/>
  <c r="GI57" i="1"/>
  <c r="GM57" i="1"/>
  <c r="CV57" i="1"/>
  <c r="EN57" i="1"/>
  <c r="BD58" i="1"/>
  <c r="GL58" i="1"/>
  <c r="GP58" i="1"/>
  <c r="GG59" i="1"/>
  <c r="GK59" i="1"/>
  <c r="GO59" i="1"/>
  <c r="HL59" i="1"/>
  <c r="HL54" i="1" s="1"/>
  <c r="GH60" i="1"/>
  <c r="GL60" i="1"/>
  <c r="GP60" i="1"/>
  <c r="GG61" i="1"/>
  <c r="GK61" i="1"/>
  <c r="GO61" i="1"/>
  <c r="HP61" i="1"/>
  <c r="GJ62" i="1"/>
  <c r="GN62" i="1"/>
  <c r="GF62" i="1"/>
  <c r="IJ62" i="1"/>
  <c r="GI64" i="1"/>
  <c r="GM64" i="1"/>
  <c r="CV64" i="1"/>
  <c r="HL67" i="1"/>
  <c r="HL66" i="1" s="1"/>
  <c r="GH68" i="1"/>
  <c r="GL68" i="1"/>
  <c r="GP68" i="1"/>
  <c r="AW69" i="1"/>
  <c r="AW67" i="1" s="1"/>
  <c r="AW66" i="1" s="1"/>
  <c r="BA69" i="1"/>
  <c r="BA67" i="1" s="1"/>
  <c r="BA66" i="1" s="1"/>
  <c r="AS69" i="1"/>
  <c r="AS67" i="1" s="1"/>
  <c r="AS66" i="1" s="1"/>
  <c r="GJ70" i="1"/>
  <c r="GN70" i="1"/>
  <c r="DG69" i="1"/>
  <c r="DG67" i="1" s="1"/>
  <c r="DG66" i="1" s="1"/>
  <c r="EN70" i="1"/>
  <c r="EJ69" i="1"/>
  <c r="EJ67" i="1" s="1"/>
  <c r="EJ66" i="1" s="1"/>
  <c r="IJ70" i="1"/>
  <c r="GI71" i="1"/>
  <c r="GM71" i="1"/>
  <c r="CV71" i="1"/>
  <c r="BD72" i="1"/>
  <c r="GL72" i="1"/>
  <c r="GP72" i="1"/>
  <c r="GG73" i="1"/>
  <c r="GK73" i="1"/>
  <c r="GO73" i="1"/>
  <c r="GF73" i="1"/>
  <c r="HP73" i="1"/>
  <c r="GJ74" i="1"/>
  <c r="GN74" i="1"/>
  <c r="EN74" i="1"/>
  <c r="IJ74" i="1"/>
  <c r="GI75" i="1"/>
  <c r="GM75" i="1"/>
  <c r="CV75" i="1"/>
  <c r="BD76" i="1"/>
  <c r="GL76" i="1"/>
  <c r="GP76" i="1"/>
  <c r="GG77" i="1"/>
  <c r="GK77" i="1"/>
  <c r="GO77" i="1"/>
  <c r="GF77" i="1"/>
  <c r="HP77" i="1"/>
  <c r="GJ78" i="1"/>
  <c r="GN78" i="1"/>
  <c r="EN78" i="1"/>
  <c r="IJ78" i="1"/>
  <c r="GI79" i="1"/>
  <c r="IG92" i="1"/>
  <c r="IG91" i="1" s="1"/>
  <c r="GJ16" i="1"/>
  <c r="GN16" i="1"/>
  <c r="GF16" i="1"/>
  <c r="IJ16" i="1"/>
  <c r="GI17" i="1"/>
  <c r="GM17" i="1"/>
  <c r="CV17" i="1"/>
  <c r="EN17" i="1"/>
  <c r="BD18" i="1"/>
  <c r="GL18" i="1"/>
  <c r="GP18" i="1"/>
  <c r="GG19" i="1"/>
  <c r="GK19" i="1"/>
  <c r="GO19" i="1"/>
  <c r="HP19" i="1"/>
  <c r="GJ20" i="1"/>
  <c r="GN20" i="1"/>
  <c r="GF20" i="1"/>
  <c r="IJ20" i="1"/>
  <c r="GI21" i="1"/>
  <c r="GM21" i="1"/>
  <c r="CV21" i="1"/>
  <c r="EN21" i="1"/>
  <c r="GG23" i="1"/>
  <c r="GK23" i="1"/>
  <c r="GO23" i="1"/>
  <c r="HP23" i="1"/>
  <c r="BD26" i="1"/>
  <c r="GL26" i="1"/>
  <c r="GP26" i="1"/>
  <c r="AU27" i="1"/>
  <c r="AY27" i="1"/>
  <c r="BC27" i="1"/>
  <c r="CN27" i="1"/>
  <c r="CN25" i="1" s="1"/>
  <c r="GJ28" i="1"/>
  <c r="GJ27" i="1" s="1"/>
  <c r="GN28" i="1"/>
  <c r="GN27" i="1" s="1"/>
  <c r="GF28" i="1"/>
  <c r="GF27" i="1" s="1"/>
  <c r="IJ28" i="1"/>
  <c r="IJ27" i="1" s="1"/>
  <c r="GI29" i="1"/>
  <c r="GM29" i="1"/>
  <c r="EN29" i="1"/>
  <c r="AV30" i="1"/>
  <c r="AZ30" i="1"/>
  <c r="GI31" i="1"/>
  <c r="GI30" i="1" s="1"/>
  <c r="GM31" i="1"/>
  <c r="GM30" i="1" s="1"/>
  <c r="CV31" i="1"/>
  <c r="CV30" i="1" s="1"/>
  <c r="GH32" i="1"/>
  <c r="GL32" i="1"/>
  <c r="GP32" i="1"/>
  <c r="GG33" i="1"/>
  <c r="GK33" i="1"/>
  <c r="GO33" i="1"/>
  <c r="HP33" i="1"/>
  <c r="GJ34" i="1"/>
  <c r="GN34" i="1"/>
  <c r="IJ34" i="1"/>
  <c r="AX35" i="1"/>
  <c r="GI36" i="1"/>
  <c r="GI35" i="1" s="1"/>
  <c r="GM36" i="1"/>
  <c r="GM35" i="1" s="1"/>
  <c r="EN36" i="1"/>
  <c r="EN35" i="1" s="1"/>
  <c r="EI35" i="1"/>
  <c r="EI25" i="1" s="1"/>
  <c r="EM35" i="1"/>
  <c r="EM25" i="1" s="1"/>
  <c r="GH37" i="1"/>
  <c r="GL37" i="1"/>
  <c r="GP37" i="1"/>
  <c r="GG38" i="1"/>
  <c r="GK38" i="1"/>
  <c r="GO38" i="1"/>
  <c r="HP38" i="1"/>
  <c r="AU39" i="1"/>
  <c r="CT39" i="1"/>
  <c r="CT25" i="1" s="1"/>
  <c r="CT24" i="1" s="1"/>
  <c r="GK40" i="1"/>
  <c r="GK39" i="1" s="1"/>
  <c r="DR25" i="1"/>
  <c r="DR24" i="1" s="1"/>
  <c r="FJ25" i="1"/>
  <c r="FJ24" i="1" s="1"/>
  <c r="HP40" i="1"/>
  <c r="HP39" i="1" s="1"/>
  <c r="AX41" i="1"/>
  <c r="BB41" i="1"/>
  <c r="EF41" i="1"/>
  <c r="GI42" i="1"/>
  <c r="GM42" i="1"/>
  <c r="CV42" i="1"/>
  <c r="AV43" i="1"/>
  <c r="AZ43" i="1"/>
  <c r="FW43" i="1"/>
  <c r="FW41" i="1" s="1"/>
  <c r="IF43" i="1"/>
  <c r="IF41" i="1" s="1"/>
  <c r="IF24" i="1" s="1"/>
  <c r="GG44" i="1"/>
  <c r="GK44" i="1"/>
  <c r="GO44" i="1"/>
  <c r="HP44" i="1"/>
  <c r="GJ45" i="1"/>
  <c r="GN45" i="1"/>
  <c r="CV45" i="1"/>
  <c r="GF45" i="1"/>
  <c r="IJ45" i="1"/>
  <c r="GI46" i="1"/>
  <c r="GM46" i="1"/>
  <c r="CV46" i="1"/>
  <c r="EN46" i="1"/>
  <c r="BD47" i="1"/>
  <c r="GL47" i="1"/>
  <c r="GP47" i="1"/>
  <c r="GG48" i="1"/>
  <c r="GK48" i="1"/>
  <c r="GO48" i="1"/>
  <c r="HP48" i="1"/>
  <c r="GJ49" i="1"/>
  <c r="GN49" i="1"/>
  <c r="CV49" i="1"/>
  <c r="GF49" i="1"/>
  <c r="IJ49" i="1"/>
  <c r="GI50" i="1"/>
  <c r="GM50" i="1"/>
  <c r="CV50" i="1"/>
  <c r="EN50" i="1"/>
  <c r="AV51" i="1"/>
  <c r="AZ51" i="1"/>
  <c r="GG52" i="1"/>
  <c r="GK52" i="1"/>
  <c r="GK51" i="1" s="1"/>
  <c r="GO52" i="1"/>
  <c r="GO51" i="1" s="1"/>
  <c r="HP52" i="1"/>
  <c r="HP51" i="1" s="1"/>
  <c r="GJ53" i="1"/>
  <c r="GN53" i="1"/>
  <c r="GF53" i="1"/>
  <c r="IJ53" i="1"/>
  <c r="AW54" i="1"/>
  <c r="BA54" i="1"/>
  <c r="GQ55" i="1"/>
  <c r="IJ55" i="1"/>
  <c r="GI56" i="1"/>
  <c r="GM56" i="1"/>
  <c r="CV56" i="1"/>
  <c r="EN56" i="1"/>
  <c r="GJ57" i="1"/>
  <c r="GN57" i="1"/>
  <c r="GF57" i="1"/>
  <c r="IJ57" i="1"/>
  <c r="IJ56" i="1" s="1"/>
  <c r="IJ54" i="1" s="1"/>
  <c r="GI58" i="1"/>
  <c r="GM58" i="1"/>
  <c r="CV58" i="1"/>
  <c r="EN58" i="1"/>
  <c r="BD59" i="1"/>
  <c r="GL59" i="1"/>
  <c r="GP59" i="1"/>
  <c r="GI60" i="1"/>
  <c r="GM60" i="1"/>
  <c r="CV60" i="1"/>
  <c r="EN60" i="1"/>
  <c r="BD61" i="1"/>
  <c r="GL61" i="1"/>
  <c r="GP61" i="1"/>
  <c r="GG62" i="1"/>
  <c r="GK62" i="1"/>
  <c r="GO62" i="1"/>
  <c r="HP62" i="1"/>
  <c r="GJ64" i="1"/>
  <c r="GN64" i="1"/>
  <c r="EN64" i="1"/>
  <c r="IJ64" i="1"/>
  <c r="GI68" i="1"/>
  <c r="GM68" i="1"/>
  <c r="EN68" i="1"/>
  <c r="GG70" i="1"/>
  <c r="GK70" i="1"/>
  <c r="GO70" i="1"/>
  <c r="CO69" i="1"/>
  <c r="CO67" i="1" s="1"/>
  <c r="CO66" i="1" s="1"/>
  <c r="CS69" i="1"/>
  <c r="CS67" i="1" s="1"/>
  <c r="CS66" i="1" s="1"/>
  <c r="FJ69" i="1"/>
  <c r="FJ67" i="1" s="1"/>
  <c r="FJ66" i="1" s="1"/>
  <c r="GF70" i="1"/>
  <c r="HP70" i="1"/>
  <c r="GJ71" i="1"/>
  <c r="GN71" i="1"/>
  <c r="EN71" i="1"/>
  <c r="IJ71" i="1"/>
  <c r="GI72" i="1"/>
  <c r="GM72" i="1"/>
  <c r="CV72" i="1"/>
  <c r="GH73" i="1"/>
  <c r="GL73" i="1"/>
  <c r="GP73" i="1"/>
  <c r="GG74" i="1"/>
  <c r="GK74" i="1"/>
  <c r="GO74" i="1"/>
  <c r="GF74" i="1"/>
  <c r="HP74" i="1"/>
  <c r="GJ75" i="1"/>
  <c r="GN75" i="1"/>
  <c r="EN75" i="1"/>
  <c r="IJ75" i="1"/>
  <c r="GI76" i="1"/>
  <c r="GM76" i="1"/>
  <c r="CV76" i="1"/>
  <c r="GH77" i="1"/>
  <c r="GL77" i="1"/>
  <c r="GP77" i="1"/>
  <c r="GG78" i="1"/>
  <c r="GK78" i="1"/>
  <c r="GO78" i="1"/>
  <c r="GF78" i="1"/>
  <c r="HP78" i="1"/>
  <c r="GJ79" i="1"/>
  <c r="GI93" i="1"/>
  <c r="GM93" i="1"/>
  <c r="CV93" i="1"/>
  <c r="EN93" i="1"/>
  <c r="GJ96" i="1"/>
  <c r="GN96" i="1"/>
  <c r="GF96" i="1"/>
  <c r="IJ96" i="1"/>
  <c r="GI97" i="1"/>
  <c r="GM97" i="1"/>
  <c r="CV97" i="1"/>
  <c r="EN97" i="1"/>
  <c r="BD98" i="1"/>
  <c r="GL98" i="1"/>
  <c r="GP98" i="1"/>
  <c r="GG99" i="1"/>
  <c r="GK99" i="1"/>
  <c r="GO99" i="1"/>
  <c r="HP99" i="1"/>
  <c r="GI101" i="1"/>
  <c r="GM101" i="1"/>
  <c r="CV101" i="1"/>
  <c r="EN101" i="1"/>
  <c r="BD102" i="1"/>
  <c r="GL102" i="1"/>
  <c r="GP102" i="1"/>
  <c r="GG103" i="1"/>
  <c r="GK103" i="1"/>
  <c r="GO103" i="1"/>
  <c r="HP103" i="1"/>
  <c r="BD106" i="1"/>
  <c r="GL106" i="1"/>
  <c r="GP106" i="1"/>
  <c r="GG107" i="1"/>
  <c r="GK107" i="1"/>
  <c r="GO107" i="1"/>
  <c r="HP107" i="1"/>
  <c r="GJ108" i="1"/>
  <c r="GN108" i="1"/>
  <c r="GF108" i="1"/>
  <c r="IJ108" i="1"/>
  <c r="GI109" i="1"/>
  <c r="GM109" i="1"/>
  <c r="CV109" i="1"/>
  <c r="EN109" i="1"/>
  <c r="GG111" i="1"/>
  <c r="GK111" i="1"/>
  <c r="GO111" i="1"/>
  <c r="HP111" i="1"/>
  <c r="GJ112" i="1"/>
  <c r="GN112" i="1"/>
  <c r="GF112" i="1"/>
  <c r="IJ112" i="1"/>
  <c r="GI113" i="1"/>
  <c r="GM113" i="1"/>
  <c r="CV113" i="1"/>
  <c r="EN113" i="1"/>
  <c r="BD114" i="1"/>
  <c r="GL114" i="1"/>
  <c r="GP114" i="1"/>
  <c r="GJ116" i="1"/>
  <c r="GN116" i="1"/>
  <c r="EN116" i="1"/>
  <c r="GF116" i="1"/>
  <c r="IJ116" i="1"/>
  <c r="GI117" i="1"/>
  <c r="GM117" i="1"/>
  <c r="CV117" i="1"/>
  <c r="EN117" i="1"/>
  <c r="BD118" i="1"/>
  <c r="GL118" i="1"/>
  <c r="GP118" i="1"/>
  <c r="GG119" i="1"/>
  <c r="GK119" i="1"/>
  <c r="GO119" i="1"/>
  <c r="HP119" i="1"/>
  <c r="GH121" i="1"/>
  <c r="GL121" i="1"/>
  <c r="GL120" i="1" s="1"/>
  <c r="GP121" i="1"/>
  <c r="GP120" i="1" s="1"/>
  <c r="GG122" i="1"/>
  <c r="GK122" i="1"/>
  <c r="GO122" i="1"/>
  <c r="GF122" i="1"/>
  <c r="HP122" i="1"/>
  <c r="GJ123" i="1"/>
  <c r="GN123" i="1"/>
  <c r="EN123" i="1"/>
  <c r="GF123" i="1"/>
  <c r="IJ123" i="1"/>
  <c r="GI124" i="1"/>
  <c r="GM124" i="1"/>
  <c r="EN124" i="1"/>
  <c r="GH125" i="1"/>
  <c r="GL125" i="1"/>
  <c r="GP125" i="1"/>
  <c r="GG126" i="1"/>
  <c r="GK126" i="1"/>
  <c r="GO126" i="1"/>
  <c r="GF126" i="1"/>
  <c r="HP126" i="1"/>
  <c r="GJ127" i="1"/>
  <c r="GN127" i="1"/>
  <c r="EN127" i="1"/>
  <c r="GF127" i="1"/>
  <c r="IJ127" i="1"/>
  <c r="GI128" i="1"/>
  <c r="GM128" i="1"/>
  <c r="CV128" i="1"/>
  <c r="EN128" i="1"/>
  <c r="GH129" i="1"/>
  <c r="GL129" i="1"/>
  <c r="GP129" i="1"/>
  <c r="AY130" i="1"/>
  <c r="DR139" i="1"/>
  <c r="DR137" i="1" s="1"/>
  <c r="DR136" i="1" s="1"/>
  <c r="DR65" i="1" s="1"/>
  <c r="EG139" i="1"/>
  <c r="EG137" i="1" s="1"/>
  <c r="EG136" i="1" s="1"/>
  <c r="EK139" i="1"/>
  <c r="EK137" i="1" s="1"/>
  <c r="EK136" i="1" s="1"/>
  <c r="AS139" i="1"/>
  <c r="AS137" i="1" s="1"/>
  <c r="AS136" i="1" s="1"/>
  <c r="BZ139" i="1"/>
  <c r="BZ137" i="1" s="1"/>
  <c r="BZ136" i="1" s="1"/>
  <c r="BZ65" i="1" s="1"/>
  <c r="CR139" i="1"/>
  <c r="CR137" i="1" s="1"/>
  <c r="CR136" i="1" s="1"/>
  <c r="CR65" i="1" s="1"/>
  <c r="EY139" i="1"/>
  <c r="EY137" i="1" s="1"/>
  <c r="EY136" i="1" s="1"/>
  <c r="EY65" i="1" s="1"/>
  <c r="GF80" i="1"/>
  <c r="HP80" i="1"/>
  <c r="IJ81" i="1"/>
  <c r="CV82" i="1"/>
  <c r="HP84" i="1"/>
  <c r="GF85" i="1"/>
  <c r="IJ85" i="1"/>
  <c r="CV86" i="1"/>
  <c r="EN86" i="1"/>
  <c r="HP88" i="1"/>
  <c r="IJ89" i="1"/>
  <c r="GM79" i="1"/>
  <c r="CV79" i="1"/>
  <c r="BD80" i="1"/>
  <c r="GL80" i="1"/>
  <c r="GP80" i="1"/>
  <c r="GF81" i="1"/>
  <c r="HP81" i="1"/>
  <c r="GJ82" i="1"/>
  <c r="GN82" i="1"/>
  <c r="EN82" i="1"/>
  <c r="GF82" i="1"/>
  <c r="IJ82" i="1"/>
  <c r="GI83" i="1"/>
  <c r="GM83" i="1"/>
  <c r="CV83" i="1"/>
  <c r="EN83" i="1"/>
  <c r="BD84" i="1"/>
  <c r="GL84" i="1"/>
  <c r="GP84" i="1"/>
  <c r="GG85" i="1"/>
  <c r="GK85" i="1"/>
  <c r="GO85" i="1"/>
  <c r="HP85" i="1"/>
  <c r="GJ86" i="1"/>
  <c r="GN86" i="1"/>
  <c r="GF86" i="1"/>
  <c r="IJ86" i="1"/>
  <c r="GI87" i="1"/>
  <c r="GM87" i="1"/>
  <c r="CV87" i="1"/>
  <c r="EN87" i="1"/>
  <c r="BD88" i="1"/>
  <c r="GL88" i="1"/>
  <c r="GP88" i="1"/>
  <c r="GG89" i="1"/>
  <c r="GK89" i="1"/>
  <c r="GO89" i="1"/>
  <c r="HP89" i="1"/>
  <c r="GJ90" i="1"/>
  <c r="GN90" i="1"/>
  <c r="CV90" i="1"/>
  <c r="GF90" i="1"/>
  <c r="IJ90" i="1"/>
  <c r="HP93" i="1"/>
  <c r="HL95" i="1"/>
  <c r="HL94" i="1" s="1"/>
  <c r="BD96" i="1"/>
  <c r="GL96" i="1"/>
  <c r="GP96" i="1"/>
  <c r="GG97" i="1"/>
  <c r="GK97" i="1"/>
  <c r="GO97" i="1"/>
  <c r="HP97" i="1"/>
  <c r="GJ98" i="1"/>
  <c r="GN98" i="1"/>
  <c r="GF98" i="1"/>
  <c r="IJ98" i="1"/>
  <c r="GI99" i="1"/>
  <c r="GM99" i="1"/>
  <c r="CV99" i="1"/>
  <c r="EN99" i="1"/>
  <c r="FW100" i="1"/>
  <c r="FW94" i="1" s="1"/>
  <c r="IF100" i="1"/>
  <c r="IF94" i="1" s="1"/>
  <c r="GG101" i="1"/>
  <c r="GK101" i="1"/>
  <c r="GO101" i="1"/>
  <c r="HP101" i="1"/>
  <c r="GJ102" i="1"/>
  <c r="GN102" i="1"/>
  <c r="GF102" i="1"/>
  <c r="IJ102" i="1"/>
  <c r="GI103" i="1"/>
  <c r="GM103" i="1"/>
  <c r="CV103" i="1"/>
  <c r="EN103" i="1"/>
  <c r="AU105" i="1"/>
  <c r="AY105" i="1"/>
  <c r="BC105" i="1"/>
  <c r="GJ106" i="1"/>
  <c r="GN106" i="1"/>
  <c r="GF106" i="1"/>
  <c r="IJ106" i="1"/>
  <c r="GI107" i="1"/>
  <c r="GM107" i="1"/>
  <c r="CV107" i="1"/>
  <c r="EN107" i="1"/>
  <c r="BD108" i="1"/>
  <c r="GL108" i="1"/>
  <c r="GP108" i="1"/>
  <c r="GG109" i="1"/>
  <c r="GK109" i="1"/>
  <c r="GO109" i="1"/>
  <c r="HP109" i="1"/>
  <c r="GI111" i="1"/>
  <c r="GM111" i="1"/>
  <c r="CV111" i="1"/>
  <c r="EN111" i="1"/>
  <c r="BD112" i="1"/>
  <c r="GL112" i="1"/>
  <c r="GP112" i="1"/>
  <c r="GO113" i="1"/>
  <c r="HP113" i="1"/>
  <c r="IJ114" i="1"/>
  <c r="HL115" i="1"/>
  <c r="HL104" i="1" s="1"/>
  <c r="BD116" i="1"/>
  <c r="HP117" i="1"/>
  <c r="GF118" i="1"/>
  <c r="IJ118" i="1"/>
  <c r="CV119" i="1"/>
  <c r="EN119" i="1"/>
  <c r="EN121" i="1"/>
  <c r="GF121" i="1"/>
  <c r="GF120" i="1" s="1"/>
  <c r="IJ121" i="1"/>
  <c r="EN122" i="1"/>
  <c r="GF124" i="1"/>
  <c r="HP124" i="1"/>
  <c r="EN125" i="1"/>
  <c r="GF125" i="1"/>
  <c r="IJ125" i="1"/>
  <c r="CV126" i="1"/>
  <c r="EN126" i="1"/>
  <c r="HP128" i="1"/>
  <c r="IJ131" i="1"/>
  <c r="IF130" i="1"/>
  <c r="GI132" i="1"/>
  <c r="AV130" i="1"/>
  <c r="GM132" i="1"/>
  <c r="AZ130" i="1"/>
  <c r="CV132" i="1"/>
  <c r="CM130" i="1"/>
  <c r="EN132" i="1"/>
  <c r="EE130" i="1"/>
  <c r="GO134" i="1"/>
  <c r="BB130" i="1"/>
  <c r="HP134" i="1"/>
  <c r="HL130" i="1"/>
  <c r="GJ135" i="1"/>
  <c r="AW130" i="1"/>
  <c r="GN135" i="1"/>
  <c r="BA130" i="1"/>
  <c r="GF135" i="1"/>
  <c r="FW130" i="1"/>
  <c r="GN79" i="1"/>
  <c r="EN79" i="1"/>
  <c r="IJ79" i="1"/>
  <c r="GI80" i="1"/>
  <c r="GM80" i="1"/>
  <c r="CV80" i="1"/>
  <c r="GH81" i="1"/>
  <c r="GL81" i="1"/>
  <c r="GP81" i="1"/>
  <c r="GG82" i="1"/>
  <c r="GK82" i="1"/>
  <c r="GO82" i="1"/>
  <c r="HP82" i="1"/>
  <c r="GJ83" i="1"/>
  <c r="GN83" i="1"/>
  <c r="IJ83" i="1"/>
  <c r="GI84" i="1"/>
  <c r="GM84" i="1"/>
  <c r="CV84" i="1"/>
  <c r="EN84" i="1"/>
  <c r="GH85" i="1"/>
  <c r="GL85" i="1"/>
  <c r="GP85" i="1"/>
  <c r="GG86" i="1"/>
  <c r="GK86" i="1"/>
  <c r="GO86" i="1"/>
  <c r="HP86" i="1"/>
  <c r="GJ87" i="1"/>
  <c r="GN87" i="1"/>
  <c r="GF87" i="1"/>
  <c r="IJ87" i="1"/>
  <c r="GI88" i="1"/>
  <c r="GM88" i="1"/>
  <c r="EN88" i="1"/>
  <c r="GH89" i="1"/>
  <c r="GL89" i="1"/>
  <c r="GP89" i="1"/>
  <c r="GG90" i="1"/>
  <c r="GK90" i="1"/>
  <c r="GO90" i="1"/>
  <c r="HP90" i="1"/>
  <c r="BD93" i="1"/>
  <c r="GL93" i="1"/>
  <c r="GP93" i="1"/>
  <c r="GI96" i="1"/>
  <c r="GM96" i="1"/>
  <c r="CV96" i="1"/>
  <c r="EN96" i="1"/>
  <c r="GH97" i="1"/>
  <c r="GL97" i="1"/>
  <c r="GP97" i="1"/>
  <c r="GG98" i="1"/>
  <c r="GK98" i="1"/>
  <c r="GO98" i="1"/>
  <c r="HP98" i="1"/>
  <c r="GJ99" i="1"/>
  <c r="GN99" i="1"/>
  <c r="GF99" i="1"/>
  <c r="IJ99" i="1"/>
  <c r="AW100" i="1"/>
  <c r="AW94" i="1" s="1"/>
  <c r="BA100" i="1"/>
  <c r="BA94" i="1" s="1"/>
  <c r="EE100" i="1"/>
  <c r="EE94" i="1" s="1"/>
  <c r="EE92" i="1" s="1"/>
  <c r="EE91" i="1" s="1"/>
  <c r="BD101" i="1"/>
  <c r="GL101" i="1"/>
  <c r="GP101" i="1"/>
  <c r="GG102" i="1"/>
  <c r="GK102" i="1"/>
  <c r="GO102" i="1"/>
  <c r="HP102" i="1"/>
  <c r="GJ103" i="1"/>
  <c r="GN103" i="1"/>
  <c r="GF103" i="1"/>
  <c r="IJ103" i="1"/>
  <c r="AV105" i="1"/>
  <c r="AV104" i="1" s="1"/>
  <c r="AZ105" i="1"/>
  <c r="AZ104" i="1" s="1"/>
  <c r="FW105" i="1"/>
  <c r="FW104" i="1" s="1"/>
  <c r="IF105" i="1"/>
  <c r="IF104" i="1" s="1"/>
  <c r="GG106" i="1"/>
  <c r="GK106" i="1"/>
  <c r="GO106" i="1"/>
  <c r="HP106" i="1"/>
  <c r="GJ107" i="1"/>
  <c r="GN107" i="1"/>
  <c r="GF107" i="1"/>
  <c r="IJ107" i="1"/>
  <c r="GI108" i="1"/>
  <c r="GM108" i="1"/>
  <c r="CV108" i="1"/>
  <c r="EN108" i="1"/>
  <c r="BD109" i="1"/>
  <c r="GL109" i="1"/>
  <c r="GP109" i="1"/>
  <c r="AU110" i="1"/>
  <c r="AY110" i="1"/>
  <c r="BC110" i="1"/>
  <c r="GJ111" i="1"/>
  <c r="GN111" i="1"/>
  <c r="GF111" i="1"/>
  <c r="IJ111" i="1"/>
  <c r="GI112" i="1"/>
  <c r="GM112" i="1"/>
  <c r="CV112" i="1"/>
  <c r="EN112" i="1"/>
  <c r="GH113" i="1"/>
  <c r="GL113" i="1"/>
  <c r="GP113" i="1"/>
  <c r="GG114" i="1"/>
  <c r="GK114" i="1"/>
  <c r="GO114" i="1"/>
  <c r="GF114" i="1"/>
  <c r="HP114" i="1"/>
  <c r="AX115" i="1"/>
  <c r="AX104" i="1" s="1"/>
  <c r="AX92" i="1" s="1"/>
  <c r="AX91" i="1" s="1"/>
  <c r="BB115" i="1"/>
  <c r="BB104" i="1" s="1"/>
  <c r="BB92" i="1" s="1"/>
  <c r="BB91" i="1" s="1"/>
  <c r="CM115" i="1"/>
  <c r="CM104" i="1" s="1"/>
  <c r="EF115" i="1"/>
  <c r="EF104" i="1" s="1"/>
  <c r="EF92" i="1" s="1"/>
  <c r="EF91" i="1" s="1"/>
  <c r="GI116" i="1"/>
  <c r="GM116" i="1"/>
  <c r="CV116" i="1"/>
  <c r="BD117" i="1"/>
  <c r="GL117" i="1"/>
  <c r="GL115" i="1" s="1"/>
  <c r="GP117" i="1"/>
  <c r="GP115" i="1" s="1"/>
  <c r="GG118" i="1"/>
  <c r="GK118" i="1"/>
  <c r="GO118" i="1"/>
  <c r="HP118" i="1"/>
  <c r="GJ119" i="1"/>
  <c r="GN119" i="1"/>
  <c r="GF119" i="1"/>
  <c r="IJ119" i="1"/>
  <c r="AV120" i="1"/>
  <c r="AZ120" i="1"/>
  <c r="FW120" i="1"/>
  <c r="IF120" i="1"/>
  <c r="GG121" i="1"/>
  <c r="GK121" i="1"/>
  <c r="GO121" i="1"/>
  <c r="HP121" i="1"/>
  <c r="GJ122" i="1"/>
  <c r="GJ120" i="1" s="1"/>
  <c r="GN122" i="1"/>
  <c r="GN120" i="1" s="1"/>
  <c r="CV122" i="1"/>
  <c r="IJ122" i="1"/>
  <c r="GI123" i="1"/>
  <c r="GM123" i="1"/>
  <c r="CV123" i="1"/>
  <c r="BD124" i="1"/>
  <c r="GL124" i="1"/>
  <c r="GP124" i="1"/>
  <c r="GG125" i="1"/>
  <c r="GK125" i="1"/>
  <c r="GO125" i="1"/>
  <c r="HP125" i="1"/>
  <c r="GJ126" i="1"/>
  <c r="GN126" i="1"/>
  <c r="IJ126" i="1"/>
  <c r="GI127" i="1"/>
  <c r="GM127" i="1"/>
  <c r="CV127" i="1"/>
  <c r="BD128" i="1"/>
  <c r="GL128" i="1"/>
  <c r="GP128" i="1"/>
  <c r="BD132" i="1"/>
  <c r="GL132" i="1"/>
  <c r="GP132" i="1"/>
  <c r="GG133" i="1"/>
  <c r="GK133" i="1"/>
  <c r="GO133" i="1"/>
  <c r="HP133" i="1"/>
  <c r="GJ134" i="1"/>
  <c r="GN134" i="1"/>
  <c r="GF134" i="1"/>
  <c r="IJ134" i="1"/>
  <c r="GI135" i="1"/>
  <c r="GM135" i="1"/>
  <c r="CV135" i="1"/>
  <c r="EN135" i="1"/>
  <c r="GF138" i="1"/>
  <c r="FW139" i="1"/>
  <c r="FW137" i="1" s="1"/>
  <c r="FW136" i="1" s="1"/>
  <c r="IF139" i="1"/>
  <c r="IF137" i="1" s="1"/>
  <c r="IF136" i="1" s="1"/>
  <c r="GG140" i="1"/>
  <c r="GK140" i="1"/>
  <c r="GO140" i="1"/>
  <c r="GF140" i="1"/>
  <c r="HP140" i="1"/>
  <c r="GJ141" i="1"/>
  <c r="GN141" i="1"/>
  <c r="CV141" i="1"/>
  <c r="GF141" i="1"/>
  <c r="IJ141" i="1"/>
  <c r="GI142" i="1"/>
  <c r="GM142" i="1"/>
  <c r="CV142" i="1"/>
  <c r="EN142" i="1"/>
  <c r="AU143" i="1"/>
  <c r="CN143" i="1"/>
  <c r="CN139" i="1" s="1"/>
  <c r="CN137" i="1" s="1"/>
  <c r="CN136" i="1" s="1"/>
  <c r="CN65" i="1" s="1"/>
  <c r="GJ144" i="1"/>
  <c r="GN144" i="1"/>
  <c r="GF144" i="1"/>
  <c r="IJ144" i="1"/>
  <c r="GI145" i="1"/>
  <c r="GM145" i="1"/>
  <c r="EN145" i="1"/>
  <c r="BD146" i="1"/>
  <c r="GL146" i="1"/>
  <c r="GP146" i="1"/>
  <c r="GG147" i="1"/>
  <c r="GK147" i="1"/>
  <c r="GO147" i="1"/>
  <c r="HP147" i="1"/>
  <c r="GJ148" i="1"/>
  <c r="GN148" i="1"/>
  <c r="GF148" i="1"/>
  <c r="IJ148" i="1"/>
  <c r="GI149" i="1"/>
  <c r="GM149" i="1"/>
  <c r="CV149" i="1"/>
  <c r="EN149" i="1"/>
  <c r="BD150" i="1"/>
  <c r="GL150" i="1"/>
  <c r="GP150" i="1"/>
  <c r="GG151" i="1"/>
  <c r="GK151" i="1"/>
  <c r="GO151" i="1"/>
  <c r="HP151" i="1"/>
  <c r="GJ152" i="1"/>
  <c r="GN152" i="1"/>
  <c r="GF152" i="1"/>
  <c r="IJ152" i="1"/>
  <c r="GI153" i="1"/>
  <c r="GM153" i="1"/>
  <c r="CV153" i="1"/>
  <c r="EN153" i="1"/>
  <c r="BD154" i="1"/>
  <c r="GL154" i="1"/>
  <c r="GP154" i="1"/>
  <c r="GJ156" i="1"/>
  <c r="GN156" i="1"/>
  <c r="GF156" i="1"/>
  <c r="IJ156" i="1"/>
  <c r="GI157" i="1"/>
  <c r="GM157" i="1"/>
  <c r="CV157" i="1"/>
  <c r="GH158" i="1"/>
  <c r="GL158" i="1"/>
  <c r="GP158" i="1"/>
  <c r="BD161" i="1"/>
  <c r="HP161" i="1"/>
  <c r="HU160" i="1"/>
  <c r="HU159" i="1" s="1"/>
  <c r="IG160" i="1"/>
  <c r="IG159" i="1" s="1"/>
  <c r="BD163" i="1"/>
  <c r="GL163" i="1"/>
  <c r="GP163" i="1"/>
  <c r="FU162" i="1"/>
  <c r="FU160" i="1" s="1"/>
  <c r="FU159" i="1" s="1"/>
  <c r="FY162" i="1"/>
  <c r="FY160" i="1" s="1"/>
  <c r="FY159" i="1" s="1"/>
  <c r="GC162" i="1"/>
  <c r="GC160" i="1" s="1"/>
  <c r="GC159" i="1" s="1"/>
  <c r="GG164" i="1"/>
  <c r="GK164" i="1"/>
  <c r="GO164" i="1"/>
  <c r="HP164" i="1"/>
  <c r="GJ165" i="1"/>
  <c r="GN165" i="1"/>
  <c r="GF165" i="1"/>
  <c r="IJ165" i="1"/>
  <c r="GH167" i="1"/>
  <c r="GL167" i="1"/>
  <c r="GP167" i="1"/>
  <c r="GG168" i="1"/>
  <c r="GK168" i="1"/>
  <c r="GO168" i="1"/>
  <c r="GF168" i="1"/>
  <c r="HP168" i="1"/>
  <c r="GJ169" i="1"/>
  <c r="GN169" i="1"/>
  <c r="EN169" i="1"/>
  <c r="IJ169" i="1"/>
  <c r="HA160" i="1"/>
  <c r="HA159" i="1" s="1"/>
  <c r="HM160" i="1"/>
  <c r="HM159" i="1" s="1"/>
  <c r="EN129" i="1"/>
  <c r="HP131" i="1"/>
  <c r="GJ132" i="1"/>
  <c r="GN132" i="1"/>
  <c r="GF132" i="1"/>
  <c r="IJ132" i="1"/>
  <c r="GM133" i="1"/>
  <c r="CV133" i="1"/>
  <c r="EN133" i="1"/>
  <c r="BD134" i="1"/>
  <c r="GL134" i="1"/>
  <c r="GP134" i="1"/>
  <c r="GK135" i="1"/>
  <c r="GO135" i="1"/>
  <c r="HP135" i="1"/>
  <c r="BD138" i="1"/>
  <c r="HP138" i="1"/>
  <c r="GI140" i="1"/>
  <c r="GM140" i="1"/>
  <c r="CV140" i="1"/>
  <c r="EN140" i="1"/>
  <c r="BD141" i="1"/>
  <c r="GL141" i="1"/>
  <c r="GP141" i="1"/>
  <c r="GG142" i="1"/>
  <c r="GK142" i="1"/>
  <c r="GO142" i="1"/>
  <c r="HP142" i="1"/>
  <c r="AW143" i="1"/>
  <c r="AW139" i="1" s="1"/>
  <c r="BA143" i="1"/>
  <c r="BA139" i="1" s="1"/>
  <c r="EE143" i="1"/>
  <c r="EE139" i="1" s="1"/>
  <c r="EE137" i="1" s="1"/>
  <c r="EE136" i="1" s="1"/>
  <c r="HL143" i="1"/>
  <c r="HL139" i="1" s="1"/>
  <c r="BD144" i="1"/>
  <c r="GL144" i="1"/>
  <c r="GP144" i="1"/>
  <c r="GG145" i="1"/>
  <c r="GK145" i="1"/>
  <c r="GO145" i="1"/>
  <c r="HP145" i="1"/>
  <c r="GJ146" i="1"/>
  <c r="GN146" i="1"/>
  <c r="GF146" i="1"/>
  <c r="IJ146" i="1"/>
  <c r="GI147" i="1"/>
  <c r="GM147" i="1"/>
  <c r="CV147" i="1"/>
  <c r="EN147" i="1"/>
  <c r="BD148" i="1"/>
  <c r="GL148" i="1"/>
  <c r="GP148" i="1"/>
  <c r="GG149" i="1"/>
  <c r="GK149" i="1"/>
  <c r="GO149" i="1"/>
  <c r="HP149" i="1"/>
  <c r="GJ150" i="1"/>
  <c r="GN150" i="1"/>
  <c r="GF150" i="1"/>
  <c r="IJ150" i="1"/>
  <c r="GI151" i="1"/>
  <c r="GM151" i="1"/>
  <c r="CV151" i="1"/>
  <c r="EN151" i="1"/>
  <c r="BD152" i="1"/>
  <c r="GL152" i="1"/>
  <c r="GP152" i="1"/>
  <c r="GG153" i="1"/>
  <c r="GK153" i="1"/>
  <c r="GO153" i="1"/>
  <c r="HP153" i="1"/>
  <c r="GJ154" i="1"/>
  <c r="GN154" i="1"/>
  <c r="GF154" i="1"/>
  <c r="IJ154" i="1"/>
  <c r="AW155" i="1"/>
  <c r="BA155" i="1"/>
  <c r="HL155" i="1"/>
  <c r="GH156" i="1"/>
  <c r="GL156" i="1"/>
  <c r="GP156" i="1"/>
  <c r="GG157" i="1"/>
  <c r="GK157" i="1"/>
  <c r="GO157" i="1"/>
  <c r="HP157" i="1"/>
  <c r="GJ158" i="1"/>
  <c r="GN158" i="1"/>
  <c r="EN158" i="1"/>
  <c r="IJ158" i="1"/>
  <c r="GJ161" i="1"/>
  <c r="GJ163" i="1"/>
  <c r="GN163" i="1"/>
  <c r="CV163" i="1"/>
  <c r="GF163" i="1"/>
  <c r="IJ163" i="1"/>
  <c r="GI164" i="1"/>
  <c r="GM164" i="1"/>
  <c r="CV164" i="1"/>
  <c r="EN164" i="1"/>
  <c r="BD165" i="1"/>
  <c r="GL165" i="1"/>
  <c r="GP165" i="1"/>
  <c r="AU166" i="1"/>
  <c r="AU160" i="1" s="1"/>
  <c r="AU159" i="1" s="1"/>
  <c r="AY166" i="1"/>
  <c r="AY160" i="1" s="1"/>
  <c r="AY159" i="1" s="1"/>
  <c r="BC166" i="1"/>
  <c r="GJ167" i="1"/>
  <c r="GN167" i="1"/>
  <c r="EN167" i="1"/>
  <c r="IJ167" i="1"/>
  <c r="GI168" i="1"/>
  <c r="GM168" i="1"/>
  <c r="CV168" i="1"/>
  <c r="GH169" i="1"/>
  <c r="GW170" i="1"/>
  <c r="GW65" i="1" s="1"/>
  <c r="GW63" i="1" s="1"/>
  <c r="GW13" i="1" s="1"/>
  <c r="GW12" i="1" s="1"/>
  <c r="GW11" i="1" s="1"/>
  <c r="GW10" i="1" s="1"/>
  <c r="GW335" i="1" s="1"/>
  <c r="IU170" i="1"/>
  <c r="IU65" i="1" s="1"/>
  <c r="GF129" i="1"/>
  <c r="IJ129" i="1"/>
  <c r="GG132" i="1"/>
  <c r="GK132" i="1"/>
  <c r="GK130" i="1" s="1"/>
  <c r="GO132" i="1"/>
  <c r="GO130" i="1" s="1"/>
  <c r="HP132" i="1"/>
  <c r="GJ133" i="1"/>
  <c r="GN133" i="1"/>
  <c r="GF133" i="1"/>
  <c r="IJ133" i="1"/>
  <c r="GI134" i="1"/>
  <c r="GM134" i="1"/>
  <c r="CV134" i="1"/>
  <c r="EN134" i="1"/>
  <c r="GH135" i="1"/>
  <c r="GL135" i="1"/>
  <c r="GP135" i="1"/>
  <c r="CV138" i="1"/>
  <c r="EN138" i="1"/>
  <c r="AU139" i="1"/>
  <c r="AU137" i="1" s="1"/>
  <c r="AU136" i="1" s="1"/>
  <c r="AY139" i="1"/>
  <c r="AY137" i="1" s="1"/>
  <c r="AY136" i="1" s="1"/>
  <c r="BC139" i="1"/>
  <c r="BC137" i="1" s="1"/>
  <c r="BC136" i="1" s="1"/>
  <c r="GJ140" i="1"/>
  <c r="GN140" i="1"/>
  <c r="IJ140" i="1"/>
  <c r="GI141" i="1"/>
  <c r="GM141" i="1"/>
  <c r="EN141" i="1"/>
  <c r="BD142" i="1"/>
  <c r="GL142" i="1"/>
  <c r="GP142" i="1"/>
  <c r="AX143" i="1"/>
  <c r="AX139" i="1" s="1"/>
  <c r="BB143" i="1"/>
  <c r="BB139" i="1" s="1"/>
  <c r="CM143" i="1"/>
  <c r="CM139" i="1" s="1"/>
  <c r="GI144" i="1"/>
  <c r="GM144" i="1"/>
  <c r="CV144" i="1"/>
  <c r="EN144" i="1"/>
  <c r="BD145" i="1"/>
  <c r="GL145" i="1"/>
  <c r="GP145" i="1"/>
  <c r="GG146" i="1"/>
  <c r="GK146" i="1"/>
  <c r="GO146" i="1"/>
  <c r="HP146" i="1"/>
  <c r="GJ147" i="1"/>
  <c r="GN147" i="1"/>
  <c r="GF147" i="1"/>
  <c r="IJ147" i="1"/>
  <c r="GI148" i="1"/>
  <c r="GM148" i="1"/>
  <c r="CV148" i="1"/>
  <c r="EN148" i="1"/>
  <c r="BD149" i="1"/>
  <c r="GL149" i="1"/>
  <c r="GP149" i="1"/>
  <c r="GG150" i="1"/>
  <c r="GK150" i="1"/>
  <c r="GO150" i="1"/>
  <c r="HP150" i="1"/>
  <c r="GJ151" i="1"/>
  <c r="GN151" i="1"/>
  <c r="GF151" i="1"/>
  <c r="IJ151" i="1"/>
  <c r="GI152" i="1"/>
  <c r="GM152" i="1"/>
  <c r="CV152" i="1"/>
  <c r="EN152" i="1"/>
  <c r="BD153" i="1"/>
  <c r="GL153" i="1"/>
  <c r="GP153" i="1"/>
  <c r="GG154" i="1"/>
  <c r="GK154" i="1"/>
  <c r="GO154" i="1"/>
  <c r="HP154" i="1"/>
  <c r="AX155" i="1"/>
  <c r="BB155" i="1"/>
  <c r="CM155" i="1"/>
  <c r="GI156" i="1"/>
  <c r="GI155" i="1" s="1"/>
  <c r="GM156" i="1"/>
  <c r="GM155" i="1" s="1"/>
  <c r="CV156" i="1"/>
  <c r="CV155" i="1" s="1"/>
  <c r="EN156" i="1"/>
  <c r="EN155" i="1" s="1"/>
  <c r="BD157" i="1"/>
  <c r="GL157" i="1"/>
  <c r="GP157" i="1"/>
  <c r="GG158" i="1"/>
  <c r="GK158" i="1"/>
  <c r="GO158" i="1"/>
  <c r="GF158" i="1"/>
  <c r="HP158" i="1"/>
  <c r="GG161" i="1"/>
  <c r="GK161" i="1"/>
  <c r="GO161" i="1"/>
  <c r="GF161" i="1"/>
  <c r="IJ161" i="1"/>
  <c r="BC162" i="1"/>
  <c r="BC160" i="1" s="1"/>
  <c r="BC159" i="1" s="1"/>
  <c r="IO160" i="1"/>
  <c r="IO159" i="1" s="1"/>
  <c r="IO65" i="1" s="1"/>
  <c r="GG163" i="1"/>
  <c r="HP163" i="1"/>
  <c r="GJ164" i="1"/>
  <c r="GN164" i="1"/>
  <c r="GF164" i="1"/>
  <c r="IJ164" i="1"/>
  <c r="GI165" i="1"/>
  <c r="GM165" i="1"/>
  <c r="CV165" i="1"/>
  <c r="EN165" i="1"/>
  <c r="AV166" i="1"/>
  <c r="AV160" i="1" s="1"/>
  <c r="AV159" i="1" s="1"/>
  <c r="AZ166" i="1"/>
  <c r="AZ160" i="1" s="1"/>
  <c r="AZ159" i="1" s="1"/>
  <c r="GG167" i="1"/>
  <c r="GK167" i="1"/>
  <c r="GK166" i="1" s="1"/>
  <c r="GO167" i="1"/>
  <c r="GO166" i="1" s="1"/>
  <c r="GF167" i="1"/>
  <c r="GF166" i="1" s="1"/>
  <c r="HP167" i="1"/>
  <c r="HP166" i="1" s="1"/>
  <c r="GJ168" i="1"/>
  <c r="GN168" i="1"/>
  <c r="EN168" i="1"/>
  <c r="IJ168" i="1"/>
  <c r="GI169" i="1"/>
  <c r="GM169" i="1"/>
  <c r="CV169" i="1"/>
  <c r="GJ173" i="1"/>
  <c r="AW172" i="1"/>
  <c r="AW171" i="1" s="1"/>
  <c r="GN173" i="1"/>
  <c r="BA172" i="1"/>
  <c r="BA171" i="1" s="1"/>
  <c r="GF173" i="1"/>
  <c r="FW172" i="1"/>
  <c r="FW171" i="1" s="1"/>
  <c r="FW170" i="1" s="1"/>
  <c r="IJ173" i="1"/>
  <c r="IF172" i="1"/>
  <c r="IF171" i="1" s="1"/>
  <c r="HA170" i="1"/>
  <c r="HM170" i="1"/>
  <c r="IH170" i="1"/>
  <c r="GI173" i="1"/>
  <c r="GM173" i="1"/>
  <c r="EN173" i="1"/>
  <c r="BD174" i="1"/>
  <c r="GL174" i="1"/>
  <c r="GP174" i="1"/>
  <c r="GG175" i="1"/>
  <c r="GK175" i="1"/>
  <c r="GO175" i="1"/>
  <c r="HP175" i="1"/>
  <c r="AU177" i="1"/>
  <c r="AU176" i="1" s="1"/>
  <c r="AU170" i="1" s="1"/>
  <c r="AY177" i="1"/>
  <c r="AY176" i="1" s="1"/>
  <c r="AY170" i="1" s="1"/>
  <c r="BC177" i="1"/>
  <c r="BC176" i="1" s="1"/>
  <c r="BC170" i="1" s="1"/>
  <c r="HL177" i="1"/>
  <c r="HL176" i="1" s="1"/>
  <c r="GH178" i="1"/>
  <c r="GL178" i="1"/>
  <c r="GP178" i="1"/>
  <c r="FY177" i="1"/>
  <c r="FY176" i="1" s="1"/>
  <c r="FY170" i="1" s="1"/>
  <c r="GC177" i="1"/>
  <c r="GC176" i="1" s="1"/>
  <c r="GC170" i="1" s="1"/>
  <c r="GG179" i="1"/>
  <c r="GK179" i="1"/>
  <c r="GO179" i="1"/>
  <c r="HP179" i="1"/>
  <c r="GJ180" i="1"/>
  <c r="GN180" i="1"/>
  <c r="CV180" i="1"/>
  <c r="GF180" i="1"/>
  <c r="IJ180" i="1"/>
  <c r="GI181" i="1"/>
  <c r="GM181" i="1"/>
  <c r="EN181" i="1"/>
  <c r="GH182" i="1"/>
  <c r="GL182" i="1"/>
  <c r="GP182" i="1"/>
  <c r="GG183" i="1"/>
  <c r="GK183" i="1"/>
  <c r="GO183" i="1"/>
  <c r="HP183" i="1"/>
  <c r="GJ184" i="1"/>
  <c r="GN184" i="1"/>
  <c r="CV184" i="1"/>
  <c r="GF184" i="1"/>
  <c r="IJ184" i="1"/>
  <c r="GI185" i="1"/>
  <c r="GM185" i="1"/>
  <c r="EN185" i="1"/>
  <c r="GH186" i="1"/>
  <c r="GL186" i="1"/>
  <c r="GP186" i="1"/>
  <c r="GJ190" i="1"/>
  <c r="GN190" i="1"/>
  <c r="EN190" i="1"/>
  <c r="IJ190" i="1"/>
  <c r="BB191" i="1"/>
  <c r="BB189" i="1" s="1"/>
  <c r="IF191" i="1"/>
  <c r="GG192" i="1"/>
  <c r="GK192" i="1"/>
  <c r="GO192" i="1"/>
  <c r="DR191" i="1"/>
  <c r="DR189" i="1" s="1"/>
  <c r="EG191" i="1"/>
  <c r="EG189" i="1" s="1"/>
  <c r="EK191" i="1"/>
  <c r="EK189" i="1" s="1"/>
  <c r="HP192" i="1"/>
  <c r="GJ193" i="1"/>
  <c r="GN193" i="1"/>
  <c r="CV193" i="1"/>
  <c r="GF193" i="1"/>
  <c r="IJ193" i="1"/>
  <c r="IO191" i="1"/>
  <c r="GI194" i="1"/>
  <c r="GM194" i="1"/>
  <c r="EN194" i="1"/>
  <c r="GH195" i="1"/>
  <c r="GL195" i="1"/>
  <c r="GP195" i="1"/>
  <c r="GG196" i="1"/>
  <c r="GK196" i="1"/>
  <c r="GO196" i="1"/>
  <c r="HP196" i="1"/>
  <c r="GJ197" i="1"/>
  <c r="GN197" i="1"/>
  <c r="CV197" i="1"/>
  <c r="GF197" i="1"/>
  <c r="IJ197" i="1"/>
  <c r="GI198" i="1"/>
  <c r="GM198" i="1"/>
  <c r="EN198" i="1"/>
  <c r="GH199" i="1"/>
  <c r="GL199" i="1"/>
  <c r="FZ189" i="1"/>
  <c r="GD189" i="1"/>
  <c r="EH189" i="1"/>
  <c r="EL189" i="1"/>
  <c r="AV172" i="1"/>
  <c r="AV171" i="1" s="1"/>
  <c r="AV170" i="1" s="1"/>
  <c r="AZ172" i="1"/>
  <c r="AZ171" i="1" s="1"/>
  <c r="AZ170" i="1" s="1"/>
  <c r="GG173" i="1"/>
  <c r="GK173" i="1"/>
  <c r="GO173" i="1"/>
  <c r="HP173" i="1"/>
  <c r="GJ174" i="1"/>
  <c r="GN174" i="1"/>
  <c r="CV174" i="1"/>
  <c r="GF174" i="1"/>
  <c r="IJ174" i="1"/>
  <c r="GI175" i="1"/>
  <c r="GM175" i="1"/>
  <c r="CV175" i="1"/>
  <c r="EN175" i="1"/>
  <c r="AW177" i="1"/>
  <c r="AW176" i="1" s="1"/>
  <c r="BA177" i="1"/>
  <c r="BA176" i="1" s="1"/>
  <c r="EE177" i="1"/>
  <c r="EE176" i="1" s="1"/>
  <c r="GJ178" i="1"/>
  <c r="GN178" i="1"/>
  <c r="CV178" i="1"/>
  <c r="GF178" i="1"/>
  <c r="IJ178" i="1"/>
  <c r="EN179" i="1"/>
  <c r="HP181" i="1"/>
  <c r="CV182" i="1"/>
  <c r="GF182" i="1"/>
  <c r="IJ182" i="1"/>
  <c r="EN183" i="1"/>
  <c r="HP185" i="1"/>
  <c r="CV186" i="1"/>
  <c r="GF186" i="1"/>
  <c r="IJ186" i="1"/>
  <c r="GF187" i="1"/>
  <c r="IJ187" i="1"/>
  <c r="BD190" i="1"/>
  <c r="AX191" i="1"/>
  <c r="AX189" i="1" s="1"/>
  <c r="AH191" i="1"/>
  <c r="AH189" i="1" s="1"/>
  <c r="AV191" i="1"/>
  <c r="AV189" i="1" s="1"/>
  <c r="AZ191" i="1"/>
  <c r="AZ189" i="1" s="1"/>
  <c r="EN192" i="1"/>
  <c r="HM191" i="1"/>
  <c r="HM189" i="1" s="1"/>
  <c r="HZ191" i="1"/>
  <c r="HZ189" i="1" s="1"/>
  <c r="IH191" i="1"/>
  <c r="IH189" i="1" s="1"/>
  <c r="HP194" i="1"/>
  <c r="CV195" i="1"/>
  <c r="GF195" i="1"/>
  <c r="IJ195" i="1"/>
  <c r="EN196" i="1"/>
  <c r="HP198" i="1"/>
  <c r="CV199" i="1"/>
  <c r="GF199" i="1"/>
  <c r="IJ199" i="1"/>
  <c r="EN200" i="1"/>
  <c r="GL169" i="1"/>
  <c r="GP169" i="1"/>
  <c r="EE172" i="1"/>
  <c r="EE171" i="1" s="1"/>
  <c r="HL172" i="1"/>
  <c r="HL171" i="1" s="1"/>
  <c r="HL170" i="1" s="1"/>
  <c r="GH173" i="1"/>
  <c r="GL173" i="1"/>
  <c r="GP173" i="1"/>
  <c r="GG174" i="1"/>
  <c r="GK174" i="1"/>
  <c r="GO174" i="1"/>
  <c r="HP174" i="1"/>
  <c r="GJ175" i="1"/>
  <c r="GN175" i="1"/>
  <c r="GF175" i="1"/>
  <c r="IJ175" i="1"/>
  <c r="AX177" i="1"/>
  <c r="AX176" i="1" s="1"/>
  <c r="AX170" i="1" s="1"/>
  <c r="BB177" i="1"/>
  <c r="BB176" i="1" s="1"/>
  <c r="BB170" i="1" s="1"/>
  <c r="IF177" i="1"/>
  <c r="IF176" i="1" s="1"/>
  <c r="GG178" i="1"/>
  <c r="GK178" i="1"/>
  <c r="GO178" i="1"/>
  <c r="HP178" i="1"/>
  <c r="GJ179" i="1"/>
  <c r="GN179" i="1"/>
  <c r="CV179" i="1"/>
  <c r="GF179" i="1"/>
  <c r="IJ179" i="1"/>
  <c r="GI180" i="1"/>
  <c r="GM180" i="1"/>
  <c r="EN180" i="1"/>
  <c r="GH181" i="1"/>
  <c r="GL181" i="1"/>
  <c r="GP181" i="1"/>
  <c r="GG182" i="1"/>
  <c r="GK182" i="1"/>
  <c r="GO182" i="1"/>
  <c r="HP182" i="1"/>
  <c r="GJ183" i="1"/>
  <c r="GN183" i="1"/>
  <c r="CV183" i="1"/>
  <c r="GF183" i="1"/>
  <c r="IJ183" i="1"/>
  <c r="GI184" i="1"/>
  <c r="GM184" i="1"/>
  <c r="EN184" i="1"/>
  <c r="GH185" i="1"/>
  <c r="GL185" i="1"/>
  <c r="GP185" i="1"/>
  <c r="GG186" i="1"/>
  <c r="GK186" i="1"/>
  <c r="GO186" i="1"/>
  <c r="HP186" i="1"/>
  <c r="HP187" i="1"/>
  <c r="AY191" i="1"/>
  <c r="AW191" i="1"/>
  <c r="AW189" i="1" s="1"/>
  <c r="BA191" i="1"/>
  <c r="CV192" i="1"/>
  <c r="GF192" i="1"/>
  <c r="GA191" i="1"/>
  <c r="GA189" i="1" s="1"/>
  <c r="GE191" i="1"/>
  <c r="GE189" i="1" s="1"/>
  <c r="IJ192" i="1"/>
  <c r="GI193" i="1"/>
  <c r="GM193" i="1"/>
  <c r="EN193" i="1"/>
  <c r="EI191" i="1"/>
  <c r="EI189" i="1" s="1"/>
  <c r="EM191" i="1"/>
  <c r="EM189" i="1" s="1"/>
  <c r="HF191" i="1"/>
  <c r="HF189" i="1" s="1"/>
  <c r="HN191" i="1"/>
  <c r="HN189" i="1" s="1"/>
  <c r="GH194" i="1"/>
  <c r="GL194" i="1"/>
  <c r="GP194" i="1"/>
  <c r="GG195" i="1"/>
  <c r="GK195" i="1"/>
  <c r="GO195" i="1"/>
  <c r="HP195" i="1"/>
  <c r="GJ196" i="1"/>
  <c r="GN196" i="1"/>
  <c r="CV196" i="1"/>
  <c r="GF196" i="1"/>
  <c r="IJ196" i="1"/>
  <c r="GI197" i="1"/>
  <c r="GM197" i="1"/>
  <c r="EN197" i="1"/>
  <c r="GH198" i="1"/>
  <c r="GL198" i="1"/>
  <c r="GP198" i="1"/>
  <c r="GG199" i="1"/>
  <c r="GK199" i="1"/>
  <c r="GO199" i="1"/>
  <c r="AW205" i="1"/>
  <c r="HN205" i="1"/>
  <c r="HC205" i="1"/>
  <c r="HC188" i="1" s="1"/>
  <c r="HC63" i="1" s="1"/>
  <c r="HC13" i="1" s="1"/>
  <c r="HC12" i="1" s="1"/>
  <c r="HC11" i="1" s="1"/>
  <c r="HC10" i="1" s="1"/>
  <c r="HC335" i="1" s="1"/>
  <c r="HG205" i="1"/>
  <c r="HG188" i="1" s="1"/>
  <c r="HG63" i="1" s="1"/>
  <c r="HG13" i="1" s="1"/>
  <c r="HG12" i="1" s="1"/>
  <c r="HG11" i="1" s="1"/>
  <c r="HG10" i="1" s="1"/>
  <c r="HG335" i="1" s="1"/>
  <c r="IM205" i="1"/>
  <c r="IM188" i="1" s="1"/>
  <c r="CT217" i="1"/>
  <c r="CT215" i="1" s="1"/>
  <c r="BO217" i="1"/>
  <c r="BO215" i="1" s="1"/>
  <c r="CU217" i="1"/>
  <c r="CU215" i="1" s="1"/>
  <c r="AY218" i="1"/>
  <c r="AJ217" i="1"/>
  <c r="AJ215" i="1" s="1"/>
  <c r="AJ188" i="1" s="1"/>
  <c r="AN217" i="1"/>
  <c r="AN215" i="1" s="1"/>
  <c r="AN188" i="1" s="1"/>
  <c r="AR217" i="1"/>
  <c r="AR215" i="1" s="1"/>
  <c r="AR188" i="1" s="1"/>
  <c r="CB217" i="1"/>
  <c r="CB215" i="1" s="1"/>
  <c r="CB188" i="1" s="1"/>
  <c r="CB63" i="1" s="1"/>
  <c r="CB13" i="1" s="1"/>
  <c r="CB12" i="1" s="1"/>
  <c r="CB11" i="1" s="1"/>
  <c r="CB10" i="1" s="1"/>
  <c r="CB335" i="1" s="1"/>
  <c r="CF217" i="1"/>
  <c r="CF215" i="1" s="1"/>
  <c r="CF188" i="1" s="1"/>
  <c r="CF63" i="1" s="1"/>
  <c r="CF13" i="1" s="1"/>
  <c r="CF12" i="1" s="1"/>
  <c r="CF11" i="1" s="1"/>
  <c r="CF10" i="1" s="1"/>
  <c r="CF335" i="1" s="1"/>
  <c r="CJ217" i="1"/>
  <c r="CJ215" i="1" s="1"/>
  <c r="CJ188" i="1" s="1"/>
  <c r="CJ63" i="1" s="1"/>
  <c r="CJ13" i="1" s="1"/>
  <c r="CJ12" i="1" s="1"/>
  <c r="CJ11" i="1" s="1"/>
  <c r="CJ10" i="1" s="1"/>
  <c r="CJ335" i="1" s="1"/>
  <c r="CX217" i="1"/>
  <c r="CX215" i="1" s="1"/>
  <c r="DB217" i="1"/>
  <c r="DB215" i="1" s="1"/>
  <c r="DF217" i="1"/>
  <c r="DF215" i="1" s="1"/>
  <c r="DK217" i="1"/>
  <c r="DK215" i="1" s="1"/>
  <c r="DK188" i="1" s="1"/>
  <c r="DO217" i="1"/>
  <c r="DO215" i="1" s="1"/>
  <c r="DO188" i="1" s="1"/>
  <c r="DO63" i="1" s="1"/>
  <c r="DO13" i="1" s="1"/>
  <c r="DO12" i="1" s="1"/>
  <c r="DO11" i="1" s="1"/>
  <c r="DO10" i="1" s="1"/>
  <c r="DO335" i="1" s="1"/>
  <c r="EF189" i="1"/>
  <c r="EJ189" i="1"/>
  <c r="IJ203" i="1"/>
  <c r="BO202" i="1"/>
  <c r="BO189" i="1" s="1"/>
  <c r="CM202" i="1"/>
  <c r="CM189" i="1" s="1"/>
  <c r="CQ202" i="1"/>
  <c r="CQ189" i="1" s="1"/>
  <c r="CU202" i="1"/>
  <c r="CU189" i="1" s="1"/>
  <c r="GF206" i="1"/>
  <c r="IJ206" i="1"/>
  <c r="BA207" i="1"/>
  <c r="BA205" i="1" s="1"/>
  <c r="CN207" i="1"/>
  <c r="IG205" i="1"/>
  <c r="AS207" i="1"/>
  <c r="AS205" i="1" s="1"/>
  <c r="EY207" i="1"/>
  <c r="EY205" i="1" s="1"/>
  <c r="GF209" i="1"/>
  <c r="HK207" i="1"/>
  <c r="HO207" i="1"/>
  <c r="IF207" i="1"/>
  <c r="BG205" i="1"/>
  <c r="BK205" i="1"/>
  <c r="BO205" i="1"/>
  <c r="BT205" i="1"/>
  <c r="BT188" i="1" s="1"/>
  <c r="BX205" i="1"/>
  <c r="BX188" i="1" s="1"/>
  <c r="DU205" i="1"/>
  <c r="DU188" i="1" s="1"/>
  <c r="DU63" i="1" s="1"/>
  <c r="DU13" i="1" s="1"/>
  <c r="DU12" i="1" s="1"/>
  <c r="DU11" i="1" s="1"/>
  <c r="DU10" i="1" s="1"/>
  <c r="DU335" i="1" s="1"/>
  <c r="GY205" i="1"/>
  <c r="CK211" i="1"/>
  <c r="CS211" i="1"/>
  <c r="CS205" i="1" s="1"/>
  <c r="DR211" i="1"/>
  <c r="EG211" i="1"/>
  <c r="EG205" i="1" s="1"/>
  <c r="EK211" i="1"/>
  <c r="FJ211" i="1"/>
  <c r="FJ205" i="1" s="1"/>
  <c r="FX211" i="1"/>
  <c r="FX205" i="1" s="1"/>
  <c r="GB211" i="1"/>
  <c r="GB205" i="1" s="1"/>
  <c r="GN213" i="1"/>
  <c r="HA211" i="1"/>
  <c r="HA205" i="1" s="1"/>
  <c r="HM211" i="1"/>
  <c r="IJ219" i="1"/>
  <c r="GH220" i="1"/>
  <c r="EI218" i="1"/>
  <c r="GP220" i="1"/>
  <c r="IT217" i="1"/>
  <c r="IT215" i="1" s="1"/>
  <c r="IF218" i="1"/>
  <c r="IF217" i="1" s="1"/>
  <c r="IF215" i="1" s="1"/>
  <c r="EN222" i="1"/>
  <c r="EM218" i="1"/>
  <c r="N217" i="1"/>
  <c r="N215" i="1" s="1"/>
  <c r="N188" i="1" s="1"/>
  <c r="R217" i="1"/>
  <c r="R215" i="1" s="1"/>
  <c r="R188" i="1" s="1"/>
  <c r="V217" i="1"/>
  <c r="V215" i="1" s="1"/>
  <c r="V188" i="1" s="1"/>
  <c r="AA217" i="1"/>
  <c r="AA215" i="1" s="1"/>
  <c r="AA188" i="1" s="1"/>
  <c r="AE217" i="1"/>
  <c r="AE215" i="1" s="1"/>
  <c r="AE188" i="1" s="1"/>
  <c r="BF217" i="1"/>
  <c r="BF215" i="1" s="1"/>
  <c r="BJ217" i="1"/>
  <c r="BJ215" i="1" s="1"/>
  <c r="BN217" i="1"/>
  <c r="BN215" i="1" s="1"/>
  <c r="BS217" i="1"/>
  <c r="BS215" i="1" s="1"/>
  <c r="BS188" i="1" s="1"/>
  <c r="BS63" i="1" s="1"/>
  <c r="BS13" i="1" s="1"/>
  <c r="BS12" i="1" s="1"/>
  <c r="BS11" i="1" s="1"/>
  <c r="BS10" i="1" s="1"/>
  <c r="BS335" i="1" s="1"/>
  <c r="BW217" i="1"/>
  <c r="BW215" i="1" s="1"/>
  <c r="BW188" i="1" s="1"/>
  <c r="BW63" i="1" s="1"/>
  <c r="BW13" i="1" s="1"/>
  <c r="BW12" i="1" s="1"/>
  <c r="BW11" i="1" s="1"/>
  <c r="BW10" i="1" s="1"/>
  <c r="BW335" i="1" s="1"/>
  <c r="CV225" i="1"/>
  <c r="HA223" i="1"/>
  <c r="HM223" i="1"/>
  <c r="EK223" i="1"/>
  <c r="IJ226" i="1"/>
  <c r="EN227" i="1"/>
  <c r="EN229" i="1"/>
  <c r="GF229" i="1"/>
  <c r="CV232" i="1"/>
  <c r="BD234" i="1"/>
  <c r="IJ234" i="1"/>
  <c r="HP235" i="1"/>
  <c r="EH236" i="1"/>
  <c r="EL236" i="1"/>
  <c r="HP199" i="1"/>
  <c r="GJ200" i="1"/>
  <c r="GN200" i="1"/>
  <c r="CV200" i="1"/>
  <c r="GF200" i="1"/>
  <c r="IJ200" i="1"/>
  <c r="GI201" i="1"/>
  <c r="GM201" i="1"/>
  <c r="EN201" i="1"/>
  <c r="GG203" i="1"/>
  <c r="GK203" i="1"/>
  <c r="GO203" i="1"/>
  <c r="FJ189" i="1"/>
  <c r="HP203" i="1"/>
  <c r="AS202" i="1"/>
  <c r="AS189" i="1" s="1"/>
  <c r="GJ204" i="1"/>
  <c r="GJ202" i="1" s="1"/>
  <c r="GN204" i="1"/>
  <c r="GN202" i="1" s="1"/>
  <c r="BZ202" i="1"/>
  <c r="BZ189" i="1" s="1"/>
  <c r="CN202" i="1"/>
  <c r="CN189" i="1" s="1"/>
  <c r="CR202" i="1"/>
  <c r="CR189" i="1" s="1"/>
  <c r="EN204" i="1"/>
  <c r="IF202" i="1"/>
  <c r="IF189" i="1" s="1"/>
  <c r="IO202" i="1"/>
  <c r="BD206" i="1"/>
  <c r="GL206" i="1"/>
  <c r="GP206" i="1"/>
  <c r="GG206" i="1"/>
  <c r="GO206" i="1"/>
  <c r="HP206" i="1"/>
  <c r="BF205" i="1"/>
  <c r="BF188" i="1" s="1"/>
  <c r="BJ205" i="1"/>
  <c r="BN205" i="1"/>
  <c r="BN188" i="1" s="1"/>
  <c r="BN63" i="1" s="1"/>
  <c r="BN13" i="1" s="1"/>
  <c r="BN12" i="1" s="1"/>
  <c r="BN11" i="1" s="1"/>
  <c r="BN10" i="1" s="1"/>
  <c r="BN335" i="1" s="1"/>
  <c r="W207" i="1"/>
  <c r="W205" i="1" s="1"/>
  <c r="AY207" i="1"/>
  <c r="AY205" i="1" s="1"/>
  <c r="BC207" i="1"/>
  <c r="BC205" i="1" s="1"/>
  <c r="FU207" i="1"/>
  <c r="FU205" i="1" s="1"/>
  <c r="GC207" i="1"/>
  <c r="GC205" i="1" s="1"/>
  <c r="HM207" i="1"/>
  <c r="GV207" i="1"/>
  <c r="GV205" i="1" s="1"/>
  <c r="HL207" i="1"/>
  <c r="HL205" i="1" s="1"/>
  <c r="CV210" i="1"/>
  <c r="EN210" i="1"/>
  <c r="AX211" i="1"/>
  <c r="GU205" i="1"/>
  <c r="GU188" i="1" s="1"/>
  <c r="GU63" i="1" s="1"/>
  <c r="GU13" i="1" s="1"/>
  <c r="GU12" i="1" s="1"/>
  <c r="GU11" i="1" s="1"/>
  <c r="GU10" i="1" s="1"/>
  <c r="GU335" i="1" s="1"/>
  <c r="HW205" i="1"/>
  <c r="IA205" i="1"/>
  <c r="IA188" i="1" s="1"/>
  <c r="IA63" i="1" s="1"/>
  <c r="IA13" i="1" s="1"/>
  <c r="IA12" i="1" s="1"/>
  <c r="IA11" i="1" s="1"/>
  <c r="IA10" i="1" s="1"/>
  <c r="IA335" i="1" s="1"/>
  <c r="CT211" i="1"/>
  <c r="GI213" i="1"/>
  <c r="GM213" i="1"/>
  <c r="CM211" i="1"/>
  <c r="CQ211" i="1"/>
  <c r="CQ205" i="1" s="1"/>
  <c r="CU211" i="1"/>
  <c r="CU205" i="1" s="1"/>
  <c r="EI211" i="1"/>
  <c r="EM211" i="1"/>
  <c r="CP211" i="1"/>
  <c r="IE211" i="1"/>
  <c r="GJ216" i="1"/>
  <c r="GF216" i="1"/>
  <c r="GV217" i="1"/>
  <c r="GV215" i="1" s="1"/>
  <c r="HP219" i="1"/>
  <c r="EF218" i="1"/>
  <c r="EJ218" i="1"/>
  <c r="EJ217" i="1" s="1"/>
  <c r="EJ215" i="1" s="1"/>
  <c r="GN221" i="1"/>
  <c r="GF221" i="1"/>
  <c r="HL218" i="1"/>
  <c r="HL217" i="1" s="1"/>
  <c r="HL215" i="1" s="1"/>
  <c r="GJ222" i="1"/>
  <c r="GN222" i="1"/>
  <c r="CV222" i="1"/>
  <c r="IJ222" i="1"/>
  <c r="E217" i="1"/>
  <c r="E215" i="1" s="1"/>
  <c r="E188" i="1" s="1"/>
  <c r="I217" i="1"/>
  <c r="I215" i="1" s="1"/>
  <c r="I188" i="1" s="1"/>
  <c r="IP217" i="1"/>
  <c r="IP215" i="1" s="1"/>
  <c r="IP188" i="1" s="1"/>
  <c r="AU223" i="1"/>
  <c r="AU217" i="1" s="1"/>
  <c r="AU215" i="1" s="1"/>
  <c r="CP223" i="1"/>
  <c r="GO225" i="1"/>
  <c r="GH226" i="1"/>
  <c r="GL226" i="1"/>
  <c r="GP226" i="1"/>
  <c r="HP226" i="1"/>
  <c r="GJ227" i="1"/>
  <c r="GN227" i="1"/>
  <c r="BZ223" i="1"/>
  <c r="CN223" i="1"/>
  <c r="CR223" i="1"/>
  <c r="GF227" i="1"/>
  <c r="GG229" i="1"/>
  <c r="GK229" i="1"/>
  <c r="GO229" i="1"/>
  <c r="EN230" i="1"/>
  <c r="GN232" i="1"/>
  <c r="BD233" i="1"/>
  <c r="IJ233" i="1"/>
  <c r="GI234" i="1"/>
  <c r="GM234" i="1"/>
  <c r="CV234" i="1"/>
  <c r="EN234" i="1"/>
  <c r="HP234" i="1"/>
  <c r="GJ235" i="1"/>
  <c r="GN235" i="1"/>
  <c r="EN235" i="1"/>
  <c r="HM228" i="1"/>
  <c r="HU236" i="1"/>
  <c r="HU228" i="1" s="1"/>
  <c r="HZ236" i="1"/>
  <c r="HZ228" i="1" s="1"/>
  <c r="GP199" i="1"/>
  <c r="GG200" i="1"/>
  <c r="GK200" i="1"/>
  <c r="GO200" i="1"/>
  <c r="HP200" i="1"/>
  <c r="GJ201" i="1"/>
  <c r="GN201" i="1"/>
  <c r="CV201" i="1"/>
  <c r="GF201" i="1"/>
  <c r="IJ201" i="1"/>
  <c r="BA202" i="1"/>
  <c r="W202" i="1"/>
  <c r="W189" i="1" s="1"/>
  <c r="AU202" i="1"/>
  <c r="AU189" i="1" s="1"/>
  <c r="AY202" i="1"/>
  <c r="BC202" i="1"/>
  <c r="BC189" i="1" s="1"/>
  <c r="L202" i="1"/>
  <c r="L189" i="1" s="1"/>
  <c r="GG204" i="1"/>
  <c r="GK204" i="1"/>
  <c r="GO204" i="1"/>
  <c r="GF204" i="1"/>
  <c r="GV202" i="1"/>
  <c r="GV189" i="1" s="1"/>
  <c r="HL202" i="1"/>
  <c r="HL189" i="1" s="1"/>
  <c r="HU202" i="1"/>
  <c r="HU189" i="1" s="1"/>
  <c r="IG202" i="1"/>
  <c r="IG189" i="1" s="1"/>
  <c r="EN206" i="1"/>
  <c r="GS205" i="1"/>
  <c r="GS188" i="1" s="1"/>
  <c r="GS63" i="1" s="1"/>
  <c r="GS13" i="1" s="1"/>
  <c r="GS12" i="1" s="1"/>
  <c r="GS11" i="1" s="1"/>
  <c r="GS10" i="1" s="1"/>
  <c r="GS335" i="1" s="1"/>
  <c r="GX205" i="1"/>
  <c r="GX188" i="1" s="1"/>
  <c r="GX63" i="1" s="1"/>
  <c r="GX13" i="1" s="1"/>
  <c r="GX12" i="1" s="1"/>
  <c r="GX11" i="1" s="1"/>
  <c r="GX10" i="1" s="1"/>
  <c r="GX335" i="1" s="1"/>
  <c r="EE207" i="1"/>
  <c r="EI207" i="1"/>
  <c r="EM207" i="1"/>
  <c r="CP207" i="1"/>
  <c r="CT207" i="1"/>
  <c r="EH207" i="1"/>
  <c r="EH205" i="1" s="1"/>
  <c r="EL207" i="1"/>
  <c r="EL205" i="1" s="1"/>
  <c r="GG210" i="1"/>
  <c r="GK210" i="1"/>
  <c r="GO210" i="1"/>
  <c r="CO207" i="1"/>
  <c r="CO205" i="1" s="1"/>
  <c r="HP210" i="1"/>
  <c r="HU207" i="1"/>
  <c r="HU205" i="1" s="1"/>
  <c r="IT207" i="1"/>
  <c r="IT205" i="1" s="1"/>
  <c r="FM205" i="1"/>
  <c r="FM188" i="1" s="1"/>
  <c r="FM63" i="1" s="1"/>
  <c r="FM13" i="1" s="1"/>
  <c r="FM12" i="1" s="1"/>
  <c r="FM11" i="1" s="1"/>
  <c r="FM10" i="1" s="1"/>
  <c r="FM335" i="1" s="1"/>
  <c r="FQ205" i="1"/>
  <c r="FQ188" i="1" s="1"/>
  <c r="HS205" i="1"/>
  <c r="IQ205" i="1"/>
  <c r="IU205" i="1"/>
  <c r="IU188" i="1" s="1"/>
  <c r="GJ213" i="1"/>
  <c r="BZ211" i="1"/>
  <c r="BZ205" i="1" s="1"/>
  <c r="CN211" i="1"/>
  <c r="CR211" i="1"/>
  <c r="CR205" i="1" s="1"/>
  <c r="IF211" i="1"/>
  <c r="IO211" i="1"/>
  <c r="IO205" i="1" s="1"/>
  <c r="GI214" i="1"/>
  <c r="GI211" i="1" s="1"/>
  <c r="GM214" i="1"/>
  <c r="FZ211" i="1"/>
  <c r="GG216" i="1"/>
  <c r="GK216" i="1"/>
  <c r="GO216" i="1"/>
  <c r="GN216" i="1"/>
  <c r="IJ216" i="1"/>
  <c r="AH218" i="1"/>
  <c r="AV218" i="1"/>
  <c r="AZ218" i="1"/>
  <c r="L218" i="1"/>
  <c r="GK220" i="1"/>
  <c r="CO218" i="1"/>
  <c r="CO217" i="1" s="1"/>
  <c r="CO215" i="1" s="1"/>
  <c r="CS218" i="1"/>
  <c r="CS217" i="1" s="1"/>
  <c r="CS215" i="1" s="1"/>
  <c r="GF220" i="1"/>
  <c r="HF218" i="1"/>
  <c r="HF217" i="1" s="1"/>
  <c r="HF215" i="1" s="1"/>
  <c r="HN218" i="1"/>
  <c r="HN217" i="1" s="1"/>
  <c r="HN215" i="1" s="1"/>
  <c r="GH221" i="1"/>
  <c r="GL221" i="1"/>
  <c r="GP221" i="1"/>
  <c r="GG222" i="1"/>
  <c r="GK222" i="1"/>
  <c r="GO222" i="1"/>
  <c r="DT217" i="1"/>
  <c r="DT215" i="1" s="1"/>
  <c r="DT188" i="1" s="1"/>
  <c r="DT63" i="1" s="1"/>
  <c r="DT13" i="1" s="1"/>
  <c r="DT12" i="1" s="1"/>
  <c r="DT11" i="1" s="1"/>
  <c r="DT10" i="1" s="1"/>
  <c r="DT335" i="1" s="1"/>
  <c r="DX217" i="1"/>
  <c r="DX215" i="1" s="1"/>
  <c r="DX188" i="1" s="1"/>
  <c r="EB217" i="1"/>
  <c r="EB215" i="1" s="1"/>
  <c r="EB188" i="1" s="1"/>
  <c r="HR217" i="1"/>
  <c r="HR215" i="1" s="1"/>
  <c r="HR188" i="1" s="1"/>
  <c r="IL217" i="1"/>
  <c r="IL215" i="1" s="1"/>
  <c r="IL188" i="1" s="1"/>
  <c r="AH223" i="1"/>
  <c r="AZ223" i="1"/>
  <c r="GD223" i="1"/>
  <c r="GD217" i="1" s="1"/>
  <c r="GD215" i="1" s="1"/>
  <c r="II223" i="1"/>
  <c r="II217" i="1" s="1"/>
  <c r="II215" i="1" s="1"/>
  <c r="BD225" i="1"/>
  <c r="GL225" i="1"/>
  <c r="GP225" i="1"/>
  <c r="FU223" i="1"/>
  <c r="FY223" i="1"/>
  <c r="GC223" i="1"/>
  <c r="BD226" i="1"/>
  <c r="GM226" i="1"/>
  <c r="L223" i="1"/>
  <c r="GG227" i="1"/>
  <c r="GK227" i="1"/>
  <c r="GO227" i="1"/>
  <c r="HP227" i="1"/>
  <c r="BD229" i="1"/>
  <c r="GL229" i="1"/>
  <c r="GP229" i="1"/>
  <c r="HP229" i="1"/>
  <c r="AS228" i="1"/>
  <c r="GI231" i="1"/>
  <c r="GM231" i="1"/>
  <c r="CV231" i="1"/>
  <c r="GF232" i="1"/>
  <c r="IJ232" i="1"/>
  <c r="GI233" i="1"/>
  <c r="GM233" i="1"/>
  <c r="CV233" i="1"/>
  <c r="CS228" i="1"/>
  <c r="AV236" i="1"/>
  <c r="AV228" i="1" s="1"/>
  <c r="AZ236" i="1"/>
  <c r="AZ228" i="1" s="1"/>
  <c r="EF236" i="1"/>
  <c r="DR236" i="1"/>
  <c r="DR228" i="1" s="1"/>
  <c r="FU236" i="1"/>
  <c r="FU228" i="1" s="1"/>
  <c r="GF239" i="1"/>
  <c r="GL240" i="1"/>
  <c r="GP240" i="1"/>
  <c r="GJ243" i="1"/>
  <c r="GQ247" i="1"/>
  <c r="BF257" i="1"/>
  <c r="BF256" i="1" s="1"/>
  <c r="BJ257" i="1"/>
  <c r="BJ256" i="1" s="1"/>
  <c r="HF259" i="1"/>
  <c r="HF257" i="1" s="1"/>
  <c r="HF256" i="1" s="1"/>
  <c r="EH264" i="1"/>
  <c r="EH259" i="1" s="1"/>
  <c r="EH257" i="1" s="1"/>
  <c r="EH256" i="1" s="1"/>
  <c r="EL264" i="1"/>
  <c r="EL259" i="1" s="1"/>
  <c r="EL257" i="1" s="1"/>
  <c r="EL256" i="1" s="1"/>
  <c r="GD264" i="1"/>
  <c r="GD259" i="1" s="1"/>
  <c r="GD257" i="1" s="1"/>
  <c r="GD256" i="1" s="1"/>
  <c r="BQ259" i="1"/>
  <c r="BQ257" i="1" s="1"/>
  <c r="BQ256" i="1" s="1"/>
  <c r="BQ63" i="1" s="1"/>
  <c r="BQ13" i="1" s="1"/>
  <c r="BQ12" i="1" s="1"/>
  <c r="BQ11" i="1" s="1"/>
  <c r="BQ10" i="1" s="1"/>
  <c r="BQ335" i="1" s="1"/>
  <c r="BU259" i="1"/>
  <c r="BU257" i="1" s="1"/>
  <c r="BU256" i="1" s="1"/>
  <c r="BU63" i="1" s="1"/>
  <c r="BU13" i="1" s="1"/>
  <c r="BU12" i="1" s="1"/>
  <c r="BU11" i="1" s="1"/>
  <c r="BU10" i="1" s="1"/>
  <c r="BU335" i="1" s="1"/>
  <c r="BY259" i="1"/>
  <c r="BY257" i="1" s="1"/>
  <c r="BY256" i="1" s="1"/>
  <c r="BY63" i="1" s="1"/>
  <c r="BY13" i="1" s="1"/>
  <c r="BY12" i="1" s="1"/>
  <c r="BY11" i="1" s="1"/>
  <c r="BY10" i="1" s="1"/>
  <c r="BY335" i="1" s="1"/>
  <c r="CC259" i="1"/>
  <c r="CC257" i="1" s="1"/>
  <c r="CC256" i="1" s="1"/>
  <c r="CG259" i="1"/>
  <c r="CG257" i="1" s="1"/>
  <c r="CG256" i="1" s="1"/>
  <c r="HS259" i="1"/>
  <c r="HS257" i="1" s="1"/>
  <c r="HS256" i="1" s="1"/>
  <c r="IM259" i="1"/>
  <c r="IM257" i="1" s="1"/>
  <c r="IM256" i="1" s="1"/>
  <c r="IM63" i="1" s="1"/>
  <c r="IM13" i="1" s="1"/>
  <c r="IM12" i="1" s="1"/>
  <c r="IM11" i="1" s="1"/>
  <c r="IM10" i="1" s="1"/>
  <c r="IM335" i="1" s="1"/>
  <c r="IF272" i="1"/>
  <c r="IO272" i="1"/>
  <c r="IO259" i="1" s="1"/>
  <c r="IO257" i="1" s="1"/>
  <c r="IO256" i="1" s="1"/>
  <c r="BD243" i="1"/>
  <c r="BD242" i="1" s="1"/>
  <c r="BD241" i="1" s="1"/>
  <c r="HP243" i="1"/>
  <c r="HK242" i="1"/>
  <c r="HK241" i="1" s="1"/>
  <c r="HO242" i="1"/>
  <c r="HO241" i="1" s="1"/>
  <c r="GH245" i="1"/>
  <c r="HZ242" i="1"/>
  <c r="HZ241" i="1" s="1"/>
  <c r="IH242" i="1"/>
  <c r="IH241" i="1" s="1"/>
  <c r="IO242" i="1"/>
  <c r="IO241" i="1" s="1"/>
  <c r="IJ249" i="1"/>
  <c r="HP251" i="1"/>
  <c r="HP260" i="1"/>
  <c r="CV261" i="1"/>
  <c r="GA259" i="1"/>
  <c r="GA257" i="1" s="1"/>
  <c r="GA256" i="1" s="1"/>
  <c r="GE259" i="1"/>
  <c r="GE257" i="1" s="1"/>
  <c r="GE256" i="1" s="1"/>
  <c r="HP262" i="1"/>
  <c r="GF263" i="1"/>
  <c r="FJ259" i="1"/>
  <c r="FJ257" i="1" s="1"/>
  <c r="FJ256" i="1" s="1"/>
  <c r="W259" i="1"/>
  <c r="W257" i="1" s="1"/>
  <c r="W256" i="1" s="1"/>
  <c r="HZ264" i="1"/>
  <c r="HZ259" i="1" s="1"/>
  <c r="HZ257" i="1" s="1"/>
  <c r="HZ256" i="1" s="1"/>
  <c r="IH264" i="1"/>
  <c r="IH259" i="1" s="1"/>
  <c r="IH257" i="1" s="1"/>
  <c r="IH256" i="1" s="1"/>
  <c r="FX264" i="1"/>
  <c r="GB264" i="1"/>
  <c r="BD267" i="1"/>
  <c r="IJ267" i="1"/>
  <c r="CV268" i="1"/>
  <c r="HP268" i="1"/>
  <c r="EN269" i="1"/>
  <c r="HP270" i="1"/>
  <c r="EN271" i="1"/>
  <c r="GF271" i="1"/>
  <c r="EQ259" i="1"/>
  <c r="EQ257" i="1" s="1"/>
  <c r="EQ256" i="1" s="1"/>
  <c r="EU259" i="1"/>
  <c r="EU257" i="1" s="1"/>
  <c r="EU256" i="1" s="1"/>
  <c r="EU63" i="1" s="1"/>
  <c r="EU13" i="1" s="1"/>
  <c r="EU12" i="1" s="1"/>
  <c r="EU11" i="1" s="1"/>
  <c r="EU10" i="1" s="1"/>
  <c r="EU335" i="1" s="1"/>
  <c r="FC259" i="1"/>
  <c r="FC257" i="1" s="1"/>
  <c r="FC256" i="1" s="1"/>
  <c r="FC63" i="1" s="1"/>
  <c r="FC13" i="1" s="1"/>
  <c r="FC12" i="1" s="1"/>
  <c r="FC11" i="1" s="1"/>
  <c r="FC10" i="1" s="1"/>
  <c r="FC335" i="1" s="1"/>
  <c r="FG259" i="1"/>
  <c r="FG257" i="1" s="1"/>
  <c r="FG256" i="1" s="1"/>
  <c r="FG63" i="1" s="1"/>
  <c r="FG13" i="1" s="1"/>
  <c r="FG12" i="1" s="1"/>
  <c r="FG11" i="1" s="1"/>
  <c r="FG10" i="1" s="1"/>
  <c r="FG335" i="1" s="1"/>
  <c r="FO259" i="1"/>
  <c r="FO257" i="1" s="1"/>
  <c r="FO256" i="1" s="1"/>
  <c r="FS259" i="1"/>
  <c r="FS257" i="1" s="1"/>
  <c r="FS256" i="1" s="1"/>
  <c r="FS63" i="1" s="1"/>
  <c r="FS13" i="1" s="1"/>
  <c r="FS12" i="1" s="1"/>
  <c r="FS11" i="1" s="1"/>
  <c r="FS10" i="1" s="1"/>
  <c r="FS335" i="1" s="1"/>
  <c r="GG273" i="1"/>
  <c r="GK273" i="1"/>
  <c r="GO273" i="1"/>
  <c r="CV274" i="1"/>
  <c r="GV272" i="1"/>
  <c r="HL272" i="1"/>
  <c r="HU272" i="1"/>
  <c r="HU259" i="1" s="1"/>
  <c r="HU257" i="1" s="1"/>
  <c r="HU256" i="1" s="1"/>
  <c r="IG272" i="1"/>
  <c r="IG259" i="1" s="1"/>
  <c r="IG257" i="1" s="1"/>
  <c r="IG256" i="1" s="1"/>
  <c r="CV275" i="1"/>
  <c r="GF275" i="1"/>
  <c r="GH276" i="1"/>
  <c r="EY236" i="1"/>
  <c r="EY228" i="1" s="1"/>
  <c r="GB236" i="1"/>
  <c r="GB228" i="1" s="1"/>
  <c r="IG228" i="1"/>
  <c r="BD237" i="1"/>
  <c r="GM237" i="1"/>
  <c r="CV237" i="1"/>
  <c r="EN237" i="1"/>
  <c r="BD238" i="1"/>
  <c r="GH239" i="1"/>
  <c r="GL239" i="1"/>
  <c r="GP239" i="1"/>
  <c r="HP239" i="1"/>
  <c r="GJ240" i="1"/>
  <c r="GN240" i="1"/>
  <c r="CV240" i="1"/>
  <c r="GF240" i="1"/>
  <c r="GI243" i="1"/>
  <c r="GM243" i="1"/>
  <c r="CV243" i="1"/>
  <c r="CV242" i="1" s="1"/>
  <c r="CV241" i="1" s="1"/>
  <c r="HP244" i="1"/>
  <c r="HP246" i="1"/>
  <c r="IJ247" i="1"/>
  <c r="GF249" i="1"/>
  <c r="IJ252" i="1"/>
  <c r="IJ255" i="1"/>
  <c r="GG258" i="1"/>
  <c r="GK258" i="1"/>
  <c r="GO258" i="1"/>
  <c r="GF258" i="1"/>
  <c r="IJ258" i="1"/>
  <c r="GH260" i="1"/>
  <c r="GL260" i="1"/>
  <c r="GP260" i="1"/>
  <c r="GG261" i="1"/>
  <c r="GK261" i="1"/>
  <c r="GO261" i="1"/>
  <c r="GI261" i="1"/>
  <c r="HK259" i="1"/>
  <c r="HK257" i="1" s="1"/>
  <c r="HK256" i="1" s="1"/>
  <c r="HO259" i="1"/>
  <c r="HO257" i="1" s="1"/>
  <c r="HO256" i="1" s="1"/>
  <c r="IJ261" i="1"/>
  <c r="GI262" i="1"/>
  <c r="GM262" i="1"/>
  <c r="EN262" i="1"/>
  <c r="GI263" i="1"/>
  <c r="IJ263" i="1"/>
  <c r="GI265" i="1"/>
  <c r="GM265" i="1"/>
  <c r="CV265" i="1"/>
  <c r="FZ259" i="1"/>
  <c r="FZ257" i="1" s="1"/>
  <c r="FZ256" i="1" s="1"/>
  <c r="BD266" i="1"/>
  <c r="GL266" i="1"/>
  <c r="GP266" i="1"/>
  <c r="GI267" i="1"/>
  <c r="GM267" i="1"/>
  <c r="CV267" i="1"/>
  <c r="IJ269" i="1"/>
  <c r="GI270" i="1"/>
  <c r="GM270" i="1"/>
  <c r="CV270" i="1"/>
  <c r="EN270" i="1"/>
  <c r="GG271" i="1"/>
  <c r="GK271" i="1"/>
  <c r="GO271" i="1"/>
  <c r="HP271" i="1"/>
  <c r="E259" i="1"/>
  <c r="E257" i="1" s="1"/>
  <c r="E256" i="1" s="1"/>
  <c r="I259" i="1"/>
  <c r="I257" i="1" s="1"/>
  <c r="I256" i="1" s="1"/>
  <c r="Z259" i="1"/>
  <c r="Z257" i="1" s="1"/>
  <c r="Z256" i="1" s="1"/>
  <c r="Z63" i="1" s="1"/>
  <c r="Z13" i="1" s="1"/>
  <c r="Z12" i="1" s="1"/>
  <c r="Z11" i="1" s="1"/>
  <c r="Z10" i="1" s="1"/>
  <c r="Z335" i="1" s="1"/>
  <c r="AD259" i="1"/>
  <c r="AD257" i="1" s="1"/>
  <c r="AD256" i="1" s="1"/>
  <c r="AD63" i="1" s="1"/>
  <c r="AD13" i="1" s="1"/>
  <c r="AD12" i="1" s="1"/>
  <c r="AD11" i="1" s="1"/>
  <c r="AD10" i="1" s="1"/>
  <c r="AD335" i="1" s="1"/>
  <c r="AH259" i="1"/>
  <c r="AH257" i="1" s="1"/>
  <c r="AH256" i="1" s="1"/>
  <c r="BA272" i="1"/>
  <c r="FX272" i="1"/>
  <c r="GB272" i="1"/>
  <c r="DR272" i="1"/>
  <c r="DR259" i="1" s="1"/>
  <c r="DR257" i="1" s="1"/>
  <c r="DR256" i="1" s="1"/>
  <c r="EG272" i="1"/>
  <c r="EK272" i="1"/>
  <c r="GI275" i="1"/>
  <c r="FY236" i="1"/>
  <c r="FY228" i="1" s="1"/>
  <c r="GC236" i="1"/>
  <c r="GC228" i="1" s="1"/>
  <c r="GJ237" i="1"/>
  <c r="GN237" i="1"/>
  <c r="GF237" i="1"/>
  <c r="IJ237" i="1"/>
  <c r="GI238" i="1"/>
  <c r="GM238" i="1"/>
  <c r="EN238" i="1"/>
  <c r="IJ238" i="1"/>
  <c r="BD239" i="1"/>
  <c r="GM239" i="1"/>
  <c r="GG240" i="1"/>
  <c r="GK240" i="1"/>
  <c r="GO240" i="1"/>
  <c r="HP240" i="1"/>
  <c r="GN243" i="1"/>
  <c r="GN242" i="1" s="1"/>
  <c r="GN241" i="1" s="1"/>
  <c r="IJ245" i="1"/>
  <c r="HA242" i="1"/>
  <c r="HA241" i="1" s="1"/>
  <c r="HM242" i="1"/>
  <c r="HM241" i="1" s="1"/>
  <c r="GV242" i="1"/>
  <c r="GV241" i="1" s="1"/>
  <c r="HL242" i="1"/>
  <c r="HL241" i="1" s="1"/>
  <c r="GH249" i="1"/>
  <c r="GF254" i="1"/>
  <c r="HP255" i="1"/>
  <c r="HP258" i="1"/>
  <c r="GI260" i="1"/>
  <c r="GM260" i="1"/>
  <c r="GP261" i="1"/>
  <c r="CV262" i="1"/>
  <c r="GH263" i="1"/>
  <c r="GL263" i="1"/>
  <c r="GP263" i="1"/>
  <c r="GJ265" i="1"/>
  <c r="GN265" i="1"/>
  <c r="GJ267" i="1"/>
  <c r="GN267" i="1"/>
  <c r="EN267" i="1"/>
  <c r="GF268" i="1"/>
  <c r="BD269" i="1"/>
  <c r="GL269" i="1"/>
  <c r="HP269" i="1"/>
  <c r="GJ270" i="1"/>
  <c r="BD271" i="1"/>
  <c r="GL271" i="1"/>
  <c r="GP271" i="1"/>
  <c r="AV272" i="1"/>
  <c r="AV259" i="1" s="1"/>
  <c r="AZ272" i="1"/>
  <c r="AZ259" i="1" s="1"/>
  <c r="GH274" i="1"/>
  <c r="GL274" i="1"/>
  <c r="GP274" i="1"/>
  <c r="FU272" i="1"/>
  <c r="FY272" i="1"/>
  <c r="GH275" i="1"/>
  <c r="GL275" i="1"/>
  <c r="GP275" i="1"/>
  <c r="HP275" i="1"/>
  <c r="HP282" i="1"/>
  <c r="HL281" i="1"/>
  <c r="HL280" i="1" s="1"/>
  <c r="HL279" i="1" s="1"/>
  <c r="CV276" i="1"/>
  <c r="GF276" i="1"/>
  <c r="IJ276" i="1"/>
  <c r="EN277" i="1"/>
  <c r="AW281" i="1"/>
  <c r="BA281" i="1"/>
  <c r="GG276" i="1"/>
  <c r="HP276" i="1"/>
  <c r="GJ277" i="1"/>
  <c r="GN277" i="1"/>
  <c r="CV277" i="1"/>
  <c r="GF277" i="1"/>
  <c r="IJ277" i="1"/>
  <c r="GI278" i="1"/>
  <c r="GM278" i="1"/>
  <c r="CV278" i="1"/>
  <c r="EN278" i="1"/>
  <c r="AX281" i="1"/>
  <c r="AX280" i="1" s="1"/>
  <c r="AX279" i="1" s="1"/>
  <c r="BB281" i="1"/>
  <c r="BB280" i="1" s="1"/>
  <c r="BB279" i="1" s="1"/>
  <c r="IF281" i="1"/>
  <c r="GL276" i="1"/>
  <c r="GP276" i="1"/>
  <c r="GG277" i="1"/>
  <c r="GK277" i="1"/>
  <c r="GO277" i="1"/>
  <c r="HP277" i="1"/>
  <c r="GJ278" i="1"/>
  <c r="GN278" i="1"/>
  <c r="GF278" i="1"/>
  <c r="IJ278" i="1"/>
  <c r="CN281" i="1"/>
  <c r="CN280" i="1" s="1"/>
  <c r="CN279" i="1" s="1"/>
  <c r="CN257" i="1" s="1"/>
  <c r="CN256" i="1" s="1"/>
  <c r="FW281" i="1"/>
  <c r="GJ282" i="1"/>
  <c r="GN282" i="1"/>
  <c r="CV282" i="1"/>
  <c r="GF282" i="1"/>
  <c r="IJ282" i="1"/>
  <c r="GI283" i="1"/>
  <c r="GM283" i="1"/>
  <c r="EN283" i="1"/>
  <c r="GH284" i="1"/>
  <c r="GL284" i="1"/>
  <c r="GP284" i="1"/>
  <c r="GG285" i="1"/>
  <c r="GK285" i="1"/>
  <c r="GO285" i="1"/>
  <c r="HP285" i="1"/>
  <c r="GJ286" i="1"/>
  <c r="GN286" i="1"/>
  <c r="CV286" i="1"/>
  <c r="GF286" i="1"/>
  <c r="IJ286" i="1"/>
  <c r="GI287" i="1"/>
  <c r="GM287" i="1"/>
  <c r="EN287" i="1"/>
  <c r="GH288" i="1"/>
  <c r="GL288" i="1"/>
  <c r="GP288" i="1"/>
  <c r="GG289" i="1"/>
  <c r="GK289" i="1"/>
  <c r="GO289" i="1"/>
  <c r="HP289" i="1"/>
  <c r="GJ290" i="1"/>
  <c r="GN290" i="1"/>
  <c r="CV290" i="1"/>
  <c r="GF290" i="1"/>
  <c r="IJ290" i="1"/>
  <c r="GI291" i="1"/>
  <c r="GM291" i="1"/>
  <c r="EN291" i="1"/>
  <c r="GH292" i="1"/>
  <c r="GL292" i="1"/>
  <c r="GP292" i="1"/>
  <c r="GG293" i="1"/>
  <c r="GK293" i="1"/>
  <c r="GO293" i="1"/>
  <c r="HP293" i="1"/>
  <c r="GI295" i="1"/>
  <c r="GI294" i="1" s="1"/>
  <c r="GM295" i="1"/>
  <c r="GM294" i="1" s="1"/>
  <c r="CV295" i="1"/>
  <c r="CV294" i="1" s="1"/>
  <c r="EN295" i="1"/>
  <c r="EN294" i="1" s="1"/>
  <c r="GG297" i="1"/>
  <c r="GG280" i="1" s="1"/>
  <c r="GG279" i="1" s="1"/>
  <c r="GK297" i="1"/>
  <c r="GK296" i="1" s="1"/>
  <c r="GO297" i="1"/>
  <c r="GO296" i="1" s="1"/>
  <c r="HP297" i="1"/>
  <c r="HP296" i="1" s="1"/>
  <c r="GI299" i="1"/>
  <c r="GI298" i="1" s="1"/>
  <c r="GM299" i="1"/>
  <c r="CV299" i="1"/>
  <c r="EN299" i="1"/>
  <c r="BD300" i="1"/>
  <c r="GL300" i="1"/>
  <c r="GP300" i="1"/>
  <c r="GG301" i="1"/>
  <c r="GK301" i="1"/>
  <c r="GO301" i="1"/>
  <c r="HP301" i="1"/>
  <c r="GI303" i="1"/>
  <c r="GM303" i="1"/>
  <c r="CV303" i="1"/>
  <c r="EN303" i="1"/>
  <c r="BD304" i="1"/>
  <c r="GL304" i="1"/>
  <c r="GP304" i="1"/>
  <c r="GG305" i="1"/>
  <c r="GK305" i="1"/>
  <c r="GO305" i="1"/>
  <c r="HP305" i="1"/>
  <c r="GH282" i="1"/>
  <c r="GL282" i="1"/>
  <c r="GP282" i="1"/>
  <c r="GG283" i="1"/>
  <c r="GK283" i="1"/>
  <c r="GO283" i="1"/>
  <c r="HP283" i="1"/>
  <c r="GJ284" i="1"/>
  <c r="GN284" i="1"/>
  <c r="CV284" i="1"/>
  <c r="GF284" i="1"/>
  <c r="IJ284" i="1"/>
  <c r="GI285" i="1"/>
  <c r="GM285" i="1"/>
  <c r="EN285" i="1"/>
  <c r="GH286" i="1"/>
  <c r="GL286" i="1"/>
  <c r="GP286" i="1"/>
  <c r="GG287" i="1"/>
  <c r="GK287" i="1"/>
  <c r="GO287" i="1"/>
  <c r="HP287" i="1"/>
  <c r="GJ288" i="1"/>
  <c r="GN288" i="1"/>
  <c r="CV288" i="1"/>
  <c r="GF288" i="1"/>
  <c r="IJ288" i="1"/>
  <c r="GI289" i="1"/>
  <c r="GM289" i="1"/>
  <c r="EN289" i="1"/>
  <c r="GH290" i="1"/>
  <c r="GL290" i="1"/>
  <c r="GP290" i="1"/>
  <c r="GG291" i="1"/>
  <c r="GK291" i="1"/>
  <c r="GO291" i="1"/>
  <c r="HP291" i="1"/>
  <c r="GJ292" i="1"/>
  <c r="GN292" i="1"/>
  <c r="CV292" i="1"/>
  <c r="GF292" i="1"/>
  <c r="IJ292" i="1"/>
  <c r="GI293" i="1"/>
  <c r="GM293" i="1"/>
  <c r="CV293" i="1"/>
  <c r="EN293" i="1"/>
  <c r="AV294" i="1"/>
  <c r="AV280" i="1" s="1"/>
  <c r="AV279" i="1" s="1"/>
  <c r="AZ294" i="1"/>
  <c r="AZ280" i="1" s="1"/>
  <c r="AZ279" i="1" s="1"/>
  <c r="FW294" i="1"/>
  <c r="IF294" i="1"/>
  <c r="GG295" i="1"/>
  <c r="GK295" i="1"/>
  <c r="GK294" i="1" s="1"/>
  <c r="GO295" i="1"/>
  <c r="GO294" i="1" s="1"/>
  <c r="HP295" i="1"/>
  <c r="HP294" i="1" s="1"/>
  <c r="GI297" i="1"/>
  <c r="GI296" i="1" s="1"/>
  <c r="GM297" i="1"/>
  <c r="GM296" i="1" s="1"/>
  <c r="CV297" i="1"/>
  <c r="CV296" i="1" s="1"/>
  <c r="EN297" i="1"/>
  <c r="EN296" i="1" s="1"/>
  <c r="FW298" i="1"/>
  <c r="IF298" i="1"/>
  <c r="GO299" i="1"/>
  <c r="HP299" i="1"/>
  <c r="GF300" i="1"/>
  <c r="IJ300" i="1"/>
  <c r="GM301" i="1"/>
  <c r="CV301" i="1"/>
  <c r="EN301" i="1"/>
  <c r="FW302" i="1"/>
  <c r="IF302" i="1"/>
  <c r="GG303" i="1"/>
  <c r="GK303" i="1"/>
  <c r="GO303" i="1"/>
  <c r="HP303" i="1"/>
  <c r="GJ304" i="1"/>
  <c r="GN304" i="1"/>
  <c r="GF304" i="1"/>
  <c r="IJ304" i="1"/>
  <c r="GI305" i="1"/>
  <c r="GM305" i="1"/>
  <c r="CV305" i="1"/>
  <c r="EN305" i="1"/>
  <c r="GI282" i="1"/>
  <c r="GM282" i="1"/>
  <c r="EN282" i="1"/>
  <c r="GH283" i="1"/>
  <c r="GL283" i="1"/>
  <c r="GP283" i="1"/>
  <c r="GG284" i="1"/>
  <c r="GK284" i="1"/>
  <c r="GO284" i="1"/>
  <c r="HP284" i="1"/>
  <c r="GJ285" i="1"/>
  <c r="GN285" i="1"/>
  <c r="CV285" i="1"/>
  <c r="GF285" i="1"/>
  <c r="IJ285" i="1"/>
  <c r="GI286" i="1"/>
  <c r="GM286" i="1"/>
  <c r="EN286" i="1"/>
  <c r="GH287" i="1"/>
  <c r="GL287" i="1"/>
  <c r="GP287" i="1"/>
  <c r="GG288" i="1"/>
  <c r="GK288" i="1"/>
  <c r="GO288" i="1"/>
  <c r="HP288" i="1"/>
  <c r="GJ289" i="1"/>
  <c r="GN289" i="1"/>
  <c r="CV289" i="1"/>
  <c r="GF289" i="1"/>
  <c r="IJ289" i="1"/>
  <c r="GI290" i="1"/>
  <c r="GM290" i="1"/>
  <c r="EN290" i="1"/>
  <c r="GH291" i="1"/>
  <c r="GL291" i="1"/>
  <c r="GP291" i="1"/>
  <c r="GG292" i="1"/>
  <c r="GK292" i="1"/>
  <c r="GO292" i="1"/>
  <c r="HP292" i="1"/>
  <c r="GJ293" i="1"/>
  <c r="GN293" i="1"/>
  <c r="GF293" i="1"/>
  <c r="IJ293" i="1"/>
  <c r="AW294" i="1"/>
  <c r="BA294" i="1"/>
  <c r="EE294" i="1"/>
  <c r="EE280" i="1" s="1"/>
  <c r="EE279" i="1" s="1"/>
  <c r="BD295" i="1"/>
  <c r="BD294" i="1" s="1"/>
  <c r="GL295" i="1"/>
  <c r="GL294" i="1" s="1"/>
  <c r="GP295" i="1"/>
  <c r="GP294" i="1" s="1"/>
  <c r="AU296" i="1"/>
  <c r="AU280" i="1" s="1"/>
  <c r="AU279" i="1" s="1"/>
  <c r="AY296" i="1"/>
  <c r="AY280" i="1" s="1"/>
  <c r="AY279" i="1" s="1"/>
  <c r="BC296" i="1"/>
  <c r="BC280" i="1" s="1"/>
  <c r="BC279" i="1" s="1"/>
  <c r="GJ297" i="1"/>
  <c r="GJ296" i="1" s="1"/>
  <c r="GN297" i="1"/>
  <c r="GN296" i="1" s="1"/>
  <c r="GF297" i="1"/>
  <c r="GF296" i="1" s="1"/>
  <c r="IJ297" i="1"/>
  <c r="IJ296" i="1" s="1"/>
  <c r="AW298" i="1"/>
  <c r="BA298" i="1"/>
  <c r="EE298" i="1"/>
  <c r="GH299" i="1"/>
  <c r="GL299" i="1"/>
  <c r="GL298" i="1" s="1"/>
  <c r="GP299" i="1"/>
  <c r="GG300" i="1"/>
  <c r="GK300" i="1"/>
  <c r="GO300" i="1"/>
  <c r="HP300" i="1"/>
  <c r="GJ301" i="1"/>
  <c r="GN301" i="1"/>
  <c r="GF301" i="1"/>
  <c r="IJ301" i="1"/>
  <c r="AW302" i="1"/>
  <c r="BA302" i="1"/>
  <c r="GH303" i="1"/>
  <c r="GL303" i="1"/>
  <c r="GP303" i="1"/>
  <c r="GG304" i="1"/>
  <c r="GK304" i="1"/>
  <c r="GO304" i="1"/>
  <c r="HP304" i="1"/>
  <c r="GJ305" i="1"/>
  <c r="GN305" i="1"/>
  <c r="GF305" i="1"/>
  <c r="IJ305" i="1"/>
  <c r="GI306" i="1"/>
  <c r="GM306" i="1"/>
  <c r="CV306" i="1"/>
  <c r="EN306" i="1"/>
  <c r="BD311" i="1"/>
  <c r="GL311" i="1"/>
  <c r="GP311" i="1"/>
  <c r="AU312" i="1"/>
  <c r="AY312" i="1"/>
  <c r="BC312" i="1"/>
  <c r="CN312" i="1"/>
  <c r="CN310" i="1" s="1"/>
  <c r="CN309" i="1" s="1"/>
  <c r="GJ313" i="1"/>
  <c r="GN313" i="1"/>
  <c r="GF313" i="1"/>
  <c r="IJ313" i="1"/>
  <c r="GI314" i="1"/>
  <c r="GM314" i="1"/>
  <c r="EN314" i="1"/>
  <c r="GH315" i="1"/>
  <c r="GL315" i="1"/>
  <c r="GP315" i="1"/>
  <c r="AU316" i="1"/>
  <c r="AY316" i="1"/>
  <c r="BC316" i="1"/>
  <c r="GJ317" i="1"/>
  <c r="GN317" i="1"/>
  <c r="EF316" i="1"/>
  <c r="EF310" i="1" s="1"/>
  <c r="EF309" i="1" s="1"/>
  <c r="EJ316" i="1"/>
  <c r="EJ310" i="1" s="1"/>
  <c r="EJ309" i="1" s="1"/>
  <c r="IJ306" i="1"/>
  <c r="CV307" i="1"/>
  <c r="EN307" i="1"/>
  <c r="BD308" i="1"/>
  <c r="GF318" i="1"/>
  <c r="IJ318" i="1"/>
  <c r="GI319" i="1"/>
  <c r="GM319" i="1"/>
  <c r="CV319" i="1"/>
  <c r="CM316" i="1"/>
  <c r="GO306" i="1"/>
  <c r="HP306" i="1"/>
  <c r="GF307" i="1"/>
  <c r="IJ307" i="1"/>
  <c r="CV308" i="1"/>
  <c r="EN308" i="1"/>
  <c r="GF311" i="1"/>
  <c r="IJ311" i="1"/>
  <c r="HP314" i="1"/>
  <c r="GF315" i="1"/>
  <c r="IJ315" i="1"/>
  <c r="BD306" i="1"/>
  <c r="GL306" i="1"/>
  <c r="GP306" i="1"/>
  <c r="GG307" i="1"/>
  <c r="GK307" i="1"/>
  <c r="GO307" i="1"/>
  <c r="HP307" i="1"/>
  <c r="GJ308" i="1"/>
  <c r="GN308" i="1"/>
  <c r="GF308" i="1"/>
  <c r="IJ308" i="1"/>
  <c r="GG311" i="1"/>
  <c r="GK311" i="1"/>
  <c r="GO311" i="1"/>
  <c r="HP311" i="1"/>
  <c r="AX312" i="1"/>
  <c r="BB312" i="1"/>
  <c r="GI313" i="1"/>
  <c r="GM313" i="1"/>
  <c r="CV313" i="1"/>
  <c r="CV312" i="1" s="1"/>
  <c r="EN313" i="1"/>
  <c r="GH314" i="1"/>
  <c r="GL314" i="1"/>
  <c r="GL312" i="1" s="1"/>
  <c r="GP314" i="1"/>
  <c r="GP312" i="1" s="1"/>
  <c r="GG315" i="1"/>
  <c r="GK315" i="1"/>
  <c r="GO315" i="1"/>
  <c r="HP315" i="1"/>
  <c r="AX316" i="1"/>
  <c r="BB316" i="1"/>
  <c r="FW316" i="1"/>
  <c r="EN319" i="1"/>
  <c r="HP321" i="1"/>
  <c r="CV322" i="1"/>
  <c r="GF322" i="1"/>
  <c r="IJ322" i="1"/>
  <c r="GF324" i="1"/>
  <c r="GF323" i="1" s="1"/>
  <c r="IJ324" i="1"/>
  <c r="IJ323" i="1" s="1"/>
  <c r="GH326" i="1"/>
  <c r="GL326" i="1"/>
  <c r="GP326" i="1"/>
  <c r="GK327" i="1"/>
  <c r="GO327" i="1"/>
  <c r="HP327" i="1"/>
  <c r="GN328" i="1"/>
  <c r="GF328" i="1"/>
  <c r="IJ328" i="1"/>
  <c r="HP329" i="1"/>
  <c r="CK310" i="1"/>
  <c r="CK309" i="1" s="1"/>
  <c r="IO330" i="1"/>
  <c r="IT330" i="1"/>
  <c r="CV331" i="1"/>
  <c r="IT332" i="1"/>
  <c r="CV333" i="1"/>
  <c r="GI317" i="1"/>
  <c r="GM317" i="1"/>
  <c r="CV317" i="1"/>
  <c r="EN317" i="1"/>
  <c r="BD318" i="1"/>
  <c r="GL318" i="1"/>
  <c r="GP318" i="1"/>
  <c r="GG319" i="1"/>
  <c r="GK319" i="1"/>
  <c r="GO319" i="1"/>
  <c r="HP319" i="1"/>
  <c r="AX320" i="1"/>
  <c r="BB320" i="1"/>
  <c r="GI321" i="1"/>
  <c r="GM321" i="1"/>
  <c r="CV321" i="1"/>
  <c r="EN321" i="1"/>
  <c r="BD322" i="1"/>
  <c r="GL322" i="1"/>
  <c r="GL320" i="1" s="1"/>
  <c r="GP322" i="1"/>
  <c r="GP320" i="1" s="1"/>
  <c r="AW323" i="1"/>
  <c r="AW310" i="1" s="1"/>
  <c r="AW309" i="1" s="1"/>
  <c r="BB323" i="1"/>
  <c r="HL323" i="1"/>
  <c r="HL310" i="1" s="1"/>
  <c r="HL309" i="1" s="1"/>
  <c r="CM325" i="1"/>
  <c r="GJ326" i="1"/>
  <c r="GJ325" i="1" s="1"/>
  <c r="GF326" i="1"/>
  <c r="GA325" i="1"/>
  <c r="GA310" i="1" s="1"/>
  <c r="GA309" i="1" s="1"/>
  <c r="GE325" i="1"/>
  <c r="GE310" i="1" s="1"/>
  <c r="GE309" i="1" s="1"/>
  <c r="IJ326" i="1"/>
  <c r="GI327" i="1"/>
  <c r="GM327" i="1"/>
  <c r="CV327" i="1"/>
  <c r="EN327" i="1"/>
  <c r="BD328" i="1"/>
  <c r="GL328" i="1"/>
  <c r="GP328" i="1"/>
  <c r="GJ331" i="1"/>
  <c r="GN331" i="1"/>
  <c r="EN331" i="1"/>
  <c r="GJ333" i="1"/>
  <c r="GN333" i="1"/>
  <c r="EN333" i="1"/>
  <c r="GF317" i="1"/>
  <c r="IJ317" i="1"/>
  <c r="GI318" i="1"/>
  <c r="GM318" i="1"/>
  <c r="CV318" i="1"/>
  <c r="EN318" i="1"/>
  <c r="BD319" i="1"/>
  <c r="GL319" i="1"/>
  <c r="GL316" i="1" s="1"/>
  <c r="GP319" i="1"/>
  <c r="AU320" i="1"/>
  <c r="AY320" i="1"/>
  <c r="BC320" i="1"/>
  <c r="GJ321" i="1"/>
  <c r="GJ320" i="1" s="1"/>
  <c r="GN321" i="1"/>
  <c r="GN320" i="1" s="1"/>
  <c r="GF321" i="1"/>
  <c r="IJ321" i="1"/>
  <c r="GI322" i="1"/>
  <c r="GM322" i="1"/>
  <c r="EN322" i="1"/>
  <c r="GI324" i="1"/>
  <c r="GI323" i="1" s="1"/>
  <c r="GM324" i="1"/>
  <c r="GM323" i="1" s="1"/>
  <c r="CV324" i="1"/>
  <c r="CV323" i="1" s="1"/>
  <c r="FZ310" i="1"/>
  <c r="FZ309" i="1" s="1"/>
  <c r="GD310" i="1"/>
  <c r="GD309" i="1" s="1"/>
  <c r="EG310" i="1"/>
  <c r="EG309" i="1" s="1"/>
  <c r="EK310" i="1"/>
  <c r="EK309" i="1" s="1"/>
  <c r="HP326" i="1"/>
  <c r="HP325" i="1" s="1"/>
  <c r="GN327" i="1"/>
  <c r="GF327" i="1"/>
  <c r="IJ327" i="1"/>
  <c r="GM328" i="1"/>
  <c r="CV328" i="1"/>
  <c r="EN328" i="1"/>
  <c r="IJ329" i="1"/>
  <c r="GF331" i="1"/>
  <c r="IJ331" i="1"/>
  <c r="GF333" i="1"/>
  <c r="CV334" i="1"/>
  <c r="M4" i="14"/>
  <c r="M4" i="7"/>
  <c r="L18" i="6"/>
  <c r="M4" i="9"/>
  <c r="M2" i="17"/>
  <c r="M4" i="17" s="1"/>
  <c r="BD15" i="1"/>
  <c r="BD14" i="1" s="1"/>
  <c r="GL15" i="1"/>
  <c r="GL14" i="1" s="1"/>
  <c r="GP15" i="1"/>
  <c r="GP14" i="1" s="1"/>
  <c r="GQ28" i="1"/>
  <c r="GL27" i="1"/>
  <c r="GP27" i="1"/>
  <c r="GK30" i="1"/>
  <c r="GO30" i="1"/>
  <c r="HP30" i="1"/>
  <c r="GQ34" i="1"/>
  <c r="GK35" i="1"/>
  <c r="GO35" i="1"/>
  <c r="HP35" i="1"/>
  <c r="GI15" i="1"/>
  <c r="GI14" i="1" s="1"/>
  <c r="GM15" i="1"/>
  <c r="GM14" i="1" s="1"/>
  <c r="CV15" i="1"/>
  <c r="CV14" i="1" s="1"/>
  <c r="EN15" i="1"/>
  <c r="EN14" i="1" s="1"/>
  <c r="CV27" i="1"/>
  <c r="EN27" i="1"/>
  <c r="GH16" i="1"/>
  <c r="GH18" i="1"/>
  <c r="GQ18" i="1" s="1"/>
  <c r="GH20" i="1"/>
  <c r="GQ20" i="1" s="1"/>
  <c r="BD23" i="1"/>
  <c r="EF30" i="1"/>
  <c r="BD32" i="1"/>
  <c r="BD34" i="1"/>
  <c r="AU35" i="1"/>
  <c r="AU25" i="1" s="1"/>
  <c r="AY35" i="1"/>
  <c r="AY25" i="1" s="1"/>
  <c r="BC35" i="1"/>
  <c r="BC25" i="1" s="1"/>
  <c r="EE35" i="1"/>
  <c r="EE25" i="1" s="1"/>
  <c r="FW35" i="1"/>
  <c r="FW25" i="1" s="1"/>
  <c r="FW24" i="1" s="1"/>
  <c r="AV39" i="1"/>
  <c r="AV25" i="1" s="1"/>
  <c r="AZ39" i="1"/>
  <c r="AZ25" i="1" s="1"/>
  <c r="EF39" i="1"/>
  <c r="GI43" i="1"/>
  <c r="GM43" i="1"/>
  <c r="CV43" i="1"/>
  <c r="EN43" i="1"/>
  <c r="GI51" i="1"/>
  <c r="GM51" i="1"/>
  <c r="CV51" i="1"/>
  <c r="EN51" i="1"/>
  <c r="GQ53" i="1"/>
  <c r="GK54" i="1"/>
  <c r="GO54" i="1"/>
  <c r="HP59" i="1"/>
  <c r="HP54" i="1" s="1"/>
  <c r="GQ64" i="1"/>
  <c r="CV69" i="1"/>
  <c r="CV67" i="1" s="1"/>
  <c r="CV66" i="1" s="1"/>
  <c r="GQ71" i="1"/>
  <c r="GQ75" i="1"/>
  <c r="GQ79" i="1"/>
  <c r="GH26" i="1"/>
  <c r="GQ26" i="1" s="1"/>
  <c r="BD28" i="1"/>
  <c r="BD27" i="1" s="1"/>
  <c r="GH31" i="1"/>
  <c r="GH33" i="1"/>
  <c r="GQ33" i="1" s="1"/>
  <c r="BD37" i="1"/>
  <c r="BD35" i="1" s="1"/>
  <c r="GQ40" i="1"/>
  <c r="GQ39" i="1" s="1"/>
  <c r="GQ42" i="1"/>
  <c r="GN43" i="1"/>
  <c r="GF43" i="1"/>
  <c r="IJ43" i="1"/>
  <c r="GQ46" i="1"/>
  <c r="GQ50" i="1"/>
  <c r="GJ51" i="1"/>
  <c r="GN51" i="1"/>
  <c r="GF51" i="1"/>
  <c r="GF41" i="1" s="1"/>
  <c r="IJ51" i="1"/>
  <c r="GQ60" i="1"/>
  <c r="GQ68" i="1"/>
  <c r="GH17" i="1"/>
  <c r="GQ17" i="1" s="1"/>
  <c r="GH19" i="1"/>
  <c r="GQ19" i="1" s="1"/>
  <c r="GH21" i="1"/>
  <c r="GQ21" i="1" s="1"/>
  <c r="GH29" i="1"/>
  <c r="GQ29" i="1" s="1"/>
  <c r="GH36" i="1"/>
  <c r="GH38" i="1"/>
  <c r="GQ38" i="1" s="1"/>
  <c r="BD40" i="1"/>
  <c r="BD39" i="1" s="1"/>
  <c r="GM41" i="1"/>
  <c r="GQ73" i="1"/>
  <c r="GQ77" i="1"/>
  <c r="GQ44" i="1"/>
  <c r="GQ48" i="1"/>
  <c r="GF54" i="1"/>
  <c r="BD42" i="1"/>
  <c r="GH45" i="1"/>
  <c r="GQ45" i="1" s="1"/>
  <c r="GH47" i="1"/>
  <c r="GQ47" i="1" s="1"/>
  <c r="GH49" i="1"/>
  <c r="GQ49" i="1" s="1"/>
  <c r="BD53" i="1"/>
  <c r="BD51" i="1" s="1"/>
  <c r="GH56" i="1"/>
  <c r="GH57" i="1"/>
  <c r="GQ57" i="1" s="1"/>
  <c r="GH59" i="1"/>
  <c r="GQ59" i="1" s="1"/>
  <c r="GH62" i="1"/>
  <c r="GQ62" i="1" s="1"/>
  <c r="BD64" i="1"/>
  <c r="CM69" i="1"/>
  <c r="CM67" i="1" s="1"/>
  <c r="CM66" i="1" s="1"/>
  <c r="EF69" i="1"/>
  <c r="EF67" i="1" s="1"/>
  <c r="EF66" i="1" s="1"/>
  <c r="BD71" i="1"/>
  <c r="BD73" i="1"/>
  <c r="BD75" i="1"/>
  <c r="BD77" i="1"/>
  <c r="BD79" i="1"/>
  <c r="GI81" i="1"/>
  <c r="GI69" i="1" s="1"/>
  <c r="GI67" i="1" s="1"/>
  <c r="GI66" i="1" s="1"/>
  <c r="GM81" i="1"/>
  <c r="GM69" i="1" s="1"/>
  <c r="GM67" i="1" s="1"/>
  <c r="GM66" i="1" s="1"/>
  <c r="BD81" i="1"/>
  <c r="GQ83" i="1"/>
  <c r="GQ87" i="1"/>
  <c r="GK95" i="1"/>
  <c r="GO95" i="1"/>
  <c r="HP95" i="1"/>
  <c r="GQ99" i="1"/>
  <c r="GJ100" i="1"/>
  <c r="GN100" i="1"/>
  <c r="GF100" i="1"/>
  <c r="IJ100" i="1"/>
  <c r="GI105" i="1"/>
  <c r="GM105" i="1"/>
  <c r="CV105" i="1"/>
  <c r="EN105" i="1"/>
  <c r="GQ111" i="1"/>
  <c r="GL110" i="1"/>
  <c r="GP110" i="1"/>
  <c r="GK115" i="1"/>
  <c r="GO115" i="1"/>
  <c r="HP115" i="1"/>
  <c r="GI120" i="1"/>
  <c r="GM120" i="1"/>
  <c r="CV120" i="1"/>
  <c r="HP130" i="1"/>
  <c r="GJ130" i="1"/>
  <c r="GN130" i="1"/>
  <c r="GF130" i="1"/>
  <c r="GP143" i="1"/>
  <c r="GQ156" i="1"/>
  <c r="GH52" i="1"/>
  <c r="BD60" i="1"/>
  <c r="BD68" i="1"/>
  <c r="GH70" i="1"/>
  <c r="GH72" i="1"/>
  <c r="GQ72" i="1" s="1"/>
  <c r="GH74" i="1"/>
  <c r="GQ74" i="1" s="1"/>
  <c r="GH76" i="1"/>
  <c r="GQ76" i="1" s="1"/>
  <c r="GH78" i="1"/>
  <c r="GQ78" i="1" s="1"/>
  <c r="GH80" i="1"/>
  <c r="GQ80" i="1" s="1"/>
  <c r="GQ123" i="1"/>
  <c r="GQ127" i="1"/>
  <c r="GQ135" i="1"/>
  <c r="GH58" i="1"/>
  <c r="GQ58" i="1" s="1"/>
  <c r="GH61" i="1"/>
  <c r="GQ61" i="1" s="1"/>
  <c r="GG81" i="1"/>
  <c r="GG69" i="1" s="1"/>
  <c r="GK81" i="1"/>
  <c r="GK69" i="1" s="1"/>
  <c r="GK67" i="1" s="1"/>
  <c r="GK66" i="1" s="1"/>
  <c r="GO81" i="1"/>
  <c r="GO69" i="1" s="1"/>
  <c r="GO67" i="1" s="1"/>
  <c r="GO66" i="1" s="1"/>
  <c r="EN81" i="1"/>
  <c r="EN69" i="1" s="1"/>
  <c r="EN67" i="1" s="1"/>
  <c r="EN66" i="1" s="1"/>
  <c r="GQ85" i="1"/>
  <c r="GQ89" i="1"/>
  <c r="GI95" i="1"/>
  <c r="GM95" i="1"/>
  <c r="CV95" i="1"/>
  <c r="EN95" i="1"/>
  <c r="GQ97" i="1"/>
  <c r="BD100" i="1"/>
  <c r="GL100" i="1"/>
  <c r="GP100" i="1"/>
  <c r="GK105" i="1"/>
  <c r="GO105" i="1"/>
  <c r="HP105" i="1"/>
  <c r="GJ110" i="1"/>
  <c r="GN110" i="1"/>
  <c r="GF110" i="1"/>
  <c r="IJ110" i="1"/>
  <c r="GQ113" i="1"/>
  <c r="GI115" i="1"/>
  <c r="GM115" i="1"/>
  <c r="CV115" i="1"/>
  <c r="GG120" i="1"/>
  <c r="GK120" i="1"/>
  <c r="GO120" i="1"/>
  <c r="HP120" i="1"/>
  <c r="GQ158" i="1"/>
  <c r="BD44" i="1"/>
  <c r="BD46" i="1"/>
  <c r="BD48" i="1"/>
  <c r="BD50" i="1"/>
  <c r="GQ121" i="1"/>
  <c r="GQ133" i="1"/>
  <c r="GP139" i="1"/>
  <c r="BD83" i="1"/>
  <c r="BD85" i="1"/>
  <c r="BD87" i="1"/>
  <c r="BD89" i="1"/>
  <c r="BD97" i="1"/>
  <c r="BD99" i="1"/>
  <c r="GH102" i="1"/>
  <c r="GQ102" i="1" s="1"/>
  <c r="GH107" i="1"/>
  <c r="GQ107" i="1" s="1"/>
  <c r="GH109" i="1"/>
  <c r="GQ109" i="1" s="1"/>
  <c r="BD111" i="1"/>
  <c r="BD113" i="1"/>
  <c r="GH116" i="1"/>
  <c r="GH118" i="1"/>
  <c r="GQ118" i="1" s="1"/>
  <c r="BD121" i="1"/>
  <c r="BD120" i="1" s="1"/>
  <c r="BD123" i="1"/>
  <c r="BD125" i="1"/>
  <c r="BD127" i="1"/>
  <c r="BD129" i="1"/>
  <c r="BD133" i="1"/>
  <c r="BD135" i="1"/>
  <c r="GH140" i="1"/>
  <c r="GH142" i="1"/>
  <c r="GQ142" i="1" s="1"/>
  <c r="GH144" i="1"/>
  <c r="GH146" i="1"/>
  <c r="GQ146" i="1" s="1"/>
  <c r="GH148" i="1"/>
  <c r="GQ148" i="1" s="1"/>
  <c r="GH150" i="1"/>
  <c r="GQ150" i="1" s="1"/>
  <c r="GH152" i="1"/>
  <c r="GQ152" i="1" s="1"/>
  <c r="GH154" i="1"/>
  <c r="GQ154" i="1" s="1"/>
  <c r="BD156" i="1"/>
  <c r="BD158" i="1"/>
  <c r="GL161" i="1"/>
  <c r="GP161" i="1"/>
  <c r="GK163" i="1"/>
  <c r="GK162" i="1" s="1"/>
  <c r="GK160" i="1" s="1"/>
  <c r="GK159" i="1" s="1"/>
  <c r="AX162" i="1"/>
  <c r="AX160" i="1" s="1"/>
  <c r="AX159" i="1" s="1"/>
  <c r="GO163" i="1"/>
  <c r="GO162" i="1" s="1"/>
  <c r="GO160" i="1" s="1"/>
  <c r="GO159" i="1" s="1"/>
  <c r="BB162" i="1"/>
  <c r="BB160" i="1" s="1"/>
  <c r="BB159" i="1" s="1"/>
  <c r="IJ162" i="1"/>
  <c r="GJ166" i="1"/>
  <c r="GN166" i="1"/>
  <c r="EN166" i="1"/>
  <c r="IJ166" i="1"/>
  <c r="GQ169" i="1"/>
  <c r="GQ173" i="1"/>
  <c r="GL172" i="1"/>
  <c r="GL171" i="1" s="1"/>
  <c r="GP172" i="1"/>
  <c r="GP171" i="1" s="1"/>
  <c r="GK177" i="1"/>
  <c r="GK176" i="1" s="1"/>
  <c r="GO177" i="1"/>
  <c r="GO176" i="1" s="1"/>
  <c r="HP177" i="1"/>
  <c r="HP176" i="1" s="1"/>
  <c r="GQ181" i="1"/>
  <c r="GQ185" i="1"/>
  <c r="GH82" i="1"/>
  <c r="GQ82" i="1" s="1"/>
  <c r="GH84" i="1"/>
  <c r="GQ84" i="1" s="1"/>
  <c r="GH86" i="1"/>
  <c r="GQ86" i="1" s="1"/>
  <c r="GH88" i="1"/>
  <c r="GQ88" i="1" s="1"/>
  <c r="GH90" i="1"/>
  <c r="GQ90" i="1" s="1"/>
  <c r="GH93" i="1"/>
  <c r="GQ93" i="1" s="1"/>
  <c r="GH96" i="1"/>
  <c r="GH98" i="1"/>
  <c r="GQ98" i="1" s="1"/>
  <c r="GH112" i="1"/>
  <c r="GQ112" i="1" s="1"/>
  <c r="GH114" i="1"/>
  <c r="GQ114" i="1" s="1"/>
  <c r="GH122" i="1"/>
  <c r="GQ122" i="1" s="1"/>
  <c r="GH124" i="1"/>
  <c r="GQ124" i="1" s="1"/>
  <c r="GH126" i="1"/>
  <c r="GQ126" i="1" s="1"/>
  <c r="GH128" i="1"/>
  <c r="GQ128" i="1" s="1"/>
  <c r="GH132" i="1"/>
  <c r="GH134" i="1"/>
  <c r="GQ134" i="1" s="1"/>
  <c r="GH157" i="1"/>
  <c r="GQ157" i="1" s="1"/>
  <c r="GQ178" i="1"/>
  <c r="GH177" i="1"/>
  <c r="GH176" i="1" s="1"/>
  <c r="GH101" i="1"/>
  <c r="GH103" i="1"/>
  <c r="GQ103" i="1" s="1"/>
  <c r="GH106" i="1"/>
  <c r="GH108" i="1"/>
  <c r="GQ108" i="1" s="1"/>
  <c r="GH117" i="1"/>
  <c r="GQ117" i="1" s="1"/>
  <c r="GH119" i="1"/>
  <c r="GQ119" i="1" s="1"/>
  <c r="GH141" i="1"/>
  <c r="GQ141" i="1" s="1"/>
  <c r="GH145" i="1"/>
  <c r="GQ145" i="1" s="1"/>
  <c r="GH147" i="1"/>
  <c r="GQ147" i="1" s="1"/>
  <c r="GH149" i="1"/>
  <c r="GQ149" i="1" s="1"/>
  <c r="GH151" i="1"/>
  <c r="GQ151" i="1" s="1"/>
  <c r="GH153" i="1"/>
  <c r="GQ153" i="1" s="1"/>
  <c r="GI163" i="1"/>
  <c r="GI162" i="1" s="1"/>
  <c r="GM163" i="1"/>
  <c r="GM162" i="1" s="1"/>
  <c r="GQ167" i="1"/>
  <c r="GL166" i="1"/>
  <c r="GP166" i="1"/>
  <c r="GJ172" i="1"/>
  <c r="GJ171" i="1" s="1"/>
  <c r="GN172" i="1"/>
  <c r="GN171" i="1" s="1"/>
  <c r="CV172" i="1"/>
  <c r="CV171" i="1" s="1"/>
  <c r="GF172" i="1"/>
  <c r="GF171" i="1" s="1"/>
  <c r="IJ172" i="1"/>
  <c r="IJ171" i="1" s="1"/>
  <c r="GQ175" i="1"/>
  <c r="GI177" i="1"/>
  <c r="GI176" i="1" s="1"/>
  <c r="GM177" i="1"/>
  <c r="GM176" i="1" s="1"/>
  <c r="EN177" i="1"/>
  <c r="EN176" i="1" s="1"/>
  <c r="GQ179" i="1"/>
  <c r="GQ183" i="1"/>
  <c r="EE162" i="1"/>
  <c r="EE160" i="1" s="1"/>
  <c r="EE159" i="1" s="1"/>
  <c r="EN163" i="1"/>
  <c r="EN162" i="1" s="1"/>
  <c r="GQ180" i="1"/>
  <c r="GQ184" i="1"/>
  <c r="GH163" i="1"/>
  <c r="GH165" i="1"/>
  <c r="GQ165" i="1" s="1"/>
  <c r="BD167" i="1"/>
  <c r="BD169" i="1"/>
  <c r="GI190" i="1"/>
  <c r="GM190" i="1"/>
  <c r="CV190" i="1"/>
  <c r="CV191" i="1"/>
  <c r="GF191" i="1"/>
  <c r="IJ191" i="1"/>
  <c r="GQ194" i="1"/>
  <c r="GQ198" i="1"/>
  <c r="GK202" i="1"/>
  <c r="GO202" i="1"/>
  <c r="EK205" i="1"/>
  <c r="GM211" i="1"/>
  <c r="GH161" i="1"/>
  <c r="GH168" i="1"/>
  <c r="GQ168" i="1" s="1"/>
  <c r="BD173" i="1"/>
  <c r="BD175" i="1"/>
  <c r="BD178" i="1"/>
  <c r="BD180" i="1"/>
  <c r="BD182" i="1"/>
  <c r="BD184" i="1"/>
  <c r="BD186" i="1"/>
  <c r="GK191" i="1"/>
  <c r="GO191" i="1"/>
  <c r="HP191" i="1"/>
  <c r="GQ195" i="1"/>
  <c r="GQ199" i="1"/>
  <c r="GH164" i="1"/>
  <c r="GQ164" i="1" s="1"/>
  <c r="GH174" i="1"/>
  <c r="GQ174" i="1" s="1"/>
  <c r="GI187" i="1"/>
  <c r="GQ187" i="1" s="1"/>
  <c r="GH191" i="1"/>
  <c r="GL191" i="1"/>
  <c r="GP191" i="1"/>
  <c r="GQ196" i="1"/>
  <c r="GQ200" i="1"/>
  <c r="BD179" i="1"/>
  <c r="BD181" i="1"/>
  <c r="BD183" i="1"/>
  <c r="BD185" i="1"/>
  <c r="GH190" i="1"/>
  <c r="BD192" i="1"/>
  <c r="GI192" i="1"/>
  <c r="GI191" i="1" s="1"/>
  <c r="GM192" i="1"/>
  <c r="GM191" i="1" s="1"/>
  <c r="BD194" i="1"/>
  <c r="BD196" i="1"/>
  <c r="BD198" i="1"/>
  <c r="BD200" i="1"/>
  <c r="EN203" i="1"/>
  <c r="EN202" i="1" s="1"/>
  <c r="GH203" i="1"/>
  <c r="GL203" i="1"/>
  <c r="GL202" i="1" s="1"/>
  <c r="GP203" i="1"/>
  <c r="GP202" i="1" s="1"/>
  <c r="HP204" i="1"/>
  <c r="HP202" i="1" s="1"/>
  <c r="IJ204" i="1"/>
  <c r="IJ202" i="1" s="1"/>
  <c r="IH205" i="1"/>
  <c r="GH208" i="1"/>
  <c r="GP208" i="1"/>
  <c r="BD209" i="1"/>
  <c r="GI209" i="1"/>
  <c r="HK205" i="1"/>
  <c r="HO205" i="1"/>
  <c r="IE205" i="1"/>
  <c r="II205" i="1"/>
  <c r="GF212" i="1"/>
  <c r="FW211" i="1"/>
  <c r="BD214" i="1"/>
  <c r="CP217" i="1"/>
  <c r="CP215" i="1" s="1"/>
  <c r="GH222" i="1"/>
  <c r="GP222" i="1"/>
  <c r="GF224" i="1"/>
  <c r="FW223" i="1"/>
  <c r="FW217" i="1" s="1"/>
  <c r="FW215" i="1" s="1"/>
  <c r="FW228" i="1"/>
  <c r="EE191" i="1"/>
  <c r="EE189" i="1" s="1"/>
  <c r="FW191" i="1"/>
  <c r="FW189" i="1" s="1"/>
  <c r="GJ192" i="1"/>
  <c r="GJ191" i="1" s="1"/>
  <c r="GN192" i="1"/>
  <c r="GN191" i="1" s="1"/>
  <c r="BD203" i="1"/>
  <c r="BD202" i="1" s="1"/>
  <c r="GI203" i="1"/>
  <c r="GI202" i="1" s="1"/>
  <c r="GM203" i="1"/>
  <c r="GM202" i="1" s="1"/>
  <c r="CV204" i="1"/>
  <c r="CV202" i="1" s="1"/>
  <c r="GI206" i="1"/>
  <c r="GM206" i="1"/>
  <c r="AZ207" i="1"/>
  <c r="AX207" i="1"/>
  <c r="AX205" i="1" s="1"/>
  <c r="BB207" i="1"/>
  <c r="CK207" i="1"/>
  <c r="CK205" i="1" s="1"/>
  <c r="DG207" i="1"/>
  <c r="DG205" i="1" s="1"/>
  <c r="EN208" i="1"/>
  <c r="FZ207" i="1"/>
  <c r="FZ205" i="1" s="1"/>
  <c r="GD207" i="1"/>
  <c r="GD205" i="1" s="1"/>
  <c r="GK208" i="1"/>
  <c r="HP208" i="1"/>
  <c r="CM207" i="1"/>
  <c r="CM205" i="1" s="1"/>
  <c r="CV209" i="1"/>
  <c r="CV207" i="1" s="1"/>
  <c r="EN209" i="1"/>
  <c r="HP209" i="1"/>
  <c r="IJ209" i="1"/>
  <c r="BD210" i="1"/>
  <c r="GF210" i="1"/>
  <c r="AH211" i="1"/>
  <c r="AH205" i="1" s="1"/>
  <c r="AV211" i="1"/>
  <c r="AV205" i="1" s="1"/>
  <c r="AZ211" i="1"/>
  <c r="BD212" i="1"/>
  <c r="GH212" i="1"/>
  <c r="GP212" i="1"/>
  <c r="BD213" i="1"/>
  <c r="GL213" i="1"/>
  <c r="GP213" i="1"/>
  <c r="CV214" i="1"/>
  <c r="IJ214" i="1"/>
  <c r="GH216" i="1"/>
  <c r="GL216" i="1"/>
  <c r="GP216" i="1"/>
  <c r="EE218" i="1"/>
  <c r="GH219" i="1"/>
  <c r="GL219" i="1"/>
  <c r="GP219" i="1"/>
  <c r="GP218" i="1" s="1"/>
  <c r="DR218" i="1"/>
  <c r="EG218" i="1"/>
  <c r="EK218" i="1"/>
  <c r="EK217" i="1" s="1"/>
  <c r="EK215" i="1" s="1"/>
  <c r="FJ218" i="1"/>
  <c r="FJ217" i="1" s="1"/>
  <c r="FJ215" i="1" s="1"/>
  <c r="FX218" i="1"/>
  <c r="FX217" i="1" s="1"/>
  <c r="FX215" i="1" s="1"/>
  <c r="GB218" i="1"/>
  <c r="GB217" i="1" s="1"/>
  <c r="GB215" i="1" s="1"/>
  <c r="GF219" i="1"/>
  <c r="GN219" i="1"/>
  <c r="GJ220" i="1"/>
  <c r="GQ220" i="1" s="1"/>
  <c r="GN220" i="1"/>
  <c r="BZ218" i="1"/>
  <c r="BZ217" i="1" s="1"/>
  <c r="BZ215" i="1" s="1"/>
  <c r="CN218" i="1"/>
  <c r="CN217" i="1" s="1"/>
  <c r="CN215" i="1" s="1"/>
  <c r="CR218" i="1"/>
  <c r="CR217" i="1" s="1"/>
  <c r="CR215" i="1" s="1"/>
  <c r="CV220" i="1"/>
  <c r="FY218" i="1"/>
  <c r="FY217" i="1" s="1"/>
  <c r="FY215" i="1" s="1"/>
  <c r="GC218" i="1"/>
  <c r="GC217" i="1" s="1"/>
  <c r="GC215" i="1" s="1"/>
  <c r="IJ220" i="1"/>
  <c r="IO218" i="1"/>
  <c r="BD221" i="1"/>
  <c r="HP222" i="1"/>
  <c r="GL224" i="1"/>
  <c r="AY223" i="1"/>
  <c r="AY217" i="1" s="1"/>
  <c r="AY215" i="1" s="1"/>
  <c r="GP224" i="1"/>
  <c r="BC223" i="1"/>
  <c r="BC217" i="1" s="1"/>
  <c r="BC215" i="1" s="1"/>
  <c r="DR223" i="1"/>
  <c r="EG223" i="1"/>
  <c r="GH224" i="1"/>
  <c r="CV227" i="1"/>
  <c r="GJ230" i="1"/>
  <c r="GN230" i="1"/>
  <c r="GG232" i="1"/>
  <c r="GK232" i="1"/>
  <c r="GO232" i="1"/>
  <c r="GL234" i="1"/>
  <c r="GP234" i="1"/>
  <c r="AW236" i="1"/>
  <c r="P228" i="1"/>
  <c r="P188" i="1" s="1"/>
  <c r="P63" i="1" s="1"/>
  <c r="P13" i="1" s="1"/>
  <c r="P12" i="1" s="1"/>
  <c r="P11" i="1" s="1"/>
  <c r="P10" i="1" s="1"/>
  <c r="P335" i="1" s="1"/>
  <c r="BA236" i="1"/>
  <c r="T228" i="1"/>
  <c r="T188" i="1" s="1"/>
  <c r="CK236" i="1"/>
  <c r="CK228" i="1" s="1"/>
  <c r="EE236" i="1"/>
  <c r="DG236" i="1"/>
  <c r="CX228" i="1"/>
  <c r="CX188" i="1" s="1"/>
  <c r="CX63" i="1" s="1"/>
  <c r="CX13" i="1" s="1"/>
  <c r="CX12" i="1" s="1"/>
  <c r="CX11" i="1" s="1"/>
  <c r="CX10" i="1" s="1"/>
  <c r="CX335" i="1" s="1"/>
  <c r="EI236" i="1"/>
  <c r="EI228" i="1" s="1"/>
  <c r="DB228" i="1"/>
  <c r="DB188" i="1" s="1"/>
  <c r="DB63" i="1" s="1"/>
  <c r="DB13" i="1" s="1"/>
  <c r="DB12" i="1" s="1"/>
  <c r="DB11" i="1" s="1"/>
  <c r="DB10" i="1" s="1"/>
  <c r="DB335" i="1" s="1"/>
  <c r="EM236" i="1"/>
  <c r="EM228" i="1" s="1"/>
  <c r="DF228" i="1"/>
  <c r="DF188" i="1" s="1"/>
  <c r="DF63" i="1" s="1"/>
  <c r="DF13" i="1" s="1"/>
  <c r="DF12" i="1" s="1"/>
  <c r="DF11" i="1" s="1"/>
  <c r="DF10" i="1" s="1"/>
  <c r="DF335" i="1" s="1"/>
  <c r="HO228" i="1"/>
  <c r="HP247" i="1"/>
  <c r="GH248" i="1"/>
  <c r="GF248" i="1"/>
  <c r="FW242" i="1"/>
  <c r="FW241" i="1" s="1"/>
  <c r="GL248" i="1"/>
  <c r="GA242" i="1"/>
  <c r="GA241" i="1" s="1"/>
  <c r="GP248" i="1"/>
  <c r="GP242" i="1" s="1"/>
  <c r="GP241" i="1" s="1"/>
  <c r="GE242" i="1"/>
  <c r="GE241" i="1" s="1"/>
  <c r="BD193" i="1"/>
  <c r="BD195" i="1"/>
  <c r="BD197" i="1"/>
  <c r="BD199" i="1"/>
  <c r="BD201" i="1"/>
  <c r="GF203" i="1"/>
  <c r="GF202" i="1" s="1"/>
  <c r="GH204" i="1"/>
  <c r="GQ204" i="1" s="1"/>
  <c r="AU207" i="1"/>
  <c r="AU205" i="1" s="1"/>
  <c r="BD208" i="1"/>
  <c r="BD207" i="1" s="1"/>
  <c r="GF208" i="1"/>
  <c r="GF207" i="1" s="1"/>
  <c r="GL208" i="1"/>
  <c r="GG209" i="1"/>
  <c r="GK209" i="1"/>
  <c r="GO209" i="1"/>
  <c r="GI210" i="1"/>
  <c r="GM210" i="1"/>
  <c r="BB211" i="1"/>
  <c r="GJ212" i="1"/>
  <c r="GJ211" i="1" s="1"/>
  <c r="GN212" i="1"/>
  <c r="GN211" i="1" s="1"/>
  <c r="CV212" i="1"/>
  <c r="IJ212" i="1"/>
  <c r="GG214" i="1"/>
  <c r="GK214" i="1"/>
  <c r="GO214" i="1"/>
  <c r="HP214" i="1"/>
  <c r="BD216" i="1"/>
  <c r="FU217" i="1"/>
  <c r="FU215" i="1" s="1"/>
  <c r="BD219" i="1"/>
  <c r="GI219" i="1"/>
  <c r="EN220" i="1"/>
  <c r="HP220" i="1"/>
  <c r="HP221" i="1"/>
  <c r="IJ221" i="1"/>
  <c r="GL222" i="1"/>
  <c r="AV223" i="1"/>
  <c r="AV217" i="1" s="1"/>
  <c r="AV215" i="1" s="1"/>
  <c r="GI224" i="1"/>
  <c r="BD224" i="1"/>
  <c r="GM224" i="1"/>
  <c r="GF230" i="1"/>
  <c r="CN236" i="1"/>
  <c r="BG228" i="1"/>
  <c r="BG188" i="1" s="1"/>
  <c r="CR236" i="1"/>
  <c r="BK228" i="1"/>
  <c r="BK188" i="1" s="1"/>
  <c r="BO236" i="1"/>
  <c r="BO228" i="1" s="1"/>
  <c r="IE236" i="1"/>
  <c r="IE228" i="1" s="1"/>
  <c r="BD240" i="1"/>
  <c r="DR205" i="1"/>
  <c r="GT205" i="1"/>
  <c r="GT188" i="1" s="1"/>
  <c r="GT63" i="1" s="1"/>
  <c r="GT13" i="1" s="1"/>
  <c r="GI208" i="1"/>
  <c r="GM208" i="1"/>
  <c r="GO208" i="1"/>
  <c r="GH209" i="1"/>
  <c r="GL209" i="1"/>
  <c r="GP209" i="1"/>
  <c r="GJ210" i="1"/>
  <c r="GJ207" i="1" s="1"/>
  <c r="GN210" i="1"/>
  <c r="GN207" i="1" s="1"/>
  <c r="GH210" i="1"/>
  <c r="IJ210" i="1"/>
  <c r="GG212" i="1"/>
  <c r="GK212" i="1"/>
  <c r="GO212" i="1"/>
  <c r="EF211" i="1"/>
  <c r="EF205" i="1" s="1"/>
  <c r="EJ211" i="1"/>
  <c r="EJ205" i="1" s="1"/>
  <c r="EN212" i="1"/>
  <c r="GL212" i="1"/>
  <c r="GL211" i="1" s="1"/>
  <c r="HP212" i="1"/>
  <c r="CV213" i="1"/>
  <c r="EN213" i="1"/>
  <c r="EE211" i="1"/>
  <c r="EE205" i="1" s="1"/>
  <c r="HP213" i="1"/>
  <c r="IJ213" i="1"/>
  <c r="GF214" i="1"/>
  <c r="CV216" i="1"/>
  <c r="EN216" i="1"/>
  <c r="CM218" i="1"/>
  <c r="CM217" i="1" s="1"/>
  <c r="CM215" i="1" s="1"/>
  <c r="HW217" i="1"/>
  <c r="HW215" i="1" s="1"/>
  <c r="HW188" i="1" s="1"/>
  <c r="HW63" i="1" s="1"/>
  <c r="HW13" i="1" s="1"/>
  <c r="HW12" i="1" s="1"/>
  <c r="HW11" i="1" s="1"/>
  <c r="HW10" i="1" s="1"/>
  <c r="HW335" i="1" s="1"/>
  <c r="IQ217" i="1"/>
  <c r="IQ215" i="1" s="1"/>
  <c r="IQ188" i="1" s="1"/>
  <c r="IQ63" i="1" s="1"/>
  <c r="IQ13" i="1" s="1"/>
  <c r="IQ12" i="1" s="1"/>
  <c r="IQ11" i="1" s="1"/>
  <c r="IQ10" i="1" s="1"/>
  <c r="IQ335" i="1" s="1"/>
  <c r="AW218" i="1"/>
  <c r="AW217" i="1" s="1"/>
  <c r="AW215" i="1" s="1"/>
  <c r="BA218" i="1"/>
  <c r="BA217" i="1" s="1"/>
  <c r="BA215" i="1" s="1"/>
  <c r="CV219" i="1"/>
  <c r="CV218" i="1" s="1"/>
  <c r="GJ219" i="1"/>
  <c r="GJ218" i="1" s="1"/>
  <c r="BD220" i="1"/>
  <c r="HA218" i="1"/>
  <c r="HA217" i="1" s="1"/>
  <c r="HA215" i="1" s="1"/>
  <c r="HM218" i="1"/>
  <c r="HM217" i="1" s="1"/>
  <c r="HM215" i="1" s="1"/>
  <c r="HZ218" i="1"/>
  <c r="HZ217" i="1" s="1"/>
  <c r="HZ215" i="1" s="1"/>
  <c r="IH218" i="1"/>
  <c r="IH217" i="1" s="1"/>
  <c r="IH215" i="1" s="1"/>
  <c r="GG221" i="1"/>
  <c r="GK221" i="1"/>
  <c r="GO221" i="1"/>
  <c r="GO218" i="1" s="1"/>
  <c r="EN221" i="1"/>
  <c r="GI222" i="1"/>
  <c r="GM222" i="1"/>
  <c r="GM218" i="1" s="1"/>
  <c r="GF222" i="1"/>
  <c r="BB223" i="1"/>
  <c r="BB217" i="1" s="1"/>
  <c r="BB215" i="1" s="1"/>
  <c r="IJ224" i="1"/>
  <c r="IJ227" i="1"/>
  <c r="HP230" i="1"/>
  <c r="IJ230" i="1"/>
  <c r="BD231" i="1"/>
  <c r="GP231" i="1"/>
  <c r="GL231" i="1"/>
  <c r="GG235" i="1"/>
  <c r="GK235" i="1"/>
  <c r="GO235" i="1"/>
  <c r="GF235" i="1"/>
  <c r="HN236" i="1"/>
  <c r="HN228" i="1" s="1"/>
  <c r="GY228" i="1"/>
  <c r="GY188" i="1" s="1"/>
  <c r="GY63" i="1" s="1"/>
  <c r="GY13" i="1" s="1"/>
  <c r="GY12" i="1" s="1"/>
  <c r="GY11" i="1" s="1"/>
  <c r="GY10" i="1" s="1"/>
  <c r="GY335" i="1" s="1"/>
  <c r="HP237" i="1"/>
  <c r="GJ238" i="1"/>
  <c r="GN238" i="1"/>
  <c r="IF242" i="1"/>
  <c r="IF241" i="1" s="1"/>
  <c r="GJ246" i="1"/>
  <c r="GJ242" i="1" s="1"/>
  <c r="GJ241" i="1" s="1"/>
  <c r="FY242" i="1"/>
  <c r="FY241" i="1" s="1"/>
  <c r="GH206" i="1"/>
  <c r="GH213" i="1"/>
  <c r="GQ213" i="1" s="1"/>
  <c r="EF223" i="1"/>
  <c r="EF217" i="1" s="1"/>
  <c r="EF215" i="1" s="1"/>
  <c r="GJ224" i="1"/>
  <c r="GN224" i="1"/>
  <c r="CV224" i="1"/>
  <c r="HP224" i="1"/>
  <c r="GJ225" i="1"/>
  <c r="GN225" i="1"/>
  <c r="EN225" i="1"/>
  <c r="EE223" i="1"/>
  <c r="EI223" i="1"/>
  <c r="EI217" i="1" s="1"/>
  <c r="EI215" i="1" s="1"/>
  <c r="EM223" i="1"/>
  <c r="EM217" i="1" s="1"/>
  <c r="EM215" i="1" s="1"/>
  <c r="IJ225" i="1"/>
  <c r="IO223" i="1"/>
  <c r="BD227" i="1"/>
  <c r="GL227" i="1"/>
  <c r="GP227" i="1"/>
  <c r="GI229" i="1"/>
  <c r="GM229" i="1"/>
  <c r="CV229" i="1"/>
  <c r="BD230" i="1"/>
  <c r="GL230" i="1"/>
  <c r="GP230" i="1"/>
  <c r="EH228" i="1"/>
  <c r="EH188" i="1" s="1"/>
  <c r="EL228" i="1"/>
  <c r="GJ231" i="1"/>
  <c r="GN231" i="1"/>
  <c r="DG228" i="1"/>
  <c r="EF228" i="1"/>
  <c r="EJ228" i="1"/>
  <c r="EN231" i="1"/>
  <c r="IJ231" i="1"/>
  <c r="GI232" i="1"/>
  <c r="GM232" i="1"/>
  <c r="EN232" i="1"/>
  <c r="GG233" i="1"/>
  <c r="GK233" i="1"/>
  <c r="GO233" i="1"/>
  <c r="GF233" i="1"/>
  <c r="HP233" i="1"/>
  <c r="GH235" i="1"/>
  <c r="L236" i="1"/>
  <c r="L228" i="1" s="1"/>
  <c r="W236" i="1"/>
  <c r="W228" i="1" s="1"/>
  <c r="AY236" i="1"/>
  <c r="BC236" i="1"/>
  <c r="GP236" i="1" s="1"/>
  <c r="AX228" i="1"/>
  <c r="EG236" i="1"/>
  <c r="EG228" i="1" s="1"/>
  <c r="EK236" i="1"/>
  <c r="EK228" i="1" s="1"/>
  <c r="FJ236" i="1"/>
  <c r="FJ228" i="1" s="1"/>
  <c r="GA228" i="1"/>
  <c r="II228" i="1"/>
  <c r="GH237" i="1"/>
  <c r="GL237" i="1"/>
  <c r="GP237" i="1"/>
  <c r="GI237" i="1"/>
  <c r="GF238" i="1"/>
  <c r="HP238" i="1"/>
  <c r="GJ239" i="1"/>
  <c r="GN239" i="1"/>
  <c r="CV239" i="1"/>
  <c r="EN239" i="1"/>
  <c r="IJ239" i="1"/>
  <c r="GI240" i="1"/>
  <c r="GM240" i="1"/>
  <c r="GL242" i="1"/>
  <c r="GL241" i="1" s="1"/>
  <c r="FW207" i="1"/>
  <c r="FW205" i="1" s="1"/>
  <c r="GG224" i="1"/>
  <c r="GK224" i="1"/>
  <c r="GK223" i="1" s="1"/>
  <c r="GO224" i="1"/>
  <c r="GO223" i="1" s="1"/>
  <c r="GF225" i="1"/>
  <c r="HP225" i="1"/>
  <c r="HU223" i="1"/>
  <c r="HU217" i="1" s="1"/>
  <c r="HU215" i="1" s="1"/>
  <c r="IG223" i="1"/>
  <c r="IG217" i="1" s="1"/>
  <c r="IG215" i="1" s="1"/>
  <c r="GJ226" i="1"/>
  <c r="GN226" i="1"/>
  <c r="EN226" i="1"/>
  <c r="GI227" i="1"/>
  <c r="GM227" i="1"/>
  <c r="GJ229" i="1"/>
  <c r="GN229" i="1"/>
  <c r="IJ229" i="1"/>
  <c r="GI230" i="1"/>
  <c r="GM230" i="1"/>
  <c r="CM228" i="1"/>
  <c r="CV230" i="1"/>
  <c r="CQ228" i="1"/>
  <c r="CU228" i="1"/>
  <c r="CU188" i="1" s="1"/>
  <c r="HP231" i="1"/>
  <c r="GH233" i="1"/>
  <c r="GG234" i="1"/>
  <c r="GK234" i="1"/>
  <c r="GO234" i="1"/>
  <c r="GI235" i="1"/>
  <c r="GM235" i="1"/>
  <c r="CV235" i="1"/>
  <c r="Y228" i="1"/>
  <c r="Y188" i="1" s="1"/>
  <c r="Y63" i="1" s="1"/>
  <c r="Y13" i="1" s="1"/>
  <c r="Y12" i="1" s="1"/>
  <c r="Y11" i="1" s="1"/>
  <c r="Y10" i="1" s="1"/>
  <c r="Y335" i="1" s="1"/>
  <c r="AH236" i="1"/>
  <c r="AH228" i="1" s="1"/>
  <c r="BB228" i="1"/>
  <c r="CP236" i="1"/>
  <c r="CP228" i="1" s="1"/>
  <c r="CT236" i="1"/>
  <c r="CT228" i="1" s="1"/>
  <c r="BZ236" i="1"/>
  <c r="BZ228" i="1" s="1"/>
  <c r="FZ236" i="1"/>
  <c r="FZ228" i="1" s="1"/>
  <c r="ES228" i="1"/>
  <c r="ES188" i="1" s="1"/>
  <c r="GD236" i="1"/>
  <c r="GD228" i="1" s="1"/>
  <c r="EW228" i="1"/>
  <c r="EW188" i="1" s="1"/>
  <c r="GE228" i="1"/>
  <c r="HA236" i="1"/>
  <c r="HA228" i="1" s="1"/>
  <c r="HF236" i="1"/>
  <c r="HF228" i="1" s="1"/>
  <c r="HK236" i="1"/>
  <c r="HK228" i="1" s="1"/>
  <c r="IH236" i="1"/>
  <c r="IH228" i="1" s="1"/>
  <c r="HS228" i="1"/>
  <c r="HS188" i="1" s="1"/>
  <c r="IO236" i="1"/>
  <c r="IO228" i="1" s="1"/>
  <c r="IT236" i="1"/>
  <c r="IT228" i="1" s="1"/>
  <c r="IT188" i="1" s="1"/>
  <c r="GL238" i="1"/>
  <c r="GP238" i="1"/>
  <c r="GG239" i="1"/>
  <c r="GK239" i="1"/>
  <c r="GO239" i="1"/>
  <c r="IJ240" i="1"/>
  <c r="GC242" i="1"/>
  <c r="GC241" i="1" s="1"/>
  <c r="IT259" i="1"/>
  <c r="IT257" i="1" s="1"/>
  <c r="IT256" i="1" s="1"/>
  <c r="BD265" i="1"/>
  <c r="AU264" i="1"/>
  <c r="AU259" i="1" s="1"/>
  <c r="AU257" i="1" s="1"/>
  <c r="AU256" i="1" s="1"/>
  <c r="GH265" i="1"/>
  <c r="AY264" i="1"/>
  <c r="AY259" i="1" s="1"/>
  <c r="AY257" i="1" s="1"/>
  <c r="AY256" i="1" s="1"/>
  <c r="GL265" i="1"/>
  <c r="BC264" i="1"/>
  <c r="BC259" i="1" s="1"/>
  <c r="BC257" i="1" s="1"/>
  <c r="BC256" i="1" s="1"/>
  <c r="GP265" i="1"/>
  <c r="GH225" i="1"/>
  <c r="GH227" i="1"/>
  <c r="AU236" i="1"/>
  <c r="AU228" i="1" s="1"/>
  <c r="FX236" i="1"/>
  <c r="FX228" i="1" s="1"/>
  <c r="HL236" i="1"/>
  <c r="HP236" i="1" s="1"/>
  <c r="IF236" i="1"/>
  <c r="IJ236" i="1" s="1"/>
  <c r="GH238" i="1"/>
  <c r="GH240" i="1"/>
  <c r="GI242" i="1"/>
  <c r="GI241" i="1" s="1"/>
  <c r="GM242" i="1"/>
  <c r="GM241" i="1" s="1"/>
  <c r="EN243" i="1"/>
  <c r="EN242" i="1" s="1"/>
  <c r="EN241" i="1" s="1"/>
  <c r="IJ244" i="1"/>
  <c r="IJ246" i="1"/>
  <c r="GF247" i="1"/>
  <c r="GF253" i="1"/>
  <c r="HP253" i="1"/>
  <c r="GQ254" i="1"/>
  <c r="GQ255" i="1"/>
  <c r="GF266" i="1"/>
  <c r="GH230" i="1"/>
  <c r="GH232" i="1"/>
  <c r="GH234" i="1"/>
  <c r="IJ243" i="1"/>
  <c r="GH244" i="1"/>
  <c r="GQ244" i="1" s="1"/>
  <c r="GF244" i="1"/>
  <c r="HF242" i="1"/>
  <c r="HF241" i="1" s="1"/>
  <c r="HN242" i="1"/>
  <c r="HN241" i="1" s="1"/>
  <c r="GF246" i="1"/>
  <c r="HU242" i="1"/>
  <c r="HU241" i="1" s="1"/>
  <c r="IG242" i="1"/>
  <c r="IG241" i="1" s="1"/>
  <c r="HP249" i="1"/>
  <c r="GQ251" i="1"/>
  <c r="GH252" i="1"/>
  <c r="GQ252" i="1" s="1"/>
  <c r="GF252" i="1"/>
  <c r="GQ253" i="1"/>
  <c r="GK260" i="1"/>
  <c r="GO260" i="1"/>
  <c r="N259" i="1"/>
  <c r="N257" i="1" s="1"/>
  <c r="N256" i="1" s="1"/>
  <c r="R259" i="1"/>
  <c r="R257" i="1" s="1"/>
  <c r="R256" i="1" s="1"/>
  <c r="V259" i="1"/>
  <c r="V257" i="1" s="1"/>
  <c r="V256" i="1" s="1"/>
  <c r="HN264" i="1"/>
  <c r="HN259" i="1" s="1"/>
  <c r="HN257" i="1" s="1"/>
  <c r="HN256" i="1" s="1"/>
  <c r="ED264" i="1"/>
  <c r="GG243" i="1"/>
  <c r="GK243" i="1"/>
  <c r="GO243" i="1"/>
  <c r="GK245" i="1"/>
  <c r="FZ242" i="1"/>
  <c r="FZ241" i="1" s="1"/>
  <c r="GO245" i="1"/>
  <c r="GD242" i="1"/>
  <c r="GD241" i="1" s="1"/>
  <c r="IJ248" i="1"/>
  <c r="GQ249" i="1"/>
  <c r="IJ250" i="1"/>
  <c r="GF251" i="1"/>
  <c r="HP252" i="1"/>
  <c r="IJ254" i="1"/>
  <c r="GF255" i="1"/>
  <c r="GH246" i="1"/>
  <c r="GQ246" i="1" s="1"/>
  <c r="GH250" i="1"/>
  <c r="GQ250" i="1" s="1"/>
  <c r="EY259" i="1"/>
  <c r="EY257" i="1" s="1"/>
  <c r="EY256" i="1" s="1"/>
  <c r="FW259" i="1"/>
  <c r="GF261" i="1"/>
  <c r="HP261" i="1"/>
  <c r="GJ262" i="1"/>
  <c r="GN262" i="1"/>
  <c r="GG269" i="1"/>
  <c r="GK269" i="1"/>
  <c r="GO269" i="1"/>
  <c r="GF269" i="1"/>
  <c r="GH271" i="1"/>
  <c r="GH243" i="1"/>
  <c r="FU259" i="1"/>
  <c r="FU257" i="1" s="1"/>
  <c r="FU256" i="1" s="1"/>
  <c r="FY259" i="1"/>
  <c r="FY257" i="1" s="1"/>
  <c r="FY256" i="1" s="1"/>
  <c r="GC259" i="1"/>
  <c r="GC257" i="1" s="1"/>
  <c r="GC256" i="1" s="1"/>
  <c r="GH261" i="1"/>
  <c r="GQ261" i="1" s="1"/>
  <c r="GL261" i="1"/>
  <c r="EG259" i="1"/>
  <c r="EG257" i="1" s="1"/>
  <c r="EG256" i="1" s="1"/>
  <c r="EK259" i="1"/>
  <c r="EK257" i="1" s="1"/>
  <c r="EK256" i="1" s="1"/>
  <c r="GF262" i="1"/>
  <c r="GJ263" i="1"/>
  <c r="GN263" i="1"/>
  <c r="EN263" i="1"/>
  <c r="GJ264" i="1"/>
  <c r="GN264" i="1"/>
  <c r="DG264" i="1"/>
  <c r="DG259" i="1" s="1"/>
  <c r="DG257" i="1" s="1"/>
  <c r="DG256" i="1" s="1"/>
  <c r="EF264" i="1"/>
  <c r="EJ264" i="1"/>
  <c r="EJ259" i="1" s="1"/>
  <c r="EJ257" i="1" s="1"/>
  <c r="EJ256" i="1" s="1"/>
  <c r="EN265" i="1"/>
  <c r="IJ265" i="1"/>
  <c r="GI266" i="1"/>
  <c r="GM266" i="1"/>
  <c r="BO264" i="1"/>
  <c r="BO259" i="1" s="1"/>
  <c r="BO257" i="1" s="1"/>
  <c r="BO256" i="1" s="1"/>
  <c r="CV266" i="1"/>
  <c r="CM264" i="1"/>
  <c r="CM259" i="1" s="1"/>
  <c r="CM257" i="1" s="1"/>
  <c r="CM256" i="1" s="1"/>
  <c r="CQ264" i="1"/>
  <c r="CQ259" i="1" s="1"/>
  <c r="CQ257" i="1" s="1"/>
  <c r="CQ256" i="1" s="1"/>
  <c r="CU264" i="1"/>
  <c r="CU259" i="1" s="1"/>
  <c r="CU257" i="1" s="1"/>
  <c r="CU256" i="1" s="1"/>
  <c r="EN266" i="1"/>
  <c r="GG267" i="1"/>
  <c r="GK267" i="1"/>
  <c r="GO267" i="1"/>
  <c r="GF267" i="1"/>
  <c r="HP267" i="1"/>
  <c r="EN268" i="1"/>
  <c r="GH269" i="1"/>
  <c r="CV271" i="1"/>
  <c r="GG272" i="1"/>
  <c r="GK276" i="1"/>
  <c r="GK272" i="1" s="1"/>
  <c r="AX272" i="1"/>
  <c r="AX259" i="1" s="1"/>
  <c r="AX257" i="1" s="1"/>
  <c r="AX256" i="1" s="1"/>
  <c r="GO276" i="1"/>
  <c r="GO272" i="1" s="1"/>
  <c r="BB272" i="1"/>
  <c r="BB259" i="1" s="1"/>
  <c r="BB257" i="1" s="1"/>
  <c r="BB256" i="1" s="1"/>
  <c r="BD258" i="1"/>
  <c r="GL258" i="1"/>
  <c r="GP258" i="1"/>
  <c r="GJ260" i="1"/>
  <c r="GN260" i="1"/>
  <c r="EE259" i="1"/>
  <c r="EE257" i="1" s="1"/>
  <c r="EE256" i="1" s="1"/>
  <c r="EN260" i="1"/>
  <c r="EI259" i="1"/>
  <c r="EI257" i="1" s="1"/>
  <c r="EI256" i="1" s="1"/>
  <c r="EM259" i="1"/>
  <c r="EM257" i="1" s="1"/>
  <c r="EM256" i="1" s="1"/>
  <c r="IJ260" i="1"/>
  <c r="CP259" i="1"/>
  <c r="CP257" i="1" s="1"/>
  <c r="CP256" i="1" s="1"/>
  <c r="CT259" i="1"/>
  <c r="CT257" i="1" s="1"/>
  <c r="CT256" i="1" s="1"/>
  <c r="IE259" i="1"/>
  <c r="IE257" i="1" s="1"/>
  <c r="IE256" i="1" s="1"/>
  <c r="II259" i="1"/>
  <c r="II257" i="1" s="1"/>
  <c r="II256" i="1" s="1"/>
  <c r="GH262" i="1"/>
  <c r="GL262" i="1"/>
  <c r="GP262" i="1"/>
  <c r="GG263" i="1"/>
  <c r="GK263" i="1"/>
  <c r="GO263" i="1"/>
  <c r="CV263" i="1"/>
  <c r="HP263" i="1"/>
  <c r="AL259" i="1"/>
  <c r="AL257" i="1" s="1"/>
  <c r="AL256" i="1" s="1"/>
  <c r="AP259" i="1"/>
  <c r="AP257" i="1" s="1"/>
  <c r="AP256" i="1" s="1"/>
  <c r="AP63" i="1" s="1"/>
  <c r="AP13" i="1" s="1"/>
  <c r="AP12" i="1" s="1"/>
  <c r="AP11" i="1" s="1"/>
  <c r="AP10" i="1" s="1"/>
  <c r="AP335" i="1" s="1"/>
  <c r="GG265" i="1"/>
  <c r="GK265" i="1"/>
  <c r="GO265" i="1"/>
  <c r="CK264" i="1"/>
  <c r="CK259" i="1" s="1"/>
  <c r="CK257" i="1" s="1"/>
  <c r="CK256" i="1" s="1"/>
  <c r="CO264" i="1"/>
  <c r="CO259" i="1" s="1"/>
  <c r="CO257" i="1" s="1"/>
  <c r="CO256" i="1" s="1"/>
  <c r="CS264" i="1"/>
  <c r="CS259" i="1" s="1"/>
  <c r="CS257" i="1" s="1"/>
  <c r="CS256" i="1" s="1"/>
  <c r="GF265" i="1"/>
  <c r="HP265" i="1"/>
  <c r="AS264" i="1"/>
  <c r="AS259" i="1" s="1"/>
  <c r="AS257" i="1" s="1"/>
  <c r="AS256" i="1" s="1"/>
  <c r="AW264" i="1"/>
  <c r="AW259" i="1" s="1"/>
  <c r="BA264" i="1"/>
  <c r="BA259" i="1" s="1"/>
  <c r="GV264" i="1"/>
  <c r="GV259" i="1" s="1"/>
  <c r="GV257" i="1" s="1"/>
  <c r="GV256" i="1" s="1"/>
  <c r="HL264" i="1"/>
  <c r="HL259" i="1" s="1"/>
  <c r="HL257" i="1" s="1"/>
  <c r="HL256" i="1" s="1"/>
  <c r="HP266" i="1"/>
  <c r="IF264" i="1"/>
  <c r="IF259" i="1" s="1"/>
  <c r="IJ266" i="1"/>
  <c r="GH267" i="1"/>
  <c r="GG268" i="1"/>
  <c r="GK268" i="1"/>
  <c r="GO268" i="1"/>
  <c r="GI269" i="1"/>
  <c r="GM269" i="1"/>
  <c r="CV269" i="1"/>
  <c r="BD270" i="1"/>
  <c r="GL270" i="1"/>
  <c r="GP270" i="1"/>
  <c r="GJ271" i="1"/>
  <c r="GN271" i="1"/>
  <c r="IJ271" i="1"/>
  <c r="EF272" i="1"/>
  <c r="EN273" i="1"/>
  <c r="HP273" i="1"/>
  <c r="GJ274" i="1"/>
  <c r="GN274" i="1"/>
  <c r="GQ278" i="1"/>
  <c r="GQ282" i="1"/>
  <c r="GH281" i="1"/>
  <c r="GL281" i="1"/>
  <c r="GL280" i="1" s="1"/>
  <c r="GL279" i="1" s="1"/>
  <c r="GP281" i="1"/>
  <c r="GP280" i="1" s="1"/>
  <c r="GP279" i="1" s="1"/>
  <c r="GQ286" i="1"/>
  <c r="GQ290" i="1"/>
  <c r="GH258" i="1"/>
  <c r="BD260" i="1"/>
  <c r="BD262" i="1"/>
  <c r="GH266" i="1"/>
  <c r="GH268" i="1"/>
  <c r="GH270" i="1"/>
  <c r="GH273" i="1"/>
  <c r="GL273" i="1"/>
  <c r="GL272" i="1" s="1"/>
  <c r="GP273" i="1"/>
  <c r="GP272" i="1" s="1"/>
  <c r="GI273" i="1"/>
  <c r="L272" i="1"/>
  <c r="L259" i="1" s="1"/>
  <c r="L257" i="1" s="1"/>
  <c r="L256" i="1" s="1"/>
  <c r="GJ275" i="1"/>
  <c r="GN275" i="1"/>
  <c r="IJ275" i="1"/>
  <c r="GI276" i="1"/>
  <c r="GM276" i="1"/>
  <c r="GI281" i="1"/>
  <c r="GI280" i="1" s="1"/>
  <c r="GI279" i="1" s="1"/>
  <c r="GM281" i="1"/>
  <c r="GM280" i="1" s="1"/>
  <c r="GM279" i="1" s="1"/>
  <c r="EN281" i="1"/>
  <c r="EN280" i="1" s="1"/>
  <c r="EN279" i="1" s="1"/>
  <c r="GQ283" i="1"/>
  <c r="GQ287" i="1"/>
  <c r="GQ291" i="1"/>
  <c r="BD273" i="1"/>
  <c r="GM273" i="1"/>
  <c r="GM272" i="1" s="1"/>
  <c r="EN275" i="1"/>
  <c r="GJ281" i="1"/>
  <c r="GJ280" i="1" s="1"/>
  <c r="GJ279" i="1" s="1"/>
  <c r="GN281" i="1"/>
  <c r="GN280" i="1" s="1"/>
  <c r="GN279" i="1" s="1"/>
  <c r="CV281" i="1"/>
  <c r="CV280" i="1" s="1"/>
  <c r="CV279" i="1" s="1"/>
  <c r="GF281" i="1"/>
  <c r="GF280" i="1" s="1"/>
  <c r="GF279" i="1" s="1"/>
  <c r="IJ281" i="1"/>
  <c r="IJ280" i="1" s="1"/>
  <c r="IJ279" i="1" s="1"/>
  <c r="GQ284" i="1"/>
  <c r="GQ288" i="1"/>
  <c r="GQ292" i="1"/>
  <c r="CV273" i="1"/>
  <c r="CV272" i="1" s="1"/>
  <c r="BD274" i="1"/>
  <c r="BD276" i="1"/>
  <c r="BD278" i="1"/>
  <c r="GQ293" i="1"/>
  <c r="GJ298" i="1"/>
  <c r="GN298" i="1"/>
  <c r="GF298" i="1"/>
  <c r="IJ298" i="1"/>
  <c r="IJ302" i="1"/>
  <c r="GQ305" i="1"/>
  <c r="GF274" i="1"/>
  <c r="GF272" i="1" s="1"/>
  <c r="HP274" i="1"/>
  <c r="IJ274" i="1"/>
  <c r="GH277" i="1"/>
  <c r="GQ277" i="1" s="1"/>
  <c r="BD282" i="1"/>
  <c r="BD284" i="1"/>
  <c r="BD286" i="1"/>
  <c r="BD288" i="1"/>
  <c r="BD290" i="1"/>
  <c r="BD292" i="1"/>
  <c r="GQ299" i="1"/>
  <c r="GQ303" i="1"/>
  <c r="GQ307" i="1"/>
  <c r="BD283" i="1"/>
  <c r="BD285" i="1"/>
  <c r="BD287" i="1"/>
  <c r="BD289" i="1"/>
  <c r="BD291" i="1"/>
  <c r="BD293" i="1"/>
  <c r="GH301" i="1"/>
  <c r="GQ301" i="1" s="1"/>
  <c r="BD303" i="1"/>
  <c r="BD305" i="1"/>
  <c r="BD307" i="1"/>
  <c r="GQ313" i="1"/>
  <c r="GH312" i="1"/>
  <c r="GQ321" i="1"/>
  <c r="GH297" i="1"/>
  <c r="BD299" i="1"/>
  <c r="BD298" i="1" s="1"/>
  <c r="GH304" i="1"/>
  <c r="GQ304" i="1" s="1"/>
  <c r="GH306" i="1"/>
  <c r="GQ306" i="1" s="1"/>
  <c r="GH308" i="1"/>
  <c r="GQ308" i="1" s="1"/>
  <c r="GQ314" i="1"/>
  <c r="GH295" i="1"/>
  <c r="GH300" i="1"/>
  <c r="GQ300" i="1" s="1"/>
  <c r="GJ312" i="1"/>
  <c r="GN312" i="1"/>
  <c r="GF312" i="1"/>
  <c r="IJ312" i="1"/>
  <c r="GQ315" i="1"/>
  <c r="GJ316" i="1"/>
  <c r="GN316" i="1"/>
  <c r="GF316" i="1"/>
  <c r="IJ316" i="1"/>
  <c r="GK312" i="1"/>
  <c r="GO312" i="1"/>
  <c r="HP312" i="1"/>
  <c r="GK316" i="1"/>
  <c r="GO316" i="1"/>
  <c r="HP316" i="1"/>
  <c r="GK320" i="1"/>
  <c r="GO320" i="1"/>
  <c r="HP320" i="1"/>
  <c r="BD314" i="1"/>
  <c r="GH317" i="1"/>
  <c r="GH319" i="1"/>
  <c r="GQ319" i="1" s="1"/>
  <c r="BD321" i="1"/>
  <c r="BD320" i="1" s="1"/>
  <c r="EN324" i="1"/>
  <c r="EN323" i="1" s="1"/>
  <c r="GH324" i="1"/>
  <c r="GL324" i="1"/>
  <c r="GL323" i="1" s="1"/>
  <c r="GP324" i="1"/>
  <c r="GP323" i="1" s="1"/>
  <c r="BD326" i="1"/>
  <c r="GI326" i="1"/>
  <c r="GI325" i="1" s="1"/>
  <c r="GN326" i="1"/>
  <c r="GN325" i="1" s="1"/>
  <c r="GH322" i="1"/>
  <c r="GQ322" i="1" s="1"/>
  <c r="BD324" i="1"/>
  <c r="BD323" i="1" s="1"/>
  <c r="FW325" i="1"/>
  <c r="FW310" i="1" s="1"/>
  <c r="FW309" i="1" s="1"/>
  <c r="GQ334" i="1"/>
  <c r="GH311" i="1"/>
  <c r="GQ311" i="1" s="1"/>
  <c r="BD313" i="1"/>
  <c r="BD315" i="1"/>
  <c r="GH318" i="1"/>
  <c r="GQ318" i="1" s="1"/>
  <c r="AZ325" i="1"/>
  <c r="AZ310" i="1" s="1"/>
  <c r="AZ309" i="1" s="1"/>
  <c r="GK326" i="1"/>
  <c r="GK325" i="1" s="1"/>
  <c r="GO326" i="1"/>
  <c r="GO325" i="1" s="1"/>
  <c r="GQ329" i="1"/>
  <c r="IJ332" i="1"/>
  <c r="GQ331" i="1"/>
  <c r="GQ333" i="1"/>
  <c r="BD327" i="1"/>
  <c r="GF329" i="1"/>
  <c r="GH328" i="1"/>
  <c r="GQ328" i="1" s="1"/>
  <c r="BD334" i="1"/>
  <c r="BD331" i="1"/>
  <c r="BD333" i="1"/>
  <c r="CV223" i="1" l="1"/>
  <c r="GM312" i="1"/>
  <c r="CS41" i="1"/>
  <c r="CS24" i="1" s="1"/>
  <c r="GK25" i="1"/>
  <c r="CR25" i="1"/>
  <c r="J63" i="1"/>
  <c r="J13" i="1" s="1"/>
  <c r="J12" i="1" s="1"/>
  <c r="J11" i="1" s="1"/>
  <c r="J10" i="1" s="1"/>
  <c r="J335" i="1" s="1"/>
  <c r="HU104" i="1"/>
  <c r="HU92" i="1" s="1"/>
  <c r="EM310" i="1"/>
  <c r="EM309" i="1" s="1"/>
  <c r="ES63" i="1"/>
  <c r="ES13" i="1" s="1"/>
  <c r="ES12" i="1" s="1"/>
  <c r="ES11" i="1" s="1"/>
  <c r="ES10" i="1" s="1"/>
  <c r="ES335" i="1" s="1"/>
  <c r="BD30" i="1"/>
  <c r="GP298" i="1"/>
  <c r="EM205" i="1"/>
  <c r="GQ193" i="1"/>
  <c r="EM137" i="1"/>
  <c r="EM136" i="1" s="1"/>
  <c r="GL236" i="1"/>
  <c r="EM188" i="1"/>
  <c r="GQ161" i="1"/>
  <c r="IL63" i="1"/>
  <c r="IL13" i="1" s="1"/>
  <c r="IL12" i="1" s="1"/>
  <c r="IL11" i="1" s="1"/>
  <c r="IL10" i="1" s="1"/>
  <c r="IL335" i="1" s="1"/>
  <c r="HP162" i="1"/>
  <c r="HN92" i="1"/>
  <c r="HN91" i="1" s="1"/>
  <c r="GC24" i="1"/>
  <c r="CO24" i="1"/>
  <c r="EY25" i="1"/>
  <c r="DN63" i="1"/>
  <c r="DN13" i="1" s="1"/>
  <c r="DN12" i="1" s="1"/>
  <c r="DN11" i="1" s="1"/>
  <c r="DN10" i="1" s="1"/>
  <c r="DN335" i="1" s="1"/>
  <c r="AV310" i="1"/>
  <c r="AV309" i="1" s="1"/>
  <c r="EW63" i="1"/>
  <c r="EW13" i="1" s="1"/>
  <c r="EW12" i="1" s="1"/>
  <c r="EW11" i="1" s="1"/>
  <c r="EW10" i="1" s="1"/>
  <c r="EW335" i="1" s="1"/>
  <c r="GO211" i="1"/>
  <c r="IJ189" i="1"/>
  <c r="GF320" i="1"/>
  <c r="FO63" i="1"/>
  <c r="FO13" i="1" s="1"/>
  <c r="FO12" i="1" s="1"/>
  <c r="FO11" i="1" s="1"/>
  <c r="FO10" i="1" s="1"/>
  <c r="FO335" i="1" s="1"/>
  <c r="DK63" i="1"/>
  <c r="DK13" i="1" s="1"/>
  <c r="DK12" i="1" s="1"/>
  <c r="DK11" i="1" s="1"/>
  <c r="DK10" i="1" s="1"/>
  <c r="DK335" i="1" s="1"/>
  <c r="AH310" i="1"/>
  <c r="AH309" i="1" s="1"/>
  <c r="FQ63" i="1"/>
  <c r="FQ13" i="1" s="1"/>
  <c r="FQ12" i="1" s="1"/>
  <c r="FQ11" i="1" s="1"/>
  <c r="FQ10" i="1" s="1"/>
  <c r="FQ335" i="1" s="1"/>
  <c r="EM24" i="1"/>
  <c r="AS217" i="1"/>
  <c r="AS215" i="1" s="1"/>
  <c r="BH13" i="1"/>
  <c r="BH12" i="1" s="1"/>
  <c r="BH11" i="1" s="1"/>
  <c r="BH10" i="1" s="1"/>
  <c r="BH335" i="1" s="1"/>
  <c r="CH13" i="1"/>
  <c r="CH12" i="1" s="1"/>
  <c r="CH11" i="1" s="1"/>
  <c r="CH10" i="1" s="1"/>
  <c r="CH335" i="1" s="1"/>
  <c r="GB91" i="1"/>
  <c r="GB65" i="1" s="1"/>
  <c r="CK104" i="1"/>
  <c r="CK92" i="1" s="1"/>
  <c r="CK91" i="1" s="1"/>
  <c r="DA63" i="1"/>
  <c r="DA13" i="1" s="1"/>
  <c r="DA12" i="1" s="1"/>
  <c r="DA11" i="1" s="1"/>
  <c r="DA10" i="1" s="1"/>
  <c r="DA335" i="1" s="1"/>
  <c r="CO170" i="1"/>
  <c r="GQ266" i="1"/>
  <c r="GQ274" i="1"/>
  <c r="GI312" i="1"/>
  <c r="DX63" i="1"/>
  <c r="DX13" i="1" s="1"/>
  <c r="DX12" i="1" s="1"/>
  <c r="DX11" i="1" s="1"/>
  <c r="DX10" i="1" s="1"/>
  <c r="DX335" i="1" s="1"/>
  <c r="HM205" i="1"/>
  <c r="DG217" i="1"/>
  <c r="DG215" i="1" s="1"/>
  <c r="FJ170" i="1"/>
  <c r="AB63" i="1"/>
  <c r="AB13" i="1" s="1"/>
  <c r="AB12" i="1" s="1"/>
  <c r="AB11" i="1" s="1"/>
  <c r="AB10" i="1" s="1"/>
  <c r="AB335" i="1" s="1"/>
  <c r="CO65" i="1"/>
  <c r="EI24" i="1"/>
  <c r="ID63" i="1"/>
  <c r="ID13" i="1" s="1"/>
  <c r="ID12" i="1" s="1"/>
  <c r="ID11" i="1" s="1"/>
  <c r="ID10" i="1" s="1"/>
  <c r="ID335" i="1" s="1"/>
  <c r="FJ91" i="1"/>
  <c r="GV104" i="1"/>
  <c r="GV92" i="1" s="1"/>
  <c r="GV91" i="1" s="1"/>
  <c r="GV65" i="1" s="1"/>
  <c r="CD63" i="1"/>
  <c r="CD13" i="1" s="1"/>
  <c r="CD12" i="1" s="1"/>
  <c r="CD11" i="1" s="1"/>
  <c r="CD10" i="1" s="1"/>
  <c r="CD335" i="1" s="1"/>
  <c r="GQ240" i="1"/>
  <c r="GQ226" i="1"/>
  <c r="HM188" i="1"/>
  <c r="HP189" i="1"/>
  <c r="EI170" i="1"/>
  <c r="EI65" i="1" s="1"/>
  <c r="O63" i="1"/>
  <c r="O13" i="1" s="1"/>
  <c r="O12" i="1" s="1"/>
  <c r="O11" i="1" s="1"/>
  <c r="O10" i="1" s="1"/>
  <c r="O335" i="1" s="1"/>
  <c r="HT63" i="1"/>
  <c r="HT13" i="1" s="1"/>
  <c r="HT12" i="1" s="1"/>
  <c r="HT11" i="1" s="1"/>
  <c r="HT10" i="1" s="1"/>
  <c r="HT335" i="1" s="1"/>
  <c r="BI63" i="1"/>
  <c r="BI13" i="1" s="1"/>
  <c r="BI12" i="1" s="1"/>
  <c r="BI11" i="1" s="1"/>
  <c r="BI10" i="1" s="1"/>
  <c r="BI335" i="1" s="1"/>
  <c r="BV63" i="1"/>
  <c r="BV13" i="1" s="1"/>
  <c r="BV12" i="1" s="1"/>
  <c r="BV11" i="1" s="1"/>
  <c r="BV10" i="1" s="1"/>
  <c r="BV335" i="1" s="1"/>
  <c r="AL63" i="1"/>
  <c r="AL13" i="1" s="1"/>
  <c r="AL12" i="1" s="1"/>
  <c r="AL11" i="1" s="1"/>
  <c r="AL10" i="1" s="1"/>
  <c r="AL335" i="1" s="1"/>
  <c r="T63" i="1"/>
  <c r="T13" i="1" s="1"/>
  <c r="T12" i="1" s="1"/>
  <c r="T11" i="1" s="1"/>
  <c r="T10" i="1" s="1"/>
  <c r="T335" i="1" s="1"/>
  <c r="HP25" i="1"/>
  <c r="EQ63" i="1"/>
  <c r="EQ13" i="1" s="1"/>
  <c r="EQ12" i="1" s="1"/>
  <c r="EQ11" i="1" s="1"/>
  <c r="EQ10" i="1" s="1"/>
  <c r="EQ335" i="1" s="1"/>
  <c r="HR63" i="1"/>
  <c r="HR13" i="1" s="1"/>
  <c r="HR12" i="1" s="1"/>
  <c r="HR11" i="1" s="1"/>
  <c r="HR10" i="1" s="1"/>
  <c r="HR335" i="1" s="1"/>
  <c r="AW92" i="1"/>
  <c r="AW91" i="1" s="1"/>
  <c r="EK65" i="1"/>
  <c r="CS65" i="1"/>
  <c r="EE41" i="1"/>
  <c r="EX63" i="1"/>
  <c r="CQ65" i="1"/>
  <c r="L65" i="1"/>
  <c r="GD65" i="1"/>
  <c r="HH63" i="1"/>
  <c r="HH13" i="1" s="1"/>
  <c r="HH12" i="1" s="1"/>
  <c r="HH11" i="1" s="1"/>
  <c r="HH10" i="1" s="1"/>
  <c r="HH335" i="1" s="1"/>
  <c r="HK65" i="1"/>
  <c r="IH24" i="1"/>
  <c r="HM24" i="1"/>
  <c r="EK24" i="1"/>
  <c r="BO24" i="1"/>
  <c r="GE217" i="1"/>
  <c r="GE215" i="1" s="1"/>
  <c r="GE188" i="1" s="1"/>
  <c r="BO170" i="1"/>
  <c r="FP63" i="1"/>
  <c r="FP13" i="1" s="1"/>
  <c r="FP12" i="1" s="1"/>
  <c r="FP11" i="1" s="1"/>
  <c r="FP10" i="1" s="1"/>
  <c r="FP335" i="1" s="1"/>
  <c r="IN63" i="1"/>
  <c r="IN13" i="1" s="1"/>
  <c r="IN12" i="1" s="1"/>
  <c r="IN11" i="1" s="1"/>
  <c r="IN10" i="1" s="1"/>
  <c r="IN335" i="1" s="1"/>
  <c r="AK63" i="1"/>
  <c r="S63" i="1"/>
  <c r="S13" i="1" s="1"/>
  <c r="S12" i="1" s="1"/>
  <c r="S11" i="1" s="1"/>
  <c r="S10" i="1" s="1"/>
  <c r="S335" i="1" s="1"/>
  <c r="ET63" i="1"/>
  <c r="ET13" i="1" s="1"/>
  <c r="ET12" i="1" s="1"/>
  <c r="ET11" i="1" s="1"/>
  <c r="ET10" i="1" s="1"/>
  <c r="ET335" i="1" s="1"/>
  <c r="CT104" i="1"/>
  <c r="CT92" i="1" s="1"/>
  <c r="CT91" i="1" s="1"/>
  <c r="CT65" i="1" s="1"/>
  <c r="EM104" i="1"/>
  <c r="EM92" i="1" s="1"/>
  <c r="EM91" i="1" s="1"/>
  <c r="BO104" i="1"/>
  <c r="BO92" i="1" s="1"/>
  <c r="BO91" i="1" s="1"/>
  <c r="BO65" i="1" s="1"/>
  <c r="U63" i="1"/>
  <c r="U13" i="1" s="1"/>
  <c r="U12" i="1" s="1"/>
  <c r="U11" i="1" s="1"/>
  <c r="U10" i="1" s="1"/>
  <c r="U335" i="1" s="1"/>
  <c r="GQ268" i="1"/>
  <c r="GQ258" i="1"/>
  <c r="GQ238" i="1"/>
  <c r="HS63" i="1"/>
  <c r="HS13" i="1" s="1"/>
  <c r="HS12" i="1" s="1"/>
  <c r="HS11" i="1" s="1"/>
  <c r="HS10" i="1" s="1"/>
  <c r="HS335" i="1" s="1"/>
  <c r="GQ206" i="1"/>
  <c r="CV41" i="1"/>
  <c r="GO25" i="1"/>
  <c r="EN325" i="1"/>
  <c r="EB63" i="1"/>
  <c r="EB13" i="1" s="1"/>
  <c r="EB12" i="1" s="1"/>
  <c r="EB11" i="1" s="1"/>
  <c r="EB10" i="1" s="1"/>
  <c r="EB335" i="1" s="1"/>
  <c r="HP172" i="1"/>
  <c r="HP171" i="1" s="1"/>
  <c r="HP170" i="1" s="1"/>
  <c r="EG65" i="1"/>
  <c r="FJ65" i="1"/>
  <c r="FD63" i="1"/>
  <c r="FD13" i="1" s="1"/>
  <c r="FD12" i="1" s="1"/>
  <c r="FD11" i="1" s="1"/>
  <c r="FD10" i="1" s="1"/>
  <c r="FD335" i="1" s="1"/>
  <c r="CU65" i="1"/>
  <c r="FZ65" i="1"/>
  <c r="HO65" i="1"/>
  <c r="HZ24" i="1"/>
  <c r="HA24" i="1"/>
  <c r="FY24" i="1"/>
  <c r="DW13" i="1"/>
  <c r="DW12" i="1" s="1"/>
  <c r="DW11" i="1" s="1"/>
  <c r="DW10" i="1" s="1"/>
  <c r="DW335" i="1" s="1"/>
  <c r="EG24" i="1"/>
  <c r="AK13" i="1"/>
  <c r="AK12" i="1" s="1"/>
  <c r="AK11" i="1" s="1"/>
  <c r="AK10" i="1" s="1"/>
  <c r="AK335" i="1" s="1"/>
  <c r="FY310" i="1"/>
  <c r="FY309" i="1" s="1"/>
  <c r="GA217" i="1"/>
  <c r="GA215" i="1" s="1"/>
  <c r="GA188" i="1" s="1"/>
  <c r="EY217" i="1"/>
  <c r="EY215" i="1" s="1"/>
  <c r="FX170" i="1"/>
  <c r="EM170" i="1"/>
  <c r="CK170" i="1"/>
  <c r="CK65" i="1" s="1"/>
  <c r="AH170" i="1"/>
  <c r="BM63" i="1"/>
  <c r="BM13" i="1" s="1"/>
  <c r="BM12" i="1" s="1"/>
  <c r="BM11" i="1" s="1"/>
  <c r="BM10" i="1" s="1"/>
  <c r="BM335" i="1" s="1"/>
  <c r="AO63" i="1"/>
  <c r="AO13" i="1" s="1"/>
  <c r="AO12" i="1" s="1"/>
  <c r="AO11" i="1" s="1"/>
  <c r="AO10" i="1" s="1"/>
  <c r="AO335" i="1" s="1"/>
  <c r="IT104" i="1"/>
  <c r="IT92" i="1" s="1"/>
  <c r="IT91" i="1" s="1"/>
  <c r="IT65" i="1" s="1"/>
  <c r="IT63" i="1" s="1"/>
  <c r="IT13" i="1" s="1"/>
  <c r="IT12" i="1" s="1"/>
  <c r="IT11" i="1" s="1"/>
  <c r="IT10" i="1" s="1"/>
  <c r="IT335" i="1" s="1"/>
  <c r="FX104" i="1"/>
  <c r="FX92" i="1" s="1"/>
  <c r="FX91" i="1" s="1"/>
  <c r="AH104" i="1"/>
  <c r="AH92" i="1" s="1"/>
  <c r="AH91" i="1" s="1"/>
  <c r="AH65" i="1" s="1"/>
  <c r="ER63" i="1"/>
  <c r="ER13" i="1" s="1"/>
  <c r="ER12" i="1" s="1"/>
  <c r="ER11" i="1" s="1"/>
  <c r="ER10" i="1" s="1"/>
  <c r="ER335" i="1" s="1"/>
  <c r="IB63" i="1"/>
  <c r="IB13" i="1" s="1"/>
  <c r="IB12" i="1" s="1"/>
  <c r="IB11" i="1" s="1"/>
  <c r="IB10" i="1" s="1"/>
  <c r="IB335" i="1" s="1"/>
  <c r="HB63" i="1"/>
  <c r="HB13" i="1" s="1"/>
  <c r="HB12" i="1" s="1"/>
  <c r="HB11" i="1" s="1"/>
  <c r="HB10" i="1" s="1"/>
  <c r="HB335" i="1" s="1"/>
  <c r="EX13" i="1"/>
  <c r="EX12" i="1" s="1"/>
  <c r="EX11" i="1" s="1"/>
  <c r="EX10" i="1" s="1"/>
  <c r="EX335" i="1" s="1"/>
  <c r="CV264" i="1"/>
  <c r="V63" i="1"/>
  <c r="V13" i="1" s="1"/>
  <c r="V12" i="1" s="1"/>
  <c r="V11" i="1" s="1"/>
  <c r="V10" i="1" s="1"/>
  <c r="V335" i="1" s="1"/>
  <c r="BG63" i="1"/>
  <c r="BG13" i="1" s="1"/>
  <c r="BG12" i="1" s="1"/>
  <c r="BG11" i="1" s="1"/>
  <c r="BG10" i="1" s="1"/>
  <c r="BG335" i="1" s="1"/>
  <c r="EN41" i="1"/>
  <c r="GQ327" i="1"/>
  <c r="GF302" i="1"/>
  <c r="GQ289" i="1"/>
  <c r="FX259" i="1"/>
  <c r="FX257" i="1" s="1"/>
  <c r="FX256" i="1" s="1"/>
  <c r="AS188" i="1"/>
  <c r="GQ201" i="1"/>
  <c r="CS188" i="1"/>
  <c r="CS63" i="1" s="1"/>
  <c r="BX63" i="1"/>
  <c r="BX13" i="1" s="1"/>
  <c r="BX12" i="1" s="1"/>
  <c r="BX11" i="1" s="1"/>
  <c r="BX10" i="1" s="1"/>
  <c r="BX335" i="1" s="1"/>
  <c r="AR63" i="1"/>
  <c r="AR13" i="1" s="1"/>
  <c r="AR12" i="1" s="1"/>
  <c r="AR11" i="1" s="1"/>
  <c r="AR10" i="1" s="1"/>
  <c r="AR335" i="1" s="1"/>
  <c r="GI166" i="1"/>
  <c r="FY65" i="1"/>
  <c r="BA92" i="1"/>
  <c r="BA91" i="1" s="1"/>
  <c r="EN120" i="1"/>
  <c r="BZ310" i="1"/>
  <c r="BZ309" i="1" s="1"/>
  <c r="W217" i="1"/>
  <c r="W215" i="1" s="1"/>
  <c r="W188" i="1" s="1"/>
  <c r="HZ65" i="1"/>
  <c r="GA91" i="1"/>
  <c r="GA65" i="1" s="1"/>
  <c r="HN65" i="1"/>
  <c r="EH24" i="1"/>
  <c r="DG24" i="1"/>
  <c r="HO24" i="1"/>
  <c r="CU63" i="1"/>
  <c r="R63" i="1"/>
  <c r="R13" i="1" s="1"/>
  <c r="R12" i="1" s="1"/>
  <c r="R11" i="1" s="1"/>
  <c r="R10" i="1" s="1"/>
  <c r="R335" i="1" s="1"/>
  <c r="IJ207" i="1"/>
  <c r="BD316" i="1"/>
  <c r="GN302" i="1"/>
  <c r="BT63" i="1"/>
  <c r="BT13" i="1" s="1"/>
  <c r="BT12" i="1" s="1"/>
  <c r="BT11" i="1" s="1"/>
  <c r="BT10" i="1" s="1"/>
  <c r="BT335" i="1" s="1"/>
  <c r="EY188" i="1"/>
  <c r="EY63" i="1" s="1"/>
  <c r="AN63" i="1"/>
  <c r="AN13" i="1" s="1"/>
  <c r="AN12" i="1" s="1"/>
  <c r="AN11" i="1" s="1"/>
  <c r="AN10" i="1" s="1"/>
  <c r="AN335" i="1" s="1"/>
  <c r="GF177" i="1"/>
  <c r="GF176" i="1" s="1"/>
  <c r="GF170" i="1" s="1"/>
  <c r="GM172" i="1"/>
  <c r="GM171" i="1" s="1"/>
  <c r="GM170" i="1" s="1"/>
  <c r="HP155" i="1"/>
  <c r="HM65" i="1"/>
  <c r="FU65" i="1"/>
  <c r="IG65" i="1"/>
  <c r="BA24" i="1"/>
  <c r="EJ91" i="1"/>
  <c r="HU91" i="1"/>
  <c r="DG91" i="1"/>
  <c r="DG65" i="1" s="1"/>
  <c r="HF65" i="1"/>
  <c r="IJ272" i="1"/>
  <c r="GQ275" i="1"/>
  <c r="GQ267" i="1"/>
  <c r="GQ245" i="1"/>
  <c r="N63" i="1"/>
  <c r="N13" i="1" s="1"/>
  <c r="N12" i="1" s="1"/>
  <c r="N11" i="1" s="1"/>
  <c r="N10" i="1" s="1"/>
  <c r="N335" i="1" s="1"/>
  <c r="GQ234" i="1"/>
  <c r="GQ227" i="1"/>
  <c r="GJ205" i="1"/>
  <c r="GO207" i="1"/>
  <c r="BK63" i="1"/>
  <c r="BK13" i="1" s="1"/>
  <c r="BK12" i="1" s="1"/>
  <c r="BK11" i="1" s="1"/>
  <c r="BK10" i="1" s="1"/>
  <c r="BK335" i="1" s="1"/>
  <c r="HP218" i="1"/>
  <c r="FU188" i="1"/>
  <c r="GQ214" i="1"/>
  <c r="GK189" i="1"/>
  <c r="CV325" i="1"/>
  <c r="CV320" i="1"/>
  <c r="GK298" i="1"/>
  <c r="GJ302" i="1"/>
  <c r="HP298" i="1"/>
  <c r="GQ285" i="1"/>
  <c r="GO281" i="1"/>
  <c r="GO280" i="1" s="1"/>
  <c r="GO279" i="1" s="1"/>
  <c r="CG63" i="1"/>
  <c r="CG13" i="1" s="1"/>
  <c r="CG12" i="1" s="1"/>
  <c r="CG11" i="1" s="1"/>
  <c r="CG10" i="1" s="1"/>
  <c r="CG335" i="1" s="1"/>
  <c r="AH217" i="1"/>
  <c r="AH215" i="1" s="1"/>
  <c r="EI205" i="1"/>
  <c r="EI188" i="1" s="1"/>
  <c r="IP63" i="1"/>
  <c r="IP13" i="1" s="1"/>
  <c r="IP12" i="1" s="1"/>
  <c r="IP11" i="1" s="1"/>
  <c r="IP10" i="1" s="1"/>
  <c r="IP335" i="1" s="1"/>
  <c r="AE63" i="1"/>
  <c r="AE13" i="1" s="1"/>
  <c r="AE12" i="1" s="1"/>
  <c r="AE11" i="1" s="1"/>
  <c r="AE10" i="1" s="1"/>
  <c r="AE335" i="1" s="1"/>
  <c r="AJ63" i="1"/>
  <c r="AJ13" i="1" s="1"/>
  <c r="AJ12" i="1" s="1"/>
  <c r="AJ11" i="1" s="1"/>
  <c r="AJ10" i="1" s="1"/>
  <c r="AJ335" i="1" s="1"/>
  <c r="BA170" i="1"/>
  <c r="HP143" i="1"/>
  <c r="CV143" i="1"/>
  <c r="CV139" i="1" s="1"/>
  <c r="CV137" i="1" s="1"/>
  <c r="CV136" i="1" s="1"/>
  <c r="BB137" i="1"/>
  <c r="BB136" i="1" s="1"/>
  <c r="CV166" i="1"/>
  <c r="GO155" i="1"/>
  <c r="GO143" i="1"/>
  <c r="BA137" i="1"/>
  <c r="BA136" i="1" s="1"/>
  <c r="HA65" i="1"/>
  <c r="HU65" i="1"/>
  <c r="AZ41" i="1"/>
  <c r="AZ24" i="1" s="1"/>
  <c r="GQ37" i="1"/>
  <c r="GQ32" i="1"/>
  <c r="GF15" i="1"/>
  <c r="GF14" i="1" s="1"/>
  <c r="EL217" i="1"/>
  <c r="EL215" i="1" s="1"/>
  <c r="EL188" i="1" s="1"/>
  <c r="W170" i="1"/>
  <c r="W65" i="1" s="1"/>
  <c r="EL92" i="1"/>
  <c r="EL91" i="1" s="1"/>
  <c r="EL65" i="1" s="1"/>
  <c r="II65" i="1"/>
  <c r="EA13" i="1"/>
  <c r="EA12" i="1" s="1"/>
  <c r="EA11" i="1" s="1"/>
  <c r="EA10" i="1" s="1"/>
  <c r="EA335" i="1" s="1"/>
  <c r="CR24" i="1"/>
  <c r="IO24" i="1"/>
  <c r="CU24" i="1"/>
  <c r="EF65" i="1"/>
  <c r="IJ41" i="1"/>
  <c r="GN41" i="1"/>
  <c r="GI41" i="1"/>
  <c r="GM325" i="1"/>
  <c r="GP316" i="1"/>
  <c r="GK281" i="1"/>
  <c r="GK280" i="1" s="1"/>
  <c r="GK279" i="1" s="1"/>
  <c r="CC63" i="1"/>
  <c r="CC13" i="1" s="1"/>
  <c r="CC12" i="1" s="1"/>
  <c r="CC11" i="1" s="1"/>
  <c r="CC10" i="1" s="1"/>
  <c r="CC335" i="1" s="1"/>
  <c r="CT205" i="1"/>
  <c r="CT188" i="1" s="1"/>
  <c r="AA63" i="1"/>
  <c r="AA13" i="1" s="1"/>
  <c r="AA12" i="1" s="1"/>
  <c r="AA11" i="1" s="1"/>
  <c r="AA10" i="1" s="1"/>
  <c r="AA335" i="1" s="1"/>
  <c r="GQ197" i="1"/>
  <c r="IH65" i="1"/>
  <c r="IU63" i="1"/>
  <c r="IU13" i="1" s="1"/>
  <c r="IU12" i="1" s="1"/>
  <c r="IU11" i="1" s="1"/>
  <c r="IU10" i="1" s="1"/>
  <c r="IU335" i="1" s="1"/>
  <c r="GM166" i="1"/>
  <c r="GK155" i="1"/>
  <c r="GK143" i="1"/>
  <c r="GC65" i="1"/>
  <c r="CM92" i="1"/>
  <c r="CM91" i="1" s="1"/>
  <c r="CN24" i="1"/>
  <c r="EJ65" i="1"/>
  <c r="HL25" i="1"/>
  <c r="AS310" i="1"/>
  <c r="AS309" i="1" s="1"/>
  <c r="EH92" i="1"/>
  <c r="EH91" i="1" s="1"/>
  <c r="EH65" i="1" s="1"/>
  <c r="EH63" i="1" s="1"/>
  <c r="EH13" i="1" s="1"/>
  <c r="EH12" i="1" s="1"/>
  <c r="EH11" i="1" s="1"/>
  <c r="EH10" i="1" s="1"/>
  <c r="GE91" i="1"/>
  <c r="GE65" i="1" s="1"/>
  <c r="IE65" i="1"/>
  <c r="EL24" i="1"/>
  <c r="FZ24" i="1"/>
  <c r="BZ24" i="1"/>
  <c r="EY41" i="1"/>
  <c r="EY24" i="1" s="1"/>
  <c r="CQ24" i="1"/>
  <c r="HK24" i="1"/>
  <c r="AZ257" i="1"/>
  <c r="AZ256" i="1" s="1"/>
  <c r="HL24" i="1"/>
  <c r="GH325" i="1"/>
  <c r="GQ270" i="1"/>
  <c r="GF264" i="1"/>
  <c r="GQ262" i="1"/>
  <c r="GI264" i="1"/>
  <c r="GO242" i="1"/>
  <c r="GO241" i="1" s="1"/>
  <c r="GF242" i="1"/>
  <c r="GF241" i="1" s="1"/>
  <c r="GQ232" i="1"/>
  <c r="GQ225" i="1"/>
  <c r="GQ233" i="1"/>
  <c r="CQ188" i="1"/>
  <c r="CQ63" i="1" s="1"/>
  <c r="HN188" i="1"/>
  <c r="HN63" i="1" s="1"/>
  <c r="HN13" i="1" s="1"/>
  <c r="HN12" i="1" s="1"/>
  <c r="HN11" i="1" s="1"/>
  <c r="HN10" i="1" s="1"/>
  <c r="HN335" i="1" s="1"/>
  <c r="GM207" i="1"/>
  <c r="GM205" i="1" s="1"/>
  <c r="EN218" i="1"/>
  <c r="GB188" i="1"/>
  <c r="GQ216" i="1"/>
  <c r="GJ189" i="1"/>
  <c r="BD155" i="1"/>
  <c r="BD95" i="1"/>
  <c r="BD94" i="1" s="1"/>
  <c r="EE24" i="1"/>
  <c r="EN316" i="1"/>
  <c r="GP325" i="1"/>
  <c r="GP310" i="1" s="1"/>
  <c r="GP309" i="1" s="1"/>
  <c r="AY310" i="1"/>
  <c r="AY309" i="1" s="1"/>
  <c r="CV302" i="1"/>
  <c r="GM298" i="1"/>
  <c r="HP281" i="1"/>
  <c r="HP280" i="1" s="1"/>
  <c r="HP279" i="1" s="1"/>
  <c r="E63" i="1"/>
  <c r="E13" i="1" s="1"/>
  <c r="E12" i="1" s="1"/>
  <c r="E11" i="1" s="1"/>
  <c r="E10" i="1" s="1"/>
  <c r="E335" i="1" s="1"/>
  <c r="GB259" i="1"/>
  <c r="GB257" i="1" s="1"/>
  <c r="GB256" i="1" s="1"/>
  <c r="CO188" i="1"/>
  <c r="BJ188" i="1"/>
  <c r="BJ63" i="1" s="1"/>
  <c r="BJ13" i="1" s="1"/>
  <c r="BJ12" i="1" s="1"/>
  <c r="BJ11" i="1" s="1"/>
  <c r="BJ10" i="1" s="1"/>
  <c r="BJ335" i="1" s="1"/>
  <c r="IJ177" i="1"/>
  <c r="IJ176" i="1" s="1"/>
  <c r="IJ170" i="1" s="1"/>
  <c r="GJ177" i="1"/>
  <c r="GJ176" i="1" s="1"/>
  <c r="GP177" i="1"/>
  <c r="GP176" i="1" s="1"/>
  <c r="GP170" i="1" s="1"/>
  <c r="GI172" i="1"/>
  <c r="GI171" i="1" s="1"/>
  <c r="GI170" i="1" s="1"/>
  <c r="EN143" i="1"/>
  <c r="EN139" i="1" s="1"/>
  <c r="EN137" i="1" s="1"/>
  <c r="EN136" i="1" s="1"/>
  <c r="CM137" i="1"/>
  <c r="CM136" i="1" s="1"/>
  <c r="GJ162" i="1"/>
  <c r="BD143" i="1"/>
  <c r="BD139" i="1" s="1"/>
  <c r="AW137" i="1"/>
  <c r="AW136" i="1" s="1"/>
  <c r="GL162" i="1"/>
  <c r="GL160" i="1" s="1"/>
  <c r="GL159" i="1" s="1"/>
  <c r="HP160" i="1"/>
  <c r="HP159" i="1" s="1"/>
  <c r="IJ155" i="1"/>
  <c r="IJ143" i="1"/>
  <c r="GL130" i="1"/>
  <c r="CV110" i="1"/>
  <c r="GN105" i="1"/>
  <c r="AU104" i="1"/>
  <c r="AU92" i="1" s="1"/>
  <c r="AU91" i="1" s="1"/>
  <c r="AU65" i="1" s="1"/>
  <c r="GL95" i="1"/>
  <c r="GL94" i="1" s="1"/>
  <c r="GF115" i="1"/>
  <c r="GO110" i="1"/>
  <c r="GO104" i="1" s="1"/>
  <c r="GL105" i="1"/>
  <c r="GL104" i="1" s="1"/>
  <c r="GI100" i="1"/>
  <c r="IJ95" i="1"/>
  <c r="IJ94" i="1" s="1"/>
  <c r="GF69" i="1"/>
  <c r="GF67" i="1" s="1"/>
  <c r="GF66" i="1" s="1"/>
  <c r="EN54" i="1"/>
  <c r="GO43" i="1"/>
  <c r="GO41" i="1" s="1"/>
  <c r="IJ15" i="1"/>
  <c r="IJ14" i="1" s="1"/>
  <c r="BA65" i="1"/>
  <c r="GL54" i="1"/>
  <c r="AU41" i="1"/>
  <c r="GL30" i="1"/>
  <c r="GM27" i="1"/>
  <c r="GM25" i="1" s="1"/>
  <c r="GN54" i="1"/>
  <c r="GL43" i="1"/>
  <c r="GF35" i="1"/>
  <c r="IJ30" i="1"/>
  <c r="GN30" i="1"/>
  <c r="GK15" i="1"/>
  <c r="GK14" i="1" s="1"/>
  <c r="GN272" i="1"/>
  <c r="HF188" i="1"/>
  <c r="HF63" i="1" s="1"/>
  <c r="HF13" i="1" s="1"/>
  <c r="HF12" i="1" s="1"/>
  <c r="HF11" i="1" s="1"/>
  <c r="HF10" i="1" s="1"/>
  <c r="HF335" i="1" s="1"/>
  <c r="GP228" i="1"/>
  <c r="HP228" i="1"/>
  <c r="GO217" i="1"/>
  <c r="GO215" i="1" s="1"/>
  <c r="HZ188" i="1"/>
  <c r="HZ63" i="1" s="1"/>
  <c r="HZ13" i="1" s="1"/>
  <c r="HZ12" i="1" s="1"/>
  <c r="HZ11" i="1" s="1"/>
  <c r="HZ10" i="1" s="1"/>
  <c r="HZ335" i="1" s="1"/>
  <c r="GQ210" i="1"/>
  <c r="GI207" i="1"/>
  <c r="GI205" i="1" s="1"/>
  <c r="IJ218" i="1"/>
  <c r="BB65" i="1"/>
  <c r="BD69" i="1"/>
  <c r="BD67" i="1" s="1"/>
  <c r="BD66" i="1" s="1"/>
  <c r="GM320" i="1"/>
  <c r="CV316" i="1"/>
  <c r="GL325" i="1"/>
  <c r="GL310" i="1" s="1"/>
  <c r="GL309" i="1" s="1"/>
  <c r="AU310" i="1"/>
  <c r="AU309" i="1" s="1"/>
  <c r="GP302" i="1"/>
  <c r="HP302" i="1"/>
  <c r="GO298" i="1"/>
  <c r="GM302" i="1"/>
  <c r="BA280" i="1"/>
  <c r="BA279" i="1" s="1"/>
  <c r="BA257" i="1" s="1"/>
  <c r="BA256" i="1" s="1"/>
  <c r="AV257" i="1"/>
  <c r="AV256" i="1" s="1"/>
  <c r="GV188" i="1"/>
  <c r="CN205" i="1"/>
  <c r="AY189" i="1"/>
  <c r="GQ182" i="1"/>
  <c r="GL177" i="1"/>
  <c r="GL176" i="1" s="1"/>
  <c r="GL170" i="1" s="1"/>
  <c r="IF170" i="1"/>
  <c r="IJ139" i="1"/>
  <c r="GF162" i="1"/>
  <c r="GF160" i="1" s="1"/>
  <c r="GF159" i="1" s="1"/>
  <c r="HL137" i="1"/>
  <c r="HL136" i="1" s="1"/>
  <c r="AX137" i="1"/>
  <c r="AX136" i="1" s="1"/>
  <c r="AX65" i="1" s="1"/>
  <c r="BD162" i="1"/>
  <c r="GF155" i="1"/>
  <c r="GF143" i="1"/>
  <c r="GF139" i="1" s="1"/>
  <c r="GO139" i="1"/>
  <c r="GO137" i="1" s="1"/>
  <c r="GO136" i="1" s="1"/>
  <c r="AZ92" i="1"/>
  <c r="AZ91" i="1" s="1"/>
  <c r="AZ65" i="1" s="1"/>
  <c r="EN130" i="1"/>
  <c r="GM130" i="1"/>
  <c r="IJ130" i="1"/>
  <c r="GM110" i="1"/>
  <c r="GM104" i="1" s="1"/>
  <c r="GJ105" i="1"/>
  <c r="HP100" i="1"/>
  <c r="HP94" i="1" s="1"/>
  <c r="IF92" i="1"/>
  <c r="IF91" i="1" s="1"/>
  <c r="IF65" i="1" s="1"/>
  <c r="EN115" i="1"/>
  <c r="GK110" i="1"/>
  <c r="BD105" i="1"/>
  <c r="EN100" i="1"/>
  <c r="EN94" i="1" s="1"/>
  <c r="GF95" i="1"/>
  <c r="GF94" i="1" s="1"/>
  <c r="CV54" i="1"/>
  <c r="GK43" i="1"/>
  <c r="GK41" i="1" s="1"/>
  <c r="IJ69" i="1"/>
  <c r="IJ67" i="1" s="1"/>
  <c r="IJ66" i="1" s="1"/>
  <c r="GN69" i="1"/>
  <c r="BD54" i="1"/>
  <c r="GJ43" i="1"/>
  <c r="GJ41" i="1" s="1"/>
  <c r="GI27" i="1"/>
  <c r="GI25" i="1" s="1"/>
  <c r="GP69" i="1"/>
  <c r="GP67" i="1" s="1"/>
  <c r="GP66" i="1" s="1"/>
  <c r="GJ54" i="1"/>
  <c r="IJ35" i="1"/>
  <c r="CV35" i="1"/>
  <c r="CV25" i="1" s="1"/>
  <c r="CV24" i="1" s="1"/>
  <c r="GF30" i="1"/>
  <c r="GF25" i="1" s="1"/>
  <c r="GF24" i="1" s="1"/>
  <c r="GJ30" i="1"/>
  <c r="GG15" i="1"/>
  <c r="GG14" i="1" s="1"/>
  <c r="GG13" i="1" s="1"/>
  <c r="GG12" i="1" s="1"/>
  <c r="GG11" i="1" s="1"/>
  <c r="GG10" i="1" s="1"/>
  <c r="HP310" i="1"/>
  <c r="HP309" i="1" s="1"/>
  <c r="GJ272" i="1"/>
  <c r="GJ259" i="1" s="1"/>
  <c r="GJ257" i="1" s="1"/>
  <c r="GJ256" i="1" s="1"/>
  <c r="CO63" i="1"/>
  <c r="CO13" i="1" s="1"/>
  <c r="CO12" i="1" s="1"/>
  <c r="CO11" i="1" s="1"/>
  <c r="CO10" i="1" s="1"/>
  <c r="GQ263" i="1"/>
  <c r="FU63" i="1"/>
  <c r="FU13" i="1" s="1"/>
  <c r="FU12" i="1" s="1"/>
  <c r="FU11" i="1" s="1"/>
  <c r="FU10" i="1" s="1"/>
  <c r="FU335" i="1" s="1"/>
  <c r="HP242" i="1"/>
  <c r="HP241" i="1" s="1"/>
  <c r="IG188" i="1"/>
  <c r="IG63" i="1" s="1"/>
  <c r="IG13" i="1" s="1"/>
  <c r="IG12" i="1" s="1"/>
  <c r="IG11" i="1" s="1"/>
  <c r="IG10" i="1" s="1"/>
  <c r="IG335" i="1" s="1"/>
  <c r="GQ239" i="1"/>
  <c r="GQ231" i="1"/>
  <c r="GQ221" i="1"/>
  <c r="HM63" i="1"/>
  <c r="HM13" i="1" s="1"/>
  <c r="HM12" i="1" s="1"/>
  <c r="HM11" i="1" s="1"/>
  <c r="HM10" i="1" s="1"/>
  <c r="HM335" i="1" s="1"/>
  <c r="GK211" i="1"/>
  <c r="GN205" i="1"/>
  <c r="GQ190" i="1"/>
  <c r="GO189" i="1"/>
  <c r="BD166" i="1"/>
  <c r="EN160" i="1"/>
  <c r="EN159" i="1" s="1"/>
  <c r="GJ170" i="1"/>
  <c r="GM160" i="1"/>
  <c r="GM159" i="1" s="1"/>
  <c r="BD130" i="1"/>
  <c r="GQ81" i="1"/>
  <c r="IJ320" i="1"/>
  <c r="GF325" i="1"/>
  <c r="GF310" i="1" s="1"/>
  <c r="GF309" i="1" s="1"/>
  <c r="GI320" i="1"/>
  <c r="GM316" i="1"/>
  <c r="EN312" i="1"/>
  <c r="BB310" i="1"/>
  <c r="BB309" i="1" s="1"/>
  <c r="GL302" i="1"/>
  <c r="GO302" i="1"/>
  <c r="GI302" i="1"/>
  <c r="EN298" i="1"/>
  <c r="AW280" i="1"/>
  <c r="AW279" i="1" s="1"/>
  <c r="AW257" i="1" s="1"/>
  <c r="AW256" i="1" s="1"/>
  <c r="BF63" i="1"/>
  <c r="BF13" i="1" s="1"/>
  <c r="BF12" i="1" s="1"/>
  <c r="BF11" i="1" s="1"/>
  <c r="BF10" i="1" s="1"/>
  <c r="BF335" i="1" s="1"/>
  <c r="L217" i="1"/>
  <c r="L215" i="1" s="1"/>
  <c r="L188" i="1" s="1"/>
  <c r="L63" i="1" s="1"/>
  <c r="L13" i="1" s="1"/>
  <c r="L12" i="1" s="1"/>
  <c r="L11" i="1" s="1"/>
  <c r="L10" i="1" s="1"/>
  <c r="EE170" i="1"/>
  <c r="EE65" i="1" s="1"/>
  <c r="EN191" i="1"/>
  <c r="EN189" i="1" s="1"/>
  <c r="CV177" i="1"/>
  <c r="CV176" i="1" s="1"/>
  <c r="CV170" i="1" s="1"/>
  <c r="GO172" i="1"/>
  <c r="GO171" i="1" s="1"/>
  <c r="GO170" i="1" s="1"/>
  <c r="GQ186" i="1"/>
  <c r="GQ177" i="1" s="1"/>
  <c r="GQ176" i="1" s="1"/>
  <c r="EN172" i="1"/>
  <c r="EN171" i="1" s="1"/>
  <c r="EN170" i="1" s="1"/>
  <c r="GM143" i="1"/>
  <c r="GM139" i="1" s="1"/>
  <c r="GM137" i="1" s="1"/>
  <c r="GM136" i="1" s="1"/>
  <c r="CV162" i="1"/>
  <c r="GP155" i="1"/>
  <c r="GP137" i="1" s="1"/>
  <c r="GP136" i="1" s="1"/>
  <c r="GN155" i="1"/>
  <c r="GN143" i="1"/>
  <c r="GN139" i="1" s="1"/>
  <c r="GK139" i="1"/>
  <c r="GK137" i="1" s="1"/>
  <c r="GK136" i="1" s="1"/>
  <c r="AV92" i="1"/>
  <c r="AV91" i="1" s="1"/>
  <c r="AV65" i="1" s="1"/>
  <c r="GI110" i="1"/>
  <c r="IJ105" i="1"/>
  <c r="BC104" i="1"/>
  <c r="BC92" i="1" s="1"/>
  <c r="BC91" i="1" s="1"/>
  <c r="BC65" i="1" s="1"/>
  <c r="GO100" i="1"/>
  <c r="GO94" i="1" s="1"/>
  <c r="FW92" i="1"/>
  <c r="FW91" i="1" s="1"/>
  <c r="FW65" i="1" s="1"/>
  <c r="HL92" i="1"/>
  <c r="HL91" i="1" s="1"/>
  <c r="HL65" i="1" s="1"/>
  <c r="GQ129" i="1"/>
  <c r="GN115" i="1"/>
  <c r="CV100" i="1"/>
  <c r="CV94" i="1" s="1"/>
  <c r="GN95" i="1"/>
  <c r="GN94" i="1" s="1"/>
  <c r="GM54" i="1"/>
  <c r="AV41" i="1"/>
  <c r="AV24" i="1" s="1"/>
  <c r="GN15" i="1"/>
  <c r="GN14" i="1" s="1"/>
  <c r="GJ69" i="1"/>
  <c r="GJ67" i="1" s="1"/>
  <c r="GJ66" i="1" s="1"/>
  <c r="BC41" i="1"/>
  <c r="BC24" i="1" s="1"/>
  <c r="GL41" i="1"/>
  <c r="GP35" i="1"/>
  <c r="BB25" i="1"/>
  <c r="BB24" i="1" s="1"/>
  <c r="GL69" i="1"/>
  <c r="GN35" i="1"/>
  <c r="HP15" i="1"/>
  <c r="HP14" i="1" s="1"/>
  <c r="GQ276" i="1"/>
  <c r="GV63" i="1"/>
  <c r="GM264" i="1"/>
  <c r="GM259" i="1" s="1"/>
  <c r="GM257" i="1" s="1"/>
  <c r="GM256" i="1" s="1"/>
  <c r="BO188" i="1"/>
  <c r="BO63" i="1" s="1"/>
  <c r="BO13" i="1" s="1"/>
  <c r="BO12" i="1" s="1"/>
  <c r="BO11" i="1" s="1"/>
  <c r="BO10" i="1" s="1"/>
  <c r="HU188" i="1"/>
  <c r="HU63" i="1" s="1"/>
  <c r="HU13" i="1" s="1"/>
  <c r="HU12" i="1" s="1"/>
  <c r="HU11" i="1" s="1"/>
  <c r="HU10" i="1" s="1"/>
  <c r="HU335" i="1" s="1"/>
  <c r="EN223" i="1"/>
  <c r="EJ188" i="1"/>
  <c r="FY188" i="1"/>
  <c r="FY63" i="1" s="1"/>
  <c r="FY13" i="1" s="1"/>
  <c r="FY12" i="1" s="1"/>
  <c r="FY11" i="1" s="1"/>
  <c r="FY10" i="1" s="1"/>
  <c r="AH188" i="1"/>
  <c r="AH63" i="1" s="1"/>
  <c r="AH13" i="1" s="1"/>
  <c r="AH12" i="1" s="1"/>
  <c r="AH11" i="1" s="1"/>
  <c r="AH10" i="1" s="1"/>
  <c r="GN189" i="1"/>
  <c r="GI160" i="1"/>
  <c r="GI159" i="1" s="1"/>
  <c r="GJ160" i="1"/>
  <c r="GJ159" i="1" s="1"/>
  <c r="GN104" i="1"/>
  <c r="GK104" i="1"/>
  <c r="GI94" i="1"/>
  <c r="CM65" i="1"/>
  <c r="AU24" i="1"/>
  <c r="IJ325" i="1"/>
  <c r="EN320" i="1"/>
  <c r="GI316" i="1"/>
  <c r="GI310" i="1" s="1"/>
  <c r="GI309" i="1" s="1"/>
  <c r="AX310" i="1"/>
  <c r="AX309" i="1" s="1"/>
  <c r="CM310" i="1"/>
  <c r="CM309" i="1" s="1"/>
  <c r="BC310" i="1"/>
  <c r="BC309" i="1" s="1"/>
  <c r="GK302" i="1"/>
  <c r="EN302" i="1"/>
  <c r="CV298" i="1"/>
  <c r="FW280" i="1"/>
  <c r="FW279" i="1" s="1"/>
  <c r="FW257" i="1" s="1"/>
  <c r="FW256" i="1" s="1"/>
  <c r="IF280" i="1"/>
  <c r="IF279" i="1" s="1"/>
  <c r="IF257" i="1" s="1"/>
  <c r="IF256" i="1" s="1"/>
  <c r="I63" i="1"/>
  <c r="I13" i="1" s="1"/>
  <c r="I12" i="1" s="1"/>
  <c r="I11" i="1" s="1"/>
  <c r="I10" i="1" s="1"/>
  <c r="I335" i="1" s="1"/>
  <c r="AZ217" i="1"/>
  <c r="AZ215" i="1" s="1"/>
  <c r="CP205" i="1"/>
  <c r="IF205" i="1"/>
  <c r="BA189" i="1"/>
  <c r="GN177" i="1"/>
  <c r="GN176" i="1" s="1"/>
  <c r="GN170" i="1" s="1"/>
  <c r="GK172" i="1"/>
  <c r="GK171" i="1" s="1"/>
  <c r="GK170" i="1" s="1"/>
  <c r="IO189" i="1"/>
  <c r="AW170" i="1"/>
  <c r="GI143" i="1"/>
  <c r="GI139" i="1" s="1"/>
  <c r="GI137" i="1" s="1"/>
  <c r="GI136" i="1" s="1"/>
  <c r="GN162" i="1"/>
  <c r="GN160" i="1" s="1"/>
  <c r="GN159" i="1" s="1"/>
  <c r="GL155" i="1"/>
  <c r="GL143" i="1"/>
  <c r="GL139" i="1" s="1"/>
  <c r="GP162" i="1"/>
  <c r="GP160" i="1" s="1"/>
  <c r="GP159" i="1" s="1"/>
  <c r="GJ155" i="1"/>
  <c r="GJ143" i="1"/>
  <c r="GJ139" i="1" s="1"/>
  <c r="HP139" i="1"/>
  <c r="GP130" i="1"/>
  <c r="CV130" i="1"/>
  <c r="GI130" i="1"/>
  <c r="IJ120" i="1"/>
  <c r="BD115" i="1"/>
  <c r="EN110" i="1"/>
  <c r="EN104" i="1" s="1"/>
  <c r="GF105" i="1"/>
  <c r="GF104" i="1" s="1"/>
  <c r="GF92" i="1" s="1"/>
  <c r="GF91" i="1" s="1"/>
  <c r="AY104" i="1"/>
  <c r="AY92" i="1" s="1"/>
  <c r="AY91" i="1" s="1"/>
  <c r="AY65" i="1" s="1"/>
  <c r="GK100" i="1"/>
  <c r="GK94" i="1" s="1"/>
  <c r="GK92" i="1" s="1"/>
  <c r="GK91" i="1" s="1"/>
  <c r="GP95" i="1"/>
  <c r="GP94" i="1" s="1"/>
  <c r="GQ125" i="1"/>
  <c r="IJ115" i="1"/>
  <c r="GJ115" i="1"/>
  <c r="HP110" i="1"/>
  <c r="HP104" i="1" s="1"/>
  <c r="GP105" i="1"/>
  <c r="GP104" i="1" s="1"/>
  <c r="GM100" i="1"/>
  <c r="GM94" i="1" s="1"/>
  <c r="GJ95" i="1"/>
  <c r="GJ94" i="1" s="1"/>
  <c r="HP69" i="1"/>
  <c r="HP67" i="1" s="1"/>
  <c r="HP66" i="1" s="1"/>
  <c r="GI54" i="1"/>
  <c r="HP43" i="1"/>
  <c r="HP41" i="1" s="1"/>
  <c r="GJ15" i="1"/>
  <c r="GJ14" i="1" s="1"/>
  <c r="AS65" i="1"/>
  <c r="AS63" i="1" s="1"/>
  <c r="AS13" i="1" s="1"/>
  <c r="AS12" i="1" s="1"/>
  <c r="AS11" i="1" s="1"/>
  <c r="AS10" i="1" s="1"/>
  <c r="GL67" i="1"/>
  <c r="GL66" i="1" s="1"/>
  <c r="GP54" i="1"/>
  <c r="AY41" i="1"/>
  <c r="AY24" i="1" s="1"/>
  <c r="GL35" i="1"/>
  <c r="GP30" i="1"/>
  <c r="GP25" i="1" s="1"/>
  <c r="AX25" i="1"/>
  <c r="AX24" i="1" s="1"/>
  <c r="GN67" i="1"/>
  <c r="GN66" i="1" s="1"/>
  <c r="GP43" i="1"/>
  <c r="GP41" i="1" s="1"/>
  <c r="GJ35" i="1"/>
  <c r="EN30" i="1"/>
  <c r="EN25" i="1" s="1"/>
  <c r="EN24" i="1" s="1"/>
  <c r="AW25" i="1"/>
  <c r="AW24" i="1" s="1"/>
  <c r="GQ23" i="1"/>
  <c r="GO15" i="1"/>
  <c r="GO14" i="1" s="1"/>
  <c r="GF259" i="1"/>
  <c r="GF257" i="1" s="1"/>
  <c r="GF256" i="1" s="1"/>
  <c r="EF188" i="1"/>
  <c r="EN217" i="1"/>
  <c r="EN215" i="1" s="1"/>
  <c r="IH188" i="1"/>
  <c r="IH63" i="1" s="1"/>
  <c r="IH13" i="1" s="1"/>
  <c r="IH12" i="1" s="1"/>
  <c r="IH11" i="1" s="1"/>
  <c r="IH10" i="1" s="1"/>
  <c r="IH335" i="1" s="1"/>
  <c r="GT12" i="1"/>
  <c r="GT11" i="1" s="1"/>
  <c r="GT10" i="1" s="1"/>
  <c r="GT335" i="1" s="1"/>
  <c r="GV13" i="1"/>
  <c r="GV12" i="1" s="1"/>
  <c r="GV11" i="1" s="1"/>
  <c r="GV10" i="1" s="1"/>
  <c r="GV335" i="1" s="1"/>
  <c r="AV188" i="1"/>
  <c r="AV63" i="1" s="1"/>
  <c r="GQ324" i="1"/>
  <c r="GQ323" i="1" s="1"/>
  <c r="GH323" i="1"/>
  <c r="GQ317" i="1"/>
  <c r="GQ316" i="1" s="1"/>
  <c r="GH316" i="1"/>
  <c r="GK310" i="1"/>
  <c r="GK309" i="1" s="1"/>
  <c r="GN310" i="1"/>
  <c r="GN309" i="1" s="1"/>
  <c r="GQ297" i="1"/>
  <c r="GQ296" i="1" s="1"/>
  <c r="GH296" i="1"/>
  <c r="GH298" i="1"/>
  <c r="HP264" i="1"/>
  <c r="GQ269" i="1"/>
  <c r="EN264" i="1"/>
  <c r="GQ260" i="1"/>
  <c r="GO236" i="1"/>
  <c r="GO228" i="1" s="1"/>
  <c r="IJ228" i="1"/>
  <c r="GL228" i="1"/>
  <c r="HP223" i="1"/>
  <c r="HP217" i="1" s="1"/>
  <c r="HP215" i="1" s="1"/>
  <c r="IF228" i="1"/>
  <c r="IF188" i="1" s="1"/>
  <c r="IJ223" i="1"/>
  <c r="IJ217" i="1" s="1"/>
  <c r="IJ215" i="1" s="1"/>
  <c r="HA188" i="1"/>
  <c r="GO205" i="1"/>
  <c r="CN228" i="1"/>
  <c r="GI236" i="1"/>
  <c r="GI228" i="1" s="1"/>
  <c r="GI223" i="1"/>
  <c r="BD218" i="1"/>
  <c r="CV211" i="1"/>
  <c r="CV205" i="1" s="1"/>
  <c r="AU188" i="1"/>
  <c r="GH223" i="1"/>
  <c r="GQ224" i="1"/>
  <c r="GQ223" i="1" s="1"/>
  <c r="GP223" i="1"/>
  <c r="GP217" i="1" s="1"/>
  <c r="GP215" i="1" s="1"/>
  <c r="BZ188" i="1"/>
  <c r="BZ63" i="1" s="1"/>
  <c r="BZ13" i="1" s="1"/>
  <c r="BZ12" i="1" s="1"/>
  <c r="BZ11" i="1" s="1"/>
  <c r="BZ10" i="1" s="1"/>
  <c r="GF218" i="1"/>
  <c r="GL218" i="1"/>
  <c r="GQ212" i="1"/>
  <c r="GQ211" i="1" s="1"/>
  <c r="GH211" i="1"/>
  <c r="HP207" i="1"/>
  <c r="EN207" i="1"/>
  <c r="AX188" i="1"/>
  <c r="IE188" i="1"/>
  <c r="GQ203" i="1"/>
  <c r="GQ202" i="1" s="1"/>
  <c r="GH202" i="1"/>
  <c r="GH189" i="1" s="1"/>
  <c r="BD191" i="1"/>
  <c r="BD189" i="1" s="1"/>
  <c r="GF189" i="1"/>
  <c r="GQ163" i="1"/>
  <c r="GQ162" i="1" s="1"/>
  <c r="GH162" i="1"/>
  <c r="GQ166" i="1"/>
  <c r="GQ172" i="1"/>
  <c r="GQ171" i="1" s="1"/>
  <c r="GQ144" i="1"/>
  <c r="GQ143" i="1" s="1"/>
  <c r="GH143" i="1"/>
  <c r="GH155" i="1"/>
  <c r="GH54" i="1"/>
  <c r="GQ56" i="1"/>
  <c r="GQ54" i="1" s="1"/>
  <c r="EF25" i="1"/>
  <c r="EF24" i="1" s="1"/>
  <c r="GQ16" i="1"/>
  <c r="GQ15" i="1" s="1"/>
  <c r="GQ14" i="1" s="1"/>
  <c r="GH15" i="1"/>
  <c r="GH14" i="1" s="1"/>
  <c r="HP24" i="1"/>
  <c r="BD312" i="1"/>
  <c r="BD325" i="1"/>
  <c r="GJ310" i="1"/>
  <c r="GJ309" i="1" s="1"/>
  <c r="GQ320" i="1"/>
  <c r="BD302" i="1"/>
  <c r="GQ298" i="1"/>
  <c r="EN272" i="1"/>
  <c r="EN259" i="1" s="1"/>
  <c r="GO264" i="1"/>
  <c r="EJ63" i="1"/>
  <c r="EJ13" i="1" s="1"/>
  <c r="EJ12" i="1" s="1"/>
  <c r="EJ11" i="1" s="1"/>
  <c r="EJ10" i="1" s="1"/>
  <c r="GP264" i="1"/>
  <c r="GP259" i="1" s="1"/>
  <c r="GP257" i="1" s="1"/>
  <c r="GP256" i="1" s="1"/>
  <c r="GQ265" i="1"/>
  <c r="GH264" i="1"/>
  <c r="HP211" i="1"/>
  <c r="GL207" i="1"/>
  <c r="GL205" i="1" s="1"/>
  <c r="CV236" i="1"/>
  <c r="CV228" i="1" s="1"/>
  <c r="GJ236" i="1"/>
  <c r="GJ228" i="1" s="1"/>
  <c r="AW228" i="1"/>
  <c r="AW188" i="1" s="1"/>
  <c r="IO217" i="1"/>
  <c r="IO215" i="1" s="1"/>
  <c r="EG217" i="1"/>
  <c r="EG215" i="1" s="1"/>
  <c r="EG188" i="1" s="1"/>
  <c r="GH218" i="1"/>
  <c r="GH217" i="1" s="1"/>
  <c r="GH215" i="1" s="1"/>
  <c r="GQ219" i="1"/>
  <c r="BD211" i="1"/>
  <c r="GK207" i="1"/>
  <c r="DG188" i="1"/>
  <c r="AZ205" i="1"/>
  <c r="GF236" i="1"/>
  <c r="GK218" i="1"/>
  <c r="GK217" i="1" s="1"/>
  <c r="GK215" i="1" s="1"/>
  <c r="HO188" i="1"/>
  <c r="HO63" i="1" s="1"/>
  <c r="HO13" i="1" s="1"/>
  <c r="HO12" i="1" s="1"/>
  <c r="HO11" i="1" s="1"/>
  <c r="HO10" i="1" s="1"/>
  <c r="HO335" i="1" s="1"/>
  <c r="GP189" i="1"/>
  <c r="BD177" i="1"/>
  <c r="BD176" i="1" s="1"/>
  <c r="EK188" i="1"/>
  <c r="CV189" i="1"/>
  <c r="GH166" i="1"/>
  <c r="GQ106" i="1"/>
  <c r="GQ105" i="1" s="1"/>
  <c r="GH105" i="1"/>
  <c r="GQ132" i="1"/>
  <c r="GQ130" i="1" s="1"/>
  <c r="GH130" i="1"/>
  <c r="GQ96" i="1"/>
  <c r="GQ95" i="1" s="1"/>
  <c r="GH95" i="1"/>
  <c r="BD110" i="1"/>
  <c r="BD104" i="1" s="1"/>
  <c r="BD92" i="1" s="1"/>
  <c r="BD91" i="1" s="1"/>
  <c r="CV104" i="1"/>
  <c r="GO24" i="1"/>
  <c r="GH320" i="1"/>
  <c r="GQ312" i="1"/>
  <c r="GQ302" i="1"/>
  <c r="BD272" i="1"/>
  <c r="GQ273" i="1"/>
  <c r="GH272" i="1"/>
  <c r="GK264" i="1"/>
  <c r="GK259" i="1" s="1"/>
  <c r="GK257" i="1" s="1"/>
  <c r="GK256" i="1" s="1"/>
  <c r="EF259" i="1"/>
  <c r="EF257" i="1" s="1"/>
  <c r="EF256" i="1" s="1"/>
  <c r="EK63" i="1"/>
  <c r="EK13" i="1" s="1"/>
  <c r="EK12" i="1" s="1"/>
  <c r="EK11" i="1" s="1"/>
  <c r="EK10" i="1" s="1"/>
  <c r="GO259" i="1"/>
  <c r="GO257" i="1" s="1"/>
  <c r="GO256" i="1" s="1"/>
  <c r="GQ230" i="1"/>
  <c r="GH236" i="1"/>
  <c r="BD236" i="1"/>
  <c r="BD228" i="1" s="1"/>
  <c r="AU63" i="1"/>
  <c r="GK236" i="1"/>
  <c r="GK228" i="1" s="1"/>
  <c r="GN223" i="1"/>
  <c r="BC228" i="1"/>
  <c r="HL228" i="1"/>
  <c r="HL188" i="1" s="1"/>
  <c r="CR228" i="1"/>
  <c r="CR188" i="1" s="1"/>
  <c r="CR63" i="1" s="1"/>
  <c r="CR13" i="1" s="1"/>
  <c r="CR12" i="1" s="1"/>
  <c r="CR11" i="1" s="1"/>
  <c r="CR10" i="1" s="1"/>
  <c r="GM236" i="1"/>
  <c r="GF228" i="1"/>
  <c r="GM223" i="1"/>
  <c r="GM217" i="1" s="1"/>
  <c r="GM215" i="1" s="1"/>
  <c r="GQ248" i="1"/>
  <c r="GL223" i="1"/>
  <c r="FX188" i="1"/>
  <c r="DR217" i="1"/>
  <c r="DR215" i="1" s="1"/>
  <c r="DR188" i="1" s="1"/>
  <c r="DR63" i="1" s="1"/>
  <c r="DR13" i="1" s="1"/>
  <c r="DR12" i="1" s="1"/>
  <c r="DR11" i="1" s="1"/>
  <c r="DR10" i="1" s="1"/>
  <c r="EE217" i="1"/>
  <c r="EE215" i="1" s="1"/>
  <c r="GD188" i="1"/>
  <c r="GD63" i="1" s="1"/>
  <c r="GD13" i="1" s="1"/>
  <c r="GD12" i="1" s="1"/>
  <c r="GD11" i="1" s="1"/>
  <c r="GD10" i="1" s="1"/>
  <c r="CK188" i="1"/>
  <c r="FW188" i="1"/>
  <c r="GQ222" i="1"/>
  <c r="CP188" i="1"/>
  <c r="CP63" i="1" s="1"/>
  <c r="CP13" i="1" s="1"/>
  <c r="CP12" i="1" s="1"/>
  <c r="CP11" i="1" s="1"/>
  <c r="CP10" i="1" s="1"/>
  <c r="GF211" i="1"/>
  <c r="GF205" i="1" s="1"/>
  <c r="HK188" i="1"/>
  <c r="HK63" i="1" s="1"/>
  <c r="HK13" i="1" s="1"/>
  <c r="HK12" i="1" s="1"/>
  <c r="HK11" i="1" s="1"/>
  <c r="HK10" i="1" s="1"/>
  <c r="HK335" i="1" s="1"/>
  <c r="GP207" i="1"/>
  <c r="GM189" i="1"/>
  <c r="GL189" i="1"/>
  <c r="IJ160" i="1"/>
  <c r="IJ159" i="1" s="1"/>
  <c r="GQ140" i="1"/>
  <c r="GQ139" i="1" s="1"/>
  <c r="GH139" i="1"/>
  <c r="GH137" i="1" s="1"/>
  <c r="GH136" i="1" s="1"/>
  <c r="GQ120" i="1"/>
  <c r="GQ52" i="1"/>
  <c r="GQ51" i="1" s="1"/>
  <c r="GH51" i="1"/>
  <c r="GQ110" i="1"/>
  <c r="GH43" i="1"/>
  <c r="GQ31" i="1"/>
  <c r="GQ30" i="1" s="1"/>
  <c r="GH30" i="1"/>
  <c r="GK24" i="1"/>
  <c r="GH27" i="1"/>
  <c r="GQ326" i="1"/>
  <c r="GQ325" i="1" s="1"/>
  <c r="GO310" i="1"/>
  <c r="GO309" i="1" s="1"/>
  <c r="GQ295" i="1"/>
  <c r="GQ294" i="1" s="1"/>
  <c r="GH294" i="1"/>
  <c r="GH302" i="1"/>
  <c r="BD281" i="1"/>
  <c r="BD280" i="1" s="1"/>
  <c r="BD279" i="1" s="1"/>
  <c r="GI272" i="1"/>
  <c r="GI259" i="1" s="1"/>
  <c r="GI257" i="1" s="1"/>
  <c r="GI256" i="1" s="1"/>
  <c r="HP272" i="1"/>
  <c r="HP259" i="1" s="1"/>
  <c r="GG264" i="1"/>
  <c r="CV259" i="1"/>
  <c r="CV257" i="1" s="1"/>
  <c r="CV256" i="1" s="1"/>
  <c r="IE63" i="1"/>
  <c r="IE13" i="1" s="1"/>
  <c r="IE12" i="1" s="1"/>
  <c r="IE11" i="1" s="1"/>
  <c r="IE10" i="1" s="1"/>
  <c r="IE335" i="1" s="1"/>
  <c r="GN259" i="1"/>
  <c r="GN257" i="1" s="1"/>
  <c r="GN256" i="1" s="1"/>
  <c r="IJ264" i="1"/>
  <c r="IJ259" i="1" s="1"/>
  <c r="IJ257" i="1" s="1"/>
  <c r="IJ256" i="1" s="1"/>
  <c r="EG63" i="1"/>
  <c r="EG13" i="1" s="1"/>
  <c r="EG12" i="1" s="1"/>
  <c r="EG11" i="1" s="1"/>
  <c r="EG10" i="1" s="1"/>
  <c r="GQ243" i="1"/>
  <c r="GH242" i="1"/>
  <c r="GH241" i="1" s="1"/>
  <c r="GQ271" i="1"/>
  <c r="GH259" i="1"/>
  <c r="GK242" i="1"/>
  <c r="GK241" i="1" s="1"/>
  <c r="IJ242" i="1"/>
  <c r="IJ241" i="1" s="1"/>
  <c r="GL264" i="1"/>
  <c r="GL259" i="1" s="1"/>
  <c r="GL257" i="1" s="1"/>
  <c r="GL256" i="1" s="1"/>
  <c r="BD264" i="1"/>
  <c r="BD259" i="1" s="1"/>
  <c r="GQ237" i="1"/>
  <c r="GQ235" i="1"/>
  <c r="GM228" i="1"/>
  <c r="GJ223" i="1"/>
  <c r="GJ217" i="1" s="1"/>
  <c r="GJ215" i="1" s="1"/>
  <c r="AY228" i="1"/>
  <c r="CV217" i="1"/>
  <c r="CV215" i="1" s="1"/>
  <c r="EN211" i="1"/>
  <c r="GQ209" i="1"/>
  <c r="BD223" i="1"/>
  <c r="GI218" i="1"/>
  <c r="GI217" i="1" s="1"/>
  <c r="GI215" i="1" s="1"/>
  <c r="IJ211" i="1"/>
  <c r="IJ205" i="1" s="1"/>
  <c r="BD205" i="1"/>
  <c r="EE228" i="1"/>
  <c r="EN236" i="1"/>
  <c r="EN228" i="1" s="1"/>
  <c r="GN236" i="1"/>
  <c r="GN228" i="1" s="1"/>
  <c r="BA228" i="1"/>
  <c r="BA188" i="1" s="1"/>
  <c r="BC188" i="1"/>
  <c r="BC63" i="1" s="1"/>
  <c r="GC188" i="1"/>
  <c r="GN218" i="1"/>
  <c r="FJ188" i="1"/>
  <c r="FJ63" i="1" s="1"/>
  <c r="FJ13" i="1" s="1"/>
  <c r="FJ12" i="1" s="1"/>
  <c r="FJ11" i="1" s="1"/>
  <c r="FJ10" i="1" s="1"/>
  <c r="GP211" i="1"/>
  <c r="CM188" i="1"/>
  <c r="FZ188" i="1"/>
  <c r="FZ63" i="1" s="1"/>
  <c r="FZ13" i="1" s="1"/>
  <c r="FZ12" i="1" s="1"/>
  <c r="FZ11" i="1" s="1"/>
  <c r="FZ10" i="1" s="1"/>
  <c r="BB205" i="1"/>
  <c r="BB188" i="1" s="1"/>
  <c r="GQ229" i="1"/>
  <c r="GF223" i="1"/>
  <c r="II188" i="1"/>
  <c r="II63" i="1" s="1"/>
  <c r="II13" i="1" s="1"/>
  <c r="II12" i="1" s="1"/>
  <c r="II11" i="1" s="1"/>
  <c r="II10" i="1" s="1"/>
  <c r="II335" i="1" s="1"/>
  <c r="GQ208" i="1"/>
  <c r="GH207" i="1"/>
  <c r="GH205" i="1" s="1"/>
  <c r="GI189" i="1"/>
  <c r="GQ192" i="1"/>
  <c r="GQ191" i="1" s="1"/>
  <c r="BD172" i="1"/>
  <c r="BD171" i="1" s="1"/>
  <c r="GQ101" i="1"/>
  <c r="GQ100" i="1" s="1"/>
  <c r="GH100" i="1"/>
  <c r="GH172" i="1"/>
  <c r="GH171" i="1" s="1"/>
  <c r="GH170" i="1" s="1"/>
  <c r="GQ116" i="1"/>
  <c r="GQ115" i="1" s="1"/>
  <c r="GH115" i="1"/>
  <c r="GH120" i="1"/>
  <c r="BD43" i="1"/>
  <c r="BD41" i="1" s="1"/>
  <c r="GQ70" i="1"/>
  <c r="GQ69" i="1" s="1"/>
  <c r="GQ67" i="1" s="1"/>
  <c r="GQ66" i="1" s="1"/>
  <c r="GH69" i="1"/>
  <c r="GH67" i="1" s="1"/>
  <c r="GH66" i="1" s="1"/>
  <c r="GQ155" i="1"/>
  <c r="GH110" i="1"/>
  <c r="GI104" i="1"/>
  <c r="GI92" i="1" s="1"/>
  <c r="GQ43" i="1"/>
  <c r="GQ36" i="1"/>
  <c r="GQ35" i="1" s="1"/>
  <c r="GH35" i="1"/>
  <c r="BD25" i="1"/>
  <c r="GQ27" i="1"/>
  <c r="CS13" i="1" l="1"/>
  <c r="CS12" i="1" s="1"/>
  <c r="CS11" i="1" s="1"/>
  <c r="CS10" i="1" s="1"/>
  <c r="EI63" i="1"/>
  <c r="EI13" i="1" s="1"/>
  <c r="EI12" i="1" s="1"/>
  <c r="EI11" i="1" s="1"/>
  <c r="EI10" i="1" s="1"/>
  <c r="GK65" i="1"/>
  <c r="EM65" i="1"/>
  <c r="EM63" i="1" s="1"/>
  <c r="EM13" i="1" s="1"/>
  <c r="EM12" i="1" s="1"/>
  <c r="EM11" i="1" s="1"/>
  <c r="EM10" i="1" s="1"/>
  <c r="GA63" i="1"/>
  <c r="GA13" i="1" s="1"/>
  <c r="GA12" i="1" s="1"/>
  <c r="GA11" i="1" s="1"/>
  <c r="GA10" i="1" s="1"/>
  <c r="HP92" i="1"/>
  <c r="HP91" i="1" s="1"/>
  <c r="GE63" i="1"/>
  <c r="GE13" i="1" s="1"/>
  <c r="GE12" i="1" s="1"/>
  <c r="GE11" i="1" s="1"/>
  <c r="GE10" i="1" s="1"/>
  <c r="CU13" i="1"/>
  <c r="CU12" i="1" s="1"/>
  <c r="CU11" i="1" s="1"/>
  <c r="CU10" i="1" s="1"/>
  <c r="GH25" i="1"/>
  <c r="CK63" i="1"/>
  <c r="CK13" i="1" s="1"/>
  <c r="CK12" i="1" s="1"/>
  <c r="CK11" i="1" s="1"/>
  <c r="CK10" i="1" s="1"/>
  <c r="GP24" i="1"/>
  <c r="GJ137" i="1"/>
  <c r="GJ136" i="1" s="1"/>
  <c r="AV13" i="1"/>
  <c r="AV12" i="1" s="1"/>
  <c r="AV11" i="1" s="1"/>
  <c r="AV10" i="1" s="1"/>
  <c r="GN137" i="1"/>
  <c r="GN136" i="1" s="1"/>
  <c r="GI24" i="1"/>
  <c r="EN92" i="1"/>
  <c r="EN91" i="1" s="1"/>
  <c r="EN65" i="1" s="1"/>
  <c r="GJ104" i="1"/>
  <c r="GJ92" i="1" s="1"/>
  <c r="GJ91" i="1" s="1"/>
  <c r="CN188" i="1"/>
  <c r="CN63" i="1" s="1"/>
  <c r="CN13" i="1" s="1"/>
  <c r="CN12" i="1" s="1"/>
  <c r="CN11" i="1" s="1"/>
  <c r="CN10" i="1" s="1"/>
  <c r="GL92" i="1"/>
  <c r="GL91" i="1" s="1"/>
  <c r="IJ25" i="1"/>
  <c r="IJ24" i="1" s="1"/>
  <c r="GM24" i="1"/>
  <c r="CT63" i="1"/>
  <c r="CT13" i="1" s="1"/>
  <c r="CT12" i="1" s="1"/>
  <c r="CT11" i="1" s="1"/>
  <c r="CT10" i="1" s="1"/>
  <c r="EL63" i="1"/>
  <c r="EL13" i="1" s="1"/>
  <c r="EL12" i="1" s="1"/>
  <c r="EL11" i="1" s="1"/>
  <c r="EL10" i="1" s="1"/>
  <c r="GQ281" i="1"/>
  <c r="FX65" i="1"/>
  <c r="FX63" i="1" s="1"/>
  <c r="FX13" i="1" s="1"/>
  <c r="FX12" i="1" s="1"/>
  <c r="FX11" i="1" s="1"/>
  <c r="FX10" i="1" s="1"/>
  <c r="GO188" i="1"/>
  <c r="EY13" i="1"/>
  <c r="EY12" i="1" s="1"/>
  <c r="EY11" i="1" s="1"/>
  <c r="EY10" i="1" s="1"/>
  <c r="W63" i="1"/>
  <c r="W13" i="1" s="1"/>
  <c r="W12" i="1" s="1"/>
  <c r="W11" i="1" s="1"/>
  <c r="W10" i="1" s="1"/>
  <c r="GQ41" i="1"/>
  <c r="GI91" i="1"/>
  <c r="GI65" i="1" s="1"/>
  <c r="GQ207" i="1"/>
  <c r="GQ205" i="1" s="1"/>
  <c r="BB63" i="1"/>
  <c r="BB13" i="1" s="1"/>
  <c r="BB12" i="1" s="1"/>
  <c r="BB11" i="1" s="1"/>
  <c r="BB10" i="1" s="1"/>
  <c r="GC63" i="1"/>
  <c r="GC13" i="1" s="1"/>
  <c r="GC12" i="1" s="1"/>
  <c r="GC11" i="1" s="1"/>
  <c r="GC10" i="1" s="1"/>
  <c r="GK205" i="1"/>
  <c r="HP205" i="1"/>
  <c r="HP188" i="1" s="1"/>
  <c r="HA63" i="1"/>
  <c r="HA13" i="1" s="1"/>
  <c r="HA12" i="1" s="1"/>
  <c r="HA11" i="1" s="1"/>
  <c r="HA10" i="1" s="1"/>
  <c r="HA335" i="1" s="1"/>
  <c r="CM63" i="1"/>
  <c r="CM13" i="1" s="1"/>
  <c r="CM12" i="1" s="1"/>
  <c r="CM11" i="1" s="1"/>
  <c r="CM10" i="1" s="1"/>
  <c r="GN92" i="1"/>
  <c r="GN91" i="1" s="1"/>
  <c r="HL63" i="1"/>
  <c r="HL13" i="1" s="1"/>
  <c r="HL12" i="1" s="1"/>
  <c r="HL11" i="1" s="1"/>
  <c r="HL10" i="1" s="1"/>
  <c r="HL335" i="1" s="1"/>
  <c r="IJ104" i="1"/>
  <c r="IJ92" i="1" s="1"/>
  <c r="IJ91" i="1" s="1"/>
  <c r="GM310" i="1"/>
  <c r="GM309" i="1" s="1"/>
  <c r="GJ25" i="1"/>
  <c r="AX63" i="1"/>
  <c r="AX13" i="1" s="1"/>
  <c r="AX12" i="1" s="1"/>
  <c r="AX11" i="1" s="1"/>
  <c r="AX10" i="1" s="1"/>
  <c r="IF63" i="1"/>
  <c r="IF13" i="1" s="1"/>
  <c r="IF12" i="1" s="1"/>
  <c r="IF11" i="1" s="1"/>
  <c r="IF10" i="1" s="1"/>
  <c r="IF335" i="1" s="1"/>
  <c r="GH280" i="1"/>
  <c r="GH279" i="1" s="1"/>
  <c r="IO188" i="1"/>
  <c r="IO63" i="1" s="1"/>
  <c r="IO13" i="1" s="1"/>
  <c r="IO12" i="1" s="1"/>
  <c r="IO11" i="1" s="1"/>
  <c r="IO10" i="1" s="1"/>
  <c r="IO335" i="1" s="1"/>
  <c r="EN257" i="1"/>
  <c r="EN256" i="1" s="1"/>
  <c r="HP137" i="1"/>
  <c r="HP136" i="1" s="1"/>
  <c r="HP65" i="1" s="1"/>
  <c r="GL137" i="1"/>
  <c r="GL136" i="1" s="1"/>
  <c r="IJ137" i="1"/>
  <c r="IJ136" i="1" s="1"/>
  <c r="CV310" i="1"/>
  <c r="CV309" i="1" s="1"/>
  <c r="GN25" i="1"/>
  <c r="GN24" i="1" s="1"/>
  <c r="AW65" i="1"/>
  <c r="GL65" i="1"/>
  <c r="GO92" i="1"/>
  <c r="GO91" i="1" s="1"/>
  <c r="GO65" i="1" s="1"/>
  <c r="GH41" i="1"/>
  <c r="GH24" i="1" s="1"/>
  <c r="AU13" i="1"/>
  <c r="AU12" i="1" s="1"/>
  <c r="AU11" i="1" s="1"/>
  <c r="AU10" i="1" s="1"/>
  <c r="DG63" i="1"/>
  <c r="DG13" i="1" s="1"/>
  <c r="DG12" i="1" s="1"/>
  <c r="DG11" i="1" s="1"/>
  <c r="DG10" i="1" s="1"/>
  <c r="GP92" i="1"/>
  <c r="GP91" i="1" s="1"/>
  <c r="CV160" i="1"/>
  <c r="CV159" i="1" s="1"/>
  <c r="EN310" i="1"/>
  <c r="EN309" i="1" s="1"/>
  <c r="IJ310" i="1"/>
  <c r="IJ309" i="1" s="1"/>
  <c r="GF137" i="1"/>
  <c r="GF136" i="1" s="1"/>
  <c r="GF65" i="1" s="1"/>
  <c r="GL25" i="1"/>
  <c r="GL24" i="1" s="1"/>
  <c r="CQ13" i="1"/>
  <c r="CQ12" i="1" s="1"/>
  <c r="CQ11" i="1" s="1"/>
  <c r="CQ10" i="1" s="1"/>
  <c r="GN65" i="1"/>
  <c r="GP65" i="1"/>
  <c r="GM92" i="1"/>
  <c r="GM91" i="1" s="1"/>
  <c r="GM65" i="1" s="1"/>
  <c r="GJ65" i="1"/>
  <c r="FW63" i="1"/>
  <c r="FW13" i="1" s="1"/>
  <c r="FW12" i="1" s="1"/>
  <c r="FW11" i="1" s="1"/>
  <c r="FW10" i="1" s="1"/>
  <c r="AW63" i="1"/>
  <c r="AW13" i="1" s="1"/>
  <c r="AW12" i="1" s="1"/>
  <c r="AW11" i="1" s="1"/>
  <c r="AW10" i="1" s="1"/>
  <c r="EF63" i="1"/>
  <c r="CV92" i="1"/>
  <c r="CV91" i="1" s="1"/>
  <c r="CV65" i="1" s="1"/>
  <c r="BD160" i="1"/>
  <c r="BD159" i="1" s="1"/>
  <c r="GB63" i="1"/>
  <c r="GB13" i="1" s="1"/>
  <c r="GB12" i="1" s="1"/>
  <c r="GB11" i="1" s="1"/>
  <c r="GB10" i="1" s="1"/>
  <c r="GQ189" i="1"/>
  <c r="BC13" i="1"/>
  <c r="BC12" i="1" s="1"/>
  <c r="BC11" i="1" s="1"/>
  <c r="BC10" i="1" s="1"/>
  <c r="AY188" i="1"/>
  <c r="AY63" i="1" s="1"/>
  <c r="AY13" i="1" s="1"/>
  <c r="AY12" i="1" s="1"/>
  <c r="AY11" i="1" s="1"/>
  <c r="AY10" i="1" s="1"/>
  <c r="GQ242" i="1"/>
  <c r="GQ241" i="1" s="1"/>
  <c r="GN217" i="1"/>
  <c r="GN215" i="1" s="1"/>
  <c r="BA63" i="1"/>
  <c r="BA13" i="1" s="1"/>
  <c r="BA12" i="1" s="1"/>
  <c r="BA11" i="1" s="1"/>
  <c r="BA10" i="1" s="1"/>
  <c r="BD257" i="1"/>
  <c r="BD256" i="1" s="1"/>
  <c r="GQ272" i="1"/>
  <c r="GH310" i="1"/>
  <c r="GH309" i="1" s="1"/>
  <c r="GQ104" i="1"/>
  <c r="GQ264" i="1"/>
  <c r="BD137" i="1"/>
  <c r="BD136" i="1" s="1"/>
  <c r="GQ25" i="1"/>
  <c r="IJ188" i="1"/>
  <c r="HP257" i="1"/>
  <c r="HP256" i="1" s="1"/>
  <c r="GP205" i="1"/>
  <c r="EE188" i="1"/>
  <c r="EE63" i="1" s="1"/>
  <c r="EE13" i="1" s="1"/>
  <c r="EE12" i="1" s="1"/>
  <c r="EE11" i="1" s="1"/>
  <c r="EE10" i="1" s="1"/>
  <c r="AZ188" i="1"/>
  <c r="AZ63" i="1" s="1"/>
  <c r="AZ13" i="1" s="1"/>
  <c r="AZ12" i="1" s="1"/>
  <c r="AZ11" i="1" s="1"/>
  <c r="AZ10" i="1" s="1"/>
  <c r="EN205" i="1"/>
  <c r="EN188" i="1" s="1"/>
  <c r="GL217" i="1"/>
  <c r="GL215" i="1" s="1"/>
  <c r="GL188" i="1" s="1"/>
  <c r="GL63" i="1" s="1"/>
  <c r="GL13" i="1" s="1"/>
  <c r="GL12" i="1" s="1"/>
  <c r="GL11" i="1" s="1"/>
  <c r="GL10" i="1" s="1"/>
  <c r="GL335" i="1" s="1"/>
  <c r="GJ24" i="1"/>
  <c r="GJ188" i="1"/>
  <c r="GK188" i="1"/>
  <c r="GK63" i="1" s="1"/>
  <c r="GK13" i="1" s="1"/>
  <c r="GK12" i="1" s="1"/>
  <c r="GK11" i="1" s="1"/>
  <c r="GK10" i="1" s="1"/>
  <c r="GK335" i="1" s="1"/>
  <c r="GN188" i="1"/>
  <c r="GN63" i="1" s="1"/>
  <c r="GN13" i="1" s="1"/>
  <c r="GN12" i="1" s="1"/>
  <c r="GN11" i="1" s="1"/>
  <c r="GN10" i="1" s="1"/>
  <c r="GN335" i="1" s="1"/>
  <c r="GQ24" i="1"/>
  <c r="GM188" i="1"/>
  <c r="BD24" i="1"/>
  <c r="GI188" i="1"/>
  <c r="GI63" i="1" s="1"/>
  <c r="GI13" i="1" s="1"/>
  <c r="GI12" i="1" s="1"/>
  <c r="GI11" i="1" s="1"/>
  <c r="GI10" i="1" s="1"/>
  <c r="GI335" i="1" s="1"/>
  <c r="GO63" i="1"/>
  <c r="GQ236" i="1"/>
  <c r="GQ228" i="1" s="1"/>
  <c r="BD310" i="1"/>
  <c r="BD309" i="1" s="1"/>
  <c r="BD170" i="1"/>
  <c r="GH257" i="1"/>
  <c r="GH256" i="1" s="1"/>
  <c r="GQ310" i="1"/>
  <c r="GQ309" i="1" s="1"/>
  <c r="GQ94" i="1"/>
  <c r="GQ92" i="1" s="1"/>
  <c r="GQ91" i="1" s="1"/>
  <c r="GH104" i="1"/>
  <c r="GQ218" i="1"/>
  <c r="GQ217" i="1" s="1"/>
  <c r="GQ215" i="1" s="1"/>
  <c r="GJ63" i="1"/>
  <c r="GJ13" i="1" s="1"/>
  <c r="GJ12" i="1" s="1"/>
  <c r="GJ11" i="1" s="1"/>
  <c r="GJ10" i="1" s="1"/>
  <c r="GJ335" i="1" s="1"/>
  <c r="GQ170" i="1"/>
  <c r="BD217" i="1"/>
  <c r="BD215" i="1" s="1"/>
  <c r="GO13" i="1"/>
  <c r="GO12" i="1" s="1"/>
  <c r="GO11" i="1" s="1"/>
  <c r="GO10" i="1" s="1"/>
  <c r="GO335" i="1" s="1"/>
  <c r="EF13" i="1"/>
  <c r="EF12" i="1" s="1"/>
  <c r="EF11" i="1" s="1"/>
  <c r="EF10" i="1" s="1"/>
  <c r="GQ137" i="1"/>
  <c r="GQ136" i="1" s="1"/>
  <c r="GH160" i="1"/>
  <c r="GH159" i="1" s="1"/>
  <c r="GF217" i="1"/>
  <c r="GF215" i="1" s="1"/>
  <c r="GF188" i="1" s="1"/>
  <c r="GH228" i="1"/>
  <c r="GH188" i="1" s="1"/>
  <c r="GQ280" i="1"/>
  <c r="GQ279" i="1" s="1"/>
  <c r="GH94" i="1"/>
  <c r="CV188" i="1"/>
  <c r="CV63" i="1" s="1"/>
  <c r="CV13" i="1" s="1"/>
  <c r="CV12" i="1" s="1"/>
  <c r="CV11" i="1" s="1"/>
  <c r="CV10" i="1" s="1"/>
  <c r="GP188" i="1"/>
  <c r="GP63" i="1" s="1"/>
  <c r="GP13" i="1" s="1"/>
  <c r="GP12" i="1" s="1"/>
  <c r="GP11" i="1" s="1"/>
  <c r="GP10" i="1" s="1"/>
  <c r="GP335" i="1" s="1"/>
  <c r="GQ160" i="1"/>
  <c r="GQ159" i="1" s="1"/>
  <c r="BD188" i="1"/>
  <c r="EN63" i="1" l="1"/>
  <c r="EN13" i="1" s="1"/>
  <c r="EN12" i="1" s="1"/>
  <c r="EN11" i="1" s="1"/>
  <c r="EN10" i="1" s="1"/>
  <c r="GQ259" i="1"/>
  <c r="GF63" i="1"/>
  <c r="GF13" i="1" s="1"/>
  <c r="GF12" i="1" s="1"/>
  <c r="GF11" i="1" s="1"/>
  <c r="GF10" i="1" s="1"/>
  <c r="HP63" i="1"/>
  <c r="HP13" i="1" s="1"/>
  <c r="HP12" i="1" s="1"/>
  <c r="HP11" i="1" s="1"/>
  <c r="HP10" i="1" s="1"/>
  <c r="HP335" i="1" s="1"/>
  <c r="BD65" i="1"/>
  <c r="BD63" i="1" s="1"/>
  <c r="BD13" i="1" s="1"/>
  <c r="BD12" i="1" s="1"/>
  <c r="BD11" i="1" s="1"/>
  <c r="BD10" i="1" s="1"/>
  <c r="IJ65" i="1"/>
  <c r="IJ63" i="1" s="1"/>
  <c r="IJ13" i="1" s="1"/>
  <c r="IJ12" i="1" s="1"/>
  <c r="IJ11" i="1" s="1"/>
  <c r="IJ10" i="1" s="1"/>
  <c r="IJ335" i="1" s="1"/>
  <c r="GQ188" i="1"/>
  <c r="GM63" i="1"/>
  <c r="GM13" i="1" s="1"/>
  <c r="GM12" i="1" s="1"/>
  <c r="GM11" i="1" s="1"/>
  <c r="GM10" i="1" s="1"/>
  <c r="GM335" i="1" s="1"/>
  <c r="GQ65" i="1"/>
  <c r="GQ257" i="1"/>
  <c r="GQ256" i="1" s="1"/>
  <c r="GH92" i="1"/>
  <c r="GH91" i="1" s="1"/>
  <c r="GH65" i="1" s="1"/>
  <c r="GH63" i="1" s="1"/>
  <c r="GH13" i="1" s="1"/>
  <c r="GH12" i="1" s="1"/>
  <c r="GH11" i="1" s="1"/>
  <c r="GH10" i="1" s="1"/>
  <c r="GH335" i="1" s="1"/>
  <c r="GQ63" i="1" l="1"/>
  <c r="GQ13" i="1" s="1"/>
  <c r="GQ12" i="1" s="1"/>
  <c r="GQ11" i="1" s="1"/>
  <c r="GQ10" i="1" s="1"/>
  <c r="GQ335" i="1" s="1"/>
</calcChain>
</file>

<file path=xl/sharedStrings.xml><?xml version="1.0" encoding="utf-8"?>
<sst xmlns="http://schemas.openxmlformats.org/spreadsheetml/2006/main" count="5218" uniqueCount="1214">
  <si>
    <t>PROGRAM EXPENDITURE CLASSIFICATION (PREXC)</t>
  </si>
  <si>
    <t>1ST QUARTER</t>
  </si>
  <si>
    <t>2ND QUARTER</t>
  </si>
  <si>
    <t>4TH QUARTER</t>
  </si>
  <si>
    <t>GRAND TOTAL</t>
  </si>
  <si>
    <t>No. of Units</t>
  </si>
  <si>
    <t>Beneficiaries</t>
  </si>
  <si>
    <t>Poor Fisherfolks (Male)</t>
  </si>
  <si>
    <t>Poor Fisherfolks (Female)</t>
  </si>
  <si>
    <t>Sr. Citizen (Male)</t>
  </si>
  <si>
    <t>Sr. Citizen (Female)</t>
  </si>
  <si>
    <t>Group</t>
  </si>
  <si>
    <t>IP</t>
  </si>
  <si>
    <t>PWD</t>
  </si>
  <si>
    <t>Others (Male)</t>
  </si>
  <si>
    <t>Others (Female)</t>
  </si>
  <si>
    <t>Total</t>
  </si>
  <si>
    <t>PS</t>
  </si>
  <si>
    <t>MOOE</t>
  </si>
  <si>
    <t>FINEX</t>
  </si>
  <si>
    <t>CO</t>
  </si>
  <si>
    <t>TOTAL</t>
  </si>
  <si>
    <t xml:space="preserve"> </t>
  </si>
  <si>
    <t>01000000 - REGULAR AGENCY FUND</t>
  </si>
  <si>
    <t>01100000 - GENERAL FUND</t>
  </si>
  <si>
    <t>01101000 - NEW GENERAL APPROPRIATION</t>
  </si>
  <si>
    <t>01101101 - SPECIFIC BUDGET OF THE AGENCY</t>
  </si>
  <si>
    <t>1-0-00-00-0-00000-000 GENERAL ADMINISTRATION AND SUPPORT</t>
  </si>
  <si>
    <t>1-0-00-00-1-00001-000 GENERAL MANAGEMENT AND SUPERVISION</t>
  </si>
  <si>
    <t>PERSONNEL SERVICES</t>
  </si>
  <si>
    <t>1-0-00-00-1-00001-001 Operation of BFAR Central and Regional Offices</t>
  </si>
  <si>
    <t>1-0-00-00-1-00001-002 Operation of BFAR Provincial/City Fishery Offices</t>
  </si>
  <si>
    <t>1-0-00-00-1-00001-003 Operation of BFAR Quarantine Stations</t>
  </si>
  <si>
    <t>1-0-00-00-1-00001-004 Operation of NFRDI</t>
  </si>
  <si>
    <t>1-0-00-00-1-00001-005 Staff Development</t>
  </si>
  <si>
    <t>1-0-00-00-1-00002-000 Administration of Personnel Benefits</t>
  </si>
  <si>
    <t>2-0-00-00-0-00000-000 SUPPORT TO OPERATIONS</t>
  </si>
  <si>
    <t>2-0-00-00-1-00001-000 DEVELOPMENT OF ORGANIZATIONAL POLICIES, PLANS AND PROCEDURES</t>
  </si>
  <si>
    <t>2-0-00-00-1-00001-001 Conduct of studies/reviews</t>
  </si>
  <si>
    <t>- Number of studies conducted</t>
  </si>
  <si>
    <t>- Number of policy review conducted</t>
  </si>
  <si>
    <t>2-0-00-00-1-00001-002 Conduct of Consultations/Workshops/Meetings</t>
  </si>
  <si>
    <t>- Number of Local consultations/ Workshops/ Meetings conducted</t>
  </si>
  <si>
    <t>- Number of Local consultations/ Workshops/ Meetings attended</t>
  </si>
  <si>
    <t>- Number of International consultations/ Workshops/ Meetings hosted</t>
  </si>
  <si>
    <t>- Number of International consultations/ Workshops/ Meetings attended</t>
  </si>
  <si>
    <t>2-0-00-00-1-00001-003 Monitoring and Evaluation</t>
  </si>
  <si>
    <t>- Number of field visits conducted</t>
  </si>
  <si>
    <t xml:space="preserve">- Number of reports (monthly/Quarterly/Annual) prepared </t>
  </si>
  <si>
    <t xml:space="preserve">- Number of policy recommendations issued </t>
  </si>
  <si>
    <t>2-0-00-00-1-00001-004 Information Management</t>
  </si>
  <si>
    <t>- FIMC Operated (National/Regional)</t>
  </si>
  <si>
    <t>2-0-00-00-1-00002-000 RESEARCH AND DEVELOPMENT</t>
  </si>
  <si>
    <t>2-0-00-00-1-00002-001 Conduct of Research and Development Activities</t>
  </si>
  <si>
    <t>- Number of  on-going research</t>
  </si>
  <si>
    <t>- Number of researches completed</t>
  </si>
  <si>
    <t>- Number of technologies verified</t>
  </si>
  <si>
    <t>- Number of Landing Sites Surveyed</t>
  </si>
  <si>
    <t>- Number of technical papers produced</t>
  </si>
  <si>
    <t>- Number of technical papers published</t>
  </si>
  <si>
    <t>- Number of research outputs presented in scientific conferences</t>
  </si>
  <si>
    <t>2-0-00-00-1-00002-002  Operation and Management of M/V DA-BFAR, MarineFisheries Management, Research, Training and Oceanographic Vessel</t>
  </si>
  <si>
    <t>- Number of research explorations conducted</t>
  </si>
  <si>
    <t>- Number of collaborative programs conducted</t>
  </si>
  <si>
    <t>2-0-00-00-1-00003-000  LEGAL AND ADVISORY SERVICES</t>
  </si>
  <si>
    <t>- Number of Legal and advisory services rendered</t>
  </si>
  <si>
    <t>- Number of fishery cases filed</t>
  </si>
  <si>
    <t>3-0-00-00-0-00000-000 OPERATIONS</t>
  </si>
  <si>
    <t xml:space="preserve">3-1-00-00-0-00000-000 Productivity in Fisheries Sector within ecological limits Increased 
</t>
  </si>
  <si>
    <t>3-1-01-00-0-00000-000 FISHERIES DEVELOPMENT PROGRAM</t>
  </si>
  <si>
    <t>3-1-01-01-0-00000-000 CAPTURE FISHERIES SUB-PROGRAM</t>
  </si>
  <si>
    <t>3-1-01-01-1-00001-000 FISHING GEAR/PARAPHERNALIA DISTRIBUTION</t>
  </si>
  <si>
    <t>- Number of fishing gear/paraphernalia distributed</t>
  </si>
  <si>
    <t>a. Gill Net</t>
  </si>
  <si>
    <t>b. Hook and Lines</t>
  </si>
  <si>
    <t>c. Lambaklad</t>
  </si>
  <si>
    <t>d. Fish Pot</t>
  </si>
  <si>
    <t>e. Payao</t>
  </si>
  <si>
    <t>f. Squid Jigger</t>
  </si>
  <si>
    <t>g. Motorized banca</t>
  </si>
  <si>
    <t>h. Nonmotorized banca</t>
  </si>
  <si>
    <t>i. Marine engine</t>
  </si>
  <si>
    <t>j. Fish trap</t>
  </si>
  <si>
    <t>k. Multiple handline</t>
  </si>
  <si>
    <t>l. Tuna handline</t>
  </si>
  <si>
    <t>m. Crab lift net</t>
  </si>
  <si>
    <t>o. Crab pot</t>
  </si>
  <si>
    <t>p. Modified stationary liftnet</t>
  </si>
  <si>
    <t>q. Spear fishing gadget</t>
  </si>
  <si>
    <t>r. Fish corral</t>
  </si>
  <si>
    <t>s. Bagnet</t>
  </si>
  <si>
    <t>t. Life Vest</t>
  </si>
  <si>
    <t>u. Handliner Boat</t>
  </si>
  <si>
    <t xml:space="preserve">u. Others </t>
  </si>
  <si>
    <t>3-1-01-02-0-00000-000 AQUACULTURE SUB-PROGRAM</t>
  </si>
  <si>
    <r>
      <t xml:space="preserve"> 3-1-01-02-1-00001-000 </t>
    </r>
    <r>
      <rPr>
        <b/>
        <sz val="10"/>
        <color rgb="FFFF0000"/>
        <rFont val="Calibri"/>
        <family val="2"/>
      </rPr>
      <t xml:space="preserve">FISHERIES </t>
    </r>
    <r>
      <rPr>
        <b/>
        <sz val="10"/>
        <color rgb="FF000000"/>
        <rFont val="Calibri"/>
        <family val="2"/>
      </rPr>
      <t xml:space="preserve">PRODUCTION AND DISTRIBUTION </t>
    </r>
  </si>
  <si>
    <t xml:space="preserve">3-1-01-02-1-00001-001 Broodstock Development and Maintenance </t>
  </si>
  <si>
    <t>- Number of broodstocks maintained (pcs)</t>
  </si>
  <si>
    <t xml:space="preserve">a. Tilapia </t>
  </si>
  <si>
    <t>b. Carp</t>
  </si>
  <si>
    <t>c. Milkfish</t>
  </si>
  <si>
    <t xml:space="preserve">d. Other species of fish </t>
  </si>
  <si>
    <t>- Number of fingerlings/seed stocks distributed (in M)</t>
  </si>
  <si>
    <t>- Number of broodstocks distributed (pcs)</t>
  </si>
  <si>
    <t xml:space="preserve">b. Milkfish </t>
  </si>
  <si>
    <t xml:space="preserve">c. Carp Fingerlings </t>
  </si>
  <si>
    <t xml:space="preserve">c. Other species of fish </t>
  </si>
  <si>
    <t>d. Other species of fish</t>
  </si>
  <si>
    <t xml:space="preserve"> 3-1-01-02-1-00001-002 Fingerlings/Seed Stocks Production and Distribution </t>
  </si>
  <si>
    <t>- Number of fingerlings/seed stock produced (in M)</t>
  </si>
  <si>
    <t>- Number of fingerlings/seed stock procured (in M)</t>
  </si>
  <si>
    <t>- Number of seaweed propagules distributed (kg)</t>
  </si>
  <si>
    <t>a. Number of seaweed propagules produced</t>
  </si>
  <si>
    <t>b. Number of seaweed propagules procured</t>
  </si>
  <si>
    <t>- Number of seaweed farm implements distributed</t>
  </si>
  <si>
    <t>- Number of seaweed nurseries established</t>
  </si>
  <si>
    <t>- Number of seaweed nurseries maintained</t>
  </si>
  <si>
    <t>- Number of seaweed culture laboratory maintained</t>
  </si>
  <si>
    <t>- Number of mariculture parks maintained</t>
  </si>
  <si>
    <t>- Number of cages for livelihood distributed</t>
  </si>
  <si>
    <t>- Number of Environmental Monitoring conducted</t>
  </si>
  <si>
    <t xml:space="preserve"> 3-1-01-02-1-00002-000 OPERATION AND MANAGEMENT OF PRODUCTION FACILITIES</t>
  </si>
  <si>
    <t>PESONNEL SERVICES</t>
  </si>
  <si>
    <t>- Number of Technology Stations operated/maintained</t>
  </si>
  <si>
    <t>- Number of National Centers operated/maintained</t>
  </si>
  <si>
    <t>- Establishment of Seaweed Development Center</t>
  </si>
  <si>
    <t>- Number of hatcheries established/maintained</t>
  </si>
  <si>
    <t>3-1-01-03-0-00000-000 POST-HARVEST SUB-PROGRAM</t>
  </si>
  <si>
    <t>3-1-01-03-1-00001-000 PROVISION OF FISHERY ON-FARM EQUIPMENT AND POST-HARVEST FACILITIES</t>
  </si>
  <si>
    <t>3-1-01-03-1-00001-001 Establishment of Fishery On-Farm Equipment and Post-Harvest Facilities</t>
  </si>
  <si>
    <t>- Number of Fish Landing Established</t>
  </si>
  <si>
    <t>- Number of Ice Plant and Cold Storage (IPCS) established</t>
  </si>
  <si>
    <t>- Number of fishmarts facilitated/established</t>
  </si>
  <si>
    <t>- Number of other postharvest equipment distributed</t>
  </si>
  <si>
    <t>a. Fish stalls</t>
  </si>
  <si>
    <t>b. Ice Making Machine</t>
  </si>
  <si>
    <t>c. Blast Freezer</t>
  </si>
  <si>
    <t>d. Smokehouse</t>
  </si>
  <si>
    <t>e. Elevated solar dryer</t>
  </si>
  <si>
    <t>f. Seaweed dryers</t>
  </si>
  <si>
    <t xml:space="preserve">g. Freezer </t>
  </si>
  <si>
    <t>h. Vacuum packer</t>
  </si>
  <si>
    <t>i. Processing utensils</t>
  </si>
  <si>
    <t>j. Sorter</t>
  </si>
  <si>
    <t>k. Others</t>
  </si>
  <si>
    <t>3-1-01-03-1-00001-002 Establishment/maintenance &amp; operation of Other Fishery-Related Infrastructure and Equipment</t>
  </si>
  <si>
    <t>- Number of Processing Plants maintained/operated</t>
  </si>
  <si>
    <t>- Number of refrigerated van procured/operated</t>
  </si>
  <si>
    <t>- Number of of rain harvesting reservoir distributed</t>
  </si>
  <si>
    <t>3-1-01-04-0-00000-000 MARKET DEVELOPMENT SUB-PROGRAM</t>
  </si>
  <si>
    <t>3-1-01-04-1-00001-000 MARKET DEVELOPMENT SERVICES</t>
  </si>
  <si>
    <t>3-1-01-04-1-00001-001 Marketing Assistance</t>
  </si>
  <si>
    <t>- Number of market Monitoring conducted</t>
  </si>
  <si>
    <t>- Number of investment/industry fora conducted</t>
  </si>
  <si>
    <t>- Number of market matching facilitated</t>
  </si>
  <si>
    <t>3-1-01-04-1-00001-002 Participation to Agri-Aqua Fairs and Exhibits</t>
  </si>
  <si>
    <t>- Number of Agri-aqua fair/exhibit conducted</t>
  </si>
  <si>
    <t>- Number of Agri-aqua fair/exhibit participated</t>
  </si>
  <si>
    <t>- Number of investment facilitated</t>
  </si>
  <si>
    <t>3-1-01-05-0-00000-000 LOCALLY FUNDED AND FOREIGN ASSISTED SUB-PROGRAM</t>
  </si>
  <si>
    <t>LOCALLY FUNDED PROJECTS</t>
  </si>
  <si>
    <t>3-1-01-05-2-00001-000 Special Areas for Agricultural Development (SAAD) Program</t>
  </si>
  <si>
    <t>- Number of Livelihood Projects distributed</t>
  </si>
  <si>
    <t>- Number of trainings conducted</t>
  </si>
  <si>
    <t>FOREIGN ASSISTED PROJECTS</t>
  </si>
  <si>
    <t xml:space="preserve">3-1-01-05-3-00001-000 Fisheries Coastal Resources and Livelihood Project (FISH CORAL)
</t>
  </si>
  <si>
    <t>3-1-02-00-0-00000-000 FISHERIES REGULATORY &amp; LAW ENFORCEMENT PROGRAM</t>
  </si>
  <si>
    <t>3-1-02-00-1-00001-000 MONITORING, CONTROL AND SURVEILLANCE</t>
  </si>
  <si>
    <t>3-1-02-00-1-00001-001 Regulations and enforcement Activities</t>
  </si>
  <si>
    <t>- Establishment of MCS Center</t>
  </si>
  <si>
    <t>- Number of MCS Stations maintained</t>
  </si>
  <si>
    <t>- Number of multi-mission vessels procured</t>
  </si>
  <si>
    <t>- Number of multi-mission vessels /operated</t>
  </si>
  <si>
    <t>- Number of  MCS and Patrol vessels procured</t>
  </si>
  <si>
    <t>- Number of MCS and Patrol Vessels operated</t>
  </si>
  <si>
    <t>- Number of Vessel Monitoring Systems operated</t>
  </si>
  <si>
    <t>- Number of fishing vessels tracked/monitored</t>
  </si>
  <si>
    <t>- Number of Fishery Protection and Law Enforcement Group deployed</t>
  </si>
  <si>
    <t>- Number of fishery law enforcement field operations conducted</t>
  </si>
  <si>
    <t>3-1-02-00-1-00001-002 Biotoxin/HAB Monitoring</t>
  </si>
  <si>
    <t>- Number of Harmful Algal Bloom (HAB) monitoring conducted</t>
  </si>
  <si>
    <t>- Number of Harmful Algal Bloom (HAB) laboratories maintained</t>
  </si>
  <si>
    <t>3-1-02-00-1-00002-000 QUALITY CONTROL AND INSPECTION</t>
  </si>
  <si>
    <t>3-1-02-00-1-00002-001 Monitoring and Inspection of Fishery Faclities</t>
  </si>
  <si>
    <t>- Number of fishery facilities and aquaculture farms monitored/inspected</t>
  </si>
  <si>
    <t>- Number of analysis conducted</t>
  </si>
  <si>
    <t>- Number of Laboratories maintained/operated</t>
  </si>
  <si>
    <t>3-1-02-00-1-00002-002 Monitoring and Inspection of Fishery Products</t>
  </si>
  <si>
    <t>- Number of fishery products monitored/inspected</t>
  </si>
  <si>
    <t>3-1-02-00-1-00003-000 QUARANTINE, REGISTRATION AND LICENSING</t>
  </si>
  <si>
    <t>3-1-02-00-1-00003-001 Permit Issuance</t>
  </si>
  <si>
    <t>- Number of permits, licenses and accreditations issued</t>
  </si>
  <si>
    <t>a. commercial fishing vessels and gears</t>
  </si>
  <si>
    <t>b. FLA covered areas</t>
  </si>
  <si>
    <t>c. other fisheries entities</t>
  </si>
  <si>
    <t>d. fisheries products</t>
  </si>
  <si>
    <t>- Number of inspections conducted</t>
  </si>
  <si>
    <t>3-1-02-00-1-00004-000 COASTAL AND INLAND FISHERIES RESOURCE MANAGEMENT</t>
  </si>
  <si>
    <t>- Number of LGUs assisted</t>
  </si>
  <si>
    <t>- Number of Bays co-managed</t>
  </si>
  <si>
    <t>- Number of Marine Mammal Strandling Facility operated</t>
  </si>
  <si>
    <t>- Number of sanctuaries monitored/assisted</t>
  </si>
  <si>
    <t xml:space="preserve">- Number of AR modules deployed </t>
  </si>
  <si>
    <t>- Number of mangrove propagules planted (in thousand)</t>
  </si>
  <si>
    <t>- Number of communal waters stocked</t>
  </si>
  <si>
    <t>3-1-03-00-0-00000-000 FISHERIES EXTENSION PROGRAM</t>
  </si>
  <si>
    <t>3-1-03-00-1-00001-000 EXTENSION SUPPORT, EDUCATION AND TRAINING SERVICES</t>
  </si>
  <si>
    <t>3-1-03-00-1-00001-001 Provision of Training and Technical Assistance</t>
  </si>
  <si>
    <t>- Operation of Regional Fisheries Training Centers and Asian Fisheries Academy</t>
  </si>
  <si>
    <t>- Number of training needs assessment conducted</t>
  </si>
  <si>
    <t>- Number of training designs developed</t>
  </si>
  <si>
    <t>- Number of training materials developed/produced</t>
  </si>
  <si>
    <t>a. Aquaculture</t>
  </si>
  <si>
    <t>b. Municipal</t>
  </si>
  <si>
    <t>c. Commercial</t>
  </si>
  <si>
    <t>d. Regulatory</t>
  </si>
  <si>
    <t>e. Post Harvest</t>
  </si>
  <si>
    <t>f. Others</t>
  </si>
  <si>
    <t>- Number of training materials distributed</t>
  </si>
  <si>
    <t>- Number of technical assistance provided (incl. access to credit)</t>
  </si>
  <si>
    <t>3-1-03-00-1-00001-002 Establishment of Technology Demonstrations</t>
  </si>
  <si>
    <t>- Number of technology demonstrations established</t>
  </si>
  <si>
    <t>Integrated Farming</t>
  </si>
  <si>
    <t>Upland Aquaculture</t>
  </si>
  <si>
    <t>Aquasilvi/Mangrove Aquaculture</t>
  </si>
  <si>
    <t>Aquarium Fish Culture</t>
  </si>
  <si>
    <t>Shellfish Culture</t>
  </si>
  <si>
    <t>Seaweed Farming</t>
  </si>
  <si>
    <t>Organic Farming</t>
  </si>
  <si>
    <t>b. Capture</t>
  </si>
  <si>
    <t>Fishing Technology</t>
  </si>
  <si>
    <t>c. Post Harvest</t>
  </si>
  <si>
    <t>Post Harvest Technology</t>
  </si>
  <si>
    <t>3-1-03-00-00001-003 Conduct of Information, Education and Communication (IEC) Activities</t>
  </si>
  <si>
    <t>- Number of IEC materials developed/produced</t>
  </si>
  <si>
    <t>- Number of IEC materials distributed</t>
  </si>
  <si>
    <t>- Number of IEC activities conducted</t>
  </si>
  <si>
    <t>3-1-03-00-00001-004 Strengthening Partnership with Stakeholders</t>
  </si>
  <si>
    <t>- No. of Fisherfolk Operations Center, FARMC PMC operated</t>
  </si>
  <si>
    <t>- Number of FARMCs strengthened</t>
  </si>
  <si>
    <t>- Number of LGU technicians assisted</t>
  </si>
  <si>
    <t>- Number of other stakerholders assisted (academe; NGAs; NGOs; POs)</t>
  </si>
  <si>
    <t>- Number of fisherfolk children provided with scholarship</t>
  </si>
  <si>
    <t>- Number of students provided with scholarship under LOI No. 101 dated April 19, 1980</t>
  </si>
  <si>
    <t>3-1-04-00-0-00000-000 FISHERIES POLICY PROGRAM</t>
  </si>
  <si>
    <t>3-1-04-00-1-00001-000 FORMULATION, MONITORING AND EVALUATION  OF POLICIES, PLANS AND PROGRAMS</t>
  </si>
  <si>
    <t>3-1-04-00-1-00001-001 Policy formulation/recommendation</t>
  </si>
  <si>
    <t>- Number of policies drafted</t>
  </si>
  <si>
    <t xml:space="preserve">- Number of policies submitted for approval </t>
  </si>
  <si>
    <t>- Number of months for drafting and finalizing policies and programs</t>
  </si>
  <si>
    <t>3-1-04-00-1-00001-002 Plans and Programs Development/Review/updating</t>
  </si>
  <si>
    <t>- Number of policy reviews/studies conducted</t>
  </si>
  <si>
    <t>- Number of programs developed</t>
  </si>
  <si>
    <t>- Number of months for the review and updating of policies and programs</t>
  </si>
  <si>
    <t>- Number of stakeholders consultations conducted</t>
  </si>
  <si>
    <t>- Number of Conferences/ workshops on program development organized</t>
  </si>
  <si>
    <t>3-1-04-00-1-00001-004 Fisheries Data Updating</t>
  </si>
  <si>
    <t>- Number of fisheries data updated</t>
  </si>
  <si>
    <t>3-1-04-00-1-00001-005 Policy, plans and programs monitoring and evaluation</t>
  </si>
  <si>
    <t>- Number of plans and program implementation monitored and evaluated</t>
  </si>
  <si>
    <t>- Number of stakeholders surveyed</t>
  </si>
  <si>
    <t xml:space="preserve">- Number of stakeholders satisfied </t>
  </si>
  <si>
    <t xml:space="preserve">Automatic Appropriations </t>
  </si>
  <si>
    <t>Retirement and Life Insurance Premium (RLIP)</t>
  </si>
  <si>
    <t>Special Provision</t>
  </si>
  <si>
    <t>Wildlife Management Fund</t>
  </si>
  <si>
    <t>Fisheries Management Fund</t>
  </si>
  <si>
    <t>PREPARED BY:</t>
  </si>
  <si>
    <t>JANUARY</t>
  </si>
  <si>
    <t>FEBRUARY</t>
  </si>
  <si>
    <t>MARCH</t>
  </si>
  <si>
    <t>administrative</t>
  </si>
  <si>
    <t>criminal  case</t>
  </si>
  <si>
    <t>APRIL</t>
  </si>
  <si>
    <t>MAY</t>
  </si>
  <si>
    <t>JUNE</t>
  </si>
  <si>
    <t>JULY</t>
  </si>
  <si>
    <t>AUGUST</t>
  </si>
  <si>
    <t>SEPTEMBER</t>
  </si>
  <si>
    <t>- Penalties collected (P'000)</t>
  </si>
  <si>
    <t xml:space="preserve">MAJOR FINAL OUTPUT (MFO) /PERFORMANCE INDICATOR DESCRIPTION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</si>
  <si>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</si>
  <si>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</si>
  <si>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</si>
  <si>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</si>
  <si>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</si>
  <si>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</si>
  <si>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</si>
  <si>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</si>
  <si>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</si>
  <si>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3RD  QUARTER</t>
  </si>
  <si>
    <t>October</t>
  </si>
  <si>
    <t>November</t>
  </si>
  <si>
    <t>December</t>
  </si>
  <si>
    <t>- Number of technical assistance provided</t>
  </si>
  <si>
    <t>Pond Culture</t>
  </si>
  <si>
    <t>Fish Cage</t>
  </si>
  <si>
    <t xml:space="preserve">Pen Culture </t>
  </si>
  <si>
    <t>Sea Garden Project/Aquatourism</t>
  </si>
  <si>
    <t>Hatchery Technology</t>
  </si>
  <si>
    <t>3-1-04-00-1-00001-003 Conduct of stakeholders consultation/workshops/meetings</t>
  </si>
  <si>
    <t>APPROVED BY:</t>
  </si>
  <si>
    <t>BUDGET OFFICER</t>
  </si>
  <si>
    <t>DIRECTOR</t>
  </si>
  <si>
    <t>MALE</t>
  </si>
  <si>
    <t>FEMALE</t>
  </si>
  <si>
    <t>Regions</t>
  </si>
  <si>
    <t>INDIVIDUALS</t>
  </si>
  <si>
    <t>Funding Source:</t>
  </si>
  <si>
    <t>GROUPS</t>
  </si>
  <si>
    <t>FINGERLINGS DISTRIBUTION</t>
  </si>
  <si>
    <t>RECIPIENT'S INFORMATION</t>
  </si>
  <si>
    <t>DETAILS OF ASSISTANCE</t>
  </si>
  <si>
    <t>FEEDBACK</t>
  </si>
  <si>
    <t>Month</t>
  </si>
  <si>
    <t>Form No.</t>
  </si>
  <si>
    <t>Geocode</t>
  </si>
  <si>
    <t>Type</t>
  </si>
  <si>
    <t>Name of Association 
(If Group Beneficiary)</t>
  </si>
  <si>
    <t>Name of Respondent/Recipient</t>
  </si>
  <si>
    <t>Date of Birth
(MM/DD/YY)</t>
  </si>
  <si>
    <t>Gender (Put # 1 if male or female)</t>
  </si>
  <si>
    <t xml:space="preserve">Address
</t>
  </si>
  <si>
    <t>Contact No.
(if any)</t>
  </si>
  <si>
    <t>Email Address
(if any)</t>
  </si>
  <si>
    <t>Implementation</t>
  </si>
  <si>
    <t>Types of Good/ Services Provided</t>
  </si>
  <si>
    <t xml:space="preserve">Quantity Received (Unit/Kg/Pcs) </t>
  </si>
  <si>
    <t>Cost ('000)</t>
  </si>
  <si>
    <t>1. QUANTITY
- Goods and services received</t>
  </si>
  <si>
    <t>2. QUALITY
- Relevance of training
- Quality of goods and services delivered</t>
  </si>
  <si>
    <t>3. TIMELINESS
- Received the goods and services on time</t>
  </si>
  <si>
    <t>Individual/Group</t>
  </si>
  <si>
    <t>Surname</t>
  </si>
  <si>
    <t>First Name</t>
  </si>
  <si>
    <t>Middle Name</t>
  </si>
  <si>
    <t>Male</t>
  </si>
  <si>
    <t>Female</t>
  </si>
  <si>
    <t>Barangay</t>
  </si>
  <si>
    <t>Municipal</t>
  </si>
  <si>
    <t>Province</t>
  </si>
  <si>
    <t>1 - If Satisfied
2 - If Not Satisfied</t>
  </si>
  <si>
    <t>If not satisfied, why?</t>
  </si>
  <si>
    <t>Recommendation</t>
  </si>
  <si>
    <t>Individuals</t>
  </si>
  <si>
    <t>Groups</t>
  </si>
  <si>
    <t>- Bay management councils (BMC) formed, strengthened and sustained with Bay-wide fishery ordinances implemented</t>
  </si>
  <si>
    <t>- Climate-proofed bay management and multi-purpose buildings (BMMB) and climate-proofed watch towers constructed and maintained</t>
  </si>
  <si>
    <t>- Municipal/city and bay-wide fishery and coastal resources management and investment plans implemented</t>
  </si>
  <si>
    <t>- Bay-wide multi-year fishery and CRM investment plans by LGUs adopted</t>
  </si>
  <si>
    <t>- Fish sanctuaries managed sustainably established and delineated/rehabilitated</t>
  </si>
  <si>
    <t>- Marine species stock enhancement projects established</t>
  </si>
  <si>
    <t>- Other resource management measures established</t>
  </si>
  <si>
    <t>- People's organizations (POs) capacitated</t>
  </si>
  <si>
    <t>- Livelihood developed in municipalities/cities</t>
  </si>
  <si>
    <t xml:space="preserve">3-1-02-00-3-00001-000 Integrated Marine Environment Monitoring System (IMEMS) Phase 2 (PHILO Project Phase 2)
</t>
  </si>
  <si>
    <t>- Number of Network and Data Management System Operated</t>
  </si>
  <si>
    <t>- Number of Stations Estbalished</t>
  </si>
  <si>
    <t>- Number of VMS Equipment procured/installed</t>
  </si>
  <si>
    <t>- Number of National Marine Data Center System Operated</t>
  </si>
  <si>
    <t>- Number of Operator Monitoring Stations Established</t>
  </si>
  <si>
    <t>- Number of Maritime Environment  Monitoring Stations Established</t>
  </si>
  <si>
    <t>- Number of Satellite Radar Images procured</t>
  </si>
  <si>
    <t>- Number of Sensor Kit (Type 2) installed</t>
  </si>
  <si>
    <t>- Number of Training Proided</t>
  </si>
  <si>
    <t>- Number of Number of Field Visists conducted</t>
  </si>
  <si>
    <t>- Number of Reports (monthly/Quarterly/Annual) prepared</t>
  </si>
  <si>
    <t>- Number of International connsultations/Workshop/Meeting attended</t>
  </si>
  <si>
    <t>- Number of Local connsultations/Workshop/Meeting attended</t>
  </si>
  <si>
    <t>AGENCY PERFORMANCE MEASURES - PREXC 2019 (NEP)</t>
  </si>
  <si>
    <t>FY 2019 MONTHLY  Work and Financial Plan</t>
  </si>
  <si>
    <t>2019 PHYSICAL ACCOMPLISHMENT</t>
  </si>
  <si>
    <t>FINANCIAL</t>
  </si>
  <si>
    <t>FY 2019 OBLIGATION</t>
  </si>
  <si>
    <t>- Other Resource Management Measures</t>
  </si>
  <si>
    <t>- Balik Sigla sa Ilog at Lawa (BASIL)</t>
  </si>
  <si>
    <t>- Number of Lakes/reservoir developed/restored (BASIL)</t>
  </si>
  <si>
    <t>- Number of fingerlings stocked (in M)</t>
  </si>
  <si>
    <t>- Number of Habitat Structure Established/Maintained</t>
  </si>
  <si>
    <t>Special Purpose Fund</t>
  </si>
  <si>
    <t>ACTION OFFICER</t>
  </si>
  <si>
    <t>2020 TARGET (NEP)</t>
  </si>
  <si>
    <t>2019 ACTUAL OBLIGATION</t>
  </si>
  <si>
    <t>OR DATE</t>
  </si>
  <si>
    <t>PALAWAN</t>
  </si>
  <si>
    <t>ID NO.</t>
  </si>
  <si>
    <t>PUERTO PRINCESA</t>
  </si>
  <si>
    <t>G</t>
  </si>
  <si>
    <t>MANDARAGAT</t>
  </si>
  <si>
    <t>TAGBUROS</t>
  </si>
  <si>
    <t>SAN MANUEL</t>
  </si>
  <si>
    <t>COMMERCIAL/FISHWORKER LICENSE</t>
  </si>
  <si>
    <t>OTHERS</t>
  </si>
  <si>
    <t>R</t>
  </si>
  <si>
    <t>F</t>
  </si>
  <si>
    <t>A</t>
  </si>
  <si>
    <t>QUEZON</t>
  </si>
  <si>
    <t>M</t>
  </si>
  <si>
    <t>SICSICAN</t>
  </si>
  <si>
    <t>C</t>
  </si>
  <si>
    <t>V</t>
  </si>
  <si>
    <t>J</t>
  </si>
  <si>
    <t>S</t>
  </si>
  <si>
    <t>T</t>
  </si>
  <si>
    <t>D</t>
  </si>
  <si>
    <t>L</t>
  </si>
  <si>
    <t>REGULATORY/FLA</t>
  </si>
  <si>
    <t>NARRA</t>
  </si>
  <si>
    <t>COMMERCIAL</t>
  </si>
  <si>
    <t>EDUARDO</t>
  </si>
  <si>
    <t>I</t>
  </si>
  <si>
    <t>EDDIE</t>
  </si>
  <si>
    <t>SAN MIGUEL</t>
  </si>
  <si>
    <t>SAN JOSE</t>
  </si>
  <si>
    <t>BERNARD</t>
  </si>
  <si>
    <t>DELA CRUZ</t>
  </si>
  <si>
    <t>RADO</t>
  </si>
  <si>
    <t>PANITIAN</t>
  </si>
  <si>
    <t>N</t>
  </si>
  <si>
    <t>SANTIAGO</t>
  </si>
  <si>
    <t>E</t>
  </si>
  <si>
    <t>B</t>
  </si>
  <si>
    <t>JOEL</t>
  </si>
  <si>
    <t>H</t>
  </si>
  <si>
    <t>JAYSON</t>
  </si>
  <si>
    <t>O</t>
  </si>
  <si>
    <t>RICO</t>
  </si>
  <si>
    <t>FERNANDO</t>
  </si>
  <si>
    <t>RUFO</t>
  </si>
  <si>
    <t>BOTTOM SET GILL NET</t>
  </si>
  <si>
    <t>1 SET</t>
  </si>
  <si>
    <t>CHRISTOPHER</t>
  </si>
  <si>
    <t>MOHAMMAD</t>
  </si>
  <si>
    <t>RODRIGO</t>
  </si>
  <si>
    <t>HARRY</t>
  </si>
  <si>
    <t>DUMARAN</t>
  </si>
  <si>
    <t>RYAN</t>
  </si>
  <si>
    <t>ARIEL</t>
  </si>
  <si>
    <t>ANTONIO</t>
  </si>
  <si>
    <t>FRANCISCO</t>
  </si>
  <si>
    <t>RONNEL</t>
  </si>
  <si>
    <t>AGUSTIN</t>
  </si>
  <si>
    <t>FUENTES</t>
  </si>
  <si>
    <t>MARWIN</t>
  </si>
  <si>
    <t>FRANCISCO JR</t>
  </si>
  <si>
    <t>JULITO</t>
  </si>
  <si>
    <t>FRANCISCO SR</t>
  </si>
  <si>
    <t>JANMARK</t>
  </si>
  <si>
    <t>LIZARDO</t>
  </si>
  <si>
    <t>ROLITO</t>
  </si>
  <si>
    <t>BERNAL</t>
  </si>
  <si>
    <t>CAMILO</t>
  </si>
  <si>
    <t>ROY</t>
  </si>
  <si>
    <t>ELMA</t>
  </si>
  <si>
    <t>SALUDEZ</t>
  </si>
  <si>
    <t>ABEL</t>
  </si>
  <si>
    <t>ALVIN</t>
  </si>
  <si>
    <t>VILLASIS</t>
  </si>
  <si>
    <t>ROGER</t>
  </si>
  <si>
    <t>P</t>
  </si>
  <si>
    <t>RONALD</t>
  </si>
  <si>
    <t>JUMAR</t>
  </si>
  <si>
    <t>MAGSAYSAY</t>
  </si>
  <si>
    <t>ALBERTO</t>
  </si>
  <si>
    <t>TERRY</t>
  </si>
  <si>
    <t>JULIUS</t>
  </si>
  <si>
    <t>TAVERA</t>
  </si>
  <si>
    <t>MARILYN</t>
  </si>
  <si>
    <t>VICENTE</t>
  </si>
  <si>
    <t>BONBON</t>
  </si>
  <si>
    <t>ARLYN</t>
  </si>
  <si>
    <t>AGABON</t>
  </si>
  <si>
    <t>ROLLY</t>
  </si>
  <si>
    <t>FAUSTO</t>
  </si>
  <si>
    <t>MULTIPLE HOOK &amp; LINE</t>
  </si>
  <si>
    <t>ABORLAN</t>
  </si>
  <si>
    <t>ARNOLD</t>
  </si>
  <si>
    <t>BUÑAG</t>
  </si>
  <si>
    <t>PUERTO PRINCESA CITY</t>
  </si>
  <si>
    <t>CAMACHO</t>
  </si>
  <si>
    <t>SABINO JR</t>
  </si>
  <si>
    <t>OTHERS/MMK</t>
  </si>
  <si>
    <t>BAGONG SIKAT</t>
  </si>
  <si>
    <t>TINIGUIBAN</t>
  </si>
  <si>
    <t>MANGINGISDA</t>
  </si>
  <si>
    <t>DE GUZMAN</t>
  </si>
  <si>
    <t>MUNICIPAL</t>
  </si>
  <si>
    <t>DAÑO</t>
  </si>
  <si>
    <t>BALMONTE</t>
  </si>
  <si>
    <t>GINA</t>
  </si>
  <si>
    <t>REX</t>
  </si>
  <si>
    <t>STA. MONICA</t>
  </si>
  <si>
    <t>STA. LOURDES</t>
  </si>
  <si>
    <t>RIO TUBA</t>
  </si>
  <si>
    <t>BATARAZA</t>
  </si>
  <si>
    <t>MAGBANUA</t>
  </si>
  <si>
    <t>ANTIPULUAN</t>
  </si>
  <si>
    <t>EDWIN</t>
  </si>
  <si>
    <t>REYNALDO</t>
  </si>
  <si>
    <t>CAYAPAS</t>
  </si>
  <si>
    <t>JOHN</t>
  </si>
  <si>
    <t>EDNA</t>
  </si>
  <si>
    <t>MILAGROSA</t>
  </si>
  <si>
    <t>ROBERT</t>
  </si>
  <si>
    <t>CHARITO</t>
  </si>
  <si>
    <t>JOSE</t>
  </si>
  <si>
    <t>IWAHIG</t>
  </si>
  <si>
    <t>ATAY</t>
  </si>
  <si>
    <t>CELSO</t>
  </si>
  <si>
    <t>LIBRATAR</t>
  </si>
  <si>
    <t>DARWIN</t>
  </si>
  <si>
    <t>CASPE</t>
  </si>
  <si>
    <t>JASON</t>
  </si>
  <si>
    <t>PASTORIL</t>
  </si>
  <si>
    <t>WILLIAM</t>
  </si>
  <si>
    <t>QUINICON</t>
  </si>
  <si>
    <t>REYMOND</t>
  </si>
  <si>
    <t>DE-OS</t>
  </si>
  <si>
    <t>HERMENIO</t>
  </si>
  <si>
    <t>RENANTE</t>
  </si>
  <si>
    <t>CRISTOPER JR</t>
  </si>
  <si>
    <t>LAUSA</t>
  </si>
  <si>
    <t>RICKY</t>
  </si>
  <si>
    <t>RIVEVAL</t>
  </si>
  <si>
    <t>ALFE</t>
  </si>
  <si>
    <t>ALPETCHE</t>
  </si>
  <si>
    <t>NAERGA</t>
  </si>
  <si>
    <t>NILO</t>
  </si>
  <si>
    <t xml:space="preserve">A </t>
  </si>
  <si>
    <t>DELITA</t>
  </si>
  <si>
    <t>ANGELO</t>
  </si>
  <si>
    <t>JIAO</t>
  </si>
  <si>
    <t>GLEN FORD</t>
  </si>
  <si>
    <t>CASTILLION</t>
  </si>
  <si>
    <t>CAVITE</t>
  </si>
  <si>
    <t>FRANZ KIRBY</t>
  </si>
  <si>
    <t>TEODORO JR</t>
  </si>
  <si>
    <t xml:space="preserve">TEODORO </t>
  </si>
  <si>
    <t>SABELLE</t>
  </si>
  <si>
    <t>VECENTE</t>
  </si>
  <si>
    <t>BENJO</t>
  </si>
  <si>
    <t>MARINDUQUE</t>
  </si>
  <si>
    <t>KEEN</t>
  </si>
  <si>
    <t>ROSA-UT</t>
  </si>
  <si>
    <t>REYNALD</t>
  </si>
  <si>
    <t>-</t>
  </si>
  <si>
    <t>PADON</t>
  </si>
  <si>
    <t>ALONZO</t>
  </si>
  <si>
    <t>7/75/1983</t>
  </si>
  <si>
    <t>TRAINING ON LAW ENFORCEMENT (SCIENTIFIC FISH EXAMINATION)</t>
  </si>
  <si>
    <t>MACULA</t>
  </si>
  <si>
    <t>MARK HERBERT</t>
  </si>
  <si>
    <t>MABITASA</t>
  </si>
  <si>
    <t>RONNIE JANN IAN</t>
  </si>
  <si>
    <t>MAUNLAD</t>
  </si>
  <si>
    <t>TOMINES</t>
  </si>
  <si>
    <t>ROSEBERT</t>
  </si>
  <si>
    <t>VILLAFLOR</t>
  </si>
  <si>
    <t>CHRISTINE JANE</t>
  </si>
  <si>
    <t>BANCAO-BANCAO</t>
  </si>
  <si>
    <t>CABALQUINTO</t>
  </si>
  <si>
    <t>CZARINNA</t>
  </si>
  <si>
    <t>ARRIBE</t>
  </si>
  <si>
    <t>MACARASCAS</t>
  </si>
  <si>
    <t>GARCIA</t>
  </si>
  <si>
    <t>ROMEL</t>
  </si>
  <si>
    <t>BAHILE</t>
  </si>
  <si>
    <t>GABINITE</t>
  </si>
  <si>
    <t>BAUTISTA</t>
  </si>
  <si>
    <t>ALLEY JR</t>
  </si>
  <si>
    <t>CAMBAYO</t>
  </si>
  <si>
    <t>ROLDAN</t>
  </si>
  <si>
    <t>BUMARAS</t>
  </si>
  <si>
    <t>TANABAG</t>
  </si>
  <si>
    <t>ENERIA</t>
  </si>
  <si>
    <t>HILARIO</t>
  </si>
  <si>
    <t>VALDESTAMON</t>
  </si>
  <si>
    <t>PALCES</t>
  </si>
  <si>
    <t>MAR-ARISTEO</t>
  </si>
  <si>
    <t>RUFANO</t>
  </si>
  <si>
    <t>LUCBUAN</t>
  </si>
  <si>
    <t>VILLANUEVA</t>
  </si>
  <si>
    <t>SASUMAN</t>
  </si>
  <si>
    <t>DANILO</t>
  </si>
  <si>
    <t>Z</t>
  </si>
  <si>
    <t>BACUNGAN</t>
  </si>
  <si>
    <t>DAREL</t>
  </si>
  <si>
    <t>SIMPOCAN</t>
  </si>
  <si>
    <t>MERINCILLO</t>
  </si>
  <si>
    <t>MELVIN</t>
  </si>
  <si>
    <t>NAPSAN</t>
  </si>
  <si>
    <t>BANTOG</t>
  </si>
  <si>
    <t>BAGONG BAYAN</t>
  </si>
  <si>
    <t>CERVANTES</t>
  </si>
  <si>
    <t>GIGINIO</t>
  </si>
  <si>
    <t>FIGUEROA</t>
  </si>
  <si>
    <t>CLINT ELMER</t>
  </si>
  <si>
    <t>MODIMAN</t>
  </si>
  <si>
    <t>MELENCIO JR</t>
  </si>
  <si>
    <t>DESTRIZA</t>
  </si>
  <si>
    <t>GLENN</t>
  </si>
  <si>
    <t>BADILLA</t>
  </si>
  <si>
    <t>MARVIC</t>
  </si>
  <si>
    <t>ESTURCO</t>
  </si>
  <si>
    <t>RICHARD ANGELO</t>
  </si>
  <si>
    <t>ENGUITO</t>
  </si>
  <si>
    <t>NEPTHALI</t>
  </si>
  <si>
    <t>BUENAVISTA</t>
  </si>
  <si>
    <t>LEE HURT</t>
  </si>
  <si>
    <t>IBAYAT</t>
  </si>
  <si>
    <t>JERALD</t>
  </si>
  <si>
    <t>ALI</t>
  </si>
  <si>
    <t>MOGALIB</t>
  </si>
  <si>
    <t>SOFRONIO ESPAÑOLA</t>
  </si>
  <si>
    <t>MAASIN</t>
  </si>
  <si>
    <t>ALVAREZ</t>
  </si>
  <si>
    <t>ROSENIE</t>
  </si>
  <si>
    <t>BUGARTE</t>
  </si>
  <si>
    <t>RENNIE BOY</t>
  </si>
  <si>
    <t>MC RHAN</t>
  </si>
  <si>
    <t>PANGANIBAN</t>
  </si>
  <si>
    <t>NILHADA</t>
  </si>
  <si>
    <t>AMJA</t>
  </si>
  <si>
    <t>VILLASAN</t>
  </si>
  <si>
    <t>AGAPITO</t>
  </si>
  <si>
    <t>AGUASITO</t>
  </si>
  <si>
    <t>BRIX JUSTIN</t>
  </si>
  <si>
    <t>NIBLACAN</t>
  </si>
  <si>
    <t>ADAM</t>
  </si>
  <si>
    <t>PEROL</t>
  </si>
  <si>
    <t>EDUARD JAMES</t>
  </si>
  <si>
    <t>SALONGA</t>
  </si>
  <si>
    <t>PULA</t>
  </si>
  <si>
    <t>JAHIDON</t>
  </si>
  <si>
    <t>U</t>
  </si>
  <si>
    <t>CRAB (SOFT-SHELLED) TRAY</t>
  </si>
  <si>
    <t>TRAINING ON CRAB CULTURE/FATTENING</t>
  </si>
  <si>
    <t>MALIK</t>
  </si>
  <si>
    <t>TITING</t>
  </si>
  <si>
    <t>MARANGAS</t>
  </si>
  <si>
    <t>MIAGAO</t>
  </si>
  <si>
    <t xml:space="preserve">ARNEL </t>
  </si>
  <si>
    <t>TARUSAN</t>
  </si>
  <si>
    <t>ILAHAN</t>
  </si>
  <si>
    <t>RUBEN</t>
  </si>
  <si>
    <t>NARRAZID</t>
  </si>
  <si>
    <t>OMAR</t>
  </si>
  <si>
    <t>MALIHUD</t>
  </si>
  <si>
    <t>ADJARANI</t>
  </si>
  <si>
    <t>MUHAIMIN</t>
  </si>
  <si>
    <t>INOGBONG</t>
  </si>
  <si>
    <t>ABUBACAR</t>
  </si>
  <si>
    <t>SHIELA</t>
  </si>
  <si>
    <t>ORDAS ROSALINDA</t>
  </si>
  <si>
    <t>ORDAS</t>
  </si>
  <si>
    <t>MARANGAS, NARRAZID</t>
  </si>
  <si>
    <t>20 PCS</t>
  </si>
  <si>
    <t>JANYAKO</t>
  </si>
  <si>
    <t>SAPA</t>
  </si>
  <si>
    <t>CUMLA</t>
  </si>
  <si>
    <t>LARRY</t>
  </si>
  <si>
    <t>Q</t>
  </si>
  <si>
    <t>BONOBONO</t>
  </si>
  <si>
    <t>2 SETS</t>
  </si>
  <si>
    <t>MADSALI</t>
  </si>
  <si>
    <t>SHERLYN</t>
  </si>
  <si>
    <t>TARATAK</t>
  </si>
  <si>
    <t>RAMBUEYONG</t>
  </si>
  <si>
    <t>TABUD</t>
  </si>
  <si>
    <t>FELIZARDO</t>
  </si>
  <si>
    <t>MUHAMAD</t>
  </si>
  <si>
    <t>MELYN</t>
  </si>
  <si>
    <t>ABDULKARIM</t>
  </si>
  <si>
    <t>TALIB</t>
  </si>
  <si>
    <t>SUMBILING</t>
  </si>
  <si>
    <t>GONZAGA</t>
  </si>
  <si>
    <t>LEMUEL</t>
  </si>
  <si>
    <t>MALITUB</t>
  </si>
  <si>
    <t>JATUKAN</t>
  </si>
  <si>
    <t>SARONG</t>
  </si>
  <si>
    <t>SANADJAAN</t>
  </si>
  <si>
    <t>JULHASAN</t>
  </si>
  <si>
    <t>SAIDEL</t>
  </si>
  <si>
    <t>TAGALAGO</t>
  </si>
  <si>
    <t>ARCADIO</t>
  </si>
  <si>
    <t>TAGIVATO</t>
  </si>
  <si>
    <t>SAILAMA</t>
  </si>
  <si>
    <t>BUGOONG</t>
  </si>
  <si>
    <t>PASINGCO</t>
  </si>
  <si>
    <t>HERNAN</t>
  </si>
  <si>
    <t>PANSARIE</t>
  </si>
  <si>
    <t>NUSIE</t>
  </si>
  <si>
    <t>CASTIGADOR</t>
  </si>
  <si>
    <t>ROMULO</t>
  </si>
  <si>
    <t>LAPOS</t>
  </si>
  <si>
    <t>BULALACAO</t>
  </si>
  <si>
    <t>ALICE</t>
  </si>
  <si>
    <t>RULAN</t>
  </si>
  <si>
    <t>SUMALING</t>
  </si>
  <si>
    <t>JUL-AM</t>
  </si>
  <si>
    <t>VALDEZ</t>
  </si>
  <si>
    <t>PANTALEON</t>
  </si>
  <si>
    <t>PURING</t>
  </si>
  <si>
    <t>CANALLUDIN</t>
  </si>
  <si>
    <t>HANIBAL</t>
  </si>
  <si>
    <t>BULILUYAN</t>
  </si>
  <si>
    <t>ASSADI</t>
  </si>
  <si>
    <t>ABDULHAN</t>
  </si>
  <si>
    <t>ALLAMA</t>
  </si>
  <si>
    <t>KASMER</t>
  </si>
  <si>
    <t>MARABAHAY, RIO TUBA</t>
  </si>
  <si>
    <t>JAVIER</t>
  </si>
  <si>
    <t>SAMMAN</t>
  </si>
  <si>
    <t>UZAIR</t>
  </si>
  <si>
    <t>SACABAN</t>
  </si>
  <si>
    <t>BENJAMIN</t>
  </si>
  <si>
    <t>ARGONZOLA</t>
  </si>
  <si>
    <t>NICAN</t>
  </si>
  <si>
    <t>RUBIA</t>
  </si>
  <si>
    <t>MALIS</t>
  </si>
  <si>
    <t>BROOKE'S POINT</t>
  </si>
  <si>
    <t>BARDE</t>
  </si>
  <si>
    <t>EULITO</t>
  </si>
  <si>
    <t>OXENIA</t>
  </si>
  <si>
    <t>BELO</t>
  </si>
  <si>
    <t>RANIN</t>
  </si>
  <si>
    <t>ISA</t>
  </si>
  <si>
    <t>CADAY</t>
  </si>
  <si>
    <t>SABTURIA</t>
  </si>
  <si>
    <t>JAPARUDIN</t>
  </si>
  <si>
    <t>DE DIOS</t>
  </si>
  <si>
    <t>JOHN SMITH</t>
  </si>
  <si>
    <t>BORCE</t>
  </si>
  <si>
    <t>LANTERNA</t>
  </si>
  <si>
    <t>EVELYN</t>
  </si>
  <si>
    <t>NUÑEZ</t>
  </si>
  <si>
    <t>OCCEÑA</t>
  </si>
  <si>
    <t>JUNEL</t>
  </si>
  <si>
    <t>GUMATA</t>
  </si>
  <si>
    <t>ROSALES</t>
  </si>
  <si>
    <t>JIMMY</t>
  </si>
  <si>
    <t>LAGODESEMO</t>
  </si>
  <si>
    <t>VILLARIN</t>
  </si>
  <si>
    <t>ANTONIETA</t>
  </si>
  <si>
    <t>BETORIN</t>
  </si>
  <si>
    <t>CERALBO</t>
  </si>
  <si>
    <t>RICKYBJORN</t>
  </si>
  <si>
    <t>SALOGON</t>
  </si>
  <si>
    <t>GESTOSANI</t>
  </si>
  <si>
    <t>REYCARDO</t>
  </si>
  <si>
    <t>RADI</t>
  </si>
  <si>
    <t>SATERA</t>
  </si>
  <si>
    <t>ERNOR</t>
  </si>
  <si>
    <t>MOHAMMED ALIE</t>
  </si>
  <si>
    <t>ORING-ORING</t>
  </si>
  <si>
    <t>MOIN</t>
  </si>
  <si>
    <t>AGORA</t>
  </si>
  <si>
    <t xml:space="preserve">N </t>
  </si>
  <si>
    <t>ESTIANDAN</t>
  </si>
  <si>
    <t>WILFREDO</t>
  </si>
  <si>
    <t>PANGOBILIAN</t>
  </si>
  <si>
    <t>FLORES</t>
  </si>
  <si>
    <t>RANDY</t>
  </si>
  <si>
    <t>RODEL</t>
  </si>
  <si>
    <t>AARIESGADO</t>
  </si>
  <si>
    <t>JUANERIO</t>
  </si>
  <si>
    <t>ABOABO</t>
  </si>
  <si>
    <t>OBEN</t>
  </si>
  <si>
    <t>DANTE</t>
  </si>
  <si>
    <t>PILAPIL</t>
  </si>
  <si>
    <t>DAMASO</t>
  </si>
  <si>
    <t>RELON</t>
  </si>
  <si>
    <t>ARNOLFO</t>
  </si>
  <si>
    <t>CEASAR</t>
  </si>
  <si>
    <t>BALLANDRO</t>
  </si>
  <si>
    <t>MERLINDA</t>
  </si>
  <si>
    <t>TRENNI</t>
  </si>
  <si>
    <t>FLORENTINO SR</t>
  </si>
  <si>
    <t xml:space="preserve">P </t>
  </si>
  <si>
    <t>MAGUDA</t>
  </si>
  <si>
    <t>SEVERO</t>
  </si>
  <si>
    <t>GALENDIZ</t>
  </si>
  <si>
    <t>IPILAN</t>
  </si>
  <si>
    <t>ALANGHADI</t>
  </si>
  <si>
    <t>ELIAS</t>
  </si>
  <si>
    <t>DAGOT</t>
  </si>
  <si>
    <t>1SET</t>
  </si>
  <si>
    <t>DAGARAGA</t>
  </si>
  <si>
    <t>WELFREDO</t>
  </si>
  <si>
    <t>DE JESUS</t>
  </si>
  <si>
    <t>DADORES</t>
  </si>
  <si>
    <t>AMELYN</t>
  </si>
  <si>
    <t>TABANG</t>
  </si>
  <si>
    <t>FABRIGAS</t>
  </si>
  <si>
    <t>JULIE</t>
  </si>
  <si>
    <t>LUCERO</t>
  </si>
  <si>
    <t>BAGONA</t>
  </si>
  <si>
    <t>FABELLORE</t>
  </si>
  <si>
    <t>MARK ALLAN</t>
  </si>
  <si>
    <t>FAJICULAY</t>
  </si>
  <si>
    <t>LORESTO</t>
  </si>
  <si>
    <t>RONA</t>
  </si>
  <si>
    <t>MAHINAY</t>
  </si>
  <si>
    <t>LEA</t>
  </si>
  <si>
    <t>VALLIENTE</t>
  </si>
  <si>
    <t>ERGELYN</t>
  </si>
  <si>
    <t>HAMORA</t>
  </si>
  <si>
    <t>RAMON</t>
  </si>
  <si>
    <t>REYES</t>
  </si>
  <si>
    <t>TAGBUROS LOBSTER ASSOCIATION</t>
  </si>
  <si>
    <t>RICHARD</t>
  </si>
  <si>
    <t>TRAINING ON MUNICIPAL FISHERIES "PAYAO ESTABLISHMENT, OPERATION,AND MANAGEMENT"</t>
  </si>
  <si>
    <t>TENEBROSO</t>
  </si>
  <si>
    <t>CANOPIN</t>
  </si>
  <si>
    <t>PATRICIO</t>
  </si>
  <si>
    <t>MATA</t>
  </si>
  <si>
    <t>GEORGE JR</t>
  </si>
  <si>
    <t>TAMPUS</t>
  </si>
  <si>
    <t>BERNALDO JR</t>
  </si>
  <si>
    <t>BANO</t>
  </si>
  <si>
    <t>KIMMUEL</t>
  </si>
  <si>
    <t>ORTIZ</t>
  </si>
  <si>
    <t>BOBOY</t>
  </si>
  <si>
    <t>BRIAN</t>
  </si>
  <si>
    <t>OSTRIA</t>
  </si>
  <si>
    <t>MIGUEL SR</t>
  </si>
  <si>
    <t>JUDE</t>
  </si>
  <si>
    <t>MEL</t>
  </si>
  <si>
    <t>SUPILANAS</t>
  </si>
  <si>
    <t>CELSO JR</t>
  </si>
  <si>
    <t>DINDO</t>
  </si>
  <si>
    <t>EDO</t>
  </si>
  <si>
    <t>ERLITO</t>
  </si>
  <si>
    <t>ORTEGA</t>
  </si>
  <si>
    <t>RODOLFO</t>
  </si>
  <si>
    <t>BUO</t>
  </si>
  <si>
    <t>BOY</t>
  </si>
  <si>
    <t>TANEBROSO</t>
  </si>
  <si>
    <t>ROBERTO</t>
  </si>
  <si>
    <t>SUBAAN</t>
  </si>
  <si>
    <t>MOLATO</t>
  </si>
  <si>
    <t>NEZA</t>
  </si>
  <si>
    <t>ALCASAREN</t>
  </si>
  <si>
    <t>JOSEL</t>
  </si>
  <si>
    <t>JUBERT</t>
  </si>
  <si>
    <t>VENANCIO</t>
  </si>
  <si>
    <t>WEGBERTO</t>
  </si>
  <si>
    <t>SALLOMAN</t>
  </si>
  <si>
    <t>RAFFY</t>
  </si>
  <si>
    <t>VERZOSA</t>
  </si>
  <si>
    <t>EMMANUEL</t>
  </si>
  <si>
    <t>CARLO</t>
  </si>
  <si>
    <t>MANGALAB</t>
  </si>
  <si>
    <t>GERARDO</t>
  </si>
  <si>
    <t>ADONIS</t>
  </si>
  <si>
    <t>RODELEO</t>
  </si>
  <si>
    <t>WILYN</t>
  </si>
  <si>
    <t>DANLEG</t>
  </si>
  <si>
    <t>DELA RAMA</t>
  </si>
  <si>
    <t>JOHN SUGAR RAY</t>
  </si>
  <si>
    <t>CULASIAN</t>
  </si>
  <si>
    <t>CERVANCIA</t>
  </si>
  <si>
    <t>JOHN VINCENT</t>
  </si>
  <si>
    <t>STA. TERESITA</t>
  </si>
  <si>
    <t>SANTOS</t>
  </si>
  <si>
    <t>ROLINA</t>
  </si>
  <si>
    <t>ALDIA</t>
  </si>
  <si>
    <t>JENNIFER</t>
  </si>
  <si>
    <t>IBANADA</t>
  </si>
  <si>
    <t>DON</t>
  </si>
  <si>
    <t>RETAC</t>
  </si>
  <si>
    <t>ROXAS</t>
  </si>
  <si>
    <t>MA. JOCEL</t>
  </si>
  <si>
    <t>AMADOR</t>
  </si>
  <si>
    <t>CENA</t>
  </si>
  <si>
    <t>VIDA</t>
  </si>
  <si>
    <t>LIEZLE</t>
  </si>
  <si>
    <t>DERLA</t>
  </si>
  <si>
    <t>BINIGNO</t>
  </si>
  <si>
    <t>JULIET</t>
  </si>
  <si>
    <t>MALABAC</t>
  </si>
  <si>
    <t>JESUS</t>
  </si>
  <si>
    <t>JESS MARK</t>
  </si>
  <si>
    <t>MARTINEZ</t>
  </si>
  <si>
    <t>JOEY</t>
  </si>
  <si>
    <t>JUNIO</t>
  </si>
  <si>
    <t>ELPEDIO</t>
  </si>
  <si>
    <t>RAY</t>
  </si>
  <si>
    <t>BACOMO</t>
  </si>
  <si>
    <t>EUFRONIO</t>
  </si>
  <si>
    <t>LATUBE</t>
  </si>
  <si>
    <t>JEREMIAS</t>
  </si>
  <si>
    <t>CADALUMBA</t>
  </si>
  <si>
    <t>PETER</t>
  </si>
  <si>
    <t>MAGLUYAN</t>
  </si>
  <si>
    <t>CATALYN</t>
  </si>
  <si>
    <t>CASTAÑAS</t>
  </si>
  <si>
    <t>PILAR</t>
  </si>
  <si>
    <t>MARVIN</t>
  </si>
  <si>
    <t>DELA RIARTE</t>
  </si>
  <si>
    <t>REYNOLD</t>
  </si>
  <si>
    <t>CAPISPISAN</t>
  </si>
  <si>
    <t>JESSAR</t>
  </si>
  <si>
    <t>BALINAL</t>
  </si>
  <si>
    <t>JAY</t>
  </si>
  <si>
    <t>ARSENIO</t>
  </si>
  <si>
    <t>ASTURIAS</t>
  </si>
  <si>
    <t>DANIEL</t>
  </si>
  <si>
    <t>MARY JANE</t>
  </si>
  <si>
    <t>MARIA</t>
  </si>
  <si>
    <t>JERECKO</t>
  </si>
  <si>
    <t>NINO</t>
  </si>
  <si>
    <t>LEONARD</t>
  </si>
  <si>
    <t>BATO-BATO</t>
  </si>
  <si>
    <t>TERESA</t>
  </si>
  <si>
    <t>CAGUISAN</t>
  </si>
  <si>
    <t>MALINAO</t>
  </si>
  <si>
    <t>MALATGAO</t>
  </si>
  <si>
    <t>BURIRAO</t>
  </si>
  <si>
    <t>PANACAN</t>
  </si>
  <si>
    <t>BATANG-BATANG</t>
  </si>
  <si>
    <t>ARAMAYWAN</t>
  </si>
  <si>
    <t>ROSTAN</t>
  </si>
  <si>
    <t>ROGILIO</t>
  </si>
  <si>
    <t>RENZAB</t>
  </si>
  <si>
    <t>BOCOG</t>
  </si>
  <si>
    <t>HANNIEBAL</t>
  </si>
  <si>
    <t>RONILO</t>
  </si>
  <si>
    <t>ROSALIA</t>
  </si>
  <si>
    <t>ESTRELLA</t>
  </si>
  <si>
    <t>TRISTAN JEFFREY</t>
  </si>
  <si>
    <t>PRECIOSA</t>
  </si>
  <si>
    <t>EM</t>
  </si>
  <si>
    <t>OMIT</t>
  </si>
  <si>
    <t>RODETO</t>
  </si>
  <si>
    <t>ISABELO</t>
  </si>
  <si>
    <t>ESPINOSA</t>
  </si>
  <si>
    <t>GALZOTE</t>
  </si>
  <si>
    <t>BENEDICT</t>
  </si>
  <si>
    <t>TANGLAW</t>
  </si>
  <si>
    <t>JOHN CHRISTOFER</t>
  </si>
  <si>
    <t>CUDIO</t>
  </si>
  <si>
    <t>PHILIP</t>
  </si>
  <si>
    <t>MAGURA</t>
  </si>
  <si>
    <t>RONNIE</t>
  </si>
  <si>
    <t>MARYUGON</t>
  </si>
  <si>
    <t>AZUCENA</t>
  </si>
  <si>
    <t>BUNGALSO</t>
  </si>
  <si>
    <t>REY</t>
  </si>
  <si>
    <t>PACIFICO</t>
  </si>
  <si>
    <t>DEIG</t>
  </si>
  <si>
    <t>AGUINALDO</t>
  </si>
  <si>
    <t>DECIN</t>
  </si>
  <si>
    <t>GOLEZ</t>
  </si>
  <si>
    <t>ROLLIE</t>
  </si>
  <si>
    <t>VARGAS</t>
  </si>
  <si>
    <t>CINCO</t>
  </si>
  <si>
    <t>MARIANO</t>
  </si>
  <si>
    <t>MAGALLANES</t>
  </si>
  <si>
    <t>CASUMPANG</t>
  </si>
  <si>
    <t>JUNIEFER</t>
  </si>
  <si>
    <t>MATILLANO</t>
  </si>
  <si>
    <t>JAYSEE</t>
  </si>
  <si>
    <t>APOSTOL</t>
  </si>
  <si>
    <t>ALABADO</t>
  </si>
  <si>
    <t>LUPO</t>
  </si>
  <si>
    <t>DOFITAS</t>
  </si>
  <si>
    <t>FRANKLIN</t>
  </si>
  <si>
    <t>BALDIVIA</t>
  </si>
  <si>
    <t>DELOS ANGELES</t>
  </si>
  <si>
    <t>TABUJARA</t>
  </si>
  <si>
    <t>JOVY</t>
  </si>
  <si>
    <t>BUTIRES</t>
  </si>
  <si>
    <t>ALLAN</t>
  </si>
  <si>
    <t>SAMBON</t>
  </si>
  <si>
    <t>MULLENDEZ</t>
  </si>
  <si>
    <t>DELOVINO</t>
  </si>
  <si>
    <t>GORGONIO</t>
  </si>
  <si>
    <t>BERIBOD</t>
  </si>
  <si>
    <t>NAHIL</t>
  </si>
  <si>
    <t>DALENDEZ</t>
  </si>
  <si>
    <t>GAMSA</t>
  </si>
  <si>
    <t>SANTORES</t>
  </si>
  <si>
    <t>EDILBERTO</t>
  </si>
  <si>
    <t>DORADO</t>
  </si>
  <si>
    <t>ALMER</t>
  </si>
  <si>
    <t>SULIT</t>
  </si>
  <si>
    <t>JURY</t>
  </si>
  <si>
    <t>CIPRANO</t>
  </si>
  <si>
    <t>CAYABO</t>
  </si>
  <si>
    <t>ELME</t>
  </si>
  <si>
    <t>TUPAS</t>
  </si>
  <si>
    <t>SONNY</t>
  </si>
  <si>
    <t>ANTIPUESTO</t>
  </si>
  <si>
    <t>ABUNDIO</t>
  </si>
  <si>
    <t>CONARES</t>
  </si>
  <si>
    <t>CUANAN</t>
  </si>
  <si>
    <t>JOVELITO</t>
  </si>
  <si>
    <t>HAROLD</t>
  </si>
  <si>
    <t>HILONGOS</t>
  </si>
  <si>
    <t>FREDDIE</t>
  </si>
  <si>
    <t>DISIDERIO</t>
  </si>
  <si>
    <t>LIGALIG</t>
  </si>
  <si>
    <t>JOSELITO</t>
  </si>
  <si>
    <t>GAMAD</t>
  </si>
  <si>
    <t>ELLIAN</t>
  </si>
  <si>
    <t>JOVELO</t>
  </si>
  <si>
    <t>RAMON JR</t>
  </si>
  <si>
    <t>EDGAR SR</t>
  </si>
  <si>
    <t>DELA SERNA</t>
  </si>
  <si>
    <t>ALBERT</t>
  </si>
  <si>
    <t>ROGELIO</t>
  </si>
  <si>
    <t>EDGAR JR</t>
  </si>
  <si>
    <t>MANDALUPE</t>
  </si>
  <si>
    <t>LEO</t>
  </si>
  <si>
    <t>ROLEN</t>
  </si>
  <si>
    <t xml:space="preserve">DANIEL </t>
  </si>
  <si>
    <t>MARCO</t>
  </si>
  <si>
    <t>PAGLINAWAN</t>
  </si>
  <si>
    <t>HERMAN</t>
  </si>
  <si>
    <t xml:space="preserve">JOSE </t>
  </si>
  <si>
    <t>RAMIL</t>
  </si>
  <si>
    <t>QUILISADIO</t>
  </si>
  <si>
    <t>CHOWSI</t>
  </si>
  <si>
    <t>CUYO</t>
  </si>
  <si>
    <t>TIMAN</t>
  </si>
  <si>
    <t>MARIO</t>
  </si>
  <si>
    <t>DE JUAN</t>
  </si>
  <si>
    <t>ROMEO JR</t>
  </si>
  <si>
    <t>PALATINO</t>
  </si>
  <si>
    <t>SIRAD</t>
  </si>
  <si>
    <t>HADJI BASIL</t>
  </si>
  <si>
    <t>TUDAN</t>
  </si>
  <si>
    <t>BOTTOM SET GILL NET &amp; PE ROPE NO 10</t>
  </si>
  <si>
    <t>BUAYA</t>
  </si>
  <si>
    <t>GABRIEL</t>
  </si>
  <si>
    <t>NERWIN</t>
  </si>
  <si>
    <t>BELBERT</t>
  </si>
  <si>
    <t>SANTINO</t>
  </si>
  <si>
    <t>REODIQUE</t>
  </si>
  <si>
    <t>AVILLANOSA</t>
  </si>
  <si>
    <t>RADOC</t>
  </si>
  <si>
    <t>REDEMPTO</t>
  </si>
  <si>
    <t>VALEZ</t>
  </si>
  <si>
    <t>MEGDONIO</t>
  </si>
  <si>
    <t>BORBON</t>
  </si>
  <si>
    <t>ERROL</t>
  </si>
  <si>
    <t>HERRERA</t>
  </si>
  <si>
    <t>FRED</t>
  </si>
  <si>
    <t>ABID</t>
  </si>
  <si>
    <t>REYNARD</t>
  </si>
  <si>
    <t>RAFAEL</t>
  </si>
  <si>
    <t>BERNARDO</t>
  </si>
  <si>
    <t>FERNANDO SR</t>
  </si>
  <si>
    <t>DONALD</t>
  </si>
  <si>
    <t>6/24/</t>
  </si>
  <si>
    <t>BERNANIE</t>
  </si>
  <si>
    <t>RAYMUND</t>
  </si>
  <si>
    <t>PAIGMA</t>
  </si>
  <si>
    <t>MICHAEL</t>
  </si>
  <si>
    <t xml:space="preserve">V </t>
  </si>
  <si>
    <t>MICHAEL JOHN</t>
  </si>
  <si>
    <t>DANGAN</t>
  </si>
  <si>
    <t>ELFREN</t>
  </si>
  <si>
    <t>JEFFREY</t>
  </si>
  <si>
    <t>ROSELITO</t>
  </si>
  <si>
    <t>CHARLITO</t>
  </si>
  <si>
    <t>GERBOLINGO</t>
  </si>
  <si>
    <t>RIGOR</t>
  </si>
  <si>
    <t>GABUCO</t>
  </si>
  <si>
    <t>REGIE</t>
  </si>
  <si>
    <t>HEREDERO</t>
  </si>
  <si>
    <t>FELIX</t>
  </si>
  <si>
    <t>FELIX JR</t>
  </si>
  <si>
    <t>VICTOR</t>
  </si>
  <si>
    <t>GABUAT</t>
  </si>
  <si>
    <t>NESFOR</t>
  </si>
  <si>
    <t>ZUMARRAGA</t>
  </si>
  <si>
    <t>POE</t>
  </si>
  <si>
    <t>PERCIVAL</t>
  </si>
  <si>
    <t>PALAY</t>
  </si>
  <si>
    <t>DAVID</t>
  </si>
  <si>
    <t>ROBINSON</t>
  </si>
  <si>
    <t>ERWIN</t>
  </si>
  <si>
    <t>ALEXIS</t>
  </si>
  <si>
    <t>HULAR</t>
  </si>
  <si>
    <t>JUNASON</t>
  </si>
  <si>
    <t>PANACAN 2</t>
  </si>
  <si>
    <t>LEBERTO</t>
  </si>
  <si>
    <t xml:space="preserve">ROMEO  </t>
  </si>
  <si>
    <t>CEBUANO</t>
  </si>
  <si>
    <t>ELVEN</t>
  </si>
  <si>
    <t>MACO</t>
  </si>
  <si>
    <t>IVAN REY</t>
  </si>
  <si>
    <t>DELA TORRE</t>
  </si>
  <si>
    <t>ALCANTARA</t>
  </si>
  <si>
    <t>RONALDO</t>
  </si>
  <si>
    <t>GARBO</t>
  </si>
  <si>
    <t>ATANACIA</t>
  </si>
  <si>
    <t>RULETE</t>
  </si>
  <si>
    <t>REGULATORY/CERTIFICATION</t>
  </si>
  <si>
    <t>ALLADER</t>
  </si>
  <si>
    <t>ASMYN</t>
  </si>
  <si>
    <t>OMODTO</t>
  </si>
  <si>
    <t>CRISTINE</t>
  </si>
  <si>
    <t>BALTERO</t>
  </si>
  <si>
    <t>CHRESTEL</t>
  </si>
  <si>
    <t xml:space="preserve">PERRAS </t>
  </si>
  <si>
    <t>GASPAR JR</t>
  </si>
  <si>
    <t>RIZAL</t>
  </si>
  <si>
    <t>SABINO</t>
  </si>
  <si>
    <t>JESSA MAE</t>
  </si>
  <si>
    <t>ALAYON</t>
  </si>
  <si>
    <t>TAPALLA</t>
  </si>
  <si>
    <t>SERGIO</t>
  </si>
  <si>
    <t>CAGAYANCILLO</t>
  </si>
  <si>
    <t>MACOLA</t>
  </si>
  <si>
    <t>RODRIGUEZ</t>
  </si>
  <si>
    <t>NORALYN</t>
  </si>
  <si>
    <t>FAVILA</t>
  </si>
  <si>
    <t>JESSIE</t>
  </si>
  <si>
    <t>CALAUAG</t>
  </si>
  <si>
    <t>BACALSO</t>
  </si>
  <si>
    <t>ANNA</t>
  </si>
  <si>
    <t>BABUYAN</t>
  </si>
  <si>
    <t>ABORQUE</t>
  </si>
  <si>
    <t>BETH</t>
  </si>
  <si>
    <t>NAVIDAD</t>
  </si>
  <si>
    <t>JO</t>
  </si>
  <si>
    <t>LLAVAN</t>
  </si>
  <si>
    <t>JOB</t>
  </si>
  <si>
    <t>SALVACION</t>
  </si>
  <si>
    <t>VILLAROSA</t>
  </si>
  <si>
    <t>MAC</t>
  </si>
  <si>
    <t>INAGAWAN</t>
  </si>
  <si>
    <t>SUMANDAL</t>
  </si>
  <si>
    <t>PRINCESS</t>
  </si>
  <si>
    <t>DECENA</t>
  </si>
  <si>
    <t>DEMI PATRICIA</t>
  </si>
  <si>
    <t>CLARISSE</t>
  </si>
  <si>
    <t>MARIA FE</t>
  </si>
  <si>
    <t>JOCELYN</t>
  </si>
  <si>
    <t>ERMA</t>
  </si>
  <si>
    <t>GAVINO</t>
  </si>
  <si>
    <t>SHERWIN</t>
  </si>
  <si>
    <t>RUTA</t>
  </si>
  <si>
    <t>NOREEN</t>
  </si>
  <si>
    <t>DONNA MAY</t>
  </si>
  <si>
    <t>GRONIFILLO</t>
  </si>
  <si>
    <t>ELDWIN</t>
  </si>
  <si>
    <t>HIPOLITO</t>
  </si>
  <si>
    <t>MARY ARIANNE</t>
  </si>
  <si>
    <t>MASIPAG</t>
  </si>
  <si>
    <t>POST HARVEST</t>
  </si>
  <si>
    <t>ALONSAGAY</t>
  </si>
  <si>
    <t>LOURDES</t>
  </si>
  <si>
    <t>FERMALIJO</t>
  </si>
  <si>
    <t>JEDI</t>
  </si>
  <si>
    <t>ZABALA</t>
  </si>
  <si>
    <t>EDGARDO JR</t>
  </si>
  <si>
    <t>CUBATA</t>
  </si>
  <si>
    <t>FELICITA</t>
  </si>
  <si>
    <t>PAQUIBOT</t>
  </si>
  <si>
    <t>PALATIO</t>
  </si>
  <si>
    <t>TINUGUIBAN</t>
  </si>
  <si>
    <t>CORDOVA</t>
  </si>
  <si>
    <t>NESTOR</t>
  </si>
  <si>
    <t>AQUACULTURE</t>
  </si>
  <si>
    <t>MATIN</t>
  </si>
  <si>
    <t>REYMOND CRIS</t>
  </si>
  <si>
    <t>CARDAÑO</t>
  </si>
  <si>
    <t>JOVEIN</t>
  </si>
  <si>
    <t>MANTOMINGCAL</t>
  </si>
  <si>
    <t>MARION</t>
  </si>
  <si>
    <t>CABERTE</t>
  </si>
  <si>
    <t>BENTULAN</t>
  </si>
  <si>
    <t>FEDERICO</t>
  </si>
  <si>
    <t>BACLAYON</t>
  </si>
  <si>
    <t>CRUZ</t>
  </si>
  <si>
    <t>JONATHAN</t>
  </si>
  <si>
    <t>MACOY</t>
  </si>
  <si>
    <t>BULAN</t>
  </si>
  <si>
    <t>MICHEAL</t>
  </si>
  <si>
    <t>NANOY</t>
  </si>
  <si>
    <t>LAURITO</t>
  </si>
  <si>
    <t>MARLON</t>
  </si>
  <si>
    <t>BAGONG SILANG</t>
  </si>
  <si>
    <t>JOHN REY</t>
  </si>
  <si>
    <t>YOLITO</t>
  </si>
  <si>
    <t xml:space="preserve">ABELLANA </t>
  </si>
  <si>
    <t>REY PJ</t>
  </si>
  <si>
    <t>JEROME</t>
  </si>
  <si>
    <t>ADRIAN</t>
  </si>
  <si>
    <t>RODANTE</t>
  </si>
  <si>
    <t>ESTERON</t>
  </si>
  <si>
    <t>JOEL JR</t>
  </si>
  <si>
    <t>GARUBAW</t>
  </si>
  <si>
    <t>THELMA</t>
  </si>
  <si>
    <t>CARLOS</t>
  </si>
  <si>
    <t>GABO</t>
  </si>
  <si>
    <t>ARNEIL</t>
  </si>
  <si>
    <t>TEJADA</t>
  </si>
  <si>
    <t>LILIA</t>
  </si>
  <si>
    <t>BERONG</t>
  </si>
  <si>
    <t>MACARANAS</t>
  </si>
  <si>
    <t>RUBEN JR</t>
  </si>
  <si>
    <t>JOLO</t>
  </si>
  <si>
    <t>SULU</t>
  </si>
  <si>
    <t>ALSSE</t>
  </si>
  <si>
    <t>HAMSIN</t>
  </si>
  <si>
    <t>LEBIOS</t>
  </si>
  <si>
    <t>RODELITO</t>
  </si>
  <si>
    <t>OJA</t>
  </si>
  <si>
    <t>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</si>
</sst>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?_);_(@_)"/>
    <numFmt numFmtId="167" formatCode="#,##0.00\ ;&quot; (&quot;#,##0.00\);&quot; -&quot;#\ ;@\ "/>
    <numFmt numFmtId="168" formatCode="[$-3409]dd\-mmm\-yy;@"/>
    <numFmt numFmtId="169" formatCode="m/d/yyyy;@"/>
  </numFmts>
  <fonts count="86" x14ac:knownFonts="1">
    <font>
      <sz val="11"/>
      <name val="Calibri"/>
    </font>
    <font>
      <sz val="11"/>
      <color indexed="9"/>
      <name val="Calibri"/>
      <family val="2"/>
    </font>
    <font>
      <b/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color indexed="8"/>
      <name val="Arial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b/>
      <u val="singleAccounting"/>
      <sz val="10"/>
      <color rgb="FFFFFFFF"/>
      <name val="Calibri"/>
      <family val="2"/>
    </font>
    <font>
      <b/>
      <u val="singleAccounting"/>
      <sz val="10"/>
      <color rgb="FF000000"/>
      <name val="Calibri"/>
      <family val="2"/>
    </font>
    <font>
      <u val="singleAccounting"/>
      <sz val="10"/>
      <color rgb="FF000000"/>
      <name val="Calibri"/>
      <family val="2"/>
    </font>
    <font>
      <b/>
      <u/>
      <sz val="10"/>
      <color indexed="8"/>
      <name val="Calibri"/>
      <family val="2"/>
    </font>
    <font>
      <sz val="10"/>
      <name val="Calibri"/>
      <family val="2"/>
    </font>
    <font>
      <b/>
      <u/>
      <sz val="10"/>
      <color rgb="FF000000"/>
      <name val="Calibri"/>
      <family val="2"/>
    </font>
    <font>
      <b/>
      <u/>
      <sz val="10"/>
      <color rgb="FFFFFFFF"/>
      <name val="Calibri"/>
      <family val="2"/>
    </font>
    <font>
      <sz val="11"/>
      <color indexed="8"/>
      <name val="Calibri"/>
      <family val="2"/>
    </font>
    <font>
      <i/>
      <sz val="10"/>
      <color rgb="FF000000"/>
      <name val="Calibri"/>
      <family val="2"/>
    </font>
    <font>
      <u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3"/>
      <color rgb="FF000000"/>
      <name val="Calibri"/>
      <family val="2"/>
    </font>
    <font>
      <b/>
      <i/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3"/>
      <color rgb="FF000000"/>
      <name val="Calibri"/>
      <family val="2"/>
    </font>
    <font>
      <sz val="10"/>
      <color rgb="FF000000"/>
      <name val="Arial"/>
      <family val="2"/>
    </font>
    <font>
      <sz val="13"/>
      <color rgb="FF000000"/>
      <name val="Calibri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3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1"/>
      <color indexed="17"/>
      <name val="Calibri"/>
      <family val="2"/>
    </font>
    <font>
      <b/>
      <i/>
      <sz val="12"/>
      <color rgb="FF000000"/>
      <name val="Arial"/>
      <family val="2"/>
    </font>
    <font>
      <sz val="11"/>
      <color indexed="62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Calibri"/>
      <family val="2"/>
    </font>
    <font>
      <sz val="12"/>
      <color rgb="FF00206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color indexed="17"/>
      <name val="Arial"/>
      <family val="2"/>
    </font>
    <font>
      <sz val="12"/>
      <color indexed="62"/>
      <name val="Arial"/>
      <family val="2"/>
    </font>
    <font>
      <sz val="12"/>
      <color indexed="8"/>
      <name val="Calibri"/>
      <family val="2"/>
    </font>
    <font>
      <sz val="12"/>
      <color indexed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i/>
      <sz val="12"/>
      <color rgb="FF000000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color indexed="62"/>
      <name val="Cambria"/>
      <family val="1"/>
      <scheme val="major"/>
    </font>
    <font>
      <sz val="11"/>
      <name val="Calibri"/>
      <family val="2"/>
    </font>
    <font>
      <b/>
      <sz val="10"/>
      <color rgb="FFFF0000"/>
      <name val="Arial"/>
      <family val="2"/>
    </font>
    <font>
      <sz val="12"/>
      <name val="Calibr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3"/>
      <color rgb="FFFF0000"/>
      <name val="Calibri"/>
      <family val="2"/>
    </font>
    <font>
      <sz val="12"/>
      <color rgb="FFFF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indexed="11"/>
        <bgColor indexed="49"/>
      </patternFill>
    </fill>
    <fill>
      <patternFill patternType="solid">
        <fgColor rgb="FF00000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rgb="FF0594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rgb="FF002060"/>
        <bgColor indexed="64"/>
      </patternFill>
    </fill>
    <fill>
      <patternFill patternType="solid">
        <fgColor rgb="FF37609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rgb="FFE36B0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E7F5D7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rgb="FFFABF8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rgb="FF66FF3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2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0" fillId="38" borderId="0">
      <alignment vertical="top"/>
      <protection locked="0"/>
    </xf>
    <xf numFmtId="43" fontId="20" fillId="0" borderId="0">
      <alignment vertical="top"/>
      <protection locked="0"/>
    </xf>
    <xf numFmtId="43" fontId="57" fillId="0" borderId="0">
      <alignment vertical="top"/>
      <protection locked="0"/>
    </xf>
    <xf numFmtId="43" fontId="20" fillId="0" borderId="0">
      <alignment vertical="top"/>
      <protection locked="0"/>
    </xf>
    <xf numFmtId="9" fontId="57" fillId="0" borderId="0">
      <alignment vertical="top"/>
      <protection locked="0"/>
    </xf>
  </cellStyleXfs>
  <cellXfs count="850">
    <xf numFmtId="0" fontId="0" fillId="0" borderId="0" xfId="0">
      <alignment vertical="center"/>
    </xf>
    <xf numFmtId="0" fontId="1" fillId="2" borderId="0" xfId="1" applyNumberFormat="1" applyFont="1" applyFill="1" applyBorder="1" applyAlignment="1">
      <alignment vertical="top"/>
      <protection locked="0"/>
    </xf>
    <xf numFmtId="164" fontId="2" fillId="0" borderId="0" xfId="2" applyNumberFormat="1" applyFont="1" applyFill="1" applyBorder="1" applyAlignment="1" applyProtection="1">
      <alignment vertical="top"/>
    </xf>
    <xf numFmtId="164" fontId="3" fillId="0" borderId="0" xfId="2" applyNumberFormat="1" applyFont="1" applyFill="1" applyBorder="1" applyAlignment="1" applyProtection="1">
      <alignment vertical="top"/>
    </xf>
    <xf numFmtId="164" fontId="4" fillId="3" borderId="1" xfId="2" applyNumberFormat="1" applyFont="1" applyFill="1" applyBorder="1" applyAlignment="1" applyProtection="1">
      <alignment vertical="top"/>
    </xf>
    <xf numFmtId="164" fontId="5" fillId="0" borderId="0" xfId="2" applyNumberFormat="1" applyFont="1" applyFill="1" applyBorder="1" applyAlignment="1" applyProtection="1">
      <alignment vertical="top"/>
    </xf>
    <xf numFmtId="164" fontId="3" fillId="0" borderId="0" xfId="3" applyNumberFormat="1" applyFont="1" applyFill="1" applyBorder="1" applyAlignment="1" applyProtection="1">
      <alignment horizontal="center" vertical="top"/>
    </xf>
    <xf numFmtId="164" fontId="3" fillId="0" borderId="0" xfId="4" applyNumberFormat="1" applyFont="1" applyFill="1" applyBorder="1" applyAlignment="1" applyProtection="1">
      <alignment horizontal="center" vertical="top"/>
    </xf>
    <xf numFmtId="164" fontId="3" fillId="0" borderId="0" xfId="3" applyNumberFormat="1" applyFont="1" applyFill="1" applyBorder="1" applyAlignment="1" applyProtection="1">
      <alignment horizontal="right" vertical="top"/>
    </xf>
    <xf numFmtId="164" fontId="6" fillId="0" borderId="0" xfId="4" applyNumberFormat="1" applyFont="1" applyFill="1" applyBorder="1" applyAlignment="1" applyProtection="1">
      <alignment horizontal="left" vertical="top"/>
    </xf>
    <xf numFmtId="164" fontId="7" fillId="0" borderId="0" xfId="3" applyNumberFormat="1" applyFont="1" applyFill="1" applyBorder="1" applyAlignment="1" applyProtection="1">
      <alignment horizontal="left" vertical="top" wrapText="1"/>
    </xf>
    <xf numFmtId="164" fontId="7" fillId="0" borderId="0" xfId="2" applyNumberFormat="1" applyFont="1" applyFill="1" applyBorder="1" applyAlignment="1" applyProtection="1">
      <alignment horizontal="left" vertical="top" wrapText="1"/>
    </xf>
    <xf numFmtId="164" fontId="7" fillId="0" borderId="0" xfId="3" applyNumberFormat="1" applyFont="1" applyFill="1" applyBorder="1" applyAlignment="1" applyProtection="1">
      <alignment horizontal="left" vertical="top"/>
    </xf>
    <xf numFmtId="164" fontId="7" fillId="0" borderId="0" xfId="3" applyNumberFormat="1" applyFont="1" applyFill="1" applyBorder="1" applyAlignment="1" applyProtection="1">
      <alignment horizontal="right" vertical="top" wrapText="1"/>
    </xf>
    <xf numFmtId="164" fontId="3" fillId="0" borderId="0" xfId="3" applyNumberFormat="1" applyFont="1" applyFill="1" applyBorder="1" applyAlignment="1" applyProtection="1">
      <alignment horizontal="right" vertical="top" wrapText="1"/>
    </xf>
    <xf numFmtId="0" fontId="8" fillId="0" borderId="2" xfId="0" applyFont="1" applyFill="1" applyBorder="1" applyAlignment="1"/>
    <xf numFmtId="0" fontId="1" fillId="4" borderId="0" xfId="1" applyNumberFormat="1" applyFont="1" applyFill="1" applyBorder="1" applyAlignment="1">
      <alignment vertical="top"/>
      <protection locked="0"/>
    </xf>
    <xf numFmtId="0" fontId="8" fillId="5" borderId="3" xfId="0" applyFont="1" applyFill="1" applyBorder="1" applyAlignment="1"/>
    <xf numFmtId="0" fontId="8" fillId="5" borderId="4" xfId="0" applyFont="1" applyFill="1" applyBorder="1" applyAlignment="1"/>
    <xf numFmtId="0" fontId="8" fillId="5" borderId="5" xfId="0" applyFont="1" applyFill="1" applyBorder="1" applyAlignment="1"/>
    <xf numFmtId="0" fontId="1" fillId="4" borderId="0" xfId="1" applyNumberFormat="1" applyFont="1" applyFill="1" applyBorder="1" applyAlignment="1">
      <alignment vertical="top"/>
      <protection locked="0"/>
    </xf>
    <xf numFmtId="164" fontId="9" fillId="8" borderId="7" xfId="3" applyNumberFormat="1" applyFont="1" applyFill="1" applyBorder="1" applyAlignment="1" applyProtection="1">
      <alignment horizontal="center" vertical="center" wrapText="1"/>
    </xf>
    <xf numFmtId="164" fontId="9" fillId="8" borderId="11" xfId="3" applyNumberFormat="1" applyFont="1" applyFill="1" applyBorder="1" applyAlignment="1" applyProtection="1">
      <alignment horizontal="center" vertical="center" wrapText="1"/>
    </xf>
    <xf numFmtId="164" fontId="9" fillId="6" borderId="6" xfId="3" applyNumberFormat="1" applyFont="1" applyFill="1" applyBorder="1" applyAlignment="1" applyProtection="1">
      <alignment horizontal="center" vertical="center" wrapText="1"/>
    </xf>
    <xf numFmtId="164" fontId="9" fillId="9" borderId="6" xfId="3" applyNumberFormat="1" applyFont="1" applyFill="1" applyBorder="1" applyAlignment="1" applyProtection="1">
      <alignment horizontal="center" vertical="center" wrapText="1"/>
    </xf>
    <xf numFmtId="164" fontId="9" fillId="7" borderId="6" xfId="3" applyNumberFormat="1" applyFont="1" applyFill="1" applyBorder="1" applyAlignment="1" applyProtection="1">
      <alignment horizontal="center" vertical="center" wrapText="1"/>
    </xf>
    <xf numFmtId="164" fontId="9" fillId="6" borderId="13" xfId="3" applyNumberFormat="1" applyFont="1" applyFill="1" applyBorder="1" applyAlignment="1" applyProtection="1">
      <alignment horizontal="center" vertical="center" wrapText="1"/>
    </xf>
    <xf numFmtId="164" fontId="9" fillId="8" borderId="13" xfId="3" applyNumberFormat="1" applyFont="1" applyFill="1" applyBorder="1" applyAlignment="1" applyProtection="1">
      <alignment horizontal="center" vertical="center" wrapText="1"/>
    </xf>
    <xf numFmtId="0" fontId="8" fillId="0" borderId="14" xfId="0" quotePrefix="1" applyFont="1" applyFill="1" applyBorder="1" applyAlignment="1">
      <alignment horizontal="center" vertical="center"/>
    </xf>
    <xf numFmtId="164" fontId="10" fillId="0" borderId="5" xfId="2" applyNumberFormat="1" applyFont="1" applyFill="1" applyBorder="1" applyAlignment="1" applyProtection="1">
      <alignment horizontal="right" vertical="center" wrapText="1"/>
    </xf>
    <xf numFmtId="164" fontId="9" fillId="0" borderId="13" xfId="3" applyNumberFormat="1" applyFont="1" applyFill="1" applyBorder="1" applyAlignment="1" applyProtection="1">
      <alignment horizontal="right" vertical="center" wrapText="1"/>
    </xf>
    <xf numFmtId="164" fontId="9" fillId="0" borderId="5" xfId="3" applyNumberFormat="1" applyFont="1" applyFill="1" applyBorder="1" applyAlignment="1" applyProtection="1">
      <alignment horizontal="right" vertical="center" wrapText="1"/>
    </xf>
    <xf numFmtId="0" fontId="1" fillId="4" borderId="0" xfId="1" applyNumberFormat="1" applyFont="1" applyFill="1" applyBorder="1" applyAlignment="1">
      <alignment vertical="top"/>
      <protection locked="0"/>
    </xf>
    <xf numFmtId="164" fontId="11" fillId="3" borderId="10" xfId="4" applyNumberFormat="1" applyFont="1" applyFill="1" applyBorder="1" applyAlignment="1" applyProtection="1">
      <alignment vertical="center" wrapText="1"/>
    </xf>
    <xf numFmtId="164" fontId="12" fillId="3" borderId="15" xfId="2" applyNumberFormat="1" applyFont="1" applyFill="1" applyBorder="1" applyAlignment="1" applyProtection="1">
      <alignment horizontal="right" vertical="center" wrapText="1"/>
    </xf>
    <xf numFmtId="164" fontId="13" fillId="3" borderId="10" xfId="3" applyNumberFormat="1" applyFont="1" applyFill="1" applyBorder="1" applyAlignment="1" applyProtection="1">
      <alignment horizontal="right" vertical="center" wrapText="1"/>
    </xf>
    <xf numFmtId="164" fontId="13" fillId="3" borderId="15" xfId="3" applyNumberFormat="1" applyFont="1" applyFill="1" applyBorder="1" applyAlignment="1" applyProtection="1">
      <alignment horizontal="right" vertical="center" wrapText="1"/>
    </xf>
    <xf numFmtId="0" fontId="1" fillId="10" borderId="0" xfId="1" applyNumberFormat="1" applyFont="1" applyFill="1" applyBorder="1" applyAlignment="1">
      <alignment vertical="top"/>
      <protection locked="0"/>
    </xf>
    <xf numFmtId="164" fontId="11" fillId="11" borderId="10" xfId="4" applyNumberFormat="1" applyFont="1" applyFill="1" applyBorder="1" applyAlignment="1" applyProtection="1">
      <alignment horizontal="left" vertical="center" wrapText="1" indent="1"/>
    </xf>
    <xf numFmtId="164" fontId="12" fillId="11" borderId="15" xfId="3" applyNumberFormat="1" applyFont="1" applyFill="1" applyBorder="1" applyAlignment="1" applyProtection="1">
      <alignment horizontal="right" vertical="center" wrapText="1"/>
    </xf>
    <xf numFmtId="164" fontId="13" fillId="11" borderId="10" xfId="3" applyNumberFormat="1" applyFont="1" applyFill="1" applyBorder="1" applyAlignment="1" applyProtection="1">
      <alignment horizontal="right" vertical="center" wrapText="1"/>
    </xf>
    <xf numFmtId="164" fontId="13" fillId="11" borderId="15" xfId="3" applyNumberFormat="1" applyFont="1" applyFill="1" applyBorder="1" applyAlignment="1" applyProtection="1">
      <alignment horizontal="right" vertical="center" wrapText="1"/>
    </xf>
    <xf numFmtId="0" fontId="1" fillId="10" borderId="0" xfId="1" applyNumberFormat="1" applyFont="1" applyFill="1" applyBorder="1" applyAlignment="1">
      <alignment vertical="top"/>
      <protection locked="0"/>
    </xf>
    <xf numFmtId="164" fontId="11" fillId="12" borderId="10" xfId="4" applyNumberFormat="1" applyFont="1" applyFill="1" applyBorder="1" applyAlignment="1" applyProtection="1">
      <alignment horizontal="left" vertical="center" wrapText="1" indent="2"/>
    </xf>
    <xf numFmtId="164" fontId="12" fillId="12" borderId="15" xfId="2" applyNumberFormat="1" applyFont="1" applyFill="1" applyBorder="1" applyAlignment="1" applyProtection="1">
      <alignment horizontal="right" vertical="top" wrapText="1"/>
    </xf>
    <xf numFmtId="164" fontId="13" fillId="12" borderId="10" xfId="3" applyNumberFormat="1" applyFont="1" applyFill="1" applyBorder="1" applyAlignment="1" applyProtection="1">
      <alignment horizontal="right" vertical="top" wrapText="1"/>
    </xf>
    <xf numFmtId="164" fontId="13" fillId="12" borderId="15" xfId="3" applyNumberFormat="1" applyFont="1" applyFill="1" applyBorder="1" applyAlignment="1" applyProtection="1">
      <alignment horizontal="right" vertical="top" wrapText="1"/>
    </xf>
    <xf numFmtId="164" fontId="13" fillId="12" borderId="10" xfId="3" applyNumberFormat="1" applyFont="1" applyFill="1" applyBorder="1" applyAlignment="1" applyProtection="1">
      <alignment horizontal="right" vertical="center" wrapText="1"/>
    </xf>
    <xf numFmtId="0" fontId="1" fillId="13" borderId="0" xfId="1" applyNumberFormat="1" applyFont="1" applyFill="1" applyBorder="1" applyAlignment="1">
      <alignment vertical="top"/>
      <protection locked="0"/>
    </xf>
    <xf numFmtId="164" fontId="9" fillId="14" borderId="10" xfId="4" applyNumberFormat="1" applyFont="1" applyFill="1" applyBorder="1" applyAlignment="1" applyProtection="1">
      <alignment horizontal="left" vertical="top" wrapText="1" indent="3"/>
    </xf>
    <xf numFmtId="164" fontId="10" fillId="14" borderId="15" xfId="2" applyNumberFormat="1" applyFont="1" applyFill="1" applyBorder="1" applyAlignment="1" applyProtection="1">
      <alignment horizontal="right" vertical="top" wrapText="1"/>
    </xf>
    <xf numFmtId="164" fontId="14" fillId="14" borderId="10" xfId="3" applyNumberFormat="1" applyFont="1" applyFill="1" applyBorder="1" applyAlignment="1" applyProtection="1">
      <alignment horizontal="right" vertical="top" wrapText="1"/>
    </xf>
    <xf numFmtId="164" fontId="14" fillId="14" borderId="15" xfId="3" applyNumberFormat="1" applyFont="1" applyFill="1" applyBorder="1" applyAlignment="1" applyProtection="1">
      <alignment horizontal="right" vertical="top" wrapText="1"/>
    </xf>
    <xf numFmtId="164" fontId="15" fillId="14" borderId="10" xfId="3" applyNumberFormat="1" applyFont="1" applyFill="1" applyBorder="1" applyAlignment="1" applyProtection="1">
      <alignment horizontal="right" vertical="top" wrapText="1"/>
    </xf>
    <xf numFmtId="0" fontId="1" fillId="13" borderId="0" xfId="1" applyNumberFormat="1" applyFont="1" applyFill="1" applyBorder="1" applyAlignment="1">
      <alignment vertical="top"/>
      <protection locked="0"/>
    </xf>
    <xf numFmtId="0" fontId="11" fillId="15" borderId="15" xfId="0" applyFont="1" applyFill="1" applyBorder="1" applyAlignment="1">
      <alignment horizontal="left" indent="4"/>
    </xf>
    <xf numFmtId="164" fontId="12" fillId="15" borderId="15" xfId="4" applyNumberFormat="1" applyFont="1" applyFill="1" applyBorder="1" applyAlignment="1" applyProtection="1">
      <alignment horizontal="right" vertical="top" wrapText="1"/>
    </xf>
    <xf numFmtId="0" fontId="1" fillId="13" borderId="0" xfId="1" applyNumberFormat="1" applyFont="1" applyFill="1" applyBorder="1" applyAlignment="1">
      <alignment vertical="top"/>
      <protection locked="0"/>
    </xf>
    <xf numFmtId="164" fontId="8" fillId="16" borderId="15" xfId="4" applyNumberFormat="1" applyFont="1" applyFill="1" applyBorder="1" applyAlignment="1" applyProtection="1">
      <alignment horizontal="left" vertical="top" indent="8"/>
    </xf>
    <xf numFmtId="164" fontId="16" fillId="16" borderId="10" xfId="3" applyNumberFormat="1" applyFont="1" applyFill="1" applyBorder="1" applyAlignment="1" applyProtection="1">
      <alignment horizontal="right" vertical="top" wrapText="1"/>
    </xf>
    <xf numFmtId="164" fontId="10" fillId="16" borderId="15" xfId="4" applyNumberFormat="1" applyFont="1" applyFill="1" applyBorder="1" applyAlignment="1" applyProtection="1">
      <alignment horizontal="right" vertical="top" wrapText="1"/>
    </xf>
    <xf numFmtId="0" fontId="9" fillId="0" borderId="15" xfId="0" applyFont="1" applyFill="1" applyBorder="1" applyAlignment="1">
      <alignment horizontal="right" indent="4"/>
    </xf>
    <xf numFmtId="164" fontId="10" fillId="0" borderId="15" xfId="4" applyNumberFormat="1" applyFont="1" applyFill="1" applyBorder="1" applyAlignment="1" applyProtection="1">
      <alignment horizontal="right" vertical="top" wrapText="1"/>
    </xf>
    <xf numFmtId="164" fontId="10" fillId="0" borderId="10" xfId="3" applyNumberFormat="1" applyFont="1" applyFill="1" applyBorder="1" applyAlignment="1" applyProtection="1">
      <alignment horizontal="right" vertical="top" wrapText="1"/>
    </xf>
    <xf numFmtId="164" fontId="17" fillId="0" borderId="15" xfId="3" applyNumberFormat="1" applyFont="1" applyFill="1" applyBorder="1" applyAlignment="1" applyProtection="1">
      <alignment horizontal="right" vertical="top" wrapText="1"/>
    </xf>
    <xf numFmtId="164" fontId="10" fillId="9" borderId="15" xfId="4" applyNumberFormat="1" applyFont="1" applyFill="1" applyBorder="1" applyAlignment="1" applyProtection="1">
      <alignment horizontal="right" vertical="top" wrapText="1"/>
    </xf>
    <xf numFmtId="164" fontId="10" fillId="17" borderId="15" xfId="4" applyNumberFormat="1" applyFont="1" applyFill="1" applyBorder="1" applyAlignment="1" applyProtection="1">
      <alignment horizontal="right" vertical="top" wrapText="1"/>
    </xf>
    <xf numFmtId="164" fontId="10" fillId="8" borderId="10" xfId="3" applyNumberFormat="1" applyFont="1" applyFill="1" applyBorder="1" applyAlignment="1" applyProtection="1">
      <alignment horizontal="right" vertical="top" wrapText="1"/>
    </xf>
    <xf numFmtId="164" fontId="9" fillId="18" borderId="10" xfId="3" applyNumberFormat="1" applyFont="1" applyFill="1" applyBorder="1" applyAlignment="1" applyProtection="1">
      <alignment horizontal="right" vertical="top" wrapText="1"/>
    </xf>
    <xf numFmtId="164" fontId="17" fillId="0" borderId="15" xfId="4" applyNumberFormat="1" applyFont="1" applyFill="1" applyBorder="1" applyAlignment="1" applyProtection="1">
      <alignment horizontal="left" vertical="top" indent="8"/>
    </xf>
    <xf numFmtId="43" fontId="8" fillId="16" borderId="15" xfId="3" applyFont="1" applyFill="1" applyBorder="1" applyAlignment="1" applyProtection="1">
      <alignment horizontal="left" vertical="top" indent="8"/>
    </xf>
    <xf numFmtId="164" fontId="10" fillId="16" borderId="15" xfId="2" applyNumberFormat="1" applyFont="1" applyFill="1" applyBorder="1" applyAlignment="1" applyProtection="1">
      <alignment horizontal="right" vertical="top" wrapText="1"/>
    </xf>
    <xf numFmtId="164" fontId="10" fillId="16" borderId="10" xfId="3" applyNumberFormat="1" applyFont="1" applyFill="1" applyBorder="1" applyAlignment="1" applyProtection="1">
      <alignment horizontal="right" vertical="top" wrapText="1"/>
    </xf>
    <xf numFmtId="164" fontId="18" fillId="16" borderId="10" xfId="3" applyNumberFormat="1" applyFont="1" applyFill="1" applyBorder="1" applyAlignment="1" applyProtection="1">
      <alignment horizontal="right" vertical="top" wrapText="1"/>
    </xf>
    <xf numFmtId="43" fontId="17" fillId="0" borderId="15" xfId="3" applyFont="1" applyFill="1" applyBorder="1" applyAlignment="1" applyProtection="1">
      <alignment horizontal="left" vertical="top" indent="6"/>
    </xf>
    <xf numFmtId="164" fontId="11" fillId="15" borderId="15" xfId="4" applyNumberFormat="1" applyFont="1" applyFill="1" applyBorder="1" applyAlignment="1" applyProtection="1">
      <alignment horizontal="left" vertical="top" indent="4"/>
    </xf>
    <xf numFmtId="164" fontId="19" fillId="15" borderId="10" xfId="3" applyNumberFormat="1" applyFont="1" applyFill="1" applyBorder="1" applyAlignment="1" applyProtection="1">
      <alignment horizontal="right" vertical="top" wrapText="1"/>
    </xf>
    <xf numFmtId="164" fontId="8" fillId="16" borderId="15" xfId="4" applyNumberFormat="1" applyFont="1" applyFill="1" applyBorder="1" applyAlignment="1" applyProtection="1">
      <alignment horizontal="left" vertical="top" wrapText="1" indent="8"/>
    </xf>
    <xf numFmtId="0" fontId="1" fillId="19" borderId="0" xfId="1" applyNumberFormat="1" applyFont="1" applyFill="1" applyBorder="1" applyAlignment="1">
      <alignment vertical="top"/>
      <protection locked="0"/>
    </xf>
    <xf numFmtId="164" fontId="17" fillId="20" borderId="15" xfId="4" applyNumberFormat="1" applyFont="1" applyFill="1" applyBorder="1" applyAlignment="1" applyProtection="1">
      <alignment horizontal="left" vertical="top" indent="8"/>
    </xf>
    <xf numFmtId="164" fontId="10" fillId="20" borderId="15" xfId="4" applyNumberFormat="1" applyFont="1" applyFill="1" applyBorder="1" applyAlignment="1" applyProtection="1">
      <alignment horizontal="right" vertical="top" wrapText="1"/>
    </xf>
    <xf numFmtId="164" fontId="16" fillId="20" borderId="10" xfId="3" applyNumberFormat="1" applyFont="1" applyFill="1" applyBorder="1" applyAlignment="1" applyProtection="1">
      <alignment horizontal="right" vertical="top" wrapText="1"/>
    </xf>
    <xf numFmtId="164" fontId="18" fillId="20" borderId="10" xfId="3" applyNumberFormat="1" applyFont="1" applyFill="1" applyBorder="1" applyAlignment="1" applyProtection="1">
      <alignment horizontal="right" vertical="top" wrapText="1"/>
    </xf>
    <xf numFmtId="164" fontId="10" fillId="0" borderId="10" xfId="4" quotePrefix="1" applyNumberFormat="1" applyFont="1" applyFill="1" applyBorder="1" applyAlignment="1" applyProtection="1">
      <alignment horizontal="left" vertical="top" indent="12"/>
    </xf>
    <xf numFmtId="164" fontId="10" fillId="0" borderId="10" xfId="4" applyNumberFormat="1" applyFont="1" applyFill="1" applyBorder="1" applyAlignment="1" applyProtection="1">
      <alignment horizontal="left" vertical="top" indent="12"/>
    </xf>
    <xf numFmtId="43" fontId="20" fillId="0" borderId="0" xfId="1" applyNumberFormat="1" applyFont="1" applyFill="1" applyBorder="1" applyAlignment="1">
      <alignment vertical="top"/>
      <protection locked="0"/>
    </xf>
    <xf numFmtId="164" fontId="10" fillId="21" borderId="10" xfId="4" applyNumberFormat="1" applyFont="1" applyFill="1" applyBorder="1" applyAlignment="1" applyProtection="1">
      <alignment horizontal="left" vertical="top" indent="12"/>
    </xf>
    <xf numFmtId="164" fontId="10" fillId="0" borderId="15" xfId="2" applyNumberFormat="1" applyFont="1" applyFill="1" applyBorder="1" applyAlignment="1" applyProtection="1">
      <alignment horizontal="right" vertical="top" wrapText="1"/>
    </xf>
    <xf numFmtId="164" fontId="10" fillId="7" borderId="15" xfId="4" applyNumberFormat="1" applyFont="1" applyFill="1" applyBorder="1" applyAlignment="1" applyProtection="1">
      <alignment horizontal="right" vertical="top" wrapText="1"/>
    </xf>
    <xf numFmtId="164" fontId="17" fillId="7" borderId="15" xfId="3" applyNumberFormat="1" applyFont="1" applyFill="1" applyBorder="1" applyAlignment="1" applyProtection="1">
      <alignment horizontal="right" vertical="top" wrapText="1"/>
    </xf>
    <xf numFmtId="0" fontId="1" fillId="19" borderId="0" xfId="1" applyNumberFormat="1" applyFont="1" applyFill="1" applyBorder="1" applyAlignment="1">
      <alignment vertical="top"/>
      <protection locked="0"/>
    </xf>
    <xf numFmtId="164" fontId="10" fillId="20" borderId="15" xfId="2" applyNumberFormat="1" applyFont="1" applyFill="1" applyBorder="1" applyAlignment="1" applyProtection="1">
      <alignment horizontal="right" vertical="top" wrapText="1"/>
    </xf>
    <xf numFmtId="0" fontId="1" fillId="19" borderId="0" xfId="1" applyNumberFormat="1" applyFont="1" applyFill="1" applyBorder="1" applyAlignment="1">
      <alignment vertical="top"/>
      <protection locked="0"/>
    </xf>
    <xf numFmtId="164" fontId="17" fillId="20" borderId="15" xfId="4" applyNumberFormat="1" applyFont="1" applyFill="1" applyBorder="1" applyAlignment="1" applyProtection="1">
      <alignment horizontal="left" vertical="top" wrapText="1" indent="8"/>
    </xf>
    <xf numFmtId="164" fontId="21" fillId="16" borderId="15" xfId="4" applyNumberFormat="1" applyFont="1" applyFill="1" applyBorder="1" applyAlignment="1" applyProtection="1">
      <alignment horizontal="right" vertical="top" wrapText="1"/>
    </xf>
    <xf numFmtId="164" fontId="12" fillId="0" borderId="15" xfId="4" applyNumberFormat="1" applyFont="1" applyFill="1" applyBorder="1" applyAlignment="1" applyProtection="1">
      <alignment horizontal="right" vertical="top" wrapText="1"/>
    </xf>
    <xf numFmtId="164" fontId="18" fillId="0" borderId="10" xfId="3" applyNumberFormat="1" applyFont="1" applyFill="1" applyBorder="1" applyAlignment="1" applyProtection="1">
      <alignment horizontal="right" vertical="top" wrapText="1"/>
    </xf>
    <xf numFmtId="164" fontId="9" fillId="0" borderId="10" xfId="3" applyNumberFormat="1" applyFont="1" applyFill="1" applyBorder="1" applyAlignment="1" applyProtection="1">
      <alignment horizontal="right" vertical="top" wrapText="1"/>
    </xf>
    <xf numFmtId="164" fontId="19" fillId="0" borderId="10" xfId="3" applyNumberFormat="1" applyFont="1" applyFill="1" applyBorder="1" applyAlignment="1" applyProtection="1">
      <alignment horizontal="right" vertical="top" wrapText="1"/>
    </xf>
    <xf numFmtId="1" fontId="10" fillId="0" borderId="15" xfId="4" applyNumberFormat="1" applyFont="1" applyFill="1" applyBorder="1" applyAlignment="1" applyProtection="1">
      <alignment horizontal="right" vertical="top" wrapText="1"/>
    </xf>
    <xf numFmtId="164" fontId="9" fillId="17" borderId="10" xfId="3" applyNumberFormat="1" applyFont="1" applyFill="1" applyBorder="1" applyAlignment="1" applyProtection="1">
      <alignment horizontal="right" vertical="top" wrapText="1"/>
    </xf>
    <xf numFmtId="164" fontId="11" fillId="22" borderId="10" xfId="4" applyNumberFormat="1" applyFont="1" applyFill="1" applyBorder="1" applyAlignment="1" applyProtection="1">
      <alignment horizontal="left" vertical="top" indent="15"/>
    </xf>
    <xf numFmtId="1" fontId="10" fillId="0" borderId="15" xfId="5" applyNumberFormat="1" applyFont="1" applyFill="1" applyBorder="1" applyAlignment="1" applyProtection="1">
      <alignment horizontal="right" vertical="top" wrapText="1"/>
    </xf>
    <xf numFmtId="164" fontId="10" fillId="21" borderId="10" xfId="4" quotePrefix="1" applyNumberFormat="1" applyFont="1" applyFill="1" applyBorder="1" applyAlignment="1" applyProtection="1">
      <alignment horizontal="left" vertical="top" indent="12"/>
    </xf>
    <xf numFmtId="164" fontId="19" fillId="15" borderId="10" xfId="4" applyNumberFormat="1" applyFont="1" applyFill="1" applyBorder="1" applyAlignment="1" applyProtection="1">
      <alignment horizontal="left" vertical="top" indent="4"/>
    </xf>
    <xf numFmtId="164" fontId="10" fillId="15" borderId="10" xfId="3" applyNumberFormat="1" applyFont="1" applyFill="1" applyBorder="1" applyAlignment="1" applyProtection="1">
      <alignment horizontal="right" vertical="top" wrapText="1"/>
    </xf>
    <xf numFmtId="164" fontId="12" fillId="15" borderId="10" xfId="3" applyNumberFormat="1" applyFont="1" applyFill="1" applyBorder="1" applyAlignment="1" applyProtection="1">
      <alignment horizontal="right" vertical="top" wrapText="1"/>
    </xf>
    <xf numFmtId="164" fontId="17" fillId="0" borderId="15" xfId="4" quotePrefix="1" applyNumberFormat="1" applyFont="1" applyFill="1" applyBorder="1" applyAlignment="1" applyProtection="1">
      <alignment horizontal="left" vertical="top" wrapText="1" indent="4"/>
    </xf>
    <xf numFmtId="0" fontId="1" fillId="23" borderId="0" xfId="1" applyNumberFormat="1" applyFont="1" applyFill="1" applyBorder="1" applyAlignment="1">
      <alignment vertical="top"/>
      <protection locked="0"/>
    </xf>
    <xf numFmtId="0" fontId="8" fillId="14" borderId="15" xfId="0" applyFont="1" applyFill="1" applyBorder="1" applyAlignment="1">
      <alignment horizontal="left" indent="6"/>
    </xf>
    <xf numFmtId="0" fontId="1" fillId="23" borderId="0" xfId="1" applyNumberFormat="1" applyFont="1" applyFill="1" applyBorder="1" applyAlignment="1">
      <alignment vertical="top"/>
      <protection locked="0"/>
    </xf>
    <xf numFmtId="164" fontId="8" fillId="24" borderId="15" xfId="3" applyNumberFormat="1" applyFont="1" applyFill="1" applyBorder="1" applyAlignment="1" applyProtection="1">
      <alignment horizontal="left" vertical="top" indent="8"/>
    </xf>
    <xf numFmtId="164" fontId="21" fillId="24" borderId="15" xfId="4" applyNumberFormat="1" applyFont="1" applyFill="1" applyBorder="1" applyAlignment="1" applyProtection="1">
      <alignment horizontal="right" vertical="top" wrapText="1"/>
    </xf>
    <xf numFmtId="164" fontId="16" fillId="24" borderId="10" xfId="3" applyNumberFormat="1" applyFont="1" applyFill="1" applyBorder="1" applyAlignment="1" applyProtection="1">
      <alignment horizontal="right" vertical="top" wrapText="1"/>
    </xf>
    <xf numFmtId="164" fontId="18" fillId="24" borderId="10" xfId="3" applyNumberFormat="1" applyFont="1" applyFill="1" applyBorder="1" applyAlignment="1" applyProtection="1">
      <alignment horizontal="right" vertical="top" wrapText="1"/>
    </xf>
    <xf numFmtId="164" fontId="22" fillId="0" borderId="10" xfId="4" applyNumberFormat="1" applyFont="1" applyFill="1" applyBorder="1" applyAlignment="1" applyProtection="1">
      <alignment horizontal="left" vertical="top" indent="12"/>
    </xf>
    <xf numFmtId="164" fontId="16" fillId="0" borderId="10" xfId="3" applyNumberFormat="1" applyFont="1" applyFill="1" applyBorder="1" applyAlignment="1" applyProtection="1">
      <alignment horizontal="right" vertical="top" wrapText="1"/>
    </xf>
    <xf numFmtId="164" fontId="10" fillId="0" borderId="10" xfId="4" applyNumberFormat="1" applyFont="1" applyFill="1" applyBorder="1" applyAlignment="1" applyProtection="1">
      <alignment horizontal="left" vertical="top" indent="14"/>
    </xf>
    <xf numFmtId="164" fontId="9" fillId="24" borderId="15" xfId="3" applyNumberFormat="1" applyFont="1" applyFill="1" applyBorder="1" applyAlignment="1" applyProtection="1">
      <alignment horizontal="left" vertical="top" indent="8"/>
    </xf>
    <xf numFmtId="164" fontId="9" fillId="16" borderId="15" xfId="0" applyNumberFormat="1" applyFont="1" applyFill="1" applyBorder="1" applyAlignment="1">
      <alignment horizontal="left" vertical="top" indent="8"/>
    </xf>
    <xf numFmtId="164" fontId="10" fillId="16" borderId="15" xfId="3" applyNumberFormat="1" applyFont="1" applyFill="1" applyBorder="1" applyAlignment="1" applyProtection="1">
      <alignment horizontal="right" vertical="top" wrapText="1"/>
    </xf>
    <xf numFmtId="164" fontId="10" fillId="20" borderId="15" xfId="0" applyNumberFormat="1" applyFont="1" applyFill="1" applyBorder="1" applyAlignment="1">
      <alignment horizontal="left" vertical="top" indent="8"/>
    </xf>
    <xf numFmtId="164" fontId="22" fillId="0" borderId="10" xfId="3" applyNumberFormat="1" applyFont="1" applyFill="1" applyBorder="1" applyAlignment="1" applyProtection="1">
      <alignment horizontal="left" vertical="top" indent="12"/>
    </xf>
    <xf numFmtId="164" fontId="10" fillId="0" borderId="10" xfId="3" applyNumberFormat="1" applyFont="1" applyFill="1" applyBorder="1" applyAlignment="1" applyProtection="1">
      <alignment horizontal="left" vertical="top" indent="14"/>
    </xf>
    <xf numFmtId="164" fontId="10" fillId="0" borderId="10" xfId="4" applyNumberFormat="1" applyFont="1" applyFill="1" applyBorder="1" applyAlignment="1" applyProtection="1">
      <alignment horizontal="right" vertical="top" indent="14"/>
    </xf>
    <xf numFmtId="0" fontId="1" fillId="4" borderId="0" xfId="1" applyNumberFormat="1" applyFont="1" applyFill="1" applyBorder="1" applyAlignment="1">
      <alignment vertical="top"/>
      <protection locked="0"/>
    </xf>
    <xf numFmtId="164" fontId="10" fillId="20" borderId="15" xfId="0" applyNumberFormat="1" applyFont="1" applyFill="1" applyBorder="1" applyAlignment="1">
      <alignment horizontal="left" vertical="top" wrapText="1" indent="8"/>
    </xf>
    <xf numFmtId="164" fontId="10" fillId="20" borderId="10" xfId="4" applyNumberFormat="1" applyFont="1" applyFill="1" applyBorder="1" applyAlignment="1" applyProtection="1">
      <alignment horizontal="right" vertical="top" indent="12"/>
    </xf>
    <xf numFmtId="43" fontId="10" fillId="0" borderId="15" xfId="4" applyNumberFormat="1" applyFont="1" applyFill="1" applyBorder="1" applyAlignment="1" applyProtection="1">
      <alignment horizontal="right" vertical="top" wrapText="1"/>
    </xf>
    <xf numFmtId="164" fontId="17" fillId="25" borderId="15" xfId="3" applyNumberFormat="1" applyFont="1" applyFill="1" applyBorder="1" applyAlignment="1" applyProtection="1">
      <alignment horizontal="right" vertical="top" wrapText="1"/>
    </xf>
    <xf numFmtId="43" fontId="10" fillId="17" borderId="15" xfId="4" applyNumberFormat="1" applyFont="1" applyFill="1" applyBorder="1" applyAlignment="1" applyProtection="1">
      <alignment horizontal="right" vertical="top" wrapText="1"/>
    </xf>
    <xf numFmtId="165" fontId="10" fillId="17" borderId="15" xfId="4" applyNumberFormat="1" applyFont="1" applyFill="1" applyBorder="1" applyAlignment="1" applyProtection="1">
      <alignment horizontal="right" vertical="top" wrapText="1"/>
    </xf>
    <xf numFmtId="164" fontId="10" fillId="20" borderId="10" xfId="4" applyNumberFormat="1" applyFont="1" applyFill="1" applyBorder="1" applyAlignment="1" applyProtection="1">
      <alignment horizontal="left" vertical="top" indent="12"/>
    </xf>
    <xf numFmtId="164" fontId="10" fillId="20" borderId="10" xfId="4" quotePrefix="1" applyNumberFormat="1" applyFont="1" applyFill="1" applyBorder="1" applyAlignment="1" applyProtection="1">
      <alignment horizontal="left" vertical="top" indent="12"/>
    </xf>
    <xf numFmtId="164" fontId="18" fillId="0" borderId="15" xfId="3" applyNumberFormat="1" applyFont="1" applyFill="1" applyBorder="1" applyAlignment="1" applyProtection="1">
      <alignment horizontal="right" vertical="top" wrapText="1"/>
    </xf>
    <xf numFmtId="164" fontId="9" fillId="24" borderId="15" xfId="3" applyNumberFormat="1" applyFont="1" applyFill="1" applyBorder="1" applyAlignment="1" applyProtection="1">
      <alignment horizontal="left" vertical="top" indent="6"/>
    </xf>
    <xf numFmtId="164" fontId="10" fillId="24" borderId="15" xfId="4" applyNumberFormat="1" applyFont="1" applyFill="1" applyBorder="1" applyAlignment="1" applyProtection="1">
      <alignment horizontal="right" vertical="top" indent="11"/>
    </xf>
    <xf numFmtId="164" fontId="9" fillId="16" borderId="15" xfId="4" applyNumberFormat="1" applyFont="1" applyFill="1" applyBorder="1" applyAlignment="1" applyProtection="1">
      <alignment horizontal="left" vertical="top" wrapText="1" indent="8"/>
    </xf>
    <xf numFmtId="164" fontId="10" fillId="16" borderId="15" xfId="4" applyNumberFormat="1" applyFont="1" applyFill="1" applyBorder="1" applyAlignment="1" applyProtection="1">
      <alignment horizontal="right" vertical="top" indent="13"/>
    </xf>
    <xf numFmtId="166" fontId="10" fillId="20" borderId="15" xfId="4" applyNumberFormat="1" applyFont="1" applyFill="1" applyBorder="1" applyAlignment="1" applyProtection="1">
      <alignment horizontal="left" vertical="top" wrapText="1" indent="8"/>
    </xf>
    <xf numFmtId="164" fontId="10" fillId="20" borderId="15" xfId="4" applyNumberFormat="1" applyFont="1" applyFill="1" applyBorder="1" applyAlignment="1" applyProtection="1">
      <alignment horizontal="right" vertical="top" indent="13"/>
    </xf>
    <xf numFmtId="164" fontId="10" fillId="0" borderId="15" xfId="4" applyNumberFormat="1" applyFont="1" applyFill="1" applyBorder="1" applyAlignment="1" applyProtection="1">
      <alignment horizontal="right" vertical="center" indent="8"/>
    </xf>
    <xf numFmtId="164" fontId="10" fillId="26" borderId="15" xfId="4" applyNumberFormat="1" applyFont="1" applyFill="1" applyBorder="1" applyAlignment="1" applyProtection="1">
      <alignment horizontal="right" vertical="top" wrapText="1"/>
    </xf>
    <xf numFmtId="166" fontId="10" fillId="20" borderId="15" xfId="4" applyNumberFormat="1" applyFont="1" applyFill="1" applyBorder="1" applyAlignment="1" applyProtection="1">
      <alignment horizontal="left" vertical="top" wrapText="1" indent="7"/>
    </xf>
    <xf numFmtId="164" fontId="9" fillId="24" borderId="15" xfId="3" applyNumberFormat="1" applyFont="1" applyFill="1" applyBorder="1" applyAlignment="1" applyProtection="1">
      <alignment horizontal="left" vertical="top" indent="7"/>
    </xf>
    <xf numFmtId="164" fontId="10" fillId="24" borderId="15" xfId="4" applyNumberFormat="1" applyFont="1" applyFill="1" applyBorder="1" applyAlignment="1" applyProtection="1">
      <alignment horizontal="right" vertical="top" wrapText="1"/>
    </xf>
    <xf numFmtId="164" fontId="9" fillId="16" borderId="15" xfId="4" applyNumberFormat="1" applyFont="1" applyFill="1" applyBorder="1" applyAlignment="1" applyProtection="1">
      <alignment horizontal="left" vertical="top" indent="7"/>
    </xf>
    <xf numFmtId="164" fontId="10" fillId="20" borderId="15" xfId="4" applyNumberFormat="1" applyFont="1" applyFill="1" applyBorder="1" applyAlignment="1" applyProtection="1">
      <alignment horizontal="left" vertical="top" indent="7"/>
    </xf>
    <xf numFmtId="164" fontId="21" fillId="20" borderId="15" xfId="4" applyNumberFormat="1" applyFont="1" applyFill="1" applyBorder="1" applyAlignment="1" applyProtection="1">
      <alignment horizontal="right" vertical="top" wrapText="1"/>
    </xf>
    <xf numFmtId="164" fontId="17" fillId="20" borderId="15" xfId="4" quotePrefix="1" applyNumberFormat="1" applyFont="1" applyFill="1" applyBorder="1" applyAlignment="1" applyProtection="1">
      <alignment horizontal="left" vertical="top" wrapText="1" indent="7"/>
    </xf>
    <xf numFmtId="0" fontId="1" fillId="27" borderId="0" xfId="1" applyNumberFormat="1" applyFont="1" applyFill="1" applyBorder="1" applyAlignment="1">
      <alignment vertical="top"/>
      <protection locked="0"/>
    </xf>
    <xf numFmtId="164" fontId="10" fillId="0" borderId="15" xfId="4" quotePrefix="1" applyNumberFormat="1" applyFont="1" applyFill="1" applyBorder="1" applyAlignment="1" applyProtection="1">
      <alignment horizontal="left" vertical="top" wrapText="1" indent="11"/>
    </xf>
    <xf numFmtId="164" fontId="10" fillId="28" borderId="15" xfId="4" quotePrefix="1" applyNumberFormat="1" applyFont="1" applyFill="1" applyBorder="1" applyAlignment="1" applyProtection="1">
      <alignment horizontal="left" vertical="top" wrapText="1" indent="11"/>
    </xf>
    <xf numFmtId="164" fontId="18" fillId="14" borderId="10" xfId="3" applyNumberFormat="1" applyFont="1" applyFill="1" applyBorder="1" applyAlignment="1" applyProtection="1">
      <alignment horizontal="right" vertical="top" wrapText="1"/>
    </xf>
    <xf numFmtId="0" fontId="1" fillId="4" borderId="0" xfId="1" applyNumberFormat="1" applyFont="1" applyFill="1" applyBorder="1" applyAlignment="1">
      <alignment vertical="top"/>
      <protection locked="0"/>
    </xf>
    <xf numFmtId="164" fontId="10" fillId="20" borderId="15" xfId="4" applyNumberFormat="1" applyFont="1" applyFill="1" applyBorder="1" applyAlignment="1" applyProtection="1">
      <alignment horizontal="left" vertical="top" indent="8"/>
    </xf>
    <xf numFmtId="164" fontId="10" fillId="0" borderId="10" xfId="4" quotePrefix="1" applyNumberFormat="1" applyFont="1" applyFill="1" applyBorder="1" applyAlignment="1" applyProtection="1">
      <alignment horizontal="left" vertical="top" wrapText="1" indent="12"/>
    </xf>
    <xf numFmtId="0" fontId="23" fillId="0" borderId="15" xfId="0" applyFont="1" applyBorder="1" applyAlignment="1">
      <alignment horizontal="right" indent="4"/>
    </xf>
    <xf numFmtId="164" fontId="24" fillId="0" borderId="10" xfId="4" quotePrefix="1" applyNumberFormat="1" applyFont="1" applyFill="1" applyBorder="1" applyAlignment="1" applyProtection="1">
      <alignment horizontal="left" vertical="top" indent="12"/>
    </xf>
    <xf numFmtId="164" fontId="10" fillId="29" borderId="10" xfId="3" applyNumberFormat="1" applyFont="1" applyFill="1" applyBorder="1" applyAlignment="1" applyProtection="1">
      <alignment horizontal="right" vertical="top" wrapText="1"/>
    </xf>
    <xf numFmtId="164" fontId="24" fillId="0" borderId="10" xfId="4" quotePrefix="1" applyNumberFormat="1" applyFont="1" applyFill="1" applyBorder="1" applyAlignment="1" applyProtection="1">
      <alignment horizontal="left" vertical="top" indent="13"/>
    </xf>
    <xf numFmtId="164" fontId="24" fillId="0" borderId="10" xfId="4" applyNumberFormat="1" applyFont="1" applyFill="1" applyBorder="1" applyAlignment="1" applyProtection="1">
      <alignment horizontal="left" vertical="top" indent="13"/>
    </xf>
    <xf numFmtId="164" fontId="9" fillId="28" borderId="10" xfId="4" quotePrefix="1" applyNumberFormat="1" applyFont="1" applyFill="1" applyBorder="1" applyAlignment="1" applyProtection="1">
      <alignment horizontal="left" vertical="top" indent="13"/>
    </xf>
    <xf numFmtId="164" fontId="10" fillId="20" borderId="15" xfId="4" quotePrefix="1" applyNumberFormat="1" applyFont="1" applyFill="1" applyBorder="1" applyAlignment="1" applyProtection="1">
      <alignment horizontal="left" vertical="top" wrapText="1" indent="7"/>
    </xf>
    <xf numFmtId="164" fontId="16" fillId="14" borderId="10" xfId="3" applyNumberFormat="1" applyFont="1" applyFill="1" applyBorder="1" applyAlignment="1" applyProtection="1">
      <alignment horizontal="right" vertical="top" wrapText="1"/>
    </xf>
    <xf numFmtId="164" fontId="7" fillId="0" borderId="15" xfId="3" applyNumberFormat="1" applyFont="1" applyFill="1" applyBorder="1" applyAlignment="1" applyProtection="1">
      <alignment horizontal="right" vertical="top" wrapText="1"/>
    </xf>
    <xf numFmtId="164" fontId="16" fillId="0" borderId="15" xfId="3" applyNumberFormat="1" applyFont="1" applyFill="1" applyBorder="1" applyAlignment="1" applyProtection="1">
      <alignment horizontal="right" vertical="top" wrapText="1"/>
    </xf>
    <xf numFmtId="164" fontId="10" fillId="0" borderId="10" xfId="4" applyNumberFormat="1" applyFont="1" applyFill="1" applyBorder="1" applyAlignment="1" applyProtection="1">
      <alignment horizontal="left" vertical="top" indent="15"/>
    </xf>
    <xf numFmtId="0" fontId="1" fillId="27" borderId="0" xfId="1" applyNumberFormat="1" applyFont="1" applyFill="1" applyBorder="1" applyAlignment="1">
      <alignment vertical="top"/>
      <protection locked="0"/>
    </xf>
    <xf numFmtId="164" fontId="17" fillId="20" borderId="12" xfId="4" applyNumberFormat="1" applyFont="1" applyFill="1" applyBorder="1" applyAlignment="1" applyProtection="1">
      <alignment horizontal="left" vertical="top" indent="8"/>
    </xf>
    <xf numFmtId="164" fontId="10" fillId="28" borderId="10" xfId="4" applyNumberFormat="1" applyFont="1" applyFill="1" applyBorder="1" applyAlignment="1" applyProtection="1">
      <alignment horizontal="left" vertical="top"/>
    </xf>
    <xf numFmtId="0" fontId="25" fillId="30" borderId="0" xfId="1" applyNumberFormat="1" applyFont="1" applyFill="1" applyBorder="1" applyAlignment="1">
      <alignment vertical="top"/>
      <protection locked="0"/>
    </xf>
    <xf numFmtId="164" fontId="10" fillId="6" borderId="10" xfId="4" applyNumberFormat="1" applyFont="1" applyFill="1" applyBorder="1" applyAlignment="1" applyProtection="1">
      <alignment vertical="center"/>
    </xf>
    <xf numFmtId="164" fontId="10" fillId="6" borderId="15" xfId="4" applyNumberFormat="1" applyFont="1" applyFill="1" applyBorder="1" applyAlignment="1" applyProtection="1">
      <alignment horizontal="right" vertical="top" wrapText="1"/>
    </xf>
    <xf numFmtId="164" fontId="10" fillId="6" borderId="10" xfId="3" applyNumberFormat="1" applyFont="1" applyFill="1" applyBorder="1" applyAlignment="1" applyProtection="1">
      <alignment horizontal="right" vertical="top" wrapText="1"/>
    </xf>
    <xf numFmtId="0" fontId="25" fillId="30" borderId="0" xfId="1" applyNumberFormat="1" applyFont="1" applyFill="1" applyBorder="1" applyAlignment="1">
      <alignment vertical="top"/>
      <protection locked="0"/>
    </xf>
    <xf numFmtId="164" fontId="10" fillId="31" borderId="10" xfId="4" applyNumberFormat="1" applyFont="1" applyFill="1" applyBorder="1" applyAlignment="1" applyProtection="1">
      <alignment horizontal="left" vertical="center" indent="1"/>
    </xf>
    <xf numFmtId="164" fontId="10" fillId="31" borderId="0" xfId="4" applyNumberFormat="1" applyFont="1" applyFill="1" applyBorder="1" applyAlignment="1" applyProtection="1">
      <alignment horizontal="left" vertical="center" indent="1"/>
    </xf>
    <xf numFmtId="164" fontId="10" fillId="31" borderId="15" xfId="4" applyNumberFormat="1" applyFont="1" applyFill="1" applyBorder="1" applyAlignment="1" applyProtection="1">
      <alignment horizontal="right" vertical="top" wrapText="1"/>
    </xf>
    <xf numFmtId="164" fontId="10" fillId="31" borderId="10" xfId="3" applyNumberFormat="1" applyFont="1" applyFill="1" applyBorder="1" applyAlignment="1" applyProtection="1">
      <alignment horizontal="right" vertical="top" wrapText="1"/>
    </xf>
    <xf numFmtId="164" fontId="10" fillId="0" borderId="0" xfId="4" applyNumberFormat="1" applyFont="1" applyFill="1" applyBorder="1" applyAlignment="1" applyProtection="1">
      <alignment horizontal="left" vertical="center" indent="2"/>
    </xf>
    <xf numFmtId="0" fontId="26" fillId="32" borderId="16" xfId="1" applyNumberFormat="1" applyFont="1" applyFill="1" applyBorder="1" applyAlignment="1">
      <alignment vertical="top"/>
      <protection locked="0"/>
    </xf>
    <xf numFmtId="164" fontId="11" fillId="3" borderId="0" xfId="4" applyNumberFormat="1" applyFont="1" applyFill="1" applyBorder="1" applyAlignment="1" applyProtection="1">
      <alignment vertical="center"/>
    </xf>
    <xf numFmtId="164" fontId="11" fillId="3" borderId="15" xfId="4" applyNumberFormat="1" applyFont="1" applyFill="1" applyBorder="1" applyAlignment="1" applyProtection="1">
      <alignment horizontal="right" vertical="top" wrapText="1"/>
    </xf>
    <xf numFmtId="164" fontId="11" fillId="3" borderId="14" xfId="3" applyNumberFormat="1" applyFont="1" applyFill="1" applyBorder="1" applyAlignment="1" applyProtection="1">
      <alignment horizontal="right" vertical="top" wrapText="1"/>
    </xf>
    <xf numFmtId="164" fontId="9" fillId="3" borderId="14" xfId="3" applyNumberFormat="1" applyFont="1" applyFill="1" applyBorder="1" applyAlignment="1" applyProtection="1">
      <alignment horizontal="right" vertical="top" wrapText="1"/>
    </xf>
    <xf numFmtId="0" fontId="17" fillId="0" borderId="7" xfId="0" applyFont="1" applyFill="1" applyBorder="1" applyAlignment="1">
      <alignment horizontal="left" indent="6"/>
    </xf>
    <xf numFmtId="164" fontId="10" fillId="0" borderId="8" xfId="4" applyNumberFormat="1" applyFont="1" applyFill="1" applyBorder="1" applyAlignment="1" applyProtection="1">
      <alignment horizontal="right" vertical="top" wrapText="1"/>
    </xf>
    <xf numFmtId="164" fontId="10" fillId="0" borderId="8" xfId="3" applyNumberFormat="1" applyFont="1" applyFill="1" applyBorder="1" applyAlignment="1" applyProtection="1">
      <alignment horizontal="right" vertical="top" wrapText="1"/>
    </xf>
    <xf numFmtId="0" fontId="1" fillId="4" borderId="0" xfId="1" applyNumberFormat="1" applyFont="1" applyFill="1" applyBorder="1" applyAlignment="1">
      <alignment vertical="top"/>
      <protection locked="0"/>
    </xf>
    <xf numFmtId="0" fontId="10" fillId="0" borderId="17" xfId="0" applyFont="1" applyFill="1" applyBorder="1" applyAlignment="1"/>
    <xf numFmtId="164" fontId="10" fillId="0" borderId="0" xfId="3" applyNumberFormat="1" applyFont="1" applyFill="1" applyBorder="1" applyAlignment="1" applyProtection="1">
      <alignment horizontal="right" vertical="top" wrapText="1"/>
    </xf>
    <xf numFmtId="164" fontId="10" fillId="0" borderId="0" xfId="4" applyNumberFormat="1" applyFont="1" applyFill="1" applyBorder="1" applyAlignment="1" applyProtection="1">
      <alignment horizontal="right" vertical="top" wrapText="1"/>
    </xf>
    <xf numFmtId="164" fontId="9" fillId="0" borderId="0" xfId="3" applyNumberFormat="1" applyFont="1" applyFill="1" applyBorder="1" applyAlignment="1" applyProtection="1">
      <alignment horizontal="right" vertical="top" wrapText="1"/>
    </xf>
    <xf numFmtId="0" fontId="9" fillId="0" borderId="17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64" fontId="9" fillId="0" borderId="0" xfId="3" applyNumberFormat="1" applyFont="1" applyFill="1" applyBorder="1" applyAlignment="1" applyProtection="1">
      <alignment horizontal="center" vertical="top" wrapText="1"/>
    </xf>
    <xf numFmtId="0" fontId="10" fillId="0" borderId="0" xfId="0" applyFont="1" applyFill="1" applyBorder="1" applyAlignment="1"/>
    <xf numFmtId="43" fontId="27" fillId="0" borderId="0" xfId="1" applyNumberFormat="1" applyFont="1" applyFill="1" applyBorder="1" applyAlignment="1">
      <alignment vertical="top"/>
      <protection locked="0"/>
    </xf>
    <xf numFmtId="164" fontId="9" fillId="0" borderId="0" xfId="3" applyNumberFormat="1" applyFont="1" applyFill="1" applyBorder="1" applyAlignment="1" applyProtection="1">
      <alignment horizontal="right" vertical="top"/>
    </xf>
    <xf numFmtId="164" fontId="9" fillId="0" borderId="0" xfId="4" applyNumberFormat="1" applyFont="1" applyFill="1" applyBorder="1" applyAlignment="1" applyProtection="1">
      <alignment horizontal="right" vertical="top" wrapText="1"/>
    </xf>
    <xf numFmtId="0" fontId="9" fillId="0" borderId="0" xfId="0" applyFont="1" applyFill="1" applyBorder="1" applyAlignment="1"/>
    <xf numFmtId="164" fontId="18" fillId="0" borderId="0" xfId="3" applyNumberFormat="1" applyFont="1" applyFill="1" applyBorder="1" applyAlignment="1" applyProtection="1">
      <alignment horizontal="right" vertical="top" wrapText="1"/>
    </xf>
    <xf numFmtId="164" fontId="18" fillId="0" borderId="0" xfId="2" applyNumberFormat="1" applyFont="1" applyFill="1" applyBorder="1" applyAlignment="1" applyProtection="1">
      <alignment horizontal="right" vertical="top" wrapText="1"/>
    </xf>
    <xf numFmtId="0" fontId="17" fillId="0" borderId="0" xfId="0" applyFont="1" applyFill="1" applyBorder="1" applyAlignment="1"/>
    <xf numFmtId="164" fontId="14" fillId="0" borderId="0" xfId="2" applyNumberFormat="1" applyFont="1" applyFill="1" applyBorder="1" applyAlignment="1" applyProtection="1">
      <alignment horizontal="right" vertical="top" wrapText="1"/>
    </xf>
    <xf numFmtId="164" fontId="14" fillId="0" borderId="0" xfId="3" applyNumberFormat="1" applyFont="1" applyFill="1" applyBorder="1" applyAlignment="1" applyProtection="1">
      <alignment horizontal="right" vertical="top" wrapText="1"/>
    </xf>
    <xf numFmtId="164" fontId="21" fillId="0" borderId="0" xfId="4" applyNumberFormat="1" applyFont="1" applyFill="1" applyBorder="1" applyAlignment="1" applyProtection="1">
      <alignment horizontal="right" vertical="top" wrapText="1"/>
    </xf>
    <xf numFmtId="164" fontId="21" fillId="0" borderId="0" xfId="3" applyNumberFormat="1" applyFont="1" applyFill="1" applyBorder="1" applyAlignment="1" applyProtection="1">
      <alignment horizontal="right" vertical="top" wrapText="1"/>
    </xf>
    <xf numFmtId="9" fontId="21" fillId="0" borderId="0" xfId="5" applyFont="1" applyFill="1" applyBorder="1" applyAlignment="1" applyProtection="1">
      <alignment horizontal="right" vertical="top" wrapText="1"/>
    </xf>
    <xf numFmtId="164" fontId="21" fillId="0" borderId="0" xfId="5" applyNumberFormat="1" applyFont="1" applyFill="1" applyBorder="1" applyAlignment="1" applyProtection="1">
      <alignment horizontal="right" vertical="top" wrapText="1"/>
    </xf>
    <xf numFmtId="9" fontId="21" fillId="0" borderId="0" xfId="4" applyNumberFormat="1" applyFont="1" applyFill="1" applyBorder="1" applyAlignment="1" applyProtection="1">
      <alignment horizontal="right" vertical="top" wrapText="1"/>
    </xf>
    <xf numFmtId="164" fontId="15" fillId="0" borderId="0" xfId="2" applyNumberFormat="1" applyFont="1" applyFill="1" applyBorder="1" applyAlignment="1" applyProtection="1">
      <alignment horizontal="right" vertical="top" wrapText="1"/>
    </xf>
    <xf numFmtId="164" fontId="15" fillId="0" borderId="0" xfId="3" applyNumberFormat="1" applyFont="1" applyFill="1" applyBorder="1" applyAlignment="1" applyProtection="1">
      <alignment horizontal="right" vertical="top" wrapText="1"/>
    </xf>
    <xf numFmtId="164" fontId="14" fillId="0" borderId="0" xfId="2" applyNumberFormat="1" applyFont="1" applyFill="1" applyBorder="1" applyAlignment="1" applyProtection="1">
      <alignment horizontal="right" vertical="center" wrapText="1"/>
    </xf>
    <xf numFmtId="164" fontId="14" fillId="0" borderId="0" xfId="3" applyNumberFormat="1" applyFont="1" applyFill="1" applyBorder="1" applyAlignment="1" applyProtection="1">
      <alignment horizontal="right" vertical="center" wrapText="1"/>
    </xf>
    <xf numFmtId="164" fontId="15" fillId="0" borderId="0" xfId="4" applyNumberFormat="1" applyFont="1" applyFill="1" applyBorder="1" applyAlignment="1" applyProtection="1">
      <alignment horizontal="right" vertical="top" wrapText="1"/>
    </xf>
    <xf numFmtId="164" fontId="9" fillId="0" borderId="0" xfId="2" applyNumberFormat="1" applyFont="1" applyFill="1" applyBorder="1" applyAlignment="1" applyProtection="1">
      <alignment horizontal="right" vertical="center" wrapText="1"/>
    </xf>
    <xf numFmtId="164" fontId="9" fillId="0" borderId="0" xfId="3" applyNumberFormat="1" applyFont="1" applyFill="1" applyBorder="1" applyAlignment="1" applyProtection="1">
      <alignment horizontal="right" vertical="center" wrapText="1"/>
    </xf>
    <xf numFmtId="0" fontId="17" fillId="0" borderId="0" xfId="0" applyFont="1" applyFill="1" applyAlignment="1"/>
    <xf numFmtId="0" fontId="28" fillId="33" borderId="13" xfId="0" applyFont="1" applyFill="1" applyBorder="1" applyAlignment="1"/>
    <xf numFmtId="0" fontId="29" fillId="33" borderId="13" xfId="0" applyFont="1" applyFill="1" applyBorder="1" applyAlignment="1">
      <alignment horizontal="center"/>
    </xf>
    <xf numFmtId="0" fontId="32" fillId="33" borderId="13" xfId="0" applyFont="1" applyFill="1" applyBorder="1" applyAlignment="1">
      <alignment horizontal="center" wrapText="1"/>
    </xf>
    <xf numFmtId="0" fontId="32" fillId="6" borderId="13" xfId="0" applyFont="1" applyFill="1" applyBorder="1" applyAlignment="1">
      <alignment horizontal="center" wrapText="1"/>
    </xf>
    <xf numFmtId="0" fontId="31" fillId="0" borderId="3" xfId="0" applyFont="1" applyBorder="1" applyAlignment="1">
      <alignment horizontal="center" wrapText="1"/>
    </xf>
    <xf numFmtId="0" fontId="33" fillId="0" borderId="13" xfId="0" applyFont="1" applyBorder="1" applyAlignment="1">
      <alignment horizontal="left"/>
    </xf>
    <xf numFmtId="0" fontId="30" fillId="33" borderId="13" xfId="0" applyFont="1" applyFill="1" applyBorder="1" applyAlignment="1">
      <alignment horizontal="center"/>
    </xf>
    <xf numFmtId="0" fontId="36" fillId="29" borderId="13" xfId="0" applyFont="1" applyFill="1" applyBorder="1" applyAlignment="1">
      <alignment vertical="center" wrapText="1"/>
    </xf>
    <xf numFmtId="167" fontId="27" fillId="0" borderId="0" xfId="1" applyNumberFormat="1" applyFont="1" applyFill="1" applyBorder="1" applyAlignment="1">
      <alignment vertical="top"/>
      <protection locked="0"/>
    </xf>
    <xf numFmtId="0" fontId="32" fillId="33" borderId="13" xfId="0" applyFont="1" applyFill="1" applyBorder="1" applyAlignment="1">
      <alignment wrapText="1"/>
    </xf>
    <xf numFmtId="0" fontId="31" fillId="33" borderId="13" xfId="0" applyFont="1" applyFill="1" applyBorder="1" applyAlignment="1">
      <alignment wrapText="1"/>
    </xf>
    <xf numFmtId="0" fontId="37" fillId="33" borderId="13" xfId="0" applyFont="1" applyFill="1" applyBorder="1" applyAlignment="1">
      <alignment horizontal="left" vertical="center" wrapText="1"/>
    </xf>
    <xf numFmtId="0" fontId="31" fillId="33" borderId="13" xfId="0" applyFont="1" applyFill="1" applyBorder="1" applyAlignment="1">
      <alignment horizontal="center" wrapText="1"/>
    </xf>
    <xf numFmtId="0" fontId="31" fillId="33" borderId="3" xfId="0" applyFont="1" applyFill="1" applyBorder="1" applyAlignment="1">
      <alignment horizontal="center" wrapText="1"/>
    </xf>
    <xf numFmtId="0" fontId="32" fillId="6" borderId="13" xfId="0" applyFont="1" applyFill="1" applyBorder="1" applyAlignment="1">
      <alignment wrapText="1"/>
    </xf>
    <xf numFmtId="0" fontId="31" fillId="6" borderId="13" xfId="0" applyFont="1" applyFill="1" applyBorder="1" applyAlignment="1">
      <alignment wrapText="1"/>
    </xf>
    <xf numFmtId="0" fontId="37" fillId="6" borderId="13" xfId="0" applyFont="1" applyFill="1" applyBorder="1" applyAlignment="1">
      <alignment horizontal="left" vertical="center" wrapText="1"/>
    </xf>
    <xf numFmtId="43" fontId="20" fillId="0" borderId="0" xfId="1" applyNumberFormat="1" applyFont="1" applyFill="1" applyBorder="1" applyAlignment="1">
      <alignment vertical="top"/>
      <protection locked="0"/>
    </xf>
    <xf numFmtId="0" fontId="31" fillId="0" borderId="13" xfId="0" applyFont="1" applyFill="1" applyBorder="1" applyAlignment="1">
      <alignment horizontal="left" vertical="top" wrapText="1"/>
    </xf>
    <xf numFmtId="0" fontId="31" fillId="0" borderId="13" xfId="0" applyFont="1" applyFill="1" applyBorder="1" applyAlignment="1">
      <alignment wrapText="1"/>
    </xf>
    <xf numFmtId="0" fontId="38" fillId="0" borderId="13" xfId="0" applyFont="1" applyFill="1" applyBorder="1" applyAlignment="1">
      <alignment wrapText="1"/>
    </xf>
    <xf numFmtId="0" fontId="39" fillId="0" borderId="13" xfId="0" applyFont="1" applyFill="1" applyBorder="1" applyAlignment="1">
      <alignment horizontal="left" vertical="center" wrapText="1"/>
    </xf>
    <xf numFmtId="14" fontId="31" fillId="0" borderId="13" xfId="0" applyNumberFormat="1" applyFont="1" applyFill="1" applyBorder="1" applyAlignment="1">
      <alignment horizontal="right" wrapText="1"/>
    </xf>
    <xf numFmtId="0" fontId="31" fillId="0" borderId="13" xfId="0" applyFont="1" applyFill="1" applyBorder="1" applyAlignment="1">
      <alignment horizontal="center" wrapText="1"/>
    </xf>
    <xf numFmtId="0" fontId="40" fillId="0" borderId="13" xfId="0" applyFont="1" applyFill="1" applyBorder="1" applyAlignment="1">
      <alignment horizontal="center" wrapText="1"/>
    </xf>
    <xf numFmtId="15" fontId="38" fillId="0" borderId="3" xfId="0" applyNumberFormat="1" applyFont="1" applyFill="1" applyBorder="1" applyAlignment="1">
      <alignment horizontal="center" wrapText="1"/>
    </xf>
    <xf numFmtId="3" fontId="38" fillId="0" borderId="3" xfId="0" applyNumberFormat="1" applyFont="1" applyFill="1" applyBorder="1" applyAlignment="1">
      <alignment wrapText="1"/>
    </xf>
    <xf numFmtId="3" fontId="38" fillId="0" borderId="13" xfId="0" applyNumberFormat="1" applyFont="1" applyFill="1" applyBorder="1" applyAlignment="1">
      <alignment wrapText="1"/>
    </xf>
    <xf numFmtId="0" fontId="38" fillId="0" borderId="5" xfId="0" applyFont="1" applyFill="1" applyBorder="1" applyAlignment="1">
      <alignment wrapText="1"/>
    </xf>
    <xf numFmtId="0" fontId="38" fillId="21" borderId="13" xfId="0" applyFont="1" applyFill="1" applyBorder="1" applyAlignment="1">
      <alignment wrapText="1"/>
    </xf>
    <xf numFmtId="14" fontId="38" fillId="0" borderId="13" xfId="0" applyNumberFormat="1" applyFont="1" applyFill="1" applyBorder="1" applyAlignment="1">
      <alignment wrapText="1"/>
    </xf>
    <xf numFmtId="0" fontId="38" fillId="0" borderId="13" xfId="0" applyFont="1" applyFill="1" applyBorder="1" applyAlignment="1">
      <alignment horizontal="center" wrapText="1"/>
    </xf>
    <xf numFmtId="0" fontId="41" fillId="6" borderId="13" xfId="0" applyFont="1" applyFill="1" applyBorder="1" applyAlignment="1">
      <alignment horizontal="left" wrapText="1"/>
    </xf>
    <xf numFmtId="0" fontId="42" fillId="6" borderId="13" xfId="0" applyFont="1" applyFill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top" wrapText="1"/>
    </xf>
    <xf numFmtId="43" fontId="20" fillId="0" borderId="0" xfId="1" applyNumberFormat="1" applyFont="1" applyFill="1" applyBorder="1" applyAlignment="1">
      <alignment vertical="top"/>
      <protection locked="0"/>
    </xf>
    <xf numFmtId="0" fontId="31" fillId="0" borderId="13" xfId="0" applyFont="1" applyFill="1" applyBorder="1" applyAlignment="1">
      <alignment horizontal="left" wrapText="1"/>
    </xf>
    <xf numFmtId="0" fontId="37" fillId="0" borderId="13" xfId="0" applyFont="1" applyFill="1" applyBorder="1" applyAlignment="1">
      <alignment horizontal="left" vertical="center" wrapText="1"/>
    </xf>
    <xf numFmtId="14" fontId="31" fillId="0" borderId="13" xfId="0" applyNumberFormat="1" applyFont="1" applyFill="1" applyBorder="1" applyAlignment="1">
      <alignment wrapText="1"/>
    </xf>
    <xf numFmtId="15" fontId="31" fillId="0" borderId="3" xfId="0" applyNumberFormat="1" applyFont="1" applyFill="1" applyBorder="1" applyAlignment="1">
      <alignment horizontal="center" wrapText="1"/>
    </xf>
    <xf numFmtId="3" fontId="31" fillId="0" borderId="13" xfId="0" applyNumberFormat="1" applyFont="1" applyFill="1" applyBorder="1" applyAlignment="1">
      <alignment wrapText="1"/>
    </xf>
    <xf numFmtId="0" fontId="31" fillId="0" borderId="13" xfId="0" applyFont="1" applyBorder="1" applyAlignment="1">
      <alignment wrapText="1"/>
    </xf>
    <xf numFmtId="0" fontId="31" fillId="0" borderId="13" xfId="0" applyFont="1" applyBorder="1" applyAlignment="1">
      <alignment horizontal="left" wrapText="1"/>
    </xf>
    <xf numFmtId="0" fontId="30" fillId="0" borderId="13" xfId="0" applyFont="1" applyBorder="1" applyAlignment="1">
      <alignment horizontal="left" vertical="center"/>
    </xf>
    <xf numFmtId="0" fontId="30" fillId="36" borderId="13" xfId="0" applyFont="1" applyFill="1" applyBorder="1" applyAlignment="1">
      <alignment horizontal="center" vertical="center" wrapText="1"/>
    </xf>
    <xf numFmtId="0" fontId="36" fillId="29" borderId="13" xfId="0" applyFont="1" applyFill="1" applyBorder="1" applyAlignment="1">
      <alignment horizontal="center" vertical="center" wrapText="1"/>
    </xf>
    <xf numFmtId="0" fontId="37" fillId="0" borderId="13" xfId="0" applyFont="1" applyBorder="1" applyAlignment="1">
      <alignment horizontal="left" vertical="center" wrapText="1"/>
    </xf>
    <xf numFmtId="0" fontId="31" fillId="0" borderId="13" xfId="0" applyFont="1" applyBorder="1" applyAlignment="1">
      <alignment horizontal="center" wrapText="1"/>
    </xf>
    <xf numFmtId="0" fontId="43" fillId="33" borderId="13" xfId="0" applyFont="1" applyFill="1" applyBorder="1" applyAlignment="1"/>
    <xf numFmtId="0" fontId="44" fillId="33" borderId="13" xfId="0" applyFont="1" applyFill="1" applyBorder="1" applyAlignment="1">
      <alignment horizontal="center"/>
    </xf>
    <xf numFmtId="0" fontId="43" fillId="0" borderId="13" xfId="0" applyFont="1" applyBorder="1" applyAlignment="1">
      <alignment wrapText="1"/>
    </xf>
    <xf numFmtId="0" fontId="44" fillId="33" borderId="13" xfId="0" applyFont="1" applyFill="1" applyBorder="1" applyAlignment="1">
      <alignment horizontal="center" wrapText="1"/>
    </xf>
    <xf numFmtId="0" fontId="44" fillId="6" borderId="13" xfId="0" applyFont="1" applyFill="1" applyBorder="1" applyAlignment="1">
      <alignment horizontal="center" wrapText="1"/>
    </xf>
    <xf numFmtId="0" fontId="43" fillId="0" borderId="3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left"/>
    </xf>
    <xf numFmtId="0" fontId="45" fillId="0" borderId="13" xfId="0" applyFont="1" applyBorder="1" applyAlignment="1">
      <alignment horizontal="left" vertical="center"/>
    </xf>
    <xf numFmtId="0" fontId="45" fillId="33" borderId="13" xfId="0" applyFont="1" applyFill="1" applyBorder="1" applyAlignment="1">
      <alignment horizontal="center"/>
    </xf>
    <xf numFmtId="0" fontId="43" fillId="6" borderId="13" xfId="0" applyFont="1" applyFill="1" applyBorder="1" applyAlignment="1">
      <alignment horizontal="center" wrapText="1"/>
    </xf>
    <xf numFmtId="0" fontId="45" fillId="36" borderId="13" xfId="0" applyFont="1" applyFill="1" applyBorder="1" applyAlignment="1">
      <alignment horizontal="center" vertical="center" wrapText="1"/>
    </xf>
    <xf numFmtId="0" fontId="46" fillId="36" borderId="13" xfId="0" applyFont="1" applyFill="1" applyBorder="1" applyAlignment="1">
      <alignment horizontal="center" vertical="center" wrapText="1"/>
    </xf>
    <xf numFmtId="0" fontId="45" fillId="29" borderId="13" xfId="0" applyFont="1" applyFill="1" applyBorder="1" applyAlignment="1">
      <alignment vertical="center" wrapText="1"/>
    </xf>
    <xf numFmtId="0" fontId="45" fillId="29" borderId="13" xfId="0" applyFont="1" applyFill="1" applyBorder="1" applyAlignment="1">
      <alignment horizontal="center" vertical="center" wrapText="1"/>
    </xf>
    <xf numFmtId="0" fontId="43" fillId="0" borderId="13" xfId="0" applyFont="1" applyBorder="1" applyAlignment="1">
      <alignment horizontal="left" vertical="center" wrapText="1"/>
    </xf>
    <xf numFmtId="0" fontId="43" fillId="0" borderId="13" xfId="0" applyFont="1" applyBorder="1" applyAlignment="1">
      <alignment horizontal="center" wrapText="1"/>
    </xf>
    <xf numFmtId="0" fontId="48" fillId="38" borderId="0" xfId="1" applyNumberFormat="1" applyFont="1" applyBorder="1" applyAlignment="1">
      <alignment vertical="top"/>
      <protection locked="0"/>
    </xf>
    <xf numFmtId="0" fontId="44" fillId="33" borderId="13" xfId="0" applyFont="1" applyFill="1" applyBorder="1" applyAlignment="1">
      <alignment wrapText="1"/>
    </xf>
    <xf numFmtId="0" fontId="43" fillId="33" borderId="13" xfId="0" applyFont="1" applyFill="1" applyBorder="1" applyAlignment="1">
      <alignment wrapText="1"/>
    </xf>
    <xf numFmtId="0" fontId="43" fillId="33" borderId="13" xfId="0" applyFont="1" applyFill="1" applyBorder="1" applyAlignment="1">
      <alignment horizontal="left" vertical="center" wrapText="1"/>
    </xf>
    <xf numFmtId="0" fontId="43" fillId="33" borderId="13" xfId="0" applyFont="1" applyFill="1" applyBorder="1" applyAlignment="1">
      <alignment horizontal="center" wrapText="1"/>
    </xf>
    <xf numFmtId="0" fontId="43" fillId="33" borderId="3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wrapText="1"/>
    </xf>
    <xf numFmtId="0" fontId="43" fillId="6" borderId="13" xfId="0" applyFont="1" applyFill="1" applyBorder="1" applyAlignment="1">
      <alignment wrapText="1"/>
    </xf>
    <xf numFmtId="0" fontId="43" fillId="6" borderId="13" xfId="0" applyFont="1" applyFill="1" applyBorder="1" applyAlignment="1">
      <alignment horizontal="left" vertical="center" wrapText="1"/>
    </xf>
    <xf numFmtId="0" fontId="43" fillId="0" borderId="13" xfId="0" applyFont="1" applyBorder="1" applyAlignment="1">
      <alignment horizontal="left" wrapText="1"/>
    </xf>
    <xf numFmtId="0" fontId="43" fillId="21" borderId="13" xfId="0" applyFont="1" applyFill="1" applyBorder="1" applyAlignment="1">
      <alignment wrapText="1"/>
    </xf>
    <xf numFmtId="0" fontId="43" fillId="0" borderId="13" xfId="0" applyFont="1" applyFill="1" applyBorder="1" applyAlignment="1">
      <alignment wrapText="1"/>
    </xf>
    <xf numFmtId="0" fontId="43" fillId="0" borderId="13" xfId="0" applyFont="1" applyFill="1" applyBorder="1" applyAlignment="1">
      <alignment horizontal="left" vertical="center" wrapText="1"/>
    </xf>
    <xf numFmtId="14" fontId="43" fillId="0" borderId="13" xfId="0" applyNumberFormat="1" applyFont="1" applyFill="1" applyBorder="1" applyAlignment="1">
      <alignment wrapText="1"/>
    </xf>
    <xf numFmtId="0" fontId="43" fillId="0" borderId="13" xfId="0" applyFont="1" applyFill="1" applyBorder="1" applyAlignment="1">
      <alignment horizontal="center" wrapText="1"/>
    </xf>
    <xf numFmtId="15" fontId="43" fillId="0" borderId="3" xfId="0" applyNumberFormat="1" applyFont="1" applyFill="1" applyBorder="1" applyAlignment="1">
      <alignment horizontal="center" vertical="center" wrapText="1"/>
    </xf>
    <xf numFmtId="3" fontId="43" fillId="0" borderId="13" xfId="0" applyNumberFormat="1" applyFont="1" applyFill="1" applyBorder="1" applyAlignment="1">
      <alignment wrapText="1"/>
    </xf>
    <xf numFmtId="0" fontId="43" fillId="0" borderId="5" xfId="0" applyFont="1" applyFill="1" applyBorder="1" applyAlignment="1">
      <alignment wrapText="1"/>
    </xf>
    <xf numFmtId="0" fontId="49" fillId="6" borderId="13" xfId="0" applyFont="1" applyFill="1" applyBorder="1" applyAlignment="1">
      <alignment horizontal="left" wrapText="1"/>
    </xf>
    <xf numFmtId="0" fontId="44" fillId="6" borderId="13" xfId="0" applyFont="1" applyFill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top" wrapText="1"/>
    </xf>
    <xf numFmtId="0" fontId="50" fillId="39" borderId="16" xfId="1" applyNumberFormat="1" applyFont="1" applyFill="1" applyBorder="1" applyAlignment="1">
      <alignment vertical="top"/>
      <protection locked="0"/>
    </xf>
    <xf numFmtId="0" fontId="43" fillId="0" borderId="13" xfId="0" applyFont="1" applyFill="1" applyBorder="1" applyAlignment="1">
      <alignment horizontal="left" wrapText="1"/>
    </xf>
    <xf numFmtId="0" fontId="43" fillId="0" borderId="13" xfId="0" applyFont="1" applyFill="1" applyBorder="1" applyAlignment="1">
      <alignment horizontal="left" vertical="top" wrapText="1"/>
    </xf>
    <xf numFmtId="0" fontId="43" fillId="0" borderId="13" xfId="0" applyFont="1" applyFill="1" applyBorder="1" applyAlignment="1">
      <alignment vertical="center" wrapText="1"/>
    </xf>
    <xf numFmtId="14" fontId="43" fillId="0" borderId="13" xfId="0" applyNumberFormat="1" applyFont="1" applyFill="1" applyBorder="1" applyAlignment="1">
      <alignment horizontal="right" vertical="center" wrapText="1"/>
    </xf>
    <xf numFmtId="0" fontId="43" fillId="0" borderId="13" xfId="0" applyFont="1" applyFill="1" applyBorder="1" applyAlignment="1">
      <alignment horizontal="center" vertical="center" wrapText="1"/>
    </xf>
    <xf numFmtId="0" fontId="44" fillId="0" borderId="13" xfId="0" applyFont="1" applyFill="1" applyBorder="1" applyAlignment="1">
      <alignment horizontal="center" vertical="center" wrapText="1"/>
    </xf>
    <xf numFmtId="14" fontId="43" fillId="0" borderId="13" xfId="0" applyNumberFormat="1" applyFont="1" applyFill="1" applyBorder="1" applyAlignment="1">
      <alignment horizontal="right" wrapText="1"/>
    </xf>
    <xf numFmtId="0" fontId="51" fillId="33" borderId="13" xfId="0" applyFont="1" applyFill="1" applyBorder="1" applyAlignment="1"/>
    <xf numFmtId="0" fontId="52" fillId="33" borderId="13" xfId="0" applyFont="1" applyFill="1" applyBorder="1" applyAlignment="1">
      <alignment horizontal="center"/>
    </xf>
    <xf numFmtId="0" fontId="51" fillId="0" borderId="13" xfId="0" applyFont="1" applyBorder="1" applyAlignment="1">
      <alignment wrapText="1"/>
    </xf>
    <xf numFmtId="0" fontId="52" fillId="33" borderId="13" xfId="0" applyFont="1" applyFill="1" applyBorder="1" applyAlignment="1">
      <alignment horizontal="center" wrapText="1"/>
    </xf>
    <xf numFmtId="0" fontId="52" fillId="6" borderId="13" xfId="0" applyFont="1" applyFill="1" applyBorder="1" applyAlignment="1">
      <alignment horizontal="center" wrapText="1"/>
    </xf>
    <xf numFmtId="0" fontId="51" fillId="0" borderId="3" xfId="0" applyFont="1" applyBorder="1" applyAlignment="1">
      <alignment horizontal="center" wrapText="1"/>
    </xf>
    <xf numFmtId="0" fontId="54" fillId="0" borderId="13" xfId="0" applyFont="1" applyBorder="1" applyAlignment="1">
      <alignment horizontal="left"/>
    </xf>
    <xf numFmtId="0" fontId="53" fillId="0" borderId="13" xfId="0" applyFont="1" applyBorder="1" applyAlignment="1">
      <alignment horizontal="left" vertical="center"/>
    </xf>
    <xf numFmtId="0" fontId="53" fillId="33" borderId="13" xfId="0" applyFont="1" applyFill="1" applyBorder="1" applyAlignment="1">
      <alignment horizontal="center"/>
    </xf>
    <xf numFmtId="0" fontId="53" fillId="36" borderId="13" xfId="0" applyFont="1" applyFill="1" applyBorder="1" applyAlignment="1">
      <alignment horizontal="center" vertical="center" wrapText="1"/>
    </xf>
    <xf numFmtId="0" fontId="53" fillId="29" borderId="13" xfId="0" applyFont="1" applyFill="1" applyBorder="1" applyAlignment="1">
      <alignment vertical="center" wrapText="1"/>
    </xf>
    <xf numFmtId="0" fontId="53" fillId="29" borderId="13" xfId="0" applyFont="1" applyFill="1" applyBorder="1" applyAlignment="1">
      <alignment horizontal="center" vertical="center" wrapText="1"/>
    </xf>
    <xf numFmtId="0" fontId="51" fillId="0" borderId="13" xfId="0" applyFont="1" applyBorder="1" applyAlignment="1">
      <alignment horizontal="left" vertical="center" wrapText="1"/>
    </xf>
    <xf numFmtId="0" fontId="51" fillId="0" borderId="13" xfId="0" applyFont="1" applyBorder="1" applyAlignment="1">
      <alignment horizontal="center" wrapText="1"/>
    </xf>
    <xf numFmtId="167" fontId="27" fillId="0" borderId="0" xfId="1" applyNumberFormat="1" applyFont="1" applyFill="1" applyBorder="1" applyAlignment="1">
      <alignment vertical="top"/>
      <protection locked="0"/>
    </xf>
    <xf numFmtId="0" fontId="52" fillId="33" borderId="13" xfId="0" applyFont="1" applyFill="1" applyBorder="1" applyAlignment="1">
      <alignment wrapText="1"/>
    </xf>
    <xf numFmtId="0" fontId="51" fillId="33" borderId="13" xfId="0" applyFont="1" applyFill="1" applyBorder="1" applyAlignment="1">
      <alignment wrapText="1"/>
    </xf>
    <xf numFmtId="0" fontId="51" fillId="33" borderId="13" xfId="0" applyFont="1" applyFill="1" applyBorder="1" applyAlignment="1">
      <alignment horizontal="left" vertical="center" wrapText="1"/>
    </xf>
    <xf numFmtId="0" fontId="51" fillId="33" borderId="13" xfId="0" applyFont="1" applyFill="1" applyBorder="1" applyAlignment="1">
      <alignment horizontal="center" wrapText="1"/>
    </xf>
    <xf numFmtId="0" fontId="51" fillId="33" borderId="3" xfId="0" applyFont="1" applyFill="1" applyBorder="1" applyAlignment="1">
      <alignment horizontal="center" wrapText="1"/>
    </xf>
    <xf numFmtId="0" fontId="52" fillId="6" borderId="13" xfId="0" applyFont="1" applyFill="1" applyBorder="1" applyAlignment="1">
      <alignment wrapText="1"/>
    </xf>
    <xf numFmtId="0" fontId="51" fillId="6" borderId="13" xfId="0" applyFont="1" applyFill="1" applyBorder="1" applyAlignment="1">
      <alignment wrapText="1"/>
    </xf>
    <xf numFmtId="0" fontId="51" fillId="6" borderId="13" xfId="0" applyFont="1" applyFill="1" applyBorder="1" applyAlignment="1">
      <alignment horizontal="left" vertical="center" wrapText="1"/>
    </xf>
    <xf numFmtId="167" fontId="27" fillId="0" borderId="0" xfId="1" applyNumberFormat="1" applyFont="1" applyFill="1" applyBorder="1" applyAlignment="1">
      <alignment vertical="top"/>
      <protection locked="0"/>
    </xf>
    <xf numFmtId="0" fontId="51" fillId="0" borderId="13" xfId="0" applyFont="1" applyFill="1" applyBorder="1" applyAlignment="1">
      <alignment horizontal="left" vertical="top" wrapText="1"/>
    </xf>
    <xf numFmtId="0" fontId="51" fillId="0" borderId="13" xfId="0" applyFont="1" applyFill="1" applyBorder="1" applyAlignment="1">
      <alignment wrapText="1"/>
    </xf>
    <xf numFmtId="0" fontId="51" fillId="0" borderId="13" xfId="0" applyFont="1" applyFill="1" applyBorder="1" applyAlignment="1">
      <alignment horizontal="left" vertical="center" wrapText="1"/>
    </xf>
    <xf numFmtId="14" fontId="51" fillId="0" borderId="13" xfId="0" applyNumberFormat="1" applyFont="1" applyFill="1" applyBorder="1" applyAlignment="1">
      <alignment horizontal="right" wrapText="1"/>
    </xf>
    <xf numFmtId="0" fontId="51" fillId="0" borderId="13" xfId="0" applyFont="1" applyFill="1" applyBorder="1" applyAlignment="1">
      <alignment horizontal="center" wrapText="1"/>
    </xf>
    <xf numFmtId="0" fontId="52" fillId="0" borderId="13" xfId="0" applyFont="1" applyFill="1" applyBorder="1" applyAlignment="1">
      <alignment horizontal="center" wrapText="1"/>
    </xf>
    <xf numFmtId="15" fontId="51" fillId="0" borderId="3" xfId="0" applyNumberFormat="1" applyFont="1" applyFill="1" applyBorder="1" applyAlignment="1">
      <alignment horizontal="center" wrapText="1"/>
    </xf>
    <xf numFmtId="3" fontId="51" fillId="0" borderId="3" xfId="0" applyNumberFormat="1" applyFont="1" applyFill="1" applyBorder="1" applyAlignment="1">
      <alignment wrapText="1"/>
    </xf>
    <xf numFmtId="3" fontId="51" fillId="0" borderId="13" xfId="0" applyNumberFormat="1" applyFont="1" applyFill="1" applyBorder="1" applyAlignment="1">
      <alignment wrapText="1"/>
    </xf>
    <xf numFmtId="0" fontId="51" fillId="0" borderId="5" xfId="0" applyFont="1" applyFill="1" applyBorder="1" applyAlignment="1">
      <alignment wrapText="1"/>
    </xf>
    <xf numFmtId="0" fontId="51" fillId="0" borderId="13" xfId="0" applyFont="1" applyBorder="1" applyAlignment="1">
      <alignment horizontal="left" wrapText="1"/>
    </xf>
    <xf numFmtId="0" fontId="51" fillId="21" borderId="13" xfId="0" applyFont="1" applyFill="1" applyBorder="1" applyAlignment="1">
      <alignment wrapText="1"/>
    </xf>
    <xf numFmtId="14" fontId="51" fillId="0" borderId="13" xfId="0" applyNumberFormat="1" applyFont="1" applyFill="1" applyBorder="1" applyAlignment="1">
      <alignment wrapText="1"/>
    </xf>
    <xf numFmtId="0" fontId="56" fillId="6" borderId="13" xfId="0" applyFont="1" applyFill="1" applyBorder="1" applyAlignment="1">
      <alignment horizontal="left" wrapText="1"/>
    </xf>
    <xf numFmtId="0" fontId="52" fillId="6" borderId="13" xfId="0" applyFont="1" applyFill="1" applyBorder="1" applyAlignment="1">
      <alignment horizontal="left" vertical="center" wrapText="1"/>
    </xf>
    <xf numFmtId="0" fontId="51" fillId="0" borderId="13" xfId="0" applyFont="1" applyBorder="1" applyAlignment="1">
      <alignment horizontal="left" vertical="top" wrapText="1"/>
    </xf>
    <xf numFmtId="0" fontId="51" fillId="0" borderId="13" xfId="0" applyFont="1" applyFill="1" applyBorder="1" applyAlignment="1">
      <alignment horizontal="left" wrapText="1"/>
    </xf>
    <xf numFmtId="167" fontId="27" fillId="0" borderId="0" xfId="1" applyNumberFormat="1" applyFont="1" applyFill="1" applyBorder="1" applyAlignment="1">
      <alignment vertical="top"/>
      <protection locked="0"/>
    </xf>
    <xf numFmtId="0" fontId="51" fillId="0" borderId="13" xfId="0" applyFont="1" applyFill="1" applyBorder="1" applyAlignment="1">
      <alignment vertical="center" wrapText="1"/>
    </xf>
    <xf numFmtId="14" fontId="51" fillId="0" borderId="13" xfId="0" applyNumberFormat="1" applyFont="1" applyFill="1" applyBorder="1" applyAlignment="1">
      <alignment horizontal="right" vertical="center" wrapText="1"/>
    </xf>
    <xf numFmtId="0" fontId="51" fillId="0" borderId="13" xfId="0" applyFont="1" applyFill="1" applyBorder="1" applyAlignment="1">
      <alignment horizontal="center" vertical="center" wrapText="1"/>
    </xf>
    <xf numFmtId="0" fontId="52" fillId="0" borderId="13" xfId="0" applyFont="1" applyFill="1" applyBorder="1" applyAlignment="1">
      <alignment horizontal="center" vertical="center" wrapText="1"/>
    </xf>
    <xf numFmtId="15" fontId="51" fillId="0" borderId="3" xfId="0" applyNumberFormat="1" applyFont="1" applyFill="1" applyBorder="1" applyAlignment="1">
      <alignment horizontal="center" vertical="center" wrapText="1"/>
    </xf>
    <xf numFmtId="3" fontId="51" fillId="0" borderId="3" xfId="0" applyNumberFormat="1" applyFont="1" applyFill="1" applyBorder="1" applyAlignment="1">
      <alignment vertical="center" wrapText="1"/>
    </xf>
    <xf numFmtId="3" fontId="51" fillId="0" borderId="13" xfId="0" applyNumberFormat="1" applyFont="1" applyFill="1" applyBorder="1" applyAlignment="1">
      <alignment vertical="center" wrapText="1"/>
    </xf>
    <xf numFmtId="0" fontId="51" fillId="0" borderId="5" xfId="0" applyFont="1" applyFill="1" applyBorder="1" applyAlignment="1">
      <alignment vertical="center" wrapText="1"/>
    </xf>
    <xf numFmtId="3" fontId="51" fillId="0" borderId="3" xfId="0" applyNumberFormat="1" applyFont="1" applyFill="1" applyBorder="1" applyAlignment="1">
      <alignment vertical="center" wrapText="1"/>
    </xf>
    <xf numFmtId="0" fontId="51" fillId="0" borderId="5" xfId="0" applyFont="1" applyFill="1" applyBorder="1" applyAlignment="1">
      <alignment vertical="center" wrapText="1"/>
    </xf>
    <xf numFmtId="15" fontId="51" fillId="0" borderId="3" xfId="0" applyNumberFormat="1" applyFont="1" applyFill="1" applyBorder="1" applyAlignment="1">
      <alignment horizontal="center" vertical="center" wrapText="1"/>
    </xf>
    <xf numFmtId="167" fontId="27" fillId="0" borderId="0" xfId="1" applyNumberFormat="1" applyFont="1" applyFill="1" applyBorder="1" applyAlignment="1">
      <alignment vertical="top"/>
      <protection locked="0"/>
    </xf>
    <xf numFmtId="0" fontId="51" fillId="0" borderId="13" xfId="0" applyFont="1" applyBorder="1" applyAlignment="1">
      <alignment vertical="center" wrapText="1"/>
    </xf>
    <xf numFmtId="0" fontId="51" fillId="21" borderId="13" xfId="0" applyFont="1" applyFill="1" applyBorder="1" applyAlignment="1">
      <alignment vertical="center" wrapText="1"/>
    </xf>
    <xf numFmtId="14" fontId="51" fillId="0" borderId="13" xfId="0" applyNumberFormat="1" applyFont="1" applyFill="1" applyBorder="1" applyAlignment="1">
      <alignment vertical="center" wrapText="1"/>
    </xf>
    <xf numFmtId="0" fontId="59" fillId="0" borderId="13" xfId="0" applyFont="1" applyFill="1" applyBorder="1" applyAlignment="1">
      <alignment vertical="center" wrapText="1"/>
    </xf>
    <xf numFmtId="0" fontId="61" fillId="40" borderId="13" xfId="0" applyFont="1" applyFill="1" applyBorder="1" applyAlignment="1">
      <alignment horizontal="left"/>
    </xf>
    <xf numFmtId="0" fontId="62" fillId="0" borderId="13" xfId="0" applyFont="1" applyFill="1" applyBorder="1" applyAlignment="1">
      <alignment horizontal="center" vertical="center" wrapText="1"/>
    </xf>
    <xf numFmtId="0" fontId="43" fillId="0" borderId="18" xfId="0" applyFont="1" applyBorder="1" applyAlignment="1">
      <alignment wrapText="1"/>
    </xf>
    <xf numFmtId="0" fontId="43" fillId="33" borderId="18" xfId="0" applyFont="1" applyFill="1" applyBorder="1" applyAlignment="1">
      <alignment wrapText="1"/>
    </xf>
    <xf numFmtId="0" fontId="43" fillId="0" borderId="19" xfId="0" applyFont="1" applyFill="1" applyBorder="1" applyAlignment="1">
      <alignment wrapText="1"/>
    </xf>
    <xf numFmtId="0" fontId="43" fillId="0" borderId="18" xfId="0" applyFont="1" applyFill="1" applyBorder="1" applyAlignment="1">
      <alignment wrapText="1"/>
    </xf>
    <xf numFmtId="0" fontId="43" fillId="0" borderId="19" xfId="0" applyFont="1" applyFill="1" applyBorder="1" applyAlignment="1">
      <alignment vertical="center" wrapText="1"/>
    </xf>
    <xf numFmtId="0" fontId="59" fillId="0" borderId="13" xfId="0" applyFont="1" applyFill="1" applyBorder="1" applyAlignment="1">
      <alignment wrapText="1"/>
    </xf>
    <xf numFmtId="0" fontId="61" fillId="40" borderId="13" xfId="0" applyFont="1" applyFill="1" applyBorder="1" applyAlignment="1">
      <alignment horizontal="center"/>
    </xf>
    <xf numFmtId="14" fontId="59" fillId="0" borderId="13" xfId="0" applyNumberFormat="1" applyFont="1" applyFill="1" applyBorder="1" applyAlignment="1">
      <alignment horizontal="right" wrapText="1"/>
    </xf>
    <xf numFmtId="14" fontId="59" fillId="0" borderId="13" xfId="0" applyNumberFormat="1" applyFont="1" applyFill="1" applyBorder="1" applyAlignment="1">
      <alignment horizontal="right" vertical="center" wrapText="1"/>
    </xf>
    <xf numFmtId="0" fontId="61" fillId="0" borderId="13" xfId="0" applyFont="1" applyBorder="1" applyAlignment="1">
      <alignment horizontal="left"/>
    </xf>
    <xf numFmtId="0" fontId="59" fillId="0" borderId="13" xfId="0" applyFont="1" applyFill="1" applyBorder="1" applyAlignment="1">
      <alignment horizontal="center" wrapText="1"/>
    </xf>
    <xf numFmtId="0" fontId="64" fillId="0" borderId="13" xfId="0" applyFont="1" applyFill="1" applyBorder="1" applyAlignment="1">
      <alignment horizontal="center" wrapText="1"/>
    </xf>
    <xf numFmtId="3" fontId="59" fillId="0" borderId="3" xfId="0" applyNumberFormat="1" applyFont="1" applyFill="1" applyBorder="1" applyAlignment="1">
      <alignment wrapText="1"/>
    </xf>
    <xf numFmtId="0" fontId="59" fillId="0" borderId="13" xfId="0" applyFont="1" applyFill="1" applyBorder="1" applyAlignment="1">
      <alignment horizontal="left" vertical="top" wrapText="1"/>
    </xf>
    <xf numFmtId="0" fontId="59" fillId="0" borderId="13" xfId="0" applyFont="1" applyFill="1" applyBorder="1" applyAlignment="1">
      <alignment horizontal="center" vertical="center" wrapText="1"/>
    </xf>
    <xf numFmtId="0" fontId="59" fillId="33" borderId="13" xfId="0" applyFont="1" applyFill="1" applyBorder="1" applyAlignment="1"/>
    <xf numFmtId="0" fontId="64" fillId="33" borderId="13" xfId="0" applyFont="1" applyFill="1" applyBorder="1" applyAlignment="1">
      <alignment horizontal="center"/>
    </xf>
    <xf numFmtId="0" fontId="59" fillId="0" borderId="13" xfId="0" applyFont="1" applyBorder="1" applyAlignment="1">
      <alignment wrapText="1"/>
    </xf>
    <xf numFmtId="0" fontId="64" fillId="33" borderId="13" xfId="0" applyFont="1" applyFill="1" applyBorder="1" applyAlignment="1">
      <alignment horizontal="center" wrapText="1"/>
    </xf>
    <xf numFmtId="0" fontId="64" fillId="6" borderId="13" xfId="0" applyFont="1" applyFill="1" applyBorder="1" applyAlignment="1">
      <alignment horizontal="center" wrapText="1"/>
    </xf>
    <xf numFmtId="0" fontId="59" fillId="0" borderId="13" xfId="0" applyFont="1" applyBorder="1" applyAlignment="1">
      <alignment horizontal="left"/>
    </xf>
    <xf numFmtId="0" fontId="59" fillId="6" borderId="13" xfId="0" applyFont="1" applyFill="1" applyBorder="1" applyAlignment="1">
      <alignment horizontal="center" wrapText="1"/>
    </xf>
    <xf numFmtId="0" fontId="59" fillId="36" borderId="13" xfId="0" applyFont="1" applyFill="1" applyBorder="1" applyAlignment="1">
      <alignment horizontal="center" vertical="center" wrapText="1"/>
    </xf>
    <xf numFmtId="0" fontId="64" fillId="29" borderId="13" xfId="0" applyFont="1" applyFill="1" applyBorder="1" applyAlignment="1">
      <alignment vertical="center" wrapText="1"/>
    </xf>
    <xf numFmtId="0" fontId="59" fillId="0" borderId="13" xfId="0" applyFont="1" applyBorder="1" applyAlignment="1">
      <alignment horizontal="left" vertical="center" wrapText="1"/>
    </xf>
    <xf numFmtId="0" fontId="59" fillId="0" borderId="13" xfId="0" applyFont="1" applyBorder="1" applyAlignment="1">
      <alignment horizontal="center" wrapText="1"/>
    </xf>
    <xf numFmtId="0" fontId="64" fillId="33" borderId="13" xfId="0" applyFont="1" applyFill="1" applyBorder="1" applyAlignment="1">
      <alignment wrapText="1"/>
    </xf>
    <xf numFmtId="0" fontId="59" fillId="33" borderId="13" xfId="0" applyFont="1" applyFill="1" applyBorder="1" applyAlignment="1">
      <alignment wrapText="1"/>
    </xf>
    <xf numFmtId="0" fontId="59" fillId="33" borderId="13" xfId="0" applyFont="1" applyFill="1" applyBorder="1" applyAlignment="1">
      <alignment horizontal="left" vertical="center" wrapText="1"/>
    </xf>
    <xf numFmtId="0" fontId="59" fillId="33" borderId="13" xfId="0" applyFont="1" applyFill="1" applyBorder="1" applyAlignment="1">
      <alignment horizontal="center" wrapText="1"/>
    </xf>
    <xf numFmtId="0" fontId="64" fillId="6" borderId="13" xfId="0" applyFont="1" applyFill="1" applyBorder="1" applyAlignment="1">
      <alignment wrapText="1"/>
    </xf>
    <xf numFmtId="0" fontId="59" fillId="6" borderId="13" xfId="0" applyFont="1" applyFill="1" applyBorder="1" applyAlignment="1">
      <alignment wrapText="1"/>
    </xf>
    <xf numFmtId="0" fontId="59" fillId="6" borderId="13" xfId="0" applyFont="1" applyFill="1" applyBorder="1" applyAlignment="1">
      <alignment horizontal="left" vertical="center" wrapText="1"/>
    </xf>
    <xf numFmtId="0" fontId="59" fillId="0" borderId="13" xfId="0" applyFont="1" applyBorder="1" applyAlignment="1">
      <alignment horizontal="left" wrapText="1"/>
    </xf>
    <xf numFmtId="0" fontId="59" fillId="21" borderId="13" xfId="0" applyFont="1" applyFill="1" applyBorder="1" applyAlignment="1">
      <alignment wrapText="1"/>
    </xf>
    <xf numFmtId="0" fontId="59" fillId="0" borderId="13" xfId="0" applyFont="1" applyFill="1" applyBorder="1" applyAlignment="1">
      <alignment horizontal="left" vertical="center" wrapText="1"/>
    </xf>
    <xf numFmtId="14" fontId="59" fillId="0" borderId="13" xfId="0" applyNumberFormat="1" applyFont="1" applyFill="1" applyBorder="1" applyAlignment="1">
      <alignment wrapText="1"/>
    </xf>
    <xf numFmtId="3" fontId="59" fillId="0" borderId="13" xfId="0" applyNumberFormat="1" applyFont="1" applyFill="1" applyBorder="1" applyAlignment="1">
      <alignment wrapText="1"/>
    </xf>
    <xf numFmtId="0" fontId="59" fillId="0" borderId="5" xfId="0" applyFont="1" applyFill="1" applyBorder="1" applyAlignment="1">
      <alignment wrapText="1"/>
    </xf>
    <xf numFmtId="0" fontId="65" fillId="6" borderId="13" xfId="0" applyFont="1" applyFill="1" applyBorder="1" applyAlignment="1">
      <alignment horizontal="left" wrapText="1"/>
    </xf>
    <xf numFmtId="0" fontId="64" fillId="6" borderId="13" xfId="0" applyFont="1" applyFill="1" applyBorder="1" applyAlignment="1">
      <alignment horizontal="left" vertical="center" wrapText="1"/>
    </xf>
    <xf numFmtId="0" fontId="59" fillId="0" borderId="13" xfId="0" applyFont="1" applyBorder="1" applyAlignment="1">
      <alignment horizontal="left" vertical="top" wrapText="1"/>
    </xf>
    <xf numFmtId="0" fontId="59" fillId="0" borderId="13" xfId="0" applyFont="1" applyFill="1" applyBorder="1" applyAlignment="1">
      <alignment horizontal="left" wrapText="1"/>
    </xf>
    <xf numFmtId="0" fontId="64" fillId="0" borderId="13" xfId="0" applyFont="1" applyFill="1" applyBorder="1" applyAlignment="1">
      <alignment horizontal="center" vertical="center" wrapText="1"/>
    </xf>
    <xf numFmtId="0" fontId="61" fillId="0" borderId="0" xfId="0" applyFont="1">
      <alignment vertical="center"/>
    </xf>
    <xf numFmtId="0" fontId="59" fillId="0" borderId="3" xfId="0" applyFont="1" applyBorder="1" applyAlignment="1">
      <alignment horizontal="center" wrapText="1"/>
    </xf>
    <xf numFmtId="0" fontId="59" fillId="33" borderId="3" xfId="0" applyFont="1" applyFill="1" applyBorder="1" applyAlignment="1">
      <alignment horizontal="center" wrapText="1"/>
    </xf>
    <xf numFmtId="167" fontId="61" fillId="0" borderId="0" xfId="1" applyNumberFormat="1" applyFont="1" applyFill="1" applyBorder="1" applyAlignment="1">
      <alignment vertical="top"/>
      <protection locked="0"/>
    </xf>
    <xf numFmtId="0" fontId="63" fillId="0" borderId="13" xfId="0" applyFont="1" applyFill="1" applyBorder="1" applyAlignment="1">
      <alignment horizontal="left" vertical="center" wrapText="1"/>
    </xf>
    <xf numFmtId="15" fontId="59" fillId="0" borderId="3" xfId="0" applyNumberFormat="1" applyFont="1" applyFill="1" applyBorder="1" applyAlignment="1">
      <alignment horizontal="center" wrapText="1"/>
    </xf>
    <xf numFmtId="0" fontId="61" fillId="0" borderId="13" xfId="0" applyFont="1" applyFill="1" applyBorder="1" applyAlignment="1">
      <alignment horizontal="center" vertical="center" wrapText="1"/>
    </xf>
    <xf numFmtId="168" fontId="60" fillId="40" borderId="13" xfId="0" applyNumberFormat="1" applyFont="1" applyFill="1" applyBorder="1" applyAlignment="1">
      <alignment horizontal="center" vertical="center"/>
    </xf>
    <xf numFmtId="0" fontId="58" fillId="40" borderId="13" xfId="0" applyFont="1" applyFill="1" applyBorder="1" applyAlignment="1">
      <alignment horizontal="left" vertical="center"/>
    </xf>
    <xf numFmtId="0" fontId="61" fillId="0" borderId="13" xfId="0" applyFont="1" applyFill="1" applyBorder="1" applyAlignment="1">
      <alignment horizontal="left" vertical="center" wrapText="1"/>
    </xf>
    <xf numFmtId="0" fontId="61" fillId="40" borderId="13" xfId="0" applyFont="1" applyFill="1" applyBorder="1" applyAlignment="1">
      <alignment horizontal="left" vertical="center"/>
    </xf>
    <xf numFmtId="0" fontId="62" fillId="0" borderId="13" xfId="0" applyFont="1" applyFill="1" applyBorder="1" applyAlignment="1">
      <alignment horizontal="left" vertical="center" wrapText="1"/>
    </xf>
    <xf numFmtId="0" fontId="61" fillId="40" borderId="13" xfId="0" applyFont="1" applyFill="1" applyBorder="1" applyAlignment="1">
      <alignment horizontal="left" vertical="center" wrapText="1"/>
    </xf>
    <xf numFmtId="0" fontId="61" fillId="0" borderId="13" xfId="0" applyFont="1" applyFill="1" applyBorder="1" applyAlignment="1">
      <alignment horizontal="left"/>
    </xf>
    <xf numFmtId="168" fontId="59" fillId="0" borderId="13" xfId="0" applyNumberFormat="1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left" vertical="center"/>
    </xf>
    <xf numFmtId="0" fontId="64" fillId="36" borderId="13" xfId="0" applyFont="1" applyFill="1" applyBorder="1" applyAlignment="1">
      <alignment horizontal="center" vertical="center" wrapText="1"/>
    </xf>
    <xf numFmtId="0" fontId="64" fillId="29" borderId="13" xfId="0" applyFont="1" applyFill="1" applyBorder="1" applyAlignment="1">
      <alignment horizontal="center" vertical="center" wrapText="1"/>
    </xf>
    <xf numFmtId="0" fontId="61" fillId="0" borderId="13" xfId="0" applyFont="1" applyBorder="1">
      <alignment vertical="center"/>
    </xf>
    <xf numFmtId="43" fontId="69" fillId="0" borderId="0" xfId="1" applyNumberFormat="1" applyFont="1" applyFill="1" applyBorder="1" applyAlignment="1">
      <alignment vertical="top"/>
      <protection locked="0"/>
    </xf>
    <xf numFmtId="0" fontId="70" fillId="0" borderId="0" xfId="0" applyFont="1">
      <alignment vertical="center"/>
    </xf>
    <xf numFmtId="0" fontId="70" fillId="0" borderId="13" xfId="0" applyFont="1" applyBorder="1">
      <alignment vertical="center"/>
    </xf>
    <xf numFmtId="14" fontId="70" fillId="0" borderId="13" xfId="0" applyNumberFormat="1" applyFont="1" applyBorder="1">
      <alignment vertical="center"/>
    </xf>
    <xf numFmtId="14" fontId="61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61" fillId="0" borderId="13" xfId="0" applyNumberFormat="1" applyFont="1" applyBorder="1">
      <alignment vertical="center"/>
    </xf>
    <xf numFmtId="15" fontId="70" fillId="0" borderId="13" xfId="0" applyNumberFormat="1" applyFont="1" applyBorder="1">
      <alignment vertical="center"/>
    </xf>
    <xf numFmtId="0" fontId="71" fillId="0" borderId="13" xfId="0" applyFont="1" applyBorder="1" applyAlignment="1">
      <alignment vertical="center"/>
    </xf>
    <xf numFmtId="0" fontId="61" fillId="0" borderId="13" xfId="0" applyFont="1" applyFill="1" applyBorder="1">
      <alignment vertical="center"/>
    </xf>
    <xf numFmtId="0" fontId="61" fillId="0" borderId="13" xfId="0" applyFont="1" applyBorder="1" applyAlignment="1">
      <alignment vertical="center"/>
    </xf>
    <xf numFmtId="14" fontId="61" fillId="0" borderId="13" xfId="0" applyNumberFormat="1" applyFont="1" applyFill="1" applyBorder="1">
      <alignment vertical="center"/>
    </xf>
    <xf numFmtId="14" fontId="61" fillId="0" borderId="13" xfId="0" applyNumberFormat="1" applyFont="1" applyBorder="1" applyAlignment="1">
      <alignment vertical="center"/>
    </xf>
    <xf numFmtId="0" fontId="72" fillId="0" borderId="0" xfId="0" applyFont="1" applyAlignment="1">
      <alignment horizontal="center" vertical="center"/>
    </xf>
    <xf numFmtId="0" fontId="72" fillId="0" borderId="0" xfId="0" applyFont="1">
      <alignment vertical="center"/>
    </xf>
    <xf numFmtId="0" fontId="73" fillId="33" borderId="13" xfId="0" applyFont="1" applyFill="1" applyBorder="1" applyAlignment="1">
      <alignment horizontal="center" vertical="center"/>
    </xf>
    <xf numFmtId="0" fontId="74" fillId="33" borderId="13" xfId="0" applyFont="1" applyFill="1" applyBorder="1" applyAlignment="1">
      <alignment horizontal="center" vertical="center"/>
    </xf>
    <xf numFmtId="0" fontId="74" fillId="33" borderId="13" xfId="0" applyFont="1" applyFill="1" applyBorder="1" applyAlignment="1">
      <alignment horizontal="center"/>
    </xf>
    <xf numFmtId="0" fontId="73" fillId="0" borderId="13" xfId="0" applyFont="1" applyBorder="1" applyAlignment="1">
      <alignment wrapText="1"/>
    </xf>
    <xf numFmtId="0" fontId="74" fillId="33" borderId="13" xfId="0" applyFont="1" applyFill="1" applyBorder="1" applyAlignment="1">
      <alignment horizontal="center" vertical="center" wrapText="1"/>
    </xf>
    <xf numFmtId="0" fontId="74" fillId="6" borderId="13" xfId="0" applyFont="1" applyFill="1" applyBorder="1" applyAlignment="1">
      <alignment horizontal="center" vertical="center" wrapText="1"/>
    </xf>
    <xf numFmtId="0" fontId="74" fillId="33" borderId="13" xfId="0" applyFont="1" applyFill="1" applyBorder="1" applyAlignment="1">
      <alignment horizontal="center" wrapText="1"/>
    </xf>
    <xf numFmtId="0" fontId="73" fillId="0" borderId="3" xfId="0" applyFont="1" applyBorder="1" applyAlignment="1">
      <alignment horizontal="center" wrapText="1"/>
    </xf>
    <xf numFmtId="0" fontId="73" fillId="0" borderId="13" xfId="0" applyFont="1" applyBorder="1" applyAlignment="1">
      <alignment horizontal="left"/>
    </xf>
    <xf numFmtId="0" fontId="74" fillId="0" borderId="13" xfId="0" applyFont="1" applyBorder="1" applyAlignment="1">
      <alignment horizontal="center" vertical="center"/>
    </xf>
    <xf numFmtId="0" fontId="74" fillId="0" borderId="13" xfId="0" applyFont="1" applyBorder="1" applyAlignment="1">
      <alignment horizontal="left" vertical="center"/>
    </xf>
    <xf numFmtId="0" fontId="74" fillId="36" borderId="13" xfId="0" applyFont="1" applyFill="1" applyBorder="1" applyAlignment="1">
      <alignment horizontal="center" vertical="center" wrapText="1"/>
    </xf>
    <xf numFmtId="0" fontId="74" fillId="29" borderId="13" xfId="0" applyFont="1" applyFill="1" applyBorder="1" applyAlignment="1">
      <alignment vertical="center" wrapText="1"/>
    </xf>
    <xf numFmtId="0" fontId="74" fillId="29" borderId="13" xfId="0" applyFont="1" applyFill="1" applyBorder="1" applyAlignment="1">
      <alignment horizontal="center" vertical="center" wrapText="1"/>
    </xf>
    <xf numFmtId="0" fontId="73" fillId="0" borderId="13" xfId="0" applyFont="1" applyBorder="1" applyAlignment="1">
      <alignment horizontal="center" wrapText="1"/>
    </xf>
    <xf numFmtId="0" fontId="73" fillId="0" borderId="13" xfId="0" applyFont="1" applyBorder="1" applyAlignment="1">
      <alignment horizontal="left" vertical="center" wrapText="1"/>
    </xf>
    <xf numFmtId="0" fontId="73" fillId="0" borderId="13" xfId="0" applyFont="1" applyBorder="1" applyAlignment="1">
      <alignment horizontal="center" vertical="center" wrapText="1"/>
    </xf>
    <xf numFmtId="0" fontId="73" fillId="33" borderId="13" xfId="0" applyFont="1" applyFill="1" applyBorder="1" applyAlignment="1">
      <alignment wrapText="1"/>
    </xf>
    <xf numFmtId="0" fontId="73" fillId="33" borderId="13" xfId="0" applyFont="1" applyFill="1" applyBorder="1" applyAlignment="1">
      <alignment horizontal="left" vertical="center" wrapText="1"/>
    </xf>
    <xf numFmtId="0" fontId="73" fillId="33" borderId="13" xfId="0" applyFont="1" applyFill="1" applyBorder="1" applyAlignment="1">
      <alignment horizontal="center" vertical="center" wrapText="1"/>
    </xf>
    <xf numFmtId="0" fontId="73" fillId="33" borderId="3" xfId="0" applyFont="1" applyFill="1" applyBorder="1" applyAlignment="1">
      <alignment horizontal="center" wrapText="1"/>
    </xf>
    <xf numFmtId="167" fontId="72" fillId="0" borderId="0" xfId="1" applyNumberFormat="1" applyFont="1" applyFill="1" applyBorder="1" applyAlignment="1">
      <alignment vertical="top"/>
      <protection locked="0"/>
    </xf>
    <xf numFmtId="0" fontId="74" fillId="6" borderId="13" xfId="0" applyFont="1" applyFill="1" applyBorder="1" applyAlignment="1">
      <alignment horizontal="center" wrapText="1"/>
    </xf>
    <xf numFmtId="0" fontId="73" fillId="6" borderId="13" xfId="0" applyFont="1" applyFill="1" applyBorder="1" applyAlignment="1">
      <alignment wrapText="1"/>
    </xf>
    <xf numFmtId="0" fontId="73" fillId="6" borderId="13" xfId="0" applyFont="1" applyFill="1" applyBorder="1" applyAlignment="1">
      <alignment horizontal="left" vertical="center" wrapText="1"/>
    </xf>
    <xf numFmtId="0" fontId="73" fillId="0" borderId="13" xfId="0" applyFont="1" applyFill="1" applyBorder="1" applyAlignment="1">
      <alignment horizontal="center" vertical="top" wrapText="1"/>
    </xf>
    <xf numFmtId="0" fontId="73" fillId="0" borderId="13" xfId="0" applyFont="1" applyFill="1" applyBorder="1" applyAlignment="1">
      <alignment wrapText="1"/>
    </xf>
    <xf numFmtId="0" fontId="73" fillId="0" borderId="13" xfId="0" applyFont="1" applyFill="1" applyBorder="1" applyAlignment="1">
      <alignment horizontal="left" vertical="center" wrapText="1"/>
    </xf>
    <xf numFmtId="14" fontId="73" fillId="0" borderId="13" xfId="0" applyNumberFormat="1" applyFont="1" applyFill="1" applyBorder="1" applyAlignment="1">
      <alignment horizontal="center" vertical="center" wrapText="1"/>
    </xf>
    <xf numFmtId="0" fontId="73" fillId="0" borderId="13" xfId="0" applyFont="1" applyFill="1" applyBorder="1" applyAlignment="1">
      <alignment horizontal="center" vertical="center" wrapText="1"/>
    </xf>
    <xf numFmtId="0" fontId="74" fillId="0" borderId="13" xfId="0" applyFont="1" applyFill="1" applyBorder="1" applyAlignment="1">
      <alignment horizontal="center" vertical="center" wrapText="1"/>
    </xf>
    <xf numFmtId="15" fontId="73" fillId="0" borderId="3" xfId="0" applyNumberFormat="1" applyFont="1" applyFill="1" applyBorder="1" applyAlignment="1">
      <alignment horizontal="center" wrapText="1"/>
    </xf>
    <xf numFmtId="3" fontId="73" fillId="0" borderId="3" xfId="0" applyNumberFormat="1" applyFont="1" applyFill="1" applyBorder="1" applyAlignment="1">
      <alignment wrapText="1"/>
    </xf>
    <xf numFmtId="3" fontId="73" fillId="0" borderId="13" xfId="0" applyNumberFormat="1" applyFont="1" applyFill="1" applyBorder="1" applyAlignment="1">
      <alignment wrapText="1"/>
    </xf>
    <xf numFmtId="0" fontId="73" fillId="0" borderId="5" xfId="0" applyFont="1" applyFill="1" applyBorder="1" applyAlignment="1">
      <alignment wrapText="1"/>
    </xf>
    <xf numFmtId="43" fontId="76" fillId="0" borderId="0" xfId="1" applyNumberFormat="1" applyFont="1" applyFill="1" applyBorder="1" applyAlignment="1">
      <alignment vertical="top"/>
      <protection locked="0"/>
    </xf>
    <xf numFmtId="0" fontId="73" fillId="21" borderId="13" xfId="0" applyFont="1" applyFill="1" applyBorder="1" applyAlignment="1">
      <alignment wrapText="1"/>
    </xf>
    <xf numFmtId="0" fontId="75" fillId="6" borderId="13" xfId="0" applyFont="1" applyFill="1" applyBorder="1" applyAlignment="1">
      <alignment horizontal="center" wrapText="1"/>
    </xf>
    <xf numFmtId="0" fontId="74" fillId="6" borderId="13" xfId="0" applyFont="1" applyFill="1" applyBorder="1" applyAlignment="1">
      <alignment wrapText="1"/>
    </xf>
    <xf numFmtId="0" fontId="74" fillId="6" borderId="13" xfId="0" applyFont="1" applyFill="1" applyBorder="1" applyAlignment="1">
      <alignment horizontal="left" vertical="center" wrapText="1"/>
    </xf>
    <xf numFmtId="0" fontId="73" fillId="0" borderId="13" xfId="0" applyFont="1" applyBorder="1" applyAlignment="1">
      <alignment horizontal="center" vertical="top" wrapText="1"/>
    </xf>
    <xf numFmtId="0" fontId="73" fillId="0" borderId="13" xfId="0" applyFont="1" applyFill="1" applyBorder="1" applyAlignment="1">
      <alignment horizontal="center" wrapText="1"/>
    </xf>
    <xf numFmtId="0" fontId="74" fillId="6" borderId="22" xfId="0" applyFont="1" applyFill="1" applyBorder="1" applyAlignment="1">
      <alignment horizontal="center" wrapText="1"/>
    </xf>
    <xf numFmtId="0" fontId="73" fillId="6" borderId="22" xfId="0" applyFont="1" applyFill="1" applyBorder="1" applyAlignment="1">
      <alignment wrapText="1"/>
    </xf>
    <xf numFmtId="0" fontId="73" fillId="6" borderId="22" xfId="0" applyFont="1" applyFill="1" applyBorder="1" applyAlignment="1">
      <alignment horizontal="left" vertical="center" wrapText="1"/>
    </xf>
    <xf numFmtId="0" fontId="74" fillId="6" borderId="22" xfId="0" applyFont="1" applyFill="1" applyBorder="1" applyAlignment="1">
      <alignment horizontal="center" vertical="center" wrapText="1"/>
    </xf>
    <xf numFmtId="0" fontId="73" fillId="0" borderId="22" xfId="0" applyFont="1" applyBorder="1" applyAlignment="1">
      <alignment wrapText="1"/>
    </xf>
    <xf numFmtId="0" fontId="73" fillId="0" borderId="20" xfId="0" applyFont="1" applyBorder="1" applyAlignment="1">
      <alignment horizontal="center" wrapText="1"/>
    </xf>
    <xf numFmtId="15" fontId="73" fillId="0" borderId="13" xfId="0" applyNumberFormat="1" applyFont="1" applyFill="1" applyBorder="1" applyAlignment="1">
      <alignment horizontal="center" wrapText="1"/>
    </xf>
    <xf numFmtId="43" fontId="76" fillId="0" borderId="13" xfId="1" applyNumberFormat="1" applyFont="1" applyFill="1" applyBorder="1" applyAlignment="1">
      <alignment vertical="top"/>
      <protection locked="0"/>
    </xf>
    <xf numFmtId="168" fontId="73" fillId="0" borderId="13" xfId="0" applyNumberFormat="1" applyFont="1" applyFill="1" applyBorder="1" applyAlignment="1">
      <alignment horizontal="center" vertical="center" wrapText="1"/>
    </xf>
    <xf numFmtId="0" fontId="72" fillId="0" borderId="13" xfId="0" applyFont="1" applyBorder="1" applyAlignment="1">
      <alignment horizontal="center" vertical="center"/>
    </xf>
    <xf numFmtId="0" fontId="72" fillId="0" borderId="13" xfId="0" applyFont="1" applyBorder="1">
      <alignment vertical="center"/>
    </xf>
    <xf numFmtId="14" fontId="72" fillId="0" borderId="13" xfId="0" applyNumberFormat="1" applyFont="1" applyBorder="1" applyAlignment="1">
      <alignment horizontal="center" vertical="center"/>
    </xf>
    <xf numFmtId="0" fontId="73" fillId="0" borderId="13" xfId="0" applyFont="1" applyFill="1" applyBorder="1" applyAlignment="1">
      <alignment vertical="center" wrapText="1"/>
    </xf>
    <xf numFmtId="0" fontId="77" fillId="39" borderId="13" xfId="1" applyNumberFormat="1" applyFont="1" applyFill="1" applyBorder="1" applyAlignment="1">
      <alignment vertical="top"/>
      <protection locked="0"/>
    </xf>
    <xf numFmtId="14" fontId="73" fillId="0" borderId="13" xfId="0" applyNumberFormat="1" applyFont="1" applyFill="1" applyBorder="1" applyAlignment="1">
      <alignment wrapText="1"/>
    </xf>
    <xf numFmtId="14" fontId="72" fillId="0" borderId="13" xfId="0" applyNumberFormat="1" applyFont="1" applyBorder="1">
      <alignment vertical="center"/>
    </xf>
    <xf numFmtId="168" fontId="73" fillId="0" borderId="13" xfId="0" applyNumberFormat="1" applyFont="1" applyFill="1" applyBorder="1" applyAlignment="1">
      <alignment horizontal="center" wrapText="1"/>
    </xf>
    <xf numFmtId="168" fontId="72" fillId="0" borderId="13" xfId="0" applyNumberFormat="1" applyFont="1" applyBorder="1">
      <alignment vertical="center"/>
    </xf>
    <xf numFmtId="3" fontId="72" fillId="0" borderId="13" xfId="0" applyNumberFormat="1" applyFont="1" applyBorder="1">
      <alignment vertical="center"/>
    </xf>
    <xf numFmtId="15" fontId="72" fillId="0" borderId="13" xfId="0" applyNumberFormat="1" applyFont="1" applyBorder="1">
      <alignment vertical="center"/>
    </xf>
    <xf numFmtId="0" fontId="73" fillId="0" borderId="14" xfId="0" applyFont="1" applyBorder="1" applyAlignment="1">
      <alignment horizontal="center" wrapText="1"/>
    </xf>
    <xf numFmtId="0" fontId="73" fillId="0" borderId="14" xfId="0" applyFont="1" applyBorder="1" applyAlignment="1">
      <alignment wrapText="1"/>
    </xf>
    <xf numFmtId="0" fontId="73" fillId="21" borderId="14" xfId="0" applyFont="1" applyFill="1" applyBorder="1" applyAlignment="1">
      <alignment wrapText="1"/>
    </xf>
    <xf numFmtId="0" fontId="73" fillId="0" borderId="14" xfId="0" applyFont="1" applyFill="1" applyBorder="1" applyAlignment="1">
      <alignment wrapText="1"/>
    </xf>
    <xf numFmtId="0" fontId="73" fillId="0" borderId="14" xfId="0" applyFont="1" applyFill="1" applyBorder="1" applyAlignment="1">
      <alignment horizontal="left" vertical="center" wrapText="1"/>
    </xf>
    <xf numFmtId="14" fontId="73" fillId="0" borderId="14" xfId="0" applyNumberFormat="1" applyFont="1" applyFill="1" applyBorder="1" applyAlignment="1">
      <alignment horizontal="center" vertical="center" wrapText="1"/>
    </xf>
    <xf numFmtId="0" fontId="73" fillId="0" borderId="14" xfId="0" applyFont="1" applyFill="1" applyBorder="1" applyAlignment="1">
      <alignment horizontal="center" vertical="center" wrapText="1"/>
    </xf>
    <xf numFmtId="15" fontId="73" fillId="0" borderId="11" xfId="0" applyNumberFormat="1" applyFont="1" applyFill="1" applyBorder="1" applyAlignment="1">
      <alignment horizontal="center" wrapText="1"/>
    </xf>
    <xf numFmtId="3" fontId="73" fillId="0" borderId="11" xfId="0" applyNumberFormat="1" applyFont="1" applyFill="1" applyBorder="1" applyAlignment="1">
      <alignment wrapText="1"/>
    </xf>
    <xf numFmtId="3" fontId="73" fillId="0" borderId="14" xfId="0" applyNumberFormat="1" applyFont="1" applyFill="1" applyBorder="1" applyAlignment="1">
      <alignment wrapText="1"/>
    </xf>
    <xf numFmtId="0" fontId="73" fillId="0" borderId="12" xfId="0" applyFont="1" applyFill="1" applyBorder="1" applyAlignment="1">
      <alignment wrapText="1"/>
    </xf>
    <xf numFmtId="0" fontId="73" fillId="33" borderId="13" xfId="0" applyFont="1" applyFill="1" applyBorder="1" applyAlignment="1"/>
    <xf numFmtId="0" fontId="74" fillId="33" borderId="13" xfId="0" applyFont="1" applyFill="1" applyBorder="1" applyAlignment="1">
      <alignment wrapText="1"/>
    </xf>
    <xf numFmtId="0" fontId="73" fillId="33" borderId="13" xfId="0" applyFont="1" applyFill="1" applyBorder="1" applyAlignment="1">
      <alignment horizontal="center" wrapText="1"/>
    </xf>
    <xf numFmtId="0" fontId="73" fillId="0" borderId="13" xfId="0" applyFont="1" applyFill="1" applyBorder="1" applyAlignment="1">
      <alignment horizontal="left" vertical="top" wrapText="1"/>
    </xf>
    <xf numFmtId="14" fontId="73" fillId="0" borderId="13" xfId="0" applyNumberFormat="1" applyFont="1" applyFill="1" applyBorder="1" applyAlignment="1">
      <alignment horizontal="right" wrapText="1"/>
    </xf>
    <xf numFmtId="0" fontId="74" fillId="0" borderId="13" xfId="0" applyFont="1" applyFill="1" applyBorder="1" applyAlignment="1">
      <alignment horizontal="center" wrapText="1"/>
    </xf>
    <xf numFmtId="0" fontId="73" fillId="0" borderId="13" xfId="0" applyFont="1" applyBorder="1" applyAlignment="1">
      <alignment horizontal="left" wrapText="1"/>
    </xf>
    <xf numFmtId="0" fontId="75" fillId="6" borderId="13" xfId="0" applyFont="1" applyFill="1" applyBorder="1" applyAlignment="1">
      <alignment horizontal="left" wrapText="1"/>
    </xf>
    <xf numFmtId="0" fontId="73" fillId="0" borderId="13" xfId="0" applyFont="1" applyBorder="1" applyAlignment="1">
      <alignment horizontal="left" vertical="top" wrapText="1"/>
    </xf>
    <xf numFmtId="0" fontId="73" fillId="0" borderId="13" xfId="0" applyFont="1" applyFill="1" applyBorder="1" applyAlignment="1">
      <alignment horizontal="left" wrapText="1"/>
    </xf>
    <xf numFmtId="0" fontId="74" fillId="6" borderId="22" xfId="0" applyFont="1" applyFill="1" applyBorder="1" applyAlignment="1">
      <alignment wrapText="1"/>
    </xf>
    <xf numFmtId="0" fontId="43" fillId="0" borderId="5" xfId="0" applyFont="1" applyFill="1" applyBorder="1" applyAlignment="1">
      <alignment horizontal="center" wrapText="1"/>
    </xf>
    <xf numFmtId="168" fontId="61" fillId="0" borderId="13" xfId="0" applyNumberFormat="1" applyFont="1" applyBorder="1" applyAlignment="1">
      <alignment horizontal="center"/>
    </xf>
    <xf numFmtId="14" fontId="43" fillId="0" borderId="13" xfId="0" applyNumberFormat="1" applyFont="1" applyFill="1" applyBorder="1" applyAlignment="1">
      <alignment horizontal="left" vertical="center" wrapText="1"/>
    </xf>
    <xf numFmtId="168" fontId="61" fillId="0" borderId="13" xfId="0" applyNumberFormat="1" applyFont="1" applyBorder="1" applyAlignment="1">
      <alignment horizontal="center" vertical="center"/>
    </xf>
    <xf numFmtId="0" fontId="61" fillId="0" borderId="13" xfId="0" applyFont="1" applyBorder="1" applyAlignment="1">
      <alignment horizontal="left" vertical="center"/>
    </xf>
    <xf numFmtId="0" fontId="44" fillId="0" borderId="13" xfId="0" applyFont="1" applyFill="1" applyBorder="1" applyAlignment="1">
      <alignment horizontal="center" wrapText="1"/>
    </xf>
    <xf numFmtId="0" fontId="64" fillId="29" borderId="13" xfId="0" applyFont="1" applyFill="1" applyBorder="1" applyAlignment="1">
      <alignment horizontal="center" vertical="center" wrapText="1"/>
    </xf>
    <xf numFmtId="0" fontId="64" fillId="36" borderId="13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59" fillId="0" borderId="13" xfId="0" applyFont="1" applyBorder="1" applyAlignment="1">
      <alignment horizontal="center" vertical="center" wrapText="1"/>
    </xf>
    <xf numFmtId="0" fontId="59" fillId="33" borderId="13" xfId="0" applyFont="1" applyFill="1" applyBorder="1" applyAlignment="1">
      <alignment horizontal="center" vertical="center" wrapText="1"/>
    </xf>
    <xf numFmtId="0" fontId="66" fillId="38" borderId="13" xfId="1" applyNumberFormat="1" applyFont="1" applyBorder="1" applyAlignment="1">
      <alignment vertical="top"/>
      <protection locked="0"/>
    </xf>
    <xf numFmtId="15" fontId="59" fillId="0" borderId="13" xfId="0" applyNumberFormat="1" applyFont="1" applyFill="1" applyBorder="1" applyAlignment="1">
      <alignment horizontal="center" vertical="center" wrapText="1"/>
    </xf>
    <xf numFmtId="0" fontId="67" fillId="39" borderId="13" xfId="1" applyNumberFormat="1" applyFont="1" applyFill="1" applyBorder="1" applyAlignment="1">
      <alignment vertical="top"/>
      <protection locked="0"/>
    </xf>
    <xf numFmtId="15" fontId="59" fillId="0" borderId="13" xfId="0" applyNumberFormat="1" applyFont="1" applyFill="1" applyBorder="1" applyAlignment="1">
      <alignment horizontal="center" wrapText="1"/>
    </xf>
    <xf numFmtId="43" fontId="68" fillId="0" borderId="13" xfId="1" applyNumberFormat="1" applyFont="1" applyFill="1" applyBorder="1" applyAlignment="1">
      <alignment vertical="top"/>
      <protection locked="0"/>
    </xf>
    <xf numFmtId="43" fontId="61" fillId="0" borderId="13" xfId="1" applyNumberFormat="1" applyFont="1" applyFill="1" applyBorder="1" applyAlignment="1">
      <alignment vertical="top"/>
      <protection locked="0"/>
    </xf>
    <xf numFmtId="15" fontId="43" fillId="0" borderId="13" xfId="0" applyNumberFormat="1" applyFont="1" applyFill="1" applyBorder="1" applyAlignment="1">
      <alignment horizontal="center" wrapText="1"/>
    </xf>
    <xf numFmtId="15" fontId="43" fillId="0" borderId="13" xfId="0" applyNumberFormat="1" applyFont="1" applyFill="1" applyBorder="1" applyAlignment="1">
      <alignment horizontal="center" vertical="center" wrapText="1"/>
    </xf>
    <xf numFmtId="0" fontId="43" fillId="40" borderId="13" xfId="0" applyFont="1" applyFill="1" applyBorder="1" applyAlignment="1">
      <alignment horizontal="left" vertical="center" wrapText="1"/>
    </xf>
    <xf numFmtId="0" fontId="43" fillId="40" borderId="13" xfId="0" applyFont="1" applyFill="1" applyBorder="1" applyAlignment="1">
      <alignment wrapText="1"/>
    </xf>
    <xf numFmtId="0" fontId="44" fillId="40" borderId="13" xfId="0" applyFont="1" applyFill="1" applyBorder="1" applyAlignment="1">
      <alignment wrapText="1"/>
    </xf>
    <xf numFmtId="0" fontId="43" fillId="0" borderId="13" xfId="0" applyFont="1" applyBorder="1" applyAlignment="1">
      <alignment vertical="center" wrapText="1"/>
    </xf>
    <xf numFmtId="0" fontId="44" fillId="40" borderId="13" xfId="0" applyFont="1" applyFill="1" applyBorder="1" applyAlignment="1">
      <alignment horizontal="center" wrapText="1"/>
    </xf>
    <xf numFmtId="0" fontId="43" fillId="40" borderId="13" xfId="0" applyFont="1" applyFill="1" applyBorder="1" applyAlignment="1">
      <alignment horizontal="center" wrapText="1"/>
    </xf>
    <xf numFmtId="0" fontId="43" fillId="40" borderId="19" xfId="0" applyFont="1" applyFill="1" applyBorder="1" applyAlignment="1">
      <alignment horizontal="center" vertical="center" wrapText="1"/>
    </xf>
    <xf numFmtId="0" fontId="0" fillId="40" borderId="0" xfId="0" applyFill="1">
      <alignment vertical="center"/>
    </xf>
    <xf numFmtId="0" fontId="73" fillId="0" borderId="22" xfId="0" applyFont="1" applyFill="1" applyBorder="1" applyAlignment="1">
      <alignment wrapText="1"/>
    </xf>
    <xf numFmtId="0" fontId="73" fillId="0" borderId="21" xfId="0" applyFont="1" applyFill="1" applyBorder="1" applyAlignment="1">
      <alignment wrapText="1"/>
    </xf>
    <xf numFmtId="0" fontId="72" fillId="0" borderId="0" xfId="0" applyFont="1" applyFill="1">
      <alignment vertical="center"/>
    </xf>
    <xf numFmtId="0" fontId="43" fillId="0" borderId="22" xfId="0" applyFont="1" applyFill="1" applyBorder="1" applyAlignment="1">
      <alignment horizontal="left" vertical="center" wrapText="1"/>
    </xf>
    <xf numFmtId="0" fontId="43" fillId="0" borderId="22" xfId="0" applyFont="1" applyFill="1" applyBorder="1" applyAlignment="1">
      <alignment vertical="center" wrapText="1"/>
    </xf>
    <xf numFmtId="14" fontId="43" fillId="0" borderId="13" xfId="0" applyNumberFormat="1" applyFont="1" applyFill="1" applyBorder="1" applyAlignment="1">
      <alignment vertical="center" wrapText="1"/>
    </xf>
    <xf numFmtId="3" fontId="43" fillId="0" borderId="13" xfId="0" applyNumberFormat="1" applyFont="1" applyFill="1" applyBorder="1" applyAlignment="1">
      <alignment vertical="center" wrapText="1"/>
    </xf>
    <xf numFmtId="0" fontId="75" fillId="6" borderId="13" xfId="0" applyFont="1" applyFill="1" applyBorder="1" applyAlignment="1">
      <alignment horizontal="left" vertical="center" wrapText="1"/>
    </xf>
    <xf numFmtId="0" fontId="74" fillId="6" borderId="13" xfId="0" applyFont="1" applyFill="1" applyBorder="1" applyAlignment="1">
      <alignment vertical="center" wrapText="1"/>
    </xf>
    <xf numFmtId="0" fontId="73" fillId="0" borderId="13" xfId="0" applyFont="1" applyBorder="1" applyAlignment="1">
      <alignment vertical="center" wrapText="1"/>
    </xf>
    <xf numFmtId="0" fontId="73" fillId="0" borderId="3" xfId="0" applyFont="1" applyBorder="1" applyAlignment="1">
      <alignment horizontal="center" vertical="center" wrapText="1"/>
    </xf>
    <xf numFmtId="14" fontId="73" fillId="0" borderId="13" xfId="0" applyNumberFormat="1" applyFont="1" applyFill="1" applyBorder="1" applyAlignment="1">
      <alignment vertical="center" wrapText="1"/>
    </xf>
    <xf numFmtId="15" fontId="73" fillId="0" borderId="3" xfId="0" applyNumberFormat="1" applyFont="1" applyFill="1" applyBorder="1" applyAlignment="1">
      <alignment horizontal="center" vertical="center" wrapText="1"/>
    </xf>
    <xf numFmtId="3" fontId="73" fillId="0" borderId="13" xfId="0" applyNumberFormat="1" applyFont="1" applyFill="1" applyBorder="1" applyAlignment="1">
      <alignment vertical="center" wrapText="1"/>
    </xf>
    <xf numFmtId="0" fontId="74" fillId="33" borderId="13" xfId="0" applyFont="1" applyFill="1" applyBorder="1" applyAlignment="1">
      <alignment vertical="center" wrapText="1"/>
    </xf>
    <xf numFmtId="0" fontId="73" fillId="33" borderId="13" xfId="0" applyFont="1" applyFill="1" applyBorder="1" applyAlignment="1">
      <alignment vertical="center" wrapText="1"/>
    </xf>
    <xf numFmtId="0" fontId="73" fillId="33" borderId="3" xfId="0" applyFont="1" applyFill="1" applyBorder="1" applyAlignment="1">
      <alignment horizontal="center" vertical="center" wrapText="1"/>
    </xf>
    <xf numFmtId="0" fontId="73" fillId="6" borderId="13" xfId="0" applyFont="1" applyFill="1" applyBorder="1" applyAlignment="1">
      <alignment vertical="center" wrapText="1"/>
    </xf>
    <xf numFmtId="14" fontId="43" fillId="0" borderId="20" xfId="0" applyNumberFormat="1" applyFont="1" applyFill="1" applyBorder="1" applyAlignment="1">
      <alignment horizontal="center" vertical="center" wrapText="1"/>
    </xf>
    <xf numFmtId="14" fontId="43" fillId="0" borderId="22" xfId="0" applyNumberFormat="1" applyFont="1" applyFill="1" applyBorder="1" applyAlignment="1">
      <alignment horizontal="center" vertical="center" wrapText="1"/>
    </xf>
    <xf numFmtId="0" fontId="43" fillId="0" borderId="22" xfId="0" applyFont="1" applyFill="1" applyBorder="1" applyAlignment="1">
      <alignment horizontal="center" vertical="center" wrapText="1"/>
    </xf>
    <xf numFmtId="14" fontId="43" fillId="0" borderId="13" xfId="0" applyNumberFormat="1" applyFont="1" applyFill="1" applyBorder="1" applyAlignment="1">
      <alignment horizontal="center" vertical="center" wrapText="1"/>
    </xf>
    <xf numFmtId="14" fontId="43" fillId="0" borderId="13" xfId="0" applyNumberFormat="1" applyFont="1" applyFill="1" applyBorder="1" applyAlignment="1">
      <alignment horizontal="center" wrapText="1"/>
    </xf>
    <xf numFmtId="0" fontId="74" fillId="40" borderId="13" xfId="0" applyFont="1" applyFill="1" applyBorder="1" applyAlignment="1">
      <alignment wrapText="1"/>
    </xf>
    <xf numFmtId="0" fontId="51" fillId="40" borderId="13" xfId="0" applyFont="1" applyFill="1" applyBorder="1" applyAlignment="1">
      <alignment wrapText="1"/>
    </xf>
    <xf numFmtId="0" fontId="51" fillId="0" borderId="13" xfId="0" applyFont="1" applyBorder="1" applyAlignment="1">
      <alignment horizontal="center" vertical="top" wrapText="1"/>
    </xf>
    <xf numFmtId="14" fontId="51" fillId="40" borderId="13" xfId="0" applyNumberFormat="1" applyFont="1" applyFill="1" applyBorder="1" applyAlignment="1">
      <alignment horizontal="center" vertical="center" wrapText="1"/>
    </xf>
    <xf numFmtId="0" fontId="51" fillId="40" borderId="13" xfId="0" applyFont="1" applyFill="1" applyBorder="1" applyAlignment="1">
      <alignment horizontal="center" vertical="center" wrapText="1"/>
    </xf>
    <xf numFmtId="0" fontId="51" fillId="0" borderId="13" xfId="0" applyFont="1" applyFill="1" applyBorder="1" applyAlignment="1">
      <alignment horizontal="center" vertical="top" wrapText="1"/>
    </xf>
    <xf numFmtId="0" fontId="73" fillId="40" borderId="13" xfId="0" applyFont="1" applyFill="1" applyBorder="1" applyAlignment="1">
      <alignment horizontal="center" wrapText="1"/>
    </xf>
    <xf numFmtId="14" fontId="73" fillId="33" borderId="13" xfId="0" applyNumberFormat="1" applyFont="1" applyFill="1" applyBorder="1" applyAlignment="1">
      <alignment horizontal="center" vertical="center" wrapText="1"/>
    </xf>
    <xf numFmtId="14" fontId="74" fillId="6" borderId="22" xfId="0" applyNumberFormat="1" applyFont="1" applyFill="1" applyBorder="1" applyAlignment="1">
      <alignment horizontal="center" vertical="center" wrapText="1"/>
    </xf>
    <xf numFmtId="14" fontId="74" fillId="6" borderId="13" xfId="0" applyNumberFormat="1" applyFont="1" applyFill="1" applyBorder="1" applyAlignment="1">
      <alignment horizontal="center" vertical="center" wrapText="1"/>
    </xf>
    <xf numFmtId="0" fontId="64" fillId="6" borderId="13" xfId="0" applyFont="1" applyFill="1" applyBorder="1" applyAlignment="1">
      <alignment horizontal="center" vertical="center" wrapText="1"/>
    </xf>
    <xf numFmtId="0" fontId="43" fillId="40" borderId="19" xfId="0" applyFont="1" applyFill="1" applyBorder="1" applyAlignment="1">
      <alignment wrapText="1"/>
    </xf>
    <xf numFmtId="0" fontId="43" fillId="40" borderId="25" xfId="0" applyFont="1" applyFill="1" applyBorder="1" applyAlignment="1">
      <alignment wrapText="1"/>
    </xf>
    <xf numFmtId="0" fontId="52" fillId="40" borderId="13" xfId="0" applyFont="1" applyFill="1" applyBorder="1" applyAlignment="1">
      <alignment wrapText="1"/>
    </xf>
    <xf numFmtId="0" fontId="51" fillId="40" borderId="13" xfId="0" applyFont="1" applyFill="1" applyBorder="1" applyAlignment="1">
      <alignment horizontal="left" vertical="center" wrapText="1"/>
    </xf>
    <xf numFmtId="0" fontId="52" fillId="40" borderId="13" xfId="0" applyFont="1" applyFill="1" applyBorder="1" applyAlignment="1">
      <alignment horizontal="center" wrapText="1"/>
    </xf>
    <xf numFmtId="0" fontId="51" fillId="40" borderId="13" xfId="0" applyFont="1" applyFill="1" applyBorder="1" applyAlignment="1">
      <alignment horizontal="center" wrapText="1"/>
    </xf>
    <xf numFmtId="0" fontId="51" fillId="40" borderId="19" xfId="0" applyFont="1" applyFill="1" applyBorder="1" applyAlignment="1">
      <alignment horizontal="center" vertical="center" wrapText="1"/>
    </xf>
    <xf numFmtId="0" fontId="51" fillId="40" borderId="19" xfId="0" applyFont="1" applyFill="1" applyBorder="1" applyAlignment="1">
      <alignment wrapText="1"/>
    </xf>
    <xf numFmtId="0" fontId="51" fillId="40" borderId="25" xfId="0" applyFont="1" applyFill="1" applyBorder="1" applyAlignment="1">
      <alignment wrapText="1"/>
    </xf>
    <xf numFmtId="0" fontId="78" fillId="40" borderId="0" xfId="0" applyFont="1" applyFill="1">
      <alignment vertical="center"/>
    </xf>
    <xf numFmtId="0" fontId="51" fillId="0" borderId="19" xfId="0" applyFont="1" applyFill="1" applyBorder="1" applyAlignment="1">
      <alignment wrapText="1"/>
    </xf>
    <xf numFmtId="0" fontId="78" fillId="0" borderId="0" xfId="0" applyFont="1">
      <alignment vertical="center"/>
    </xf>
    <xf numFmtId="0" fontId="43" fillId="0" borderId="25" xfId="0" applyFont="1" applyFill="1" applyBorder="1" applyAlignment="1">
      <alignment wrapText="1"/>
    </xf>
    <xf numFmtId="0" fontId="61" fillId="0" borderId="0" xfId="0" applyFont="1" applyFill="1">
      <alignment vertical="center"/>
    </xf>
    <xf numFmtId="14" fontId="70" fillId="0" borderId="22" xfId="0" applyNumberFormat="1" applyFont="1" applyBorder="1" applyAlignment="1">
      <alignment horizontal="center" vertical="center"/>
    </xf>
    <xf numFmtId="0" fontId="51" fillId="40" borderId="13" xfId="0" applyFont="1" applyFill="1" applyBorder="1" applyAlignment="1">
      <alignment vertical="center" wrapText="1"/>
    </xf>
    <xf numFmtId="14" fontId="51" fillId="0" borderId="13" xfId="0" applyNumberFormat="1" applyFont="1" applyBorder="1" applyAlignment="1">
      <alignment vertical="center" wrapText="1"/>
    </xf>
    <xf numFmtId="3" fontId="43" fillId="0" borderId="13" xfId="0" applyNumberFormat="1" applyFont="1" applyFill="1" applyBorder="1" applyAlignment="1">
      <alignment horizontal="center" wrapText="1"/>
    </xf>
    <xf numFmtId="0" fontId="38" fillId="0" borderId="25" xfId="0" applyFont="1" applyFill="1" applyBorder="1" applyAlignment="1">
      <alignment wrapText="1"/>
    </xf>
    <xf numFmtId="0" fontId="31" fillId="0" borderId="19" xfId="0" applyFont="1" applyBorder="1" applyAlignment="1">
      <alignment wrapText="1"/>
    </xf>
    <xf numFmtId="0" fontId="31" fillId="0" borderId="25" xfId="0" applyFont="1" applyBorder="1" applyAlignment="1">
      <alignment wrapText="1"/>
    </xf>
    <xf numFmtId="0" fontId="43" fillId="0" borderId="22" xfId="0" applyFont="1" applyBorder="1" applyAlignment="1">
      <alignment wrapText="1"/>
    </xf>
    <xf numFmtId="0" fontId="79" fillId="6" borderId="13" xfId="0" applyFont="1" applyFill="1" applyBorder="1" applyAlignment="1">
      <alignment horizontal="center" wrapText="1"/>
    </xf>
    <xf numFmtId="0" fontId="47" fillId="6" borderId="14" xfId="0" applyFont="1" applyFill="1" applyBorder="1" applyAlignment="1">
      <alignment horizontal="left" vertical="center" wrapText="1"/>
    </xf>
    <xf numFmtId="0" fontId="44" fillId="6" borderId="14" xfId="0" applyFont="1" applyFill="1" applyBorder="1" applyAlignment="1">
      <alignment vertical="center" wrapText="1"/>
    </xf>
    <xf numFmtId="0" fontId="44" fillId="6" borderId="14" xfId="0" applyFont="1" applyFill="1" applyBorder="1" applyAlignment="1">
      <alignment horizontal="left" vertical="center" wrapText="1"/>
    </xf>
    <xf numFmtId="0" fontId="44" fillId="6" borderId="14" xfId="0" applyFont="1" applyFill="1" applyBorder="1" applyAlignment="1">
      <alignment horizontal="center" vertical="center" wrapText="1"/>
    </xf>
    <xf numFmtId="0" fontId="43" fillId="0" borderId="14" xfId="0" applyFont="1" applyBorder="1" applyAlignment="1">
      <alignment vertical="center" wrapText="1"/>
    </xf>
    <xf numFmtId="0" fontId="43" fillId="0" borderId="11" xfId="0" applyFont="1" applyBorder="1" applyAlignment="1">
      <alignment horizontal="center" vertical="center" wrapText="1"/>
    </xf>
    <xf numFmtId="3" fontId="43" fillId="0" borderId="3" xfId="0" applyNumberFormat="1" applyFont="1" applyFill="1" applyBorder="1" applyAlignment="1">
      <alignment wrapText="1"/>
    </xf>
    <xf numFmtId="43" fontId="68" fillId="0" borderId="0" xfId="1" applyNumberFormat="1" applyFont="1" applyFill="1" applyBorder="1" applyAlignment="1">
      <alignment vertical="top"/>
      <protection locked="0"/>
    </xf>
    <xf numFmtId="3" fontId="43" fillId="0" borderId="19" xfId="0" applyNumberFormat="1" applyFont="1" applyFill="1" applyBorder="1" applyAlignment="1">
      <alignment wrapText="1"/>
    </xf>
    <xf numFmtId="0" fontId="80" fillId="0" borderId="0" xfId="0" applyFont="1">
      <alignment vertical="center"/>
    </xf>
    <xf numFmtId="0" fontId="32" fillId="6" borderId="22" xfId="0" applyFont="1" applyFill="1" applyBorder="1" applyAlignment="1">
      <alignment wrapText="1"/>
    </xf>
    <xf numFmtId="0" fontId="31" fillId="6" borderId="22" xfId="0" applyFont="1" applyFill="1" applyBorder="1" applyAlignment="1">
      <alignment wrapText="1"/>
    </xf>
    <xf numFmtId="0" fontId="37" fillId="6" borderId="22" xfId="0" applyFont="1" applyFill="1" applyBorder="1" applyAlignment="1">
      <alignment horizontal="left" vertical="center" wrapText="1"/>
    </xf>
    <xf numFmtId="0" fontId="32" fillId="6" borderId="22" xfId="0" applyFont="1" applyFill="1" applyBorder="1" applyAlignment="1">
      <alignment horizontal="center" wrapText="1"/>
    </xf>
    <xf numFmtId="0" fontId="31" fillId="0" borderId="22" xfId="0" applyFont="1" applyBorder="1" applyAlignment="1">
      <alignment wrapText="1"/>
    </xf>
    <xf numFmtId="0" fontId="31" fillId="0" borderId="20" xfId="0" applyFont="1" applyBorder="1" applyAlignment="1">
      <alignment horizontal="center" wrapText="1"/>
    </xf>
    <xf numFmtId="0" fontId="41" fillId="6" borderId="14" xfId="0" applyFont="1" applyFill="1" applyBorder="1" applyAlignment="1">
      <alignment horizontal="left" wrapText="1"/>
    </xf>
    <xf numFmtId="0" fontId="32" fillId="6" borderId="14" xfId="0" applyFont="1" applyFill="1" applyBorder="1" applyAlignment="1">
      <alignment wrapText="1"/>
    </xf>
    <xf numFmtId="0" fontId="42" fillId="6" borderId="14" xfId="0" applyFont="1" applyFill="1" applyBorder="1" applyAlignment="1">
      <alignment horizontal="left" vertical="center" wrapText="1"/>
    </xf>
    <xf numFmtId="0" fontId="32" fillId="6" borderId="14" xfId="0" applyFont="1" applyFill="1" applyBorder="1" applyAlignment="1">
      <alignment horizontal="center" wrapText="1"/>
    </xf>
    <xf numFmtId="0" fontId="31" fillId="0" borderId="14" xfId="0" applyFont="1" applyBorder="1" applyAlignment="1">
      <alignment wrapText="1"/>
    </xf>
    <xf numFmtId="0" fontId="31" fillId="0" borderId="11" xfId="0" applyFont="1" applyBorder="1" applyAlignment="1">
      <alignment horizontal="center" wrapText="1"/>
    </xf>
    <xf numFmtId="3" fontId="43" fillId="0" borderId="13" xfId="0" applyNumberFormat="1" applyFont="1" applyFill="1" applyBorder="1" applyAlignment="1">
      <alignment horizontal="center" vertical="center" wrapText="1"/>
    </xf>
    <xf numFmtId="0" fontId="67" fillId="0" borderId="13" xfId="1" applyNumberFormat="1" applyFont="1" applyFill="1" applyBorder="1" applyAlignment="1">
      <alignment vertical="center"/>
      <protection locked="0"/>
    </xf>
    <xf numFmtId="0" fontId="82" fillId="0" borderId="13" xfId="0" applyFont="1" applyFill="1" applyBorder="1" applyAlignment="1">
      <alignment wrapText="1"/>
    </xf>
    <xf numFmtId="0" fontId="82" fillId="0" borderId="13" xfId="0" applyFont="1" applyFill="1" applyBorder="1" applyAlignment="1">
      <alignment horizontal="left" vertical="center" wrapText="1"/>
    </xf>
    <xf numFmtId="0" fontId="82" fillId="0" borderId="13" xfId="0" applyFont="1" applyFill="1" applyBorder="1" applyAlignment="1">
      <alignment vertical="center" wrapText="1"/>
    </xf>
    <xf numFmtId="14" fontId="82" fillId="0" borderId="13" xfId="0" applyNumberFormat="1" applyFont="1" applyFill="1" applyBorder="1" applyAlignment="1">
      <alignment horizontal="center" vertical="center" wrapText="1"/>
    </xf>
    <xf numFmtId="0" fontId="82" fillId="0" borderId="13" xfId="0" applyFont="1" applyFill="1" applyBorder="1" applyAlignment="1">
      <alignment horizontal="center" wrapText="1"/>
    </xf>
    <xf numFmtId="0" fontId="82" fillId="0" borderId="13" xfId="0" applyFont="1" applyFill="1" applyBorder="1" applyAlignment="1">
      <alignment horizontal="center" vertical="center" wrapText="1"/>
    </xf>
    <xf numFmtId="0" fontId="82" fillId="0" borderId="13" xfId="0" applyFont="1" applyBorder="1" applyAlignment="1">
      <alignment wrapText="1"/>
    </xf>
    <xf numFmtId="0" fontId="82" fillId="0" borderId="13" xfId="0" applyFont="1" applyBorder="1" applyAlignment="1">
      <alignment vertical="center" wrapText="1"/>
    </xf>
    <xf numFmtId="0" fontId="83" fillId="0" borderId="13" xfId="0" applyFont="1" applyFill="1" applyBorder="1" applyAlignment="1">
      <alignment wrapText="1"/>
    </xf>
    <xf numFmtId="0" fontId="84" fillId="0" borderId="13" xfId="0" applyFont="1" applyFill="1" applyBorder="1" applyAlignment="1">
      <alignment horizontal="left" vertical="center" wrapText="1"/>
    </xf>
    <xf numFmtId="169" fontId="82" fillId="0" borderId="13" xfId="0" applyNumberFormat="1" applyFont="1" applyFill="1" applyBorder="1" applyAlignment="1">
      <alignment horizontal="center" vertical="center" wrapText="1"/>
    </xf>
    <xf numFmtId="0" fontId="81" fillId="0" borderId="13" xfId="0" applyFont="1" applyFill="1" applyBorder="1" applyAlignment="1">
      <alignment horizontal="center" vertical="center" wrapText="1"/>
    </xf>
    <xf numFmtId="0" fontId="82" fillId="0" borderId="13" xfId="0" applyFont="1" applyFill="1" applyBorder="1" applyAlignment="1">
      <alignment horizontal="center"/>
    </xf>
    <xf numFmtId="0" fontId="82" fillId="0" borderId="13" xfId="0" applyFont="1" applyBorder="1" applyAlignment="1">
      <alignment horizontal="center" vertical="center"/>
    </xf>
    <xf numFmtId="0" fontId="82" fillId="0" borderId="13" xfId="0" applyFont="1" applyFill="1" applyBorder="1" applyAlignment="1">
      <alignment horizontal="right" vertical="top" wrapText="1"/>
    </xf>
    <xf numFmtId="0" fontId="85" fillId="0" borderId="13" xfId="0" applyFont="1" applyFill="1" applyBorder="1" applyAlignment="1">
      <alignment horizontal="left" vertical="center" wrapText="1"/>
    </xf>
    <xf numFmtId="0" fontId="82" fillId="0" borderId="13" xfId="0" applyFont="1" applyBorder="1">
      <alignment vertical="center"/>
    </xf>
    <xf numFmtId="0" fontId="82" fillId="40" borderId="22" xfId="0" applyFont="1" applyFill="1" applyBorder="1" applyAlignment="1">
      <alignment horizontal="center" vertical="center" wrapText="1"/>
    </xf>
    <xf numFmtId="0" fontId="82" fillId="0" borderId="13" xfId="0" applyFont="1" applyBorder="1" applyAlignment="1">
      <alignment horizontal="right" vertical="top" wrapText="1"/>
    </xf>
    <xf numFmtId="14" fontId="82" fillId="0" borderId="19" xfId="0" applyNumberFormat="1" applyFont="1" applyFill="1" applyBorder="1" applyAlignment="1">
      <alignment horizontal="center" vertical="center" wrapText="1"/>
    </xf>
    <xf numFmtId="0" fontId="82" fillId="0" borderId="22" xfId="0" applyFont="1" applyFill="1" applyBorder="1" applyAlignment="1">
      <alignment horizontal="center" vertical="center" wrapText="1"/>
    </xf>
    <xf numFmtId="0" fontId="82" fillId="0" borderId="13" xfId="0" applyFont="1" applyBorder="1" applyAlignment="1">
      <alignment horizontal="center" vertical="center" wrapText="1"/>
    </xf>
    <xf numFmtId="3" fontId="61" fillId="0" borderId="13" xfId="0" applyNumberFormat="1" applyFont="1" applyFill="1" applyBorder="1" applyAlignment="1">
      <alignment horizontal="center" vertical="center" wrapText="1"/>
    </xf>
    <xf numFmtId="0" fontId="43" fillId="0" borderId="22" xfId="0" applyFont="1" applyFill="1" applyBorder="1" applyAlignment="1">
      <alignment horizontal="center" vertical="center" wrapText="1"/>
    </xf>
    <xf numFmtId="0" fontId="43" fillId="0" borderId="22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>
      <alignment wrapText="1"/>
    </xf>
    <xf numFmtId="0" fontId="37" fillId="0" borderId="22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14" fontId="82" fillId="0" borderId="13" xfId="0" applyNumberFormat="1" applyFont="1" applyBorder="1" applyAlignment="1">
      <alignment vertical="center"/>
    </xf>
    <xf numFmtId="0" fontId="43" fillId="0" borderId="22" xfId="0" applyFont="1" applyFill="1" applyBorder="1" applyAlignment="1">
      <alignment wrapText="1"/>
    </xf>
    <xf numFmtId="0" fontId="43" fillId="0" borderId="22" xfId="0" applyFont="1" applyFill="1" applyBorder="1" applyAlignment="1">
      <alignment horizontal="center" wrapText="1"/>
    </xf>
    <xf numFmtId="0" fontId="43" fillId="0" borderId="22" xfId="0" applyFont="1" applyFill="1" applyBorder="1" applyAlignment="1">
      <alignment horizontal="center" vertical="center" wrapText="1"/>
    </xf>
    <xf numFmtId="14" fontId="43" fillId="0" borderId="22" xfId="0" applyNumberFormat="1" applyFont="1" applyFill="1" applyBorder="1" applyAlignment="1">
      <alignment horizontal="center" vertical="center" wrapText="1"/>
    </xf>
    <xf numFmtId="169" fontId="43" fillId="0" borderId="22" xfId="0" applyNumberFormat="1" applyFont="1" applyFill="1" applyBorder="1" applyAlignment="1">
      <alignment horizontal="center" wrapText="1"/>
    </xf>
    <xf numFmtId="14" fontId="43" fillId="0" borderId="22" xfId="0" applyNumberFormat="1" applyFont="1" applyFill="1" applyBorder="1" applyAlignment="1">
      <alignment horizontal="center" wrapText="1"/>
    </xf>
    <xf numFmtId="0" fontId="61" fillId="0" borderId="13" xfId="0" applyFont="1" applyBorder="1" applyAlignment="1">
      <alignment horizontal="center" vertical="center"/>
    </xf>
    <xf numFmtId="0" fontId="73" fillId="0" borderId="22" xfId="0" applyFont="1" applyFill="1" applyBorder="1" applyAlignment="1">
      <alignment horizontal="left" vertical="center" wrapText="1"/>
    </xf>
    <xf numFmtId="3" fontId="82" fillId="0" borderId="13" xfId="0" applyNumberFormat="1" applyFont="1" applyFill="1" applyBorder="1" applyAlignment="1">
      <alignment vertical="center" wrapText="1"/>
    </xf>
    <xf numFmtId="0" fontId="61" fillId="0" borderId="13" xfId="0" applyFont="1" applyFill="1" applyBorder="1" applyAlignment="1">
      <alignment vertical="center" wrapText="1"/>
    </xf>
    <xf numFmtId="169" fontId="61" fillId="0" borderId="13" xfId="0" applyNumberFormat="1" applyFont="1" applyFill="1" applyBorder="1" applyAlignment="1">
      <alignment horizontal="center" vertical="center" wrapText="1"/>
    </xf>
    <xf numFmtId="0" fontId="61" fillId="0" borderId="13" xfId="0" applyFont="1" applyFill="1" applyBorder="1" applyAlignment="1">
      <alignment horizontal="center" wrapText="1"/>
    </xf>
    <xf numFmtId="3" fontId="61" fillId="0" borderId="13" xfId="0" applyNumberFormat="1" applyFont="1" applyFill="1" applyBorder="1" applyAlignment="1">
      <alignment horizontal="center" wrapText="1"/>
    </xf>
    <xf numFmtId="0" fontId="43" fillId="0" borderId="22" xfId="0" applyFont="1" applyFill="1" applyBorder="1" applyAlignment="1">
      <alignment horizontal="right" vertical="center" wrapText="1"/>
    </xf>
    <xf numFmtId="0" fontId="43" fillId="0" borderId="22" xfId="0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14" fontId="43" fillId="0" borderId="22" xfId="0" applyNumberFormat="1" applyFont="1" applyFill="1" applyBorder="1" applyAlignment="1">
      <alignment horizontal="center" vertical="center" wrapText="1"/>
    </xf>
    <xf numFmtId="14" fontId="43" fillId="0" borderId="20" xfId="0" applyNumberFormat="1" applyFont="1" applyFill="1" applyBorder="1" applyAlignment="1">
      <alignment horizontal="center" wrapText="1"/>
    </xf>
    <xf numFmtId="0" fontId="43" fillId="0" borderId="22" xfId="0" applyFont="1" applyFill="1" applyBorder="1" applyAlignment="1">
      <alignment horizontal="center" vertical="center" wrapText="1"/>
    </xf>
    <xf numFmtId="14" fontId="43" fillId="0" borderId="22" xfId="0" applyNumberFormat="1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wrapText="1"/>
    </xf>
    <xf numFmtId="0" fontId="31" fillId="0" borderId="14" xfId="0" applyFont="1" applyFill="1" applyBorder="1" applyAlignment="1">
      <alignment wrapText="1"/>
    </xf>
    <xf numFmtId="0" fontId="31" fillId="0" borderId="12" xfId="0" applyFont="1" applyFill="1" applyBorder="1" applyAlignment="1">
      <alignment wrapText="1"/>
    </xf>
    <xf numFmtId="0" fontId="43" fillId="0" borderId="14" xfId="0" applyFont="1" applyFill="1" applyBorder="1" applyAlignment="1">
      <alignment horizontal="right" vertical="center" wrapText="1"/>
    </xf>
    <xf numFmtId="0" fontId="43" fillId="0" borderId="14" xfId="0" applyFont="1" applyFill="1" applyBorder="1" applyAlignment="1">
      <alignment wrapText="1"/>
    </xf>
    <xf numFmtId="0" fontId="63" fillId="0" borderId="14" xfId="0" applyFont="1" applyFill="1" applyBorder="1" applyAlignment="1">
      <alignment horizontal="left" vertical="center" wrapText="1"/>
    </xf>
    <xf numFmtId="0" fontId="43" fillId="0" borderId="14" xfId="0" applyFont="1" applyFill="1" applyBorder="1" applyAlignment="1">
      <alignment horizontal="center" wrapText="1"/>
    </xf>
    <xf numFmtId="0" fontId="43" fillId="0" borderId="11" xfId="0" applyFont="1" applyFill="1" applyBorder="1" applyAlignment="1">
      <alignment wrapText="1"/>
    </xf>
    <xf numFmtId="14" fontId="43" fillId="0" borderId="14" xfId="0" applyNumberFormat="1" applyFont="1" applyFill="1" applyBorder="1" applyAlignment="1">
      <alignment horizontal="center" wrapText="1"/>
    </xf>
    <xf numFmtId="0" fontId="61" fillId="0" borderId="13" xfId="0" applyFont="1" applyFill="1" applyBorder="1" applyAlignment="1">
      <alignment wrapText="1"/>
    </xf>
    <xf numFmtId="14" fontId="61" fillId="0" borderId="13" xfId="0" applyNumberFormat="1" applyFont="1" applyFill="1" applyBorder="1" applyAlignment="1">
      <alignment horizontal="center" vertical="center" wrapText="1"/>
    </xf>
    <xf numFmtId="0" fontId="61" fillId="0" borderId="22" xfId="0" applyFont="1" applyBorder="1">
      <alignment vertical="center"/>
    </xf>
    <xf numFmtId="0" fontId="44" fillId="0" borderId="22" xfId="0" applyFont="1" applyFill="1" applyBorder="1" applyAlignment="1">
      <alignment horizontal="center" vertical="center" wrapText="1"/>
    </xf>
    <xf numFmtId="14" fontId="61" fillId="0" borderId="22" xfId="0" applyNumberFormat="1" applyFont="1" applyBorder="1" applyAlignment="1">
      <alignment horizontal="center" vertical="center"/>
    </xf>
    <xf numFmtId="0" fontId="61" fillId="0" borderId="22" xfId="0" applyFont="1" applyFill="1" applyBorder="1" applyAlignment="1">
      <alignment horizontal="center" vertical="center" wrapText="1"/>
    </xf>
    <xf numFmtId="3" fontId="61" fillId="0" borderId="22" xfId="0" applyNumberFormat="1" applyFont="1" applyFill="1" applyBorder="1" applyAlignment="1">
      <alignment horizontal="center" vertical="center" wrapText="1"/>
    </xf>
    <xf numFmtId="0" fontId="74" fillId="6" borderId="14" xfId="0" applyFont="1" applyFill="1" applyBorder="1" applyAlignment="1">
      <alignment wrapText="1"/>
    </xf>
    <xf numFmtId="0" fontId="74" fillId="6" borderId="14" xfId="0" applyFont="1" applyFill="1" applyBorder="1" applyAlignment="1">
      <alignment horizontal="left" vertical="center" wrapText="1"/>
    </xf>
    <xf numFmtId="14" fontId="74" fillId="6" borderId="14" xfId="0" applyNumberFormat="1" applyFont="1" applyFill="1" applyBorder="1" applyAlignment="1">
      <alignment horizontal="center" vertical="center" wrapText="1"/>
    </xf>
    <xf numFmtId="0" fontId="74" fillId="6" borderId="14" xfId="0" applyFont="1" applyFill="1" applyBorder="1" applyAlignment="1">
      <alignment horizontal="center" vertical="center" wrapText="1"/>
    </xf>
    <xf numFmtId="0" fontId="73" fillId="0" borderId="11" xfId="0" applyFont="1" applyBorder="1" applyAlignment="1">
      <alignment horizontal="center" wrapText="1"/>
    </xf>
    <xf numFmtId="0" fontId="51" fillId="0" borderId="22" xfId="0" applyFont="1" applyFill="1" applyBorder="1" applyAlignment="1">
      <alignment vertical="center" wrapText="1"/>
    </xf>
    <xf numFmtId="14" fontId="43" fillId="0" borderId="22" xfId="0" applyNumberFormat="1" applyFont="1" applyFill="1" applyBorder="1" applyAlignment="1">
      <alignment vertical="center" wrapText="1"/>
    </xf>
    <xf numFmtId="0" fontId="43" fillId="0" borderId="22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>
      <alignment horizontal="left" wrapText="1"/>
    </xf>
    <xf numFmtId="0" fontId="43" fillId="40" borderId="22" xfId="0" applyFont="1" applyFill="1" applyBorder="1" applyAlignment="1">
      <alignment wrapText="1"/>
    </xf>
    <xf numFmtId="0" fontId="44" fillId="40" borderId="22" xfId="0" applyFont="1" applyFill="1" applyBorder="1" applyAlignment="1">
      <alignment horizontal="center" vertical="center" wrapText="1"/>
    </xf>
    <xf numFmtId="0" fontId="43" fillId="40" borderId="22" xfId="0" applyFont="1" applyFill="1" applyBorder="1" applyAlignment="1">
      <alignment horizontal="center" vertical="center" wrapText="1"/>
    </xf>
    <xf numFmtId="0" fontId="43" fillId="0" borderId="22" xfId="0" applyFont="1" applyBorder="1" applyAlignment="1">
      <alignment horizontal="center" wrapText="1"/>
    </xf>
    <xf numFmtId="14" fontId="43" fillId="0" borderId="20" xfId="0" applyNumberFormat="1" applyFont="1" applyBorder="1" applyAlignment="1">
      <alignment horizontal="center" wrapText="1"/>
    </xf>
    <xf numFmtId="0" fontId="73" fillId="0" borderId="22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43" fillId="0" borderId="22" xfId="0" applyFont="1" applyFill="1" applyBorder="1" applyAlignment="1">
      <alignment horizontal="center" vertical="center" wrapText="1"/>
    </xf>
    <xf numFmtId="14" fontId="43" fillId="0" borderId="22" xfId="0" applyNumberFormat="1" applyFont="1" applyFill="1" applyBorder="1" applyAlignment="1">
      <alignment horizontal="center" vertical="center" wrapText="1"/>
    </xf>
    <xf numFmtId="0" fontId="75" fillId="6" borderId="14" xfId="0" applyFont="1" applyFill="1" applyBorder="1" applyAlignment="1">
      <alignment horizontal="center" wrapText="1"/>
    </xf>
    <xf numFmtId="0" fontId="43" fillId="0" borderId="22" xfId="0" applyFont="1" applyFill="1" applyBorder="1" applyAlignment="1">
      <alignment horizontal="center" vertical="center" wrapText="1"/>
    </xf>
    <xf numFmtId="14" fontId="43" fillId="0" borderId="22" xfId="0" applyNumberFormat="1" applyFont="1" applyFill="1" applyBorder="1" applyAlignment="1">
      <alignment horizontal="center" vertical="center" wrapText="1"/>
    </xf>
    <xf numFmtId="14" fontId="82" fillId="0" borderId="13" xfId="0" applyNumberFormat="1" applyFont="1" applyFill="1" applyBorder="1" applyAlignment="1">
      <alignment vertical="center" wrapText="1"/>
    </xf>
    <xf numFmtId="15" fontId="43" fillId="0" borderId="13" xfId="0" applyNumberFormat="1" applyFont="1" applyFill="1" applyBorder="1" applyAlignment="1">
      <alignment vertical="center" wrapText="1"/>
    </xf>
    <xf numFmtId="0" fontId="61" fillId="0" borderId="0" xfId="0" applyFont="1" applyBorder="1">
      <alignment vertical="center"/>
    </xf>
    <xf numFmtId="14" fontId="61" fillId="0" borderId="13" xfId="0" applyNumberFormat="1" applyFont="1" applyFill="1" applyBorder="1" applyAlignment="1">
      <alignment vertical="center" wrapText="1"/>
    </xf>
    <xf numFmtId="0" fontId="61" fillId="0" borderId="13" xfId="0" applyFont="1" applyBorder="1" applyAlignment="1">
      <alignment wrapText="1"/>
    </xf>
    <xf numFmtId="0" fontId="61" fillId="0" borderId="13" xfId="1" applyNumberFormat="1" applyFont="1" applyFill="1" applyBorder="1" applyAlignment="1">
      <alignment vertical="center"/>
      <protection locked="0"/>
    </xf>
    <xf numFmtId="0" fontId="70" fillId="0" borderId="13" xfId="0" applyFont="1" applyBorder="1" applyAlignment="1">
      <alignment vertical="center"/>
    </xf>
    <xf numFmtId="0" fontId="61" fillId="0" borderId="13" xfId="0" applyFont="1" applyBorder="1" applyAlignment="1">
      <alignment horizontal="center" vertical="center" wrapText="1"/>
    </xf>
    <xf numFmtId="0" fontId="67" fillId="0" borderId="13" xfId="1" applyNumberFormat="1" applyFont="1" applyFill="1" applyBorder="1" applyAlignment="1">
      <alignment vertical="top"/>
      <protection locked="0"/>
    </xf>
    <xf numFmtId="0" fontId="62" fillId="0" borderId="13" xfId="0" applyFont="1" applyFill="1" applyBorder="1" applyAlignment="1">
      <alignment wrapText="1"/>
    </xf>
    <xf numFmtId="0" fontId="61" fillId="0" borderId="13" xfId="0" applyFont="1" applyFill="1" applyBorder="1" applyAlignment="1">
      <alignment horizontal="right" vertical="center" wrapText="1"/>
    </xf>
    <xf numFmtId="14" fontId="61" fillId="0" borderId="13" xfId="0" applyNumberFormat="1" applyFont="1" applyBorder="1" applyAlignment="1">
      <alignment horizontal="center" vertical="center" wrapText="1"/>
    </xf>
    <xf numFmtId="0" fontId="61" fillId="0" borderId="13" xfId="0" applyFont="1" applyBorder="1" applyAlignment="1">
      <alignment vertical="center" wrapText="1"/>
    </xf>
    <xf numFmtId="14" fontId="59" fillId="0" borderId="13" xfId="0" applyNumberFormat="1" applyFont="1" applyFill="1" applyBorder="1" applyAlignment="1">
      <alignment horizontal="center" vertical="center" wrapText="1"/>
    </xf>
    <xf numFmtId="0" fontId="61" fillId="0" borderId="13" xfId="1" applyNumberFormat="1" applyFont="1" applyFill="1" applyBorder="1" applyAlignment="1">
      <alignment horizontal="center" vertical="center"/>
      <protection locked="0"/>
    </xf>
    <xf numFmtId="16" fontId="61" fillId="0" borderId="13" xfId="1" applyNumberFormat="1" applyFont="1" applyFill="1" applyBorder="1" applyAlignment="1">
      <alignment vertical="center"/>
      <protection locked="0"/>
    </xf>
    <xf numFmtId="14" fontId="61" fillId="0" borderId="13" xfId="1" applyNumberFormat="1" applyFont="1" applyFill="1" applyBorder="1" applyAlignment="1">
      <alignment horizontal="center" vertical="center"/>
      <protection locked="0"/>
    </xf>
    <xf numFmtId="14" fontId="61" fillId="0" borderId="13" xfId="0" applyNumberFormat="1" applyFont="1" applyFill="1" applyBorder="1" applyAlignment="1">
      <alignment horizontal="center" wrapText="1"/>
    </xf>
    <xf numFmtId="164" fontId="9" fillId="0" borderId="0" xfId="3" applyNumberFormat="1" applyFont="1" applyFill="1" applyBorder="1" applyAlignment="1" applyProtection="1">
      <alignment horizontal="center" vertical="top" wrapText="1"/>
    </xf>
    <xf numFmtId="164" fontId="9" fillId="8" borderId="7" xfId="3" applyNumberFormat="1" applyFont="1" applyFill="1" applyBorder="1" applyAlignment="1" applyProtection="1">
      <alignment horizontal="center" vertical="center" wrapText="1"/>
    </xf>
    <xf numFmtId="164" fontId="9" fillId="8" borderId="8" xfId="3" applyNumberFormat="1" applyFont="1" applyFill="1" applyBorder="1" applyAlignment="1" applyProtection="1">
      <alignment horizontal="center" vertical="center" wrapText="1"/>
    </xf>
    <xf numFmtId="164" fontId="9" fillId="8" borderId="11" xfId="3" applyNumberFormat="1" applyFont="1" applyFill="1" applyBorder="1" applyAlignment="1" applyProtection="1">
      <alignment horizontal="center" vertical="center" wrapText="1"/>
    </xf>
    <xf numFmtId="164" fontId="9" fillId="8" borderId="2" xfId="3" applyNumberFormat="1" applyFont="1" applyFill="1" applyBorder="1" applyAlignment="1" applyProtection="1">
      <alignment horizontal="center" vertical="center" wrapText="1"/>
    </xf>
    <xf numFmtId="164" fontId="9" fillId="9" borderId="13" xfId="2" applyNumberFormat="1" applyFont="1" applyFill="1" applyBorder="1" applyAlignment="1" applyProtection="1">
      <alignment horizontal="center" vertical="center" wrapText="1"/>
    </xf>
    <xf numFmtId="164" fontId="9" fillId="9" borderId="6" xfId="2" applyNumberFormat="1" applyFont="1" applyFill="1" applyBorder="1" applyAlignment="1" applyProtection="1">
      <alignment horizontal="center" vertical="center" wrapText="1"/>
    </xf>
    <xf numFmtId="164" fontId="9" fillId="9" borderId="3" xfId="3" applyNumberFormat="1" applyFont="1" applyFill="1" applyBorder="1" applyAlignment="1" applyProtection="1">
      <alignment horizontal="center" vertical="center" wrapText="1"/>
    </xf>
    <xf numFmtId="164" fontId="9" fillId="9" borderId="4" xfId="3" applyNumberFormat="1" applyFont="1" applyFill="1" applyBorder="1" applyAlignment="1" applyProtection="1">
      <alignment horizontal="center" vertical="center" wrapText="1"/>
    </xf>
    <xf numFmtId="164" fontId="9" fillId="9" borderId="5" xfId="3" applyNumberFormat="1" applyFont="1" applyFill="1" applyBorder="1" applyAlignment="1" applyProtection="1">
      <alignment horizontal="center" vertical="center" wrapText="1"/>
    </xf>
    <xf numFmtId="164" fontId="9" fillId="9" borderId="13" xfId="3" applyNumberFormat="1" applyFont="1" applyFill="1" applyBorder="1" applyAlignment="1" applyProtection="1">
      <alignment horizontal="center" vertical="center" wrapText="1"/>
    </xf>
    <xf numFmtId="164" fontId="9" fillId="6" borderId="13" xfId="2" applyNumberFormat="1" applyFont="1" applyFill="1" applyBorder="1" applyAlignment="1" applyProtection="1">
      <alignment horizontal="center" vertical="center" wrapText="1"/>
    </xf>
    <xf numFmtId="164" fontId="9" fillId="6" borderId="6" xfId="2" applyNumberFormat="1" applyFont="1" applyFill="1" applyBorder="1" applyAlignment="1" applyProtection="1">
      <alignment horizontal="center" vertical="center" wrapText="1"/>
    </xf>
    <xf numFmtId="164" fontId="9" fillId="9" borderId="3" xfId="2" applyNumberFormat="1" applyFont="1" applyFill="1" applyBorder="1" applyAlignment="1" applyProtection="1">
      <alignment horizontal="center" vertical="center" wrapText="1"/>
    </xf>
    <xf numFmtId="164" fontId="9" fillId="9" borderId="4" xfId="2" applyNumberFormat="1" applyFont="1" applyFill="1" applyBorder="1" applyAlignment="1" applyProtection="1">
      <alignment horizontal="center" vertical="center" wrapText="1"/>
    </xf>
    <xf numFmtId="164" fontId="9" fillId="9" borderId="5" xfId="2" applyNumberFormat="1" applyFont="1" applyFill="1" applyBorder="1" applyAlignment="1" applyProtection="1">
      <alignment horizontal="center" vertical="center" wrapText="1"/>
    </xf>
    <xf numFmtId="164" fontId="9" fillId="6" borderId="13" xfId="3" applyNumberFormat="1" applyFont="1" applyFill="1" applyBorder="1" applyAlignment="1" applyProtection="1">
      <alignment horizontal="center" vertical="center" wrapText="1"/>
    </xf>
    <xf numFmtId="164" fontId="10" fillId="0" borderId="0" xfId="3" applyNumberFormat="1" applyFont="1" applyFill="1" applyBorder="1" applyAlignment="1" applyProtection="1">
      <alignment horizontal="right" vertical="top" wrapText="1"/>
    </xf>
    <xf numFmtId="164" fontId="9" fillId="9" borderId="14" xfId="2" applyNumberFormat="1" applyFont="1" applyFill="1" applyBorder="1" applyAlignment="1" applyProtection="1">
      <alignment horizontal="center" vertical="center" wrapText="1"/>
    </xf>
    <xf numFmtId="164" fontId="9" fillId="7" borderId="13" xfId="2" applyNumberFormat="1" applyFont="1" applyFill="1" applyBorder="1" applyAlignment="1" applyProtection="1">
      <alignment horizontal="center" vertical="center" wrapText="1"/>
    </xf>
    <xf numFmtId="164" fontId="9" fillId="7" borderId="6" xfId="2" applyNumberFormat="1" applyFont="1" applyFill="1" applyBorder="1" applyAlignment="1" applyProtection="1">
      <alignment horizontal="center" vertical="center" wrapText="1"/>
    </xf>
    <xf numFmtId="164" fontId="9" fillId="7" borderId="13" xfId="3" applyNumberFormat="1" applyFont="1" applyFill="1" applyBorder="1" applyAlignment="1" applyProtection="1">
      <alignment horizontal="center" vertical="center" wrapText="1"/>
    </xf>
    <xf numFmtId="164" fontId="10" fillId="0" borderId="0" xfId="3" applyNumberFormat="1" applyFont="1" applyFill="1" applyBorder="1" applyAlignment="1" applyProtection="1">
      <alignment horizontal="center" vertical="top" wrapText="1"/>
    </xf>
    <xf numFmtId="164" fontId="9" fillId="8" borderId="9" xfId="3" applyNumberFormat="1" applyFont="1" applyFill="1" applyBorder="1" applyAlignment="1" applyProtection="1">
      <alignment horizontal="center" vertical="center" wrapText="1"/>
    </xf>
    <xf numFmtId="164" fontId="9" fillId="8" borderId="12" xfId="3" applyNumberFormat="1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164" fontId="9" fillId="6" borderId="7" xfId="3" applyNumberFormat="1" applyFont="1" applyFill="1" applyBorder="1" applyAlignment="1" applyProtection="1">
      <alignment horizontal="center" vertical="center" wrapText="1"/>
    </xf>
    <xf numFmtId="164" fontId="9" fillId="6" borderId="8" xfId="3" applyNumberFormat="1" applyFont="1" applyFill="1" applyBorder="1" applyAlignment="1" applyProtection="1">
      <alignment horizontal="center" vertical="center" wrapText="1"/>
    </xf>
    <xf numFmtId="164" fontId="9" fillId="6" borderId="11" xfId="3" applyNumberFormat="1" applyFont="1" applyFill="1" applyBorder="1" applyAlignment="1" applyProtection="1">
      <alignment horizontal="center" vertical="center" wrapText="1"/>
    </xf>
    <xf numFmtId="164" fontId="9" fillId="6" borderId="2" xfId="3" applyNumberFormat="1" applyFont="1" applyFill="1" applyBorder="1" applyAlignment="1" applyProtection="1">
      <alignment horizontal="center" vertical="center" wrapText="1"/>
    </xf>
    <xf numFmtId="164" fontId="9" fillId="7" borderId="3" xfId="2" applyNumberFormat="1" applyFont="1" applyFill="1" applyBorder="1" applyAlignment="1" applyProtection="1">
      <alignment horizontal="center" vertical="center" wrapText="1"/>
    </xf>
    <xf numFmtId="164" fontId="9" fillId="7" borderId="4" xfId="2" applyNumberFormat="1" applyFont="1" applyFill="1" applyBorder="1" applyAlignment="1" applyProtection="1">
      <alignment horizontal="center" vertical="center" wrapText="1"/>
    </xf>
    <xf numFmtId="164" fontId="9" fillId="6" borderId="4" xfId="2" applyNumberFormat="1" applyFont="1" applyFill="1" applyBorder="1" applyAlignment="1" applyProtection="1">
      <alignment horizontal="center" vertical="center" wrapText="1"/>
    </xf>
    <xf numFmtId="164" fontId="9" fillId="7" borderId="5" xfId="2" applyNumberFormat="1" applyFont="1" applyFill="1" applyBorder="1" applyAlignment="1" applyProtection="1">
      <alignment horizontal="center" vertical="center" wrapText="1"/>
    </xf>
    <xf numFmtId="164" fontId="7" fillId="0" borderId="0" xfId="3" applyNumberFormat="1" applyFont="1" applyFill="1" applyBorder="1" applyAlignment="1" applyProtection="1">
      <alignment horizontal="right" vertical="top" wrapText="1"/>
    </xf>
    <xf numFmtId="164" fontId="9" fillId="8" borderId="4" xfId="3" applyNumberFormat="1" applyFont="1" applyFill="1" applyBorder="1" applyAlignment="1" applyProtection="1">
      <alignment horizontal="center" vertical="center" wrapText="1"/>
    </xf>
    <xf numFmtId="0" fontId="30" fillId="36" borderId="3" xfId="0" applyFont="1" applyFill="1" applyBorder="1" applyAlignment="1">
      <alignment horizontal="center" vertical="center" wrapText="1"/>
    </xf>
    <xf numFmtId="0" fontId="36" fillId="29" borderId="13" xfId="0" applyFont="1" applyFill="1" applyBorder="1" applyAlignment="1">
      <alignment horizontal="center" vertical="center" wrapText="1"/>
    </xf>
    <xf numFmtId="0" fontId="30" fillId="36" borderId="13" xfId="0" applyFont="1" applyFill="1" applyBorder="1" applyAlignment="1">
      <alignment horizontal="center" vertical="center" wrapText="1"/>
    </xf>
    <xf numFmtId="0" fontId="36" fillId="37" borderId="13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left" vertical="center"/>
    </xf>
    <xf numFmtId="0" fontId="34" fillId="34" borderId="13" xfId="0" applyFont="1" applyFill="1" applyBorder="1" applyAlignment="1">
      <alignment horizontal="center" vertical="center" wrapText="1"/>
    </xf>
    <xf numFmtId="0" fontId="35" fillId="35" borderId="13" xfId="0" applyFont="1" applyFill="1" applyBorder="1" applyAlignment="1">
      <alignment horizontal="center" vertical="center" wrapText="1"/>
    </xf>
    <xf numFmtId="0" fontId="31" fillId="36" borderId="13" xfId="0" applyFont="1" applyFill="1" applyBorder="1" applyAlignment="1">
      <alignment wrapText="1"/>
    </xf>
    <xf numFmtId="0" fontId="30" fillId="24" borderId="13" xfId="0" applyFont="1" applyFill="1" applyBorder="1" applyAlignment="1">
      <alignment horizontal="center" vertical="center" wrapText="1"/>
    </xf>
    <xf numFmtId="0" fontId="74" fillId="36" borderId="3" xfId="0" applyFont="1" applyFill="1" applyBorder="1" applyAlignment="1">
      <alignment horizontal="center" vertical="center" wrapText="1"/>
    </xf>
    <xf numFmtId="0" fontId="74" fillId="29" borderId="13" xfId="0" applyFont="1" applyFill="1" applyBorder="1" applyAlignment="1">
      <alignment horizontal="center" vertical="center" wrapText="1"/>
    </xf>
    <xf numFmtId="0" fontId="74" fillId="36" borderId="13" xfId="0" applyFont="1" applyFill="1" applyBorder="1" applyAlignment="1">
      <alignment horizontal="center" vertical="center" wrapText="1"/>
    </xf>
    <xf numFmtId="0" fontId="74" fillId="37" borderId="13" xfId="0" applyFont="1" applyFill="1" applyBorder="1" applyAlignment="1">
      <alignment horizontal="center" vertical="center" wrapText="1"/>
    </xf>
    <xf numFmtId="0" fontId="74" fillId="0" borderId="13" xfId="0" applyFont="1" applyBorder="1" applyAlignment="1">
      <alignment horizontal="left" vertical="center"/>
    </xf>
    <xf numFmtId="0" fontId="75" fillId="34" borderId="13" xfId="0" applyFont="1" applyFill="1" applyBorder="1" applyAlignment="1">
      <alignment horizontal="center" vertical="center" wrapText="1"/>
    </xf>
    <xf numFmtId="0" fontId="74" fillId="35" borderId="13" xfId="0" applyFont="1" applyFill="1" applyBorder="1" applyAlignment="1">
      <alignment horizontal="center" vertical="center" wrapText="1"/>
    </xf>
    <xf numFmtId="0" fontId="73" fillId="36" borderId="13" xfId="0" applyFont="1" applyFill="1" applyBorder="1" applyAlignment="1">
      <alignment wrapText="1"/>
    </xf>
    <xf numFmtId="0" fontId="74" fillId="24" borderId="13" xfId="0" applyFont="1" applyFill="1" applyBorder="1" applyAlignment="1">
      <alignment horizontal="center" vertical="center" wrapText="1"/>
    </xf>
    <xf numFmtId="0" fontId="64" fillId="29" borderId="13" xfId="0" applyFont="1" applyFill="1" applyBorder="1" applyAlignment="1">
      <alignment horizontal="center" vertical="center" wrapText="1"/>
    </xf>
    <xf numFmtId="0" fontId="65" fillId="34" borderId="13" xfId="0" applyFont="1" applyFill="1" applyBorder="1" applyAlignment="1">
      <alignment horizontal="center" vertical="center" wrapText="1"/>
    </xf>
    <xf numFmtId="0" fontId="64" fillId="36" borderId="13" xfId="0" applyFont="1" applyFill="1" applyBorder="1" applyAlignment="1">
      <alignment horizontal="center" vertical="center" wrapText="1"/>
    </xf>
    <xf numFmtId="0" fontId="64" fillId="35" borderId="13" xfId="0" applyFont="1" applyFill="1" applyBorder="1" applyAlignment="1">
      <alignment horizontal="center" vertical="center" wrapText="1"/>
    </xf>
    <xf numFmtId="0" fontId="59" fillId="36" borderId="13" xfId="0" applyFont="1" applyFill="1" applyBorder="1" applyAlignment="1">
      <alignment wrapText="1"/>
    </xf>
    <xf numFmtId="0" fontId="64" fillId="24" borderId="13" xfId="0" applyFont="1" applyFill="1" applyBorder="1" applyAlignment="1">
      <alignment horizontal="center" vertical="center" wrapText="1"/>
    </xf>
    <xf numFmtId="0" fontId="64" fillId="36" borderId="3" xfId="0" applyFont="1" applyFill="1" applyBorder="1" applyAlignment="1">
      <alignment horizontal="center" vertical="center" wrapText="1"/>
    </xf>
    <xf numFmtId="0" fontId="64" fillId="37" borderId="13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left" vertical="center"/>
    </xf>
    <xf numFmtId="0" fontId="43" fillId="0" borderId="22" xfId="0" applyFont="1" applyFill="1" applyBorder="1" applyAlignment="1">
      <alignment horizontal="center" vertical="center" wrapText="1"/>
    </xf>
    <xf numFmtId="0" fontId="43" fillId="0" borderId="10" xfId="0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14" fontId="43" fillId="0" borderId="22" xfId="0" applyNumberFormat="1" applyFont="1" applyFill="1" applyBorder="1" applyAlignment="1">
      <alignment horizontal="center" vertical="center" wrapText="1"/>
    </xf>
    <xf numFmtId="14" fontId="43" fillId="0" borderId="10" xfId="0" applyNumberFormat="1" applyFont="1" applyFill="1" applyBorder="1" applyAlignment="1">
      <alignment horizontal="center" vertical="center" wrapText="1"/>
    </xf>
    <xf numFmtId="14" fontId="43" fillId="0" borderId="14" xfId="0" applyNumberFormat="1" applyFont="1" applyFill="1" applyBorder="1" applyAlignment="1">
      <alignment horizontal="center" vertical="center" wrapText="1"/>
    </xf>
    <xf numFmtId="0" fontId="45" fillId="24" borderId="13" xfId="0" applyFont="1" applyFill="1" applyBorder="1" applyAlignment="1">
      <alignment horizontal="center" vertical="center" wrapText="1"/>
    </xf>
    <xf numFmtId="0" fontId="45" fillId="36" borderId="13" xfId="0" applyFont="1" applyFill="1" applyBorder="1" applyAlignment="1">
      <alignment horizontal="center" vertical="center" wrapText="1"/>
    </xf>
    <xf numFmtId="0" fontId="43" fillId="36" borderId="13" xfId="0" applyFont="1" applyFill="1" applyBorder="1" applyAlignment="1">
      <alignment wrapText="1"/>
    </xf>
    <xf numFmtId="0" fontId="45" fillId="29" borderId="13" xfId="0" applyFont="1" applyFill="1" applyBorder="1" applyAlignment="1">
      <alignment horizontal="center" vertical="center" wrapText="1"/>
    </xf>
    <xf numFmtId="0" fontId="45" fillId="35" borderId="13" xfId="0" applyFont="1" applyFill="1" applyBorder="1" applyAlignment="1">
      <alignment horizontal="center" vertical="center" wrapText="1"/>
    </xf>
    <xf numFmtId="0" fontId="45" fillId="35" borderId="18" xfId="0" applyFont="1" applyFill="1" applyBorder="1" applyAlignment="1">
      <alignment horizontal="center" vertical="center" wrapText="1"/>
    </xf>
    <xf numFmtId="0" fontId="45" fillId="36" borderId="19" xfId="0" applyFont="1" applyFill="1" applyBorder="1" applyAlignment="1">
      <alignment horizontal="center" vertical="center" wrapText="1"/>
    </xf>
    <xf numFmtId="0" fontId="45" fillId="36" borderId="24" xfId="0" applyFont="1" applyFill="1" applyBorder="1" applyAlignment="1">
      <alignment horizontal="center" vertical="center" wrapText="1"/>
    </xf>
    <xf numFmtId="0" fontId="45" fillId="36" borderId="25" xfId="0" applyFont="1" applyFill="1" applyBorder="1" applyAlignment="1">
      <alignment horizontal="center" vertical="center" wrapText="1"/>
    </xf>
    <xf numFmtId="0" fontId="45" fillId="36" borderId="3" xfId="0" applyFont="1" applyFill="1" applyBorder="1" applyAlignment="1">
      <alignment horizontal="center" vertical="center" wrapText="1"/>
    </xf>
    <xf numFmtId="0" fontId="45" fillId="37" borderId="13" xfId="0" applyFont="1" applyFill="1" applyBorder="1" applyAlignment="1">
      <alignment horizontal="center" vertical="center" wrapText="1"/>
    </xf>
    <xf numFmtId="0" fontId="44" fillId="37" borderId="23" xfId="0" applyFont="1" applyFill="1" applyBorder="1" applyAlignment="1">
      <alignment horizontal="center" vertical="center" wrapText="1"/>
    </xf>
    <xf numFmtId="0" fontId="45" fillId="37" borderId="2" xfId="0" applyFont="1" applyFill="1" applyBorder="1" applyAlignment="1">
      <alignment horizontal="center" vertical="center" wrapText="1"/>
    </xf>
    <xf numFmtId="0" fontId="45" fillId="0" borderId="13" xfId="0" applyFont="1" applyBorder="1" applyAlignment="1">
      <alignment horizontal="left" vertical="center"/>
    </xf>
    <xf numFmtId="0" fontId="47" fillId="34" borderId="13" xfId="0" applyFont="1" applyFill="1" applyBorder="1" applyAlignment="1">
      <alignment horizontal="center" vertical="center" wrapText="1"/>
    </xf>
    <xf numFmtId="0" fontId="53" fillId="36" borderId="3" xfId="0" applyFont="1" applyFill="1" applyBorder="1" applyAlignment="1">
      <alignment horizontal="center" vertical="center" wrapText="1"/>
    </xf>
    <xf numFmtId="0" fontId="53" fillId="29" borderId="13" xfId="0" applyFont="1" applyFill="1" applyBorder="1" applyAlignment="1">
      <alignment horizontal="center" vertical="center" wrapText="1"/>
    </xf>
    <xf numFmtId="0" fontId="53" fillId="36" borderId="13" xfId="0" applyFont="1" applyFill="1" applyBorder="1" applyAlignment="1">
      <alignment horizontal="center" vertical="center" wrapText="1"/>
    </xf>
    <xf numFmtId="0" fontId="53" fillId="37" borderId="13" xfId="0" applyFont="1" applyFill="1" applyBorder="1" applyAlignment="1">
      <alignment horizontal="center" vertical="center" wrapText="1"/>
    </xf>
    <xf numFmtId="0" fontId="53" fillId="0" borderId="13" xfId="0" applyFont="1" applyBorder="1" applyAlignment="1">
      <alignment horizontal="left" vertical="center"/>
    </xf>
    <xf numFmtId="0" fontId="55" fillId="34" borderId="13" xfId="0" applyFont="1" applyFill="1" applyBorder="1" applyAlignment="1">
      <alignment horizontal="center" vertical="center" wrapText="1"/>
    </xf>
    <xf numFmtId="0" fontId="53" fillId="35" borderId="13" xfId="0" applyFont="1" applyFill="1" applyBorder="1" applyAlignment="1">
      <alignment horizontal="center" vertical="center" wrapText="1"/>
    </xf>
    <xf numFmtId="0" fontId="51" fillId="36" borderId="13" xfId="0" applyFont="1" applyFill="1" applyBorder="1" applyAlignment="1">
      <alignment wrapText="1"/>
    </xf>
    <xf numFmtId="0" fontId="53" fillId="24" borderId="13" xfId="0" applyFont="1" applyFill="1" applyBorder="1" applyAlignment="1">
      <alignment horizontal="center" vertical="center" wrapText="1"/>
    </xf>
  </cellXfs>
  <cellStyles count="6">
    <cellStyle name="20% - Accent3 7 5 2 11" xfId="1"/>
    <cellStyle name="20% - Accent3 8 2 2 11" xfId="2"/>
    <cellStyle name="20% - Accent3 8 2 2 12" xfId="4"/>
    <cellStyle name="Comma" xfId="3" builtinId="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V600"/>
  <sheetViews>
    <sheetView zoomScale="80" workbookViewId="0">
      <pane xSplit="1" ySplit="8" topLeftCell="GA9" activePane="bottomRight" state="frozen"/>
      <selection pane="topRight"/>
      <selection pane="bottomLeft"/>
      <selection pane="bottomRight" activeCell="M16" sqref="M16:V334"/>
    </sheetView>
  </sheetViews>
  <sheetFormatPr defaultColWidth="9" defaultRowHeight="15" x14ac:dyDescent="0.25"/>
  <cols>
    <col min="1" max="1" width="74.85546875" customWidth="1"/>
    <col min="2" max="2" width="9.140625" customWidth="1"/>
    <col min="3" max="3" width="7.42578125" customWidth="1"/>
    <col min="4" max="4" width="7.5703125" customWidth="1"/>
    <col min="5" max="5" width="7.42578125" customWidth="1"/>
    <col min="6" max="6" width="8.140625" customWidth="1"/>
    <col min="7" max="11" width="7.42578125" customWidth="1"/>
    <col min="12" max="12" width="8.140625" customWidth="1"/>
    <col min="13" max="14" width="7.42578125" customWidth="1"/>
    <col min="15" max="15" width="7.5703125" customWidth="1"/>
    <col min="16" max="16" width="7.42578125" customWidth="1"/>
    <col min="17" max="17" width="8.140625" customWidth="1"/>
    <col min="18" max="25" width="7.42578125" customWidth="1"/>
    <col min="26" max="26" width="8.42578125" customWidth="1"/>
    <col min="27" max="27" width="7.42578125" customWidth="1"/>
    <col min="28" max="28" width="8.140625" customWidth="1"/>
    <col min="29" max="36" width="7.42578125" customWidth="1"/>
    <col min="37" max="37" width="7.5703125" customWidth="1"/>
    <col min="38" max="38" width="7.42578125" customWidth="1"/>
    <col min="39" max="39" width="8.140625" customWidth="1"/>
    <col min="40" max="43" width="7.42578125" customWidth="1"/>
    <col min="44" max="44" width="8.42578125" customWidth="1"/>
    <col min="45" max="47" width="7.42578125" customWidth="1"/>
    <col min="48" max="48" width="8.85546875" customWidth="1"/>
    <col min="49" max="49" width="7.42578125" customWidth="1"/>
    <col min="50" max="50" width="8" customWidth="1"/>
    <col min="51" max="54" width="7.42578125" customWidth="1"/>
    <col min="55" max="55" width="8.42578125" customWidth="1"/>
    <col min="56" max="58" width="7.42578125" customWidth="1"/>
    <col min="59" max="59" width="7.85546875" customWidth="1"/>
    <col min="60" max="60" width="7.42578125" customWidth="1"/>
    <col min="61" max="61" width="8.5703125" customWidth="1"/>
    <col min="62" max="65" width="7.42578125" customWidth="1"/>
    <col min="66" max="66" width="8.42578125" customWidth="1"/>
    <col min="67" max="71" width="7.42578125" customWidth="1"/>
    <col min="72" max="72" width="8" customWidth="1"/>
    <col min="73" max="76" width="7.42578125" customWidth="1"/>
    <col min="77" max="77" width="7.85546875" customWidth="1"/>
    <col min="78" max="80" width="7.42578125" customWidth="1"/>
    <col min="81" max="81" width="8.42578125" customWidth="1"/>
    <col min="82" max="82" width="7.42578125" customWidth="1"/>
    <col min="83" max="83" width="7.85546875" customWidth="1"/>
    <col min="84" max="91" width="7.42578125" customWidth="1"/>
    <col min="92" max="92" width="8.42578125" customWidth="1"/>
    <col min="93" max="93" width="7.42578125" customWidth="1"/>
    <col min="94" max="94" width="8.140625" customWidth="1"/>
    <col min="95" max="98" width="7.42578125" customWidth="1"/>
    <col min="99" max="99" width="7.5703125" customWidth="1"/>
    <col min="100" max="102" width="7.42578125" customWidth="1"/>
    <col min="103" max="103" width="7.85546875" customWidth="1"/>
    <col min="104" max="104" width="7.42578125" customWidth="1"/>
    <col min="105" max="105" width="8" customWidth="1"/>
    <col min="106" max="109" width="7.42578125" customWidth="1"/>
    <col min="110" max="110" width="7.5703125" customWidth="1"/>
    <col min="111" max="113" width="7.42578125" customWidth="1"/>
    <col min="114" max="114" width="7.5703125" customWidth="1"/>
    <col min="115" max="115" width="7.42578125" customWidth="1"/>
    <col min="116" max="116" width="8.42578125" customWidth="1"/>
    <col min="117" max="120" width="7.42578125" customWidth="1"/>
    <col min="121" max="121" width="8.42578125" customWidth="1"/>
    <col min="122" max="124" width="7.42578125" customWidth="1"/>
    <col min="125" max="125" width="7.85546875" customWidth="1"/>
    <col min="126" max="126" width="7.42578125" customWidth="1"/>
    <col min="127" max="127" width="7.5703125" customWidth="1"/>
    <col min="128" max="131" width="7.42578125" customWidth="1"/>
    <col min="132" max="132" width="8.140625" customWidth="1"/>
    <col min="133" max="135" width="7.42578125" customWidth="1"/>
    <col min="136" max="136" width="8.42578125" customWidth="1"/>
    <col min="137" max="137" width="7.42578125" customWidth="1"/>
    <col min="138" max="138" width="8.85546875" customWidth="1"/>
    <col min="139" max="144" width="7.42578125" customWidth="1"/>
    <col min="145" max="145" width="9.42578125" customWidth="1"/>
    <col min="146" max="146" width="7.42578125" customWidth="1"/>
    <col min="147" max="147" width="9.140625" customWidth="1"/>
    <col min="148" max="148" width="7.42578125" customWidth="1"/>
    <col min="149" max="149" width="7.85546875" customWidth="1"/>
    <col min="150" max="153" width="7.42578125" customWidth="1"/>
    <col min="154" max="154" width="8.42578125" customWidth="1"/>
    <col min="155" max="157" width="7.42578125" customWidth="1"/>
    <col min="158" max="158" width="8.140625" customWidth="1"/>
    <col min="159" max="159" width="7.42578125" customWidth="1"/>
    <col min="160" max="160" width="8.140625" customWidth="1"/>
    <col min="161" max="164" width="7.42578125" customWidth="1"/>
    <col min="165" max="165" width="8.140625" customWidth="1"/>
    <col min="166" max="168" width="7.42578125" customWidth="1"/>
    <col min="169" max="169" width="8" customWidth="1"/>
    <col min="170" max="170" width="7.42578125" customWidth="1"/>
    <col min="171" max="171" width="8.42578125" customWidth="1"/>
    <col min="172" max="175" width="7.42578125" customWidth="1"/>
    <col min="176" max="176" width="7.5703125" customWidth="1"/>
    <col min="177" max="177" width="7.42578125" customWidth="1"/>
    <col min="178" max="188" width="10.42578125" customWidth="1"/>
    <col min="189" max="189" width="9" customWidth="1"/>
    <col min="190" max="190" width="7.42578125" customWidth="1"/>
    <col min="191" max="191" width="7.85546875" customWidth="1"/>
    <col min="192" max="197" width="7.42578125" customWidth="1"/>
    <col min="198" max="198" width="8" customWidth="1"/>
    <col min="199" max="199" width="7.42578125" customWidth="1"/>
    <col min="200" max="203" width="8.5703125" hidden="1"/>
    <col min="204" max="204" width="10.42578125" hidden="1"/>
    <col min="205" max="205" width="8.85546875" hidden="1"/>
    <col min="206" max="207" width="8.5703125" hidden="1"/>
    <col min="208" max="208" width="7" hidden="1"/>
    <col min="209" max="209" width="9.42578125" hidden="1"/>
    <col min="210" max="210" width="7.85546875" hidden="1"/>
    <col min="211" max="212" width="8.5703125" hidden="1"/>
    <col min="213" max="213" width="7" hidden="1"/>
    <col min="214" max="217" width="8.5703125" hidden="1"/>
    <col min="218" max="218" width="9.42578125" hidden="1"/>
    <col min="219" max="219" width="10.42578125" hidden="1"/>
    <col min="220" max="222" width="8.5703125" hidden="1"/>
    <col min="223" max="223" width="9.85546875" hidden="1"/>
    <col min="224" max="224" width="10.42578125" hidden="1"/>
    <col min="225" max="228" width="8.5703125" hidden="1"/>
    <col min="229" max="229" width="10.42578125" hidden="1"/>
    <col min="230" max="232" width="8.5703125" hidden="1"/>
    <col min="233" max="233" width="9.42578125" hidden="1"/>
    <col min="234" max="234" width="10.42578125" hidden="1"/>
    <col min="235" max="237" width="8.5703125" hidden="1"/>
    <col min="238" max="238" width="9.42578125" hidden="1"/>
    <col min="239" max="239" width="10.42578125" hidden="1"/>
    <col min="240" max="242" width="8.5703125" hidden="1"/>
    <col min="243" max="243" width="9.85546875" hidden="1"/>
    <col min="244" max="244" width="10.42578125" hidden="1"/>
    <col min="245" max="248" width="8.5703125" hidden="1"/>
    <col min="249" max="249" width="10.42578125" hidden="1"/>
    <col min="250" max="252" width="8.5703125" hidden="1"/>
    <col min="253" max="253" width="9.42578125" hidden="1"/>
    <col min="254" max="254" width="10.42578125" hidden="1"/>
    <col min="255" max="256" width="8.5703125" hidden="1"/>
  </cols>
  <sheetData>
    <row r="1" spans="1:256" s="1" customFormat="1" ht="23.25" x14ac:dyDescent="0.25">
      <c r="A1" s="2" t="s">
        <v>369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" customFormat="1" ht="18" x14ac:dyDescent="0.25">
      <c r="A2" s="4" t="s">
        <v>370</v>
      </c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7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6"/>
      <c r="AN2" s="6"/>
      <c r="AO2" s="6"/>
      <c r="AP2" s="6"/>
      <c r="AQ2" s="6"/>
      <c r="AR2" s="6"/>
      <c r="AS2" s="6"/>
      <c r="AT2" s="6"/>
      <c r="AU2" s="6"/>
      <c r="AV2" s="6"/>
      <c r="AW2" s="7"/>
      <c r="AX2" s="6"/>
      <c r="AY2" s="6"/>
      <c r="AZ2" s="6"/>
      <c r="BA2" s="6"/>
      <c r="BB2" s="6"/>
      <c r="BC2" s="6"/>
      <c r="BD2" s="6"/>
      <c r="BE2" s="6"/>
      <c r="BF2" s="6"/>
      <c r="BG2" s="6"/>
      <c r="BH2" s="7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  <c r="BT2" s="6"/>
      <c r="BU2" s="6"/>
      <c r="BV2" s="6"/>
      <c r="BW2" s="6"/>
      <c r="BX2" s="6"/>
      <c r="BY2" s="6"/>
      <c r="BZ2" s="6"/>
      <c r="CA2" s="6"/>
      <c r="CB2" s="6"/>
      <c r="CC2" s="6"/>
      <c r="CD2" s="7"/>
      <c r="CE2" s="6"/>
      <c r="CF2" s="6"/>
      <c r="CG2" s="6"/>
      <c r="CH2" s="6"/>
      <c r="CI2" s="6"/>
      <c r="CJ2" s="6"/>
      <c r="CK2" s="6"/>
      <c r="CL2" s="6"/>
      <c r="CM2" s="6"/>
      <c r="CN2" s="6"/>
      <c r="CO2" s="7"/>
      <c r="CP2" s="6"/>
      <c r="CQ2" s="6"/>
      <c r="CR2" s="6"/>
      <c r="CS2" s="6"/>
      <c r="CT2" s="6"/>
      <c r="CU2" s="6"/>
      <c r="CV2" s="6"/>
      <c r="CW2" s="6"/>
      <c r="CX2" s="6"/>
      <c r="CY2" s="6"/>
      <c r="CZ2" s="7"/>
      <c r="DA2" s="6"/>
      <c r="DB2" s="6"/>
      <c r="DC2" s="6"/>
      <c r="DD2" s="6"/>
      <c r="DE2" s="6"/>
      <c r="DF2" s="6"/>
      <c r="DG2" s="6"/>
      <c r="DH2" s="6"/>
      <c r="DI2" s="6"/>
      <c r="DJ2" s="6"/>
      <c r="DK2" s="7"/>
      <c r="DL2" s="6"/>
      <c r="DM2" s="6"/>
      <c r="DN2" s="6"/>
      <c r="DO2" s="6"/>
      <c r="DP2" s="6"/>
      <c r="DQ2" s="6"/>
      <c r="DR2" s="6"/>
      <c r="DS2" s="6"/>
      <c r="DT2" s="6"/>
      <c r="DU2" s="6"/>
      <c r="DV2" s="7"/>
      <c r="DW2" s="6"/>
      <c r="DX2" s="6"/>
      <c r="DY2" s="6"/>
      <c r="DZ2" s="6"/>
      <c r="EA2" s="6"/>
      <c r="EB2" s="6"/>
      <c r="EC2" s="6"/>
      <c r="ED2" s="6"/>
      <c r="EE2" s="6"/>
      <c r="EF2" s="6"/>
      <c r="EG2" s="7"/>
      <c r="EH2" s="6"/>
      <c r="EI2" s="6"/>
      <c r="EJ2" s="6"/>
      <c r="EK2" s="6"/>
      <c r="EL2" s="6"/>
      <c r="EM2" s="6"/>
      <c r="EN2" s="6"/>
      <c r="EO2" s="6"/>
      <c r="EP2" s="6"/>
      <c r="EQ2" s="6"/>
      <c r="ER2" s="7"/>
      <c r="ES2" s="6"/>
      <c r="ET2" s="6"/>
      <c r="EU2" s="6"/>
      <c r="EV2" s="6"/>
      <c r="EW2" s="6"/>
      <c r="EX2" s="6"/>
      <c r="EY2" s="6"/>
      <c r="EZ2" s="6"/>
      <c r="FA2" s="6"/>
      <c r="FB2" s="6"/>
      <c r="FC2" s="7"/>
      <c r="FD2" s="6"/>
      <c r="FE2" s="6"/>
      <c r="FF2" s="6"/>
      <c r="FG2" s="6"/>
      <c r="FH2" s="6"/>
      <c r="FI2" s="6"/>
      <c r="FJ2" s="6"/>
      <c r="FK2" s="6"/>
      <c r="FL2" s="6"/>
      <c r="FM2" s="6"/>
      <c r="FN2" s="7"/>
      <c r="FO2" s="6"/>
      <c r="FP2" s="6"/>
      <c r="FQ2" s="6"/>
      <c r="FR2" s="6"/>
      <c r="FS2" s="6"/>
      <c r="FT2" s="6"/>
      <c r="FU2" s="6"/>
      <c r="FV2" s="6"/>
      <c r="FW2" s="6"/>
      <c r="FX2" s="6"/>
      <c r="FY2" s="7"/>
      <c r="FZ2" s="6"/>
      <c r="GA2" s="6"/>
      <c r="GB2" s="6"/>
      <c r="GC2" s="6"/>
      <c r="GD2" s="6"/>
      <c r="GE2" s="6"/>
      <c r="GF2" s="6"/>
      <c r="GG2" s="6"/>
      <c r="GH2" s="6"/>
      <c r="GI2" s="6"/>
      <c r="GJ2" s="7"/>
      <c r="GK2" s="6"/>
      <c r="GL2" s="6"/>
      <c r="GM2" s="6"/>
      <c r="GN2" s="6"/>
      <c r="GO2" s="6"/>
      <c r="GP2" s="6"/>
      <c r="GQ2" s="6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</row>
    <row r="3" spans="1:256" s="1" customFormat="1" ht="17.45" customHeight="1" x14ac:dyDescent="0.2">
      <c r="A3" s="9" t="s">
        <v>22</v>
      </c>
      <c r="B3" s="10"/>
      <c r="C3" s="10"/>
      <c r="D3" s="10"/>
      <c r="E3" s="11"/>
      <c r="F3" s="12"/>
      <c r="G3" s="10"/>
      <c r="H3" s="10"/>
      <c r="I3" s="10"/>
      <c r="J3" s="10"/>
      <c r="K3" s="10"/>
      <c r="L3" s="10"/>
      <c r="M3" s="10"/>
      <c r="N3" s="10"/>
      <c r="O3" s="10"/>
      <c r="P3" s="11"/>
      <c r="Q3" s="12"/>
      <c r="R3" s="10"/>
      <c r="S3" s="10"/>
      <c r="T3" s="10"/>
      <c r="U3" s="10"/>
      <c r="V3" s="10"/>
      <c r="W3" s="10"/>
      <c r="X3" s="10"/>
      <c r="Y3" s="10"/>
      <c r="Z3" s="10"/>
      <c r="AA3" s="11"/>
      <c r="AB3" s="12"/>
      <c r="AC3" s="10"/>
      <c r="AD3" s="10"/>
      <c r="AE3" s="10"/>
      <c r="AF3" s="10"/>
      <c r="AG3" s="10"/>
      <c r="AH3" s="10"/>
      <c r="AI3" s="10"/>
      <c r="AJ3" s="10"/>
      <c r="AK3" s="10"/>
      <c r="AL3" s="11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12"/>
      <c r="AY3" s="10"/>
      <c r="AZ3" s="10"/>
      <c r="BA3" s="10"/>
      <c r="BB3" s="10"/>
      <c r="BC3" s="10"/>
      <c r="BD3" s="10"/>
      <c r="BE3" s="10"/>
      <c r="BF3" s="10"/>
      <c r="BG3" s="10"/>
      <c r="BH3" s="11"/>
      <c r="BI3" s="12"/>
      <c r="BJ3" s="10"/>
      <c r="BK3" s="10"/>
      <c r="BL3" s="10"/>
      <c r="BM3" s="10"/>
      <c r="BN3" s="10"/>
      <c r="BO3" s="10"/>
      <c r="BP3" s="10"/>
      <c r="BQ3" s="10"/>
      <c r="BR3" s="10"/>
      <c r="BS3" s="11"/>
      <c r="BT3" s="12"/>
      <c r="BU3" s="10"/>
      <c r="BV3" s="10"/>
      <c r="BW3" s="10"/>
      <c r="BX3" s="10"/>
      <c r="BY3" s="10"/>
      <c r="BZ3" s="10"/>
      <c r="CA3" s="10"/>
      <c r="CB3" s="10"/>
      <c r="CC3" s="10"/>
      <c r="CD3" s="11"/>
      <c r="CE3" s="12"/>
      <c r="CF3" s="10"/>
      <c r="CG3" s="10"/>
      <c r="CH3" s="10"/>
      <c r="CI3" s="10"/>
      <c r="CJ3" s="10"/>
      <c r="CK3" s="10"/>
      <c r="CL3" s="10"/>
      <c r="CM3" s="10"/>
      <c r="CN3" s="10"/>
      <c r="CO3" s="11"/>
      <c r="CP3" s="12"/>
      <c r="CQ3" s="10"/>
      <c r="CR3" s="10"/>
      <c r="CS3" s="10"/>
      <c r="CT3" s="10"/>
      <c r="CU3" s="10"/>
      <c r="CV3" s="10"/>
      <c r="CW3" s="10"/>
      <c r="CX3" s="10"/>
      <c r="CY3" s="10"/>
      <c r="CZ3" s="11"/>
      <c r="DA3" s="12"/>
      <c r="DB3" s="10"/>
      <c r="DC3" s="10"/>
      <c r="DD3" s="10"/>
      <c r="DE3" s="10"/>
      <c r="DF3" s="10"/>
      <c r="DG3" s="10"/>
      <c r="DH3" s="10"/>
      <c r="DI3" s="10"/>
      <c r="DJ3" s="10"/>
      <c r="DK3" s="11"/>
      <c r="DL3" s="12"/>
      <c r="DM3" s="10"/>
      <c r="DN3" s="10"/>
      <c r="DO3" s="10"/>
      <c r="DP3" s="10"/>
      <c r="DQ3" s="10"/>
      <c r="DR3" s="10"/>
      <c r="DS3" s="10"/>
      <c r="DT3" s="10"/>
      <c r="DU3" s="10"/>
      <c r="DV3" s="11"/>
      <c r="DW3" s="12"/>
      <c r="DX3" s="10"/>
      <c r="DY3" s="10"/>
      <c r="DZ3" s="10"/>
      <c r="EA3" s="10"/>
      <c r="EB3" s="10"/>
      <c r="EC3" s="10"/>
      <c r="ED3" s="10"/>
      <c r="EE3" s="10"/>
      <c r="EF3" s="10"/>
      <c r="EG3" s="11"/>
      <c r="EH3" s="12"/>
      <c r="EI3" s="10"/>
      <c r="EJ3" s="10"/>
      <c r="EK3" s="10"/>
      <c r="EL3" s="10"/>
      <c r="EM3" s="10"/>
      <c r="EN3" s="10"/>
      <c r="EO3" s="10"/>
      <c r="EP3" s="10"/>
      <c r="EQ3" s="10"/>
      <c r="ER3" s="11"/>
      <c r="ES3" s="12"/>
      <c r="ET3" s="10"/>
      <c r="EU3" s="10"/>
      <c r="EV3" s="10"/>
      <c r="EW3" s="10"/>
      <c r="EX3" s="10"/>
      <c r="EY3" s="10"/>
      <c r="EZ3" s="10"/>
      <c r="FA3" s="10"/>
      <c r="FB3" s="10"/>
      <c r="FC3" s="11"/>
      <c r="FD3" s="12"/>
      <c r="FE3" s="10"/>
      <c r="FF3" s="10"/>
      <c r="FG3" s="10"/>
      <c r="FH3" s="10"/>
      <c r="FI3" s="10"/>
      <c r="FJ3" s="10"/>
      <c r="FK3" s="10"/>
      <c r="FL3" s="10"/>
      <c r="FM3" s="10"/>
      <c r="FN3" s="11"/>
      <c r="FO3" s="12"/>
      <c r="FP3" s="10"/>
      <c r="FQ3" s="10"/>
      <c r="FR3" s="10"/>
      <c r="FS3" s="10"/>
      <c r="FT3" s="10"/>
      <c r="FU3" s="10"/>
      <c r="FV3" s="10"/>
      <c r="FW3" s="10"/>
      <c r="FX3" s="10"/>
      <c r="FY3" s="11"/>
      <c r="FZ3" s="12"/>
      <c r="GA3" s="10"/>
      <c r="GB3" s="10"/>
      <c r="GC3" s="10"/>
      <c r="GD3" s="10"/>
      <c r="GE3" s="10"/>
      <c r="GF3" s="10"/>
      <c r="GG3" s="10"/>
      <c r="GH3" s="10"/>
      <c r="GI3" s="10"/>
      <c r="GJ3" s="11"/>
      <c r="GK3" s="12"/>
      <c r="GL3" s="10"/>
      <c r="GM3" s="10"/>
      <c r="GN3" s="10"/>
      <c r="GO3" s="10"/>
      <c r="GP3" s="10"/>
      <c r="GQ3" s="10"/>
      <c r="GR3" s="13"/>
      <c r="GS3" s="13"/>
      <c r="GT3" s="13"/>
      <c r="GU3" s="14"/>
      <c r="GV3" s="13"/>
      <c r="GW3" s="13"/>
      <c r="GX3" s="13"/>
      <c r="GY3" s="13"/>
      <c r="GZ3" s="14"/>
      <c r="HA3" s="13"/>
      <c r="HB3" s="13"/>
      <c r="HC3" s="13"/>
      <c r="HD3" s="13"/>
      <c r="HE3" s="14"/>
      <c r="HF3" s="13"/>
      <c r="HG3" s="13"/>
      <c r="HH3" s="13"/>
      <c r="HI3" s="13"/>
      <c r="HJ3" s="14"/>
      <c r="HK3" s="13"/>
      <c r="HL3" s="13"/>
      <c r="HM3" s="13"/>
      <c r="HN3" s="13"/>
      <c r="HO3" s="15"/>
      <c r="HP3" s="13"/>
      <c r="HQ3" s="13"/>
      <c r="HR3" s="13"/>
      <c r="HS3" s="13"/>
      <c r="HT3" s="14"/>
      <c r="HU3" s="13"/>
      <c r="HV3" s="13"/>
      <c r="HW3" s="13"/>
      <c r="HX3" s="13"/>
      <c r="HY3" s="14"/>
      <c r="HZ3" s="13"/>
      <c r="IA3" s="13"/>
      <c r="IB3" s="13"/>
      <c r="IC3" s="13"/>
      <c r="ID3" s="14"/>
      <c r="IE3" s="13"/>
      <c r="IF3" s="13"/>
      <c r="IG3" s="13"/>
      <c r="IH3" s="13"/>
      <c r="II3" s="15"/>
      <c r="IJ3" s="13"/>
      <c r="IK3" s="13"/>
      <c r="IL3" s="13"/>
      <c r="IM3" s="13"/>
      <c r="IN3" s="14"/>
      <c r="IO3" s="13"/>
      <c r="IP3" s="13"/>
      <c r="IQ3" s="13"/>
      <c r="IR3" s="13"/>
      <c r="IS3" s="14"/>
      <c r="IT3" s="13"/>
      <c r="IU3" s="13"/>
      <c r="IV3" s="791"/>
    </row>
    <row r="4" spans="1:256" s="16" customFormat="1" ht="15" customHeight="1" x14ac:dyDescent="0.2">
      <c r="A4" s="17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9"/>
      <c r="GW4" s="18"/>
      <c r="GX4" s="18"/>
      <c r="GY4" s="18"/>
      <c r="GZ4" s="18"/>
      <c r="HA4" s="19"/>
      <c r="HB4" s="18"/>
      <c r="HC4" s="18"/>
      <c r="HD4" s="18"/>
      <c r="HE4" s="18"/>
      <c r="HF4" s="19"/>
      <c r="HG4" s="18"/>
      <c r="HH4" s="18"/>
      <c r="HI4" s="18"/>
      <c r="HJ4" s="18"/>
      <c r="HK4" s="19"/>
      <c r="HL4" s="18"/>
      <c r="HM4" s="18"/>
      <c r="HN4" s="18"/>
      <c r="HO4" s="18"/>
      <c r="HP4" s="19"/>
      <c r="HQ4" s="18"/>
      <c r="HR4" s="18"/>
      <c r="HS4" s="18"/>
      <c r="HT4" s="18"/>
      <c r="HU4" s="19"/>
      <c r="HV4" s="18"/>
      <c r="HW4" s="18"/>
      <c r="HX4" s="18"/>
      <c r="HY4" s="18"/>
      <c r="HZ4" s="19"/>
      <c r="IA4" s="18"/>
      <c r="IB4" s="18"/>
      <c r="IC4" s="18"/>
      <c r="ID4" s="18"/>
      <c r="IE4" s="19"/>
      <c r="IF4" s="18"/>
      <c r="IG4" s="18"/>
      <c r="IH4" s="18"/>
      <c r="II4" s="18"/>
      <c r="IJ4" s="19"/>
      <c r="IK4" s="18"/>
      <c r="IL4" s="18"/>
      <c r="IM4" s="18"/>
      <c r="IN4" s="18"/>
      <c r="IO4" s="19"/>
      <c r="IP4" s="18"/>
      <c r="IQ4" s="18"/>
      <c r="IR4" s="18"/>
      <c r="IS4" s="18"/>
      <c r="IT4" s="19"/>
      <c r="IU4" s="18"/>
      <c r="IV4" s="18"/>
    </row>
    <row r="5" spans="1:256" s="1" customFormat="1" ht="20.25" customHeight="1" x14ac:dyDescent="0.25">
      <c r="A5" s="774" t="s">
        <v>280</v>
      </c>
      <c r="B5" s="777" t="s">
        <v>381</v>
      </c>
      <c r="C5" s="778"/>
      <c r="D5" s="778"/>
      <c r="E5" s="778"/>
      <c r="F5" s="778"/>
      <c r="G5" s="778"/>
      <c r="H5" s="778"/>
      <c r="I5" s="778"/>
      <c r="J5" s="778"/>
      <c r="K5" s="778"/>
      <c r="L5" s="779"/>
      <c r="M5" s="787" t="s">
        <v>371</v>
      </c>
      <c r="N5" s="788"/>
      <c r="O5" s="788"/>
      <c r="P5" s="788"/>
      <c r="Q5" s="788"/>
      <c r="R5" s="788"/>
      <c r="S5" s="788"/>
      <c r="T5" s="788"/>
      <c r="U5" s="788"/>
      <c r="V5" s="788"/>
      <c r="W5" s="788"/>
      <c r="X5" s="788"/>
      <c r="Y5" s="788"/>
      <c r="Z5" s="788"/>
      <c r="AA5" s="788"/>
      <c r="AB5" s="788"/>
      <c r="AC5" s="788"/>
      <c r="AD5" s="788"/>
      <c r="AE5" s="788"/>
      <c r="AF5" s="788"/>
      <c r="AG5" s="788"/>
      <c r="AH5" s="788"/>
      <c r="AI5" s="788"/>
      <c r="AJ5" s="788"/>
      <c r="AK5" s="788"/>
      <c r="AL5" s="788"/>
      <c r="AM5" s="788"/>
      <c r="AN5" s="788"/>
      <c r="AO5" s="788"/>
      <c r="AP5" s="788"/>
      <c r="AQ5" s="788"/>
      <c r="AR5" s="788"/>
      <c r="AS5" s="788"/>
      <c r="AT5" s="788"/>
      <c r="AU5" s="788"/>
      <c r="AV5" s="788"/>
      <c r="AW5" s="788"/>
      <c r="AX5" s="788"/>
      <c r="AY5" s="788"/>
      <c r="AZ5" s="788"/>
      <c r="BA5" s="788"/>
      <c r="BB5" s="788"/>
      <c r="BC5" s="788"/>
      <c r="BD5" s="788"/>
      <c r="BE5" s="788"/>
      <c r="BF5" s="788"/>
      <c r="BG5" s="788"/>
      <c r="BH5" s="788"/>
      <c r="BI5" s="788"/>
      <c r="BJ5" s="788"/>
      <c r="BK5" s="788"/>
      <c r="BL5" s="788"/>
      <c r="BM5" s="788"/>
      <c r="BN5" s="788"/>
      <c r="BO5" s="788"/>
      <c r="BP5" s="788"/>
      <c r="BQ5" s="788"/>
      <c r="BR5" s="788"/>
      <c r="BS5" s="788"/>
      <c r="BT5" s="788"/>
      <c r="BU5" s="788"/>
      <c r="BV5" s="788"/>
      <c r="BW5" s="788"/>
      <c r="BX5" s="788"/>
      <c r="BY5" s="788"/>
      <c r="BZ5" s="788"/>
      <c r="CA5" s="788"/>
      <c r="CB5" s="788"/>
      <c r="CC5" s="788"/>
      <c r="CD5" s="788"/>
      <c r="CE5" s="788"/>
      <c r="CF5" s="788"/>
      <c r="CG5" s="788"/>
      <c r="CH5" s="788"/>
      <c r="CI5" s="788"/>
      <c r="CJ5" s="788"/>
      <c r="CK5" s="788"/>
      <c r="CL5" s="788"/>
      <c r="CM5" s="788"/>
      <c r="CN5" s="788"/>
      <c r="CO5" s="788"/>
      <c r="CP5" s="788"/>
      <c r="CQ5" s="788"/>
      <c r="CR5" s="788"/>
      <c r="CS5" s="788"/>
      <c r="CT5" s="788"/>
      <c r="CU5" s="788"/>
      <c r="CV5" s="788"/>
      <c r="CW5" s="788"/>
      <c r="CX5" s="788"/>
      <c r="CY5" s="788"/>
      <c r="CZ5" s="788"/>
      <c r="DA5" s="788"/>
      <c r="DB5" s="788"/>
      <c r="DC5" s="788"/>
      <c r="DD5" s="788"/>
      <c r="DE5" s="788"/>
      <c r="DF5" s="788"/>
      <c r="DG5" s="788"/>
      <c r="DH5" s="788"/>
      <c r="DI5" s="788"/>
      <c r="DJ5" s="788"/>
      <c r="DK5" s="788"/>
      <c r="DL5" s="788"/>
      <c r="DM5" s="788"/>
      <c r="DN5" s="788"/>
      <c r="DO5" s="788"/>
      <c r="DP5" s="788"/>
      <c r="DQ5" s="788"/>
      <c r="DR5" s="788"/>
      <c r="DS5" s="788"/>
      <c r="DT5" s="788"/>
      <c r="DU5" s="788"/>
      <c r="DV5" s="788"/>
      <c r="DW5" s="788"/>
      <c r="DX5" s="788"/>
      <c r="DY5" s="788"/>
      <c r="DZ5" s="788"/>
      <c r="EA5" s="788"/>
      <c r="EB5" s="788"/>
      <c r="EC5" s="788"/>
      <c r="ED5" s="788"/>
      <c r="EE5" s="788"/>
      <c r="EF5" s="788"/>
      <c r="EG5" s="788"/>
      <c r="EH5" s="788"/>
      <c r="EI5" s="788"/>
      <c r="EJ5" s="788"/>
      <c r="EK5" s="788"/>
      <c r="EL5" s="788"/>
      <c r="EM5" s="788"/>
      <c r="EN5" s="788"/>
      <c r="EO5" s="788"/>
      <c r="EP5" s="788"/>
      <c r="EQ5" s="788"/>
      <c r="ER5" s="788"/>
      <c r="ES5" s="788"/>
      <c r="ET5" s="788"/>
      <c r="EU5" s="788"/>
      <c r="EV5" s="788"/>
      <c r="EW5" s="788"/>
      <c r="EX5" s="788"/>
      <c r="EY5" s="788"/>
      <c r="EZ5" s="788"/>
      <c r="FA5" s="788"/>
      <c r="FB5" s="788"/>
      <c r="FC5" s="788"/>
      <c r="FD5" s="788"/>
      <c r="FE5" s="788"/>
      <c r="FF5" s="788"/>
      <c r="FG5" s="788"/>
      <c r="FH5" s="788"/>
      <c r="FI5" s="788"/>
      <c r="FJ5" s="788"/>
      <c r="FK5" s="788"/>
      <c r="FL5" s="788"/>
      <c r="FM5" s="788"/>
      <c r="FN5" s="788"/>
      <c r="FO5" s="788"/>
      <c r="FP5" s="788"/>
      <c r="FQ5" s="788"/>
      <c r="FR5" s="788"/>
      <c r="FS5" s="788"/>
      <c r="FT5" s="788"/>
      <c r="FU5" s="788"/>
      <c r="FV5" s="788"/>
      <c r="FW5" s="788"/>
      <c r="FX5" s="788"/>
      <c r="FY5" s="788"/>
      <c r="FZ5" s="788"/>
      <c r="GA5" s="788"/>
      <c r="GB5" s="788"/>
      <c r="GC5" s="788"/>
      <c r="GD5" s="788"/>
      <c r="GE5" s="788"/>
      <c r="GF5" s="788"/>
      <c r="GG5" s="788"/>
      <c r="GH5" s="788"/>
      <c r="GI5" s="788"/>
      <c r="GJ5" s="788"/>
      <c r="GK5" s="788"/>
      <c r="GL5" s="788"/>
      <c r="GM5" s="788"/>
      <c r="GN5" s="788"/>
      <c r="GO5" s="788"/>
      <c r="GP5" s="788"/>
      <c r="GQ5" s="788"/>
      <c r="GR5" s="789" t="s">
        <v>372</v>
      </c>
      <c r="GS5" s="789"/>
      <c r="GT5" s="789"/>
      <c r="GU5" s="789"/>
      <c r="GV5" s="789"/>
      <c r="GW5" s="792" t="s">
        <v>373</v>
      </c>
      <c r="GX5" s="792"/>
      <c r="GY5" s="792"/>
      <c r="GZ5" s="792"/>
      <c r="HA5" s="792"/>
      <c r="HB5" s="792"/>
      <c r="HC5" s="792"/>
      <c r="HD5" s="792"/>
      <c r="HE5" s="792"/>
      <c r="HF5" s="792"/>
      <c r="HG5" s="792"/>
      <c r="HH5" s="792"/>
      <c r="HI5" s="792"/>
      <c r="HJ5" s="792"/>
      <c r="HK5" s="792"/>
      <c r="HL5" s="792"/>
      <c r="HM5" s="792"/>
      <c r="HN5" s="792"/>
      <c r="HO5" s="792"/>
      <c r="HP5" s="792"/>
      <c r="HQ5" s="792"/>
      <c r="HR5" s="792"/>
      <c r="HS5" s="792"/>
      <c r="HT5" s="792"/>
      <c r="HU5" s="792"/>
      <c r="HV5" s="792"/>
      <c r="HW5" s="792"/>
      <c r="HX5" s="792"/>
      <c r="HY5" s="792"/>
      <c r="HZ5" s="792"/>
      <c r="IA5" s="792"/>
      <c r="IB5" s="792"/>
      <c r="IC5" s="792"/>
      <c r="ID5" s="792"/>
      <c r="IE5" s="792"/>
      <c r="IF5" s="792"/>
      <c r="IG5" s="792"/>
      <c r="IH5" s="792"/>
      <c r="II5" s="792"/>
      <c r="IJ5" s="792"/>
      <c r="IK5" s="792"/>
      <c r="IL5" s="792"/>
      <c r="IM5" s="792"/>
      <c r="IN5" s="792"/>
      <c r="IO5" s="792"/>
      <c r="IP5" s="792"/>
      <c r="IQ5" s="792"/>
      <c r="IR5" s="792"/>
      <c r="IS5" s="792"/>
      <c r="IT5" s="792"/>
      <c r="IU5" s="792"/>
      <c r="IV5" s="792"/>
    </row>
    <row r="6" spans="1:256" s="20" customFormat="1" ht="15.75" customHeight="1" x14ac:dyDescent="0.25">
      <c r="A6" s="775"/>
      <c r="B6" s="780"/>
      <c r="C6" s="781"/>
      <c r="D6" s="781"/>
      <c r="E6" s="781"/>
      <c r="F6" s="781"/>
      <c r="G6" s="781"/>
      <c r="H6" s="781"/>
      <c r="I6" s="781"/>
      <c r="J6" s="781"/>
      <c r="K6" s="781"/>
      <c r="L6" s="782"/>
      <c r="M6" s="764" t="s">
        <v>281</v>
      </c>
      <c r="N6" s="754"/>
      <c r="O6" s="754"/>
      <c r="P6" s="754"/>
      <c r="Q6" s="754"/>
      <c r="R6" s="754"/>
      <c r="S6" s="754"/>
      <c r="T6" s="754"/>
      <c r="U6" s="754"/>
      <c r="V6" s="754"/>
      <c r="W6" s="754"/>
      <c r="X6" s="762" t="s">
        <v>282</v>
      </c>
      <c r="Y6" s="763"/>
      <c r="Z6" s="763"/>
      <c r="AA6" s="763"/>
      <c r="AB6" s="763"/>
      <c r="AC6" s="763"/>
      <c r="AD6" s="763"/>
      <c r="AE6" s="763"/>
      <c r="AF6" s="763"/>
      <c r="AG6" s="763"/>
      <c r="AH6" s="764"/>
      <c r="AI6" s="762" t="s">
        <v>283</v>
      </c>
      <c r="AJ6" s="763"/>
      <c r="AK6" s="763"/>
      <c r="AL6" s="763"/>
      <c r="AM6" s="763"/>
      <c r="AN6" s="763"/>
      <c r="AO6" s="763"/>
      <c r="AP6" s="763"/>
      <c r="AQ6" s="763"/>
      <c r="AR6" s="763"/>
      <c r="AS6" s="764"/>
      <c r="AT6" s="762" t="s">
        <v>1</v>
      </c>
      <c r="AU6" s="763"/>
      <c r="AV6" s="763"/>
      <c r="AW6" s="763"/>
      <c r="AX6" s="763"/>
      <c r="AY6" s="763"/>
      <c r="AZ6" s="763"/>
      <c r="BA6" s="763"/>
      <c r="BB6" s="763"/>
      <c r="BC6" s="763"/>
      <c r="BD6" s="764"/>
      <c r="BE6" s="764" t="s">
        <v>284</v>
      </c>
      <c r="BF6" s="754"/>
      <c r="BG6" s="754"/>
      <c r="BH6" s="754"/>
      <c r="BI6" s="754"/>
      <c r="BJ6" s="754"/>
      <c r="BK6" s="754"/>
      <c r="BL6" s="754"/>
      <c r="BM6" s="754"/>
      <c r="BN6" s="754"/>
      <c r="BO6" s="754"/>
      <c r="BP6" s="762" t="s">
        <v>285</v>
      </c>
      <c r="BQ6" s="763"/>
      <c r="BR6" s="763"/>
      <c r="BS6" s="763"/>
      <c r="BT6" s="763"/>
      <c r="BU6" s="763"/>
      <c r="BV6" s="763"/>
      <c r="BW6" s="763"/>
      <c r="BX6" s="763"/>
      <c r="BY6" s="763"/>
      <c r="BZ6" s="764"/>
      <c r="CA6" s="762" t="s">
        <v>286</v>
      </c>
      <c r="CB6" s="763"/>
      <c r="CC6" s="763"/>
      <c r="CD6" s="763"/>
      <c r="CE6" s="763"/>
      <c r="CF6" s="763"/>
      <c r="CG6" s="763"/>
      <c r="CH6" s="763"/>
      <c r="CI6" s="763"/>
      <c r="CJ6" s="763"/>
      <c r="CK6" s="764"/>
      <c r="CL6" s="762" t="s">
        <v>2</v>
      </c>
      <c r="CM6" s="763"/>
      <c r="CN6" s="763"/>
      <c r="CO6" s="763"/>
      <c r="CP6" s="763"/>
      <c r="CQ6" s="763"/>
      <c r="CR6" s="763"/>
      <c r="CS6" s="763"/>
      <c r="CT6" s="763"/>
      <c r="CU6" s="763"/>
      <c r="CV6" s="764"/>
      <c r="CW6" s="764" t="s">
        <v>287</v>
      </c>
      <c r="CX6" s="754"/>
      <c r="CY6" s="754"/>
      <c r="CZ6" s="754"/>
      <c r="DA6" s="754"/>
      <c r="DB6" s="754"/>
      <c r="DC6" s="754"/>
      <c r="DD6" s="754"/>
      <c r="DE6" s="754"/>
      <c r="DF6" s="754"/>
      <c r="DG6" s="754"/>
      <c r="DH6" s="762" t="s">
        <v>288</v>
      </c>
      <c r="DI6" s="763"/>
      <c r="DJ6" s="763"/>
      <c r="DK6" s="763"/>
      <c r="DL6" s="763"/>
      <c r="DM6" s="763"/>
      <c r="DN6" s="763"/>
      <c r="DO6" s="763"/>
      <c r="DP6" s="763"/>
      <c r="DQ6" s="763"/>
      <c r="DR6" s="764"/>
      <c r="DS6" s="762" t="s">
        <v>289</v>
      </c>
      <c r="DT6" s="763"/>
      <c r="DU6" s="763"/>
      <c r="DV6" s="763"/>
      <c r="DW6" s="763"/>
      <c r="DX6" s="763"/>
      <c r="DY6" s="763"/>
      <c r="DZ6" s="763"/>
      <c r="EA6" s="763"/>
      <c r="EB6" s="763"/>
      <c r="EC6" s="764"/>
      <c r="ED6" s="762" t="s">
        <v>290</v>
      </c>
      <c r="EE6" s="763"/>
      <c r="EF6" s="763"/>
      <c r="EG6" s="763"/>
      <c r="EH6" s="763"/>
      <c r="EI6" s="763"/>
      <c r="EJ6" s="763"/>
      <c r="EK6" s="763"/>
      <c r="EL6" s="763"/>
      <c r="EM6" s="763"/>
      <c r="EN6" s="764"/>
      <c r="EO6" s="764" t="s">
        <v>291</v>
      </c>
      <c r="EP6" s="754"/>
      <c r="EQ6" s="754"/>
      <c r="ER6" s="754"/>
      <c r="ES6" s="754"/>
      <c r="ET6" s="754"/>
      <c r="EU6" s="754"/>
      <c r="EV6" s="754"/>
      <c r="EW6" s="754"/>
      <c r="EX6" s="754"/>
      <c r="EY6" s="754"/>
      <c r="EZ6" s="762" t="s">
        <v>292</v>
      </c>
      <c r="FA6" s="763"/>
      <c r="FB6" s="763"/>
      <c r="FC6" s="763"/>
      <c r="FD6" s="763"/>
      <c r="FE6" s="763"/>
      <c r="FF6" s="763"/>
      <c r="FG6" s="763"/>
      <c r="FH6" s="763"/>
      <c r="FI6" s="763"/>
      <c r="FJ6" s="764"/>
      <c r="FK6" s="762" t="s">
        <v>293</v>
      </c>
      <c r="FL6" s="763"/>
      <c r="FM6" s="763"/>
      <c r="FN6" s="763"/>
      <c r="FO6" s="763"/>
      <c r="FP6" s="763"/>
      <c r="FQ6" s="763"/>
      <c r="FR6" s="763"/>
      <c r="FS6" s="763"/>
      <c r="FT6" s="763"/>
      <c r="FU6" s="764"/>
      <c r="FV6" s="762" t="s">
        <v>3</v>
      </c>
      <c r="FW6" s="763"/>
      <c r="FX6" s="763"/>
      <c r="FY6" s="763"/>
      <c r="FZ6" s="763"/>
      <c r="GA6" s="763"/>
      <c r="GB6" s="763"/>
      <c r="GC6" s="763"/>
      <c r="GD6" s="763"/>
      <c r="GE6" s="763"/>
      <c r="GF6" s="764"/>
      <c r="GG6" s="787" t="s">
        <v>4</v>
      </c>
      <c r="GH6" s="788"/>
      <c r="GI6" s="788"/>
      <c r="GJ6" s="788"/>
      <c r="GK6" s="788"/>
      <c r="GL6" s="788"/>
      <c r="GM6" s="788"/>
      <c r="GN6" s="788"/>
      <c r="GO6" s="788"/>
      <c r="GP6" s="788"/>
      <c r="GQ6" s="790"/>
      <c r="GR6" s="783" t="s">
        <v>382</v>
      </c>
      <c r="GS6" s="784"/>
      <c r="GT6" s="784"/>
      <c r="GU6" s="784"/>
      <c r="GV6" s="784"/>
      <c r="GW6" s="750" t="s">
        <v>268</v>
      </c>
      <c r="GX6" s="751"/>
      <c r="GY6" s="751"/>
      <c r="GZ6" s="751"/>
      <c r="HA6" s="751"/>
      <c r="HB6" s="750" t="s">
        <v>269</v>
      </c>
      <c r="HC6" s="751"/>
      <c r="HD6" s="751"/>
      <c r="HE6" s="751"/>
      <c r="HF6" s="751"/>
      <c r="HG6" s="750" t="s">
        <v>270</v>
      </c>
      <c r="HH6" s="751"/>
      <c r="HI6" s="751"/>
      <c r="HJ6" s="751"/>
      <c r="HK6" s="751"/>
      <c r="HL6" s="750" t="s">
        <v>1</v>
      </c>
      <c r="HM6" s="751"/>
      <c r="HN6" s="751"/>
      <c r="HO6" s="751"/>
      <c r="HP6" s="772"/>
      <c r="HQ6" s="750" t="s">
        <v>273</v>
      </c>
      <c r="HR6" s="751"/>
      <c r="HS6" s="751"/>
      <c r="HT6" s="751"/>
      <c r="HU6" s="751"/>
      <c r="HV6" s="750" t="s">
        <v>274</v>
      </c>
      <c r="HW6" s="751"/>
      <c r="HX6" s="751"/>
      <c r="HY6" s="751"/>
      <c r="HZ6" s="751"/>
      <c r="IA6" s="750" t="s">
        <v>275</v>
      </c>
      <c r="IB6" s="751"/>
      <c r="IC6" s="751"/>
      <c r="ID6" s="751"/>
      <c r="IE6" s="751"/>
      <c r="IF6" s="750" t="s">
        <v>2</v>
      </c>
      <c r="IG6" s="751"/>
      <c r="IH6" s="751"/>
      <c r="II6" s="751"/>
      <c r="IJ6" s="772"/>
      <c r="IK6" s="750" t="s">
        <v>276</v>
      </c>
      <c r="IL6" s="751"/>
      <c r="IM6" s="751"/>
      <c r="IN6" s="751"/>
      <c r="IO6" s="751"/>
      <c r="IP6" s="750" t="s">
        <v>277</v>
      </c>
      <c r="IQ6" s="751"/>
      <c r="IR6" s="751"/>
      <c r="IS6" s="751"/>
      <c r="IT6" s="751"/>
      <c r="IU6" s="21" t="s">
        <v>278</v>
      </c>
      <c r="IV6" s="751"/>
    </row>
    <row r="7" spans="1:256" s="20" customFormat="1" ht="15.75" customHeight="1" x14ac:dyDescent="0.25">
      <c r="A7" s="775"/>
      <c r="B7" s="760" t="s">
        <v>5</v>
      </c>
      <c r="C7" s="765" t="s">
        <v>6</v>
      </c>
      <c r="D7" s="765"/>
      <c r="E7" s="765"/>
      <c r="F7" s="765"/>
      <c r="G7" s="765"/>
      <c r="H7" s="765"/>
      <c r="I7" s="765"/>
      <c r="J7" s="765"/>
      <c r="K7" s="765"/>
      <c r="L7" s="765"/>
      <c r="M7" s="755" t="s">
        <v>5</v>
      </c>
      <c r="N7" s="759" t="s">
        <v>6</v>
      </c>
      <c r="O7" s="759"/>
      <c r="P7" s="759"/>
      <c r="Q7" s="759"/>
      <c r="R7" s="759"/>
      <c r="S7" s="759"/>
      <c r="T7" s="759"/>
      <c r="U7" s="759"/>
      <c r="V7" s="759"/>
      <c r="W7" s="759"/>
      <c r="X7" s="754" t="s">
        <v>5</v>
      </c>
      <c r="Y7" s="759" t="s">
        <v>6</v>
      </c>
      <c r="Z7" s="759"/>
      <c r="AA7" s="759"/>
      <c r="AB7" s="759"/>
      <c r="AC7" s="759"/>
      <c r="AD7" s="759"/>
      <c r="AE7" s="759"/>
      <c r="AF7" s="759"/>
      <c r="AG7" s="759"/>
      <c r="AH7" s="759"/>
      <c r="AI7" s="754" t="s">
        <v>5</v>
      </c>
      <c r="AJ7" s="759" t="s">
        <v>6</v>
      </c>
      <c r="AK7" s="759"/>
      <c r="AL7" s="759"/>
      <c r="AM7" s="759"/>
      <c r="AN7" s="759"/>
      <c r="AO7" s="759"/>
      <c r="AP7" s="759"/>
      <c r="AQ7" s="759"/>
      <c r="AR7" s="759"/>
      <c r="AS7" s="759"/>
      <c r="AT7" s="755" t="s">
        <v>5</v>
      </c>
      <c r="AU7" s="756" t="s">
        <v>6</v>
      </c>
      <c r="AV7" s="757"/>
      <c r="AW7" s="757"/>
      <c r="AX7" s="757"/>
      <c r="AY7" s="757"/>
      <c r="AZ7" s="757"/>
      <c r="BA7" s="757"/>
      <c r="BB7" s="757"/>
      <c r="BC7" s="757"/>
      <c r="BD7" s="758"/>
      <c r="BE7" s="754" t="s">
        <v>5</v>
      </c>
      <c r="BF7" s="759" t="s">
        <v>6</v>
      </c>
      <c r="BG7" s="759"/>
      <c r="BH7" s="759"/>
      <c r="BI7" s="759"/>
      <c r="BJ7" s="759"/>
      <c r="BK7" s="759"/>
      <c r="BL7" s="759"/>
      <c r="BM7" s="759"/>
      <c r="BN7" s="759"/>
      <c r="BO7" s="759"/>
      <c r="BP7" s="754" t="s">
        <v>5</v>
      </c>
      <c r="BQ7" s="759" t="s">
        <v>6</v>
      </c>
      <c r="BR7" s="759"/>
      <c r="BS7" s="759"/>
      <c r="BT7" s="759"/>
      <c r="BU7" s="759"/>
      <c r="BV7" s="759"/>
      <c r="BW7" s="759"/>
      <c r="BX7" s="759"/>
      <c r="BY7" s="759"/>
      <c r="BZ7" s="759"/>
      <c r="CA7" s="754" t="s">
        <v>5</v>
      </c>
      <c r="CB7" s="759" t="s">
        <v>6</v>
      </c>
      <c r="CC7" s="759"/>
      <c r="CD7" s="759"/>
      <c r="CE7" s="759"/>
      <c r="CF7" s="759"/>
      <c r="CG7" s="759"/>
      <c r="CH7" s="759"/>
      <c r="CI7" s="759"/>
      <c r="CJ7" s="759"/>
      <c r="CK7" s="759"/>
      <c r="CL7" s="755" t="s">
        <v>5</v>
      </c>
      <c r="CM7" s="756" t="s">
        <v>6</v>
      </c>
      <c r="CN7" s="757"/>
      <c r="CO7" s="757"/>
      <c r="CP7" s="757"/>
      <c r="CQ7" s="757"/>
      <c r="CR7" s="757"/>
      <c r="CS7" s="757"/>
      <c r="CT7" s="757"/>
      <c r="CU7" s="757"/>
      <c r="CV7" s="758"/>
      <c r="CW7" s="754" t="s">
        <v>5</v>
      </c>
      <c r="CX7" s="759" t="s">
        <v>6</v>
      </c>
      <c r="CY7" s="759"/>
      <c r="CZ7" s="759"/>
      <c r="DA7" s="759"/>
      <c r="DB7" s="759"/>
      <c r="DC7" s="759"/>
      <c r="DD7" s="759"/>
      <c r="DE7" s="759"/>
      <c r="DF7" s="759"/>
      <c r="DG7" s="759"/>
      <c r="DH7" s="754" t="s">
        <v>5</v>
      </c>
      <c r="DI7" s="759" t="s">
        <v>6</v>
      </c>
      <c r="DJ7" s="759"/>
      <c r="DK7" s="759"/>
      <c r="DL7" s="759"/>
      <c r="DM7" s="759"/>
      <c r="DN7" s="759"/>
      <c r="DO7" s="759"/>
      <c r="DP7" s="759"/>
      <c r="DQ7" s="759"/>
      <c r="DR7" s="759"/>
      <c r="DS7" s="754" t="s">
        <v>5</v>
      </c>
      <c r="DT7" s="759" t="s">
        <v>6</v>
      </c>
      <c r="DU7" s="759"/>
      <c r="DV7" s="759"/>
      <c r="DW7" s="759"/>
      <c r="DX7" s="759"/>
      <c r="DY7" s="759"/>
      <c r="DZ7" s="759"/>
      <c r="EA7" s="759"/>
      <c r="EB7" s="759"/>
      <c r="EC7" s="759"/>
      <c r="ED7" s="755" t="s">
        <v>5</v>
      </c>
      <c r="EE7" s="756" t="s">
        <v>6</v>
      </c>
      <c r="EF7" s="757"/>
      <c r="EG7" s="757"/>
      <c r="EH7" s="757"/>
      <c r="EI7" s="757"/>
      <c r="EJ7" s="757"/>
      <c r="EK7" s="757"/>
      <c r="EL7" s="757"/>
      <c r="EM7" s="757"/>
      <c r="EN7" s="758"/>
      <c r="EO7" s="754" t="s">
        <v>5</v>
      </c>
      <c r="EP7" s="759" t="s">
        <v>6</v>
      </c>
      <c r="EQ7" s="759"/>
      <c r="ER7" s="759"/>
      <c r="ES7" s="759"/>
      <c r="ET7" s="759"/>
      <c r="EU7" s="759"/>
      <c r="EV7" s="759"/>
      <c r="EW7" s="759"/>
      <c r="EX7" s="759"/>
      <c r="EY7" s="759"/>
      <c r="EZ7" s="754" t="s">
        <v>5</v>
      </c>
      <c r="FA7" s="759" t="s">
        <v>6</v>
      </c>
      <c r="FB7" s="759"/>
      <c r="FC7" s="759"/>
      <c r="FD7" s="759"/>
      <c r="FE7" s="759"/>
      <c r="FF7" s="759"/>
      <c r="FG7" s="759"/>
      <c r="FH7" s="759"/>
      <c r="FI7" s="759"/>
      <c r="FJ7" s="759"/>
      <c r="FK7" s="754" t="s">
        <v>5</v>
      </c>
      <c r="FL7" s="759" t="s">
        <v>6</v>
      </c>
      <c r="FM7" s="759"/>
      <c r="FN7" s="759"/>
      <c r="FO7" s="759"/>
      <c r="FP7" s="759"/>
      <c r="FQ7" s="759"/>
      <c r="FR7" s="759"/>
      <c r="FS7" s="759"/>
      <c r="FT7" s="759"/>
      <c r="FU7" s="759"/>
      <c r="FV7" s="755" t="s">
        <v>5</v>
      </c>
      <c r="FW7" s="756" t="s">
        <v>6</v>
      </c>
      <c r="FX7" s="757"/>
      <c r="FY7" s="757"/>
      <c r="FZ7" s="757"/>
      <c r="GA7" s="757"/>
      <c r="GB7" s="757"/>
      <c r="GC7" s="757"/>
      <c r="GD7" s="757"/>
      <c r="GE7" s="757"/>
      <c r="GF7" s="758"/>
      <c r="GG7" s="768" t="s">
        <v>5</v>
      </c>
      <c r="GH7" s="770" t="s">
        <v>6</v>
      </c>
      <c r="GI7" s="770"/>
      <c r="GJ7" s="770"/>
      <c r="GK7" s="770"/>
      <c r="GL7" s="770"/>
      <c r="GM7" s="770"/>
      <c r="GN7" s="770"/>
      <c r="GO7" s="770"/>
      <c r="GP7" s="770"/>
      <c r="GQ7" s="770"/>
      <c r="GR7" s="785"/>
      <c r="GS7" s="786"/>
      <c r="GT7" s="786"/>
      <c r="GU7" s="786"/>
      <c r="GV7" s="786"/>
      <c r="GW7" s="752"/>
      <c r="GX7" s="753"/>
      <c r="GY7" s="753"/>
      <c r="GZ7" s="753"/>
      <c r="HA7" s="753"/>
      <c r="HB7" s="752"/>
      <c r="HC7" s="753"/>
      <c r="HD7" s="753"/>
      <c r="HE7" s="753"/>
      <c r="HF7" s="753"/>
      <c r="HG7" s="752"/>
      <c r="HH7" s="753"/>
      <c r="HI7" s="753"/>
      <c r="HJ7" s="753"/>
      <c r="HK7" s="753"/>
      <c r="HL7" s="752"/>
      <c r="HM7" s="753"/>
      <c r="HN7" s="753"/>
      <c r="HO7" s="753"/>
      <c r="HP7" s="773"/>
      <c r="HQ7" s="752"/>
      <c r="HR7" s="753"/>
      <c r="HS7" s="753"/>
      <c r="HT7" s="753"/>
      <c r="HU7" s="753"/>
      <c r="HV7" s="752"/>
      <c r="HW7" s="753"/>
      <c r="HX7" s="753"/>
      <c r="HY7" s="753"/>
      <c r="HZ7" s="753"/>
      <c r="IA7" s="752"/>
      <c r="IB7" s="753"/>
      <c r="IC7" s="753"/>
      <c r="ID7" s="753"/>
      <c r="IE7" s="753"/>
      <c r="IF7" s="752"/>
      <c r="IG7" s="753"/>
      <c r="IH7" s="753"/>
      <c r="II7" s="753"/>
      <c r="IJ7" s="773"/>
      <c r="IK7" s="752"/>
      <c r="IL7" s="753"/>
      <c r="IM7" s="753"/>
      <c r="IN7" s="753"/>
      <c r="IO7" s="753"/>
      <c r="IP7" s="752"/>
      <c r="IQ7" s="753"/>
      <c r="IR7" s="753"/>
      <c r="IS7" s="753"/>
      <c r="IT7" s="753"/>
      <c r="IU7" s="22"/>
      <c r="IV7" s="753"/>
    </row>
    <row r="8" spans="1:256" s="20" customFormat="1" ht="63.75" x14ac:dyDescent="0.25">
      <c r="A8" s="776"/>
      <c r="B8" s="761"/>
      <c r="C8" s="23" t="s">
        <v>7</v>
      </c>
      <c r="D8" s="23" t="s">
        <v>8</v>
      </c>
      <c r="E8" s="23" t="s">
        <v>9</v>
      </c>
      <c r="F8" s="23" t="s">
        <v>10</v>
      </c>
      <c r="G8" s="23" t="s">
        <v>11</v>
      </c>
      <c r="H8" s="23" t="s">
        <v>12</v>
      </c>
      <c r="I8" s="23" t="s">
        <v>13</v>
      </c>
      <c r="J8" s="23" t="s">
        <v>14</v>
      </c>
      <c r="K8" s="23" t="s">
        <v>15</v>
      </c>
      <c r="L8" s="23" t="s">
        <v>16</v>
      </c>
      <c r="M8" s="767"/>
      <c r="N8" s="24" t="s">
        <v>7</v>
      </c>
      <c r="O8" s="24" t="s">
        <v>8</v>
      </c>
      <c r="P8" s="24" t="s">
        <v>9</v>
      </c>
      <c r="Q8" s="24" t="s">
        <v>10</v>
      </c>
      <c r="R8" s="24" t="s">
        <v>11</v>
      </c>
      <c r="S8" s="24" t="s">
        <v>12</v>
      </c>
      <c r="T8" s="24" t="s">
        <v>13</v>
      </c>
      <c r="U8" s="24" t="s">
        <v>14</v>
      </c>
      <c r="V8" s="24" t="s">
        <v>15</v>
      </c>
      <c r="W8" s="24" t="s">
        <v>16</v>
      </c>
      <c r="X8" s="755"/>
      <c r="Y8" s="24" t="s">
        <v>7</v>
      </c>
      <c r="Z8" s="24" t="s">
        <v>8</v>
      </c>
      <c r="AA8" s="24" t="s">
        <v>9</v>
      </c>
      <c r="AB8" s="24" t="s">
        <v>10</v>
      </c>
      <c r="AC8" s="24" t="s">
        <v>11</v>
      </c>
      <c r="AD8" s="24" t="s">
        <v>12</v>
      </c>
      <c r="AE8" s="24" t="s">
        <v>13</v>
      </c>
      <c r="AF8" s="24" t="s">
        <v>14</v>
      </c>
      <c r="AG8" s="24" t="s">
        <v>15</v>
      </c>
      <c r="AH8" s="24" t="s">
        <v>16</v>
      </c>
      <c r="AI8" s="755"/>
      <c r="AJ8" s="24" t="s">
        <v>7</v>
      </c>
      <c r="AK8" s="24" t="s">
        <v>8</v>
      </c>
      <c r="AL8" s="24" t="s">
        <v>9</v>
      </c>
      <c r="AM8" s="24" t="s">
        <v>10</v>
      </c>
      <c r="AN8" s="24" t="s">
        <v>11</v>
      </c>
      <c r="AO8" s="24" t="s">
        <v>12</v>
      </c>
      <c r="AP8" s="24" t="s">
        <v>13</v>
      </c>
      <c r="AQ8" s="24" t="s">
        <v>14</v>
      </c>
      <c r="AR8" s="24" t="s">
        <v>15</v>
      </c>
      <c r="AS8" s="24" t="s">
        <v>16</v>
      </c>
      <c r="AT8" s="767"/>
      <c r="AU8" s="24" t="s">
        <v>7</v>
      </c>
      <c r="AV8" s="24" t="s">
        <v>8</v>
      </c>
      <c r="AW8" s="24" t="s">
        <v>9</v>
      </c>
      <c r="AX8" s="24" t="s">
        <v>10</v>
      </c>
      <c r="AY8" s="24" t="s">
        <v>11</v>
      </c>
      <c r="AZ8" s="24" t="s">
        <v>12</v>
      </c>
      <c r="BA8" s="24" t="s">
        <v>13</v>
      </c>
      <c r="BB8" s="24" t="s">
        <v>14</v>
      </c>
      <c r="BC8" s="24" t="s">
        <v>15</v>
      </c>
      <c r="BD8" s="24" t="s">
        <v>16</v>
      </c>
      <c r="BE8" s="755"/>
      <c r="BF8" s="24" t="s">
        <v>7</v>
      </c>
      <c r="BG8" s="24" t="s">
        <v>8</v>
      </c>
      <c r="BH8" s="24" t="s">
        <v>9</v>
      </c>
      <c r="BI8" s="24" t="s">
        <v>10</v>
      </c>
      <c r="BJ8" s="24" t="s">
        <v>11</v>
      </c>
      <c r="BK8" s="24" t="s">
        <v>12</v>
      </c>
      <c r="BL8" s="24" t="s">
        <v>13</v>
      </c>
      <c r="BM8" s="24" t="s">
        <v>14</v>
      </c>
      <c r="BN8" s="24" t="s">
        <v>15</v>
      </c>
      <c r="BO8" s="24" t="s">
        <v>16</v>
      </c>
      <c r="BP8" s="755"/>
      <c r="BQ8" s="24" t="s">
        <v>7</v>
      </c>
      <c r="BR8" s="24" t="s">
        <v>8</v>
      </c>
      <c r="BS8" s="24" t="s">
        <v>9</v>
      </c>
      <c r="BT8" s="24" t="s">
        <v>10</v>
      </c>
      <c r="BU8" s="24" t="s">
        <v>11</v>
      </c>
      <c r="BV8" s="24" t="s">
        <v>12</v>
      </c>
      <c r="BW8" s="24" t="s">
        <v>13</v>
      </c>
      <c r="BX8" s="24" t="s">
        <v>14</v>
      </c>
      <c r="BY8" s="24" t="s">
        <v>15</v>
      </c>
      <c r="BZ8" s="24" t="s">
        <v>16</v>
      </c>
      <c r="CA8" s="755"/>
      <c r="CB8" s="24" t="s">
        <v>7</v>
      </c>
      <c r="CC8" s="24" t="s">
        <v>8</v>
      </c>
      <c r="CD8" s="24" t="s">
        <v>9</v>
      </c>
      <c r="CE8" s="24" t="s">
        <v>10</v>
      </c>
      <c r="CF8" s="24" t="s">
        <v>11</v>
      </c>
      <c r="CG8" s="24" t="s">
        <v>12</v>
      </c>
      <c r="CH8" s="24" t="s">
        <v>13</v>
      </c>
      <c r="CI8" s="24" t="s">
        <v>14</v>
      </c>
      <c r="CJ8" s="24" t="s">
        <v>15</v>
      </c>
      <c r="CK8" s="24" t="s">
        <v>16</v>
      </c>
      <c r="CL8" s="767"/>
      <c r="CM8" s="24" t="s">
        <v>7</v>
      </c>
      <c r="CN8" s="24" t="s">
        <v>8</v>
      </c>
      <c r="CO8" s="24" t="s">
        <v>9</v>
      </c>
      <c r="CP8" s="24" t="s">
        <v>10</v>
      </c>
      <c r="CQ8" s="24" t="s">
        <v>11</v>
      </c>
      <c r="CR8" s="24" t="s">
        <v>12</v>
      </c>
      <c r="CS8" s="24" t="s">
        <v>13</v>
      </c>
      <c r="CT8" s="24" t="s">
        <v>14</v>
      </c>
      <c r="CU8" s="24" t="s">
        <v>15</v>
      </c>
      <c r="CV8" s="24" t="s">
        <v>16</v>
      </c>
      <c r="CW8" s="755"/>
      <c r="CX8" s="24" t="s">
        <v>7</v>
      </c>
      <c r="CY8" s="24" t="s">
        <v>8</v>
      </c>
      <c r="CZ8" s="24" t="s">
        <v>9</v>
      </c>
      <c r="DA8" s="24" t="s">
        <v>10</v>
      </c>
      <c r="DB8" s="24" t="s">
        <v>11</v>
      </c>
      <c r="DC8" s="24" t="s">
        <v>12</v>
      </c>
      <c r="DD8" s="24" t="s">
        <v>13</v>
      </c>
      <c r="DE8" s="24" t="s">
        <v>14</v>
      </c>
      <c r="DF8" s="24" t="s">
        <v>15</v>
      </c>
      <c r="DG8" s="24" t="s">
        <v>16</v>
      </c>
      <c r="DH8" s="755"/>
      <c r="DI8" s="24" t="s">
        <v>7</v>
      </c>
      <c r="DJ8" s="24" t="s">
        <v>8</v>
      </c>
      <c r="DK8" s="24" t="s">
        <v>9</v>
      </c>
      <c r="DL8" s="24" t="s">
        <v>10</v>
      </c>
      <c r="DM8" s="24" t="s">
        <v>11</v>
      </c>
      <c r="DN8" s="24" t="s">
        <v>12</v>
      </c>
      <c r="DO8" s="24" t="s">
        <v>13</v>
      </c>
      <c r="DP8" s="24" t="s">
        <v>14</v>
      </c>
      <c r="DQ8" s="24" t="s">
        <v>15</v>
      </c>
      <c r="DR8" s="24" t="s">
        <v>16</v>
      </c>
      <c r="DS8" s="755"/>
      <c r="DT8" s="24" t="s">
        <v>7</v>
      </c>
      <c r="DU8" s="24" t="s">
        <v>8</v>
      </c>
      <c r="DV8" s="24" t="s">
        <v>9</v>
      </c>
      <c r="DW8" s="24" t="s">
        <v>10</v>
      </c>
      <c r="DX8" s="24" t="s">
        <v>11</v>
      </c>
      <c r="DY8" s="24" t="s">
        <v>12</v>
      </c>
      <c r="DZ8" s="24" t="s">
        <v>13</v>
      </c>
      <c r="EA8" s="24" t="s">
        <v>14</v>
      </c>
      <c r="EB8" s="24" t="s">
        <v>15</v>
      </c>
      <c r="EC8" s="24" t="s">
        <v>16</v>
      </c>
      <c r="ED8" s="767"/>
      <c r="EE8" s="24" t="s">
        <v>7</v>
      </c>
      <c r="EF8" s="24" t="s">
        <v>8</v>
      </c>
      <c r="EG8" s="24" t="s">
        <v>9</v>
      </c>
      <c r="EH8" s="24" t="s">
        <v>10</v>
      </c>
      <c r="EI8" s="24" t="s">
        <v>11</v>
      </c>
      <c r="EJ8" s="24" t="s">
        <v>12</v>
      </c>
      <c r="EK8" s="24" t="s">
        <v>13</v>
      </c>
      <c r="EL8" s="24" t="s">
        <v>14</v>
      </c>
      <c r="EM8" s="24" t="s">
        <v>15</v>
      </c>
      <c r="EN8" s="24" t="s">
        <v>16</v>
      </c>
      <c r="EO8" s="755"/>
      <c r="EP8" s="24" t="s">
        <v>7</v>
      </c>
      <c r="EQ8" s="24" t="s">
        <v>8</v>
      </c>
      <c r="ER8" s="24" t="s">
        <v>9</v>
      </c>
      <c r="ES8" s="24" t="s">
        <v>10</v>
      </c>
      <c r="ET8" s="24" t="s">
        <v>11</v>
      </c>
      <c r="EU8" s="24" t="s">
        <v>12</v>
      </c>
      <c r="EV8" s="24" t="s">
        <v>13</v>
      </c>
      <c r="EW8" s="24" t="s">
        <v>14</v>
      </c>
      <c r="EX8" s="24" t="s">
        <v>15</v>
      </c>
      <c r="EY8" s="24" t="s">
        <v>16</v>
      </c>
      <c r="EZ8" s="755"/>
      <c r="FA8" s="24" t="s">
        <v>7</v>
      </c>
      <c r="FB8" s="24" t="s">
        <v>8</v>
      </c>
      <c r="FC8" s="24" t="s">
        <v>9</v>
      </c>
      <c r="FD8" s="24" t="s">
        <v>10</v>
      </c>
      <c r="FE8" s="24" t="s">
        <v>11</v>
      </c>
      <c r="FF8" s="24" t="s">
        <v>12</v>
      </c>
      <c r="FG8" s="24" t="s">
        <v>13</v>
      </c>
      <c r="FH8" s="24" t="s">
        <v>14</v>
      </c>
      <c r="FI8" s="24" t="s">
        <v>15</v>
      </c>
      <c r="FJ8" s="24" t="s">
        <v>16</v>
      </c>
      <c r="FK8" s="755"/>
      <c r="FL8" s="24" t="s">
        <v>7</v>
      </c>
      <c r="FM8" s="24" t="s">
        <v>8</v>
      </c>
      <c r="FN8" s="24" t="s">
        <v>9</v>
      </c>
      <c r="FO8" s="24" t="s">
        <v>10</v>
      </c>
      <c r="FP8" s="24" t="s">
        <v>11</v>
      </c>
      <c r="FQ8" s="24" t="s">
        <v>12</v>
      </c>
      <c r="FR8" s="24" t="s">
        <v>13</v>
      </c>
      <c r="FS8" s="24" t="s">
        <v>14</v>
      </c>
      <c r="FT8" s="24" t="s">
        <v>15</v>
      </c>
      <c r="FU8" s="24" t="s">
        <v>16</v>
      </c>
      <c r="FV8" s="767"/>
      <c r="FW8" s="24" t="s">
        <v>7</v>
      </c>
      <c r="FX8" s="24" t="s">
        <v>8</v>
      </c>
      <c r="FY8" s="24" t="s">
        <v>9</v>
      </c>
      <c r="FZ8" s="24" t="s">
        <v>10</v>
      </c>
      <c r="GA8" s="24" t="s">
        <v>11</v>
      </c>
      <c r="GB8" s="24" t="s">
        <v>12</v>
      </c>
      <c r="GC8" s="24" t="s">
        <v>13</v>
      </c>
      <c r="GD8" s="24" t="s">
        <v>14</v>
      </c>
      <c r="GE8" s="24" t="s">
        <v>15</v>
      </c>
      <c r="GF8" s="24" t="s">
        <v>16</v>
      </c>
      <c r="GG8" s="769"/>
      <c r="GH8" s="25" t="s">
        <v>7</v>
      </c>
      <c r="GI8" s="25" t="s">
        <v>8</v>
      </c>
      <c r="GJ8" s="25" t="s">
        <v>9</v>
      </c>
      <c r="GK8" s="25" t="s">
        <v>10</v>
      </c>
      <c r="GL8" s="25" t="s">
        <v>11</v>
      </c>
      <c r="GM8" s="25" t="s">
        <v>12</v>
      </c>
      <c r="GN8" s="25" t="s">
        <v>13</v>
      </c>
      <c r="GO8" s="25" t="s">
        <v>14</v>
      </c>
      <c r="GP8" s="25" t="s">
        <v>15</v>
      </c>
      <c r="GQ8" s="25" t="s">
        <v>16</v>
      </c>
      <c r="GR8" s="26" t="s">
        <v>17</v>
      </c>
      <c r="GS8" s="26" t="s">
        <v>18</v>
      </c>
      <c r="GT8" s="26" t="s">
        <v>19</v>
      </c>
      <c r="GU8" s="26" t="s">
        <v>20</v>
      </c>
      <c r="GV8" s="26" t="s">
        <v>21</v>
      </c>
      <c r="GW8" s="27" t="s">
        <v>17</v>
      </c>
      <c r="GX8" s="27" t="s">
        <v>18</v>
      </c>
      <c r="GY8" s="27" t="s">
        <v>19</v>
      </c>
      <c r="GZ8" s="27" t="s">
        <v>20</v>
      </c>
      <c r="HA8" s="27" t="s">
        <v>21</v>
      </c>
      <c r="HB8" s="27" t="s">
        <v>17</v>
      </c>
      <c r="HC8" s="27" t="s">
        <v>18</v>
      </c>
      <c r="HD8" s="27" t="s">
        <v>19</v>
      </c>
      <c r="HE8" s="27" t="s">
        <v>20</v>
      </c>
      <c r="HF8" s="27" t="s">
        <v>21</v>
      </c>
      <c r="HG8" s="27" t="s">
        <v>17</v>
      </c>
      <c r="HH8" s="27" t="s">
        <v>18</v>
      </c>
      <c r="HI8" s="27" t="s">
        <v>19</v>
      </c>
      <c r="HJ8" s="27" t="s">
        <v>20</v>
      </c>
      <c r="HK8" s="27" t="s">
        <v>21</v>
      </c>
      <c r="HL8" s="27" t="s">
        <v>17</v>
      </c>
      <c r="HM8" s="27" t="s">
        <v>18</v>
      </c>
      <c r="HN8" s="27" t="s">
        <v>19</v>
      </c>
      <c r="HO8" s="27" t="s">
        <v>20</v>
      </c>
      <c r="HP8" s="27" t="s">
        <v>21</v>
      </c>
      <c r="HQ8" s="27" t="s">
        <v>17</v>
      </c>
      <c r="HR8" s="27" t="s">
        <v>18</v>
      </c>
      <c r="HS8" s="27" t="s">
        <v>19</v>
      </c>
      <c r="HT8" s="27" t="s">
        <v>20</v>
      </c>
      <c r="HU8" s="27" t="s">
        <v>21</v>
      </c>
      <c r="HV8" s="27" t="s">
        <v>17</v>
      </c>
      <c r="HW8" s="27" t="s">
        <v>18</v>
      </c>
      <c r="HX8" s="27" t="s">
        <v>19</v>
      </c>
      <c r="HY8" s="27" t="s">
        <v>20</v>
      </c>
      <c r="HZ8" s="27" t="s">
        <v>21</v>
      </c>
      <c r="IA8" s="27" t="s">
        <v>17</v>
      </c>
      <c r="IB8" s="27" t="s">
        <v>18</v>
      </c>
      <c r="IC8" s="27" t="s">
        <v>19</v>
      </c>
      <c r="ID8" s="27" t="s">
        <v>20</v>
      </c>
      <c r="IE8" s="27" t="s">
        <v>21</v>
      </c>
      <c r="IF8" s="27" t="s">
        <v>17</v>
      </c>
      <c r="IG8" s="27" t="s">
        <v>18</v>
      </c>
      <c r="IH8" s="27" t="s">
        <v>19</v>
      </c>
      <c r="II8" s="27" t="s">
        <v>20</v>
      </c>
      <c r="IJ8" s="27" t="s">
        <v>21</v>
      </c>
      <c r="IK8" s="27" t="s">
        <v>17</v>
      </c>
      <c r="IL8" s="27" t="s">
        <v>18</v>
      </c>
      <c r="IM8" s="27" t="s">
        <v>19</v>
      </c>
      <c r="IN8" s="27" t="s">
        <v>20</v>
      </c>
      <c r="IO8" s="27" t="s">
        <v>21</v>
      </c>
      <c r="IP8" s="27" t="s">
        <v>17</v>
      </c>
      <c r="IQ8" s="27" t="s">
        <v>18</v>
      </c>
      <c r="IR8" s="27" t="s">
        <v>19</v>
      </c>
      <c r="IS8" s="27" t="s">
        <v>20</v>
      </c>
      <c r="IT8" s="27" t="s">
        <v>21</v>
      </c>
      <c r="IU8" s="27" t="s">
        <v>17</v>
      </c>
      <c r="IV8" s="27" t="s">
        <v>18</v>
      </c>
    </row>
    <row r="9" spans="1:256" s="1" customFormat="1" x14ac:dyDescent="0.25">
      <c r="A9" s="28"/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M9" s="29"/>
      <c r="N9" s="30"/>
      <c r="O9" s="30"/>
      <c r="P9" s="30"/>
      <c r="Q9" s="30"/>
      <c r="R9" s="30"/>
      <c r="S9" s="30"/>
      <c r="T9" s="30"/>
      <c r="U9" s="30"/>
      <c r="V9" s="30"/>
      <c r="W9" s="31"/>
      <c r="X9" s="29"/>
      <c r="Y9" s="30"/>
      <c r="Z9" s="30"/>
      <c r="AA9" s="30"/>
      <c r="AB9" s="30"/>
      <c r="AC9" s="30"/>
      <c r="AD9" s="30"/>
      <c r="AE9" s="30"/>
      <c r="AF9" s="30"/>
      <c r="AG9" s="30"/>
      <c r="AH9" s="31"/>
      <c r="AI9" s="29"/>
      <c r="AJ9" s="30"/>
      <c r="AK9" s="30"/>
      <c r="AL9" s="30"/>
      <c r="AM9" s="30"/>
      <c r="AN9" s="30"/>
      <c r="AO9" s="30"/>
      <c r="AP9" s="30"/>
      <c r="AQ9" s="30"/>
      <c r="AR9" s="30"/>
      <c r="AS9" s="31"/>
      <c r="AT9" s="29"/>
      <c r="AU9" s="30"/>
      <c r="AV9" s="30"/>
      <c r="AW9" s="30"/>
      <c r="AX9" s="30"/>
      <c r="AY9" s="30"/>
      <c r="AZ9" s="30"/>
      <c r="BA9" s="30"/>
      <c r="BB9" s="30"/>
      <c r="BC9" s="30"/>
      <c r="BD9" s="31"/>
      <c r="BE9" s="29"/>
      <c r="BF9" s="30"/>
      <c r="BG9" s="30"/>
      <c r="BH9" s="30"/>
      <c r="BI9" s="30"/>
      <c r="BJ9" s="30"/>
      <c r="BK9" s="30"/>
      <c r="BL9" s="30"/>
      <c r="BM9" s="30"/>
      <c r="BN9" s="30"/>
      <c r="BO9" s="31"/>
      <c r="BP9" s="29"/>
      <c r="BQ9" s="30"/>
      <c r="BR9" s="30"/>
      <c r="BS9" s="30"/>
      <c r="BT9" s="30"/>
      <c r="BU9" s="30"/>
      <c r="BV9" s="30"/>
      <c r="BW9" s="30"/>
      <c r="BX9" s="30"/>
      <c r="BY9" s="30"/>
      <c r="BZ9" s="31"/>
      <c r="CA9" s="29"/>
      <c r="CB9" s="30"/>
      <c r="CC9" s="30"/>
      <c r="CD9" s="30"/>
      <c r="CE9" s="30"/>
      <c r="CF9" s="30"/>
      <c r="CG9" s="30"/>
      <c r="CH9" s="30"/>
      <c r="CI9" s="30"/>
      <c r="CJ9" s="30"/>
      <c r="CK9" s="31"/>
      <c r="CL9" s="29"/>
      <c r="CM9" s="30"/>
      <c r="CN9" s="30"/>
      <c r="CO9" s="30"/>
      <c r="CP9" s="30"/>
      <c r="CQ9" s="30"/>
      <c r="CR9" s="30"/>
      <c r="CS9" s="30"/>
      <c r="CT9" s="30"/>
      <c r="CU9" s="30"/>
      <c r="CV9" s="31"/>
      <c r="CW9" s="29"/>
      <c r="CX9" s="30"/>
      <c r="CY9" s="30"/>
      <c r="CZ9" s="30"/>
      <c r="DA9" s="30"/>
      <c r="DB9" s="30"/>
      <c r="DC9" s="30"/>
      <c r="DD9" s="30"/>
      <c r="DE9" s="30"/>
      <c r="DF9" s="30"/>
      <c r="DG9" s="31"/>
      <c r="DH9" s="29"/>
      <c r="DI9" s="30"/>
      <c r="DJ9" s="30"/>
      <c r="DK9" s="30"/>
      <c r="DL9" s="30"/>
      <c r="DM9" s="30"/>
      <c r="DN9" s="30"/>
      <c r="DO9" s="30"/>
      <c r="DP9" s="30"/>
      <c r="DQ9" s="30"/>
      <c r="DR9" s="31"/>
      <c r="DS9" s="29"/>
      <c r="DT9" s="30"/>
      <c r="DU9" s="30"/>
      <c r="DV9" s="30"/>
      <c r="DW9" s="30"/>
      <c r="DX9" s="30"/>
      <c r="DY9" s="30"/>
      <c r="DZ9" s="30"/>
      <c r="EA9" s="30"/>
      <c r="EB9" s="30"/>
      <c r="EC9" s="31"/>
      <c r="ED9" s="29"/>
      <c r="EE9" s="30"/>
      <c r="EF9" s="30"/>
      <c r="EG9" s="30"/>
      <c r="EH9" s="30"/>
      <c r="EI9" s="30"/>
      <c r="EJ9" s="30"/>
      <c r="EK9" s="30"/>
      <c r="EL9" s="30"/>
      <c r="EM9" s="30"/>
      <c r="EN9" s="31"/>
      <c r="EO9" s="29"/>
      <c r="EP9" s="30"/>
      <c r="EQ9" s="30"/>
      <c r="ER9" s="30"/>
      <c r="ES9" s="30"/>
      <c r="ET9" s="30"/>
      <c r="EU9" s="30"/>
      <c r="EV9" s="30"/>
      <c r="EW9" s="30"/>
      <c r="EX9" s="30"/>
      <c r="EY9" s="31"/>
      <c r="EZ9" s="29"/>
      <c r="FA9" s="30"/>
      <c r="FB9" s="30"/>
      <c r="FC9" s="30"/>
      <c r="FD9" s="30"/>
      <c r="FE9" s="30"/>
      <c r="FF9" s="30"/>
      <c r="FG9" s="30"/>
      <c r="FH9" s="30"/>
      <c r="FI9" s="30"/>
      <c r="FJ9" s="31"/>
      <c r="FK9" s="29"/>
      <c r="FL9" s="30"/>
      <c r="FM9" s="30"/>
      <c r="FN9" s="30"/>
      <c r="FO9" s="30"/>
      <c r="FP9" s="30"/>
      <c r="FQ9" s="30"/>
      <c r="FR9" s="30"/>
      <c r="FS9" s="30"/>
      <c r="FT9" s="30"/>
      <c r="FU9" s="31"/>
      <c r="FV9" s="29"/>
      <c r="FW9" s="30"/>
      <c r="FX9" s="30"/>
      <c r="FY9" s="30"/>
      <c r="FZ9" s="30"/>
      <c r="GA9" s="30"/>
      <c r="GB9" s="30"/>
      <c r="GC9" s="30"/>
      <c r="GD9" s="30"/>
      <c r="GE9" s="30"/>
      <c r="GF9" s="31"/>
      <c r="GG9" s="29"/>
      <c r="GH9" s="30"/>
      <c r="GI9" s="30"/>
      <c r="GJ9" s="30"/>
      <c r="GK9" s="30"/>
      <c r="GL9" s="30"/>
      <c r="GM9" s="30"/>
      <c r="GN9" s="30"/>
      <c r="GO9" s="30"/>
      <c r="GP9" s="30"/>
      <c r="GQ9" s="31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1"/>
      <c r="HM9" s="31"/>
      <c r="HN9" s="31"/>
      <c r="HO9" s="31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1"/>
      <c r="IG9" s="31"/>
      <c r="IH9" s="31"/>
      <c r="II9" s="31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</row>
    <row r="10" spans="1:256" s="32" customFormat="1" x14ac:dyDescent="0.25">
      <c r="A10" s="33" t="s">
        <v>23</v>
      </c>
      <c r="B10" s="34">
        <f t="shared" ref="B10:Q12" si="0">B11</f>
        <v>25</v>
      </c>
      <c r="C10" s="35">
        <f t="shared" si="0"/>
        <v>11656</v>
      </c>
      <c r="D10" s="35">
        <f t="shared" si="0"/>
        <v>1279</v>
      </c>
      <c r="E10" s="35">
        <f t="shared" si="0"/>
        <v>745</v>
      </c>
      <c r="F10" s="35">
        <f t="shared" si="0"/>
        <v>266</v>
      </c>
      <c r="G10" s="35">
        <f t="shared" si="0"/>
        <v>198</v>
      </c>
      <c r="H10" s="35">
        <f t="shared" si="0"/>
        <v>490</v>
      </c>
      <c r="I10" s="35">
        <f t="shared" si="0"/>
        <v>0</v>
      </c>
      <c r="J10" s="35">
        <f t="shared" si="0"/>
        <v>1050</v>
      </c>
      <c r="K10" s="35">
        <f t="shared" si="0"/>
        <v>693</v>
      </c>
      <c r="L10" s="36">
        <f t="shared" si="0"/>
        <v>16479</v>
      </c>
      <c r="M10" s="34">
        <f t="shared" si="0"/>
        <v>0</v>
      </c>
      <c r="N10" s="35">
        <f t="shared" si="0"/>
        <v>0</v>
      </c>
      <c r="O10" s="35">
        <f t="shared" si="0"/>
        <v>0</v>
      </c>
      <c r="P10" s="35">
        <f t="shared" si="0"/>
        <v>0</v>
      </c>
      <c r="Q10" s="35">
        <f t="shared" si="0"/>
        <v>0</v>
      </c>
      <c r="R10" s="35">
        <f t="shared" ref="R10:BI12" si="1">R11</f>
        <v>0</v>
      </c>
      <c r="S10" s="35">
        <f t="shared" si="1"/>
        <v>0</v>
      </c>
      <c r="T10" s="35">
        <f t="shared" si="1"/>
        <v>0</v>
      </c>
      <c r="U10" s="35">
        <f t="shared" si="1"/>
        <v>0</v>
      </c>
      <c r="V10" s="35">
        <f t="shared" si="1"/>
        <v>0</v>
      </c>
      <c r="W10" s="36">
        <f t="shared" si="1"/>
        <v>0</v>
      </c>
      <c r="X10" s="34">
        <f t="shared" si="1"/>
        <v>0</v>
      </c>
      <c r="Y10" s="35">
        <f t="shared" si="1"/>
        <v>0</v>
      </c>
      <c r="Z10" s="35">
        <f t="shared" si="1"/>
        <v>0</v>
      </c>
      <c r="AA10" s="35">
        <f t="shared" si="1"/>
        <v>0</v>
      </c>
      <c r="AB10" s="35">
        <f t="shared" si="1"/>
        <v>0</v>
      </c>
      <c r="AC10" s="35">
        <f t="shared" si="1"/>
        <v>0</v>
      </c>
      <c r="AD10" s="35">
        <f t="shared" si="1"/>
        <v>0</v>
      </c>
      <c r="AE10" s="35">
        <f t="shared" si="1"/>
        <v>0</v>
      </c>
      <c r="AF10" s="35">
        <f t="shared" si="1"/>
        <v>0</v>
      </c>
      <c r="AG10" s="35">
        <f t="shared" si="1"/>
        <v>0</v>
      </c>
      <c r="AH10" s="36">
        <f t="shared" si="1"/>
        <v>0</v>
      </c>
      <c r="AI10" s="34">
        <f t="shared" si="1"/>
        <v>0</v>
      </c>
      <c r="AJ10" s="35">
        <f t="shared" si="1"/>
        <v>0</v>
      </c>
      <c r="AK10" s="35">
        <f t="shared" si="1"/>
        <v>0</v>
      </c>
      <c r="AL10" s="35">
        <f t="shared" si="1"/>
        <v>0</v>
      </c>
      <c r="AM10" s="35">
        <f t="shared" si="1"/>
        <v>0</v>
      </c>
      <c r="AN10" s="35">
        <f t="shared" si="1"/>
        <v>0</v>
      </c>
      <c r="AO10" s="35">
        <f t="shared" si="1"/>
        <v>0</v>
      </c>
      <c r="AP10" s="35">
        <f t="shared" si="1"/>
        <v>0</v>
      </c>
      <c r="AQ10" s="35">
        <f t="shared" si="1"/>
        <v>0</v>
      </c>
      <c r="AR10" s="35">
        <f t="shared" si="1"/>
        <v>0</v>
      </c>
      <c r="AS10" s="36">
        <f t="shared" si="1"/>
        <v>0</v>
      </c>
      <c r="AT10" s="34">
        <f t="shared" si="1"/>
        <v>0</v>
      </c>
      <c r="AU10" s="35">
        <f t="shared" si="1"/>
        <v>0</v>
      </c>
      <c r="AV10" s="35">
        <f t="shared" si="1"/>
        <v>0</v>
      </c>
      <c r="AW10" s="35">
        <f t="shared" si="1"/>
        <v>0</v>
      </c>
      <c r="AX10" s="35">
        <f t="shared" si="1"/>
        <v>0</v>
      </c>
      <c r="AY10" s="35">
        <f t="shared" si="1"/>
        <v>0</v>
      </c>
      <c r="AZ10" s="35">
        <f t="shared" si="1"/>
        <v>0</v>
      </c>
      <c r="BA10" s="35">
        <f t="shared" si="1"/>
        <v>0</v>
      </c>
      <c r="BB10" s="35">
        <f t="shared" si="1"/>
        <v>0</v>
      </c>
      <c r="BC10" s="35">
        <f t="shared" si="1"/>
        <v>0</v>
      </c>
      <c r="BD10" s="36">
        <f t="shared" si="1"/>
        <v>0</v>
      </c>
      <c r="BE10" s="34">
        <f t="shared" si="1"/>
        <v>0</v>
      </c>
      <c r="BF10" s="35">
        <f t="shared" si="1"/>
        <v>0</v>
      </c>
      <c r="BG10" s="35">
        <f t="shared" si="1"/>
        <v>0</v>
      </c>
      <c r="BH10" s="35">
        <f t="shared" si="1"/>
        <v>0</v>
      </c>
      <c r="BI10" s="35">
        <f t="shared" si="1"/>
        <v>0</v>
      </c>
      <c r="BJ10" s="35">
        <f t="shared" ref="BJ10:BY12" si="2">BJ11</f>
        <v>0</v>
      </c>
      <c r="BK10" s="35">
        <f t="shared" si="2"/>
        <v>0</v>
      </c>
      <c r="BL10" s="35">
        <f t="shared" si="2"/>
        <v>0</v>
      </c>
      <c r="BM10" s="35">
        <f t="shared" si="2"/>
        <v>0</v>
      </c>
      <c r="BN10" s="35">
        <f t="shared" si="2"/>
        <v>0</v>
      </c>
      <c r="BO10" s="36">
        <f t="shared" si="2"/>
        <v>0</v>
      </c>
      <c r="BP10" s="34">
        <f t="shared" si="2"/>
        <v>0</v>
      </c>
      <c r="BQ10" s="35">
        <f t="shared" si="2"/>
        <v>0</v>
      </c>
      <c r="BR10" s="35">
        <f t="shared" si="2"/>
        <v>0</v>
      </c>
      <c r="BS10" s="35">
        <f t="shared" si="2"/>
        <v>0</v>
      </c>
      <c r="BT10" s="35">
        <f t="shared" si="2"/>
        <v>0</v>
      </c>
      <c r="BU10" s="35">
        <f t="shared" si="2"/>
        <v>0</v>
      </c>
      <c r="BV10" s="35">
        <f t="shared" si="2"/>
        <v>0</v>
      </c>
      <c r="BW10" s="35">
        <f t="shared" si="2"/>
        <v>0</v>
      </c>
      <c r="BX10" s="35">
        <f t="shared" si="2"/>
        <v>0</v>
      </c>
      <c r="BY10" s="35">
        <f t="shared" si="2"/>
        <v>0</v>
      </c>
      <c r="BZ10" s="36">
        <f t="shared" ref="BZ10:DC12" si="3">BZ11</f>
        <v>0</v>
      </c>
      <c r="CA10" s="34">
        <f t="shared" si="3"/>
        <v>0</v>
      </c>
      <c r="CB10" s="35">
        <f t="shared" si="3"/>
        <v>0</v>
      </c>
      <c r="CC10" s="35">
        <f t="shared" si="3"/>
        <v>0</v>
      </c>
      <c r="CD10" s="35">
        <f t="shared" si="3"/>
        <v>0</v>
      </c>
      <c r="CE10" s="35">
        <f t="shared" si="3"/>
        <v>0</v>
      </c>
      <c r="CF10" s="35">
        <f t="shared" si="3"/>
        <v>0</v>
      </c>
      <c r="CG10" s="35">
        <f t="shared" si="3"/>
        <v>0</v>
      </c>
      <c r="CH10" s="35">
        <f t="shared" si="3"/>
        <v>0</v>
      </c>
      <c r="CI10" s="35">
        <f t="shared" si="3"/>
        <v>0</v>
      </c>
      <c r="CJ10" s="35">
        <f t="shared" si="3"/>
        <v>0</v>
      </c>
      <c r="CK10" s="36">
        <f t="shared" si="3"/>
        <v>0</v>
      </c>
      <c r="CL10" s="34">
        <f t="shared" si="3"/>
        <v>0</v>
      </c>
      <c r="CM10" s="35">
        <f t="shared" si="3"/>
        <v>0</v>
      </c>
      <c r="CN10" s="35">
        <f t="shared" si="3"/>
        <v>0</v>
      </c>
      <c r="CO10" s="35">
        <f t="shared" si="3"/>
        <v>0</v>
      </c>
      <c r="CP10" s="35">
        <f t="shared" si="3"/>
        <v>0</v>
      </c>
      <c r="CQ10" s="35">
        <f t="shared" si="3"/>
        <v>0</v>
      </c>
      <c r="CR10" s="35">
        <f t="shared" si="3"/>
        <v>0</v>
      </c>
      <c r="CS10" s="35">
        <f t="shared" si="3"/>
        <v>0</v>
      </c>
      <c r="CT10" s="35">
        <f t="shared" si="3"/>
        <v>0</v>
      </c>
      <c r="CU10" s="35">
        <f t="shared" si="3"/>
        <v>0</v>
      </c>
      <c r="CV10" s="36">
        <f t="shared" si="3"/>
        <v>0</v>
      </c>
      <c r="CW10" s="34">
        <f t="shared" si="3"/>
        <v>0</v>
      </c>
      <c r="CX10" s="35">
        <f t="shared" si="3"/>
        <v>0</v>
      </c>
      <c r="CY10" s="35">
        <f t="shared" si="3"/>
        <v>0</v>
      </c>
      <c r="CZ10" s="35">
        <f t="shared" si="3"/>
        <v>0</v>
      </c>
      <c r="DA10" s="35">
        <f t="shared" si="3"/>
        <v>0</v>
      </c>
      <c r="DB10" s="35">
        <f t="shared" si="3"/>
        <v>0</v>
      </c>
      <c r="DC10" s="35">
        <f t="shared" si="3"/>
        <v>0</v>
      </c>
      <c r="DD10" s="35">
        <f t="shared" ref="DD10:ES12" si="4">DD11</f>
        <v>0</v>
      </c>
      <c r="DE10" s="35">
        <f t="shared" si="4"/>
        <v>0</v>
      </c>
      <c r="DF10" s="35">
        <f t="shared" si="4"/>
        <v>0</v>
      </c>
      <c r="DG10" s="36">
        <f t="shared" si="4"/>
        <v>0</v>
      </c>
      <c r="DH10" s="34">
        <f t="shared" si="4"/>
        <v>0</v>
      </c>
      <c r="DI10" s="35">
        <f t="shared" si="4"/>
        <v>0</v>
      </c>
      <c r="DJ10" s="35">
        <f t="shared" si="4"/>
        <v>0</v>
      </c>
      <c r="DK10" s="35">
        <f t="shared" si="4"/>
        <v>0</v>
      </c>
      <c r="DL10" s="35">
        <f t="shared" si="4"/>
        <v>0</v>
      </c>
      <c r="DM10" s="35">
        <f t="shared" si="4"/>
        <v>0</v>
      </c>
      <c r="DN10" s="35">
        <f t="shared" si="4"/>
        <v>0</v>
      </c>
      <c r="DO10" s="35">
        <f t="shared" si="4"/>
        <v>0</v>
      </c>
      <c r="DP10" s="35">
        <f t="shared" si="4"/>
        <v>0</v>
      </c>
      <c r="DQ10" s="35">
        <f t="shared" si="4"/>
        <v>0</v>
      </c>
      <c r="DR10" s="36">
        <f t="shared" si="4"/>
        <v>0</v>
      </c>
      <c r="DS10" s="34">
        <f t="shared" si="4"/>
        <v>0</v>
      </c>
      <c r="DT10" s="35">
        <f t="shared" si="4"/>
        <v>0</v>
      </c>
      <c r="DU10" s="35">
        <f t="shared" si="4"/>
        <v>0</v>
      </c>
      <c r="DV10" s="35">
        <f t="shared" si="4"/>
        <v>0</v>
      </c>
      <c r="DW10" s="35">
        <f t="shared" si="4"/>
        <v>0</v>
      </c>
      <c r="DX10" s="35">
        <f t="shared" si="4"/>
        <v>0</v>
      </c>
      <c r="DY10" s="35">
        <f t="shared" si="4"/>
        <v>0</v>
      </c>
      <c r="DZ10" s="35">
        <f t="shared" si="4"/>
        <v>0</v>
      </c>
      <c r="EA10" s="35">
        <f t="shared" si="4"/>
        <v>0</v>
      </c>
      <c r="EB10" s="35">
        <f t="shared" si="4"/>
        <v>0</v>
      </c>
      <c r="EC10" s="36">
        <f t="shared" si="4"/>
        <v>0</v>
      </c>
      <c r="ED10" s="34">
        <f t="shared" si="4"/>
        <v>0</v>
      </c>
      <c r="EE10" s="35">
        <f t="shared" si="4"/>
        <v>0</v>
      </c>
      <c r="EF10" s="35">
        <f t="shared" si="4"/>
        <v>0</v>
      </c>
      <c r="EG10" s="35">
        <f t="shared" si="4"/>
        <v>0</v>
      </c>
      <c r="EH10" s="35">
        <f t="shared" si="4"/>
        <v>0</v>
      </c>
      <c r="EI10" s="35">
        <f t="shared" si="4"/>
        <v>0</v>
      </c>
      <c r="EJ10" s="35">
        <f t="shared" si="4"/>
        <v>0</v>
      </c>
      <c r="EK10" s="35">
        <f t="shared" si="4"/>
        <v>0</v>
      </c>
      <c r="EL10" s="35">
        <f t="shared" si="4"/>
        <v>0</v>
      </c>
      <c r="EM10" s="35">
        <f t="shared" si="4"/>
        <v>0</v>
      </c>
      <c r="EN10" s="36">
        <f t="shared" si="4"/>
        <v>0</v>
      </c>
      <c r="EO10" s="34">
        <f t="shared" si="4"/>
        <v>0</v>
      </c>
      <c r="EP10" s="35">
        <f t="shared" si="4"/>
        <v>0</v>
      </c>
      <c r="EQ10" s="35">
        <f t="shared" si="4"/>
        <v>0</v>
      </c>
      <c r="ER10" s="35">
        <f t="shared" si="4"/>
        <v>0</v>
      </c>
      <c r="ES10" s="35">
        <f t="shared" si="4"/>
        <v>0</v>
      </c>
      <c r="ET10" s="35">
        <f t="shared" ref="ET10:FI12" si="5">ET11</f>
        <v>0</v>
      </c>
      <c r="EU10" s="35">
        <f t="shared" si="5"/>
        <v>0</v>
      </c>
      <c r="EV10" s="35">
        <f t="shared" si="5"/>
        <v>0</v>
      </c>
      <c r="EW10" s="35">
        <f t="shared" si="5"/>
        <v>0</v>
      </c>
      <c r="EX10" s="35">
        <f t="shared" si="5"/>
        <v>0</v>
      </c>
      <c r="EY10" s="36">
        <f t="shared" si="5"/>
        <v>0</v>
      </c>
      <c r="EZ10" s="34">
        <f t="shared" si="5"/>
        <v>0</v>
      </c>
      <c r="FA10" s="35">
        <f t="shared" si="5"/>
        <v>0</v>
      </c>
      <c r="FB10" s="35">
        <f t="shared" si="5"/>
        <v>0</v>
      </c>
      <c r="FC10" s="35">
        <f t="shared" si="5"/>
        <v>0</v>
      </c>
      <c r="FD10" s="35">
        <f t="shared" si="5"/>
        <v>0</v>
      </c>
      <c r="FE10" s="35">
        <f t="shared" si="5"/>
        <v>0</v>
      </c>
      <c r="FF10" s="35">
        <f t="shared" si="5"/>
        <v>0</v>
      </c>
      <c r="FG10" s="35">
        <f t="shared" si="5"/>
        <v>0</v>
      </c>
      <c r="FH10" s="35">
        <f t="shared" si="5"/>
        <v>0</v>
      </c>
      <c r="FI10" s="35">
        <f t="shared" si="5"/>
        <v>0</v>
      </c>
      <c r="FJ10" s="36">
        <f t="shared" ref="FJ10:GN12" si="6">FJ11</f>
        <v>0</v>
      </c>
      <c r="FK10" s="34">
        <f t="shared" si="6"/>
        <v>0</v>
      </c>
      <c r="FL10" s="35">
        <f t="shared" si="6"/>
        <v>0</v>
      </c>
      <c r="FM10" s="35">
        <f t="shared" si="6"/>
        <v>0</v>
      </c>
      <c r="FN10" s="35">
        <f t="shared" si="6"/>
        <v>0</v>
      </c>
      <c r="FO10" s="35">
        <f t="shared" si="6"/>
        <v>0</v>
      </c>
      <c r="FP10" s="35">
        <f t="shared" si="6"/>
        <v>0</v>
      </c>
      <c r="FQ10" s="35">
        <f t="shared" si="6"/>
        <v>0</v>
      </c>
      <c r="FR10" s="35">
        <f t="shared" si="6"/>
        <v>0</v>
      </c>
      <c r="FS10" s="35">
        <f t="shared" si="6"/>
        <v>0</v>
      </c>
      <c r="FT10" s="35">
        <f t="shared" si="6"/>
        <v>0</v>
      </c>
      <c r="FU10" s="36">
        <f t="shared" si="6"/>
        <v>0</v>
      </c>
      <c r="FV10" s="34">
        <f t="shared" si="6"/>
        <v>0</v>
      </c>
      <c r="FW10" s="35">
        <f t="shared" si="6"/>
        <v>0</v>
      </c>
      <c r="FX10" s="35">
        <f t="shared" si="6"/>
        <v>0</v>
      </c>
      <c r="FY10" s="35">
        <f t="shared" si="6"/>
        <v>0</v>
      </c>
      <c r="FZ10" s="35">
        <f t="shared" si="6"/>
        <v>0</v>
      </c>
      <c r="GA10" s="35">
        <f t="shared" si="6"/>
        <v>0</v>
      </c>
      <c r="GB10" s="35">
        <f t="shared" si="6"/>
        <v>0</v>
      </c>
      <c r="GC10" s="35">
        <f t="shared" si="6"/>
        <v>0</v>
      </c>
      <c r="GD10" s="35">
        <f t="shared" si="6"/>
        <v>0</v>
      </c>
      <c r="GE10" s="35">
        <f t="shared" si="6"/>
        <v>0</v>
      </c>
      <c r="GF10" s="36">
        <f t="shared" si="6"/>
        <v>0</v>
      </c>
      <c r="GG10" s="34">
        <f t="shared" si="6"/>
        <v>0</v>
      </c>
      <c r="GH10" s="35">
        <f t="shared" si="6"/>
        <v>0</v>
      </c>
      <c r="GI10" s="35">
        <f t="shared" si="6"/>
        <v>0</v>
      </c>
      <c r="GJ10" s="35">
        <f t="shared" si="6"/>
        <v>0</v>
      </c>
      <c r="GK10" s="35">
        <f t="shared" si="6"/>
        <v>0</v>
      </c>
      <c r="GL10" s="35">
        <f t="shared" si="6"/>
        <v>0</v>
      </c>
      <c r="GM10" s="35">
        <f t="shared" si="6"/>
        <v>0</v>
      </c>
      <c r="GN10" s="35">
        <f t="shared" si="6"/>
        <v>0</v>
      </c>
      <c r="GO10" s="35">
        <f t="shared" ref="GO10:HD12" si="7">GO11</f>
        <v>0</v>
      </c>
      <c r="GP10" s="35">
        <f t="shared" si="7"/>
        <v>0</v>
      </c>
      <c r="GQ10" s="36">
        <f t="shared" si="7"/>
        <v>0</v>
      </c>
      <c r="GR10" s="35">
        <f t="shared" si="7"/>
        <v>0</v>
      </c>
      <c r="GS10" s="35">
        <f t="shared" si="7"/>
        <v>0</v>
      </c>
      <c r="GT10" s="35">
        <f t="shared" si="7"/>
        <v>0</v>
      </c>
      <c r="GU10" s="35">
        <f t="shared" si="7"/>
        <v>0</v>
      </c>
      <c r="GV10" s="35">
        <f t="shared" si="7"/>
        <v>0</v>
      </c>
      <c r="GW10" s="35">
        <f t="shared" si="7"/>
        <v>0</v>
      </c>
      <c r="GX10" s="35">
        <f t="shared" si="7"/>
        <v>0</v>
      </c>
      <c r="GY10" s="35">
        <f t="shared" si="7"/>
        <v>0</v>
      </c>
      <c r="GZ10" s="35">
        <f t="shared" si="7"/>
        <v>0</v>
      </c>
      <c r="HA10" s="35">
        <f t="shared" si="7"/>
        <v>0</v>
      </c>
      <c r="HB10" s="35">
        <f t="shared" si="7"/>
        <v>0</v>
      </c>
      <c r="HC10" s="35">
        <f t="shared" si="7"/>
        <v>0</v>
      </c>
      <c r="HD10" s="35">
        <f t="shared" si="7"/>
        <v>0</v>
      </c>
      <c r="HE10" s="35">
        <f t="shared" ref="HE10:HT12" si="8">HE11</f>
        <v>0</v>
      </c>
      <c r="HF10" s="35">
        <f t="shared" si="8"/>
        <v>0</v>
      </c>
      <c r="HG10" s="35">
        <f t="shared" si="8"/>
        <v>0</v>
      </c>
      <c r="HH10" s="35">
        <f t="shared" si="8"/>
        <v>0</v>
      </c>
      <c r="HI10" s="35">
        <f t="shared" si="8"/>
        <v>0</v>
      </c>
      <c r="HJ10" s="35">
        <f t="shared" si="8"/>
        <v>0</v>
      </c>
      <c r="HK10" s="35">
        <f t="shared" si="8"/>
        <v>0</v>
      </c>
      <c r="HL10" s="35">
        <f t="shared" si="8"/>
        <v>0</v>
      </c>
      <c r="HM10" s="35">
        <f t="shared" si="8"/>
        <v>0</v>
      </c>
      <c r="HN10" s="35">
        <f t="shared" si="8"/>
        <v>0</v>
      </c>
      <c r="HO10" s="35">
        <f t="shared" si="8"/>
        <v>0</v>
      </c>
      <c r="HP10" s="35">
        <f t="shared" si="8"/>
        <v>0</v>
      </c>
      <c r="HQ10" s="35">
        <f t="shared" si="8"/>
        <v>0</v>
      </c>
      <c r="HR10" s="35">
        <f t="shared" si="8"/>
        <v>0</v>
      </c>
      <c r="HS10" s="35">
        <f t="shared" si="8"/>
        <v>0</v>
      </c>
      <c r="HT10" s="35">
        <f t="shared" si="8"/>
        <v>0</v>
      </c>
      <c r="HU10" s="35">
        <f t="shared" ref="HU10:IO12" si="9">HU11</f>
        <v>0</v>
      </c>
      <c r="HV10" s="35">
        <f t="shared" si="9"/>
        <v>0</v>
      </c>
      <c r="HW10" s="35">
        <f t="shared" si="9"/>
        <v>0</v>
      </c>
      <c r="HX10" s="35">
        <f t="shared" si="9"/>
        <v>0</v>
      </c>
      <c r="HY10" s="35">
        <f t="shared" si="9"/>
        <v>0</v>
      </c>
      <c r="HZ10" s="35">
        <f t="shared" si="9"/>
        <v>0</v>
      </c>
      <c r="IA10" s="35">
        <f t="shared" si="9"/>
        <v>0</v>
      </c>
      <c r="IB10" s="35">
        <f t="shared" si="9"/>
        <v>0</v>
      </c>
      <c r="IC10" s="35">
        <f t="shared" si="9"/>
        <v>0</v>
      </c>
      <c r="ID10" s="35">
        <f t="shared" si="9"/>
        <v>0</v>
      </c>
      <c r="IE10" s="35">
        <f t="shared" si="9"/>
        <v>0</v>
      </c>
      <c r="IF10" s="35">
        <f t="shared" si="9"/>
        <v>0</v>
      </c>
      <c r="IG10" s="35">
        <f t="shared" si="9"/>
        <v>0</v>
      </c>
      <c r="IH10" s="35">
        <f t="shared" si="9"/>
        <v>0</v>
      </c>
      <c r="II10" s="35">
        <f t="shared" si="9"/>
        <v>0</v>
      </c>
      <c r="IJ10" s="35">
        <f t="shared" si="9"/>
        <v>0</v>
      </c>
      <c r="IK10" s="35">
        <f t="shared" si="9"/>
        <v>0</v>
      </c>
      <c r="IL10" s="35">
        <f t="shared" si="9"/>
        <v>0</v>
      </c>
      <c r="IM10" s="35">
        <f t="shared" si="9"/>
        <v>0</v>
      </c>
      <c r="IN10" s="35">
        <f t="shared" si="9"/>
        <v>0</v>
      </c>
      <c r="IO10" s="35">
        <f t="shared" si="9"/>
        <v>0</v>
      </c>
      <c r="IP10" s="35">
        <f t="shared" ref="IP10:IV12" si="10">IP11</f>
        <v>0</v>
      </c>
      <c r="IQ10" s="35">
        <f t="shared" si="10"/>
        <v>0</v>
      </c>
      <c r="IR10" s="35">
        <f t="shared" si="10"/>
        <v>0</v>
      </c>
      <c r="IS10" s="35">
        <f t="shared" si="10"/>
        <v>0</v>
      </c>
      <c r="IT10" s="35">
        <f t="shared" si="10"/>
        <v>0</v>
      </c>
      <c r="IU10" s="35">
        <f t="shared" si="10"/>
        <v>0</v>
      </c>
      <c r="IV10" s="35">
        <f t="shared" si="10"/>
        <v>0</v>
      </c>
    </row>
    <row r="11" spans="1:256" s="37" customFormat="1" x14ac:dyDescent="0.25">
      <c r="A11" s="38" t="s">
        <v>24</v>
      </c>
      <c r="B11" s="39">
        <f t="shared" si="0"/>
        <v>25</v>
      </c>
      <c r="C11" s="40">
        <f t="shared" si="0"/>
        <v>11656</v>
      </c>
      <c r="D11" s="40">
        <f t="shared" si="0"/>
        <v>1279</v>
      </c>
      <c r="E11" s="40">
        <f t="shared" si="0"/>
        <v>745</v>
      </c>
      <c r="F11" s="40">
        <f t="shared" si="0"/>
        <v>266</v>
      </c>
      <c r="G11" s="40">
        <f t="shared" si="0"/>
        <v>198</v>
      </c>
      <c r="H11" s="40">
        <f t="shared" si="0"/>
        <v>490</v>
      </c>
      <c r="I11" s="40">
        <f t="shared" si="0"/>
        <v>0</v>
      </c>
      <c r="J11" s="40">
        <f t="shared" si="0"/>
        <v>1050</v>
      </c>
      <c r="K11" s="40">
        <f t="shared" si="0"/>
        <v>693</v>
      </c>
      <c r="L11" s="41">
        <f t="shared" si="0"/>
        <v>16479</v>
      </c>
      <c r="M11" s="39">
        <f t="shared" si="0"/>
        <v>0</v>
      </c>
      <c r="N11" s="40">
        <f t="shared" si="0"/>
        <v>0</v>
      </c>
      <c r="O11" s="40">
        <f t="shared" si="0"/>
        <v>0</v>
      </c>
      <c r="P11" s="40">
        <f t="shared" si="0"/>
        <v>0</v>
      </c>
      <c r="Q11" s="40">
        <f t="shared" si="0"/>
        <v>0</v>
      </c>
      <c r="R11" s="40">
        <f t="shared" si="1"/>
        <v>0</v>
      </c>
      <c r="S11" s="40">
        <f t="shared" si="1"/>
        <v>0</v>
      </c>
      <c r="T11" s="40">
        <f t="shared" si="1"/>
        <v>0</v>
      </c>
      <c r="U11" s="40">
        <f t="shared" si="1"/>
        <v>0</v>
      </c>
      <c r="V11" s="40">
        <f t="shared" si="1"/>
        <v>0</v>
      </c>
      <c r="W11" s="41">
        <f t="shared" si="1"/>
        <v>0</v>
      </c>
      <c r="X11" s="39">
        <f t="shared" si="1"/>
        <v>0</v>
      </c>
      <c r="Y11" s="40">
        <f t="shared" si="1"/>
        <v>0</v>
      </c>
      <c r="Z11" s="40">
        <f t="shared" si="1"/>
        <v>0</v>
      </c>
      <c r="AA11" s="40">
        <f t="shared" si="1"/>
        <v>0</v>
      </c>
      <c r="AB11" s="40">
        <f t="shared" si="1"/>
        <v>0</v>
      </c>
      <c r="AC11" s="40">
        <f t="shared" si="1"/>
        <v>0</v>
      </c>
      <c r="AD11" s="40">
        <f t="shared" si="1"/>
        <v>0</v>
      </c>
      <c r="AE11" s="40">
        <f t="shared" si="1"/>
        <v>0</v>
      </c>
      <c r="AF11" s="40">
        <f t="shared" si="1"/>
        <v>0</v>
      </c>
      <c r="AG11" s="40">
        <f t="shared" si="1"/>
        <v>0</v>
      </c>
      <c r="AH11" s="41">
        <f t="shared" si="1"/>
        <v>0</v>
      </c>
      <c r="AI11" s="39">
        <f t="shared" si="1"/>
        <v>0</v>
      </c>
      <c r="AJ11" s="40">
        <f t="shared" si="1"/>
        <v>0</v>
      </c>
      <c r="AK11" s="40">
        <f t="shared" si="1"/>
        <v>0</v>
      </c>
      <c r="AL11" s="40">
        <f t="shared" si="1"/>
        <v>0</v>
      </c>
      <c r="AM11" s="40">
        <f t="shared" si="1"/>
        <v>0</v>
      </c>
      <c r="AN11" s="40">
        <f t="shared" si="1"/>
        <v>0</v>
      </c>
      <c r="AO11" s="40">
        <f t="shared" si="1"/>
        <v>0</v>
      </c>
      <c r="AP11" s="40">
        <f t="shared" si="1"/>
        <v>0</v>
      </c>
      <c r="AQ11" s="40">
        <f t="shared" si="1"/>
        <v>0</v>
      </c>
      <c r="AR11" s="40">
        <f t="shared" si="1"/>
        <v>0</v>
      </c>
      <c r="AS11" s="41">
        <f t="shared" si="1"/>
        <v>0</v>
      </c>
      <c r="AT11" s="39">
        <f t="shared" si="1"/>
        <v>0</v>
      </c>
      <c r="AU11" s="40">
        <f t="shared" si="1"/>
        <v>0</v>
      </c>
      <c r="AV11" s="40">
        <f t="shared" si="1"/>
        <v>0</v>
      </c>
      <c r="AW11" s="40">
        <f t="shared" si="1"/>
        <v>0</v>
      </c>
      <c r="AX11" s="40">
        <f t="shared" si="1"/>
        <v>0</v>
      </c>
      <c r="AY11" s="40">
        <f t="shared" si="1"/>
        <v>0</v>
      </c>
      <c r="AZ11" s="40">
        <f t="shared" si="1"/>
        <v>0</v>
      </c>
      <c r="BA11" s="40">
        <f t="shared" si="1"/>
        <v>0</v>
      </c>
      <c r="BB11" s="40">
        <f t="shared" si="1"/>
        <v>0</v>
      </c>
      <c r="BC11" s="40">
        <f t="shared" si="1"/>
        <v>0</v>
      </c>
      <c r="BD11" s="41">
        <f t="shared" si="1"/>
        <v>0</v>
      </c>
      <c r="BE11" s="39">
        <f t="shared" si="1"/>
        <v>0</v>
      </c>
      <c r="BF11" s="40">
        <f t="shared" si="1"/>
        <v>0</v>
      </c>
      <c r="BG11" s="40">
        <f t="shared" si="1"/>
        <v>0</v>
      </c>
      <c r="BH11" s="40">
        <f t="shared" si="1"/>
        <v>0</v>
      </c>
      <c r="BI11" s="40">
        <f t="shared" si="1"/>
        <v>0</v>
      </c>
      <c r="BJ11" s="40">
        <f t="shared" si="2"/>
        <v>0</v>
      </c>
      <c r="BK11" s="40">
        <f t="shared" si="2"/>
        <v>0</v>
      </c>
      <c r="BL11" s="40">
        <f t="shared" si="2"/>
        <v>0</v>
      </c>
      <c r="BM11" s="40">
        <f t="shared" si="2"/>
        <v>0</v>
      </c>
      <c r="BN11" s="40">
        <f t="shared" si="2"/>
        <v>0</v>
      </c>
      <c r="BO11" s="41">
        <f t="shared" si="2"/>
        <v>0</v>
      </c>
      <c r="BP11" s="39">
        <f t="shared" si="2"/>
        <v>0</v>
      </c>
      <c r="BQ11" s="40">
        <f t="shared" si="2"/>
        <v>0</v>
      </c>
      <c r="BR11" s="40">
        <f t="shared" si="2"/>
        <v>0</v>
      </c>
      <c r="BS11" s="40">
        <f t="shared" si="2"/>
        <v>0</v>
      </c>
      <c r="BT11" s="40">
        <f t="shared" si="2"/>
        <v>0</v>
      </c>
      <c r="BU11" s="40">
        <f t="shared" si="2"/>
        <v>0</v>
      </c>
      <c r="BV11" s="40">
        <f t="shared" si="2"/>
        <v>0</v>
      </c>
      <c r="BW11" s="40">
        <f t="shared" si="2"/>
        <v>0</v>
      </c>
      <c r="BX11" s="40">
        <f t="shared" si="2"/>
        <v>0</v>
      </c>
      <c r="BY11" s="40">
        <f t="shared" si="2"/>
        <v>0</v>
      </c>
      <c r="BZ11" s="41">
        <f t="shared" si="3"/>
        <v>0</v>
      </c>
      <c r="CA11" s="39">
        <f t="shared" si="3"/>
        <v>0</v>
      </c>
      <c r="CB11" s="40">
        <f t="shared" si="3"/>
        <v>0</v>
      </c>
      <c r="CC11" s="40">
        <f t="shared" si="3"/>
        <v>0</v>
      </c>
      <c r="CD11" s="40">
        <f t="shared" si="3"/>
        <v>0</v>
      </c>
      <c r="CE11" s="40">
        <f t="shared" si="3"/>
        <v>0</v>
      </c>
      <c r="CF11" s="40">
        <f t="shared" si="3"/>
        <v>0</v>
      </c>
      <c r="CG11" s="40">
        <f t="shared" si="3"/>
        <v>0</v>
      </c>
      <c r="CH11" s="40">
        <f t="shared" si="3"/>
        <v>0</v>
      </c>
      <c r="CI11" s="40">
        <f t="shared" si="3"/>
        <v>0</v>
      </c>
      <c r="CJ11" s="40">
        <f t="shared" si="3"/>
        <v>0</v>
      </c>
      <c r="CK11" s="41">
        <f t="shared" si="3"/>
        <v>0</v>
      </c>
      <c r="CL11" s="39">
        <f t="shared" si="3"/>
        <v>0</v>
      </c>
      <c r="CM11" s="40">
        <f t="shared" si="3"/>
        <v>0</v>
      </c>
      <c r="CN11" s="40">
        <f t="shared" si="3"/>
        <v>0</v>
      </c>
      <c r="CO11" s="40">
        <f t="shared" si="3"/>
        <v>0</v>
      </c>
      <c r="CP11" s="40">
        <f t="shared" si="3"/>
        <v>0</v>
      </c>
      <c r="CQ11" s="40">
        <f t="shared" si="3"/>
        <v>0</v>
      </c>
      <c r="CR11" s="40">
        <f t="shared" si="3"/>
        <v>0</v>
      </c>
      <c r="CS11" s="40">
        <f t="shared" si="3"/>
        <v>0</v>
      </c>
      <c r="CT11" s="40">
        <f t="shared" si="3"/>
        <v>0</v>
      </c>
      <c r="CU11" s="40">
        <f t="shared" si="3"/>
        <v>0</v>
      </c>
      <c r="CV11" s="41">
        <f t="shared" si="3"/>
        <v>0</v>
      </c>
      <c r="CW11" s="39">
        <f t="shared" si="3"/>
        <v>0</v>
      </c>
      <c r="CX11" s="40">
        <f t="shared" si="3"/>
        <v>0</v>
      </c>
      <c r="CY11" s="40">
        <f t="shared" si="3"/>
        <v>0</v>
      </c>
      <c r="CZ11" s="40">
        <f t="shared" si="3"/>
        <v>0</v>
      </c>
      <c r="DA11" s="40">
        <f t="shared" si="3"/>
        <v>0</v>
      </c>
      <c r="DB11" s="40">
        <f t="shared" si="3"/>
        <v>0</v>
      </c>
      <c r="DC11" s="40">
        <f t="shared" si="3"/>
        <v>0</v>
      </c>
      <c r="DD11" s="40">
        <f t="shared" si="4"/>
        <v>0</v>
      </c>
      <c r="DE11" s="40">
        <f t="shared" si="4"/>
        <v>0</v>
      </c>
      <c r="DF11" s="40">
        <f t="shared" si="4"/>
        <v>0</v>
      </c>
      <c r="DG11" s="41">
        <f t="shared" si="4"/>
        <v>0</v>
      </c>
      <c r="DH11" s="39">
        <f t="shared" si="4"/>
        <v>0</v>
      </c>
      <c r="DI11" s="40">
        <f t="shared" si="4"/>
        <v>0</v>
      </c>
      <c r="DJ11" s="40">
        <f t="shared" si="4"/>
        <v>0</v>
      </c>
      <c r="DK11" s="40">
        <f t="shared" si="4"/>
        <v>0</v>
      </c>
      <c r="DL11" s="40">
        <f t="shared" si="4"/>
        <v>0</v>
      </c>
      <c r="DM11" s="40">
        <f t="shared" si="4"/>
        <v>0</v>
      </c>
      <c r="DN11" s="40">
        <f t="shared" si="4"/>
        <v>0</v>
      </c>
      <c r="DO11" s="40">
        <f t="shared" si="4"/>
        <v>0</v>
      </c>
      <c r="DP11" s="40">
        <f t="shared" si="4"/>
        <v>0</v>
      </c>
      <c r="DQ11" s="40">
        <f t="shared" si="4"/>
        <v>0</v>
      </c>
      <c r="DR11" s="41">
        <f t="shared" si="4"/>
        <v>0</v>
      </c>
      <c r="DS11" s="39">
        <f t="shared" si="4"/>
        <v>0</v>
      </c>
      <c r="DT11" s="40">
        <f t="shared" si="4"/>
        <v>0</v>
      </c>
      <c r="DU11" s="40">
        <f t="shared" si="4"/>
        <v>0</v>
      </c>
      <c r="DV11" s="40">
        <f t="shared" si="4"/>
        <v>0</v>
      </c>
      <c r="DW11" s="40">
        <f t="shared" si="4"/>
        <v>0</v>
      </c>
      <c r="DX11" s="40">
        <f t="shared" si="4"/>
        <v>0</v>
      </c>
      <c r="DY11" s="40">
        <f t="shared" si="4"/>
        <v>0</v>
      </c>
      <c r="DZ11" s="40">
        <f t="shared" si="4"/>
        <v>0</v>
      </c>
      <c r="EA11" s="40">
        <f t="shared" si="4"/>
        <v>0</v>
      </c>
      <c r="EB11" s="40">
        <f t="shared" si="4"/>
        <v>0</v>
      </c>
      <c r="EC11" s="41">
        <f t="shared" si="4"/>
        <v>0</v>
      </c>
      <c r="ED11" s="39">
        <f t="shared" si="4"/>
        <v>0</v>
      </c>
      <c r="EE11" s="40">
        <f t="shared" si="4"/>
        <v>0</v>
      </c>
      <c r="EF11" s="40">
        <f t="shared" si="4"/>
        <v>0</v>
      </c>
      <c r="EG11" s="40">
        <f t="shared" si="4"/>
        <v>0</v>
      </c>
      <c r="EH11" s="40">
        <f t="shared" si="4"/>
        <v>0</v>
      </c>
      <c r="EI11" s="40">
        <f t="shared" si="4"/>
        <v>0</v>
      </c>
      <c r="EJ11" s="40">
        <f t="shared" si="4"/>
        <v>0</v>
      </c>
      <c r="EK11" s="40">
        <f t="shared" si="4"/>
        <v>0</v>
      </c>
      <c r="EL11" s="40">
        <f t="shared" si="4"/>
        <v>0</v>
      </c>
      <c r="EM11" s="40">
        <f t="shared" si="4"/>
        <v>0</v>
      </c>
      <c r="EN11" s="41">
        <f t="shared" si="4"/>
        <v>0</v>
      </c>
      <c r="EO11" s="39">
        <f t="shared" si="4"/>
        <v>0</v>
      </c>
      <c r="EP11" s="40">
        <f t="shared" si="4"/>
        <v>0</v>
      </c>
      <c r="EQ11" s="40">
        <f t="shared" si="4"/>
        <v>0</v>
      </c>
      <c r="ER11" s="40">
        <f t="shared" si="4"/>
        <v>0</v>
      </c>
      <c r="ES11" s="40">
        <f t="shared" si="4"/>
        <v>0</v>
      </c>
      <c r="ET11" s="40">
        <f t="shared" si="5"/>
        <v>0</v>
      </c>
      <c r="EU11" s="40">
        <f t="shared" si="5"/>
        <v>0</v>
      </c>
      <c r="EV11" s="40">
        <f t="shared" si="5"/>
        <v>0</v>
      </c>
      <c r="EW11" s="40">
        <f t="shared" si="5"/>
        <v>0</v>
      </c>
      <c r="EX11" s="40">
        <f t="shared" si="5"/>
        <v>0</v>
      </c>
      <c r="EY11" s="41">
        <f t="shared" si="5"/>
        <v>0</v>
      </c>
      <c r="EZ11" s="39">
        <f t="shared" si="5"/>
        <v>0</v>
      </c>
      <c r="FA11" s="40">
        <f t="shared" si="5"/>
        <v>0</v>
      </c>
      <c r="FB11" s="40">
        <f t="shared" si="5"/>
        <v>0</v>
      </c>
      <c r="FC11" s="40">
        <f t="shared" si="5"/>
        <v>0</v>
      </c>
      <c r="FD11" s="40">
        <f t="shared" si="5"/>
        <v>0</v>
      </c>
      <c r="FE11" s="40">
        <f t="shared" si="5"/>
        <v>0</v>
      </c>
      <c r="FF11" s="40">
        <f t="shared" si="5"/>
        <v>0</v>
      </c>
      <c r="FG11" s="40">
        <f t="shared" si="5"/>
        <v>0</v>
      </c>
      <c r="FH11" s="40">
        <f t="shared" si="5"/>
        <v>0</v>
      </c>
      <c r="FI11" s="40">
        <f t="shared" si="5"/>
        <v>0</v>
      </c>
      <c r="FJ11" s="41">
        <f t="shared" si="6"/>
        <v>0</v>
      </c>
      <c r="FK11" s="39">
        <f t="shared" si="6"/>
        <v>0</v>
      </c>
      <c r="FL11" s="40">
        <f t="shared" si="6"/>
        <v>0</v>
      </c>
      <c r="FM11" s="40">
        <f t="shared" si="6"/>
        <v>0</v>
      </c>
      <c r="FN11" s="40">
        <f t="shared" si="6"/>
        <v>0</v>
      </c>
      <c r="FO11" s="40">
        <f t="shared" si="6"/>
        <v>0</v>
      </c>
      <c r="FP11" s="40">
        <f t="shared" si="6"/>
        <v>0</v>
      </c>
      <c r="FQ11" s="40">
        <f t="shared" si="6"/>
        <v>0</v>
      </c>
      <c r="FR11" s="40">
        <f t="shared" si="6"/>
        <v>0</v>
      </c>
      <c r="FS11" s="40">
        <f t="shared" si="6"/>
        <v>0</v>
      </c>
      <c r="FT11" s="40">
        <f t="shared" si="6"/>
        <v>0</v>
      </c>
      <c r="FU11" s="41">
        <f t="shared" si="6"/>
        <v>0</v>
      </c>
      <c r="FV11" s="39">
        <f t="shared" si="6"/>
        <v>0</v>
      </c>
      <c r="FW11" s="40">
        <f t="shared" si="6"/>
        <v>0</v>
      </c>
      <c r="FX11" s="40">
        <f t="shared" si="6"/>
        <v>0</v>
      </c>
      <c r="FY11" s="40">
        <f t="shared" si="6"/>
        <v>0</v>
      </c>
      <c r="FZ11" s="40">
        <f t="shared" si="6"/>
        <v>0</v>
      </c>
      <c r="GA11" s="40">
        <f t="shared" si="6"/>
        <v>0</v>
      </c>
      <c r="GB11" s="40">
        <f t="shared" si="6"/>
        <v>0</v>
      </c>
      <c r="GC11" s="40">
        <f t="shared" si="6"/>
        <v>0</v>
      </c>
      <c r="GD11" s="40">
        <f t="shared" si="6"/>
        <v>0</v>
      </c>
      <c r="GE11" s="40">
        <f t="shared" si="6"/>
        <v>0</v>
      </c>
      <c r="GF11" s="41">
        <f t="shared" si="6"/>
        <v>0</v>
      </c>
      <c r="GG11" s="39">
        <f t="shared" si="6"/>
        <v>0</v>
      </c>
      <c r="GH11" s="40">
        <f t="shared" si="6"/>
        <v>0</v>
      </c>
      <c r="GI11" s="40">
        <f t="shared" si="6"/>
        <v>0</v>
      </c>
      <c r="GJ11" s="40">
        <f t="shared" si="6"/>
        <v>0</v>
      </c>
      <c r="GK11" s="40">
        <f t="shared" si="6"/>
        <v>0</v>
      </c>
      <c r="GL11" s="40">
        <f t="shared" si="6"/>
        <v>0</v>
      </c>
      <c r="GM11" s="40">
        <f t="shared" si="6"/>
        <v>0</v>
      </c>
      <c r="GN11" s="40">
        <f t="shared" si="6"/>
        <v>0</v>
      </c>
      <c r="GO11" s="40">
        <f t="shared" si="7"/>
        <v>0</v>
      </c>
      <c r="GP11" s="40">
        <f t="shared" si="7"/>
        <v>0</v>
      </c>
      <c r="GQ11" s="41">
        <f t="shared" si="7"/>
        <v>0</v>
      </c>
      <c r="GR11" s="40">
        <f t="shared" si="7"/>
        <v>0</v>
      </c>
      <c r="GS11" s="40">
        <f t="shared" si="7"/>
        <v>0</v>
      </c>
      <c r="GT11" s="40">
        <f t="shared" si="7"/>
        <v>0</v>
      </c>
      <c r="GU11" s="40">
        <f t="shared" si="7"/>
        <v>0</v>
      </c>
      <c r="GV11" s="40">
        <f t="shared" si="7"/>
        <v>0</v>
      </c>
      <c r="GW11" s="40">
        <f t="shared" si="7"/>
        <v>0</v>
      </c>
      <c r="GX11" s="40">
        <f t="shared" si="7"/>
        <v>0</v>
      </c>
      <c r="GY11" s="40">
        <f t="shared" si="7"/>
        <v>0</v>
      </c>
      <c r="GZ11" s="40">
        <f t="shared" si="7"/>
        <v>0</v>
      </c>
      <c r="HA11" s="40">
        <f t="shared" si="7"/>
        <v>0</v>
      </c>
      <c r="HB11" s="40">
        <f t="shared" si="7"/>
        <v>0</v>
      </c>
      <c r="HC11" s="40">
        <f t="shared" si="7"/>
        <v>0</v>
      </c>
      <c r="HD11" s="40">
        <f t="shared" si="7"/>
        <v>0</v>
      </c>
      <c r="HE11" s="40">
        <f t="shared" si="8"/>
        <v>0</v>
      </c>
      <c r="HF11" s="40">
        <f t="shared" si="8"/>
        <v>0</v>
      </c>
      <c r="HG11" s="40">
        <f t="shared" si="8"/>
        <v>0</v>
      </c>
      <c r="HH11" s="40">
        <f t="shared" si="8"/>
        <v>0</v>
      </c>
      <c r="HI11" s="40">
        <f t="shared" si="8"/>
        <v>0</v>
      </c>
      <c r="HJ11" s="40">
        <f t="shared" si="8"/>
        <v>0</v>
      </c>
      <c r="HK11" s="40">
        <f t="shared" si="8"/>
        <v>0</v>
      </c>
      <c r="HL11" s="40">
        <f t="shared" si="8"/>
        <v>0</v>
      </c>
      <c r="HM11" s="40">
        <f t="shared" si="8"/>
        <v>0</v>
      </c>
      <c r="HN11" s="40">
        <f t="shared" si="8"/>
        <v>0</v>
      </c>
      <c r="HO11" s="40">
        <f t="shared" si="8"/>
        <v>0</v>
      </c>
      <c r="HP11" s="40">
        <f t="shared" si="8"/>
        <v>0</v>
      </c>
      <c r="HQ11" s="40">
        <f t="shared" si="8"/>
        <v>0</v>
      </c>
      <c r="HR11" s="40">
        <f t="shared" si="8"/>
        <v>0</v>
      </c>
      <c r="HS11" s="40">
        <f t="shared" si="8"/>
        <v>0</v>
      </c>
      <c r="HT11" s="40">
        <f t="shared" si="8"/>
        <v>0</v>
      </c>
      <c r="HU11" s="40">
        <f t="shared" si="9"/>
        <v>0</v>
      </c>
      <c r="HV11" s="40">
        <f t="shared" si="9"/>
        <v>0</v>
      </c>
      <c r="HW11" s="40">
        <f t="shared" si="9"/>
        <v>0</v>
      </c>
      <c r="HX11" s="40">
        <f t="shared" si="9"/>
        <v>0</v>
      </c>
      <c r="HY11" s="40">
        <f t="shared" si="9"/>
        <v>0</v>
      </c>
      <c r="HZ11" s="40">
        <f t="shared" si="9"/>
        <v>0</v>
      </c>
      <c r="IA11" s="40">
        <f t="shared" si="9"/>
        <v>0</v>
      </c>
      <c r="IB11" s="40">
        <f t="shared" si="9"/>
        <v>0</v>
      </c>
      <c r="IC11" s="40">
        <f t="shared" si="9"/>
        <v>0</v>
      </c>
      <c r="ID11" s="40">
        <f t="shared" si="9"/>
        <v>0</v>
      </c>
      <c r="IE11" s="40">
        <f t="shared" si="9"/>
        <v>0</v>
      </c>
      <c r="IF11" s="40">
        <f t="shared" si="9"/>
        <v>0</v>
      </c>
      <c r="IG11" s="40">
        <f t="shared" si="9"/>
        <v>0</v>
      </c>
      <c r="IH11" s="40">
        <f t="shared" si="9"/>
        <v>0</v>
      </c>
      <c r="II11" s="40">
        <f t="shared" si="9"/>
        <v>0</v>
      </c>
      <c r="IJ11" s="40">
        <f t="shared" si="9"/>
        <v>0</v>
      </c>
      <c r="IK11" s="40">
        <f t="shared" si="9"/>
        <v>0</v>
      </c>
      <c r="IL11" s="40">
        <f t="shared" si="9"/>
        <v>0</v>
      </c>
      <c r="IM11" s="40">
        <f t="shared" si="9"/>
        <v>0</v>
      </c>
      <c r="IN11" s="40">
        <f t="shared" si="9"/>
        <v>0</v>
      </c>
      <c r="IO11" s="40">
        <f t="shared" si="9"/>
        <v>0</v>
      </c>
      <c r="IP11" s="40">
        <f t="shared" si="10"/>
        <v>0</v>
      </c>
      <c r="IQ11" s="40">
        <f t="shared" si="10"/>
        <v>0</v>
      </c>
      <c r="IR11" s="40">
        <f t="shared" si="10"/>
        <v>0</v>
      </c>
      <c r="IS11" s="40">
        <f t="shared" si="10"/>
        <v>0</v>
      </c>
      <c r="IT11" s="40">
        <f t="shared" si="10"/>
        <v>0</v>
      </c>
      <c r="IU11" s="40">
        <f t="shared" si="10"/>
        <v>0</v>
      </c>
      <c r="IV11" s="40">
        <f t="shared" si="10"/>
        <v>0</v>
      </c>
    </row>
    <row r="12" spans="1:256" s="42" customFormat="1" x14ac:dyDescent="0.25">
      <c r="A12" s="43" t="s">
        <v>25</v>
      </c>
      <c r="B12" s="44">
        <f t="shared" si="0"/>
        <v>25</v>
      </c>
      <c r="C12" s="45">
        <f t="shared" si="0"/>
        <v>11656</v>
      </c>
      <c r="D12" s="45">
        <f t="shared" si="0"/>
        <v>1279</v>
      </c>
      <c r="E12" s="45">
        <f t="shared" si="0"/>
        <v>745</v>
      </c>
      <c r="F12" s="45">
        <f t="shared" si="0"/>
        <v>266</v>
      </c>
      <c r="G12" s="45">
        <f t="shared" si="0"/>
        <v>198</v>
      </c>
      <c r="H12" s="45">
        <f t="shared" si="0"/>
        <v>490</v>
      </c>
      <c r="I12" s="45">
        <f t="shared" si="0"/>
        <v>0</v>
      </c>
      <c r="J12" s="45">
        <f t="shared" si="0"/>
        <v>1050</v>
      </c>
      <c r="K12" s="45">
        <f t="shared" si="0"/>
        <v>693</v>
      </c>
      <c r="L12" s="46">
        <f t="shared" si="0"/>
        <v>16479</v>
      </c>
      <c r="M12" s="44">
        <f t="shared" si="0"/>
        <v>0</v>
      </c>
      <c r="N12" s="45">
        <f t="shared" si="0"/>
        <v>0</v>
      </c>
      <c r="O12" s="45">
        <f t="shared" si="0"/>
        <v>0</v>
      </c>
      <c r="P12" s="45">
        <f t="shared" si="0"/>
        <v>0</v>
      </c>
      <c r="Q12" s="45">
        <f t="shared" si="0"/>
        <v>0</v>
      </c>
      <c r="R12" s="45">
        <f t="shared" si="1"/>
        <v>0</v>
      </c>
      <c r="S12" s="45">
        <f t="shared" si="1"/>
        <v>0</v>
      </c>
      <c r="T12" s="45">
        <f t="shared" si="1"/>
        <v>0</v>
      </c>
      <c r="U12" s="45">
        <f t="shared" si="1"/>
        <v>0</v>
      </c>
      <c r="V12" s="45">
        <f t="shared" si="1"/>
        <v>0</v>
      </c>
      <c r="W12" s="46">
        <f t="shared" si="1"/>
        <v>0</v>
      </c>
      <c r="X12" s="44">
        <f t="shared" si="1"/>
        <v>0</v>
      </c>
      <c r="Y12" s="45">
        <f t="shared" si="1"/>
        <v>0</v>
      </c>
      <c r="Z12" s="45">
        <f t="shared" si="1"/>
        <v>0</v>
      </c>
      <c r="AA12" s="45">
        <f t="shared" si="1"/>
        <v>0</v>
      </c>
      <c r="AB12" s="45">
        <f t="shared" si="1"/>
        <v>0</v>
      </c>
      <c r="AC12" s="45">
        <f t="shared" si="1"/>
        <v>0</v>
      </c>
      <c r="AD12" s="45">
        <f t="shared" si="1"/>
        <v>0</v>
      </c>
      <c r="AE12" s="45">
        <f t="shared" si="1"/>
        <v>0</v>
      </c>
      <c r="AF12" s="45">
        <f t="shared" si="1"/>
        <v>0</v>
      </c>
      <c r="AG12" s="45">
        <f t="shared" si="1"/>
        <v>0</v>
      </c>
      <c r="AH12" s="46">
        <f t="shared" si="1"/>
        <v>0</v>
      </c>
      <c r="AI12" s="44">
        <f t="shared" si="1"/>
        <v>0</v>
      </c>
      <c r="AJ12" s="45">
        <f t="shared" si="1"/>
        <v>0</v>
      </c>
      <c r="AK12" s="45">
        <f t="shared" si="1"/>
        <v>0</v>
      </c>
      <c r="AL12" s="45">
        <f t="shared" si="1"/>
        <v>0</v>
      </c>
      <c r="AM12" s="45">
        <f t="shared" si="1"/>
        <v>0</v>
      </c>
      <c r="AN12" s="45">
        <f t="shared" si="1"/>
        <v>0</v>
      </c>
      <c r="AO12" s="45">
        <f t="shared" si="1"/>
        <v>0</v>
      </c>
      <c r="AP12" s="45">
        <f t="shared" si="1"/>
        <v>0</v>
      </c>
      <c r="AQ12" s="45">
        <f t="shared" si="1"/>
        <v>0</v>
      </c>
      <c r="AR12" s="45">
        <f t="shared" si="1"/>
        <v>0</v>
      </c>
      <c r="AS12" s="46">
        <f t="shared" si="1"/>
        <v>0</v>
      </c>
      <c r="AT12" s="44">
        <f t="shared" si="1"/>
        <v>0</v>
      </c>
      <c r="AU12" s="45">
        <f t="shared" si="1"/>
        <v>0</v>
      </c>
      <c r="AV12" s="45">
        <f t="shared" si="1"/>
        <v>0</v>
      </c>
      <c r="AW12" s="45">
        <f t="shared" si="1"/>
        <v>0</v>
      </c>
      <c r="AX12" s="45">
        <f t="shared" si="1"/>
        <v>0</v>
      </c>
      <c r="AY12" s="45">
        <f t="shared" si="1"/>
        <v>0</v>
      </c>
      <c r="AZ12" s="45">
        <f t="shared" si="1"/>
        <v>0</v>
      </c>
      <c r="BA12" s="45">
        <f t="shared" si="1"/>
        <v>0</v>
      </c>
      <c r="BB12" s="45">
        <f t="shared" si="1"/>
        <v>0</v>
      </c>
      <c r="BC12" s="45">
        <f t="shared" si="1"/>
        <v>0</v>
      </c>
      <c r="BD12" s="46">
        <f t="shared" si="1"/>
        <v>0</v>
      </c>
      <c r="BE12" s="44">
        <f t="shared" si="1"/>
        <v>0</v>
      </c>
      <c r="BF12" s="45">
        <f t="shared" si="1"/>
        <v>0</v>
      </c>
      <c r="BG12" s="45">
        <f t="shared" si="1"/>
        <v>0</v>
      </c>
      <c r="BH12" s="45">
        <f t="shared" si="1"/>
        <v>0</v>
      </c>
      <c r="BI12" s="45">
        <f t="shared" si="1"/>
        <v>0</v>
      </c>
      <c r="BJ12" s="45">
        <f t="shared" si="2"/>
        <v>0</v>
      </c>
      <c r="BK12" s="45">
        <f t="shared" si="2"/>
        <v>0</v>
      </c>
      <c r="BL12" s="45">
        <f t="shared" si="2"/>
        <v>0</v>
      </c>
      <c r="BM12" s="45">
        <f t="shared" si="2"/>
        <v>0</v>
      </c>
      <c r="BN12" s="45">
        <f t="shared" si="2"/>
        <v>0</v>
      </c>
      <c r="BO12" s="46">
        <f t="shared" si="2"/>
        <v>0</v>
      </c>
      <c r="BP12" s="44">
        <f t="shared" si="2"/>
        <v>0</v>
      </c>
      <c r="BQ12" s="45">
        <f t="shared" si="2"/>
        <v>0</v>
      </c>
      <c r="BR12" s="45">
        <f t="shared" si="2"/>
        <v>0</v>
      </c>
      <c r="BS12" s="45">
        <f t="shared" si="2"/>
        <v>0</v>
      </c>
      <c r="BT12" s="45">
        <f t="shared" si="2"/>
        <v>0</v>
      </c>
      <c r="BU12" s="45">
        <f t="shared" si="2"/>
        <v>0</v>
      </c>
      <c r="BV12" s="45">
        <f t="shared" si="2"/>
        <v>0</v>
      </c>
      <c r="BW12" s="45">
        <f t="shared" si="2"/>
        <v>0</v>
      </c>
      <c r="BX12" s="45">
        <f t="shared" si="2"/>
        <v>0</v>
      </c>
      <c r="BY12" s="45">
        <f t="shared" si="2"/>
        <v>0</v>
      </c>
      <c r="BZ12" s="46">
        <f t="shared" si="3"/>
        <v>0</v>
      </c>
      <c r="CA12" s="44">
        <f t="shared" si="3"/>
        <v>0</v>
      </c>
      <c r="CB12" s="45">
        <f t="shared" si="3"/>
        <v>0</v>
      </c>
      <c r="CC12" s="45">
        <f t="shared" si="3"/>
        <v>0</v>
      </c>
      <c r="CD12" s="45">
        <f t="shared" si="3"/>
        <v>0</v>
      </c>
      <c r="CE12" s="45">
        <f t="shared" si="3"/>
        <v>0</v>
      </c>
      <c r="CF12" s="45">
        <f t="shared" si="3"/>
        <v>0</v>
      </c>
      <c r="CG12" s="45">
        <f t="shared" si="3"/>
        <v>0</v>
      </c>
      <c r="CH12" s="45">
        <f t="shared" si="3"/>
        <v>0</v>
      </c>
      <c r="CI12" s="45">
        <f t="shared" si="3"/>
        <v>0</v>
      </c>
      <c r="CJ12" s="45">
        <f t="shared" si="3"/>
        <v>0</v>
      </c>
      <c r="CK12" s="46">
        <f t="shared" si="3"/>
        <v>0</v>
      </c>
      <c r="CL12" s="44">
        <f t="shared" si="3"/>
        <v>0</v>
      </c>
      <c r="CM12" s="45">
        <f t="shared" si="3"/>
        <v>0</v>
      </c>
      <c r="CN12" s="45">
        <f t="shared" si="3"/>
        <v>0</v>
      </c>
      <c r="CO12" s="45">
        <f t="shared" si="3"/>
        <v>0</v>
      </c>
      <c r="CP12" s="45">
        <f t="shared" si="3"/>
        <v>0</v>
      </c>
      <c r="CQ12" s="45">
        <f t="shared" si="3"/>
        <v>0</v>
      </c>
      <c r="CR12" s="45">
        <f t="shared" si="3"/>
        <v>0</v>
      </c>
      <c r="CS12" s="45">
        <f t="shared" si="3"/>
        <v>0</v>
      </c>
      <c r="CT12" s="45">
        <f t="shared" si="3"/>
        <v>0</v>
      </c>
      <c r="CU12" s="45">
        <f t="shared" si="3"/>
        <v>0</v>
      </c>
      <c r="CV12" s="46">
        <f t="shared" si="3"/>
        <v>0</v>
      </c>
      <c r="CW12" s="44">
        <f t="shared" si="3"/>
        <v>0</v>
      </c>
      <c r="CX12" s="45">
        <f t="shared" si="3"/>
        <v>0</v>
      </c>
      <c r="CY12" s="45">
        <f t="shared" si="3"/>
        <v>0</v>
      </c>
      <c r="CZ12" s="45">
        <f t="shared" si="3"/>
        <v>0</v>
      </c>
      <c r="DA12" s="45">
        <f t="shared" si="3"/>
        <v>0</v>
      </c>
      <c r="DB12" s="45">
        <f t="shared" si="3"/>
        <v>0</v>
      </c>
      <c r="DC12" s="45">
        <f t="shared" si="3"/>
        <v>0</v>
      </c>
      <c r="DD12" s="45">
        <f t="shared" si="4"/>
        <v>0</v>
      </c>
      <c r="DE12" s="45">
        <f t="shared" si="4"/>
        <v>0</v>
      </c>
      <c r="DF12" s="45">
        <f t="shared" si="4"/>
        <v>0</v>
      </c>
      <c r="DG12" s="46">
        <f t="shared" si="4"/>
        <v>0</v>
      </c>
      <c r="DH12" s="44">
        <f t="shared" si="4"/>
        <v>0</v>
      </c>
      <c r="DI12" s="45">
        <f t="shared" si="4"/>
        <v>0</v>
      </c>
      <c r="DJ12" s="45">
        <f t="shared" si="4"/>
        <v>0</v>
      </c>
      <c r="DK12" s="45">
        <f t="shared" si="4"/>
        <v>0</v>
      </c>
      <c r="DL12" s="45">
        <f t="shared" si="4"/>
        <v>0</v>
      </c>
      <c r="DM12" s="45">
        <f t="shared" si="4"/>
        <v>0</v>
      </c>
      <c r="DN12" s="45">
        <f t="shared" si="4"/>
        <v>0</v>
      </c>
      <c r="DO12" s="45">
        <f t="shared" si="4"/>
        <v>0</v>
      </c>
      <c r="DP12" s="45">
        <f t="shared" si="4"/>
        <v>0</v>
      </c>
      <c r="DQ12" s="45">
        <f t="shared" si="4"/>
        <v>0</v>
      </c>
      <c r="DR12" s="46">
        <f t="shared" si="4"/>
        <v>0</v>
      </c>
      <c r="DS12" s="44">
        <f t="shared" si="4"/>
        <v>0</v>
      </c>
      <c r="DT12" s="45">
        <f t="shared" si="4"/>
        <v>0</v>
      </c>
      <c r="DU12" s="45">
        <f t="shared" si="4"/>
        <v>0</v>
      </c>
      <c r="DV12" s="45">
        <f t="shared" si="4"/>
        <v>0</v>
      </c>
      <c r="DW12" s="45">
        <f t="shared" si="4"/>
        <v>0</v>
      </c>
      <c r="DX12" s="45">
        <f t="shared" si="4"/>
        <v>0</v>
      </c>
      <c r="DY12" s="45">
        <f t="shared" si="4"/>
        <v>0</v>
      </c>
      <c r="DZ12" s="45">
        <f t="shared" si="4"/>
        <v>0</v>
      </c>
      <c r="EA12" s="45">
        <f t="shared" si="4"/>
        <v>0</v>
      </c>
      <c r="EB12" s="45">
        <f t="shared" si="4"/>
        <v>0</v>
      </c>
      <c r="EC12" s="46">
        <f t="shared" si="4"/>
        <v>0</v>
      </c>
      <c r="ED12" s="44">
        <f t="shared" si="4"/>
        <v>0</v>
      </c>
      <c r="EE12" s="45">
        <f t="shared" si="4"/>
        <v>0</v>
      </c>
      <c r="EF12" s="45">
        <f t="shared" si="4"/>
        <v>0</v>
      </c>
      <c r="EG12" s="45">
        <f t="shared" si="4"/>
        <v>0</v>
      </c>
      <c r="EH12" s="45">
        <f t="shared" si="4"/>
        <v>0</v>
      </c>
      <c r="EI12" s="45">
        <f t="shared" si="4"/>
        <v>0</v>
      </c>
      <c r="EJ12" s="45">
        <f t="shared" si="4"/>
        <v>0</v>
      </c>
      <c r="EK12" s="45">
        <f t="shared" si="4"/>
        <v>0</v>
      </c>
      <c r="EL12" s="45">
        <f t="shared" si="4"/>
        <v>0</v>
      </c>
      <c r="EM12" s="45">
        <f t="shared" si="4"/>
        <v>0</v>
      </c>
      <c r="EN12" s="46">
        <f t="shared" si="4"/>
        <v>0</v>
      </c>
      <c r="EO12" s="44">
        <f t="shared" si="4"/>
        <v>0</v>
      </c>
      <c r="EP12" s="45">
        <f t="shared" si="4"/>
        <v>0</v>
      </c>
      <c r="EQ12" s="45">
        <f t="shared" si="4"/>
        <v>0</v>
      </c>
      <c r="ER12" s="45">
        <f t="shared" si="4"/>
        <v>0</v>
      </c>
      <c r="ES12" s="45">
        <f t="shared" si="4"/>
        <v>0</v>
      </c>
      <c r="ET12" s="45">
        <f t="shared" si="5"/>
        <v>0</v>
      </c>
      <c r="EU12" s="45">
        <f t="shared" si="5"/>
        <v>0</v>
      </c>
      <c r="EV12" s="45">
        <f t="shared" si="5"/>
        <v>0</v>
      </c>
      <c r="EW12" s="45">
        <f t="shared" si="5"/>
        <v>0</v>
      </c>
      <c r="EX12" s="45">
        <f t="shared" si="5"/>
        <v>0</v>
      </c>
      <c r="EY12" s="46">
        <f t="shared" si="5"/>
        <v>0</v>
      </c>
      <c r="EZ12" s="44">
        <f t="shared" si="5"/>
        <v>0</v>
      </c>
      <c r="FA12" s="45">
        <f t="shared" si="5"/>
        <v>0</v>
      </c>
      <c r="FB12" s="45">
        <f t="shared" si="5"/>
        <v>0</v>
      </c>
      <c r="FC12" s="45">
        <f t="shared" si="5"/>
        <v>0</v>
      </c>
      <c r="FD12" s="45">
        <f t="shared" si="5"/>
        <v>0</v>
      </c>
      <c r="FE12" s="45">
        <f t="shared" si="5"/>
        <v>0</v>
      </c>
      <c r="FF12" s="45">
        <f t="shared" si="5"/>
        <v>0</v>
      </c>
      <c r="FG12" s="45">
        <f t="shared" si="5"/>
        <v>0</v>
      </c>
      <c r="FH12" s="45">
        <f t="shared" si="5"/>
        <v>0</v>
      </c>
      <c r="FI12" s="45">
        <f t="shared" si="5"/>
        <v>0</v>
      </c>
      <c r="FJ12" s="46">
        <f t="shared" si="6"/>
        <v>0</v>
      </c>
      <c r="FK12" s="44">
        <f t="shared" si="6"/>
        <v>0</v>
      </c>
      <c r="FL12" s="45">
        <f t="shared" si="6"/>
        <v>0</v>
      </c>
      <c r="FM12" s="45">
        <f t="shared" si="6"/>
        <v>0</v>
      </c>
      <c r="FN12" s="45">
        <f t="shared" si="6"/>
        <v>0</v>
      </c>
      <c r="FO12" s="45">
        <f t="shared" si="6"/>
        <v>0</v>
      </c>
      <c r="FP12" s="45">
        <f t="shared" si="6"/>
        <v>0</v>
      </c>
      <c r="FQ12" s="45">
        <f t="shared" si="6"/>
        <v>0</v>
      </c>
      <c r="FR12" s="45">
        <f t="shared" si="6"/>
        <v>0</v>
      </c>
      <c r="FS12" s="45">
        <f t="shared" si="6"/>
        <v>0</v>
      </c>
      <c r="FT12" s="45">
        <f t="shared" si="6"/>
        <v>0</v>
      </c>
      <c r="FU12" s="46">
        <f t="shared" si="6"/>
        <v>0</v>
      </c>
      <c r="FV12" s="44">
        <f t="shared" si="6"/>
        <v>0</v>
      </c>
      <c r="FW12" s="45">
        <f t="shared" si="6"/>
        <v>0</v>
      </c>
      <c r="FX12" s="45">
        <f t="shared" si="6"/>
        <v>0</v>
      </c>
      <c r="FY12" s="45">
        <f t="shared" si="6"/>
        <v>0</v>
      </c>
      <c r="FZ12" s="45">
        <f t="shared" si="6"/>
        <v>0</v>
      </c>
      <c r="GA12" s="45">
        <f t="shared" si="6"/>
        <v>0</v>
      </c>
      <c r="GB12" s="45">
        <f t="shared" si="6"/>
        <v>0</v>
      </c>
      <c r="GC12" s="45">
        <f t="shared" si="6"/>
        <v>0</v>
      </c>
      <c r="GD12" s="45">
        <f t="shared" si="6"/>
        <v>0</v>
      </c>
      <c r="GE12" s="45">
        <f t="shared" si="6"/>
        <v>0</v>
      </c>
      <c r="GF12" s="46">
        <f t="shared" si="6"/>
        <v>0</v>
      </c>
      <c r="GG12" s="44">
        <f t="shared" si="6"/>
        <v>0</v>
      </c>
      <c r="GH12" s="45">
        <f t="shared" si="6"/>
        <v>0</v>
      </c>
      <c r="GI12" s="45">
        <f t="shared" si="6"/>
        <v>0</v>
      </c>
      <c r="GJ12" s="45">
        <f t="shared" si="6"/>
        <v>0</v>
      </c>
      <c r="GK12" s="45">
        <f t="shared" si="6"/>
        <v>0</v>
      </c>
      <c r="GL12" s="45">
        <f t="shared" si="6"/>
        <v>0</v>
      </c>
      <c r="GM12" s="45">
        <f t="shared" si="6"/>
        <v>0</v>
      </c>
      <c r="GN12" s="45">
        <f t="shared" si="6"/>
        <v>0</v>
      </c>
      <c r="GO12" s="45">
        <f t="shared" si="7"/>
        <v>0</v>
      </c>
      <c r="GP12" s="45">
        <f t="shared" si="7"/>
        <v>0</v>
      </c>
      <c r="GQ12" s="46">
        <f t="shared" si="7"/>
        <v>0</v>
      </c>
      <c r="GR12" s="47">
        <f t="shared" si="7"/>
        <v>0</v>
      </c>
      <c r="GS12" s="47">
        <f t="shared" si="7"/>
        <v>0</v>
      </c>
      <c r="GT12" s="47">
        <f t="shared" si="7"/>
        <v>0</v>
      </c>
      <c r="GU12" s="47">
        <f t="shared" si="7"/>
        <v>0</v>
      </c>
      <c r="GV12" s="47">
        <f t="shared" si="7"/>
        <v>0</v>
      </c>
      <c r="GW12" s="47">
        <f t="shared" si="7"/>
        <v>0</v>
      </c>
      <c r="GX12" s="47">
        <f t="shared" si="7"/>
        <v>0</v>
      </c>
      <c r="GY12" s="47">
        <f t="shared" si="7"/>
        <v>0</v>
      </c>
      <c r="GZ12" s="47">
        <f t="shared" si="7"/>
        <v>0</v>
      </c>
      <c r="HA12" s="47">
        <f t="shared" si="7"/>
        <v>0</v>
      </c>
      <c r="HB12" s="47">
        <f t="shared" si="7"/>
        <v>0</v>
      </c>
      <c r="HC12" s="47">
        <f t="shared" si="7"/>
        <v>0</v>
      </c>
      <c r="HD12" s="47">
        <f t="shared" si="7"/>
        <v>0</v>
      </c>
      <c r="HE12" s="47">
        <f t="shared" si="8"/>
        <v>0</v>
      </c>
      <c r="HF12" s="47">
        <f t="shared" si="8"/>
        <v>0</v>
      </c>
      <c r="HG12" s="47">
        <f t="shared" si="8"/>
        <v>0</v>
      </c>
      <c r="HH12" s="47">
        <f t="shared" si="8"/>
        <v>0</v>
      </c>
      <c r="HI12" s="47">
        <f t="shared" si="8"/>
        <v>0</v>
      </c>
      <c r="HJ12" s="47">
        <f t="shared" si="8"/>
        <v>0</v>
      </c>
      <c r="HK12" s="47">
        <f t="shared" si="8"/>
        <v>0</v>
      </c>
      <c r="HL12" s="47">
        <f t="shared" si="8"/>
        <v>0</v>
      </c>
      <c r="HM12" s="47">
        <f t="shared" si="8"/>
        <v>0</v>
      </c>
      <c r="HN12" s="47">
        <f t="shared" si="8"/>
        <v>0</v>
      </c>
      <c r="HO12" s="47">
        <f t="shared" si="8"/>
        <v>0</v>
      </c>
      <c r="HP12" s="47">
        <f t="shared" si="8"/>
        <v>0</v>
      </c>
      <c r="HQ12" s="47">
        <f t="shared" si="8"/>
        <v>0</v>
      </c>
      <c r="HR12" s="47">
        <f t="shared" si="8"/>
        <v>0</v>
      </c>
      <c r="HS12" s="47">
        <f t="shared" si="8"/>
        <v>0</v>
      </c>
      <c r="HT12" s="47">
        <f t="shared" si="8"/>
        <v>0</v>
      </c>
      <c r="HU12" s="47">
        <f t="shared" si="9"/>
        <v>0</v>
      </c>
      <c r="HV12" s="47">
        <f t="shared" si="9"/>
        <v>0</v>
      </c>
      <c r="HW12" s="47">
        <f t="shared" si="9"/>
        <v>0</v>
      </c>
      <c r="HX12" s="47">
        <f t="shared" si="9"/>
        <v>0</v>
      </c>
      <c r="HY12" s="47">
        <f t="shared" si="9"/>
        <v>0</v>
      </c>
      <c r="HZ12" s="47">
        <f t="shared" si="9"/>
        <v>0</v>
      </c>
      <c r="IA12" s="47">
        <f t="shared" si="9"/>
        <v>0</v>
      </c>
      <c r="IB12" s="47">
        <f t="shared" si="9"/>
        <v>0</v>
      </c>
      <c r="IC12" s="47">
        <f t="shared" si="9"/>
        <v>0</v>
      </c>
      <c r="ID12" s="47">
        <f t="shared" si="9"/>
        <v>0</v>
      </c>
      <c r="IE12" s="47">
        <f t="shared" si="9"/>
        <v>0</v>
      </c>
      <c r="IF12" s="47">
        <f t="shared" si="9"/>
        <v>0</v>
      </c>
      <c r="IG12" s="47">
        <f t="shared" si="9"/>
        <v>0</v>
      </c>
      <c r="IH12" s="47">
        <f t="shared" si="9"/>
        <v>0</v>
      </c>
      <c r="II12" s="47">
        <f t="shared" si="9"/>
        <v>0</v>
      </c>
      <c r="IJ12" s="47">
        <f t="shared" si="9"/>
        <v>0</v>
      </c>
      <c r="IK12" s="47">
        <f t="shared" si="9"/>
        <v>0</v>
      </c>
      <c r="IL12" s="47">
        <f t="shared" si="9"/>
        <v>0</v>
      </c>
      <c r="IM12" s="47">
        <f t="shared" si="9"/>
        <v>0</v>
      </c>
      <c r="IN12" s="47">
        <f t="shared" si="9"/>
        <v>0</v>
      </c>
      <c r="IO12" s="47">
        <f t="shared" si="9"/>
        <v>0</v>
      </c>
      <c r="IP12" s="47">
        <f t="shared" si="10"/>
        <v>0</v>
      </c>
      <c r="IQ12" s="47">
        <f t="shared" si="10"/>
        <v>0</v>
      </c>
      <c r="IR12" s="47">
        <f t="shared" si="10"/>
        <v>0</v>
      </c>
      <c r="IS12" s="47">
        <f t="shared" si="10"/>
        <v>0</v>
      </c>
      <c r="IT12" s="47">
        <f t="shared" si="10"/>
        <v>0</v>
      </c>
      <c r="IU12" s="47">
        <f t="shared" si="10"/>
        <v>0</v>
      </c>
      <c r="IV12" s="47">
        <f t="shared" si="10"/>
        <v>0</v>
      </c>
    </row>
    <row r="13" spans="1:256" s="48" customFormat="1" x14ac:dyDescent="0.25">
      <c r="A13" s="49" t="s">
        <v>26</v>
      </c>
      <c r="B13" s="50">
        <f t="shared" ref="B13:BM13" si="11">SUM(B14,B24,B63,B331)</f>
        <v>25</v>
      </c>
      <c r="C13" s="51">
        <f t="shared" si="11"/>
        <v>11656</v>
      </c>
      <c r="D13" s="51">
        <f t="shared" si="11"/>
        <v>1279</v>
      </c>
      <c r="E13" s="51">
        <f t="shared" si="11"/>
        <v>745</v>
      </c>
      <c r="F13" s="51">
        <f t="shared" si="11"/>
        <v>266</v>
      </c>
      <c r="G13" s="51">
        <f t="shared" si="11"/>
        <v>198</v>
      </c>
      <c r="H13" s="51">
        <f t="shared" si="11"/>
        <v>490</v>
      </c>
      <c r="I13" s="51">
        <f t="shared" si="11"/>
        <v>0</v>
      </c>
      <c r="J13" s="51">
        <f t="shared" si="11"/>
        <v>1050</v>
      </c>
      <c r="K13" s="51">
        <f t="shared" si="11"/>
        <v>693</v>
      </c>
      <c r="L13" s="52">
        <f t="shared" si="11"/>
        <v>16479</v>
      </c>
      <c r="M13" s="50">
        <f t="shared" si="11"/>
        <v>0</v>
      </c>
      <c r="N13" s="51">
        <f t="shared" si="11"/>
        <v>0</v>
      </c>
      <c r="O13" s="51">
        <f t="shared" si="11"/>
        <v>0</v>
      </c>
      <c r="P13" s="51">
        <f t="shared" si="11"/>
        <v>0</v>
      </c>
      <c r="Q13" s="51">
        <f t="shared" si="11"/>
        <v>0</v>
      </c>
      <c r="R13" s="51">
        <f t="shared" si="11"/>
        <v>0</v>
      </c>
      <c r="S13" s="51">
        <f t="shared" si="11"/>
        <v>0</v>
      </c>
      <c r="T13" s="51">
        <f t="shared" si="11"/>
        <v>0</v>
      </c>
      <c r="U13" s="51">
        <f t="shared" si="11"/>
        <v>0</v>
      </c>
      <c r="V13" s="51">
        <f t="shared" si="11"/>
        <v>0</v>
      </c>
      <c r="W13" s="52">
        <f t="shared" si="11"/>
        <v>0</v>
      </c>
      <c r="X13" s="50">
        <f t="shared" si="11"/>
        <v>0</v>
      </c>
      <c r="Y13" s="51">
        <f t="shared" si="11"/>
        <v>0</v>
      </c>
      <c r="Z13" s="51">
        <f t="shared" si="11"/>
        <v>0</v>
      </c>
      <c r="AA13" s="51">
        <f t="shared" si="11"/>
        <v>0</v>
      </c>
      <c r="AB13" s="51">
        <f t="shared" si="11"/>
        <v>0</v>
      </c>
      <c r="AC13" s="51">
        <f t="shared" si="11"/>
        <v>0</v>
      </c>
      <c r="AD13" s="51">
        <f t="shared" si="11"/>
        <v>0</v>
      </c>
      <c r="AE13" s="51">
        <f t="shared" si="11"/>
        <v>0</v>
      </c>
      <c r="AF13" s="51">
        <f t="shared" si="11"/>
        <v>0</v>
      </c>
      <c r="AG13" s="51">
        <f t="shared" si="11"/>
        <v>0</v>
      </c>
      <c r="AH13" s="52">
        <f t="shared" si="11"/>
        <v>0</v>
      </c>
      <c r="AI13" s="50">
        <f t="shared" si="11"/>
        <v>0</v>
      </c>
      <c r="AJ13" s="51">
        <f t="shared" si="11"/>
        <v>0</v>
      </c>
      <c r="AK13" s="51">
        <f t="shared" si="11"/>
        <v>0</v>
      </c>
      <c r="AL13" s="51">
        <f t="shared" si="11"/>
        <v>0</v>
      </c>
      <c r="AM13" s="51">
        <f t="shared" si="11"/>
        <v>0</v>
      </c>
      <c r="AN13" s="51">
        <f t="shared" si="11"/>
        <v>0</v>
      </c>
      <c r="AO13" s="51">
        <f t="shared" si="11"/>
        <v>0</v>
      </c>
      <c r="AP13" s="51">
        <f t="shared" si="11"/>
        <v>0</v>
      </c>
      <c r="AQ13" s="51">
        <f t="shared" si="11"/>
        <v>0</v>
      </c>
      <c r="AR13" s="51">
        <f t="shared" si="11"/>
        <v>0</v>
      </c>
      <c r="AS13" s="52">
        <f t="shared" si="11"/>
        <v>0</v>
      </c>
      <c r="AT13" s="50">
        <f t="shared" si="11"/>
        <v>0</v>
      </c>
      <c r="AU13" s="51">
        <f t="shared" si="11"/>
        <v>0</v>
      </c>
      <c r="AV13" s="51">
        <f t="shared" si="11"/>
        <v>0</v>
      </c>
      <c r="AW13" s="51">
        <f t="shared" si="11"/>
        <v>0</v>
      </c>
      <c r="AX13" s="51">
        <f t="shared" si="11"/>
        <v>0</v>
      </c>
      <c r="AY13" s="51">
        <f t="shared" si="11"/>
        <v>0</v>
      </c>
      <c r="AZ13" s="51">
        <f t="shared" si="11"/>
        <v>0</v>
      </c>
      <c r="BA13" s="51">
        <f t="shared" si="11"/>
        <v>0</v>
      </c>
      <c r="BB13" s="51">
        <f t="shared" si="11"/>
        <v>0</v>
      </c>
      <c r="BC13" s="51">
        <f t="shared" si="11"/>
        <v>0</v>
      </c>
      <c r="BD13" s="52">
        <f t="shared" si="11"/>
        <v>0</v>
      </c>
      <c r="BE13" s="50">
        <f t="shared" si="11"/>
        <v>0</v>
      </c>
      <c r="BF13" s="51">
        <f t="shared" si="11"/>
        <v>0</v>
      </c>
      <c r="BG13" s="51">
        <f t="shared" si="11"/>
        <v>0</v>
      </c>
      <c r="BH13" s="51">
        <f t="shared" si="11"/>
        <v>0</v>
      </c>
      <c r="BI13" s="51">
        <f t="shared" si="11"/>
        <v>0</v>
      </c>
      <c r="BJ13" s="51">
        <f t="shared" si="11"/>
        <v>0</v>
      </c>
      <c r="BK13" s="51">
        <f t="shared" si="11"/>
        <v>0</v>
      </c>
      <c r="BL13" s="51">
        <f t="shared" si="11"/>
        <v>0</v>
      </c>
      <c r="BM13" s="51">
        <f t="shared" si="11"/>
        <v>0</v>
      </c>
      <c r="BN13" s="51">
        <f t="shared" ref="BN13:DY13" si="12">SUM(BN14,BN24,BN63,BN331)</f>
        <v>0</v>
      </c>
      <c r="BO13" s="52">
        <f t="shared" si="12"/>
        <v>0</v>
      </c>
      <c r="BP13" s="50">
        <f t="shared" si="12"/>
        <v>0</v>
      </c>
      <c r="BQ13" s="51">
        <f t="shared" si="12"/>
        <v>0</v>
      </c>
      <c r="BR13" s="51">
        <f t="shared" si="12"/>
        <v>0</v>
      </c>
      <c r="BS13" s="51">
        <f t="shared" si="12"/>
        <v>0</v>
      </c>
      <c r="BT13" s="51">
        <f t="shared" si="12"/>
        <v>0</v>
      </c>
      <c r="BU13" s="51">
        <f t="shared" si="12"/>
        <v>0</v>
      </c>
      <c r="BV13" s="51">
        <f t="shared" si="12"/>
        <v>0</v>
      </c>
      <c r="BW13" s="51">
        <f t="shared" si="12"/>
        <v>0</v>
      </c>
      <c r="BX13" s="51">
        <f t="shared" si="12"/>
        <v>0</v>
      </c>
      <c r="BY13" s="51">
        <f t="shared" si="12"/>
        <v>0</v>
      </c>
      <c r="BZ13" s="52">
        <f t="shared" si="12"/>
        <v>0</v>
      </c>
      <c r="CA13" s="50">
        <f t="shared" si="12"/>
        <v>0</v>
      </c>
      <c r="CB13" s="51">
        <f t="shared" si="12"/>
        <v>0</v>
      </c>
      <c r="CC13" s="51">
        <f t="shared" si="12"/>
        <v>0</v>
      </c>
      <c r="CD13" s="51">
        <f t="shared" si="12"/>
        <v>0</v>
      </c>
      <c r="CE13" s="51">
        <f t="shared" si="12"/>
        <v>0</v>
      </c>
      <c r="CF13" s="51">
        <f t="shared" si="12"/>
        <v>0</v>
      </c>
      <c r="CG13" s="51">
        <f t="shared" si="12"/>
        <v>0</v>
      </c>
      <c r="CH13" s="51">
        <f t="shared" si="12"/>
        <v>0</v>
      </c>
      <c r="CI13" s="51">
        <f t="shared" si="12"/>
        <v>0</v>
      </c>
      <c r="CJ13" s="51">
        <f t="shared" si="12"/>
        <v>0</v>
      </c>
      <c r="CK13" s="52">
        <f t="shared" si="12"/>
        <v>0</v>
      </c>
      <c r="CL13" s="50">
        <f t="shared" si="12"/>
        <v>0</v>
      </c>
      <c r="CM13" s="51">
        <f t="shared" si="12"/>
        <v>0</v>
      </c>
      <c r="CN13" s="51">
        <f t="shared" si="12"/>
        <v>0</v>
      </c>
      <c r="CO13" s="51">
        <f t="shared" si="12"/>
        <v>0</v>
      </c>
      <c r="CP13" s="51">
        <f t="shared" si="12"/>
        <v>0</v>
      </c>
      <c r="CQ13" s="51">
        <f t="shared" si="12"/>
        <v>0</v>
      </c>
      <c r="CR13" s="51">
        <f t="shared" si="12"/>
        <v>0</v>
      </c>
      <c r="CS13" s="51">
        <f t="shared" si="12"/>
        <v>0</v>
      </c>
      <c r="CT13" s="51">
        <f t="shared" si="12"/>
        <v>0</v>
      </c>
      <c r="CU13" s="51">
        <f t="shared" si="12"/>
        <v>0</v>
      </c>
      <c r="CV13" s="52">
        <f t="shared" si="12"/>
        <v>0</v>
      </c>
      <c r="CW13" s="50">
        <f t="shared" si="12"/>
        <v>0</v>
      </c>
      <c r="CX13" s="51">
        <f t="shared" si="12"/>
        <v>0</v>
      </c>
      <c r="CY13" s="51">
        <f t="shared" si="12"/>
        <v>0</v>
      </c>
      <c r="CZ13" s="51">
        <f t="shared" si="12"/>
        <v>0</v>
      </c>
      <c r="DA13" s="51">
        <f t="shared" si="12"/>
        <v>0</v>
      </c>
      <c r="DB13" s="51">
        <f t="shared" si="12"/>
        <v>0</v>
      </c>
      <c r="DC13" s="51">
        <f t="shared" si="12"/>
        <v>0</v>
      </c>
      <c r="DD13" s="51">
        <f t="shared" si="12"/>
        <v>0</v>
      </c>
      <c r="DE13" s="51">
        <f t="shared" si="12"/>
        <v>0</v>
      </c>
      <c r="DF13" s="51">
        <f t="shared" si="12"/>
        <v>0</v>
      </c>
      <c r="DG13" s="52">
        <f t="shared" si="12"/>
        <v>0</v>
      </c>
      <c r="DH13" s="50">
        <f t="shared" si="12"/>
        <v>0</v>
      </c>
      <c r="DI13" s="51">
        <f t="shared" si="12"/>
        <v>0</v>
      </c>
      <c r="DJ13" s="51">
        <f t="shared" si="12"/>
        <v>0</v>
      </c>
      <c r="DK13" s="51">
        <f t="shared" si="12"/>
        <v>0</v>
      </c>
      <c r="DL13" s="51">
        <f t="shared" si="12"/>
        <v>0</v>
      </c>
      <c r="DM13" s="51">
        <f t="shared" si="12"/>
        <v>0</v>
      </c>
      <c r="DN13" s="51">
        <f t="shared" si="12"/>
        <v>0</v>
      </c>
      <c r="DO13" s="51">
        <f t="shared" si="12"/>
        <v>0</v>
      </c>
      <c r="DP13" s="51">
        <f t="shared" si="12"/>
        <v>0</v>
      </c>
      <c r="DQ13" s="51">
        <f t="shared" si="12"/>
        <v>0</v>
      </c>
      <c r="DR13" s="52">
        <f t="shared" si="12"/>
        <v>0</v>
      </c>
      <c r="DS13" s="50">
        <f t="shared" si="12"/>
        <v>0</v>
      </c>
      <c r="DT13" s="51">
        <f t="shared" si="12"/>
        <v>0</v>
      </c>
      <c r="DU13" s="51">
        <f t="shared" si="12"/>
        <v>0</v>
      </c>
      <c r="DV13" s="51">
        <f t="shared" si="12"/>
        <v>0</v>
      </c>
      <c r="DW13" s="51">
        <f t="shared" si="12"/>
        <v>0</v>
      </c>
      <c r="DX13" s="51">
        <f t="shared" si="12"/>
        <v>0</v>
      </c>
      <c r="DY13" s="51">
        <f t="shared" si="12"/>
        <v>0</v>
      </c>
      <c r="DZ13" s="51">
        <f t="shared" ref="DZ13:GK13" si="13">SUM(DZ14,DZ24,DZ63,DZ331)</f>
        <v>0</v>
      </c>
      <c r="EA13" s="51">
        <f t="shared" si="13"/>
        <v>0</v>
      </c>
      <c r="EB13" s="51">
        <f t="shared" si="13"/>
        <v>0</v>
      </c>
      <c r="EC13" s="52">
        <f t="shared" si="13"/>
        <v>0</v>
      </c>
      <c r="ED13" s="50">
        <f t="shared" si="13"/>
        <v>0</v>
      </c>
      <c r="EE13" s="51">
        <f t="shared" si="13"/>
        <v>0</v>
      </c>
      <c r="EF13" s="51">
        <f t="shared" si="13"/>
        <v>0</v>
      </c>
      <c r="EG13" s="51">
        <f t="shared" si="13"/>
        <v>0</v>
      </c>
      <c r="EH13" s="51">
        <f t="shared" si="13"/>
        <v>0</v>
      </c>
      <c r="EI13" s="51">
        <f t="shared" si="13"/>
        <v>0</v>
      </c>
      <c r="EJ13" s="51">
        <f t="shared" si="13"/>
        <v>0</v>
      </c>
      <c r="EK13" s="51">
        <f t="shared" si="13"/>
        <v>0</v>
      </c>
      <c r="EL13" s="51">
        <f t="shared" si="13"/>
        <v>0</v>
      </c>
      <c r="EM13" s="51">
        <f t="shared" si="13"/>
        <v>0</v>
      </c>
      <c r="EN13" s="52">
        <f t="shared" si="13"/>
        <v>0</v>
      </c>
      <c r="EO13" s="50">
        <f t="shared" si="13"/>
        <v>0</v>
      </c>
      <c r="EP13" s="51">
        <f t="shared" si="13"/>
        <v>0</v>
      </c>
      <c r="EQ13" s="51">
        <f t="shared" si="13"/>
        <v>0</v>
      </c>
      <c r="ER13" s="51">
        <f t="shared" si="13"/>
        <v>0</v>
      </c>
      <c r="ES13" s="51">
        <f t="shared" si="13"/>
        <v>0</v>
      </c>
      <c r="ET13" s="51">
        <f t="shared" si="13"/>
        <v>0</v>
      </c>
      <c r="EU13" s="51">
        <f t="shared" si="13"/>
        <v>0</v>
      </c>
      <c r="EV13" s="51">
        <f t="shared" si="13"/>
        <v>0</v>
      </c>
      <c r="EW13" s="51">
        <f t="shared" si="13"/>
        <v>0</v>
      </c>
      <c r="EX13" s="51">
        <f t="shared" si="13"/>
        <v>0</v>
      </c>
      <c r="EY13" s="52">
        <f t="shared" si="13"/>
        <v>0</v>
      </c>
      <c r="EZ13" s="50">
        <f t="shared" si="13"/>
        <v>0</v>
      </c>
      <c r="FA13" s="51">
        <f t="shared" si="13"/>
        <v>0</v>
      </c>
      <c r="FB13" s="51">
        <f t="shared" si="13"/>
        <v>0</v>
      </c>
      <c r="FC13" s="51">
        <f t="shared" si="13"/>
        <v>0</v>
      </c>
      <c r="FD13" s="51">
        <f t="shared" si="13"/>
        <v>0</v>
      </c>
      <c r="FE13" s="51">
        <f t="shared" si="13"/>
        <v>0</v>
      </c>
      <c r="FF13" s="51">
        <f t="shared" si="13"/>
        <v>0</v>
      </c>
      <c r="FG13" s="51">
        <f t="shared" si="13"/>
        <v>0</v>
      </c>
      <c r="FH13" s="51">
        <f t="shared" si="13"/>
        <v>0</v>
      </c>
      <c r="FI13" s="51">
        <f t="shared" si="13"/>
        <v>0</v>
      </c>
      <c r="FJ13" s="52">
        <f t="shared" si="13"/>
        <v>0</v>
      </c>
      <c r="FK13" s="50">
        <f t="shared" si="13"/>
        <v>0</v>
      </c>
      <c r="FL13" s="51">
        <f t="shared" si="13"/>
        <v>0</v>
      </c>
      <c r="FM13" s="51">
        <f t="shared" si="13"/>
        <v>0</v>
      </c>
      <c r="FN13" s="51">
        <f t="shared" si="13"/>
        <v>0</v>
      </c>
      <c r="FO13" s="51">
        <f t="shared" si="13"/>
        <v>0</v>
      </c>
      <c r="FP13" s="51">
        <f t="shared" si="13"/>
        <v>0</v>
      </c>
      <c r="FQ13" s="51">
        <f t="shared" si="13"/>
        <v>0</v>
      </c>
      <c r="FR13" s="51">
        <f t="shared" si="13"/>
        <v>0</v>
      </c>
      <c r="FS13" s="51">
        <f t="shared" si="13"/>
        <v>0</v>
      </c>
      <c r="FT13" s="51">
        <f t="shared" si="13"/>
        <v>0</v>
      </c>
      <c r="FU13" s="52">
        <f t="shared" si="13"/>
        <v>0</v>
      </c>
      <c r="FV13" s="50">
        <f t="shared" si="13"/>
        <v>0</v>
      </c>
      <c r="FW13" s="51">
        <f t="shared" si="13"/>
        <v>0</v>
      </c>
      <c r="FX13" s="51">
        <f t="shared" si="13"/>
        <v>0</v>
      </c>
      <c r="FY13" s="51">
        <f t="shared" si="13"/>
        <v>0</v>
      </c>
      <c r="FZ13" s="51">
        <f t="shared" si="13"/>
        <v>0</v>
      </c>
      <c r="GA13" s="51">
        <f t="shared" si="13"/>
        <v>0</v>
      </c>
      <c r="GB13" s="51">
        <f t="shared" si="13"/>
        <v>0</v>
      </c>
      <c r="GC13" s="51">
        <f t="shared" si="13"/>
        <v>0</v>
      </c>
      <c r="GD13" s="51">
        <f t="shared" si="13"/>
        <v>0</v>
      </c>
      <c r="GE13" s="51">
        <f t="shared" si="13"/>
        <v>0</v>
      </c>
      <c r="GF13" s="52">
        <f t="shared" si="13"/>
        <v>0</v>
      </c>
      <c r="GG13" s="50">
        <f t="shared" si="13"/>
        <v>0</v>
      </c>
      <c r="GH13" s="51">
        <f t="shared" si="13"/>
        <v>0</v>
      </c>
      <c r="GI13" s="51">
        <f t="shared" si="13"/>
        <v>0</v>
      </c>
      <c r="GJ13" s="51">
        <f t="shared" si="13"/>
        <v>0</v>
      </c>
      <c r="GK13" s="51">
        <f t="shared" si="13"/>
        <v>0</v>
      </c>
      <c r="GL13" s="51">
        <f t="shared" ref="GL13:GU13" si="14">SUM(GL14,GL24,GL63,GL331)</f>
        <v>0</v>
      </c>
      <c r="GM13" s="51">
        <f t="shared" si="14"/>
        <v>0</v>
      </c>
      <c r="GN13" s="51">
        <f t="shared" si="14"/>
        <v>0</v>
      </c>
      <c r="GO13" s="51">
        <f t="shared" si="14"/>
        <v>0</v>
      </c>
      <c r="GP13" s="51">
        <f t="shared" si="14"/>
        <v>0</v>
      </c>
      <c r="GQ13" s="52">
        <f t="shared" si="14"/>
        <v>0</v>
      </c>
      <c r="GR13" s="53">
        <f t="shared" si="14"/>
        <v>0</v>
      </c>
      <c r="GS13" s="53">
        <f t="shared" si="14"/>
        <v>0</v>
      </c>
      <c r="GT13" s="53">
        <f t="shared" si="14"/>
        <v>0</v>
      </c>
      <c r="GU13" s="53">
        <f t="shared" si="14"/>
        <v>0</v>
      </c>
      <c r="GV13" s="53">
        <f>GR13+GS13+GT13+GU13</f>
        <v>0</v>
      </c>
      <c r="GW13" s="53">
        <f t="shared" ref="GW13:IV13" si="15">SUM(GW14,GW24,GW63)</f>
        <v>0</v>
      </c>
      <c r="GX13" s="53">
        <f t="shared" si="15"/>
        <v>0</v>
      </c>
      <c r="GY13" s="53">
        <f t="shared" si="15"/>
        <v>0</v>
      </c>
      <c r="GZ13" s="53">
        <f t="shared" si="15"/>
        <v>0</v>
      </c>
      <c r="HA13" s="53">
        <f t="shared" si="15"/>
        <v>0</v>
      </c>
      <c r="HB13" s="53">
        <f t="shared" si="15"/>
        <v>0</v>
      </c>
      <c r="HC13" s="53">
        <f t="shared" si="15"/>
        <v>0</v>
      </c>
      <c r="HD13" s="53">
        <f t="shared" si="15"/>
        <v>0</v>
      </c>
      <c r="HE13" s="53">
        <f t="shared" si="15"/>
        <v>0</v>
      </c>
      <c r="HF13" s="53">
        <f t="shared" si="15"/>
        <v>0</v>
      </c>
      <c r="HG13" s="53">
        <f t="shared" si="15"/>
        <v>0</v>
      </c>
      <c r="HH13" s="53">
        <f t="shared" si="15"/>
        <v>0</v>
      </c>
      <c r="HI13" s="53">
        <f t="shared" si="15"/>
        <v>0</v>
      </c>
      <c r="HJ13" s="53">
        <f t="shared" si="15"/>
        <v>0</v>
      </c>
      <c r="HK13" s="53">
        <f t="shared" si="15"/>
        <v>0</v>
      </c>
      <c r="HL13" s="53">
        <f t="shared" si="15"/>
        <v>0</v>
      </c>
      <c r="HM13" s="53">
        <f t="shared" si="15"/>
        <v>0</v>
      </c>
      <c r="HN13" s="53">
        <f t="shared" si="15"/>
        <v>0</v>
      </c>
      <c r="HO13" s="53">
        <f t="shared" si="15"/>
        <v>0</v>
      </c>
      <c r="HP13" s="53">
        <f t="shared" si="15"/>
        <v>0</v>
      </c>
      <c r="HQ13" s="53">
        <f t="shared" si="15"/>
        <v>0</v>
      </c>
      <c r="HR13" s="53">
        <f t="shared" si="15"/>
        <v>0</v>
      </c>
      <c r="HS13" s="53">
        <f t="shared" si="15"/>
        <v>0</v>
      </c>
      <c r="HT13" s="53">
        <f t="shared" si="15"/>
        <v>0</v>
      </c>
      <c r="HU13" s="53">
        <f t="shared" si="15"/>
        <v>0</v>
      </c>
      <c r="HV13" s="53">
        <f t="shared" si="15"/>
        <v>0</v>
      </c>
      <c r="HW13" s="53">
        <f t="shared" si="15"/>
        <v>0</v>
      </c>
      <c r="HX13" s="53">
        <f t="shared" si="15"/>
        <v>0</v>
      </c>
      <c r="HY13" s="53">
        <f t="shared" si="15"/>
        <v>0</v>
      </c>
      <c r="HZ13" s="53">
        <f t="shared" si="15"/>
        <v>0</v>
      </c>
      <c r="IA13" s="53">
        <f t="shared" si="15"/>
        <v>0</v>
      </c>
      <c r="IB13" s="53">
        <f t="shared" si="15"/>
        <v>0</v>
      </c>
      <c r="IC13" s="53">
        <f t="shared" si="15"/>
        <v>0</v>
      </c>
      <c r="ID13" s="53">
        <f t="shared" si="15"/>
        <v>0</v>
      </c>
      <c r="IE13" s="53">
        <f t="shared" si="15"/>
        <v>0</v>
      </c>
      <c r="IF13" s="53">
        <f t="shared" si="15"/>
        <v>0</v>
      </c>
      <c r="IG13" s="53">
        <f t="shared" si="15"/>
        <v>0</v>
      </c>
      <c r="IH13" s="53">
        <f t="shared" si="15"/>
        <v>0</v>
      </c>
      <c r="II13" s="53">
        <f t="shared" si="15"/>
        <v>0</v>
      </c>
      <c r="IJ13" s="53">
        <f t="shared" si="15"/>
        <v>0</v>
      </c>
      <c r="IK13" s="53">
        <f t="shared" si="15"/>
        <v>0</v>
      </c>
      <c r="IL13" s="53">
        <f t="shared" si="15"/>
        <v>0</v>
      </c>
      <c r="IM13" s="53">
        <f t="shared" si="15"/>
        <v>0</v>
      </c>
      <c r="IN13" s="53">
        <f t="shared" si="15"/>
        <v>0</v>
      </c>
      <c r="IO13" s="53">
        <f t="shared" si="15"/>
        <v>0</v>
      </c>
      <c r="IP13" s="53">
        <f t="shared" si="15"/>
        <v>0</v>
      </c>
      <c r="IQ13" s="53">
        <f t="shared" si="15"/>
        <v>0</v>
      </c>
      <c r="IR13" s="53">
        <f t="shared" si="15"/>
        <v>0</v>
      </c>
      <c r="IS13" s="53">
        <f t="shared" si="15"/>
        <v>0</v>
      </c>
      <c r="IT13" s="53">
        <f t="shared" si="15"/>
        <v>0</v>
      </c>
      <c r="IU13" s="53">
        <f t="shared" si="15"/>
        <v>0</v>
      </c>
      <c r="IV13" s="53">
        <f t="shared" si="15"/>
        <v>0</v>
      </c>
    </row>
    <row r="14" spans="1:256" s="54" customFormat="1" x14ac:dyDescent="0.2">
      <c r="A14" s="55" t="s">
        <v>27</v>
      </c>
      <c r="B14" s="56">
        <f>SUM(B15,B22, )</f>
        <v>25</v>
      </c>
      <c r="C14" s="56">
        <f>SUM(C15,C22, )</f>
        <v>0</v>
      </c>
      <c r="D14" s="56">
        <f t="shared" ref="D14:L14" si="16">SUM(D15,D22, )</f>
        <v>0</v>
      </c>
      <c r="E14" s="56">
        <f t="shared" si="16"/>
        <v>0</v>
      </c>
      <c r="F14" s="56">
        <f t="shared" si="16"/>
        <v>0</v>
      </c>
      <c r="G14" s="56">
        <f t="shared" si="16"/>
        <v>0</v>
      </c>
      <c r="H14" s="56">
        <f t="shared" si="16"/>
        <v>0</v>
      </c>
      <c r="I14" s="56">
        <f t="shared" si="16"/>
        <v>0</v>
      </c>
      <c r="J14" s="56">
        <f t="shared" si="16"/>
        <v>0</v>
      </c>
      <c r="K14" s="56">
        <f t="shared" si="16"/>
        <v>0</v>
      </c>
      <c r="L14" s="56">
        <f t="shared" si="16"/>
        <v>0</v>
      </c>
      <c r="M14" s="56">
        <f>SUM(M15,M22, )</f>
        <v>0</v>
      </c>
      <c r="N14" s="56">
        <f>SUM(N15,N22, )</f>
        <v>0</v>
      </c>
      <c r="O14" s="56">
        <f t="shared" ref="O14:BD14" si="17">SUM(O15,O22, )</f>
        <v>0</v>
      </c>
      <c r="P14" s="56">
        <f t="shared" si="17"/>
        <v>0</v>
      </c>
      <c r="Q14" s="56">
        <f t="shared" si="17"/>
        <v>0</v>
      </c>
      <c r="R14" s="56">
        <f t="shared" si="17"/>
        <v>0</v>
      </c>
      <c r="S14" s="56">
        <f t="shared" si="17"/>
        <v>0</v>
      </c>
      <c r="T14" s="56">
        <f t="shared" si="17"/>
        <v>0</v>
      </c>
      <c r="U14" s="56">
        <f t="shared" si="17"/>
        <v>0</v>
      </c>
      <c r="V14" s="56">
        <f t="shared" si="17"/>
        <v>0</v>
      </c>
      <c r="W14" s="56">
        <f t="shared" si="17"/>
        <v>0</v>
      </c>
      <c r="X14" s="56">
        <f t="shared" si="17"/>
        <v>0</v>
      </c>
      <c r="Y14" s="56">
        <f t="shared" si="17"/>
        <v>0</v>
      </c>
      <c r="Z14" s="56">
        <f t="shared" si="17"/>
        <v>0</v>
      </c>
      <c r="AA14" s="56">
        <f t="shared" si="17"/>
        <v>0</v>
      </c>
      <c r="AB14" s="56">
        <f t="shared" si="17"/>
        <v>0</v>
      </c>
      <c r="AC14" s="56">
        <f t="shared" si="17"/>
        <v>0</v>
      </c>
      <c r="AD14" s="56">
        <f t="shared" si="17"/>
        <v>0</v>
      </c>
      <c r="AE14" s="56">
        <f t="shared" si="17"/>
        <v>0</v>
      </c>
      <c r="AF14" s="56">
        <f t="shared" si="17"/>
        <v>0</v>
      </c>
      <c r="AG14" s="56">
        <f t="shared" si="17"/>
        <v>0</v>
      </c>
      <c r="AH14" s="56">
        <f t="shared" si="17"/>
        <v>0</v>
      </c>
      <c r="AI14" s="56">
        <f t="shared" si="17"/>
        <v>0</v>
      </c>
      <c r="AJ14" s="56">
        <f t="shared" si="17"/>
        <v>0</v>
      </c>
      <c r="AK14" s="56">
        <f t="shared" si="17"/>
        <v>0</v>
      </c>
      <c r="AL14" s="56">
        <f t="shared" si="17"/>
        <v>0</v>
      </c>
      <c r="AM14" s="56">
        <f t="shared" si="17"/>
        <v>0</v>
      </c>
      <c r="AN14" s="56">
        <f t="shared" si="17"/>
        <v>0</v>
      </c>
      <c r="AO14" s="56">
        <f t="shared" si="17"/>
        <v>0</v>
      </c>
      <c r="AP14" s="56">
        <f t="shared" si="17"/>
        <v>0</v>
      </c>
      <c r="AQ14" s="56">
        <f t="shared" si="17"/>
        <v>0</v>
      </c>
      <c r="AR14" s="56">
        <f t="shared" si="17"/>
        <v>0</v>
      </c>
      <c r="AS14" s="56">
        <f t="shared" si="17"/>
        <v>0</v>
      </c>
      <c r="AT14" s="56">
        <f t="shared" si="17"/>
        <v>0</v>
      </c>
      <c r="AU14" s="56">
        <f t="shared" si="17"/>
        <v>0</v>
      </c>
      <c r="AV14" s="56">
        <f t="shared" si="17"/>
        <v>0</v>
      </c>
      <c r="AW14" s="56">
        <f t="shared" si="17"/>
        <v>0</v>
      </c>
      <c r="AX14" s="56">
        <f t="shared" si="17"/>
        <v>0</v>
      </c>
      <c r="AY14" s="56">
        <f t="shared" si="17"/>
        <v>0</v>
      </c>
      <c r="AZ14" s="56">
        <f t="shared" si="17"/>
        <v>0</v>
      </c>
      <c r="BA14" s="56">
        <f t="shared" si="17"/>
        <v>0</v>
      </c>
      <c r="BB14" s="56">
        <f t="shared" si="17"/>
        <v>0</v>
      </c>
      <c r="BC14" s="56">
        <f t="shared" si="17"/>
        <v>0</v>
      </c>
      <c r="BD14" s="56">
        <f t="shared" si="17"/>
        <v>0</v>
      </c>
      <c r="BE14" s="56">
        <f>SUM(BE15,BE22, )</f>
        <v>0</v>
      </c>
      <c r="BF14" s="56">
        <f>SUM(BF15,BF22, )</f>
        <v>0</v>
      </c>
      <c r="BG14" s="56">
        <f t="shared" ref="BG14:CV14" si="18">SUM(BG15,BG22, )</f>
        <v>0</v>
      </c>
      <c r="BH14" s="56">
        <f t="shared" si="18"/>
        <v>0</v>
      </c>
      <c r="BI14" s="56">
        <f t="shared" si="18"/>
        <v>0</v>
      </c>
      <c r="BJ14" s="56">
        <f t="shared" si="18"/>
        <v>0</v>
      </c>
      <c r="BK14" s="56">
        <f t="shared" si="18"/>
        <v>0</v>
      </c>
      <c r="BL14" s="56">
        <f t="shared" si="18"/>
        <v>0</v>
      </c>
      <c r="BM14" s="56">
        <f t="shared" si="18"/>
        <v>0</v>
      </c>
      <c r="BN14" s="56">
        <f t="shared" si="18"/>
        <v>0</v>
      </c>
      <c r="BO14" s="56">
        <f t="shared" si="18"/>
        <v>0</v>
      </c>
      <c r="BP14" s="56">
        <f t="shared" si="18"/>
        <v>0</v>
      </c>
      <c r="BQ14" s="56">
        <f t="shared" si="18"/>
        <v>0</v>
      </c>
      <c r="BR14" s="56">
        <f t="shared" si="18"/>
        <v>0</v>
      </c>
      <c r="BS14" s="56">
        <f t="shared" si="18"/>
        <v>0</v>
      </c>
      <c r="BT14" s="56">
        <f t="shared" si="18"/>
        <v>0</v>
      </c>
      <c r="BU14" s="56">
        <f t="shared" si="18"/>
        <v>0</v>
      </c>
      <c r="BV14" s="56">
        <f t="shared" si="18"/>
        <v>0</v>
      </c>
      <c r="BW14" s="56">
        <f t="shared" si="18"/>
        <v>0</v>
      </c>
      <c r="BX14" s="56">
        <f t="shared" si="18"/>
        <v>0</v>
      </c>
      <c r="BY14" s="56">
        <f t="shared" si="18"/>
        <v>0</v>
      </c>
      <c r="BZ14" s="56">
        <f t="shared" si="18"/>
        <v>0</v>
      </c>
      <c r="CA14" s="56">
        <f t="shared" si="18"/>
        <v>0</v>
      </c>
      <c r="CB14" s="56">
        <f t="shared" si="18"/>
        <v>0</v>
      </c>
      <c r="CC14" s="56">
        <f t="shared" si="18"/>
        <v>0</v>
      </c>
      <c r="CD14" s="56">
        <f t="shared" si="18"/>
        <v>0</v>
      </c>
      <c r="CE14" s="56">
        <f t="shared" si="18"/>
        <v>0</v>
      </c>
      <c r="CF14" s="56">
        <f t="shared" si="18"/>
        <v>0</v>
      </c>
      <c r="CG14" s="56">
        <f t="shared" si="18"/>
        <v>0</v>
      </c>
      <c r="CH14" s="56">
        <f t="shared" si="18"/>
        <v>0</v>
      </c>
      <c r="CI14" s="56">
        <f t="shared" si="18"/>
        <v>0</v>
      </c>
      <c r="CJ14" s="56">
        <f t="shared" si="18"/>
        <v>0</v>
      </c>
      <c r="CK14" s="56">
        <f t="shared" si="18"/>
        <v>0</v>
      </c>
      <c r="CL14" s="56">
        <f t="shared" si="18"/>
        <v>0</v>
      </c>
      <c r="CM14" s="56">
        <f t="shared" si="18"/>
        <v>0</v>
      </c>
      <c r="CN14" s="56">
        <f t="shared" si="18"/>
        <v>0</v>
      </c>
      <c r="CO14" s="56">
        <f t="shared" si="18"/>
        <v>0</v>
      </c>
      <c r="CP14" s="56">
        <f t="shared" si="18"/>
        <v>0</v>
      </c>
      <c r="CQ14" s="56">
        <f t="shared" si="18"/>
        <v>0</v>
      </c>
      <c r="CR14" s="56">
        <f t="shared" si="18"/>
        <v>0</v>
      </c>
      <c r="CS14" s="56">
        <f t="shared" si="18"/>
        <v>0</v>
      </c>
      <c r="CT14" s="56">
        <f t="shared" si="18"/>
        <v>0</v>
      </c>
      <c r="CU14" s="56">
        <f t="shared" si="18"/>
        <v>0</v>
      </c>
      <c r="CV14" s="56">
        <f t="shared" si="18"/>
        <v>0</v>
      </c>
      <c r="CW14" s="56">
        <f>SUM(CW15,CW22, )</f>
        <v>0</v>
      </c>
      <c r="CX14" s="56">
        <f>SUM(CX15,CX22, )</f>
        <v>0</v>
      </c>
      <c r="CY14" s="56">
        <f t="shared" ref="CY14:EN14" si="19">SUM(CY15,CY22, )</f>
        <v>0</v>
      </c>
      <c r="CZ14" s="56">
        <f t="shared" si="19"/>
        <v>0</v>
      </c>
      <c r="DA14" s="56">
        <f t="shared" si="19"/>
        <v>0</v>
      </c>
      <c r="DB14" s="56">
        <f t="shared" si="19"/>
        <v>0</v>
      </c>
      <c r="DC14" s="56">
        <f t="shared" si="19"/>
        <v>0</v>
      </c>
      <c r="DD14" s="56">
        <f t="shared" si="19"/>
        <v>0</v>
      </c>
      <c r="DE14" s="56">
        <f t="shared" si="19"/>
        <v>0</v>
      </c>
      <c r="DF14" s="56">
        <f t="shared" si="19"/>
        <v>0</v>
      </c>
      <c r="DG14" s="56">
        <f t="shared" si="19"/>
        <v>0</v>
      </c>
      <c r="DH14" s="56">
        <f t="shared" si="19"/>
        <v>0</v>
      </c>
      <c r="DI14" s="56">
        <f t="shared" si="19"/>
        <v>0</v>
      </c>
      <c r="DJ14" s="56">
        <f t="shared" si="19"/>
        <v>0</v>
      </c>
      <c r="DK14" s="56">
        <f t="shared" si="19"/>
        <v>0</v>
      </c>
      <c r="DL14" s="56">
        <f t="shared" si="19"/>
        <v>0</v>
      </c>
      <c r="DM14" s="56">
        <f t="shared" si="19"/>
        <v>0</v>
      </c>
      <c r="DN14" s="56">
        <f t="shared" si="19"/>
        <v>0</v>
      </c>
      <c r="DO14" s="56">
        <f t="shared" si="19"/>
        <v>0</v>
      </c>
      <c r="DP14" s="56">
        <f t="shared" si="19"/>
        <v>0</v>
      </c>
      <c r="DQ14" s="56">
        <f t="shared" si="19"/>
        <v>0</v>
      </c>
      <c r="DR14" s="56">
        <f t="shared" si="19"/>
        <v>0</v>
      </c>
      <c r="DS14" s="56">
        <f t="shared" si="19"/>
        <v>0</v>
      </c>
      <c r="DT14" s="56">
        <f t="shared" si="19"/>
        <v>0</v>
      </c>
      <c r="DU14" s="56">
        <f t="shared" si="19"/>
        <v>0</v>
      </c>
      <c r="DV14" s="56">
        <f t="shared" si="19"/>
        <v>0</v>
      </c>
      <c r="DW14" s="56">
        <f t="shared" si="19"/>
        <v>0</v>
      </c>
      <c r="DX14" s="56">
        <f t="shared" si="19"/>
        <v>0</v>
      </c>
      <c r="DY14" s="56">
        <f t="shared" si="19"/>
        <v>0</v>
      </c>
      <c r="DZ14" s="56">
        <f t="shared" si="19"/>
        <v>0</v>
      </c>
      <c r="EA14" s="56">
        <f t="shared" si="19"/>
        <v>0</v>
      </c>
      <c r="EB14" s="56">
        <f t="shared" si="19"/>
        <v>0</v>
      </c>
      <c r="EC14" s="56">
        <f t="shared" si="19"/>
        <v>0</v>
      </c>
      <c r="ED14" s="56">
        <f t="shared" si="19"/>
        <v>0</v>
      </c>
      <c r="EE14" s="56">
        <f t="shared" si="19"/>
        <v>0</v>
      </c>
      <c r="EF14" s="56">
        <f t="shared" si="19"/>
        <v>0</v>
      </c>
      <c r="EG14" s="56">
        <f t="shared" si="19"/>
        <v>0</v>
      </c>
      <c r="EH14" s="56">
        <f t="shared" si="19"/>
        <v>0</v>
      </c>
      <c r="EI14" s="56">
        <f t="shared" si="19"/>
        <v>0</v>
      </c>
      <c r="EJ14" s="56">
        <f t="shared" si="19"/>
        <v>0</v>
      </c>
      <c r="EK14" s="56">
        <f t="shared" si="19"/>
        <v>0</v>
      </c>
      <c r="EL14" s="56">
        <f t="shared" si="19"/>
        <v>0</v>
      </c>
      <c r="EM14" s="56">
        <f t="shared" si="19"/>
        <v>0</v>
      </c>
      <c r="EN14" s="56">
        <f t="shared" si="19"/>
        <v>0</v>
      </c>
      <c r="EO14" s="56">
        <f>SUM(EO15,EO22, )</f>
        <v>0</v>
      </c>
      <c r="EP14" s="56">
        <f>SUM(EP15,EP22, )</f>
        <v>0</v>
      </c>
      <c r="EQ14" s="56">
        <f t="shared" ref="EQ14:HB14" si="20">SUM(EQ15,EQ22, )</f>
        <v>0</v>
      </c>
      <c r="ER14" s="56">
        <f t="shared" si="20"/>
        <v>0</v>
      </c>
      <c r="ES14" s="56">
        <f t="shared" si="20"/>
        <v>0</v>
      </c>
      <c r="ET14" s="56">
        <f t="shared" si="20"/>
        <v>0</v>
      </c>
      <c r="EU14" s="56">
        <f t="shared" si="20"/>
        <v>0</v>
      </c>
      <c r="EV14" s="56">
        <f t="shared" si="20"/>
        <v>0</v>
      </c>
      <c r="EW14" s="56">
        <f t="shared" si="20"/>
        <v>0</v>
      </c>
      <c r="EX14" s="56">
        <f t="shared" si="20"/>
        <v>0</v>
      </c>
      <c r="EY14" s="56">
        <f t="shared" si="20"/>
        <v>0</v>
      </c>
      <c r="EZ14" s="56">
        <f t="shared" si="20"/>
        <v>0</v>
      </c>
      <c r="FA14" s="56">
        <f t="shared" si="20"/>
        <v>0</v>
      </c>
      <c r="FB14" s="56">
        <f t="shared" si="20"/>
        <v>0</v>
      </c>
      <c r="FC14" s="56">
        <f t="shared" si="20"/>
        <v>0</v>
      </c>
      <c r="FD14" s="56">
        <f t="shared" si="20"/>
        <v>0</v>
      </c>
      <c r="FE14" s="56">
        <f t="shared" si="20"/>
        <v>0</v>
      </c>
      <c r="FF14" s="56">
        <f t="shared" si="20"/>
        <v>0</v>
      </c>
      <c r="FG14" s="56">
        <f t="shared" si="20"/>
        <v>0</v>
      </c>
      <c r="FH14" s="56">
        <f t="shared" si="20"/>
        <v>0</v>
      </c>
      <c r="FI14" s="56">
        <f t="shared" si="20"/>
        <v>0</v>
      </c>
      <c r="FJ14" s="56">
        <f t="shared" si="20"/>
        <v>0</v>
      </c>
      <c r="FK14" s="56">
        <f t="shared" si="20"/>
        <v>0</v>
      </c>
      <c r="FL14" s="56">
        <f t="shared" si="20"/>
        <v>0</v>
      </c>
      <c r="FM14" s="56">
        <f t="shared" si="20"/>
        <v>0</v>
      </c>
      <c r="FN14" s="56">
        <f t="shared" si="20"/>
        <v>0</v>
      </c>
      <c r="FO14" s="56">
        <f t="shared" si="20"/>
        <v>0</v>
      </c>
      <c r="FP14" s="56">
        <f t="shared" si="20"/>
        <v>0</v>
      </c>
      <c r="FQ14" s="56">
        <f t="shared" si="20"/>
        <v>0</v>
      </c>
      <c r="FR14" s="56">
        <f t="shared" si="20"/>
        <v>0</v>
      </c>
      <c r="FS14" s="56">
        <f t="shared" si="20"/>
        <v>0</v>
      </c>
      <c r="FT14" s="56">
        <f t="shared" si="20"/>
        <v>0</v>
      </c>
      <c r="FU14" s="56">
        <f t="shared" si="20"/>
        <v>0</v>
      </c>
      <c r="FV14" s="56">
        <f t="shared" si="20"/>
        <v>0</v>
      </c>
      <c r="FW14" s="56">
        <f t="shared" si="20"/>
        <v>0</v>
      </c>
      <c r="FX14" s="56">
        <f t="shared" si="20"/>
        <v>0</v>
      </c>
      <c r="FY14" s="56">
        <f t="shared" si="20"/>
        <v>0</v>
      </c>
      <c r="FZ14" s="56">
        <f t="shared" si="20"/>
        <v>0</v>
      </c>
      <c r="GA14" s="56">
        <f t="shared" si="20"/>
        <v>0</v>
      </c>
      <c r="GB14" s="56">
        <f t="shared" si="20"/>
        <v>0</v>
      </c>
      <c r="GC14" s="56">
        <f t="shared" si="20"/>
        <v>0</v>
      </c>
      <c r="GD14" s="56">
        <f t="shared" si="20"/>
        <v>0</v>
      </c>
      <c r="GE14" s="56">
        <f t="shared" si="20"/>
        <v>0</v>
      </c>
      <c r="GF14" s="56">
        <f t="shared" si="20"/>
        <v>0</v>
      </c>
      <c r="GG14" s="56">
        <f t="shared" si="20"/>
        <v>0</v>
      </c>
      <c r="GH14" s="56">
        <f t="shared" si="20"/>
        <v>0</v>
      </c>
      <c r="GI14" s="56">
        <f t="shared" si="20"/>
        <v>0</v>
      </c>
      <c r="GJ14" s="56">
        <f t="shared" si="20"/>
        <v>0</v>
      </c>
      <c r="GK14" s="56">
        <f t="shared" si="20"/>
        <v>0</v>
      </c>
      <c r="GL14" s="56">
        <f t="shared" si="20"/>
        <v>0</v>
      </c>
      <c r="GM14" s="56">
        <f t="shared" si="20"/>
        <v>0</v>
      </c>
      <c r="GN14" s="56">
        <f t="shared" si="20"/>
        <v>0</v>
      </c>
      <c r="GO14" s="56">
        <f t="shared" si="20"/>
        <v>0</v>
      </c>
      <c r="GP14" s="56">
        <f t="shared" si="20"/>
        <v>0</v>
      </c>
      <c r="GQ14" s="56">
        <f t="shared" si="20"/>
        <v>0</v>
      </c>
      <c r="GR14" s="56">
        <f t="shared" si="20"/>
        <v>0</v>
      </c>
      <c r="GS14" s="56">
        <f t="shared" si="20"/>
        <v>0</v>
      </c>
      <c r="GT14" s="56">
        <f t="shared" si="20"/>
        <v>0</v>
      </c>
      <c r="GU14" s="56">
        <f t="shared" si="20"/>
        <v>0</v>
      </c>
      <c r="GV14" s="56">
        <f t="shared" si="20"/>
        <v>0</v>
      </c>
      <c r="GW14" s="56">
        <f t="shared" si="20"/>
        <v>0</v>
      </c>
      <c r="GX14" s="56">
        <f t="shared" si="20"/>
        <v>0</v>
      </c>
      <c r="GY14" s="56">
        <f t="shared" si="20"/>
        <v>0</v>
      </c>
      <c r="GZ14" s="56">
        <f t="shared" si="20"/>
        <v>0</v>
      </c>
      <c r="HA14" s="56">
        <f t="shared" si="20"/>
        <v>0</v>
      </c>
      <c r="HB14" s="56">
        <f t="shared" si="20"/>
        <v>0</v>
      </c>
      <c r="HC14" s="56">
        <f t="shared" ref="HC14:IV14" si="21">SUM(HC15,HC22, )</f>
        <v>0</v>
      </c>
      <c r="HD14" s="56">
        <f t="shared" si="21"/>
        <v>0</v>
      </c>
      <c r="HE14" s="56">
        <f t="shared" si="21"/>
        <v>0</v>
      </c>
      <c r="HF14" s="56">
        <f t="shared" si="21"/>
        <v>0</v>
      </c>
      <c r="HG14" s="56">
        <f t="shared" si="21"/>
        <v>0</v>
      </c>
      <c r="HH14" s="56">
        <f t="shared" si="21"/>
        <v>0</v>
      </c>
      <c r="HI14" s="56">
        <f t="shared" si="21"/>
        <v>0</v>
      </c>
      <c r="HJ14" s="56">
        <f t="shared" si="21"/>
        <v>0</v>
      </c>
      <c r="HK14" s="56">
        <f t="shared" si="21"/>
        <v>0</v>
      </c>
      <c r="HL14" s="56">
        <f t="shared" si="21"/>
        <v>0</v>
      </c>
      <c r="HM14" s="56">
        <f t="shared" si="21"/>
        <v>0</v>
      </c>
      <c r="HN14" s="56">
        <f t="shared" si="21"/>
        <v>0</v>
      </c>
      <c r="HO14" s="56">
        <f t="shared" si="21"/>
        <v>0</v>
      </c>
      <c r="HP14" s="56">
        <f t="shared" si="21"/>
        <v>0</v>
      </c>
      <c r="HQ14" s="56">
        <f t="shared" si="21"/>
        <v>0</v>
      </c>
      <c r="HR14" s="56">
        <f t="shared" si="21"/>
        <v>0</v>
      </c>
      <c r="HS14" s="56">
        <f t="shared" si="21"/>
        <v>0</v>
      </c>
      <c r="HT14" s="56">
        <f t="shared" si="21"/>
        <v>0</v>
      </c>
      <c r="HU14" s="56">
        <f t="shared" si="21"/>
        <v>0</v>
      </c>
      <c r="HV14" s="56">
        <f t="shared" si="21"/>
        <v>0</v>
      </c>
      <c r="HW14" s="56">
        <f t="shared" si="21"/>
        <v>0</v>
      </c>
      <c r="HX14" s="56">
        <f t="shared" si="21"/>
        <v>0</v>
      </c>
      <c r="HY14" s="56">
        <f t="shared" si="21"/>
        <v>0</v>
      </c>
      <c r="HZ14" s="56">
        <f t="shared" si="21"/>
        <v>0</v>
      </c>
      <c r="IA14" s="56">
        <f t="shared" si="21"/>
        <v>0</v>
      </c>
      <c r="IB14" s="56">
        <f t="shared" si="21"/>
        <v>0</v>
      </c>
      <c r="IC14" s="56">
        <f t="shared" si="21"/>
        <v>0</v>
      </c>
      <c r="ID14" s="56">
        <f t="shared" si="21"/>
        <v>0</v>
      </c>
      <c r="IE14" s="56">
        <f t="shared" si="21"/>
        <v>0</v>
      </c>
      <c r="IF14" s="56">
        <f t="shared" si="21"/>
        <v>0</v>
      </c>
      <c r="IG14" s="56">
        <f t="shared" si="21"/>
        <v>0</v>
      </c>
      <c r="IH14" s="56">
        <f t="shared" si="21"/>
        <v>0</v>
      </c>
      <c r="II14" s="56">
        <f t="shared" si="21"/>
        <v>0</v>
      </c>
      <c r="IJ14" s="56">
        <f t="shared" si="21"/>
        <v>0</v>
      </c>
      <c r="IK14" s="56">
        <f t="shared" si="21"/>
        <v>0</v>
      </c>
      <c r="IL14" s="56">
        <f t="shared" si="21"/>
        <v>0</v>
      </c>
      <c r="IM14" s="56">
        <f t="shared" si="21"/>
        <v>0</v>
      </c>
      <c r="IN14" s="56">
        <f t="shared" si="21"/>
        <v>0</v>
      </c>
      <c r="IO14" s="56">
        <f t="shared" si="21"/>
        <v>0</v>
      </c>
      <c r="IP14" s="56">
        <f t="shared" si="21"/>
        <v>0</v>
      </c>
      <c r="IQ14" s="56">
        <f t="shared" si="21"/>
        <v>0</v>
      </c>
      <c r="IR14" s="56">
        <f t="shared" si="21"/>
        <v>0</v>
      </c>
      <c r="IS14" s="56">
        <f t="shared" si="21"/>
        <v>0</v>
      </c>
      <c r="IT14" s="56">
        <f t="shared" si="21"/>
        <v>0</v>
      </c>
      <c r="IU14" s="56">
        <f t="shared" si="21"/>
        <v>0</v>
      </c>
      <c r="IV14" s="56">
        <f t="shared" si="21"/>
        <v>0</v>
      </c>
    </row>
    <row r="15" spans="1:256" s="57" customFormat="1" x14ac:dyDescent="0.25">
      <c r="A15" s="58" t="s">
        <v>28</v>
      </c>
      <c r="B15" s="59">
        <f>SUM(B16:B21)</f>
        <v>25</v>
      </c>
      <c r="C15" s="59">
        <f>SUM(C16:C21)</f>
        <v>0</v>
      </c>
      <c r="D15" s="59">
        <f t="shared" ref="D15:L15" si="22">SUM(D16:D21)</f>
        <v>0</v>
      </c>
      <c r="E15" s="59">
        <f t="shared" si="22"/>
        <v>0</v>
      </c>
      <c r="F15" s="59">
        <f t="shared" si="22"/>
        <v>0</v>
      </c>
      <c r="G15" s="59">
        <f t="shared" si="22"/>
        <v>0</v>
      </c>
      <c r="H15" s="59">
        <f t="shared" si="22"/>
        <v>0</v>
      </c>
      <c r="I15" s="59">
        <f t="shared" si="22"/>
        <v>0</v>
      </c>
      <c r="J15" s="59">
        <f t="shared" si="22"/>
        <v>0</v>
      </c>
      <c r="K15" s="59">
        <f t="shared" si="22"/>
        <v>0</v>
      </c>
      <c r="L15" s="59">
        <f t="shared" si="22"/>
        <v>0</v>
      </c>
      <c r="M15" s="60"/>
      <c r="N15" s="59">
        <f>SUM(N16:N21)</f>
        <v>0</v>
      </c>
      <c r="O15" s="59">
        <f t="shared" ref="O15:BD15" si="23">SUM(O16:O21)</f>
        <v>0</v>
      </c>
      <c r="P15" s="59">
        <f t="shared" si="23"/>
        <v>0</v>
      </c>
      <c r="Q15" s="59">
        <f t="shared" si="23"/>
        <v>0</v>
      </c>
      <c r="R15" s="59">
        <f t="shared" si="23"/>
        <v>0</v>
      </c>
      <c r="S15" s="59">
        <f t="shared" si="23"/>
        <v>0</v>
      </c>
      <c r="T15" s="59">
        <f t="shared" si="23"/>
        <v>0</v>
      </c>
      <c r="U15" s="59">
        <f t="shared" si="23"/>
        <v>0</v>
      </c>
      <c r="V15" s="59">
        <f t="shared" si="23"/>
        <v>0</v>
      </c>
      <c r="W15" s="59">
        <f t="shared" si="23"/>
        <v>0</v>
      </c>
      <c r="X15" s="59">
        <f t="shared" si="23"/>
        <v>0</v>
      </c>
      <c r="Y15" s="59">
        <f t="shared" si="23"/>
        <v>0</v>
      </c>
      <c r="Z15" s="59">
        <f t="shared" si="23"/>
        <v>0</v>
      </c>
      <c r="AA15" s="59">
        <f t="shared" si="23"/>
        <v>0</v>
      </c>
      <c r="AB15" s="59">
        <f t="shared" si="23"/>
        <v>0</v>
      </c>
      <c r="AC15" s="59">
        <f t="shared" si="23"/>
        <v>0</v>
      </c>
      <c r="AD15" s="59">
        <f t="shared" si="23"/>
        <v>0</v>
      </c>
      <c r="AE15" s="59">
        <f t="shared" si="23"/>
        <v>0</v>
      </c>
      <c r="AF15" s="59">
        <f t="shared" si="23"/>
        <v>0</v>
      </c>
      <c r="AG15" s="59">
        <f t="shared" si="23"/>
        <v>0</v>
      </c>
      <c r="AH15" s="59">
        <f t="shared" si="23"/>
        <v>0</v>
      </c>
      <c r="AI15" s="59">
        <f t="shared" si="23"/>
        <v>0</v>
      </c>
      <c r="AJ15" s="59">
        <f t="shared" si="23"/>
        <v>0</v>
      </c>
      <c r="AK15" s="59">
        <f t="shared" si="23"/>
        <v>0</v>
      </c>
      <c r="AL15" s="59">
        <f t="shared" si="23"/>
        <v>0</v>
      </c>
      <c r="AM15" s="59">
        <f t="shared" si="23"/>
        <v>0</v>
      </c>
      <c r="AN15" s="59">
        <f t="shared" si="23"/>
        <v>0</v>
      </c>
      <c r="AO15" s="59">
        <f t="shared" si="23"/>
        <v>0</v>
      </c>
      <c r="AP15" s="59">
        <f t="shared" si="23"/>
        <v>0</v>
      </c>
      <c r="AQ15" s="59">
        <f t="shared" si="23"/>
        <v>0</v>
      </c>
      <c r="AR15" s="59">
        <f t="shared" si="23"/>
        <v>0</v>
      </c>
      <c r="AS15" s="59">
        <f t="shared" si="23"/>
        <v>0</v>
      </c>
      <c r="AT15" s="59">
        <f>SUM(AT16:AT21)</f>
        <v>0</v>
      </c>
      <c r="AU15" s="59">
        <f t="shared" si="23"/>
        <v>0</v>
      </c>
      <c r="AV15" s="59">
        <f t="shared" si="23"/>
        <v>0</v>
      </c>
      <c r="AW15" s="59">
        <f t="shared" si="23"/>
        <v>0</v>
      </c>
      <c r="AX15" s="59">
        <f t="shared" si="23"/>
        <v>0</v>
      </c>
      <c r="AY15" s="59">
        <f t="shared" si="23"/>
        <v>0</v>
      </c>
      <c r="AZ15" s="59">
        <f t="shared" si="23"/>
        <v>0</v>
      </c>
      <c r="BA15" s="59">
        <f t="shared" si="23"/>
        <v>0</v>
      </c>
      <c r="BB15" s="59">
        <f t="shared" si="23"/>
        <v>0</v>
      </c>
      <c r="BC15" s="59">
        <f t="shared" si="23"/>
        <v>0</v>
      </c>
      <c r="BD15" s="59">
        <f t="shared" si="23"/>
        <v>0</v>
      </c>
      <c r="BE15" s="60"/>
      <c r="BF15" s="59">
        <f>SUM(BF16:BF21)</f>
        <v>0</v>
      </c>
      <c r="BG15" s="59">
        <f t="shared" ref="BG15:CK15" si="24">SUM(BG16:BG21)</f>
        <v>0</v>
      </c>
      <c r="BH15" s="59">
        <f t="shared" si="24"/>
        <v>0</v>
      </c>
      <c r="BI15" s="59">
        <f t="shared" si="24"/>
        <v>0</v>
      </c>
      <c r="BJ15" s="59">
        <f t="shared" si="24"/>
        <v>0</v>
      </c>
      <c r="BK15" s="59">
        <f t="shared" si="24"/>
        <v>0</v>
      </c>
      <c r="BL15" s="59">
        <f t="shared" si="24"/>
        <v>0</v>
      </c>
      <c r="BM15" s="59">
        <f t="shared" si="24"/>
        <v>0</v>
      </c>
      <c r="BN15" s="59">
        <f t="shared" si="24"/>
        <v>0</v>
      </c>
      <c r="BO15" s="59">
        <f t="shared" si="24"/>
        <v>0</v>
      </c>
      <c r="BP15" s="59">
        <f t="shared" si="24"/>
        <v>0</v>
      </c>
      <c r="BQ15" s="59">
        <f t="shared" si="24"/>
        <v>0</v>
      </c>
      <c r="BR15" s="59">
        <f t="shared" si="24"/>
        <v>0</v>
      </c>
      <c r="BS15" s="59">
        <f t="shared" si="24"/>
        <v>0</v>
      </c>
      <c r="BT15" s="59">
        <f t="shared" si="24"/>
        <v>0</v>
      </c>
      <c r="BU15" s="59">
        <f t="shared" si="24"/>
        <v>0</v>
      </c>
      <c r="BV15" s="59">
        <f t="shared" si="24"/>
        <v>0</v>
      </c>
      <c r="BW15" s="59">
        <f t="shared" si="24"/>
        <v>0</v>
      </c>
      <c r="BX15" s="59">
        <f t="shared" si="24"/>
        <v>0</v>
      </c>
      <c r="BY15" s="59">
        <f t="shared" si="24"/>
        <v>0</v>
      </c>
      <c r="BZ15" s="59">
        <f t="shared" si="24"/>
        <v>0</v>
      </c>
      <c r="CA15" s="59">
        <f t="shared" si="24"/>
        <v>0</v>
      </c>
      <c r="CB15" s="59">
        <f t="shared" si="24"/>
        <v>0</v>
      </c>
      <c r="CC15" s="59">
        <f t="shared" si="24"/>
        <v>0</v>
      </c>
      <c r="CD15" s="59">
        <f t="shared" si="24"/>
        <v>0</v>
      </c>
      <c r="CE15" s="59">
        <f t="shared" si="24"/>
        <v>0</v>
      </c>
      <c r="CF15" s="59">
        <f t="shared" si="24"/>
        <v>0</v>
      </c>
      <c r="CG15" s="59">
        <f t="shared" si="24"/>
        <v>0</v>
      </c>
      <c r="CH15" s="59">
        <f t="shared" si="24"/>
        <v>0</v>
      </c>
      <c r="CI15" s="59">
        <f t="shared" si="24"/>
        <v>0</v>
      </c>
      <c r="CJ15" s="59">
        <f t="shared" si="24"/>
        <v>0</v>
      </c>
      <c r="CK15" s="59">
        <f t="shared" si="24"/>
        <v>0</v>
      </c>
      <c r="CL15" s="59">
        <f>SUM(CL16:CL21)</f>
        <v>0</v>
      </c>
      <c r="CM15" s="59">
        <f t="shared" ref="CM15:CV15" si="25">SUM(CM16:CM21)</f>
        <v>0</v>
      </c>
      <c r="CN15" s="59">
        <f t="shared" si="25"/>
        <v>0</v>
      </c>
      <c r="CO15" s="59">
        <f t="shared" si="25"/>
        <v>0</v>
      </c>
      <c r="CP15" s="59">
        <f t="shared" si="25"/>
        <v>0</v>
      </c>
      <c r="CQ15" s="59">
        <f t="shared" si="25"/>
        <v>0</v>
      </c>
      <c r="CR15" s="59">
        <f t="shared" si="25"/>
        <v>0</v>
      </c>
      <c r="CS15" s="59">
        <f t="shared" si="25"/>
        <v>0</v>
      </c>
      <c r="CT15" s="59">
        <f t="shared" si="25"/>
        <v>0</v>
      </c>
      <c r="CU15" s="59">
        <f t="shared" si="25"/>
        <v>0</v>
      </c>
      <c r="CV15" s="59">
        <f t="shared" si="25"/>
        <v>0</v>
      </c>
      <c r="CW15" s="60"/>
      <c r="CX15" s="59">
        <f>SUM(CX16:CX21)</f>
        <v>0</v>
      </c>
      <c r="CY15" s="59">
        <f t="shared" ref="CY15:EC15" si="26">SUM(CY16:CY21)</f>
        <v>0</v>
      </c>
      <c r="CZ15" s="59">
        <f t="shared" si="26"/>
        <v>0</v>
      </c>
      <c r="DA15" s="59">
        <f t="shared" si="26"/>
        <v>0</v>
      </c>
      <c r="DB15" s="59">
        <f t="shared" si="26"/>
        <v>0</v>
      </c>
      <c r="DC15" s="59">
        <f t="shared" si="26"/>
        <v>0</v>
      </c>
      <c r="DD15" s="59">
        <f t="shared" si="26"/>
        <v>0</v>
      </c>
      <c r="DE15" s="59">
        <f t="shared" si="26"/>
        <v>0</v>
      </c>
      <c r="DF15" s="59">
        <f t="shared" si="26"/>
        <v>0</v>
      </c>
      <c r="DG15" s="59">
        <f t="shared" si="26"/>
        <v>0</v>
      </c>
      <c r="DH15" s="59">
        <f t="shared" si="26"/>
        <v>0</v>
      </c>
      <c r="DI15" s="59">
        <f t="shared" si="26"/>
        <v>0</v>
      </c>
      <c r="DJ15" s="59">
        <f t="shared" si="26"/>
        <v>0</v>
      </c>
      <c r="DK15" s="59">
        <f t="shared" si="26"/>
        <v>0</v>
      </c>
      <c r="DL15" s="59">
        <f t="shared" si="26"/>
        <v>0</v>
      </c>
      <c r="DM15" s="59">
        <f t="shared" si="26"/>
        <v>0</v>
      </c>
      <c r="DN15" s="59">
        <f t="shared" si="26"/>
        <v>0</v>
      </c>
      <c r="DO15" s="59">
        <f t="shared" si="26"/>
        <v>0</v>
      </c>
      <c r="DP15" s="59">
        <f t="shared" si="26"/>
        <v>0</v>
      </c>
      <c r="DQ15" s="59">
        <f t="shared" si="26"/>
        <v>0</v>
      </c>
      <c r="DR15" s="59">
        <f t="shared" si="26"/>
        <v>0</v>
      </c>
      <c r="DS15" s="59">
        <f t="shared" si="26"/>
        <v>0</v>
      </c>
      <c r="DT15" s="59">
        <f t="shared" si="26"/>
        <v>0</v>
      </c>
      <c r="DU15" s="59">
        <f t="shared" si="26"/>
        <v>0</v>
      </c>
      <c r="DV15" s="59">
        <f t="shared" si="26"/>
        <v>0</v>
      </c>
      <c r="DW15" s="59">
        <f t="shared" si="26"/>
        <v>0</v>
      </c>
      <c r="DX15" s="59">
        <f t="shared" si="26"/>
        <v>0</v>
      </c>
      <c r="DY15" s="59">
        <f t="shared" si="26"/>
        <v>0</v>
      </c>
      <c r="DZ15" s="59">
        <f t="shared" si="26"/>
        <v>0</v>
      </c>
      <c r="EA15" s="59">
        <f t="shared" si="26"/>
        <v>0</v>
      </c>
      <c r="EB15" s="59">
        <f t="shared" si="26"/>
        <v>0</v>
      </c>
      <c r="EC15" s="59">
        <f t="shared" si="26"/>
        <v>0</v>
      </c>
      <c r="ED15" s="59">
        <f>SUM(ED16:ED21)</f>
        <v>0</v>
      </c>
      <c r="EE15" s="59">
        <f t="shared" ref="EE15:EN15" si="27">SUM(EE16:EE21)</f>
        <v>0</v>
      </c>
      <c r="EF15" s="59">
        <f t="shared" si="27"/>
        <v>0</v>
      </c>
      <c r="EG15" s="59">
        <f t="shared" si="27"/>
        <v>0</v>
      </c>
      <c r="EH15" s="59">
        <f t="shared" si="27"/>
        <v>0</v>
      </c>
      <c r="EI15" s="59">
        <f t="shared" si="27"/>
        <v>0</v>
      </c>
      <c r="EJ15" s="59">
        <f t="shared" si="27"/>
        <v>0</v>
      </c>
      <c r="EK15" s="59">
        <f t="shared" si="27"/>
        <v>0</v>
      </c>
      <c r="EL15" s="59">
        <f t="shared" si="27"/>
        <v>0</v>
      </c>
      <c r="EM15" s="59">
        <f t="shared" si="27"/>
        <v>0</v>
      </c>
      <c r="EN15" s="59">
        <f t="shared" si="27"/>
        <v>0</v>
      </c>
      <c r="EO15" s="60"/>
      <c r="EP15" s="59">
        <f>SUM(EP16:EP21)</f>
        <v>0</v>
      </c>
      <c r="EQ15" s="59">
        <f t="shared" ref="EQ15:FU15" si="28">SUM(EQ16:EQ21)</f>
        <v>0</v>
      </c>
      <c r="ER15" s="59">
        <f t="shared" si="28"/>
        <v>0</v>
      </c>
      <c r="ES15" s="59">
        <f t="shared" si="28"/>
        <v>0</v>
      </c>
      <c r="ET15" s="59">
        <f t="shared" si="28"/>
        <v>0</v>
      </c>
      <c r="EU15" s="59">
        <f t="shared" si="28"/>
        <v>0</v>
      </c>
      <c r="EV15" s="59">
        <f t="shared" si="28"/>
        <v>0</v>
      </c>
      <c r="EW15" s="59">
        <f t="shared" si="28"/>
        <v>0</v>
      </c>
      <c r="EX15" s="59">
        <f t="shared" si="28"/>
        <v>0</v>
      </c>
      <c r="EY15" s="59">
        <f t="shared" si="28"/>
        <v>0</v>
      </c>
      <c r="EZ15" s="59">
        <f t="shared" si="28"/>
        <v>0</v>
      </c>
      <c r="FA15" s="59">
        <f t="shared" si="28"/>
        <v>0</v>
      </c>
      <c r="FB15" s="59">
        <f t="shared" si="28"/>
        <v>0</v>
      </c>
      <c r="FC15" s="59">
        <f t="shared" si="28"/>
        <v>0</v>
      </c>
      <c r="FD15" s="59">
        <f t="shared" si="28"/>
        <v>0</v>
      </c>
      <c r="FE15" s="59">
        <f t="shared" si="28"/>
        <v>0</v>
      </c>
      <c r="FF15" s="59">
        <f t="shared" si="28"/>
        <v>0</v>
      </c>
      <c r="FG15" s="59">
        <f t="shared" si="28"/>
        <v>0</v>
      </c>
      <c r="FH15" s="59">
        <f t="shared" si="28"/>
        <v>0</v>
      </c>
      <c r="FI15" s="59">
        <f t="shared" si="28"/>
        <v>0</v>
      </c>
      <c r="FJ15" s="59">
        <f t="shared" si="28"/>
        <v>0</v>
      </c>
      <c r="FK15" s="59">
        <f t="shared" si="28"/>
        <v>0</v>
      </c>
      <c r="FL15" s="59">
        <f t="shared" si="28"/>
        <v>0</v>
      </c>
      <c r="FM15" s="59">
        <f t="shared" si="28"/>
        <v>0</v>
      </c>
      <c r="FN15" s="59">
        <f t="shared" si="28"/>
        <v>0</v>
      </c>
      <c r="FO15" s="59">
        <f t="shared" si="28"/>
        <v>0</v>
      </c>
      <c r="FP15" s="59">
        <f t="shared" si="28"/>
        <v>0</v>
      </c>
      <c r="FQ15" s="59">
        <f t="shared" si="28"/>
        <v>0</v>
      </c>
      <c r="FR15" s="59">
        <f t="shared" si="28"/>
        <v>0</v>
      </c>
      <c r="FS15" s="59">
        <f t="shared" si="28"/>
        <v>0</v>
      </c>
      <c r="FT15" s="59">
        <f t="shared" si="28"/>
        <v>0</v>
      </c>
      <c r="FU15" s="59">
        <f t="shared" si="28"/>
        <v>0</v>
      </c>
      <c r="FV15" s="59">
        <f>SUM(FV16:FV21)</f>
        <v>0</v>
      </c>
      <c r="FW15" s="59">
        <f t="shared" ref="FW15:GV15" si="29">SUM(FW16:FW21)</f>
        <v>0</v>
      </c>
      <c r="FX15" s="59">
        <f t="shared" si="29"/>
        <v>0</v>
      </c>
      <c r="FY15" s="59">
        <f t="shared" si="29"/>
        <v>0</v>
      </c>
      <c r="FZ15" s="59">
        <f t="shared" si="29"/>
        <v>0</v>
      </c>
      <c r="GA15" s="59">
        <f t="shared" si="29"/>
        <v>0</v>
      </c>
      <c r="GB15" s="59">
        <f t="shared" si="29"/>
        <v>0</v>
      </c>
      <c r="GC15" s="59">
        <f t="shared" si="29"/>
        <v>0</v>
      </c>
      <c r="GD15" s="59">
        <f t="shared" si="29"/>
        <v>0</v>
      </c>
      <c r="GE15" s="59">
        <f t="shared" si="29"/>
        <v>0</v>
      </c>
      <c r="GF15" s="59">
        <f t="shared" si="29"/>
        <v>0</v>
      </c>
      <c r="GG15" s="59">
        <f t="shared" si="29"/>
        <v>0</v>
      </c>
      <c r="GH15" s="59">
        <f t="shared" si="29"/>
        <v>0</v>
      </c>
      <c r="GI15" s="59">
        <f t="shared" si="29"/>
        <v>0</v>
      </c>
      <c r="GJ15" s="59">
        <f t="shared" si="29"/>
        <v>0</v>
      </c>
      <c r="GK15" s="59">
        <f t="shared" si="29"/>
        <v>0</v>
      </c>
      <c r="GL15" s="59">
        <f t="shared" si="29"/>
        <v>0</v>
      </c>
      <c r="GM15" s="59">
        <f t="shared" si="29"/>
        <v>0</v>
      </c>
      <c r="GN15" s="59">
        <f t="shared" si="29"/>
        <v>0</v>
      </c>
      <c r="GO15" s="59">
        <f t="shared" si="29"/>
        <v>0</v>
      </c>
      <c r="GP15" s="59">
        <f t="shared" si="29"/>
        <v>0</v>
      </c>
      <c r="GQ15" s="59">
        <f t="shared" si="29"/>
        <v>0</v>
      </c>
      <c r="GR15" s="59">
        <f t="shared" si="29"/>
        <v>0</v>
      </c>
      <c r="GS15" s="59">
        <f t="shared" si="29"/>
        <v>0</v>
      </c>
      <c r="GT15" s="59">
        <f t="shared" si="29"/>
        <v>0</v>
      </c>
      <c r="GU15" s="59">
        <f t="shared" si="29"/>
        <v>0</v>
      </c>
      <c r="GV15" s="59">
        <f t="shared" si="29"/>
        <v>0</v>
      </c>
      <c r="GW15" s="59">
        <f>SUM(GW16:GW21)</f>
        <v>0</v>
      </c>
      <c r="GX15" s="59">
        <f t="shared" ref="GX15:IV15" si="30">SUM(GX16:GX21)</f>
        <v>0</v>
      </c>
      <c r="GY15" s="59">
        <f t="shared" si="30"/>
        <v>0</v>
      </c>
      <c r="GZ15" s="59">
        <f t="shared" si="30"/>
        <v>0</v>
      </c>
      <c r="HA15" s="59">
        <f t="shared" si="30"/>
        <v>0</v>
      </c>
      <c r="HB15" s="59">
        <f t="shared" si="30"/>
        <v>0</v>
      </c>
      <c r="HC15" s="59">
        <f t="shared" si="30"/>
        <v>0</v>
      </c>
      <c r="HD15" s="59">
        <f t="shared" si="30"/>
        <v>0</v>
      </c>
      <c r="HE15" s="59">
        <f t="shared" si="30"/>
        <v>0</v>
      </c>
      <c r="HF15" s="59">
        <f t="shared" si="30"/>
        <v>0</v>
      </c>
      <c r="HG15" s="59">
        <f t="shared" si="30"/>
        <v>0</v>
      </c>
      <c r="HH15" s="59">
        <f t="shared" si="30"/>
        <v>0</v>
      </c>
      <c r="HI15" s="59">
        <f t="shared" si="30"/>
        <v>0</v>
      </c>
      <c r="HJ15" s="59">
        <f t="shared" si="30"/>
        <v>0</v>
      </c>
      <c r="HK15" s="59">
        <f t="shared" si="30"/>
        <v>0</v>
      </c>
      <c r="HL15" s="59">
        <f t="shared" si="30"/>
        <v>0</v>
      </c>
      <c r="HM15" s="59">
        <f t="shared" si="30"/>
        <v>0</v>
      </c>
      <c r="HN15" s="59">
        <f t="shared" si="30"/>
        <v>0</v>
      </c>
      <c r="HO15" s="59">
        <f t="shared" si="30"/>
        <v>0</v>
      </c>
      <c r="HP15" s="59">
        <f t="shared" si="30"/>
        <v>0</v>
      </c>
      <c r="HQ15" s="59">
        <f t="shared" si="30"/>
        <v>0</v>
      </c>
      <c r="HR15" s="59">
        <f t="shared" si="30"/>
        <v>0</v>
      </c>
      <c r="HS15" s="59">
        <f t="shared" si="30"/>
        <v>0</v>
      </c>
      <c r="HT15" s="59">
        <f t="shared" si="30"/>
        <v>0</v>
      </c>
      <c r="HU15" s="59">
        <f t="shared" si="30"/>
        <v>0</v>
      </c>
      <c r="HV15" s="59">
        <f t="shared" si="30"/>
        <v>0</v>
      </c>
      <c r="HW15" s="59">
        <f t="shared" si="30"/>
        <v>0</v>
      </c>
      <c r="HX15" s="59">
        <f t="shared" si="30"/>
        <v>0</v>
      </c>
      <c r="HY15" s="59">
        <f t="shared" si="30"/>
        <v>0</v>
      </c>
      <c r="HZ15" s="59">
        <f t="shared" si="30"/>
        <v>0</v>
      </c>
      <c r="IA15" s="59">
        <f t="shared" si="30"/>
        <v>0</v>
      </c>
      <c r="IB15" s="59">
        <f t="shared" si="30"/>
        <v>0</v>
      </c>
      <c r="IC15" s="59">
        <f t="shared" si="30"/>
        <v>0</v>
      </c>
      <c r="ID15" s="59">
        <f t="shared" si="30"/>
        <v>0</v>
      </c>
      <c r="IE15" s="59">
        <f t="shared" si="30"/>
        <v>0</v>
      </c>
      <c r="IF15" s="59">
        <f t="shared" si="30"/>
        <v>0</v>
      </c>
      <c r="IG15" s="59">
        <f t="shared" si="30"/>
        <v>0</v>
      </c>
      <c r="IH15" s="59">
        <f t="shared" si="30"/>
        <v>0</v>
      </c>
      <c r="II15" s="59">
        <f t="shared" si="30"/>
        <v>0</v>
      </c>
      <c r="IJ15" s="59">
        <f t="shared" si="30"/>
        <v>0</v>
      </c>
      <c r="IK15" s="59">
        <f t="shared" si="30"/>
        <v>0</v>
      </c>
      <c r="IL15" s="59">
        <f t="shared" si="30"/>
        <v>0</v>
      </c>
      <c r="IM15" s="59">
        <f t="shared" si="30"/>
        <v>0</v>
      </c>
      <c r="IN15" s="59">
        <f t="shared" si="30"/>
        <v>0</v>
      </c>
      <c r="IO15" s="59">
        <f t="shared" si="30"/>
        <v>0</v>
      </c>
      <c r="IP15" s="59">
        <f t="shared" si="30"/>
        <v>0</v>
      </c>
      <c r="IQ15" s="59">
        <f t="shared" si="30"/>
        <v>0</v>
      </c>
      <c r="IR15" s="59">
        <f t="shared" si="30"/>
        <v>0</v>
      </c>
      <c r="IS15" s="59">
        <f t="shared" si="30"/>
        <v>0</v>
      </c>
      <c r="IT15" s="59">
        <f t="shared" si="30"/>
        <v>0</v>
      </c>
      <c r="IU15" s="59">
        <f t="shared" si="30"/>
        <v>0</v>
      </c>
      <c r="IV15" s="59">
        <f t="shared" si="30"/>
        <v>0</v>
      </c>
    </row>
    <row r="16" spans="1:256" x14ac:dyDescent="0.2">
      <c r="A16" s="61" t="s">
        <v>29</v>
      </c>
      <c r="B16" s="62"/>
      <c r="C16" s="63"/>
      <c r="D16" s="63"/>
      <c r="E16" s="63"/>
      <c r="F16" s="63"/>
      <c r="G16" s="63"/>
      <c r="H16" s="63"/>
      <c r="I16" s="63"/>
      <c r="J16" s="63"/>
      <c r="K16" s="63"/>
      <c r="L16" s="64">
        <f t="shared" ref="L16:L21" si="31">SUM(C16:F16,H16:K16)</f>
        <v>0</v>
      </c>
      <c r="M16" s="62"/>
      <c r="N16" s="63"/>
      <c r="O16" s="63"/>
      <c r="P16" s="63"/>
      <c r="Q16" s="63"/>
      <c r="R16" s="63"/>
      <c r="S16" s="63"/>
      <c r="T16" s="63"/>
      <c r="U16" s="63"/>
      <c r="V16" s="63"/>
      <c r="W16" s="64">
        <f t="shared" ref="W16:W21" si="32">SUM(N16:Q16,S16:V16)</f>
        <v>0</v>
      </c>
      <c r="X16" s="62"/>
      <c r="Y16" s="63"/>
      <c r="Z16" s="63"/>
      <c r="AA16" s="63"/>
      <c r="AB16" s="63"/>
      <c r="AC16" s="63"/>
      <c r="AD16" s="63"/>
      <c r="AE16" s="63"/>
      <c r="AF16" s="63"/>
      <c r="AG16" s="63"/>
      <c r="AH16" s="64">
        <f t="shared" ref="AH16:AH21" si="33">SUM(Y16:AB16,AD16:AG16)</f>
        <v>0</v>
      </c>
      <c r="AI16" s="62"/>
      <c r="AJ16" s="63"/>
      <c r="AK16" s="63"/>
      <c r="AL16" s="63"/>
      <c r="AM16" s="63"/>
      <c r="AN16" s="63"/>
      <c r="AO16" s="63"/>
      <c r="AP16" s="63"/>
      <c r="AQ16" s="63"/>
      <c r="AR16" s="63"/>
      <c r="AS16" s="64">
        <f t="shared" ref="AS16:AS21" si="34">SUM(AJ16:AM16,AO16:AR16)</f>
        <v>0</v>
      </c>
      <c r="AT16" s="65">
        <f t="shared" ref="AT16:BC21" si="35">SUM(M16,AI16,X16)</f>
        <v>0</v>
      </c>
      <c r="AU16" s="65">
        <f t="shared" si="35"/>
        <v>0</v>
      </c>
      <c r="AV16" s="65">
        <f t="shared" si="35"/>
        <v>0</v>
      </c>
      <c r="AW16" s="65">
        <f t="shared" si="35"/>
        <v>0</v>
      </c>
      <c r="AX16" s="65">
        <f t="shared" si="35"/>
        <v>0</v>
      </c>
      <c r="AY16" s="65">
        <f t="shared" si="35"/>
        <v>0</v>
      </c>
      <c r="AZ16" s="65">
        <f t="shared" si="35"/>
        <v>0</v>
      </c>
      <c r="BA16" s="65">
        <f t="shared" si="35"/>
        <v>0</v>
      </c>
      <c r="BB16" s="65">
        <f t="shared" si="35"/>
        <v>0</v>
      </c>
      <c r="BC16" s="65">
        <f t="shared" si="35"/>
        <v>0</v>
      </c>
      <c r="BD16" s="64">
        <f t="shared" ref="BD16:BD21" si="36">SUM(AU16:AX16,AZ16:BC16)</f>
        <v>0</v>
      </c>
      <c r="BE16" s="62"/>
      <c r="BF16" s="63"/>
      <c r="BG16" s="63"/>
      <c r="BH16" s="63"/>
      <c r="BI16" s="63"/>
      <c r="BJ16" s="63"/>
      <c r="BK16" s="63"/>
      <c r="BL16" s="63"/>
      <c r="BM16" s="63"/>
      <c r="BN16" s="63"/>
      <c r="BO16" s="64">
        <f t="shared" ref="BO16:BO21" si="37">SUM(BF16:BI16,BK16:BN16)</f>
        <v>0</v>
      </c>
      <c r="BP16" s="62"/>
      <c r="BQ16" s="63"/>
      <c r="BR16" s="63"/>
      <c r="BS16" s="63"/>
      <c r="BT16" s="63"/>
      <c r="BU16" s="63"/>
      <c r="BV16" s="63"/>
      <c r="BW16" s="63"/>
      <c r="BX16" s="63"/>
      <c r="BY16" s="63"/>
      <c r="BZ16" s="64">
        <f t="shared" ref="BZ16:BZ21" si="38">SUM(BQ16:BT16,BV16:BY16)</f>
        <v>0</v>
      </c>
      <c r="CA16" s="62"/>
      <c r="CB16" s="63"/>
      <c r="CC16" s="63"/>
      <c r="CD16" s="63"/>
      <c r="CE16" s="63"/>
      <c r="CF16" s="63"/>
      <c r="CG16" s="63"/>
      <c r="CH16" s="63"/>
      <c r="CI16" s="63"/>
      <c r="CJ16" s="63"/>
      <c r="CK16" s="64">
        <f t="shared" ref="CK16:CK21" si="39">SUM(CB16:CE16,CG16:CJ16)</f>
        <v>0</v>
      </c>
      <c r="CL16" s="65">
        <f t="shared" ref="CL16:CU21" si="40">SUM(BE16,CA16,BP16)</f>
        <v>0</v>
      </c>
      <c r="CM16" s="65">
        <f t="shared" si="40"/>
        <v>0</v>
      </c>
      <c r="CN16" s="65">
        <f t="shared" si="40"/>
        <v>0</v>
      </c>
      <c r="CO16" s="65">
        <f t="shared" si="40"/>
        <v>0</v>
      </c>
      <c r="CP16" s="65">
        <f t="shared" si="40"/>
        <v>0</v>
      </c>
      <c r="CQ16" s="65">
        <f t="shared" si="40"/>
        <v>0</v>
      </c>
      <c r="CR16" s="65">
        <f t="shared" si="40"/>
        <v>0</v>
      </c>
      <c r="CS16" s="65">
        <f t="shared" si="40"/>
        <v>0</v>
      </c>
      <c r="CT16" s="65">
        <f t="shared" si="40"/>
        <v>0</v>
      </c>
      <c r="CU16" s="65">
        <f t="shared" si="40"/>
        <v>0</v>
      </c>
      <c r="CV16" s="64">
        <f t="shared" ref="CV16:CV21" si="41">SUM(CM16:CP16,CR16:CU16)</f>
        <v>0</v>
      </c>
      <c r="CW16" s="62"/>
      <c r="CX16" s="63"/>
      <c r="CY16" s="63"/>
      <c r="CZ16" s="63"/>
      <c r="DA16" s="63"/>
      <c r="DB16" s="63"/>
      <c r="DC16" s="63"/>
      <c r="DD16" s="63"/>
      <c r="DE16" s="63"/>
      <c r="DF16" s="63"/>
      <c r="DG16" s="64">
        <f t="shared" ref="DG16:DG21" si="42">SUM(CX16:DA16,DC16:DF16)</f>
        <v>0</v>
      </c>
      <c r="DH16" s="62"/>
      <c r="DI16" s="63"/>
      <c r="DJ16" s="63"/>
      <c r="DK16" s="63"/>
      <c r="DL16" s="63"/>
      <c r="DM16" s="63"/>
      <c r="DN16" s="63"/>
      <c r="DO16" s="63"/>
      <c r="DP16" s="63"/>
      <c r="DQ16" s="63"/>
      <c r="DR16" s="64">
        <f t="shared" ref="DR16:DR21" si="43">SUM(DI16:DL16,DN16:DQ16)</f>
        <v>0</v>
      </c>
      <c r="DS16" s="62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5">
        <f t="shared" ref="ED16:EM21" si="44">SUM(CW16,DS16,DH16)</f>
        <v>0</v>
      </c>
      <c r="EE16" s="65">
        <f t="shared" si="44"/>
        <v>0</v>
      </c>
      <c r="EF16" s="65">
        <f t="shared" si="44"/>
        <v>0</v>
      </c>
      <c r="EG16" s="65">
        <f t="shared" si="44"/>
        <v>0</v>
      </c>
      <c r="EH16" s="65">
        <f t="shared" si="44"/>
        <v>0</v>
      </c>
      <c r="EI16" s="65">
        <f t="shared" si="44"/>
        <v>0</v>
      </c>
      <c r="EJ16" s="65">
        <f t="shared" si="44"/>
        <v>0</v>
      </c>
      <c r="EK16" s="65">
        <f t="shared" si="44"/>
        <v>0</v>
      </c>
      <c r="EL16" s="65">
        <f t="shared" si="44"/>
        <v>0</v>
      </c>
      <c r="EM16" s="65">
        <f t="shared" si="44"/>
        <v>0</v>
      </c>
      <c r="EN16" s="64">
        <f t="shared" ref="EN16:EN21" si="45">SUM(EE16:EH16,EJ16:EM16)</f>
        <v>0</v>
      </c>
      <c r="EO16" s="62"/>
      <c r="EP16" s="63"/>
      <c r="EQ16" s="63"/>
      <c r="ER16" s="63"/>
      <c r="ES16" s="63"/>
      <c r="ET16" s="63"/>
      <c r="EU16" s="63"/>
      <c r="EV16" s="63"/>
      <c r="EW16" s="63"/>
      <c r="EX16" s="63"/>
      <c r="EY16" s="64">
        <f t="shared" ref="EY16:EY21" si="46">SUM(EP16:ES16,EU16:EX16)</f>
        <v>0</v>
      </c>
      <c r="EZ16" s="62"/>
      <c r="FA16" s="63"/>
      <c r="FB16" s="63"/>
      <c r="FC16" s="63"/>
      <c r="FD16" s="63"/>
      <c r="FE16" s="63"/>
      <c r="FF16" s="63"/>
      <c r="FG16" s="63"/>
      <c r="FH16" s="63"/>
      <c r="FI16" s="63"/>
      <c r="FJ16" s="64">
        <f t="shared" ref="FJ16:FJ21" si="47">SUM(FA16:FD16,FF16:FI16)</f>
        <v>0</v>
      </c>
      <c r="FK16" s="62"/>
      <c r="FL16" s="63"/>
      <c r="FM16" s="63"/>
      <c r="FN16" s="63"/>
      <c r="FO16" s="63"/>
      <c r="FP16" s="63"/>
      <c r="FQ16" s="63"/>
      <c r="FR16" s="63"/>
      <c r="FS16" s="63"/>
      <c r="FT16" s="63"/>
      <c r="FU16" s="64">
        <f t="shared" ref="FU16:FU21" si="48">SUM(FL16:FO16,FQ16:FT16)</f>
        <v>0</v>
      </c>
      <c r="FV16" s="65">
        <f t="shared" ref="FV16:GE21" si="49">SUM(EO16,FK16,EZ16)</f>
        <v>0</v>
      </c>
      <c r="FW16" s="65">
        <f t="shared" si="49"/>
        <v>0</v>
      </c>
      <c r="FX16" s="65">
        <f t="shared" si="49"/>
        <v>0</v>
      </c>
      <c r="FY16" s="65">
        <f t="shared" si="49"/>
        <v>0</v>
      </c>
      <c r="FZ16" s="65">
        <f t="shared" si="49"/>
        <v>0</v>
      </c>
      <c r="GA16" s="65">
        <f t="shared" si="49"/>
        <v>0</v>
      </c>
      <c r="GB16" s="65">
        <f t="shared" si="49"/>
        <v>0</v>
      </c>
      <c r="GC16" s="65">
        <f t="shared" si="49"/>
        <v>0</v>
      </c>
      <c r="GD16" s="65">
        <f t="shared" si="49"/>
        <v>0</v>
      </c>
      <c r="GE16" s="65">
        <f t="shared" si="49"/>
        <v>0</v>
      </c>
      <c r="GF16" s="64">
        <f t="shared" ref="GF16:GF21" si="50">SUM(FW16:FZ16,GB16:GE16)</f>
        <v>0</v>
      </c>
      <c r="GG16" s="66">
        <f t="shared" ref="GG16:GG21" si="51">SUM(AT16,CL16,ED16,FV16)</f>
        <v>0</v>
      </c>
      <c r="GH16" s="66">
        <f t="shared" ref="GH16:GP21" si="52">SUM(AU16,CM16,EE16,FW16)</f>
        <v>0</v>
      </c>
      <c r="GI16" s="66">
        <f t="shared" si="52"/>
        <v>0</v>
      </c>
      <c r="GJ16" s="66">
        <f t="shared" si="52"/>
        <v>0</v>
      </c>
      <c r="GK16" s="66">
        <f t="shared" si="52"/>
        <v>0</v>
      </c>
      <c r="GL16" s="66">
        <f t="shared" si="52"/>
        <v>0</v>
      </c>
      <c r="GM16" s="66">
        <f t="shared" si="52"/>
        <v>0</v>
      </c>
      <c r="GN16" s="66">
        <f t="shared" si="52"/>
        <v>0</v>
      </c>
      <c r="GO16" s="66">
        <f t="shared" si="52"/>
        <v>0</v>
      </c>
      <c r="GP16" s="66">
        <f t="shared" si="52"/>
        <v>0</v>
      </c>
      <c r="GQ16" s="64">
        <f t="shared" ref="GQ16:GQ21" si="53">SUM(GH16:GK16,GM16:GP16)</f>
        <v>0</v>
      </c>
      <c r="GR16" s="63"/>
      <c r="GS16" s="63"/>
      <c r="GT16" s="63"/>
      <c r="GU16" s="63"/>
      <c r="GV16" s="67">
        <f t="shared" ref="GV16:GV21" si="54">SUM(GR16:GU16)</f>
        <v>0</v>
      </c>
      <c r="GW16" s="63"/>
      <c r="GX16" s="63"/>
      <c r="GY16" s="63"/>
      <c r="GZ16" s="63"/>
      <c r="HA16" s="67">
        <f t="shared" ref="HA16:HA21" si="55">SUM(GW16:GZ16)</f>
        <v>0</v>
      </c>
      <c r="HB16" s="63"/>
      <c r="HC16" s="63"/>
      <c r="HD16" s="63"/>
      <c r="HE16" s="63"/>
      <c r="HF16" s="67">
        <f t="shared" ref="HF16:HF21" si="56">SUM(HB16:HE16)</f>
        <v>0</v>
      </c>
      <c r="HG16" s="63"/>
      <c r="HH16" s="63"/>
      <c r="HI16" s="63"/>
      <c r="HJ16" s="63"/>
      <c r="HK16" s="67">
        <f t="shared" ref="HK16:HK21" si="57">SUM(HG16:HJ16)</f>
        <v>0</v>
      </c>
      <c r="HL16" s="68">
        <f t="shared" ref="HL16:HO23" si="58">SUM(GW16,HB16,HG16)</f>
        <v>0</v>
      </c>
      <c r="HM16" s="68">
        <f t="shared" si="58"/>
        <v>0</v>
      </c>
      <c r="HN16" s="68">
        <f t="shared" si="58"/>
        <v>0</v>
      </c>
      <c r="HO16" s="68">
        <f t="shared" si="58"/>
        <v>0</v>
      </c>
      <c r="HP16" s="67">
        <f t="shared" ref="HP16:HP21" si="59">SUM(HL16:HO16)</f>
        <v>0</v>
      </c>
      <c r="HQ16" s="63"/>
      <c r="HR16" s="63"/>
      <c r="HS16" s="63"/>
      <c r="HT16" s="63"/>
      <c r="HU16" s="67">
        <f t="shared" ref="HU16:HU21" si="60">SUM(HQ16:HT16)</f>
        <v>0</v>
      </c>
      <c r="HV16" s="63"/>
      <c r="HW16" s="63"/>
      <c r="HX16" s="63"/>
      <c r="HY16" s="63"/>
      <c r="HZ16" s="67">
        <f t="shared" ref="HZ16:HZ21" si="61">SUM(HV16:HY16)</f>
        <v>0</v>
      </c>
      <c r="IA16" s="63"/>
      <c r="IB16" s="63"/>
      <c r="IC16" s="63"/>
      <c r="ID16" s="63"/>
      <c r="IE16" s="67">
        <f t="shared" ref="IE16:IE21" si="62">SUM(IA16:ID16)</f>
        <v>0</v>
      </c>
      <c r="IF16" s="68">
        <f t="shared" ref="IF16:II23" si="63">SUM(HQ16,HV16,IA16)</f>
        <v>0</v>
      </c>
      <c r="IG16" s="68">
        <f t="shared" si="63"/>
        <v>0</v>
      </c>
      <c r="IH16" s="68">
        <f t="shared" si="63"/>
        <v>0</v>
      </c>
      <c r="II16" s="68">
        <f t="shared" si="63"/>
        <v>0</v>
      </c>
      <c r="IJ16" s="67">
        <f t="shared" ref="IJ16:IJ21" si="64">SUM(IF16:II16)</f>
        <v>0</v>
      </c>
      <c r="IK16" s="63"/>
      <c r="IL16" s="63"/>
      <c r="IM16" s="63"/>
      <c r="IN16" s="63"/>
      <c r="IO16" s="67">
        <f t="shared" ref="IO16:IO21" si="65">SUM(IK16:IN16)</f>
        <v>0</v>
      </c>
      <c r="IP16" s="63"/>
      <c r="IQ16" s="63"/>
      <c r="IR16" s="63"/>
      <c r="IS16" s="63"/>
      <c r="IT16" s="67">
        <f t="shared" ref="IT16:IT21" si="66">SUM(IP16:IS16)</f>
        <v>0</v>
      </c>
      <c r="IU16" s="63"/>
      <c r="IV16" s="63"/>
    </row>
    <row r="17" spans="1:256" x14ac:dyDescent="0.25">
      <c r="A17" s="69" t="s">
        <v>30</v>
      </c>
      <c r="B17" s="62">
        <v>1</v>
      </c>
      <c r="C17" s="63"/>
      <c r="D17" s="63"/>
      <c r="E17" s="63"/>
      <c r="F17" s="63"/>
      <c r="G17" s="63"/>
      <c r="H17" s="63"/>
      <c r="I17" s="63"/>
      <c r="J17" s="63"/>
      <c r="K17" s="63"/>
      <c r="L17" s="64">
        <f>SUM(C17:F17,H17:K17)</f>
        <v>0</v>
      </c>
      <c r="M17" s="62"/>
      <c r="N17" s="63"/>
      <c r="O17" s="63"/>
      <c r="P17" s="63"/>
      <c r="Q17" s="63"/>
      <c r="R17" s="63"/>
      <c r="S17" s="63"/>
      <c r="T17" s="63"/>
      <c r="U17" s="63"/>
      <c r="V17" s="63"/>
      <c r="W17" s="64">
        <f t="shared" si="32"/>
        <v>0</v>
      </c>
      <c r="X17" s="62"/>
      <c r="Y17" s="63"/>
      <c r="Z17" s="63"/>
      <c r="AA17" s="63"/>
      <c r="AB17" s="63"/>
      <c r="AC17" s="63"/>
      <c r="AD17" s="63"/>
      <c r="AE17" s="63"/>
      <c r="AF17" s="63"/>
      <c r="AG17" s="63"/>
      <c r="AH17" s="64">
        <f t="shared" si="33"/>
        <v>0</v>
      </c>
      <c r="AI17" s="62"/>
      <c r="AJ17" s="63"/>
      <c r="AK17" s="63"/>
      <c r="AL17" s="63"/>
      <c r="AM17" s="63"/>
      <c r="AN17" s="63"/>
      <c r="AO17" s="63"/>
      <c r="AP17" s="63"/>
      <c r="AQ17" s="63"/>
      <c r="AR17" s="63"/>
      <c r="AS17" s="64">
        <f t="shared" si="34"/>
        <v>0</v>
      </c>
      <c r="AT17" s="65">
        <f t="shared" si="35"/>
        <v>0</v>
      </c>
      <c r="AU17" s="65">
        <f t="shared" si="35"/>
        <v>0</v>
      </c>
      <c r="AV17" s="65">
        <f t="shared" si="35"/>
        <v>0</v>
      </c>
      <c r="AW17" s="65">
        <f t="shared" si="35"/>
        <v>0</v>
      </c>
      <c r="AX17" s="65">
        <f t="shared" si="35"/>
        <v>0</v>
      </c>
      <c r="AY17" s="65">
        <f t="shared" si="35"/>
        <v>0</v>
      </c>
      <c r="AZ17" s="65">
        <f t="shared" si="35"/>
        <v>0</v>
      </c>
      <c r="BA17" s="65">
        <f t="shared" si="35"/>
        <v>0</v>
      </c>
      <c r="BB17" s="65">
        <f t="shared" si="35"/>
        <v>0</v>
      </c>
      <c r="BC17" s="65">
        <f t="shared" si="35"/>
        <v>0</v>
      </c>
      <c r="BD17" s="64">
        <f t="shared" si="36"/>
        <v>0</v>
      </c>
      <c r="BE17" s="62"/>
      <c r="BF17" s="63"/>
      <c r="BG17" s="63"/>
      <c r="BH17" s="63"/>
      <c r="BI17" s="63"/>
      <c r="BJ17" s="63"/>
      <c r="BK17" s="63"/>
      <c r="BL17" s="63"/>
      <c r="BM17" s="63"/>
      <c r="BN17" s="63"/>
      <c r="BO17" s="64">
        <f t="shared" si="37"/>
        <v>0</v>
      </c>
      <c r="BP17" s="62"/>
      <c r="BQ17" s="63"/>
      <c r="BR17" s="63"/>
      <c r="BS17" s="63"/>
      <c r="BT17" s="63"/>
      <c r="BU17" s="63"/>
      <c r="BV17" s="63"/>
      <c r="BW17" s="63"/>
      <c r="BX17" s="63"/>
      <c r="BY17" s="63"/>
      <c r="BZ17" s="64">
        <f t="shared" si="38"/>
        <v>0</v>
      </c>
      <c r="CA17" s="62"/>
      <c r="CB17" s="63"/>
      <c r="CC17" s="63"/>
      <c r="CD17" s="63"/>
      <c r="CE17" s="63"/>
      <c r="CF17" s="63"/>
      <c r="CG17" s="63"/>
      <c r="CH17" s="63"/>
      <c r="CI17" s="63"/>
      <c r="CJ17" s="63"/>
      <c r="CK17" s="64">
        <f t="shared" si="39"/>
        <v>0</v>
      </c>
      <c r="CL17" s="65">
        <f t="shared" si="40"/>
        <v>0</v>
      </c>
      <c r="CM17" s="65">
        <f t="shared" si="40"/>
        <v>0</v>
      </c>
      <c r="CN17" s="65">
        <f t="shared" si="40"/>
        <v>0</v>
      </c>
      <c r="CO17" s="65">
        <f t="shared" si="40"/>
        <v>0</v>
      </c>
      <c r="CP17" s="65">
        <f t="shared" si="40"/>
        <v>0</v>
      </c>
      <c r="CQ17" s="65">
        <f t="shared" si="40"/>
        <v>0</v>
      </c>
      <c r="CR17" s="65">
        <f t="shared" si="40"/>
        <v>0</v>
      </c>
      <c r="CS17" s="65">
        <f t="shared" si="40"/>
        <v>0</v>
      </c>
      <c r="CT17" s="65">
        <f t="shared" si="40"/>
        <v>0</v>
      </c>
      <c r="CU17" s="65">
        <f t="shared" si="40"/>
        <v>0</v>
      </c>
      <c r="CV17" s="64">
        <f t="shared" si="41"/>
        <v>0</v>
      </c>
      <c r="CW17" s="62"/>
      <c r="CX17" s="63"/>
      <c r="CY17" s="63"/>
      <c r="CZ17" s="63"/>
      <c r="DA17" s="63"/>
      <c r="DB17" s="63"/>
      <c r="DC17" s="63"/>
      <c r="DD17" s="63"/>
      <c r="DE17" s="63"/>
      <c r="DF17" s="63"/>
      <c r="DG17" s="64">
        <f t="shared" si="42"/>
        <v>0</v>
      </c>
      <c r="DH17" s="62"/>
      <c r="DI17" s="63"/>
      <c r="DJ17" s="63"/>
      <c r="DK17" s="63"/>
      <c r="DL17" s="63"/>
      <c r="DM17" s="63"/>
      <c r="DN17" s="63"/>
      <c r="DO17" s="63"/>
      <c r="DP17" s="63"/>
      <c r="DQ17" s="63"/>
      <c r="DR17" s="64">
        <f t="shared" si="43"/>
        <v>0</v>
      </c>
      <c r="DS17" s="62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5">
        <f t="shared" si="44"/>
        <v>0</v>
      </c>
      <c r="EE17" s="65">
        <f t="shared" si="44"/>
        <v>0</v>
      </c>
      <c r="EF17" s="65">
        <f t="shared" si="44"/>
        <v>0</v>
      </c>
      <c r="EG17" s="65">
        <f t="shared" si="44"/>
        <v>0</v>
      </c>
      <c r="EH17" s="65">
        <f t="shared" si="44"/>
        <v>0</v>
      </c>
      <c r="EI17" s="65">
        <f t="shared" si="44"/>
        <v>0</v>
      </c>
      <c r="EJ17" s="65">
        <f t="shared" si="44"/>
        <v>0</v>
      </c>
      <c r="EK17" s="65">
        <f t="shared" si="44"/>
        <v>0</v>
      </c>
      <c r="EL17" s="65">
        <f t="shared" si="44"/>
        <v>0</v>
      </c>
      <c r="EM17" s="65">
        <f t="shared" si="44"/>
        <v>0</v>
      </c>
      <c r="EN17" s="64">
        <f t="shared" si="45"/>
        <v>0</v>
      </c>
      <c r="EO17" s="62"/>
      <c r="EP17" s="63"/>
      <c r="EQ17" s="63"/>
      <c r="ER17" s="63"/>
      <c r="ES17" s="63"/>
      <c r="ET17" s="63"/>
      <c r="EU17" s="63"/>
      <c r="EV17" s="63"/>
      <c r="EW17" s="63"/>
      <c r="EX17" s="63"/>
      <c r="EY17" s="64">
        <f t="shared" si="46"/>
        <v>0</v>
      </c>
      <c r="EZ17" s="62"/>
      <c r="FA17" s="63"/>
      <c r="FB17" s="63"/>
      <c r="FC17" s="63"/>
      <c r="FD17" s="63"/>
      <c r="FE17" s="63"/>
      <c r="FF17" s="63"/>
      <c r="FG17" s="63"/>
      <c r="FH17" s="63"/>
      <c r="FI17" s="63"/>
      <c r="FJ17" s="64">
        <f t="shared" si="47"/>
        <v>0</v>
      </c>
      <c r="FK17" s="62"/>
      <c r="FL17" s="63"/>
      <c r="FM17" s="63"/>
      <c r="FN17" s="63"/>
      <c r="FO17" s="63"/>
      <c r="FP17" s="63"/>
      <c r="FQ17" s="63"/>
      <c r="FR17" s="63"/>
      <c r="FS17" s="63"/>
      <c r="FT17" s="63"/>
      <c r="FU17" s="64">
        <f t="shared" si="48"/>
        <v>0</v>
      </c>
      <c r="FV17" s="65">
        <f t="shared" si="49"/>
        <v>0</v>
      </c>
      <c r="FW17" s="65">
        <f t="shared" si="49"/>
        <v>0</v>
      </c>
      <c r="FX17" s="65">
        <f t="shared" si="49"/>
        <v>0</v>
      </c>
      <c r="FY17" s="65">
        <f t="shared" si="49"/>
        <v>0</v>
      </c>
      <c r="FZ17" s="65">
        <f t="shared" si="49"/>
        <v>0</v>
      </c>
      <c r="GA17" s="65">
        <f t="shared" si="49"/>
        <v>0</v>
      </c>
      <c r="GB17" s="65">
        <f t="shared" si="49"/>
        <v>0</v>
      </c>
      <c r="GC17" s="65">
        <f t="shared" si="49"/>
        <v>0</v>
      </c>
      <c r="GD17" s="65">
        <f t="shared" si="49"/>
        <v>0</v>
      </c>
      <c r="GE17" s="65">
        <f t="shared" si="49"/>
        <v>0</v>
      </c>
      <c r="GF17" s="64">
        <f t="shared" si="50"/>
        <v>0</v>
      </c>
      <c r="GG17" s="66">
        <f t="shared" si="51"/>
        <v>0</v>
      </c>
      <c r="GH17" s="66">
        <f t="shared" si="52"/>
        <v>0</v>
      </c>
      <c r="GI17" s="66">
        <f t="shared" si="52"/>
        <v>0</v>
      </c>
      <c r="GJ17" s="66">
        <f t="shared" si="52"/>
        <v>0</v>
      </c>
      <c r="GK17" s="66">
        <f t="shared" si="52"/>
        <v>0</v>
      </c>
      <c r="GL17" s="66">
        <f t="shared" si="52"/>
        <v>0</v>
      </c>
      <c r="GM17" s="66">
        <f t="shared" si="52"/>
        <v>0</v>
      </c>
      <c r="GN17" s="66">
        <f t="shared" si="52"/>
        <v>0</v>
      </c>
      <c r="GO17" s="66">
        <f t="shared" si="52"/>
        <v>0</v>
      </c>
      <c r="GP17" s="66">
        <f t="shared" si="52"/>
        <v>0</v>
      </c>
      <c r="GQ17" s="64">
        <f t="shared" si="53"/>
        <v>0</v>
      </c>
      <c r="GR17" s="63"/>
      <c r="GS17" s="63"/>
      <c r="GT17" s="63"/>
      <c r="GU17" s="63"/>
      <c r="GV17" s="67">
        <f t="shared" si="54"/>
        <v>0</v>
      </c>
      <c r="GW17" s="63"/>
      <c r="GX17" s="63"/>
      <c r="GY17" s="63"/>
      <c r="GZ17" s="63"/>
      <c r="HA17" s="67">
        <f t="shared" si="55"/>
        <v>0</v>
      </c>
      <c r="HB17" s="63"/>
      <c r="HC17" s="63"/>
      <c r="HD17" s="63"/>
      <c r="HE17" s="63"/>
      <c r="HF17" s="67">
        <f t="shared" si="56"/>
        <v>0</v>
      </c>
      <c r="HG17" s="63"/>
      <c r="HH17" s="63"/>
      <c r="HI17" s="63"/>
      <c r="HJ17" s="63"/>
      <c r="HK17" s="67">
        <f t="shared" si="57"/>
        <v>0</v>
      </c>
      <c r="HL17" s="68">
        <f t="shared" si="58"/>
        <v>0</v>
      </c>
      <c r="HM17" s="68">
        <f t="shared" si="58"/>
        <v>0</v>
      </c>
      <c r="HN17" s="68">
        <f t="shared" si="58"/>
        <v>0</v>
      </c>
      <c r="HO17" s="68">
        <f t="shared" si="58"/>
        <v>0</v>
      </c>
      <c r="HP17" s="67">
        <f t="shared" si="59"/>
        <v>0</v>
      </c>
      <c r="HQ17" s="63"/>
      <c r="HR17" s="63"/>
      <c r="HS17" s="63"/>
      <c r="HT17" s="63"/>
      <c r="HU17" s="67">
        <f t="shared" si="60"/>
        <v>0</v>
      </c>
      <c r="HV17" s="63"/>
      <c r="HW17" s="63"/>
      <c r="HX17" s="63"/>
      <c r="HY17" s="63"/>
      <c r="HZ17" s="67">
        <f t="shared" si="61"/>
        <v>0</v>
      </c>
      <c r="IA17" s="63"/>
      <c r="IB17" s="63"/>
      <c r="IC17" s="63"/>
      <c r="ID17" s="63"/>
      <c r="IE17" s="67">
        <f t="shared" si="62"/>
        <v>0</v>
      </c>
      <c r="IF17" s="68">
        <f t="shared" si="63"/>
        <v>0</v>
      </c>
      <c r="IG17" s="68">
        <f t="shared" si="63"/>
        <v>0</v>
      </c>
      <c r="IH17" s="68">
        <f t="shared" si="63"/>
        <v>0</v>
      </c>
      <c r="II17" s="68">
        <f t="shared" si="63"/>
        <v>0</v>
      </c>
      <c r="IJ17" s="67">
        <f t="shared" si="64"/>
        <v>0</v>
      </c>
      <c r="IK17" s="63"/>
      <c r="IL17" s="63"/>
      <c r="IM17" s="63"/>
      <c r="IN17" s="63"/>
      <c r="IO17" s="67">
        <f t="shared" si="65"/>
        <v>0</v>
      </c>
      <c r="IP17" s="63"/>
      <c r="IQ17" s="63"/>
      <c r="IR17" s="63"/>
      <c r="IS17" s="63"/>
      <c r="IT17" s="67">
        <f t="shared" si="66"/>
        <v>0</v>
      </c>
      <c r="IU17" s="63"/>
      <c r="IV17" s="63"/>
    </row>
    <row r="18" spans="1:256" s="1" customFormat="1" x14ac:dyDescent="0.25">
      <c r="A18" s="69" t="s">
        <v>31</v>
      </c>
      <c r="B18" s="62">
        <v>6</v>
      </c>
      <c r="C18" s="63"/>
      <c r="D18" s="63"/>
      <c r="E18" s="63"/>
      <c r="F18" s="63"/>
      <c r="G18" s="63"/>
      <c r="H18" s="63"/>
      <c r="I18" s="63"/>
      <c r="J18" s="63"/>
      <c r="K18" s="63"/>
      <c r="L18" s="64">
        <f>SUM(C18:F18,H18:K18)</f>
        <v>0</v>
      </c>
      <c r="M18" s="62"/>
      <c r="N18" s="63"/>
      <c r="O18" s="63"/>
      <c r="P18" s="63"/>
      <c r="Q18" s="63"/>
      <c r="R18" s="63"/>
      <c r="S18" s="63"/>
      <c r="T18" s="63"/>
      <c r="U18" s="63"/>
      <c r="V18" s="63"/>
      <c r="W18" s="64">
        <f t="shared" si="32"/>
        <v>0</v>
      </c>
      <c r="X18" s="62"/>
      <c r="Y18" s="63"/>
      <c r="Z18" s="63"/>
      <c r="AA18" s="63"/>
      <c r="AB18" s="63"/>
      <c r="AC18" s="63"/>
      <c r="AD18" s="63"/>
      <c r="AE18" s="63"/>
      <c r="AF18" s="63"/>
      <c r="AG18" s="63"/>
      <c r="AH18" s="64">
        <f t="shared" si="33"/>
        <v>0</v>
      </c>
      <c r="AI18" s="62"/>
      <c r="AJ18" s="63"/>
      <c r="AK18" s="63"/>
      <c r="AL18" s="63"/>
      <c r="AM18" s="63"/>
      <c r="AN18" s="63"/>
      <c r="AO18" s="63"/>
      <c r="AP18" s="63"/>
      <c r="AQ18" s="63"/>
      <c r="AR18" s="63"/>
      <c r="AS18" s="64">
        <f t="shared" si="34"/>
        <v>0</v>
      </c>
      <c r="AT18" s="65">
        <f t="shared" si="35"/>
        <v>0</v>
      </c>
      <c r="AU18" s="65">
        <f t="shared" si="35"/>
        <v>0</v>
      </c>
      <c r="AV18" s="65">
        <f t="shared" si="35"/>
        <v>0</v>
      </c>
      <c r="AW18" s="65">
        <f t="shared" si="35"/>
        <v>0</v>
      </c>
      <c r="AX18" s="65">
        <f t="shared" si="35"/>
        <v>0</v>
      </c>
      <c r="AY18" s="65">
        <f t="shared" si="35"/>
        <v>0</v>
      </c>
      <c r="AZ18" s="65">
        <f t="shared" si="35"/>
        <v>0</v>
      </c>
      <c r="BA18" s="65">
        <f t="shared" si="35"/>
        <v>0</v>
      </c>
      <c r="BB18" s="65">
        <f t="shared" si="35"/>
        <v>0</v>
      </c>
      <c r="BC18" s="65">
        <f t="shared" si="35"/>
        <v>0</v>
      </c>
      <c r="BD18" s="64">
        <f t="shared" si="36"/>
        <v>0</v>
      </c>
      <c r="BE18" s="62"/>
      <c r="BF18" s="63"/>
      <c r="BG18" s="63"/>
      <c r="BH18" s="63"/>
      <c r="BI18" s="63"/>
      <c r="BJ18" s="63"/>
      <c r="BK18" s="63"/>
      <c r="BL18" s="63"/>
      <c r="BM18" s="63"/>
      <c r="BN18" s="63"/>
      <c r="BO18" s="64">
        <f t="shared" si="37"/>
        <v>0</v>
      </c>
      <c r="BP18" s="62"/>
      <c r="BQ18" s="63"/>
      <c r="BR18" s="63"/>
      <c r="BS18" s="63"/>
      <c r="BT18" s="63"/>
      <c r="BU18" s="63"/>
      <c r="BV18" s="63"/>
      <c r="BW18" s="63"/>
      <c r="BX18" s="63"/>
      <c r="BY18" s="63"/>
      <c r="BZ18" s="64">
        <f t="shared" si="38"/>
        <v>0</v>
      </c>
      <c r="CA18" s="62"/>
      <c r="CB18" s="63"/>
      <c r="CC18" s="63"/>
      <c r="CD18" s="63"/>
      <c r="CE18" s="63"/>
      <c r="CF18" s="63"/>
      <c r="CG18" s="63"/>
      <c r="CH18" s="63"/>
      <c r="CI18" s="63"/>
      <c r="CJ18" s="63"/>
      <c r="CK18" s="64">
        <f t="shared" si="39"/>
        <v>0</v>
      </c>
      <c r="CL18" s="65">
        <f t="shared" si="40"/>
        <v>0</v>
      </c>
      <c r="CM18" s="65">
        <f t="shared" si="40"/>
        <v>0</v>
      </c>
      <c r="CN18" s="65">
        <f t="shared" si="40"/>
        <v>0</v>
      </c>
      <c r="CO18" s="65">
        <f t="shared" si="40"/>
        <v>0</v>
      </c>
      <c r="CP18" s="65">
        <f t="shared" si="40"/>
        <v>0</v>
      </c>
      <c r="CQ18" s="65">
        <f t="shared" si="40"/>
        <v>0</v>
      </c>
      <c r="CR18" s="65">
        <f t="shared" si="40"/>
        <v>0</v>
      </c>
      <c r="CS18" s="65">
        <f t="shared" si="40"/>
        <v>0</v>
      </c>
      <c r="CT18" s="65">
        <f t="shared" si="40"/>
        <v>0</v>
      </c>
      <c r="CU18" s="65">
        <f t="shared" si="40"/>
        <v>0</v>
      </c>
      <c r="CV18" s="64">
        <f t="shared" si="41"/>
        <v>0</v>
      </c>
      <c r="CW18" s="62"/>
      <c r="CX18" s="63"/>
      <c r="CY18" s="63"/>
      <c r="CZ18" s="63"/>
      <c r="DA18" s="63"/>
      <c r="DB18" s="63"/>
      <c r="DC18" s="63"/>
      <c r="DD18" s="63"/>
      <c r="DE18" s="63"/>
      <c r="DF18" s="63"/>
      <c r="DG18" s="64">
        <f t="shared" si="42"/>
        <v>0</v>
      </c>
      <c r="DH18" s="62"/>
      <c r="DI18" s="63"/>
      <c r="DJ18" s="63"/>
      <c r="DK18" s="63"/>
      <c r="DL18" s="63"/>
      <c r="DM18" s="63"/>
      <c r="DN18" s="63"/>
      <c r="DO18" s="63"/>
      <c r="DP18" s="63"/>
      <c r="DQ18" s="63"/>
      <c r="DR18" s="64">
        <f t="shared" si="43"/>
        <v>0</v>
      </c>
      <c r="DS18" s="62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5">
        <f t="shared" si="44"/>
        <v>0</v>
      </c>
      <c r="EE18" s="65">
        <f t="shared" si="44"/>
        <v>0</v>
      </c>
      <c r="EF18" s="65">
        <f t="shared" si="44"/>
        <v>0</v>
      </c>
      <c r="EG18" s="65">
        <f t="shared" si="44"/>
        <v>0</v>
      </c>
      <c r="EH18" s="65">
        <f t="shared" si="44"/>
        <v>0</v>
      </c>
      <c r="EI18" s="65">
        <f t="shared" si="44"/>
        <v>0</v>
      </c>
      <c r="EJ18" s="65">
        <f t="shared" si="44"/>
        <v>0</v>
      </c>
      <c r="EK18" s="65">
        <f t="shared" si="44"/>
        <v>0</v>
      </c>
      <c r="EL18" s="65">
        <f t="shared" si="44"/>
        <v>0</v>
      </c>
      <c r="EM18" s="65">
        <f t="shared" si="44"/>
        <v>0</v>
      </c>
      <c r="EN18" s="64">
        <f t="shared" si="45"/>
        <v>0</v>
      </c>
      <c r="EO18" s="62"/>
      <c r="EP18" s="63"/>
      <c r="EQ18" s="63"/>
      <c r="ER18" s="63"/>
      <c r="ES18" s="63"/>
      <c r="ET18" s="63"/>
      <c r="EU18" s="63"/>
      <c r="EV18" s="63"/>
      <c r="EW18" s="63"/>
      <c r="EX18" s="63"/>
      <c r="EY18" s="64">
        <f t="shared" si="46"/>
        <v>0</v>
      </c>
      <c r="EZ18" s="62"/>
      <c r="FA18" s="63"/>
      <c r="FB18" s="63"/>
      <c r="FC18" s="63"/>
      <c r="FD18" s="63"/>
      <c r="FE18" s="63"/>
      <c r="FF18" s="63"/>
      <c r="FG18" s="63"/>
      <c r="FH18" s="63"/>
      <c r="FI18" s="63"/>
      <c r="FJ18" s="64">
        <f t="shared" si="47"/>
        <v>0</v>
      </c>
      <c r="FK18" s="62"/>
      <c r="FL18" s="63"/>
      <c r="FM18" s="63"/>
      <c r="FN18" s="63"/>
      <c r="FO18" s="63"/>
      <c r="FP18" s="63"/>
      <c r="FQ18" s="63"/>
      <c r="FR18" s="63"/>
      <c r="FS18" s="63"/>
      <c r="FT18" s="63"/>
      <c r="FU18" s="64">
        <f t="shared" si="48"/>
        <v>0</v>
      </c>
      <c r="FV18" s="65">
        <f t="shared" si="49"/>
        <v>0</v>
      </c>
      <c r="FW18" s="65">
        <f t="shared" si="49"/>
        <v>0</v>
      </c>
      <c r="FX18" s="65">
        <f t="shared" si="49"/>
        <v>0</v>
      </c>
      <c r="FY18" s="65">
        <f t="shared" si="49"/>
        <v>0</v>
      </c>
      <c r="FZ18" s="65">
        <f t="shared" si="49"/>
        <v>0</v>
      </c>
      <c r="GA18" s="65">
        <f t="shared" si="49"/>
        <v>0</v>
      </c>
      <c r="GB18" s="65">
        <f t="shared" si="49"/>
        <v>0</v>
      </c>
      <c r="GC18" s="65">
        <f t="shared" si="49"/>
        <v>0</v>
      </c>
      <c r="GD18" s="65">
        <f t="shared" si="49"/>
        <v>0</v>
      </c>
      <c r="GE18" s="65">
        <f t="shared" si="49"/>
        <v>0</v>
      </c>
      <c r="GF18" s="64">
        <f t="shared" si="50"/>
        <v>0</v>
      </c>
      <c r="GG18" s="66">
        <f t="shared" si="51"/>
        <v>0</v>
      </c>
      <c r="GH18" s="66">
        <f t="shared" si="52"/>
        <v>0</v>
      </c>
      <c r="GI18" s="66">
        <f t="shared" si="52"/>
        <v>0</v>
      </c>
      <c r="GJ18" s="66">
        <f t="shared" si="52"/>
        <v>0</v>
      </c>
      <c r="GK18" s="66">
        <f t="shared" si="52"/>
        <v>0</v>
      </c>
      <c r="GL18" s="66">
        <f t="shared" si="52"/>
        <v>0</v>
      </c>
      <c r="GM18" s="66">
        <f t="shared" si="52"/>
        <v>0</v>
      </c>
      <c r="GN18" s="66">
        <f t="shared" si="52"/>
        <v>0</v>
      </c>
      <c r="GO18" s="66">
        <f t="shared" si="52"/>
        <v>0</v>
      </c>
      <c r="GP18" s="66">
        <f t="shared" si="52"/>
        <v>0</v>
      </c>
      <c r="GQ18" s="64">
        <f t="shared" si="53"/>
        <v>0</v>
      </c>
      <c r="GR18" s="63"/>
      <c r="GS18" s="63"/>
      <c r="GT18" s="63"/>
      <c r="GU18" s="63"/>
      <c r="GV18" s="67">
        <f t="shared" si="54"/>
        <v>0</v>
      </c>
      <c r="GW18" s="63"/>
      <c r="GX18" s="63"/>
      <c r="GY18" s="63"/>
      <c r="GZ18" s="63"/>
      <c r="HA18" s="67">
        <f t="shared" si="55"/>
        <v>0</v>
      </c>
      <c r="HB18" s="63"/>
      <c r="HC18" s="63"/>
      <c r="HD18" s="63"/>
      <c r="HE18" s="63"/>
      <c r="HF18" s="67">
        <f t="shared" si="56"/>
        <v>0</v>
      </c>
      <c r="HG18" s="63"/>
      <c r="HH18" s="63"/>
      <c r="HI18" s="63"/>
      <c r="HJ18" s="63"/>
      <c r="HK18" s="67">
        <f t="shared" si="57"/>
        <v>0</v>
      </c>
      <c r="HL18" s="68">
        <f t="shared" si="58"/>
        <v>0</v>
      </c>
      <c r="HM18" s="68">
        <f t="shared" si="58"/>
        <v>0</v>
      </c>
      <c r="HN18" s="68">
        <f t="shared" si="58"/>
        <v>0</v>
      </c>
      <c r="HO18" s="68">
        <f t="shared" si="58"/>
        <v>0</v>
      </c>
      <c r="HP18" s="67">
        <f t="shared" si="59"/>
        <v>0</v>
      </c>
      <c r="HQ18" s="63"/>
      <c r="HR18" s="63"/>
      <c r="HS18" s="63"/>
      <c r="HT18" s="63"/>
      <c r="HU18" s="67">
        <f t="shared" si="60"/>
        <v>0</v>
      </c>
      <c r="HV18" s="63"/>
      <c r="HW18" s="63"/>
      <c r="HX18" s="63"/>
      <c r="HY18" s="63"/>
      <c r="HZ18" s="67">
        <f t="shared" si="61"/>
        <v>0</v>
      </c>
      <c r="IA18" s="63"/>
      <c r="IB18" s="63"/>
      <c r="IC18" s="63"/>
      <c r="ID18" s="63"/>
      <c r="IE18" s="67">
        <f t="shared" si="62"/>
        <v>0</v>
      </c>
      <c r="IF18" s="68">
        <f t="shared" si="63"/>
        <v>0</v>
      </c>
      <c r="IG18" s="68">
        <f t="shared" si="63"/>
        <v>0</v>
      </c>
      <c r="IH18" s="68">
        <f t="shared" si="63"/>
        <v>0</v>
      </c>
      <c r="II18" s="68">
        <f t="shared" si="63"/>
        <v>0</v>
      </c>
      <c r="IJ18" s="67">
        <f t="shared" si="64"/>
        <v>0</v>
      </c>
      <c r="IK18" s="63"/>
      <c r="IL18" s="63"/>
      <c r="IM18" s="63"/>
      <c r="IN18" s="63"/>
      <c r="IO18" s="67">
        <f t="shared" si="65"/>
        <v>0</v>
      </c>
      <c r="IP18" s="63"/>
      <c r="IQ18" s="63"/>
      <c r="IR18" s="63"/>
      <c r="IS18" s="63"/>
      <c r="IT18" s="67">
        <f t="shared" si="66"/>
        <v>0</v>
      </c>
      <c r="IU18" s="63"/>
      <c r="IV18" s="63"/>
    </row>
    <row r="19" spans="1:256" x14ac:dyDescent="0.25">
      <c r="A19" s="69" t="s">
        <v>32</v>
      </c>
      <c r="B19" s="62">
        <v>18</v>
      </c>
      <c r="C19" s="63"/>
      <c r="D19" s="63"/>
      <c r="E19" s="63"/>
      <c r="F19" s="63"/>
      <c r="G19" s="63"/>
      <c r="H19" s="63"/>
      <c r="I19" s="63"/>
      <c r="J19" s="63"/>
      <c r="K19" s="63"/>
      <c r="L19" s="64">
        <f>SUM(C19:F19,H19:K19)</f>
        <v>0</v>
      </c>
      <c r="M19" s="62"/>
      <c r="N19" s="63"/>
      <c r="O19" s="63"/>
      <c r="P19" s="63"/>
      <c r="Q19" s="63"/>
      <c r="R19" s="63"/>
      <c r="S19" s="63"/>
      <c r="T19" s="63"/>
      <c r="U19" s="63"/>
      <c r="V19" s="63"/>
      <c r="W19" s="64">
        <f t="shared" si="32"/>
        <v>0</v>
      </c>
      <c r="X19" s="62"/>
      <c r="Y19" s="63"/>
      <c r="Z19" s="63"/>
      <c r="AA19" s="63"/>
      <c r="AB19" s="63"/>
      <c r="AC19" s="63"/>
      <c r="AD19" s="63"/>
      <c r="AE19" s="63"/>
      <c r="AF19" s="63"/>
      <c r="AG19" s="63"/>
      <c r="AH19" s="64">
        <f t="shared" si="33"/>
        <v>0</v>
      </c>
      <c r="AI19" s="62"/>
      <c r="AJ19" s="63"/>
      <c r="AK19" s="63"/>
      <c r="AL19" s="63"/>
      <c r="AM19" s="63"/>
      <c r="AN19" s="63"/>
      <c r="AO19" s="63"/>
      <c r="AP19" s="63"/>
      <c r="AQ19" s="63"/>
      <c r="AR19" s="63"/>
      <c r="AS19" s="64">
        <f t="shared" si="34"/>
        <v>0</v>
      </c>
      <c r="AT19" s="65">
        <f t="shared" si="35"/>
        <v>0</v>
      </c>
      <c r="AU19" s="65">
        <f t="shared" si="35"/>
        <v>0</v>
      </c>
      <c r="AV19" s="65">
        <f t="shared" si="35"/>
        <v>0</v>
      </c>
      <c r="AW19" s="65">
        <f t="shared" si="35"/>
        <v>0</v>
      </c>
      <c r="AX19" s="65">
        <f t="shared" si="35"/>
        <v>0</v>
      </c>
      <c r="AY19" s="65">
        <f t="shared" si="35"/>
        <v>0</v>
      </c>
      <c r="AZ19" s="65">
        <f t="shared" si="35"/>
        <v>0</v>
      </c>
      <c r="BA19" s="65">
        <f t="shared" si="35"/>
        <v>0</v>
      </c>
      <c r="BB19" s="65">
        <f t="shared" si="35"/>
        <v>0</v>
      </c>
      <c r="BC19" s="65">
        <f t="shared" si="35"/>
        <v>0</v>
      </c>
      <c r="BD19" s="64">
        <f t="shared" si="36"/>
        <v>0</v>
      </c>
      <c r="BE19" s="62"/>
      <c r="BF19" s="63"/>
      <c r="BG19" s="63"/>
      <c r="BH19" s="63"/>
      <c r="BI19" s="63"/>
      <c r="BJ19" s="63"/>
      <c r="BK19" s="63"/>
      <c r="BL19" s="63"/>
      <c r="BM19" s="63"/>
      <c r="BN19" s="63"/>
      <c r="BO19" s="64">
        <f t="shared" si="37"/>
        <v>0</v>
      </c>
      <c r="BP19" s="62"/>
      <c r="BQ19" s="63"/>
      <c r="BR19" s="63"/>
      <c r="BS19" s="63"/>
      <c r="BT19" s="63"/>
      <c r="BU19" s="63"/>
      <c r="BV19" s="63"/>
      <c r="BW19" s="63"/>
      <c r="BX19" s="63"/>
      <c r="BY19" s="63"/>
      <c r="BZ19" s="64">
        <f t="shared" si="38"/>
        <v>0</v>
      </c>
      <c r="CA19" s="62"/>
      <c r="CB19" s="63"/>
      <c r="CC19" s="63"/>
      <c r="CD19" s="63"/>
      <c r="CE19" s="63"/>
      <c r="CF19" s="63"/>
      <c r="CG19" s="63"/>
      <c r="CH19" s="63"/>
      <c r="CI19" s="63"/>
      <c r="CJ19" s="63"/>
      <c r="CK19" s="64">
        <f t="shared" si="39"/>
        <v>0</v>
      </c>
      <c r="CL19" s="65">
        <f t="shared" si="40"/>
        <v>0</v>
      </c>
      <c r="CM19" s="65">
        <f t="shared" si="40"/>
        <v>0</v>
      </c>
      <c r="CN19" s="65">
        <f t="shared" si="40"/>
        <v>0</v>
      </c>
      <c r="CO19" s="65">
        <f t="shared" si="40"/>
        <v>0</v>
      </c>
      <c r="CP19" s="65">
        <f t="shared" si="40"/>
        <v>0</v>
      </c>
      <c r="CQ19" s="65">
        <f t="shared" si="40"/>
        <v>0</v>
      </c>
      <c r="CR19" s="65">
        <f t="shared" si="40"/>
        <v>0</v>
      </c>
      <c r="CS19" s="65">
        <f t="shared" si="40"/>
        <v>0</v>
      </c>
      <c r="CT19" s="65">
        <f t="shared" si="40"/>
        <v>0</v>
      </c>
      <c r="CU19" s="65">
        <f t="shared" si="40"/>
        <v>0</v>
      </c>
      <c r="CV19" s="64">
        <f t="shared" si="41"/>
        <v>0</v>
      </c>
      <c r="CW19" s="62"/>
      <c r="CX19" s="63"/>
      <c r="CY19" s="63"/>
      <c r="CZ19" s="63"/>
      <c r="DA19" s="63"/>
      <c r="DB19" s="63"/>
      <c r="DC19" s="63"/>
      <c r="DD19" s="63"/>
      <c r="DE19" s="63"/>
      <c r="DF19" s="63"/>
      <c r="DG19" s="64">
        <f t="shared" si="42"/>
        <v>0</v>
      </c>
      <c r="DH19" s="62"/>
      <c r="DI19" s="63"/>
      <c r="DJ19" s="63"/>
      <c r="DK19" s="63"/>
      <c r="DL19" s="63"/>
      <c r="DM19" s="63"/>
      <c r="DN19" s="63"/>
      <c r="DO19" s="63"/>
      <c r="DP19" s="63"/>
      <c r="DQ19" s="63"/>
      <c r="DR19" s="64">
        <f t="shared" si="43"/>
        <v>0</v>
      </c>
      <c r="DS19" s="62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5">
        <f t="shared" si="44"/>
        <v>0</v>
      </c>
      <c r="EE19" s="65">
        <f t="shared" si="44"/>
        <v>0</v>
      </c>
      <c r="EF19" s="65">
        <f t="shared" si="44"/>
        <v>0</v>
      </c>
      <c r="EG19" s="65">
        <f t="shared" si="44"/>
        <v>0</v>
      </c>
      <c r="EH19" s="65">
        <f t="shared" si="44"/>
        <v>0</v>
      </c>
      <c r="EI19" s="65">
        <f t="shared" si="44"/>
        <v>0</v>
      </c>
      <c r="EJ19" s="65">
        <f t="shared" si="44"/>
        <v>0</v>
      </c>
      <c r="EK19" s="65">
        <f t="shared" si="44"/>
        <v>0</v>
      </c>
      <c r="EL19" s="65">
        <f t="shared" si="44"/>
        <v>0</v>
      </c>
      <c r="EM19" s="65">
        <f t="shared" si="44"/>
        <v>0</v>
      </c>
      <c r="EN19" s="64">
        <f t="shared" si="45"/>
        <v>0</v>
      </c>
      <c r="EO19" s="62"/>
      <c r="EP19" s="63"/>
      <c r="EQ19" s="63"/>
      <c r="ER19" s="63"/>
      <c r="ES19" s="63"/>
      <c r="ET19" s="63"/>
      <c r="EU19" s="63"/>
      <c r="EV19" s="63"/>
      <c r="EW19" s="63"/>
      <c r="EX19" s="63"/>
      <c r="EY19" s="64">
        <f t="shared" si="46"/>
        <v>0</v>
      </c>
      <c r="EZ19" s="62"/>
      <c r="FA19" s="63"/>
      <c r="FB19" s="63"/>
      <c r="FC19" s="63"/>
      <c r="FD19" s="63"/>
      <c r="FE19" s="63"/>
      <c r="FF19" s="63"/>
      <c r="FG19" s="63"/>
      <c r="FH19" s="63"/>
      <c r="FI19" s="63"/>
      <c r="FJ19" s="64">
        <f t="shared" si="47"/>
        <v>0</v>
      </c>
      <c r="FK19" s="62"/>
      <c r="FL19" s="63"/>
      <c r="FM19" s="63"/>
      <c r="FN19" s="63"/>
      <c r="FO19" s="63"/>
      <c r="FP19" s="63"/>
      <c r="FQ19" s="63"/>
      <c r="FR19" s="63"/>
      <c r="FS19" s="63"/>
      <c r="FT19" s="63"/>
      <c r="FU19" s="64">
        <f t="shared" si="48"/>
        <v>0</v>
      </c>
      <c r="FV19" s="65">
        <f t="shared" si="49"/>
        <v>0</v>
      </c>
      <c r="FW19" s="65">
        <f t="shared" si="49"/>
        <v>0</v>
      </c>
      <c r="FX19" s="65">
        <f t="shared" si="49"/>
        <v>0</v>
      </c>
      <c r="FY19" s="65">
        <f t="shared" si="49"/>
        <v>0</v>
      </c>
      <c r="FZ19" s="65">
        <f t="shared" si="49"/>
        <v>0</v>
      </c>
      <c r="GA19" s="65">
        <f t="shared" si="49"/>
        <v>0</v>
      </c>
      <c r="GB19" s="65">
        <f t="shared" si="49"/>
        <v>0</v>
      </c>
      <c r="GC19" s="65">
        <f t="shared" si="49"/>
        <v>0</v>
      </c>
      <c r="GD19" s="65">
        <f t="shared" si="49"/>
        <v>0</v>
      </c>
      <c r="GE19" s="65">
        <f t="shared" si="49"/>
        <v>0</v>
      </c>
      <c r="GF19" s="64">
        <f t="shared" si="50"/>
        <v>0</v>
      </c>
      <c r="GG19" s="66">
        <f t="shared" si="51"/>
        <v>0</v>
      </c>
      <c r="GH19" s="66">
        <f t="shared" si="52"/>
        <v>0</v>
      </c>
      <c r="GI19" s="66">
        <f t="shared" si="52"/>
        <v>0</v>
      </c>
      <c r="GJ19" s="66">
        <f t="shared" si="52"/>
        <v>0</v>
      </c>
      <c r="GK19" s="66">
        <f t="shared" si="52"/>
        <v>0</v>
      </c>
      <c r="GL19" s="66">
        <f t="shared" si="52"/>
        <v>0</v>
      </c>
      <c r="GM19" s="66">
        <f t="shared" si="52"/>
        <v>0</v>
      </c>
      <c r="GN19" s="66">
        <f t="shared" si="52"/>
        <v>0</v>
      </c>
      <c r="GO19" s="66">
        <f t="shared" si="52"/>
        <v>0</v>
      </c>
      <c r="GP19" s="66">
        <f t="shared" si="52"/>
        <v>0</v>
      </c>
      <c r="GQ19" s="64">
        <f t="shared" si="53"/>
        <v>0</v>
      </c>
      <c r="GR19" s="63"/>
      <c r="GS19" s="63"/>
      <c r="GT19" s="63"/>
      <c r="GU19" s="63"/>
      <c r="GV19" s="67">
        <f t="shared" si="54"/>
        <v>0</v>
      </c>
      <c r="GW19" s="63"/>
      <c r="GX19" s="63"/>
      <c r="GY19" s="63"/>
      <c r="GZ19" s="63"/>
      <c r="HA19" s="67">
        <f t="shared" si="55"/>
        <v>0</v>
      </c>
      <c r="HB19" s="63"/>
      <c r="HC19" s="63"/>
      <c r="HD19" s="63"/>
      <c r="HE19" s="63"/>
      <c r="HF19" s="67">
        <f t="shared" si="56"/>
        <v>0</v>
      </c>
      <c r="HG19" s="63"/>
      <c r="HH19" s="63"/>
      <c r="HI19" s="63"/>
      <c r="HJ19" s="63"/>
      <c r="HK19" s="67">
        <f t="shared" si="57"/>
        <v>0</v>
      </c>
      <c r="HL19" s="68">
        <f t="shared" si="58"/>
        <v>0</v>
      </c>
      <c r="HM19" s="68">
        <f t="shared" si="58"/>
        <v>0</v>
      </c>
      <c r="HN19" s="68">
        <f t="shared" si="58"/>
        <v>0</v>
      </c>
      <c r="HO19" s="68">
        <f t="shared" si="58"/>
        <v>0</v>
      </c>
      <c r="HP19" s="67">
        <f t="shared" si="59"/>
        <v>0</v>
      </c>
      <c r="HQ19" s="63"/>
      <c r="HR19" s="63"/>
      <c r="HS19" s="63"/>
      <c r="HT19" s="63"/>
      <c r="HU19" s="67">
        <f t="shared" si="60"/>
        <v>0</v>
      </c>
      <c r="HV19" s="63"/>
      <c r="HW19" s="63"/>
      <c r="HX19" s="63"/>
      <c r="HY19" s="63"/>
      <c r="HZ19" s="67">
        <f t="shared" si="61"/>
        <v>0</v>
      </c>
      <c r="IA19" s="63"/>
      <c r="IB19" s="63"/>
      <c r="IC19" s="63"/>
      <c r="ID19" s="63"/>
      <c r="IE19" s="67">
        <f t="shared" si="62"/>
        <v>0</v>
      </c>
      <c r="IF19" s="68">
        <f t="shared" si="63"/>
        <v>0</v>
      </c>
      <c r="IG19" s="68">
        <f t="shared" si="63"/>
        <v>0</v>
      </c>
      <c r="IH19" s="68">
        <f t="shared" si="63"/>
        <v>0</v>
      </c>
      <c r="II19" s="68">
        <f t="shared" si="63"/>
        <v>0</v>
      </c>
      <c r="IJ19" s="67">
        <f t="shared" si="64"/>
        <v>0</v>
      </c>
      <c r="IK19" s="63"/>
      <c r="IL19" s="63"/>
      <c r="IM19" s="63"/>
      <c r="IN19" s="63"/>
      <c r="IO19" s="67">
        <f t="shared" si="65"/>
        <v>0</v>
      </c>
      <c r="IP19" s="63"/>
      <c r="IQ19" s="63"/>
      <c r="IR19" s="63"/>
      <c r="IS19" s="63"/>
      <c r="IT19" s="67">
        <f t="shared" si="66"/>
        <v>0</v>
      </c>
      <c r="IU19" s="63"/>
      <c r="IV19" s="63"/>
    </row>
    <row r="20" spans="1:256" s="1" customFormat="1" x14ac:dyDescent="0.25">
      <c r="A20" s="69" t="s">
        <v>33</v>
      </c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4">
        <f t="shared" si="31"/>
        <v>0</v>
      </c>
      <c r="M20" s="62"/>
      <c r="N20" s="63"/>
      <c r="O20" s="63"/>
      <c r="P20" s="63"/>
      <c r="Q20" s="63"/>
      <c r="R20" s="63"/>
      <c r="S20" s="63"/>
      <c r="T20" s="63"/>
      <c r="U20" s="63"/>
      <c r="V20" s="63"/>
      <c r="W20" s="64">
        <f t="shared" si="32"/>
        <v>0</v>
      </c>
      <c r="X20" s="62"/>
      <c r="Y20" s="63"/>
      <c r="Z20" s="63"/>
      <c r="AA20" s="63"/>
      <c r="AB20" s="63"/>
      <c r="AC20" s="63"/>
      <c r="AD20" s="63"/>
      <c r="AE20" s="63"/>
      <c r="AF20" s="63"/>
      <c r="AG20" s="63"/>
      <c r="AH20" s="64">
        <f t="shared" si="33"/>
        <v>0</v>
      </c>
      <c r="AI20" s="62"/>
      <c r="AJ20" s="63"/>
      <c r="AK20" s="63"/>
      <c r="AL20" s="63"/>
      <c r="AM20" s="63"/>
      <c r="AN20" s="63"/>
      <c r="AO20" s="63"/>
      <c r="AP20" s="63"/>
      <c r="AQ20" s="63"/>
      <c r="AR20" s="63"/>
      <c r="AS20" s="64">
        <f t="shared" si="34"/>
        <v>0</v>
      </c>
      <c r="AT20" s="65">
        <f t="shared" si="35"/>
        <v>0</v>
      </c>
      <c r="AU20" s="65">
        <f t="shared" si="35"/>
        <v>0</v>
      </c>
      <c r="AV20" s="65">
        <f t="shared" si="35"/>
        <v>0</v>
      </c>
      <c r="AW20" s="65">
        <f t="shared" si="35"/>
        <v>0</v>
      </c>
      <c r="AX20" s="65">
        <f t="shared" si="35"/>
        <v>0</v>
      </c>
      <c r="AY20" s="65">
        <f t="shared" si="35"/>
        <v>0</v>
      </c>
      <c r="AZ20" s="65">
        <f t="shared" si="35"/>
        <v>0</v>
      </c>
      <c r="BA20" s="65">
        <f t="shared" si="35"/>
        <v>0</v>
      </c>
      <c r="BB20" s="65">
        <f t="shared" si="35"/>
        <v>0</v>
      </c>
      <c r="BC20" s="65">
        <f t="shared" si="35"/>
        <v>0</v>
      </c>
      <c r="BD20" s="64">
        <f t="shared" si="36"/>
        <v>0</v>
      </c>
      <c r="BE20" s="62"/>
      <c r="BF20" s="63"/>
      <c r="BG20" s="63"/>
      <c r="BH20" s="63"/>
      <c r="BI20" s="63"/>
      <c r="BJ20" s="63"/>
      <c r="BK20" s="63"/>
      <c r="BL20" s="63"/>
      <c r="BM20" s="63"/>
      <c r="BN20" s="63"/>
      <c r="BO20" s="64">
        <f t="shared" si="37"/>
        <v>0</v>
      </c>
      <c r="BP20" s="62"/>
      <c r="BQ20" s="63"/>
      <c r="BR20" s="63"/>
      <c r="BS20" s="63"/>
      <c r="BT20" s="63"/>
      <c r="BU20" s="63"/>
      <c r="BV20" s="63"/>
      <c r="BW20" s="63"/>
      <c r="BX20" s="63"/>
      <c r="BY20" s="63"/>
      <c r="BZ20" s="64">
        <f t="shared" si="38"/>
        <v>0</v>
      </c>
      <c r="CA20" s="62"/>
      <c r="CB20" s="63"/>
      <c r="CC20" s="63"/>
      <c r="CD20" s="63"/>
      <c r="CE20" s="63"/>
      <c r="CF20" s="63"/>
      <c r="CG20" s="63"/>
      <c r="CH20" s="63"/>
      <c r="CI20" s="63"/>
      <c r="CJ20" s="63"/>
      <c r="CK20" s="64">
        <f t="shared" si="39"/>
        <v>0</v>
      </c>
      <c r="CL20" s="65">
        <f t="shared" si="40"/>
        <v>0</v>
      </c>
      <c r="CM20" s="65">
        <f t="shared" si="40"/>
        <v>0</v>
      </c>
      <c r="CN20" s="65">
        <f t="shared" si="40"/>
        <v>0</v>
      </c>
      <c r="CO20" s="65">
        <f t="shared" si="40"/>
        <v>0</v>
      </c>
      <c r="CP20" s="65">
        <f t="shared" si="40"/>
        <v>0</v>
      </c>
      <c r="CQ20" s="65">
        <f t="shared" si="40"/>
        <v>0</v>
      </c>
      <c r="CR20" s="65">
        <f t="shared" si="40"/>
        <v>0</v>
      </c>
      <c r="CS20" s="65">
        <f t="shared" si="40"/>
        <v>0</v>
      </c>
      <c r="CT20" s="65">
        <f t="shared" si="40"/>
        <v>0</v>
      </c>
      <c r="CU20" s="65">
        <f t="shared" si="40"/>
        <v>0</v>
      </c>
      <c r="CV20" s="64">
        <f t="shared" si="41"/>
        <v>0</v>
      </c>
      <c r="CW20" s="62"/>
      <c r="CX20" s="63"/>
      <c r="CY20" s="63"/>
      <c r="CZ20" s="63"/>
      <c r="DA20" s="63"/>
      <c r="DB20" s="63"/>
      <c r="DC20" s="63"/>
      <c r="DD20" s="63"/>
      <c r="DE20" s="63"/>
      <c r="DF20" s="63"/>
      <c r="DG20" s="64">
        <f t="shared" si="42"/>
        <v>0</v>
      </c>
      <c r="DH20" s="62"/>
      <c r="DI20" s="63"/>
      <c r="DJ20" s="63"/>
      <c r="DK20" s="63"/>
      <c r="DL20" s="63"/>
      <c r="DM20" s="63"/>
      <c r="DN20" s="63"/>
      <c r="DO20" s="63"/>
      <c r="DP20" s="63"/>
      <c r="DQ20" s="63"/>
      <c r="DR20" s="64">
        <f t="shared" si="43"/>
        <v>0</v>
      </c>
      <c r="DS20" s="62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5">
        <f t="shared" si="44"/>
        <v>0</v>
      </c>
      <c r="EE20" s="65">
        <f t="shared" si="44"/>
        <v>0</v>
      </c>
      <c r="EF20" s="65">
        <f t="shared" si="44"/>
        <v>0</v>
      </c>
      <c r="EG20" s="65">
        <f t="shared" si="44"/>
        <v>0</v>
      </c>
      <c r="EH20" s="65">
        <f t="shared" si="44"/>
        <v>0</v>
      </c>
      <c r="EI20" s="65">
        <f t="shared" si="44"/>
        <v>0</v>
      </c>
      <c r="EJ20" s="65">
        <f t="shared" si="44"/>
        <v>0</v>
      </c>
      <c r="EK20" s="65">
        <f t="shared" si="44"/>
        <v>0</v>
      </c>
      <c r="EL20" s="65">
        <f t="shared" si="44"/>
        <v>0</v>
      </c>
      <c r="EM20" s="65">
        <f t="shared" si="44"/>
        <v>0</v>
      </c>
      <c r="EN20" s="64">
        <f t="shared" si="45"/>
        <v>0</v>
      </c>
      <c r="EO20" s="62"/>
      <c r="EP20" s="63"/>
      <c r="EQ20" s="63"/>
      <c r="ER20" s="63"/>
      <c r="ES20" s="63"/>
      <c r="ET20" s="63"/>
      <c r="EU20" s="63"/>
      <c r="EV20" s="63"/>
      <c r="EW20" s="63"/>
      <c r="EX20" s="63"/>
      <c r="EY20" s="64">
        <f t="shared" si="46"/>
        <v>0</v>
      </c>
      <c r="EZ20" s="62"/>
      <c r="FA20" s="63"/>
      <c r="FB20" s="63"/>
      <c r="FC20" s="63"/>
      <c r="FD20" s="63"/>
      <c r="FE20" s="63"/>
      <c r="FF20" s="63"/>
      <c r="FG20" s="63"/>
      <c r="FH20" s="63"/>
      <c r="FI20" s="63"/>
      <c r="FJ20" s="64">
        <f t="shared" si="47"/>
        <v>0</v>
      </c>
      <c r="FK20" s="62"/>
      <c r="FL20" s="63"/>
      <c r="FM20" s="63"/>
      <c r="FN20" s="63"/>
      <c r="FO20" s="63"/>
      <c r="FP20" s="63"/>
      <c r="FQ20" s="63"/>
      <c r="FR20" s="63"/>
      <c r="FS20" s="63"/>
      <c r="FT20" s="63"/>
      <c r="FU20" s="64">
        <f t="shared" si="48"/>
        <v>0</v>
      </c>
      <c r="FV20" s="65">
        <f t="shared" si="49"/>
        <v>0</v>
      </c>
      <c r="FW20" s="65">
        <f t="shared" si="49"/>
        <v>0</v>
      </c>
      <c r="FX20" s="65">
        <f t="shared" si="49"/>
        <v>0</v>
      </c>
      <c r="FY20" s="65">
        <f t="shared" si="49"/>
        <v>0</v>
      </c>
      <c r="FZ20" s="65">
        <f t="shared" si="49"/>
        <v>0</v>
      </c>
      <c r="GA20" s="65">
        <f t="shared" si="49"/>
        <v>0</v>
      </c>
      <c r="GB20" s="65">
        <f t="shared" si="49"/>
        <v>0</v>
      </c>
      <c r="GC20" s="65">
        <f t="shared" si="49"/>
        <v>0</v>
      </c>
      <c r="GD20" s="65">
        <f t="shared" si="49"/>
        <v>0</v>
      </c>
      <c r="GE20" s="65">
        <f t="shared" si="49"/>
        <v>0</v>
      </c>
      <c r="GF20" s="64">
        <f t="shared" si="50"/>
        <v>0</v>
      </c>
      <c r="GG20" s="66">
        <f t="shared" si="51"/>
        <v>0</v>
      </c>
      <c r="GH20" s="66">
        <f t="shared" si="52"/>
        <v>0</v>
      </c>
      <c r="GI20" s="66">
        <f t="shared" si="52"/>
        <v>0</v>
      </c>
      <c r="GJ20" s="66">
        <f t="shared" si="52"/>
        <v>0</v>
      </c>
      <c r="GK20" s="66">
        <f t="shared" si="52"/>
        <v>0</v>
      </c>
      <c r="GL20" s="66">
        <f t="shared" si="52"/>
        <v>0</v>
      </c>
      <c r="GM20" s="66">
        <f t="shared" si="52"/>
        <v>0</v>
      </c>
      <c r="GN20" s="66">
        <f t="shared" si="52"/>
        <v>0</v>
      </c>
      <c r="GO20" s="66">
        <f t="shared" si="52"/>
        <v>0</v>
      </c>
      <c r="GP20" s="66">
        <f t="shared" si="52"/>
        <v>0</v>
      </c>
      <c r="GQ20" s="64">
        <f t="shared" si="53"/>
        <v>0</v>
      </c>
      <c r="GR20" s="63"/>
      <c r="GS20" s="63"/>
      <c r="GT20" s="63"/>
      <c r="GU20" s="63"/>
      <c r="GV20" s="67">
        <f t="shared" si="54"/>
        <v>0</v>
      </c>
      <c r="GW20" s="63"/>
      <c r="GX20" s="63"/>
      <c r="GY20" s="63"/>
      <c r="GZ20" s="63"/>
      <c r="HA20" s="67">
        <f t="shared" si="55"/>
        <v>0</v>
      </c>
      <c r="HB20" s="63"/>
      <c r="HC20" s="63"/>
      <c r="HD20" s="63"/>
      <c r="HE20" s="63"/>
      <c r="HF20" s="67">
        <f t="shared" si="56"/>
        <v>0</v>
      </c>
      <c r="HG20" s="63"/>
      <c r="HH20" s="63"/>
      <c r="HI20" s="63"/>
      <c r="HJ20" s="63"/>
      <c r="HK20" s="67">
        <f t="shared" si="57"/>
        <v>0</v>
      </c>
      <c r="HL20" s="68">
        <f t="shared" si="58"/>
        <v>0</v>
      </c>
      <c r="HM20" s="68">
        <f t="shared" si="58"/>
        <v>0</v>
      </c>
      <c r="HN20" s="68">
        <f t="shared" si="58"/>
        <v>0</v>
      </c>
      <c r="HO20" s="68">
        <f t="shared" si="58"/>
        <v>0</v>
      </c>
      <c r="HP20" s="67">
        <f t="shared" si="59"/>
        <v>0</v>
      </c>
      <c r="HQ20" s="63"/>
      <c r="HR20" s="63"/>
      <c r="HS20" s="63"/>
      <c r="HT20" s="63"/>
      <c r="HU20" s="67">
        <f t="shared" si="60"/>
        <v>0</v>
      </c>
      <c r="HV20" s="63"/>
      <c r="HW20" s="63"/>
      <c r="HX20" s="63"/>
      <c r="HY20" s="63"/>
      <c r="HZ20" s="67">
        <f t="shared" si="61"/>
        <v>0</v>
      </c>
      <c r="IA20" s="63"/>
      <c r="IB20" s="63"/>
      <c r="IC20" s="63"/>
      <c r="ID20" s="63"/>
      <c r="IE20" s="67">
        <f t="shared" si="62"/>
        <v>0</v>
      </c>
      <c r="IF20" s="68">
        <f t="shared" si="63"/>
        <v>0</v>
      </c>
      <c r="IG20" s="68">
        <f t="shared" si="63"/>
        <v>0</v>
      </c>
      <c r="IH20" s="68">
        <f t="shared" si="63"/>
        <v>0</v>
      </c>
      <c r="II20" s="68">
        <f t="shared" si="63"/>
        <v>0</v>
      </c>
      <c r="IJ20" s="67">
        <f t="shared" si="64"/>
        <v>0</v>
      </c>
      <c r="IK20" s="63"/>
      <c r="IL20" s="63"/>
      <c r="IM20" s="63"/>
      <c r="IN20" s="63"/>
      <c r="IO20" s="67">
        <f t="shared" si="65"/>
        <v>0</v>
      </c>
      <c r="IP20" s="63"/>
      <c r="IQ20" s="63"/>
      <c r="IR20" s="63"/>
      <c r="IS20" s="63"/>
      <c r="IT20" s="67">
        <f t="shared" si="66"/>
        <v>0</v>
      </c>
      <c r="IU20" s="63"/>
      <c r="IV20" s="63"/>
    </row>
    <row r="21" spans="1:256" x14ac:dyDescent="0.25">
      <c r="A21" s="69" t="s">
        <v>34</v>
      </c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4">
        <f t="shared" si="31"/>
        <v>0</v>
      </c>
      <c r="M21" s="62"/>
      <c r="N21" s="63"/>
      <c r="O21" s="63"/>
      <c r="P21" s="63"/>
      <c r="Q21" s="63"/>
      <c r="R21" s="63"/>
      <c r="S21" s="63"/>
      <c r="T21" s="63"/>
      <c r="U21" s="63"/>
      <c r="V21" s="63"/>
      <c r="W21" s="64">
        <f t="shared" si="32"/>
        <v>0</v>
      </c>
      <c r="X21" s="62"/>
      <c r="Y21" s="63"/>
      <c r="Z21" s="63"/>
      <c r="AA21" s="63"/>
      <c r="AB21" s="63"/>
      <c r="AC21" s="63"/>
      <c r="AD21" s="63"/>
      <c r="AE21" s="63"/>
      <c r="AF21" s="63"/>
      <c r="AG21" s="63"/>
      <c r="AH21" s="64">
        <f t="shared" si="33"/>
        <v>0</v>
      </c>
      <c r="AI21" s="62"/>
      <c r="AJ21" s="63"/>
      <c r="AK21" s="63"/>
      <c r="AL21" s="63"/>
      <c r="AM21" s="63"/>
      <c r="AN21" s="63"/>
      <c r="AO21" s="63"/>
      <c r="AP21" s="63"/>
      <c r="AQ21" s="63"/>
      <c r="AR21" s="63"/>
      <c r="AS21" s="64">
        <f t="shared" si="34"/>
        <v>0</v>
      </c>
      <c r="AT21" s="65">
        <f t="shared" si="35"/>
        <v>0</v>
      </c>
      <c r="AU21" s="65">
        <f t="shared" si="35"/>
        <v>0</v>
      </c>
      <c r="AV21" s="65">
        <f t="shared" si="35"/>
        <v>0</v>
      </c>
      <c r="AW21" s="65">
        <f t="shared" si="35"/>
        <v>0</v>
      </c>
      <c r="AX21" s="65">
        <f t="shared" si="35"/>
        <v>0</v>
      </c>
      <c r="AY21" s="65">
        <f t="shared" si="35"/>
        <v>0</v>
      </c>
      <c r="AZ21" s="65">
        <f t="shared" si="35"/>
        <v>0</v>
      </c>
      <c r="BA21" s="65">
        <f t="shared" si="35"/>
        <v>0</v>
      </c>
      <c r="BB21" s="65">
        <f t="shared" si="35"/>
        <v>0</v>
      </c>
      <c r="BC21" s="65">
        <f t="shared" si="35"/>
        <v>0</v>
      </c>
      <c r="BD21" s="64">
        <f t="shared" si="36"/>
        <v>0</v>
      </c>
      <c r="BE21" s="62"/>
      <c r="BF21" s="63"/>
      <c r="BG21" s="63"/>
      <c r="BH21" s="63"/>
      <c r="BI21" s="63"/>
      <c r="BJ21" s="63"/>
      <c r="BK21" s="63"/>
      <c r="BL21" s="63"/>
      <c r="BM21" s="63"/>
      <c r="BN21" s="63"/>
      <c r="BO21" s="64">
        <f t="shared" si="37"/>
        <v>0</v>
      </c>
      <c r="BP21" s="62"/>
      <c r="BQ21" s="63"/>
      <c r="BR21" s="63"/>
      <c r="BS21" s="63"/>
      <c r="BT21" s="63"/>
      <c r="BU21" s="63"/>
      <c r="BV21" s="63"/>
      <c r="BW21" s="63"/>
      <c r="BX21" s="63"/>
      <c r="BY21" s="63"/>
      <c r="BZ21" s="64">
        <f t="shared" si="38"/>
        <v>0</v>
      </c>
      <c r="CA21" s="62"/>
      <c r="CB21" s="63"/>
      <c r="CC21" s="63"/>
      <c r="CD21" s="63"/>
      <c r="CE21" s="63"/>
      <c r="CF21" s="63"/>
      <c r="CG21" s="63"/>
      <c r="CH21" s="63"/>
      <c r="CI21" s="63"/>
      <c r="CJ21" s="63"/>
      <c r="CK21" s="64">
        <f t="shared" si="39"/>
        <v>0</v>
      </c>
      <c r="CL21" s="65">
        <f t="shared" si="40"/>
        <v>0</v>
      </c>
      <c r="CM21" s="65">
        <f t="shared" si="40"/>
        <v>0</v>
      </c>
      <c r="CN21" s="65">
        <f t="shared" si="40"/>
        <v>0</v>
      </c>
      <c r="CO21" s="65">
        <f t="shared" si="40"/>
        <v>0</v>
      </c>
      <c r="CP21" s="65">
        <f t="shared" si="40"/>
        <v>0</v>
      </c>
      <c r="CQ21" s="65">
        <f t="shared" si="40"/>
        <v>0</v>
      </c>
      <c r="CR21" s="65">
        <f t="shared" si="40"/>
        <v>0</v>
      </c>
      <c r="CS21" s="65">
        <f t="shared" si="40"/>
        <v>0</v>
      </c>
      <c r="CT21" s="65">
        <f t="shared" si="40"/>
        <v>0</v>
      </c>
      <c r="CU21" s="65">
        <f t="shared" si="40"/>
        <v>0</v>
      </c>
      <c r="CV21" s="64">
        <f t="shared" si="41"/>
        <v>0</v>
      </c>
      <c r="CW21" s="62"/>
      <c r="CX21" s="63"/>
      <c r="CY21" s="63"/>
      <c r="CZ21" s="63"/>
      <c r="DA21" s="63"/>
      <c r="DB21" s="63"/>
      <c r="DC21" s="63"/>
      <c r="DD21" s="63"/>
      <c r="DE21" s="63"/>
      <c r="DF21" s="63"/>
      <c r="DG21" s="64">
        <f t="shared" si="42"/>
        <v>0</v>
      </c>
      <c r="DH21" s="62"/>
      <c r="DI21" s="63"/>
      <c r="DJ21" s="63"/>
      <c r="DK21" s="63"/>
      <c r="DL21" s="63"/>
      <c r="DM21" s="63"/>
      <c r="DN21" s="63"/>
      <c r="DO21" s="63"/>
      <c r="DP21" s="63"/>
      <c r="DQ21" s="63"/>
      <c r="DR21" s="64">
        <f t="shared" si="43"/>
        <v>0</v>
      </c>
      <c r="DS21" s="62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5">
        <f t="shared" si="44"/>
        <v>0</v>
      </c>
      <c r="EE21" s="65">
        <f t="shared" si="44"/>
        <v>0</v>
      </c>
      <c r="EF21" s="65">
        <f t="shared" si="44"/>
        <v>0</v>
      </c>
      <c r="EG21" s="65">
        <f t="shared" si="44"/>
        <v>0</v>
      </c>
      <c r="EH21" s="65">
        <f t="shared" si="44"/>
        <v>0</v>
      </c>
      <c r="EI21" s="65">
        <f t="shared" si="44"/>
        <v>0</v>
      </c>
      <c r="EJ21" s="65">
        <f t="shared" si="44"/>
        <v>0</v>
      </c>
      <c r="EK21" s="65">
        <f t="shared" si="44"/>
        <v>0</v>
      </c>
      <c r="EL21" s="65">
        <f t="shared" si="44"/>
        <v>0</v>
      </c>
      <c r="EM21" s="65">
        <f t="shared" si="44"/>
        <v>0</v>
      </c>
      <c r="EN21" s="64">
        <f t="shared" si="45"/>
        <v>0</v>
      </c>
      <c r="EO21" s="62"/>
      <c r="EP21" s="63"/>
      <c r="EQ21" s="63"/>
      <c r="ER21" s="63"/>
      <c r="ES21" s="63"/>
      <c r="ET21" s="63"/>
      <c r="EU21" s="63"/>
      <c r="EV21" s="63"/>
      <c r="EW21" s="63"/>
      <c r="EX21" s="63"/>
      <c r="EY21" s="64">
        <f t="shared" si="46"/>
        <v>0</v>
      </c>
      <c r="EZ21" s="62"/>
      <c r="FA21" s="63"/>
      <c r="FB21" s="63"/>
      <c r="FC21" s="63"/>
      <c r="FD21" s="63"/>
      <c r="FE21" s="63"/>
      <c r="FF21" s="63"/>
      <c r="FG21" s="63"/>
      <c r="FH21" s="63"/>
      <c r="FI21" s="63"/>
      <c r="FJ21" s="64">
        <f t="shared" si="47"/>
        <v>0</v>
      </c>
      <c r="FK21" s="62"/>
      <c r="FL21" s="63"/>
      <c r="FM21" s="63"/>
      <c r="FN21" s="63"/>
      <c r="FO21" s="63"/>
      <c r="FP21" s="63"/>
      <c r="FQ21" s="63"/>
      <c r="FR21" s="63"/>
      <c r="FS21" s="63"/>
      <c r="FT21" s="63"/>
      <c r="FU21" s="64">
        <f t="shared" si="48"/>
        <v>0</v>
      </c>
      <c r="FV21" s="65">
        <f t="shared" si="49"/>
        <v>0</v>
      </c>
      <c r="FW21" s="65">
        <f t="shared" si="49"/>
        <v>0</v>
      </c>
      <c r="FX21" s="65">
        <f t="shared" si="49"/>
        <v>0</v>
      </c>
      <c r="FY21" s="65">
        <f t="shared" si="49"/>
        <v>0</v>
      </c>
      <c r="FZ21" s="65">
        <f t="shared" si="49"/>
        <v>0</v>
      </c>
      <c r="GA21" s="65">
        <f t="shared" si="49"/>
        <v>0</v>
      </c>
      <c r="GB21" s="65">
        <f t="shared" si="49"/>
        <v>0</v>
      </c>
      <c r="GC21" s="65">
        <f t="shared" si="49"/>
        <v>0</v>
      </c>
      <c r="GD21" s="65">
        <f t="shared" si="49"/>
        <v>0</v>
      </c>
      <c r="GE21" s="65">
        <f t="shared" si="49"/>
        <v>0</v>
      </c>
      <c r="GF21" s="64">
        <f t="shared" si="50"/>
        <v>0</v>
      </c>
      <c r="GG21" s="66">
        <f t="shared" si="51"/>
        <v>0</v>
      </c>
      <c r="GH21" s="66">
        <f t="shared" si="52"/>
        <v>0</v>
      </c>
      <c r="GI21" s="66">
        <f t="shared" si="52"/>
        <v>0</v>
      </c>
      <c r="GJ21" s="66">
        <f t="shared" si="52"/>
        <v>0</v>
      </c>
      <c r="GK21" s="66">
        <f t="shared" si="52"/>
        <v>0</v>
      </c>
      <c r="GL21" s="66">
        <f t="shared" si="52"/>
        <v>0</v>
      </c>
      <c r="GM21" s="66">
        <f t="shared" si="52"/>
        <v>0</v>
      </c>
      <c r="GN21" s="66">
        <f t="shared" si="52"/>
        <v>0</v>
      </c>
      <c r="GO21" s="66">
        <f t="shared" si="52"/>
        <v>0</v>
      </c>
      <c r="GP21" s="66">
        <f t="shared" si="52"/>
        <v>0</v>
      </c>
      <c r="GQ21" s="64">
        <f t="shared" si="53"/>
        <v>0</v>
      </c>
      <c r="GR21" s="63"/>
      <c r="GS21" s="63"/>
      <c r="GT21" s="63"/>
      <c r="GU21" s="63"/>
      <c r="GV21" s="67">
        <f t="shared" si="54"/>
        <v>0</v>
      </c>
      <c r="GW21" s="63"/>
      <c r="GX21" s="63"/>
      <c r="GY21" s="63"/>
      <c r="GZ21" s="63"/>
      <c r="HA21" s="67">
        <f t="shared" si="55"/>
        <v>0</v>
      </c>
      <c r="HB21" s="63"/>
      <c r="HC21" s="63"/>
      <c r="HD21" s="63"/>
      <c r="HE21" s="63"/>
      <c r="HF21" s="67">
        <f t="shared" si="56"/>
        <v>0</v>
      </c>
      <c r="HG21" s="63"/>
      <c r="HH21" s="63"/>
      <c r="HI21" s="63"/>
      <c r="HJ21" s="63"/>
      <c r="HK21" s="67">
        <f t="shared" si="57"/>
        <v>0</v>
      </c>
      <c r="HL21" s="68">
        <f t="shared" si="58"/>
        <v>0</v>
      </c>
      <c r="HM21" s="68">
        <f t="shared" si="58"/>
        <v>0</v>
      </c>
      <c r="HN21" s="68">
        <f t="shared" si="58"/>
        <v>0</v>
      </c>
      <c r="HO21" s="68">
        <f t="shared" si="58"/>
        <v>0</v>
      </c>
      <c r="HP21" s="67">
        <f t="shared" si="59"/>
        <v>0</v>
      </c>
      <c r="HQ21" s="63"/>
      <c r="HR21" s="63"/>
      <c r="HS21" s="63"/>
      <c r="HT21" s="63"/>
      <c r="HU21" s="67">
        <f t="shared" si="60"/>
        <v>0</v>
      </c>
      <c r="HV21" s="63"/>
      <c r="HW21" s="63"/>
      <c r="HX21" s="63"/>
      <c r="HY21" s="63"/>
      <c r="HZ21" s="67">
        <f t="shared" si="61"/>
        <v>0</v>
      </c>
      <c r="IA21" s="63"/>
      <c r="IB21" s="63"/>
      <c r="IC21" s="63"/>
      <c r="ID21" s="63"/>
      <c r="IE21" s="67">
        <f t="shared" si="62"/>
        <v>0</v>
      </c>
      <c r="IF21" s="68">
        <f t="shared" si="63"/>
        <v>0</v>
      </c>
      <c r="IG21" s="68">
        <f t="shared" si="63"/>
        <v>0</v>
      </c>
      <c r="IH21" s="68">
        <f t="shared" si="63"/>
        <v>0</v>
      </c>
      <c r="II21" s="68">
        <f t="shared" si="63"/>
        <v>0</v>
      </c>
      <c r="IJ21" s="67">
        <f t="shared" si="64"/>
        <v>0</v>
      </c>
      <c r="IK21" s="63"/>
      <c r="IL21" s="63"/>
      <c r="IM21" s="63"/>
      <c r="IN21" s="63"/>
      <c r="IO21" s="67">
        <f t="shared" si="65"/>
        <v>0</v>
      </c>
      <c r="IP21" s="63"/>
      <c r="IQ21" s="63"/>
      <c r="IR21" s="63"/>
      <c r="IS21" s="63"/>
      <c r="IT21" s="67">
        <f t="shared" si="66"/>
        <v>0</v>
      </c>
      <c r="IU21" s="63"/>
      <c r="IV21" s="63"/>
    </row>
    <row r="22" spans="1:256" s="57" customFormat="1" x14ac:dyDescent="0.25">
      <c r="A22" s="70" t="s">
        <v>35</v>
      </c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3"/>
      <c r="M22" s="71"/>
      <c r="N22" s="72"/>
      <c r="O22" s="72"/>
      <c r="P22" s="72"/>
      <c r="Q22" s="72"/>
      <c r="R22" s="72"/>
      <c r="S22" s="72"/>
      <c r="T22" s="72"/>
      <c r="U22" s="72"/>
      <c r="V22" s="72"/>
      <c r="W22" s="73"/>
      <c r="X22" s="71"/>
      <c r="Y22" s="72"/>
      <c r="Z22" s="72"/>
      <c r="AA22" s="72"/>
      <c r="AB22" s="72"/>
      <c r="AC22" s="72"/>
      <c r="AD22" s="72"/>
      <c r="AE22" s="72"/>
      <c r="AF22" s="72"/>
      <c r="AG22" s="72"/>
      <c r="AH22" s="73"/>
      <c r="AI22" s="71"/>
      <c r="AJ22" s="72"/>
      <c r="AK22" s="72"/>
      <c r="AL22" s="72"/>
      <c r="AM22" s="72"/>
      <c r="AN22" s="72"/>
      <c r="AO22" s="72"/>
      <c r="AP22" s="72"/>
      <c r="AQ22" s="72"/>
      <c r="AR22" s="72"/>
      <c r="AS22" s="73"/>
      <c r="AT22" s="71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1"/>
      <c r="BF22" s="72"/>
      <c r="BG22" s="72"/>
      <c r="BH22" s="72"/>
      <c r="BI22" s="72"/>
      <c r="BJ22" s="72"/>
      <c r="BK22" s="72"/>
      <c r="BL22" s="72"/>
      <c r="BM22" s="72"/>
      <c r="BN22" s="72"/>
      <c r="BO22" s="73"/>
      <c r="BP22" s="71"/>
      <c r="BQ22" s="72"/>
      <c r="BR22" s="72"/>
      <c r="BS22" s="72"/>
      <c r="BT22" s="72"/>
      <c r="BU22" s="72"/>
      <c r="BV22" s="72"/>
      <c r="BW22" s="72"/>
      <c r="BX22" s="72"/>
      <c r="BY22" s="72"/>
      <c r="BZ22" s="73"/>
      <c r="CA22" s="71"/>
      <c r="CB22" s="72"/>
      <c r="CC22" s="72"/>
      <c r="CD22" s="72"/>
      <c r="CE22" s="72"/>
      <c r="CF22" s="72"/>
      <c r="CG22" s="72"/>
      <c r="CH22" s="72"/>
      <c r="CI22" s="72"/>
      <c r="CJ22" s="72"/>
      <c r="CK22" s="73"/>
      <c r="CL22" s="71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1"/>
      <c r="CX22" s="72"/>
      <c r="CY22" s="72"/>
      <c r="CZ22" s="72"/>
      <c r="DA22" s="72"/>
      <c r="DB22" s="72"/>
      <c r="DC22" s="72"/>
      <c r="DD22" s="72"/>
      <c r="DE22" s="72"/>
      <c r="DF22" s="72"/>
      <c r="DG22" s="73"/>
      <c r="DH22" s="71"/>
      <c r="DI22" s="72"/>
      <c r="DJ22" s="72"/>
      <c r="DK22" s="72"/>
      <c r="DL22" s="72"/>
      <c r="DM22" s="72"/>
      <c r="DN22" s="72"/>
      <c r="DO22" s="72"/>
      <c r="DP22" s="72"/>
      <c r="DQ22" s="72"/>
      <c r="DR22" s="73"/>
      <c r="DS22" s="71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1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1"/>
      <c r="EP22" s="72"/>
      <c r="EQ22" s="72"/>
      <c r="ER22" s="72"/>
      <c r="ES22" s="72"/>
      <c r="ET22" s="72"/>
      <c r="EU22" s="72"/>
      <c r="EV22" s="72"/>
      <c r="EW22" s="72"/>
      <c r="EX22" s="72"/>
      <c r="EY22" s="73"/>
      <c r="EZ22" s="71"/>
      <c r="FA22" s="72"/>
      <c r="FB22" s="72"/>
      <c r="FC22" s="72"/>
      <c r="FD22" s="72"/>
      <c r="FE22" s="72"/>
      <c r="FF22" s="72"/>
      <c r="FG22" s="72"/>
      <c r="FH22" s="72"/>
      <c r="FI22" s="72"/>
      <c r="FJ22" s="73"/>
      <c r="FK22" s="71"/>
      <c r="FL22" s="72"/>
      <c r="FM22" s="72"/>
      <c r="FN22" s="72"/>
      <c r="FO22" s="72"/>
      <c r="FP22" s="72"/>
      <c r="FQ22" s="72"/>
      <c r="FR22" s="72"/>
      <c r="FS22" s="72"/>
      <c r="FT22" s="72"/>
      <c r="FU22" s="73"/>
      <c r="FV22" s="71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1"/>
      <c r="GH22" s="72"/>
      <c r="GI22" s="72"/>
      <c r="GJ22" s="72"/>
      <c r="GK22" s="72"/>
      <c r="GL22" s="72"/>
      <c r="GM22" s="72"/>
      <c r="GN22" s="72"/>
      <c r="GO22" s="72"/>
      <c r="GP22" s="72"/>
      <c r="GQ22" s="73"/>
      <c r="GR22" s="72"/>
      <c r="GS22" s="72"/>
      <c r="GT22" s="72"/>
      <c r="GU22" s="72"/>
      <c r="GV22" s="67">
        <f>SUM(GR22:GU22)</f>
        <v>0</v>
      </c>
      <c r="GW22" s="72"/>
      <c r="GX22" s="72"/>
      <c r="GY22" s="72"/>
      <c r="GZ22" s="72"/>
      <c r="HA22" s="67">
        <f>SUM(GW22:GZ22)</f>
        <v>0</v>
      </c>
      <c r="HB22" s="72"/>
      <c r="HC22" s="72"/>
      <c r="HD22" s="72"/>
      <c r="HE22" s="72"/>
      <c r="HF22" s="67">
        <f>SUM(HB22:HE22)</f>
        <v>0</v>
      </c>
      <c r="HG22" s="72"/>
      <c r="HH22" s="72"/>
      <c r="HI22" s="72"/>
      <c r="HJ22" s="72"/>
      <c r="HK22" s="67">
        <f>SUM(HG22:HJ22)</f>
        <v>0</v>
      </c>
      <c r="HL22" s="68">
        <f>SUM(GW22,HB22,HG22)</f>
        <v>0</v>
      </c>
      <c r="HM22" s="68">
        <f t="shared" si="58"/>
        <v>0</v>
      </c>
      <c r="HN22" s="68">
        <f t="shared" si="58"/>
        <v>0</v>
      </c>
      <c r="HO22" s="68">
        <f t="shared" si="58"/>
        <v>0</v>
      </c>
      <c r="HP22" s="67">
        <f>SUM(HL22:HO22)</f>
        <v>0</v>
      </c>
      <c r="HQ22" s="72"/>
      <c r="HR22" s="72"/>
      <c r="HS22" s="72"/>
      <c r="HT22" s="72"/>
      <c r="HU22" s="67">
        <f>SUM(HQ22:HT22)</f>
        <v>0</v>
      </c>
      <c r="HV22" s="72"/>
      <c r="HW22" s="72"/>
      <c r="HX22" s="72"/>
      <c r="HY22" s="72"/>
      <c r="HZ22" s="67">
        <f>SUM(HV22:HY22)</f>
        <v>0</v>
      </c>
      <c r="IA22" s="72"/>
      <c r="IB22" s="72"/>
      <c r="IC22" s="72"/>
      <c r="ID22" s="72"/>
      <c r="IE22" s="67">
        <f>SUM(IA22:ID22)</f>
        <v>0</v>
      </c>
      <c r="IF22" s="68">
        <f>SUM(HQ22,HV22,IA22)</f>
        <v>0</v>
      </c>
      <c r="IG22" s="68">
        <f t="shared" si="63"/>
        <v>0</v>
      </c>
      <c r="IH22" s="68">
        <f t="shared" si="63"/>
        <v>0</v>
      </c>
      <c r="II22" s="68">
        <f t="shared" si="63"/>
        <v>0</v>
      </c>
      <c r="IJ22" s="67">
        <f>SUM(IF22:II22)</f>
        <v>0</v>
      </c>
      <c r="IK22" s="72"/>
      <c r="IL22" s="72"/>
      <c r="IM22" s="72"/>
      <c r="IN22" s="72"/>
      <c r="IO22" s="67">
        <f>SUM(IK22:IN22)</f>
        <v>0</v>
      </c>
      <c r="IP22" s="72"/>
      <c r="IQ22" s="72"/>
      <c r="IR22" s="72"/>
      <c r="IS22" s="72"/>
      <c r="IT22" s="67">
        <f>SUM(IP22:IS22)</f>
        <v>0</v>
      </c>
      <c r="IU22" s="72"/>
      <c r="IV22" s="72"/>
    </row>
    <row r="23" spans="1:256" x14ac:dyDescent="0.25">
      <c r="A23" s="74"/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4">
        <f>SUM(C23:F23,H23:K23)</f>
        <v>0</v>
      </c>
      <c r="M23" s="62"/>
      <c r="N23" s="63"/>
      <c r="O23" s="63"/>
      <c r="P23" s="63"/>
      <c r="Q23" s="63"/>
      <c r="R23" s="63"/>
      <c r="S23" s="63"/>
      <c r="T23" s="63"/>
      <c r="U23" s="63"/>
      <c r="V23" s="63"/>
      <c r="W23" s="64">
        <f>SUM(N23:Q23,S23:V23)</f>
        <v>0</v>
      </c>
      <c r="X23" s="62"/>
      <c r="Y23" s="63"/>
      <c r="Z23" s="63"/>
      <c r="AA23" s="63"/>
      <c r="AB23" s="63"/>
      <c r="AC23" s="63"/>
      <c r="AD23" s="63"/>
      <c r="AE23" s="63"/>
      <c r="AF23" s="63"/>
      <c r="AG23" s="63"/>
      <c r="AH23" s="64">
        <f>SUM(Y23:AB23,AD23:AG23)</f>
        <v>0</v>
      </c>
      <c r="AI23" s="62"/>
      <c r="AJ23" s="63"/>
      <c r="AK23" s="63"/>
      <c r="AL23" s="63"/>
      <c r="AM23" s="63"/>
      <c r="AN23" s="63"/>
      <c r="AO23" s="63"/>
      <c r="AP23" s="63"/>
      <c r="AQ23" s="63"/>
      <c r="AR23" s="63"/>
      <c r="AS23" s="64">
        <f>SUM(AJ23:AM23,AO23:AR23)</f>
        <v>0</v>
      </c>
      <c r="AT23" s="65">
        <f>SUM(M23,AI23,X23)</f>
        <v>0</v>
      </c>
      <c r="AU23" s="65">
        <f t="shared" ref="AU23:BC23" si="67">SUM(N23,AJ23,Y23)</f>
        <v>0</v>
      </c>
      <c r="AV23" s="65">
        <f t="shared" si="67"/>
        <v>0</v>
      </c>
      <c r="AW23" s="65">
        <f t="shared" si="67"/>
        <v>0</v>
      </c>
      <c r="AX23" s="65">
        <f t="shared" si="67"/>
        <v>0</v>
      </c>
      <c r="AY23" s="65">
        <f t="shared" si="67"/>
        <v>0</v>
      </c>
      <c r="AZ23" s="65">
        <f t="shared" si="67"/>
        <v>0</v>
      </c>
      <c r="BA23" s="65">
        <f t="shared" si="67"/>
        <v>0</v>
      </c>
      <c r="BB23" s="65">
        <f t="shared" si="67"/>
        <v>0</v>
      </c>
      <c r="BC23" s="65">
        <f t="shared" si="67"/>
        <v>0</v>
      </c>
      <c r="BD23" s="64">
        <f>SUM(AU23:AX23,AZ23:BC23)</f>
        <v>0</v>
      </c>
      <c r="BE23" s="62"/>
      <c r="BF23" s="63"/>
      <c r="BG23" s="63"/>
      <c r="BH23" s="63"/>
      <c r="BI23" s="63"/>
      <c r="BJ23" s="63"/>
      <c r="BK23" s="63"/>
      <c r="BL23" s="63"/>
      <c r="BM23" s="63"/>
      <c r="BN23" s="63"/>
      <c r="BO23" s="64">
        <f>SUM(BF23:BI23,BK23:BN23)</f>
        <v>0</v>
      </c>
      <c r="BP23" s="62"/>
      <c r="BQ23" s="63"/>
      <c r="BR23" s="63"/>
      <c r="BS23" s="63"/>
      <c r="BT23" s="63"/>
      <c r="BU23" s="63"/>
      <c r="BV23" s="63"/>
      <c r="BW23" s="63"/>
      <c r="BX23" s="63"/>
      <c r="BY23" s="63"/>
      <c r="BZ23" s="64">
        <f>SUM(BQ23:BT23,BV23:BY23)</f>
        <v>0</v>
      </c>
      <c r="CA23" s="62"/>
      <c r="CB23" s="63"/>
      <c r="CC23" s="63"/>
      <c r="CD23" s="63"/>
      <c r="CE23" s="63"/>
      <c r="CF23" s="63"/>
      <c r="CG23" s="63"/>
      <c r="CH23" s="63"/>
      <c r="CI23" s="63"/>
      <c r="CJ23" s="63"/>
      <c r="CK23" s="64">
        <f>SUM(CB23:CE23,CG23:CJ23)</f>
        <v>0</v>
      </c>
      <c r="CL23" s="65">
        <f t="shared" ref="CL23:CU23" si="68">SUM(BE23,CA23,BP23)</f>
        <v>0</v>
      </c>
      <c r="CM23" s="65">
        <f t="shared" si="68"/>
        <v>0</v>
      </c>
      <c r="CN23" s="65">
        <f t="shared" si="68"/>
        <v>0</v>
      </c>
      <c r="CO23" s="65">
        <f t="shared" si="68"/>
        <v>0</v>
      </c>
      <c r="CP23" s="65">
        <f t="shared" si="68"/>
        <v>0</v>
      </c>
      <c r="CQ23" s="65">
        <f t="shared" si="68"/>
        <v>0</v>
      </c>
      <c r="CR23" s="65">
        <f t="shared" si="68"/>
        <v>0</v>
      </c>
      <c r="CS23" s="65">
        <f t="shared" si="68"/>
        <v>0</v>
      </c>
      <c r="CT23" s="65">
        <f t="shared" si="68"/>
        <v>0</v>
      </c>
      <c r="CU23" s="65">
        <f t="shared" si="68"/>
        <v>0</v>
      </c>
      <c r="CV23" s="64">
        <f>SUM(CM23:CP23,CR23:CU23)</f>
        <v>0</v>
      </c>
      <c r="CW23" s="62"/>
      <c r="CX23" s="63"/>
      <c r="CY23" s="63"/>
      <c r="CZ23" s="63"/>
      <c r="DA23" s="63"/>
      <c r="DB23" s="63"/>
      <c r="DC23" s="63"/>
      <c r="DD23" s="63"/>
      <c r="DE23" s="63"/>
      <c r="DF23" s="63"/>
      <c r="DG23" s="64">
        <f>SUM(CX23:DA23,DC23:DF23)</f>
        <v>0</v>
      </c>
      <c r="DH23" s="62"/>
      <c r="DI23" s="63"/>
      <c r="DJ23" s="63"/>
      <c r="DK23" s="63"/>
      <c r="DL23" s="63"/>
      <c r="DM23" s="63"/>
      <c r="DN23" s="63"/>
      <c r="DO23" s="63"/>
      <c r="DP23" s="63"/>
      <c r="DQ23" s="63"/>
      <c r="DR23" s="64">
        <f>SUM(DI23:DL23,DN23:DQ23)</f>
        <v>0</v>
      </c>
      <c r="DS23" s="62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5">
        <f t="shared" ref="ED23:EM23" si="69">SUM(CW23,DS23,DH23)</f>
        <v>0</v>
      </c>
      <c r="EE23" s="65">
        <f t="shared" si="69"/>
        <v>0</v>
      </c>
      <c r="EF23" s="65">
        <f t="shared" si="69"/>
        <v>0</v>
      </c>
      <c r="EG23" s="65">
        <f t="shared" si="69"/>
        <v>0</v>
      </c>
      <c r="EH23" s="65">
        <f t="shared" si="69"/>
        <v>0</v>
      </c>
      <c r="EI23" s="65">
        <f t="shared" si="69"/>
        <v>0</v>
      </c>
      <c r="EJ23" s="65">
        <f t="shared" si="69"/>
        <v>0</v>
      </c>
      <c r="EK23" s="65">
        <f t="shared" si="69"/>
        <v>0</v>
      </c>
      <c r="EL23" s="65">
        <f t="shared" si="69"/>
        <v>0</v>
      </c>
      <c r="EM23" s="65">
        <f t="shared" si="69"/>
        <v>0</v>
      </c>
      <c r="EN23" s="64">
        <f>SUM(EE23:EH23,EJ23:EM23)</f>
        <v>0</v>
      </c>
      <c r="EO23" s="62"/>
      <c r="EP23" s="63"/>
      <c r="EQ23" s="63"/>
      <c r="ER23" s="63"/>
      <c r="ES23" s="63"/>
      <c r="ET23" s="63"/>
      <c r="EU23" s="63"/>
      <c r="EV23" s="63"/>
      <c r="EW23" s="63"/>
      <c r="EX23" s="63"/>
      <c r="EY23" s="64">
        <f>SUM(EP23:ES23,EU23:EX23)</f>
        <v>0</v>
      </c>
      <c r="EZ23" s="62"/>
      <c r="FA23" s="63"/>
      <c r="FB23" s="63"/>
      <c r="FC23" s="63"/>
      <c r="FD23" s="63"/>
      <c r="FE23" s="63"/>
      <c r="FF23" s="63"/>
      <c r="FG23" s="63"/>
      <c r="FH23" s="63"/>
      <c r="FI23" s="63"/>
      <c r="FJ23" s="64">
        <f>SUM(FA23:FD23,FF23:FI23)</f>
        <v>0</v>
      </c>
      <c r="FK23" s="62"/>
      <c r="FL23" s="63"/>
      <c r="FM23" s="63"/>
      <c r="FN23" s="63"/>
      <c r="FO23" s="63"/>
      <c r="FP23" s="63"/>
      <c r="FQ23" s="63"/>
      <c r="FR23" s="63"/>
      <c r="FS23" s="63"/>
      <c r="FT23" s="63"/>
      <c r="FU23" s="64">
        <f>SUM(FL23:FO23,FQ23:FT23)</f>
        <v>0</v>
      </c>
      <c r="FV23" s="65">
        <f t="shared" ref="FV23:GE23" si="70">SUM(EO23,FK23,EZ23)</f>
        <v>0</v>
      </c>
      <c r="FW23" s="65">
        <f t="shared" si="70"/>
        <v>0</v>
      </c>
      <c r="FX23" s="65">
        <f t="shared" si="70"/>
        <v>0</v>
      </c>
      <c r="FY23" s="65">
        <f t="shared" si="70"/>
        <v>0</v>
      </c>
      <c r="FZ23" s="65">
        <f t="shared" si="70"/>
        <v>0</v>
      </c>
      <c r="GA23" s="65">
        <f t="shared" si="70"/>
        <v>0</v>
      </c>
      <c r="GB23" s="65">
        <f t="shared" si="70"/>
        <v>0</v>
      </c>
      <c r="GC23" s="65">
        <f t="shared" si="70"/>
        <v>0</v>
      </c>
      <c r="GD23" s="65">
        <f t="shared" si="70"/>
        <v>0</v>
      </c>
      <c r="GE23" s="65">
        <f t="shared" si="70"/>
        <v>0</v>
      </c>
      <c r="GF23" s="64">
        <f>SUM(FW23:FZ23,GB23:GE23)</f>
        <v>0</v>
      </c>
      <c r="GG23" s="66">
        <f>SUM(AT23,CL23,ED23,FV23)</f>
        <v>0</v>
      </c>
      <c r="GH23" s="66">
        <f t="shared" ref="GH23:GP23" si="71">SUM(AU23,CM23,EE23,FW23)</f>
        <v>0</v>
      </c>
      <c r="GI23" s="66">
        <f t="shared" si="71"/>
        <v>0</v>
      </c>
      <c r="GJ23" s="66">
        <f t="shared" si="71"/>
        <v>0</v>
      </c>
      <c r="GK23" s="66">
        <f t="shared" si="71"/>
        <v>0</v>
      </c>
      <c r="GL23" s="66">
        <f t="shared" si="71"/>
        <v>0</v>
      </c>
      <c r="GM23" s="66">
        <f t="shared" si="71"/>
        <v>0</v>
      </c>
      <c r="GN23" s="66">
        <f t="shared" si="71"/>
        <v>0</v>
      </c>
      <c r="GO23" s="66">
        <f t="shared" si="71"/>
        <v>0</v>
      </c>
      <c r="GP23" s="66">
        <f t="shared" si="71"/>
        <v>0</v>
      </c>
      <c r="GQ23" s="64">
        <f>SUM(GH23:GK23,GM23:GP23)</f>
        <v>0</v>
      </c>
      <c r="GR23" s="63"/>
      <c r="GS23" s="63"/>
      <c r="GT23" s="63"/>
      <c r="GU23" s="63"/>
      <c r="GV23" s="67">
        <f>SUM(GR23:GU23)</f>
        <v>0</v>
      </c>
      <c r="GW23" s="63"/>
      <c r="GX23" s="63"/>
      <c r="GY23" s="63"/>
      <c r="GZ23" s="63"/>
      <c r="HA23" s="67">
        <f>SUM(GW23:GZ23)</f>
        <v>0</v>
      </c>
      <c r="HB23" s="63"/>
      <c r="HC23" s="63"/>
      <c r="HD23" s="63"/>
      <c r="HE23" s="63"/>
      <c r="HF23" s="67">
        <f>SUM(HB23:HE23)</f>
        <v>0</v>
      </c>
      <c r="HG23" s="63"/>
      <c r="HH23" s="63"/>
      <c r="HI23" s="63"/>
      <c r="HJ23" s="63"/>
      <c r="HK23" s="67">
        <f>SUM(HG23:HJ23)</f>
        <v>0</v>
      </c>
      <c r="HL23" s="68">
        <f>SUM(GW23,HB23,HG23)</f>
        <v>0</v>
      </c>
      <c r="HM23" s="68">
        <f t="shared" si="58"/>
        <v>0</v>
      </c>
      <c r="HN23" s="68">
        <f t="shared" si="58"/>
        <v>0</v>
      </c>
      <c r="HO23" s="68">
        <f t="shared" si="58"/>
        <v>0</v>
      </c>
      <c r="HP23" s="67">
        <f>SUM(HL23:HO23)</f>
        <v>0</v>
      </c>
      <c r="HQ23" s="63"/>
      <c r="HR23" s="63"/>
      <c r="HS23" s="63"/>
      <c r="HT23" s="63"/>
      <c r="HU23" s="67">
        <f>SUM(HQ23:HT23)</f>
        <v>0</v>
      </c>
      <c r="HV23" s="63"/>
      <c r="HW23" s="63"/>
      <c r="HX23" s="63"/>
      <c r="HY23" s="63"/>
      <c r="HZ23" s="67">
        <f>SUM(HV23:HY23)</f>
        <v>0</v>
      </c>
      <c r="IA23" s="63"/>
      <c r="IB23" s="63"/>
      <c r="IC23" s="63"/>
      <c r="ID23" s="63"/>
      <c r="IE23" s="67">
        <f>SUM(IA23:ID23)</f>
        <v>0</v>
      </c>
      <c r="IF23" s="68">
        <f>SUM(HQ23,HV23,IA23)</f>
        <v>0</v>
      </c>
      <c r="IG23" s="68">
        <f t="shared" si="63"/>
        <v>0</v>
      </c>
      <c r="IH23" s="68">
        <f t="shared" si="63"/>
        <v>0</v>
      </c>
      <c r="II23" s="68">
        <f t="shared" si="63"/>
        <v>0</v>
      </c>
      <c r="IJ23" s="67">
        <f>SUM(IF23:II23)</f>
        <v>0</v>
      </c>
      <c r="IK23" s="63"/>
      <c r="IL23" s="63"/>
      <c r="IM23" s="63"/>
      <c r="IN23" s="63"/>
      <c r="IO23" s="67">
        <f>SUM(IK23:IN23)</f>
        <v>0</v>
      </c>
      <c r="IP23" s="63"/>
      <c r="IQ23" s="63"/>
      <c r="IR23" s="63"/>
      <c r="IS23" s="63"/>
      <c r="IT23" s="67">
        <f>SUM(IP23:IS23)</f>
        <v>0</v>
      </c>
      <c r="IU23" s="63"/>
      <c r="IV23" s="63"/>
    </row>
    <row r="24" spans="1:256" s="54" customFormat="1" x14ac:dyDescent="0.25">
      <c r="A24" s="75" t="s">
        <v>36</v>
      </c>
      <c r="B24" s="56"/>
      <c r="C24" s="76">
        <f>SUM(C25,C41,C54)</f>
        <v>0</v>
      </c>
      <c r="D24" s="76">
        <f t="shared" ref="D24:L24" si="72">SUM(D25,D41,D54)</f>
        <v>0</v>
      </c>
      <c r="E24" s="76">
        <f t="shared" si="72"/>
        <v>0</v>
      </c>
      <c r="F24" s="76">
        <f t="shared" si="72"/>
        <v>0</v>
      </c>
      <c r="G24" s="76">
        <f t="shared" si="72"/>
        <v>0</v>
      </c>
      <c r="H24" s="76">
        <f t="shared" si="72"/>
        <v>0</v>
      </c>
      <c r="I24" s="76">
        <f t="shared" si="72"/>
        <v>0</v>
      </c>
      <c r="J24" s="76">
        <f t="shared" si="72"/>
        <v>0</v>
      </c>
      <c r="K24" s="76">
        <f t="shared" si="72"/>
        <v>0</v>
      </c>
      <c r="L24" s="76">
        <f t="shared" si="72"/>
        <v>0</v>
      </c>
      <c r="M24" s="56"/>
      <c r="N24" s="76">
        <f>SUM(N25,N41,N54)</f>
        <v>0</v>
      </c>
      <c r="O24" s="76">
        <f t="shared" ref="O24:V24" si="73">SUM(O25,O41,O54)</f>
        <v>0</v>
      </c>
      <c r="P24" s="76">
        <f t="shared" si="73"/>
        <v>0</v>
      </c>
      <c r="Q24" s="76">
        <f t="shared" si="73"/>
        <v>0</v>
      </c>
      <c r="R24" s="76">
        <f t="shared" si="73"/>
        <v>0</v>
      </c>
      <c r="S24" s="76">
        <f t="shared" si="73"/>
        <v>0</v>
      </c>
      <c r="T24" s="76">
        <f t="shared" si="73"/>
        <v>0</v>
      </c>
      <c r="U24" s="76">
        <f t="shared" si="73"/>
        <v>0</v>
      </c>
      <c r="V24" s="76">
        <f t="shared" si="73"/>
        <v>0</v>
      </c>
      <c r="W24" s="76">
        <f>SUM(W25,W41,W54)</f>
        <v>0</v>
      </c>
      <c r="X24" s="56"/>
      <c r="Y24" s="76">
        <f>SUM(Y25,Y41,Y54)</f>
        <v>0</v>
      </c>
      <c r="Z24" s="76">
        <f t="shared" ref="Z24:AG24" si="74">SUM(Z25,Z41,Z54)</f>
        <v>0</v>
      </c>
      <c r="AA24" s="76">
        <f t="shared" si="74"/>
        <v>0</v>
      </c>
      <c r="AB24" s="76">
        <f t="shared" si="74"/>
        <v>0</v>
      </c>
      <c r="AC24" s="76">
        <f t="shared" si="74"/>
        <v>0</v>
      </c>
      <c r="AD24" s="76">
        <f t="shared" si="74"/>
        <v>0</v>
      </c>
      <c r="AE24" s="76">
        <f t="shared" si="74"/>
        <v>0</v>
      </c>
      <c r="AF24" s="76">
        <f t="shared" si="74"/>
        <v>0</v>
      </c>
      <c r="AG24" s="76">
        <f t="shared" si="74"/>
        <v>0</v>
      </c>
      <c r="AH24" s="76">
        <f>SUM(AH25,AH41,AH54)</f>
        <v>0</v>
      </c>
      <c r="AI24" s="56"/>
      <c r="AJ24" s="76">
        <f>SUM(AJ25,AJ41,AJ54)</f>
        <v>0</v>
      </c>
      <c r="AK24" s="76">
        <f t="shared" ref="AK24:AR24" si="75">SUM(AK25,AK41,AK54)</f>
        <v>0</v>
      </c>
      <c r="AL24" s="76">
        <f t="shared" si="75"/>
        <v>0</v>
      </c>
      <c r="AM24" s="76">
        <f t="shared" si="75"/>
        <v>0</v>
      </c>
      <c r="AN24" s="76">
        <f t="shared" si="75"/>
        <v>0</v>
      </c>
      <c r="AO24" s="76">
        <f t="shared" si="75"/>
        <v>0</v>
      </c>
      <c r="AP24" s="76">
        <f t="shared" si="75"/>
        <v>0</v>
      </c>
      <c r="AQ24" s="76">
        <f t="shared" si="75"/>
        <v>0</v>
      </c>
      <c r="AR24" s="76">
        <f t="shared" si="75"/>
        <v>0</v>
      </c>
      <c r="AS24" s="76">
        <f t="shared" ref="AS24:BD24" si="76">SUM(AS25,AS41,AS54)</f>
        <v>0</v>
      </c>
      <c r="AT24" s="76">
        <f t="shared" si="76"/>
        <v>0</v>
      </c>
      <c r="AU24" s="76">
        <f t="shared" si="76"/>
        <v>0</v>
      </c>
      <c r="AV24" s="76">
        <f t="shared" si="76"/>
        <v>0</v>
      </c>
      <c r="AW24" s="76">
        <f t="shared" si="76"/>
        <v>0</v>
      </c>
      <c r="AX24" s="76">
        <f t="shared" si="76"/>
        <v>0</v>
      </c>
      <c r="AY24" s="76">
        <f t="shared" si="76"/>
        <v>0</v>
      </c>
      <c r="AZ24" s="76">
        <f t="shared" si="76"/>
        <v>0</v>
      </c>
      <c r="BA24" s="76">
        <f t="shared" si="76"/>
        <v>0</v>
      </c>
      <c r="BB24" s="76">
        <f t="shared" si="76"/>
        <v>0</v>
      </c>
      <c r="BC24" s="76">
        <f t="shared" si="76"/>
        <v>0</v>
      </c>
      <c r="BD24" s="76">
        <f t="shared" si="76"/>
        <v>0</v>
      </c>
      <c r="BE24" s="56"/>
      <c r="BF24" s="76">
        <f>SUM(BF25,BF41,BF54)</f>
        <v>0</v>
      </c>
      <c r="BG24" s="76">
        <f t="shared" ref="BG24:BN24" si="77">SUM(BG25,BG41,BG54)</f>
        <v>0</v>
      </c>
      <c r="BH24" s="76">
        <f t="shared" si="77"/>
        <v>0</v>
      </c>
      <c r="BI24" s="76">
        <f t="shared" si="77"/>
        <v>0</v>
      </c>
      <c r="BJ24" s="76">
        <f t="shared" si="77"/>
        <v>0</v>
      </c>
      <c r="BK24" s="76">
        <f t="shared" si="77"/>
        <v>0</v>
      </c>
      <c r="BL24" s="76">
        <f t="shared" si="77"/>
        <v>0</v>
      </c>
      <c r="BM24" s="76">
        <f t="shared" si="77"/>
        <v>0</v>
      </c>
      <c r="BN24" s="76">
        <f t="shared" si="77"/>
        <v>0</v>
      </c>
      <c r="BO24" s="76">
        <f>SUM(BO25,BO41,BO54)</f>
        <v>0</v>
      </c>
      <c r="BP24" s="56"/>
      <c r="BQ24" s="76">
        <f>SUM(BQ25,BQ41,BQ54)</f>
        <v>0</v>
      </c>
      <c r="BR24" s="76">
        <f t="shared" ref="BR24:BY24" si="78">SUM(BR25,BR41,BR54)</f>
        <v>0</v>
      </c>
      <c r="BS24" s="76">
        <f t="shared" si="78"/>
        <v>0</v>
      </c>
      <c r="BT24" s="76">
        <f t="shared" si="78"/>
        <v>0</v>
      </c>
      <c r="BU24" s="76">
        <f t="shared" si="78"/>
        <v>0</v>
      </c>
      <c r="BV24" s="76">
        <f t="shared" si="78"/>
        <v>0</v>
      </c>
      <c r="BW24" s="76">
        <f t="shared" si="78"/>
        <v>0</v>
      </c>
      <c r="BX24" s="76">
        <f t="shared" si="78"/>
        <v>0</v>
      </c>
      <c r="BY24" s="76">
        <f t="shared" si="78"/>
        <v>0</v>
      </c>
      <c r="BZ24" s="76">
        <f>SUM(BZ25,BZ41,BZ54)</f>
        <v>0</v>
      </c>
      <c r="CA24" s="56"/>
      <c r="CB24" s="76">
        <f>SUM(CB25,CB41,CB54)</f>
        <v>0</v>
      </c>
      <c r="CC24" s="76">
        <f t="shared" ref="CC24:CJ24" si="79">SUM(CC25,CC41,CC54)</f>
        <v>0</v>
      </c>
      <c r="CD24" s="76">
        <f t="shared" si="79"/>
        <v>0</v>
      </c>
      <c r="CE24" s="76">
        <f t="shared" si="79"/>
        <v>0</v>
      </c>
      <c r="CF24" s="76">
        <f t="shared" si="79"/>
        <v>0</v>
      </c>
      <c r="CG24" s="76">
        <f t="shared" si="79"/>
        <v>0</v>
      </c>
      <c r="CH24" s="76">
        <f t="shared" si="79"/>
        <v>0</v>
      </c>
      <c r="CI24" s="76">
        <f t="shared" si="79"/>
        <v>0</v>
      </c>
      <c r="CJ24" s="76">
        <f t="shared" si="79"/>
        <v>0</v>
      </c>
      <c r="CK24" s="76">
        <f t="shared" ref="CK24:CV24" si="80">SUM(CK25,CK41,CK54)</f>
        <v>0</v>
      </c>
      <c r="CL24" s="76">
        <f t="shared" si="80"/>
        <v>0</v>
      </c>
      <c r="CM24" s="76">
        <f t="shared" si="80"/>
        <v>0</v>
      </c>
      <c r="CN24" s="76">
        <f t="shared" si="80"/>
        <v>0</v>
      </c>
      <c r="CO24" s="76">
        <f t="shared" si="80"/>
        <v>0</v>
      </c>
      <c r="CP24" s="76">
        <f t="shared" si="80"/>
        <v>0</v>
      </c>
      <c r="CQ24" s="76">
        <f t="shared" si="80"/>
        <v>0</v>
      </c>
      <c r="CR24" s="76">
        <f t="shared" si="80"/>
        <v>0</v>
      </c>
      <c r="CS24" s="76">
        <f t="shared" si="80"/>
        <v>0</v>
      </c>
      <c r="CT24" s="76">
        <f t="shared" si="80"/>
        <v>0</v>
      </c>
      <c r="CU24" s="76">
        <f t="shared" si="80"/>
        <v>0</v>
      </c>
      <c r="CV24" s="76">
        <f t="shared" si="80"/>
        <v>0</v>
      </c>
      <c r="CW24" s="56"/>
      <c r="CX24" s="76">
        <f>SUM(CX25,CX41,CX54)</f>
        <v>0</v>
      </c>
      <c r="CY24" s="76">
        <f t="shared" ref="CY24:DF24" si="81">SUM(CY25,CY41,CY54)</f>
        <v>0</v>
      </c>
      <c r="CZ24" s="76">
        <f t="shared" si="81"/>
        <v>0</v>
      </c>
      <c r="DA24" s="76">
        <f t="shared" si="81"/>
        <v>0</v>
      </c>
      <c r="DB24" s="76">
        <f t="shared" si="81"/>
        <v>0</v>
      </c>
      <c r="DC24" s="76">
        <f t="shared" si="81"/>
        <v>0</v>
      </c>
      <c r="DD24" s="76">
        <f t="shared" si="81"/>
        <v>0</v>
      </c>
      <c r="DE24" s="76">
        <f t="shared" si="81"/>
        <v>0</v>
      </c>
      <c r="DF24" s="76">
        <f t="shared" si="81"/>
        <v>0</v>
      </c>
      <c r="DG24" s="76">
        <f>SUM(DG25,DG41,DG54)</f>
        <v>0</v>
      </c>
      <c r="DH24" s="56"/>
      <c r="DI24" s="76">
        <f>SUM(DI25,DI41,DI54)</f>
        <v>0</v>
      </c>
      <c r="DJ24" s="76">
        <f t="shared" ref="DJ24:DQ24" si="82">SUM(DJ25,DJ41,DJ54)</f>
        <v>0</v>
      </c>
      <c r="DK24" s="76">
        <f t="shared" si="82"/>
        <v>0</v>
      </c>
      <c r="DL24" s="76">
        <f t="shared" si="82"/>
        <v>0</v>
      </c>
      <c r="DM24" s="76">
        <f t="shared" si="82"/>
        <v>0</v>
      </c>
      <c r="DN24" s="76">
        <f t="shared" si="82"/>
        <v>0</v>
      </c>
      <c r="DO24" s="76">
        <f t="shared" si="82"/>
        <v>0</v>
      </c>
      <c r="DP24" s="76">
        <f t="shared" si="82"/>
        <v>0</v>
      </c>
      <c r="DQ24" s="76">
        <f t="shared" si="82"/>
        <v>0</v>
      </c>
      <c r="DR24" s="76">
        <f>SUM(DR25,DR41,DR54)</f>
        <v>0</v>
      </c>
      <c r="DS24" s="56"/>
      <c r="DT24" s="76">
        <f>SUM(DT25,DT41,DT54)</f>
        <v>0</v>
      </c>
      <c r="DU24" s="76">
        <f t="shared" ref="DU24:EB24" si="83">SUM(DU25,DU41,DU54)</f>
        <v>0</v>
      </c>
      <c r="DV24" s="76">
        <f t="shared" si="83"/>
        <v>0</v>
      </c>
      <c r="DW24" s="76">
        <f t="shared" si="83"/>
        <v>0</v>
      </c>
      <c r="DX24" s="76">
        <f t="shared" si="83"/>
        <v>0</v>
      </c>
      <c r="DY24" s="76">
        <f t="shared" si="83"/>
        <v>0</v>
      </c>
      <c r="DZ24" s="76">
        <f t="shared" si="83"/>
        <v>0</v>
      </c>
      <c r="EA24" s="76">
        <f t="shared" si="83"/>
        <v>0</v>
      </c>
      <c r="EB24" s="76">
        <f t="shared" si="83"/>
        <v>0</v>
      </c>
      <c r="EC24" s="76">
        <f t="shared" ref="EC24:EL24" si="84">SUM(EC25,EC41,EC54)</f>
        <v>0</v>
      </c>
      <c r="ED24" s="76">
        <f t="shared" si="84"/>
        <v>0</v>
      </c>
      <c r="EE24" s="76">
        <f t="shared" si="84"/>
        <v>0</v>
      </c>
      <c r="EF24" s="76">
        <f t="shared" si="84"/>
        <v>0</v>
      </c>
      <c r="EG24" s="76">
        <f t="shared" si="84"/>
        <v>0</v>
      </c>
      <c r="EH24" s="76">
        <f t="shared" si="84"/>
        <v>0</v>
      </c>
      <c r="EI24" s="76">
        <f t="shared" si="84"/>
        <v>0</v>
      </c>
      <c r="EJ24" s="76">
        <f t="shared" si="84"/>
        <v>0</v>
      </c>
      <c r="EK24" s="76">
        <f t="shared" si="84"/>
        <v>0</v>
      </c>
      <c r="EL24" s="76">
        <f t="shared" si="84"/>
        <v>0</v>
      </c>
      <c r="EM24" s="76">
        <f t="shared" ref="EM24:GX24" si="85">SUM(EM25,EM41,EM54)</f>
        <v>0</v>
      </c>
      <c r="EN24" s="76">
        <f t="shared" si="85"/>
        <v>0</v>
      </c>
      <c r="EO24" s="56"/>
      <c r="EP24" s="76">
        <f>SUM(EP25,EP41,EP54)</f>
        <v>0</v>
      </c>
      <c r="EQ24" s="76">
        <f t="shared" ref="EQ24:EX24" si="86">SUM(EQ25,EQ41,EQ54)</f>
        <v>0</v>
      </c>
      <c r="ER24" s="76">
        <f t="shared" si="86"/>
        <v>0</v>
      </c>
      <c r="ES24" s="76">
        <f t="shared" si="86"/>
        <v>0</v>
      </c>
      <c r="ET24" s="76">
        <f t="shared" si="86"/>
        <v>0</v>
      </c>
      <c r="EU24" s="76">
        <f t="shared" si="86"/>
        <v>0</v>
      </c>
      <c r="EV24" s="76">
        <f t="shared" si="86"/>
        <v>0</v>
      </c>
      <c r="EW24" s="76">
        <f t="shared" si="86"/>
        <v>0</v>
      </c>
      <c r="EX24" s="76">
        <f t="shared" si="86"/>
        <v>0</v>
      </c>
      <c r="EY24" s="76">
        <f t="shared" si="85"/>
        <v>0</v>
      </c>
      <c r="EZ24" s="56"/>
      <c r="FA24" s="76">
        <f>SUM(FA25,FA41,FA54)</f>
        <v>0</v>
      </c>
      <c r="FB24" s="76">
        <f t="shared" ref="FB24:FI24" si="87">SUM(FB25,FB41,FB54)</f>
        <v>0</v>
      </c>
      <c r="FC24" s="76">
        <f t="shared" si="87"/>
        <v>0</v>
      </c>
      <c r="FD24" s="76">
        <f t="shared" si="87"/>
        <v>0</v>
      </c>
      <c r="FE24" s="76">
        <f t="shared" si="87"/>
        <v>0</v>
      </c>
      <c r="FF24" s="76">
        <f t="shared" si="87"/>
        <v>0</v>
      </c>
      <c r="FG24" s="76">
        <f t="shared" si="87"/>
        <v>0</v>
      </c>
      <c r="FH24" s="76">
        <f t="shared" si="87"/>
        <v>0</v>
      </c>
      <c r="FI24" s="76">
        <f t="shared" si="87"/>
        <v>0</v>
      </c>
      <c r="FJ24" s="76">
        <f t="shared" si="85"/>
        <v>0</v>
      </c>
      <c r="FK24" s="56"/>
      <c r="FL24" s="76">
        <f>SUM(FL25,FL41,FL54)</f>
        <v>0</v>
      </c>
      <c r="FM24" s="76">
        <f t="shared" ref="FM24:FT24" si="88">SUM(FM25,FM41,FM54)</f>
        <v>0</v>
      </c>
      <c r="FN24" s="76">
        <f t="shared" si="88"/>
        <v>0</v>
      </c>
      <c r="FO24" s="76">
        <f t="shared" si="88"/>
        <v>0</v>
      </c>
      <c r="FP24" s="76">
        <f t="shared" si="88"/>
        <v>0</v>
      </c>
      <c r="FQ24" s="76">
        <f t="shared" si="88"/>
        <v>0</v>
      </c>
      <c r="FR24" s="76">
        <f t="shared" si="88"/>
        <v>0</v>
      </c>
      <c r="FS24" s="76">
        <f t="shared" si="88"/>
        <v>0</v>
      </c>
      <c r="FT24" s="76">
        <f t="shared" si="88"/>
        <v>0</v>
      </c>
      <c r="FU24" s="76">
        <f t="shared" si="85"/>
        <v>0</v>
      </c>
      <c r="FV24" s="76">
        <f t="shared" si="85"/>
        <v>0</v>
      </c>
      <c r="FW24" s="76">
        <f t="shared" si="85"/>
        <v>0</v>
      </c>
      <c r="FX24" s="76">
        <f t="shared" si="85"/>
        <v>0</v>
      </c>
      <c r="FY24" s="76">
        <f t="shared" si="85"/>
        <v>0</v>
      </c>
      <c r="FZ24" s="76">
        <f t="shared" si="85"/>
        <v>0</v>
      </c>
      <c r="GA24" s="76">
        <f t="shared" si="85"/>
        <v>0</v>
      </c>
      <c r="GB24" s="76">
        <f t="shared" si="85"/>
        <v>0</v>
      </c>
      <c r="GC24" s="76">
        <f t="shared" si="85"/>
        <v>0</v>
      </c>
      <c r="GD24" s="76">
        <f t="shared" si="85"/>
        <v>0</v>
      </c>
      <c r="GE24" s="76">
        <f t="shared" si="85"/>
        <v>0</v>
      </c>
      <c r="GF24" s="76">
        <f t="shared" si="85"/>
        <v>0</v>
      </c>
      <c r="GG24" s="76">
        <f t="shared" si="85"/>
        <v>0</v>
      </c>
      <c r="GH24" s="76">
        <f t="shared" si="85"/>
        <v>0</v>
      </c>
      <c r="GI24" s="76">
        <f t="shared" si="85"/>
        <v>0</v>
      </c>
      <c r="GJ24" s="76">
        <f t="shared" si="85"/>
        <v>0</v>
      </c>
      <c r="GK24" s="76">
        <f t="shared" si="85"/>
        <v>0</v>
      </c>
      <c r="GL24" s="76">
        <f t="shared" si="85"/>
        <v>0</v>
      </c>
      <c r="GM24" s="76">
        <f t="shared" si="85"/>
        <v>0</v>
      </c>
      <c r="GN24" s="76">
        <f t="shared" si="85"/>
        <v>0</v>
      </c>
      <c r="GO24" s="76">
        <f t="shared" si="85"/>
        <v>0</v>
      </c>
      <c r="GP24" s="76">
        <f t="shared" si="85"/>
        <v>0</v>
      </c>
      <c r="GQ24" s="76">
        <f t="shared" si="85"/>
        <v>0</v>
      </c>
      <c r="GR24" s="76">
        <f t="shared" si="85"/>
        <v>0</v>
      </c>
      <c r="GS24" s="76">
        <f t="shared" si="85"/>
        <v>0</v>
      </c>
      <c r="GT24" s="76">
        <f t="shared" si="85"/>
        <v>0</v>
      </c>
      <c r="GU24" s="76">
        <f t="shared" si="85"/>
        <v>0</v>
      </c>
      <c r="GV24" s="76">
        <f t="shared" si="85"/>
        <v>0</v>
      </c>
      <c r="GW24" s="76">
        <f t="shared" si="85"/>
        <v>0</v>
      </c>
      <c r="GX24" s="76">
        <f t="shared" si="85"/>
        <v>0</v>
      </c>
      <c r="GY24" s="76">
        <f t="shared" ref="GY24:IT24" si="89">SUM(GY25,GY41,GY54)</f>
        <v>0</v>
      </c>
      <c r="GZ24" s="76">
        <f t="shared" si="89"/>
        <v>0</v>
      </c>
      <c r="HA24" s="76">
        <f t="shared" si="89"/>
        <v>0</v>
      </c>
      <c r="HB24" s="76">
        <f t="shared" si="89"/>
        <v>0</v>
      </c>
      <c r="HC24" s="76">
        <f t="shared" si="89"/>
        <v>0</v>
      </c>
      <c r="HD24" s="76">
        <f>SUM(HD25,HD41,HD54)</f>
        <v>0</v>
      </c>
      <c r="HE24" s="76">
        <f>SUM(HE25,HE41,HE54)</f>
        <v>0</v>
      </c>
      <c r="HF24" s="76">
        <f t="shared" si="89"/>
        <v>0</v>
      </c>
      <c r="HG24" s="76">
        <f>SUM(HG25,HG41,HG54)</f>
        <v>0</v>
      </c>
      <c r="HH24" s="76">
        <f>SUM(HH25,HH41,HH54)</f>
        <v>0</v>
      </c>
      <c r="HI24" s="76">
        <f>SUM(HI25,HI41,HI54)</f>
        <v>0</v>
      </c>
      <c r="HJ24" s="76">
        <f>SUM(HJ25,HJ41,HJ54)</f>
        <v>0</v>
      </c>
      <c r="HK24" s="76">
        <f t="shared" si="89"/>
        <v>0</v>
      </c>
      <c r="HL24" s="76">
        <f t="shared" si="89"/>
        <v>0</v>
      </c>
      <c r="HM24" s="76">
        <f t="shared" si="89"/>
        <v>0</v>
      </c>
      <c r="HN24" s="76">
        <f t="shared" si="89"/>
        <v>0</v>
      </c>
      <c r="HO24" s="76">
        <f t="shared" si="89"/>
        <v>0</v>
      </c>
      <c r="HP24" s="76">
        <f t="shared" si="89"/>
        <v>0</v>
      </c>
      <c r="HQ24" s="76">
        <f t="shared" si="89"/>
        <v>0</v>
      </c>
      <c r="HR24" s="76">
        <f t="shared" si="89"/>
        <v>0</v>
      </c>
      <c r="HS24" s="76">
        <f t="shared" si="89"/>
        <v>0</v>
      </c>
      <c r="HT24" s="76">
        <f t="shared" si="89"/>
        <v>0</v>
      </c>
      <c r="HU24" s="76">
        <f t="shared" si="89"/>
        <v>0</v>
      </c>
      <c r="HV24" s="76">
        <f>SUM(HV25,HV41,HV54)</f>
        <v>0</v>
      </c>
      <c r="HW24" s="76">
        <f>SUM(HW25,HW41,HW54)</f>
        <v>0</v>
      </c>
      <c r="HX24" s="76">
        <f>SUM(HX25,HX41,HX54)</f>
        <v>0</v>
      </c>
      <c r="HY24" s="76">
        <f>SUM(HY25,HY41,HY54)</f>
        <v>0</v>
      </c>
      <c r="HZ24" s="76">
        <f t="shared" si="89"/>
        <v>0</v>
      </c>
      <c r="IA24" s="76">
        <f t="shared" si="89"/>
        <v>0</v>
      </c>
      <c r="IB24" s="76">
        <f t="shared" si="89"/>
        <v>0</v>
      </c>
      <c r="IC24" s="76">
        <f t="shared" si="89"/>
        <v>0</v>
      </c>
      <c r="ID24" s="76">
        <f t="shared" si="89"/>
        <v>0</v>
      </c>
      <c r="IE24" s="76">
        <f t="shared" si="89"/>
        <v>0</v>
      </c>
      <c r="IF24" s="76">
        <f t="shared" si="89"/>
        <v>0</v>
      </c>
      <c r="IG24" s="76">
        <f t="shared" si="89"/>
        <v>0</v>
      </c>
      <c r="IH24" s="76">
        <f t="shared" si="89"/>
        <v>0</v>
      </c>
      <c r="II24" s="76">
        <f t="shared" si="89"/>
        <v>0</v>
      </c>
      <c r="IJ24" s="76">
        <f t="shared" si="89"/>
        <v>0</v>
      </c>
      <c r="IK24" s="76">
        <f>SUM(IK25,IK41,IK54)</f>
        <v>0</v>
      </c>
      <c r="IL24" s="76">
        <f>SUM(IL25,IL41,IL54)</f>
        <v>0</v>
      </c>
      <c r="IM24" s="76">
        <f>SUM(IM25,IM41,IM54)</f>
        <v>0</v>
      </c>
      <c r="IN24" s="76">
        <f>SUM(IN25,IN41,IN54)</f>
        <v>0</v>
      </c>
      <c r="IO24" s="76">
        <f t="shared" si="89"/>
        <v>0</v>
      </c>
      <c r="IP24" s="76">
        <f t="shared" si="89"/>
        <v>0</v>
      </c>
      <c r="IQ24" s="76">
        <f t="shared" si="89"/>
        <v>0</v>
      </c>
      <c r="IR24" s="76">
        <f t="shared" si="89"/>
        <v>0</v>
      </c>
      <c r="IS24" s="76">
        <f t="shared" si="89"/>
        <v>0</v>
      </c>
      <c r="IT24" s="76">
        <f t="shared" si="89"/>
        <v>0</v>
      </c>
      <c r="IU24" s="76">
        <f>SUM(IU25,IU41,IU54)</f>
        <v>0</v>
      </c>
      <c r="IV24" s="76">
        <f>SUM(IV25,IV41,IV54)</f>
        <v>0</v>
      </c>
    </row>
    <row r="25" spans="1:256" s="57" customFormat="1" ht="25.5" x14ac:dyDescent="0.25">
      <c r="A25" s="77" t="s">
        <v>37</v>
      </c>
      <c r="B25" s="71"/>
      <c r="C25" s="59">
        <f>SUM(C27,C30,C35,C39,C26)</f>
        <v>0</v>
      </c>
      <c r="D25" s="59">
        <f t="shared" ref="D25:L25" si="90">SUM(D27,D30,D35,D39,D26)</f>
        <v>0</v>
      </c>
      <c r="E25" s="59">
        <f t="shared" si="90"/>
        <v>0</v>
      </c>
      <c r="F25" s="59">
        <f t="shared" si="90"/>
        <v>0</v>
      </c>
      <c r="G25" s="59">
        <f t="shared" si="90"/>
        <v>0</v>
      </c>
      <c r="H25" s="59">
        <f t="shared" si="90"/>
        <v>0</v>
      </c>
      <c r="I25" s="59">
        <f t="shared" si="90"/>
        <v>0</v>
      </c>
      <c r="J25" s="59">
        <f t="shared" si="90"/>
        <v>0</v>
      </c>
      <c r="K25" s="59">
        <f t="shared" si="90"/>
        <v>0</v>
      </c>
      <c r="L25" s="59">
        <f t="shared" si="90"/>
        <v>0</v>
      </c>
      <c r="M25" s="71"/>
      <c r="N25" s="59">
        <f>SUM(N27,N30,N35,N39,N26)</f>
        <v>0</v>
      </c>
      <c r="O25" s="59">
        <f t="shared" ref="O25:V25" si="91">SUM(O27,O30,O35,O39,O26)</f>
        <v>0</v>
      </c>
      <c r="P25" s="59">
        <f t="shared" si="91"/>
        <v>0</v>
      </c>
      <c r="Q25" s="59">
        <f t="shared" si="91"/>
        <v>0</v>
      </c>
      <c r="R25" s="59">
        <f t="shared" si="91"/>
        <v>0</v>
      </c>
      <c r="S25" s="59">
        <f t="shared" si="91"/>
        <v>0</v>
      </c>
      <c r="T25" s="59">
        <f t="shared" si="91"/>
        <v>0</v>
      </c>
      <c r="U25" s="59">
        <f t="shared" si="91"/>
        <v>0</v>
      </c>
      <c r="V25" s="59">
        <f t="shared" si="91"/>
        <v>0</v>
      </c>
      <c r="W25" s="59">
        <f>SUM(W27,W30,W35,W39,W26)</f>
        <v>0</v>
      </c>
      <c r="X25" s="71"/>
      <c r="Y25" s="59">
        <f>SUM(Y27,Y30,Y35,Y39,Y26)</f>
        <v>0</v>
      </c>
      <c r="Z25" s="59">
        <f t="shared" ref="Z25:AG25" si="92">SUM(Z27,Z30,Z35,Z39,Z26)</f>
        <v>0</v>
      </c>
      <c r="AA25" s="59">
        <f t="shared" si="92"/>
        <v>0</v>
      </c>
      <c r="AB25" s="59">
        <f t="shared" si="92"/>
        <v>0</v>
      </c>
      <c r="AC25" s="59">
        <f t="shared" si="92"/>
        <v>0</v>
      </c>
      <c r="AD25" s="59">
        <f t="shared" si="92"/>
        <v>0</v>
      </c>
      <c r="AE25" s="59">
        <f t="shared" si="92"/>
        <v>0</v>
      </c>
      <c r="AF25" s="59">
        <f t="shared" si="92"/>
        <v>0</v>
      </c>
      <c r="AG25" s="59">
        <f t="shared" si="92"/>
        <v>0</v>
      </c>
      <c r="AH25" s="59">
        <f>SUM(AH27,AH30,AH35,AH39,AH26)</f>
        <v>0</v>
      </c>
      <c r="AI25" s="71"/>
      <c r="AJ25" s="59">
        <f>SUM(AJ27,AJ30,AJ35,AJ39,AJ26)</f>
        <v>0</v>
      </c>
      <c r="AK25" s="59">
        <f t="shared" ref="AK25:AR25" si="93">SUM(AK27,AK30,AK35,AK39,AK26)</f>
        <v>0</v>
      </c>
      <c r="AL25" s="59">
        <f t="shared" si="93"/>
        <v>0</v>
      </c>
      <c r="AM25" s="59">
        <f t="shared" si="93"/>
        <v>0</v>
      </c>
      <c r="AN25" s="59">
        <f t="shared" si="93"/>
        <v>0</v>
      </c>
      <c r="AO25" s="59">
        <f t="shared" si="93"/>
        <v>0</v>
      </c>
      <c r="AP25" s="59">
        <f t="shared" si="93"/>
        <v>0</v>
      </c>
      <c r="AQ25" s="59">
        <f t="shared" si="93"/>
        <v>0</v>
      </c>
      <c r="AR25" s="59">
        <f t="shared" si="93"/>
        <v>0</v>
      </c>
      <c r="AS25" s="59">
        <f t="shared" ref="AS25:BD25" si="94">SUM(AS27,AS30,AS35,AS39,AS26)</f>
        <v>0</v>
      </c>
      <c r="AT25" s="59">
        <f t="shared" si="94"/>
        <v>0</v>
      </c>
      <c r="AU25" s="59">
        <f t="shared" si="94"/>
        <v>0</v>
      </c>
      <c r="AV25" s="59">
        <f t="shared" si="94"/>
        <v>0</v>
      </c>
      <c r="AW25" s="59">
        <f t="shared" si="94"/>
        <v>0</v>
      </c>
      <c r="AX25" s="59">
        <f t="shared" si="94"/>
        <v>0</v>
      </c>
      <c r="AY25" s="59">
        <f t="shared" si="94"/>
        <v>0</v>
      </c>
      <c r="AZ25" s="59">
        <f t="shared" si="94"/>
        <v>0</v>
      </c>
      <c r="BA25" s="59">
        <f t="shared" si="94"/>
        <v>0</v>
      </c>
      <c r="BB25" s="59">
        <f t="shared" si="94"/>
        <v>0</v>
      </c>
      <c r="BC25" s="59">
        <f t="shared" si="94"/>
        <v>0</v>
      </c>
      <c r="BD25" s="59">
        <f t="shared" si="94"/>
        <v>0</v>
      </c>
      <c r="BE25" s="71"/>
      <c r="BF25" s="59">
        <f>SUM(BF27,BF30,BF35,BF39,BF26)</f>
        <v>0</v>
      </c>
      <c r="BG25" s="59">
        <f t="shared" ref="BG25:BN25" si="95">SUM(BG27,BG30,BG35,BG39,BG26)</f>
        <v>0</v>
      </c>
      <c r="BH25" s="59">
        <f t="shared" si="95"/>
        <v>0</v>
      </c>
      <c r="BI25" s="59">
        <f t="shared" si="95"/>
        <v>0</v>
      </c>
      <c r="BJ25" s="59">
        <f t="shared" si="95"/>
        <v>0</v>
      </c>
      <c r="BK25" s="59">
        <f t="shared" si="95"/>
        <v>0</v>
      </c>
      <c r="BL25" s="59">
        <f t="shared" si="95"/>
        <v>0</v>
      </c>
      <c r="BM25" s="59">
        <f t="shared" si="95"/>
        <v>0</v>
      </c>
      <c r="BN25" s="59">
        <f t="shared" si="95"/>
        <v>0</v>
      </c>
      <c r="BO25" s="59">
        <f>SUM(BO27,BO30,BO35,BO39,BO26)</f>
        <v>0</v>
      </c>
      <c r="BP25" s="71"/>
      <c r="BQ25" s="59">
        <f>SUM(BQ27,BQ30,BQ35,BQ39,BQ26)</f>
        <v>0</v>
      </c>
      <c r="BR25" s="59">
        <f t="shared" ref="BR25:BY25" si="96">SUM(BR27,BR30,BR35,BR39,BR26)</f>
        <v>0</v>
      </c>
      <c r="BS25" s="59">
        <f t="shared" si="96"/>
        <v>0</v>
      </c>
      <c r="BT25" s="59">
        <f t="shared" si="96"/>
        <v>0</v>
      </c>
      <c r="BU25" s="59">
        <f t="shared" si="96"/>
        <v>0</v>
      </c>
      <c r="BV25" s="59">
        <f t="shared" si="96"/>
        <v>0</v>
      </c>
      <c r="BW25" s="59">
        <f t="shared" si="96"/>
        <v>0</v>
      </c>
      <c r="BX25" s="59">
        <f t="shared" si="96"/>
        <v>0</v>
      </c>
      <c r="BY25" s="59">
        <f t="shared" si="96"/>
        <v>0</v>
      </c>
      <c r="BZ25" s="59">
        <f>SUM(BZ27,BZ30,BZ35,BZ39,BZ26)</f>
        <v>0</v>
      </c>
      <c r="CA25" s="71"/>
      <c r="CB25" s="59">
        <f>SUM(CB27,CB30,CB35,CB39,CB26)</f>
        <v>0</v>
      </c>
      <c r="CC25" s="59">
        <f t="shared" ref="CC25:CJ25" si="97">SUM(CC27,CC30,CC35,CC39,CC26)</f>
        <v>0</v>
      </c>
      <c r="CD25" s="59">
        <f t="shared" si="97"/>
        <v>0</v>
      </c>
      <c r="CE25" s="59">
        <f t="shared" si="97"/>
        <v>0</v>
      </c>
      <c r="CF25" s="59">
        <f t="shared" si="97"/>
        <v>0</v>
      </c>
      <c r="CG25" s="59">
        <f t="shared" si="97"/>
        <v>0</v>
      </c>
      <c r="CH25" s="59">
        <f t="shared" si="97"/>
        <v>0</v>
      </c>
      <c r="CI25" s="59">
        <f t="shared" si="97"/>
        <v>0</v>
      </c>
      <c r="CJ25" s="59">
        <f t="shared" si="97"/>
        <v>0</v>
      </c>
      <c r="CK25" s="59">
        <f t="shared" ref="CK25:CV25" si="98">SUM(CK27,CK30,CK35,CK39,CK26)</f>
        <v>0</v>
      </c>
      <c r="CL25" s="59">
        <f t="shared" si="98"/>
        <v>0</v>
      </c>
      <c r="CM25" s="59">
        <f t="shared" si="98"/>
        <v>0</v>
      </c>
      <c r="CN25" s="59">
        <f t="shared" si="98"/>
        <v>0</v>
      </c>
      <c r="CO25" s="59">
        <f t="shared" si="98"/>
        <v>0</v>
      </c>
      <c r="CP25" s="59">
        <f t="shared" si="98"/>
        <v>0</v>
      </c>
      <c r="CQ25" s="59">
        <f t="shared" si="98"/>
        <v>0</v>
      </c>
      <c r="CR25" s="59">
        <f t="shared" si="98"/>
        <v>0</v>
      </c>
      <c r="CS25" s="59">
        <f t="shared" si="98"/>
        <v>0</v>
      </c>
      <c r="CT25" s="59">
        <f t="shared" si="98"/>
        <v>0</v>
      </c>
      <c r="CU25" s="59">
        <f t="shared" si="98"/>
        <v>0</v>
      </c>
      <c r="CV25" s="59">
        <f t="shared" si="98"/>
        <v>0</v>
      </c>
      <c r="CW25" s="71"/>
      <c r="CX25" s="59">
        <f>SUM(CX27,CX30,CX35,CX39,CX26)</f>
        <v>0</v>
      </c>
      <c r="CY25" s="59">
        <f t="shared" ref="CY25:DF25" si="99">SUM(CY27,CY30,CY35,CY39,CY26)</f>
        <v>0</v>
      </c>
      <c r="CZ25" s="59">
        <f t="shared" si="99"/>
        <v>0</v>
      </c>
      <c r="DA25" s="59">
        <f t="shared" si="99"/>
        <v>0</v>
      </c>
      <c r="DB25" s="59">
        <f t="shared" si="99"/>
        <v>0</v>
      </c>
      <c r="DC25" s="59">
        <f t="shared" si="99"/>
        <v>0</v>
      </c>
      <c r="DD25" s="59">
        <f t="shared" si="99"/>
        <v>0</v>
      </c>
      <c r="DE25" s="59">
        <f t="shared" si="99"/>
        <v>0</v>
      </c>
      <c r="DF25" s="59">
        <f t="shared" si="99"/>
        <v>0</v>
      </c>
      <c r="DG25" s="59">
        <f>SUM(DG27,DG30,DG35,DG39,DG26)</f>
        <v>0</v>
      </c>
      <c r="DH25" s="71"/>
      <c r="DI25" s="59">
        <f>SUM(DI27,DI30,DI35,DI39,DI26)</f>
        <v>0</v>
      </c>
      <c r="DJ25" s="59">
        <f t="shared" ref="DJ25:DQ25" si="100">SUM(DJ27,DJ30,DJ35,DJ39,DJ26)</f>
        <v>0</v>
      </c>
      <c r="DK25" s="59">
        <f t="shared" si="100"/>
        <v>0</v>
      </c>
      <c r="DL25" s="59">
        <f t="shared" si="100"/>
        <v>0</v>
      </c>
      <c r="DM25" s="59">
        <f t="shared" si="100"/>
        <v>0</v>
      </c>
      <c r="DN25" s="59">
        <f t="shared" si="100"/>
        <v>0</v>
      </c>
      <c r="DO25" s="59">
        <f t="shared" si="100"/>
        <v>0</v>
      </c>
      <c r="DP25" s="59">
        <f t="shared" si="100"/>
        <v>0</v>
      </c>
      <c r="DQ25" s="59">
        <f t="shared" si="100"/>
        <v>0</v>
      </c>
      <c r="DR25" s="59">
        <f>SUM(DR27,DR30,DR35,DR39,DR26)</f>
        <v>0</v>
      </c>
      <c r="DS25" s="71"/>
      <c r="DT25" s="59">
        <f>SUM(DT27,DT30,DT35,DT39,DT26)</f>
        <v>0</v>
      </c>
      <c r="DU25" s="59">
        <f t="shared" ref="DU25:EB25" si="101">SUM(DU27,DU30,DU35,DU39,DU26)</f>
        <v>0</v>
      </c>
      <c r="DV25" s="59">
        <f t="shared" si="101"/>
        <v>0</v>
      </c>
      <c r="DW25" s="59">
        <f t="shared" si="101"/>
        <v>0</v>
      </c>
      <c r="DX25" s="59">
        <f t="shared" si="101"/>
        <v>0</v>
      </c>
      <c r="DY25" s="59">
        <f t="shared" si="101"/>
        <v>0</v>
      </c>
      <c r="DZ25" s="59">
        <f t="shared" si="101"/>
        <v>0</v>
      </c>
      <c r="EA25" s="59">
        <f t="shared" si="101"/>
        <v>0</v>
      </c>
      <c r="EB25" s="59">
        <f t="shared" si="101"/>
        <v>0</v>
      </c>
      <c r="EC25" s="59">
        <f t="shared" ref="EC25:EN25" si="102">SUM(EC27,EC30,EC35,EC39,EC26)</f>
        <v>0</v>
      </c>
      <c r="ED25" s="59">
        <f t="shared" si="102"/>
        <v>0</v>
      </c>
      <c r="EE25" s="59">
        <f t="shared" si="102"/>
        <v>0</v>
      </c>
      <c r="EF25" s="59">
        <f t="shared" si="102"/>
        <v>0</v>
      </c>
      <c r="EG25" s="59">
        <f t="shared" si="102"/>
        <v>0</v>
      </c>
      <c r="EH25" s="59">
        <f t="shared" si="102"/>
        <v>0</v>
      </c>
      <c r="EI25" s="59">
        <f t="shared" si="102"/>
        <v>0</v>
      </c>
      <c r="EJ25" s="59">
        <f t="shared" si="102"/>
        <v>0</v>
      </c>
      <c r="EK25" s="59">
        <f t="shared" si="102"/>
        <v>0</v>
      </c>
      <c r="EL25" s="59">
        <f t="shared" si="102"/>
        <v>0</v>
      </c>
      <c r="EM25" s="59">
        <f t="shared" si="102"/>
        <v>0</v>
      </c>
      <c r="EN25" s="59">
        <f t="shared" si="102"/>
        <v>0</v>
      </c>
      <c r="EO25" s="71"/>
      <c r="EP25" s="59">
        <f>SUM(EP27,EP30,EP35,EP39,EP26)</f>
        <v>0</v>
      </c>
      <c r="EQ25" s="59">
        <f t="shared" ref="EQ25:EX25" si="103">SUM(EQ27,EQ30,EQ35,EQ39,EQ26)</f>
        <v>0</v>
      </c>
      <c r="ER25" s="59">
        <f t="shared" si="103"/>
        <v>0</v>
      </c>
      <c r="ES25" s="59">
        <f t="shared" si="103"/>
        <v>0</v>
      </c>
      <c r="ET25" s="59">
        <f t="shared" si="103"/>
        <v>0</v>
      </c>
      <c r="EU25" s="59">
        <f t="shared" si="103"/>
        <v>0</v>
      </c>
      <c r="EV25" s="59">
        <f t="shared" si="103"/>
        <v>0</v>
      </c>
      <c r="EW25" s="59">
        <f t="shared" si="103"/>
        <v>0</v>
      </c>
      <c r="EX25" s="59">
        <f t="shared" si="103"/>
        <v>0</v>
      </c>
      <c r="EY25" s="59">
        <f t="shared" ref="EY25:HA25" si="104">SUM(EY27,EY30,EY35,EY39,EY26)</f>
        <v>0</v>
      </c>
      <c r="EZ25" s="71"/>
      <c r="FA25" s="59">
        <f>SUM(FA27,FA30,FA35,FA39,FA26)</f>
        <v>0</v>
      </c>
      <c r="FB25" s="59">
        <f t="shared" ref="FB25:FI25" si="105">SUM(FB27,FB30,FB35,FB39,FB26)</f>
        <v>0</v>
      </c>
      <c r="FC25" s="59">
        <f t="shared" si="105"/>
        <v>0</v>
      </c>
      <c r="FD25" s="59">
        <f t="shared" si="105"/>
        <v>0</v>
      </c>
      <c r="FE25" s="59">
        <f t="shared" si="105"/>
        <v>0</v>
      </c>
      <c r="FF25" s="59">
        <f t="shared" si="105"/>
        <v>0</v>
      </c>
      <c r="FG25" s="59">
        <f t="shared" si="105"/>
        <v>0</v>
      </c>
      <c r="FH25" s="59">
        <f t="shared" si="105"/>
        <v>0</v>
      </c>
      <c r="FI25" s="59">
        <f t="shared" si="105"/>
        <v>0</v>
      </c>
      <c r="FJ25" s="59">
        <f t="shared" si="104"/>
        <v>0</v>
      </c>
      <c r="FK25" s="71"/>
      <c r="FL25" s="59">
        <f>SUM(FL27,FL30,FL35,FL39,FL26)</f>
        <v>0</v>
      </c>
      <c r="FM25" s="59">
        <f t="shared" ref="FM25:FT25" si="106">SUM(FM27,FM30,FM35,FM39,FM26)</f>
        <v>0</v>
      </c>
      <c r="FN25" s="59">
        <f t="shared" si="106"/>
        <v>0</v>
      </c>
      <c r="FO25" s="59">
        <f t="shared" si="106"/>
        <v>0</v>
      </c>
      <c r="FP25" s="59">
        <f t="shared" si="106"/>
        <v>0</v>
      </c>
      <c r="FQ25" s="59">
        <f t="shared" si="106"/>
        <v>0</v>
      </c>
      <c r="FR25" s="59">
        <f t="shared" si="106"/>
        <v>0</v>
      </c>
      <c r="FS25" s="59">
        <f t="shared" si="106"/>
        <v>0</v>
      </c>
      <c r="FT25" s="59">
        <f t="shared" si="106"/>
        <v>0</v>
      </c>
      <c r="FU25" s="59">
        <f t="shared" si="104"/>
        <v>0</v>
      </c>
      <c r="FV25" s="59">
        <f t="shared" si="104"/>
        <v>0</v>
      </c>
      <c r="FW25" s="59">
        <f t="shared" si="104"/>
        <v>0</v>
      </c>
      <c r="FX25" s="59">
        <f t="shared" si="104"/>
        <v>0</v>
      </c>
      <c r="FY25" s="59">
        <f t="shared" si="104"/>
        <v>0</v>
      </c>
      <c r="FZ25" s="59">
        <f t="shared" si="104"/>
        <v>0</v>
      </c>
      <c r="GA25" s="59">
        <f t="shared" si="104"/>
        <v>0</v>
      </c>
      <c r="GB25" s="59">
        <f t="shared" si="104"/>
        <v>0</v>
      </c>
      <c r="GC25" s="59">
        <f t="shared" si="104"/>
        <v>0</v>
      </c>
      <c r="GD25" s="59">
        <f t="shared" si="104"/>
        <v>0</v>
      </c>
      <c r="GE25" s="59">
        <f t="shared" si="104"/>
        <v>0</v>
      </c>
      <c r="GF25" s="59">
        <f t="shared" si="104"/>
        <v>0</v>
      </c>
      <c r="GG25" s="59">
        <f t="shared" si="104"/>
        <v>0</v>
      </c>
      <c r="GH25" s="59">
        <f t="shared" si="104"/>
        <v>0</v>
      </c>
      <c r="GI25" s="59">
        <f t="shared" si="104"/>
        <v>0</v>
      </c>
      <c r="GJ25" s="59">
        <f t="shared" si="104"/>
        <v>0</v>
      </c>
      <c r="GK25" s="59">
        <f t="shared" si="104"/>
        <v>0</v>
      </c>
      <c r="GL25" s="59">
        <f t="shared" si="104"/>
        <v>0</v>
      </c>
      <c r="GM25" s="59">
        <f t="shared" si="104"/>
        <v>0</v>
      </c>
      <c r="GN25" s="59">
        <f t="shared" si="104"/>
        <v>0</v>
      </c>
      <c r="GO25" s="59">
        <f t="shared" si="104"/>
        <v>0</v>
      </c>
      <c r="GP25" s="59">
        <f t="shared" si="104"/>
        <v>0</v>
      </c>
      <c r="GQ25" s="59">
        <f t="shared" si="104"/>
        <v>0</v>
      </c>
      <c r="GR25" s="59">
        <f t="shared" si="104"/>
        <v>0</v>
      </c>
      <c r="GS25" s="59">
        <f t="shared" si="104"/>
        <v>0</v>
      </c>
      <c r="GT25" s="59">
        <f t="shared" si="104"/>
        <v>0</v>
      </c>
      <c r="GU25" s="59">
        <f t="shared" si="104"/>
        <v>0</v>
      </c>
      <c r="GV25" s="59">
        <f t="shared" si="104"/>
        <v>0</v>
      </c>
      <c r="GW25" s="59">
        <f t="shared" si="104"/>
        <v>0</v>
      </c>
      <c r="GX25" s="59">
        <f t="shared" si="104"/>
        <v>0</v>
      </c>
      <c r="GY25" s="59">
        <f t="shared" si="104"/>
        <v>0</v>
      </c>
      <c r="GZ25" s="59">
        <f t="shared" si="104"/>
        <v>0</v>
      </c>
      <c r="HA25" s="59">
        <f t="shared" si="104"/>
        <v>0</v>
      </c>
      <c r="HB25" s="59">
        <f>SUM(HB27,HB30,HB35,HB39,HB26)</f>
        <v>0</v>
      </c>
      <c r="HC25" s="59">
        <f>SUM(HC27,HC30,HC35,HC39,HC26)</f>
        <v>0</v>
      </c>
      <c r="HD25" s="59">
        <f>SUM(HD27,HD30,HD35,HD39,HD26)</f>
        <v>0</v>
      </c>
      <c r="HE25" s="59">
        <f>SUM(HE27,HE30,HE35,HE39,HE26)</f>
        <v>0</v>
      </c>
      <c r="HF25" s="59">
        <f t="shared" ref="HF25:IV25" si="107">SUM(HF27,HF30,HF35,HF39,HF26)</f>
        <v>0</v>
      </c>
      <c r="HG25" s="59">
        <f t="shared" si="107"/>
        <v>0</v>
      </c>
      <c r="HH25" s="59">
        <f t="shared" si="107"/>
        <v>0</v>
      </c>
      <c r="HI25" s="59">
        <f t="shared" si="107"/>
        <v>0</v>
      </c>
      <c r="HJ25" s="59">
        <f t="shared" si="107"/>
        <v>0</v>
      </c>
      <c r="HK25" s="59">
        <f t="shared" si="107"/>
        <v>0</v>
      </c>
      <c r="HL25" s="59">
        <f t="shared" si="107"/>
        <v>0</v>
      </c>
      <c r="HM25" s="59">
        <f t="shared" si="107"/>
        <v>0</v>
      </c>
      <c r="HN25" s="59">
        <f t="shared" si="107"/>
        <v>0</v>
      </c>
      <c r="HO25" s="59">
        <f t="shared" si="107"/>
        <v>0</v>
      </c>
      <c r="HP25" s="59">
        <f t="shared" si="107"/>
        <v>0</v>
      </c>
      <c r="HQ25" s="59">
        <f>SUM(HQ27,HQ30,HQ35,HQ39,HQ26)</f>
        <v>0</v>
      </c>
      <c r="HR25" s="59">
        <f>SUM(HR27,HR30,HR35,HR39,HR26)</f>
        <v>0</v>
      </c>
      <c r="HS25" s="59">
        <f>SUM(HS27,HS30,HS35,HS39,HS26)</f>
        <v>0</v>
      </c>
      <c r="HT25" s="59">
        <f>SUM(HT27,HT30,HT35,HT39,HT26)</f>
        <v>0</v>
      </c>
      <c r="HU25" s="59">
        <f t="shared" si="107"/>
        <v>0</v>
      </c>
      <c r="HV25" s="59">
        <f t="shared" si="107"/>
        <v>0</v>
      </c>
      <c r="HW25" s="59">
        <f t="shared" si="107"/>
        <v>0</v>
      </c>
      <c r="HX25" s="59">
        <f t="shared" si="107"/>
        <v>0</v>
      </c>
      <c r="HY25" s="59">
        <f t="shared" si="107"/>
        <v>0</v>
      </c>
      <c r="HZ25" s="59">
        <f t="shared" si="107"/>
        <v>0</v>
      </c>
      <c r="IA25" s="59">
        <f>SUM(IA27,IA30,IA35,IA39,IA26)</f>
        <v>0</v>
      </c>
      <c r="IB25" s="59">
        <f>SUM(IB27,IB30,IB35,IB39,IB26)</f>
        <v>0</v>
      </c>
      <c r="IC25" s="59">
        <f>SUM(IC27,IC30,IC35,IC39,IC26)</f>
        <v>0</v>
      </c>
      <c r="ID25" s="59">
        <f>SUM(ID27,ID30,ID35,ID39,ID26)</f>
        <v>0</v>
      </c>
      <c r="IE25" s="59">
        <f t="shared" si="107"/>
        <v>0</v>
      </c>
      <c r="IF25" s="59">
        <f t="shared" si="107"/>
        <v>0</v>
      </c>
      <c r="IG25" s="59">
        <f t="shared" si="107"/>
        <v>0</v>
      </c>
      <c r="IH25" s="59">
        <f t="shared" si="107"/>
        <v>0</v>
      </c>
      <c r="II25" s="59">
        <f t="shared" si="107"/>
        <v>0</v>
      </c>
      <c r="IJ25" s="59">
        <f t="shared" si="107"/>
        <v>0</v>
      </c>
      <c r="IK25" s="59">
        <f t="shared" si="107"/>
        <v>0</v>
      </c>
      <c r="IL25" s="59">
        <f t="shared" si="107"/>
        <v>0</v>
      </c>
      <c r="IM25" s="59">
        <f t="shared" si="107"/>
        <v>0</v>
      </c>
      <c r="IN25" s="59">
        <f t="shared" si="107"/>
        <v>0</v>
      </c>
      <c r="IO25" s="59">
        <f t="shared" si="107"/>
        <v>0</v>
      </c>
      <c r="IP25" s="59">
        <f>SUM(IP27,IP30,IP35,IP39,IP26)</f>
        <v>0</v>
      </c>
      <c r="IQ25" s="59">
        <f>SUM(IQ27,IQ30,IQ35,IQ39,IQ26)</f>
        <v>0</v>
      </c>
      <c r="IR25" s="59">
        <f>SUM(IR27,IR30,IR35,IR39,IR26)</f>
        <v>0</v>
      </c>
      <c r="IS25" s="59">
        <f>SUM(IS27,IS30,IS35,IS39,IS26)</f>
        <v>0</v>
      </c>
      <c r="IT25" s="59">
        <f t="shared" si="107"/>
        <v>0</v>
      </c>
      <c r="IU25" s="59">
        <f t="shared" si="107"/>
        <v>0</v>
      </c>
      <c r="IV25" s="59">
        <f t="shared" si="107"/>
        <v>0</v>
      </c>
    </row>
    <row r="26" spans="1:256" x14ac:dyDescent="0.2">
      <c r="A26" s="61" t="s">
        <v>29</v>
      </c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4">
        <f>SUM(C26:F26,H26:K26)</f>
        <v>0</v>
      </c>
      <c r="M26" s="62"/>
      <c r="N26" s="63"/>
      <c r="O26" s="63"/>
      <c r="P26" s="63"/>
      <c r="Q26" s="63"/>
      <c r="R26" s="63"/>
      <c r="S26" s="63"/>
      <c r="T26" s="63"/>
      <c r="U26" s="63"/>
      <c r="V26" s="63"/>
      <c r="W26" s="64">
        <f>SUM(N26:Q26,S26:V26)</f>
        <v>0</v>
      </c>
      <c r="X26" s="62"/>
      <c r="Y26" s="63"/>
      <c r="Z26" s="63"/>
      <c r="AA26" s="63"/>
      <c r="AB26" s="63"/>
      <c r="AC26" s="63"/>
      <c r="AD26" s="63"/>
      <c r="AE26" s="63"/>
      <c r="AF26" s="63"/>
      <c r="AG26" s="63"/>
      <c r="AH26" s="64">
        <f>SUM(Y26:AB26,AD26:AG26)</f>
        <v>0</v>
      </c>
      <c r="AI26" s="62"/>
      <c r="AJ26" s="63"/>
      <c r="AK26" s="63"/>
      <c r="AL26" s="63"/>
      <c r="AM26" s="63"/>
      <c r="AN26" s="63"/>
      <c r="AO26" s="63"/>
      <c r="AP26" s="63"/>
      <c r="AQ26" s="63"/>
      <c r="AR26" s="63"/>
      <c r="AS26" s="64">
        <f>SUM(AJ26:AM26,AO26:AR26)</f>
        <v>0</v>
      </c>
      <c r="AT26" s="65">
        <f>SUM(M26,AI26,X26)</f>
        <v>0</v>
      </c>
      <c r="AU26" s="65">
        <f t="shared" ref="AU26:BC26" si="108">SUM(N26,AJ26,Y26)</f>
        <v>0</v>
      </c>
      <c r="AV26" s="65">
        <f t="shared" si="108"/>
        <v>0</v>
      </c>
      <c r="AW26" s="65">
        <f t="shared" si="108"/>
        <v>0</v>
      </c>
      <c r="AX26" s="65">
        <f t="shared" si="108"/>
        <v>0</v>
      </c>
      <c r="AY26" s="65">
        <f t="shared" si="108"/>
        <v>0</v>
      </c>
      <c r="AZ26" s="65">
        <f t="shared" si="108"/>
        <v>0</v>
      </c>
      <c r="BA26" s="65">
        <f t="shared" si="108"/>
        <v>0</v>
      </c>
      <c r="BB26" s="65">
        <f t="shared" si="108"/>
        <v>0</v>
      </c>
      <c r="BC26" s="65">
        <f t="shared" si="108"/>
        <v>0</v>
      </c>
      <c r="BD26" s="64">
        <f>SUM(AU26:AX26,AZ26:BC26)</f>
        <v>0</v>
      </c>
      <c r="BE26" s="62"/>
      <c r="BF26" s="63"/>
      <c r="BG26" s="63"/>
      <c r="BH26" s="63"/>
      <c r="BI26" s="63"/>
      <c r="BJ26" s="63"/>
      <c r="BK26" s="63"/>
      <c r="BL26" s="63"/>
      <c r="BM26" s="63"/>
      <c r="BN26" s="63"/>
      <c r="BO26" s="64">
        <f>SUM(BF26:BI26,BK26:BN26)</f>
        <v>0</v>
      </c>
      <c r="BP26" s="62"/>
      <c r="BQ26" s="63"/>
      <c r="BR26" s="63"/>
      <c r="BS26" s="63"/>
      <c r="BT26" s="63"/>
      <c r="BU26" s="63"/>
      <c r="BV26" s="63"/>
      <c r="BW26" s="63"/>
      <c r="BX26" s="63"/>
      <c r="BY26" s="63"/>
      <c r="BZ26" s="64">
        <f>SUM(BQ26:BT26,BV26:BY26)</f>
        <v>0</v>
      </c>
      <c r="CA26" s="62"/>
      <c r="CB26" s="63"/>
      <c r="CC26" s="63"/>
      <c r="CD26" s="63"/>
      <c r="CE26" s="63"/>
      <c r="CF26" s="63"/>
      <c r="CG26" s="63"/>
      <c r="CH26" s="63"/>
      <c r="CI26" s="63"/>
      <c r="CJ26" s="63"/>
      <c r="CK26" s="64">
        <f>SUM(CB26:CE26,CG26:CJ26)</f>
        <v>0</v>
      </c>
      <c r="CL26" s="65">
        <f t="shared" ref="CL26:CU26" si="109">SUM(BE26,CA26,BP26)</f>
        <v>0</v>
      </c>
      <c r="CM26" s="65">
        <f t="shared" si="109"/>
        <v>0</v>
      </c>
      <c r="CN26" s="65">
        <f t="shared" si="109"/>
        <v>0</v>
      </c>
      <c r="CO26" s="65">
        <f t="shared" si="109"/>
        <v>0</v>
      </c>
      <c r="CP26" s="65">
        <f t="shared" si="109"/>
        <v>0</v>
      </c>
      <c r="CQ26" s="65">
        <f t="shared" si="109"/>
        <v>0</v>
      </c>
      <c r="CR26" s="65">
        <f t="shared" si="109"/>
        <v>0</v>
      </c>
      <c r="CS26" s="65">
        <f t="shared" si="109"/>
        <v>0</v>
      </c>
      <c r="CT26" s="65">
        <f t="shared" si="109"/>
        <v>0</v>
      </c>
      <c r="CU26" s="65">
        <f t="shared" si="109"/>
        <v>0</v>
      </c>
      <c r="CV26" s="64">
        <f>SUM(CM26:CP26,CR26:CU26)</f>
        <v>0</v>
      </c>
      <c r="CW26" s="62"/>
      <c r="CX26" s="63"/>
      <c r="CY26" s="63"/>
      <c r="CZ26" s="63"/>
      <c r="DA26" s="63"/>
      <c r="DB26" s="63"/>
      <c r="DC26" s="63"/>
      <c r="DD26" s="63"/>
      <c r="DE26" s="63"/>
      <c r="DF26" s="63"/>
      <c r="DG26" s="64">
        <f>SUM(CX26:DA26,DC26:DF26)</f>
        <v>0</v>
      </c>
      <c r="DH26" s="62"/>
      <c r="DI26" s="63"/>
      <c r="DJ26" s="63"/>
      <c r="DK26" s="63"/>
      <c r="DL26" s="63"/>
      <c r="DM26" s="63"/>
      <c r="DN26" s="63"/>
      <c r="DO26" s="63"/>
      <c r="DP26" s="63"/>
      <c r="DQ26" s="63"/>
      <c r="DR26" s="64">
        <f>SUM(DI26:DL26,DN26:DQ26)</f>
        <v>0</v>
      </c>
      <c r="DS26" s="62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5">
        <f t="shared" ref="ED26:EM26" si="110">SUM(CW26,DS26,DH26)</f>
        <v>0</v>
      </c>
      <c r="EE26" s="65">
        <f t="shared" si="110"/>
        <v>0</v>
      </c>
      <c r="EF26" s="65">
        <f t="shared" si="110"/>
        <v>0</v>
      </c>
      <c r="EG26" s="65">
        <f t="shared" si="110"/>
        <v>0</v>
      </c>
      <c r="EH26" s="65">
        <f t="shared" si="110"/>
        <v>0</v>
      </c>
      <c r="EI26" s="65">
        <f t="shared" si="110"/>
        <v>0</v>
      </c>
      <c r="EJ26" s="65">
        <f t="shared" si="110"/>
        <v>0</v>
      </c>
      <c r="EK26" s="65">
        <f t="shared" si="110"/>
        <v>0</v>
      </c>
      <c r="EL26" s="65">
        <f t="shared" si="110"/>
        <v>0</v>
      </c>
      <c r="EM26" s="65">
        <f t="shared" si="110"/>
        <v>0</v>
      </c>
      <c r="EN26" s="64">
        <f>SUM(EE26:EH26,EJ26:EM26)</f>
        <v>0</v>
      </c>
      <c r="EO26" s="62"/>
      <c r="EP26" s="63"/>
      <c r="EQ26" s="63"/>
      <c r="ER26" s="63"/>
      <c r="ES26" s="63"/>
      <c r="ET26" s="63"/>
      <c r="EU26" s="63"/>
      <c r="EV26" s="63"/>
      <c r="EW26" s="63"/>
      <c r="EX26" s="63"/>
      <c r="EY26" s="64">
        <f>SUM(EP26:ES26,EU26:EX26)</f>
        <v>0</v>
      </c>
      <c r="EZ26" s="62"/>
      <c r="FA26" s="63"/>
      <c r="FB26" s="63"/>
      <c r="FC26" s="63"/>
      <c r="FD26" s="63"/>
      <c r="FE26" s="63"/>
      <c r="FF26" s="63"/>
      <c r="FG26" s="63"/>
      <c r="FH26" s="63"/>
      <c r="FI26" s="63"/>
      <c r="FJ26" s="64">
        <f>SUM(FA26:FD26,FF26:FI26)</f>
        <v>0</v>
      </c>
      <c r="FK26" s="62"/>
      <c r="FL26" s="63"/>
      <c r="FM26" s="63"/>
      <c r="FN26" s="63"/>
      <c r="FO26" s="63"/>
      <c r="FP26" s="63"/>
      <c r="FQ26" s="63"/>
      <c r="FR26" s="63"/>
      <c r="FS26" s="63"/>
      <c r="FT26" s="63"/>
      <c r="FU26" s="64">
        <f>SUM(FL26:FO26,FQ26:FT26)</f>
        <v>0</v>
      </c>
      <c r="FV26" s="65">
        <f t="shared" ref="FV26:GE26" si="111">SUM(EO26,FK26,EZ26)</f>
        <v>0</v>
      </c>
      <c r="FW26" s="65">
        <f t="shared" si="111"/>
        <v>0</v>
      </c>
      <c r="FX26" s="65">
        <f t="shared" si="111"/>
        <v>0</v>
      </c>
      <c r="FY26" s="65">
        <f t="shared" si="111"/>
        <v>0</v>
      </c>
      <c r="FZ26" s="65">
        <f t="shared" si="111"/>
        <v>0</v>
      </c>
      <c r="GA26" s="65">
        <f t="shared" si="111"/>
        <v>0</v>
      </c>
      <c r="GB26" s="65">
        <f t="shared" si="111"/>
        <v>0</v>
      </c>
      <c r="GC26" s="65">
        <f t="shared" si="111"/>
        <v>0</v>
      </c>
      <c r="GD26" s="65">
        <f t="shared" si="111"/>
        <v>0</v>
      </c>
      <c r="GE26" s="65">
        <f t="shared" si="111"/>
        <v>0</v>
      </c>
      <c r="GF26" s="64">
        <f>SUM(FW26:FZ26,GB26:GE26)</f>
        <v>0</v>
      </c>
      <c r="GG26" s="66">
        <f>SUM(AT26,CL26,ED26,FV26)</f>
        <v>0</v>
      </c>
      <c r="GH26" s="66">
        <f t="shared" ref="GH26:GP26" si="112">SUM(AU26,CM26,EE26,FW26)</f>
        <v>0</v>
      </c>
      <c r="GI26" s="66">
        <f t="shared" si="112"/>
        <v>0</v>
      </c>
      <c r="GJ26" s="66">
        <f t="shared" si="112"/>
        <v>0</v>
      </c>
      <c r="GK26" s="66">
        <f t="shared" si="112"/>
        <v>0</v>
      </c>
      <c r="GL26" s="66">
        <f t="shared" si="112"/>
        <v>0</v>
      </c>
      <c r="GM26" s="66">
        <f t="shared" si="112"/>
        <v>0</v>
      </c>
      <c r="GN26" s="66">
        <f t="shared" si="112"/>
        <v>0</v>
      </c>
      <c r="GO26" s="66">
        <f t="shared" si="112"/>
        <v>0</v>
      </c>
      <c r="GP26" s="66">
        <f t="shared" si="112"/>
        <v>0</v>
      </c>
      <c r="GQ26" s="64">
        <f>SUM(GH26:GK26,GM26:GP26)</f>
        <v>0</v>
      </c>
      <c r="GR26" s="63"/>
      <c r="GS26" s="63"/>
      <c r="GT26" s="63"/>
      <c r="GU26" s="63"/>
      <c r="GV26" s="67">
        <f>SUM(GR26:GU26)</f>
        <v>0</v>
      </c>
      <c r="GW26" s="63"/>
      <c r="GX26" s="63"/>
      <c r="GY26" s="63"/>
      <c r="GZ26" s="63"/>
      <c r="HA26" s="67">
        <f>SUM(GW26:GZ26)</f>
        <v>0</v>
      </c>
      <c r="HB26" s="63"/>
      <c r="HC26" s="63"/>
      <c r="HD26" s="63"/>
      <c r="HE26" s="63"/>
      <c r="HF26" s="67">
        <f>SUM(HB26:HE26)</f>
        <v>0</v>
      </c>
      <c r="HG26" s="63"/>
      <c r="HH26" s="63"/>
      <c r="HI26" s="63"/>
      <c r="HJ26" s="63"/>
      <c r="HK26" s="67">
        <f>SUM(HG26:HJ26)</f>
        <v>0</v>
      </c>
      <c r="HL26" s="68">
        <f>SUM(GW26,HB26,HG26)</f>
        <v>0</v>
      </c>
      <c r="HM26" s="68">
        <f>SUM(GX26,HC26,HH26)</f>
        <v>0</v>
      </c>
      <c r="HN26" s="68">
        <f>SUM(GY26,HD26,HI26)</f>
        <v>0</v>
      </c>
      <c r="HO26" s="68">
        <f>SUM(GZ26,HE26,HJ26)</f>
        <v>0</v>
      </c>
      <c r="HP26" s="67">
        <f>SUM(HL26:HO26)</f>
        <v>0</v>
      </c>
      <c r="HQ26" s="63"/>
      <c r="HR26" s="63"/>
      <c r="HS26" s="63"/>
      <c r="HT26" s="63"/>
      <c r="HU26" s="67">
        <f>SUM(HQ26:HT26)</f>
        <v>0</v>
      </c>
      <c r="HV26" s="63"/>
      <c r="HW26" s="63"/>
      <c r="HX26" s="63"/>
      <c r="HY26" s="63"/>
      <c r="HZ26" s="67">
        <f>SUM(HV26:HY26)</f>
        <v>0</v>
      </c>
      <c r="IA26" s="63"/>
      <c r="IB26" s="63"/>
      <c r="IC26" s="63"/>
      <c r="ID26" s="63"/>
      <c r="IE26" s="67">
        <f>SUM(IA26:ID26)</f>
        <v>0</v>
      </c>
      <c r="IF26" s="68">
        <f>SUM(HQ26,HV26,IA26)</f>
        <v>0</v>
      </c>
      <c r="IG26" s="68">
        <f>SUM(HR26,HW26,IB26)</f>
        <v>0</v>
      </c>
      <c r="IH26" s="68">
        <f>SUM(HS26,HX26,IC26)</f>
        <v>0</v>
      </c>
      <c r="II26" s="68">
        <f>SUM(HT26,HY26,ID26)</f>
        <v>0</v>
      </c>
      <c r="IJ26" s="67">
        <f>SUM(IF26:II26)</f>
        <v>0</v>
      </c>
      <c r="IK26" s="63"/>
      <c r="IL26" s="63"/>
      <c r="IM26" s="63"/>
      <c r="IN26" s="63"/>
      <c r="IO26" s="67">
        <f>SUM(IK26:IN26)</f>
        <v>0</v>
      </c>
      <c r="IP26" s="63"/>
      <c r="IQ26" s="63"/>
      <c r="IR26" s="63"/>
      <c r="IS26" s="63"/>
      <c r="IT26" s="67">
        <f>SUM(IP26:IS26)</f>
        <v>0</v>
      </c>
      <c r="IU26" s="63"/>
      <c r="IV26" s="63"/>
    </row>
    <row r="27" spans="1:256" s="78" customFormat="1" x14ac:dyDescent="0.25">
      <c r="A27" s="79" t="s">
        <v>38</v>
      </c>
      <c r="B27" s="80"/>
      <c r="C27" s="81">
        <f t="shared" ref="C27:K27" si="113">SUM(C28:C29)</f>
        <v>0</v>
      </c>
      <c r="D27" s="81">
        <f t="shared" si="113"/>
        <v>0</v>
      </c>
      <c r="E27" s="81">
        <f t="shared" si="113"/>
        <v>0</v>
      </c>
      <c r="F27" s="81">
        <f t="shared" si="113"/>
        <v>0</v>
      </c>
      <c r="G27" s="81">
        <f t="shared" si="113"/>
        <v>0</v>
      </c>
      <c r="H27" s="81">
        <f t="shared" si="113"/>
        <v>0</v>
      </c>
      <c r="I27" s="81">
        <f t="shared" si="113"/>
        <v>0</v>
      </c>
      <c r="J27" s="81">
        <f t="shared" si="113"/>
        <v>0</v>
      </c>
      <c r="K27" s="81">
        <f t="shared" si="113"/>
        <v>0</v>
      </c>
      <c r="L27" s="82">
        <f>SUM(L28:L29)</f>
        <v>0</v>
      </c>
      <c r="M27" s="80"/>
      <c r="N27" s="81">
        <f t="shared" ref="N27:V27" si="114">SUM(N28:N29)</f>
        <v>0</v>
      </c>
      <c r="O27" s="81">
        <f t="shared" si="114"/>
        <v>0</v>
      </c>
      <c r="P27" s="81">
        <f t="shared" si="114"/>
        <v>0</v>
      </c>
      <c r="Q27" s="81">
        <f t="shared" si="114"/>
        <v>0</v>
      </c>
      <c r="R27" s="81">
        <f t="shared" si="114"/>
        <v>0</v>
      </c>
      <c r="S27" s="81">
        <f t="shared" si="114"/>
        <v>0</v>
      </c>
      <c r="T27" s="81">
        <f t="shared" si="114"/>
        <v>0</v>
      </c>
      <c r="U27" s="81">
        <f t="shared" si="114"/>
        <v>0</v>
      </c>
      <c r="V27" s="81">
        <f t="shared" si="114"/>
        <v>0</v>
      </c>
      <c r="W27" s="82">
        <f>SUM(W28:W29)</f>
        <v>0</v>
      </c>
      <c r="X27" s="80"/>
      <c r="Y27" s="81">
        <f t="shared" ref="Y27:AG27" si="115">SUM(Y28:Y29)</f>
        <v>0</v>
      </c>
      <c r="Z27" s="81">
        <f t="shared" si="115"/>
        <v>0</v>
      </c>
      <c r="AA27" s="81">
        <f t="shared" si="115"/>
        <v>0</v>
      </c>
      <c r="AB27" s="81">
        <f t="shared" si="115"/>
        <v>0</v>
      </c>
      <c r="AC27" s="81">
        <f t="shared" si="115"/>
        <v>0</v>
      </c>
      <c r="AD27" s="81">
        <f t="shared" si="115"/>
        <v>0</v>
      </c>
      <c r="AE27" s="81">
        <f t="shared" si="115"/>
        <v>0</v>
      </c>
      <c r="AF27" s="81">
        <f t="shared" si="115"/>
        <v>0</v>
      </c>
      <c r="AG27" s="81">
        <f t="shared" si="115"/>
        <v>0</v>
      </c>
      <c r="AH27" s="82">
        <f>SUM(AH28:AH29)</f>
        <v>0</v>
      </c>
      <c r="AI27" s="80"/>
      <c r="AJ27" s="81">
        <f t="shared" ref="AJ27:AR27" si="116">SUM(AJ28:AJ29)</f>
        <v>0</v>
      </c>
      <c r="AK27" s="81">
        <f t="shared" si="116"/>
        <v>0</v>
      </c>
      <c r="AL27" s="81">
        <f t="shared" si="116"/>
        <v>0</v>
      </c>
      <c r="AM27" s="81">
        <f t="shared" si="116"/>
        <v>0</v>
      </c>
      <c r="AN27" s="81">
        <f t="shared" si="116"/>
        <v>0</v>
      </c>
      <c r="AO27" s="81">
        <f t="shared" si="116"/>
        <v>0</v>
      </c>
      <c r="AP27" s="81">
        <f t="shared" si="116"/>
        <v>0</v>
      </c>
      <c r="AQ27" s="81">
        <f t="shared" si="116"/>
        <v>0</v>
      </c>
      <c r="AR27" s="81">
        <f t="shared" si="116"/>
        <v>0</v>
      </c>
      <c r="AS27" s="82">
        <f>SUM(AS28:AS29)</f>
        <v>0</v>
      </c>
      <c r="AT27" s="80"/>
      <c r="AU27" s="81">
        <f>SUM(AU28:AU29)</f>
        <v>0</v>
      </c>
      <c r="AV27" s="81">
        <f t="shared" ref="AV27:BC27" si="117">SUM(AV28:AV29)</f>
        <v>0</v>
      </c>
      <c r="AW27" s="81">
        <f t="shared" si="117"/>
        <v>0</v>
      </c>
      <c r="AX27" s="81">
        <f t="shared" si="117"/>
        <v>0</v>
      </c>
      <c r="AY27" s="81">
        <f t="shared" si="117"/>
        <v>0</v>
      </c>
      <c r="AZ27" s="81">
        <f t="shared" si="117"/>
        <v>0</v>
      </c>
      <c r="BA27" s="81">
        <f t="shared" si="117"/>
        <v>0</v>
      </c>
      <c r="BB27" s="81">
        <f t="shared" si="117"/>
        <v>0</v>
      </c>
      <c r="BC27" s="81">
        <f t="shared" si="117"/>
        <v>0</v>
      </c>
      <c r="BD27" s="82">
        <f>SUM(BD28:BD29)</f>
        <v>0</v>
      </c>
      <c r="BE27" s="80"/>
      <c r="BF27" s="81">
        <f t="shared" ref="BF27:BN27" si="118">SUM(BF28:BF29)</f>
        <v>0</v>
      </c>
      <c r="BG27" s="81">
        <f t="shared" si="118"/>
        <v>0</v>
      </c>
      <c r="BH27" s="81">
        <f t="shared" si="118"/>
        <v>0</v>
      </c>
      <c r="BI27" s="81">
        <f t="shared" si="118"/>
        <v>0</v>
      </c>
      <c r="BJ27" s="81">
        <f t="shared" si="118"/>
        <v>0</v>
      </c>
      <c r="BK27" s="81">
        <f t="shared" si="118"/>
        <v>0</v>
      </c>
      <c r="BL27" s="81">
        <f t="shared" si="118"/>
        <v>0</v>
      </c>
      <c r="BM27" s="81">
        <f t="shared" si="118"/>
        <v>0</v>
      </c>
      <c r="BN27" s="81">
        <f t="shared" si="118"/>
        <v>0</v>
      </c>
      <c r="BO27" s="82">
        <f>SUM(BO28:BO29)</f>
        <v>0</v>
      </c>
      <c r="BP27" s="80"/>
      <c r="BQ27" s="81">
        <f t="shared" ref="BQ27:BY27" si="119">SUM(BQ28:BQ29)</f>
        <v>0</v>
      </c>
      <c r="BR27" s="81">
        <f t="shared" si="119"/>
        <v>0</v>
      </c>
      <c r="BS27" s="81">
        <f t="shared" si="119"/>
        <v>0</v>
      </c>
      <c r="BT27" s="81">
        <f t="shared" si="119"/>
        <v>0</v>
      </c>
      <c r="BU27" s="81">
        <f t="shared" si="119"/>
        <v>0</v>
      </c>
      <c r="BV27" s="81">
        <f t="shared" si="119"/>
        <v>0</v>
      </c>
      <c r="BW27" s="81">
        <f t="shared" si="119"/>
        <v>0</v>
      </c>
      <c r="BX27" s="81">
        <f t="shared" si="119"/>
        <v>0</v>
      </c>
      <c r="BY27" s="81">
        <f t="shared" si="119"/>
        <v>0</v>
      </c>
      <c r="BZ27" s="82">
        <f>SUM(BZ28:BZ29)</f>
        <v>0</v>
      </c>
      <c r="CA27" s="80"/>
      <c r="CB27" s="81">
        <f t="shared" ref="CB27:CJ27" si="120">SUM(CB28:CB29)</f>
        <v>0</v>
      </c>
      <c r="CC27" s="81">
        <f t="shared" si="120"/>
        <v>0</v>
      </c>
      <c r="CD27" s="81">
        <f t="shared" si="120"/>
        <v>0</v>
      </c>
      <c r="CE27" s="81">
        <f t="shared" si="120"/>
        <v>0</v>
      </c>
      <c r="CF27" s="81">
        <f t="shared" si="120"/>
        <v>0</v>
      </c>
      <c r="CG27" s="81">
        <f t="shared" si="120"/>
        <v>0</v>
      </c>
      <c r="CH27" s="81">
        <f t="shared" si="120"/>
        <v>0</v>
      </c>
      <c r="CI27" s="81">
        <f t="shared" si="120"/>
        <v>0</v>
      </c>
      <c r="CJ27" s="81">
        <f t="shared" si="120"/>
        <v>0</v>
      </c>
      <c r="CK27" s="82">
        <f>SUM(CK28:CK29)</f>
        <v>0</v>
      </c>
      <c r="CL27" s="80"/>
      <c r="CM27" s="81">
        <f>SUM(CM28:CM29)</f>
        <v>0</v>
      </c>
      <c r="CN27" s="81">
        <f t="shared" ref="CN27:CU27" si="121">SUM(CN28:CN29)</f>
        <v>0</v>
      </c>
      <c r="CO27" s="81">
        <f t="shared" si="121"/>
        <v>0</v>
      </c>
      <c r="CP27" s="81">
        <f t="shared" si="121"/>
        <v>0</v>
      </c>
      <c r="CQ27" s="81">
        <f t="shared" si="121"/>
        <v>0</v>
      </c>
      <c r="CR27" s="81">
        <f t="shared" si="121"/>
        <v>0</v>
      </c>
      <c r="CS27" s="81">
        <f t="shared" si="121"/>
        <v>0</v>
      </c>
      <c r="CT27" s="81">
        <f t="shared" si="121"/>
        <v>0</v>
      </c>
      <c r="CU27" s="81">
        <f t="shared" si="121"/>
        <v>0</v>
      </c>
      <c r="CV27" s="82">
        <f>SUM(CV28:CV29)</f>
        <v>0</v>
      </c>
      <c r="CW27" s="80"/>
      <c r="CX27" s="81">
        <f t="shared" ref="CX27:DF27" si="122">SUM(CX28:CX29)</f>
        <v>0</v>
      </c>
      <c r="CY27" s="81">
        <f t="shared" si="122"/>
        <v>0</v>
      </c>
      <c r="CZ27" s="81">
        <f t="shared" si="122"/>
        <v>0</v>
      </c>
      <c r="DA27" s="81">
        <f t="shared" si="122"/>
        <v>0</v>
      </c>
      <c r="DB27" s="81">
        <f t="shared" si="122"/>
        <v>0</v>
      </c>
      <c r="DC27" s="81">
        <f t="shared" si="122"/>
        <v>0</v>
      </c>
      <c r="DD27" s="81">
        <f t="shared" si="122"/>
        <v>0</v>
      </c>
      <c r="DE27" s="81">
        <f t="shared" si="122"/>
        <v>0</v>
      </c>
      <c r="DF27" s="81">
        <f t="shared" si="122"/>
        <v>0</v>
      </c>
      <c r="DG27" s="82">
        <f>SUM(DG28:DG29)</f>
        <v>0</v>
      </c>
      <c r="DH27" s="80"/>
      <c r="DI27" s="81">
        <f t="shared" ref="DI27:DQ27" si="123">SUM(DI28:DI29)</f>
        <v>0</v>
      </c>
      <c r="DJ27" s="81">
        <f t="shared" si="123"/>
        <v>0</v>
      </c>
      <c r="DK27" s="81">
        <f t="shared" si="123"/>
        <v>0</v>
      </c>
      <c r="DL27" s="81">
        <f t="shared" si="123"/>
        <v>0</v>
      </c>
      <c r="DM27" s="81">
        <f t="shared" si="123"/>
        <v>0</v>
      </c>
      <c r="DN27" s="81">
        <f t="shared" si="123"/>
        <v>0</v>
      </c>
      <c r="DO27" s="81">
        <f t="shared" si="123"/>
        <v>0</v>
      </c>
      <c r="DP27" s="81">
        <f t="shared" si="123"/>
        <v>0</v>
      </c>
      <c r="DQ27" s="81">
        <f t="shared" si="123"/>
        <v>0</v>
      </c>
      <c r="DR27" s="82">
        <f>SUM(DR28:DR29)</f>
        <v>0</v>
      </c>
      <c r="DS27" s="80"/>
      <c r="DT27" s="81">
        <f t="shared" ref="DT27:EB27" si="124">SUM(DT28:DT29)</f>
        <v>0</v>
      </c>
      <c r="DU27" s="81">
        <f t="shared" si="124"/>
        <v>0</v>
      </c>
      <c r="DV27" s="81">
        <f t="shared" si="124"/>
        <v>0</v>
      </c>
      <c r="DW27" s="81">
        <f t="shared" si="124"/>
        <v>0</v>
      </c>
      <c r="DX27" s="81">
        <f t="shared" si="124"/>
        <v>0</v>
      </c>
      <c r="DY27" s="81">
        <f t="shared" si="124"/>
        <v>0</v>
      </c>
      <c r="DZ27" s="81">
        <f t="shared" si="124"/>
        <v>0</v>
      </c>
      <c r="EA27" s="81">
        <f t="shared" si="124"/>
        <v>0</v>
      </c>
      <c r="EB27" s="81">
        <f t="shared" si="124"/>
        <v>0</v>
      </c>
      <c r="EC27" s="81">
        <f>SUM(EC28:EC29)</f>
        <v>0</v>
      </c>
      <c r="ED27" s="80"/>
      <c r="EE27" s="81">
        <f>SUM(EE28:EE29)</f>
        <v>0</v>
      </c>
      <c r="EF27" s="81">
        <f t="shared" ref="EF27:EM27" si="125">SUM(EF28:EF29)</f>
        <v>0</v>
      </c>
      <c r="EG27" s="81">
        <f t="shared" si="125"/>
        <v>0</v>
      </c>
      <c r="EH27" s="81">
        <f t="shared" si="125"/>
        <v>0</v>
      </c>
      <c r="EI27" s="81">
        <f t="shared" si="125"/>
        <v>0</v>
      </c>
      <c r="EJ27" s="81">
        <f t="shared" si="125"/>
        <v>0</v>
      </c>
      <c r="EK27" s="81">
        <f t="shared" si="125"/>
        <v>0</v>
      </c>
      <c r="EL27" s="81">
        <f t="shared" si="125"/>
        <v>0</v>
      </c>
      <c r="EM27" s="81">
        <f t="shared" si="125"/>
        <v>0</v>
      </c>
      <c r="EN27" s="82">
        <f>SUM(EN28:EN29)</f>
        <v>0</v>
      </c>
      <c r="EO27" s="80"/>
      <c r="EP27" s="81">
        <f t="shared" ref="EP27:EX27" si="126">SUM(EP28:EP29)</f>
        <v>0</v>
      </c>
      <c r="EQ27" s="81">
        <f t="shared" si="126"/>
        <v>0</v>
      </c>
      <c r="ER27" s="81">
        <f t="shared" si="126"/>
        <v>0</v>
      </c>
      <c r="ES27" s="81">
        <f t="shared" si="126"/>
        <v>0</v>
      </c>
      <c r="ET27" s="81">
        <f t="shared" si="126"/>
        <v>0</v>
      </c>
      <c r="EU27" s="81">
        <f t="shared" si="126"/>
        <v>0</v>
      </c>
      <c r="EV27" s="81">
        <f t="shared" si="126"/>
        <v>0</v>
      </c>
      <c r="EW27" s="81">
        <f t="shared" si="126"/>
        <v>0</v>
      </c>
      <c r="EX27" s="81">
        <f t="shared" si="126"/>
        <v>0</v>
      </c>
      <c r="EY27" s="82">
        <f>SUM(EY28:EY29)</f>
        <v>0</v>
      </c>
      <c r="EZ27" s="80"/>
      <c r="FA27" s="81">
        <f t="shared" ref="FA27:FI27" si="127">SUM(FA28:FA29)</f>
        <v>0</v>
      </c>
      <c r="FB27" s="81">
        <f t="shared" si="127"/>
        <v>0</v>
      </c>
      <c r="FC27" s="81">
        <f t="shared" si="127"/>
        <v>0</v>
      </c>
      <c r="FD27" s="81">
        <f t="shared" si="127"/>
        <v>0</v>
      </c>
      <c r="FE27" s="81">
        <f t="shared" si="127"/>
        <v>0</v>
      </c>
      <c r="FF27" s="81">
        <f t="shared" si="127"/>
        <v>0</v>
      </c>
      <c r="FG27" s="81">
        <f t="shared" si="127"/>
        <v>0</v>
      </c>
      <c r="FH27" s="81">
        <f t="shared" si="127"/>
        <v>0</v>
      </c>
      <c r="FI27" s="81">
        <f t="shared" si="127"/>
        <v>0</v>
      </c>
      <c r="FJ27" s="82">
        <f>SUM(FJ28:FJ29)</f>
        <v>0</v>
      </c>
      <c r="FK27" s="80"/>
      <c r="FL27" s="81">
        <f t="shared" ref="FL27:FT27" si="128">SUM(FL28:FL29)</f>
        <v>0</v>
      </c>
      <c r="FM27" s="81">
        <f t="shared" si="128"/>
        <v>0</v>
      </c>
      <c r="FN27" s="81">
        <f t="shared" si="128"/>
        <v>0</v>
      </c>
      <c r="FO27" s="81">
        <f t="shared" si="128"/>
        <v>0</v>
      </c>
      <c r="FP27" s="81">
        <f t="shared" si="128"/>
        <v>0</v>
      </c>
      <c r="FQ27" s="81">
        <f t="shared" si="128"/>
        <v>0</v>
      </c>
      <c r="FR27" s="81">
        <f t="shared" si="128"/>
        <v>0</v>
      </c>
      <c r="FS27" s="81">
        <f t="shared" si="128"/>
        <v>0</v>
      </c>
      <c r="FT27" s="81">
        <f t="shared" si="128"/>
        <v>0</v>
      </c>
      <c r="FU27" s="82">
        <f>SUM(FU28:FU29)</f>
        <v>0</v>
      </c>
      <c r="FV27" s="80"/>
      <c r="FW27" s="81">
        <f>SUM(FW28:FW29)</f>
        <v>0</v>
      </c>
      <c r="FX27" s="81">
        <f t="shared" ref="FX27:GE27" si="129">SUM(FX28:FX29)</f>
        <v>0</v>
      </c>
      <c r="FY27" s="81">
        <f t="shared" si="129"/>
        <v>0</v>
      </c>
      <c r="FZ27" s="81">
        <f t="shared" si="129"/>
        <v>0</v>
      </c>
      <c r="GA27" s="81">
        <f t="shared" si="129"/>
        <v>0</v>
      </c>
      <c r="GB27" s="81">
        <f t="shared" si="129"/>
        <v>0</v>
      </c>
      <c r="GC27" s="81">
        <f t="shared" si="129"/>
        <v>0</v>
      </c>
      <c r="GD27" s="81">
        <f t="shared" si="129"/>
        <v>0</v>
      </c>
      <c r="GE27" s="81">
        <f t="shared" si="129"/>
        <v>0</v>
      </c>
      <c r="GF27" s="82">
        <f>SUM(GF28:GF29)</f>
        <v>0</v>
      </c>
      <c r="GG27" s="80"/>
      <c r="GH27" s="81">
        <f t="shared" ref="GH27:GP27" si="130">SUM(GH28:GH29)</f>
        <v>0</v>
      </c>
      <c r="GI27" s="81">
        <f t="shared" si="130"/>
        <v>0</v>
      </c>
      <c r="GJ27" s="81">
        <f t="shared" si="130"/>
        <v>0</v>
      </c>
      <c r="GK27" s="81">
        <f t="shared" si="130"/>
        <v>0</v>
      </c>
      <c r="GL27" s="81">
        <f t="shared" si="130"/>
        <v>0</v>
      </c>
      <c r="GM27" s="81">
        <f t="shared" si="130"/>
        <v>0</v>
      </c>
      <c r="GN27" s="81">
        <f t="shared" si="130"/>
        <v>0</v>
      </c>
      <c r="GO27" s="81">
        <f t="shared" si="130"/>
        <v>0</v>
      </c>
      <c r="GP27" s="81">
        <f t="shared" si="130"/>
        <v>0</v>
      </c>
      <c r="GQ27" s="82">
        <f t="shared" ref="GQ27:HV27" si="131">SUM(GQ28:GQ29)</f>
        <v>0</v>
      </c>
      <c r="GR27" s="81">
        <f t="shared" si="131"/>
        <v>0</v>
      </c>
      <c r="GS27" s="81">
        <f t="shared" si="131"/>
        <v>0</v>
      </c>
      <c r="GT27" s="81">
        <f t="shared" si="131"/>
        <v>0</v>
      </c>
      <c r="GU27" s="81">
        <f t="shared" si="131"/>
        <v>0</v>
      </c>
      <c r="GV27" s="81">
        <f t="shared" si="131"/>
        <v>0</v>
      </c>
      <c r="GW27" s="81">
        <f t="shared" si="131"/>
        <v>0</v>
      </c>
      <c r="GX27" s="81">
        <f t="shared" si="131"/>
        <v>0</v>
      </c>
      <c r="GY27" s="81">
        <f t="shared" si="131"/>
        <v>0</v>
      </c>
      <c r="GZ27" s="81">
        <f t="shared" si="131"/>
        <v>0</v>
      </c>
      <c r="HA27" s="81">
        <f t="shared" si="131"/>
        <v>0</v>
      </c>
      <c r="HB27" s="81">
        <f t="shared" si="131"/>
        <v>0</v>
      </c>
      <c r="HC27" s="81">
        <f t="shared" si="131"/>
        <v>0</v>
      </c>
      <c r="HD27" s="81">
        <f t="shared" si="131"/>
        <v>0</v>
      </c>
      <c r="HE27" s="81">
        <f t="shared" si="131"/>
        <v>0</v>
      </c>
      <c r="HF27" s="81">
        <f t="shared" si="131"/>
        <v>0</v>
      </c>
      <c r="HG27" s="81">
        <f t="shared" si="131"/>
        <v>0</v>
      </c>
      <c r="HH27" s="81">
        <f t="shared" si="131"/>
        <v>0</v>
      </c>
      <c r="HI27" s="81">
        <f t="shared" si="131"/>
        <v>0</v>
      </c>
      <c r="HJ27" s="81">
        <f t="shared" si="131"/>
        <v>0</v>
      </c>
      <c r="HK27" s="81">
        <f t="shared" si="131"/>
        <v>0</v>
      </c>
      <c r="HL27" s="81">
        <f t="shared" si="131"/>
        <v>0</v>
      </c>
      <c r="HM27" s="81">
        <f t="shared" si="131"/>
        <v>0</v>
      </c>
      <c r="HN27" s="81">
        <f t="shared" si="131"/>
        <v>0</v>
      </c>
      <c r="HO27" s="81">
        <f t="shared" si="131"/>
        <v>0</v>
      </c>
      <c r="HP27" s="81">
        <f t="shared" si="131"/>
        <v>0</v>
      </c>
      <c r="HQ27" s="81">
        <f t="shared" si="131"/>
        <v>0</v>
      </c>
      <c r="HR27" s="81">
        <f t="shared" si="131"/>
        <v>0</v>
      </c>
      <c r="HS27" s="81">
        <f t="shared" si="131"/>
        <v>0</v>
      </c>
      <c r="HT27" s="81">
        <f t="shared" si="131"/>
        <v>0</v>
      </c>
      <c r="HU27" s="81">
        <f t="shared" si="131"/>
        <v>0</v>
      </c>
      <c r="HV27" s="81">
        <f t="shared" si="131"/>
        <v>0</v>
      </c>
      <c r="HW27" s="81">
        <f t="shared" ref="HW27:IV27" si="132">SUM(HW28:HW29)</f>
        <v>0</v>
      </c>
      <c r="HX27" s="81">
        <f t="shared" si="132"/>
        <v>0</v>
      </c>
      <c r="HY27" s="81">
        <f t="shared" si="132"/>
        <v>0</v>
      </c>
      <c r="HZ27" s="81">
        <f t="shared" si="132"/>
        <v>0</v>
      </c>
      <c r="IA27" s="81">
        <f t="shared" si="132"/>
        <v>0</v>
      </c>
      <c r="IB27" s="81">
        <f t="shared" si="132"/>
        <v>0</v>
      </c>
      <c r="IC27" s="81">
        <f t="shared" si="132"/>
        <v>0</v>
      </c>
      <c r="ID27" s="81">
        <f t="shared" si="132"/>
        <v>0</v>
      </c>
      <c r="IE27" s="81">
        <f t="shared" si="132"/>
        <v>0</v>
      </c>
      <c r="IF27" s="81">
        <f t="shared" si="132"/>
        <v>0</v>
      </c>
      <c r="IG27" s="81">
        <f t="shared" si="132"/>
        <v>0</v>
      </c>
      <c r="IH27" s="81">
        <f t="shared" si="132"/>
        <v>0</v>
      </c>
      <c r="II27" s="81">
        <f t="shared" si="132"/>
        <v>0</v>
      </c>
      <c r="IJ27" s="81">
        <f t="shared" si="132"/>
        <v>0</v>
      </c>
      <c r="IK27" s="81">
        <f t="shared" si="132"/>
        <v>0</v>
      </c>
      <c r="IL27" s="81">
        <f t="shared" si="132"/>
        <v>0</v>
      </c>
      <c r="IM27" s="81">
        <f t="shared" si="132"/>
        <v>0</v>
      </c>
      <c r="IN27" s="81">
        <f t="shared" si="132"/>
        <v>0</v>
      </c>
      <c r="IO27" s="81">
        <f t="shared" si="132"/>
        <v>0</v>
      </c>
      <c r="IP27" s="81">
        <f t="shared" si="132"/>
        <v>0</v>
      </c>
      <c r="IQ27" s="81">
        <f t="shared" si="132"/>
        <v>0</v>
      </c>
      <c r="IR27" s="81">
        <f t="shared" si="132"/>
        <v>0</v>
      </c>
      <c r="IS27" s="81">
        <f t="shared" si="132"/>
        <v>0</v>
      </c>
      <c r="IT27" s="81">
        <f t="shared" si="132"/>
        <v>0</v>
      </c>
      <c r="IU27" s="81">
        <f t="shared" si="132"/>
        <v>0</v>
      </c>
      <c r="IV27" s="81">
        <f t="shared" si="132"/>
        <v>0</v>
      </c>
    </row>
    <row r="28" spans="1:256" x14ac:dyDescent="0.25">
      <c r="A28" s="83" t="s">
        <v>39</v>
      </c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4">
        <f>SUM(C28:F28,H28:K28)</f>
        <v>0</v>
      </c>
      <c r="M28" s="62"/>
      <c r="N28" s="63"/>
      <c r="O28" s="63"/>
      <c r="P28" s="63"/>
      <c r="Q28" s="63"/>
      <c r="R28" s="63"/>
      <c r="S28" s="63"/>
      <c r="T28" s="63"/>
      <c r="U28" s="63"/>
      <c r="V28" s="63"/>
      <c r="W28" s="64">
        <f>SUM(N28:Q28,S28:V28)</f>
        <v>0</v>
      </c>
      <c r="X28" s="62"/>
      <c r="Y28" s="63"/>
      <c r="Z28" s="63"/>
      <c r="AA28" s="63"/>
      <c r="AB28" s="63"/>
      <c r="AC28" s="63"/>
      <c r="AD28" s="63"/>
      <c r="AE28" s="63"/>
      <c r="AF28" s="63"/>
      <c r="AG28" s="63"/>
      <c r="AH28" s="64">
        <f>SUM(Y28:AB28,AD28:AG28)</f>
        <v>0</v>
      </c>
      <c r="AI28" s="62"/>
      <c r="AJ28" s="63"/>
      <c r="AK28" s="63"/>
      <c r="AL28" s="63"/>
      <c r="AM28" s="63"/>
      <c r="AN28" s="63"/>
      <c r="AO28" s="63"/>
      <c r="AP28" s="63"/>
      <c r="AQ28" s="63"/>
      <c r="AR28" s="63"/>
      <c r="AS28" s="64">
        <f>SUM(AJ28:AM28,AO28:AR28)</f>
        <v>0</v>
      </c>
      <c r="AT28" s="65">
        <f t="shared" ref="AT28:BC29" si="133">SUM(M28,AI28,X28)</f>
        <v>0</v>
      </c>
      <c r="AU28" s="65">
        <f t="shared" si="133"/>
        <v>0</v>
      </c>
      <c r="AV28" s="65">
        <f t="shared" si="133"/>
        <v>0</v>
      </c>
      <c r="AW28" s="65">
        <f t="shared" si="133"/>
        <v>0</v>
      </c>
      <c r="AX28" s="65">
        <f t="shared" si="133"/>
        <v>0</v>
      </c>
      <c r="AY28" s="65">
        <f t="shared" si="133"/>
        <v>0</v>
      </c>
      <c r="AZ28" s="65">
        <f t="shared" si="133"/>
        <v>0</v>
      </c>
      <c r="BA28" s="65">
        <f t="shared" si="133"/>
        <v>0</v>
      </c>
      <c r="BB28" s="65">
        <f t="shared" si="133"/>
        <v>0</v>
      </c>
      <c r="BC28" s="65">
        <f t="shared" si="133"/>
        <v>0</v>
      </c>
      <c r="BD28" s="64">
        <f>SUM(AU28:AX28,AZ28:BC28)</f>
        <v>0</v>
      </c>
      <c r="BE28" s="62"/>
      <c r="BF28" s="63"/>
      <c r="BG28" s="63"/>
      <c r="BH28" s="63"/>
      <c r="BI28" s="63"/>
      <c r="BJ28" s="63"/>
      <c r="BK28" s="63"/>
      <c r="BL28" s="63"/>
      <c r="BM28" s="63"/>
      <c r="BN28" s="63"/>
      <c r="BO28" s="64">
        <f>SUM(BF28:BI28,BK28:BN28)</f>
        <v>0</v>
      </c>
      <c r="BP28" s="62"/>
      <c r="BQ28" s="63"/>
      <c r="BR28" s="63"/>
      <c r="BS28" s="63"/>
      <c r="BT28" s="63"/>
      <c r="BU28" s="63"/>
      <c r="BV28" s="63"/>
      <c r="BW28" s="63"/>
      <c r="BX28" s="63"/>
      <c r="BY28" s="63"/>
      <c r="BZ28" s="64">
        <f>SUM(BQ28:BT28,BV28:BY28)</f>
        <v>0</v>
      </c>
      <c r="CA28" s="62"/>
      <c r="CB28" s="63"/>
      <c r="CC28" s="63"/>
      <c r="CD28" s="63"/>
      <c r="CE28" s="63"/>
      <c r="CF28" s="63"/>
      <c r="CG28" s="63"/>
      <c r="CH28" s="63"/>
      <c r="CI28" s="63"/>
      <c r="CJ28" s="63"/>
      <c r="CK28" s="64">
        <f>SUM(CB28:CE28,CG28:CJ28)</f>
        <v>0</v>
      </c>
      <c r="CL28" s="65">
        <f t="shared" ref="CL28:CU29" si="134">SUM(BE28,CA28,BP28)</f>
        <v>0</v>
      </c>
      <c r="CM28" s="65">
        <f t="shared" si="134"/>
        <v>0</v>
      </c>
      <c r="CN28" s="65">
        <f t="shared" si="134"/>
        <v>0</v>
      </c>
      <c r="CO28" s="65">
        <f t="shared" si="134"/>
        <v>0</v>
      </c>
      <c r="CP28" s="65">
        <f t="shared" si="134"/>
        <v>0</v>
      </c>
      <c r="CQ28" s="65">
        <f t="shared" si="134"/>
        <v>0</v>
      </c>
      <c r="CR28" s="65">
        <f t="shared" si="134"/>
        <v>0</v>
      </c>
      <c r="CS28" s="65">
        <f t="shared" si="134"/>
        <v>0</v>
      </c>
      <c r="CT28" s="65">
        <f t="shared" si="134"/>
        <v>0</v>
      </c>
      <c r="CU28" s="65">
        <f t="shared" si="134"/>
        <v>0</v>
      </c>
      <c r="CV28" s="64">
        <f>SUM(CM28:CP28,CR28:CU28)</f>
        <v>0</v>
      </c>
      <c r="CW28" s="62"/>
      <c r="CX28" s="63"/>
      <c r="CY28" s="63"/>
      <c r="CZ28" s="63"/>
      <c r="DA28" s="63"/>
      <c r="DB28" s="63"/>
      <c r="DC28" s="63"/>
      <c r="DD28" s="63"/>
      <c r="DE28" s="63"/>
      <c r="DF28" s="63"/>
      <c r="DG28" s="64">
        <f>SUM(CX28:DA28,DC28:DF28)</f>
        <v>0</v>
      </c>
      <c r="DH28" s="62"/>
      <c r="DI28" s="63"/>
      <c r="DJ28" s="63"/>
      <c r="DK28" s="63"/>
      <c r="DL28" s="63"/>
      <c r="DM28" s="63"/>
      <c r="DN28" s="63"/>
      <c r="DO28" s="63"/>
      <c r="DP28" s="63"/>
      <c r="DQ28" s="63"/>
      <c r="DR28" s="64">
        <f>SUM(DI28:DL28,DN28:DQ28)</f>
        <v>0</v>
      </c>
      <c r="DS28" s="62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5">
        <f t="shared" ref="ED28:EM29" si="135">SUM(CW28,DS28,DH28)</f>
        <v>0</v>
      </c>
      <c r="EE28" s="65">
        <f t="shared" si="135"/>
        <v>0</v>
      </c>
      <c r="EF28" s="65">
        <f t="shared" si="135"/>
        <v>0</v>
      </c>
      <c r="EG28" s="65">
        <f t="shared" si="135"/>
        <v>0</v>
      </c>
      <c r="EH28" s="65">
        <f t="shared" si="135"/>
        <v>0</v>
      </c>
      <c r="EI28" s="65">
        <f t="shared" si="135"/>
        <v>0</v>
      </c>
      <c r="EJ28" s="65">
        <f t="shared" si="135"/>
        <v>0</v>
      </c>
      <c r="EK28" s="65">
        <f t="shared" si="135"/>
        <v>0</v>
      </c>
      <c r="EL28" s="65">
        <f t="shared" si="135"/>
        <v>0</v>
      </c>
      <c r="EM28" s="65">
        <f t="shared" si="135"/>
        <v>0</v>
      </c>
      <c r="EN28" s="64">
        <f>SUM(EE28:EH28,EJ28:EM28)</f>
        <v>0</v>
      </c>
      <c r="EO28" s="62"/>
      <c r="EP28" s="63"/>
      <c r="EQ28" s="63"/>
      <c r="ER28" s="63"/>
      <c r="ES28" s="63"/>
      <c r="ET28" s="63"/>
      <c r="EU28" s="63"/>
      <c r="EV28" s="63"/>
      <c r="EW28" s="63"/>
      <c r="EX28" s="63"/>
      <c r="EY28" s="64">
        <f>SUM(EP28:ES28,EU28:EX28)</f>
        <v>0</v>
      </c>
      <c r="EZ28" s="62"/>
      <c r="FA28" s="63"/>
      <c r="FB28" s="63"/>
      <c r="FC28" s="63"/>
      <c r="FD28" s="63"/>
      <c r="FE28" s="63"/>
      <c r="FF28" s="63"/>
      <c r="FG28" s="63"/>
      <c r="FH28" s="63"/>
      <c r="FI28" s="63"/>
      <c r="FJ28" s="64">
        <f>SUM(FA28:FD28,FF28:FI28)</f>
        <v>0</v>
      </c>
      <c r="FK28" s="62"/>
      <c r="FL28" s="63"/>
      <c r="FM28" s="63"/>
      <c r="FN28" s="63"/>
      <c r="FO28" s="63"/>
      <c r="FP28" s="63"/>
      <c r="FQ28" s="63"/>
      <c r="FR28" s="63"/>
      <c r="FS28" s="63"/>
      <c r="FT28" s="63"/>
      <c r="FU28" s="64">
        <f>SUM(FL28:FO28,FQ28:FT28)</f>
        <v>0</v>
      </c>
      <c r="FV28" s="65">
        <f t="shared" ref="FV28:GE29" si="136">SUM(EO28,FK28,EZ28)</f>
        <v>0</v>
      </c>
      <c r="FW28" s="65">
        <f t="shared" si="136"/>
        <v>0</v>
      </c>
      <c r="FX28" s="65">
        <f t="shared" si="136"/>
        <v>0</v>
      </c>
      <c r="FY28" s="65">
        <f t="shared" si="136"/>
        <v>0</v>
      </c>
      <c r="FZ28" s="65">
        <f t="shared" si="136"/>
        <v>0</v>
      </c>
      <c r="GA28" s="65">
        <f t="shared" si="136"/>
        <v>0</v>
      </c>
      <c r="GB28" s="65">
        <f t="shared" si="136"/>
        <v>0</v>
      </c>
      <c r="GC28" s="65">
        <f t="shared" si="136"/>
        <v>0</v>
      </c>
      <c r="GD28" s="65">
        <f t="shared" si="136"/>
        <v>0</v>
      </c>
      <c r="GE28" s="65">
        <f t="shared" si="136"/>
        <v>0</v>
      </c>
      <c r="GF28" s="64">
        <f>SUM(FW28:FZ28,GB28:GE28)</f>
        <v>0</v>
      </c>
      <c r="GG28" s="66">
        <f t="shared" ref="GG28:GP29" si="137">SUM(AT28,CL28,ED28,FV28)</f>
        <v>0</v>
      </c>
      <c r="GH28" s="66">
        <f t="shared" si="137"/>
        <v>0</v>
      </c>
      <c r="GI28" s="66">
        <f t="shared" si="137"/>
        <v>0</v>
      </c>
      <c r="GJ28" s="66">
        <f t="shared" si="137"/>
        <v>0</v>
      </c>
      <c r="GK28" s="66">
        <f t="shared" si="137"/>
        <v>0</v>
      </c>
      <c r="GL28" s="66">
        <f t="shared" si="137"/>
        <v>0</v>
      </c>
      <c r="GM28" s="66">
        <f t="shared" si="137"/>
        <v>0</v>
      </c>
      <c r="GN28" s="66">
        <f t="shared" si="137"/>
        <v>0</v>
      </c>
      <c r="GO28" s="66">
        <f t="shared" si="137"/>
        <v>0</v>
      </c>
      <c r="GP28" s="66">
        <f t="shared" si="137"/>
        <v>0</v>
      </c>
      <c r="GQ28" s="64">
        <f>SUM(GH28:GK28,GM28:GP28)</f>
        <v>0</v>
      </c>
      <c r="GR28" s="63"/>
      <c r="GS28" s="63"/>
      <c r="GT28" s="63"/>
      <c r="GU28" s="63"/>
      <c r="GV28" s="67">
        <f>SUM(GR28:GU28)</f>
        <v>0</v>
      </c>
      <c r="GW28" s="63"/>
      <c r="GX28" s="63"/>
      <c r="GY28" s="63"/>
      <c r="GZ28" s="63"/>
      <c r="HA28" s="67">
        <f>SUM(GW28:GZ28)</f>
        <v>0</v>
      </c>
      <c r="HB28" s="63"/>
      <c r="HC28" s="63"/>
      <c r="HD28" s="63"/>
      <c r="HE28" s="63"/>
      <c r="HF28" s="67">
        <f>SUM(HB28:HE28)</f>
        <v>0</v>
      </c>
      <c r="HG28" s="63"/>
      <c r="HH28" s="63"/>
      <c r="HI28" s="63"/>
      <c r="HJ28" s="63"/>
      <c r="HK28" s="67">
        <f>SUM(HG28:HJ28)</f>
        <v>0</v>
      </c>
      <c r="HL28" s="68">
        <f t="shared" ref="HL28:HO29" si="138">SUM(GW28,HB28,HG28)</f>
        <v>0</v>
      </c>
      <c r="HM28" s="68">
        <f t="shared" si="138"/>
        <v>0</v>
      </c>
      <c r="HN28" s="68">
        <f t="shared" si="138"/>
        <v>0</v>
      </c>
      <c r="HO28" s="68">
        <f t="shared" si="138"/>
        <v>0</v>
      </c>
      <c r="HP28" s="67">
        <f>SUM(HL28:HO28)</f>
        <v>0</v>
      </c>
      <c r="HQ28" s="63"/>
      <c r="HR28" s="63"/>
      <c r="HS28" s="63"/>
      <c r="HT28" s="63"/>
      <c r="HU28" s="67">
        <f>SUM(HQ28:HT28)</f>
        <v>0</v>
      </c>
      <c r="HV28" s="63"/>
      <c r="HW28" s="63"/>
      <c r="HX28" s="63"/>
      <c r="HY28" s="63"/>
      <c r="HZ28" s="67">
        <f>SUM(HV28:HY28)</f>
        <v>0</v>
      </c>
      <c r="IA28" s="63"/>
      <c r="IB28" s="63"/>
      <c r="IC28" s="63"/>
      <c r="ID28" s="63"/>
      <c r="IE28" s="67">
        <f>SUM(IA28:ID28)</f>
        <v>0</v>
      </c>
      <c r="IF28" s="68">
        <f t="shared" ref="IF28:II29" si="139">SUM(HQ28,HV28,IA28)</f>
        <v>0</v>
      </c>
      <c r="IG28" s="68">
        <f t="shared" si="139"/>
        <v>0</v>
      </c>
      <c r="IH28" s="68">
        <f t="shared" si="139"/>
        <v>0</v>
      </c>
      <c r="II28" s="68">
        <f t="shared" si="139"/>
        <v>0</v>
      </c>
      <c r="IJ28" s="67">
        <f>SUM(IF28:II28)</f>
        <v>0</v>
      </c>
      <c r="IK28" s="63"/>
      <c r="IL28" s="63"/>
      <c r="IM28" s="63"/>
      <c r="IN28" s="63"/>
      <c r="IO28" s="67">
        <f>SUM(IK28:IN28)</f>
        <v>0</v>
      </c>
      <c r="IP28" s="63"/>
      <c r="IQ28" s="63"/>
      <c r="IR28" s="63"/>
      <c r="IS28" s="63"/>
      <c r="IT28" s="67">
        <f>SUM(IP28:IS28)</f>
        <v>0</v>
      </c>
      <c r="IU28" s="63"/>
      <c r="IV28" s="63"/>
    </row>
    <row r="29" spans="1:256" x14ac:dyDescent="0.25">
      <c r="A29" s="84" t="s">
        <v>40</v>
      </c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4">
        <f>SUM(C29:F29,H29:K29)</f>
        <v>0</v>
      </c>
      <c r="M29" s="62"/>
      <c r="N29" s="63"/>
      <c r="O29" s="63"/>
      <c r="P29" s="63"/>
      <c r="Q29" s="63"/>
      <c r="R29" s="63"/>
      <c r="S29" s="63"/>
      <c r="T29" s="63"/>
      <c r="U29" s="63"/>
      <c r="V29" s="63"/>
      <c r="W29" s="64">
        <f>SUM(N29:Q29,S29:V29)</f>
        <v>0</v>
      </c>
      <c r="X29" s="62"/>
      <c r="Y29" s="63"/>
      <c r="Z29" s="63"/>
      <c r="AA29" s="63"/>
      <c r="AB29" s="63"/>
      <c r="AC29" s="63"/>
      <c r="AD29" s="63"/>
      <c r="AE29" s="63"/>
      <c r="AF29" s="63"/>
      <c r="AG29" s="63"/>
      <c r="AH29" s="64">
        <f>SUM(Y29:AB29,AD29:AG29)</f>
        <v>0</v>
      </c>
      <c r="AI29" s="62"/>
      <c r="AJ29" s="63"/>
      <c r="AK29" s="63"/>
      <c r="AL29" s="63"/>
      <c r="AM29" s="63"/>
      <c r="AN29" s="63"/>
      <c r="AO29" s="63"/>
      <c r="AP29" s="63"/>
      <c r="AQ29" s="63"/>
      <c r="AR29" s="63"/>
      <c r="AS29" s="64">
        <f>SUM(AJ29:AM29,AO29:AR29)</f>
        <v>0</v>
      </c>
      <c r="AT29" s="65">
        <f t="shared" si="133"/>
        <v>0</v>
      </c>
      <c r="AU29" s="65">
        <f t="shared" si="133"/>
        <v>0</v>
      </c>
      <c r="AV29" s="65">
        <f t="shared" si="133"/>
        <v>0</v>
      </c>
      <c r="AW29" s="65">
        <f t="shared" si="133"/>
        <v>0</v>
      </c>
      <c r="AX29" s="65">
        <f t="shared" si="133"/>
        <v>0</v>
      </c>
      <c r="AY29" s="65">
        <f t="shared" si="133"/>
        <v>0</v>
      </c>
      <c r="AZ29" s="65">
        <f t="shared" si="133"/>
        <v>0</v>
      </c>
      <c r="BA29" s="65">
        <f t="shared" si="133"/>
        <v>0</v>
      </c>
      <c r="BB29" s="65">
        <f t="shared" si="133"/>
        <v>0</v>
      </c>
      <c r="BC29" s="65">
        <f t="shared" si="133"/>
        <v>0</v>
      </c>
      <c r="BD29" s="64">
        <f>SUM(AU29:AX29,AZ29:BC29)</f>
        <v>0</v>
      </c>
      <c r="BE29" s="62"/>
      <c r="BF29" s="63"/>
      <c r="BG29" s="63"/>
      <c r="BH29" s="63"/>
      <c r="BI29" s="63"/>
      <c r="BJ29" s="63"/>
      <c r="BK29" s="63"/>
      <c r="BL29" s="63"/>
      <c r="BM29" s="63"/>
      <c r="BN29" s="63"/>
      <c r="BO29" s="64">
        <f>SUM(BF29:BI29,BK29:BN29)</f>
        <v>0</v>
      </c>
      <c r="BP29" s="62"/>
      <c r="BQ29" s="63"/>
      <c r="BR29" s="63"/>
      <c r="BS29" s="63"/>
      <c r="BT29" s="63"/>
      <c r="BU29" s="63"/>
      <c r="BV29" s="63"/>
      <c r="BW29" s="63"/>
      <c r="BX29" s="63"/>
      <c r="BY29" s="63"/>
      <c r="BZ29" s="64">
        <f>SUM(BQ29:BT29,BV29:BY29)</f>
        <v>0</v>
      </c>
      <c r="CA29" s="62"/>
      <c r="CB29" s="63"/>
      <c r="CC29" s="63"/>
      <c r="CD29" s="63"/>
      <c r="CE29" s="63"/>
      <c r="CF29" s="63"/>
      <c r="CG29" s="63"/>
      <c r="CH29" s="63"/>
      <c r="CI29" s="63"/>
      <c r="CJ29" s="63"/>
      <c r="CK29" s="64">
        <f>SUM(CB29:CE29,CG29:CJ29)</f>
        <v>0</v>
      </c>
      <c r="CL29" s="65">
        <f t="shared" si="134"/>
        <v>0</v>
      </c>
      <c r="CM29" s="65">
        <f t="shared" si="134"/>
        <v>0</v>
      </c>
      <c r="CN29" s="65">
        <f t="shared" si="134"/>
        <v>0</v>
      </c>
      <c r="CO29" s="65">
        <f t="shared" si="134"/>
        <v>0</v>
      </c>
      <c r="CP29" s="65">
        <f t="shared" si="134"/>
        <v>0</v>
      </c>
      <c r="CQ29" s="65">
        <f t="shared" si="134"/>
        <v>0</v>
      </c>
      <c r="CR29" s="65">
        <f t="shared" si="134"/>
        <v>0</v>
      </c>
      <c r="CS29" s="65">
        <f t="shared" si="134"/>
        <v>0</v>
      </c>
      <c r="CT29" s="65">
        <f t="shared" si="134"/>
        <v>0</v>
      </c>
      <c r="CU29" s="65">
        <f t="shared" si="134"/>
        <v>0</v>
      </c>
      <c r="CV29" s="64">
        <f>SUM(CM29:CP29,CR29:CU29)</f>
        <v>0</v>
      </c>
      <c r="CW29" s="62"/>
      <c r="CX29" s="63"/>
      <c r="CY29" s="63"/>
      <c r="CZ29" s="63"/>
      <c r="DA29" s="63"/>
      <c r="DB29" s="63"/>
      <c r="DC29" s="63"/>
      <c r="DD29" s="63"/>
      <c r="DE29" s="63"/>
      <c r="DF29" s="63"/>
      <c r="DG29" s="64">
        <f>SUM(CX29:DA29,DC29:DF29)</f>
        <v>0</v>
      </c>
      <c r="DH29" s="62"/>
      <c r="DI29" s="63"/>
      <c r="DJ29" s="63"/>
      <c r="DK29" s="63"/>
      <c r="DL29" s="63"/>
      <c r="DM29" s="63"/>
      <c r="DN29" s="63"/>
      <c r="DO29" s="63"/>
      <c r="DP29" s="63"/>
      <c r="DQ29" s="63"/>
      <c r="DR29" s="64">
        <f>SUM(DI29:DL29,DN29:DQ29)</f>
        <v>0</v>
      </c>
      <c r="DS29" s="62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5">
        <f t="shared" si="135"/>
        <v>0</v>
      </c>
      <c r="EE29" s="65">
        <f t="shared" si="135"/>
        <v>0</v>
      </c>
      <c r="EF29" s="65">
        <f t="shared" si="135"/>
        <v>0</v>
      </c>
      <c r="EG29" s="65">
        <f t="shared" si="135"/>
        <v>0</v>
      </c>
      <c r="EH29" s="65">
        <f t="shared" si="135"/>
        <v>0</v>
      </c>
      <c r="EI29" s="65">
        <f t="shared" si="135"/>
        <v>0</v>
      </c>
      <c r="EJ29" s="65">
        <f t="shared" si="135"/>
        <v>0</v>
      </c>
      <c r="EK29" s="65">
        <f t="shared" si="135"/>
        <v>0</v>
      </c>
      <c r="EL29" s="65">
        <f t="shared" si="135"/>
        <v>0</v>
      </c>
      <c r="EM29" s="65">
        <f t="shared" si="135"/>
        <v>0</v>
      </c>
      <c r="EN29" s="64">
        <f>SUM(EE29:EH29,EJ29:EM29)</f>
        <v>0</v>
      </c>
      <c r="EO29" s="62"/>
      <c r="EP29" s="63"/>
      <c r="EQ29" s="63"/>
      <c r="ER29" s="63"/>
      <c r="ES29" s="63"/>
      <c r="ET29" s="63"/>
      <c r="EU29" s="63"/>
      <c r="EV29" s="63"/>
      <c r="EW29" s="63"/>
      <c r="EX29" s="63"/>
      <c r="EY29" s="64">
        <f>SUM(EP29:ES29,EU29:EX29)</f>
        <v>0</v>
      </c>
      <c r="EZ29" s="62"/>
      <c r="FA29" s="63"/>
      <c r="FB29" s="63"/>
      <c r="FC29" s="63"/>
      <c r="FD29" s="63"/>
      <c r="FE29" s="63"/>
      <c r="FF29" s="63"/>
      <c r="FG29" s="63"/>
      <c r="FH29" s="63"/>
      <c r="FI29" s="63"/>
      <c r="FJ29" s="64">
        <f>SUM(FA29:FD29,FF29:FI29)</f>
        <v>0</v>
      </c>
      <c r="FK29" s="62"/>
      <c r="FL29" s="63"/>
      <c r="FM29" s="63"/>
      <c r="FN29" s="63"/>
      <c r="FO29" s="63"/>
      <c r="FP29" s="63"/>
      <c r="FQ29" s="63"/>
      <c r="FR29" s="63"/>
      <c r="FS29" s="63"/>
      <c r="FT29" s="63"/>
      <c r="FU29" s="64">
        <f>SUM(FL29:FO29,FQ29:FT29)</f>
        <v>0</v>
      </c>
      <c r="FV29" s="65">
        <f t="shared" si="136"/>
        <v>0</v>
      </c>
      <c r="FW29" s="65">
        <f t="shared" si="136"/>
        <v>0</v>
      </c>
      <c r="FX29" s="65">
        <f t="shared" si="136"/>
        <v>0</v>
      </c>
      <c r="FY29" s="65">
        <f t="shared" si="136"/>
        <v>0</v>
      </c>
      <c r="FZ29" s="65">
        <f t="shared" si="136"/>
        <v>0</v>
      </c>
      <c r="GA29" s="65">
        <f t="shared" si="136"/>
        <v>0</v>
      </c>
      <c r="GB29" s="65">
        <f t="shared" si="136"/>
        <v>0</v>
      </c>
      <c r="GC29" s="65">
        <f t="shared" si="136"/>
        <v>0</v>
      </c>
      <c r="GD29" s="65">
        <f t="shared" si="136"/>
        <v>0</v>
      </c>
      <c r="GE29" s="65">
        <f t="shared" si="136"/>
        <v>0</v>
      </c>
      <c r="GF29" s="64">
        <f>SUM(FW29:FZ29,GB29:GE29)</f>
        <v>0</v>
      </c>
      <c r="GG29" s="66">
        <f t="shared" si="137"/>
        <v>0</v>
      </c>
      <c r="GH29" s="66">
        <f t="shared" si="137"/>
        <v>0</v>
      </c>
      <c r="GI29" s="66">
        <f t="shared" si="137"/>
        <v>0</v>
      </c>
      <c r="GJ29" s="66">
        <f t="shared" si="137"/>
        <v>0</v>
      </c>
      <c r="GK29" s="66">
        <f t="shared" si="137"/>
        <v>0</v>
      </c>
      <c r="GL29" s="66">
        <f t="shared" si="137"/>
        <v>0</v>
      </c>
      <c r="GM29" s="66">
        <f t="shared" si="137"/>
        <v>0</v>
      </c>
      <c r="GN29" s="66">
        <f t="shared" si="137"/>
        <v>0</v>
      </c>
      <c r="GO29" s="66">
        <f t="shared" si="137"/>
        <v>0</v>
      </c>
      <c r="GP29" s="66">
        <f t="shared" si="137"/>
        <v>0</v>
      </c>
      <c r="GQ29" s="64">
        <f>SUM(GH29:GK29,GM29:GP29)</f>
        <v>0</v>
      </c>
      <c r="GR29" s="63"/>
      <c r="GS29" s="63"/>
      <c r="GT29" s="63"/>
      <c r="GU29" s="63"/>
      <c r="GV29" s="67">
        <f>SUM(GR29:GU29)</f>
        <v>0</v>
      </c>
      <c r="GW29" s="63"/>
      <c r="GX29" s="63"/>
      <c r="GY29" s="63"/>
      <c r="GZ29" s="63"/>
      <c r="HA29" s="67">
        <f>SUM(GW29:GZ29)</f>
        <v>0</v>
      </c>
      <c r="HB29" s="63"/>
      <c r="HC29" s="63"/>
      <c r="HD29" s="63"/>
      <c r="HE29" s="63"/>
      <c r="HF29" s="67">
        <f>SUM(HB29:HE29)</f>
        <v>0</v>
      </c>
      <c r="HG29" s="63"/>
      <c r="HH29" s="63"/>
      <c r="HI29" s="63"/>
      <c r="HJ29" s="63"/>
      <c r="HK29" s="67">
        <f>SUM(HG29:HJ29)</f>
        <v>0</v>
      </c>
      <c r="HL29" s="68">
        <f t="shared" si="138"/>
        <v>0</v>
      </c>
      <c r="HM29" s="68">
        <f t="shared" si="138"/>
        <v>0</v>
      </c>
      <c r="HN29" s="68">
        <f t="shared" si="138"/>
        <v>0</v>
      </c>
      <c r="HO29" s="68">
        <f t="shared" si="138"/>
        <v>0</v>
      </c>
      <c r="HP29" s="67">
        <f>SUM(HL29:HO29)</f>
        <v>0</v>
      </c>
      <c r="HQ29" s="63"/>
      <c r="HR29" s="63"/>
      <c r="HS29" s="63"/>
      <c r="HT29" s="63"/>
      <c r="HU29" s="67">
        <f>SUM(HQ29:HT29)</f>
        <v>0</v>
      </c>
      <c r="HV29" s="63"/>
      <c r="HW29" s="63"/>
      <c r="HX29" s="63"/>
      <c r="HY29" s="63"/>
      <c r="HZ29" s="67">
        <f>SUM(HV29:HY29)</f>
        <v>0</v>
      </c>
      <c r="IA29" s="63"/>
      <c r="IB29" s="63"/>
      <c r="IC29" s="63"/>
      <c r="ID29" s="63"/>
      <c r="IE29" s="67">
        <f>SUM(IA29:ID29)</f>
        <v>0</v>
      </c>
      <c r="IF29" s="68">
        <f t="shared" si="139"/>
        <v>0</v>
      </c>
      <c r="IG29" s="68">
        <f t="shared" si="139"/>
        <v>0</v>
      </c>
      <c r="IH29" s="68">
        <f t="shared" si="139"/>
        <v>0</v>
      </c>
      <c r="II29" s="68">
        <f t="shared" si="139"/>
        <v>0</v>
      </c>
      <c r="IJ29" s="67">
        <f>SUM(IF29:II29)</f>
        <v>0</v>
      </c>
      <c r="IK29" s="63"/>
      <c r="IL29" s="63"/>
      <c r="IM29" s="63"/>
      <c r="IN29" s="63"/>
      <c r="IO29" s="67">
        <f>SUM(IK29:IN29)</f>
        <v>0</v>
      </c>
      <c r="IP29" s="63"/>
      <c r="IQ29" s="63"/>
      <c r="IR29" s="63"/>
      <c r="IS29" s="63"/>
      <c r="IT29" s="67">
        <f>SUM(IP29:IS29)</f>
        <v>0</v>
      </c>
      <c r="IU29" s="63"/>
      <c r="IV29" s="63"/>
    </row>
    <row r="30" spans="1:256" s="78" customFormat="1" x14ac:dyDescent="0.25">
      <c r="A30" s="79" t="s">
        <v>41</v>
      </c>
      <c r="B30" s="80"/>
      <c r="C30" s="81">
        <f t="shared" ref="C30:K30" si="140">SUM(C31:C34)</f>
        <v>0</v>
      </c>
      <c r="D30" s="81">
        <f t="shared" si="140"/>
        <v>0</v>
      </c>
      <c r="E30" s="81">
        <f t="shared" si="140"/>
        <v>0</v>
      </c>
      <c r="F30" s="81">
        <f t="shared" si="140"/>
        <v>0</v>
      </c>
      <c r="G30" s="81">
        <f t="shared" si="140"/>
        <v>0</v>
      </c>
      <c r="H30" s="81">
        <f t="shared" si="140"/>
        <v>0</v>
      </c>
      <c r="I30" s="81">
        <f t="shared" si="140"/>
        <v>0</v>
      </c>
      <c r="J30" s="81">
        <f t="shared" si="140"/>
        <v>0</v>
      </c>
      <c r="K30" s="81">
        <f t="shared" si="140"/>
        <v>0</v>
      </c>
      <c r="L30" s="82">
        <f>SUM(L31:L34)</f>
        <v>0</v>
      </c>
      <c r="M30" s="80"/>
      <c r="N30" s="81">
        <f t="shared" ref="N30:V30" si="141">SUM(N31:N34)</f>
        <v>0</v>
      </c>
      <c r="O30" s="81">
        <f t="shared" si="141"/>
        <v>0</v>
      </c>
      <c r="P30" s="81">
        <f t="shared" si="141"/>
        <v>0</v>
      </c>
      <c r="Q30" s="81">
        <f t="shared" si="141"/>
        <v>0</v>
      </c>
      <c r="R30" s="81">
        <f t="shared" si="141"/>
        <v>0</v>
      </c>
      <c r="S30" s="81">
        <f t="shared" si="141"/>
        <v>0</v>
      </c>
      <c r="T30" s="81">
        <f t="shared" si="141"/>
        <v>0</v>
      </c>
      <c r="U30" s="81">
        <f t="shared" si="141"/>
        <v>0</v>
      </c>
      <c r="V30" s="81">
        <f t="shared" si="141"/>
        <v>0</v>
      </c>
      <c r="W30" s="82">
        <f>SUM(W31:W34)</f>
        <v>0</v>
      </c>
      <c r="X30" s="80"/>
      <c r="Y30" s="81">
        <f t="shared" ref="Y30:AG30" si="142">SUM(Y31:Y34)</f>
        <v>0</v>
      </c>
      <c r="Z30" s="81">
        <f t="shared" si="142"/>
        <v>0</v>
      </c>
      <c r="AA30" s="81">
        <f t="shared" si="142"/>
        <v>0</v>
      </c>
      <c r="AB30" s="81">
        <f t="shared" si="142"/>
        <v>0</v>
      </c>
      <c r="AC30" s="81">
        <f t="shared" si="142"/>
        <v>0</v>
      </c>
      <c r="AD30" s="81">
        <f t="shared" si="142"/>
        <v>0</v>
      </c>
      <c r="AE30" s="81">
        <f t="shared" si="142"/>
        <v>0</v>
      </c>
      <c r="AF30" s="81">
        <f t="shared" si="142"/>
        <v>0</v>
      </c>
      <c r="AG30" s="81">
        <f t="shared" si="142"/>
        <v>0</v>
      </c>
      <c r="AH30" s="82">
        <f>SUM(AH31:AH34)</f>
        <v>0</v>
      </c>
      <c r="AI30" s="80"/>
      <c r="AJ30" s="81">
        <f t="shared" ref="AJ30:AR30" si="143">SUM(AJ31:AJ34)</f>
        <v>0</v>
      </c>
      <c r="AK30" s="81">
        <f t="shared" si="143"/>
        <v>0</v>
      </c>
      <c r="AL30" s="81">
        <f t="shared" si="143"/>
        <v>0</v>
      </c>
      <c r="AM30" s="81">
        <f t="shared" si="143"/>
        <v>0</v>
      </c>
      <c r="AN30" s="81">
        <f t="shared" si="143"/>
        <v>0</v>
      </c>
      <c r="AO30" s="81">
        <f t="shared" si="143"/>
        <v>0</v>
      </c>
      <c r="AP30" s="81">
        <f t="shared" si="143"/>
        <v>0</v>
      </c>
      <c r="AQ30" s="81">
        <f t="shared" si="143"/>
        <v>0</v>
      </c>
      <c r="AR30" s="81">
        <f t="shared" si="143"/>
        <v>0</v>
      </c>
      <c r="AS30" s="82">
        <f>SUM(AS31:AS34)</f>
        <v>0</v>
      </c>
      <c r="AT30" s="80"/>
      <c r="AU30" s="81">
        <f>SUM(AU31:AU34)</f>
        <v>0</v>
      </c>
      <c r="AV30" s="81">
        <f t="shared" ref="AV30:BC30" si="144">SUM(AV31:AV34)</f>
        <v>0</v>
      </c>
      <c r="AW30" s="81">
        <f t="shared" si="144"/>
        <v>0</v>
      </c>
      <c r="AX30" s="81">
        <f t="shared" si="144"/>
        <v>0</v>
      </c>
      <c r="AY30" s="81">
        <f t="shared" si="144"/>
        <v>0</v>
      </c>
      <c r="AZ30" s="81">
        <f t="shared" si="144"/>
        <v>0</v>
      </c>
      <c r="BA30" s="81">
        <f t="shared" si="144"/>
        <v>0</v>
      </c>
      <c r="BB30" s="81">
        <f t="shared" si="144"/>
        <v>0</v>
      </c>
      <c r="BC30" s="81">
        <f t="shared" si="144"/>
        <v>0</v>
      </c>
      <c r="BD30" s="82">
        <f>SUM(BD31:BD34)</f>
        <v>0</v>
      </c>
      <c r="BE30" s="80"/>
      <c r="BF30" s="81">
        <f t="shared" ref="BF30:BN30" si="145">SUM(BF31:BF34)</f>
        <v>0</v>
      </c>
      <c r="BG30" s="81">
        <f t="shared" si="145"/>
        <v>0</v>
      </c>
      <c r="BH30" s="81">
        <f t="shared" si="145"/>
        <v>0</v>
      </c>
      <c r="BI30" s="81">
        <f t="shared" si="145"/>
        <v>0</v>
      </c>
      <c r="BJ30" s="81">
        <f t="shared" si="145"/>
        <v>0</v>
      </c>
      <c r="BK30" s="81">
        <f t="shared" si="145"/>
        <v>0</v>
      </c>
      <c r="BL30" s="81">
        <f t="shared" si="145"/>
        <v>0</v>
      </c>
      <c r="BM30" s="81">
        <f t="shared" si="145"/>
        <v>0</v>
      </c>
      <c r="BN30" s="81">
        <f t="shared" si="145"/>
        <v>0</v>
      </c>
      <c r="BO30" s="82">
        <f>SUM(BO31:BO34)</f>
        <v>0</v>
      </c>
      <c r="BP30" s="80"/>
      <c r="BQ30" s="81">
        <f t="shared" ref="BQ30:BY30" si="146">SUM(BQ31:BQ34)</f>
        <v>0</v>
      </c>
      <c r="BR30" s="81">
        <f t="shared" si="146"/>
        <v>0</v>
      </c>
      <c r="BS30" s="81">
        <f t="shared" si="146"/>
        <v>0</v>
      </c>
      <c r="BT30" s="81">
        <f t="shared" si="146"/>
        <v>0</v>
      </c>
      <c r="BU30" s="81">
        <f t="shared" si="146"/>
        <v>0</v>
      </c>
      <c r="BV30" s="81">
        <f t="shared" si="146"/>
        <v>0</v>
      </c>
      <c r="BW30" s="81">
        <f t="shared" si="146"/>
        <v>0</v>
      </c>
      <c r="BX30" s="81">
        <f t="shared" si="146"/>
        <v>0</v>
      </c>
      <c r="BY30" s="81">
        <f t="shared" si="146"/>
        <v>0</v>
      </c>
      <c r="BZ30" s="82">
        <f>SUM(BZ31:BZ34)</f>
        <v>0</v>
      </c>
      <c r="CA30" s="80"/>
      <c r="CB30" s="81">
        <f t="shared" ref="CB30:CJ30" si="147">SUM(CB31:CB34)</f>
        <v>0</v>
      </c>
      <c r="CC30" s="81">
        <f t="shared" si="147"/>
        <v>0</v>
      </c>
      <c r="CD30" s="81">
        <f t="shared" si="147"/>
        <v>0</v>
      </c>
      <c r="CE30" s="81">
        <f t="shared" si="147"/>
        <v>0</v>
      </c>
      <c r="CF30" s="81">
        <f t="shared" si="147"/>
        <v>0</v>
      </c>
      <c r="CG30" s="81">
        <f t="shared" si="147"/>
        <v>0</v>
      </c>
      <c r="CH30" s="81">
        <f t="shared" si="147"/>
        <v>0</v>
      </c>
      <c r="CI30" s="81">
        <f t="shared" si="147"/>
        <v>0</v>
      </c>
      <c r="CJ30" s="81">
        <f t="shared" si="147"/>
        <v>0</v>
      </c>
      <c r="CK30" s="82">
        <f>SUM(CK31:CK34)</f>
        <v>0</v>
      </c>
      <c r="CL30" s="80"/>
      <c r="CM30" s="81">
        <f>SUM(CM31:CM34)</f>
        <v>0</v>
      </c>
      <c r="CN30" s="81">
        <f t="shared" ref="CN30:CU30" si="148">SUM(CN31:CN34)</f>
        <v>0</v>
      </c>
      <c r="CO30" s="81">
        <f t="shared" si="148"/>
        <v>0</v>
      </c>
      <c r="CP30" s="81">
        <f t="shared" si="148"/>
        <v>0</v>
      </c>
      <c r="CQ30" s="81">
        <f t="shared" si="148"/>
        <v>0</v>
      </c>
      <c r="CR30" s="81">
        <f t="shared" si="148"/>
        <v>0</v>
      </c>
      <c r="CS30" s="81">
        <f t="shared" si="148"/>
        <v>0</v>
      </c>
      <c r="CT30" s="81">
        <f t="shared" si="148"/>
        <v>0</v>
      </c>
      <c r="CU30" s="81">
        <f t="shared" si="148"/>
        <v>0</v>
      </c>
      <c r="CV30" s="82">
        <f>SUM(CV31:CV34)</f>
        <v>0</v>
      </c>
      <c r="CW30" s="80"/>
      <c r="CX30" s="81">
        <f t="shared" ref="CX30:DF30" si="149">SUM(CX31:CX34)</f>
        <v>0</v>
      </c>
      <c r="CY30" s="81">
        <f t="shared" si="149"/>
        <v>0</v>
      </c>
      <c r="CZ30" s="81">
        <f t="shared" si="149"/>
        <v>0</v>
      </c>
      <c r="DA30" s="81">
        <f t="shared" si="149"/>
        <v>0</v>
      </c>
      <c r="DB30" s="81">
        <f t="shared" si="149"/>
        <v>0</v>
      </c>
      <c r="DC30" s="81">
        <f t="shared" si="149"/>
        <v>0</v>
      </c>
      <c r="DD30" s="81">
        <f t="shared" si="149"/>
        <v>0</v>
      </c>
      <c r="DE30" s="81">
        <f t="shared" si="149"/>
        <v>0</v>
      </c>
      <c r="DF30" s="81">
        <f t="shared" si="149"/>
        <v>0</v>
      </c>
      <c r="DG30" s="82">
        <f>SUM(DG31:DG34)</f>
        <v>0</v>
      </c>
      <c r="DH30" s="80"/>
      <c r="DI30" s="81">
        <f t="shared" ref="DI30:DQ30" si="150">SUM(DI31:DI34)</f>
        <v>0</v>
      </c>
      <c r="DJ30" s="81">
        <f t="shared" si="150"/>
        <v>0</v>
      </c>
      <c r="DK30" s="81">
        <f t="shared" si="150"/>
        <v>0</v>
      </c>
      <c r="DL30" s="81">
        <f t="shared" si="150"/>
        <v>0</v>
      </c>
      <c r="DM30" s="81">
        <f t="shared" si="150"/>
        <v>0</v>
      </c>
      <c r="DN30" s="81">
        <f t="shared" si="150"/>
        <v>0</v>
      </c>
      <c r="DO30" s="81">
        <f t="shared" si="150"/>
        <v>0</v>
      </c>
      <c r="DP30" s="81">
        <f t="shared" si="150"/>
        <v>0</v>
      </c>
      <c r="DQ30" s="81">
        <f t="shared" si="150"/>
        <v>0</v>
      </c>
      <c r="DR30" s="82">
        <f>SUM(DR31:DR34)</f>
        <v>0</v>
      </c>
      <c r="DS30" s="80"/>
      <c r="DT30" s="81">
        <f t="shared" ref="DT30:EB30" si="151">SUM(DT31:DT34)</f>
        <v>0</v>
      </c>
      <c r="DU30" s="81">
        <f t="shared" si="151"/>
        <v>0</v>
      </c>
      <c r="DV30" s="81">
        <f t="shared" si="151"/>
        <v>0</v>
      </c>
      <c r="DW30" s="81">
        <f t="shared" si="151"/>
        <v>0</v>
      </c>
      <c r="DX30" s="81">
        <f t="shared" si="151"/>
        <v>0</v>
      </c>
      <c r="DY30" s="81">
        <f t="shared" si="151"/>
        <v>0</v>
      </c>
      <c r="DZ30" s="81">
        <f t="shared" si="151"/>
        <v>0</v>
      </c>
      <c r="EA30" s="81">
        <f t="shared" si="151"/>
        <v>0</v>
      </c>
      <c r="EB30" s="81">
        <f t="shared" si="151"/>
        <v>0</v>
      </c>
      <c r="EC30" s="81">
        <f>SUM(EC31:EC34)</f>
        <v>0</v>
      </c>
      <c r="ED30" s="80"/>
      <c r="EE30" s="81">
        <f>SUM(EE31:EE34)</f>
        <v>0</v>
      </c>
      <c r="EF30" s="81">
        <f t="shared" ref="EF30:EM30" si="152">SUM(EF31:EF34)</f>
        <v>0</v>
      </c>
      <c r="EG30" s="81">
        <f t="shared" si="152"/>
        <v>0</v>
      </c>
      <c r="EH30" s="81">
        <f t="shared" si="152"/>
        <v>0</v>
      </c>
      <c r="EI30" s="81">
        <f t="shared" si="152"/>
        <v>0</v>
      </c>
      <c r="EJ30" s="81">
        <f t="shared" si="152"/>
        <v>0</v>
      </c>
      <c r="EK30" s="81">
        <f t="shared" si="152"/>
        <v>0</v>
      </c>
      <c r="EL30" s="81">
        <f t="shared" si="152"/>
        <v>0</v>
      </c>
      <c r="EM30" s="81">
        <f t="shared" si="152"/>
        <v>0</v>
      </c>
      <c r="EN30" s="82">
        <f>SUM(EN31:EN34)</f>
        <v>0</v>
      </c>
      <c r="EO30" s="80"/>
      <c r="EP30" s="81">
        <f t="shared" ref="EP30:EX30" si="153">SUM(EP31:EP34)</f>
        <v>0</v>
      </c>
      <c r="EQ30" s="81">
        <f t="shared" si="153"/>
        <v>0</v>
      </c>
      <c r="ER30" s="81">
        <f t="shared" si="153"/>
        <v>0</v>
      </c>
      <c r="ES30" s="81">
        <f t="shared" si="153"/>
        <v>0</v>
      </c>
      <c r="ET30" s="81">
        <f t="shared" si="153"/>
        <v>0</v>
      </c>
      <c r="EU30" s="81">
        <f t="shared" si="153"/>
        <v>0</v>
      </c>
      <c r="EV30" s="81">
        <f t="shared" si="153"/>
        <v>0</v>
      </c>
      <c r="EW30" s="81">
        <f t="shared" si="153"/>
        <v>0</v>
      </c>
      <c r="EX30" s="81">
        <f t="shared" si="153"/>
        <v>0</v>
      </c>
      <c r="EY30" s="82">
        <f>SUM(EY31:EY34)</f>
        <v>0</v>
      </c>
      <c r="EZ30" s="80"/>
      <c r="FA30" s="81">
        <f t="shared" ref="FA30:FI30" si="154">SUM(FA31:FA34)</f>
        <v>0</v>
      </c>
      <c r="FB30" s="81">
        <f t="shared" si="154"/>
        <v>0</v>
      </c>
      <c r="FC30" s="81">
        <f t="shared" si="154"/>
        <v>0</v>
      </c>
      <c r="FD30" s="81">
        <f t="shared" si="154"/>
        <v>0</v>
      </c>
      <c r="FE30" s="81">
        <f t="shared" si="154"/>
        <v>0</v>
      </c>
      <c r="FF30" s="81">
        <f t="shared" si="154"/>
        <v>0</v>
      </c>
      <c r="FG30" s="81">
        <f t="shared" si="154"/>
        <v>0</v>
      </c>
      <c r="FH30" s="81">
        <f t="shared" si="154"/>
        <v>0</v>
      </c>
      <c r="FI30" s="81">
        <f t="shared" si="154"/>
        <v>0</v>
      </c>
      <c r="FJ30" s="82">
        <f>SUM(FJ31:FJ34)</f>
        <v>0</v>
      </c>
      <c r="FK30" s="80"/>
      <c r="FL30" s="81">
        <f t="shared" ref="FL30:FT30" si="155">SUM(FL31:FL34)</f>
        <v>0</v>
      </c>
      <c r="FM30" s="81">
        <f t="shared" si="155"/>
        <v>0</v>
      </c>
      <c r="FN30" s="81">
        <f t="shared" si="155"/>
        <v>0</v>
      </c>
      <c r="FO30" s="81">
        <f t="shared" si="155"/>
        <v>0</v>
      </c>
      <c r="FP30" s="81">
        <f t="shared" si="155"/>
        <v>0</v>
      </c>
      <c r="FQ30" s="81">
        <f t="shared" si="155"/>
        <v>0</v>
      </c>
      <c r="FR30" s="81">
        <f t="shared" si="155"/>
        <v>0</v>
      </c>
      <c r="FS30" s="81">
        <f t="shared" si="155"/>
        <v>0</v>
      </c>
      <c r="FT30" s="81">
        <f t="shared" si="155"/>
        <v>0</v>
      </c>
      <c r="FU30" s="82">
        <f>SUM(FU31:FU34)</f>
        <v>0</v>
      </c>
      <c r="FV30" s="80"/>
      <c r="FW30" s="81">
        <f>SUM(FW31:FW34)</f>
        <v>0</v>
      </c>
      <c r="FX30" s="81">
        <f t="shared" ref="FX30:GE30" si="156">SUM(FX31:FX34)</f>
        <v>0</v>
      </c>
      <c r="FY30" s="81">
        <f t="shared" si="156"/>
        <v>0</v>
      </c>
      <c r="FZ30" s="81">
        <f t="shared" si="156"/>
        <v>0</v>
      </c>
      <c r="GA30" s="81">
        <f t="shared" si="156"/>
        <v>0</v>
      </c>
      <c r="GB30" s="81">
        <f t="shared" si="156"/>
        <v>0</v>
      </c>
      <c r="GC30" s="81">
        <f t="shared" si="156"/>
        <v>0</v>
      </c>
      <c r="GD30" s="81">
        <f t="shared" si="156"/>
        <v>0</v>
      </c>
      <c r="GE30" s="81">
        <f t="shared" si="156"/>
        <v>0</v>
      </c>
      <c r="GF30" s="82">
        <f>SUM(GF31:GF34)</f>
        <v>0</v>
      </c>
      <c r="GG30" s="80"/>
      <c r="GH30" s="81">
        <f t="shared" ref="GH30:GP30" si="157">SUM(GH31:GH34)</f>
        <v>0</v>
      </c>
      <c r="GI30" s="81">
        <f t="shared" si="157"/>
        <v>0</v>
      </c>
      <c r="GJ30" s="81">
        <f t="shared" si="157"/>
        <v>0</v>
      </c>
      <c r="GK30" s="81">
        <f t="shared" si="157"/>
        <v>0</v>
      </c>
      <c r="GL30" s="81">
        <f t="shared" si="157"/>
        <v>0</v>
      </c>
      <c r="GM30" s="81">
        <f t="shared" si="157"/>
        <v>0</v>
      </c>
      <c r="GN30" s="81">
        <f t="shared" si="157"/>
        <v>0</v>
      </c>
      <c r="GO30" s="81">
        <f t="shared" si="157"/>
        <v>0</v>
      </c>
      <c r="GP30" s="81">
        <f t="shared" si="157"/>
        <v>0</v>
      </c>
      <c r="GQ30" s="82">
        <f t="shared" ref="GQ30:HV30" si="158">SUM(GQ31:GQ34)</f>
        <v>0</v>
      </c>
      <c r="GR30" s="81">
        <f t="shared" si="158"/>
        <v>0</v>
      </c>
      <c r="GS30" s="81">
        <f t="shared" si="158"/>
        <v>0</v>
      </c>
      <c r="GT30" s="81">
        <f t="shared" si="158"/>
        <v>0</v>
      </c>
      <c r="GU30" s="81">
        <f t="shared" si="158"/>
        <v>0</v>
      </c>
      <c r="GV30" s="81">
        <f t="shared" si="158"/>
        <v>0</v>
      </c>
      <c r="GW30" s="81">
        <f t="shared" si="158"/>
        <v>0</v>
      </c>
      <c r="GX30" s="81">
        <f t="shared" si="158"/>
        <v>0</v>
      </c>
      <c r="GY30" s="81">
        <f t="shared" si="158"/>
        <v>0</v>
      </c>
      <c r="GZ30" s="81">
        <f t="shared" si="158"/>
        <v>0</v>
      </c>
      <c r="HA30" s="81">
        <f t="shared" si="158"/>
        <v>0</v>
      </c>
      <c r="HB30" s="81">
        <f t="shared" si="158"/>
        <v>0</v>
      </c>
      <c r="HC30" s="81">
        <f t="shared" si="158"/>
        <v>0</v>
      </c>
      <c r="HD30" s="81">
        <f t="shared" si="158"/>
        <v>0</v>
      </c>
      <c r="HE30" s="81">
        <f t="shared" si="158"/>
        <v>0</v>
      </c>
      <c r="HF30" s="81">
        <f t="shared" si="158"/>
        <v>0</v>
      </c>
      <c r="HG30" s="81">
        <f t="shared" si="158"/>
        <v>0</v>
      </c>
      <c r="HH30" s="81">
        <f t="shared" si="158"/>
        <v>0</v>
      </c>
      <c r="HI30" s="81">
        <f t="shared" si="158"/>
        <v>0</v>
      </c>
      <c r="HJ30" s="81">
        <f t="shared" si="158"/>
        <v>0</v>
      </c>
      <c r="HK30" s="81">
        <f t="shared" si="158"/>
        <v>0</v>
      </c>
      <c r="HL30" s="81">
        <f t="shared" si="158"/>
        <v>0</v>
      </c>
      <c r="HM30" s="81">
        <f t="shared" si="158"/>
        <v>0</v>
      </c>
      <c r="HN30" s="81">
        <f t="shared" si="158"/>
        <v>0</v>
      </c>
      <c r="HO30" s="81">
        <f t="shared" si="158"/>
        <v>0</v>
      </c>
      <c r="HP30" s="81">
        <f t="shared" si="158"/>
        <v>0</v>
      </c>
      <c r="HQ30" s="81">
        <f t="shared" si="158"/>
        <v>0</v>
      </c>
      <c r="HR30" s="81">
        <f t="shared" si="158"/>
        <v>0</v>
      </c>
      <c r="HS30" s="81">
        <f t="shared" si="158"/>
        <v>0</v>
      </c>
      <c r="HT30" s="81">
        <f t="shared" si="158"/>
        <v>0</v>
      </c>
      <c r="HU30" s="81">
        <f t="shared" si="158"/>
        <v>0</v>
      </c>
      <c r="HV30" s="81">
        <f t="shared" si="158"/>
        <v>0</v>
      </c>
      <c r="HW30" s="81">
        <f t="shared" ref="HW30:IV30" si="159">SUM(HW31:HW34)</f>
        <v>0</v>
      </c>
      <c r="HX30" s="81">
        <f t="shared" si="159"/>
        <v>0</v>
      </c>
      <c r="HY30" s="81">
        <f t="shared" si="159"/>
        <v>0</v>
      </c>
      <c r="HZ30" s="81">
        <f t="shared" si="159"/>
        <v>0</v>
      </c>
      <c r="IA30" s="81">
        <f t="shared" si="159"/>
        <v>0</v>
      </c>
      <c r="IB30" s="81">
        <f t="shared" si="159"/>
        <v>0</v>
      </c>
      <c r="IC30" s="81">
        <f t="shared" si="159"/>
        <v>0</v>
      </c>
      <c r="ID30" s="81">
        <f t="shared" si="159"/>
        <v>0</v>
      </c>
      <c r="IE30" s="81">
        <f t="shared" si="159"/>
        <v>0</v>
      </c>
      <c r="IF30" s="81">
        <f t="shared" si="159"/>
        <v>0</v>
      </c>
      <c r="IG30" s="81">
        <f t="shared" si="159"/>
        <v>0</v>
      </c>
      <c r="IH30" s="81">
        <f t="shared" si="159"/>
        <v>0</v>
      </c>
      <c r="II30" s="81">
        <f t="shared" si="159"/>
        <v>0</v>
      </c>
      <c r="IJ30" s="81">
        <f t="shared" si="159"/>
        <v>0</v>
      </c>
      <c r="IK30" s="81">
        <f t="shared" si="159"/>
        <v>0</v>
      </c>
      <c r="IL30" s="81">
        <f t="shared" si="159"/>
        <v>0</v>
      </c>
      <c r="IM30" s="81">
        <f t="shared" si="159"/>
        <v>0</v>
      </c>
      <c r="IN30" s="81">
        <f t="shared" si="159"/>
        <v>0</v>
      </c>
      <c r="IO30" s="81">
        <f t="shared" si="159"/>
        <v>0</v>
      </c>
      <c r="IP30" s="81">
        <f t="shared" si="159"/>
        <v>0</v>
      </c>
      <c r="IQ30" s="81">
        <f t="shared" si="159"/>
        <v>0</v>
      </c>
      <c r="IR30" s="81">
        <f t="shared" si="159"/>
        <v>0</v>
      </c>
      <c r="IS30" s="81">
        <f t="shared" si="159"/>
        <v>0</v>
      </c>
      <c r="IT30" s="81">
        <f t="shared" si="159"/>
        <v>0</v>
      </c>
      <c r="IU30" s="81">
        <f t="shared" si="159"/>
        <v>0</v>
      </c>
      <c r="IV30" s="81">
        <f t="shared" si="159"/>
        <v>0</v>
      </c>
    </row>
    <row r="31" spans="1:256" x14ac:dyDescent="0.25">
      <c r="A31" s="83" t="s">
        <v>42</v>
      </c>
      <c r="B31" s="62">
        <v>55</v>
      </c>
      <c r="C31" s="63"/>
      <c r="D31" s="63"/>
      <c r="E31" s="63"/>
      <c r="F31" s="63"/>
      <c r="G31" s="63"/>
      <c r="H31" s="63"/>
      <c r="I31" s="63"/>
      <c r="J31" s="63"/>
      <c r="K31" s="63"/>
      <c r="L31" s="64">
        <f>SUM(C31:F31,H31:K31)</f>
        <v>0</v>
      </c>
      <c r="M31" s="62"/>
      <c r="N31" s="63"/>
      <c r="O31" s="63"/>
      <c r="P31" s="63"/>
      <c r="Q31" s="63"/>
      <c r="R31" s="63"/>
      <c r="S31" s="63"/>
      <c r="T31" s="63"/>
      <c r="U31" s="63"/>
      <c r="V31" s="63"/>
      <c r="W31" s="64">
        <f>SUM(N31:Q31,S31:V31)</f>
        <v>0</v>
      </c>
      <c r="X31" s="62"/>
      <c r="Y31" s="63"/>
      <c r="Z31" s="63"/>
      <c r="AA31" s="63"/>
      <c r="AB31" s="63"/>
      <c r="AC31" s="63"/>
      <c r="AD31" s="63"/>
      <c r="AE31" s="63"/>
      <c r="AF31" s="63"/>
      <c r="AG31" s="63"/>
      <c r="AH31" s="64">
        <f>SUM(Y31:AB31,AD31:AG31)</f>
        <v>0</v>
      </c>
      <c r="AI31" s="62"/>
      <c r="AJ31" s="63"/>
      <c r="AK31" s="63"/>
      <c r="AL31" s="63"/>
      <c r="AM31" s="63"/>
      <c r="AN31" s="63"/>
      <c r="AO31" s="63"/>
      <c r="AP31" s="63"/>
      <c r="AQ31" s="63"/>
      <c r="AR31" s="63"/>
      <c r="AS31" s="64">
        <f>SUM(AJ31:AM31,AO31:AR31)</f>
        <v>0</v>
      </c>
      <c r="AT31" s="65">
        <f t="shared" ref="AT31:BC34" si="160">SUM(M31,AI31,X31)</f>
        <v>0</v>
      </c>
      <c r="AU31" s="65">
        <f t="shared" si="160"/>
        <v>0</v>
      </c>
      <c r="AV31" s="65">
        <f t="shared" si="160"/>
        <v>0</v>
      </c>
      <c r="AW31" s="65">
        <f t="shared" si="160"/>
        <v>0</v>
      </c>
      <c r="AX31" s="65">
        <f t="shared" si="160"/>
        <v>0</v>
      </c>
      <c r="AY31" s="65">
        <f t="shared" si="160"/>
        <v>0</v>
      </c>
      <c r="AZ31" s="65">
        <f t="shared" si="160"/>
        <v>0</v>
      </c>
      <c r="BA31" s="65">
        <f t="shared" si="160"/>
        <v>0</v>
      </c>
      <c r="BB31" s="65">
        <f t="shared" si="160"/>
        <v>0</v>
      </c>
      <c r="BC31" s="65">
        <f t="shared" si="160"/>
        <v>0</v>
      </c>
      <c r="BD31" s="64">
        <f>SUM(AU31:AX31,AZ31:BC31)</f>
        <v>0</v>
      </c>
      <c r="BE31" s="62"/>
      <c r="BF31" s="63"/>
      <c r="BG31" s="63"/>
      <c r="BH31" s="63"/>
      <c r="BI31" s="63"/>
      <c r="BJ31" s="63"/>
      <c r="BK31" s="63"/>
      <c r="BL31" s="63"/>
      <c r="BM31" s="63"/>
      <c r="BN31" s="63"/>
      <c r="BO31" s="64">
        <f>SUM(BF31:BI31,BK31:BN31)</f>
        <v>0</v>
      </c>
      <c r="BP31" s="62"/>
      <c r="BQ31" s="63"/>
      <c r="BR31" s="63"/>
      <c r="BS31" s="63"/>
      <c r="BT31" s="63"/>
      <c r="BU31" s="63"/>
      <c r="BV31" s="63"/>
      <c r="BW31" s="63"/>
      <c r="BX31" s="63"/>
      <c r="BY31" s="63"/>
      <c r="BZ31" s="64">
        <f>SUM(BQ31:BT31,BV31:BY31)</f>
        <v>0</v>
      </c>
      <c r="CA31" s="62"/>
      <c r="CB31" s="63"/>
      <c r="CC31" s="63"/>
      <c r="CD31" s="63"/>
      <c r="CE31" s="63"/>
      <c r="CF31" s="63"/>
      <c r="CG31" s="63"/>
      <c r="CH31" s="63"/>
      <c r="CI31" s="63"/>
      <c r="CJ31" s="63"/>
      <c r="CK31" s="64">
        <f>SUM(CB31:CE31,CG31:CJ31)</f>
        <v>0</v>
      </c>
      <c r="CL31" s="65">
        <f t="shared" ref="CL31:CU34" si="161">SUM(BE31,CA31,BP31)</f>
        <v>0</v>
      </c>
      <c r="CM31" s="65">
        <f t="shared" si="161"/>
        <v>0</v>
      </c>
      <c r="CN31" s="65">
        <f t="shared" si="161"/>
        <v>0</v>
      </c>
      <c r="CO31" s="65">
        <f t="shared" si="161"/>
        <v>0</v>
      </c>
      <c r="CP31" s="65">
        <f t="shared" si="161"/>
        <v>0</v>
      </c>
      <c r="CQ31" s="65">
        <f t="shared" si="161"/>
        <v>0</v>
      </c>
      <c r="CR31" s="65">
        <f t="shared" si="161"/>
        <v>0</v>
      </c>
      <c r="CS31" s="65">
        <f t="shared" si="161"/>
        <v>0</v>
      </c>
      <c r="CT31" s="65">
        <f t="shared" si="161"/>
        <v>0</v>
      </c>
      <c r="CU31" s="65">
        <f t="shared" si="161"/>
        <v>0</v>
      </c>
      <c r="CV31" s="64">
        <f>SUM(CM31:CP31,CR31:CU31)</f>
        <v>0</v>
      </c>
      <c r="CW31" s="62"/>
      <c r="CX31" s="63"/>
      <c r="CY31" s="63"/>
      <c r="CZ31" s="63"/>
      <c r="DA31" s="63"/>
      <c r="DB31" s="63"/>
      <c r="DC31" s="63"/>
      <c r="DD31" s="63"/>
      <c r="DE31" s="63"/>
      <c r="DF31" s="63"/>
      <c r="DG31" s="64">
        <f>SUM(CX31:DA31,DC31:DF31)</f>
        <v>0</v>
      </c>
      <c r="DH31" s="62"/>
      <c r="DI31" s="63"/>
      <c r="DJ31" s="63"/>
      <c r="DK31" s="63"/>
      <c r="DL31" s="63"/>
      <c r="DM31" s="63"/>
      <c r="DN31" s="63"/>
      <c r="DO31" s="63"/>
      <c r="DP31" s="63"/>
      <c r="DQ31" s="63"/>
      <c r="DR31" s="64">
        <f>SUM(DI31:DL31,DN31:DQ31)</f>
        <v>0</v>
      </c>
      <c r="DS31" s="62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5">
        <f t="shared" ref="ED31:EM34" si="162">SUM(CW31,DS31,DH31)</f>
        <v>0</v>
      </c>
      <c r="EE31" s="65">
        <f t="shared" si="162"/>
        <v>0</v>
      </c>
      <c r="EF31" s="65">
        <f t="shared" si="162"/>
        <v>0</v>
      </c>
      <c r="EG31" s="65">
        <f t="shared" si="162"/>
        <v>0</v>
      </c>
      <c r="EH31" s="65">
        <f t="shared" si="162"/>
        <v>0</v>
      </c>
      <c r="EI31" s="65">
        <f t="shared" si="162"/>
        <v>0</v>
      </c>
      <c r="EJ31" s="65">
        <f t="shared" si="162"/>
        <v>0</v>
      </c>
      <c r="EK31" s="65">
        <f t="shared" si="162"/>
        <v>0</v>
      </c>
      <c r="EL31" s="65">
        <f t="shared" si="162"/>
        <v>0</v>
      </c>
      <c r="EM31" s="65">
        <f t="shared" si="162"/>
        <v>0</v>
      </c>
      <c r="EN31" s="64">
        <f>SUM(EE31:EH31,EJ31:EM31)</f>
        <v>0</v>
      </c>
      <c r="EO31" s="62"/>
      <c r="EP31" s="63"/>
      <c r="EQ31" s="63"/>
      <c r="ER31" s="63"/>
      <c r="ES31" s="63"/>
      <c r="ET31" s="63"/>
      <c r="EU31" s="63"/>
      <c r="EV31" s="63"/>
      <c r="EW31" s="63"/>
      <c r="EX31" s="63"/>
      <c r="EY31" s="64">
        <f>SUM(EP31:ES31,EU31:EX31)</f>
        <v>0</v>
      </c>
      <c r="EZ31" s="62"/>
      <c r="FA31" s="63"/>
      <c r="FB31" s="63"/>
      <c r="FC31" s="63"/>
      <c r="FD31" s="63"/>
      <c r="FE31" s="63"/>
      <c r="FF31" s="63"/>
      <c r="FG31" s="63"/>
      <c r="FH31" s="63"/>
      <c r="FI31" s="63"/>
      <c r="FJ31" s="64">
        <f>SUM(FA31:FD31,FF31:FI31)</f>
        <v>0</v>
      </c>
      <c r="FK31" s="62"/>
      <c r="FL31" s="63"/>
      <c r="FM31" s="63"/>
      <c r="FN31" s="63"/>
      <c r="FO31" s="63"/>
      <c r="FP31" s="63"/>
      <c r="FQ31" s="63"/>
      <c r="FR31" s="63"/>
      <c r="FS31" s="63"/>
      <c r="FT31" s="63"/>
      <c r="FU31" s="64">
        <f>SUM(FL31:FO31,FQ31:FT31)</f>
        <v>0</v>
      </c>
      <c r="FV31" s="65">
        <f t="shared" ref="FV31:GE34" si="163">SUM(EO31,FK31,EZ31)</f>
        <v>0</v>
      </c>
      <c r="FW31" s="65">
        <f t="shared" si="163"/>
        <v>0</v>
      </c>
      <c r="FX31" s="65">
        <f t="shared" si="163"/>
        <v>0</v>
      </c>
      <c r="FY31" s="65">
        <f t="shared" si="163"/>
        <v>0</v>
      </c>
      <c r="FZ31" s="65">
        <f t="shared" si="163"/>
        <v>0</v>
      </c>
      <c r="GA31" s="65">
        <f t="shared" si="163"/>
        <v>0</v>
      </c>
      <c r="GB31" s="65">
        <f t="shared" si="163"/>
        <v>0</v>
      </c>
      <c r="GC31" s="65">
        <f t="shared" si="163"/>
        <v>0</v>
      </c>
      <c r="GD31" s="65">
        <f t="shared" si="163"/>
        <v>0</v>
      </c>
      <c r="GE31" s="65">
        <f t="shared" si="163"/>
        <v>0</v>
      </c>
      <c r="GF31" s="64">
        <f>SUM(FW31:FZ31,GB31:GE31)</f>
        <v>0</v>
      </c>
      <c r="GG31" s="66">
        <f t="shared" ref="GG31:GP34" si="164">SUM(AT31,CL31,ED31,FV31)</f>
        <v>0</v>
      </c>
      <c r="GH31" s="66">
        <f t="shared" si="164"/>
        <v>0</v>
      </c>
      <c r="GI31" s="66">
        <f t="shared" si="164"/>
        <v>0</v>
      </c>
      <c r="GJ31" s="66">
        <f t="shared" si="164"/>
        <v>0</v>
      </c>
      <c r="GK31" s="66">
        <f t="shared" si="164"/>
        <v>0</v>
      </c>
      <c r="GL31" s="66">
        <f t="shared" si="164"/>
        <v>0</v>
      </c>
      <c r="GM31" s="66">
        <f t="shared" si="164"/>
        <v>0</v>
      </c>
      <c r="GN31" s="66">
        <f t="shared" si="164"/>
        <v>0</v>
      </c>
      <c r="GO31" s="66">
        <f t="shared" si="164"/>
        <v>0</v>
      </c>
      <c r="GP31" s="66">
        <f t="shared" si="164"/>
        <v>0</v>
      </c>
      <c r="GQ31" s="64">
        <f>SUM(GH31:GK31,GM31:GP31)</f>
        <v>0</v>
      </c>
      <c r="GR31" s="63"/>
      <c r="GS31" s="63"/>
      <c r="GT31" s="63"/>
      <c r="GU31" s="63"/>
      <c r="GV31" s="67">
        <f>SUM(GR31:GU31)</f>
        <v>0</v>
      </c>
      <c r="GW31" s="63"/>
      <c r="GX31" s="63"/>
      <c r="GY31" s="63"/>
      <c r="GZ31" s="63"/>
      <c r="HA31" s="67">
        <f>SUM(GW31:GZ31)</f>
        <v>0</v>
      </c>
      <c r="HB31" s="63"/>
      <c r="HC31" s="63"/>
      <c r="HD31" s="63"/>
      <c r="HE31" s="63"/>
      <c r="HF31" s="67">
        <f>SUM(HB31:HE31)</f>
        <v>0</v>
      </c>
      <c r="HG31" s="63"/>
      <c r="HH31" s="63"/>
      <c r="HI31" s="63"/>
      <c r="HJ31" s="63"/>
      <c r="HK31" s="67">
        <f>SUM(HG31:HJ31)</f>
        <v>0</v>
      </c>
      <c r="HL31" s="68">
        <f t="shared" ref="HL31:HO34" si="165">SUM(GW31,HB31,HG31)</f>
        <v>0</v>
      </c>
      <c r="HM31" s="68">
        <f t="shared" si="165"/>
        <v>0</v>
      </c>
      <c r="HN31" s="68">
        <f t="shared" si="165"/>
        <v>0</v>
      </c>
      <c r="HO31" s="68">
        <f t="shared" si="165"/>
        <v>0</v>
      </c>
      <c r="HP31" s="67">
        <f>SUM(HL31:HO31)</f>
        <v>0</v>
      </c>
      <c r="HQ31" s="63"/>
      <c r="HR31" s="63"/>
      <c r="HS31" s="63"/>
      <c r="HT31" s="63"/>
      <c r="HU31" s="67">
        <f>SUM(HQ31:HT31)</f>
        <v>0</v>
      </c>
      <c r="HV31" s="63"/>
      <c r="HW31" s="63"/>
      <c r="HX31" s="63"/>
      <c r="HY31" s="63"/>
      <c r="HZ31" s="67">
        <f>SUM(HV31:HY31)</f>
        <v>0</v>
      </c>
      <c r="IA31" s="63"/>
      <c r="IB31" s="63"/>
      <c r="IC31" s="63"/>
      <c r="ID31" s="63"/>
      <c r="IE31" s="67">
        <f>SUM(IA31:ID31)</f>
        <v>0</v>
      </c>
      <c r="IF31" s="68">
        <f t="shared" ref="IF31:II34" si="166">SUM(HQ31,HV31,IA31)</f>
        <v>0</v>
      </c>
      <c r="IG31" s="68">
        <f t="shared" si="166"/>
        <v>0</v>
      </c>
      <c r="IH31" s="68">
        <f t="shared" si="166"/>
        <v>0</v>
      </c>
      <c r="II31" s="68">
        <f t="shared" si="166"/>
        <v>0</v>
      </c>
      <c r="IJ31" s="67">
        <f>SUM(IF31:II31)</f>
        <v>0</v>
      </c>
      <c r="IK31" s="63"/>
      <c r="IL31" s="63"/>
      <c r="IM31" s="63"/>
      <c r="IN31" s="63"/>
      <c r="IO31" s="67">
        <f>SUM(IK31:IN31)</f>
        <v>0</v>
      </c>
      <c r="IP31" s="63"/>
      <c r="IQ31" s="63"/>
      <c r="IR31" s="63"/>
      <c r="IS31" s="63"/>
      <c r="IT31" s="67">
        <f>SUM(IP31:IS31)</f>
        <v>0</v>
      </c>
      <c r="IU31" s="63"/>
      <c r="IV31" s="63"/>
    </row>
    <row r="32" spans="1:256" x14ac:dyDescent="0.25">
      <c r="A32" s="83" t="s">
        <v>43</v>
      </c>
      <c r="B32" s="62">
        <v>155</v>
      </c>
      <c r="C32" s="63"/>
      <c r="D32" s="63"/>
      <c r="E32" s="63"/>
      <c r="F32" s="63"/>
      <c r="G32" s="63"/>
      <c r="H32" s="63"/>
      <c r="I32" s="63"/>
      <c r="J32" s="63"/>
      <c r="K32" s="63"/>
      <c r="L32" s="64">
        <f>SUM(C32:F32,H32:K32)</f>
        <v>0</v>
      </c>
      <c r="M32" s="62"/>
      <c r="N32" s="63"/>
      <c r="O32" s="63"/>
      <c r="P32" s="63"/>
      <c r="Q32" s="63"/>
      <c r="R32" s="63"/>
      <c r="S32" s="63"/>
      <c r="T32" s="63"/>
      <c r="U32" s="63"/>
      <c r="V32" s="63"/>
      <c r="W32" s="64">
        <f>SUM(N32:Q32,S32:V32)</f>
        <v>0</v>
      </c>
      <c r="X32" s="62"/>
      <c r="Y32" s="63"/>
      <c r="Z32" s="63"/>
      <c r="AA32" s="63"/>
      <c r="AB32" s="63"/>
      <c r="AC32" s="63"/>
      <c r="AD32" s="63"/>
      <c r="AE32" s="63"/>
      <c r="AF32" s="63"/>
      <c r="AG32" s="63"/>
      <c r="AH32" s="64">
        <f>SUM(Y32:AB32,AD32:AG32)</f>
        <v>0</v>
      </c>
      <c r="AI32" s="62"/>
      <c r="AJ32" s="63"/>
      <c r="AK32" s="63"/>
      <c r="AL32" s="63"/>
      <c r="AM32" s="63"/>
      <c r="AN32" s="63"/>
      <c r="AO32" s="63"/>
      <c r="AP32" s="63"/>
      <c r="AQ32" s="63"/>
      <c r="AR32" s="63"/>
      <c r="AS32" s="64">
        <f>SUM(AJ32:AM32,AO32:AR32)</f>
        <v>0</v>
      </c>
      <c r="AT32" s="65">
        <f t="shared" si="160"/>
        <v>0</v>
      </c>
      <c r="AU32" s="65">
        <f t="shared" si="160"/>
        <v>0</v>
      </c>
      <c r="AV32" s="65">
        <f t="shared" si="160"/>
        <v>0</v>
      </c>
      <c r="AW32" s="65">
        <f t="shared" si="160"/>
        <v>0</v>
      </c>
      <c r="AX32" s="65">
        <f t="shared" si="160"/>
        <v>0</v>
      </c>
      <c r="AY32" s="65">
        <f t="shared" si="160"/>
        <v>0</v>
      </c>
      <c r="AZ32" s="65">
        <f t="shared" si="160"/>
        <v>0</v>
      </c>
      <c r="BA32" s="65">
        <f t="shared" si="160"/>
        <v>0</v>
      </c>
      <c r="BB32" s="65">
        <f t="shared" si="160"/>
        <v>0</v>
      </c>
      <c r="BC32" s="65">
        <f t="shared" si="160"/>
        <v>0</v>
      </c>
      <c r="BD32" s="64">
        <f>SUM(AU32:AX32,AZ32:BC32)</f>
        <v>0</v>
      </c>
      <c r="BE32" s="62"/>
      <c r="BF32" s="63"/>
      <c r="BG32" s="63"/>
      <c r="BH32" s="63"/>
      <c r="BI32" s="63"/>
      <c r="BJ32" s="63"/>
      <c r="BK32" s="63"/>
      <c r="BL32" s="63"/>
      <c r="BM32" s="63"/>
      <c r="BN32" s="63"/>
      <c r="BO32" s="64">
        <f>SUM(BF32:BI32,BK32:BN32)</f>
        <v>0</v>
      </c>
      <c r="BP32" s="62"/>
      <c r="BQ32" s="63"/>
      <c r="BR32" s="63"/>
      <c r="BS32" s="63"/>
      <c r="BT32" s="63"/>
      <c r="BU32" s="63"/>
      <c r="BV32" s="63"/>
      <c r="BW32" s="63"/>
      <c r="BX32" s="63"/>
      <c r="BY32" s="63"/>
      <c r="BZ32" s="64">
        <f>SUM(BQ32:BT32,BV32:BY32)</f>
        <v>0</v>
      </c>
      <c r="CA32" s="62"/>
      <c r="CB32" s="63"/>
      <c r="CC32" s="63"/>
      <c r="CD32" s="63"/>
      <c r="CE32" s="63"/>
      <c r="CF32" s="63"/>
      <c r="CG32" s="63"/>
      <c r="CH32" s="63"/>
      <c r="CI32" s="63"/>
      <c r="CJ32" s="63"/>
      <c r="CK32" s="64">
        <f>SUM(CB32:CE32,CG32:CJ32)</f>
        <v>0</v>
      </c>
      <c r="CL32" s="65">
        <f t="shared" si="161"/>
        <v>0</v>
      </c>
      <c r="CM32" s="65">
        <f t="shared" si="161"/>
        <v>0</v>
      </c>
      <c r="CN32" s="65">
        <f t="shared" si="161"/>
        <v>0</v>
      </c>
      <c r="CO32" s="65">
        <f t="shared" si="161"/>
        <v>0</v>
      </c>
      <c r="CP32" s="65">
        <f t="shared" si="161"/>
        <v>0</v>
      </c>
      <c r="CQ32" s="65">
        <f t="shared" si="161"/>
        <v>0</v>
      </c>
      <c r="CR32" s="65">
        <f t="shared" si="161"/>
        <v>0</v>
      </c>
      <c r="CS32" s="65">
        <f t="shared" si="161"/>
        <v>0</v>
      </c>
      <c r="CT32" s="65">
        <f t="shared" si="161"/>
        <v>0</v>
      </c>
      <c r="CU32" s="65">
        <f t="shared" si="161"/>
        <v>0</v>
      </c>
      <c r="CV32" s="64">
        <f>SUM(CM32:CP32,CR32:CU32)</f>
        <v>0</v>
      </c>
      <c r="CW32" s="62"/>
      <c r="CX32" s="63"/>
      <c r="CY32" s="63"/>
      <c r="CZ32" s="63"/>
      <c r="DA32" s="63"/>
      <c r="DB32" s="63"/>
      <c r="DC32" s="63"/>
      <c r="DD32" s="63"/>
      <c r="DE32" s="63"/>
      <c r="DF32" s="63"/>
      <c r="DG32" s="64">
        <f>SUM(CX32:DA32,DC32:DF32)</f>
        <v>0</v>
      </c>
      <c r="DH32" s="62"/>
      <c r="DI32" s="63"/>
      <c r="DJ32" s="63"/>
      <c r="DK32" s="63"/>
      <c r="DL32" s="63"/>
      <c r="DM32" s="63"/>
      <c r="DN32" s="63"/>
      <c r="DO32" s="63"/>
      <c r="DP32" s="63"/>
      <c r="DQ32" s="63"/>
      <c r="DR32" s="64">
        <f>SUM(DI32:DL32,DN32:DQ32)</f>
        <v>0</v>
      </c>
      <c r="DS32" s="62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5">
        <f t="shared" si="162"/>
        <v>0</v>
      </c>
      <c r="EE32" s="65">
        <f t="shared" si="162"/>
        <v>0</v>
      </c>
      <c r="EF32" s="65">
        <f t="shared" si="162"/>
        <v>0</v>
      </c>
      <c r="EG32" s="65">
        <f t="shared" si="162"/>
        <v>0</v>
      </c>
      <c r="EH32" s="65">
        <f t="shared" si="162"/>
        <v>0</v>
      </c>
      <c r="EI32" s="65">
        <f t="shared" si="162"/>
        <v>0</v>
      </c>
      <c r="EJ32" s="65">
        <f t="shared" si="162"/>
        <v>0</v>
      </c>
      <c r="EK32" s="65">
        <f t="shared" si="162"/>
        <v>0</v>
      </c>
      <c r="EL32" s="65">
        <f t="shared" si="162"/>
        <v>0</v>
      </c>
      <c r="EM32" s="65">
        <f t="shared" si="162"/>
        <v>0</v>
      </c>
      <c r="EN32" s="64">
        <f>SUM(EE32:EH32,EJ32:EM32)</f>
        <v>0</v>
      </c>
      <c r="EO32" s="62"/>
      <c r="EP32" s="63"/>
      <c r="EQ32" s="63"/>
      <c r="ER32" s="63"/>
      <c r="ES32" s="63"/>
      <c r="ET32" s="63"/>
      <c r="EU32" s="63"/>
      <c r="EV32" s="63"/>
      <c r="EW32" s="63"/>
      <c r="EX32" s="63"/>
      <c r="EY32" s="64">
        <f>SUM(EP32:ES32,EU32:EX32)</f>
        <v>0</v>
      </c>
      <c r="EZ32" s="62"/>
      <c r="FA32" s="63"/>
      <c r="FB32" s="63"/>
      <c r="FC32" s="63"/>
      <c r="FD32" s="63"/>
      <c r="FE32" s="63"/>
      <c r="FF32" s="63"/>
      <c r="FG32" s="63"/>
      <c r="FH32" s="63"/>
      <c r="FI32" s="63"/>
      <c r="FJ32" s="64">
        <f>SUM(FA32:FD32,FF32:FI32)</f>
        <v>0</v>
      </c>
      <c r="FK32" s="62"/>
      <c r="FL32" s="63"/>
      <c r="FM32" s="63"/>
      <c r="FN32" s="63"/>
      <c r="FO32" s="63"/>
      <c r="FP32" s="63"/>
      <c r="FQ32" s="63"/>
      <c r="FR32" s="63"/>
      <c r="FS32" s="63"/>
      <c r="FT32" s="63"/>
      <c r="FU32" s="64">
        <f>SUM(FL32:FO32,FQ32:FT32)</f>
        <v>0</v>
      </c>
      <c r="FV32" s="65">
        <f t="shared" si="163"/>
        <v>0</v>
      </c>
      <c r="FW32" s="65">
        <f t="shared" si="163"/>
        <v>0</v>
      </c>
      <c r="FX32" s="65">
        <f t="shared" si="163"/>
        <v>0</v>
      </c>
      <c r="FY32" s="65">
        <f t="shared" si="163"/>
        <v>0</v>
      </c>
      <c r="FZ32" s="65">
        <f t="shared" si="163"/>
        <v>0</v>
      </c>
      <c r="GA32" s="65">
        <f t="shared" si="163"/>
        <v>0</v>
      </c>
      <c r="GB32" s="65">
        <f t="shared" si="163"/>
        <v>0</v>
      </c>
      <c r="GC32" s="65">
        <f t="shared" si="163"/>
        <v>0</v>
      </c>
      <c r="GD32" s="65">
        <f t="shared" si="163"/>
        <v>0</v>
      </c>
      <c r="GE32" s="65">
        <f t="shared" si="163"/>
        <v>0</v>
      </c>
      <c r="GF32" s="64">
        <f>SUM(FW32:FZ32,GB32:GE32)</f>
        <v>0</v>
      </c>
      <c r="GG32" s="66">
        <f t="shared" si="164"/>
        <v>0</v>
      </c>
      <c r="GH32" s="66">
        <f t="shared" si="164"/>
        <v>0</v>
      </c>
      <c r="GI32" s="66">
        <f t="shared" si="164"/>
        <v>0</v>
      </c>
      <c r="GJ32" s="66">
        <f t="shared" si="164"/>
        <v>0</v>
      </c>
      <c r="GK32" s="66">
        <f t="shared" si="164"/>
        <v>0</v>
      </c>
      <c r="GL32" s="66">
        <f t="shared" si="164"/>
        <v>0</v>
      </c>
      <c r="GM32" s="66">
        <f t="shared" si="164"/>
        <v>0</v>
      </c>
      <c r="GN32" s="66">
        <f t="shared" si="164"/>
        <v>0</v>
      </c>
      <c r="GO32" s="66">
        <f t="shared" si="164"/>
        <v>0</v>
      </c>
      <c r="GP32" s="66">
        <f t="shared" si="164"/>
        <v>0</v>
      </c>
      <c r="GQ32" s="64">
        <f>SUM(GH32:GK32,GM32:GP32)</f>
        <v>0</v>
      </c>
      <c r="GR32" s="63"/>
      <c r="GS32" s="63"/>
      <c r="GT32" s="63"/>
      <c r="GU32" s="63"/>
      <c r="GV32" s="67">
        <f>SUM(GR32:GU32)</f>
        <v>0</v>
      </c>
      <c r="GW32" s="63"/>
      <c r="GX32" s="63"/>
      <c r="GY32" s="63"/>
      <c r="GZ32" s="63"/>
      <c r="HA32" s="67">
        <f>SUM(GW32:GZ32)</f>
        <v>0</v>
      </c>
      <c r="HB32" s="63"/>
      <c r="HC32" s="63"/>
      <c r="HD32" s="63"/>
      <c r="HE32" s="63"/>
      <c r="HF32" s="67">
        <f>SUM(HB32:HE32)</f>
        <v>0</v>
      </c>
      <c r="HG32" s="63"/>
      <c r="HH32" s="63"/>
      <c r="HI32" s="63"/>
      <c r="HJ32" s="63"/>
      <c r="HK32" s="67">
        <f>SUM(HG32:HJ32)</f>
        <v>0</v>
      </c>
      <c r="HL32" s="68">
        <f t="shared" si="165"/>
        <v>0</v>
      </c>
      <c r="HM32" s="68">
        <f t="shared" si="165"/>
        <v>0</v>
      </c>
      <c r="HN32" s="68">
        <f t="shared" si="165"/>
        <v>0</v>
      </c>
      <c r="HO32" s="68">
        <f t="shared" si="165"/>
        <v>0</v>
      </c>
      <c r="HP32" s="67">
        <f>SUM(HL32:HO32)</f>
        <v>0</v>
      </c>
      <c r="HQ32" s="63"/>
      <c r="HR32" s="63"/>
      <c r="HS32" s="63"/>
      <c r="HT32" s="63"/>
      <c r="HU32" s="67">
        <f>SUM(HQ32:HT32)</f>
        <v>0</v>
      </c>
      <c r="HV32" s="63"/>
      <c r="HW32" s="63"/>
      <c r="HX32" s="63"/>
      <c r="HY32" s="63"/>
      <c r="HZ32" s="67">
        <f>SUM(HV32:HY32)</f>
        <v>0</v>
      </c>
      <c r="IA32" s="63"/>
      <c r="IB32" s="63"/>
      <c r="IC32" s="63"/>
      <c r="ID32" s="63"/>
      <c r="IE32" s="67">
        <f>SUM(IA32:ID32)</f>
        <v>0</v>
      </c>
      <c r="IF32" s="68">
        <f t="shared" si="166"/>
        <v>0</v>
      </c>
      <c r="IG32" s="68">
        <f t="shared" si="166"/>
        <v>0</v>
      </c>
      <c r="IH32" s="68">
        <f t="shared" si="166"/>
        <v>0</v>
      </c>
      <c r="II32" s="68">
        <f t="shared" si="166"/>
        <v>0</v>
      </c>
      <c r="IJ32" s="67">
        <f>SUM(IF32:II32)</f>
        <v>0</v>
      </c>
      <c r="IK32" s="63"/>
      <c r="IL32" s="63"/>
      <c r="IM32" s="63"/>
      <c r="IN32" s="63"/>
      <c r="IO32" s="67">
        <f>SUM(IK32:IN32)</f>
        <v>0</v>
      </c>
      <c r="IP32" s="63"/>
      <c r="IQ32" s="63"/>
      <c r="IR32" s="63"/>
      <c r="IS32" s="63"/>
      <c r="IT32" s="67">
        <f>SUM(IP32:IS32)</f>
        <v>0</v>
      </c>
      <c r="IU32" s="63"/>
      <c r="IV32" s="63"/>
    </row>
    <row r="33" spans="1:256" x14ac:dyDescent="0.25">
      <c r="A33" s="83" t="s">
        <v>44</v>
      </c>
      <c r="B33" s="62">
        <v>0</v>
      </c>
      <c r="C33" s="63"/>
      <c r="D33" s="63"/>
      <c r="E33" s="63"/>
      <c r="F33" s="63"/>
      <c r="G33" s="63"/>
      <c r="H33" s="63"/>
      <c r="I33" s="63"/>
      <c r="J33" s="63"/>
      <c r="K33" s="63"/>
      <c r="L33" s="64">
        <f>SUM(C33:F33,H33:K33)</f>
        <v>0</v>
      </c>
      <c r="M33" s="62"/>
      <c r="N33" s="63"/>
      <c r="O33" s="63"/>
      <c r="P33" s="63"/>
      <c r="Q33" s="63"/>
      <c r="R33" s="63"/>
      <c r="S33" s="63"/>
      <c r="T33" s="63"/>
      <c r="U33" s="63"/>
      <c r="V33" s="63"/>
      <c r="W33" s="64">
        <f>SUM(N33:Q33,S33:V33)</f>
        <v>0</v>
      </c>
      <c r="X33" s="62"/>
      <c r="Y33" s="63"/>
      <c r="Z33" s="63"/>
      <c r="AA33" s="63"/>
      <c r="AB33" s="63"/>
      <c r="AC33" s="63"/>
      <c r="AD33" s="63"/>
      <c r="AE33" s="63"/>
      <c r="AF33" s="63"/>
      <c r="AG33" s="63"/>
      <c r="AH33" s="64">
        <f>SUM(Y33:AB33,AD33:AG33)</f>
        <v>0</v>
      </c>
      <c r="AI33" s="62"/>
      <c r="AJ33" s="63"/>
      <c r="AK33" s="63"/>
      <c r="AL33" s="63"/>
      <c r="AM33" s="63"/>
      <c r="AN33" s="63"/>
      <c r="AO33" s="63"/>
      <c r="AP33" s="63"/>
      <c r="AQ33" s="63"/>
      <c r="AR33" s="63"/>
      <c r="AS33" s="64">
        <f>SUM(AJ33:AM33,AO33:AR33)</f>
        <v>0</v>
      </c>
      <c r="AT33" s="65">
        <f t="shared" si="160"/>
        <v>0</v>
      </c>
      <c r="AU33" s="65">
        <f t="shared" si="160"/>
        <v>0</v>
      </c>
      <c r="AV33" s="65">
        <f t="shared" si="160"/>
        <v>0</v>
      </c>
      <c r="AW33" s="65">
        <f t="shared" si="160"/>
        <v>0</v>
      </c>
      <c r="AX33" s="65">
        <f t="shared" si="160"/>
        <v>0</v>
      </c>
      <c r="AY33" s="65">
        <f t="shared" si="160"/>
        <v>0</v>
      </c>
      <c r="AZ33" s="65">
        <f t="shared" si="160"/>
        <v>0</v>
      </c>
      <c r="BA33" s="65">
        <f t="shared" si="160"/>
        <v>0</v>
      </c>
      <c r="BB33" s="65">
        <f t="shared" si="160"/>
        <v>0</v>
      </c>
      <c r="BC33" s="65">
        <f t="shared" si="160"/>
        <v>0</v>
      </c>
      <c r="BD33" s="64">
        <f>SUM(AU33:AX33,AZ33:BC33)</f>
        <v>0</v>
      </c>
      <c r="BE33" s="62"/>
      <c r="BF33" s="63"/>
      <c r="BG33" s="63"/>
      <c r="BH33" s="63"/>
      <c r="BI33" s="63"/>
      <c r="BJ33" s="63"/>
      <c r="BK33" s="63"/>
      <c r="BL33" s="63"/>
      <c r="BM33" s="63"/>
      <c r="BN33" s="63"/>
      <c r="BO33" s="64">
        <f>SUM(BF33:BI33,BK33:BN33)</f>
        <v>0</v>
      </c>
      <c r="BP33" s="62"/>
      <c r="BQ33" s="63"/>
      <c r="BR33" s="63"/>
      <c r="BS33" s="63"/>
      <c r="BT33" s="63"/>
      <c r="BU33" s="63"/>
      <c r="BV33" s="63"/>
      <c r="BW33" s="63"/>
      <c r="BX33" s="63"/>
      <c r="BY33" s="63"/>
      <c r="BZ33" s="64">
        <f>SUM(BQ33:BT33,BV33:BY33)</f>
        <v>0</v>
      </c>
      <c r="CA33" s="62"/>
      <c r="CB33" s="63"/>
      <c r="CC33" s="63"/>
      <c r="CD33" s="63"/>
      <c r="CE33" s="63"/>
      <c r="CF33" s="63"/>
      <c r="CG33" s="63"/>
      <c r="CH33" s="63"/>
      <c r="CI33" s="63"/>
      <c r="CJ33" s="63"/>
      <c r="CK33" s="64">
        <f>SUM(CB33:CE33,CG33:CJ33)</f>
        <v>0</v>
      </c>
      <c r="CL33" s="65">
        <f t="shared" si="161"/>
        <v>0</v>
      </c>
      <c r="CM33" s="65">
        <f t="shared" si="161"/>
        <v>0</v>
      </c>
      <c r="CN33" s="65">
        <f t="shared" si="161"/>
        <v>0</v>
      </c>
      <c r="CO33" s="65">
        <f t="shared" si="161"/>
        <v>0</v>
      </c>
      <c r="CP33" s="65">
        <f t="shared" si="161"/>
        <v>0</v>
      </c>
      <c r="CQ33" s="65">
        <f t="shared" si="161"/>
        <v>0</v>
      </c>
      <c r="CR33" s="65">
        <f t="shared" si="161"/>
        <v>0</v>
      </c>
      <c r="CS33" s="65">
        <f t="shared" si="161"/>
        <v>0</v>
      </c>
      <c r="CT33" s="65">
        <f t="shared" si="161"/>
        <v>0</v>
      </c>
      <c r="CU33" s="65">
        <f t="shared" si="161"/>
        <v>0</v>
      </c>
      <c r="CV33" s="64">
        <f>SUM(CM33:CP33,CR33:CU33)</f>
        <v>0</v>
      </c>
      <c r="CW33" s="62"/>
      <c r="CX33" s="63"/>
      <c r="CY33" s="63"/>
      <c r="CZ33" s="63"/>
      <c r="DA33" s="63"/>
      <c r="DB33" s="63"/>
      <c r="DC33" s="63"/>
      <c r="DD33" s="63"/>
      <c r="DE33" s="63"/>
      <c r="DF33" s="63"/>
      <c r="DG33" s="64">
        <f>SUM(CX33:DA33,DC33:DF33)</f>
        <v>0</v>
      </c>
      <c r="DH33" s="62"/>
      <c r="DI33" s="63"/>
      <c r="DJ33" s="63"/>
      <c r="DK33" s="63"/>
      <c r="DL33" s="63"/>
      <c r="DM33" s="63"/>
      <c r="DN33" s="63"/>
      <c r="DO33" s="63"/>
      <c r="DP33" s="63"/>
      <c r="DQ33" s="63"/>
      <c r="DR33" s="64">
        <f>SUM(DI33:DL33,DN33:DQ33)</f>
        <v>0</v>
      </c>
      <c r="DS33" s="62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5">
        <f t="shared" si="162"/>
        <v>0</v>
      </c>
      <c r="EE33" s="65">
        <f t="shared" si="162"/>
        <v>0</v>
      </c>
      <c r="EF33" s="65">
        <f t="shared" si="162"/>
        <v>0</v>
      </c>
      <c r="EG33" s="65">
        <f t="shared" si="162"/>
        <v>0</v>
      </c>
      <c r="EH33" s="65">
        <f t="shared" si="162"/>
        <v>0</v>
      </c>
      <c r="EI33" s="65">
        <f t="shared" si="162"/>
        <v>0</v>
      </c>
      <c r="EJ33" s="65">
        <f t="shared" si="162"/>
        <v>0</v>
      </c>
      <c r="EK33" s="65">
        <f t="shared" si="162"/>
        <v>0</v>
      </c>
      <c r="EL33" s="65">
        <f t="shared" si="162"/>
        <v>0</v>
      </c>
      <c r="EM33" s="65">
        <f t="shared" si="162"/>
        <v>0</v>
      </c>
      <c r="EN33" s="64">
        <f>SUM(EE33:EH33,EJ33:EM33)</f>
        <v>0</v>
      </c>
      <c r="EO33" s="62"/>
      <c r="EP33" s="63"/>
      <c r="EQ33" s="63"/>
      <c r="ER33" s="63"/>
      <c r="ES33" s="63"/>
      <c r="ET33" s="63"/>
      <c r="EU33" s="63"/>
      <c r="EV33" s="63"/>
      <c r="EW33" s="63"/>
      <c r="EX33" s="63"/>
      <c r="EY33" s="64">
        <f>SUM(EP33:ES33,EU33:EX33)</f>
        <v>0</v>
      </c>
      <c r="EZ33" s="62"/>
      <c r="FA33" s="63"/>
      <c r="FB33" s="63"/>
      <c r="FC33" s="63"/>
      <c r="FD33" s="63"/>
      <c r="FE33" s="63"/>
      <c r="FF33" s="63"/>
      <c r="FG33" s="63"/>
      <c r="FH33" s="63"/>
      <c r="FI33" s="63"/>
      <c r="FJ33" s="64">
        <f>SUM(FA33:FD33,FF33:FI33)</f>
        <v>0</v>
      </c>
      <c r="FK33" s="62"/>
      <c r="FL33" s="63"/>
      <c r="FM33" s="63"/>
      <c r="FN33" s="63"/>
      <c r="FO33" s="63"/>
      <c r="FP33" s="63"/>
      <c r="FQ33" s="63"/>
      <c r="FR33" s="63"/>
      <c r="FS33" s="63"/>
      <c r="FT33" s="63"/>
      <c r="FU33" s="64">
        <f>SUM(FL33:FO33,FQ33:FT33)</f>
        <v>0</v>
      </c>
      <c r="FV33" s="65">
        <f t="shared" si="163"/>
        <v>0</v>
      </c>
      <c r="FW33" s="65">
        <f t="shared" si="163"/>
        <v>0</v>
      </c>
      <c r="FX33" s="65">
        <f t="shared" si="163"/>
        <v>0</v>
      </c>
      <c r="FY33" s="65">
        <f t="shared" si="163"/>
        <v>0</v>
      </c>
      <c r="FZ33" s="65">
        <f t="shared" si="163"/>
        <v>0</v>
      </c>
      <c r="GA33" s="65">
        <f t="shared" si="163"/>
        <v>0</v>
      </c>
      <c r="GB33" s="65">
        <f t="shared" si="163"/>
        <v>0</v>
      </c>
      <c r="GC33" s="65">
        <f t="shared" si="163"/>
        <v>0</v>
      </c>
      <c r="GD33" s="65">
        <f t="shared" si="163"/>
        <v>0</v>
      </c>
      <c r="GE33" s="65">
        <f t="shared" si="163"/>
        <v>0</v>
      </c>
      <c r="GF33" s="64">
        <f>SUM(FW33:FZ33,GB33:GE33)</f>
        <v>0</v>
      </c>
      <c r="GG33" s="66">
        <f t="shared" si="164"/>
        <v>0</v>
      </c>
      <c r="GH33" s="66">
        <f t="shared" si="164"/>
        <v>0</v>
      </c>
      <c r="GI33" s="66">
        <f t="shared" si="164"/>
        <v>0</v>
      </c>
      <c r="GJ33" s="66">
        <f t="shared" si="164"/>
        <v>0</v>
      </c>
      <c r="GK33" s="66">
        <f t="shared" si="164"/>
        <v>0</v>
      </c>
      <c r="GL33" s="66">
        <f t="shared" si="164"/>
        <v>0</v>
      </c>
      <c r="GM33" s="66">
        <f t="shared" si="164"/>
        <v>0</v>
      </c>
      <c r="GN33" s="66">
        <f t="shared" si="164"/>
        <v>0</v>
      </c>
      <c r="GO33" s="66">
        <f t="shared" si="164"/>
        <v>0</v>
      </c>
      <c r="GP33" s="66">
        <f t="shared" si="164"/>
        <v>0</v>
      </c>
      <c r="GQ33" s="64">
        <f>SUM(GH33:GK33,GM33:GP33)</f>
        <v>0</v>
      </c>
      <c r="GR33" s="63"/>
      <c r="GS33" s="63"/>
      <c r="GT33" s="63"/>
      <c r="GU33" s="63"/>
      <c r="GV33" s="67">
        <f>SUM(GR33:GU33)</f>
        <v>0</v>
      </c>
      <c r="GW33" s="63"/>
      <c r="GX33" s="63"/>
      <c r="GY33" s="63"/>
      <c r="GZ33" s="63"/>
      <c r="HA33" s="67">
        <f>SUM(GW33:GZ33)</f>
        <v>0</v>
      </c>
      <c r="HB33" s="63"/>
      <c r="HC33" s="63"/>
      <c r="HD33" s="63"/>
      <c r="HE33" s="63"/>
      <c r="HF33" s="67">
        <f>SUM(HB33:HE33)</f>
        <v>0</v>
      </c>
      <c r="HG33" s="63"/>
      <c r="HH33" s="63"/>
      <c r="HI33" s="63"/>
      <c r="HJ33" s="63"/>
      <c r="HK33" s="67">
        <f>SUM(HG33:HJ33)</f>
        <v>0</v>
      </c>
      <c r="HL33" s="68">
        <f t="shared" si="165"/>
        <v>0</v>
      </c>
      <c r="HM33" s="68">
        <f t="shared" si="165"/>
        <v>0</v>
      </c>
      <c r="HN33" s="68">
        <f t="shared" si="165"/>
        <v>0</v>
      </c>
      <c r="HO33" s="68">
        <f t="shared" si="165"/>
        <v>0</v>
      </c>
      <c r="HP33" s="67">
        <f>SUM(HL33:HO33)</f>
        <v>0</v>
      </c>
      <c r="HQ33" s="63"/>
      <c r="HR33" s="63"/>
      <c r="HS33" s="63"/>
      <c r="HT33" s="63"/>
      <c r="HU33" s="67">
        <f>SUM(HQ33:HT33)</f>
        <v>0</v>
      </c>
      <c r="HV33" s="63"/>
      <c r="HW33" s="63"/>
      <c r="HX33" s="63"/>
      <c r="HY33" s="63"/>
      <c r="HZ33" s="67">
        <f>SUM(HV33:HY33)</f>
        <v>0</v>
      </c>
      <c r="IA33" s="63"/>
      <c r="IB33" s="63"/>
      <c r="IC33" s="63"/>
      <c r="ID33" s="63"/>
      <c r="IE33" s="67">
        <f>SUM(IA33:ID33)</f>
        <v>0</v>
      </c>
      <c r="IF33" s="68">
        <f t="shared" si="166"/>
        <v>0</v>
      </c>
      <c r="IG33" s="68">
        <f t="shared" si="166"/>
        <v>0</v>
      </c>
      <c r="IH33" s="68">
        <f t="shared" si="166"/>
        <v>0</v>
      </c>
      <c r="II33" s="68">
        <f t="shared" si="166"/>
        <v>0</v>
      </c>
      <c r="IJ33" s="67">
        <f>SUM(IF33:II33)</f>
        <v>0</v>
      </c>
      <c r="IK33" s="63"/>
      <c r="IL33" s="63"/>
      <c r="IM33" s="63"/>
      <c r="IN33" s="63"/>
      <c r="IO33" s="67">
        <f>SUM(IK33:IN33)</f>
        <v>0</v>
      </c>
      <c r="IP33" s="63"/>
      <c r="IQ33" s="63"/>
      <c r="IR33" s="63"/>
      <c r="IS33" s="63"/>
      <c r="IT33" s="67">
        <f>SUM(IP33:IS33)</f>
        <v>0</v>
      </c>
      <c r="IU33" s="63"/>
      <c r="IV33" s="63"/>
    </row>
    <row r="34" spans="1:256" x14ac:dyDescent="0.25">
      <c r="A34" s="83" t="s">
        <v>45</v>
      </c>
      <c r="B34" s="62">
        <v>4</v>
      </c>
      <c r="C34" s="63"/>
      <c r="D34" s="63"/>
      <c r="E34" s="63"/>
      <c r="F34" s="63"/>
      <c r="G34" s="63"/>
      <c r="H34" s="63"/>
      <c r="I34" s="63"/>
      <c r="J34" s="63"/>
      <c r="K34" s="63"/>
      <c r="L34" s="64">
        <f>SUM(C34:F34,H34:K34)</f>
        <v>0</v>
      </c>
      <c r="M34" s="62"/>
      <c r="N34" s="63"/>
      <c r="O34" s="63"/>
      <c r="P34" s="63"/>
      <c r="Q34" s="63"/>
      <c r="R34" s="63"/>
      <c r="S34" s="63"/>
      <c r="T34" s="63"/>
      <c r="U34" s="63"/>
      <c r="V34" s="63"/>
      <c r="W34" s="64">
        <f>SUM(N34:Q34,S34:V34)</f>
        <v>0</v>
      </c>
      <c r="X34" s="62"/>
      <c r="Y34" s="63"/>
      <c r="Z34" s="63"/>
      <c r="AA34" s="63"/>
      <c r="AB34" s="63"/>
      <c r="AC34" s="63"/>
      <c r="AD34" s="63"/>
      <c r="AE34" s="63"/>
      <c r="AF34" s="63"/>
      <c r="AG34" s="63"/>
      <c r="AH34" s="64">
        <f>SUM(Y34:AB34,AD34:AG34)</f>
        <v>0</v>
      </c>
      <c r="AI34" s="62"/>
      <c r="AJ34" s="63"/>
      <c r="AK34" s="63"/>
      <c r="AL34" s="63"/>
      <c r="AM34" s="63"/>
      <c r="AN34" s="63"/>
      <c r="AO34" s="63"/>
      <c r="AP34" s="63"/>
      <c r="AQ34" s="63"/>
      <c r="AR34" s="63"/>
      <c r="AS34" s="64">
        <f>SUM(AJ34:AM34,AO34:AR34)</f>
        <v>0</v>
      </c>
      <c r="AT34" s="65">
        <f t="shared" si="160"/>
        <v>0</v>
      </c>
      <c r="AU34" s="65">
        <f t="shared" si="160"/>
        <v>0</v>
      </c>
      <c r="AV34" s="65">
        <f t="shared" si="160"/>
        <v>0</v>
      </c>
      <c r="AW34" s="65">
        <f t="shared" si="160"/>
        <v>0</v>
      </c>
      <c r="AX34" s="65">
        <f t="shared" si="160"/>
        <v>0</v>
      </c>
      <c r="AY34" s="65">
        <f t="shared" si="160"/>
        <v>0</v>
      </c>
      <c r="AZ34" s="65">
        <f t="shared" si="160"/>
        <v>0</v>
      </c>
      <c r="BA34" s="65">
        <f t="shared" si="160"/>
        <v>0</v>
      </c>
      <c r="BB34" s="65">
        <f t="shared" si="160"/>
        <v>0</v>
      </c>
      <c r="BC34" s="65">
        <f t="shared" si="160"/>
        <v>0</v>
      </c>
      <c r="BD34" s="64">
        <f>SUM(AU34:AX34,AZ34:BC34)</f>
        <v>0</v>
      </c>
      <c r="BE34" s="62"/>
      <c r="BF34" s="63"/>
      <c r="BG34" s="63"/>
      <c r="BH34" s="63"/>
      <c r="BI34" s="63"/>
      <c r="BJ34" s="63"/>
      <c r="BK34" s="63"/>
      <c r="BL34" s="63"/>
      <c r="BM34" s="63"/>
      <c r="BN34" s="63"/>
      <c r="BO34" s="64">
        <f>SUM(BF34:BI34,BK34:BN34)</f>
        <v>0</v>
      </c>
      <c r="BP34" s="62"/>
      <c r="BQ34" s="63"/>
      <c r="BR34" s="63"/>
      <c r="BS34" s="63"/>
      <c r="BT34" s="63"/>
      <c r="BU34" s="63"/>
      <c r="BV34" s="63"/>
      <c r="BW34" s="63"/>
      <c r="BX34" s="63"/>
      <c r="BY34" s="63"/>
      <c r="BZ34" s="64">
        <f>SUM(BQ34:BT34,BV34:BY34)</f>
        <v>0</v>
      </c>
      <c r="CA34" s="62"/>
      <c r="CB34" s="63"/>
      <c r="CC34" s="63"/>
      <c r="CD34" s="63"/>
      <c r="CE34" s="63"/>
      <c r="CF34" s="63"/>
      <c r="CG34" s="63"/>
      <c r="CH34" s="63"/>
      <c r="CI34" s="63"/>
      <c r="CJ34" s="63"/>
      <c r="CK34" s="64">
        <f>SUM(CB34:CE34,CG34:CJ34)</f>
        <v>0</v>
      </c>
      <c r="CL34" s="65">
        <f t="shared" si="161"/>
        <v>0</v>
      </c>
      <c r="CM34" s="65">
        <f t="shared" si="161"/>
        <v>0</v>
      </c>
      <c r="CN34" s="65">
        <f t="shared" si="161"/>
        <v>0</v>
      </c>
      <c r="CO34" s="65">
        <f t="shared" si="161"/>
        <v>0</v>
      </c>
      <c r="CP34" s="65">
        <f t="shared" si="161"/>
        <v>0</v>
      </c>
      <c r="CQ34" s="65">
        <f t="shared" si="161"/>
        <v>0</v>
      </c>
      <c r="CR34" s="65">
        <f t="shared" si="161"/>
        <v>0</v>
      </c>
      <c r="CS34" s="65">
        <f t="shared" si="161"/>
        <v>0</v>
      </c>
      <c r="CT34" s="65">
        <f t="shared" si="161"/>
        <v>0</v>
      </c>
      <c r="CU34" s="65">
        <f t="shared" si="161"/>
        <v>0</v>
      </c>
      <c r="CV34" s="64">
        <f>SUM(CM34:CP34,CR34:CU34)</f>
        <v>0</v>
      </c>
      <c r="CW34" s="62"/>
      <c r="CX34" s="63"/>
      <c r="CY34" s="63"/>
      <c r="CZ34" s="63"/>
      <c r="DA34" s="63"/>
      <c r="DB34" s="63"/>
      <c r="DC34" s="63"/>
      <c r="DD34" s="63"/>
      <c r="DE34" s="63"/>
      <c r="DF34" s="63"/>
      <c r="DG34" s="64">
        <f>SUM(CX34:DA34,DC34:DF34)</f>
        <v>0</v>
      </c>
      <c r="DH34" s="62"/>
      <c r="DI34" s="63"/>
      <c r="DJ34" s="63"/>
      <c r="DK34" s="63"/>
      <c r="DL34" s="63"/>
      <c r="DM34" s="63"/>
      <c r="DN34" s="63"/>
      <c r="DO34" s="63"/>
      <c r="DP34" s="63"/>
      <c r="DQ34" s="63"/>
      <c r="DR34" s="64">
        <f>SUM(DI34:DL34,DN34:DQ34)</f>
        <v>0</v>
      </c>
      <c r="DS34" s="62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5">
        <f t="shared" si="162"/>
        <v>0</v>
      </c>
      <c r="EE34" s="65">
        <f t="shared" si="162"/>
        <v>0</v>
      </c>
      <c r="EF34" s="65">
        <f t="shared" si="162"/>
        <v>0</v>
      </c>
      <c r="EG34" s="65">
        <f t="shared" si="162"/>
        <v>0</v>
      </c>
      <c r="EH34" s="65">
        <f t="shared" si="162"/>
        <v>0</v>
      </c>
      <c r="EI34" s="65">
        <f t="shared" si="162"/>
        <v>0</v>
      </c>
      <c r="EJ34" s="65">
        <f t="shared" si="162"/>
        <v>0</v>
      </c>
      <c r="EK34" s="65">
        <f t="shared" si="162"/>
        <v>0</v>
      </c>
      <c r="EL34" s="65">
        <f t="shared" si="162"/>
        <v>0</v>
      </c>
      <c r="EM34" s="65">
        <f t="shared" si="162"/>
        <v>0</v>
      </c>
      <c r="EN34" s="64">
        <f>SUM(EE34:EH34,EJ34:EM34)</f>
        <v>0</v>
      </c>
      <c r="EO34" s="62"/>
      <c r="EP34" s="63"/>
      <c r="EQ34" s="63"/>
      <c r="ER34" s="63"/>
      <c r="ES34" s="63"/>
      <c r="ET34" s="63"/>
      <c r="EU34" s="63"/>
      <c r="EV34" s="63"/>
      <c r="EW34" s="63"/>
      <c r="EX34" s="63"/>
      <c r="EY34" s="64">
        <f>SUM(EP34:ES34,EU34:EX34)</f>
        <v>0</v>
      </c>
      <c r="EZ34" s="62"/>
      <c r="FA34" s="63"/>
      <c r="FB34" s="63"/>
      <c r="FC34" s="63"/>
      <c r="FD34" s="63"/>
      <c r="FE34" s="63"/>
      <c r="FF34" s="63"/>
      <c r="FG34" s="63"/>
      <c r="FH34" s="63"/>
      <c r="FI34" s="63"/>
      <c r="FJ34" s="64">
        <f>SUM(FA34:FD34,FF34:FI34)</f>
        <v>0</v>
      </c>
      <c r="FK34" s="62"/>
      <c r="FL34" s="63"/>
      <c r="FM34" s="63"/>
      <c r="FN34" s="63"/>
      <c r="FO34" s="63"/>
      <c r="FP34" s="63"/>
      <c r="FQ34" s="63"/>
      <c r="FR34" s="63"/>
      <c r="FS34" s="63"/>
      <c r="FT34" s="63"/>
      <c r="FU34" s="64">
        <f>SUM(FL34:FO34,FQ34:FT34)</f>
        <v>0</v>
      </c>
      <c r="FV34" s="65">
        <f t="shared" si="163"/>
        <v>0</v>
      </c>
      <c r="FW34" s="65">
        <f t="shared" si="163"/>
        <v>0</v>
      </c>
      <c r="FX34" s="65">
        <f t="shared" si="163"/>
        <v>0</v>
      </c>
      <c r="FY34" s="65">
        <f t="shared" si="163"/>
        <v>0</v>
      </c>
      <c r="FZ34" s="65">
        <f t="shared" si="163"/>
        <v>0</v>
      </c>
      <c r="GA34" s="65">
        <f t="shared" si="163"/>
        <v>0</v>
      </c>
      <c r="GB34" s="65">
        <f t="shared" si="163"/>
        <v>0</v>
      </c>
      <c r="GC34" s="65">
        <f t="shared" si="163"/>
        <v>0</v>
      </c>
      <c r="GD34" s="65">
        <f t="shared" si="163"/>
        <v>0</v>
      </c>
      <c r="GE34" s="65">
        <f t="shared" si="163"/>
        <v>0</v>
      </c>
      <c r="GF34" s="64">
        <f>SUM(FW34:FZ34,GB34:GE34)</f>
        <v>0</v>
      </c>
      <c r="GG34" s="66">
        <f t="shared" si="164"/>
        <v>0</v>
      </c>
      <c r="GH34" s="66">
        <f t="shared" si="164"/>
        <v>0</v>
      </c>
      <c r="GI34" s="66">
        <f t="shared" si="164"/>
        <v>0</v>
      </c>
      <c r="GJ34" s="66">
        <f t="shared" si="164"/>
        <v>0</v>
      </c>
      <c r="GK34" s="66">
        <f t="shared" si="164"/>
        <v>0</v>
      </c>
      <c r="GL34" s="66">
        <f t="shared" si="164"/>
        <v>0</v>
      </c>
      <c r="GM34" s="66">
        <f t="shared" si="164"/>
        <v>0</v>
      </c>
      <c r="GN34" s="66">
        <f t="shared" si="164"/>
        <v>0</v>
      </c>
      <c r="GO34" s="66">
        <f t="shared" si="164"/>
        <v>0</v>
      </c>
      <c r="GP34" s="66">
        <f t="shared" si="164"/>
        <v>0</v>
      </c>
      <c r="GQ34" s="64">
        <f>SUM(GH34:GK34,GM34:GP34)</f>
        <v>0</v>
      </c>
      <c r="GR34" s="63"/>
      <c r="GS34" s="63"/>
      <c r="GT34" s="63"/>
      <c r="GU34" s="63"/>
      <c r="GV34" s="67">
        <f>SUM(GR34:GU34)</f>
        <v>0</v>
      </c>
      <c r="GW34" s="63"/>
      <c r="GX34" s="63"/>
      <c r="GY34" s="63"/>
      <c r="GZ34" s="63"/>
      <c r="HA34" s="67">
        <f>SUM(GW34:GZ34)</f>
        <v>0</v>
      </c>
      <c r="HB34" s="63"/>
      <c r="HC34" s="63"/>
      <c r="HD34" s="63"/>
      <c r="HE34" s="63"/>
      <c r="HF34" s="67">
        <f>SUM(HB34:HE34)</f>
        <v>0</v>
      </c>
      <c r="HG34" s="63"/>
      <c r="HH34" s="63"/>
      <c r="HI34" s="63"/>
      <c r="HJ34" s="63"/>
      <c r="HK34" s="67">
        <f>SUM(HG34:HJ34)</f>
        <v>0</v>
      </c>
      <c r="HL34" s="68">
        <f t="shared" si="165"/>
        <v>0</v>
      </c>
      <c r="HM34" s="68">
        <f t="shared" si="165"/>
        <v>0</v>
      </c>
      <c r="HN34" s="68">
        <f t="shared" si="165"/>
        <v>0</v>
      </c>
      <c r="HO34" s="68">
        <f t="shared" si="165"/>
        <v>0</v>
      </c>
      <c r="HP34" s="67">
        <f>SUM(HL34:HO34)</f>
        <v>0</v>
      </c>
      <c r="HQ34" s="63"/>
      <c r="HR34" s="63"/>
      <c r="HS34" s="63"/>
      <c r="HT34" s="63"/>
      <c r="HU34" s="67">
        <f>SUM(HQ34:HT34)</f>
        <v>0</v>
      </c>
      <c r="HV34" s="63"/>
      <c r="HW34" s="63"/>
      <c r="HX34" s="63"/>
      <c r="HY34" s="63"/>
      <c r="HZ34" s="67">
        <f>SUM(HV34:HY34)</f>
        <v>0</v>
      </c>
      <c r="IA34" s="63"/>
      <c r="IB34" s="63"/>
      <c r="IC34" s="63"/>
      <c r="ID34" s="63"/>
      <c r="IE34" s="67">
        <f>SUM(IA34:ID34)</f>
        <v>0</v>
      </c>
      <c r="IF34" s="68">
        <f t="shared" si="166"/>
        <v>0</v>
      </c>
      <c r="IG34" s="68">
        <f t="shared" si="166"/>
        <v>0</v>
      </c>
      <c r="IH34" s="68">
        <f t="shared" si="166"/>
        <v>0</v>
      </c>
      <c r="II34" s="68">
        <f t="shared" si="166"/>
        <v>0</v>
      </c>
      <c r="IJ34" s="67">
        <f>SUM(IF34:II34)</f>
        <v>0</v>
      </c>
      <c r="IK34" s="63"/>
      <c r="IL34" s="63"/>
      <c r="IM34" s="63"/>
      <c r="IN34" s="63"/>
      <c r="IO34" s="67">
        <f>SUM(IK34:IN34)</f>
        <v>0</v>
      </c>
      <c r="IP34" s="63"/>
      <c r="IQ34" s="63"/>
      <c r="IR34" s="63"/>
      <c r="IS34" s="63"/>
      <c r="IT34" s="67">
        <f>SUM(IP34:IS34)</f>
        <v>0</v>
      </c>
      <c r="IU34" s="63"/>
      <c r="IV34" s="63"/>
    </row>
    <row r="35" spans="1:256" s="78" customFormat="1" x14ac:dyDescent="0.25">
      <c r="A35" s="79" t="s">
        <v>46</v>
      </c>
      <c r="B35" s="80"/>
      <c r="C35" s="81">
        <f t="shared" ref="C35:K35" si="167">SUM(C36:C38)</f>
        <v>0</v>
      </c>
      <c r="D35" s="81">
        <f t="shared" si="167"/>
        <v>0</v>
      </c>
      <c r="E35" s="81">
        <f t="shared" si="167"/>
        <v>0</v>
      </c>
      <c r="F35" s="81">
        <f t="shared" si="167"/>
        <v>0</v>
      </c>
      <c r="G35" s="81">
        <f t="shared" si="167"/>
        <v>0</v>
      </c>
      <c r="H35" s="81">
        <f t="shared" si="167"/>
        <v>0</v>
      </c>
      <c r="I35" s="81">
        <f t="shared" si="167"/>
        <v>0</v>
      </c>
      <c r="J35" s="81">
        <f t="shared" si="167"/>
        <v>0</v>
      </c>
      <c r="K35" s="81">
        <f t="shared" si="167"/>
        <v>0</v>
      </c>
      <c r="L35" s="82">
        <f>SUM(L36:L38)</f>
        <v>0</v>
      </c>
      <c r="M35" s="80"/>
      <c r="N35" s="81">
        <f t="shared" ref="N35:V35" si="168">SUM(N36:N38)</f>
        <v>0</v>
      </c>
      <c r="O35" s="81">
        <f t="shared" si="168"/>
        <v>0</v>
      </c>
      <c r="P35" s="81">
        <f t="shared" si="168"/>
        <v>0</v>
      </c>
      <c r="Q35" s="81">
        <f t="shared" si="168"/>
        <v>0</v>
      </c>
      <c r="R35" s="81">
        <f t="shared" si="168"/>
        <v>0</v>
      </c>
      <c r="S35" s="81">
        <f t="shared" si="168"/>
        <v>0</v>
      </c>
      <c r="T35" s="81">
        <f t="shared" si="168"/>
        <v>0</v>
      </c>
      <c r="U35" s="81">
        <f t="shared" si="168"/>
        <v>0</v>
      </c>
      <c r="V35" s="81">
        <f t="shared" si="168"/>
        <v>0</v>
      </c>
      <c r="W35" s="82">
        <f>SUM(W36:W38)</f>
        <v>0</v>
      </c>
      <c r="X35" s="80"/>
      <c r="Y35" s="81">
        <f t="shared" ref="Y35:AG35" si="169">SUM(Y36:Y38)</f>
        <v>0</v>
      </c>
      <c r="Z35" s="81">
        <f t="shared" si="169"/>
        <v>0</v>
      </c>
      <c r="AA35" s="81">
        <f t="shared" si="169"/>
        <v>0</v>
      </c>
      <c r="AB35" s="81">
        <f t="shared" si="169"/>
        <v>0</v>
      </c>
      <c r="AC35" s="81">
        <f t="shared" si="169"/>
        <v>0</v>
      </c>
      <c r="AD35" s="81">
        <f t="shared" si="169"/>
        <v>0</v>
      </c>
      <c r="AE35" s="81">
        <f t="shared" si="169"/>
        <v>0</v>
      </c>
      <c r="AF35" s="81">
        <f t="shared" si="169"/>
        <v>0</v>
      </c>
      <c r="AG35" s="81">
        <f t="shared" si="169"/>
        <v>0</v>
      </c>
      <c r="AH35" s="82">
        <f>SUM(AH36:AH38)</f>
        <v>0</v>
      </c>
      <c r="AI35" s="80"/>
      <c r="AJ35" s="81">
        <f t="shared" ref="AJ35:AR35" si="170">SUM(AJ36:AJ38)</f>
        <v>0</v>
      </c>
      <c r="AK35" s="81">
        <f t="shared" si="170"/>
        <v>0</v>
      </c>
      <c r="AL35" s="81">
        <f t="shared" si="170"/>
        <v>0</v>
      </c>
      <c r="AM35" s="81">
        <f t="shared" si="170"/>
        <v>0</v>
      </c>
      <c r="AN35" s="81">
        <f t="shared" si="170"/>
        <v>0</v>
      </c>
      <c r="AO35" s="81">
        <f t="shared" si="170"/>
        <v>0</v>
      </c>
      <c r="AP35" s="81">
        <f t="shared" si="170"/>
        <v>0</v>
      </c>
      <c r="AQ35" s="81">
        <f t="shared" si="170"/>
        <v>0</v>
      </c>
      <c r="AR35" s="81">
        <f t="shared" si="170"/>
        <v>0</v>
      </c>
      <c r="AS35" s="82">
        <f>SUM(AS36:AS38)</f>
        <v>0</v>
      </c>
      <c r="AT35" s="80"/>
      <c r="AU35" s="81">
        <f>SUM(AU36:AU38)</f>
        <v>0</v>
      </c>
      <c r="AV35" s="81">
        <f t="shared" ref="AV35:BC35" si="171">SUM(AV36:AV38)</f>
        <v>0</v>
      </c>
      <c r="AW35" s="81">
        <f t="shared" si="171"/>
        <v>0</v>
      </c>
      <c r="AX35" s="81">
        <f t="shared" si="171"/>
        <v>0</v>
      </c>
      <c r="AY35" s="81">
        <f t="shared" si="171"/>
        <v>0</v>
      </c>
      <c r="AZ35" s="81">
        <f t="shared" si="171"/>
        <v>0</v>
      </c>
      <c r="BA35" s="81">
        <f t="shared" si="171"/>
        <v>0</v>
      </c>
      <c r="BB35" s="81">
        <f t="shared" si="171"/>
        <v>0</v>
      </c>
      <c r="BC35" s="81">
        <f t="shared" si="171"/>
        <v>0</v>
      </c>
      <c r="BD35" s="82">
        <f>SUM(BD36:BD38)</f>
        <v>0</v>
      </c>
      <c r="BE35" s="80"/>
      <c r="BF35" s="81">
        <f t="shared" ref="BF35:BN35" si="172">SUM(BF36:BF38)</f>
        <v>0</v>
      </c>
      <c r="BG35" s="81">
        <f t="shared" si="172"/>
        <v>0</v>
      </c>
      <c r="BH35" s="81">
        <f t="shared" si="172"/>
        <v>0</v>
      </c>
      <c r="BI35" s="81">
        <f t="shared" si="172"/>
        <v>0</v>
      </c>
      <c r="BJ35" s="81">
        <f t="shared" si="172"/>
        <v>0</v>
      </c>
      <c r="BK35" s="81">
        <f t="shared" si="172"/>
        <v>0</v>
      </c>
      <c r="BL35" s="81">
        <f t="shared" si="172"/>
        <v>0</v>
      </c>
      <c r="BM35" s="81">
        <f t="shared" si="172"/>
        <v>0</v>
      </c>
      <c r="BN35" s="81">
        <f t="shared" si="172"/>
        <v>0</v>
      </c>
      <c r="BO35" s="82">
        <f>SUM(BO36:BO38)</f>
        <v>0</v>
      </c>
      <c r="BP35" s="80"/>
      <c r="BQ35" s="81">
        <f t="shared" ref="BQ35:BY35" si="173">SUM(BQ36:BQ38)</f>
        <v>0</v>
      </c>
      <c r="BR35" s="81">
        <f t="shared" si="173"/>
        <v>0</v>
      </c>
      <c r="BS35" s="81">
        <f t="shared" si="173"/>
        <v>0</v>
      </c>
      <c r="BT35" s="81">
        <f t="shared" si="173"/>
        <v>0</v>
      </c>
      <c r="BU35" s="81">
        <f t="shared" si="173"/>
        <v>0</v>
      </c>
      <c r="BV35" s="81">
        <f t="shared" si="173"/>
        <v>0</v>
      </c>
      <c r="BW35" s="81">
        <f t="shared" si="173"/>
        <v>0</v>
      </c>
      <c r="BX35" s="81">
        <f t="shared" si="173"/>
        <v>0</v>
      </c>
      <c r="BY35" s="81">
        <f t="shared" si="173"/>
        <v>0</v>
      </c>
      <c r="BZ35" s="82">
        <f>SUM(BZ36:BZ38)</f>
        <v>0</v>
      </c>
      <c r="CA35" s="80"/>
      <c r="CB35" s="81">
        <f t="shared" ref="CB35:CJ35" si="174">SUM(CB36:CB38)</f>
        <v>0</v>
      </c>
      <c r="CC35" s="81">
        <f t="shared" si="174"/>
        <v>0</v>
      </c>
      <c r="CD35" s="81">
        <f t="shared" si="174"/>
        <v>0</v>
      </c>
      <c r="CE35" s="81">
        <f t="shared" si="174"/>
        <v>0</v>
      </c>
      <c r="CF35" s="81">
        <f t="shared" si="174"/>
        <v>0</v>
      </c>
      <c r="CG35" s="81">
        <f t="shared" si="174"/>
        <v>0</v>
      </c>
      <c r="CH35" s="81">
        <f t="shared" si="174"/>
        <v>0</v>
      </c>
      <c r="CI35" s="81">
        <f t="shared" si="174"/>
        <v>0</v>
      </c>
      <c r="CJ35" s="81">
        <f t="shared" si="174"/>
        <v>0</v>
      </c>
      <c r="CK35" s="82">
        <f>SUM(CK36:CK38)</f>
        <v>0</v>
      </c>
      <c r="CL35" s="80"/>
      <c r="CM35" s="81">
        <f>SUM(CM36:CM38)</f>
        <v>0</v>
      </c>
      <c r="CN35" s="81">
        <f t="shared" ref="CN35:CU35" si="175">SUM(CN36:CN38)</f>
        <v>0</v>
      </c>
      <c r="CO35" s="81">
        <f t="shared" si="175"/>
        <v>0</v>
      </c>
      <c r="CP35" s="81">
        <f t="shared" si="175"/>
        <v>0</v>
      </c>
      <c r="CQ35" s="81">
        <f t="shared" si="175"/>
        <v>0</v>
      </c>
      <c r="CR35" s="81">
        <f t="shared" si="175"/>
        <v>0</v>
      </c>
      <c r="CS35" s="81">
        <f t="shared" si="175"/>
        <v>0</v>
      </c>
      <c r="CT35" s="81">
        <f t="shared" si="175"/>
        <v>0</v>
      </c>
      <c r="CU35" s="81">
        <f t="shared" si="175"/>
        <v>0</v>
      </c>
      <c r="CV35" s="82">
        <f>SUM(CV36:CV38)</f>
        <v>0</v>
      </c>
      <c r="CW35" s="80"/>
      <c r="CX35" s="81">
        <f t="shared" ref="CX35:DF35" si="176">SUM(CX36:CX38)</f>
        <v>0</v>
      </c>
      <c r="CY35" s="81">
        <f t="shared" si="176"/>
        <v>0</v>
      </c>
      <c r="CZ35" s="81">
        <f t="shared" si="176"/>
        <v>0</v>
      </c>
      <c r="DA35" s="81">
        <f t="shared" si="176"/>
        <v>0</v>
      </c>
      <c r="DB35" s="81">
        <f t="shared" si="176"/>
        <v>0</v>
      </c>
      <c r="DC35" s="81">
        <f t="shared" si="176"/>
        <v>0</v>
      </c>
      <c r="DD35" s="81">
        <f t="shared" si="176"/>
        <v>0</v>
      </c>
      <c r="DE35" s="81">
        <f t="shared" si="176"/>
        <v>0</v>
      </c>
      <c r="DF35" s="81">
        <f t="shared" si="176"/>
        <v>0</v>
      </c>
      <c r="DG35" s="82">
        <f>SUM(DG36:DG38)</f>
        <v>0</v>
      </c>
      <c r="DH35" s="80"/>
      <c r="DI35" s="81">
        <f t="shared" ref="DI35:DQ35" si="177">SUM(DI36:DI38)</f>
        <v>0</v>
      </c>
      <c r="DJ35" s="81">
        <f t="shared" si="177"/>
        <v>0</v>
      </c>
      <c r="DK35" s="81">
        <f t="shared" si="177"/>
        <v>0</v>
      </c>
      <c r="DL35" s="81">
        <f t="shared" si="177"/>
        <v>0</v>
      </c>
      <c r="DM35" s="81">
        <f t="shared" si="177"/>
        <v>0</v>
      </c>
      <c r="DN35" s="81">
        <f t="shared" si="177"/>
        <v>0</v>
      </c>
      <c r="DO35" s="81">
        <f t="shared" si="177"/>
        <v>0</v>
      </c>
      <c r="DP35" s="81">
        <f t="shared" si="177"/>
        <v>0</v>
      </c>
      <c r="DQ35" s="81">
        <f t="shared" si="177"/>
        <v>0</v>
      </c>
      <c r="DR35" s="82">
        <f>SUM(DR36:DR38)</f>
        <v>0</v>
      </c>
      <c r="DS35" s="80"/>
      <c r="DT35" s="81">
        <f t="shared" ref="DT35:EB35" si="178">SUM(DT36:DT38)</f>
        <v>0</v>
      </c>
      <c r="DU35" s="81">
        <f t="shared" si="178"/>
        <v>0</v>
      </c>
      <c r="DV35" s="81">
        <f t="shared" si="178"/>
        <v>0</v>
      </c>
      <c r="DW35" s="81">
        <f t="shared" si="178"/>
        <v>0</v>
      </c>
      <c r="DX35" s="81">
        <f t="shared" si="178"/>
        <v>0</v>
      </c>
      <c r="DY35" s="81">
        <f t="shared" si="178"/>
        <v>0</v>
      </c>
      <c r="DZ35" s="81">
        <f t="shared" si="178"/>
        <v>0</v>
      </c>
      <c r="EA35" s="81">
        <f t="shared" si="178"/>
        <v>0</v>
      </c>
      <c r="EB35" s="81">
        <f t="shared" si="178"/>
        <v>0</v>
      </c>
      <c r="EC35" s="81">
        <f>SUM(EC36:EC38)</f>
        <v>0</v>
      </c>
      <c r="ED35" s="80"/>
      <c r="EE35" s="81">
        <f>SUM(EE36:EE38)</f>
        <v>0</v>
      </c>
      <c r="EF35" s="81">
        <f t="shared" ref="EF35:EM35" si="179">SUM(EF36:EF38)</f>
        <v>0</v>
      </c>
      <c r="EG35" s="81">
        <f t="shared" si="179"/>
        <v>0</v>
      </c>
      <c r="EH35" s="81">
        <f t="shared" si="179"/>
        <v>0</v>
      </c>
      <c r="EI35" s="81">
        <f t="shared" si="179"/>
        <v>0</v>
      </c>
      <c r="EJ35" s="81">
        <f t="shared" si="179"/>
        <v>0</v>
      </c>
      <c r="EK35" s="81">
        <f t="shared" si="179"/>
        <v>0</v>
      </c>
      <c r="EL35" s="81">
        <f t="shared" si="179"/>
        <v>0</v>
      </c>
      <c r="EM35" s="81">
        <f t="shared" si="179"/>
        <v>0</v>
      </c>
      <c r="EN35" s="82">
        <f>SUM(EN36:EN38)</f>
        <v>0</v>
      </c>
      <c r="EO35" s="80"/>
      <c r="EP35" s="81">
        <f t="shared" ref="EP35:EX35" si="180">SUM(EP36:EP38)</f>
        <v>0</v>
      </c>
      <c r="EQ35" s="81">
        <f t="shared" si="180"/>
        <v>0</v>
      </c>
      <c r="ER35" s="81">
        <f t="shared" si="180"/>
        <v>0</v>
      </c>
      <c r="ES35" s="81">
        <f t="shared" si="180"/>
        <v>0</v>
      </c>
      <c r="ET35" s="81">
        <f t="shared" si="180"/>
        <v>0</v>
      </c>
      <c r="EU35" s="81">
        <f t="shared" si="180"/>
        <v>0</v>
      </c>
      <c r="EV35" s="81">
        <f t="shared" si="180"/>
        <v>0</v>
      </c>
      <c r="EW35" s="81">
        <f t="shared" si="180"/>
        <v>0</v>
      </c>
      <c r="EX35" s="81">
        <f t="shared" si="180"/>
        <v>0</v>
      </c>
      <c r="EY35" s="82">
        <f>SUM(EY36:EY38)</f>
        <v>0</v>
      </c>
      <c r="EZ35" s="80"/>
      <c r="FA35" s="81">
        <f t="shared" ref="FA35:FI35" si="181">SUM(FA36:FA38)</f>
        <v>0</v>
      </c>
      <c r="FB35" s="81">
        <f t="shared" si="181"/>
        <v>0</v>
      </c>
      <c r="FC35" s="81">
        <f t="shared" si="181"/>
        <v>0</v>
      </c>
      <c r="FD35" s="81">
        <f t="shared" si="181"/>
        <v>0</v>
      </c>
      <c r="FE35" s="81">
        <f t="shared" si="181"/>
        <v>0</v>
      </c>
      <c r="FF35" s="81">
        <f t="shared" si="181"/>
        <v>0</v>
      </c>
      <c r="FG35" s="81">
        <f t="shared" si="181"/>
        <v>0</v>
      </c>
      <c r="FH35" s="81">
        <f t="shared" si="181"/>
        <v>0</v>
      </c>
      <c r="FI35" s="81">
        <f t="shared" si="181"/>
        <v>0</v>
      </c>
      <c r="FJ35" s="82">
        <f>SUM(FJ36:FJ38)</f>
        <v>0</v>
      </c>
      <c r="FK35" s="80"/>
      <c r="FL35" s="81">
        <f t="shared" ref="FL35:FT35" si="182">SUM(FL36:FL38)</f>
        <v>0</v>
      </c>
      <c r="FM35" s="81">
        <f t="shared" si="182"/>
        <v>0</v>
      </c>
      <c r="FN35" s="81">
        <f t="shared" si="182"/>
        <v>0</v>
      </c>
      <c r="FO35" s="81">
        <f t="shared" si="182"/>
        <v>0</v>
      </c>
      <c r="FP35" s="81">
        <f t="shared" si="182"/>
        <v>0</v>
      </c>
      <c r="FQ35" s="81">
        <f t="shared" si="182"/>
        <v>0</v>
      </c>
      <c r="FR35" s="81">
        <f t="shared" si="182"/>
        <v>0</v>
      </c>
      <c r="FS35" s="81">
        <f t="shared" si="182"/>
        <v>0</v>
      </c>
      <c r="FT35" s="81">
        <f t="shared" si="182"/>
        <v>0</v>
      </c>
      <c r="FU35" s="82">
        <f>SUM(FU36:FU38)</f>
        <v>0</v>
      </c>
      <c r="FV35" s="80"/>
      <c r="FW35" s="81">
        <f>SUM(FW36:FW38)</f>
        <v>0</v>
      </c>
      <c r="FX35" s="81">
        <f t="shared" ref="FX35:GE35" si="183">SUM(FX36:FX38)</f>
        <v>0</v>
      </c>
      <c r="FY35" s="81">
        <f t="shared" si="183"/>
        <v>0</v>
      </c>
      <c r="FZ35" s="81">
        <f t="shared" si="183"/>
        <v>0</v>
      </c>
      <c r="GA35" s="81">
        <f t="shared" si="183"/>
        <v>0</v>
      </c>
      <c r="GB35" s="81">
        <f t="shared" si="183"/>
        <v>0</v>
      </c>
      <c r="GC35" s="81">
        <f t="shared" si="183"/>
        <v>0</v>
      </c>
      <c r="GD35" s="81">
        <f t="shared" si="183"/>
        <v>0</v>
      </c>
      <c r="GE35" s="81">
        <f t="shared" si="183"/>
        <v>0</v>
      </c>
      <c r="GF35" s="82">
        <f>SUM(GF36:GF38)</f>
        <v>0</v>
      </c>
      <c r="GG35" s="80"/>
      <c r="GH35" s="81">
        <f t="shared" ref="GH35:GP35" si="184">SUM(GH36:GH38)</f>
        <v>0</v>
      </c>
      <c r="GI35" s="81">
        <f t="shared" si="184"/>
        <v>0</v>
      </c>
      <c r="GJ35" s="81">
        <f t="shared" si="184"/>
        <v>0</v>
      </c>
      <c r="GK35" s="81">
        <f t="shared" si="184"/>
        <v>0</v>
      </c>
      <c r="GL35" s="81">
        <f t="shared" si="184"/>
        <v>0</v>
      </c>
      <c r="GM35" s="81">
        <f t="shared" si="184"/>
        <v>0</v>
      </c>
      <c r="GN35" s="81">
        <f t="shared" si="184"/>
        <v>0</v>
      </c>
      <c r="GO35" s="81">
        <f t="shared" si="184"/>
        <v>0</v>
      </c>
      <c r="GP35" s="81">
        <f t="shared" si="184"/>
        <v>0</v>
      </c>
      <c r="GQ35" s="82">
        <f t="shared" ref="GQ35:HV35" si="185">SUM(GQ36:GQ38)</f>
        <v>0</v>
      </c>
      <c r="GR35" s="81">
        <f t="shared" si="185"/>
        <v>0</v>
      </c>
      <c r="GS35" s="81">
        <f t="shared" si="185"/>
        <v>0</v>
      </c>
      <c r="GT35" s="81">
        <f t="shared" si="185"/>
        <v>0</v>
      </c>
      <c r="GU35" s="81">
        <f t="shared" si="185"/>
        <v>0</v>
      </c>
      <c r="GV35" s="81">
        <f t="shared" si="185"/>
        <v>0</v>
      </c>
      <c r="GW35" s="81">
        <f t="shared" si="185"/>
        <v>0</v>
      </c>
      <c r="GX35" s="81">
        <f t="shared" si="185"/>
        <v>0</v>
      </c>
      <c r="GY35" s="81">
        <f t="shared" si="185"/>
        <v>0</v>
      </c>
      <c r="GZ35" s="81">
        <f t="shared" si="185"/>
        <v>0</v>
      </c>
      <c r="HA35" s="81">
        <f t="shared" si="185"/>
        <v>0</v>
      </c>
      <c r="HB35" s="81">
        <f t="shared" si="185"/>
        <v>0</v>
      </c>
      <c r="HC35" s="81">
        <f t="shared" si="185"/>
        <v>0</v>
      </c>
      <c r="HD35" s="81">
        <f t="shared" si="185"/>
        <v>0</v>
      </c>
      <c r="HE35" s="81">
        <f t="shared" si="185"/>
        <v>0</v>
      </c>
      <c r="HF35" s="81">
        <f t="shared" si="185"/>
        <v>0</v>
      </c>
      <c r="HG35" s="81">
        <f t="shared" si="185"/>
        <v>0</v>
      </c>
      <c r="HH35" s="81">
        <f t="shared" si="185"/>
        <v>0</v>
      </c>
      <c r="HI35" s="81">
        <f t="shared" si="185"/>
        <v>0</v>
      </c>
      <c r="HJ35" s="81">
        <f t="shared" si="185"/>
        <v>0</v>
      </c>
      <c r="HK35" s="81">
        <f t="shared" si="185"/>
        <v>0</v>
      </c>
      <c r="HL35" s="81">
        <f t="shared" si="185"/>
        <v>0</v>
      </c>
      <c r="HM35" s="81">
        <f t="shared" si="185"/>
        <v>0</v>
      </c>
      <c r="HN35" s="81">
        <f t="shared" si="185"/>
        <v>0</v>
      </c>
      <c r="HO35" s="81">
        <f t="shared" si="185"/>
        <v>0</v>
      </c>
      <c r="HP35" s="81">
        <f t="shared" si="185"/>
        <v>0</v>
      </c>
      <c r="HQ35" s="81">
        <f t="shared" si="185"/>
        <v>0</v>
      </c>
      <c r="HR35" s="81">
        <f t="shared" si="185"/>
        <v>0</v>
      </c>
      <c r="HS35" s="81">
        <f t="shared" si="185"/>
        <v>0</v>
      </c>
      <c r="HT35" s="81">
        <f t="shared" si="185"/>
        <v>0</v>
      </c>
      <c r="HU35" s="81">
        <f t="shared" si="185"/>
        <v>0</v>
      </c>
      <c r="HV35" s="81">
        <f t="shared" si="185"/>
        <v>0</v>
      </c>
      <c r="HW35" s="81">
        <f t="shared" ref="HW35:IV35" si="186">SUM(HW36:HW38)</f>
        <v>0</v>
      </c>
      <c r="HX35" s="81">
        <f t="shared" si="186"/>
        <v>0</v>
      </c>
      <c r="HY35" s="81">
        <f t="shared" si="186"/>
        <v>0</v>
      </c>
      <c r="HZ35" s="81">
        <f t="shared" si="186"/>
        <v>0</v>
      </c>
      <c r="IA35" s="81">
        <f t="shared" si="186"/>
        <v>0</v>
      </c>
      <c r="IB35" s="81">
        <f t="shared" si="186"/>
        <v>0</v>
      </c>
      <c r="IC35" s="81">
        <f t="shared" si="186"/>
        <v>0</v>
      </c>
      <c r="ID35" s="81">
        <f t="shared" si="186"/>
        <v>0</v>
      </c>
      <c r="IE35" s="81">
        <f t="shared" si="186"/>
        <v>0</v>
      </c>
      <c r="IF35" s="81">
        <f t="shared" si="186"/>
        <v>0</v>
      </c>
      <c r="IG35" s="81">
        <f t="shared" si="186"/>
        <v>0</v>
      </c>
      <c r="IH35" s="81">
        <f t="shared" si="186"/>
        <v>0</v>
      </c>
      <c r="II35" s="81">
        <f t="shared" si="186"/>
        <v>0</v>
      </c>
      <c r="IJ35" s="81">
        <f t="shared" si="186"/>
        <v>0</v>
      </c>
      <c r="IK35" s="81">
        <f t="shared" si="186"/>
        <v>0</v>
      </c>
      <c r="IL35" s="81">
        <f t="shared" si="186"/>
        <v>0</v>
      </c>
      <c r="IM35" s="81">
        <f t="shared" si="186"/>
        <v>0</v>
      </c>
      <c r="IN35" s="81">
        <f t="shared" si="186"/>
        <v>0</v>
      </c>
      <c r="IO35" s="81">
        <f t="shared" si="186"/>
        <v>0</v>
      </c>
      <c r="IP35" s="81">
        <f t="shared" si="186"/>
        <v>0</v>
      </c>
      <c r="IQ35" s="81">
        <f t="shared" si="186"/>
        <v>0</v>
      </c>
      <c r="IR35" s="81">
        <f t="shared" si="186"/>
        <v>0</v>
      </c>
      <c r="IS35" s="81">
        <f t="shared" si="186"/>
        <v>0</v>
      </c>
      <c r="IT35" s="81">
        <f t="shared" si="186"/>
        <v>0</v>
      </c>
      <c r="IU35" s="81">
        <f t="shared" si="186"/>
        <v>0</v>
      </c>
      <c r="IV35" s="81">
        <f t="shared" si="186"/>
        <v>0</v>
      </c>
    </row>
    <row r="36" spans="1:256" s="85" customFormat="1" x14ac:dyDescent="0.25">
      <c r="A36" s="86" t="s">
        <v>47</v>
      </c>
      <c r="B36" s="62">
        <v>180</v>
      </c>
      <c r="C36" s="63"/>
      <c r="D36" s="63"/>
      <c r="E36" s="63"/>
      <c r="F36" s="63"/>
      <c r="G36" s="63"/>
      <c r="H36" s="63"/>
      <c r="I36" s="63"/>
      <c r="J36" s="63"/>
      <c r="K36" s="63"/>
      <c r="L36" s="64">
        <f>SUM(C36:F36,H36:K36)</f>
        <v>0</v>
      </c>
      <c r="M36" s="62"/>
      <c r="N36" s="63"/>
      <c r="O36" s="63"/>
      <c r="P36" s="63"/>
      <c r="Q36" s="63"/>
      <c r="R36" s="63"/>
      <c r="S36" s="63"/>
      <c r="T36" s="63"/>
      <c r="U36" s="63"/>
      <c r="V36" s="63"/>
      <c r="W36" s="64">
        <f>SUM(N36:Q36,S36:V36)</f>
        <v>0</v>
      </c>
      <c r="X36" s="62"/>
      <c r="Y36" s="63"/>
      <c r="Z36" s="63"/>
      <c r="AA36" s="63"/>
      <c r="AB36" s="63"/>
      <c r="AC36" s="63"/>
      <c r="AD36" s="63"/>
      <c r="AE36" s="63"/>
      <c r="AF36" s="63"/>
      <c r="AG36" s="63"/>
      <c r="AH36" s="64">
        <f>SUM(Y36:AB36,AD36:AG36)</f>
        <v>0</v>
      </c>
      <c r="AI36" s="62"/>
      <c r="AJ36" s="63"/>
      <c r="AK36" s="63"/>
      <c r="AL36" s="63"/>
      <c r="AM36" s="63"/>
      <c r="AN36" s="63"/>
      <c r="AO36" s="63"/>
      <c r="AP36" s="63"/>
      <c r="AQ36" s="63"/>
      <c r="AR36" s="63"/>
      <c r="AS36" s="64">
        <f>SUM(AJ36:AM36,AO36:AR36)</f>
        <v>0</v>
      </c>
      <c r="AT36" s="65">
        <f t="shared" ref="AT36:BC38" si="187">SUM(M36,AI36,X36)</f>
        <v>0</v>
      </c>
      <c r="AU36" s="65">
        <f t="shared" si="187"/>
        <v>0</v>
      </c>
      <c r="AV36" s="65">
        <f t="shared" si="187"/>
        <v>0</v>
      </c>
      <c r="AW36" s="65">
        <f t="shared" si="187"/>
        <v>0</v>
      </c>
      <c r="AX36" s="65">
        <f t="shared" si="187"/>
        <v>0</v>
      </c>
      <c r="AY36" s="65">
        <f t="shared" si="187"/>
        <v>0</v>
      </c>
      <c r="AZ36" s="65">
        <f t="shared" si="187"/>
        <v>0</v>
      </c>
      <c r="BA36" s="65">
        <f t="shared" si="187"/>
        <v>0</v>
      </c>
      <c r="BB36" s="65">
        <f t="shared" si="187"/>
        <v>0</v>
      </c>
      <c r="BC36" s="65">
        <f t="shared" si="187"/>
        <v>0</v>
      </c>
      <c r="BD36" s="64">
        <f>SUM(AU36:AX36,AZ36:BC36)</f>
        <v>0</v>
      </c>
      <c r="BE36" s="62"/>
      <c r="BF36" s="63"/>
      <c r="BG36" s="63"/>
      <c r="BH36" s="63"/>
      <c r="BI36" s="63"/>
      <c r="BJ36" s="63"/>
      <c r="BK36" s="63"/>
      <c r="BL36" s="63"/>
      <c r="BM36" s="63"/>
      <c r="BN36" s="63"/>
      <c r="BO36" s="64">
        <f>SUM(BF36:BI36,BK36:BN36)</f>
        <v>0</v>
      </c>
      <c r="BP36" s="62"/>
      <c r="BQ36" s="63"/>
      <c r="BR36" s="63"/>
      <c r="BS36" s="63"/>
      <c r="BT36" s="63"/>
      <c r="BU36" s="63"/>
      <c r="BV36" s="63"/>
      <c r="BW36" s="63"/>
      <c r="BX36" s="63"/>
      <c r="BY36" s="63"/>
      <c r="BZ36" s="64">
        <f>SUM(BQ36:BT36,BV36:BY36)</f>
        <v>0</v>
      </c>
      <c r="CA36" s="62"/>
      <c r="CB36" s="63"/>
      <c r="CC36" s="63"/>
      <c r="CD36" s="63"/>
      <c r="CE36" s="63"/>
      <c r="CF36" s="63"/>
      <c r="CG36" s="63"/>
      <c r="CH36" s="63"/>
      <c r="CI36" s="63"/>
      <c r="CJ36" s="63"/>
      <c r="CK36" s="64">
        <f>SUM(CB36:CE36,CG36:CJ36)</f>
        <v>0</v>
      </c>
      <c r="CL36" s="65">
        <f t="shared" ref="CL36:CU38" si="188">SUM(BE36,CA36,BP36)</f>
        <v>0</v>
      </c>
      <c r="CM36" s="65">
        <f t="shared" si="188"/>
        <v>0</v>
      </c>
      <c r="CN36" s="65">
        <f t="shared" si="188"/>
        <v>0</v>
      </c>
      <c r="CO36" s="65">
        <f t="shared" si="188"/>
        <v>0</v>
      </c>
      <c r="CP36" s="65">
        <f t="shared" si="188"/>
        <v>0</v>
      </c>
      <c r="CQ36" s="65">
        <f t="shared" si="188"/>
        <v>0</v>
      </c>
      <c r="CR36" s="65">
        <f t="shared" si="188"/>
        <v>0</v>
      </c>
      <c r="CS36" s="65">
        <f t="shared" si="188"/>
        <v>0</v>
      </c>
      <c r="CT36" s="65">
        <f t="shared" si="188"/>
        <v>0</v>
      </c>
      <c r="CU36" s="65">
        <f t="shared" si="188"/>
        <v>0</v>
      </c>
      <c r="CV36" s="64">
        <f>SUM(CM36:CP36,CR36:CU36)</f>
        <v>0</v>
      </c>
      <c r="CW36" s="62"/>
      <c r="CX36" s="63"/>
      <c r="CY36" s="63"/>
      <c r="CZ36" s="63"/>
      <c r="DA36" s="63"/>
      <c r="DB36" s="63"/>
      <c r="DC36" s="63"/>
      <c r="DD36" s="63"/>
      <c r="DE36" s="63"/>
      <c r="DF36" s="63"/>
      <c r="DG36" s="64">
        <f>SUM(CX36:DA36,DC36:DF36)</f>
        <v>0</v>
      </c>
      <c r="DH36" s="62"/>
      <c r="DI36" s="63"/>
      <c r="DJ36" s="63"/>
      <c r="DK36" s="63"/>
      <c r="DL36" s="63"/>
      <c r="DM36" s="63"/>
      <c r="DN36" s="63"/>
      <c r="DO36" s="63"/>
      <c r="DP36" s="63"/>
      <c r="DQ36" s="63"/>
      <c r="DR36" s="64">
        <f>SUM(DI36:DL36,DN36:DQ36)</f>
        <v>0</v>
      </c>
      <c r="DS36" s="62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5">
        <f t="shared" ref="ED36:EM38" si="189">SUM(CW36,DS36,DH36)</f>
        <v>0</v>
      </c>
      <c r="EE36" s="65">
        <f t="shared" si="189"/>
        <v>0</v>
      </c>
      <c r="EF36" s="65">
        <f t="shared" si="189"/>
        <v>0</v>
      </c>
      <c r="EG36" s="65">
        <f t="shared" si="189"/>
        <v>0</v>
      </c>
      <c r="EH36" s="65">
        <f t="shared" si="189"/>
        <v>0</v>
      </c>
      <c r="EI36" s="65">
        <f t="shared" si="189"/>
        <v>0</v>
      </c>
      <c r="EJ36" s="65">
        <f t="shared" si="189"/>
        <v>0</v>
      </c>
      <c r="EK36" s="65">
        <f t="shared" si="189"/>
        <v>0</v>
      </c>
      <c r="EL36" s="65">
        <f t="shared" si="189"/>
        <v>0</v>
      </c>
      <c r="EM36" s="65">
        <f t="shared" si="189"/>
        <v>0</v>
      </c>
      <c r="EN36" s="64">
        <f>SUM(EE36:EH36,EJ36:EM36)</f>
        <v>0</v>
      </c>
      <c r="EO36" s="62"/>
      <c r="EP36" s="63"/>
      <c r="EQ36" s="63"/>
      <c r="ER36" s="63"/>
      <c r="ES36" s="63"/>
      <c r="ET36" s="63"/>
      <c r="EU36" s="63"/>
      <c r="EV36" s="63"/>
      <c r="EW36" s="63"/>
      <c r="EX36" s="63"/>
      <c r="EY36" s="64">
        <f>SUM(EP36:ES36,EU36:EX36)</f>
        <v>0</v>
      </c>
      <c r="EZ36" s="62"/>
      <c r="FA36" s="63"/>
      <c r="FB36" s="63"/>
      <c r="FC36" s="63"/>
      <c r="FD36" s="63"/>
      <c r="FE36" s="63"/>
      <c r="FF36" s="63"/>
      <c r="FG36" s="63"/>
      <c r="FH36" s="63"/>
      <c r="FI36" s="63"/>
      <c r="FJ36" s="64">
        <f>SUM(FA36:FD36,FF36:FI36)</f>
        <v>0</v>
      </c>
      <c r="FK36" s="62"/>
      <c r="FL36" s="63"/>
      <c r="FM36" s="63"/>
      <c r="FN36" s="63"/>
      <c r="FO36" s="63"/>
      <c r="FP36" s="63"/>
      <c r="FQ36" s="63"/>
      <c r="FR36" s="63"/>
      <c r="FS36" s="63"/>
      <c r="FT36" s="63"/>
      <c r="FU36" s="64">
        <f>SUM(FL36:FO36,FQ36:FT36)</f>
        <v>0</v>
      </c>
      <c r="FV36" s="65">
        <f t="shared" ref="FV36:GE38" si="190">SUM(EO36,FK36,EZ36)</f>
        <v>0</v>
      </c>
      <c r="FW36" s="65">
        <f t="shared" si="190"/>
        <v>0</v>
      </c>
      <c r="FX36" s="65">
        <f t="shared" si="190"/>
        <v>0</v>
      </c>
      <c r="FY36" s="65">
        <f t="shared" si="190"/>
        <v>0</v>
      </c>
      <c r="FZ36" s="65">
        <f t="shared" si="190"/>
        <v>0</v>
      </c>
      <c r="GA36" s="65">
        <f t="shared" si="190"/>
        <v>0</v>
      </c>
      <c r="GB36" s="65">
        <f t="shared" si="190"/>
        <v>0</v>
      </c>
      <c r="GC36" s="65">
        <f t="shared" si="190"/>
        <v>0</v>
      </c>
      <c r="GD36" s="65">
        <f t="shared" si="190"/>
        <v>0</v>
      </c>
      <c r="GE36" s="65">
        <f t="shared" si="190"/>
        <v>0</v>
      </c>
      <c r="GF36" s="64">
        <f>SUM(FW36:FZ36,GB36:GE36)</f>
        <v>0</v>
      </c>
      <c r="GG36" s="66">
        <f t="shared" ref="GG36:GP38" si="191">SUM(AT36,CL36,ED36,FV36)</f>
        <v>0</v>
      </c>
      <c r="GH36" s="66">
        <f t="shared" si="191"/>
        <v>0</v>
      </c>
      <c r="GI36" s="66">
        <f t="shared" si="191"/>
        <v>0</v>
      </c>
      <c r="GJ36" s="66">
        <f t="shared" si="191"/>
        <v>0</v>
      </c>
      <c r="GK36" s="66">
        <f t="shared" si="191"/>
        <v>0</v>
      </c>
      <c r="GL36" s="66">
        <f t="shared" si="191"/>
        <v>0</v>
      </c>
      <c r="GM36" s="66">
        <f t="shared" si="191"/>
        <v>0</v>
      </c>
      <c r="GN36" s="66">
        <f t="shared" si="191"/>
        <v>0</v>
      </c>
      <c r="GO36" s="66">
        <f t="shared" si="191"/>
        <v>0</v>
      </c>
      <c r="GP36" s="66">
        <f t="shared" si="191"/>
        <v>0</v>
      </c>
      <c r="GQ36" s="64">
        <f>SUM(GH36:GK36,GM36:GP36)</f>
        <v>0</v>
      </c>
      <c r="GR36" s="63"/>
      <c r="GS36" s="63"/>
      <c r="GT36" s="63"/>
      <c r="GU36" s="63"/>
      <c r="GV36" s="67">
        <f>SUM(GR36:GU36)</f>
        <v>0</v>
      </c>
      <c r="GW36" s="63"/>
      <c r="GX36" s="63"/>
      <c r="GY36" s="63"/>
      <c r="GZ36" s="63"/>
      <c r="HA36" s="67">
        <f>SUM(GW36:GZ36)</f>
        <v>0</v>
      </c>
      <c r="HB36" s="63"/>
      <c r="HC36" s="63"/>
      <c r="HD36" s="63"/>
      <c r="HE36" s="63"/>
      <c r="HF36" s="67">
        <f>SUM(HB36:HE36)</f>
        <v>0</v>
      </c>
      <c r="HG36" s="63"/>
      <c r="HH36" s="63"/>
      <c r="HI36" s="63"/>
      <c r="HJ36" s="63"/>
      <c r="HK36" s="67">
        <f>SUM(HG36:HJ36)</f>
        <v>0</v>
      </c>
      <c r="HL36" s="68">
        <f t="shared" ref="HL36:HO38" si="192">SUM(GW36,HB36,HG36)</f>
        <v>0</v>
      </c>
      <c r="HM36" s="68">
        <f t="shared" si="192"/>
        <v>0</v>
      </c>
      <c r="HN36" s="68">
        <f t="shared" si="192"/>
        <v>0</v>
      </c>
      <c r="HO36" s="68">
        <f t="shared" si="192"/>
        <v>0</v>
      </c>
      <c r="HP36" s="67">
        <f>SUM(HL36:HO36)</f>
        <v>0</v>
      </c>
      <c r="HQ36" s="63"/>
      <c r="HR36" s="63"/>
      <c r="HS36" s="63"/>
      <c r="HT36" s="63"/>
      <c r="HU36" s="67">
        <f>SUM(HQ36:HT36)</f>
        <v>0</v>
      </c>
      <c r="HV36" s="63"/>
      <c r="HW36" s="63"/>
      <c r="HX36" s="63"/>
      <c r="HY36" s="63"/>
      <c r="HZ36" s="67">
        <f>SUM(HV36:HY36)</f>
        <v>0</v>
      </c>
      <c r="IA36" s="63"/>
      <c r="IB36" s="63"/>
      <c r="IC36" s="63"/>
      <c r="ID36" s="63"/>
      <c r="IE36" s="67">
        <f>SUM(IA36:ID36)</f>
        <v>0</v>
      </c>
      <c r="IF36" s="68">
        <f t="shared" ref="IF36:II38" si="193">SUM(HQ36,HV36,IA36)</f>
        <v>0</v>
      </c>
      <c r="IG36" s="68">
        <f t="shared" si="193"/>
        <v>0</v>
      </c>
      <c r="IH36" s="68">
        <f t="shared" si="193"/>
        <v>0</v>
      </c>
      <c r="II36" s="68">
        <f t="shared" si="193"/>
        <v>0</v>
      </c>
      <c r="IJ36" s="67">
        <f>SUM(IF36:II36)</f>
        <v>0</v>
      </c>
      <c r="IK36" s="63"/>
      <c r="IL36" s="63"/>
      <c r="IM36" s="63"/>
      <c r="IN36" s="63"/>
      <c r="IO36" s="67">
        <f>SUM(IK36:IN36)</f>
        <v>0</v>
      </c>
      <c r="IP36" s="63"/>
      <c r="IQ36" s="63"/>
      <c r="IR36" s="63"/>
      <c r="IS36" s="63"/>
      <c r="IT36" s="67">
        <f>SUM(IP36:IS36)</f>
        <v>0</v>
      </c>
      <c r="IU36" s="63"/>
      <c r="IV36" s="63"/>
    </row>
    <row r="37" spans="1:256" x14ac:dyDescent="0.25">
      <c r="A37" s="84" t="s">
        <v>48</v>
      </c>
      <c r="B37" s="62">
        <v>14</v>
      </c>
      <c r="C37" s="63"/>
      <c r="D37" s="63"/>
      <c r="E37" s="63"/>
      <c r="F37" s="63"/>
      <c r="G37" s="63"/>
      <c r="H37" s="63"/>
      <c r="I37" s="63"/>
      <c r="J37" s="63"/>
      <c r="K37" s="63"/>
      <c r="L37" s="64">
        <f>SUM(C37:F37,H37:K37)</f>
        <v>0</v>
      </c>
      <c r="M37" s="62"/>
      <c r="N37" s="63"/>
      <c r="O37" s="63"/>
      <c r="P37" s="63"/>
      <c r="Q37" s="63"/>
      <c r="R37" s="63"/>
      <c r="S37" s="63"/>
      <c r="T37" s="63"/>
      <c r="U37" s="63"/>
      <c r="V37" s="63"/>
      <c r="W37" s="64">
        <f>SUM(N37:Q37,S37:V37)</f>
        <v>0</v>
      </c>
      <c r="X37" s="62"/>
      <c r="Y37" s="63"/>
      <c r="Z37" s="63"/>
      <c r="AA37" s="63"/>
      <c r="AB37" s="63"/>
      <c r="AC37" s="63"/>
      <c r="AD37" s="63"/>
      <c r="AE37" s="63"/>
      <c r="AF37" s="63"/>
      <c r="AG37" s="63"/>
      <c r="AH37" s="64">
        <f>SUM(Y37:AB37,AD37:AG37)</f>
        <v>0</v>
      </c>
      <c r="AI37" s="62"/>
      <c r="AJ37" s="63"/>
      <c r="AK37" s="63"/>
      <c r="AL37" s="63"/>
      <c r="AM37" s="63"/>
      <c r="AN37" s="63"/>
      <c r="AO37" s="63"/>
      <c r="AP37" s="63"/>
      <c r="AQ37" s="63"/>
      <c r="AR37" s="63"/>
      <c r="AS37" s="64">
        <f>SUM(AJ37:AM37,AO37:AR37)</f>
        <v>0</v>
      </c>
      <c r="AT37" s="65">
        <f t="shared" si="187"/>
        <v>0</v>
      </c>
      <c r="AU37" s="65">
        <f t="shared" si="187"/>
        <v>0</v>
      </c>
      <c r="AV37" s="65">
        <f t="shared" si="187"/>
        <v>0</v>
      </c>
      <c r="AW37" s="65">
        <f t="shared" si="187"/>
        <v>0</v>
      </c>
      <c r="AX37" s="65">
        <f t="shared" si="187"/>
        <v>0</v>
      </c>
      <c r="AY37" s="65">
        <f t="shared" si="187"/>
        <v>0</v>
      </c>
      <c r="AZ37" s="65">
        <f t="shared" si="187"/>
        <v>0</v>
      </c>
      <c r="BA37" s="65">
        <f t="shared" si="187"/>
        <v>0</v>
      </c>
      <c r="BB37" s="65">
        <f t="shared" si="187"/>
        <v>0</v>
      </c>
      <c r="BC37" s="65">
        <f t="shared" si="187"/>
        <v>0</v>
      </c>
      <c r="BD37" s="64">
        <f>SUM(AU37:AX37,AZ37:BC37)</f>
        <v>0</v>
      </c>
      <c r="BE37" s="62"/>
      <c r="BF37" s="63"/>
      <c r="BG37" s="63"/>
      <c r="BH37" s="63"/>
      <c r="BI37" s="63"/>
      <c r="BJ37" s="63"/>
      <c r="BK37" s="63"/>
      <c r="BL37" s="63"/>
      <c r="BM37" s="63"/>
      <c r="BN37" s="63"/>
      <c r="BO37" s="64">
        <f>SUM(BF37:BI37,BK37:BN37)</f>
        <v>0</v>
      </c>
      <c r="BP37" s="62"/>
      <c r="BQ37" s="63"/>
      <c r="BR37" s="63"/>
      <c r="BS37" s="63"/>
      <c r="BT37" s="63"/>
      <c r="BU37" s="63"/>
      <c r="BV37" s="63"/>
      <c r="BW37" s="63"/>
      <c r="BX37" s="63"/>
      <c r="BY37" s="63"/>
      <c r="BZ37" s="64">
        <f>SUM(BQ37:BT37,BV37:BY37)</f>
        <v>0</v>
      </c>
      <c r="CA37" s="62"/>
      <c r="CB37" s="63"/>
      <c r="CC37" s="63"/>
      <c r="CD37" s="63"/>
      <c r="CE37" s="63"/>
      <c r="CF37" s="63"/>
      <c r="CG37" s="63"/>
      <c r="CH37" s="63"/>
      <c r="CI37" s="63"/>
      <c r="CJ37" s="63"/>
      <c r="CK37" s="64">
        <f>SUM(CB37:CE37,CG37:CJ37)</f>
        <v>0</v>
      </c>
      <c r="CL37" s="65">
        <f t="shared" si="188"/>
        <v>0</v>
      </c>
      <c r="CM37" s="65">
        <f t="shared" si="188"/>
        <v>0</v>
      </c>
      <c r="CN37" s="65">
        <f t="shared" si="188"/>
        <v>0</v>
      </c>
      <c r="CO37" s="65">
        <f t="shared" si="188"/>
        <v>0</v>
      </c>
      <c r="CP37" s="65">
        <f t="shared" si="188"/>
        <v>0</v>
      </c>
      <c r="CQ37" s="65">
        <f t="shared" si="188"/>
        <v>0</v>
      </c>
      <c r="CR37" s="65">
        <f t="shared" si="188"/>
        <v>0</v>
      </c>
      <c r="CS37" s="65">
        <f t="shared" si="188"/>
        <v>0</v>
      </c>
      <c r="CT37" s="65">
        <f t="shared" si="188"/>
        <v>0</v>
      </c>
      <c r="CU37" s="65">
        <f t="shared" si="188"/>
        <v>0</v>
      </c>
      <c r="CV37" s="64">
        <f>SUM(CM37:CP37,CR37:CU37)</f>
        <v>0</v>
      </c>
      <c r="CW37" s="62"/>
      <c r="CX37" s="63"/>
      <c r="CY37" s="63"/>
      <c r="CZ37" s="63"/>
      <c r="DA37" s="63"/>
      <c r="DB37" s="63"/>
      <c r="DC37" s="63"/>
      <c r="DD37" s="63"/>
      <c r="DE37" s="63"/>
      <c r="DF37" s="63"/>
      <c r="DG37" s="64">
        <f>SUM(CX37:DA37,DC37:DF37)</f>
        <v>0</v>
      </c>
      <c r="DH37" s="62"/>
      <c r="DI37" s="63"/>
      <c r="DJ37" s="63"/>
      <c r="DK37" s="63"/>
      <c r="DL37" s="63"/>
      <c r="DM37" s="63"/>
      <c r="DN37" s="63"/>
      <c r="DO37" s="63"/>
      <c r="DP37" s="63"/>
      <c r="DQ37" s="63"/>
      <c r="DR37" s="64">
        <f>SUM(DI37:DL37,DN37:DQ37)</f>
        <v>0</v>
      </c>
      <c r="DS37" s="62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5">
        <f t="shared" si="189"/>
        <v>0</v>
      </c>
      <c r="EE37" s="65">
        <f t="shared" si="189"/>
        <v>0</v>
      </c>
      <c r="EF37" s="65">
        <f t="shared" si="189"/>
        <v>0</v>
      </c>
      <c r="EG37" s="65">
        <f t="shared" si="189"/>
        <v>0</v>
      </c>
      <c r="EH37" s="65">
        <f t="shared" si="189"/>
        <v>0</v>
      </c>
      <c r="EI37" s="65">
        <f t="shared" si="189"/>
        <v>0</v>
      </c>
      <c r="EJ37" s="65">
        <f t="shared" si="189"/>
        <v>0</v>
      </c>
      <c r="EK37" s="65">
        <f t="shared" si="189"/>
        <v>0</v>
      </c>
      <c r="EL37" s="65">
        <f t="shared" si="189"/>
        <v>0</v>
      </c>
      <c r="EM37" s="65">
        <f t="shared" si="189"/>
        <v>0</v>
      </c>
      <c r="EN37" s="64">
        <f>SUM(EE37:EH37,EJ37:EM37)</f>
        <v>0</v>
      </c>
      <c r="EO37" s="62"/>
      <c r="EP37" s="63"/>
      <c r="EQ37" s="63"/>
      <c r="ER37" s="63"/>
      <c r="ES37" s="63"/>
      <c r="ET37" s="63"/>
      <c r="EU37" s="63"/>
      <c r="EV37" s="63"/>
      <c r="EW37" s="63"/>
      <c r="EX37" s="63"/>
      <c r="EY37" s="64">
        <f>SUM(EP37:ES37,EU37:EX37)</f>
        <v>0</v>
      </c>
      <c r="EZ37" s="62"/>
      <c r="FA37" s="63"/>
      <c r="FB37" s="63"/>
      <c r="FC37" s="63"/>
      <c r="FD37" s="63"/>
      <c r="FE37" s="63"/>
      <c r="FF37" s="63"/>
      <c r="FG37" s="63"/>
      <c r="FH37" s="63"/>
      <c r="FI37" s="63"/>
      <c r="FJ37" s="64">
        <f>SUM(FA37:FD37,FF37:FI37)</f>
        <v>0</v>
      </c>
      <c r="FK37" s="62"/>
      <c r="FL37" s="63"/>
      <c r="FM37" s="63"/>
      <c r="FN37" s="63"/>
      <c r="FO37" s="63"/>
      <c r="FP37" s="63"/>
      <c r="FQ37" s="63"/>
      <c r="FR37" s="63"/>
      <c r="FS37" s="63"/>
      <c r="FT37" s="63"/>
      <c r="FU37" s="64">
        <f>SUM(FL37:FO37,FQ37:FT37)</f>
        <v>0</v>
      </c>
      <c r="FV37" s="65">
        <f t="shared" si="190"/>
        <v>0</v>
      </c>
      <c r="FW37" s="65">
        <f t="shared" si="190"/>
        <v>0</v>
      </c>
      <c r="FX37" s="65">
        <f t="shared" si="190"/>
        <v>0</v>
      </c>
      <c r="FY37" s="65">
        <f t="shared" si="190"/>
        <v>0</v>
      </c>
      <c r="FZ37" s="65">
        <f t="shared" si="190"/>
        <v>0</v>
      </c>
      <c r="GA37" s="65">
        <f t="shared" si="190"/>
        <v>0</v>
      </c>
      <c r="GB37" s="65">
        <f t="shared" si="190"/>
        <v>0</v>
      </c>
      <c r="GC37" s="65">
        <f t="shared" si="190"/>
        <v>0</v>
      </c>
      <c r="GD37" s="65">
        <f t="shared" si="190"/>
        <v>0</v>
      </c>
      <c r="GE37" s="65">
        <f t="shared" si="190"/>
        <v>0</v>
      </c>
      <c r="GF37" s="64">
        <f>SUM(FW37:FZ37,GB37:GE37)</f>
        <v>0</v>
      </c>
      <c r="GG37" s="66">
        <f t="shared" si="191"/>
        <v>0</v>
      </c>
      <c r="GH37" s="66">
        <f t="shared" si="191"/>
        <v>0</v>
      </c>
      <c r="GI37" s="66">
        <f t="shared" si="191"/>
        <v>0</v>
      </c>
      <c r="GJ37" s="66">
        <f t="shared" si="191"/>
        <v>0</v>
      </c>
      <c r="GK37" s="66">
        <f t="shared" si="191"/>
        <v>0</v>
      </c>
      <c r="GL37" s="66">
        <f t="shared" si="191"/>
        <v>0</v>
      </c>
      <c r="GM37" s="66">
        <f t="shared" si="191"/>
        <v>0</v>
      </c>
      <c r="GN37" s="66">
        <f t="shared" si="191"/>
        <v>0</v>
      </c>
      <c r="GO37" s="66">
        <f t="shared" si="191"/>
        <v>0</v>
      </c>
      <c r="GP37" s="66">
        <f t="shared" si="191"/>
        <v>0</v>
      </c>
      <c r="GQ37" s="64">
        <f>SUM(GH37:GK37,GM37:GP37)</f>
        <v>0</v>
      </c>
      <c r="GR37" s="63"/>
      <c r="GS37" s="63"/>
      <c r="GT37" s="63"/>
      <c r="GU37" s="63"/>
      <c r="GV37" s="67">
        <f>SUM(GR37:GU37)</f>
        <v>0</v>
      </c>
      <c r="GW37" s="63"/>
      <c r="GX37" s="63"/>
      <c r="GY37" s="63"/>
      <c r="GZ37" s="63"/>
      <c r="HA37" s="67">
        <f>SUM(GW37:GZ37)</f>
        <v>0</v>
      </c>
      <c r="HB37" s="63"/>
      <c r="HC37" s="63"/>
      <c r="HD37" s="63"/>
      <c r="HE37" s="63"/>
      <c r="HF37" s="67">
        <f>SUM(HB37:HE37)</f>
        <v>0</v>
      </c>
      <c r="HG37" s="63"/>
      <c r="HH37" s="63"/>
      <c r="HI37" s="63"/>
      <c r="HJ37" s="63"/>
      <c r="HK37" s="67">
        <f>SUM(HG37:HJ37)</f>
        <v>0</v>
      </c>
      <c r="HL37" s="68">
        <f t="shared" si="192"/>
        <v>0</v>
      </c>
      <c r="HM37" s="68">
        <f t="shared" si="192"/>
        <v>0</v>
      </c>
      <c r="HN37" s="68">
        <f t="shared" si="192"/>
        <v>0</v>
      </c>
      <c r="HO37" s="68">
        <f t="shared" si="192"/>
        <v>0</v>
      </c>
      <c r="HP37" s="67">
        <f>SUM(HL37:HO37)</f>
        <v>0</v>
      </c>
      <c r="HQ37" s="63"/>
      <c r="HR37" s="63"/>
      <c r="HS37" s="63"/>
      <c r="HT37" s="63"/>
      <c r="HU37" s="67">
        <f>SUM(HQ37:HT37)</f>
        <v>0</v>
      </c>
      <c r="HV37" s="63"/>
      <c r="HW37" s="63"/>
      <c r="HX37" s="63"/>
      <c r="HY37" s="63"/>
      <c r="HZ37" s="67">
        <f>SUM(HV37:HY37)</f>
        <v>0</v>
      </c>
      <c r="IA37" s="63"/>
      <c r="IB37" s="63"/>
      <c r="IC37" s="63"/>
      <c r="ID37" s="63"/>
      <c r="IE37" s="67">
        <f>SUM(IA37:ID37)</f>
        <v>0</v>
      </c>
      <c r="IF37" s="68">
        <f t="shared" si="193"/>
        <v>0</v>
      </c>
      <c r="IG37" s="68">
        <f t="shared" si="193"/>
        <v>0</v>
      </c>
      <c r="IH37" s="68">
        <f t="shared" si="193"/>
        <v>0</v>
      </c>
      <c r="II37" s="68">
        <f t="shared" si="193"/>
        <v>0</v>
      </c>
      <c r="IJ37" s="67">
        <f>SUM(IF37:II37)</f>
        <v>0</v>
      </c>
      <c r="IK37" s="63"/>
      <c r="IL37" s="63"/>
      <c r="IM37" s="63"/>
      <c r="IN37" s="63"/>
      <c r="IO37" s="67">
        <f>SUM(IK37:IN37)</f>
        <v>0</v>
      </c>
      <c r="IP37" s="63"/>
      <c r="IQ37" s="63"/>
      <c r="IR37" s="63"/>
      <c r="IS37" s="63"/>
      <c r="IT37" s="67">
        <f>SUM(IP37:IS37)</f>
        <v>0</v>
      </c>
      <c r="IU37" s="63"/>
      <c r="IV37" s="63"/>
    </row>
    <row r="38" spans="1:256" x14ac:dyDescent="0.25">
      <c r="A38" s="84" t="s">
        <v>49</v>
      </c>
      <c r="B38" s="62">
        <v>0</v>
      </c>
      <c r="C38" s="63"/>
      <c r="D38" s="63"/>
      <c r="E38" s="63"/>
      <c r="F38" s="63"/>
      <c r="G38" s="63"/>
      <c r="H38" s="63"/>
      <c r="I38" s="63"/>
      <c r="J38" s="63"/>
      <c r="K38" s="63"/>
      <c r="L38" s="64">
        <f>SUM(C38:F38,H38:K38)</f>
        <v>0</v>
      </c>
      <c r="M38" s="62"/>
      <c r="N38" s="63"/>
      <c r="O38" s="63"/>
      <c r="P38" s="63"/>
      <c r="Q38" s="63"/>
      <c r="R38" s="63"/>
      <c r="S38" s="63"/>
      <c r="T38" s="63"/>
      <c r="U38" s="63"/>
      <c r="V38" s="63"/>
      <c r="W38" s="64">
        <f>SUM(N38:Q38,S38:V38)</f>
        <v>0</v>
      </c>
      <c r="X38" s="62"/>
      <c r="Y38" s="63"/>
      <c r="Z38" s="63"/>
      <c r="AA38" s="63"/>
      <c r="AB38" s="63"/>
      <c r="AC38" s="63"/>
      <c r="AD38" s="63"/>
      <c r="AE38" s="63"/>
      <c r="AF38" s="63"/>
      <c r="AG38" s="63"/>
      <c r="AH38" s="64">
        <f>SUM(Y38:AB38,AD38:AG38)</f>
        <v>0</v>
      </c>
      <c r="AI38" s="62"/>
      <c r="AJ38" s="63"/>
      <c r="AK38" s="63"/>
      <c r="AL38" s="63"/>
      <c r="AM38" s="63"/>
      <c r="AN38" s="63"/>
      <c r="AO38" s="63"/>
      <c r="AP38" s="63"/>
      <c r="AQ38" s="63"/>
      <c r="AR38" s="63"/>
      <c r="AS38" s="64">
        <f>SUM(AJ38:AM38,AO38:AR38)</f>
        <v>0</v>
      </c>
      <c r="AT38" s="65">
        <f t="shared" si="187"/>
        <v>0</v>
      </c>
      <c r="AU38" s="65">
        <f t="shared" si="187"/>
        <v>0</v>
      </c>
      <c r="AV38" s="65">
        <f t="shared" si="187"/>
        <v>0</v>
      </c>
      <c r="AW38" s="65">
        <f t="shared" si="187"/>
        <v>0</v>
      </c>
      <c r="AX38" s="65">
        <f t="shared" si="187"/>
        <v>0</v>
      </c>
      <c r="AY38" s="65">
        <f t="shared" si="187"/>
        <v>0</v>
      </c>
      <c r="AZ38" s="65">
        <f t="shared" si="187"/>
        <v>0</v>
      </c>
      <c r="BA38" s="65">
        <f t="shared" si="187"/>
        <v>0</v>
      </c>
      <c r="BB38" s="65">
        <f t="shared" si="187"/>
        <v>0</v>
      </c>
      <c r="BC38" s="65">
        <f t="shared" si="187"/>
        <v>0</v>
      </c>
      <c r="BD38" s="64">
        <f>SUM(AU38:AX38,AZ38:BC38)</f>
        <v>0</v>
      </c>
      <c r="BE38" s="62"/>
      <c r="BF38" s="63"/>
      <c r="BG38" s="63"/>
      <c r="BH38" s="63"/>
      <c r="BI38" s="63"/>
      <c r="BJ38" s="63"/>
      <c r="BK38" s="63"/>
      <c r="BL38" s="63"/>
      <c r="BM38" s="63"/>
      <c r="BN38" s="63"/>
      <c r="BO38" s="64">
        <f>SUM(BF38:BI38,BK38:BN38)</f>
        <v>0</v>
      </c>
      <c r="BP38" s="62"/>
      <c r="BQ38" s="63"/>
      <c r="BR38" s="63"/>
      <c r="BS38" s="63"/>
      <c r="BT38" s="63"/>
      <c r="BU38" s="63"/>
      <c r="BV38" s="63"/>
      <c r="BW38" s="63"/>
      <c r="BX38" s="63"/>
      <c r="BY38" s="63"/>
      <c r="BZ38" s="64">
        <f>SUM(BQ38:BT38,BV38:BY38)</f>
        <v>0</v>
      </c>
      <c r="CA38" s="62"/>
      <c r="CB38" s="63"/>
      <c r="CC38" s="63"/>
      <c r="CD38" s="63"/>
      <c r="CE38" s="63"/>
      <c r="CF38" s="63"/>
      <c r="CG38" s="63"/>
      <c r="CH38" s="63"/>
      <c r="CI38" s="63"/>
      <c r="CJ38" s="63"/>
      <c r="CK38" s="64">
        <f>SUM(CB38:CE38,CG38:CJ38)</f>
        <v>0</v>
      </c>
      <c r="CL38" s="65">
        <f t="shared" si="188"/>
        <v>0</v>
      </c>
      <c r="CM38" s="65">
        <f t="shared" si="188"/>
        <v>0</v>
      </c>
      <c r="CN38" s="65">
        <f t="shared" si="188"/>
        <v>0</v>
      </c>
      <c r="CO38" s="65">
        <f t="shared" si="188"/>
        <v>0</v>
      </c>
      <c r="CP38" s="65">
        <f t="shared" si="188"/>
        <v>0</v>
      </c>
      <c r="CQ38" s="65">
        <f t="shared" si="188"/>
        <v>0</v>
      </c>
      <c r="CR38" s="65">
        <f t="shared" si="188"/>
        <v>0</v>
      </c>
      <c r="CS38" s="65">
        <f t="shared" si="188"/>
        <v>0</v>
      </c>
      <c r="CT38" s="65">
        <f t="shared" si="188"/>
        <v>0</v>
      </c>
      <c r="CU38" s="65">
        <f t="shared" si="188"/>
        <v>0</v>
      </c>
      <c r="CV38" s="64">
        <f>SUM(CM38:CP38,CR38:CU38)</f>
        <v>0</v>
      </c>
      <c r="CW38" s="62"/>
      <c r="CX38" s="63"/>
      <c r="CY38" s="63"/>
      <c r="CZ38" s="63"/>
      <c r="DA38" s="63"/>
      <c r="DB38" s="63"/>
      <c r="DC38" s="63"/>
      <c r="DD38" s="63"/>
      <c r="DE38" s="63"/>
      <c r="DF38" s="63"/>
      <c r="DG38" s="64">
        <f>SUM(CX38:DA38,DC38:DF38)</f>
        <v>0</v>
      </c>
      <c r="DH38" s="62"/>
      <c r="DI38" s="63"/>
      <c r="DJ38" s="63"/>
      <c r="DK38" s="63"/>
      <c r="DL38" s="63"/>
      <c r="DM38" s="63"/>
      <c r="DN38" s="63"/>
      <c r="DO38" s="63"/>
      <c r="DP38" s="63"/>
      <c r="DQ38" s="63"/>
      <c r="DR38" s="64">
        <f>SUM(DI38:DL38,DN38:DQ38)</f>
        <v>0</v>
      </c>
      <c r="DS38" s="62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5">
        <f t="shared" si="189"/>
        <v>0</v>
      </c>
      <c r="EE38" s="65">
        <f t="shared" si="189"/>
        <v>0</v>
      </c>
      <c r="EF38" s="65">
        <f t="shared" si="189"/>
        <v>0</v>
      </c>
      <c r="EG38" s="65">
        <f t="shared" si="189"/>
        <v>0</v>
      </c>
      <c r="EH38" s="65">
        <f t="shared" si="189"/>
        <v>0</v>
      </c>
      <c r="EI38" s="65">
        <f t="shared" si="189"/>
        <v>0</v>
      </c>
      <c r="EJ38" s="65">
        <f t="shared" si="189"/>
        <v>0</v>
      </c>
      <c r="EK38" s="65">
        <f t="shared" si="189"/>
        <v>0</v>
      </c>
      <c r="EL38" s="65">
        <f t="shared" si="189"/>
        <v>0</v>
      </c>
      <c r="EM38" s="65">
        <f t="shared" si="189"/>
        <v>0</v>
      </c>
      <c r="EN38" s="64">
        <f>SUM(EE38:EH38,EJ38:EM38)</f>
        <v>0</v>
      </c>
      <c r="EO38" s="62"/>
      <c r="EP38" s="63"/>
      <c r="EQ38" s="63"/>
      <c r="ER38" s="63"/>
      <c r="ES38" s="63"/>
      <c r="ET38" s="63"/>
      <c r="EU38" s="63"/>
      <c r="EV38" s="63"/>
      <c r="EW38" s="63"/>
      <c r="EX38" s="63"/>
      <c r="EY38" s="64">
        <f>SUM(EP38:ES38,EU38:EX38)</f>
        <v>0</v>
      </c>
      <c r="EZ38" s="62"/>
      <c r="FA38" s="63"/>
      <c r="FB38" s="63"/>
      <c r="FC38" s="63"/>
      <c r="FD38" s="63"/>
      <c r="FE38" s="63"/>
      <c r="FF38" s="63"/>
      <c r="FG38" s="63"/>
      <c r="FH38" s="63"/>
      <c r="FI38" s="63"/>
      <c r="FJ38" s="64">
        <f>SUM(FA38:FD38,FF38:FI38)</f>
        <v>0</v>
      </c>
      <c r="FK38" s="62"/>
      <c r="FL38" s="63"/>
      <c r="FM38" s="63"/>
      <c r="FN38" s="63"/>
      <c r="FO38" s="63"/>
      <c r="FP38" s="63"/>
      <c r="FQ38" s="63"/>
      <c r="FR38" s="63"/>
      <c r="FS38" s="63"/>
      <c r="FT38" s="63"/>
      <c r="FU38" s="64">
        <f>SUM(FL38:FO38,FQ38:FT38)</f>
        <v>0</v>
      </c>
      <c r="FV38" s="65">
        <f t="shared" si="190"/>
        <v>0</v>
      </c>
      <c r="FW38" s="65">
        <f t="shared" si="190"/>
        <v>0</v>
      </c>
      <c r="FX38" s="65">
        <f t="shared" si="190"/>
        <v>0</v>
      </c>
      <c r="FY38" s="65">
        <f t="shared" si="190"/>
        <v>0</v>
      </c>
      <c r="FZ38" s="65">
        <f t="shared" si="190"/>
        <v>0</v>
      </c>
      <c r="GA38" s="65">
        <f t="shared" si="190"/>
        <v>0</v>
      </c>
      <c r="GB38" s="65">
        <f t="shared" si="190"/>
        <v>0</v>
      </c>
      <c r="GC38" s="65">
        <f t="shared" si="190"/>
        <v>0</v>
      </c>
      <c r="GD38" s="65">
        <f t="shared" si="190"/>
        <v>0</v>
      </c>
      <c r="GE38" s="65">
        <f t="shared" si="190"/>
        <v>0</v>
      </c>
      <c r="GF38" s="64">
        <f>SUM(FW38:FZ38,GB38:GE38)</f>
        <v>0</v>
      </c>
      <c r="GG38" s="66">
        <f t="shared" si="191"/>
        <v>0</v>
      </c>
      <c r="GH38" s="66">
        <f t="shared" si="191"/>
        <v>0</v>
      </c>
      <c r="GI38" s="66">
        <f t="shared" si="191"/>
        <v>0</v>
      </c>
      <c r="GJ38" s="66">
        <f t="shared" si="191"/>
        <v>0</v>
      </c>
      <c r="GK38" s="66">
        <f t="shared" si="191"/>
        <v>0</v>
      </c>
      <c r="GL38" s="66">
        <f t="shared" si="191"/>
        <v>0</v>
      </c>
      <c r="GM38" s="66">
        <f t="shared" si="191"/>
        <v>0</v>
      </c>
      <c r="GN38" s="66">
        <f t="shared" si="191"/>
        <v>0</v>
      </c>
      <c r="GO38" s="66">
        <f t="shared" si="191"/>
        <v>0</v>
      </c>
      <c r="GP38" s="66">
        <f t="shared" si="191"/>
        <v>0</v>
      </c>
      <c r="GQ38" s="64">
        <f>SUM(GH38:GK38,GM38:GP38)</f>
        <v>0</v>
      </c>
      <c r="GR38" s="63"/>
      <c r="GS38" s="63"/>
      <c r="GT38" s="63"/>
      <c r="GU38" s="63"/>
      <c r="GV38" s="67">
        <f>SUM(GR38:GU38)</f>
        <v>0</v>
      </c>
      <c r="GW38" s="63"/>
      <c r="GX38" s="63"/>
      <c r="GY38" s="63"/>
      <c r="GZ38" s="63"/>
      <c r="HA38" s="67">
        <f>SUM(GW38:GZ38)</f>
        <v>0</v>
      </c>
      <c r="HB38" s="63"/>
      <c r="HC38" s="63"/>
      <c r="HD38" s="63"/>
      <c r="HE38" s="63"/>
      <c r="HF38" s="67">
        <f>SUM(HB38:HE38)</f>
        <v>0</v>
      </c>
      <c r="HG38" s="63"/>
      <c r="HH38" s="63"/>
      <c r="HI38" s="63"/>
      <c r="HJ38" s="63"/>
      <c r="HK38" s="67">
        <f>SUM(HG38:HJ38)</f>
        <v>0</v>
      </c>
      <c r="HL38" s="68">
        <f t="shared" si="192"/>
        <v>0</v>
      </c>
      <c r="HM38" s="68">
        <f t="shared" si="192"/>
        <v>0</v>
      </c>
      <c r="HN38" s="68">
        <f t="shared" si="192"/>
        <v>0</v>
      </c>
      <c r="HO38" s="68">
        <f t="shared" si="192"/>
        <v>0</v>
      </c>
      <c r="HP38" s="67">
        <f>SUM(HL38:HO38)</f>
        <v>0</v>
      </c>
      <c r="HQ38" s="63"/>
      <c r="HR38" s="63"/>
      <c r="HS38" s="63"/>
      <c r="HT38" s="63"/>
      <c r="HU38" s="67">
        <f>SUM(HQ38:HT38)</f>
        <v>0</v>
      </c>
      <c r="HV38" s="63"/>
      <c r="HW38" s="63"/>
      <c r="HX38" s="63"/>
      <c r="HY38" s="63"/>
      <c r="HZ38" s="67">
        <f>SUM(HV38:HY38)</f>
        <v>0</v>
      </c>
      <c r="IA38" s="63"/>
      <c r="IB38" s="63"/>
      <c r="IC38" s="63"/>
      <c r="ID38" s="63"/>
      <c r="IE38" s="67">
        <f>SUM(IA38:ID38)</f>
        <v>0</v>
      </c>
      <c r="IF38" s="68">
        <f t="shared" si="193"/>
        <v>0</v>
      </c>
      <c r="IG38" s="68">
        <f t="shared" si="193"/>
        <v>0</v>
      </c>
      <c r="IH38" s="68">
        <f t="shared" si="193"/>
        <v>0</v>
      </c>
      <c r="II38" s="68">
        <f t="shared" si="193"/>
        <v>0</v>
      </c>
      <c r="IJ38" s="67">
        <f>SUM(IF38:II38)</f>
        <v>0</v>
      </c>
      <c r="IK38" s="63"/>
      <c r="IL38" s="63"/>
      <c r="IM38" s="63"/>
      <c r="IN38" s="63"/>
      <c r="IO38" s="67">
        <f>SUM(IK38:IN38)</f>
        <v>0</v>
      </c>
      <c r="IP38" s="63"/>
      <c r="IQ38" s="63"/>
      <c r="IR38" s="63"/>
      <c r="IS38" s="63"/>
      <c r="IT38" s="67">
        <f>SUM(IP38:IS38)</f>
        <v>0</v>
      </c>
      <c r="IU38" s="63"/>
      <c r="IV38" s="63"/>
    </row>
    <row r="39" spans="1:256" s="78" customFormat="1" x14ac:dyDescent="0.25">
      <c r="A39" s="79" t="s">
        <v>50</v>
      </c>
      <c r="B39" s="80"/>
      <c r="C39" s="81">
        <f t="shared" ref="C39:K39" si="194">SUM(C40)</f>
        <v>0</v>
      </c>
      <c r="D39" s="81">
        <f t="shared" si="194"/>
        <v>0</v>
      </c>
      <c r="E39" s="81">
        <f t="shared" si="194"/>
        <v>0</v>
      </c>
      <c r="F39" s="81">
        <f t="shared" si="194"/>
        <v>0</v>
      </c>
      <c r="G39" s="81">
        <f t="shared" si="194"/>
        <v>0</v>
      </c>
      <c r="H39" s="81">
        <f t="shared" si="194"/>
        <v>0</v>
      </c>
      <c r="I39" s="81">
        <f t="shared" si="194"/>
        <v>0</v>
      </c>
      <c r="J39" s="81">
        <f t="shared" si="194"/>
        <v>0</v>
      </c>
      <c r="K39" s="81">
        <f t="shared" si="194"/>
        <v>0</v>
      </c>
      <c r="L39" s="82">
        <f>SUM(L40)</f>
        <v>0</v>
      </c>
      <c r="M39" s="80"/>
      <c r="N39" s="81">
        <f t="shared" ref="N39:V39" si="195">SUM(N40)</f>
        <v>0</v>
      </c>
      <c r="O39" s="81">
        <f t="shared" si="195"/>
        <v>0</v>
      </c>
      <c r="P39" s="81">
        <f t="shared" si="195"/>
        <v>0</v>
      </c>
      <c r="Q39" s="81">
        <f t="shared" si="195"/>
        <v>0</v>
      </c>
      <c r="R39" s="81">
        <f t="shared" si="195"/>
        <v>0</v>
      </c>
      <c r="S39" s="81">
        <f t="shared" si="195"/>
        <v>0</v>
      </c>
      <c r="T39" s="81">
        <f t="shared" si="195"/>
        <v>0</v>
      </c>
      <c r="U39" s="81">
        <f t="shared" si="195"/>
        <v>0</v>
      </c>
      <c r="V39" s="81">
        <f t="shared" si="195"/>
        <v>0</v>
      </c>
      <c r="W39" s="82">
        <f>SUM(W40)</f>
        <v>0</v>
      </c>
      <c r="X39" s="80"/>
      <c r="Y39" s="81">
        <f t="shared" ref="Y39:AG39" si="196">SUM(Y40)</f>
        <v>0</v>
      </c>
      <c r="Z39" s="81">
        <f t="shared" si="196"/>
        <v>0</v>
      </c>
      <c r="AA39" s="81">
        <f t="shared" si="196"/>
        <v>0</v>
      </c>
      <c r="AB39" s="81">
        <f t="shared" si="196"/>
        <v>0</v>
      </c>
      <c r="AC39" s="81">
        <f t="shared" si="196"/>
        <v>0</v>
      </c>
      <c r="AD39" s="81">
        <f t="shared" si="196"/>
        <v>0</v>
      </c>
      <c r="AE39" s="81">
        <f t="shared" si="196"/>
        <v>0</v>
      </c>
      <c r="AF39" s="81">
        <f t="shared" si="196"/>
        <v>0</v>
      </c>
      <c r="AG39" s="81">
        <f t="shared" si="196"/>
        <v>0</v>
      </c>
      <c r="AH39" s="82">
        <f>SUM(AH40)</f>
        <v>0</v>
      </c>
      <c r="AI39" s="80"/>
      <c r="AJ39" s="81">
        <f t="shared" ref="AJ39:AR39" si="197">SUM(AJ40)</f>
        <v>0</v>
      </c>
      <c r="AK39" s="81">
        <f t="shared" si="197"/>
        <v>0</v>
      </c>
      <c r="AL39" s="81">
        <f t="shared" si="197"/>
        <v>0</v>
      </c>
      <c r="AM39" s="81">
        <f t="shared" si="197"/>
        <v>0</v>
      </c>
      <c r="AN39" s="81">
        <f t="shared" si="197"/>
        <v>0</v>
      </c>
      <c r="AO39" s="81">
        <f t="shared" si="197"/>
        <v>0</v>
      </c>
      <c r="AP39" s="81">
        <f t="shared" si="197"/>
        <v>0</v>
      </c>
      <c r="AQ39" s="81">
        <f t="shared" si="197"/>
        <v>0</v>
      </c>
      <c r="AR39" s="81">
        <f t="shared" si="197"/>
        <v>0</v>
      </c>
      <c r="AS39" s="82">
        <f>SUM(AS40)</f>
        <v>0</v>
      </c>
      <c r="AT39" s="80"/>
      <c r="AU39" s="81">
        <f>SUM(AU40)</f>
        <v>0</v>
      </c>
      <c r="AV39" s="81">
        <f t="shared" ref="AV39:BC39" si="198">SUM(AV40)</f>
        <v>0</v>
      </c>
      <c r="AW39" s="81">
        <f t="shared" si="198"/>
        <v>0</v>
      </c>
      <c r="AX39" s="81">
        <f t="shared" si="198"/>
        <v>0</v>
      </c>
      <c r="AY39" s="81">
        <f t="shared" si="198"/>
        <v>0</v>
      </c>
      <c r="AZ39" s="81">
        <f t="shared" si="198"/>
        <v>0</v>
      </c>
      <c r="BA39" s="81">
        <f t="shared" si="198"/>
        <v>0</v>
      </c>
      <c r="BB39" s="81">
        <f t="shared" si="198"/>
        <v>0</v>
      </c>
      <c r="BC39" s="81">
        <f t="shared" si="198"/>
        <v>0</v>
      </c>
      <c r="BD39" s="82">
        <f>SUM(BD40)</f>
        <v>0</v>
      </c>
      <c r="BE39" s="80"/>
      <c r="BF39" s="81">
        <f t="shared" ref="BF39:BN39" si="199">SUM(BF40)</f>
        <v>0</v>
      </c>
      <c r="BG39" s="81">
        <f t="shared" si="199"/>
        <v>0</v>
      </c>
      <c r="BH39" s="81">
        <f t="shared" si="199"/>
        <v>0</v>
      </c>
      <c r="BI39" s="81">
        <f t="shared" si="199"/>
        <v>0</v>
      </c>
      <c r="BJ39" s="81">
        <f t="shared" si="199"/>
        <v>0</v>
      </c>
      <c r="BK39" s="81">
        <f t="shared" si="199"/>
        <v>0</v>
      </c>
      <c r="BL39" s="81">
        <f t="shared" si="199"/>
        <v>0</v>
      </c>
      <c r="BM39" s="81">
        <f t="shared" si="199"/>
        <v>0</v>
      </c>
      <c r="BN39" s="81">
        <f t="shared" si="199"/>
        <v>0</v>
      </c>
      <c r="BO39" s="82">
        <f>SUM(BO40)</f>
        <v>0</v>
      </c>
      <c r="BP39" s="80"/>
      <c r="BQ39" s="81">
        <f t="shared" ref="BQ39:BY39" si="200">SUM(BQ40)</f>
        <v>0</v>
      </c>
      <c r="BR39" s="81">
        <f t="shared" si="200"/>
        <v>0</v>
      </c>
      <c r="BS39" s="81">
        <f t="shared" si="200"/>
        <v>0</v>
      </c>
      <c r="BT39" s="81">
        <f t="shared" si="200"/>
        <v>0</v>
      </c>
      <c r="BU39" s="81">
        <f t="shared" si="200"/>
        <v>0</v>
      </c>
      <c r="BV39" s="81">
        <f t="shared" si="200"/>
        <v>0</v>
      </c>
      <c r="BW39" s="81">
        <f t="shared" si="200"/>
        <v>0</v>
      </c>
      <c r="BX39" s="81">
        <f t="shared" si="200"/>
        <v>0</v>
      </c>
      <c r="BY39" s="81">
        <f t="shared" si="200"/>
        <v>0</v>
      </c>
      <c r="BZ39" s="82">
        <f>SUM(BZ40)</f>
        <v>0</v>
      </c>
      <c r="CA39" s="80"/>
      <c r="CB39" s="81">
        <f t="shared" ref="CB39:CJ39" si="201">SUM(CB40)</f>
        <v>0</v>
      </c>
      <c r="CC39" s="81">
        <f t="shared" si="201"/>
        <v>0</v>
      </c>
      <c r="CD39" s="81">
        <f t="shared" si="201"/>
        <v>0</v>
      </c>
      <c r="CE39" s="81">
        <f t="shared" si="201"/>
        <v>0</v>
      </c>
      <c r="CF39" s="81">
        <f t="shared" si="201"/>
        <v>0</v>
      </c>
      <c r="CG39" s="81">
        <f t="shared" si="201"/>
        <v>0</v>
      </c>
      <c r="CH39" s="81">
        <f t="shared" si="201"/>
        <v>0</v>
      </c>
      <c r="CI39" s="81">
        <f t="shared" si="201"/>
        <v>0</v>
      </c>
      <c r="CJ39" s="81">
        <f t="shared" si="201"/>
        <v>0</v>
      </c>
      <c r="CK39" s="82">
        <f>SUM(CK40)</f>
        <v>0</v>
      </c>
      <c r="CL39" s="80"/>
      <c r="CM39" s="81">
        <f>SUM(CM40)</f>
        <v>0</v>
      </c>
      <c r="CN39" s="81">
        <f t="shared" ref="CN39:CU39" si="202">SUM(CN40)</f>
        <v>0</v>
      </c>
      <c r="CO39" s="81">
        <f t="shared" si="202"/>
        <v>0</v>
      </c>
      <c r="CP39" s="81">
        <f t="shared" si="202"/>
        <v>0</v>
      </c>
      <c r="CQ39" s="81">
        <f t="shared" si="202"/>
        <v>0</v>
      </c>
      <c r="CR39" s="81">
        <f t="shared" si="202"/>
        <v>0</v>
      </c>
      <c r="CS39" s="81">
        <f t="shared" si="202"/>
        <v>0</v>
      </c>
      <c r="CT39" s="81">
        <f t="shared" si="202"/>
        <v>0</v>
      </c>
      <c r="CU39" s="81">
        <f t="shared" si="202"/>
        <v>0</v>
      </c>
      <c r="CV39" s="82">
        <f>SUM(CV40)</f>
        <v>0</v>
      </c>
      <c r="CW39" s="80"/>
      <c r="CX39" s="81">
        <f t="shared" ref="CX39:DF39" si="203">SUM(CX40)</f>
        <v>0</v>
      </c>
      <c r="CY39" s="81">
        <f t="shared" si="203"/>
        <v>0</v>
      </c>
      <c r="CZ39" s="81">
        <f t="shared" si="203"/>
        <v>0</v>
      </c>
      <c r="DA39" s="81">
        <f t="shared" si="203"/>
        <v>0</v>
      </c>
      <c r="DB39" s="81">
        <f t="shared" si="203"/>
        <v>0</v>
      </c>
      <c r="DC39" s="81">
        <f t="shared" si="203"/>
        <v>0</v>
      </c>
      <c r="DD39" s="81">
        <f t="shared" si="203"/>
        <v>0</v>
      </c>
      <c r="DE39" s="81">
        <f t="shared" si="203"/>
        <v>0</v>
      </c>
      <c r="DF39" s="81">
        <f t="shared" si="203"/>
        <v>0</v>
      </c>
      <c r="DG39" s="82">
        <f>SUM(DG40)</f>
        <v>0</v>
      </c>
      <c r="DH39" s="80"/>
      <c r="DI39" s="81">
        <f t="shared" ref="DI39:DQ39" si="204">SUM(DI40)</f>
        <v>0</v>
      </c>
      <c r="DJ39" s="81">
        <f t="shared" si="204"/>
        <v>0</v>
      </c>
      <c r="DK39" s="81">
        <f t="shared" si="204"/>
        <v>0</v>
      </c>
      <c r="DL39" s="81">
        <f t="shared" si="204"/>
        <v>0</v>
      </c>
      <c r="DM39" s="81">
        <f t="shared" si="204"/>
        <v>0</v>
      </c>
      <c r="DN39" s="81">
        <f t="shared" si="204"/>
        <v>0</v>
      </c>
      <c r="DO39" s="81">
        <f t="shared" si="204"/>
        <v>0</v>
      </c>
      <c r="DP39" s="81">
        <f t="shared" si="204"/>
        <v>0</v>
      </c>
      <c r="DQ39" s="81">
        <f t="shared" si="204"/>
        <v>0</v>
      </c>
      <c r="DR39" s="82">
        <f>SUM(DR40)</f>
        <v>0</v>
      </c>
      <c r="DS39" s="80"/>
      <c r="DT39" s="81">
        <f t="shared" ref="DT39:EB39" si="205">SUM(DT40)</f>
        <v>0</v>
      </c>
      <c r="DU39" s="81">
        <f t="shared" si="205"/>
        <v>0</v>
      </c>
      <c r="DV39" s="81">
        <f t="shared" si="205"/>
        <v>0</v>
      </c>
      <c r="DW39" s="81">
        <f t="shared" si="205"/>
        <v>0</v>
      </c>
      <c r="DX39" s="81">
        <f t="shared" si="205"/>
        <v>0</v>
      </c>
      <c r="DY39" s="81">
        <f t="shared" si="205"/>
        <v>0</v>
      </c>
      <c r="DZ39" s="81">
        <f t="shared" si="205"/>
        <v>0</v>
      </c>
      <c r="EA39" s="81">
        <f t="shared" si="205"/>
        <v>0</v>
      </c>
      <c r="EB39" s="81">
        <f t="shared" si="205"/>
        <v>0</v>
      </c>
      <c r="EC39" s="81">
        <f>SUM(EC40)</f>
        <v>0</v>
      </c>
      <c r="ED39" s="80"/>
      <c r="EE39" s="81">
        <f>SUM(EE40)</f>
        <v>0</v>
      </c>
      <c r="EF39" s="81">
        <f t="shared" ref="EF39:EM39" si="206">SUM(EF40)</f>
        <v>0</v>
      </c>
      <c r="EG39" s="81">
        <f t="shared" si="206"/>
        <v>0</v>
      </c>
      <c r="EH39" s="81">
        <f t="shared" si="206"/>
        <v>0</v>
      </c>
      <c r="EI39" s="81">
        <f t="shared" si="206"/>
        <v>0</v>
      </c>
      <c r="EJ39" s="81">
        <f t="shared" si="206"/>
        <v>0</v>
      </c>
      <c r="EK39" s="81">
        <f t="shared" si="206"/>
        <v>0</v>
      </c>
      <c r="EL39" s="81">
        <f t="shared" si="206"/>
        <v>0</v>
      </c>
      <c r="EM39" s="81">
        <f t="shared" si="206"/>
        <v>0</v>
      </c>
      <c r="EN39" s="82">
        <f>SUM(EN40)</f>
        <v>0</v>
      </c>
      <c r="EO39" s="80"/>
      <c r="EP39" s="81">
        <f t="shared" ref="EP39:EX39" si="207">SUM(EP40)</f>
        <v>0</v>
      </c>
      <c r="EQ39" s="81">
        <f t="shared" si="207"/>
        <v>0</v>
      </c>
      <c r="ER39" s="81">
        <f t="shared" si="207"/>
        <v>0</v>
      </c>
      <c r="ES39" s="81">
        <f t="shared" si="207"/>
        <v>0</v>
      </c>
      <c r="ET39" s="81">
        <f t="shared" si="207"/>
        <v>0</v>
      </c>
      <c r="EU39" s="81">
        <f t="shared" si="207"/>
        <v>0</v>
      </c>
      <c r="EV39" s="81">
        <f t="shared" si="207"/>
        <v>0</v>
      </c>
      <c r="EW39" s="81">
        <f t="shared" si="207"/>
        <v>0</v>
      </c>
      <c r="EX39" s="81">
        <f t="shared" si="207"/>
        <v>0</v>
      </c>
      <c r="EY39" s="82">
        <f>SUM(EY40)</f>
        <v>0</v>
      </c>
      <c r="EZ39" s="80"/>
      <c r="FA39" s="81">
        <f t="shared" ref="FA39:FI39" si="208">SUM(FA40)</f>
        <v>0</v>
      </c>
      <c r="FB39" s="81">
        <f t="shared" si="208"/>
        <v>0</v>
      </c>
      <c r="FC39" s="81">
        <f t="shared" si="208"/>
        <v>0</v>
      </c>
      <c r="FD39" s="81">
        <f t="shared" si="208"/>
        <v>0</v>
      </c>
      <c r="FE39" s="81">
        <f t="shared" si="208"/>
        <v>0</v>
      </c>
      <c r="FF39" s="81">
        <f t="shared" si="208"/>
        <v>0</v>
      </c>
      <c r="FG39" s="81">
        <f t="shared" si="208"/>
        <v>0</v>
      </c>
      <c r="FH39" s="81">
        <f t="shared" si="208"/>
        <v>0</v>
      </c>
      <c r="FI39" s="81">
        <f t="shared" si="208"/>
        <v>0</v>
      </c>
      <c r="FJ39" s="82">
        <f>SUM(FJ40)</f>
        <v>0</v>
      </c>
      <c r="FK39" s="80"/>
      <c r="FL39" s="81">
        <f t="shared" ref="FL39:FT39" si="209">SUM(FL40)</f>
        <v>0</v>
      </c>
      <c r="FM39" s="81">
        <f t="shared" si="209"/>
        <v>0</v>
      </c>
      <c r="FN39" s="81">
        <f t="shared" si="209"/>
        <v>0</v>
      </c>
      <c r="FO39" s="81">
        <f t="shared" si="209"/>
        <v>0</v>
      </c>
      <c r="FP39" s="81">
        <f t="shared" si="209"/>
        <v>0</v>
      </c>
      <c r="FQ39" s="81">
        <f t="shared" si="209"/>
        <v>0</v>
      </c>
      <c r="FR39" s="81">
        <f t="shared" si="209"/>
        <v>0</v>
      </c>
      <c r="FS39" s="81">
        <f t="shared" si="209"/>
        <v>0</v>
      </c>
      <c r="FT39" s="81">
        <f t="shared" si="209"/>
        <v>0</v>
      </c>
      <c r="FU39" s="82">
        <f>SUM(FU40)</f>
        <v>0</v>
      </c>
      <c r="FV39" s="80"/>
      <c r="FW39" s="81">
        <f>SUM(FW40)</f>
        <v>0</v>
      </c>
      <c r="FX39" s="81">
        <f t="shared" ref="FX39:GE39" si="210">SUM(FX40)</f>
        <v>0</v>
      </c>
      <c r="FY39" s="81">
        <f t="shared" si="210"/>
        <v>0</v>
      </c>
      <c r="FZ39" s="81">
        <f t="shared" si="210"/>
        <v>0</v>
      </c>
      <c r="GA39" s="81">
        <f t="shared" si="210"/>
        <v>0</v>
      </c>
      <c r="GB39" s="81">
        <f t="shared" si="210"/>
        <v>0</v>
      </c>
      <c r="GC39" s="81">
        <f t="shared" si="210"/>
        <v>0</v>
      </c>
      <c r="GD39" s="81">
        <f t="shared" si="210"/>
        <v>0</v>
      </c>
      <c r="GE39" s="81">
        <f t="shared" si="210"/>
        <v>0</v>
      </c>
      <c r="GF39" s="82">
        <f>SUM(GF40)</f>
        <v>0</v>
      </c>
      <c r="GG39" s="80"/>
      <c r="GH39" s="81">
        <f t="shared" ref="GH39:GP39" si="211">SUM(GH40)</f>
        <v>0</v>
      </c>
      <c r="GI39" s="81">
        <f t="shared" si="211"/>
        <v>0</v>
      </c>
      <c r="GJ39" s="81">
        <f t="shared" si="211"/>
        <v>0</v>
      </c>
      <c r="GK39" s="81">
        <f t="shared" si="211"/>
        <v>0</v>
      </c>
      <c r="GL39" s="81">
        <f t="shared" si="211"/>
        <v>0</v>
      </c>
      <c r="GM39" s="81">
        <f t="shared" si="211"/>
        <v>0</v>
      </c>
      <c r="GN39" s="81">
        <f t="shared" si="211"/>
        <v>0</v>
      </c>
      <c r="GO39" s="81">
        <f t="shared" si="211"/>
        <v>0</v>
      </c>
      <c r="GP39" s="81">
        <f t="shared" si="211"/>
        <v>0</v>
      </c>
      <c r="GQ39" s="82">
        <f t="shared" ref="GQ39:GV39" si="212">SUM(GQ40)</f>
        <v>0</v>
      </c>
      <c r="GR39" s="81">
        <f t="shared" si="212"/>
        <v>0</v>
      </c>
      <c r="GS39" s="81">
        <f t="shared" si="212"/>
        <v>0</v>
      </c>
      <c r="GT39" s="81">
        <f t="shared" si="212"/>
        <v>0</v>
      </c>
      <c r="GU39" s="81">
        <f t="shared" si="212"/>
        <v>0</v>
      </c>
      <c r="GV39" s="81">
        <f t="shared" si="212"/>
        <v>0</v>
      </c>
      <c r="GW39" s="81">
        <f t="shared" ref="GW39:HJ39" si="213">SUM(GW40)</f>
        <v>0</v>
      </c>
      <c r="GX39" s="81">
        <f t="shared" si="213"/>
        <v>0</v>
      </c>
      <c r="GY39" s="81">
        <f t="shared" si="213"/>
        <v>0</v>
      </c>
      <c r="GZ39" s="81">
        <f t="shared" si="213"/>
        <v>0</v>
      </c>
      <c r="HA39" s="81">
        <f>SUM(HA40)</f>
        <v>0</v>
      </c>
      <c r="HB39" s="81">
        <f t="shared" si="213"/>
        <v>0</v>
      </c>
      <c r="HC39" s="81">
        <f t="shared" si="213"/>
        <v>0</v>
      </c>
      <c r="HD39" s="81">
        <f t="shared" si="213"/>
        <v>0</v>
      </c>
      <c r="HE39" s="81">
        <f t="shared" si="213"/>
        <v>0</v>
      </c>
      <c r="HF39" s="81">
        <f>SUM(HF40)</f>
        <v>0</v>
      </c>
      <c r="HG39" s="81">
        <f t="shared" si="213"/>
        <v>0</v>
      </c>
      <c r="HH39" s="81">
        <f t="shared" si="213"/>
        <v>0</v>
      </c>
      <c r="HI39" s="81">
        <f t="shared" si="213"/>
        <v>0</v>
      </c>
      <c r="HJ39" s="81">
        <f t="shared" si="213"/>
        <v>0</v>
      </c>
      <c r="HK39" s="81">
        <f t="shared" ref="HK39:HP39" si="214">SUM(HK40)</f>
        <v>0</v>
      </c>
      <c r="HL39" s="81">
        <f t="shared" si="214"/>
        <v>0</v>
      </c>
      <c r="HM39" s="81">
        <f t="shared" si="214"/>
        <v>0</v>
      </c>
      <c r="HN39" s="81">
        <f t="shared" si="214"/>
        <v>0</v>
      </c>
      <c r="HO39" s="81">
        <f t="shared" si="214"/>
        <v>0</v>
      </c>
      <c r="HP39" s="81">
        <f t="shared" si="214"/>
        <v>0</v>
      </c>
      <c r="HQ39" s="81">
        <f t="shared" ref="HQ39:ID39" si="215">SUM(HQ40)</f>
        <v>0</v>
      </c>
      <c r="HR39" s="81">
        <f t="shared" si="215"/>
        <v>0</v>
      </c>
      <c r="HS39" s="81">
        <f t="shared" si="215"/>
        <v>0</v>
      </c>
      <c r="HT39" s="81">
        <f t="shared" si="215"/>
        <v>0</v>
      </c>
      <c r="HU39" s="81">
        <f>SUM(HU40)</f>
        <v>0</v>
      </c>
      <c r="HV39" s="81">
        <f t="shared" si="215"/>
        <v>0</v>
      </c>
      <c r="HW39" s="81">
        <f t="shared" si="215"/>
        <v>0</v>
      </c>
      <c r="HX39" s="81">
        <f t="shared" si="215"/>
        <v>0</v>
      </c>
      <c r="HY39" s="81">
        <f t="shared" si="215"/>
        <v>0</v>
      </c>
      <c r="HZ39" s="81">
        <f>SUM(HZ40)</f>
        <v>0</v>
      </c>
      <c r="IA39" s="81">
        <f t="shared" si="215"/>
        <v>0</v>
      </c>
      <c r="IB39" s="81">
        <f t="shared" si="215"/>
        <v>0</v>
      </c>
      <c r="IC39" s="81">
        <f t="shared" si="215"/>
        <v>0</v>
      </c>
      <c r="ID39" s="81">
        <f t="shared" si="215"/>
        <v>0</v>
      </c>
      <c r="IE39" s="81">
        <f t="shared" ref="IE39:IJ39" si="216">SUM(IE40)</f>
        <v>0</v>
      </c>
      <c r="IF39" s="81">
        <f t="shared" si="216"/>
        <v>0</v>
      </c>
      <c r="IG39" s="81">
        <f t="shared" si="216"/>
        <v>0</v>
      </c>
      <c r="IH39" s="81">
        <f t="shared" si="216"/>
        <v>0</v>
      </c>
      <c r="II39" s="81">
        <f t="shared" si="216"/>
        <v>0</v>
      </c>
      <c r="IJ39" s="81">
        <f t="shared" si="216"/>
        <v>0</v>
      </c>
      <c r="IK39" s="81">
        <f t="shared" ref="IK39:IV39" si="217">SUM(IK40)</f>
        <v>0</v>
      </c>
      <c r="IL39" s="81">
        <f t="shared" si="217"/>
        <v>0</v>
      </c>
      <c r="IM39" s="81">
        <f t="shared" si="217"/>
        <v>0</v>
      </c>
      <c r="IN39" s="81">
        <f t="shared" si="217"/>
        <v>0</v>
      </c>
      <c r="IO39" s="81">
        <f>SUM(IO40)</f>
        <v>0</v>
      </c>
      <c r="IP39" s="81">
        <f t="shared" si="217"/>
        <v>0</v>
      </c>
      <c r="IQ39" s="81">
        <f t="shared" si="217"/>
        <v>0</v>
      </c>
      <c r="IR39" s="81">
        <f t="shared" si="217"/>
        <v>0</v>
      </c>
      <c r="IS39" s="81">
        <f t="shared" si="217"/>
        <v>0</v>
      </c>
      <c r="IT39" s="81">
        <f>SUM(IT40)</f>
        <v>0</v>
      </c>
      <c r="IU39" s="81">
        <f t="shared" si="217"/>
        <v>0</v>
      </c>
      <c r="IV39" s="81">
        <f t="shared" si="217"/>
        <v>0</v>
      </c>
    </row>
    <row r="40" spans="1:256" x14ac:dyDescent="0.25">
      <c r="A40" s="84" t="s">
        <v>51</v>
      </c>
      <c r="B40" s="87">
        <v>1</v>
      </c>
      <c r="C40" s="63"/>
      <c r="D40" s="63"/>
      <c r="E40" s="63"/>
      <c r="F40" s="63"/>
      <c r="G40" s="63"/>
      <c r="H40" s="63"/>
      <c r="I40" s="63"/>
      <c r="J40" s="63"/>
      <c r="K40" s="63"/>
      <c r="L40" s="64">
        <f>SUM(C40:F40,H40:K40)</f>
        <v>0</v>
      </c>
      <c r="M40" s="87"/>
      <c r="N40" s="63"/>
      <c r="O40" s="63"/>
      <c r="P40" s="63"/>
      <c r="Q40" s="63"/>
      <c r="R40" s="63"/>
      <c r="S40" s="63"/>
      <c r="T40" s="63"/>
      <c r="U40" s="63"/>
      <c r="V40" s="63"/>
      <c r="W40" s="64">
        <f>SUM(N40:Q40,S40:V40)</f>
        <v>0</v>
      </c>
      <c r="X40" s="87"/>
      <c r="Y40" s="63"/>
      <c r="Z40" s="63"/>
      <c r="AA40" s="63"/>
      <c r="AB40" s="63"/>
      <c r="AC40" s="63"/>
      <c r="AD40" s="63"/>
      <c r="AE40" s="63"/>
      <c r="AF40" s="63"/>
      <c r="AG40" s="63"/>
      <c r="AH40" s="64">
        <f>SUM(Y40:AB40,AD40:AG40)</f>
        <v>0</v>
      </c>
      <c r="AI40" s="87"/>
      <c r="AJ40" s="63"/>
      <c r="AK40" s="63"/>
      <c r="AL40" s="63"/>
      <c r="AM40" s="63"/>
      <c r="AN40" s="63"/>
      <c r="AO40" s="63"/>
      <c r="AP40" s="63"/>
      <c r="AQ40" s="63"/>
      <c r="AR40" s="63"/>
      <c r="AS40" s="64">
        <f>SUM(AJ40:AM40,AO40:AR40)</f>
        <v>0</v>
      </c>
      <c r="AT40" s="65">
        <f>SUM(M40,AI40,X40)</f>
        <v>0</v>
      </c>
      <c r="AU40" s="65">
        <f t="shared" ref="AU40:BC40" si="218">SUM(N40,AJ40,Y40)</f>
        <v>0</v>
      </c>
      <c r="AV40" s="65">
        <f t="shared" si="218"/>
        <v>0</v>
      </c>
      <c r="AW40" s="65">
        <f t="shared" si="218"/>
        <v>0</v>
      </c>
      <c r="AX40" s="65">
        <f t="shared" si="218"/>
        <v>0</v>
      </c>
      <c r="AY40" s="65">
        <f t="shared" si="218"/>
        <v>0</v>
      </c>
      <c r="AZ40" s="65">
        <f t="shared" si="218"/>
        <v>0</v>
      </c>
      <c r="BA40" s="65">
        <f t="shared" si="218"/>
        <v>0</v>
      </c>
      <c r="BB40" s="65">
        <f t="shared" si="218"/>
        <v>0</v>
      </c>
      <c r="BC40" s="65">
        <f t="shared" si="218"/>
        <v>0</v>
      </c>
      <c r="BD40" s="64">
        <f>SUM(AU40:AX40,AZ40:BC40)</f>
        <v>0</v>
      </c>
      <c r="BE40" s="87"/>
      <c r="BF40" s="63"/>
      <c r="BG40" s="63"/>
      <c r="BH40" s="63"/>
      <c r="BI40" s="63"/>
      <c r="BJ40" s="63"/>
      <c r="BK40" s="63"/>
      <c r="BL40" s="63"/>
      <c r="BM40" s="63"/>
      <c r="BN40" s="63"/>
      <c r="BO40" s="64">
        <f>SUM(BF40:BI40,BK40:BN40)</f>
        <v>0</v>
      </c>
      <c r="BP40" s="87"/>
      <c r="BQ40" s="63"/>
      <c r="BR40" s="63"/>
      <c r="BS40" s="63"/>
      <c r="BT40" s="63"/>
      <c r="BU40" s="63"/>
      <c r="BV40" s="63"/>
      <c r="BW40" s="63"/>
      <c r="BX40" s="63"/>
      <c r="BY40" s="63"/>
      <c r="BZ40" s="64">
        <f>SUM(BQ40:BT40,BV40:BY40)</f>
        <v>0</v>
      </c>
      <c r="CA40" s="87"/>
      <c r="CB40" s="63"/>
      <c r="CC40" s="63"/>
      <c r="CD40" s="63"/>
      <c r="CE40" s="63"/>
      <c r="CF40" s="63"/>
      <c r="CG40" s="63"/>
      <c r="CH40" s="63"/>
      <c r="CI40" s="63"/>
      <c r="CJ40" s="63"/>
      <c r="CK40" s="64">
        <f>SUM(CB40:CE40,CG40:CJ40)</f>
        <v>0</v>
      </c>
      <c r="CL40" s="65">
        <f>SUM(BE40,CA40,BP40)</f>
        <v>0</v>
      </c>
      <c r="CM40" s="65">
        <f t="shared" ref="CM40:CU40" si="219">SUM(BF40,CB40,BQ40)</f>
        <v>0</v>
      </c>
      <c r="CN40" s="65">
        <f t="shared" si="219"/>
        <v>0</v>
      </c>
      <c r="CO40" s="65">
        <f t="shared" si="219"/>
        <v>0</v>
      </c>
      <c r="CP40" s="65">
        <f t="shared" si="219"/>
        <v>0</v>
      </c>
      <c r="CQ40" s="65">
        <f t="shared" si="219"/>
        <v>0</v>
      </c>
      <c r="CR40" s="65">
        <f t="shared" si="219"/>
        <v>0</v>
      </c>
      <c r="CS40" s="65">
        <f t="shared" si="219"/>
        <v>0</v>
      </c>
      <c r="CT40" s="65">
        <f t="shared" si="219"/>
        <v>0</v>
      </c>
      <c r="CU40" s="65">
        <f t="shared" si="219"/>
        <v>0</v>
      </c>
      <c r="CV40" s="64">
        <f>SUM(CM40:CP40,CR40:CU40)</f>
        <v>0</v>
      </c>
      <c r="CW40" s="87"/>
      <c r="CX40" s="63"/>
      <c r="CY40" s="63"/>
      <c r="CZ40" s="63"/>
      <c r="DA40" s="63"/>
      <c r="DB40" s="63"/>
      <c r="DC40" s="63"/>
      <c r="DD40" s="63"/>
      <c r="DE40" s="63"/>
      <c r="DF40" s="63"/>
      <c r="DG40" s="64">
        <f>SUM(CX40:DA40,DC40:DF40)</f>
        <v>0</v>
      </c>
      <c r="DH40" s="87"/>
      <c r="DI40" s="63"/>
      <c r="DJ40" s="63"/>
      <c r="DK40" s="63"/>
      <c r="DL40" s="63"/>
      <c r="DM40" s="63"/>
      <c r="DN40" s="63"/>
      <c r="DO40" s="63"/>
      <c r="DP40" s="63"/>
      <c r="DQ40" s="63"/>
      <c r="DR40" s="64">
        <f>SUM(DI40:DL40,DN40:DQ40)</f>
        <v>0</v>
      </c>
      <c r="DS40" s="87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5">
        <f>SUM(CW40,DS40,DH40)</f>
        <v>0</v>
      </c>
      <c r="EE40" s="65">
        <f t="shared" ref="EE40:EM40" si="220">SUM(CX40,DT40,DI40)</f>
        <v>0</v>
      </c>
      <c r="EF40" s="65">
        <f t="shared" si="220"/>
        <v>0</v>
      </c>
      <c r="EG40" s="65">
        <f t="shared" si="220"/>
        <v>0</v>
      </c>
      <c r="EH40" s="65">
        <f t="shared" si="220"/>
        <v>0</v>
      </c>
      <c r="EI40" s="65">
        <f t="shared" si="220"/>
        <v>0</v>
      </c>
      <c r="EJ40" s="65">
        <f t="shared" si="220"/>
        <v>0</v>
      </c>
      <c r="EK40" s="65">
        <f t="shared" si="220"/>
        <v>0</v>
      </c>
      <c r="EL40" s="65">
        <f t="shared" si="220"/>
        <v>0</v>
      </c>
      <c r="EM40" s="65">
        <f t="shared" si="220"/>
        <v>0</v>
      </c>
      <c r="EN40" s="64">
        <f>SUM(EE40:EH40,EJ40:EM40)</f>
        <v>0</v>
      </c>
      <c r="EO40" s="87"/>
      <c r="EP40" s="63"/>
      <c r="EQ40" s="63"/>
      <c r="ER40" s="63"/>
      <c r="ES40" s="63"/>
      <c r="ET40" s="63"/>
      <c r="EU40" s="63"/>
      <c r="EV40" s="63"/>
      <c r="EW40" s="63"/>
      <c r="EX40" s="63"/>
      <c r="EY40" s="64">
        <f>SUM(EP40:ES40,EU40:EX40)</f>
        <v>0</v>
      </c>
      <c r="EZ40" s="87"/>
      <c r="FA40" s="63"/>
      <c r="FB40" s="63"/>
      <c r="FC40" s="63"/>
      <c r="FD40" s="63"/>
      <c r="FE40" s="63"/>
      <c r="FF40" s="63"/>
      <c r="FG40" s="63"/>
      <c r="FH40" s="63"/>
      <c r="FI40" s="63"/>
      <c r="FJ40" s="64">
        <f>SUM(FA40:FD40,FF40:FI40)</f>
        <v>0</v>
      </c>
      <c r="FK40" s="87"/>
      <c r="FL40" s="63"/>
      <c r="FM40" s="63"/>
      <c r="FN40" s="63"/>
      <c r="FO40" s="63"/>
      <c r="FP40" s="63"/>
      <c r="FQ40" s="63"/>
      <c r="FR40" s="63"/>
      <c r="FS40" s="63"/>
      <c r="FT40" s="63"/>
      <c r="FU40" s="64">
        <f>SUM(FL40:FO40,FQ40:FT40)</f>
        <v>0</v>
      </c>
      <c r="FV40" s="65">
        <f>SUM(EO40,FK40,EZ40)</f>
        <v>0</v>
      </c>
      <c r="FW40" s="65">
        <f t="shared" ref="FW40:GE40" si="221">SUM(EP40,FL40,FA40)</f>
        <v>0</v>
      </c>
      <c r="FX40" s="65">
        <f t="shared" si="221"/>
        <v>0</v>
      </c>
      <c r="FY40" s="65">
        <f t="shared" si="221"/>
        <v>0</v>
      </c>
      <c r="FZ40" s="65">
        <f t="shared" si="221"/>
        <v>0</v>
      </c>
      <c r="GA40" s="65">
        <f t="shared" si="221"/>
        <v>0</v>
      </c>
      <c r="GB40" s="65">
        <f t="shared" si="221"/>
        <v>0</v>
      </c>
      <c r="GC40" s="65">
        <f t="shared" si="221"/>
        <v>0</v>
      </c>
      <c r="GD40" s="65">
        <f t="shared" si="221"/>
        <v>0</v>
      </c>
      <c r="GE40" s="65">
        <f t="shared" si="221"/>
        <v>0</v>
      </c>
      <c r="GF40" s="64">
        <f>SUM(FW40:FZ40,GB40:GE40)</f>
        <v>0</v>
      </c>
      <c r="GG40" s="88">
        <f>SUM(AT40,CL40,ED40,FV40)</f>
        <v>0</v>
      </c>
      <c r="GH40" s="88">
        <f t="shared" ref="GH40:GP40" si="222">SUM(AU40,CM40,EE40,FW40)</f>
        <v>0</v>
      </c>
      <c r="GI40" s="88">
        <f t="shared" si="222"/>
        <v>0</v>
      </c>
      <c r="GJ40" s="88">
        <f t="shared" si="222"/>
        <v>0</v>
      </c>
      <c r="GK40" s="88">
        <f t="shared" si="222"/>
        <v>0</v>
      </c>
      <c r="GL40" s="88">
        <f t="shared" si="222"/>
        <v>0</v>
      </c>
      <c r="GM40" s="88">
        <f t="shared" si="222"/>
        <v>0</v>
      </c>
      <c r="GN40" s="88">
        <f t="shared" si="222"/>
        <v>0</v>
      </c>
      <c r="GO40" s="88">
        <f t="shared" si="222"/>
        <v>0</v>
      </c>
      <c r="GP40" s="88">
        <f t="shared" si="222"/>
        <v>0</v>
      </c>
      <c r="GQ40" s="89">
        <f>SUM(GH40:GK40,GM40:GP40)</f>
        <v>0</v>
      </c>
      <c r="GR40" s="63"/>
      <c r="GS40" s="63"/>
      <c r="GT40" s="63"/>
      <c r="GU40" s="63"/>
      <c r="GV40" s="67">
        <f>SUM(GR40:GU40)</f>
        <v>0</v>
      </c>
      <c r="GW40" s="63"/>
      <c r="GX40" s="63"/>
      <c r="GY40" s="63"/>
      <c r="GZ40" s="63"/>
      <c r="HA40" s="67">
        <f>SUM(GW40:GZ40)</f>
        <v>0</v>
      </c>
      <c r="HB40" s="63"/>
      <c r="HC40" s="63"/>
      <c r="HD40" s="63"/>
      <c r="HE40" s="63"/>
      <c r="HF40" s="67">
        <f>SUM(HB40:HE40)</f>
        <v>0</v>
      </c>
      <c r="HG40" s="63"/>
      <c r="HH40" s="63"/>
      <c r="HI40" s="63"/>
      <c r="HJ40" s="63"/>
      <c r="HK40" s="67">
        <f>SUM(HG40:HJ40)</f>
        <v>0</v>
      </c>
      <c r="HL40" s="68">
        <f>SUM(GW40,HB40,HG40)</f>
        <v>0</v>
      </c>
      <c r="HM40" s="68">
        <f>SUM(GX40,HC40,HH40)</f>
        <v>0</v>
      </c>
      <c r="HN40" s="68">
        <f>SUM(GY40,HD40,HI40)</f>
        <v>0</v>
      </c>
      <c r="HO40" s="68">
        <f>SUM(GZ40,HE40,HJ40)</f>
        <v>0</v>
      </c>
      <c r="HP40" s="67">
        <f>SUM(HL40:HO40)</f>
        <v>0</v>
      </c>
      <c r="HQ40" s="63"/>
      <c r="HR40" s="63"/>
      <c r="HS40" s="63"/>
      <c r="HT40" s="63"/>
      <c r="HU40" s="67">
        <f>SUM(HQ40:HT40)</f>
        <v>0</v>
      </c>
      <c r="HV40" s="63"/>
      <c r="HW40" s="63"/>
      <c r="HX40" s="63"/>
      <c r="HY40" s="63"/>
      <c r="HZ40" s="67">
        <f>SUM(HV40:HY40)</f>
        <v>0</v>
      </c>
      <c r="IA40" s="63"/>
      <c r="IB40" s="63"/>
      <c r="IC40" s="63"/>
      <c r="ID40" s="63"/>
      <c r="IE40" s="67">
        <f>SUM(IA40:ID40)</f>
        <v>0</v>
      </c>
      <c r="IF40" s="68">
        <f>SUM(HQ40,HV40,IA40)</f>
        <v>0</v>
      </c>
      <c r="IG40" s="68">
        <f>SUM(HR40,HW40,IB40)</f>
        <v>0</v>
      </c>
      <c r="IH40" s="68">
        <f>SUM(HS40,HX40,IC40)</f>
        <v>0</v>
      </c>
      <c r="II40" s="68">
        <f>SUM(HT40,HY40,ID40)</f>
        <v>0</v>
      </c>
      <c r="IJ40" s="67">
        <f>SUM(IF40:II40)</f>
        <v>0</v>
      </c>
      <c r="IK40" s="63"/>
      <c r="IL40" s="63"/>
      <c r="IM40" s="63"/>
      <c r="IN40" s="63"/>
      <c r="IO40" s="67">
        <f>SUM(IK40:IN40)</f>
        <v>0</v>
      </c>
      <c r="IP40" s="63"/>
      <c r="IQ40" s="63"/>
      <c r="IR40" s="63"/>
      <c r="IS40" s="63"/>
      <c r="IT40" s="67">
        <f>SUM(IP40:IS40)</f>
        <v>0</v>
      </c>
      <c r="IU40" s="63"/>
      <c r="IV40" s="63"/>
    </row>
    <row r="41" spans="1:256" s="57" customFormat="1" x14ac:dyDescent="0.25">
      <c r="A41" s="58" t="s">
        <v>52</v>
      </c>
      <c r="B41" s="60"/>
      <c r="C41" s="73">
        <f>SUM(C42,C43,C51)</f>
        <v>0</v>
      </c>
      <c r="D41" s="73">
        <f t="shared" ref="D41:K41" si="223">SUM(D42,D43,D51)</f>
        <v>0</v>
      </c>
      <c r="E41" s="73">
        <f t="shared" si="223"/>
        <v>0</v>
      </c>
      <c r="F41" s="73">
        <f t="shared" si="223"/>
        <v>0</v>
      </c>
      <c r="G41" s="73">
        <f t="shared" si="223"/>
        <v>0</v>
      </c>
      <c r="H41" s="73">
        <f t="shared" si="223"/>
        <v>0</v>
      </c>
      <c r="I41" s="73">
        <f t="shared" si="223"/>
        <v>0</v>
      </c>
      <c r="J41" s="73">
        <f t="shared" si="223"/>
        <v>0</v>
      </c>
      <c r="K41" s="73">
        <f t="shared" si="223"/>
        <v>0</v>
      </c>
      <c r="L41" s="73">
        <f>SUM(L42,L43,L51)</f>
        <v>0</v>
      </c>
      <c r="M41" s="60"/>
      <c r="N41" s="73">
        <f>SUM(N42,N43,N51)</f>
        <v>0</v>
      </c>
      <c r="O41" s="73">
        <f t="shared" ref="O41:V41" si="224">SUM(O42,O43,O51)</f>
        <v>0</v>
      </c>
      <c r="P41" s="73">
        <f t="shared" si="224"/>
        <v>0</v>
      </c>
      <c r="Q41" s="73">
        <f t="shared" si="224"/>
        <v>0</v>
      </c>
      <c r="R41" s="73">
        <f t="shared" si="224"/>
        <v>0</v>
      </c>
      <c r="S41" s="73">
        <f t="shared" si="224"/>
        <v>0</v>
      </c>
      <c r="T41" s="73">
        <f t="shared" si="224"/>
        <v>0</v>
      </c>
      <c r="U41" s="73">
        <f t="shared" si="224"/>
        <v>0</v>
      </c>
      <c r="V41" s="73">
        <f t="shared" si="224"/>
        <v>0</v>
      </c>
      <c r="W41" s="73">
        <f>SUM(W42,W43,W51)</f>
        <v>0</v>
      </c>
      <c r="X41" s="60"/>
      <c r="Y41" s="73">
        <f>SUM(Y42,Y43,Y51)</f>
        <v>0</v>
      </c>
      <c r="Z41" s="73">
        <f t="shared" ref="Z41:AG41" si="225">SUM(Z42,Z43,Z51)</f>
        <v>0</v>
      </c>
      <c r="AA41" s="73">
        <f t="shared" si="225"/>
        <v>0</v>
      </c>
      <c r="AB41" s="73">
        <f t="shared" si="225"/>
        <v>0</v>
      </c>
      <c r="AC41" s="73">
        <f t="shared" si="225"/>
        <v>0</v>
      </c>
      <c r="AD41" s="73">
        <f t="shared" si="225"/>
        <v>0</v>
      </c>
      <c r="AE41" s="73">
        <f t="shared" si="225"/>
        <v>0</v>
      </c>
      <c r="AF41" s="73">
        <f t="shared" si="225"/>
        <v>0</v>
      </c>
      <c r="AG41" s="73">
        <f t="shared" si="225"/>
        <v>0</v>
      </c>
      <c r="AH41" s="73">
        <f>SUM(AH42,AH43,AH51)</f>
        <v>0</v>
      </c>
      <c r="AI41" s="60"/>
      <c r="AJ41" s="73">
        <f>SUM(AJ42,AJ43,AJ51)</f>
        <v>0</v>
      </c>
      <c r="AK41" s="73">
        <f t="shared" ref="AK41:AR41" si="226">SUM(AK42,AK43,AK51)</f>
        <v>0</v>
      </c>
      <c r="AL41" s="73">
        <f t="shared" si="226"/>
        <v>0</v>
      </c>
      <c r="AM41" s="73">
        <f t="shared" si="226"/>
        <v>0</v>
      </c>
      <c r="AN41" s="73">
        <f t="shared" si="226"/>
        <v>0</v>
      </c>
      <c r="AO41" s="73">
        <f t="shared" si="226"/>
        <v>0</v>
      </c>
      <c r="AP41" s="73">
        <f t="shared" si="226"/>
        <v>0</v>
      </c>
      <c r="AQ41" s="73">
        <f t="shared" si="226"/>
        <v>0</v>
      </c>
      <c r="AR41" s="73">
        <f t="shared" si="226"/>
        <v>0</v>
      </c>
      <c r="AS41" s="73">
        <f>SUM(AS42,AS43,AS51)</f>
        <v>0</v>
      </c>
      <c r="AT41" s="60"/>
      <c r="AU41" s="73">
        <f t="shared" ref="AU41:BD41" si="227">SUM(AU42,AU43,AU51)</f>
        <v>0</v>
      </c>
      <c r="AV41" s="73">
        <f t="shared" si="227"/>
        <v>0</v>
      </c>
      <c r="AW41" s="73">
        <f t="shared" si="227"/>
        <v>0</v>
      </c>
      <c r="AX41" s="73">
        <f t="shared" si="227"/>
        <v>0</v>
      </c>
      <c r="AY41" s="73">
        <f t="shared" si="227"/>
        <v>0</v>
      </c>
      <c r="AZ41" s="73">
        <f t="shared" si="227"/>
        <v>0</v>
      </c>
      <c r="BA41" s="73">
        <f t="shared" si="227"/>
        <v>0</v>
      </c>
      <c r="BB41" s="73">
        <f t="shared" si="227"/>
        <v>0</v>
      </c>
      <c r="BC41" s="73">
        <f t="shared" si="227"/>
        <v>0</v>
      </c>
      <c r="BD41" s="73">
        <f t="shared" si="227"/>
        <v>0</v>
      </c>
      <c r="BE41" s="60"/>
      <c r="BF41" s="73">
        <f>SUM(BF42,BF43,BF51)</f>
        <v>0</v>
      </c>
      <c r="BG41" s="73">
        <f t="shared" ref="BG41:BN41" si="228">SUM(BG42,BG43,BG51)</f>
        <v>0</v>
      </c>
      <c r="BH41" s="73">
        <f t="shared" si="228"/>
        <v>0</v>
      </c>
      <c r="BI41" s="73">
        <f t="shared" si="228"/>
        <v>0</v>
      </c>
      <c r="BJ41" s="73">
        <f t="shared" si="228"/>
        <v>0</v>
      </c>
      <c r="BK41" s="73">
        <f t="shared" si="228"/>
        <v>0</v>
      </c>
      <c r="BL41" s="73">
        <f t="shared" si="228"/>
        <v>0</v>
      </c>
      <c r="BM41" s="73">
        <f t="shared" si="228"/>
        <v>0</v>
      </c>
      <c r="BN41" s="73">
        <f t="shared" si="228"/>
        <v>0</v>
      </c>
      <c r="BO41" s="73">
        <f>SUM(BO42,BO43,BO51)</f>
        <v>0</v>
      </c>
      <c r="BP41" s="60"/>
      <c r="BQ41" s="73">
        <f>SUM(BQ42,BQ43,BQ51)</f>
        <v>0</v>
      </c>
      <c r="BR41" s="73">
        <f t="shared" ref="BR41:BY41" si="229">SUM(BR42,BR43,BR51)</f>
        <v>0</v>
      </c>
      <c r="BS41" s="73">
        <f t="shared" si="229"/>
        <v>0</v>
      </c>
      <c r="BT41" s="73">
        <f t="shared" si="229"/>
        <v>0</v>
      </c>
      <c r="BU41" s="73">
        <f t="shared" si="229"/>
        <v>0</v>
      </c>
      <c r="BV41" s="73">
        <f t="shared" si="229"/>
        <v>0</v>
      </c>
      <c r="BW41" s="73">
        <f t="shared" si="229"/>
        <v>0</v>
      </c>
      <c r="BX41" s="73">
        <f t="shared" si="229"/>
        <v>0</v>
      </c>
      <c r="BY41" s="73">
        <f t="shared" si="229"/>
        <v>0</v>
      </c>
      <c r="BZ41" s="73">
        <f>SUM(BZ42,BZ43,BZ51)</f>
        <v>0</v>
      </c>
      <c r="CA41" s="60"/>
      <c r="CB41" s="73">
        <f>SUM(CB42,CB43,CB51)</f>
        <v>0</v>
      </c>
      <c r="CC41" s="73">
        <f t="shared" ref="CC41:CJ41" si="230">SUM(CC42,CC43,CC51)</f>
        <v>0</v>
      </c>
      <c r="CD41" s="73">
        <f t="shared" si="230"/>
        <v>0</v>
      </c>
      <c r="CE41" s="73">
        <f t="shared" si="230"/>
        <v>0</v>
      </c>
      <c r="CF41" s="73">
        <f t="shared" si="230"/>
        <v>0</v>
      </c>
      <c r="CG41" s="73">
        <f t="shared" si="230"/>
        <v>0</v>
      </c>
      <c r="CH41" s="73">
        <f t="shared" si="230"/>
        <v>0</v>
      </c>
      <c r="CI41" s="73">
        <f t="shared" si="230"/>
        <v>0</v>
      </c>
      <c r="CJ41" s="73">
        <f t="shared" si="230"/>
        <v>0</v>
      </c>
      <c r="CK41" s="73">
        <f>SUM(CK42,CK43,CK51)</f>
        <v>0</v>
      </c>
      <c r="CL41" s="60"/>
      <c r="CM41" s="73">
        <f t="shared" ref="CM41:CV41" si="231">SUM(CM42,CM43,CM51)</f>
        <v>0</v>
      </c>
      <c r="CN41" s="73">
        <f t="shared" si="231"/>
        <v>0</v>
      </c>
      <c r="CO41" s="73">
        <f t="shared" si="231"/>
        <v>0</v>
      </c>
      <c r="CP41" s="73">
        <f t="shared" si="231"/>
        <v>0</v>
      </c>
      <c r="CQ41" s="73">
        <f t="shared" si="231"/>
        <v>0</v>
      </c>
      <c r="CR41" s="73">
        <f t="shared" si="231"/>
        <v>0</v>
      </c>
      <c r="CS41" s="73">
        <f t="shared" si="231"/>
        <v>0</v>
      </c>
      <c r="CT41" s="73">
        <f t="shared" si="231"/>
        <v>0</v>
      </c>
      <c r="CU41" s="73">
        <f t="shared" si="231"/>
        <v>0</v>
      </c>
      <c r="CV41" s="73">
        <f t="shared" si="231"/>
        <v>0</v>
      </c>
      <c r="CW41" s="60"/>
      <c r="CX41" s="73">
        <f>SUM(CX42,CX43,CX51)</f>
        <v>0</v>
      </c>
      <c r="CY41" s="73">
        <f t="shared" ref="CY41:DF41" si="232">SUM(CY42,CY43,CY51)</f>
        <v>0</v>
      </c>
      <c r="CZ41" s="73">
        <f t="shared" si="232"/>
        <v>0</v>
      </c>
      <c r="DA41" s="73">
        <f t="shared" si="232"/>
        <v>0</v>
      </c>
      <c r="DB41" s="73">
        <f t="shared" si="232"/>
        <v>0</v>
      </c>
      <c r="DC41" s="73">
        <f t="shared" si="232"/>
        <v>0</v>
      </c>
      <c r="DD41" s="73">
        <f t="shared" si="232"/>
        <v>0</v>
      </c>
      <c r="DE41" s="73">
        <f t="shared" si="232"/>
        <v>0</v>
      </c>
      <c r="DF41" s="73">
        <f t="shared" si="232"/>
        <v>0</v>
      </c>
      <c r="DG41" s="73">
        <f>SUM(DG42,DG43,DG51)</f>
        <v>0</v>
      </c>
      <c r="DH41" s="60"/>
      <c r="DI41" s="73">
        <f>SUM(DI42,DI43,DI51)</f>
        <v>0</v>
      </c>
      <c r="DJ41" s="73">
        <f t="shared" ref="DJ41:DQ41" si="233">SUM(DJ42,DJ43,DJ51)</f>
        <v>0</v>
      </c>
      <c r="DK41" s="73">
        <f t="shared" si="233"/>
        <v>0</v>
      </c>
      <c r="DL41" s="73">
        <f t="shared" si="233"/>
        <v>0</v>
      </c>
      <c r="DM41" s="73">
        <f t="shared" si="233"/>
        <v>0</v>
      </c>
      <c r="DN41" s="73">
        <f t="shared" si="233"/>
        <v>0</v>
      </c>
      <c r="DO41" s="73">
        <f t="shared" si="233"/>
        <v>0</v>
      </c>
      <c r="DP41" s="73">
        <f t="shared" si="233"/>
        <v>0</v>
      </c>
      <c r="DQ41" s="73">
        <f t="shared" si="233"/>
        <v>0</v>
      </c>
      <c r="DR41" s="73">
        <f>SUM(DR42,DR43,DR51)</f>
        <v>0</v>
      </c>
      <c r="DS41" s="60"/>
      <c r="DT41" s="73">
        <f>SUM(DT42,DT43,DT51)</f>
        <v>0</v>
      </c>
      <c r="DU41" s="73">
        <f t="shared" ref="DU41:EB41" si="234">SUM(DU42,DU43,DU51)</f>
        <v>0</v>
      </c>
      <c r="DV41" s="73">
        <f t="shared" si="234"/>
        <v>0</v>
      </c>
      <c r="DW41" s="73">
        <f t="shared" si="234"/>
        <v>0</v>
      </c>
      <c r="DX41" s="73">
        <f t="shared" si="234"/>
        <v>0</v>
      </c>
      <c r="DY41" s="73">
        <f t="shared" si="234"/>
        <v>0</v>
      </c>
      <c r="DZ41" s="73">
        <f t="shared" si="234"/>
        <v>0</v>
      </c>
      <c r="EA41" s="73">
        <f t="shared" si="234"/>
        <v>0</v>
      </c>
      <c r="EB41" s="73">
        <f t="shared" si="234"/>
        <v>0</v>
      </c>
      <c r="EC41" s="73">
        <f>SUM(EC42,EC43,EC51)</f>
        <v>0</v>
      </c>
      <c r="ED41" s="60"/>
      <c r="EE41" s="73">
        <f t="shared" ref="EE41:EN41" si="235">SUM(EE42,EE43,EE51)</f>
        <v>0</v>
      </c>
      <c r="EF41" s="73">
        <f t="shared" si="235"/>
        <v>0</v>
      </c>
      <c r="EG41" s="73">
        <f t="shared" si="235"/>
        <v>0</v>
      </c>
      <c r="EH41" s="73">
        <f t="shared" si="235"/>
        <v>0</v>
      </c>
      <c r="EI41" s="73">
        <f t="shared" si="235"/>
        <v>0</v>
      </c>
      <c r="EJ41" s="73">
        <f t="shared" si="235"/>
        <v>0</v>
      </c>
      <c r="EK41" s="73">
        <f t="shared" si="235"/>
        <v>0</v>
      </c>
      <c r="EL41" s="73">
        <f t="shared" si="235"/>
        <v>0</v>
      </c>
      <c r="EM41" s="73">
        <f t="shared" si="235"/>
        <v>0</v>
      </c>
      <c r="EN41" s="73">
        <f t="shared" si="235"/>
        <v>0</v>
      </c>
      <c r="EO41" s="60"/>
      <c r="EP41" s="73">
        <f>SUM(EP42,EP43,EP51)</f>
        <v>0</v>
      </c>
      <c r="EQ41" s="73">
        <f t="shared" ref="EQ41:EX41" si="236">SUM(EQ42,EQ43,EQ51)</f>
        <v>0</v>
      </c>
      <c r="ER41" s="73">
        <f t="shared" si="236"/>
        <v>0</v>
      </c>
      <c r="ES41" s="73">
        <f t="shared" si="236"/>
        <v>0</v>
      </c>
      <c r="ET41" s="73">
        <f t="shared" si="236"/>
        <v>0</v>
      </c>
      <c r="EU41" s="73">
        <f t="shared" si="236"/>
        <v>0</v>
      </c>
      <c r="EV41" s="73">
        <f t="shared" si="236"/>
        <v>0</v>
      </c>
      <c r="EW41" s="73">
        <f t="shared" si="236"/>
        <v>0</v>
      </c>
      <c r="EX41" s="73">
        <f t="shared" si="236"/>
        <v>0</v>
      </c>
      <c r="EY41" s="73">
        <f>SUM(EY42,EY43,EY51)</f>
        <v>0</v>
      </c>
      <c r="EZ41" s="60"/>
      <c r="FA41" s="73">
        <f>SUM(FA42,FA43,FA51)</f>
        <v>0</v>
      </c>
      <c r="FB41" s="73">
        <f t="shared" ref="FB41:FI41" si="237">SUM(FB42,FB43,FB51)</f>
        <v>0</v>
      </c>
      <c r="FC41" s="73">
        <f t="shared" si="237"/>
        <v>0</v>
      </c>
      <c r="FD41" s="73">
        <f t="shared" si="237"/>
        <v>0</v>
      </c>
      <c r="FE41" s="73">
        <f t="shared" si="237"/>
        <v>0</v>
      </c>
      <c r="FF41" s="73">
        <f t="shared" si="237"/>
        <v>0</v>
      </c>
      <c r="FG41" s="73">
        <f t="shared" si="237"/>
        <v>0</v>
      </c>
      <c r="FH41" s="73">
        <f t="shared" si="237"/>
        <v>0</v>
      </c>
      <c r="FI41" s="73">
        <f t="shared" si="237"/>
        <v>0</v>
      </c>
      <c r="FJ41" s="73">
        <f>SUM(FJ42,FJ43,FJ51)</f>
        <v>0</v>
      </c>
      <c r="FK41" s="60"/>
      <c r="FL41" s="73">
        <f>SUM(FL42,FL43,FL51)</f>
        <v>0</v>
      </c>
      <c r="FM41" s="73">
        <f t="shared" ref="FM41:FT41" si="238">SUM(FM42,FM43,FM51)</f>
        <v>0</v>
      </c>
      <c r="FN41" s="73">
        <f t="shared" si="238"/>
        <v>0</v>
      </c>
      <c r="FO41" s="73">
        <f t="shared" si="238"/>
        <v>0</v>
      </c>
      <c r="FP41" s="73">
        <f t="shared" si="238"/>
        <v>0</v>
      </c>
      <c r="FQ41" s="73">
        <f t="shared" si="238"/>
        <v>0</v>
      </c>
      <c r="FR41" s="73">
        <f t="shared" si="238"/>
        <v>0</v>
      </c>
      <c r="FS41" s="73">
        <f t="shared" si="238"/>
        <v>0</v>
      </c>
      <c r="FT41" s="73">
        <f t="shared" si="238"/>
        <v>0</v>
      </c>
      <c r="FU41" s="73">
        <f>SUM(FU42,FU43,FU51)</f>
        <v>0</v>
      </c>
      <c r="FV41" s="60"/>
      <c r="FW41" s="73">
        <f t="shared" ref="FW41:GF41" si="239">SUM(FW42,FW43,FW51)</f>
        <v>0</v>
      </c>
      <c r="FX41" s="73">
        <f t="shared" si="239"/>
        <v>0</v>
      </c>
      <c r="FY41" s="73">
        <f t="shared" si="239"/>
        <v>0</v>
      </c>
      <c r="FZ41" s="73">
        <f t="shared" si="239"/>
        <v>0</v>
      </c>
      <c r="GA41" s="73">
        <f t="shared" si="239"/>
        <v>0</v>
      </c>
      <c r="GB41" s="73">
        <f t="shared" si="239"/>
        <v>0</v>
      </c>
      <c r="GC41" s="73">
        <f t="shared" si="239"/>
        <v>0</v>
      </c>
      <c r="GD41" s="73">
        <f t="shared" si="239"/>
        <v>0</v>
      </c>
      <c r="GE41" s="73">
        <f t="shared" si="239"/>
        <v>0</v>
      </c>
      <c r="GF41" s="73">
        <f t="shared" si="239"/>
        <v>0</v>
      </c>
      <c r="GG41" s="60"/>
      <c r="GH41" s="73">
        <f t="shared" ref="GH41:IV41" si="240">SUM(GH42,GH43,GH51)</f>
        <v>0</v>
      </c>
      <c r="GI41" s="73">
        <f t="shared" si="240"/>
        <v>0</v>
      </c>
      <c r="GJ41" s="73">
        <f t="shared" si="240"/>
        <v>0</v>
      </c>
      <c r="GK41" s="73">
        <f t="shared" si="240"/>
        <v>0</v>
      </c>
      <c r="GL41" s="73">
        <f t="shared" si="240"/>
        <v>0</v>
      </c>
      <c r="GM41" s="73">
        <f t="shared" si="240"/>
        <v>0</v>
      </c>
      <c r="GN41" s="73">
        <f t="shared" si="240"/>
        <v>0</v>
      </c>
      <c r="GO41" s="73">
        <f t="shared" si="240"/>
        <v>0</v>
      </c>
      <c r="GP41" s="73">
        <f t="shared" si="240"/>
        <v>0</v>
      </c>
      <c r="GQ41" s="73">
        <f t="shared" si="240"/>
        <v>0</v>
      </c>
      <c r="GR41" s="73">
        <f t="shared" si="240"/>
        <v>0</v>
      </c>
      <c r="GS41" s="73">
        <f t="shared" si="240"/>
        <v>0</v>
      </c>
      <c r="GT41" s="73">
        <f t="shared" si="240"/>
        <v>0</v>
      </c>
      <c r="GU41" s="73">
        <f t="shared" si="240"/>
        <v>0</v>
      </c>
      <c r="GV41" s="73">
        <f t="shared" si="240"/>
        <v>0</v>
      </c>
      <c r="GW41" s="73">
        <f t="shared" si="240"/>
        <v>0</v>
      </c>
      <c r="GX41" s="73">
        <f t="shared" si="240"/>
        <v>0</v>
      </c>
      <c r="GY41" s="73">
        <f t="shared" si="240"/>
        <v>0</v>
      </c>
      <c r="GZ41" s="73">
        <f t="shared" si="240"/>
        <v>0</v>
      </c>
      <c r="HA41" s="73">
        <f t="shared" si="240"/>
        <v>0</v>
      </c>
      <c r="HB41" s="73">
        <f>SUM(HB42,HB43,HB51)</f>
        <v>0</v>
      </c>
      <c r="HC41" s="73">
        <f>SUM(HC42,HC43,HC51)</f>
        <v>0</v>
      </c>
      <c r="HD41" s="73">
        <f>SUM(HD42,HD43,HD51)</f>
        <v>0</v>
      </c>
      <c r="HE41" s="73">
        <f>SUM(HE42,HE43,HE51)</f>
        <v>0</v>
      </c>
      <c r="HF41" s="73">
        <f t="shared" si="240"/>
        <v>0</v>
      </c>
      <c r="HG41" s="73">
        <f t="shared" si="240"/>
        <v>0</v>
      </c>
      <c r="HH41" s="73">
        <f t="shared" si="240"/>
        <v>0</v>
      </c>
      <c r="HI41" s="73">
        <f t="shared" si="240"/>
        <v>0</v>
      </c>
      <c r="HJ41" s="73">
        <f t="shared" si="240"/>
        <v>0</v>
      </c>
      <c r="HK41" s="73">
        <f t="shared" si="240"/>
        <v>0</v>
      </c>
      <c r="HL41" s="73">
        <f t="shared" si="240"/>
        <v>0</v>
      </c>
      <c r="HM41" s="73">
        <f t="shared" si="240"/>
        <v>0</v>
      </c>
      <c r="HN41" s="73">
        <f t="shared" si="240"/>
        <v>0</v>
      </c>
      <c r="HO41" s="73">
        <f t="shared" si="240"/>
        <v>0</v>
      </c>
      <c r="HP41" s="73">
        <f t="shared" si="240"/>
        <v>0</v>
      </c>
      <c r="HQ41" s="73">
        <f>SUM(HQ42,HQ43,HQ51)</f>
        <v>0</v>
      </c>
      <c r="HR41" s="73">
        <f>SUM(HR42,HR43,HR51)</f>
        <v>0</v>
      </c>
      <c r="HS41" s="73">
        <f>SUM(HS42,HS43,HS51)</f>
        <v>0</v>
      </c>
      <c r="HT41" s="73">
        <f>SUM(HT42,HT43,HT51)</f>
        <v>0</v>
      </c>
      <c r="HU41" s="73">
        <f t="shared" si="240"/>
        <v>0</v>
      </c>
      <c r="HV41" s="73">
        <f t="shared" si="240"/>
        <v>0</v>
      </c>
      <c r="HW41" s="73">
        <f t="shared" si="240"/>
        <v>0</v>
      </c>
      <c r="HX41" s="73">
        <f t="shared" si="240"/>
        <v>0</v>
      </c>
      <c r="HY41" s="73">
        <f t="shared" si="240"/>
        <v>0</v>
      </c>
      <c r="HZ41" s="73">
        <f t="shared" si="240"/>
        <v>0</v>
      </c>
      <c r="IA41" s="73">
        <f>SUM(IA42,IA43,IA51)</f>
        <v>0</v>
      </c>
      <c r="IB41" s="73">
        <f>SUM(IB42,IB43,IB51)</f>
        <v>0</v>
      </c>
      <c r="IC41" s="73">
        <f>SUM(IC42,IC43,IC51)</f>
        <v>0</v>
      </c>
      <c r="ID41" s="73">
        <f>SUM(ID42,ID43,ID51)</f>
        <v>0</v>
      </c>
      <c r="IE41" s="73">
        <f t="shared" si="240"/>
        <v>0</v>
      </c>
      <c r="IF41" s="73">
        <f t="shared" si="240"/>
        <v>0</v>
      </c>
      <c r="IG41" s="73">
        <f t="shared" si="240"/>
        <v>0</v>
      </c>
      <c r="IH41" s="73">
        <f t="shared" si="240"/>
        <v>0</v>
      </c>
      <c r="II41" s="73">
        <f t="shared" si="240"/>
        <v>0</v>
      </c>
      <c r="IJ41" s="73">
        <f t="shared" si="240"/>
        <v>0</v>
      </c>
      <c r="IK41" s="73">
        <f t="shared" si="240"/>
        <v>0</v>
      </c>
      <c r="IL41" s="73">
        <f t="shared" si="240"/>
        <v>0</v>
      </c>
      <c r="IM41" s="73">
        <f t="shared" si="240"/>
        <v>0</v>
      </c>
      <c r="IN41" s="73">
        <f t="shared" si="240"/>
        <v>0</v>
      </c>
      <c r="IO41" s="73">
        <f t="shared" si="240"/>
        <v>0</v>
      </c>
      <c r="IP41" s="73">
        <f>SUM(IP42,IP43,IP51)</f>
        <v>0</v>
      </c>
      <c r="IQ41" s="73">
        <f>SUM(IQ42,IQ43,IQ51)</f>
        <v>0</v>
      </c>
      <c r="IR41" s="73">
        <f>SUM(IR42,IR43,IR51)</f>
        <v>0</v>
      </c>
      <c r="IS41" s="73">
        <f>SUM(IS42,IS43,IS51)</f>
        <v>0</v>
      </c>
      <c r="IT41" s="73">
        <f t="shared" si="240"/>
        <v>0</v>
      </c>
      <c r="IU41" s="73">
        <f t="shared" si="240"/>
        <v>0</v>
      </c>
      <c r="IV41" s="73">
        <f t="shared" si="240"/>
        <v>0</v>
      </c>
    </row>
    <row r="42" spans="1:256" s="90" customFormat="1" x14ac:dyDescent="0.2">
      <c r="A42" s="61" t="s">
        <v>29</v>
      </c>
      <c r="B42" s="62"/>
      <c r="C42" s="63"/>
      <c r="D42" s="63"/>
      <c r="E42" s="63"/>
      <c r="F42" s="63"/>
      <c r="G42" s="63"/>
      <c r="H42" s="63"/>
      <c r="I42" s="63"/>
      <c r="J42" s="63"/>
      <c r="K42" s="63"/>
      <c r="L42" s="64">
        <f>SUM(C42:F42,H42:K42)</f>
        <v>0</v>
      </c>
      <c r="M42" s="62"/>
      <c r="N42" s="63"/>
      <c r="O42" s="63"/>
      <c r="P42" s="63"/>
      <c r="Q42" s="63"/>
      <c r="R42" s="63"/>
      <c r="S42" s="63"/>
      <c r="T42" s="63"/>
      <c r="U42" s="63"/>
      <c r="V42" s="63"/>
      <c r="W42" s="64">
        <f>SUM(N42:Q42,S42:V42)</f>
        <v>0</v>
      </c>
      <c r="X42" s="62"/>
      <c r="Y42" s="63"/>
      <c r="Z42" s="63"/>
      <c r="AA42" s="63"/>
      <c r="AB42" s="63"/>
      <c r="AC42" s="63"/>
      <c r="AD42" s="63"/>
      <c r="AE42" s="63"/>
      <c r="AF42" s="63"/>
      <c r="AG42" s="63"/>
      <c r="AH42" s="64">
        <f>SUM(Y42:AB42,AD42:AG42)</f>
        <v>0</v>
      </c>
      <c r="AI42" s="62"/>
      <c r="AJ42" s="63"/>
      <c r="AK42" s="63"/>
      <c r="AL42" s="63"/>
      <c r="AM42" s="63"/>
      <c r="AN42" s="63"/>
      <c r="AO42" s="63"/>
      <c r="AP42" s="63"/>
      <c r="AQ42" s="63"/>
      <c r="AR42" s="63"/>
      <c r="AS42" s="64">
        <f>SUM(AJ42:AM42,AO42:AR42)</f>
        <v>0</v>
      </c>
      <c r="AT42" s="65">
        <f>SUM(M42,AI42,X42)</f>
        <v>0</v>
      </c>
      <c r="AU42" s="65">
        <f t="shared" ref="AU42:BC42" si="241">SUM(N42,AJ42,Y42)</f>
        <v>0</v>
      </c>
      <c r="AV42" s="65">
        <f t="shared" si="241"/>
        <v>0</v>
      </c>
      <c r="AW42" s="65">
        <f t="shared" si="241"/>
        <v>0</v>
      </c>
      <c r="AX42" s="65">
        <f t="shared" si="241"/>
        <v>0</v>
      </c>
      <c r="AY42" s="65">
        <f t="shared" si="241"/>
        <v>0</v>
      </c>
      <c r="AZ42" s="65">
        <f t="shared" si="241"/>
        <v>0</v>
      </c>
      <c r="BA42" s="65">
        <f t="shared" si="241"/>
        <v>0</v>
      </c>
      <c r="BB42" s="65">
        <f t="shared" si="241"/>
        <v>0</v>
      </c>
      <c r="BC42" s="65">
        <f t="shared" si="241"/>
        <v>0</v>
      </c>
      <c r="BD42" s="64">
        <f>SUM(AU42:AX42,AZ42:BC42)</f>
        <v>0</v>
      </c>
      <c r="BE42" s="62"/>
      <c r="BF42" s="63"/>
      <c r="BG42" s="63"/>
      <c r="BH42" s="63"/>
      <c r="BI42" s="63"/>
      <c r="BJ42" s="63"/>
      <c r="BK42" s="63"/>
      <c r="BL42" s="63"/>
      <c r="BM42" s="63"/>
      <c r="BN42" s="63"/>
      <c r="BO42" s="64">
        <f>SUM(BF42:BI42,BK42:BN42)</f>
        <v>0</v>
      </c>
      <c r="BP42" s="62"/>
      <c r="BQ42" s="63"/>
      <c r="BR42" s="63"/>
      <c r="BS42" s="63"/>
      <c r="BT42" s="63"/>
      <c r="BU42" s="63"/>
      <c r="BV42" s="63"/>
      <c r="BW42" s="63"/>
      <c r="BX42" s="63"/>
      <c r="BY42" s="63"/>
      <c r="BZ42" s="64">
        <f>SUM(BQ42:BT42,BV42:BY42)</f>
        <v>0</v>
      </c>
      <c r="CA42" s="62"/>
      <c r="CB42" s="63"/>
      <c r="CC42" s="63"/>
      <c r="CD42" s="63"/>
      <c r="CE42" s="63"/>
      <c r="CF42" s="63"/>
      <c r="CG42" s="63"/>
      <c r="CH42" s="63"/>
      <c r="CI42" s="63"/>
      <c r="CJ42" s="63"/>
      <c r="CK42" s="64">
        <f>SUM(CB42:CE42,CG42:CJ42)</f>
        <v>0</v>
      </c>
      <c r="CL42" s="65">
        <f t="shared" ref="CL42:CU42" si="242">SUM(BE42,CA42,BP42)</f>
        <v>0</v>
      </c>
      <c r="CM42" s="65">
        <f t="shared" si="242"/>
        <v>0</v>
      </c>
      <c r="CN42" s="65">
        <f t="shared" si="242"/>
        <v>0</v>
      </c>
      <c r="CO42" s="65">
        <f t="shared" si="242"/>
        <v>0</v>
      </c>
      <c r="CP42" s="65">
        <f t="shared" si="242"/>
        <v>0</v>
      </c>
      <c r="CQ42" s="65">
        <f t="shared" si="242"/>
        <v>0</v>
      </c>
      <c r="CR42" s="65">
        <f t="shared" si="242"/>
        <v>0</v>
      </c>
      <c r="CS42" s="65">
        <f t="shared" si="242"/>
        <v>0</v>
      </c>
      <c r="CT42" s="65">
        <f t="shared" si="242"/>
        <v>0</v>
      </c>
      <c r="CU42" s="65">
        <f t="shared" si="242"/>
        <v>0</v>
      </c>
      <c r="CV42" s="64">
        <f>SUM(CM42:CP42,CR42:CU42)</f>
        <v>0</v>
      </c>
      <c r="CW42" s="62"/>
      <c r="CX42" s="63"/>
      <c r="CY42" s="63"/>
      <c r="CZ42" s="63"/>
      <c r="DA42" s="63"/>
      <c r="DB42" s="63"/>
      <c r="DC42" s="63"/>
      <c r="DD42" s="63"/>
      <c r="DE42" s="63"/>
      <c r="DF42" s="63"/>
      <c r="DG42" s="64">
        <f>SUM(CX42:DA42,DC42:DF42)</f>
        <v>0</v>
      </c>
      <c r="DH42" s="62"/>
      <c r="DI42" s="63"/>
      <c r="DJ42" s="63"/>
      <c r="DK42" s="63"/>
      <c r="DL42" s="63"/>
      <c r="DM42" s="63"/>
      <c r="DN42" s="63"/>
      <c r="DO42" s="63"/>
      <c r="DP42" s="63"/>
      <c r="DQ42" s="63"/>
      <c r="DR42" s="64">
        <f>SUM(DI42:DL42,DN42:DQ42)</f>
        <v>0</v>
      </c>
      <c r="DS42" s="62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5">
        <f t="shared" ref="ED42:EM42" si="243">SUM(CW42,DS42,DH42)</f>
        <v>0</v>
      </c>
      <c r="EE42" s="65">
        <f t="shared" si="243"/>
        <v>0</v>
      </c>
      <c r="EF42" s="65">
        <f t="shared" si="243"/>
        <v>0</v>
      </c>
      <c r="EG42" s="65">
        <f t="shared" si="243"/>
        <v>0</v>
      </c>
      <c r="EH42" s="65">
        <f t="shared" si="243"/>
        <v>0</v>
      </c>
      <c r="EI42" s="65">
        <f t="shared" si="243"/>
        <v>0</v>
      </c>
      <c r="EJ42" s="65">
        <f t="shared" si="243"/>
        <v>0</v>
      </c>
      <c r="EK42" s="65">
        <f t="shared" si="243"/>
        <v>0</v>
      </c>
      <c r="EL42" s="65">
        <f t="shared" si="243"/>
        <v>0</v>
      </c>
      <c r="EM42" s="65">
        <f t="shared" si="243"/>
        <v>0</v>
      </c>
      <c r="EN42" s="64">
        <f>SUM(EE42:EH42,EJ42:EM42)</f>
        <v>0</v>
      </c>
      <c r="EO42" s="62"/>
      <c r="EP42" s="63"/>
      <c r="EQ42" s="63"/>
      <c r="ER42" s="63"/>
      <c r="ES42" s="63"/>
      <c r="ET42" s="63"/>
      <c r="EU42" s="63"/>
      <c r="EV42" s="63"/>
      <c r="EW42" s="63"/>
      <c r="EX42" s="63"/>
      <c r="EY42" s="64">
        <f>SUM(EP42:ES42,EU42:EX42)</f>
        <v>0</v>
      </c>
      <c r="EZ42" s="62"/>
      <c r="FA42" s="63"/>
      <c r="FB42" s="63"/>
      <c r="FC42" s="63"/>
      <c r="FD42" s="63"/>
      <c r="FE42" s="63"/>
      <c r="FF42" s="63"/>
      <c r="FG42" s="63"/>
      <c r="FH42" s="63"/>
      <c r="FI42" s="63"/>
      <c r="FJ42" s="64">
        <f>SUM(FA42:FD42,FF42:FI42)</f>
        <v>0</v>
      </c>
      <c r="FK42" s="62"/>
      <c r="FL42" s="63"/>
      <c r="FM42" s="63"/>
      <c r="FN42" s="63"/>
      <c r="FO42" s="63"/>
      <c r="FP42" s="63"/>
      <c r="FQ42" s="63"/>
      <c r="FR42" s="63"/>
      <c r="FS42" s="63"/>
      <c r="FT42" s="63"/>
      <c r="FU42" s="64">
        <f>SUM(FL42:FO42,FQ42:FT42)</f>
        <v>0</v>
      </c>
      <c r="FV42" s="65">
        <f t="shared" ref="FV42:GE42" si="244">SUM(EO42,FK42,EZ42)</f>
        <v>0</v>
      </c>
      <c r="FW42" s="65">
        <f t="shared" si="244"/>
        <v>0</v>
      </c>
      <c r="FX42" s="65">
        <f t="shared" si="244"/>
        <v>0</v>
      </c>
      <c r="FY42" s="65">
        <f t="shared" si="244"/>
        <v>0</v>
      </c>
      <c r="FZ42" s="65">
        <f t="shared" si="244"/>
        <v>0</v>
      </c>
      <c r="GA42" s="65">
        <f t="shared" si="244"/>
        <v>0</v>
      </c>
      <c r="GB42" s="65">
        <f t="shared" si="244"/>
        <v>0</v>
      </c>
      <c r="GC42" s="65">
        <f t="shared" si="244"/>
        <v>0</v>
      </c>
      <c r="GD42" s="65">
        <f t="shared" si="244"/>
        <v>0</v>
      </c>
      <c r="GE42" s="65">
        <f t="shared" si="244"/>
        <v>0</v>
      </c>
      <c r="GF42" s="64">
        <f>SUM(FW42:FZ42,GB42:GE42)</f>
        <v>0</v>
      </c>
      <c r="GG42" s="66">
        <f>SUM(AT42,CL42,ED42,FV42)</f>
        <v>0</v>
      </c>
      <c r="GH42" s="66">
        <f t="shared" ref="GH42:GP42" si="245">SUM(AU42,CM42,EE42,FW42)</f>
        <v>0</v>
      </c>
      <c r="GI42" s="66">
        <f t="shared" si="245"/>
        <v>0</v>
      </c>
      <c r="GJ42" s="66">
        <f t="shared" si="245"/>
        <v>0</v>
      </c>
      <c r="GK42" s="66">
        <f t="shared" si="245"/>
        <v>0</v>
      </c>
      <c r="GL42" s="66">
        <f t="shared" si="245"/>
        <v>0</v>
      </c>
      <c r="GM42" s="66">
        <f t="shared" si="245"/>
        <v>0</v>
      </c>
      <c r="GN42" s="66">
        <f t="shared" si="245"/>
        <v>0</v>
      </c>
      <c r="GO42" s="66">
        <f t="shared" si="245"/>
        <v>0</v>
      </c>
      <c r="GP42" s="66">
        <f t="shared" si="245"/>
        <v>0</v>
      </c>
      <c r="GQ42" s="64">
        <f>SUM(GH42:GK42,GM42:GP42)</f>
        <v>0</v>
      </c>
      <c r="GR42" s="63"/>
      <c r="GS42" s="63"/>
      <c r="GT42" s="63"/>
      <c r="GU42" s="63"/>
      <c r="GV42" s="67">
        <f>SUM(GR42:GU42)</f>
        <v>0</v>
      </c>
      <c r="GW42" s="63"/>
      <c r="GX42" s="63"/>
      <c r="GY42" s="63"/>
      <c r="GZ42" s="63"/>
      <c r="HA42" s="67">
        <f>SUM(GW42:GZ42)</f>
        <v>0</v>
      </c>
      <c r="HB42" s="63"/>
      <c r="HC42" s="63"/>
      <c r="HD42" s="63"/>
      <c r="HE42" s="63"/>
      <c r="HF42" s="67">
        <f>SUM(HB42:HE42)</f>
        <v>0</v>
      </c>
      <c r="HG42" s="63"/>
      <c r="HH42" s="63"/>
      <c r="HI42" s="63"/>
      <c r="HJ42" s="63"/>
      <c r="HK42" s="67">
        <f>SUM(HG42:HJ42)</f>
        <v>0</v>
      </c>
      <c r="HL42" s="68">
        <f>SUM(GW42,HB42,HG42)</f>
        <v>0</v>
      </c>
      <c r="HM42" s="68">
        <f>SUM(GX42,HC42,HH42)</f>
        <v>0</v>
      </c>
      <c r="HN42" s="68">
        <f>SUM(GY42,HD42,HI42)</f>
        <v>0</v>
      </c>
      <c r="HO42" s="68">
        <f>SUM(GZ42,HE42,HJ42)</f>
        <v>0</v>
      </c>
      <c r="HP42" s="67">
        <f>SUM(HL42:HO42)</f>
        <v>0</v>
      </c>
      <c r="HQ42" s="63"/>
      <c r="HR42" s="63"/>
      <c r="HS42" s="63"/>
      <c r="HT42" s="63"/>
      <c r="HU42" s="67">
        <f>SUM(HQ42:HT42)</f>
        <v>0</v>
      </c>
      <c r="HV42" s="63"/>
      <c r="HW42" s="63"/>
      <c r="HX42" s="63"/>
      <c r="HY42" s="63"/>
      <c r="HZ42" s="67">
        <f>SUM(HV42:HY42)</f>
        <v>0</v>
      </c>
      <c r="IA42" s="63"/>
      <c r="IB42" s="63"/>
      <c r="IC42" s="63"/>
      <c r="ID42" s="63"/>
      <c r="IE42" s="67">
        <f>SUM(IA42:ID42)</f>
        <v>0</v>
      </c>
      <c r="IF42" s="68">
        <f>SUM(HQ42,HV42,IA42)</f>
        <v>0</v>
      </c>
      <c r="IG42" s="68">
        <f>SUM(HR42,HW42,IB42)</f>
        <v>0</v>
      </c>
      <c r="IH42" s="68">
        <f>SUM(HS42,HX42,IC42)</f>
        <v>0</v>
      </c>
      <c r="II42" s="68">
        <f>SUM(HT42,HY42,ID42)</f>
        <v>0</v>
      </c>
      <c r="IJ42" s="67">
        <f>SUM(IF42:II42)</f>
        <v>0</v>
      </c>
      <c r="IK42" s="63"/>
      <c r="IL42" s="63"/>
      <c r="IM42" s="63"/>
      <c r="IN42" s="63"/>
      <c r="IO42" s="67">
        <f>SUM(IK42:IN42)</f>
        <v>0</v>
      </c>
      <c r="IP42" s="63"/>
      <c r="IQ42" s="63"/>
      <c r="IR42" s="63"/>
      <c r="IS42" s="63"/>
      <c r="IT42" s="67">
        <f>SUM(IP42:IS42)</f>
        <v>0</v>
      </c>
      <c r="IU42" s="63"/>
      <c r="IV42" s="63"/>
    </row>
    <row r="43" spans="1:256" s="78" customFormat="1" x14ac:dyDescent="0.25">
      <c r="A43" s="79" t="s">
        <v>53</v>
      </c>
      <c r="B43" s="91"/>
      <c r="C43" s="81">
        <f t="shared" ref="C43:L43" si="246">SUM(C44:C50)</f>
        <v>0</v>
      </c>
      <c r="D43" s="81">
        <f t="shared" si="246"/>
        <v>0</v>
      </c>
      <c r="E43" s="81">
        <f t="shared" si="246"/>
        <v>0</v>
      </c>
      <c r="F43" s="81">
        <f t="shared" si="246"/>
        <v>0</v>
      </c>
      <c r="G43" s="81">
        <f t="shared" si="246"/>
        <v>0</v>
      </c>
      <c r="H43" s="81">
        <f t="shared" si="246"/>
        <v>0</v>
      </c>
      <c r="I43" s="81">
        <f t="shared" si="246"/>
        <v>0</v>
      </c>
      <c r="J43" s="81">
        <f t="shared" si="246"/>
        <v>0</v>
      </c>
      <c r="K43" s="81">
        <f t="shared" si="246"/>
        <v>0</v>
      </c>
      <c r="L43" s="82">
        <f t="shared" si="246"/>
        <v>0</v>
      </c>
      <c r="M43" s="91"/>
      <c r="N43" s="81">
        <f t="shared" ref="N43:V43" si="247">SUM(N44:N50)</f>
        <v>0</v>
      </c>
      <c r="O43" s="81">
        <f t="shared" si="247"/>
        <v>0</v>
      </c>
      <c r="P43" s="81">
        <f t="shared" si="247"/>
        <v>0</v>
      </c>
      <c r="Q43" s="81">
        <f t="shared" si="247"/>
        <v>0</v>
      </c>
      <c r="R43" s="81">
        <f t="shared" si="247"/>
        <v>0</v>
      </c>
      <c r="S43" s="81">
        <f t="shared" si="247"/>
        <v>0</v>
      </c>
      <c r="T43" s="81">
        <f t="shared" si="247"/>
        <v>0</v>
      </c>
      <c r="U43" s="81">
        <f t="shared" si="247"/>
        <v>0</v>
      </c>
      <c r="V43" s="81">
        <f t="shared" si="247"/>
        <v>0</v>
      </c>
      <c r="W43" s="82">
        <f>SUM(W44:W50)</f>
        <v>0</v>
      </c>
      <c r="X43" s="91"/>
      <c r="Y43" s="81">
        <f t="shared" ref="Y43:AG43" si="248">SUM(Y44:Y50)</f>
        <v>0</v>
      </c>
      <c r="Z43" s="81">
        <f t="shared" si="248"/>
        <v>0</v>
      </c>
      <c r="AA43" s="81">
        <f t="shared" si="248"/>
        <v>0</v>
      </c>
      <c r="AB43" s="81">
        <f t="shared" si="248"/>
        <v>0</v>
      </c>
      <c r="AC43" s="81">
        <f t="shared" si="248"/>
        <v>0</v>
      </c>
      <c r="AD43" s="81">
        <f t="shared" si="248"/>
        <v>0</v>
      </c>
      <c r="AE43" s="81">
        <f t="shared" si="248"/>
        <v>0</v>
      </c>
      <c r="AF43" s="81">
        <f t="shared" si="248"/>
        <v>0</v>
      </c>
      <c r="AG43" s="81">
        <f t="shared" si="248"/>
        <v>0</v>
      </c>
      <c r="AH43" s="82">
        <f>SUM(AH44:AH50)</f>
        <v>0</v>
      </c>
      <c r="AI43" s="91"/>
      <c r="AJ43" s="81">
        <f t="shared" ref="AJ43:AR43" si="249">SUM(AJ44:AJ50)</f>
        <v>0</v>
      </c>
      <c r="AK43" s="81">
        <f t="shared" si="249"/>
        <v>0</v>
      </c>
      <c r="AL43" s="81">
        <f t="shared" si="249"/>
        <v>0</v>
      </c>
      <c r="AM43" s="81">
        <f t="shared" si="249"/>
        <v>0</v>
      </c>
      <c r="AN43" s="81">
        <f t="shared" si="249"/>
        <v>0</v>
      </c>
      <c r="AO43" s="81">
        <f t="shared" si="249"/>
        <v>0</v>
      </c>
      <c r="AP43" s="81">
        <f t="shared" si="249"/>
        <v>0</v>
      </c>
      <c r="AQ43" s="81">
        <f t="shared" si="249"/>
        <v>0</v>
      </c>
      <c r="AR43" s="81">
        <f t="shared" si="249"/>
        <v>0</v>
      </c>
      <c r="AS43" s="82">
        <f>SUM(AS44:AS50)</f>
        <v>0</v>
      </c>
      <c r="AT43" s="91"/>
      <c r="AU43" s="81">
        <f t="shared" ref="AU43:BD43" si="250">SUM(AU44:AU50)</f>
        <v>0</v>
      </c>
      <c r="AV43" s="81">
        <f t="shared" si="250"/>
        <v>0</v>
      </c>
      <c r="AW43" s="81">
        <f t="shared" si="250"/>
        <v>0</v>
      </c>
      <c r="AX43" s="81">
        <f t="shared" si="250"/>
        <v>0</v>
      </c>
      <c r="AY43" s="81">
        <f t="shared" si="250"/>
        <v>0</v>
      </c>
      <c r="AZ43" s="81">
        <f t="shared" si="250"/>
        <v>0</v>
      </c>
      <c r="BA43" s="81">
        <f t="shared" si="250"/>
        <v>0</v>
      </c>
      <c r="BB43" s="81">
        <f t="shared" si="250"/>
        <v>0</v>
      </c>
      <c r="BC43" s="81">
        <f t="shared" si="250"/>
        <v>0</v>
      </c>
      <c r="BD43" s="82">
        <f t="shared" si="250"/>
        <v>0</v>
      </c>
      <c r="BE43" s="91"/>
      <c r="BF43" s="81">
        <f t="shared" ref="BF43:BN43" si="251">SUM(BF44:BF50)</f>
        <v>0</v>
      </c>
      <c r="BG43" s="81">
        <f t="shared" si="251"/>
        <v>0</v>
      </c>
      <c r="BH43" s="81">
        <f t="shared" si="251"/>
        <v>0</v>
      </c>
      <c r="BI43" s="81">
        <f t="shared" si="251"/>
        <v>0</v>
      </c>
      <c r="BJ43" s="81">
        <f t="shared" si="251"/>
        <v>0</v>
      </c>
      <c r="BK43" s="81">
        <f t="shared" si="251"/>
        <v>0</v>
      </c>
      <c r="BL43" s="81">
        <f t="shared" si="251"/>
        <v>0</v>
      </c>
      <c r="BM43" s="81">
        <f t="shared" si="251"/>
        <v>0</v>
      </c>
      <c r="BN43" s="81">
        <f t="shared" si="251"/>
        <v>0</v>
      </c>
      <c r="BO43" s="82">
        <f>SUM(BO44:BO50)</f>
        <v>0</v>
      </c>
      <c r="BP43" s="91"/>
      <c r="BQ43" s="81">
        <f t="shared" ref="BQ43:BY43" si="252">SUM(BQ44:BQ50)</f>
        <v>0</v>
      </c>
      <c r="BR43" s="81">
        <f t="shared" si="252"/>
        <v>0</v>
      </c>
      <c r="BS43" s="81">
        <f t="shared" si="252"/>
        <v>0</v>
      </c>
      <c r="BT43" s="81">
        <f t="shared" si="252"/>
        <v>0</v>
      </c>
      <c r="BU43" s="81">
        <f t="shared" si="252"/>
        <v>0</v>
      </c>
      <c r="BV43" s="81">
        <f t="shared" si="252"/>
        <v>0</v>
      </c>
      <c r="BW43" s="81">
        <f t="shared" si="252"/>
        <v>0</v>
      </c>
      <c r="BX43" s="81">
        <f t="shared" si="252"/>
        <v>0</v>
      </c>
      <c r="BY43" s="81">
        <f t="shared" si="252"/>
        <v>0</v>
      </c>
      <c r="BZ43" s="82">
        <f>SUM(BZ44:BZ50)</f>
        <v>0</v>
      </c>
      <c r="CA43" s="91"/>
      <c r="CB43" s="81">
        <f t="shared" ref="CB43:CJ43" si="253">SUM(CB44:CB50)</f>
        <v>0</v>
      </c>
      <c r="CC43" s="81">
        <f t="shared" si="253"/>
        <v>0</v>
      </c>
      <c r="CD43" s="81">
        <f t="shared" si="253"/>
        <v>0</v>
      </c>
      <c r="CE43" s="81">
        <f t="shared" si="253"/>
        <v>0</v>
      </c>
      <c r="CF43" s="81">
        <f t="shared" si="253"/>
        <v>0</v>
      </c>
      <c r="CG43" s="81">
        <f t="shared" si="253"/>
        <v>0</v>
      </c>
      <c r="CH43" s="81">
        <f t="shared" si="253"/>
        <v>0</v>
      </c>
      <c r="CI43" s="81">
        <f t="shared" si="253"/>
        <v>0</v>
      </c>
      <c r="CJ43" s="81">
        <f t="shared" si="253"/>
        <v>0</v>
      </c>
      <c r="CK43" s="82">
        <f>SUM(CK44:CK50)</f>
        <v>0</v>
      </c>
      <c r="CL43" s="91"/>
      <c r="CM43" s="81">
        <f t="shared" ref="CM43:CV43" si="254">SUM(CM44:CM50)</f>
        <v>0</v>
      </c>
      <c r="CN43" s="81">
        <f t="shared" si="254"/>
        <v>0</v>
      </c>
      <c r="CO43" s="81">
        <f t="shared" si="254"/>
        <v>0</v>
      </c>
      <c r="CP43" s="81">
        <f t="shared" si="254"/>
        <v>0</v>
      </c>
      <c r="CQ43" s="81">
        <f t="shared" si="254"/>
        <v>0</v>
      </c>
      <c r="CR43" s="81">
        <f t="shared" si="254"/>
        <v>0</v>
      </c>
      <c r="CS43" s="81">
        <f t="shared" si="254"/>
        <v>0</v>
      </c>
      <c r="CT43" s="81">
        <f t="shared" si="254"/>
        <v>0</v>
      </c>
      <c r="CU43" s="81">
        <f t="shared" si="254"/>
        <v>0</v>
      </c>
      <c r="CV43" s="82">
        <f t="shared" si="254"/>
        <v>0</v>
      </c>
      <c r="CW43" s="91"/>
      <c r="CX43" s="81">
        <f t="shared" ref="CX43:DF43" si="255">SUM(CX44:CX50)</f>
        <v>0</v>
      </c>
      <c r="CY43" s="81">
        <f t="shared" si="255"/>
        <v>0</v>
      </c>
      <c r="CZ43" s="81">
        <f t="shared" si="255"/>
        <v>0</v>
      </c>
      <c r="DA43" s="81">
        <f t="shared" si="255"/>
        <v>0</v>
      </c>
      <c r="DB43" s="81">
        <f t="shared" si="255"/>
        <v>0</v>
      </c>
      <c r="DC43" s="81">
        <f t="shared" si="255"/>
        <v>0</v>
      </c>
      <c r="DD43" s="81">
        <f t="shared" si="255"/>
        <v>0</v>
      </c>
      <c r="DE43" s="81">
        <f t="shared" si="255"/>
        <v>0</v>
      </c>
      <c r="DF43" s="81">
        <f t="shared" si="255"/>
        <v>0</v>
      </c>
      <c r="DG43" s="82">
        <f>SUM(DG44:DG50)</f>
        <v>0</v>
      </c>
      <c r="DH43" s="91"/>
      <c r="DI43" s="81">
        <f t="shared" ref="DI43:DQ43" si="256">SUM(DI44:DI50)</f>
        <v>0</v>
      </c>
      <c r="DJ43" s="81">
        <f t="shared" si="256"/>
        <v>0</v>
      </c>
      <c r="DK43" s="81">
        <f t="shared" si="256"/>
        <v>0</v>
      </c>
      <c r="DL43" s="81">
        <f t="shared" si="256"/>
        <v>0</v>
      </c>
      <c r="DM43" s="81">
        <f t="shared" si="256"/>
        <v>0</v>
      </c>
      <c r="DN43" s="81">
        <f t="shared" si="256"/>
        <v>0</v>
      </c>
      <c r="DO43" s="81">
        <f t="shared" si="256"/>
        <v>0</v>
      </c>
      <c r="DP43" s="81">
        <f t="shared" si="256"/>
        <v>0</v>
      </c>
      <c r="DQ43" s="81">
        <f t="shared" si="256"/>
        <v>0</v>
      </c>
      <c r="DR43" s="82">
        <f>SUM(DR44:DR50)</f>
        <v>0</v>
      </c>
      <c r="DS43" s="91"/>
      <c r="DT43" s="81">
        <f t="shared" ref="DT43:EB43" si="257">SUM(DT44:DT50)</f>
        <v>0</v>
      </c>
      <c r="DU43" s="81">
        <f t="shared" si="257"/>
        <v>0</v>
      </c>
      <c r="DV43" s="81">
        <f t="shared" si="257"/>
        <v>0</v>
      </c>
      <c r="DW43" s="81">
        <f t="shared" si="257"/>
        <v>0</v>
      </c>
      <c r="DX43" s="81">
        <f t="shared" si="257"/>
        <v>0</v>
      </c>
      <c r="DY43" s="81">
        <f t="shared" si="257"/>
        <v>0</v>
      </c>
      <c r="DZ43" s="81">
        <f t="shared" si="257"/>
        <v>0</v>
      </c>
      <c r="EA43" s="81">
        <f t="shared" si="257"/>
        <v>0</v>
      </c>
      <c r="EB43" s="81">
        <f t="shared" si="257"/>
        <v>0</v>
      </c>
      <c r="EC43" s="81">
        <f>SUM(EC44:EC50)</f>
        <v>0</v>
      </c>
      <c r="ED43" s="91"/>
      <c r="EE43" s="81">
        <f t="shared" ref="EE43:EN43" si="258">SUM(EE44:EE50)</f>
        <v>0</v>
      </c>
      <c r="EF43" s="81">
        <f t="shared" si="258"/>
        <v>0</v>
      </c>
      <c r="EG43" s="81">
        <f t="shared" si="258"/>
        <v>0</v>
      </c>
      <c r="EH43" s="81">
        <f t="shared" si="258"/>
        <v>0</v>
      </c>
      <c r="EI43" s="81">
        <f t="shared" si="258"/>
        <v>0</v>
      </c>
      <c r="EJ43" s="81">
        <f t="shared" si="258"/>
        <v>0</v>
      </c>
      <c r="EK43" s="81">
        <f t="shared" si="258"/>
        <v>0</v>
      </c>
      <c r="EL43" s="81">
        <f t="shared" si="258"/>
        <v>0</v>
      </c>
      <c r="EM43" s="81">
        <f t="shared" si="258"/>
        <v>0</v>
      </c>
      <c r="EN43" s="82">
        <f t="shared" si="258"/>
        <v>0</v>
      </c>
      <c r="EO43" s="91"/>
      <c r="EP43" s="81">
        <f t="shared" ref="EP43:EX43" si="259">SUM(EP44:EP50)</f>
        <v>0</v>
      </c>
      <c r="EQ43" s="81">
        <f t="shared" si="259"/>
        <v>0</v>
      </c>
      <c r="ER43" s="81">
        <f t="shared" si="259"/>
        <v>0</v>
      </c>
      <c r="ES43" s="81">
        <f t="shared" si="259"/>
        <v>0</v>
      </c>
      <c r="ET43" s="81">
        <f t="shared" si="259"/>
        <v>0</v>
      </c>
      <c r="EU43" s="81">
        <f t="shared" si="259"/>
        <v>0</v>
      </c>
      <c r="EV43" s="81">
        <f t="shared" si="259"/>
        <v>0</v>
      </c>
      <c r="EW43" s="81">
        <f t="shared" si="259"/>
        <v>0</v>
      </c>
      <c r="EX43" s="81">
        <f t="shared" si="259"/>
        <v>0</v>
      </c>
      <c r="EY43" s="82">
        <f>SUM(EY44:EY50)</f>
        <v>0</v>
      </c>
      <c r="EZ43" s="91"/>
      <c r="FA43" s="81">
        <f t="shared" ref="FA43:FI43" si="260">SUM(FA44:FA50)</f>
        <v>0</v>
      </c>
      <c r="FB43" s="81">
        <f t="shared" si="260"/>
        <v>0</v>
      </c>
      <c r="FC43" s="81">
        <f t="shared" si="260"/>
        <v>0</v>
      </c>
      <c r="FD43" s="81">
        <f t="shared" si="260"/>
        <v>0</v>
      </c>
      <c r="FE43" s="81">
        <f t="shared" si="260"/>
        <v>0</v>
      </c>
      <c r="FF43" s="81">
        <f t="shared" si="260"/>
        <v>0</v>
      </c>
      <c r="FG43" s="81">
        <f t="shared" si="260"/>
        <v>0</v>
      </c>
      <c r="FH43" s="81">
        <f t="shared" si="260"/>
        <v>0</v>
      </c>
      <c r="FI43" s="81">
        <f t="shared" si="260"/>
        <v>0</v>
      </c>
      <c r="FJ43" s="82">
        <f>SUM(FJ44:FJ50)</f>
        <v>0</v>
      </c>
      <c r="FK43" s="91"/>
      <c r="FL43" s="81">
        <f t="shared" ref="FL43:FT43" si="261">SUM(FL44:FL50)</f>
        <v>0</v>
      </c>
      <c r="FM43" s="81">
        <f t="shared" si="261"/>
        <v>0</v>
      </c>
      <c r="FN43" s="81">
        <f t="shared" si="261"/>
        <v>0</v>
      </c>
      <c r="FO43" s="81">
        <f t="shared" si="261"/>
        <v>0</v>
      </c>
      <c r="FP43" s="81">
        <f t="shared" si="261"/>
        <v>0</v>
      </c>
      <c r="FQ43" s="81">
        <f t="shared" si="261"/>
        <v>0</v>
      </c>
      <c r="FR43" s="81">
        <f t="shared" si="261"/>
        <v>0</v>
      </c>
      <c r="FS43" s="81">
        <f t="shared" si="261"/>
        <v>0</v>
      </c>
      <c r="FT43" s="81">
        <f t="shared" si="261"/>
        <v>0</v>
      </c>
      <c r="FU43" s="82">
        <f>SUM(FU44:FU50)</f>
        <v>0</v>
      </c>
      <c r="FV43" s="91"/>
      <c r="FW43" s="81">
        <f t="shared" ref="FW43:GF43" si="262">SUM(FW44:FW50)</f>
        <v>0</v>
      </c>
      <c r="FX43" s="81">
        <f t="shared" si="262"/>
        <v>0</v>
      </c>
      <c r="FY43" s="81">
        <f t="shared" si="262"/>
        <v>0</v>
      </c>
      <c r="FZ43" s="81">
        <f t="shared" si="262"/>
        <v>0</v>
      </c>
      <c r="GA43" s="81">
        <f t="shared" si="262"/>
        <v>0</v>
      </c>
      <c r="GB43" s="81">
        <f t="shared" si="262"/>
        <v>0</v>
      </c>
      <c r="GC43" s="81">
        <f t="shared" si="262"/>
        <v>0</v>
      </c>
      <c r="GD43" s="81">
        <f t="shared" si="262"/>
        <v>0</v>
      </c>
      <c r="GE43" s="81">
        <f t="shared" si="262"/>
        <v>0</v>
      </c>
      <c r="GF43" s="82">
        <f t="shared" si="262"/>
        <v>0</v>
      </c>
      <c r="GG43" s="91"/>
      <c r="GH43" s="81">
        <f t="shared" ref="GH43:IV43" si="263">SUM(GH44:GH50)</f>
        <v>0</v>
      </c>
      <c r="GI43" s="81">
        <f t="shared" si="263"/>
        <v>0</v>
      </c>
      <c r="GJ43" s="81">
        <f t="shared" si="263"/>
        <v>0</v>
      </c>
      <c r="GK43" s="81">
        <f t="shared" si="263"/>
        <v>0</v>
      </c>
      <c r="GL43" s="81">
        <f t="shared" si="263"/>
        <v>0</v>
      </c>
      <c r="GM43" s="81">
        <f t="shared" si="263"/>
        <v>0</v>
      </c>
      <c r="GN43" s="81">
        <f t="shared" si="263"/>
        <v>0</v>
      </c>
      <c r="GO43" s="81">
        <f t="shared" si="263"/>
        <v>0</v>
      </c>
      <c r="GP43" s="81">
        <f t="shared" si="263"/>
        <v>0</v>
      </c>
      <c r="GQ43" s="82">
        <f t="shared" si="263"/>
        <v>0</v>
      </c>
      <c r="GR43" s="81">
        <f t="shared" si="263"/>
        <v>0</v>
      </c>
      <c r="GS43" s="81">
        <f t="shared" si="263"/>
        <v>0</v>
      </c>
      <c r="GT43" s="81">
        <f t="shared" si="263"/>
        <v>0</v>
      </c>
      <c r="GU43" s="81">
        <f t="shared" si="263"/>
        <v>0</v>
      </c>
      <c r="GV43" s="81">
        <f t="shared" si="263"/>
        <v>0</v>
      </c>
      <c r="GW43" s="81">
        <f t="shared" si="263"/>
        <v>0</v>
      </c>
      <c r="GX43" s="81">
        <f t="shared" si="263"/>
        <v>0</v>
      </c>
      <c r="GY43" s="81">
        <f t="shared" si="263"/>
        <v>0</v>
      </c>
      <c r="GZ43" s="81">
        <f t="shared" si="263"/>
        <v>0</v>
      </c>
      <c r="HA43" s="81">
        <f t="shared" si="263"/>
        <v>0</v>
      </c>
      <c r="HB43" s="81">
        <f>SUM(HB44:HB50)</f>
        <v>0</v>
      </c>
      <c r="HC43" s="81">
        <f>SUM(HC44:HC50)</f>
        <v>0</v>
      </c>
      <c r="HD43" s="81">
        <f>SUM(HD44:HD50)</f>
        <v>0</v>
      </c>
      <c r="HE43" s="81">
        <f>SUM(HE44:HE50)</f>
        <v>0</v>
      </c>
      <c r="HF43" s="81">
        <f t="shared" si="263"/>
        <v>0</v>
      </c>
      <c r="HG43" s="81">
        <f t="shared" si="263"/>
        <v>0</v>
      </c>
      <c r="HH43" s="81">
        <f t="shared" si="263"/>
        <v>0</v>
      </c>
      <c r="HI43" s="81">
        <f t="shared" si="263"/>
        <v>0</v>
      </c>
      <c r="HJ43" s="81">
        <f t="shared" si="263"/>
        <v>0</v>
      </c>
      <c r="HK43" s="81">
        <f t="shared" si="263"/>
        <v>0</v>
      </c>
      <c r="HL43" s="81">
        <f t="shared" si="263"/>
        <v>0</v>
      </c>
      <c r="HM43" s="81">
        <f t="shared" si="263"/>
        <v>0</v>
      </c>
      <c r="HN43" s="81">
        <f t="shared" si="263"/>
        <v>0</v>
      </c>
      <c r="HO43" s="81">
        <f t="shared" si="263"/>
        <v>0</v>
      </c>
      <c r="HP43" s="81">
        <f t="shared" si="263"/>
        <v>0</v>
      </c>
      <c r="HQ43" s="81">
        <f>SUM(HQ44:HQ50)</f>
        <v>0</v>
      </c>
      <c r="HR43" s="81">
        <f>SUM(HR44:HR50)</f>
        <v>0</v>
      </c>
      <c r="HS43" s="81">
        <f>SUM(HS44:HS50)</f>
        <v>0</v>
      </c>
      <c r="HT43" s="81">
        <f>SUM(HT44:HT50)</f>
        <v>0</v>
      </c>
      <c r="HU43" s="81">
        <f t="shared" si="263"/>
        <v>0</v>
      </c>
      <c r="HV43" s="81">
        <f t="shared" si="263"/>
        <v>0</v>
      </c>
      <c r="HW43" s="81">
        <f t="shared" si="263"/>
        <v>0</v>
      </c>
      <c r="HX43" s="81">
        <f t="shared" si="263"/>
        <v>0</v>
      </c>
      <c r="HY43" s="81">
        <f t="shared" si="263"/>
        <v>0</v>
      </c>
      <c r="HZ43" s="81">
        <f t="shared" si="263"/>
        <v>0</v>
      </c>
      <c r="IA43" s="81">
        <f>SUM(IA44:IA50)</f>
        <v>0</v>
      </c>
      <c r="IB43" s="81">
        <f>SUM(IB44:IB50)</f>
        <v>0</v>
      </c>
      <c r="IC43" s="81">
        <f>SUM(IC44:IC50)</f>
        <v>0</v>
      </c>
      <c r="ID43" s="81">
        <f>SUM(ID44:ID50)</f>
        <v>0</v>
      </c>
      <c r="IE43" s="81">
        <f t="shared" si="263"/>
        <v>0</v>
      </c>
      <c r="IF43" s="81">
        <f t="shared" si="263"/>
        <v>0</v>
      </c>
      <c r="IG43" s="81">
        <f t="shared" si="263"/>
        <v>0</v>
      </c>
      <c r="IH43" s="81">
        <f t="shared" si="263"/>
        <v>0</v>
      </c>
      <c r="II43" s="81">
        <f t="shared" si="263"/>
        <v>0</v>
      </c>
      <c r="IJ43" s="81">
        <f t="shared" si="263"/>
        <v>0</v>
      </c>
      <c r="IK43" s="81">
        <f t="shared" si="263"/>
        <v>0</v>
      </c>
      <c r="IL43" s="81">
        <f t="shared" si="263"/>
        <v>0</v>
      </c>
      <c r="IM43" s="81">
        <f t="shared" si="263"/>
        <v>0</v>
      </c>
      <c r="IN43" s="81">
        <f t="shared" si="263"/>
        <v>0</v>
      </c>
      <c r="IO43" s="81">
        <f t="shared" si="263"/>
        <v>0</v>
      </c>
      <c r="IP43" s="81">
        <f>SUM(IP44:IP50)</f>
        <v>0</v>
      </c>
      <c r="IQ43" s="81">
        <f>SUM(IQ44:IQ50)</f>
        <v>0</v>
      </c>
      <c r="IR43" s="81">
        <f>SUM(IR44:IR50)</f>
        <v>0</v>
      </c>
      <c r="IS43" s="81">
        <f>SUM(IS44:IS50)</f>
        <v>0</v>
      </c>
      <c r="IT43" s="81">
        <f t="shared" si="263"/>
        <v>0</v>
      </c>
      <c r="IU43" s="81">
        <f t="shared" si="263"/>
        <v>0</v>
      </c>
      <c r="IV43" s="81">
        <f t="shared" si="263"/>
        <v>0</v>
      </c>
    </row>
    <row r="44" spans="1:256" s="92" customFormat="1" x14ac:dyDescent="0.25">
      <c r="A44" s="84" t="s">
        <v>54</v>
      </c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4">
        <f t="shared" ref="L44:L50" si="264">SUM(C44:F44,H44:K44)</f>
        <v>0</v>
      </c>
      <c r="M44" s="62"/>
      <c r="N44" s="63"/>
      <c r="O44" s="63"/>
      <c r="P44" s="63"/>
      <c r="Q44" s="63"/>
      <c r="R44" s="63"/>
      <c r="S44" s="63"/>
      <c r="T44" s="63"/>
      <c r="U44" s="63"/>
      <c r="V44" s="63"/>
      <c r="W44" s="64">
        <f t="shared" ref="W44:W50" si="265">SUM(N44:Q44,S44:V44)</f>
        <v>0</v>
      </c>
      <c r="X44" s="62"/>
      <c r="Y44" s="63"/>
      <c r="Z44" s="63"/>
      <c r="AA44" s="63"/>
      <c r="AB44" s="63"/>
      <c r="AC44" s="63"/>
      <c r="AD44" s="63"/>
      <c r="AE44" s="63"/>
      <c r="AF44" s="63"/>
      <c r="AG44" s="63"/>
      <c r="AH44" s="64">
        <f t="shared" ref="AH44:AH50" si="266">SUM(Y44:AB44,AD44:AG44)</f>
        <v>0</v>
      </c>
      <c r="AI44" s="62"/>
      <c r="AJ44" s="63"/>
      <c r="AK44" s="63"/>
      <c r="AL44" s="63"/>
      <c r="AM44" s="63"/>
      <c r="AN44" s="63"/>
      <c r="AO44" s="63"/>
      <c r="AP44" s="63"/>
      <c r="AQ44" s="63"/>
      <c r="AR44" s="63"/>
      <c r="AS44" s="64">
        <f t="shared" ref="AS44:AS50" si="267">SUM(AJ44:AM44,AO44:AR44)</f>
        <v>0</v>
      </c>
      <c r="AT44" s="65">
        <f t="shared" ref="AT44:BC50" si="268">SUM(M44,AI44,X44)</f>
        <v>0</v>
      </c>
      <c r="AU44" s="65">
        <f t="shared" si="268"/>
        <v>0</v>
      </c>
      <c r="AV44" s="65">
        <f t="shared" si="268"/>
        <v>0</v>
      </c>
      <c r="AW44" s="65">
        <f t="shared" si="268"/>
        <v>0</v>
      </c>
      <c r="AX44" s="65">
        <f t="shared" si="268"/>
        <v>0</v>
      </c>
      <c r="AY44" s="65">
        <f t="shared" si="268"/>
        <v>0</v>
      </c>
      <c r="AZ44" s="65">
        <f t="shared" si="268"/>
        <v>0</v>
      </c>
      <c r="BA44" s="65">
        <f t="shared" si="268"/>
        <v>0</v>
      </c>
      <c r="BB44" s="65">
        <f t="shared" si="268"/>
        <v>0</v>
      </c>
      <c r="BC44" s="65">
        <f t="shared" si="268"/>
        <v>0</v>
      </c>
      <c r="BD44" s="64">
        <f t="shared" ref="BD44:BD50" si="269">SUM(AU44:AX44,AZ44:BC44)</f>
        <v>0</v>
      </c>
      <c r="BE44" s="62"/>
      <c r="BF44" s="63"/>
      <c r="BG44" s="63"/>
      <c r="BH44" s="63"/>
      <c r="BI44" s="63"/>
      <c r="BJ44" s="63"/>
      <c r="BK44" s="63"/>
      <c r="BL44" s="63"/>
      <c r="BM44" s="63"/>
      <c r="BN44" s="63"/>
      <c r="BO44" s="64">
        <f t="shared" ref="BO44:BO50" si="270">SUM(BF44:BI44,BK44:BN44)</f>
        <v>0</v>
      </c>
      <c r="BP44" s="62"/>
      <c r="BQ44" s="63"/>
      <c r="BR44" s="63"/>
      <c r="BS44" s="63"/>
      <c r="BT44" s="63"/>
      <c r="BU44" s="63"/>
      <c r="BV44" s="63"/>
      <c r="BW44" s="63"/>
      <c r="BX44" s="63"/>
      <c r="BY44" s="63"/>
      <c r="BZ44" s="64">
        <f t="shared" ref="BZ44:BZ50" si="271">SUM(BQ44:BT44,BV44:BY44)</f>
        <v>0</v>
      </c>
      <c r="CA44" s="62"/>
      <c r="CB44" s="63"/>
      <c r="CC44" s="63"/>
      <c r="CD44" s="63"/>
      <c r="CE44" s="63"/>
      <c r="CF44" s="63"/>
      <c r="CG44" s="63"/>
      <c r="CH44" s="63"/>
      <c r="CI44" s="63"/>
      <c r="CJ44" s="63"/>
      <c r="CK44" s="64">
        <f t="shared" ref="CK44:CK50" si="272">SUM(CB44:CE44,CG44:CJ44)</f>
        <v>0</v>
      </c>
      <c r="CL44" s="65">
        <f t="shared" ref="CL44:CU50" si="273">SUM(BE44,CA44,BP44)</f>
        <v>0</v>
      </c>
      <c r="CM44" s="65">
        <f t="shared" si="273"/>
        <v>0</v>
      </c>
      <c r="CN44" s="65">
        <f t="shared" si="273"/>
        <v>0</v>
      </c>
      <c r="CO44" s="65">
        <f t="shared" si="273"/>
        <v>0</v>
      </c>
      <c r="CP44" s="65">
        <f t="shared" si="273"/>
        <v>0</v>
      </c>
      <c r="CQ44" s="65">
        <f t="shared" si="273"/>
        <v>0</v>
      </c>
      <c r="CR44" s="65">
        <f t="shared" si="273"/>
        <v>0</v>
      </c>
      <c r="CS44" s="65">
        <f t="shared" si="273"/>
        <v>0</v>
      </c>
      <c r="CT44" s="65">
        <f t="shared" si="273"/>
        <v>0</v>
      </c>
      <c r="CU44" s="65">
        <f t="shared" si="273"/>
        <v>0</v>
      </c>
      <c r="CV44" s="64">
        <f t="shared" ref="CV44:CV50" si="274">SUM(CM44:CP44,CR44:CU44)</f>
        <v>0</v>
      </c>
      <c r="CW44" s="62"/>
      <c r="CX44" s="63"/>
      <c r="CY44" s="63"/>
      <c r="CZ44" s="63"/>
      <c r="DA44" s="63"/>
      <c r="DB44" s="63"/>
      <c r="DC44" s="63"/>
      <c r="DD44" s="63"/>
      <c r="DE44" s="63"/>
      <c r="DF44" s="63"/>
      <c r="DG44" s="64">
        <f t="shared" ref="DG44:DG50" si="275">SUM(CX44:DA44,DC44:DF44)</f>
        <v>0</v>
      </c>
      <c r="DH44" s="62"/>
      <c r="DI44" s="63"/>
      <c r="DJ44" s="63"/>
      <c r="DK44" s="63"/>
      <c r="DL44" s="63"/>
      <c r="DM44" s="63"/>
      <c r="DN44" s="63"/>
      <c r="DO44" s="63"/>
      <c r="DP44" s="63"/>
      <c r="DQ44" s="63"/>
      <c r="DR44" s="64">
        <f t="shared" ref="DR44:DR50" si="276">SUM(DI44:DL44,DN44:DQ44)</f>
        <v>0</v>
      </c>
      <c r="DS44" s="62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5">
        <f t="shared" ref="ED44:EM50" si="277">SUM(CW44,DS44,DH44)</f>
        <v>0</v>
      </c>
      <c r="EE44" s="65">
        <f t="shared" si="277"/>
        <v>0</v>
      </c>
      <c r="EF44" s="65">
        <f t="shared" si="277"/>
        <v>0</v>
      </c>
      <c r="EG44" s="65">
        <f t="shared" si="277"/>
        <v>0</v>
      </c>
      <c r="EH44" s="65">
        <f t="shared" si="277"/>
        <v>0</v>
      </c>
      <c r="EI44" s="65">
        <f t="shared" si="277"/>
        <v>0</v>
      </c>
      <c r="EJ44" s="65">
        <f t="shared" si="277"/>
        <v>0</v>
      </c>
      <c r="EK44" s="65">
        <f t="shared" si="277"/>
        <v>0</v>
      </c>
      <c r="EL44" s="65">
        <f t="shared" si="277"/>
        <v>0</v>
      </c>
      <c r="EM44" s="65">
        <f t="shared" si="277"/>
        <v>0</v>
      </c>
      <c r="EN44" s="64">
        <f t="shared" ref="EN44:EN50" si="278">SUM(EE44:EH44,EJ44:EM44)</f>
        <v>0</v>
      </c>
      <c r="EO44" s="62"/>
      <c r="EP44" s="63"/>
      <c r="EQ44" s="63"/>
      <c r="ER44" s="63"/>
      <c r="ES44" s="63"/>
      <c r="ET44" s="63"/>
      <c r="EU44" s="63"/>
      <c r="EV44" s="63"/>
      <c r="EW44" s="63"/>
      <c r="EX44" s="63"/>
      <c r="EY44" s="64">
        <f t="shared" ref="EY44:EY50" si="279">SUM(EP44:ES44,EU44:EX44)</f>
        <v>0</v>
      </c>
      <c r="EZ44" s="62"/>
      <c r="FA44" s="63"/>
      <c r="FB44" s="63"/>
      <c r="FC44" s="63"/>
      <c r="FD44" s="63"/>
      <c r="FE44" s="63"/>
      <c r="FF44" s="63"/>
      <c r="FG44" s="63"/>
      <c r="FH44" s="63"/>
      <c r="FI44" s="63"/>
      <c r="FJ44" s="64">
        <f t="shared" ref="FJ44:FJ50" si="280">SUM(FA44:FD44,FF44:FI44)</f>
        <v>0</v>
      </c>
      <c r="FK44" s="62"/>
      <c r="FL44" s="63"/>
      <c r="FM44" s="63"/>
      <c r="FN44" s="63"/>
      <c r="FO44" s="63"/>
      <c r="FP44" s="63"/>
      <c r="FQ44" s="63"/>
      <c r="FR44" s="63"/>
      <c r="FS44" s="63"/>
      <c r="FT44" s="63"/>
      <c r="FU44" s="64">
        <f t="shared" ref="FU44:FU50" si="281">SUM(FL44:FO44,FQ44:FT44)</f>
        <v>0</v>
      </c>
      <c r="FV44" s="65">
        <f t="shared" ref="FV44:GE50" si="282">SUM(EO44,FK44,EZ44)</f>
        <v>0</v>
      </c>
      <c r="FW44" s="65">
        <f t="shared" si="282"/>
        <v>0</v>
      </c>
      <c r="FX44" s="65">
        <f t="shared" si="282"/>
        <v>0</v>
      </c>
      <c r="FY44" s="65">
        <f t="shared" si="282"/>
        <v>0</v>
      </c>
      <c r="FZ44" s="65">
        <f t="shared" si="282"/>
        <v>0</v>
      </c>
      <c r="GA44" s="65">
        <f t="shared" si="282"/>
        <v>0</v>
      </c>
      <c r="GB44" s="65">
        <f t="shared" si="282"/>
        <v>0</v>
      </c>
      <c r="GC44" s="65">
        <f t="shared" si="282"/>
        <v>0</v>
      </c>
      <c r="GD44" s="65">
        <f t="shared" si="282"/>
        <v>0</v>
      </c>
      <c r="GE44" s="65">
        <f t="shared" si="282"/>
        <v>0</v>
      </c>
      <c r="GF44" s="64">
        <f t="shared" ref="GF44:GF50" si="283">SUM(FW44:FZ44,GB44:GE44)</f>
        <v>0</v>
      </c>
      <c r="GG44" s="66">
        <f t="shared" ref="GG44:GP50" si="284">SUM(AT44,CL44,ED44,FV44)</f>
        <v>0</v>
      </c>
      <c r="GH44" s="66">
        <f t="shared" si="284"/>
        <v>0</v>
      </c>
      <c r="GI44" s="66">
        <f t="shared" si="284"/>
        <v>0</v>
      </c>
      <c r="GJ44" s="66">
        <f t="shared" si="284"/>
        <v>0</v>
      </c>
      <c r="GK44" s="66">
        <f t="shared" si="284"/>
        <v>0</v>
      </c>
      <c r="GL44" s="66">
        <f t="shared" si="284"/>
        <v>0</v>
      </c>
      <c r="GM44" s="66">
        <f t="shared" si="284"/>
        <v>0</v>
      </c>
      <c r="GN44" s="66">
        <f t="shared" si="284"/>
        <v>0</v>
      </c>
      <c r="GO44" s="66">
        <f t="shared" si="284"/>
        <v>0</v>
      </c>
      <c r="GP44" s="66">
        <f t="shared" si="284"/>
        <v>0</v>
      </c>
      <c r="GQ44" s="64">
        <f t="shared" ref="GQ44:GQ50" si="285">SUM(GH44:GK44,GM44:GP44)</f>
        <v>0</v>
      </c>
      <c r="GR44" s="63"/>
      <c r="GS44" s="63"/>
      <c r="GT44" s="63"/>
      <c r="GU44" s="63"/>
      <c r="GV44" s="67">
        <f t="shared" ref="GV44:GV50" si="286">SUM(GR44:GU44)</f>
        <v>0</v>
      </c>
      <c r="GW44" s="63"/>
      <c r="GX44" s="63"/>
      <c r="GY44" s="63"/>
      <c r="GZ44" s="63"/>
      <c r="HA44" s="67">
        <f t="shared" ref="HA44:HA50" si="287">SUM(GW44:GZ44)</f>
        <v>0</v>
      </c>
      <c r="HB44" s="63"/>
      <c r="HC44" s="63"/>
      <c r="HD44" s="63"/>
      <c r="HE44" s="63"/>
      <c r="HF44" s="67">
        <f t="shared" ref="HF44:HF50" si="288">SUM(HB44:HE44)</f>
        <v>0</v>
      </c>
      <c r="HG44" s="63"/>
      <c r="HH44" s="63"/>
      <c r="HI44" s="63"/>
      <c r="HJ44" s="63"/>
      <c r="HK44" s="67">
        <f t="shared" ref="HK44:HK50" si="289">SUM(HG44:HJ44)</f>
        <v>0</v>
      </c>
      <c r="HL44" s="68">
        <f t="shared" ref="HL44:HO50" si="290">SUM(GW44,HB44,HG44)</f>
        <v>0</v>
      </c>
      <c r="HM44" s="68">
        <f t="shared" si="290"/>
        <v>0</v>
      </c>
      <c r="HN44" s="68">
        <f t="shared" si="290"/>
        <v>0</v>
      </c>
      <c r="HO44" s="68">
        <f t="shared" si="290"/>
        <v>0</v>
      </c>
      <c r="HP44" s="67">
        <f t="shared" ref="HP44:HP50" si="291">SUM(HL44:HO44)</f>
        <v>0</v>
      </c>
      <c r="HQ44" s="63"/>
      <c r="HR44" s="63"/>
      <c r="HS44" s="63"/>
      <c r="HT44" s="63"/>
      <c r="HU44" s="67">
        <f t="shared" ref="HU44:HU50" si="292">SUM(HQ44:HT44)</f>
        <v>0</v>
      </c>
      <c r="HV44" s="63"/>
      <c r="HW44" s="63"/>
      <c r="HX44" s="63"/>
      <c r="HY44" s="63"/>
      <c r="HZ44" s="67">
        <f t="shared" ref="HZ44:HZ50" si="293">SUM(HV44:HY44)</f>
        <v>0</v>
      </c>
      <c r="IA44" s="63"/>
      <c r="IB44" s="63"/>
      <c r="IC44" s="63"/>
      <c r="ID44" s="63"/>
      <c r="IE44" s="67">
        <f t="shared" ref="IE44:IE50" si="294">SUM(IA44:ID44)</f>
        <v>0</v>
      </c>
      <c r="IF44" s="68">
        <f t="shared" ref="IF44:II50" si="295">SUM(HQ44,HV44,IA44)</f>
        <v>0</v>
      </c>
      <c r="IG44" s="68">
        <f t="shared" si="295"/>
        <v>0</v>
      </c>
      <c r="IH44" s="68">
        <f t="shared" si="295"/>
        <v>0</v>
      </c>
      <c r="II44" s="68">
        <f t="shared" si="295"/>
        <v>0</v>
      </c>
      <c r="IJ44" s="67">
        <f t="shared" ref="IJ44:IJ50" si="296">SUM(IF44:II44)</f>
        <v>0</v>
      </c>
      <c r="IK44" s="63"/>
      <c r="IL44" s="63"/>
      <c r="IM44" s="63"/>
      <c r="IN44" s="63"/>
      <c r="IO44" s="67">
        <f t="shared" ref="IO44:IO50" si="297">SUM(IK44:IN44)</f>
        <v>0</v>
      </c>
      <c r="IP44" s="63"/>
      <c r="IQ44" s="63"/>
      <c r="IR44" s="63"/>
      <c r="IS44" s="63"/>
      <c r="IT44" s="67">
        <f t="shared" ref="IT44:IT50" si="298">SUM(IP44:IS44)</f>
        <v>0</v>
      </c>
      <c r="IU44" s="63"/>
      <c r="IV44" s="63"/>
    </row>
    <row r="45" spans="1:256" s="92" customFormat="1" x14ac:dyDescent="0.25">
      <c r="A45" s="84" t="s">
        <v>55</v>
      </c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4">
        <f t="shared" si="264"/>
        <v>0</v>
      </c>
      <c r="M45" s="62"/>
      <c r="N45" s="63"/>
      <c r="O45" s="63"/>
      <c r="P45" s="63"/>
      <c r="Q45" s="63"/>
      <c r="R45" s="63"/>
      <c r="S45" s="63"/>
      <c r="T45" s="63"/>
      <c r="U45" s="63"/>
      <c r="V45" s="63"/>
      <c r="W45" s="64">
        <f t="shared" si="265"/>
        <v>0</v>
      </c>
      <c r="X45" s="62"/>
      <c r="Y45" s="63"/>
      <c r="Z45" s="63"/>
      <c r="AA45" s="63"/>
      <c r="AB45" s="63"/>
      <c r="AC45" s="63"/>
      <c r="AD45" s="63"/>
      <c r="AE45" s="63"/>
      <c r="AF45" s="63"/>
      <c r="AG45" s="63"/>
      <c r="AH45" s="64">
        <f t="shared" si="266"/>
        <v>0</v>
      </c>
      <c r="AI45" s="62"/>
      <c r="AJ45" s="63"/>
      <c r="AK45" s="63"/>
      <c r="AL45" s="63"/>
      <c r="AM45" s="63"/>
      <c r="AN45" s="63"/>
      <c r="AO45" s="63"/>
      <c r="AP45" s="63"/>
      <c r="AQ45" s="63"/>
      <c r="AR45" s="63"/>
      <c r="AS45" s="64">
        <f t="shared" si="267"/>
        <v>0</v>
      </c>
      <c r="AT45" s="65">
        <f t="shared" si="268"/>
        <v>0</v>
      </c>
      <c r="AU45" s="65">
        <f t="shared" si="268"/>
        <v>0</v>
      </c>
      <c r="AV45" s="65">
        <f t="shared" si="268"/>
        <v>0</v>
      </c>
      <c r="AW45" s="65">
        <f t="shared" si="268"/>
        <v>0</v>
      </c>
      <c r="AX45" s="65">
        <f t="shared" si="268"/>
        <v>0</v>
      </c>
      <c r="AY45" s="65">
        <f t="shared" si="268"/>
        <v>0</v>
      </c>
      <c r="AZ45" s="65">
        <f t="shared" si="268"/>
        <v>0</v>
      </c>
      <c r="BA45" s="65">
        <f t="shared" si="268"/>
        <v>0</v>
      </c>
      <c r="BB45" s="65">
        <f t="shared" si="268"/>
        <v>0</v>
      </c>
      <c r="BC45" s="65">
        <f t="shared" si="268"/>
        <v>0</v>
      </c>
      <c r="BD45" s="64">
        <f t="shared" si="269"/>
        <v>0</v>
      </c>
      <c r="BE45" s="62"/>
      <c r="BF45" s="63"/>
      <c r="BG45" s="63"/>
      <c r="BH45" s="63"/>
      <c r="BI45" s="63"/>
      <c r="BJ45" s="63"/>
      <c r="BK45" s="63"/>
      <c r="BL45" s="63"/>
      <c r="BM45" s="63"/>
      <c r="BN45" s="63"/>
      <c r="BO45" s="64">
        <f t="shared" si="270"/>
        <v>0</v>
      </c>
      <c r="BP45" s="62"/>
      <c r="BQ45" s="63"/>
      <c r="BR45" s="63"/>
      <c r="BS45" s="63"/>
      <c r="BT45" s="63"/>
      <c r="BU45" s="63"/>
      <c r="BV45" s="63"/>
      <c r="BW45" s="63"/>
      <c r="BX45" s="63"/>
      <c r="BY45" s="63"/>
      <c r="BZ45" s="64">
        <f t="shared" si="271"/>
        <v>0</v>
      </c>
      <c r="CA45" s="62"/>
      <c r="CB45" s="63"/>
      <c r="CC45" s="63"/>
      <c r="CD45" s="63"/>
      <c r="CE45" s="63"/>
      <c r="CF45" s="63"/>
      <c r="CG45" s="63"/>
      <c r="CH45" s="63"/>
      <c r="CI45" s="63"/>
      <c r="CJ45" s="63"/>
      <c r="CK45" s="64">
        <f t="shared" si="272"/>
        <v>0</v>
      </c>
      <c r="CL45" s="65">
        <f t="shared" si="273"/>
        <v>0</v>
      </c>
      <c r="CM45" s="65">
        <f t="shared" si="273"/>
        <v>0</v>
      </c>
      <c r="CN45" s="65">
        <f t="shared" si="273"/>
        <v>0</v>
      </c>
      <c r="CO45" s="65">
        <f t="shared" si="273"/>
        <v>0</v>
      </c>
      <c r="CP45" s="65">
        <f t="shared" si="273"/>
        <v>0</v>
      </c>
      <c r="CQ45" s="65">
        <f t="shared" si="273"/>
        <v>0</v>
      </c>
      <c r="CR45" s="65">
        <f t="shared" si="273"/>
        <v>0</v>
      </c>
      <c r="CS45" s="65">
        <f t="shared" si="273"/>
        <v>0</v>
      </c>
      <c r="CT45" s="65">
        <f t="shared" si="273"/>
        <v>0</v>
      </c>
      <c r="CU45" s="65">
        <f t="shared" si="273"/>
        <v>0</v>
      </c>
      <c r="CV45" s="64">
        <f t="shared" si="274"/>
        <v>0</v>
      </c>
      <c r="CW45" s="62"/>
      <c r="CX45" s="63"/>
      <c r="CY45" s="63"/>
      <c r="CZ45" s="63"/>
      <c r="DA45" s="63"/>
      <c r="DB45" s="63"/>
      <c r="DC45" s="63"/>
      <c r="DD45" s="63"/>
      <c r="DE45" s="63"/>
      <c r="DF45" s="63"/>
      <c r="DG45" s="64">
        <f t="shared" si="275"/>
        <v>0</v>
      </c>
      <c r="DH45" s="62"/>
      <c r="DI45" s="63"/>
      <c r="DJ45" s="63"/>
      <c r="DK45" s="63"/>
      <c r="DL45" s="63"/>
      <c r="DM45" s="63"/>
      <c r="DN45" s="63"/>
      <c r="DO45" s="63"/>
      <c r="DP45" s="63"/>
      <c r="DQ45" s="63"/>
      <c r="DR45" s="64">
        <f t="shared" si="276"/>
        <v>0</v>
      </c>
      <c r="DS45" s="62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5">
        <f t="shared" si="277"/>
        <v>0</v>
      </c>
      <c r="EE45" s="65">
        <f t="shared" si="277"/>
        <v>0</v>
      </c>
      <c r="EF45" s="65">
        <f t="shared" si="277"/>
        <v>0</v>
      </c>
      <c r="EG45" s="65">
        <f t="shared" si="277"/>
        <v>0</v>
      </c>
      <c r="EH45" s="65">
        <f t="shared" si="277"/>
        <v>0</v>
      </c>
      <c r="EI45" s="65">
        <f t="shared" si="277"/>
        <v>0</v>
      </c>
      <c r="EJ45" s="65">
        <f t="shared" si="277"/>
        <v>0</v>
      </c>
      <c r="EK45" s="65">
        <f t="shared" si="277"/>
        <v>0</v>
      </c>
      <c r="EL45" s="65">
        <f t="shared" si="277"/>
        <v>0</v>
      </c>
      <c r="EM45" s="65">
        <f t="shared" si="277"/>
        <v>0</v>
      </c>
      <c r="EN45" s="64">
        <f t="shared" si="278"/>
        <v>0</v>
      </c>
      <c r="EO45" s="62"/>
      <c r="EP45" s="63"/>
      <c r="EQ45" s="63"/>
      <c r="ER45" s="63"/>
      <c r="ES45" s="63"/>
      <c r="ET45" s="63"/>
      <c r="EU45" s="63"/>
      <c r="EV45" s="63"/>
      <c r="EW45" s="63"/>
      <c r="EX45" s="63"/>
      <c r="EY45" s="64">
        <f t="shared" si="279"/>
        <v>0</v>
      </c>
      <c r="EZ45" s="62"/>
      <c r="FA45" s="63"/>
      <c r="FB45" s="63"/>
      <c r="FC45" s="63"/>
      <c r="FD45" s="63"/>
      <c r="FE45" s="63"/>
      <c r="FF45" s="63"/>
      <c r="FG45" s="63"/>
      <c r="FH45" s="63"/>
      <c r="FI45" s="63"/>
      <c r="FJ45" s="64">
        <f t="shared" si="280"/>
        <v>0</v>
      </c>
      <c r="FK45" s="62"/>
      <c r="FL45" s="63"/>
      <c r="FM45" s="63"/>
      <c r="FN45" s="63"/>
      <c r="FO45" s="63"/>
      <c r="FP45" s="63"/>
      <c r="FQ45" s="63"/>
      <c r="FR45" s="63"/>
      <c r="FS45" s="63"/>
      <c r="FT45" s="63"/>
      <c r="FU45" s="64">
        <f t="shared" si="281"/>
        <v>0</v>
      </c>
      <c r="FV45" s="65">
        <f t="shared" si="282"/>
        <v>0</v>
      </c>
      <c r="FW45" s="65">
        <f t="shared" si="282"/>
        <v>0</v>
      </c>
      <c r="FX45" s="65">
        <f t="shared" si="282"/>
        <v>0</v>
      </c>
      <c r="FY45" s="65">
        <f t="shared" si="282"/>
        <v>0</v>
      </c>
      <c r="FZ45" s="65">
        <f t="shared" si="282"/>
        <v>0</v>
      </c>
      <c r="GA45" s="65">
        <f t="shared" si="282"/>
        <v>0</v>
      </c>
      <c r="GB45" s="65">
        <f t="shared" si="282"/>
        <v>0</v>
      </c>
      <c r="GC45" s="65">
        <f t="shared" si="282"/>
        <v>0</v>
      </c>
      <c r="GD45" s="65">
        <f t="shared" si="282"/>
        <v>0</v>
      </c>
      <c r="GE45" s="65">
        <f t="shared" si="282"/>
        <v>0</v>
      </c>
      <c r="GF45" s="64">
        <f t="shared" si="283"/>
        <v>0</v>
      </c>
      <c r="GG45" s="66">
        <f t="shared" si="284"/>
        <v>0</v>
      </c>
      <c r="GH45" s="66">
        <f t="shared" si="284"/>
        <v>0</v>
      </c>
      <c r="GI45" s="66">
        <f t="shared" si="284"/>
        <v>0</v>
      </c>
      <c r="GJ45" s="66">
        <f t="shared" si="284"/>
        <v>0</v>
      </c>
      <c r="GK45" s="66">
        <f t="shared" si="284"/>
        <v>0</v>
      </c>
      <c r="GL45" s="66">
        <f t="shared" si="284"/>
        <v>0</v>
      </c>
      <c r="GM45" s="66">
        <f t="shared" si="284"/>
        <v>0</v>
      </c>
      <c r="GN45" s="66">
        <f t="shared" si="284"/>
        <v>0</v>
      </c>
      <c r="GO45" s="66">
        <f t="shared" si="284"/>
        <v>0</v>
      </c>
      <c r="GP45" s="66">
        <f t="shared" si="284"/>
        <v>0</v>
      </c>
      <c r="GQ45" s="64">
        <f t="shared" si="285"/>
        <v>0</v>
      </c>
      <c r="GR45" s="63"/>
      <c r="GS45" s="63"/>
      <c r="GT45" s="63"/>
      <c r="GU45" s="63"/>
      <c r="GV45" s="67">
        <f t="shared" si="286"/>
        <v>0</v>
      </c>
      <c r="GW45" s="63"/>
      <c r="GX45" s="63"/>
      <c r="GY45" s="63"/>
      <c r="GZ45" s="63"/>
      <c r="HA45" s="67">
        <f t="shared" si="287"/>
        <v>0</v>
      </c>
      <c r="HB45" s="63"/>
      <c r="HC45" s="63"/>
      <c r="HD45" s="63"/>
      <c r="HE45" s="63"/>
      <c r="HF45" s="67">
        <f t="shared" si="288"/>
        <v>0</v>
      </c>
      <c r="HG45" s="63"/>
      <c r="HH45" s="63"/>
      <c r="HI45" s="63"/>
      <c r="HJ45" s="63"/>
      <c r="HK45" s="67">
        <f t="shared" si="289"/>
        <v>0</v>
      </c>
      <c r="HL45" s="68">
        <f t="shared" si="290"/>
        <v>0</v>
      </c>
      <c r="HM45" s="68">
        <f t="shared" si="290"/>
        <v>0</v>
      </c>
      <c r="HN45" s="68">
        <f t="shared" si="290"/>
        <v>0</v>
      </c>
      <c r="HO45" s="68">
        <f t="shared" si="290"/>
        <v>0</v>
      </c>
      <c r="HP45" s="67">
        <f t="shared" si="291"/>
        <v>0</v>
      </c>
      <c r="HQ45" s="63"/>
      <c r="HR45" s="63"/>
      <c r="HS45" s="63"/>
      <c r="HT45" s="63"/>
      <c r="HU45" s="67">
        <f t="shared" si="292"/>
        <v>0</v>
      </c>
      <c r="HV45" s="63"/>
      <c r="HW45" s="63"/>
      <c r="HX45" s="63"/>
      <c r="HY45" s="63"/>
      <c r="HZ45" s="67">
        <f t="shared" si="293"/>
        <v>0</v>
      </c>
      <c r="IA45" s="63"/>
      <c r="IB45" s="63"/>
      <c r="IC45" s="63"/>
      <c r="ID45" s="63"/>
      <c r="IE45" s="67">
        <f t="shared" si="294"/>
        <v>0</v>
      </c>
      <c r="IF45" s="68">
        <f t="shared" si="295"/>
        <v>0</v>
      </c>
      <c r="IG45" s="68">
        <f t="shared" si="295"/>
        <v>0</v>
      </c>
      <c r="IH45" s="68">
        <f t="shared" si="295"/>
        <v>0</v>
      </c>
      <c r="II45" s="68">
        <f t="shared" si="295"/>
        <v>0</v>
      </c>
      <c r="IJ45" s="67">
        <f t="shared" si="296"/>
        <v>0</v>
      </c>
      <c r="IK45" s="63"/>
      <c r="IL45" s="63"/>
      <c r="IM45" s="63"/>
      <c r="IN45" s="63"/>
      <c r="IO45" s="67">
        <f t="shared" si="297"/>
        <v>0</v>
      </c>
      <c r="IP45" s="63"/>
      <c r="IQ45" s="63"/>
      <c r="IR45" s="63"/>
      <c r="IS45" s="63"/>
      <c r="IT45" s="67">
        <f t="shared" si="298"/>
        <v>0</v>
      </c>
      <c r="IU45" s="63"/>
      <c r="IV45" s="63"/>
    </row>
    <row r="46" spans="1:256" s="92" customFormat="1" x14ac:dyDescent="0.25">
      <c r="A46" s="83" t="s">
        <v>56</v>
      </c>
      <c r="B46" s="62"/>
      <c r="C46" s="63"/>
      <c r="D46" s="63"/>
      <c r="E46" s="63"/>
      <c r="F46" s="63"/>
      <c r="G46" s="63"/>
      <c r="H46" s="63"/>
      <c r="I46" s="63"/>
      <c r="J46" s="63"/>
      <c r="K46" s="63"/>
      <c r="L46" s="64">
        <f t="shared" si="264"/>
        <v>0</v>
      </c>
      <c r="M46" s="62"/>
      <c r="N46" s="63"/>
      <c r="O46" s="63"/>
      <c r="P46" s="63"/>
      <c r="Q46" s="63"/>
      <c r="R46" s="63"/>
      <c r="S46" s="63"/>
      <c r="T46" s="63"/>
      <c r="U46" s="63"/>
      <c r="V46" s="63"/>
      <c r="W46" s="64">
        <f t="shared" si="265"/>
        <v>0</v>
      </c>
      <c r="X46" s="62"/>
      <c r="Y46" s="63"/>
      <c r="Z46" s="63"/>
      <c r="AA46" s="63"/>
      <c r="AB46" s="63"/>
      <c r="AC46" s="63"/>
      <c r="AD46" s="63"/>
      <c r="AE46" s="63"/>
      <c r="AF46" s="63"/>
      <c r="AG46" s="63"/>
      <c r="AH46" s="64">
        <f t="shared" si="266"/>
        <v>0</v>
      </c>
      <c r="AI46" s="62"/>
      <c r="AJ46" s="63"/>
      <c r="AK46" s="63"/>
      <c r="AL46" s="63"/>
      <c r="AM46" s="63"/>
      <c r="AN46" s="63"/>
      <c r="AO46" s="63"/>
      <c r="AP46" s="63"/>
      <c r="AQ46" s="63"/>
      <c r="AR46" s="63"/>
      <c r="AS46" s="64">
        <f t="shared" si="267"/>
        <v>0</v>
      </c>
      <c r="AT46" s="65">
        <f t="shared" si="268"/>
        <v>0</v>
      </c>
      <c r="AU46" s="65">
        <f t="shared" si="268"/>
        <v>0</v>
      </c>
      <c r="AV46" s="65">
        <f t="shared" si="268"/>
        <v>0</v>
      </c>
      <c r="AW46" s="65">
        <f t="shared" si="268"/>
        <v>0</v>
      </c>
      <c r="AX46" s="65">
        <f t="shared" si="268"/>
        <v>0</v>
      </c>
      <c r="AY46" s="65">
        <f t="shared" si="268"/>
        <v>0</v>
      </c>
      <c r="AZ46" s="65">
        <f t="shared" si="268"/>
        <v>0</v>
      </c>
      <c r="BA46" s="65">
        <f t="shared" si="268"/>
        <v>0</v>
      </c>
      <c r="BB46" s="65">
        <f t="shared" si="268"/>
        <v>0</v>
      </c>
      <c r="BC46" s="65">
        <f t="shared" si="268"/>
        <v>0</v>
      </c>
      <c r="BD46" s="64">
        <f t="shared" si="269"/>
        <v>0</v>
      </c>
      <c r="BE46" s="62"/>
      <c r="BF46" s="63"/>
      <c r="BG46" s="63"/>
      <c r="BH46" s="63"/>
      <c r="BI46" s="63"/>
      <c r="BJ46" s="63"/>
      <c r="BK46" s="63"/>
      <c r="BL46" s="63"/>
      <c r="BM46" s="63"/>
      <c r="BN46" s="63"/>
      <c r="BO46" s="64">
        <f t="shared" si="270"/>
        <v>0</v>
      </c>
      <c r="BP46" s="62"/>
      <c r="BQ46" s="63"/>
      <c r="BR46" s="63"/>
      <c r="BS46" s="63"/>
      <c r="BT46" s="63"/>
      <c r="BU46" s="63"/>
      <c r="BV46" s="63"/>
      <c r="BW46" s="63"/>
      <c r="BX46" s="63"/>
      <c r="BY46" s="63"/>
      <c r="BZ46" s="64">
        <f t="shared" si="271"/>
        <v>0</v>
      </c>
      <c r="CA46" s="62"/>
      <c r="CB46" s="63"/>
      <c r="CC46" s="63"/>
      <c r="CD46" s="63"/>
      <c r="CE46" s="63"/>
      <c r="CF46" s="63"/>
      <c r="CG46" s="63"/>
      <c r="CH46" s="63"/>
      <c r="CI46" s="63"/>
      <c r="CJ46" s="63"/>
      <c r="CK46" s="64">
        <f t="shared" si="272"/>
        <v>0</v>
      </c>
      <c r="CL46" s="65">
        <f t="shared" si="273"/>
        <v>0</v>
      </c>
      <c r="CM46" s="65">
        <f t="shared" si="273"/>
        <v>0</v>
      </c>
      <c r="CN46" s="65">
        <f t="shared" si="273"/>
        <v>0</v>
      </c>
      <c r="CO46" s="65">
        <f t="shared" si="273"/>
        <v>0</v>
      </c>
      <c r="CP46" s="65">
        <f t="shared" si="273"/>
        <v>0</v>
      </c>
      <c r="CQ46" s="65">
        <f t="shared" si="273"/>
        <v>0</v>
      </c>
      <c r="CR46" s="65">
        <f t="shared" si="273"/>
        <v>0</v>
      </c>
      <c r="CS46" s="65">
        <f t="shared" si="273"/>
        <v>0</v>
      </c>
      <c r="CT46" s="65">
        <f t="shared" si="273"/>
        <v>0</v>
      </c>
      <c r="CU46" s="65">
        <f t="shared" si="273"/>
        <v>0</v>
      </c>
      <c r="CV46" s="64">
        <f t="shared" si="274"/>
        <v>0</v>
      </c>
      <c r="CW46" s="62"/>
      <c r="CX46" s="63"/>
      <c r="CY46" s="63"/>
      <c r="CZ46" s="63"/>
      <c r="DA46" s="63"/>
      <c r="DB46" s="63"/>
      <c r="DC46" s="63"/>
      <c r="DD46" s="63"/>
      <c r="DE46" s="63"/>
      <c r="DF46" s="63"/>
      <c r="DG46" s="64">
        <f t="shared" si="275"/>
        <v>0</v>
      </c>
      <c r="DH46" s="62"/>
      <c r="DI46" s="63"/>
      <c r="DJ46" s="63"/>
      <c r="DK46" s="63"/>
      <c r="DL46" s="63"/>
      <c r="DM46" s="63"/>
      <c r="DN46" s="63"/>
      <c r="DO46" s="63"/>
      <c r="DP46" s="63"/>
      <c r="DQ46" s="63"/>
      <c r="DR46" s="64">
        <f t="shared" si="276"/>
        <v>0</v>
      </c>
      <c r="DS46" s="62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5">
        <f t="shared" si="277"/>
        <v>0</v>
      </c>
      <c r="EE46" s="65">
        <f t="shared" si="277"/>
        <v>0</v>
      </c>
      <c r="EF46" s="65">
        <f t="shared" si="277"/>
        <v>0</v>
      </c>
      <c r="EG46" s="65">
        <f t="shared" si="277"/>
        <v>0</v>
      </c>
      <c r="EH46" s="65">
        <f t="shared" si="277"/>
        <v>0</v>
      </c>
      <c r="EI46" s="65">
        <f t="shared" si="277"/>
        <v>0</v>
      </c>
      <c r="EJ46" s="65">
        <f t="shared" si="277"/>
        <v>0</v>
      </c>
      <c r="EK46" s="65">
        <f t="shared" si="277"/>
        <v>0</v>
      </c>
      <c r="EL46" s="65">
        <f t="shared" si="277"/>
        <v>0</v>
      </c>
      <c r="EM46" s="65">
        <f t="shared" si="277"/>
        <v>0</v>
      </c>
      <c r="EN46" s="64">
        <f t="shared" si="278"/>
        <v>0</v>
      </c>
      <c r="EO46" s="62"/>
      <c r="EP46" s="63"/>
      <c r="EQ46" s="63"/>
      <c r="ER46" s="63"/>
      <c r="ES46" s="63"/>
      <c r="ET46" s="63"/>
      <c r="EU46" s="63"/>
      <c r="EV46" s="63"/>
      <c r="EW46" s="63"/>
      <c r="EX46" s="63"/>
      <c r="EY46" s="64">
        <f t="shared" si="279"/>
        <v>0</v>
      </c>
      <c r="EZ46" s="62"/>
      <c r="FA46" s="63"/>
      <c r="FB46" s="63"/>
      <c r="FC46" s="63"/>
      <c r="FD46" s="63"/>
      <c r="FE46" s="63"/>
      <c r="FF46" s="63"/>
      <c r="FG46" s="63"/>
      <c r="FH46" s="63"/>
      <c r="FI46" s="63"/>
      <c r="FJ46" s="64">
        <f t="shared" si="280"/>
        <v>0</v>
      </c>
      <c r="FK46" s="62"/>
      <c r="FL46" s="63"/>
      <c r="FM46" s="63"/>
      <c r="FN46" s="63"/>
      <c r="FO46" s="63"/>
      <c r="FP46" s="63"/>
      <c r="FQ46" s="63"/>
      <c r="FR46" s="63"/>
      <c r="FS46" s="63"/>
      <c r="FT46" s="63"/>
      <c r="FU46" s="64">
        <f t="shared" si="281"/>
        <v>0</v>
      </c>
      <c r="FV46" s="65">
        <f t="shared" si="282"/>
        <v>0</v>
      </c>
      <c r="FW46" s="65">
        <f t="shared" si="282"/>
        <v>0</v>
      </c>
      <c r="FX46" s="65">
        <f t="shared" si="282"/>
        <v>0</v>
      </c>
      <c r="FY46" s="65">
        <f t="shared" si="282"/>
        <v>0</v>
      </c>
      <c r="FZ46" s="65">
        <f t="shared" si="282"/>
        <v>0</v>
      </c>
      <c r="GA46" s="65">
        <f t="shared" si="282"/>
        <v>0</v>
      </c>
      <c r="GB46" s="65">
        <f t="shared" si="282"/>
        <v>0</v>
      </c>
      <c r="GC46" s="65">
        <f t="shared" si="282"/>
        <v>0</v>
      </c>
      <c r="GD46" s="65">
        <f t="shared" si="282"/>
        <v>0</v>
      </c>
      <c r="GE46" s="65">
        <f t="shared" si="282"/>
        <v>0</v>
      </c>
      <c r="GF46" s="64">
        <f t="shared" si="283"/>
        <v>0</v>
      </c>
      <c r="GG46" s="66">
        <f t="shared" si="284"/>
        <v>0</v>
      </c>
      <c r="GH46" s="66">
        <f t="shared" si="284"/>
        <v>0</v>
      </c>
      <c r="GI46" s="66">
        <f t="shared" si="284"/>
        <v>0</v>
      </c>
      <c r="GJ46" s="66">
        <f t="shared" si="284"/>
        <v>0</v>
      </c>
      <c r="GK46" s="66">
        <f t="shared" si="284"/>
        <v>0</v>
      </c>
      <c r="GL46" s="66">
        <f t="shared" si="284"/>
        <v>0</v>
      </c>
      <c r="GM46" s="66">
        <f t="shared" si="284"/>
        <v>0</v>
      </c>
      <c r="GN46" s="66">
        <f t="shared" si="284"/>
        <v>0</v>
      </c>
      <c r="GO46" s="66">
        <f t="shared" si="284"/>
        <v>0</v>
      </c>
      <c r="GP46" s="66">
        <f t="shared" si="284"/>
        <v>0</v>
      </c>
      <c r="GQ46" s="64">
        <f t="shared" si="285"/>
        <v>0</v>
      </c>
      <c r="GR46" s="63"/>
      <c r="GS46" s="63"/>
      <c r="GT46" s="63"/>
      <c r="GU46" s="63"/>
      <c r="GV46" s="67">
        <f t="shared" si="286"/>
        <v>0</v>
      </c>
      <c r="GW46" s="63"/>
      <c r="GX46" s="63"/>
      <c r="GY46" s="63"/>
      <c r="GZ46" s="63"/>
      <c r="HA46" s="67">
        <f t="shared" si="287"/>
        <v>0</v>
      </c>
      <c r="HB46" s="63"/>
      <c r="HC46" s="63"/>
      <c r="HD46" s="63"/>
      <c r="HE46" s="63"/>
      <c r="HF46" s="67">
        <f t="shared" si="288"/>
        <v>0</v>
      </c>
      <c r="HG46" s="63"/>
      <c r="HH46" s="63"/>
      <c r="HI46" s="63"/>
      <c r="HJ46" s="63"/>
      <c r="HK46" s="67">
        <f t="shared" si="289"/>
        <v>0</v>
      </c>
      <c r="HL46" s="68">
        <f t="shared" si="290"/>
        <v>0</v>
      </c>
      <c r="HM46" s="68">
        <f t="shared" si="290"/>
        <v>0</v>
      </c>
      <c r="HN46" s="68">
        <f t="shared" si="290"/>
        <v>0</v>
      </c>
      <c r="HO46" s="68">
        <f t="shared" si="290"/>
        <v>0</v>
      </c>
      <c r="HP46" s="67">
        <f t="shared" si="291"/>
        <v>0</v>
      </c>
      <c r="HQ46" s="63"/>
      <c r="HR46" s="63"/>
      <c r="HS46" s="63"/>
      <c r="HT46" s="63"/>
      <c r="HU46" s="67">
        <f t="shared" si="292"/>
        <v>0</v>
      </c>
      <c r="HV46" s="63"/>
      <c r="HW46" s="63"/>
      <c r="HX46" s="63"/>
      <c r="HY46" s="63"/>
      <c r="HZ46" s="67">
        <f t="shared" si="293"/>
        <v>0</v>
      </c>
      <c r="IA46" s="63"/>
      <c r="IB46" s="63"/>
      <c r="IC46" s="63"/>
      <c r="ID46" s="63"/>
      <c r="IE46" s="67">
        <f t="shared" si="294"/>
        <v>0</v>
      </c>
      <c r="IF46" s="68">
        <f t="shared" si="295"/>
        <v>0</v>
      </c>
      <c r="IG46" s="68">
        <f t="shared" si="295"/>
        <v>0</v>
      </c>
      <c r="IH46" s="68">
        <f t="shared" si="295"/>
        <v>0</v>
      </c>
      <c r="II46" s="68">
        <f t="shared" si="295"/>
        <v>0</v>
      </c>
      <c r="IJ46" s="67">
        <f t="shared" si="296"/>
        <v>0</v>
      </c>
      <c r="IK46" s="63"/>
      <c r="IL46" s="63"/>
      <c r="IM46" s="63"/>
      <c r="IN46" s="63"/>
      <c r="IO46" s="67">
        <f t="shared" si="297"/>
        <v>0</v>
      </c>
      <c r="IP46" s="63"/>
      <c r="IQ46" s="63"/>
      <c r="IR46" s="63"/>
      <c r="IS46" s="63"/>
      <c r="IT46" s="67">
        <f t="shared" si="298"/>
        <v>0</v>
      </c>
      <c r="IU46" s="63"/>
      <c r="IV46" s="63"/>
    </row>
    <row r="47" spans="1:256" s="92" customFormat="1" x14ac:dyDescent="0.25">
      <c r="A47" s="83" t="s">
        <v>57</v>
      </c>
      <c r="B47" s="62"/>
      <c r="C47" s="63"/>
      <c r="D47" s="63"/>
      <c r="E47" s="63"/>
      <c r="F47" s="63"/>
      <c r="G47" s="63"/>
      <c r="H47" s="63"/>
      <c r="I47" s="63"/>
      <c r="J47" s="63"/>
      <c r="K47" s="63"/>
      <c r="L47" s="64">
        <f>SUM(C47:F47,H47:K47)</f>
        <v>0</v>
      </c>
      <c r="M47" s="62"/>
      <c r="N47" s="63"/>
      <c r="O47" s="63"/>
      <c r="P47" s="63"/>
      <c r="Q47" s="63"/>
      <c r="R47" s="63"/>
      <c r="S47" s="63"/>
      <c r="T47" s="63"/>
      <c r="U47" s="63"/>
      <c r="V47" s="63"/>
      <c r="W47" s="64">
        <f t="shared" si="265"/>
        <v>0</v>
      </c>
      <c r="X47" s="62"/>
      <c r="Y47" s="63"/>
      <c r="Z47" s="63"/>
      <c r="AA47" s="63"/>
      <c r="AB47" s="63"/>
      <c r="AC47" s="63"/>
      <c r="AD47" s="63"/>
      <c r="AE47" s="63"/>
      <c r="AF47" s="63"/>
      <c r="AG47" s="63"/>
      <c r="AH47" s="64">
        <f t="shared" si="266"/>
        <v>0</v>
      </c>
      <c r="AI47" s="62"/>
      <c r="AJ47" s="63"/>
      <c r="AK47" s="63"/>
      <c r="AL47" s="63"/>
      <c r="AM47" s="63"/>
      <c r="AN47" s="63"/>
      <c r="AO47" s="63"/>
      <c r="AP47" s="63"/>
      <c r="AQ47" s="63"/>
      <c r="AR47" s="63"/>
      <c r="AS47" s="64">
        <f t="shared" si="267"/>
        <v>0</v>
      </c>
      <c r="AT47" s="65">
        <f t="shared" si="268"/>
        <v>0</v>
      </c>
      <c r="AU47" s="65">
        <f t="shared" si="268"/>
        <v>0</v>
      </c>
      <c r="AV47" s="65">
        <f t="shared" si="268"/>
        <v>0</v>
      </c>
      <c r="AW47" s="65">
        <f t="shared" si="268"/>
        <v>0</v>
      </c>
      <c r="AX47" s="65">
        <f t="shared" si="268"/>
        <v>0</v>
      </c>
      <c r="AY47" s="65">
        <f t="shared" si="268"/>
        <v>0</v>
      </c>
      <c r="AZ47" s="65">
        <f t="shared" si="268"/>
        <v>0</v>
      </c>
      <c r="BA47" s="65">
        <f t="shared" si="268"/>
        <v>0</v>
      </c>
      <c r="BB47" s="65">
        <f t="shared" si="268"/>
        <v>0</v>
      </c>
      <c r="BC47" s="65">
        <f t="shared" si="268"/>
        <v>0</v>
      </c>
      <c r="BD47" s="64">
        <f t="shared" si="269"/>
        <v>0</v>
      </c>
      <c r="BE47" s="62"/>
      <c r="BF47" s="63"/>
      <c r="BG47" s="63"/>
      <c r="BH47" s="63"/>
      <c r="BI47" s="63"/>
      <c r="BJ47" s="63"/>
      <c r="BK47" s="63"/>
      <c r="BL47" s="63"/>
      <c r="BM47" s="63"/>
      <c r="BN47" s="63"/>
      <c r="BO47" s="64">
        <f t="shared" si="270"/>
        <v>0</v>
      </c>
      <c r="BP47" s="62"/>
      <c r="BQ47" s="63"/>
      <c r="BR47" s="63"/>
      <c r="BS47" s="63"/>
      <c r="BT47" s="63"/>
      <c r="BU47" s="63"/>
      <c r="BV47" s="63"/>
      <c r="BW47" s="63"/>
      <c r="BX47" s="63"/>
      <c r="BY47" s="63"/>
      <c r="BZ47" s="64">
        <f t="shared" si="271"/>
        <v>0</v>
      </c>
      <c r="CA47" s="62"/>
      <c r="CB47" s="63"/>
      <c r="CC47" s="63"/>
      <c r="CD47" s="63"/>
      <c r="CE47" s="63"/>
      <c r="CF47" s="63"/>
      <c r="CG47" s="63"/>
      <c r="CH47" s="63"/>
      <c r="CI47" s="63"/>
      <c r="CJ47" s="63"/>
      <c r="CK47" s="64">
        <f t="shared" si="272"/>
        <v>0</v>
      </c>
      <c r="CL47" s="65">
        <f t="shared" si="273"/>
        <v>0</v>
      </c>
      <c r="CM47" s="65">
        <f t="shared" si="273"/>
        <v>0</v>
      </c>
      <c r="CN47" s="65">
        <f t="shared" si="273"/>
        <v>0</v>
      </c>
      <c r="CO47" s="65">
        <f t="shared" si="273"/>
        <v>0</v>
      </c>
      <c r="CP47" s="65">
        <f t="shared" si="273"/>
        <v>0</v>
      </c>
      <c r="CQ47" s="65">
        <f t="shared" si="273"/>
        <v>0</v>
      </c>
      <c r="CR47" s="65">
        <f t="shared" si="273"/>
        <v>0</v>
      </c>
      <c r="CS47" s="65">
        <f t="shared" si="273"/>
        <v>0</v>
      </c>
      <c r="CT47" s="65">
        <f t="shared" si="273"/>
        <v>0</v>
      </c>
      <c r="CU47" s="65">
        <f t="shared" si="273"/>
        <v>0</v>
      </c>
      <c r="CV47" s="64">
        <f t="shared" si="274"/>
        <v>0</v>
      </c>
      <c r="CW47" s="62"/>
      <c r="CX47" s="63"/>
      <c r="CY47" s="63"/>
      <c r="CZ47" s="63"/>
      <c r="DA47" s="63"/>
      <c r="DB47" s="63"/>
      <c r="DC47" s="63"/>
      <c r="DD47" s="63"/>
      <c r="DE47" s="63"/>
      <c r="DF47" s="63"/>
      <c r="DG47" s="64">
        <f t="shared" si="275"/>
        <v>0</v>
      </c>
      <c r="DH47" s="62"/>
      <c r="DI47" s="63"/>
      <c r="DJ47" s="63"/>
      <c r="DK47" s="63"/>
      <c r="DL47" s="63"/>
      <c r="DM47" s="63"/>
      <c r="DN47" s="63"/>
      <c r="DO47" s="63"/>
      <c r="DP47" s="63"/>
      <c r="DQ47" s="63"/>
      <c r="DR47" s="64">
        <f t="shared" si="276"/>
        <v>0</v>
      </c>
      <c r="DS47" s="62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5">
        <f t="shared" si="277"/>
        <v>0</v>
      </c>
      <c r="EE47" s="65">
        <f t="shared" si="277"/>
        <v>0</v>
      </c>
      <c r="EF47" s="65">
        <f t="shared" si="277"/>
        <v>0</v>
      </c>
      <c r="EG47" s="65">
        <f t="shared" si="277"/>
        <v>0</v>
      </c>
      <c r="EH47" s="65">
        <f t="shared" si="277"/>
        <v>0</v>
      </c>
      <c r="EI47" s="65">
        <f t="shared" si="277"/>
        <v>0</v>
      </c>
      <c r="EJ47" s="65">
        <f t="shared" si="277"/>
        <v>0</v>
      </c>
      <c r="EK47" s="65">
        <f t="shared" si="277"/>
        <v>0</v>
      </c>
      <c r="EL47" s="65">
        <f t="shared" si="277"/>
        <v>0</v>
      </c>
      <c r="EM47" s="65">
        <f t="shared" si="277"/>
        <v>0</v>
      </c>
      <c r="EN47" s="64">
        <f t="shared" si="278"/>
        <v>0</v>
      </c>
      <c r="EO47" s="62"/>
      <c r="EP47" s="63"/>
      <c r="EQ47" s="63"/>
      <c r="ER47" s="63"/>
      <c r="ES47" s="63"/>
      <c r="ET47" s="63"/>
      <c r="EU47" s="63"/>
      <c r="EV47" s="63"/>
      <c r="EW47" s="63"/>
      <c r="EX47" s="63"/>
      <c r="EY47" s="64">
        <f t="shared" si="279"/>
        <v>0</v>
      </c>
      <c r="EZ47" s="62"/>
      <c r="FA47" s="63"/>
      <c r="FB47" s="63"/>
      <c r="FC47" s="63"/>
      <c r="FD47" s="63"/>
      <c r="FE47" s="63"/>
      <c r="FF47" s="63"/>
      <c r="FG47" s="63"/>
      <c r="FH47" s="63"/>
      <c r="FI47" s="63"/>
      <c r="FJ47" s="64">
        <f t="shared" si="280"/>
        <v>0</v>
      </c>
      <c r="FK47" s="62"/>
      <c r="FL47" s="63"/>
      <c r="FM47" s="63"/>
      <c r="FN47" s="63"/>
      <c r="FO47" s="63"/>
      <c r="FP47" s="63"/>
      <c r="FQ47" s="63"/>
      <c r="FR47" s="63"/>
      <c r="FS47" s="63"/>
      <c r="FT47" s="63"/>
      <c r="FU47" s="64">
        <f t="shared" si="281"/>
        <v>0</v>
      </c>
      <c r="FV47" s="65">
        <f t="shared" si="282"/>
        <v>0</v>
      </c>
      <c r="FW47" s="65">
        <f t="shared" si="282"/>
        <v>0</v>
      </c>
      <c r="FX47" s="65">
        <f t="shared" si="282"/>
        <v>0</v>
      </c>
      <c r="FY47" s="65">
        <f t="shared" si="282"/>
        <v>0</v>
      </c>
      <c r="FZ47" s="65">
        <f t="shared" si="282"/>
        <v>0</v>
      </c>
      <c r="GA47" s="65">
        <f t="shared" si="282"/>
        <v>0</v>
      </c>
      <c r="GB47" s="65">
        <f t="shared" si="282"/>
        <v>0</v>
      </c>
      <c r="GC47" s="65">
        <f t="shared" si="282"/>
        <v>0</v>
      </c>
      <c r="GD47" s="65">
        <f t="shared" si="282"/>
        <v>0</v>
      </c>
      <c r="GE47" s="65">
        <f t="shared" si="282"/>
        <v>0</v>
      </c>
      <c r="GF47" s="64">
        <f t="shared" si="283"/>
        <v>0</v>
      </c>
      <c r="GG47" s="66">
        <f t="shared" si="284"/>
        <v>0</v>
      </c>
      <c r="GH47" s="66">
        <f t="shared" si="284"/>
        <v>0</v>
      </c>
      <c r="GI47" s="66">
        <f t="shared" si="284"/>
        <v>0</v>
      </c>
      <c r="GJ47" s="66">
        <f t="shared" si="284"/>
        <v>0</v>
      </c>
      <c r="GK47" s="66">
        <f t="shared" si="284"/>
        <v>0</v>
      </c>
      <c r="GL47" s="66">
        <f t="shared" si="284"/>
        <v>0</v>
      </c>
      <c r="GM47" s="66">
        <f t="shared" si="284"/>
        <v>0</v>
      </c>
      <c r="GN47" s="66">
        <f t="shared" si="284"/>
        <v>0</v>
      </c>
      <c r="GO47" s="66">
        <f t="shared" si="284"/>
        <v>0</v>
      </c>
      <c r="GP47" s="66">
        <f t="shared" si="284"/>
        <v>0</v>
      </c>
      <c r="GQ47" s="64">
        <f t="shared" si="285"/>
        <v>0</v>
      </c>
      <c r="GR47" s="63"/>
      <c r="GS47" s="63"/>
      <c r="GT47" s="63"/>
      <c r="GU47" s="63"/>
      <c r="GV47" s="67">
        <f t="shared" si="286"/>
        <v>0</v>
      </c>
      <c r="GW47" s="63"/>
      <c r="GX47" s="63"/>
      <c r="GY47" s="63"/>
      <c r="GZ47" s="63"/>
      <c r="HA47" s="67">
        <f t="shared" si="287"/>
        <v>0</v>
      </c>
      <c r="HB47" s="63"/>
      <c r="HC47" s="63"/>
      <c r="HD47" s="63"/>
      <c r="HE47" s="63"/>
      <c r="HF47" s="67">
        <f t="shared" si="288"/>
        <v>0</v>
      </c>
      <c r="HG47" s="63"/>
      <c r="HH47" s="63"/>
      <c r="HI47" s="63"/>
      <c r="HJ47" s="63"/>
      <c r="HK47" s="67">
        <f t="shared" si="289"/>
        <v>0</v>
      </c>
      <c r="HL47" s="68">
        <f t="shared" si="290"/>
        <v>0</v>
      </c>
      <c r="HM47" s="68">
        <f t="shared" si="290"/>
        <v>0</v>
      </c>
      <c r="HN47" s="68">
        <f t="shared" si="290"/>
        <v>0</v>
      </c>
      <c r="HO47" s="68">
        <f t="shared" si="290"/>
        <v>0</v>
      </c>
      <c r="HP47" s="67">
        <f t="shared" si="291"/>
        <v>0</v>
      </c>
      <c r="HQ47" s="63"/>
      <c r="HR47" s="63"/>
      <c r="HS47" s="63"/>
      <c r="HT47" s="63"/>
      <c r="HU47" s="67">
        <f t="shared" si="292"/>
        <v>0</v>
      </c>
      <c r="HV47" s="63"/>
      <c r="HW47" s="63"/>
      <c r="HX47" s="63"/>
      <c r="HY47" s="63"/>
      <c r="HZ47" s="67">
        <f t="shared" si="293"/>
        <v>0</v>
      </c>
      <c r="IA47" s="63"/>
      <c r="IB47" s="63"/>
      <c r="IC47" s="63"/>
      <c r="ID47" s="63"/>
      <c r="IE47" s="67">
        <f t="shared" si="294"/>
        <v>0</v>
      </c>
      <c r="IF47" s="68">
        <f t="shared" si="295"/>
        <v>0</v>
      </c>
      <c r="IG47" s="68">
        <f t="shared" si="295"/>
        <v>0</v>
      </c>
      <c r="IH47" s="68">
        <f t="shared" si="295"/>
        <v>0</v>
      </c>
      <c r="II47" s="68">
        <f t="shared" si="295"/>
        <v>0</v>
      </c>
      <c r="IJ47" s="67">
        <f t="shared" si="296"/>
        <v>0</v>
      </c>
      <c r="IK47" s="63"/>
      <c r="IL47" s="63"/>
      <c r="IM47" s="63"/>
      <c r="IN47" s="63"/>
      <c r="IO47" s="67">
        <f t="shared" si="297"/>
        <v>0</v>
      </c>
      <c r="IP47" s="63"/>
      <c r="IQ47" s="63"/>
      <c r="IR47" s="63"/>
      <c r="IS47" s="63"/>
      <c r="IT47" s="67">
        <f t="shared" si="298"/>
        <v>0</v>
      </c>
      <c r="IU47" s="63"/>
      <c r="IV47" s="63"/>
    </row>
    <row r="48" spans="1:256" s="92" customFormat="1" x14ac:dyDescent="0.25">
      <c r="A48" s="84" t="s">
        <v>58</v>
      </c>
      <c r="B48" s="62"/>
      <c r="C48" s="63"/>
      <c r="D48" s="63"/>
      <c r="E48" s="63"/>
      <c r="F48" s="63"/>
      <c r="G48" s="63"/>
      <c r="H48" s="63"/>
      <c r="I48" s="63"/>
      <c r="J48" s="63"/>
      <c r="K48" s="63"/>
      <c r="L48" s="64">
        <f>SUM(C48:F48,H48:K48)</f>
        <v>0</v>
      </c>
      <c r="M48" s="62"/>
      <c r="N48" s="63"/>
      <c r="O48" s="63"/>
      <c r="P48" s="63"/>
      <c r="Q48" s="63"/>
      <c r="R48" s="63"/>
      <c r="S48" s="63"/>
      <c r="T48" s="63"/>
      <c r="U48" s="63"/>
      <c r="V48" s="63"/>
      <c r="W48" s="64">
        <f t="shared" si="265"/>
        <v>0</v>
      </c>
      <c r="X48" s="62"/>
      <c r="Y48" s="63"/>
      <c r="Z48" s="63"/>
      <c r="AA48" s="63"/>
      <c r="AB48" s="63"/>
      <c r="AC48" s="63"/>
      <c r="AD48" s="63"/>
      <c r="AE48" s="63"/>
      <c r="AF48" s="63"/>
      <c r="AG48" s="63"/>
      <c r="AH48" s="64">
        <f t="shared" si="266"/>
        <v>0</v>
      </c>
      <c r="AI48" s="62"/>
      <c r="AJ48" s="63"/>
      <c r="AK48" s="63"/>
      <c r="AL48" s="63"/>
      <c r="AM48" s="63"/>
      <c r="AN48" s="63"/>
      <c r="AO48" s="63"/>
      <c r="AP48" s="63"/>
      <c r="AQ48" s="63"/>
      <c r="AR48" s="63"/>
      <c r="AS48" s="64">
        <f t="shared" si="267"/>
        <v>0</v>
      </c>
      <c r="AT48" s="65">
        <f t="shared" si="268"/>
        <v>0</v>
      </c>
      <c r="AU48" s="65">
        <f t="shared" si="268"/>
        <v>0</v>
      </c>
      <c r="AV48" s="65">
        <f t="shared" si="268"/>
        <v>0</v>
      </c>
      <c r="AW48" s="65">
        <f t="shared" si="268"/>
        <v>0</v>
      </c>
      <c r="AX48" s="65">
        <f t="shared" si="268"/>
        <v>0</v>
      </c>
      <c r="AY48" s="65">
        <f t="shared" si="268"/>
        <v>0</v>
      </c>
      <c r="AZ48" s="65">
        <f t="shared" si="268"/>
        <v>0</v>
      </c>
      <c r="BA48" s="65">
        <f t="shared" si="268"/>
        <v>0</v>
      </c>
      <c r="BB48" s="65">
        <f t="shared" si="268"/>
        <v>0</v>
      </c>
      <c r="BC48" s="65">
        <f t="shared" si="268"/>
        <v>0</v>
      </c>
      <c r="BD48" s="64">
        <f t="shared" si="269"/>
        <v>0</v>
      </c>
      <c r="BE48" s="62"/>
      <c r="BF48" s="63"/>
      <c r="BG48" s="63"/>
      <c r="BH48" s="63"/>
      <c r="BI48" s="63"/>
      <c r="BJ48" s="63"/>
      <c r="BK48" s="63"/>
      <c r="BL48" s="63"/>
      <c r="BM48" s="63"/>
      <c r="BN48" s="63"/>
      <c r="BO48" s="64">
        <f t="shared" si="270"/>
        <v>0</v>
      </c>
      <c r="BP48" s="62"/>
      <c r="BQ48" s="63"/>
      <c r="BR48" s="63"/>
      <c r="BS48" s="63"/>
      <c r="BT48" s="63"/>
      <c r="BU48" s="63"/>
      <c r="BV48" s="63"/>
      <c r="BW48" s="63"/>
      <c r="BX48" s="63"/>
      <c r="BY48" s="63"/>
      <c r="BZ48" s="64">
        <f t="shared" si="271"/>
        <v>0</v>
      </c>
      <c r="CA48" s="62"/>
      <c r="CB48" s="63"/>
      <c r="CC48" s="63"/>
      <c r="CD48" s="63"/>
      <c r="CE48" s="63"/>
      <c r="CF48" s="63"/>
      <c r="CG48" s="63"/>
      <c r="CH48" s="63"/>
      <c r="CI48" s="63"/>
      <c r="CJ48" s="63"/>
      <c r="CK48" s="64">
        <f t="shared" si="272"/>
        <v>0</v>
      </c>
      <c r="CL48" s="65">
        <f t="shared" si="273"/>
        <v>0</v>
      </c>
      <c r="CM48" s="65">
        <f t="shared" si="273"/>
        <v>0</v>
      </c>
      <c r="CN48" s="65">
        <f t="shared" si="273"/>
        <v>0</v>
      </c>
      <c r="CO48" s="65">
        <f t="shared" si="273"/>
        <v>0</v>
      </c>
      <c r="CP48" s="65">
        <f t="shared" si="273"/>
        <v>0</v>
      </c>
      <c r="CQ48" s="65">
        <f t="shared" si="273"/>
        <v>0</v>
      </c>
      <c r="CR48" s="65">
        <f t="shared" si="273"/>
        <v>0</v>
      </c>
      <c r="CS48" s="65">
        <f t="shared" si="273"/>
        <v>0</v>
      </c>
      <c r="CT48" s="65">
        <f t="shared" si="273"/>
        <v>0</v>
      </c>
      <c r="CU48" s="65">
        <f t="shared" si="273"/>
        <v>0</v>
      </c>
      <c r="CV48" s="64">
        <f t="shared" si="274"/>
        <v>0</v>
      </c>
      <c r="CW48" s="62"/>
      <c r="CX48" s="63"/>
      <c r="CY48" s="63"/>
      <c r="CZ48" s="63"/>
      <c r="DA48" s="63"/>
      <c r="DB48" s="63"/>
      <c r="DC48" s="63"/>
      <c r="DD48" s="63"/>
      <c r="DE48" s="63"/>
      <c r="DF48" s="63"/>
      <c r="DG48" s="64">
        <f t="shared" si="275"/>
        <v>0</v>
      </c>
      <c r="DH48" s="62"/>
      <c r="DI48" s="63"/>
      <c r="DJ48" s="63"/>
      <c r="DK48" s="63"/>
      <c r="DL48" s="63"/>
      <c r="DM48" s="63"/>
      <c r="DN48" s="63"/>
      <c r="DO48" s="63"/>
      <c r="DP48" s="63"/>
      <c r="DQ48" s="63"/>
      <c r="DR48" s="64">
        <f t="shared" si="276"/>
        <v>0</v>
      </c>
      <c r="DS48" s="62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5">
        <f t="shared" si="277"/>
        <v>0</v>
      </c>
      <c r="EE48" s="65">
        <f t="shared" si="277"/>
        <v>0</v>
      </c>
      <c r="EF48" s="65">
        <f t="shared" si="277"/>
        <v>0</v>
      </c>
      <c r="EG48" s="65">
        <f t="shared" si="277"/>
        <v>0</v>
      </c>
      <c r="EH48" s="65">
        <f t="shared" si="277"/>
        <v>0</v>
      </c>
      <c r="EI48" s="65">
        <f t="shared" si="277"/>
        <v>0</v>
      </c>
      <c r="EJ48" s="65">
        <f t="shared" si="277"/>
        <v>0</v>
      </c>
      <c r="EK48" s="65">
        <f t="shared" si="277"/>
        <v>0</v>
      </c>
      <c r="EL48" s="65">
        <f t="shared" si="277"/>
        <v>0</v>
      </c>
      <c r="EM48" s="65">
        <f t="shared" si="277"/>
        <v>0</v>
      </c>
      <c r="EN48" s="64">
        <f t="shared" si="278"/>
        <v>0</v>
      </c>
      <c r="EO48" s="62"/>
      <c r="EP48" s="63"/>
      <c r="EQ48" s="63"/>
      <c r="ER48" s="63"/>
      <c r="ES48" s="63"/>
      <c r="ET48" s="63"/>
      <c r="EU48" s="63"/>
      <c r="EV48" s="63"/>
      <c r="EW48" s="63"/>
      <c r="EX48" s="63"/>
      <c r="EY48" s="64">
        <f t="shared" si="279"/>
        <v>0</v>
      </c>
      <c r="EZ48" s="62"/>
      <c r="FA48" s="63"/>
      <c r="FB48" s="63"/>
      <c r="FC48" s="63"/>
      <c r="FD48" s="63"/>
      <c r="FE48" s="63"/>
      <c r="FF48" s="63"/>
      <c r="FG48" s="63"/>
      <c r="FH48" s="63"/>
      <c r="FI48" s="63"/>
      <c r="FJ48" s="64">
        <f t="shared" si="280"/>
        <v>0</v>
      </c>
      <c r="FK48" s="62"/>
      <c r="FL48" s="63"/>
      <c r="FM48" s="63"/>
      <c r="FN48" s="63"/>
      <c r="FO48" s="63"/>
      <c r="FP48" s="63"/>
      <c r="FQ48" s="63"/>
      <c r="FR48" s="63"/>
      <c r="FS48" s="63"/>
      <c r="FT48" s="63"/>
      <c r="FU48" s="64">
        <f t="shared" si="281"/>
        <v>0</v>
      </c>
      <c r="FV48" s="65">
        <f t="shared" si="282"/>
        <v>0</v>
      </c>
      <c r="FW48" s="65">
        <f t="shared" si="282"/>
        <v>0</v>
      </c>
      <c r="FX48" s="65">
        <f t="shared" si="282"/>
        <v>0</v>
      </c>
      <c r="FY48" s="65">
        <f t="shared" si="282"/>
        <v>0</v>
      </c>
      <c r="FZ48" s="65">
        <f t="shared" si="282"/>
        <v>0</v>
      </c>
      <c r="GA48" s="65">
        <f t="shared" si="282"/>
        <v>0</v>
      </c>
      <c r="GB48" s="65">
        <f t="shared" si="282"/>
        <v>0</v>
      </c>
      <c r="GC48" s="65">
        <f t="shared" si="282"/>
        <v>0</v>
      </c>
      <c r="GD48" s="65">
        <f t="shared" si="282"/>
        <v>0</v>
      </c>
      <c r="GE48" s="65">
        <f t="shared" si="282"/>
        <v>0</v>
      </c>
      <c r="GF48" s="64">
        <f t="shared" si="283"/>
        <v>0</v>
      </c>
      <c r="GG48" s="66">
        <f t="shared" si="284"/>
        <v>0</v>
      </c>
      <c r="GH48" s="66">
        <f t="shared" si="284"/>
        <v>0</v>
      </c>
      <c r="GI48" s="66">
        <f t="shared" si="284"/>
        <v>0</v>
      </c>
      <c r="GJ48" s="66">
        <f t="shared" si="284"/>
        <v>0</v>
      </c>
      <c r="GK48" s="66">
        <f t="shared" si="284"/>
        <v>0</v>
      </c>
      <c r="GL48" s="66">
        <f t="shared" si="284"/>
        <v>0</v>
      </c>
      <c r="GM48" s="66">
        <f t="shared" si="284"/>
        <v>0</v>
      </c>
      <c r="GN48" s="66">
        <f t="shared" si="284"/>
        <v>0</v>
      </c>
      <c r="GO48" s="66">
        <f t="shared" si="284"/>
        <v>0</v>
      </c>
      <c r="GP48" s="66">
        <f t="shared" si="284"/>
        <v>0</v>
      </c>
      <c r="GQ48" s="64">
        <f t="shared" si="285"/>
        <v>0</v>
      </c>
      <c r="GR48" s="63"/>
      <c r="GS48" s="63"/>
      <c r="GT48" s="63"/>
      <c r="GU48" s="63"/>
      <c r="GV48" s="67">
        <f t="shared" si="286"/>
        <v>0</v>
      </c>
      <c r="GW48" s="63"/>
      <c r="GX48" s="63"/>
      <c r="GY48" s="63"/>
      <c r="GZ48" s="63"/>
      <c r="HA48" s="67">
        <f t="shared" si="287"/>
        <v>0</v>
      </c>
      <c r="HB48" s="63"/>
      <c r="HC48" s="63"/>
      <c r="HD48" s="63"/>
      <c r="HE48" s="63"/>
      <c r="HF48" s="67">
        <f t="shared" si="288"/>
        <v>0</v>
      </c>
      <c r="HG48" s="63"/>
      <c r="HH48" s="63"/>
      <c r="HI48" s="63"/>
      <c r="HJ48" s="63"/>
      <c r="HK48" s="67">
        <f t="shared" si="289"/>
        <v>0</v>
      </c>
      <c r="HL48" s="68">
        <f t="shared" si="290"/>
        <v>0</v>
      </c>
      <c r="HM48" s="68">
        <f t="shared" si="290"/>
        <v>0</v>
      </c>
      <c r="HN48" s="68">
        <f t="shared" si="290"/>
        <v>0</v>
      </c>
      <c r="HO48" s="68">
        <f t="shared" si="290"/>
        <v>0</v>
      </c>
      <c r="HP48" s="67">
        <f t="shared" si="291"/>
        <v>0</v>
      </c>
      <c r="HQ48" s="63"/>
      <c r="HR48" s="63"/>
      <c r="HS48" s="63"/>
      <c r="HT48" s="63"/>
      <c r="HU48" s="67">
        <f t="shared" si="292"/>
        <v>0</v>
      </c>
      <c r="HV48" s="63"/>
      <c r="HW48" s="63"/>
      <c r="HX48" s="63"/>
      <c r="HY48" s="63"/>
      <c r="HZ48" s="67">
        <f t="shared" si="293"/>
        <v>0</v>
      </c>
      <c r="IA48" s="63"/>
      <c r="IB48" s="63"/>
      <c r="IC48" s="63"/>
      <c r="ID48" s="63"/>
      <c r="IE48" s="67">
        <f t="shared" si="294"/>
        <v>0</v>
      </c>
      <c r="IF48" s="68">
        <f t="shared" si="295"/>
        <v>0</v>
      </c>
      <c r="IG48" s="68">
        <f t="shared" si="295"/>
        <v>0</v>
      </c>
      <c r="IH48" s="68">
        <f t="shared" si="295"/>
        <v>0</v>
      </c>
      <c r="II48" s="68">
        <f t="shared" si="295"/>
        <v>0</v>
      </c>
      <c r="IJ48" s="67">
        <f t="shared" si="296"/>
        <v>0</v>
      </c>
      <c r="IK48" s="63"/>
      <c r="IL48" s="63"/>
      <c r="IM48" s="63"/>
      <c r="IN48" s="63"/>
      <c r="IO48" s="67">
        <f t="shared" si="297"/>
        <v>0</v>
      </c>
      <c r="IP48" s="63"/>
      <c r="IQ48" s="63"/>
      <c r="IR48" s="63"/>
      <c r="IS48" s="63"/>
      <c r="IT48" s="67">
        <f t="shared" si="298"/>
        <v>0</v>
      </c>
      <c r="IU48" s="63"/>
      <c r="IV48" s="63"/>
    </row>
    <row r="49" spans="1:256" s="92" customFormat="1" x14ac:dyDescent="0.25">
      <c r="A49" s="84" t="s">
        <v>59</v>
      </c>
      <c r="B49" s="62"/>
      <c r="C49" s="63"/>
      <c r="D49" s="63"/>
      <c r="E49" s="63"/>
      <c r="F49" s="63"/>
      <c r="G49" s="63"/>
      <c r="H49" s="63"/>
      <c r="I49" s="63"/>
      <c r="J49" s="63"/>
      <c r="K49" s="63"/>
      <c r="L49" s="64">
        <f t="shared" si="264"/>
        <v>0</v>
      </c>
      <c r="M49" s="62"/>
      <c r="N49" s="63"/>
      <c r="O49" s="63"/>
      <c r="P49" s="63"/>
      <c r="Q49" s="63"/>
      <c r="R49" s="63"/>
      <c r="S49" s="63"/>
      <c r="T49" s="63"/>
      <c r="U49" s="63"/>
      <c r="V49" s="63"/>
      <c r="W49" s="64">
        <f t="shared" si="265"/>
        <v>0</v>
      </c>
      <c r="X49" s="62"/>
      <c r="Y49" s="63"/>
      <c r="Z49" s="63"/>
      <c r="AA49" s="63"/>
      <c r="AB49" s="63"/>
      <c r="AC49" s="63"/>
      <c r="AD49" s="63"/>
      <c r="AE49" s="63"/>
      <c r="AF49" s="63"/>
      <c r="AG49" s="63"/>
      <c r="AH49" s="64">
        <f t="shared" si="266"/>
        <v>0</v>
      </c>
      <c r="AI49" s="62"/>
      <c r="AJ49" s="63"/>
      <c r="AK49" s="63"/>
      <c r="AL49" s="63"/>
      <c r="AM49" s="63"/>
      <c r="AN49" s="63"/>
      <c r="AO49" s="63"/>
      <c r="AP49" s="63"/>
      <c r="AQ49" s="63"/>
      <c r="AR49" s="63"/>
      <c r="AS49" s="64">
        <f t="shared" si="267"/>
        <v>0</v>
      </c>
      <c r="AT49" s="65">
        <f t="shared" si="268"/>
        <v>0</v>
      </c>
      <c r="AU49" s="65">
        <f t="shared" si="268"/>
        <v>0</v>
      </c>
      <c r="AV49" s="65">
        <f t="shared" si="268"/>
        <v>0</v>
      </c>
      <c r="AW49" s="65">
        <f t="shared" si="268"/>
        <v>0</v>
      </c>
      <c r="AX49" s="65">
        <f t="shared" si="268"/>
        <v>0</v>
      </c>
      <c r="AY49" s="65">
        <f t="shared" si="268"/>
        <v>0</v>
      </c>
      <c r="AZ49" s="65">
        <f t="shared" si="268"/>
        <v>0</v>
      </c>
      <c r="BA49" s="65">
        <f t="shared" si="268"/>
        <v>0</v>
      </c>
      <c r="BB49" s="65">
        <f t="shared" si="268"/>
        <v>0</v>
      </c>
      <c r="BC49" s="65">
        <f t="shared" si="268"/>
        <v>0</v>
      </c>
      <c r="BD49" s="64">
        <f t="shared" si="269"/>
        <v>0</v>
      </c>
      <c r="BE49" s="62"/>
      <c r="BF49" s="63"/>
      <c r="BG49" s="63"/>
      <c r="BH49" s="63"/>
      <c r="BI49" s="63"/>
      <c r="BJ49" s="63"/>
      <c r="BK49" s="63"/>
      <c r="BL49" s="63"/>
      <c r="BM49" s="63"/>
      <c r="BN49" s="63"/>
      <c r="BO49" s="64">
        <f t="shared" si="270"/>
        <v>0</v>
      </c>
      <c r="BP49" s="62"/>
      <c r="BQ49" s="63"/>
      <c r="BR49" s="63"/>
      <c r="BS49" s="63"/>
      <c r="BT49" s="63"/>
      <c r="BU49" s="63"/>
      <c r="BV49" s="63"/>
      <c r="BW49" s="63"/>
      <c r="BX49" s="63"/>
      <c r="BY49" s="63"/>
      <c r="BZ49" s="64">
        <f t="shared" si="271"/>
        <v>0</v>
      </c>
      <c r="CA49" s="62"/>
      <c r="CB49" s="63"/>
      <c r="CC49" s="63"/>
      <c r="CD49" s="63"/>
      <c r="CE49" s="63"/>
      <c r="CF49" s="63"/>
      <c r="CG49" s="63"/>
      <c r="CH49" s="63"/>
      <c r="CI49" s="63"/>
      <c r="CJ49" s="63"/>
      <c r="CK49" s="64">
        <f t="shared" si="272"/>
        <v>0</v>
      </c>
      <c r="CL49" s="65">
        <f t="shared" si="273"/>
        <v>0</v>
      </c>
      <c r="CM49" s="65">
        <f t="shared" si="273"/>
        <v>0</v>
      </c>
      <c r="CN49" s="65">
        <f t="shared" si="273"/>
        <v>0</v>
      </c>
      <c r="CO49" s="65">
        <f t="shared" si="273"/>
        <v>0</v>
      </c>
      <c r="CP49" s="65">
        <f t="shared" si="273"/>
        <v>0</v>
      </c>
      <c r="CQ49" s="65">
        <f t="shared" si="273"/>
        <v>0</v>
      </c>
      <c r="CR49" s="65">
        <f t="shared" si="273"/>
        <v>0</v>
      </c>
      <c r="CS49" s="65">
        <f t="shared" si="273"/>
        <v>0</v>
      </c>
      <c r="CT49" s="65">
        <f t="shared" si="273"/>
        <v>0</v>
      </c>
      <c r="CU49" s="65">
        <f t="shared" si="273"/>
        <v>0</v>
      </c>
      <c r="CV49" s="64">
        <f t="shared" si="274"/>
        <v>0</v>
      </c>
      <c r="CW49" s="62"/>
      <c r="CX49" s="63"/>
      <c r="CY49" s="63"/>
      <c r="CZ49" s="63"/>
      <c r="DA49" s="63"/>
      <c r="DB49" s="63"/>
      <c r="DC49" s="63"/>
      <c r="DD49" s="63"/>
      <c r="DE49" s="63"/>
      <c r="DF49" s="63"/>
      <c r="DG49" s="64">
        <f t="shared" si="275"/>
        <v>0</v>
      </c>
      <c r="DH49" s="62"/>
      <c r="DI49" s="63"/>
      <c r="DJ49" s="63"/>
      <c r="DK49" s="63"/>
      <c r="DL49" s="63"/>
      <c r="DM49" s="63"/>
      <c r="DN49" s="63"/>
      <c r="DO49" s="63"/>
      <c r="DP49" s="63"/>
      <c r="DQ49" s="63"/>
      <c r="DR49" s="64">
        <f t="shared" si="276"/>
        <v>0</v>
      </c>
      <c r="DS49" s="62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5">
        <f t="shared" si="277"/>
        <v>0</v>
      </c>
      <c r="EE49" s="65">
        <f t="shared" si="277"/>
        <v>0</v>
      </c>
      <c r="EF49" s="65">
        <f t="shared" si="277"/>
        <v>0</v>
      </c>
      <c r="EG49" s="65">
        <f t="shared" si="277"/>
        <v>0</v>
      </c>
      <c r="EH49" s="65">
        <f t="shared" si="277"/>
        <v>0</v>
      </c>
      <c r="EI49" s="65">
        <f t="shared" si="277"/>
        <v>0</v>
      </c>
      <c r="EJ49" s="65">
        <f t="shared" si="277"/>
        <v>0</v>
      </c>
      <c r="EK49" s="65">
        <f t="shared" si="277"/>
        <v>0</v>
      </c>
      <c r="EL49" s="65">
        <f t="shared" si="277"/>
        <v>0</v>
      </c>
      <c r="EM49" s="65">
        <f t="shared" si="277"/>
        <v>0</v>
      </c>
      <c r="EN49" s="64">
        <f t="shared" si="278"/>
        <v>0</v>
      </c>
      <c r="EO49" s="62"/>
      <c r="EP49" s="63"/>
      <c r="EQ49" s="63"/>
      <c r="ER49" s="63"/>
      <c r="ES49" s="63"/>
      <c r="ET49" s="63"/>
      <c r="EU49" s="63"/>
      <c r="EV49" s="63"/>
      <c r="EW49" s="63"/>
      <c r="EX49" s="63"/>
      <c r="EY49" s="64">
        <f t="shared" si="279"/>
        <v>0</v>
      </c>
      <c r="EZ49" s="62"/>
      <c r="FA49" s="63"/>
      <c r="FB49" s="63"/>
      <c r="FC49" s="63"/>
      <c r="FD49" s="63"/>
      <c r="FE49" s="63"/>
      <c r="FF49" s="63"/>
      <c r="FG49" s="63"/>
      <c r="FH49" s="63"/>
      <c r="FI49" s="63"/>
      <c r="FJ49" s="64">
        <f t="shared" si="280"/>
        <v>0</v>
      </c>
      <c r="FK49" s="62"/>
      <c r="FL49" s="63"/>
      <c r="FM49" s="63"/>
      <c r="FN49" s="63"/>
      <c r="FO49" s="63"/>
      <c r="FP49" s="63"/>
      <c r="FQ49" s="63"/>
      <c r="FR49" s="63"/>
      <c r="FS49" s="63"/>
      <c r="FT49" s="63"/>
      <c r="FU49" s="64">
        <f t="shared" si="281"/>
        <v>0</v>
      </c>
      <c r="FV49" s="65">
        <f t="shared" si="282"/>
        <v>0</v>
      </c>
      <c r="FW49" s="65">
        <f t="shared" si="282"/>
        <v>0</v>
      </c>
      <c r="FX49" s="65">
        <f t="shared" si="282"/>
        <v>0</v>
      </c>
      <c r="FY49" s="65">
        <f t="shared" si="282"/>
        <v>0</v>
      </c>
      <c r="FZ49" s="65">
        <f t="shared" si="282"/>
        <v>0</v>
      </c>
      <c r="GA49" s="65">
        <f t="shared" si="282"/>
        <v>0</v>
      </c>
      <c r="GB49" s="65">
        <f t="shared" si="282"/>
        <v>0</v>
      </c>
      <c r="GC49" s="65">
        <f t="shared" si="282"/>
        <v>0</v>
      </c>
      <c r="GD49" s="65">
        <f t="shared" si="282"/>
        <v>0</v>
      </c>
      <c r="GE49" s="65">
        <f t="shared" si="282"/>
        <v>0</v>
      </c>
      <c r="GF49" s="64">
        <f t="shared" si="283"/>
        <v>0</v>
      </c>
      <c r="GG49" s="66">
        <f t="shared" si="284"/>
        <v>0</v>
      </c>
      <c r="GH49" s="66">
        <f t="shared" si="284"/>
        <v>0</v>
      </c>
      <c r="GI49" s="66">
        <f t="shared" si="284"/>
        <v>0</v>
      </c>
      <c r="GJ49" s="66">
        <f t="shared" si="284"/>
        <v>0</v>
      </c>
      <c r="GK49" s="66">
        <f t="shared" si="284"/>
        <v>0</v>
      </c>
      <c r="GL49" s="66">
        <f t="shared" si="284"/>
        <v>0</v>
      </c>
      <c r="GM49" s="66">
        <f t="shared" si="284"/>
        <v>0</v>
      </c>
      <c r="GN49" s="66">
        <f t="shared" si="284"/>
        <v>0</v>
      </c>
      <c r="GO49" s="66">
        <f t="shared" si="284"/>
        <v>0</v>
      </c>
      <c r="GP49" s="66">
        <f t="shared" si="284"/>
        <v>0</v>
      </c>
      <c r="GQ49" s="64">
        <f t="shared" si="285"/>
        <v>0</v>
      </c>
      <c r="GR49" s="63"/>
      <c r="GS49" s="63"/>
      <c r="GT49" s="63"/>
      <c r="GU49" s="63"/>
      <c r="GV49" s="67">
        <f t="shared" si="286"/>
        <v>0</v>
      </c>
      <c r="GW49" s="63"/>
      <c r="GX49" s="63"/>
      <c r="GY49" s="63"/>
      <c r="GZ49" s="63"/>
      <c r="HA49" s="67">
        <f t="shared" si="287"/>
        <v>0</v>
      </c>
      <c r="HB49" s="63"/>
      <c r="HC49" s="63"/>
      <c r="HD49" s="63"/>
      <c r="HE49" s="63"/>
      <c r="HF49" s="67">
        <f t="shared" si="288"/>
        <v>0</v>
      </c>
      <c r="HG49" s="63"/>
      <c r="HH49" s="63"/>
      <c r="HI49" s="63"/>
      <c r="HJ49" s="63"/>
      <c r="HK49" s="67">
        <f t="shared" si="289"/>
        <v>0</v>
      </c>
      <c r="HL49" s="68">
        <f t="shared" si="290"/>
        <v>0</v>
      </c>
      <c r="HM49" s="68">
        <f t="shared" si="290"/>
        <v>0</v>
      </c>
      <c r="HN49" s="68">
        <f t="shared" si="290"/>
        <v>0</v>
      </c>
      <c r="HO49" s="68">
        <f t="shared" si="290"/>
        <v>0</v>
      </c>
      <c r="HP49" s="67">
        <f t="shared" si="291"/>
        <v>0</v>
      </c>
      <c r="HQ49" s="63"/>
      <c r="HR49" s="63"/>
      <c r="HS49" s="63"/>
      <c r="HT49" s="63"/>
      <c r="HU49" s="67">
        <f t="shared" si="292"/>
        <v>0</v>
      </c>
      <c r="HV49" s="63"/>
      <c r="HW49" s="63"/>
      <c r="HX49" s="63"/>
      <c r="HY49" s="63"/>
      <c r="HZ49" s="67">
        <f t="shared" si="293"/>
        <v>0</v>
      </c>
      <c r="IA49" s="63"/>
      <c r="IB49" s="63"/>
      <c r="IC49" s="63"/>
      <c r="ID49" s="63"/>
      <c r="IE49" s="67">
        <f t="shared" si="294"/>
        <v>0</v>
      </c>
      <c r="IF49" s="68">
        <f t="shared" si="295"/>
        <v>0</v>
      </c>
      <c r="IG49" s="68">
        <f t="shared" si="295"/>
        <v>0</v>
      </c>
      <c r="IH49" s="68">
        <f t="shared" si="295"/>
        <v>0</v>
      </c>
      <c r="II49" s="68">
        <f t="shared" si="295"/>
        <v>0</v>
      </c>
      <c r="IJ49" s="67">
        <f t="shared" si="296"/>
        <v>0</v>
      </c>
      <c r="IK49" s="63"/>
      <c r="IL49" s="63"/>
      <c r="IM49" s="63"/>
      <c r="IN49" s="63"/>
      <c r="IO49" s="67">
        <f t="shared" si="297"/>
        <v>0</v>
      </c>
      <c r="IP49" s="63"/>
      <c r="IQ49" s="63"/>
      <c r="IR49" s="63"/>
      <c r="IS49" s="63"/>
      <c r="IT49" s="67">
        <f t="shared" si="298"/>
        <v>0</v>
      </c>
      <c r="IU49" s="63"/>
      <c r="IV49" s="63"/>
    </row>
    <row r="50" spans="1:256" s="92" customFormat="1" x14ac:dyDescent="0.25">
      <c r="A50" s="84" t="s">
        <v>60</v>
      </c>
      <c r="B50" s="62"/>
      <c r="C50" s="63"/>
      <c r="D50" s="63"/>
      <c r="E50" s="63"/>
      <c r="F50" s="63"/>
      <c r="G50" s="63"/>
      <c r="H50" s="63"/>
      <c r="I50" s="63"/>
      <c r="J50" s="63"/>
      <c r="K50" s="63"/>
      <c r="L50" s="64">
        <f t="shared" si="264"/>
        <v>0</v>
      </c>
      <c r="M50" s="62"/>
      <c r="N50" s="63"/>
      <c r="O50" s="63"/>
      <c r="P50" s="63"/>
      <c r="Q50" s="63"/>
      <c r="R50" s="63"/>
      <c r="S50" s="63"/>
      <c r="T50" s="63"/>
      <c r="U50" s="63"/>
      <c r="V50" s="63"/>
      <c r="W50" s="64">
        <f t="shared" si="265"/>
        <v>0</v>
      </c>
      <c r="X50" s="62"/>
      <c r="Y50" s="63"/>
      <c r="Z50" s="63"/>
      <c r="AA50" s="63"/>
      <c r="AB50" s="63"/>
      <c r="AC50" s="63"/>
      <c r="AD50" s="63"/>
      <c r="AE50" s="63"/>
      <c r="AF50" s="63"/>
      <c r="AG50" s="63"/>
      <c r="AH50" s="64">
        <f t="shared" si="266"/>
        <v>0</v>
      </c>
      <c r="AI50" s="62"/>
      <c r="AJ50" s="63"/>
      <c r="AK50" s="63"/>
      <c r="AL50" s="63"/>
      <c r="AM50" s="63"/>
      <c r="AN50" s="63"/>
      <c r="AO50" s="63"/>
      <c r="AP50" s="63"/>
      <c r="AQ50" s="63"/>
      <c r="AR50" s="63"/>
      <c r="AS50" s="64">
        <f t="shared" si="267"/>
        <v>0</v>
      </c>
      <c r="AT50" s="65">
        <f t="shared" si="268"/>
        <v>0</v>
      </c>
      <c r="AU50" s="65">
        <f t="shared" si="268"/>
        <v>0</v>
      </c>
      <c r="AV50" s="65">
        <f t="shared" si="268"/>
        <v>0</v>
      </c>
      <c r="AW50" s="65">
        <f t="shared" si="268"/>
        <v>0</v>
      </c>
      <c r="AX50" s="65">
        <f t="shared" si="268"/>
        <v>0</v>
      </c>
      <c r="AY50" s="65">
        <f t="shared" si="268"/>
        <v>0</v>
      </c>
      <c r="AZ50" s="65">
        <f t="shared" si="268"/>
        <v>0</v>
      </c>
      <c r="BA50" s="65">
        <f t="shared" si="268"/>
        <v>0</v>
      </c>
      <c r="BB50" s="65">
        <f t="shared" si="268"/>
        <v>0</v>
      </c>
      <c r="BC50" s="65">
        <f t="shared" si="268"/>
        <v>0</v>
      </c>
      <c r="BD50" s="64">
        <f t="shared" si="269"/>
        <v>0</v>
      </c>
      <c r="BE50" s="62"/>
      <c r="BF50" s="63"/>
      <c r="BG50" s="63"/>
      <c r="BH50" s="63"/>
      <c r="BI50" s="63"/>
      <c r="BJ50" s="63"/>
      <c r="BK50" s="63"/>
      <c r="BL50" s="63"/>
      <c r="BM50" s="63"/>
      <c r="BN50" s="63"/>
      <c r="BO50" s="64">
        <f t="shared" si="270"/>
        <v>0</v>
      </c>
      <c r="BP50" s="62"/>
      <c r="BQ50" s="63"/>
      <c r="BR50" s="63"/>
      <c r="BS50" s="63"/>
      <c r="BT50" s="63"/>
      <c r="BU50" s="63"/>
      <c r="BV50" s="63"/>
      <c r="BW50" s="63"/>
      <c r="BX50" s="63"/>
      <c r="BY50" s="63"/>
      <c r="BZ50" s="64">
        <f t="shared" si="271"/>
        <v>0</v>
      </c>
      <c r="CA50" s="62"/>
      <c r="CB50" s="63"/>
      <c r="CC50" s="63"/>
      <c r="CD50" s="63"/>
      <c r="CE50" s="63"/>
      <c r="CF50" s="63"/>
      <c r="CG50" s="63"/>
      <c r="CH50" s="63"/>
      <c r="CI50" s="63"/>
      <c r="CJ50" s="63"/>
      <c r="CK50" s="64">
        <f t="shared" si="272"/>
        <v>0</v>
      </c>
      <c r="CL50" s="65">
        <f t="shared" si="273"/>
        <v>0</v>
      </c>
      <c r="CM50" s="65">
        <f t="shared" si="273"/>
        <v>0</v>
      </c>
      <c r="CN50" s="65">
        <f t="shared" si="273"/>
        <v>0</v>
      </c>
      <c r="CO50" s="65">
        <f t="shared" si="273"/>
        <v>0</v>
      </c>
      <c r="CP50" s="65">
        <f t="shared" si="273"/>
        <v>0</v>
      </c>
      <c r="CQ50" s="65">
        <f t="shared" si="273"/>
        <v>0</v>
      </c>
      <c r="CR50" s="65">
        <f t="shared" si="273"/>
        <v>0</v>
      </c>
      <c r="CS50" s="65">
        <f t="shared" si="273"/>
        <v>0</v>
      </c>
      <c r="CT50" s="65">
        <f t="shared" si="273"/>
        <v>0</v>
      </c>
      <c r="CU50" s="65">
        <f t="shared" si="273"/>
        <v>0</v>
      </c>
      <c r="CV50" s="64">
        <f t="shared" si="274"/>
        <v>0</v>
      </c>
      <c r="CW50" s="62"/>
      <c r="CX50" s="63"/>
      <c r="CY50" s="63"/>
      <c r="CZ50" s="63"/>
      <c r="DA50" s="63"/>
      <c r="DB50" s="63"/>
      <c r="DC50" s="63"/>
      <c r="DD50" s="63"/>
      <c r="DE50" s="63"/>
      <c r="DF50" s="63"/>
      <c r="DG50" s="64">
        <f t="shared" si="275"/>
        <v>0</v>
      </c>
      <c r="DH50" s="62"/>
      <c r="DI50" s="63"/>
      <c r="DJ50" s="63"/>
      <c r="DK50" s="63"/>
      <c r="DL50" s="63"/>
      <c r="DM50" s="63"/>
      <c r="DN50" s="63"/>
      <c r="DO50" s="63"/>
      <c r="DP50" s="63"/>
      <c r="DQ50" s="63"/>
      <c r="DR50" s="64">
        <f t="shared" si="276"/>
        <v>0</v>
      </c>
      <c r="DS50" s="62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5">
        <f t="shared" si="277"/>
        <v>0</v>
      </c>
      <c r="EE50" s="65">
        <f t="shared" si="277"/>
        <v>0</v>
      </c>
      <c r="EF50" s="65">
        <f t="shared" si="277"/>
        <v>0</v>
      </c>
      <c r="EG50" s="65">
        <f t="shared" si="277"/>
        <v>0</v>
      </c>
      <c r="EH50" s="65">
        <f t="shared" si="277"/>
        <v>0</v>
      </c>
      <c r="EI50" s="65">
        <f t="shared" si="277"/>
        <v>0</v>
      </c>
      <c r="EJ50" s="65">
        <f t="shared" si="277"/>
        <v>0</v>
      </c>
      <c r="EK50" s="65">
        <f t="shared" si="277"/>
        <v>0</v>
      </c>
      <c r="EL50" s="65">
        <f t="shared" si="277"/>
        <v>0</v>
      </c>
      <c r="EM50" s="65">
        <f t="shared" si="277"/>
        <v>0</v>
      </c>
      <c r="EN50" s="64">
        <f t="shared" si="278"/>
        <v>0</v>
      </c>
      <c r="EO50" s="62"/>
      <c r="EP50" s="63"/>
      <c r="EQ50" s="63"/>
      <c r="ER50" s="63"/>
      <c r="ES50" s="63"/>
      <c r="ET50" s="63"/>
      <c r="EU50" s="63"/>
      <c r="EV50" s="63"/>
      <c r="EW50" s="63"/>
      <c r="EX50" s="63"/>
      <c r="EY50" s="64">
        <f t="shared" si="279"/>
        <v>0</v>
      </c>
      <c r="EZ50" s="62"/>
      <c r="FA50" s="63"/>
      <c r="FB50" s="63"/>
      <c r="FC50" s="63"/>
      <c r="FD50" s="63"/>
      <c r="FE50" s="63"/>
      <c r="FF50" s="63"/>
      <c r="FG50" s="63"/>
      <c r="FH50" s="63"/>
      <c r="FI50" s="63"/>
      <c r="FJ50" s="64">
        <f t="shared" si="280"/>
        <v>0</v>
      </c>
      <c r="FK50" s="62"/>
      <c r="FL50" s="63"/>
      <c r="FM50" s="63"/>
      <c r="FN50" s="63"/>
      <c r="FO50" s="63"/>
      <c r="FP50" s="63"/>
      <c r="FQ50" s="63"/>
      <c r="FR50" s="63"/>
      <c r="FS50" s="63"/>
      <c r="FT50" s="63"/>
      <c r="FU50" s="64">
        <f t="shared" si="281"/>
        <v>0</v>
      </c>
      <c r="FV50" s="65">
        <f t="shared" si="282"/>
        <v>0</v>
      </c>
      <c r="FW50" s="65">
        <f t="shared" si="282"/>
        <v>0</v>
      </c>
      <c r="FX50" s="65">
        <f t="shared" si="282"/>
        <v>0</v>
      </c>
      <c r="FY50" s="65">
        <f t="shared" si="282"/>
        <v>0</v>
      </c>
      <c r="FZ50" s="65">
        <f t="shared" si="282"/>
        <v>0</v>
      </c>
      <c r="GA50" s="65">
        <f t="shared" si="282"/>
        <v>0</v>
      </c>
      <c r="GB50" s="65">
        <f t="shared" si="282"/>
        <v>0</v>
      </c>
      <c r="GC50" s="65">
        <f t="shared" si="282"/>
        <v>0</v>
      </c>
      <c r="GD50" s="65">
        <f t="shared" si="282"/>
        <v>0</v>
      </c>
      <c r="GE50" s="65">
        <f t="shared" si="282"/>
        <v>0</v>
      </c>
      <c r="GF50" s="64">
        <f t="shared" si="283"/>
        <v>0</v>
      </c>
      <c r="GG50" s="66">
        <f t="shared" si="284"/>
        <v>0</v>
      </c>
      <c r="GH50" s="66">
        <f t="shared" si="284"/>
        <v>0</v>
      </c>
      <c r="GI50" s="66">
        <f t="shared" si="284"/>
        <v>0</v>
      </c>
      <c r="GJ50" s="66">
        <f t="shared" si="284"/>
        <v>0</v>
      </c>
      <c r="GK50" s="66">
        <f t="shared" si="284"/>
        <v>0</v>
      </c>
      <c r="GL50" s="66">
        <f t="shared" si="284"/>
        <v>0</v>
      </c>
      <c r="GM50" s="66">
        <f t="shared" si="284"/>
        <v>0</v>
      </c>
      <c r="GN50" s="66">
        <f t="shared" si="284"/>
        <v>0</v>
      </c>
      <c r="GO50" s="66">
        <f t="shared" si="284"/>
        <v>0</v>
      </c>
      <c r="GP50" s="66">
        <f t="shared" si="284"/>
        <v>0</v>
      </c>
      <c r="GQ50" s="64">
        <f t="shared" si="285"/>
        <v>0</v>
      </c>
      <c r="GR50" s="63"/>
      <c r="GS50" s="63"/>
      <c r="GT50" s="63"/>
      <c r="GU50" s="63"/>
      <c r="GV50" s="67">
        <f t="shared" si="286"/>
        <v>0</v>
      </c>
      <c r="GW50" s="63"/>
      <c r="GX50" s="63"/>
      <c r="GY50" s="63"/>
      <c r="GZ50" s="63"/>
      <c r="HA50" s="67">
        <f t="shared" si="287"/>
        <v>0</v>
      </c>
      <c r="HB50" s="63"/>
      <c r="HC50" s="63"/>
      <c r="HD50" s="63"/>
      <c r="HE50" s="63"/>
      <c r="HF50" s="67">
        <f t="shared" si="288"/>
        <v>0</v>
      </c>
      <c r="HG50" s="63"/>
      <c r="HH50" s="63"/>
      <c r="HI50" s="63"/>
      <c r="HJ50" s="63"/>
      <c r="HK50" s="67">
        <f t="shared" si="289"/>
        <v>0</v>
      </c>
      <c r="HL50" s="68">
        <f t="shared" si="290"/>
        <v>0</v>
      </c>
      <c r="HM50" s="68">
        <f t="shared" si="290"/>
        <v>0</v>
      </c>
      <c r="HN50" s="68">
        <f t="shared" si="290"/>
        <v>0</v>
      </c>
      <c r="HO50" s="68">
        <f t="shared" si="290"/>
        <v>0</v>
      </c>
      <c r="HP50" s="67">
        <f t="shared" si="291"/>
        <v>0</v>
      </c>
      <c r="HQ50" s="63"/>
      <c r="HR50" s="63"/>
      <c r="HS50" s="63"/>
      <c r="HT50" s="63"/>
      <c r="HU50" s="67">
        <f t="shared" si="292"/>
        <v>0</v>
      </c>
      <c r="HV50" s="63"/>
      <c r="HW50" s="63"/>
      <c r="HX50" s="63"/>
      <c r="HY50" s="63"/>
      <c r="HZ50" s="67">
        <f t="shared" si="293"/>
        <v>0</v>
      </c>
      <c r="IA50" s="63"/>
      <c r="IB50" s="63"/>
      <c r="IC50" s="63"/>
      <c r="ID50" s="63"/>
      <c r="IE50" s="67">
        <f t="shared" si="294"/>
        <v>0</v>
      </c>
      <c r="IF50" s="68">
        <f t="shared" si="295"/>
        <v>0</v>
      </c>
      <c r="IG50" s="68">
        <f t="shared" si="295"/>
        <v>0</v>
      </c>
      <c r="IH50" s="68">
        <f t="shared" si="295"/>
        <v>0</v>
      </c>
      <c r="II50" s="68">
        <f t="shared" si="295"/>
        <v>0</v>
      </c>
      <c r="IJ50" s="67">
        <f t="shared" si="296"/>
        <v>0</v>
      </c>
      <c r="IK50" s="63"/>
      <c r="IL50" s="63"/>
      <c r="IM50" s="63"/>
      <c r="IN50" s="63"/>
      <c r="IO50" s="67">
        <f t="shared" si="297"/>
        <v>0</v>
      </c>
      <c r="IP50" s="63"/>
      <c r="IQ50" s="63"/>
      <c r="IR50" s="63"/>
      <c r="IS50" s="63"/>
      <c r="IT50" s="67">
        <f t="shared" si="298"/>
        <v>0</v>
      </c>
      <c r="IU50" s="63"/>
      <c r="IV50" s="63"/>
    </row>
    <row r="51" spans="1:256" s="78" customFormat="1" ht="25.5" x14ac:dyDescent="0.25">
      <c r="A51" s="93" t="s">
        <v>61</v>
      </c>
      <c r="B51" s="91"/>
      <c r="C51" s="81">
        <f t="shared" ref="C51:K51" si="299">SUM(C52:C53)</f>
        <v>0</v>
      </c>
      <c r="D51" s="81">
        <f t="shared" si="299"/>
        <v>0</v>
      </c>
      <c r="E51" s="81">
        <f t="shared" si="299"/>
        <v>0</v>
      </c>
      <c r="F51" s="81">
        <f t="shared" si="299"/>
        <v>0</v>
      </c>
      <c r="G51" s="81">
        <f t="shared" si="299"/>
        <v>0</v>
      </c>
      <c r="H51" s="81">
        <f t="shared" si="299"/>
        <v>0</v>
      </c>
      <c r="I51" s="81">
        <f t="shared" si="299"/>
        <v>0</v>
      </c>
      <c r="J51" s="81">
        <f t="shared" si="299"/>
        <v>0</v>
      </c>
      <c r="K51" s="81">
        <f t="shared" si="299"/>
        <v>0</v>
      </c>
      <c r="L51" s="82">
        <f>SUM(L52:L53)</f>
        <v>0</v>
      </c>
      <c r="M51" s="91"/>
      <c r="N51" s="81">
        <f t="shared" ref="N51:V51" si="300">SUM(N52:N53)</f>
        <v>0</v>
      </c>
      <c r="O51" s="81">
        <f t="shared" si="300"/>
        <v>0</v>
      </c>
      <c r="P51" s="81">
        <f t="shared" si="300"/>
        <v>0</v>
      </c>
      <c r="Q51" s="81">
        <f t="shared" si="300"/>
        <v>0</v>
      </c>
      <c r="R51" s="81">
        <f t="shared" si="300"/>
        <v>0</v>
      </c>
      <c r="S51" s="81">
        <f t="shared" si="300"/>
        <v>0</v>
      </c>
      <c r="T51" s="81">
        <f t="shared" si="300"/>
        <v>0</v>
      </c>
      <c r="U51" s="81">
        <f t="shared" si="300"/>
        <v>0</v>
      </c>
      <c r="V51" s="81">
        <f t="shared" si="300"/>
        <v>0</v>
      </c>
      <c r="W51" s="82">
        <f>SUM(W52:W53)</f>
        <v>0</v>
      </c>
      <c r="X51" s="91"/>
      <c r="Y51" s="81">
        <f t="shared" ref="Y51:AG51" si="301">SUM(Y52:Y53)</f>
        <v>0</v>
      </c>
      <c r="Z51" s="81">
        <f t="shared" si="301"/>
        <v>0</v>
      </c>
      <c r="AA51" s="81">
        <f t="shared" si="301"/>
        <v>0</v>
      </c>
      <c r="AB51" s="81">
        <f t="shared" si="301"/>
        <v>0</v>
      </c>
      <c r="AC51" s="81">
        <f t="shared" si="301"/>
        <v>0</v>
      </c>
      <c r="AD51" s="81">
        <f t="shared" si="301"/>
        <v>0</v>
      </c>
      <c r="AE51" s="81">
        <f t="shared" si="301"/>
        <v>0</v>
      </c>
      <c r="AF51" s="81">
        <f t="shared" si="301"/>
        <v>0</v>
      </c>
      <c r="AG51" s="81">
        <f t="shared" si="301"/>
        <v>0</v>
      </c>
      <c r="AH51" s="82">
        <f>SUM(AH52:AH53)</f>
        <v>0</v>
      </c>
      <c r="AI51" s="91"/>
      <c r="AJ51" s="81">
        <f t="shared" ref="AJ51:AR51" si="302">SUM(AJ52:AJ53)</f>
        <v>0</v>
      </c>
      <c r="AK51" s="81">
        <f t="shared" si="302"/>
        <v>0</v>
      </c>
      <c r="AL51" s="81">
        <f t="shared" si="302"/>
        <v>0</v>
      </c>
      <c r="AM51" s="81">
        <f t="shared" si="302"/>
        <v>0</v>
      </c>
      <c r="AN51" s="81">
        <f t="shared" si="302"/>
        <v>0</v>
      </c>
      <c r="AO51" s="81">
        <f t="shared" si="302"/>
        <v>0</v>
      </c>
      <c r="AP51" s="81">
        <f t="shared" si="302"/>
        <v>0</v>
      </c>
      <c r="AQ51" s="81">
        <f t="shared" si="302"/>
        <v>0</v>
      </c>
      <c r="AR51" s="81">
        <f t="shared" si="302"/>
        <v>0</v>
      </c>
      <c r="AS51" s="82">
        <f>SUM(AS52:AS53)</f>
        <v>0</v>
      </c>
      <c r="AT51" s="91"/>
      <c r="AU51" s="81">
        <f>SUM(AU52:AU53)</f>
        <v>0</v>
      </c>
      <c r="AV51" s="81">
        <f t="shared" ref="AV51:BC51" si="303">SUM(AV52:AV53)</f>
        <v>0</v>
      </c>
      <c r="AW51" s="81">
        <f t="shared" si="303"/>
        <v>0</v>
      </c>
      <c r="AX51" s="81">
        <f t="shared" si="303"/>
        <v>0</v>
      </c>
      <c r="AY51" s="81">
        <f t="shared" si="303"/>
        <v>0</v>
      </c>
      <c r="AZ51" s="81">
        <f t="shared" si="303"/>
        <v>0</v>
      </c>
      <c r="BA51" s="81">
        <f t="shared" si="303"/>
        <v>0</v>
      </c>
      <c r="BB51" s="81">
        <f t="shared" si="303"/>
        <v>0</v>
      </c>
      <c r="BC51" s="81">
        <f t="shared" si="303"/>
        <v>0</v>
      </c>
      <c r="BD51" s="82">
        <f>SUM(BD52:BD53)</f>
        <v>0</v>
      </c>
      <c r="BE51" s="91"/>
      <c r="BF51" s="81">
        <f t="shared" ref="BF51:BN51" si="304">SUM(BF52:BF53)</f>
        <v>0</v>
      </c>
      <c r="BG51" s="81">
        <f t="shared" si="304"/>
        <v>0</v>
      </c>
      <c r="BH51" s="81">
        <f t="shared" si="304"/>
        <v>0</v>
      </c>
      <c r="BI51" s="81">
        <f t="shared" si="304"/>
        <v>0</v>
      </c>
      <c r="BJ51" s="81">
        <f t="shared" si="304"/>
        <v>0</v>
      </c>
      <c r="BK51" s="81">
        <f t="shared" si="304"/>
        <v>0</v>
      </c>
      <c r="BL51" s="81">
        <f t="shared" si="304"/>
        <v>0</v>
      </c>
      <c r="BM51" s="81">
        <f t="shared" si="304"/>
        <v>0</v>
      </c>
      <c r="BN51" s="81">
        <f t="shared" si="304"/>
        <v>0</v>
      </c>
      <c r="BO51" s="82">
        <f>SUM(BO52:BO53)</f>
        <v>0</v>
      </c>
      <c r="BP51" s="91"/>
      <c r="BQ51" s="81">
        <f t="shared" ref="BQ51:BY51" si="305">SUM(BQ52:BQ53)</f>
        <v>0</v>
      </c>
      <c r="BR51" s="81">
        <f t="shared" si="305"/>
        <v>0</v>
      </c>
      <c r="BS51" s="81">
        <f t="shared" si="305"/>
        <v>0</v>
      </c>
      <c r="BT51" s="81">
        <f t="shared" si="305"/>
        <v>0</v>
      </c>
      <c r="BU51" s="81">
        <f t="shared" si="305"/>
        <v>0</v>
      </c>
      <c r="BV51" s="81">
        <f t="shared" si="305"/>
        <v>0</v>
      </c>
      <c r="BW51" s="81">
        <f t="shared" si="305"/>
        <v>0</v>
      </c>
      <c r="BX51" s="81">
        <f t="shared" si="305"/>
        <v>0</v>
      </c>
      <c r="BY51" s="81">
        <f t="shared" si="305"/>
        <v>0</v>
      </c>
      <c r="BZ51" s="82">
        <f>SUM(BZ52:BZ53)</f>
        <v>0</v>
      </c>
      <c r="CA51" s="91"/>
      <c r="CB51" s="81">
        <f t="shared" ref="CB51:CJ51" si="306">SUM(CB52:CB53)</f>
        <v>0</v>
      </c>
      <c r="CC51" s="81">
        <f t="shared" si="306"/>
        <v>0</v>
      </c>
      <c r="CD51" s="81">
        <f t="shared" si="306"/>
        <v>0</v>
      </c>
      <c r="CE51" s="81">
        <f t="shared" si="306"/>
        <v>0</v>
      </c>
      <c r="CF51" s="81">
        <f t="shared" si="306"/>
        <v>0</v>
      </c>
      <c r="CG51" s="81">
        <f t="shared" si="306"/>
        <v>0</v>
      </c>
      <c r="CH51" s="81">
        <f t="shared" si="306"/>
        <v>0</v>
      </c>
      <c r="CI51" s="81">
        <f t="shared" si="306"/>
        <v>0</v>
      </c>
      <c r="CJ51" s="81">
        <f t="shared" si="306"/>
        <v>0</v>
      </c>
      <c r="CK51" s="82">
        <f>SUM(CK52:CK53)</f>
        <v>0</v>
      </c>
      <c r="CL51" s="91"/>
      <c r="CM51" s="81">
        <f>SUM(CM52:CM53)</f>
        <v>0</v>
      </c>
      <c r="CN51" s="81">
        <f t="shared" ref="CN51:CU51" si="307">SUM(CN52:CN53)</f>
        <v>0</v>
      </c>
      <c r="CO51" s="81">
        <f t="shared" si="307"/>
        <v>0</v>
      </c>
      <c r="CP51" s="81">
        <f t="shared" si="307"/>
        <v>0</v>
      </c>
      <c r="CQ51" s="81">
        <f t="shared" si="307"/>
        <v>0</v>
      </c>
      <c r="CR51" s="81">
        <f t="shared" si="307"/>
        <v>0</v>
      </c>
      <c r="CS51" s="81">
        <f t="shared" si="307"/>
        <v>0</v>
      </c>
      <c r="CT51" s="81">
        <f t="shared" si="307"/>
        <v>0</v>
      </c>
      <c r="CU51" s="81">
        <f t="shared" si="307"/>
        <v>0</v>
      </c>
      <c r="CV51" s="82">
        <f>SUM(CV52:CV53)</f>
        <v>0</v>
      </c>
      <c r="CW51" s="91"/>
      <c r="CX51" s="81">
        <f t="shared" ref="CX51:DF51" si="308">SUM(CX52:CX53)</f>
        <v>0</v>
      </c>
      <c r="CY51" s="81">
        <f t="shared" si="308"/>
        <v>0</v>
      </c>
      <c r="CZ51" s="81">
        <f t="shared" si="308"/>
        <v>0</v>
      </c>
      <c r="DA51" s="81">
        <f t="shared" si="308"/>
        <v>0</v>
      </c>
      <c r="DB51" s="81">
        <f t="shared" si="308"/>
        <v>0</v>
      </c>
      <c r="DC51" s="81">
        <f t="shared" si="308"/>
        <v>0</v>
      </c>
      <c r="DD51" s="81">
        <f t="shared" si="308"/>
        <v>0</v>
      </c>
      <c r="DE51" s="81">
        <f t="shared" si="308"/>
        <v>0</v>
      </c>
      <c r="DF51" s="81">
        <f t="shared" si="308"/>
        <v>0</v>
      </c>
      <c r="DG51" s="82">
        <f>SUM(DG52:DG53)</f>
        <v>0</v>
      </c>
      <c r="DH51" s="91"/>
      <c r="DI51" s="81">
        <f t="shared" ref="DI51:DQ51" si="309">SUM(DI52:DI53)</f>
        <v>0</v>
      </c>
      <c r="DJ51" s="81">
        <f t="shared" si="309"/>
        <v>0</v>
      </c>
      <c r="DK51" s="81">
        <f t="shared" si="309"/>
        <v>0</v>
      </c>
      <c r="DL51" s="81">
        <f t="shared" si="309"/>
        <v>0</v>
      </c>
      <c r="DM51" s="81">
        <f t="shared" si="309"/>
        <v>0</v>
      </c>
      <c r="DN51" s="81">
        <f t="shared" si="309"/>
        <v>0</v>
      </c>
      <c r="DO51" s="81">
        <f t="shared" si="309"/>
        <v>0</v>
      </c>
      <c r="DP51" s="81">
        <f t="shared" si="309"/>
        <v>0</v>
      </c>
      <c r="DQ51" s="81">
        <f t="shared" si="309"/>
        <v>0</v>
      </c>
      <c r="DR51" s="82">
        <f>SUM(DR52:DR53)</f>
        <v>0</v>
      </c>
      <c r="DS51" s="91"/>
      <c r="DT51" s="81">
        <f t="shared" ref="DT51:EB51" si="310">SUM(DT52:DT53)</f>
        <v>0</v>
      </c>
      <c r="DU51" s="81">
        <f t="shared" si="310"/>
        <v>0</v>
      </c>
      <c r="DV51" s="81">
        <f t="shared" si="310"/>
        <v>0</v>
      </c>
      <c r="DW51" s="81">
        <f t="shared" si="310"/>
        <v>0</v>
      </c>
      <c r="DX51" s="81">
        <f t="shared" si="310"/>
        <v>0</v>
      </c>
      <c r="DY51" s="81">
        <f t="shared" si="310"/>
        <v>0</v>
      </c>
      <c r="DZ51" s="81">
        <f t="shared" si="310"/>
        <v>0</v>
      </c>
      <c r="EA51" s="81">
        <f t="shared" si="310"/>
        <v>0</v>
      </c>
      <c r="EB51" s="81">
        <f t="shared" si="310"/>
        <v>0</v>
      </c>
      <c r="EC51" s="81">
        <f>SUM(EC52:EC53)</f>
        <v>0</v>
      </c>
      <c r="ED51" s="91"/>
      <c r="EE51" s="81">
        <f>SUM(EE52:EE53)</f>
        <v>0</v>
      </c>
      <c r="EF51" s="81">
        <f t="shared" ref="EF51:EM51" si="311">SUM(EF52:EF53)</f>
        <v>0</v>
      </c>
      <c r="EG51" s="81">
        <f t="shared" si="311"/>
        <v>0</v>
      </c>
      <c r="EH51" s="81">
        <f t="shared" si="311"/>
        <v>0</v>
      </c>
      <c r="EI51" s="81">
        <f t="shared" si="311"/>
        <v>0</v>
      </c>
      <c r="EJ51" s="81">
        <f t="shared" si="311"/>
        <v>0</v>
      </c>
      <c r="EK51" s="81">
        <f t="shared" si="311"/>
        <v>0</v>
      </c>
      <c r="EL51" s="81">
        <f t="shared" si="311"/>
        <v>0</v>
      </c>
      <c r="EM51" s="81">
        <f t="shared" si="311"/>
        <v>0</v>
      </c>
      <c r="EN51" s="82">
        <f>SUM(EN52:EN53)</f>
        <v>0</v>
      </c>
      <c r="EO51" s="91"/>
      <c r="EP51" s="81">
        <f t="shared" ref="EP51:EX51" si="312">SUM(EP52:EP53)</f>
        <v>0</v>
      </c>
      <c r="EQ51" s="81">
        <f t="shared" si="312"/>
        <v>0</v>
      </c>
      <c r="ER51" s="81">
        <f t="shared" si="312"/>
        <v>0</v>
      </c>
      <c r="ES51" s="81">
        <f t="shared" si="312"/>
        <v>0</v>
      </c>
      <c r="ET51" s="81">
        <f t="shared" si="312"/>
        <v>0</v>
      </c>
      <c r="EU51" s="81">
        <f t="shared" si="312"/>
        <v>0</v>
      </c>
      <c r="EV51" s="81">
        <f t="shared" si="312"/>
        <v>0</v>
      </c>
      <c r="EW51" s="81">
        <f t="shared" si="312"/>
        <v>0</v>
      </c>
      <c r="EX51" s="81">
        <f t="shared" si="312"/>
        <v>0</v>
      </c>
      <c r="EY51" s="82">
        <f>SUM(EY52:EY53)</f>
        <v>0</v>
      </c>
      <c r="EZ51" s="91"/>
      <c r="FA51" s="81">
        <f t="shared" ref="FA51:FI51" si="313">SUM(FA52:FA53)</f>
        <v>0</v>
      </c>
      <c r="FB51" s="81">
        <f t="shared" si="313"/>
        <v>0</v>
      </c>
      <c r="FC51" s="81">
        <f t="shared" si="313"/>
        <v>0</v>
      </c>
      <c r="FD51" s="81">
        <f t="shared" si="313"/>
        <v>0</v>
      </c>
      <c r="FE51" s="81">
        <f t="shared" si="313"/>
        <v>0</v>
      </c>
      <c r="FF51" s="81">
        <f t="shared" si="313"/>
        <v>0</v>
      </c>
      <c r="FG51" s="81">
        <f t="shared" si="313"/>
        <v>0</v>
      </c>
      <c r="FH51" s="81">
        <f t="shared" si="313"/>
        <v>0</v>
      </c>
      <c r="FI51" s="81">
        <f t="shared" si="313"/>
        <v>0</v>
      </c>
      <c r="FJ51" s="82">
        <f>SUM(FJ52:FJ53)</f>
        <v>0</v>
      </c>
      <c r="FK51" s="91"/>
      <c r="FL51" s="81">
        <f t="shared" ref="FL51:FT51" si="314">SUM(FL52:FL53)</f>
        <v>0</v>
      </c>
      <c r="FM51" s="81">
        <f t="shared" si="314"/>
        <v>0</v>
      </c>
      <c r="FN51" s="81">
        <f t="shared" si="314"/>
        <v>0</v>
      </c>
      <c r="FO51" s="81">
        <f t="shared" si="314"/>
        <v>0</v>
      </c>
      <c r="FP51" s="81">
        <f t="shared" si="314"/>
        <v>0</v>
      </c>
      <c r="FQ51" s="81">
        <f t="shared" si="314"/>
        <v>0</v>
      </c>
      <c r="FR51" s="81">
        <f t="shared" si="314"/>
        <v>0</v>
      </c>
      <c r="FS51" s="81">
        <f t="shared" si="314"/>
        <v>0</v>
      </c>
      <c r="FT51" s="81">
        <f t="shared" si="314"/>
        <v>0</v>
      </c>
      <c r="FU51" s="82">
        <f>SUM(FU52:FU53)</f>
        <v>0</v>
      </c>
      <c r="FV51" s="91"/>
      <c r="FW51" s="81">
        <f>SUM(FW52:FW53)</f>
        <v>0</v>
      </c>
      <c r="FX51" s="81">
        <f t="shared" ref="FX51:GE51" si="315">SUM(FX52:FX53)</f>
        <v>0</v>
      </c>
      <c r="FY51" s="81">
        <f t="shared" si="315"/>
        <v>0</v>
      </c>
      <c r="FZ51" s="81">
        <f t="shared" si="315"/>
        <v>0</v>
      </c>
      <c r="GA51" s="81">
        <f t="shared" si="315"/>
        <v>0</v>
      </c>
      <c r="GB51" s="81">
        <f t="shared" si="315"/>
        <v>0</v>
      </c>
      <c r="GC51" s="81">
        <f t="shared" si="315"/>
        <v>0</v>
      </c>
      <c r="GD51" s="81">
        <f t="shared" si="315"/>
        <v>0</v>
      </c>
      <c r="GE51" s="81">
        <f t="shared" si="315"/>
        <v>0</v>
      </c>
      <c r="GF51" s="82">
        <f>SUM(GF52:GF53)</f>
        <v>0</v>
      </c>
      <c r="GG51" s="91"/>
      <c r="GH51" s="81">
        <f t="shared" ref="GH51:GP51" si="316">SUM(GH52:GH53)</f>
        <v>0</v>
      </c>
      <c r="GI51" s="81">
        <f t="shared" si="316"/>
        <v>0</v>
      </c>
      <c r="GJ51" s="81">
        <f t="shared" si="316"/>
        <v>0</v>
      </c>
      <c r="GK51" s="81">
        <f t="shared" si="316"/>
        <v>0</v>
      </c>
      <c r="GL51" s="81">
        <f t="shared" si="316"/>
        <v>0</v>
      </c>
      <c r="GM51" s="81">
        <f t="shared" si="316"/>
        <v>0</v>
      </c>
      <c r="GN51" s="81">
        <f t="shared" si="316"/>
        <v>0</v>
      </c>
      <c r="GO51" s="81">
        <f t="shared" si="316"/>
        <v>0</v>
      </c>
      <c r="GP51" s="81">
        <f t="shared" si="316"/>
        <v>0</v>
      </c>
      <c r="GQ51" s="82">
        <f t="shared" ref="GQ51:HV51" si="317">SUM(GQ52:GQ53)</f>
        <v>0</v>
      </c>
      <c r="GR51" s="81">
        <f t="shared" si="317"/>
        <v>0</v>
      </c>
      <c r="GS51" s="81">
        <f t="shared" si="317"/>
        <v>0</v>
      </c>
      <c r="GT51" s="81">
        <f t="shared" si="317"/>
        <v>0</v>
      </c>
      <c r="GU51" s="81">
        <f t="shared" si="317"/>
        <v>0</v>
      </c>
      <c r="GV51" s="81">
        <f t="shared" si="317"/>
        <v>0</v>
      </c>
      <c r="GW51" s="81">
        <f t="shared" si="317"/>
        <v>0</v>
      </c>
      <c r="GX51" s="81">
        <f t="shared" si="317"/>
        <v>0</v>
      </c>
      <c r="GY51" s="81">
        <f t="shared" si="317"/>
        <v>0</v>
      </c>
      <c r="GZ51" s="81">
        <f t="shared" si="317"/>
        <v>0</v>
      </c>
      <c r="HA51" s="81">
        <f t="shared" si="317"/>
        <v>0</v>
      </c>
      <c r="HB51" s="81">
        <f t="shared" si="317"/>
        <v>0</v>
      </c>
      <c r="HC51" s="81">
        <f t="shared" si="317"/>
        <v>0</v>
      </c>
      <c r="HD51" s="81">
        <f t="shared" si="317"/>
        <v>0</v>
      </c>
      <c r="HE51" s="81">
        <f t="shared" si="317"/>
        <v>0</v>
      </c>
      <c r="HF51" s="81">
        <f t="shared" si="317"/>
        <v>0</v>
      </c>
      <c r="HG51" s="81">
        <f t="shared" si="317"/>
        <v>0</v>
      </c>
      <c r="HH51" s="81">
        <f t="shared" si="317"/>
        <v>0</v>
      </c>
      <c r="HI51" s="81">
        <f t="shared" si="317"/>
        <v>0</v>
      </c>
      <c r="HJ51" s="81">
        <f t="shared" si="317"/>
        <v>0</v>
      </c>
      <c r="HK51" s="81">
        <f t="shared" si="317"/>
        <v>0</v>
      </c>
      <c r="HL51" s="81">
        <f t="shared" si="317"/>
        <v>0</v>
      </c>
      <c r="HM51" s="81">
        <f t="shared" si="317"/>
        <v>0</v>
      </c>
      <c r="HN51" s="81">
        <f t="shared" si="317"/>
        <v>0</v>
      </c>
      <c r="HO51" s="81">
        <f t="shared" si="317"/>
        <v>0</v>
      </c>
      <c r="HP51" s="81">
        <f t="shared" si="317"/>
        <v>0</v>
      </c>
      <c r="HQ51" s="81">
        <f t="shared" si="317"/>
        <v>0</v>
      </c>
      <c r="HR51" s="81">
        <f t="shared" si="317"/>
        <v>0</v>
      </c>
      <c r="HS51" s="81">
        <f t="shared" si="317"/>
        <v>0</v>
      </c>
      <c r="HT51" s="81">
        <f t="shared" si="317"/>
        <v>0</v>
      </c>
      <c r="HU51" s="81">
        <f t="shared" si="317"/>
        <v>0</v>
      </c>
      <c r="HV51" s="81">
        <f t="shared" si="317"/>
        <v>0</v>
      </c>
      <c r="HW51" s="81">
        <f t="shared" ref="HW51:IV51" si="318">SUM(HW52:HW53)</f>
        <v>0</v>
      </c>
      <c r="HX51" s="81">
        <f t="shared" si="318"/>
        <v>0</v>
      </c>
      <c r="HY51" s="81">
        <f t="shared" si="318"/>
        <v>0</v>
      </c>
      <c r="HZ51" s="81">
        <f t="shared" si="318"/>
        <v>0</v>
      </c>
      <c r="IA51" s="81">
        <f t="shared" si="318"/>
        <v>0</v>
      </c>
      <c r="IB51" s="81">
        <f t="shared" si="318"/>
        <v>0</v>
      </c>
      <c r="IC51" s="81">
        <f t="shared" si="318"/>
        <v>0</v>
      </c>
      <c r="ID51" s="81">
        <f t="shared" si="318"/>
        <v>0</v>
      </c>
      <c r="IE51" s="81">
        <f t="shared" si="318"/>
        <v>0</v>
      </c>
      <c r="IF51" s="81">
        <f t="shared" si="318"/>
        <v>0</v>
      </c>
      <c r="IG51" s="81">
        <f t="shared" si="318"/>
        <v>0</v>
      </c>
      <c r="IH51" s="81">
        <f t="shared" si="318"/>
        <v>0</v>
      </c>
      <c r="II51" s="81">
        <f t="shared" si="318"/>
        <v>0</v>
      </c>
      <c r="IJ51" s="81">
        <f t="shared" si="318"/>
        <v>0</v>
      </c>
      <c r="IK51" s="81">
        <f t="shared" si="318"/>
        <v>0</v>
      </c>
      <c r="IL51" s="81">
        <f t="shared" si="318"/>
        <v>0</v>
      </c>
      <c r="IM51" s="81">
        <f t="shared" si="318"/>
        <v>0</v>
      </c>
      <c r="IN51" s="81">
        <f t="shared" si="318"/>
        <v>0</v>
      </c>
      <c r="IO51" s="81">
        <f t="shared" si="318"/>
        <v>0</v>
      </c>
      <c r="IP51" s="81">
        <f t="shared" si="318"/>
        <v>0</v>
      </c>
      <c r="IQ51" s="81">
        <f t="shared" si="318"/>
        <v>0</v>
      </c>
      <c r="IR51" s="81">
        <f t="shared" si="318"/>
        <v>0</v>
      </c>
      <c r="IS51" s="81">
        <f t="shared" si="318"/>
        <v>0</v>
      </c>
      <c r="IT51" s="81">
        <f t="shared" si="318"/>
        <v>0</v>
      </c>
      <c r="IU51" s="81">
        <f t="shared" si="318"/>
        <v>0</v>
      </c>
      <c r="IV51" s="81">
        <f t="shared" si="318"/>
        <v>0</v>
      </c>
    </row>
    <row r="52" spans="1:256" ht="14.1" customHeight="1" x14ac:dyDescent="0.25">
      <c r="A52" s="83" t="s">
        <v>62</v>
      </c>
      <c r="B52" s="62"/>
      <c r="C52" s="63"/>
      <c r="D52" s="63"/>
      <c r="E52" s="63"/>
      <c r="F52" s="63"/>
      <c r="G52" s="63"/>
      <c r="H52" s="63"/>
      <c r="I52" s="63"/>
      <c r="J52" s="63"/>
      <c r="K52" s="63"/>
      <c r="L52" s="64">
        <f>SUM(C52:F52,H52:K52)</f>
        <v>0</v>
      </c>
      <c r="M52" s="62"/>
      <c r="N52" s="63"/>
      <c r="O52" s="63"/>
      <c r="P52" s="63"/>
      <c r="Q52" s="63"/>
      <c r="R52" s="63"/>
      <c r="S52" s="63"/>
      <c r="T52" s="63"/>
      <c r="U52" s="63"/>
      <c r="V52" s="63"/>
      <c r="W52" s="64">
        <f>SUM(N52:Q52,S52:V52)</f>
        <v>0</v>
      </c>
      <c r="X52" s="62"/>
      <c r="Y52" s="63"/>
      <c r="Z52" s="63"/>
      <c r="AA52" s="63"/>
      <c r="AB52" s="63"/>
      <c r="AC52" s="63"/>
      <c r="AD52" s="63"/>
      <c r="AE52" s="63"/>
      <c r="AF52" s="63"/>
      <c r="AG52" s="63"/>
      <c r="AH52" s="64">
        <f>SUM(Y52:AB52,AD52:AG52)</f>
        <v>0</v>
      </c>
      <c r="AI52" s="62"/>
      <c r="AJ52" s="63"/>
      <c r="AK52" s="63"/>
      <c r="AL52" s="63"/>
      <c r="AM52" s="63"/>
      <c r="AN52" s="63"/>
      <c r="AO52" s="63"/>
      <c r="AP52" s="63"/>
      <c r="AQ52" s="63"/>
      <c r="AR52" s="63"/>
      <c r="AS52" s="64">
        <f>SUM(AJ52:AM52,AO52:AR52)</f>
        <v>0</v>
      </c>
      <c r="AT52" s="65">
        <f t="shared" ref="AT52:BC53" si="319">SUM(M52,AI52,X52)</f>
        <v>0</v>
      </c>
      <c r="AU52" s="65">
        <f t="shared" si="319"/>
        <v>0</v>
      </c>
      <c r="AV52" s="65">
        <f t="shared" si="319"/>
        <v>0</v>
      </c>
      <c r="AW52" s="65">
        <f t="shared" si="319"/>
        <v>0</v>
      </c>
      <c r="AX52" s="65">
        <f t="shared" si="319"/>
        <v>0</v>
      </c>
      <c r="AY52" s="65">
        <f t="shared" si="319"/>
        <v>0</v>
      </c>
      <c r="AZ52" s="65">
        <f t="shared" si="319"/>
        <v>0</v>
      </c>
      <c r="BA52" s="65">
        <f t="shared" si="319"/>
        <v>0</v>
      </c>
      <c r="BB52" s="65">
        <f t="shared" si="319"/>
        <v>0</v>
      </c>
      <c r="BC52" s="65">
        <f t="shared" si="319"/>
        <v>0</v>
      </c>
      <c r="BD52" s="64">
        <f>SUM(AU52:AX52,AZ52:BC52)</f>
        <v>0</v>
      </c>
      <c r="BE52" s="62"/>
      <c r="BF52" s="63"/>
      <c r="BG52" s="63"/>
      <c r="BH52" s="63"/>
      <c r="BI52" s="63"/>
      <c r="BJ52" s="63"/>
      <c r="BK52" s="63"/>
      <c r="BL52" s="63"/>
      <c r="BM52" s="63"/>
      <c r="BN52" s="63"/>
      <c r="BO52" s="64">
        <f>SUM(BF52:BI52,BK52:BN52)</f>
        <v>0</v>
      </c>
      <c r="BP52" s="62"/>
      <c r="BQ52" s="63"/>
      <c r="BR52" s="63"/>
      <c r="BS52" s="63"/>
      <c r="BT52" s="63"/>
      <c r="BU52" s="63"/>
      <c r="BV52" s="63"/>
      <c r="BW52" s="63"/>
      <c r="BX52" s="63"/>
      <c r="BY52" s="63"/>
      <c r="BZ52" s="64">
        <f>SUM(BQ52:BT52,BV52:BY52)</f>
        <v>0</v>
      </c>
      <c r="CA52" s="62"/>
      <c r="CB52" s="63"/>
      <c r="CC52" s="63"/>
      <c r="CD52" s="63"/>
      <c r="CE52" s="63"/>
      <c r="CF52" s="63"/>
      <c r="CG52" s="63"/>
      <c r="CH52" s="63"/>
      <c r="CI52" s="63"/>
      <c r="CJ52" s="63"/>
      <c r="CK52" s="64">
        <f>SUM(CB52:CE52,CG52:CJ52)</f>
        <v>0</v>
      </c>
      <c r="CL52" s="65">
        <f t="shared" ref="CL52:CU53" si="320">SUM(BE52,CA52,BP52)</f>
        <v>0</v>
      </c>
      <c r="CM52" s="65">
        <f t="shared" si="320"/>
        <v>0</v>
      </c>
      <c r="CN52" s="65">
        <f t="shared" si="320"/>
        <v>0</v>
      </c>
      <c r="CO52" s="65">
        <f t="shared" si="320"/>
        <v>0</v>
      </c>
      <c r="CP52" s="65">
        <f t="shared" si="320"/>
        <v>0</v>
      </c>
      <c r="CQ52" s="65">
        <f t="shared" si="320"/>
        <v>0</v>
      </c>
      <c r="CR52" s="65">
        <f t="shared" si="320"/>
        <v>0</v>
      </c>
      <c r="CS52" s="65">
        <f t="shared" si="320"/>
        <v>0</v>
      </c>
      <c r="CT52" s="65">
        <f t="shared" si="320"/>
        <v>0</v>
      </c>
      <c r="CU52" s="65">
        <f t="shared" si="320"/>
        <v>0</v>
      </c>
      <c r="CV52" s="64">
        <f>SUM(CM52:CP52,CR52:CU52)</f>
        <v>0</v>
      </c>
      <c r="CW52" s="62"/>
      <c r="CX52" s="63"/>
      <c r="CY52" s="63"/>
      <c r="CZ52" s="63"/>
      <c r="DA52" s="63"/>
      <c r="DB52" s="63"/>
      <c r="DC52" s="63"/>
      <c r="DD52" s="63"/>
      <c r="DE52" s="63"/>
      <c r="DF52" s="63"/>
      <c r="DG52" s="64">
        <f>SUM(CX52:DA52,DC52:DF52)</f>
        <v>0</v>
      </c>
      <c r="DH52" s="62"/>
      <c r="DI52" s="63"/>
      <c r="DJ52" s="63"/>
      <c r="DK52" s="63"/>
      <c r="DL52" s="63"/>
      <c r="DM52" s="63"/>
      <c r="DN52" s="63"/>
      <c r="DO52" s="63"/>
      <c r="DP52" s="63"/>
      <c r="DQ52" s="63"/>
      <c r="DR52" s="64">
        <f>SUM(DI52:DL52,DN52:DQ52)</f>
        <v>0</v>
      </c>
      <c r="DS52" s="62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5">
        <f t="shared" ref="ED52:EM53" si="321">SUM(CW52,DS52,DH52)</f>
        <v>0</v>
      </c>
      <c r="EE52" s="65">
        <f t="shared" si="321"/>
        <v>0</v>
      </c>
      <c r="EF52" s="65">
        <f t="shared" si="321"/>
        <v>0</v>
      </c>
      <c r="EG52" s="65">
        <f t="shared" si="321"/>
        <v>0</v>
      </c>
      <c r="EH52" s="65">
        <f t="shared" si="321"/>
        <v>0</v>
      </c>
      <c r="EI52" s="65">
        <f t="shared" si="321"/>
        <v>0</v>
      </c>
      <c r="EJ52" s="65">
        <f t="shared" si="321"/>
        <v>0</v>
      </c>
      <c r="EK52" s="65">
        <f t="shared" si="321"/>
        <v>0</v>
      </c>
      <c r="EL52" s="65">
        <f t="shared" si="321"/>
        <v>0</v>
      </c>
      <c r="EM52" s="65">
        <f t="shared" si="321"/>
        <v>0</v>
      </c>
      <c r="EN52" s="64">
        <f>SUM(EE52:EH52,EJ52:EM52)</f>
        <v>0</v>
      </c>
      <c r="EO52" s="62"/>
      <c r="EP52" s="63"/>
      <c r="EQ52" s="63"/>
      <c r="ER52" s="63"/>
      <c r="ES52" s="63"/>
      <c r="ET52" s="63"/>
      <c r="EU52" s="63"/>
      <c r="EV52" s="63"/>
      <c r="EW52" s="63"/>
      <c r="EX52" s="63"/>
      <c r="EY52" s="64">
        <f>SUM(EP52:ES52,EU52:EX52)</f>
        <v>0</v>
      </c>
      <c r="EZ52" s="62"/>
      <c r="FA52" s="63"/>
      <c r="FB52" s="63"/>
      <c r="FC52" s="63"/>
      <c r="FD52" s="63"/>
      <c r="FE52" s="63"/>
      <c r="FF52" s="63"/>
      <c r="FG52" s="63"/>
      <c r="FH52" s="63"/>
      <c r="FI52" s="63"/>
      <c r="FJ52" s="64">
        <f>SUM(FA52:FD52,FF52:FI52)</f>
        <v>0</v>
      </c>
      <c r="FK52" s="62"/>
      <c r="FL52" s="63"/>
      <c r="FM52" s="63"/>
      <c r="FN52" s="63"/>
      <c r="FO52" s="63"/>
      <c r="FP52" s="63"/>
      <c r="FQ52" s="63"/>
      <c r="FR52" s="63"/>
      <c r="FS52" s="63"/>
      <c r="FT52" s="63"/>
      <c r="FU52" s="64">
        <f>SUM(FL52:FO52,FQ52:FT52)</f>
        <v>0</v>
      </c>
      <c r="FV52" s="65">
        <f t="shared" ref="FV52:GE53" si="322">SUM(EO52,FK52,EZ52)</f>
        <v>0</v>
      </c>
      <c r="FW52" s="65">
        <f t="shared" si="322"/>
        <v>0</v>
      </c>
      <c r="FX52" s="65">
        <f t="shared" si="322"/>
        <v>0</v>
      </c>
      <c r="FY52" s="65">
        <f t="shared" si="322"/>
        <v>0</v>
      </c>
      <c r="FZ52" s="65">
        <f t="shared" si="322"/>
        <v>0</v>
      </c>
      <c r="GA52" s="65">
        <f t="shared" si="322"/>
        <v>0</v>
      </c>
      <c r="GB52" s="65">
        <f t="shared" si="322"/>
        <v>0</v>
      </c>
      <c r="GC52" s="65">
        <f t="shared" si="322"/>
        <v>0</v>
      </c>
      <c r="GD52" s="65">
        <f t="shared" si="322"/>
        <v>0</v>
      </c>
      <c r="GE52" s="65">
        <f t="shared" si="322"/>
        <v>0</v>
      </c>
      <c r="GF52" s="64">
        <f>SUM(FW52:FZ52,GB52:GE52)</f>
        <v>0</v>
      </c>
      <c r="GG52" s="66">
        <f t="shared" ref="GG52:GP53" si="323">SUM(AT52,CL52,ED52,FV52)</f>
        <v>0</v>
      </c>
      <c r="GH52" s="66">
        <f t="shared" si="323"/>
        <v>0</v>
      </c>
      <c r="GI52" s="66">
        <f t="shared" si="323"/>
        <v>0</v>
      </c>
      <c r="GJ52" s="66">
        <f t="shared" si="323"/>
        <v>0</v>
      </c>
      <c r="GK52" s="66">
        <f t="shared" si="323"/>
        <v>0</v>
      </c>
      <c r="GL52" s="66">
        <f t="shared" si="323"/>
        <v>0</v>
      </c>
      <c r="GM52" s="66">
        <f t="shared" si="323"/>
        <v>0</v>
      </c>
      <c r="GN52" s="66">
        <f t="shared" si="323"/>
        <v>0</v>
      </c>
      <c r="GO52" s="66">
        <f t="shared" si="323"/>
        <v>0</v>
      </c>
      <c r="GP52" s="66">
        <f t="shared" si="323"/>
        <v>0</v>
      </c>
      <c r="GQ52" s="64">
        <f>SUM(GH52:GK52,GM52:GP52)</f>
        <v>0</v>
      </c>
      <c r="GR52" s="63"/>
      <c r="GS52" s="63"/>
      <c r="GT52" s="63"/>
      <c r="GU52" s="63"/>
      <c r="GV52" s="67">
        <f>SUM(GR52:GU52)</f>
        <v>0</v>
      </c>
      <c r="GW52" s="63"/>
      <c r="GX52" s="63"/>
      <c r="GY52" s="63"/>
      <c r="GZ52" s="63"/>
      <c r="HA52" s="67">
        <f>SUM(GW52:GZ52)</f>
        <v>0</v>
      </c>
      <c r="HB52" s="63"/>
      <c r="HC52" s="63"/>
      <c r="HD52" s="63"/>
      <c r="HE52" s="63"/>
      <c r="HF52" s="67">
        <f>SUM(HB52:HE52)</f>
        <v>0</v>
      </c>
      <c r="HG52" s="63"/>
      <c r="HH52" s="63"/>
      <c r="HI52" s="63"/>
      <c r="HJ52" s="63"/>
      <c r="HK52" s="67">
        <f>SUM(HG52:HJ52)</f>
        <v>0</v>
      </c>
      <c r="HL52" s="68">
        <f t="shared" ref="HL52:HO53" si="324">SUM(GW52,HB52,HG52)</f>
        <v>0</v>
      </c>
      <c r="HM52" s="68">
        <f t="shared" si="324"/>
        <v>0</v>
      </c>
      <c r="HN52" s="68">
        <f t="shared" si="324"/>
        <v>0</v>
      </c>
      <c r="HO52" s="68">
        <f t="shared" si="324"/>
        <v>0</v>
      </c>
      <c r="HP52" s="67">
        <f>SUM(HL52:HO52)</f>
        <v>0</v>
      </c>
      <c r="HQ52" s="63"/>
      <c r="HR52" s="63"/>
      <c r="HS52" s="63"/>
      <c r="HT52" s="63"/>
      <c r="HU52" s="67">
        <f>SUM(HQ52:HT52)</f>
        <v>0</v>
      </c>
      <c r="HV52" s="63"/>
      <c r="HW52" s="63"/>
      <c r="HX52" s="63"/>
      <c r="HY52" s="63"/>
      <c r="HZ52" s="67">
        <f>SUM(HV52:HY52)</f>
        <v>0</v>
      </c>
      <c r="IA52" s="63"/>
      <c r="IB52" s="63"/>
      <c r="IC52" s="63"/>
      <c r="ID52" s="63"/>
      <c r="IE52" s="67">
        <f>SUM(IA52:ID52)</f>
        <v>0</v>
      </c>
      <c r="IF52" s="68">
        <f t="shared" ref="IF52:II53" si="325">SUM(HQ52,HV52,IA52)</f>
        <v>0</v>
      </c>
      <c r="IG52" s="68">
        <f t="shared" si="325"/>
        <v>0</v>
      </c>
      <c r="IH52" s="68">
        <f t="shared" si="325"/>
        <v>0</v>
      </c>
      <c r="II52" s="68">
        <f t="shared" si="325"/>
        <v>0</v>
      </c>
      <c r="IJ52" s="67">
        <f>SUM(IF52:II52)</f>
        <v>0</v>
      </c>
      <c r="IK52" s="63"/>
      <c r="IL52" s="63"/>
      <c r="IM52" s="63"/>
      <c r="IN52" s="63"/>
      <c r="IO52" s="67">
        <f>SUM(IK52:IN52)</f>
        <v>0</v>
      </c>
      <c r="IP52" s="63"/>
      <c r="IQ52" s="63"/>
      <c r="IR52" s="63"/>
      <c r="IS52" s="63"/>
      <c r="IT52" s="67">
        <f>SUM(IP52:IS52)</f>
        <v>0</v>
      </c>
      <c r="IU52" s="63"/>
      <c r="IV52" s="63"/>
    </row>
    <row r="53" spans="1:256" ht="14.1" customHeight="1" x14ac:dyDescent="0.25">
      <c r="A53" s="83" t="s">
        <v>63</v>
      </c>
      <c r="B53" s="62"/>
      <c r="C53" s="63"/>
      <c r="D53" s="63"/>
      <c r="E53" s="63"/>
      <c r="F53" s="63"/>
      <c r="G53" s="63"/>
      <c r="H53" s="63"/>
      <c r="I53" s="63"/>
      <c r="J53" s="63"/>
      <c r="K53" s="63"/>
      <c r="L53" s="64">
        <f>SUM(C53:F53,H53:K53)</f>
        <v>0</v>
      </c>
      <c r="M53" s="62"/>
      <c r="N53" s="63"/>
      <c r="O53" s="63"/>
      <c r="P53" s="63"/>
      <c r="Q53" s="63"/>
      <c r="R53" s="63"/>
      <c r="S53" s="63"/>
      <c r="T53" s="63"/>
      <c r="U53" s="63"/>
      <c r="V53" s="63"/>
      <c r="W53" s="64">
        <f>SUM(N53:Q53,S53:V53)</f>
        <v>0</v>
      </c>
      <c r="X53" s="62"/>
      <c r="Y53" s="63"/>
      <c r="Z53" s="63"/>
      <c r="AA53" s="63"/>
      <c r="AB53" s="63"/>
      <c r="AC53" s="63"/>
      <c r="AD53" s="63"/>
      <c r="AE53" s="63"/>
      <c r="AF53" s="63"/>
      <c r="AG53" s="63"/>
      <c r="AH53" s="64">
        <f>SUM(Y53:AB53,AD53:AG53)</f>
        <v>0</v>
      </c>
      <c r="AI53" s="62"/>
      <c r="AJ53" s="63"/>
      <c r="AK53" s="63"/>
      <c r="AL53" s="63"/>
      <c r="AM53" s="63"/>
      <c r="AN53" s="63"/>
      <c r="AO53" s="63"/>
      <c r="AP53" s="63"/>
      <c r="AQ53" s="63"/>
      <c r="AR53" s="63"/>
      <c r="AS53" s="64">
        <f>SUM(AJ53:AM53,AO53:AR53)</f>
        <v>0</v>
      </c>
      <c r="AT53" s="65">
        <f t="shared" si="319"/>
        <v>0</v>
      </c>
      <c r="AU53" s="65">
        <f t="shared" si="319"/>
        <v>0</v>
      </c>
      <c r="AV53" s="65">
        <f t="shared" si="319"/>
        <v>0</v>
      </c>
      <c r="AW53" s="65">
        <f t="shared" si="319"/>
        <v>0</v>
      </c>
      <c r="AX53" s="65">
        <f t="shared" si="319"/>
        <v>0</v>
      </c>
      <c r="AY53" s="65">
        <f t="shared" si="319"/>
        <v>0</v>
      </c>
      <c r="AZ53" s="65">
        <f t="shared" si="319"/>
        <v>0</v>
      </c>
      <c r="BA53" s="65">
        <f t="shared" si="319"/>
        <v>0</v>
      </c>
      <c r="BB53" s="65">
        <f t="shared" si="319"/>
        <v>0</v>
      </c>
      <c r="BC53" s="65">
        <f t="shared" si="319"/>
        <v>0</v>
      </c>
      <c r="BD53" s="64">
        <f>SUM(AU53:AX53,AZ53:BC53)</f>
        <v>0</v>
      </c>
      <c r="BE53" s="62"/>
      <c r="BF53" s="63"/>
      <c r="BG53" s="63"/>
      <c r="BH53" s="63"/>
      <c r="BI53" s="63"/>
      <c r="BJ53" s="63"/>
      <c r="BK53" s="63"/>
      <c r="BL53" s="63"/>
      <c r="BM53" s="63"/>
      <c r="BN53" s="63"/>
      <c r="BO53" s="64">
        <f>SUM(BF53:BI53,BK53:BN53)</f>
        <v>0</v>
      </c>
      <c r="BP53" s="62"/>
      <c r="BQ53" s="63"/>
      <c r="BR53" s="63"/>
      <c r="BS53" s="63"/>
      <c r="BT53" s="63"/>
      <c r="BU53" s="63"/>
      <c r="BV53" s="63"/>
      <c r="BW53" s="63"/>
      <c r="BX53" s="63"/>
      <c r="BY53" s="63"/>
      <c r="BZ53" s="64">
        <f>SUM(BQ53:BT53,BV53:BY53)</f>
        <v>0</v>
      </c>
      <c r="CA53" s="62"/>
      <c r="CB53" s="63"/>
      <c r="CC53" s="63"/>
      <c r="CD53" s="63"/>
      <c r="CE53" s="63"/>
      <c r="CF53" s="63"/>
      <c r="CG53" s="63"/>
      <c r="CH53" s="63"/>
      <c r="CI53" s="63"/>
      <c r="CJ53" s="63"/>
      <c r="CK53" s="64">
        <f>SUM(CB53:CE53,CG53:CJ53)</f>
        <v>0</v>
      </c>
      <c r="CL53" s="65">
        <f t="shared" si="320"/>
        <v>0</v>
      </c>
      <c r="CM53" s="65">
        <f t="shared" si="320"/>
        <v>0</v>
      </c>
      <c r="CN53" s="65">
        <f t="shared" si="320"/>
        <v>0</v>
      </c>
      <c r="CO53" s="65">
        <f t="shared" si="320"/>
        <v>0</v>
      </c>
      <c r="CP53" s="65">
        <f t="shared" si="320"/>
        <v>0</v>
      </c>
      <c r="CQ53" s="65">
        <f t="shared" si="320"/>
        <v>0</v>
      </c>
      <c r="CR53" s="65">
        <f t="shared" si="320"/>
        <v>0</v>
      </c>
      <c r="CS53" s="65">
        <f t="shared" si="320"/>
        <v>0</v>
      </c>
      <c r="CT53" s="65">
        <f t="shared" si="320"/>
        <v>0</v>
      </c>
      <c r="CU53" s="65">
        <f t="shared" si="320"/>
        <v>0</v>
      </c>
      <c r="CV53" s="64">
        <f>SUM(CM53:CP53,CR53:CU53)</f>
        <v>0</v>
      </c>
      <c r="CW53" s="62"/>
      <c r="CX53" s="63"/>
      <c r="CY53" s="63"/>
      <c r="CZ53" s="63"/>
      <c r="DA53" s="63"/>
      <c r="DB53" s="63"/>
      <c r="DC53" s="63"/>
      <c r="DD53" s="63"/>
      <c r="DE53" s="63"/>
      <c r="DF53" s="63"/>
      <c r="DG53" s="64">
        <f>SUM(CX53:DA53,DC53:DF53)</f>
        <v>0</v>
      </c>
      <c r="DH53" s="62"/>
      <c r="DI53" s="63"/>
      <c r="DJ53" s="63"/>
      <c r="DK53" s="63"/>
      <c r="DL53" s="63"/>
      <c r="DM53" s="63"/>
      <c r="DN53" s="63"/>
      <c r="DO53" s="63"/>
      <c r="DP53" s="63"/>
      <c r="DQ53" s="63"/>
      <c r="DR53" s="64">
        <f>SUM(DI53:DL53,DN53:DQ53)</f>
        <v>0</v>
      </c>
      <c r="DS53" s="62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5">
        <f t="shared" si="321"/>
        <v>0</v>
      </c>
      <c r="EE53" s="65">
        <f t="shared" si="321"/>
        <v>0</v>
      </c>
      <c r="EF53" s="65">
        <f t="shared" si="321"/>
        <v>0</v>
      </c>
      <c r="EG53" s="65">
        <f t="shared" si="321"/>
        <v>0</v>
      </c>
      <c r="EH53" s="65">
        <f t="shared" si="321"/>
        <v>0</v>
      </c>
      <c r="EI53" s="65">
        <f t="shared" si="321"/>
        <v>0</v>
      </c>
      <c r="EJ53" s="65">
        <f t="shared" si="321"/>
        <v>0</v>
      </c>
      <c r="EK53" s="65">
        <f t="shared" si="321"/>
        <v>0</v>
      </c>
      <c r="EL53" s="65">
        <f t="shared" si="321"/>
        <v>0</v>
      </c>
      <c r="EM53" s="65">
        <f t="shared" si="321"/>
        <v>0</v>
      </c>
      <c r="EN53" s="64">
        <f>SUM(EE53:EH53,EJ53:EM53)</f>
        <v>0</v>
      </c>
      <c r="EO53" s="62"/>
      <c r="EP53" s="63"/>
      <c r="EQ53" s="63"/>
      <c r="ER53" s="63"/>
      <c r="ES53" s="63"/>
      <c r="ET53" s="63"/>
      <c r="EU53" s="63"/>
      <c r="EV53" s="63"/>
      <c r="EW53" s="63"/>
      <c r="EX53" s="63"/>
      <c r="EY53" s="64">
        <f>SUM(EP53:ES53,EU53:EX53)</f>
        <v>0</v>
      </c>
      <c r="EZ53" s="62"/>
      <c r="FA53" s="63"/>
      <c r="FB53" s="63"/>
      <c r="FC53" s="63"/>
      <c r="FD53" s="63"/>
      <c r="FE53" s="63"/>
      <c r="FF53" s="63"/>
      <c r="FG53" s="63"/>
      <c r="FH53" s="63"/>
      <c r="FI53" s="63"/>
      <c r="FJ53" s="64">
        <f>SUM(FA53:FD53,FF53:FI53)</f>
        <v>0</v>
      </c>
      <c r="FK53" s="62"/>
      <c r="FL53" s="63"/>
      <c r="FM53" s="63"/>
      <c r="FN53" s="63"/>
      <c r="FO53" s="63"/>
      <c r="FP53" s="63"/>
      <c r="FQ53" s="63"/>
      <c r="FR53" s="63"/>
      <c r="FS53" s="63"/>
      <c r="FT53" s="63"/>
      <c r="FU53" s="64">
        <f>SUM(FL53:FO53,FQ53:FT53)</f>
        <v>0</v>
      </c>
      <c r="FV53" s="65">
        <f t="shared" si="322"/>
        <v>0</v>
      </c>
      <c r="FW53" s="65">
        <f t="shared" si="322"/>
        <v>0</v>
      </c>
      <c r="FX53" s="65">
        <f t="shared" si="322"/>
        <v>0</v>
      </c>
      <c r="FY53" s="65">
        <f t="shared" si="322"/>
        <v>0</v>
      </c>
      <c r="FZ53" s="65">
        <f t="shared" si="322"/>
        <v>0</v>
      </c>
      <c r="GA53" s="65">
        <f t="shared" si="322"/>
        <v>0</v>
      </c>
      <c r="GB53" s="65">
        <f t="shared" si="322"/>
        <v>0</v>
      </c>
      <c r="GC53" s="65">
        <f t="shared" si="322"/>
        <v>0</v>
      </c>
      <c r="GD53" s="65">
        <f t="shared" si="322"/>
        <v>0</v>
      </c>
      <c r="GE53" s="65">
        <f t="shared" si="322"/>
        <v>0</v>
      </c>
      <c r="GF53" s="64">
        <f>SUM(FW53:FZ53,GB53:GE53)</f>
        <v>0</v>
      </c>
      <c r="GG53" s="66">
        <f t="shared" si="323"/>
        <v>0</v>
      </c>
      <c r="GH53" s="66">
        <f t="shared" si="323"/>
        <v>0</v>
      </c>
      <c r="GI53" s="66">
        <f t="shared" si="323"/>
        <v>0</v>
      </c>
      <c r="GJ53" s="66">
        <f t="shared" si="323"/>
        <v>0</v>
      </c>
      <c r="GK53" s="66">
        <f t="shared" si="323"/>
        <v>0</v>
      </c>
      <c r="GL53" s="66">
        <f t="shared" si="323"/>
        <v>0</v>
      </c>
      <c r="GM53" s="66">
        <f t="shared" si="323"/>
        <v>0</v>
      </c>
      <c r="GN53" s="66">
        <f t="shared" si="323"/>
        <v>0</v>
      </c>
      <c r="GO53" s="66">
        <f t="shared" si="323"/>
        <v>0</v>
      </c>
      <c r="GP53" s="66">
        <f t="shared" si="323"/>
        <v>0</v>
      </c>
      <c r="GQ53" s="64">
        <f>SUM(GH53:GK53,GM53:GP53)</f>
        <v>0</v>
      </c>
      <c r="GR53" s="63"/>
      <c r="GS53" s="63"/>
      <c r="GT53" s="63"/>
      <c r="GU53" s="63"/>
      <c r="GV53" s="67">
        <f>SUM(GR53:GU53)</f>
        <v>0</v>
      </c>
      <c r="GW53" s="63"/>
      <c r="GX53" s="63"/>
      <c r="GY53" s="63"/>
      <c r="GZ53" s="63"/>
      <c r="HA53" s="67">
        <f>SUM(GW53:GZ53)</f>
        <v>0</v>
      </c>
      <c r="HB53" s="63"/>
      <c r="HC53" s="63"/>
      <c r="HD53" s="63"/>
      <c r="HE53" s="63"/>
      <c r="HF53" s="67">
        <f>SUM(HB53:HE53)</f>
        <v>0</v>
      </c>
      <c r="HG53" s="63"/>
      <c r="HH53" s="63"/>
      <c r="HI53" s="63"/>
      <c r="HJ53" s="63"/>
      <c r="HK53" s="67">
        <f>SUM(HG53:HJ53)</f>
        <v>0</v>
      </c>
      <c r="HL53" s="68">
        <f t="shared" si="324"/>
        <v>0</v>
      </c>
      <c r="HM53" s="68">
        <f t="shared" si="324"/>
        <v>0</v>
      </c>
      <c r="HN53" s="68">
        <f t="shared" si="324"/>
        <v>0</v>
      </c>
      <c r="HO53" s="68">
        <f t="shared" si="324"/>
        <v>0</v>
      </c>
      <c r="HP53" s="67">
        <f>SUM(HL53:HO53)</f>
        <v>0</v>
      </c>
      <c r="HQ53" s="63"/>
      <c r="HR53" s="63"/>
      <c r="HS53" s="63"/>
      <c r="HT53" s="63"/>
      <c r="HU53" s="67">
        <f>SUM(HQ53:HT53)</f>
        <v>0</v>
      </c>
      <c r="HV53" s="63"/>
      <c r="HW53" s="63"/>
      <c r="HX53" s="63"/>
      <c r="HY53" s="63"/>
      <c r="HZ53" s="67">
        <f>SUM(HV53:HY53)</f>
        <v>0</v>
      </c>
      <c r="IA53" s="63"/>
      <c r="IB53" s="63"/>
      <c r="IC53" s="63"/>
      <c r="ID53" s="63"/>
      <c r="IE53" s="67">
        <f>SUM(IA53:ID53)</f>
        <v>0</v>
      </c>
      <c r="IF53" s="68">
        <f t="shared" si="325"/>
        <v>0</v>
      </c>
      <c r="IG53" s="68">
        <f t="shared" si="325"/>
        <v>0</v>
      </c>
      <c r="IH53" s="68">
        <f t="shared" si="325"/>
        <v>0</v>
      </c>
      <c r="II53" s="68">
        <f t="shared" si="325"/>
        <v>0</v>
      </c>
      <c r="IJ53" s="67">
        <f>SUM(IF53:II53)</f>
        <v>0</v>
      </c>
      <c r="IK53" s="63"/>
      <c r="IL53" s="63"/>
      <c r="IM53" s="63"/>
      <c r="IN53" s="63"/>
      <c r="IO53" s="67">
        <f>SUM(IK53:IN53)</f>
        <v>0</v>
      </c>
      <c r="IP53" s="63"/>
      <c r="IQ53" s="63"/>
      <c r="IR53" s="63"/>
      <c r="IS53" s="63"/>
      <c r="IT53" s="67">
        <f>SUM(IP53:IS53)</f>
        <v>0</v>
      </c>
      <c r="IU53" s="63"/>
      <c r="IV53" s="63"/>
    </row>
    <row r="54" spans="1:256" s="57" customFormat="1" x14ac:dyDescent="0.25">
      <c r="A54" s="58" t="s">
        <v>64</v>
      </c>
      <c r="B54" s="94"/>
      <c r="C54" s="59">
        <f>SUM(C55:C59)</f>
        <v>0</v>
      </c>
      <c r="D54" s="59">
        <f t="shared" ref="D54:J54" si="326">SUM(D55:D59)</f>
        <v>0</v>
      </c>
      <c r="E54" s="59">
        <f t="shared" si="326"/>
        <v>0</v>
      </c>
      <c r="F54" s="59">
        <f t="shared" si="326"/>
        <v>0</v>
      </c>
      <c r="G54" s="59">
        <f>SUM(G55:G59)</f>
        <v>0</v>
      </c>
      <c r="H54" s="59">
        <f t="shared" si="326"/>
        <v>0</v>
      </c>
      <c r="I54" s="59">
        <f t="shared" si="326"/>
        <v>0</v>
      </c>
      <c r="J54" s="59">
        <f t="shared" si="326"/>
        <v>0</v>
      </c>
      <c r="K54" s="59">
        <f>SUM(K55:K59)</f>
        <v>0</v>
      </c>
      <c r="L54" s="59">
        <f>SUM(L56,L59,L62)</f>
        <v>0</v>
      </c>
      <c r="M54" s="94"/>
      <c r="N54" s="59">
        <f>SUM(N55:N59)</f>
        <v>0</v>
      </c>
      <c r="O54" s="59">
        <f t="shared" ref="O54:V54" si="327">SUM(O55:O59)</f>
        <v>0</v>
      </c>
      <c r="P54" s="59">
        <f t="shared" si="327"/>
        <v>0</v>
      </c>
      <c r="Q54" s="59">
        <f t="shared" si="327"/>
        <v>0</v>
      </c>
      <c r="R54" s="59">
        <f t="shared" si="327"/>
        <v>0</v>
      </c>
      <c r="S54" s="59">
        <f t="shared" si="327"/>
        <v>0</v>
      </c>
      <c r="T54" s="59">
        <f t="shared" si="327"/>
        <v>0</v>
      </c>
      <c r="U54" s="59">
        <f t="shared" si="327"/>
        <v>0</v>
      </c>
      <c r="V54" s="59">
        <f t="shared" si="327"/>
        <v>0</v>
      </c>
      <c r="W54" s="59">
        <f>SUM(W55:W59)</f>
        <v>0</v>
      </c>
      <c r="X54" s="94"/>
      <c r="Y54" s="59">
        <f>SUM(Y55:Y59)</f>
        <v>0</v>
      </c>
      <c r="Z54" s="59">
        <f t="shared" ref="Z54:AG54" si="328">SUM(Z55:Z59)</f>
        <v>0</v>
      </c>
      <c r="AA54" s="59">
        <f t="shared" si="328"/>
        <v>0</v>
      </c>
      <c r="AB54" s="59">
        <f t="shared" si="328"/>
        <v>0</v>
      </c>
      <c r="AC54" s="59">
        <f t="shared" si="328"/>
        <v>0</v>
      </c>
      <c r="AD54" s="59">
        <f t="shared" si="328"/>
        <v>0</v>
      </c>
      <c r="AE54" s="59">
        <f t="shared" si="328"/>
        <v>0</v>
      </c>
      <c r="AF54" s="59">
        <f t="shared" si="328"/>
        <v>0</v>
      </c>
      <c r="AG54" s="59">
        <f t="shared" si="328"/>
        <v>0</v>
      </c>
      <c r="AH54" s="59">
        <f>SUM(AH55:AH59)</f>
        <v>0</v>
      </c>
      <c r="AI54" s="94"/>
      <c r="AJ54" s="59">
        <f>SUM(AJ55:AJ59)</f>
        <v>0</v>
      </c>
      <c r="AK54" s="59">
        <f t="shared" ref="AK54:AR54" si="329">SUM(AK55:AK59)</f>
        <v>0</v>
      </c>
      <c r="AL54" s="59">
        <f t="shared" si="329"/>
        <v>0</v>
      </c>
      <c r="AM54" s="59">
        <f t="shared" si="329"/>
        <v>0</v>
      </c>
      <c r="AN54" s="59">
        <f t="shared" si="329"/>
        <v>0</v>
      </c>
      <c r="AO54" s="59">
        <f t="shared" si="329"/>
        <v>0</v>
      </c>
      <c r="AP54" s="59">
        <f t="shared" si="329"/>
        <v>0</v>
      </c>
      <c r="AQ54" s="59">
        <f t="shared" si="329"/>
        <v>0</v>
      </c>
      <c r="AR54" s="59">
        <f t="shared" si="329"/>
        <v>0</v>
      </c>
      <c r="AS54" s="59">
        <f>SUM(AS55:AS59)</f>
        <v>0</v>
      </c>
      <c r="AT54" s="59"/>
      <c r="AU54" s="59">
        <f t="shared" ref="AU54:BD54" si="330">SUM(AU55:AU59)</f>
        <v>0</v>
      </c>
      <c r="AV54" s="59">
        <f t="shared" si="330"/>
        <v>0</v>
      </c>
      <c r="AW54" s="59">
        <f t="shared" si="330"/>
        <v>0</v>
      </c>
      <c r="AX54" s="59">
        <f t="shared" si="330"/>
        <v>0</v>
      </c>
      <c r="AY54" s="59">
        <f t="shared" si="330"/>
        <v>0</v>
      </c>
      <c r="AZ54" s="59">
        <f t="shared" si="330"/>
        <v>0</v>
      </c>
      <c r="BA54" s="59">
        <f t="shared" si="330"/>
        <v>0</v>
      </c>
      <c r="BB54" s="59">
        <f t="shared" si="330"/>
        <v>0</v>
      </c>
      <c r="BC54" s="59">
        <f t="shared" si="330"/>
        <v>0</v>
      </c>
      <c r="BD54" s="59">
        <f t="shared" si="330"/>
        <v>0</v>
      </c>
      <c r="BE54" s="94"/>
      <c r="BF54" s="59">
        <f>SUM(BF55:BF59)</f>
        <v>0</v>
      </c>
      <c r="BG54" s="59">
        <f t="shared" ref="BG54:BN54" si="331">SUM(BG55:BG59)</f>
        <v>0</v>
      </c>
      <c r="BH54" s="59">
        <f t="shared" si="331"/>
        <v>0</v>
      </c>
      <c r="BI54" s="59">
        <f t="shared" si="331"/>
        <v>0</v>
      </c>
      <c r="BJ54" s="59">
        <f t="shared" si="331"/>
        <v>0</v>
      </c>
      <c r="BK54" s="59">
        <f t="shared" si="331"/>
        <v>0</v>
      </c>
      <c r="BL54" s="59">
        <f t="shared" si="331"/>
        <v>0</v>
      </c>
      <c r="BM54" s="59">
        <f t="shared" si="331"/>
        <v>0</v>
      </c>
      <c r="BN54" s="59">
        <f t="shared" si="331"/>
        <v>0</v>
      </c>
      <c r="BO54" s="59">
        <f>SUM(BO55:BO59)</f>
        <v>0</v>
      </c>
      <c r="BP54" s="94"/>
      <c r="BQ54" s="59">
        <f>SUM(BQ55:BQ59)</f>
        <v>0</v>
      </c>
      <c r="BR54" s="59">
        <f t="shared" ref="BR54:BY54" si="332">SUM(BR55:BR59)</f>
        <v>0</v>
      </c>
      <c r="BS54" s="59">
        <f t="shared" si="332"/>
        <v>0</v>
      </c>
      <c r="BT54" s="59">
        <f t="shared" si="332"/>
        <v>0</v>
      </c>
      <c r="BU54" s="59">
        <f t="shared" si="332"/>
        <v>0</v>
      </c>
      <c r="BV54" s="59">
        <f t="shared" si="332"/>
        <v>0</v>
      </c>
      <c r="BW54" s="59">
        <f t="shared" si="332"/>
        <v>0</v>
      </c>
      <c r="BX54" s="59">
        <f t="shared" si="332"/>
        <v>0</v>
      </c>
      <c r="BY54" s="59">
        <f t="shared" si="332"/>
        <v>0</v>
      </c>
      <c r="BZ54" s="59">
        <f>SUM(BZ55:BZ59)</f>
        <v>0</v>
      </c>
      <c r="CA54" s="94"/>
      <c r="CB54" s="59">
        <f>SUM(CB55:CB59)</f>
        <v>0</v>
      </c>
      <c r="CC54" s="59">
        <f t="shared" ref="CC54:CJ54" si="333">SUM(CC55:CC59)</f>
        <v>0</v>
      </c>
      <c r="CD54" s="59">
        <f t="shared" si="333"/>
        <v>0</v>
      </c>
      <c r="CE54" s="59">
        <f t="shared" si="333"/>
        <v>0</v>
      </c>
      <c r="CF54" s="59">
        <f t="shared" si="333"/>
        <v>0</v>
      </c>
      <c r="CG54" s="59">
        <f t="shared" si="333"/>
        <v>0</v>
      </c>
      <c r="CH54" s="59">
        <f t="shared" si="333"/>
        <v>0</v>
      </c>
      <c r="CI54" s="59">
        <f t="shared" si="333"/>
        <v>0</v>
      </c>
      <c r="CJ54" s="59">
        <f t="shared" si="333"/>
        <v>0</v>
      </c>
      <c r="CK54" s="59">
        <f>SUM(CK55:CK59)</f>
        <v>0</v>
      </c>
      <c r="CL54" s="59"/>
      <c r="CM54" s="59">
        <f t="shared" ref="CM54:CV54" si="334">SUM(CM55:CM59)</f>
        <v>0</v>
      </c>
      <c r="CN54" s="59">
        <f t="shared" si="334"/>
        <v>0</v>
      </c>
      <c r="CO54" s="59">
        <f t="shared" si="334"/>
        <v>0</v>
      </c>
      <c r="CP54" s="59">
        <f t="shared" si="334"/>
        <v>0</v>
      </c>
      <c r="CQ54" s="59">
        <f t="shared" si="334"/>
        <v>0</v>
      </c>
      <c r="CR54" s="59">
        <f t="shared" si="334"/>
        <v>0</v>
      </c>
      <c r="CS54" s="59">
        <f t="shared" si="334"/>
        <v>0</v>
      </c>
      <c r="CT54" s="59">
        <f t="shared" si="334"/>
        <v>0</v>
      </c>
      <c r="CU54" s="59">
        <f t="shared" si="334"/>
        <v>0</v>
      </c>
      <c r="CV54" s="59">
        <f t="shared" si="334"/>
        <v>0</v>
      </c>
      <c r="CW54" s="94"/>
      <c r="CX54" s="59">
        <f>SUM(CX55:CX59)</f>
        <v>0</v>
      </c>
      <c r="CY54" s="59">
        <f t="shared" ref="CY54:DF54" si="335">SUM(CY55:CY59)</f>
        <v>0</v>
      </c>
      <c r="CZ54" s="59">
        <f t="shared" si="335"/>
        <v>0</v>
      </c>
      <c r="DA54" s="59">
        <f t="shared" si="335"/>
        <v>0</v>
      </c>
      <c r="DB54" s="59">
        <f t="shared" si="335"/>
        <v>0</v>
      </c>
      <c r="DC54" s="59">
        <f t="shared" si="335"/>
        <v>0</v>
      </c>
      <c r="DD54" s="59">
        <f t="shared" si="335"/>
        <v>0</v>
      </c>
      <c r="DE54" s="59">
        <f t="shared" si="335"/>
        <v>0</v>
      </c>
      <c r="DF54" s="59">
        <f t="shared" si="335"/>
        <v>0</v>
      </c>
      <c r="DG54" s="59">
        <f>SUM(DG55:DG59)</f>
        <v>0</v>
      </c>
      <c r="DH54" s="94"/>
      <c r="DI54" s="59">
        <f>SUM(DI55:DI59)</f>
        <v>0</v>
      </c>
      <c r="DJ54" s="59">
        <f t="shared" ref="DJ54:DQ54" si="336">SUM(DJ55:DJ59)</f>
        <v>0</v>
      </c>
      <c r="DK54" s="59">
        <f t="shared" si="336"/>
        <v>0</v>
      </c>
      <c r="DL54" s="59">
        <f t="shared" si="336"/>
        <v>0</v>
      </c>
      <c r="DM54" s="59">
        <f t="shared" si="336"/>
        <v>0</v>
      </c>
      <c r="DN54" s="59">
        <f t="shared" si="336"/>
        <v>0</v>
      </c>
      <c r="DO54" s="59">
        <f t="shared" si="336"/>
        <v>0</v>
      </c>
      <c r="DP54" s="59">
        <f t="shared" si="336"/>
        <v>0</v>
      </c>
      <c r="DQ54" s="59">
        <f t="shared" si="336"/>
        <v>0</v>
      </c>
      <c r="DR54" s="59">
        <f>SUM(DR55:DR59)</f>
        <v>0</v>
      </c>
      <c r="DS54" s="94"/>
      <c r="DT54" s="59">
        <f>SUM(DT55:DT59)</f>
        <v>0</v>
      </c>
      <c r="DU54" s="59">
        <f t="shared" ref="DU54:EB54" si="337">SUM(DU55:DU59)</f>
        <v>0</v>
      </c>
      <c r="DV54" s="59">
        <f t="shared" si="337"/>
        <v>0</v>
      </c>
      <c r="DW54" s="59">
        <f t="shared" si="337"/>
        <v>0</v>
      </c>
      <c r="DX54" s="59">
        <f t="shared" si="337"/>
        <v>0</v>
      </c>
      <c r="DY54" s="59">
        <f t="shared" si="337"/>
        <v>0</v>
      </c>
      <c r="DZ54" s="59">
        <f t="shared" si="337"/>
        <v>0</v>
      </c>
      <c r="EA54" s="59">
        <f t="shared" si="337"/>
        <v>0</v>
      </c>
      <c r="EB54" s="59">
        <f t="shared" si="337"/>
        <v>0</v>
      </c>
      <c r="EC54" s="59">
        <f>SUM(EC55:EC59)</f>
        <v>0</v>
      </c>
      <c r="ED54" s="59"/>
      <c r="EE54" s="59">
        <f t="shared" ref="EE54:EN54" si="338">SUM(EE55:EE59)</f>
        <v>0</v>
      </c>
      <c r="EF54" s="59">
        <f t="shared" si="338"/>
        <v>0</v>
      </c>
      <c r="EG54" s="59">
        <f t="shared" si="338"/>
        <v>0</v>
      </c>
      <c r="EH54" s="59">
        <f t="shared" si="338"/>
        <v>0</v>
      </c>
      <c r="EI54" s="59">
        <f t="shared" si="338"/>
        <v>0</v>
      </c>
      <c r="EJ54" s="59">
        <f t="shared" si="338"/>
        <v>0</v>
      </c>
      <c r="EK54" s="59">
        <f t="shared" si="338"/>
        <v>0</v>
      </c>
      <c r="EL54" s="59">
        <f t="shared" si="338"/>
        <v>0</v>
      </c>
      <c r="EM54" s="59">
        <f t="shared" si="338"/>
        <v>0</v>
      </c>
      <c r="EN54" s="59">
        <f t="shared" si="338"/>
        <v>0</v>
      </c>
      <c r="EO54" s="94"/>
      <c r="EP54" s="59">
        <f>SUM(EP55:EP59)</f>
        <v>0</v>
      </c>
      <c r="EQ54" s="59">
        <f t="shared" ref="EQ54:EX54" si="339">SUM(EQ55:EQ59)</f>
        <v>0</v>
      </c>
      <c r="ER54" s="59">
        <f t="shared" si="339"/>
        <v>0</v>
      </c>
      <c r="ES54" s="59">
        <f t="shared" si="339"/>
        <v>0</v>
      </c>
      <c r="ET54" s="59">
        <f t="shared" si="339"/>
        <v>0</v>
      </c>
      <c r="EU54" s="59">
        <f t="shared" si="339"/>
        <v>0</v>
      </c>
      <c r="EV54" s="59">
        <f t="shared" si="339"/>
        <v>0</v>
      </c>
      <c r="EW54" s="59">
        <f t="shared" si="339"/>
        <v>0</v>
      </c>
      <c r="EX54" s="59">
        <f t="shared" si="339"/>
        <v>0</v>
      </c>
      <c r="EY54" s="59">
        <f>SUM(EY55:EY59)</f>
        <v>0</v>
      </c>
      <c r="EZ54" s="94"/>
      <c r="FA54" s="59">
        <f>SUM(FA55:FA59)</f>
        <v>0</v>
      </c>
      <c r="FB54" s="59">
        <f t="shared" ref="FB54:FI54" si="340">SUM(FB55:FB59)</f>
        <v>0</v>
      </c>
      <c r="FC54" s="59">
        <f t="shared" si="340"/>
        <v>0</v>
      </c>
      <c r="FD54" s="59">
        <f t="shared" si="340"/>
        <v>0</v>
      </c>
      <c r="FE54" s="59">
        <f t="shared" si="340"/>
        <v>0</v>
      </c>
      <c r="FF54" s="59">
        <f t="shared" si="340"/>
        <v>0</v>
      </c>
      <c r="FG54" s="59">
        <f t="shared" si="340"/>
        <v>0</v>
      </c>
      <c r="FH54" s="59">
        <f t="shared" si="340"/>
        <v>0</v>
      </c>
      <c r="FI54" s="59">
        <f t="shared" si="340"/>
        <v>0</v>
      </c>
      <c r="FJ54" s="59">
        <f>SUM(FJ55:FJ59)</f>
        <v>0</v>
      </c>
      <c r="FK54" s="94"/>
      <c r="FL54" s="59">
        <f>SUM(FL55:FL59)</f>
        <v>0</v>
      </c>
      <c r="FM54" s="59">
        <f t="shared" ref="FM54:FT54" si="341">SUM(FM55:FM59)</f>
        <v>0</v>
      </c>
      <c r="FN54" s="59">
        <f t="shared" si="341"/>
        <v>0</v>
      </c>
      <c r="FO54" s="59">
        <f t="shared" si="341"/>
        <v>0</v>
      </c>
      <c r="FP54" s="59">
        <f t="shared" si="341"/>
        <v>0</v>
      </c>
      <c r="FQ54" s="59">
        <f t="shared" si="341"/>
        <v>0</v>
      </c>
      <c r="FR54" s="59">
        <f t="shared" si="341"/>
        <v>0</v>
      </c>
      <c r="FS54" s="59">
        <f t="shared" si="341"/>
        <v>0</v>
      </c>
      <c r="FT54" s="59">
        <f t="shared" si="341"/>
        <v>0</v>
      </c>
      <c r="FU54" s="59">
        <f>SUM(FU55:FU59)</f>
        <v>0</v>
      </c>
      <c r="FV54" s="59"/>
      <c r="FW54" s="59">
        <f t="shared" ref="FW54:GF54" si="342">SUM(FW55:FW59)</f>
        <v>0</v>
      </c>
      <c r="FX54" s="59">
        <f t="shared" si="342"/>
        <v>0</v>
      </c>
      <c r="FY54" s="59">
        <f t="shared" si="342"/>
        <v>0</v>
      </c>
      <c r="FZ54" s="59">
        <f t="shared" si="342"/>
        <v>0</v>
      </c>
      <c r="GA54" s="59">
        <f t="shared" si="342"/>
        <v>0</v>
      </c>
      <c r="GB54" s="59">
        <f t="shared" si="342"/>
        <v>0</v>
      </c>
      <c r="GC54" s="59">
        <f t="shared" si="342"/>
        <v>0</v>
      </c>
      <c r="GD54" s="59">
        <f t="shared" si="342"/>
        <v>0</v>
      </c>
      <c r="GE54" s="59">
        <f t="shared" si="342"/>
        <v>0</v>
      </c>
      <c r="GF54" s="59">
        <f t="shared" si="342"/>
        <v>0</v>
      </c>
      <c r="GG54" s="59"/>
      <c r="GH54" s="59">
        <f t="shared" ref="GH54:GQ54" si="343">SUM(GH55:GH59)</f>
        <v>0</v>
      </c>
      <c r="GI54" s="59">
        <f t="shared" si="343"/>
        <v>0</v>
      </c>
      <c r="GJ54" s="59">
        <f t="shared" si="343"/>
        <v>0</v>
      </c>
      <c r="GK54" s="59">
        <f t="shared" si="343"/>
        <v>0</v>
      </c>
      <c r="GL54" s="59">
        <f t="shared" si="343"/>
        <v>0</v>
      </c>
      <c r="GM54" s="59">
        <f t="shared" si="343"/>
        <v>0</v>
      </c>
      <c r="GN54" s="59">
        <f t="shared" si="343"/>
        <v>0</v>
      </c>
      <c r="GO54" s="59">
        <f t="shared" si="343"/>
        <v>0</v>
      </c>
      <c r="GP54" s="59">
        <f t="shared" si="343"/>
        <v>0</v>
      </c>
      <c r="GQ54" s="59">
        <f t="shared" si="343"/>
        <v>0</v>
      </c>
      <c r="GR54" s="59">
        <f t="shared" ref="GR54:IV54" si="344">SUM(GR56,GR59)</f>
        <v>0</v>
      </c>
      <c r="GS54" s="59">
        <f t="shared" si="344"/>
        <v>0</v>
      </c>
      <c r="GT54" s="59">
        <f t="shared" si="344"/>
        <v>0</v>
      </c>
      <c r="GU54" s="59">
        <f t="shared" si="344"/>
        <v>0</v>
      </c>
      <c r="GV54" s="59">
        <f t="shared" si="344"/>
        <v>0</v>
      </c>
      <c r="GW54" s="59">
        <f t="shared" si="344"/>
        <v>0</v>
      </c>
      <c r="GX54" s="59">
        <f t="shared" si="344"/>
        <v>0</v>
      </c>
      <c r="GY54" s="59">
        <f t="shared" si="344"/>
        <v>0</v>
      </c>
      <c r="GZ54" s="59">
        <f t="shared" si="344"/>
        <v>0</v>
      </c>
      <c r="HA54" s="59">
        <f t="shared" si="344"/>
        <v>0</v>
      </c>
      <c r="HB54" s="59">
        <f>SUM(HB56,HB59)</f>
        <v>0</v>
      </c>
      <c r="HC54" s="59">
        <f>SUM(HC56,HC59)</f>
        <v>0</v>
      </c>
      <c r="HD54" s="59">
        <f>SUM(HD56,HD59)</f>
        <v>0</v>
      </c>
      <c r="HE54" s="59">
        <f>SUM(HE56,HE59)</f>
        <v>0</v>
      </c>
      <c r="HF54" s="59">
        <f t="shared" si="344"/>
        <v>0</v>
      </c>
      <c r="HG54" s="59">
        <f t="shared" si="344"/>
        <v>0</v>
      </c>
      <c r="HH54" s="59">
        <f t="shared" si="344"/>
        <v>0</v>
      </c>
      <c r="HI54" s="59">
        <f t="shared" si="344"/>
        <v>0</v>
      </c>
      <c r="HJ54" s="59">
        <f t="shared" si="344"/>
        <v>0</v>
      </c>
      <c r="HK54" s="59">
        <f t="shared" si="344"/>
        <v>0</v>
      </c>
      <c r="HL54" s="59">
        <f t="shared" si="344"/>
        <v>0</v>
      </c>
      <c r="HM54" s="59">
        <f t="shared" si="344"/>
        <v>0</v>
      </c>
      <c r="HN54" s="59">
        <f t="shared" si="344"/>
        <v>0</v>
      </c>
      <c r="HO54" s="59">
        <f t="shared" si="344"/>
        <v>0</v>
      </c>
      <c r="HP54" s="59">
        <f t="shared" si="344"/>
        <v>0</v>
      </c>
      <c r="HQ54" s="59">
        <f>SUM(HQ56,HQ59)</f>
        <v>0</v>
      </c>
      <c r="HR54" s="59">
        <f>SUM(HR56,HR59)</f>
        <v>0</v>
      </c>
      <c r="HS54" s="59">
        <f>SUM(HS56,HS59)</f>
        <v>0</v>
      </c>
      <c r="HT54" s="59">
        <f>SUM(HT56,HT59)</f>
        <v>0</v>
      </c>
      <c r="HU54" s="59">
        <f t="shared" si="344"/>
        <v>0</v>
      </c>
      <c r="HV54" s="59">
        <f t="shared" si="344"/>
        <v>0</v>
      </c>
      <c r="HW54" s="59">
        <f t="shared" si="344"/>
        <v>0</v>
      </c>
      <c r="HX54" s="59">
        <f t="shared" si="344"/>
        <v>0</v>
      </c>
      <c r="HY54" s="59">
        <f t="shared" si="344"/>
        <v>0</v>
      </c>
      <c r="HZ54" s="59">
        <f t="shared" si="344"/>
        <v>0</v>
      </c>
      <c r="IA54" s="59">
        <f>SUM(IA56,IA59)</f>
        <v>0</v>
      </c>
      <c r="IB54" s="59">
        <f>SUM(IB56,IB59)</f>
        <v>0</v>
      </c>
      <c r="IC54" s="59">
        <f>SUM(IC56,IC59)</f>
        <v>0</v>
      </c>
      <c r="ID54" s="59">
        <f>SUM(ID56,ID59)</f>
        <v>0</v>
      </c>
      <c r="IE54" s="59">
        <f t="shared" si="344"/>
        <v>0</v>
      </c>
      <c r="IF54" s="59">
        <f t="shared" si="344"/>
        <v>0</v>
      </c>
      <c r="IG54" s="59">
        <f t="shared" si="344"/>
        <v>0</v>
      </c>
      <c r="IH54" s="59">
        <f t="shared" si="344"/>
        <v>0</v>
      </c>
      <c r="II54" s="59">
        <f t="shared" si="344"/>
        <v>0</v>
      </c>
      <c r="IJ54" s="59">
        <f t="shared" si="344"/>
        <v>0</v>
      </c>
      <c r="IK54" s="59">
        <f t="shared" si="344"/>
        <v>0</v>
      </c>
      <c r="IL54" s="59">
        <f t="shared" si="344"/>
        <v>0</v>
      </c>
      <c r="IM54" s="59">
        <f t="shared" si="344"/>
        <v>0</v>
      </c>
      <c r="IN54" s="59">
        <f t="shared" si="344"/>
        <v>0</v>
      </c>
      <c r="IO54" s="59">
        <f t="shared" si="344"/>
        <v>0</v>
      </c>
      <c r="IP54" s="59">
        <f>SUM(IP56,IP59)</f>
        <v>0</v>
      </c>
      <c r="IQ54" s="59">
        <f>SUM(IQ56,IQ59)</f>
        <v>0</v>
      </c>
      <c r="IR54" s="59">
        <f>SUM(IR56,IR59)</f>
        <v>0</v>
      </c>
      <c r="IS54" s="59">
        <f>SUM(IS56,IS59)</f>
        <v>0</v>
      </c>
      <c r="IT54" s="59">
        <f t="shared" si="344"/>
        <v>0</v>
      </c>
      <c r="IU54" s="59">
        <f t="shared" si="344"/>
        <v>0</v>
      </c>
      <c r="IV54" s="59">
        <f t="shared" si="344"/>
        <v>0</v>
      </c>
    </row>
    <row r="55" spans="1:256" s="90" customFormat="1" x14ac:dyDescent="0.2">
      <c r="A55" s="61" t="s">
        <v>29</v>
      </c>
      <c r="B55" s="95"/>
      <c r="C55" s="96"/>
      <c r="D55" s="96"/>
      <c r="E55" s="96"/>
      <c r="F55" s="96"/>
      <c r="G55" s="96"/>
      <c r="H55" s="96"/>
      <c r="I55" s="96"/>
      <c r="J55" s="96"/>
      <c r="K55" s="96"/>
      <c r="L55" s="97"/>
      <c r="M55" s="95"/>
      <c r="N55" s="96"/>
      <c r="O55" s="96"/>
      <c r="P55" s="96"/>
      <c r="Q55" s="96"/>
      <c r="R55" s="96"/>
      <c r="S55" s="96"/>
      <c r="T55" s="96"/>
      <c r="U55" s="96"/>
      <c r="V55" s="96"/>
      <c r="W55" s="97"/>
      <c r="X55" s="95"/>
      <c r="Y55" s="96"/>
      <c r="Z55" s="96"/>
      <c r="AA55" s="96"/>
      <c r="AB55" s="96"/>
      <c r="AC55" s="96"/>
      <c r="AD55" s="96"/>
      <c r="AE55" s="96"/>
      <c r="AF55" s="96"/>
      <c r="AG55" s="96"/>
      <c r="AH55" s="97"/>
      <c r="AI55" s="95"/>
      <c r="AJ55" s="96"/>
      <c r="AK55" s="96"/>
      <c r="AL55" s="96"/>
      <c r="AM55" s="96"/>
      <c r="AN55" s="96"/>
      <c r="AO55" s="96"/>
      <c r="AP55" s="96"/>
      <c r="AQ55" s="96"/>
      <c r="AR55" s="96"/>
      <c r="AS55" s="97"/>
      <c r="AT55" s="95"/>
      <c r="AU55" s="98"/>
      <c r="AV55" s="98"/>
      <c r="AW55" s="98"/>
      <c r="AX55" s="98"/>
      <c r="AY55" s="98"/>
      <c r="AZ55" s="98"/>
      <c r="BA55" s="98"/>
      <c r="BB55" s="98"/>
      <c r="BC55" s="98"/>
      <c r="BD55" s="97"/>
      <c r="BE55" s="95"/>
      <c r="BF55" s="96"/>
      <c r="BG55" s="96"/>
      <c r="BH55" s="96"/>
      <c r="BI55" s="96"/>
      <c r="BJ55" s="96"/>
      <c r="BK55" s="96"/>
      <c r="BL55" s="96"/>
      <c r="BM55" s="96"/>
      <c r="BN55" s="96"/>
      <c r="BO55" s="97"/>
      <c r="BP55" s="95"/>
      <c r="BQ55" s="96"/>
      <c r="BR55" s="96"/>
      <c r="BS55" s="96"/>
      <c r="BT55" s="96"/>
      <c r="BU55" s="96"/>
      <c r="BV55" s="96"/>
      <c r="BW55" s="96"/>
      <c r="BX55" s="96"/>
      <c r="BY55" s="96"/>
      <c r="BZ55" s="97"/>
      <c r="CA55" s="95"/>
      <c r="CB55" s="96"/>
      <c r="CC55" s="96"/>
      <c r="CD55" s="96"/>
      <c r="CE55" s="96"/>
      <c r="CF55" s="96"/>
      <c r="CG55" s="96"/>
      <c r="CH55" s="96"/>
      <c r="CI55" s="96"/>
      <c r="CJ55" s="96"/>
      <c r="CK55" s="97"/>
      <c r="CL55" s="95"/>
      <c r="CM55" s="98"/>
      <c r="CN55" s="98"/>
      <c r="CO55" s="98"/>
      <c r="CP55" s="98"/>
      <c r="CQ55" s="98"/>
      <c r="CR55" s="98"/>
      <c r="CS55" s="98"/>
      <c r="CT55" s="98"/>
      <c r="CU55" s="98"/>
      <c r="CV55" s="97"/>
      <c r="CW55" s="95"/>
      <c r="CX55" s="96"/>
      <c r="CY55" s="96"/>
      <c r="CZ55" s="96"/>
      <c r="DA55" s="96"/>
      <c r="DB55" s="96"/>
      <c r="DC55" s="96"/>
      <c r="DD55" s="96"/>
      <c r="DE55" s="96"/>
      <c r="DF55" s="96"/>
      <c r="DG55" s="97"/>
      <c r="DH55" s="95"/>
      <c r="DI55" s="96"/>
      <c r="DJ55" s="96"/>
      <c r="DK55" s="96"/>
      <c r="DL55" s="96"/>
      <c r="DM55" s="96"/>
      <c r="DN55" s="96"/>
      <c r="DO55" s="96"/>
      <c r="DP55" s="96"/>
      <c r="DQ55" s="96"/>
      <c r="DR55" s="97"/>
      <c r="DS55" s="95"/>
      <c r="DT55" s="96"/>
      <c r="DU55" s="96"/>
      <c r="DV55" s="96"/>
      <c r="DW55" s="96"/>
      <c r="DX55" s="96"/>
      <c r="DY55" s="96"/>
      <c r="DZ55" s="96"/>
      <c r="EA55" s="96"/>
      <c r="EB55" s="96"/>
      <c r="EC55" s="96"/>
      <c r="ED55" s="95"/>
      <c r="EE55" s="98"/>
      <c r="EF55" s="98"/>
      <c r="EG55" s="98"/>
      <c r="EH55" s="98"/>
      <c r="EI55" s="98"/>
      <c r="EJ55" s="98"/>
      <c r="EK55" s="98"/>
      <c r="EL55" s="98"/>
      <c r="EM55" s="98"/>
      <c r="EN55" s="97"/>
      <c r="EO55" s="95"/>
      <c r="EP55" s="96"/>
      <c r="EQ55" s="96"/>
      <c r="ER55" s="96"/>
      <c r="ES55" s="96"/>
      <c r="ET55" s="96"/>
      <c r="EU55" s="96"/>
      <c r="EV55" s="96"/>
      <c r="EW55" s="96"/>
      <c r="EX55" s="96"/>
      <c r="EY55" s="97"/>
      <c r="EZ55" s="95"/>
      <c r="FA55" s="96"/>
      <c r="FB55" s="96"/>
      <c r="FC55" s="96"/>
      <c r="FD55" s="96"/>
      <c r="FE55" s="96"/>
      <c r="FF55" s="96"/>
      <c r="FG55" s="96"/>
      <c r="FH55" s="96"/>
      <c r="FI55" s="96"/>
      <c r="FJ55" s="97"/>
      <c r="FK55" s="95"/>
      <c r="FL55" s="96"/>
      <c r="FM55" s="96"/>
      <c r="FN55" s="96"/>
      <c r="FO55" s="96"/>
      <c r="FP55" s="96"/>
      <c r="FQ55" s="96"/>
      <c r="FR55" s="96"/>
      <c r="FS55" s="96"/>
      <c r="FT55" s="96"/>
      <c r="FU55" s="97"/>
      <c r="FV55" s="95"/>
      <c r="FW55" s="98"/>
      <c r="FX55" s="98"/>
      <c r="FY55" s="98"/>
      <c r="FZ55" s="98"/>
      <c r="GA55" s="98"/>
      <c r="GB55" s="98"/>
      <c r="GC55" s="98"/>
      <c r="GD55" s="98"/>
      <c r="GE55" s="98"/>
      <c r="GF55" s="97"/>
      <c r="GG55" s="66">
        <f>SUM(AT55,CL55,ED55,FV55)</f>
        <v>0</v>
      </c>
      <c r="GH55" s="66">
        <f t="shared" ref="GH55:GP62" si="345">SUM(AU55,CM55,EE55,FW55)</f>
        <v>0</v>
      </c>
      <c r="GI55" s="66">
        <f t="shared" si="345"/>
        <v>0</v>
      </c>
      <c r="GJ55" s="66">
        <f t="shared" si="345"/>
        <v>0</v>
      </c>
      <c r="GK55" s="66">
        <f t="shared" si="345"/>
        <v>0</v>
      </c>
      <c r="GL55" s="66">
        <f t="shared" si="345"/>
        <v>0</v>
      </c>
      <c r="GM55" s="66">
        <f t="shared" si="345"/>
        <v>0</v>
      </c>
      <c r="GN55" s="66">
        <f t="shared" si="345"/>
        <v>0</v>
      </c>
      <c r="GO55" s="66">
        <f t="shared" si="345"/>
        <v>0</v>
      </c>
      <c r="GP55" s="66">
        <f t="shared" si="345"/>
        <v>0</v>
      </c>
      <c r="GQ55" s="64">
        <f t="shared" ref="GQ55:GQ62" si="346">SUM(GH55:GK55,GM55:GP55)</f>
        <v>0</v>
      </c>
      <c r="GR55" s="97"/>
      <c r="GS55" s="97"/>
      <c r="GT55" s="97"/>
      <c r="GU55" s="97"/>
      <c r="GV55" s="67">
        <f>SUM(GR55:GU55)</f>
        <v>0</v>
      </c>
      <c r="GW55" s="97"/>
      <c r="GX55" s="97"/>
      <c r="GY55" s="97"/>
      <c r="GZ55" s="97"/>
      <c r="HA55" s="67">
        <f>SUM(GW55:GZ55)</f>
        <v>0</v>
      </c>
      <c r="HB55" s="97"/>
      <c r="HC55" s="97"/>
      <c r="HD55" s="97"/>
      <c r="HE55" s="97"/>
      <c r="HF55" s="67">
        <f>SUM(HB55:HE55)</f>
        <v>0</v>
      </c>
      <c r="HG55" s="97"/>
      <c r="HH55" s="97"/>
      <c r="HI55" s="97"/>
      <c r="HJ55" s="97"/>
      <c r="HK55" s="67">
        <f>SUM(HG55:HJ55)</f>
        <v>0</v>
      </c>
      <c r="HL55" s="68">
        <f>SUM(GW55,HB55,HG55)</f>
        <v>0</v>
      </c>
      <c r="HM55" s="68">
        <f>SUM(GX55,HC55,HH55)</f>
        <v>0</v>
      </c>
      <c r="HN55" s="68">
        <f>SUM(GY55,HD55,HI55)</f>
        <v>0</v>
      </c>
      <c r="HO55" s="68">
        <f>SUM(GZ55,HE55,HJ55)</f>
        <v>0</v>
      </c>
      <c r="HP55" s="67">
        <f>SUM(HL55:HO55)</f>
        <v>0</v>
      </c>
      <c r="HQ55" s="97"/>
      <c r="HR55" s="97"/>
      <c r="HS55" s="97"/>
      <c r="HT55" s="97"/>
      <c r="HU55" s="67">
        <f>SUM(HQ55:HT55)</f>
        <v>0</v>
      </c>
      <c r="HV55" s="97"/>
      <c r="HW55" s="97"/>
      <c r="HX55" s="97"/>
      <c r="HY55" s="97"/>
      <c r="HZ55" s="67">
        <f>SUM(HV55:HY55)</f>
        <v>0</v>
      </c>
      <c r="IA55" s="97"/>
      <c r="IB55" s="97"/>
      <c r="IC55" s="97"/>
      <c r="ID55" s="97"/>
      <c r="IE55" s="67">
        <f>SUM(IA55:ID55)</f>
        <v>0</v>
      </c>
      <c r="IF55" s="68">
        <f>SUM(HQ55,HV55,IA55)</f>
        <v>0</v>
      </c>
      <c r="IG55" s="68">
        <f>SUM(HR55,HW55,IB55)</f>
        <v>0</v>
      </c>
      <c r="IH55" s="68">
        <f>SUM(HS55,HX55,IC55)</f>
        <v>0</v>
      </c>
      <c r="II55" s="68">
        <f>SUM(HT55,HY55,ID55)</f>
        <v>0</v>
      </c>
      <c r="IJ55" s="67">
        <f>SUM(IF55:II55)</f>
        <v>0</v>
      </c>
      <c r="IK55" s="97"/>
      <c r="IL55" s="97"/>
      <c r="IM55" s="97"/>
      <c r="IN55" s="97"/>
      <c r="IO55" s="67">
        <f>SUM(IK55:IN55)</f>
        <v>0</v>
      </c>
      <c r="IP55" s="97"/>
      <c r="IQ55" s="97"/>
      <c r="IR55" s="97"/>
      <c r="IS55" s="97"/>
      <c r="IT55" s="67">
        <f>SUM(IP55:IS55)</f>
        <v>0</v>
      </c>
      <c r="IU55" s="97"/>
      <c r="IV55" s="97"/>
    </row>
    <row r="56" spans="1:256" x14ac:dyDescent="0.25">
      <c r="A56" s="83" t="s">
        <v>65</v>
      </c>
      <c r="B56" s="99"/>
      <c r="C56" s="63"/>
      <c r="D56" s="63"/>
      <c r="E56" s="63"/>
      <c r="F56" s="63"/>
      <c r="G56" s="63"/>
      <c r="H56" s="63"/>
      <c r="I56" s="63"/>
      <c r="J56" s="63"/>
      <c r="K56" s="63"/>
      <c r="L56" s="64">
        <f t="shared" ref="L56:L62" si="347">SUM(C56:F56,H56:K56)</f>
        <v>0</v>
      </c>
      <c r="M56" s="99"/>
      <c r="N56" s="63"/>
      <c r="O56" s="63"/>
      <c r="P56" s="63"/>
      <c r="Q56" s="63"/>
      <c r="R56" s="63"/>
      <c r="S56" s="63"/>
      <c r="T56" s="63"/>
      <c r="U56" s="63"/>
      <c r="V56" s="63"/>
      <c r="W56" s="64">
        <f t="shared" ref="W56:W62" si="348">SUM(N56:Q56,S56:V56)</f>
        <v>0</v>
      </c>
      <c r="X56" s="99"/>
      <c r="Y56" s="63"/>
      <c r="Z56" s="63"/>
      <c r="AA56" s="63"/>
      <c r="AB56" s="63"/>
      <c r="AC56" s="63"/>
      <c r="AD56" s="63"/>
      <c r="AE56" s="63"/>
      <c r="AF56" s="63"/>
      <c r="AG56" s="63"/>
      <c r="AH56" s="64">
        <f t="shared" ref="AH56:AH62" si="349">SUM(Y56:AB56,AD56:AG56)</f>
        <v>0</v>
      </c>
      <c r="AI56" s="99"/>
      <c r="AJ56" s="63"/>
      <c r="AK56" s="63"/>
      <c r="AL56" s="63"/>
      <c r="AM56" s="63"/>
      <c r="AN56" s="63"/>
      <c r="AO56" s="63"/>
      <c r="AP56" s="63"/>
      <c r="AQ56" s="63"/>
      <c r="AR56" s="63"/>
      <c r="AS56" s="64">
        <f t="shared" ref="AS56:AS62" si="350">SUM(AJ56:AM56,AO56:AR56)</f>
        <v>0</v>
      </c>
      <c r="AT56" s="62">
        <f t="shared" ref="AT56:BC62" si="351">SUM(M56,AI56,X56)</f>
        <v>0</v>
      </c>
      <c r="AU56" s="62">
        <f t="shared" si="351"/>
        <v>0</v>
      </c>
      <c r="AV56" s="62">
        <f t="shared" si="351"/>
        <v>0</v>
      </c>
      <c r="AW56" s="62">
        <f t="shared" si="351"/>
        <v>0</v>
      </c>
      <c r="AX56" s="62">
        <f t="shared" si="351"/>
        <v>0</v>
      </c>
      <c r="AY56" s="62">
        <f t="shared" si="351"/>
        <v>0</v>
      </c>
      <c r="AZ56" s="62">
        <f t="shared" si="351"/>
        <v>0</v>
      </c>
      <c r="BA56" s="62">
        <f t="shared" si="351"/>
        <v>0</v>
      </c>
      <c r="BB56" s="62">
        <f t="shared" si="351"/>
        <v>0</v>
      </c>
      <c r="BC56" s="62">
        <f t="shared" si="351"/>
        <v>0</v>
      </c>
      <c r="BD56" s="64">
        <f t="shared" ref="BD56:BD62" si="352">SUM(AU56:AX56,AZ56:BC56)</f>
        <v>0</v>
      </c>
      <c r="BE56" s="99"/>
      <c r="BF56" s="63"/>
      <c r="BG56" s="63"/>
      <c r="BH56" s="63"/>
      <c r="BI56" s="63"/>
      <c r="BJ56" s="63"/>
      <c r="BK56" s="63"/>
      <c r="BL56" s="63"/>
      <c r="BM56" s="63"/>
      <c r="BN56" s="63"/>
      <c r="BO56" s="64">
        <f t="shared" ref="BO56:BO62" si="353">SUM(BF56:BI56,BK56:BN56)</f>
        <v>0</v>
      </c>
      <c r="BP56" s="99"/>
      <c r="BQ56" s="63"/>
      <c r="BR56" s="63"/>
      <c r="BS56" s="63"/>
      <c r="BT56" s="63"/>
      <c r="BU56" s="63"/>
      <c r="BV56" s="63"/>
      <c r="BW56" s="63"/>
      <c r="BX56" s="63"/>
      <c r="BY56" s="63"/>
      <c r="BZ56" s="64">
        <f t="shared" ref="BZ56:BZ62" si="354">SUM(BQ56:BT56,BV56:BY56)</f>
        <v>0</v>
      </c>
      <c r="CA56" s="99"/>
      <c r="CB56" s="63"/>
      <c r="CC56" s="63"/>
      <c r="CD56" s="63"/>
      <c r="CE56" s="63"/>
      <c r="CF56" s="63"/>
      <c r="CG56" s="63"/>
      <c r="CH56" s="63"/>
      <c r="CI56" s="63"/>
      <c r="CJ56" s="63"/>
      <c r="CK56" s="64">
        <f t="shared" ref="CK56:CK62" si="355">SUM(CB56:CE56,CG56:CJ56)</f>
        <v>0</v>
      </c>
      <c r="CL56" s="62">
        <f t="shared" ref="CL56:CU62" si="356">SUM(BE56,CA56,BP56)</f>
        <v>0</v>
      </c>
      <c r="CM56" s="62">
        <f t="shared" si="356"/>
        <v>0</v>
      </c>
      <c r="CN56" s="62">
        <f t="shared" si="356"/>
        <v>0</v>
      </c>
      <c r="CO56" s="62">
        <f t="shared" si="356"/>
        <v>0</v>
      </c>
      <c r="CP56" s="62">
        <f t="shared" si="356"/>
        <v>0</v>
      </c>
      <c r="CQ56" s="62">
        <f t="shared" si="356"/>
        <v>0</v>
      </c>
      <c r="CR56" s="62">
        <f t="shared" si="356"/>
        <v>0</v>
      </c>
      <c r="CS56" s="62">
        <f t="shared" si="356"/>
        <v>0</v>
      </c>
      <c r="CT56" s="62">
        <f t="shared" si="356"/>
        <v>0</v>
      </c>
      <c r="CU56" s="62">
        <f t="shared" si="356"/>
        <v>0</v>
      </c>
      <c r="CV56" s="64">
        <f t="shared" ref="CV56:CV62" si="357">SUM(CM56:CP56,CR56:CU56)</f>
        <v>0</v>
      </c>
      <c r="CW56" s="99"/>
      <c r="CX56" s="63"/>
      <c r="CY56" s="63"/>
      <c r="CZ56" s="63"/>
      <c r="DA56" s="63"/>
      <c r="DB56" s="63"/>
      <c r="DC56" s="63"/>
      <c r="DD56" s="63"/>
      <c r="DE56" s="63"/>
      <c r="DF56" s="63"/>
      <c r="DG56" s="64">
        <f t="shared" ref="DG56:DG62" si="358">SUM(CX56:DA56,DC56:DF56)</f>
        <v>0</v>
      </c>
      <c r="DH56" s="99"/>
      <c r="DI56" s="63"/>
      <c r="DJ56" s="63"/>
      <c r="DK56" s="63"/>
      <c r="DL56" s="63"/>
      <c r="DM56" s="63"/>
      <c r="DN56" s="63"/>
      <c r="DO56" s="63"/>
      <c r="DP56" s="63"/>
      <c r="DQ56" s="63"/>
      <c r="DR56" s="64">
        <f t="shared" ref="DR56:DR62" si="359">SUM(DI56:DL56,DN56:DQ56)</f>
        <v>0</v>
      </c>
      <c r="DS56" s="99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2">
        <f t="shared" ref="ED56:EM62" si="360">SUM(CW56,DS56,DH56)</f>
        <v>0</v>
      </c>
      <c r="EE56" s="62">
        <f t="shared" si="360"/>
        <v>0</v>
      </c>
      <c r="EF56" s="62">
        <f t="shared" si="360"/>
        <v>0</v>
      </c>
      <c r="EG56" s="62">
        <f t="shared" si="360"/>
        <v>0</v>
      </c>
      <c r="EH56" s="62">
        <f t="shared" si="360"/>
        <v>0</v>
      </c>
      <c r="EI56" s="62">
        <f t="shared" si="360"/>
        <v>0</v>
      </c>
      <c r="EJ56" s="62">
        <f t="shared" si="360"/>
        <v>0</v>
      </c>
      <c r="EK56" s="62">
        <f t="shared" si="360"/>
        <v>0</v>
      </c>
      <c r="EL56" s="62">
        <f t="shared" si="360"/>
        <v>0</v>
      </c>
      <c r="EM56" s="62">
        <f t="shared" si="360"/>
        <v>0</v>
      </c>
      <c r="EN56" s="64">
        <f t="shared" ref="EN56:EN62" si="361">SUM(EE56:EH56,EJ56:EM56)</f>
        <v>0</v>
      </c>
      <c r="EO56" s="99"/>
      <c r="EP56" s="63"/>
      <c r="EQ56" s="63"/>
      <c r="ER56" s="63"/>
      <c r="ES56" s="63"/>
      <c r="ET56" s="63"/>
      <c r="EU56" s="63"/>
      <c r="EV56" s="63"/>
      <c r="EW56" s="63"/>
      <c r="EX56" s="63"/>
      <c r="EY56" s="64">
        <f t="shared" ref="EY56:EY62" si="362">SUM(EP56:ES56,EU56:EX56)</f>
        <v>0</v>
      </c>
      <c r="EZ56" s="99"/>
      <c r="FA56" s="63"/>
      <c r="FB56" s="63"/>
      <c r="FC56" s="63"/>
      <c r="FD56" s="63"/>
      <c r="FE56" s="63"/>
      <c r="FF56" s="63"/>
      <c r="FG56" s="63"/>
      <c r="FH56" s="63"/>
      <c r="FI56" s="63"/>
      <c r="FJ56" s="64">
        <f t="shared" ref="FJ56:FJ62" si="363">SUM(FA56:FD56,FF56:FI56)</f>
        <v>0</v>
      </c>
      <c r="FK56" s="99"/>
      <c r="FL56" s="63"/>
      <c r="FM56" s="63"/>
      <c r="FN56" s="63"/>
      <c r="FO56" s="63"/>
      <c r="FP56" s="63"/>
      <c r="FQ56" s="63"/>
      <c r="FR56" s="63"/>
      <c r="FS56" s="63"/>
      <c r="FT56" s="63"/>
      <c r="FU56" s="64">
        <f t="shared" ref="FU56:FU62" si="364">SUM(FL56:FO56,FQ56:FT56)</f>
        <v>0</v>
      </c>
      <c r="FV56" s="62">
        <f t="shared" ref="FV56:GE62" si="365">SUM(EO56,FK56,EZ56)</f>
        <v>0</v>
      </c>
      <c r="FW56" s="62">
        <f t="shared" si="365"/>
        <v>0</v>
      </c>
      <c r="FX56" s="62">
        <f t="shared" si="365"/>
        <v>0</v>
      </c>
      <c r="FY56" s="62">
        <f t="shared" si="365"/>
        <v>0</v>
      </c>
      <c r="FZ56" s="62">
        <f t="shared" si="365"/>
        <v>0</v>
      </c>
      <c r="GA56" s="62">
        <f t="shared" si="365"/>
        <v>0</v>
      </c>
      <c r="GB56" s="62">
        <f t="shared" si="365"/>
        <v>0</v>
      </c>
      <c r="GC56" s="62">
        <f t="shared" si="365"/>
        <v>0</v>
      </c>
      <c r="GD56" s="62">
        <f t="shared" si="365"/>
        <v>0</v>
      </c>
      <c r="GE56" s="62">
        <f t="shared" si="365"/>
        <v>0</v>
      </c>
      <c r="GF56" s="64">
        <f t="shared" ref="GF56:GF62" si="366">SUM(FW56:FZ56,GB56:GE56)</f>
        <v>0</v>
      </c>
      <c r="GG56" s="88">
        <f t="shared" ref="GG56:GG62" si="367">SUM(AT56,CL56,ED56,FV56)</f>
        <v>0</v>
      </c>
      <c r="GH56" s="88">
        <f t="shared" si="345"/>
        <v>0</v>
      </c>
      <c r="GI56" s="88">
        <f t="shared" si="345"/>
        <v>0</v>
      </c>
      <c r="GJ56" s="88">
        <f t="shared" si="345"/>
        <v>0</v>
      </c>
      <c r="GK56" s="88">
        <f t="shared" si="345"/>
        <v>0</v>
      </c>
      <c r="GL56" s="88">
        <f t="shared" si="345"/>
        <v>0</v>
      </c>
      <c r="GM56" s="88">
        <f t="shared" si="345"/>
        <v>0</v>
      </c>
      <c r="GN56" s="88">
        <f t="shared" si="345"/>
        <v>0</v>
      </c>
      <c r="GO56" s="88">
        <f t="shared" si="345"/>
        <v>0</v>
      </c>
      <c r="GP56" s="88">
        <f t="shared" si="345"/>
        <v>0</v>
      </c>
      <c r="GQ56" s="89">
        <f t="shared" si="346"/>
        <v>0</v>
      </c>
      <c r="GR56" s="100">
        <f t="shared" ref="GR56:IV56" si="368">SUM(GR57:GR58)</f>
        <v>0</v>
      </c>
      <c r="GS56" s="100">
        <f t="shared" si="368"/>
        <v>0</v>
      </c>
      <c r="GT56" s="100">
        <f t="shared" si="368"/>
        <v>0</v>
      </c>
      <c r="GU56" s="100">
        <f t="shared" si="368"/>
        <v>0</v>
      </c>
      <c r="GV56" s="100">
        <f t="shared" si="368"/>
        <v>0</v>
      </c>
      <c r="GW56" s="100">
        <f t="shared" si="368"/>
        <v>0</v>
      </c>
      <c r="GX56" s="100">
        <f t="shared" si="368"/>
        <v>0</v>
      </c>
      <c r="GY56" s="100">
        <f t="shared" si="368"/>
        <v>0</v>
      </c>
      <c r="GZ56" s="100">
        <f t="shared" si="368"/>
        <v>0</v>
      </c>
      <c r="HA56" s="100">
        <f t="shared" si="368"/>
        <v>0</v>
      </c>
      <c r="HB56" s="100">
        <f>SUM(HB57:HB58)</f>
        <v>0</v>
      </c>
      <c r="HC56" s="100">
        <f>SUM(HC57:HC58)</f>
        <v>0</v>
      </c>
      <c r="HD56" s="100">
        <f>SUM(HD57:HD58)</f>
        <v>0</v>
      </c>
      <c r="HE56" s="100">
        <f>SUM(HE57:HE58)</f>
        <v>0</v>
      </c>
      <c r="HF56" s="100">
        <f t="shared" si="368"/>
        <v>0</v>
      </c>
      <c r="HG56" s="100">
        <f t="shared" si="368"/>
        <v>0</v>
      </c>
      <c r="HH56" s="100">
        <f t="shared" si="368"/>
        <v>0</v>
      </c>
      <c r="HI56" s="100">
        <f t="shared" si="368"/>
        <v>0</v>
      </c>
      <c r="HJ56" s="100">
        <f t="shared" si="368"/>
        <v>0</v>
      </c>
      <c r="HK56" s="100">
        <f t="shared" si="368"/>
        <v>0</v>
      </c>
      <c r="HL56" s="100">
        <f t="shared" si="368"/>
        <v>0</v>
      </c>
      <c r="HM56" s="100">
        <f t="shared" si="368"/>
        <v>0</v>
      </c>
      <c r="HN56" s="100">
        <f t="shared" si="368"/>
        <v>0</v>
      </c>
      <c r="HO56" s="100">
        <f t="shared" si="368"/>
        <v>0</v>
      </c>
      <c r="HP56" s="100">
        <f t="shared" si="368"/>
        <v>0</v>
      </c>
      <c r="HQ56" s="100">
        <f>SUM(HQ57:HQ58)</f>
        <v>0</v>
      </c>
      <c r="HR56" s="100">
        <f>SUM(HR57:HR58)</f>
        <v>0</v>
      </c>
      <c r="HS56" s="100">
        <f>SUM(HS57:HS58)</f>
        <v>0</v>
      </c>
      <c r="HT56" s="100">
        <f>SUM(HT57:HT58)</f>
        <v>0</v>
      </c>
      <c r="HU56" s="100">
        <f t="shared" si="368"/>
        <v>0</v>
      </c>
      <c r="HV56" s="100">
        <f t="shared" si="368"/>
        <v>0</v>
      </c>
      <c r="HW56" s="100">
        <f t="shared" si="368"/>
        <v>0</v>
      </c>
      <c r="HX56" s="100">
        <f t="shared" si="368"/>
        <v>0</v>
      </c>
      <c r="HY56" s="100">
        <f t="shared" si="368"/>
        <v>0</v>
      </c>
      <c r="HZ56" s="100">
        <f t="shared" si="368"/>
        <v>0</v>
      </c>
      <c r="IA56" s="100">
        <f>SUM(IA57:IA58)</f>
        <v>0</v>
      </c>
      <c r="IB56" s="100">
        <f>SUM(IB57:IB58)</f>
        <v>0</v>
      </c>
      <c r="IC56" s="100">
        <f>SUM(IC57:IC58)</f>
        <v>0</v>
      </c>
      <c r="ID56" s="100">
        <f>SUM(ID57:ID58)</f>
        <v>0</v>
      </c>
      <c r="IE56" s="100">
        <f t="shared" si="368"/>
        <v>0</v>
      </c>
      <c r="IF56" s="100">
        <f t="shared" si="368"/>
        <v>0</v>
      </c>
      <c r="IG56" s="100">
        <f t="shared" si="368"/>
        <v>0</v>
      </c>
      <c r="IH56" s="100">
        <f t="shared" si="368"/>
        <v>0</v>
      </c>
      <c r="II56" s="100">
        <f t="shared" si="368"/>
        <v>0</v>
      </c>
      <c r="IJ56" s="100">
        <f t="shared" si="368"/>
        <v>0</v>
      </c>
      <c r="IK56" s="100">
        <f t="shared" si="368"/>
        <v>0</v>
      </c>
      <c r="IL56" s="100">
        <f t="shared" si="368"/>
        <v>0</v>
      </c>
      <c r="IM56" s="100">
        <f t="shared" si="368"/>
        <v>0</v>
      </c>
      <c r="IN56" s="100">
        <f t="shared" si="368"/>
        <v>0</v>
      </c>
      <c r="IO56" s="100">
        <f t="shared" si="368"/>
        <v>0</v>
      </c>
      <c r="IP56" s="100">
        <f>SUM(IP57:IP58)</f>
        <v>0</v>
      </c>
      <c r="IQ56" s="100">
        <f>SUM(IQ57:IQ58)</f>
        <v>0</v>
      </c>
      <c r="IR56" s="100">
        <f>SUM(IR57:IR58)</f>
        <v>0</v>
      </c>
      <c r="IS56" s="100">
        <f>SUM(IS57:IS58)</f>
        <v>0</v>
      </c>
      <c r="IT56" s="100">
        <f t="shared" si="368"/>
        <v>0</v>
      </c>
      <c r="IU56" s="100">
        <f t="shared" si="368"/>
        <v>0</v>
      </c>
      <c r="IV56" s="100">
        <f t="shared" si="368"/>
        <v>0</v>
      </c>
    </row>
    <row r="57" spans="1:256" x14ac:dyDescent="0.25">
      <c r="A57" s="101" t="s">
        <v>271</v>
      </c>
      <c r="B57" s="62">
        <v>5</v>
      </c>
      <c r="C57" s="63"/>
      <c r="D57" s="63"/>
      <c r="E57" s="63"/>
      <c r="F57" s="63"/>
      <c r="G57" s="63"/>
      <c r="H57" s="63"/>
      <c r="I57" s="63"/>
      <c r="J57" s="63"/>
      <c r="K57" s="63"/>
      <c r="L57" s="64">
        <f t="shared" si="347"/>
        <v>0</v>
      </c>
      <c r="M57" s="62"/>
      <c r="N57" s="63"/>
      <c r="O57" s="63"/>
      <c r="P57" s="63"/>
      <c r="Q57" s="63"/>
      <c r="R57" s="63"/>
      <c r="S57" s="63"/>
      <c r="T57" s="63"/>
      <c r="U57" s="63"/>
      <c r="V57" s="63"/>
      <c r="W57" s="64">
        <f t="shared" si="348"/>
        <v>0</v>
      </c>
      <c r="X57" s="62"/>
      <c r="Y57" s="63"/>
      <c r="Z57" s="63"/>
      <c r="AA57" s="63"/>
      <c r="AB57" s="63"/>
      <c r="AC57" s="63"/>
      <c r="AD57" s="63"/>
      <c r="AE57" s="63"/>
      <c r="AF57" s="63"/>
      <c r="AG57" s="63"/>
      <c r="AH57" s="64">
        <f t="shared" si="349"/>
        <v>0</v>
      </c>
      <c r="AI57" s="62"/>
      <c r="AJ57" s="63"/>
      <c r="AK57" s="63"/>
      <c r="AL57" s="63"/>
      <c r="AM57" s="63"/>
      <c r="AN57" s="63"/>
      <c r="AO57" s="63"/>
      <c r="AP57" s="63"/>
      <c r="AQ57" s="63"/>
      <c r="AR57" s="63"/>
      <c r="AS57" s="64">
        <f t="shared" si="350"/>
        <v>0</v>
      </c>
      <c r="AT57" s="65">
        <f t="shared" si="351"/>
        <v>0</v>
      </c>
      <c r="AU57" s="65">
        <f t="shared" si="351"/>
        <v>0</v>
      </c>
      <c r="AV57" s="65">
        <f t="shared" si="351"/>
        <v>0</v>
      </c>
      <c r="AW57" s="65">
        <f t="shared" si="351"/>
        <v>0</v>
      </c>
      <c r="AX57" s="65">
        <f t="shared" si="351"/>
        <v>0</v>
      </c>
      <c r="AY57" s="65">
        <f t="shared" si="351"/>
        <v>0</v>
      </c>
      <c r="AZ57" s="65">
        <f t="shared" si="351"/>
        <v>0</v>
      </c>
      <c r="BA57" s="65">
        <f t="shared" si="351"/>
        <v>0</v>
      </c>
      <c r="BB57" s="65">
        <f t="shared" si="351"/>
        <v>0</v>
      </c>
      <c r="BC57" s="65">
        <f t="shared" si="351"/>
        <v>0</v>
      </c>
      <c r="BD57" s="64">
        <f t="shared" si="352"/>
        <v>0</v>
      </c>
      <c r="BE57" s="62"/>
      <c r="BF57" s="63"/>
      <c r="BG57" s="63"/>
      <c r="BH57" s="63"/>
      <c r="BI57" s="63"/>
      <c r="BJ57" s="63"/>
      <c r="BK57" s="63"/>
      <c r="BL57" s="63"/>
      <c r="BM57" s="63"/>
      <c r="BN57" s="63"/>
      <c r="BO57" s="64">
        <f t="shared" si="353"/>
        <v>0</v>
      </c>
      <c r="BP57" s="62"/>
      <c r="BQ57" s="63"/>
      <c r="BR57" s="63"/>
      <c r="BS57" s="63"/>
      <c r="BT57" s="63"/>
      <c r="BU57" s="63"/>
      <c r="BV57" s="63"/>
      <c r="BW57" s="63"/>
      <c r="BX57" s="63"/>
      <c r="BY57" s="63"/>
      <c r="BZ57" s="64">
        <f t="shared" si="354"/>
        <v>0</v>
      </c>
      <c r="CA57" s="62"/>
      <c r="CB57" s="63"/>
      <c r="CC57" s="63"/>
      <c r="CD57" s="63"/>
      <c r="CE57" s="63"/>
      <c r="CF57" s="63"/>
      <c r="CG57" s="63"/>
      <c r="CH57" s="63"/>
      <c r="CI57" s="63"/>
      <c r="CJ57" s="63"/>
      <c r="CK57" s="64">
        <f t="shared" si="355"/>
        <v>0</v>
      </c>
      <c r="CL57" s="65">
        <f t="shared" si="356"/>
        <v>0</v>
      </c>
      <c r="CM57" s="65">
        <f t="shared" si="356"/>
        <v>0</v>
      </c>
      <c r="CN57" s="65">
        <f t="shared" si="356"/>
        <v>0</v>
      </c>
      <c r="CO57" s="65">
        <f t="shared" si="356"/>
        <v>0</v>
      </c>
      <c r="CP57" s="65">
        <f t="shared" si="356"/>
        <v>0</v>
      </c>
      <c r="CQ57" s="65">
        <f t="shared" si="356"/>
        <v>0</v>
      </c>
      <c r="CR57" s="65">
        <f t="shared" si="356"/>
        <v>0</v>
      </c>
      <c r="CS57" s="65">
        <f t="shared" si="356"/>
        <v>0</v>
      </c>
      <c r="CT57" s="65">
        <f t="shared" si="356"/>
        <v>0</v>
      </c>
      <c r="CU57" s="65">
        <f t="shared" si="356"/>
        <v>0</v>
      </c>
      <c r="CV57" s="64">
        <f t="shared" si="357"/>
        <v>0</v>
      </c>
      <c r="CW57" s="62"/>
      <c r="CX57" s="63"/>
      <c r="CY57" s="63"/>
      <c r="CZ57" s="63"/>
      <c r="DA57" s="63"/>
      <c r="DB57" s="63"/>
      <c r="DC57" s="63"/>
      <c r="DD57" s="63"/>
      <c r="DE57" s="63"/>
      <c r="DF57" s="63"/>
      <c r="DG57" s="64">
        <f t="shared" si="358"/>
        <v>0</v>
      </c>
      <c r="DH57" s="62"/>
      <c r="DI57" s="63"/>
      <c r="DJ57" s="63"/>
      <c r="DK57" s="63"/>
      <c r="DL57" s="63"/>
      <c r="DM57" s="63"/>
      <c r="DN57" s="63"/>
      <c r="DO57" s="63"/>
      <c r="DP57" s="63"/>
      <c r="DQ57" s="63"/>
      <c r="DR57" s="64">
        <f t="shared" si="359"/>
        <v>0</v>
      </c>
      <c r="DS57" s="62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5">
        <f t="shared" si="360"/>
        <v>0</v>
      </c>
      <c r="EE57" s="65">
        <f t="shared" si="360"/>
        <v>0</v>
      </c>
      <c r="EF57" s="65">
        <f t="shared" si="360"/>
        <v>0</v>
      </c>
      <c r="EG57" s="65">
        <f t="shared" si="360"/>
        <v>0</v>
      </c>
      <c r="EH57" s="65">
        <f t="shared" si="360"/>
        <v>0</v>
      </c>
      <c r="EI57" s="65">
        <f t="shared" si="360"/>
        <v>0</v>
      </c>
      <c r="EJ57" s="65">
        <f t="shared" si="360"/>
        <v>0</v>
      </c>
      <c r="EK57" s="65">
        <f t="shared" si="360"/>
        <v>0</v>
      </c>
      <c r="EL57" s="65">
        <f t="shared" si="360"/>
        <v>0</v>
      </c>
      <c r="EM57" s="65">
        <f t="shared" si="360"/>
        <v>0</v>
      </c>
      <c r="EN57" s="64">
        <f t="shared" si="361"/>
        <v>0</v>
      </c>
      <c r="EO57" s="62"/>
      <c r="EP57" s="63"/>
      <c r="EQ57" s="63"/>
      <c r="ER57" s="63"/>
      <c r="ES57" s="63"/>
      <c r="ET57" s="63"/>
      <c r="EU57" s="63"/>
      <c r="EV57" s="63"/>
      <c r="EW57" s="63"/>
      <c r="EX57" s="63"/>
      <c r="EY57" s="64">
        <f t="shared" si="362"/>
        <v>0</v>
      </c>
      <c r="EZ57" s="62"/>
      <c r="FA57" s="63"/>
      <c r="FB57" s="63"/>
      <c r="FC57" s="63"/>
      <c r="FD57" s="63"/>
      <c r="FE57" s="63"/>
      <c r="FF57" s="63"/>
      <c r="FG57" s="63"/>
      <c r="FH57" s="63"/>
      <c r="FI57" s="63"/>
      <c r="FJ57" s="64">
        <f t="shared" si="363"/>
        <v>0</v>
      </c>
      <c r="FK57" s="62"/>
      <c r="FL57" s="63"/>
      <c r="FM57" s="63"/>
      <c r="FN57" s="63"/>
      <c r="FO57" s="63"/>
      <c r="FP57" s="63"/>
      <c r="FQ57" s="63"/>
      <c r="FR57" s="63"/>
      <c r="FS57" s="63"/>
      <c r="FT57" s="63"/>
      <c r="FU57" s="64">
        <f t="shared" si="364"/>
        <v>0</v>
      </c>
      <c r="FV57" s="65">
        <f t="shared" si="365"/>
        <v>0</v>
      </c>
      <c r="FW57" s="65">
        <f t="shared" si="365"/>
        <v>0</v>
      </c>
      <c r="FX57" s="65">
        <f t="shared" si="365"/>
        <v>0</v>
      </c>
      <c r="FY57" s="65">
        <f t="shared" si="365"/>
        <v>0</v>
      </c>
      <c r="FZ57" s="65">
        <f t="shared" si="365"/>
        <v>0</v>
      </c>
      <c r="GA57" s="65">
        <f t="shared" si="365"/>
        <v>0</v>
      </c>
      <c r="GB57" s="65">
        <f t="shared" si="365"/>
        <v>0</v>
      </c>
      <c r="GC57" s="65">
        <f t="shared" si="365"/>
        <v>0</v>
      </c>
      <c r="GD57" s="65">
        <f t="shared" si="365"/>
        <v>0</v>
      </c>
      <c r="GE57" s="65">
        <f t="shared" si="365"/>
        <v>0</v>
      </c>
      <c r="GF57" s="64">
        <f t="shared" si="366"/>
        <v>0</v>
      </c>
      <c r="GG57" s="66">
        <f t="shared" si="367"/>
        <v>0</v>
      </c>
      <c r="GH57" s="66">
        <f t="shared" si="345"/>
        <v>0</v>
      </c>
      <c r="GI57" s="66">
        <f t="shared" si="345"/>
        <v>0</v>
      </c>
      <c r="GJ57" s="66">
        <f t="shared" si="345"/>
        <v>0</v>
      </c>
      <c r="GK57" s="66">
        <f t="shared" si="345"/>
        <v>0</v>
      </c>
      <c r="GL57" s="66">
        <f t="shared" si="345"/>
        <v>0</v>
      </c>
      <c r="GM57" s="66">
        <f t="shared" si="345"/>
        <v>0</v>
      </c>
      <c r="GN57" s="66">
        <f t="shared" si="345"/>
        <v>0</v>
      </c>
      <c r="GO57" s="66">
        <f t="shared" si="345"/>
        <v>0</v>
      </c>
      <c r="GP57" s="66">
        <f t="shared" si="345"/>
        <v>0</v>
      </c>
      <c r="GQ57" s="64">
        <f t="shared" si="346"/>
        <v>0</v>
      </c>
      <c r="GR57" s="63"/>
      <c r="GS57" s="63"/>
      <c r="GT57" s="63"/>
      <c r="GU57" s="63"/>
      <c r="GV57" s="67">
        <f>SUM(GR57:GU57)</f>
        <v>0</v>
      </c>
      <c r="GW57" s="63"/>
      <c r="GX57" s="63"/>
      <c r="GY57" s="63"/>
      <c r="GZ57" s="63"/>
      <c r="HA57" s="67">
        <f>SUM(GW57:GZ57)</f>
        <v>0</v>
      </c>
      <c r="HB57" s="63"/>
      <c r="HC57" s="63"/>
      <c r="HD57" s="63"/>
      <c r="HE57" s="63"/>
      <c r="HF57" s="67">
        <f>SUM(HB57:HE57)</f>
        <v>0</v>
      </c>
      <c r="HG57" s="63"/>
      <c r="HH57" s="63"/>
      <c r="HI57" s="63"/>
      <c r="HJ57" s="63"/>
      <c r="HK57" s="67">
        <f>SUM(HG57:HJ57)</f>
        <v>0</v>
      </c>
      <c r="HL57" s="68">
        <f t="shared" ref="HL57:HO58" si="369">SUM(GW57,HB57,HG57)</f>
        <v>0</v>
      </c>
      <c r="HM57" s="68">
        <f t="shared" si="369"/>
        <v>0</v>
      </c>
      <c r="HN57" s="68">
        <f t="shared" si="369"/>
        <v>0</v>
      </c>
      <c r="HO57" s="68">
        <f t="shared" si="369"/>
        <v>0</v>
      </c>
      <c r="HP57" s="67">
        <f>SUM(HL57:HO57)</f>
        <v>0</v>
      </c>
      <c r="HQ57" s="63"/>
      <c r="HR57" s="63"/>
      <c r="HS57" s="63"/>
      <c r="HT57" s="63"/>
      <c r="HU57" s="67">
        <f>SUM(HQ57:HT57)</f>
        <v>0</v>
      </c>
      <c r="HV57" s="63"/>
      <c r="HW57" s="63"/>
      <c r="HX57" s="63"/>
      <c r="HY57" s="63"/>
      <c r="HZ57" s="67">
        <f>SUM(HV57:HY57)</f>
        <v>0</v>
      </c>
      <c r="IA57" s="63"/>
      <c r="IB57" s="63"/>
      <c r="IC57" s="63"/>
      <c r="ID57" s="63"/>
      <c r="IE57" s="67">
        <f>SUM(IA57:ID57)</f>
        <v>0</v>
      </c>
      <c r="IF57" s="68">
        <f t="shared" ref="IF57:II58" si="370">SUM(HQ57,HV57,IA57)</f>
        <v>0</v>
      </c>
      <c r="IG57" s="68">
        <f t="shared" si="370"/>
        <v>0</v>
      </c>
      <c r="IH57" s="68">
        <f t="shared" si="370"/>
        <v>0</v>
      </c>
      <c r="II57" s="68">
        <f t="shared" si="370"/>
        <v>0</v>
      </c>
      <c r="IJ57" s="67">
        <f>SUM(IF57:II57)</f>
        <v>0</v>
      </c>
      <c r="IK57" s="63"/>
      <c r="IL57" s="63"/>
      <c r="IM57" s="63"/>
      <c r="IN57" s="63"/>
      <c r="IO57" s="67">
        <f>SUM(IK57:IN57)</f>
        <v>0</v>
      </c>
      <c r="IP57" s="63"/>
      <c r="IQ57" s="63"/>
      <c r="IR57" s="63"/>
      <c r="IS57" s="63"/>
      <c r="IT57" s="67">
        <f>SUM(IP57:IS57)</f>
        <v>0</v>
      </c>
      <c r="IU57" s="63"/>
      <c r="IV57" s="63"/>
    </row>
    <row r="58" spans="1:256" x14ac:dyDescent="0.25">
      <c r="A58" s="101" t="s">
        <v>272</v>
      </c>
      <c r="B58" s="62">
        <v>35</v>
      </c>
      <c r="C58" s="63"/>
      <c r="D58" s="63"/>
      <c r="E58" s="63"/>
      <c r="F58" s="63"/>
      <c r="G58" s="63"/>
      <c r="H58" s="63"/>
      <c r="I58" s="63"/>
      <c r="J58" s="63"/>
      <c r="K58" s="63"/>
      <c r="L58" s="64">
        <f t="shared" si="347"/>
        <v>0</v>
      </c>
      <c r="M58" s="62"/>
      <c r="N58" s="63"/>
      <c r="O58" s="63"/>
      <c r="P58" s="63"/>
      <c r="Q58" s="63"/>
      <c r="R58" s="63"/>
      <c r="S58" s="63"/>
      <c r="T58" s="63"/>
      <c r="U58" s="63"/>
      <c r="V58" s="63"/>
      <c r="W58" s="64">
        <f t="shared" si="348"/>
        <v>0</v>
      </c>
      <c r="X58" s="62"/>
      <c r="Y58" s="63"/>
      <c r="Z58" s="63"/>
      <c r="AA58" s="63"/>
      <c r="AB58" s="63"/>
      <c r="AC58" s="63"/>
      <c r="AD58" s="63"/>
      <c r="AE58" s="63"/>
      <c r="AF58" s="63"/>
      <c r="AG58" s="63"/>
      <c r="AH58" s="64">
        <f t="shared" si="349"/>
        <v>0</v>
      </c>
      <c r="AI58" s="62"/>
      <c r="AJ58" s="63"/>
      <c r="AK58" s="63"/>
      <c r="AL58" s="63"/>
      <c r="AM58" s="63"/>
      <c r="AN58" s="63"/>
      <c r="AO58" s="63"/>
      <c r="AP58" s="63"/>
      <c r="AQ58" s="63"/>
      <c r="AR58" s="63"/>
      <c r="AS58" s="64">
        <f t="shared" si="350"/>
        <v>0</v>
      </c>
      <c r="AT58" s="65">
        <f t="shared" si="351"/>
        <v>0</v>
      </c>
      <c r="AU58" s="65">
        <f t="shared" si="351"/>
        <v>0</v>
      </c>
      <c r="AV58" s="65">
        <f t="shared" si="351"/>
        <v>0</v>
      </c>
      <c r="AW58" s="65">
        <f t="shared" si="351"/>
        <v>0</v>
      </c>
      <c r="AX58" s="65">
        <f t="shared" si="351"/>
        <v>0</v>
      </c>
      <c r="AY58" s="65">
        <f t="shared" si="351"/>
        <v>0</v>
      </c>
      <c r="AZ58" s="65">
        <f t="shared" si="351"/>
        <v>0</v>
      </c>
      <c r="BA58" s="65">
        <f t="shared" si="351"/>
        <v>0</v>
      </c>
      <c r="BB58" s="65">
        <f t="shared" si="351"/>
        <v>0</v>
      </c>
      <c r="BC58" s="65">
        <f t="shared" si="351"/>
        <v>0</v>
      </c>
      <c r="BD58" s="64">
        <f t="shared" si="352"/>
        <v>0</v>
      </c>
      <c r="BE58" s="62"/>
      <c r="BF58" s="63"/>
      <c r="BG58" s="63"/>
      <c r="BH58" s="63"/>
      <c r="BI58" s="63"/>
      <c r="BJ58" s="63"/>
      <c r="BK58" s="63"/>
      <c r="BL58" s="63"/>
      <c r="BM58" s="63"/>
      <c r="BN58" s="63"/>
      <c r="BO58" s="64">
        <f t="shared" si="353"/>
        <v>0</v>
      </c>
      <c r="BP58" s="62"/>
      <c r="BQ58" s="63"/>
      <c r="BR58" s="63"/>
      <c r="BS58" s="63"/>
      <c r="BT58" s="63"/>
      <c r="BU58" s="63"/>
      <c r="BV58" s="63"/>
      <c r="BW58" s="63"/>
      <c r="BX58" s="63"/>
      <c r="BY58" s="63"/>
      <c r="BZ58" s="64">
        <f t="shared" si="354"/>
        <v>0</v>
      </c>
      <c r="CA58" s="62"/>
      <c r="CB58" s="63"/>
      <c r="CC58" s="63"/>
      <c r="CD58" s="63"/>
      <c r="CE58" s="63"/>
      <c r="CF58" s="63"/>
      <c r="CG58" s="63"/>
      <c r="CH58" s="63"/>
      <c r="CI58" s="63"/>
      <c r="CJ58" s="63"/>
      <c r="CK58" s="64">
        <f t="shared" si="355"/>
        <v>0</v>
      </c>
      <c r="CL58" s="65">
        <f t="shared" si="356"/>
        <v>0</v>
      </c>
      <c r="CM58" s="65">
        <f t="shared" si="356"/>
        <v>0</v>
      </c>
      <c r="CN58" s="65">
        <f t="shared" si="356"/>
        <v>0</v>
      </c>
      <c r="CO58" s="65">
        <f t="shared" si="356"/>
        <v>0</v>
      </c>
      <c r="CP58" s="65">
        <f t="shared" si="356"/>
        <v>0</v>
      </c>
      <c r="CQ58" s="65">
        <f t="shared" si="356"/>
        <v>0</v>
      </c>
      <c r="CR58" s="65">
        <f t="shared" si="356"/>
        <v>0</v>
      </c>
      <c r="CS58" s="65">
        <f t="shared" si="356"/>
        <v>0</v>
      </c>
      <c r="CT58" s="65">
        <f t="shared" si="356"/>
        <v>0</v>
      </c>
      <c r="CU58" s="65">
        <f t="shared" si="356"/>
        <v>0</v>
      </c>
      <c r="CV58" s="64">
        <f t="shared" si="357"/>
        <v>0</v>
      </c>
      <c r="CW58" s="62"/>
      <c r="CX58" s="63"/>
      <c r="CY58" s="63"/>
      <c r="CZ58" s="63"/>
      <c r="DA58" s="63"/>
      <c r="DB58" s="63"/>
      <c r="DC58" s="63"/>
      <c r="DD58" s="63"/>
      <c r="DE58" s="63"/>
      <c r="DF58" s="63"/>
      <c r="DG58" s="64">
        <f t="shared" si="358"/>
        <v>0</v>
      </c>
      <c r="DH58" s="62"/>
      <c r="DI58" s="63"/>
      <c r="DJ58" s="63"/>
      <c r="DK58" s="63"/>
      <c r="DL58" s="63"/>
      <c r="DM58" s="63"/>
      <c r="DN58" s="63"/>
      <c r="DO58" s="63"/>
      <c r="DP58" s="63"/>
      <c r="DQ58" s="63"/>
      <c r="DR58" s="64">
        <f t="shared" si="359"/>
        <v>0</v>
      </c>
      <c r="DS58" s="62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5">
        <f t="shared" si="360"/>
        <v>0</v>
      </c>
      <c r="EE58" s="65">
        <f t="shared" si="360"/>
        <v>0</v>
      </c>
      <c r="EF58" s="65">
        <f t="shared" si="360"/>
        <v>0</v>
      </c>
      <c r="EG58" s="65">
        <f t="shared" si="360"/>
        <v>0</v>
      </c>
      <c r="EH58" s="65">
        <f t="shared" si="360"/>
        <v>0</v>
      </c>
      <c r="EI58" s="65">
        <f t="shared" si="360"/>
        <v>0</v>
      </c>
      <c r="EJ58" s="65">
        <f t="shared" si="360"/>
        <v>0</v>
      </c>
      <c r="EK58" s="65">
        <f t="shared" si="360"/>
        <v>0</v>
      </c>
      <c r="EL58" s="65">
        <f t="shared" si="360"/>
        <v>0</v>
      </c>
      <c r="EM58" s="65">
        <f t="shared" si="360"/>
        <v>0</v>
      </c>
      <c r="EN58" s="64">
        <f t="shared" si="361"/>
        <v>0</v>
      </c>
      <c r="EO58" s="62"/>
      <c r="EP58" s="63"/>
      <c r="EQ58" s="63"/>
      <c r="ER58" s="63"/>
      <c r="ES58" s="63"/>
      <c r="ET58" s="63"/>
      <c r="EU58" s="63"/>
      <c r="EV58" s="63"/>
      <c r="EW58" s="63"/>
      <c r="EX58" s="63"/>
      <c r="EY58" s="64">
        <f t="shared" si="362"/>
        <v>0</v>
      </c>
      <c r="EZ58" s="62"/>
      <c r="FA58" s="63"/>
      <c r="FB58" s="63"/>
      <c r="FC58" s="63"/>
      <c r="FD58" s="63"/>
      <c r="FE58" s="63"/>
      <c r="FF58" s="63"/>
      <c r="FG58" s="63"/>
      <c r="FH58" s="63"/>
      <c r="FI58" s="63"/>
      <c r="FJ58" s="64">
        <f t="shared" si="363"/>
        <v>0</v>
      </c>
      <c r="FK58" s="62"/>
      <c r="FL58" s="63"/>
      <c r="FM58" s="63"/>
      <c r="FN58" s="63"/>
      <c r="FO58" s="63"/>
      <c r="FP58" s="63"/>
      <c r="FQ58" s="63"/>
      <c r="FR58" s="63"/>
      <c r="FS58" s="63"/>
      <c r="FT58" s="63"/>
      <c r="FU58" s="64">
        <f t="shared" si="364"/>
        <v>0</v>
      </c>
      <c r="FV58" s="65">
        <f t="shared" si="365"/>
        <v>0</v>
      </c>
      <c r="FW58" s="65">
        <f t="shared" si="365"/>
        <v>0</v>
      </c>
      <c r="FX58" s="65">
        <f t="shared" si="365"/>
        <v>0</v>
      </c>
      <c r="FY58" s="65">
        <f t="shared" si="365"/>
        <v>0</v>
      </c>
      <c r="FZ58" s="65">
        <f t="shared" si="365"/>
        <v>0</v>
      </c>
      <c r="GA58" s="65">
        <f t="shared" si="365"/>
        <v>0</v>
      </c>
      <c r="GB58" s="65">
        <f t="shared" si="365"/>
        <v>0</v>
      </c>
      <c r="GC58" s="65">
        <f t="shared" si="365"/>
        <v>0</v>
      </c>
      <c r="GD58" s="65">
        <f t="shared" si="365"/>
        <v>0</v>
      </c>
      <c r="GE58" s="65">
        <f t="shared" si="365"/>
        <v>0</v>
      </c>
      <c r="GF58" s="64">
        <f t="shared" si="366"/>
        <v>0</v>
      </c>
      <c r="GG58" s="66">
        <f t="shared" si="367"/>
        <v>0</v>
      </c>
      <c r="GH58" s="66">
        <f t="shared" si="345"/>
        <v>0</v>
      </c>
      <c r="GI58" s="66">
        <f t="shared" si="345"/>
        <v>0</v>
      </c>
      <c r="GJ58" s="66">
        <f t="shared" si="345"/>
        <v>0</v>
      </c>
      <c r="GK58" s="66">
        <f t="shared" si="345"/>
        <v>0</v>
      </c>
      <c r="GL58" s="66">
        <f t="shared" si="345"/>
        <v>0</v>
      </c>
      <c r="GM58" s="66">
        <f t="shared" si="345"/>
        <v>0</v>
      </c>
      <c r="GN58" s="66">
        <f t="shared" si="345"/>
        <v>0</v>
      </c>
      <c r="GO58" s="66">
        <f t="shared" si="345"/>
        <v>0</v>
      </c>
      <c r="GP58" s="66">
        <f t="shared" si="345"/>
        <v>0</v>
      </c>
      <c r="GQ58" s="64">
        <f t="shared" si="346"/>
        <v>0</v>
      </c>
      <c r="GR58" s="63"/>
      <c r="GS58" s="63"/>
      <c r="GT58" s="63"/>
      <c r="GU58" s="63"/>
      <c r="GV58" s="67">
        <f>SUM(GR58:GU58)</f>
        <v>0</v>
      </c>
      <c r="GW58" s="63"/>
      <c r="GX58" s="63"/>
      <c r="GY58" s="63"/>
      <c r="GZ58" s="63"/>
      <c r="HA58" s="67">
        <f>SUM(GW58:GZ58)</f>
        <v>0</v>
      </c>
      <c r="HB58" s="63"/>
      <c r="HC58" s="63"/>
      <c r="HD58" s="63"/>
      <c r="HE58" s="63"/>
      <c r="HF58" s="67">
        <f>SUM(HB58:HE58)</f>
        <v>0</v>
      </c>
      <c r="HG58" s="63"/>
      <c r="HH58" s="63"/>
      <c r="HI58" s="63"/>
      <c r="HJ58" s="63"/>
      <c r="HK58" s="67">
        <f>SUM(HG58:HJ58)</f>
        <v>0</v>
      </c>
      <c r="HL58" s="68">
        <f t="shared" si="369"/>
        <v>0</v>
      </c>
      <c r="HM58" s="68">
        <f t="shared" si="369"/>
        <v>0</v>
      </c>
      <c r="HN58" s="68">
        <f t="shared" si="369"/>
        <v>0</v>
      </c>
      <c r="HO58" s="68">
        <f t="shared" si="369"/>
        <v>0</v>
      </c>
      <c r="HP58" s="67">
        <f>SUM(HL58:HO58)</f>
        <v>0</v>
      </c>
      <c r="HQ58" s="63"/>
      <c r="HR58" s="63"/>
      <c r="HS58" s="63"/>
      <c r="HT58" s="63"/>
      <c r="HU58" s="67">
        <f>SUM(HQ58:HT58)</f>
        <v>0</v>
      </c>
      <c r="HV58" s="63"/>
      <c r="HW58" s="63"/>
      <c r="HX58" s="63"/>
      <c r="HY58" s="63"/>
      <c r="HZ58" s="67">
        <f>SUM(HV58:HY58)</f>
        <v>0</v>
      </c>
      <c r="IA58" s="63"/>
      <c r="IB58" s="63"/>
      <c r="IC58" s="63"/>
      <c r="ID58" s="63"/>
      <c r="IE58" s="67">
        <f>SUM(IA58:ID58)</f>
        <v>0</v>
      </c>
      <c r="IF58" s="68">
        <f t="shared" si="370"/>
        <v>0</v>
      </c>
      <c r="IG58" s="68">
        <f t="shared" si="370"/>
        <v>0</v>
      </c>
      <c r="IH58" s="68">
        <f t="shared" si="370"/>
        <v>0</v>
      </c>
      <c r="II58" s="68">
        <f t="shared" si="370"/>
        <v>0</v>
      </c>
      <c r="IJ58" s="67">
        <f>SUM(IF58:II58)</f>
        <v>0</v>
      </c>
      <c r="IK58" s="63"/>
      <c r="IL58" s="63"/>
      <c r="IM58" s="63"/>
      <c r="IN58" s="63"/>
      <c r="IO58" s="67">
        <f>SUM(IK58:IN58)</f>
        <v>0</v>
      </c>
      <c r="IP58" s="63"/>
      <c r="IQ58" s="63"/>
      <c r="IR58" s="63"/>
      <c r="IS58" s="63"/>
      <c r="IT58" s="67">
        <f>SUM(IP58:IS58)</f>
        <v>0</v>
      </c>
      <c r="IU58" s="63"/>
      <c r="IV58" s="63"/>
    </row>
    <row r="59" spans="1:256" x14ac:dyDescent="0.25">
      <c r="A59" s="84" t="s">
        <v>66</v>
      </c>
      <c r="B59" s="102"/>
      <c r="C59" s="63"/>
      <c r="D59" s="63"/>
      <c r="E59" s="63"/>
      <c r="F59" s="63"/>
      <c r="G59" s="63"/>
      <c r="H59" s="63"/>
      <c r="I59" s="63"/>
      <c r="J59" s="63"/>
      <c r="K59" s="63"/>
      <c r="L59" s="64">
        <f t="shared" si="347"/>
        <v>0</v>
      </c>
      <c r="M59" s="102"/>
      <c r="N59" s="63"/>
      <c r="O59" s="63"/>
      <c r="P59" s="63"/>
      <c r="Q59" s="63"/>
      <c r="R59" s="63"/>
      <c r="S59" s="63"/>
      <c r="T59" s="63"/>
      <c r="U59" s="63"/>
      <c r="V59" s="63"/>
      <c r="W59" s="64">
        <f t="shared" si="348"/>
        <v>0</v>
      </c>
      <c r="X59" s="102"/>
      <c r="Y59" s="63"/>
      <c r="Z59" s="63"/>
      <c r="AA59" s="63"/>
      <c r="AB59" s="63"/>
      <c r="AC59" s="63"/>
      <c r="AD59" s="63"/>
      <c r="AE59" s="63"/>
      <c r="AF59" s="63"/>
      <c r="AG59" s="63"/>
      <c r="AH59" s="64">
        <f t="shared" si="349"/>
        <v>0</v>
      </c>
      <c r="AI59" s="102"/>
      <c r="AJ59" s="63"/>
      <c r="AK59" s="63"/>
      <c r="AL59" s="63"/>
      <c r="AM59" s="63"/>
      <c r="AN59" s="63"/>
      <c r="AO59" s="63"/>
      <c r="AP59" s="63"/>
      <c r="AQ59" s="63"/>
      <c r="AR59" s="63"/>
      <c r="AS59" s="64">
        <f t="shared" si="350"/>
        <v>0</v>
      </c>
      <c r="AT59" s="62">
        <f t="shared" si="351"/>
        <v>0</v>
      </c>
      <c r="AU59" s="62">
        <f t="shared" si="351"/>
        <v>0</v>
      </c>
      <c r="AV59" s="62">
        <f t="shared" si="351"/>
        <v>0</v>
      </c>
      <c r="AW59" s="62">
        <f t="shared" si="351"/>
        <v>0</v>
      </c>
      <c r="AX59" s="62">
        <f t="shared" si="351"/>
        <v>0</v>
      </c>
      <c r="AY59" s="62">
        <f t="shared" si="351"/>
        <v>0</v>
      </c>
      <c r="AZ59" s="62">
        <f t="shared" si="351"/>
        <v>0</v>
      </c>
      <c r="BA59" s="62">
        <f t="shared" si="351"/>
        <v>0</v>
      </c>
      <c r="BB59" s="62">
        <f t="shared" si="351"/>
        <v>0</v>
      </c>
      <c r="BC59" s="62">
        <f t="shared" si="351"/>
        <v>0</v>
      </c>
      <c r="BD59" s="64">
        <f t="shared" si="352"/>
        <v>0</v>
      </c>
      <c r="BE59" s="102"/>
      <c r="BF59" s="63"/>
      <c r="BG59" s="63"/>
      <c r="BH59" s="63"/>
      <c r="BI59" s="63"/>
      <c r="BJ59" s="63"/>
      <c r="BK59" s="63"/>
      <c r="BL59" s="63"/>
      <c r="BM59" s="63"/>
      <c r="BN59" s="63"/>
      <c r="BO59" s="64">
        <f t="shared" si="353"/>
        <v>0</v>
      </c>
      <c r="BP59" s="102"/>
      <c r="BQ59" s="63"/>
      <c r="BR59" s="63"/>
      <c r="BS59" s="63"/>
      <c r="BT59" s="63"/>
      <c r="BU59" s="63"/>
      <c r="BV59" s="63"/>
      <c r="BW59" s="63"/>
      <c r="BX59" s="63"/>
      <c r="BY59" s="63"/>
      <c r="BZ59" s="64">
        <f t="shared" si="354"/>
        <v>0</v>
      </c>
      <c r="CA59" s="102"/>
      <c r="CB59" s="63"/>
      <c r="CC59" s="63"/>
      <c r="CD59" s="63"/>
      <c r="CE59" s="63"/>
      <c r="CF59" s="63"/>
      <c r="CG59" s="63"/>
      <c r="CH59" s="63"/>
      <c r="CI59" s="63"/>
      <c r="CJ59" s="63"/>
      <c r="CK59" s="64">
        <f t="shared" si="355"/>
        <v>0</v>
      </c>
      <c r="CL59" s="62">
        <f t="shared" si="356"/>
        <v>0</v>
      </c>
      <c r="CM59" s="62">
        <f t="shared" si="356"/>
        <v>0</v>
      </c>
      <c r="CN59" s="62">
        <f t="shared" si="356"/>
        <v>0</v>
      </c>
      <c r="CO59" s="62">
        <f t="shared" si="356"/>
        <v>0</v>
      </c>
      <c r="CP59" s="62">
        <f t="shared" si="356"/>
        <v>0</v>
      </c>
      <c r="CQ59" s="62">
        <f t="shared" si="356"/>
        <v>0</v>
      </c>
      <c r="CR59" s="62">
        <f t="shared" si="356"/>
        <v>0</v>
      </c>
      <c r="CS59" s="62">
        <f t="shared" si="356"/>
        <v>0</v>
      </c>
      <c r="CT59" s="62">
        <f t="shared" si="356"/>
        <v>0</v>
      </c>
      <c r="CU59" s="62">
        <f t="shared" si="356"/>
        <v>0</v>
      </c>
      <c r="CV59" s="64">
        <f t="shared" si="357"/>
        <v>0</v>
      </c>
      <c r="CW59" s="102"/>
      <c r="CX59" s="63"/>
      <c r="CY59" s="63"/>
      <c r="CZ59" s="63"/>
      <c r="DA59" s="63"/>
      <c r="DB59" s="63"/>
      <c r="DC59" s="63"/>
      <c r="DD59" s="63"/>
      <c r="DE59" s="63"/>
      <c r="DF59" s="63"/>
      <c r="DG59" s="64">
        <f t="shared" si="358"/>
        <v>0</v>
      </c>
      <c r="DH59" s="102"/>
      <c r="DI59" s="63"/>
      <c r="DJ59" s="63"/>
      <c r="DK59" s="63"/>
      <c r="DL59" s="63"/>
      <c r="DM59" s="63"/>
      <c r="DN59" s="63"/>
      <c r="DO59" s="63"/>
      <c r="DP59" s="63"/>
      <c r="DQ59" s="63"/>
      <c r="DR59" s="64">
        <f t="shared" si="359"/>
        <v>0</v>
      </c>
      <c r="DS59" s="102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2">
        <f t="shared" si="360"/>
        <v>0</v>
      </c>
      <c r="EE59" s="62">
        <f t="shared" si="360"/>
        <v>0</v>
      </c>
      <c r="EF59" s="62">
        <f t="shared" si="360"/>
        <v>0</v>
      </c>
      <c r="EG59" s="62">
        <f t="shared" si="360"/>
        <v>0</v>
      </c>
      <c r="EH59" s="62">
        <f t="shared" si="360"/>
        <v>0</v>
      </c>
      <c r="EI59" s="62">
        <f t="shared" si="360"/>
        <v>0</v>
      </c>
      <c r="EJ59" s="62">
        <f t="shared" si="360"/>
        <v>0</v>
      </c>
      <c r="EK59" s="62">
        <f t="shared" si="360"/>
        <v>0</v>
      </c>
      <c r="EL59" s="62">
        <f t="shared" si="360"/>
        <v>0</v>
      </c>
      <c r="EM59" s="62">
        <f t="shared" si="360"/>
        <v>0</v>
      </c>
      <c r="EN59" s="64">
        <f t="shared" si="361"/>
        <v>0</v>
      </c>
      <c r="EO59" s="102"/>
      <c r="EP59" s="63"/>
      <c r="EQ59" s="63"/>
      <c r="ER59" s="63"/>
      <c r="ES59" s="63"/>
      <c r="ET59" s="63"/>
      <c r="EU59" s="63"/>
      <c r="EV59" s="63"/>
      <c r="EW59" s="63"/>
      <c r="EX59" s="63"/>
      <c r="EY59" s="64">
        <f t="shared" si="362"/>
        <v>0</v>
      </c>
      <c r="EZ59" s="102"/>
      <c r="FA59" s="63"/>
      <c r="FB59" s="63"/>
      <c r="FC59" s="63"/>
      <c r="FD59" s="63"/>
      <c r="FE59" s="63"/>
      <c r="FF59" s="63"/>
      <c r="FG59" s="63"/>
      <c r="FH59" s="63"/>
      <c r="FI59" s="63"/>
      <c r="FJ59" s="64">
        <f t="shared" si="363"/>
        <v>0</v>
      </c>
      <c r="FK59" s="102"/>
      <c r="FL59" s="63"/>
      <c r="FM59" s="63"/>
      <c r="FN59" s="63"/>
      <c r="FO59" s="63"/>
      <c r="FP59" s="63"/>
      <c r="FQ59" s="63"/>
      <c r="FR59" s="63"/>
      <c r="FS59" s="63"/>
      <c r="FT59" s="63"/>
      <c r="FU59" s="64">
        <f t="shared" si="364"/>
        <v>0</v>
      </c>
      <c r="FV59" s="62">
        <f t="shared" si="365"/>
        <v>0</v>
      </c>
      <c r="FW59" s="62">
        <f t="shared" si="365"/>
        <v>0</v>
      </c>
      <c r="FX59" s="62">
        <f t="shared" si="365"/>
        <v>0</v>
      </c>
      <c r="FY59" s="62">
        <f t="shared" si="365"/>
        <v>0</v>
      </c>
      <c r="FZ59" s="62">
        <f t="shared" si="365"/>
        <v>0</v>
      </c>
      <c r="GA59" s="62">
        <f t="shared" si="365"/>
        <v>0</v>
      </c>
      <c r="GB59" s="62">
        <f t="shared" si="365"/>
        <v>0</v>
      </c>
      <c r="GC59" s="62">
        <f t="shared" si="365"/>
        <v>0</v>
      </c>
      <c r="GD59" s="62">
        <f t="shared" si="365"/>
        <v>0</v>
      </c>
      <c r="GE59" s="62">
        <f t="shared" si="365"/>
        <v>0</v>
      </c>
      <c r="GF59" s="64">
        <f t="shared" si="366"/>
        <v>0</v>
      </c>
      <c r="GG59" s="88">
        <f t="shared" si="367"/>
        <v>0</v>
      </c>
      <c r="GH59" s="88">
        <f t="shared" si="345"/>
        <v>0</v>
      </c>
      <c r="GI59" s="88">
        <f t="shared" si="345"/>
        <v>0</v>
      </c>
      <c r="GJ59" s="88">
        <f t="shared" si="345"/>
        <v>0</v>
      </c>
      <c r="GK59" s="88">
        <f t="shared" si="345"/>
        <v>0</v>
      </c>
      <c r="GL59" s="88">
        <f t="shared" si="345"/>
        <v>0</v>
      </c>
      <c r="GM59" s="88">
        <f t="shared" si="345"/>
        <v>0</v>
      </c>
      <c r="GN59" s="88">
        <f t="shared" si="345"/>
        <v>0</v>
      </c>
      <c r="GO59" s="88">
        <f t="shared" si="345"/>
        <v>0</v>
      </c>
      <c r="GP59" s="88">
        <f t="shared" si="345"/>
        <v>0</v>
      </c>
      <c r="GQ59" s="89">
        <f t="shared" si="346"/>
        <v>0</v>
      </c>
      <c r="GR59" s="100">
        <f t="shared" ref="GR59:IV59" si="371">SUM(GR60:GR61)</f>
        <v>0</v>
      </c>
      <c r="GS59" s="100">
        <f t="shared" si="371"/>
        <v>0</v>
      </c>
      <c r="GT59" s="100">
        <f t="shared" si="371"/>
        <v>0</v>
      </c>
      <c r="GU59" s="100">
        <f t="shared" si="371"/>
        <v>0</v>
      </c>
      <c r="GV59" s="100">
        <f t="shared" si="371"/>
        <v>0</v>
      </c>
      <c r="GW59" s="100">
        <f t="shared" si="371"/>
        <v>0</v>
      </c>
      <c r="GX59" s="100">
        <f t="shared" si="371"/>
        <v>0</v>
      </c>
      <c r="GY59" s="100">
        <f t="shared" si="371"/>
        <v>0</v>
      </c>
      <c r="GZ59" s="100">
        <f t="shared" si="371"/>
        <v>0</v>
      </c>
      <c r="HA59" s="100">
        <f t="shared" si="371"/>
        <v>0</v>
      </c>
      <c r="HB59" s="100">
        <f>SUM(HB60:HB61)</f>
        <v>0</v>
      </c>
      <c r="HC59" s="100">
        <f>SUM(HC60:HC61)</f>
        <v>0</v>
      </c>
      <c r="HD59" s="100">
        <f>SUM(HD60:HD61)</f>
        <v>0</v>
      </c>
      <c r="HE59" s="100">
        <f>SUM(HE60:HE61)</f>
        <v>0</v>
      </c>
      <c r="HF59" s="100">
        <f t="shared" si="371"/>
        <v>0</v>
      </c>
      <c r="HG59" s="100">
        <f t="shared" si="371"/>
        <v>0</v>
      </c>
      <c r="HH59" s="100">
        <f t="shared" si="371"/>
        <v>0</v>
      </c>
      <c r="HI59" s="100">
        <f t="shared" si="371"/>
        <v>0</v>
      </c>
      <c r="HJ59" s="100">
        <f t="shared" si="371"/>
        <v>0</v>
      </c>
      <c r="HK59" s="100">
        <f t="shared" si="371"/>
        <v>0</v>
      </c>
      <c r="HL59" s="100">
        <f t="shared" si="371"/>
        <v>0</v>
      </c>
      <c r="HM59" s="100">
        <f t="shared" si="371"/>
        <v>0</v>
      </c>
      <c r="HN59" s="100">
        <f t="shared" si="371"/>
        <v>0</v>
      </c>
      <c r="HO59" s="100">
        <f t="shared" si="371"/>
        <v>0</v>
      </c>
      <c r="HP59" s="100">
        <f t="shared" si="371"/>
        <v>0</v>
      </c>
      <c r="HQ59" s="100">
        <f>SUM(HQ60:HQ61)</f>
        <v>0</v>
      </c>
      <c r="HR59" s="100">
        <f>SUM(HR60:HR61)</f>
        <v>0</v>
      </c>
      <c r="HS59" s="100">
        <f>SUM(HS60:HS61)</f>
        <v>0</v>
      </c>
      <c r="HT59" s="100">
        <f>SUM(HT60:HT61)</f>
        <v>0</v>
      </c>
      <c r="HU59" s="100">
        <f t="shared" si="371"/>
        <v>0</v>
      </c>
      <c r="HV59" s="100">
        <f t="shared" si="371"/>
        <v>0</v>
      </c>
      <c r="HW59" s="100">
        <f t="shared" si="371"/>
        <v>0</v>
      </c>
      <c r="HX59" s="100">
        <f t="shared" si="371"/>
        <v>0</v>
      </c>
      <c r="HY59" s="100">
        <f t="shared" si="371"/>
        <v>0</v>
      </c>
      <c r="HZ59" s="100">
        <f t="shared" si="371"/>
        <v>0</v>
      </c>
      <c r="IA59" s="100">
        <f>SUM(IA60:IA61)</f>
        <v>0</v>
      </c>
      <c r="IB59" s="100">
        <f>SUM(IB60:IB61)</f>
        <v>0</v>
      </c>
      <c r="IC59" s="100">
        <f>SUM(IC60:IC61)</f>
        <v>0</v>
      </c>
      <c r="ID59" s="100">
        <f>SUM(ID60:ID61)</f>
        <v>0</v>
      </c>
      <c r="IE59" s="100">
        <f t="shared" si="371"/>
        <v>0</v>
      </c>
      <c r="IF59" s="100">
        <f t="shared" si="371"/>
        <v>0</v>
      </c>
      <c r="IG59" s="100">
        <f t="shared" si="371"/>
        <v>0</v>
      </c>
      <c r="IH59" s="100">
        <f t="shared" si="371"/>
        <v>0</v>
      </c>
      <c r="II59" s="100">
        <f t="shared" si="371"/>
        <v>0</v>
      </c>
      <c r="IJ59" s="100">
        <f t="shared" si="371"/>
        <v>0</v>
      </c>
      <c r="IK59" s="100">
        <f t="shared" si="371"/>
        <v>0</v>
      </c>
      <c r="IL59" s="100">
        <f t="shared" si="371"/>
        <v>0</v>
      </c>
      <c r="IM59" s="100">
        <f t="shared" si="371"/>
        <v>0</v>
      </c>
      <c r="IN59" s="100">
        <f t="shared" si="371"/>
        <v>0</v>
      </c>
      <c r="IO59" s="100">
        <f t="shared" si="371"/>
        <v>0</v>
      </c>
      <c r="IP59" s="100">
        <f>SUM(IP60:IP61)</f>
        <v>0</v>
      </c>
      <c r="IQ59" s="100">
        <f>SUM(IQ60:IQ61)</f>
        <v>0</v>
      </c>
      <c r="IR59" s="100">
        <f>SUM(IR60:IR61)</f>
        <v>0</v>
      </c>
      <c r="IS59" s="100">
        <f>SUM(IS60:IS61)</f>
        <v>0</v>
      </c>
      <c r="IT59" s="100">
        <f t="shared" si="371"/>
        <v>0</v>
      </c>
      <c r="IU59" s="100">
        <f t="shared" si="371"/>
        <v>0</v>
      </c>
      <c r="IV59" s="100">
        <f t="shared" si="371"/>
        <v>0</v>
      </c>
    </row>
    <row r="60" spans="1:256" x14ac:dyDescent="0.25">
      <c r="A60" s="101" t="s">
        <v>271</v>
      </c>
      <c r="B60" s="62">
        <v>30</v>
      </c>
      <c r="C60" s="63"/>
      <c r="D60" s="63"/>
      <c r="E60" s="63"/>
      <c r="F60" s="63"/>
      <c r="G60" s="63"/>
      <c r="H60" s="63"/>
      <c r="I60" s="63"/>
      <c r="J60" s="63"/>
      <c r="K60" s="63"/>
      <c r="L60" s="64">
        <f t="shared" si="347"/>
        <v>0</v>
      </c>
      <c r="M60" s="62"/>
      <c r="N60" s="63"/>
      <c r="O60" s="63"/>
      <c r="P60" s="63"/>
      <c r="Q60" s="63"/>
      <c r="R60" s="63"/>
      <c r="S60" s="63"/>
      <c r="T60" s="63"/>
      <c r="U60" s="63"/>
      <c r="V60" s="63"/>
      <c r="W60" s="64">
        <f t="shared" si="348"/>
        <v>0</v>
      </c>
      <c r="X60" s="62"/>
      <c r="Y60" s="63"/>
      <c r="Z60" s="63"/>
      <c r="AA60" s="63"/>
      <c r="AB60" s="63"/>
      <c r="AC60" s="63"/>
      <c r="AD60" s="63"/>
      <c r="AE60" s="63"/>
      <c r="AF60" s="63"/>
      <c r="AG60" s="63"/>
      <c r="AH60" s="64">
        <f t="shared" si="349"/>
        <v>0</v>
      </c>
      <c r="AI60" s="62"/>
      <c r="AJ60" s="63"/>
      <c r="AK60" s="63"/>
      <c r="AL60" s="63"/>
      <c r="AM60" s="63"/>
      <c r="AN60" s="63"/>
      <c r="AO60" s="63"/>
      <c r="AP60" s="63"/>
      <c r="AQ60" s="63"/>
      <c r="AR60" s="63"/>
      <c r="AS60" s="64">
        <f t="shared" si="350"/>
        <v>0</v>
      </c>
      <c r="AT60" s="65">
        <f t="shared" si="351"/>
        <v>0</v>
      </c>
      <c r="AU60" s="65">
        <f t="shared" si="351"/>
        <v>0</v>
      </c>
      <c r="AV60" s="65">
        <f t="shared" si="351"/>
        <v>0</v>
      </c>
      <c r="AW60" s="65">
        <f t="shared" si="351"/>
        <v>0</v>
      </c>
      <c r="AX60" s="65">
        <f t="shared" si="351"/>
        <v>0</v>
      </c>
      <c r="AY60" s="65">
        <f t="shared" si="351"/>
        <v>0</v>
      </c>
      <c r="AZ60" s="65">
        <f t="shared" si="351"/>
        <v>0</v>
      </c>
      <c r="BA60" s="65">
        <f t="shared" si="351"/>
        <v>0</v>
      </c>
      <c r="BB60" s="65">
        <f t="shared" si="351"/>
        <v>0</v>
      </c>
      <c r="BC60" s="65">
        <f t="shared" si="351"/>
        <v>0</v>
      </c>
      <c r="BD60" s="64">
        <f t="shared" si="352"/>
        <v>0</v>
      </c>
      <c r="BE60" s="62"/>
      <c r="BF60" s="63"/>
      <c r="BG60" s="63"/>
      <c r="BH60" s="63"/>
      <c r="BI60" s="63"/>
      <c r="BJ60" s="63"/>
      <c r="BK60" s="63"/>
      <c r="BL60" s="63"/>
      <c r="BM60" s="63"/>
      <c r="BN60" s="63"/>
      <c r="BO60" s="64">
        <f t="shared" si="353"/>
        <v>0</v>
      </c>
      <c r="BP60" s="62"/>
      <c r="BQ60" s="63"/>
      <c r="BR60" s="63"/>
      <c r="BS60" s="63"/>
      <c r="BT60" s="63"/>
      <c r="BU60" s="63"/>
      <c r="BV60" s="63"/>
      <c r="BW60" s="63"/>
      <c r="BX60" s="63"/>
      <c r="BY60" s="63"/>
      <c r="BZ60" s="64">
        <f t="shared" si="354"/>
        <v>0</v>
      </c>
      <c r="CA60" s="62"/>
      <c r="CB60" s="63"/>
      <c r="CC60" s="63"/>
      <c r="CD60" s="63"/>
      <c r="CE60" s="63"/>
      <c r="CF60" s="63"/>
      <c r="CG60" s="63"/>
      <c r="CH60" s="63"/>
      <c r="CI60" s="63"/>
      <c r="CJ60" s="63"/>
      <c r="CK60" s="64">
        <f t="shared" si="355"/>
        <v>0</v>
      </c>
      <c r="CL60" s="65">
        <f t="shared" si="356"/>
        <v>0</v>
      </c>
      <c r="CM60" s="65">
        <f t="shared" si="356"/>
        <v>0</v>
      </c>
      <c r="CN60" s="65">
        <f t="shared" si="356"/>
        <v>0</v>
      </c>
      <c r="CO60" s="65">
        <f t="shared" si="356"/>
        <v>0</v>
      </c>
      <c r="CP60" s="65">
        <f t="shared" si="356"/>
        <v>0</v>
      </c>
      <c r="CQ60" s="65">
        <f t="shared" si="356"/>
        <v>0</v>
      </c>
      <c r="CR60" s="65">
        <f t="shared" si="356"/>
        <v>0</v>
      </c>
      <c r="CS60" s="65">
        <f t="shared" si="356"/>
        <v>0</v>
      </c>
      <c r="CT60" s="65">
        <f t="shared" si="356"/>
        <v>0</v>
      </c>
      <c r="CU60" s="65">
        <f t="shared" si="356"/>
        <v>0</v>
      </c>
      <c r="CV60" s="64">
        <f t="shared" si="357"/>
        <v>0</v>
      </c>
      <c r="CW60" s="62"/>
      <c r="CX60" s="63"/>
      <c r="CY60" s="63"/>
      <c r="CZ60" s="63"/>
      <c r="DA60" s="63"/>
      <c r="DB60" s="63"/>
      <c r="DC60" s="63"/>
      <c r="DD60" s="63"/>
      <c r="DE60" s="63"/>
      <c r="DF60" s="63"/>
      <c r="DG60" s="64">
        <f t="shared" si="358"/>
        <v>0</v>
      </c>
      <c r="DH60" s="62"/>
      <c r="DI60" s="63"/>
      <c r="DJ60" s="63"/>
      <c r="DK60" s="63"/>
      <c r="DL60" s="63"/>
      <c r="DM60" s="63"/>
      <c r="DN60" s="63"/>
      <c r="DO60" s="63"/>
      <c r="DP60" s="63"/>
      <c r="DQ60" s="63"/>
      <c r="DR60" s="64">
        <f t="shared" si="359"/>
        <v>0</v>
      </c>
      <c r="DS60" s="62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5">
        <f t="shared" si="360"/>
        <v>0</v>
      </c>
      <c r="EE60" s="65">
        <f t="shared" si="360"/>
        <v>0</v>
      </c>
      <c r="EF60" s="65">
        <f t="shared" si="360"/>
        <v>0</v>
      </c>
      <c r="EG60" s="65">
        <f t="shared" si="360"/>
        <v>0</v>
      </c>
      <c r="EH60" s="65">
        <f t="shared" si="360"/>
        <v>0</v>
      </c>
      <c r="EI60" s="65">
        <f t="shared" si="360"/>
        <v>0</v>
      </c>
      <c r="EJ60" s="65">
        <f t="shared" si="360"/>
        <v>0</v>
      </c>
      <c r="EK60" s="65">
        <f t="shared" si="360"/>
        <v>0</v>
      </c>
      <c r="EL60" s="65">
        <f t="shared" si="360"/>
        <v>0</v>
      </c>
      <c r="EM60" s="65">
        <f t="shared" si="360"/>
        <v>0</v>
      </c>
      <c r="EN60" s="64">
        <f t="shared" si="361"/>
        <v>0</v>
      </c>
      <c r="EO60" s="62"/>
      <c r="EP60" s="63"/>
      <c r="EQ60" s="63"/>
      <c r="ER60" s="63"/>
      <c r="ES60" s="63"/>
      <c r="ET60" s="63"/>
      <c r="EU60" s="63"/>
      <c r="EV60" s="63"/>
      <c r="EW60" s="63"/>
      <c r="EX60" s="63"/>
      <c r="EY60" s="64">
        <f t="shared" si="362"/>
        <v>0</v>
      </c>
      <c r="EZ60" s="62"/>
      <c r="FA60" s="63"/>
      <c r="FB60" s="63"/>
      <c r="FC60" s="63"/>
      <c r="FD60" s="63"/>
      <c r="FE60" s="63"/>
      <c r="FF60" s="63"/>
      <c r="FG60" s="63"/>
      <c r="FH60" s="63"/>
      <c r="FI60" s="63"/>
      <c r="FJ60" s="64">
        <f t="shared" si="363"/>
        <v>0</v>
      </c>
      <c r="FK60" s="62"/>
      <c r="FL60" s="63"/>
      <c r="FM60" s="63"/>
      <c r="FN60" s="63"/>
      <c r="FO60" s="63"/>
      <c r="FP60" s="63"/>
      <c r="FQ60" s="63"/>
      <c r="FR60" s="63"/>
      <c r="FS60" s="63"/>
      <c r="FT60" s="63"/>
      <c r="FU60" s="64">
        <f t="shared" si="364"/>
        <v>0</v>
      </c>
      <c r="FV60" s="65">
        <f t="shared" si="365"/>
        <v>0</v>
      </c>
      <c r="FW60" s="65">
        <f t="shared" si="365"/>
        <v>0</v>
      </c>
      <c r="FX60" s="65">
        <f t="shared" si="365"/>
        <v>0</v>
      </c>
      <c r="FY60" s="65">
        <f t="shared" si="365"/>
        <v>0</v>
      </c>
      <c r="FZ60" s="65">
        <f t="shared" si="365"/>
        <v>0</v>
      </c>
      <c r="GA60" s="65">
        <f t="shared" si="365"/>
        <v>0</v>
      </c>
      <c r="GB60" s="65">
        <f t="shared" si="365"/>
        <v>0</v>
      </c>
      <c r="GC60" s="65">
        <f t="shared" si="365"/>
        <v>0</v>
      </c>
      <c r="GD60" s="65">
        <f t="shared" si="365"/>
        <v>0</v>
      </c>
      <c r="GE60" s="65">
        <f t="shared" si="365"/>
        <v>0</v>
      </c>
      <c r="GF60" s="64">
        <f t="shared" si="366"/>
        <v>0</v>
      </c>
      <c r="GG60" s="66">
        <f t="shared" si="367"/>
        <v>0</v>
      </c>
      <c r="GH60" s="66">
        <f t="shared" si="345"/>
        <v>0</v>
      </c>
      <c r="GI60" s="66">
        <f t="shared" si="345"/>
        <v>0</v>
      </c>
      <c r="GJ60" s="66">
        <f t="shared" si="345"/>
        <v>0</v>
      </c>
      <c r="GK60" s="66">
        <f t="shared" si="345"/>
        <v>0</v>
      </c>
      <c r="GL60" s="66">
        <f t="shared" si="345"/>
        <v>0</v>
      </c>
      <c r="GM60" s="66">
        <f t="shared" si="345"/>
        <v>0</v>
      </c>
      <c r="GN60" s="66">
        <f t="shared" si="345"/>
        <v>0</v>
      </c>
      <c r="GO60" s="66">
        <f t="shared" si="345"/>
        <v>0</v>
      </c>
      <c r="GP60" s="66">
        <f t="shared" si="345"/>
        <v>0</v>
      </c>
      <c r="GQ60" s="64">
        <f t="shared" si="346"/>
        <v>0</v>
      </c>
      <c r="GR60" s="63"/>
      <c r="GS60" s="63"/>
      <c r="GT60" s="63"/>
      <c r="GU60" s="63"/>
      <c r="GV60" s="67">
        <f>SUM(GR60:GU60)</f>
        <v>0</v>
      </c>
      <c r="GW60" s="63"/>
      <c r="GX60" s="63"/>
      <c r="GY60" s="63"/>
      <c r="GZ60" s="63"/>
      <c r="HA60" s="67">
        <f>SUM(GW60:GZ60)</f>
        <v>0</v>
      </c>
      <c r="HB60" s="63"/>
      <c r="HC60" s="63"/>
      <c r="HD60" s="63"/>
      <c r="HE60" s="63"/>
      <c r="HF60" s="67">
        <f>SUM(HB60:HE60)</f>
        <v>0</v>
      </c>
      <c r="HG60" s="63"/>
      <c r="HH60" s="63"/>
      <c r="HI60" s="63"/>
      <c r="HJ60" s="63"/>
      <c r="HK60" s="67">
        <f>SUM(HG60:HJ60)</f>
        <v>0</v>
      </c>
      <c r="HL60" s="68">
        <f t="shared" ref="HL60:HO62" si="372">SUM(GW60,HB60,HG60)</f>
        <v>0</v>
      </c>
      <c r="HM60" s="68">
        <f t="shared" si="372"/>
        <v>0</v>
      </c>
      <c r="HN60" s="68">
        <f t="shared" si="372"/>
        <v>0</v>
      </c>
      <c r="HO60" s="68">
        <f t="shared" si="372"/>
        <v>0</v>
      </c>
      <c r="HP60" s="67">
        <f>SUM(HL60:HO60)</f>
        <v>0</v>
      </c>
      <c r="HQ60" s="63"/>
      <c r="HR60" s="63"/>
      <c r="HS60" s="63"/>
      <c r="HT60" s="63"/>
      <c r="HU60" s="67">
        <f>SUM(HQ60:HT60)</f>
        <v>0</v>
      </c>
      <c r="HV60" s="63"/>
      <c r="HW60" s="63"/>
      <c r="HX60" s="63"/>
      <c r="HY60" s="63"/>
      <c r="HZ60" s="67">
        <f>SUM(HV60:HY60)</f>
        <v>0</v>
      </c>
      <c r="IA60" s="63"/>
      <c r="IB60" s="63"/>
      <c r="IC60" s="63"/>
      <c r="ID60" s="63"/>
      <c r="IE60" s="67">
        <f>SUM(IA60:ID60)</f>
        <v>0</v>
      </c>
      <c r="IF60" s="68">
        <f t="shared" ref="IF60:II62" si="373">SUM(HQ60,HV60,IA60)</f>
        <v>0</v>
      </c>
      <c r="IG60" s="68">
        <f t="shared" si="373"/>
        <v>0</v>
      </c>
      <c r="IH60" s="68">
        <f t="shared" si="373"/>
        <v>0</v>
      </c>
      <c r="II60" s="68">
        <f t="shared" si="373"/>
        <v>0</v>
      </c>
      <c r="IJ60" s="67">
        <f>SUM(IF60:II60)</f>
        <v>0</v>
      </c>
      <c r="IK60" s="63"/>
      <c r="IL60" s="63"/>
      <c r="IM60" s="63"/>
      <c r="IN60" s="63"/>
      <c r="IO60" s="67">
        <f>SUM(IK60:IN60)</f>
        <v>0</v>
      </c>
      <c r="IP60" s="63"/>
      <c r="IQ60" s="63"/>
      <c r="IR60" s="63"/>
      <c r="IS60" s="63"/>
      <c r="IT60" s="67">
        <f>SUM(IP60:IS60)</f>
        <v>0</v>
      </c>
      <c r="IU60" s="63"/>
      <c r="IV60" s="63"/>
    </row>
    <row r="61" spans="1:256" x14ac:dyDescent="0.25">
      <c r="A61" s="101" t="s">
        <v>272</v>
      </c>
      <c r="B61" s="62"/>
      <c r="C61" s="63"/>
      <c r="D61" s="63"/>
      <c r="E61" s="63"/>
      <c r="F61" s="63"/>
      <c r="G61" s="63"/>
      <c r="H61" s="63"/>
      <c r="I61" s="63"/>
      <c r="J61" s="63"/>
      <c r="K61" s="63"/>
      <c r="L61" s="64">
        <f t="shared" si="347"/>
        <v>0</v>
      </c>
      <c r="M61" s="62"/>
      <c r="N61" s="63"/>
      <c r="O61" s="63"/>
      <c r="P61" s="63"/>
      <c r="Q61" s="63"/>
      <c r="R61" s="63"/>
      <c r="S61" s="63"/>
      <c r="T61" s="63"/>
      <c r="U61" s="63"/>
      <c r="V61" s="63"/>
      <c r="W61" s="64">
        <f t="shared" si="348"/>
        <v>0</v>
      </c>
      <c r="X61" s="62"/>
      <c r="Y61" s="63"/>
      <c r="Z61" s="63"/>
      <c r="AA61" s="63"/>
      <c r="AB61" s="63"/>
      <c r="AC61" s="63"/>
      <c r="AD61" s="63"/>
      <c r="AE61" s="63"/>
      <c r="AF61" s="63"/>
      <c r="AG61" s="63"/>
      <c r="AH61" s="64">
        <f t="shared" si="349"/>
        <v>0</v>
      </c>
      <c r="AI61" s="62"/>
      <c r="AJ61" s="63"/>
      <c r="AK61" s="63"/>
      <c r="AL61" s="63"/>
      <c r="AM61" s="63"/>
      <c r="AN61" s="63"/>
      <c r="AO61" s="63"/>
      <c r="AP61" s="63"/>
      <c r="AQ61" s="63"/>
      <c r="AR61" s="63"/>
      <c r="AS61" s="64">
        <f t="shared" si="350"/>
        <v>0</v>
      </c>
      <c r="AT61" s="65">
        <f t="shared" si="351"/>
        <v>0</v>
      </c>
      <c r="AU61" s="65">
        <f t="shared" si="351"/>
        <v>0</v>
      </c>
      <c r="AV61" s="65">
        <f t="shared" si="351"/>
        <v>0</v>
      </c>
      <c r="AW61" s="65">
        <f t="shared" si="351"/>
        <v>0</v>
      </c>
      <c r="AX61" s="65">
        <f t="shared" si="351"/>
        <v>0</v>
      </c>
      <c r="AY61" s="65">
        <f t="shared" si="351"/>
        <v>0</v>
      </c>
      <c r="AZ61" s="65">
        <f t="shared" si="351"/>
        <v>0</v>
      </c>
      <c r="BA61" s="65">
        <f t="shared" si="351"/>
        <v>0</v>
      </c>
      <c r="BB61" s="65">
        <f t="shared" si="351"/>
        <v>0</v>
      </c>
      <c r="BC61" s="65">
        <f t="shared" si="351"/>
        <v>0</v>
      </c>
      <c r="BD61" s="64">
        <f t="shared" si="352"/>
        <v>0</v>
      </c>
      <c r="BE61" s="62"/>
      <c r="BF61" s="63"/>
      <c r="BG61" s="63"/>
      <c r="BH61" s="63"/>
      <c r="BI61" s="63"/>
      <c r="BJ61" s="63"/>
      <c r="BK61" s="63"/>
      <c r="BL61" s="63"/>
      <c r="BM61" s="63"/>
      <c r="BN61" s="63"/>
      <c r="BO61" s="64">
        <f t="shared" si="353"/>
        <v>0</v>
      </c>
      <c r="BP61" s="62"/>
      <c r="BQ61" s="63"/>
      <c r="BR61" s="63"/>
      <c r="BS61" s="63"/>
      <c r="BT61" s="63"/>
      <c r="BU61" s="63"/>
      <c r="BV61" s="63"/>
      <c r="BW61" s="63"/>
      <c r="BX61" s="63"/>
      <c r="BY61" s="63"/>
      <c r="BZ61" s="64">
        <f t="shared" si="354"/>
        <v>0</v>
      </c>
      <c r="CA61" s="62"/>
      <c r="CB61" s="63"/>
      <c r="CC61" s="63"/>
      <c r="CD61" s="63"/>
      <c r="CE61" s="63"/>
      <c r="CF61" s="63"/>
      <c r="CG61" s="63"/>
      <c r="CH61" s="63"/>
      <c r="CI61" s="63"/>
      <c r="CJ61" s="63"/>
      <c r="CK61" s="64">
        <f t="shared" si="355"/>
        <v>0</v>
      </c>
      <c r="CL61" s="65">
        <f t="shared" si="356"/>
        <v>0</v>
      </c>
      <c r="CM61" s="65">
        <f t="shared" si="356"/>
        <v>0</v>
      </c>
      <c r="CN61" s="65">
        <f t="shared" si="356"/>
        <v>0</v>
      </c>
      <c r="CO61" s="65">
        <f t="shared" si="356"/>
        <v>0</v>
      </c>
      <c r="CP61" s="65">
        <f t="shared" si="356"/>
        <v>0</v>
      </c>
      <c r="CQ61" s="65">
        <f t="shared" si="356"/>
        <v>0</v>
      </c>
      <c r="CR61" s="65">
        <f t="shared" si="356"/>
        <v>0</v>
      </c>
      <c r="CS61" s="65">
        <f t="shared" si="356"/>
        <v>0</v>
      </c>
      <c r="CT61" s="65">
        <f t="shared" si="356"/>
        <v>0</v>
      </c>
      <c r="CU61" s="65">
        <f t="shared" si="356"/>
        <v>0</v>
      </c>
      <c r="CV61" s="64">
        <f t="shared" si="357"/>
        <v>0</v>
      </c>
      <c r="CW61" s="62"/>
      <c r="CX61" s="63"/>
      <c r="CY61" s="63"/>
      <c r="CZ61" s="63"/>
      <c r="DA61" s="63"/>
      <c r="DB61" s="63"/>
      <c r="DC61" s="63"/>
      <c r="DD61" s="63"/>
      <c r="DE61" s="63"/>
      <c r="DF61" s="63"/>
      <c r="DG61" s="64">
        <f t="shared" si="358"/>
        <v>0</v>
      </c>
      <c r="DH61" s="62"/>
      <c r="DI61" s="63"/>
      <c r="DJ61" s="63"/>
      <c r="DK61" s="63"/>
      <c r="DL61" s="63"/>
      <c r="DM61" s="63"/>
      <c r="DN61" s="63"/>
      <c r="DO61" s="63"/>
      <c r="DP61" s="63"/>
      <c r="DQ61" s="63"/>
      <c r="DR61" s="64">
        <f t="shared" si="359"/>
        <v>0</v>
      </c>
      <c r="DS61" s="62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5">
        <f t="shared" si="360"/>
        <v>0</v>
      </c>
      <c r="EE61" s="65">
        <f t="shared" si="360"/>
        <v>0</v>
      </c>
      <c r="EF61" s="65">
        <f t="shared" si="360"/>
        <v>0</v>
      </c>
      <c r="EG61" s="65">
        <f t="shared" si="360"/>
        <v>0</v>
      </c>
      <c r="EH61" s="65">
        <f t="shared" si="360"/>
        <v>0</v>
      </c>
      <c r="EI61" s="65">
        <f t="shared" si="360"/>
        <v>0</v>
      </c>
      <c r="EJ61" s="65">
        <f t="shared" si="360"/>
        <v>0</v>
      </c>
      <c r="EK61" s="65">
        <f t="shared" si="360"/>
        <v>0</v>
      </c>
      <c r="EL61" s="65">
        <f t="shared" si="360"/>
        <v>0</v>
      </c>
      <c r="EM61" s="65">
        <f t="shared" si="360"/>
        <v>0</v>
      </c>
      <c r="EN61" s="64">
        <f t="shared" si="361"/>
        <v>0</v>
      </c>
      <c r="EO61" s="62"/>
      <c r="EP61" s="63"/>
      <c r="EQ61" s="63"/>
      <c r="ER61" s="63"/>
      <c r="ES61" s="63"/>
      <c r="ET61" s="63"/>
      <c r="EU61" s="63"/>
      <c r="EV61" s="63"/>
      <c r="EW61" s="63"/>
      <c r="EX61" s="63"/>
      <c r="EY61" s="64">
        <f t="shared" si="362"/>
        <v>0</v>
      </c>
      <c r="EZ61" s="62"/>
      <c r="FA61" s="63"/>
      <c r="FB61" s="63"/>
      <c r="FC61" s="63"/>
      <c r="FD61" s="63"/>
      <c r="FE61" s="63"/>
      <c r="FF61" s="63"/>
      <c r="FG61" s="63"/>
      <c r="FH61" s="63"/>
      <c r="FI61" s="63"/>
      <c r="FJ61" s="64">
        <f t="shared" si="363"/>
        <v>0</v>
      </c>
      <c r="FK61" s="62"/>
      <c r="FL61" s="63"/>
      <c r="FM61" s="63"/>
      <c r="FN61" s="63"/>
      <c r="FO61" s="63"/>
      <c r="FP61" s="63"/>
      <c r="FQ61" s="63"/>
      <c r="FR61" s="63"/>
      <c r="FS61" s="63"/>
      <c r="FT61" s="63"/>
      <c r="FU61" s="64">
        <f t="shared" si="364"/>
        <v>0</v>
      </c>
      <c r="FV61" s="65">
        <f t="shared" si="365"/>
        <v>0</v>
      </c>
      <c r="FW61" s="65">
        <f t="shared" si="365"/>
        <v>0</v>
      </c>
      <c r="FX61" s="65">
        <f t="shared" si="365"/>
        <v>0</v>
      </c>
      <c r="FY61" s="65">
        <f t="shared" si="365"/>
        <v>0</v>
      </c>
      <c r="FZ61" s="65">
        <f t="shared" si="365"/>
        <v>0</v>
      </c>
      <c r="GA61" s="65">
        <f t="shared" si="365"/>
        <v>0</v>
      </c>
      <c r="GB61" s="65">
        <f t="shared" si="365"/>
        <v>0</v>
      </c>
      <c r="GC61" s="65">
        <f t="shared" si="365"/>
        <v>0</v>
      </c>
      <c r="GD61" s="65">
        <f t="shared" si="365"/>
        <v>0</v>
      </c>
      <c r="GE61" s="65">
        <f t="shared" si="365"/>
        <v>0</v>
      </c>
      <c r="GF61" s="64">
        <f t="shared" si="366"/>
        <v>0</v>
      </c>
      <c r="GG61" s="66">
        <f t="shared" si="367"/>
        <v>0</v>
      </c>
      <c r="GH61" s="66">
        <f t="shared" si="345"/>
        <v>0</v>
      </c>
      <c r="GI61" s="66">
        <f t="shared" si="345"/>
        <v>0</v>
      </c>
      <c r="GJ61" s="66">
        <f t="shared" si="345"/>
        <v>0</v>
      </c>
      <c r="GK61" s="66">
        <f t="shared" si="345"/>
        <v>0</v>
      </c>
      <c r="GL61" s="66">
        <f t="shared" si="345"/>
        <v>0</v>
      </c>
      <c r="GM61" s="66">
        <f t="shared" si="345"/>
        <v>0</v>
      </c>
      <c r="GN61" s="66">
        <f t="shared" si="345"/>
        <v>0</v>
      </c>
      <c r="GO61" s="66">
        <f t="shared" si="345"/>
        <v>0</v>
      </c>
      <c r="GP61" s="66">
        <f t="shared" si="345"/>
        <v>0</v>
      </c>
      <c r="GQ61" s="64">
        <f t="shared" si="346"/>
        <v>0</v>
      </c>
      <c r="GR61" s="63"/>
      <c r="GS61" s="63"/>
      <c r="GT61" s="63"/>
      <c r="GU61" s="63"/>
      <c r="GV61" s="67">
        <f>SUM(GR61:GU61)</f>
        <v>0</v>
      </c>
      <c r="GW61" s="63"/>
      <c r="GX61" s="63"/>
      <c r="GY61" s="63"/>
      <c r="GZ61" s="63"/>
      <c r="HA61" s="67">
        <f>SUM(GW61:GZ61)</f>
        <v>0</v>
      </c>
      <c r="HB61" s="63"/>
      <c r="HC61" s="63"/>
      <c r="HD61" s="63"/>
      <c r="HE61" s="63"/>
      <c r="HF61" s="67">
        <f>SUM(HB61:HE61)</f>
        <v>0</v>
      </c>
      <c r="HG61" s="63"/>
      <c r="HH61" s="63"/>
      <c r="HI61" s="63"/>
      <c r="HJ61" s="63"/>
      <c r="HK61" s="67">
        <f>SUM(HG61:HJ61)</f>
        <v>0</v>
      </c>
      <c r="HL61" s="68">
        <f t="shared" si="372"/>
        <v>0</v>
      </c>
      <c r="HM61" s="68">
        <f t="shared" si="372"/>
        <v>0</v>
      </c>
      <c r="HN61" s="68">
        <f t="shared" si="372"/>
        <v>0</v>
      </c>
      <c r="HO61" s="68">
        <f t="shared" si="372"/>
        <v>0</v>
      </c>
      <c r="HP61" s="67">
        <f>SUM(HL61:HO61)</f>
        <v>0</v>
      </c>
      <c r="HQ61" s="63"/>
      <c r="HR61" s="63"/>
      <c r="HS61" s="63"/>
      <c r="HT61" s="63"/>
      <c r="HU61" s="67">
        <f>SUM(HQ61:HT61)</f>
        <v>0</v>
      </c>
      <c r="HV61" s="63"/>
      <c r="HW61" s="63"/>
      <c r="HX61" s="63"/>
      <c r="HY61" s="63"/>
      <c r="HZ61" s="67">
        <f>SUM(HV61:HY61)</f>
        <v>0</v>
      </c>
      <c r="IA61" s="63"/>
      <c r="IB61" s="63"/>
      <c r="IC61" s="63"/>
      <c r="ID61" s="63"/>
      <c r="IE61" s="67">
        <f>SUM(IA61:ID61)</f>
        <v>0</v>
      </c>
      <c r="IF61" s="68">
        <f t="shared" si="373"/>
        <v>0</v>
      </c>
      <c r="IG61" s="68">
        <f t="shared" si="373"/>
        <v>0</v>
      </c>
      <c r="IH61" s="68">
        <f t="shared" si="373"/>
        <v>0</v>
      </c>
      <c r="II61" s="68">
        <f t="shared" si="373"/>
        <v>0</v>
      </c>
      <c r="IJ61" s="67">
        <f>SUM(IF61:II61)</f>
        <v>0</v>
      </c>
      <c r="IK61" s="63"/>
      <c r="IL61" s="63"/>
      <c r="IM61" s="63"/>
      <c r="IN61" s="63"/>
      <c r="IO61" s="67">
        <f>SUM(IK61:IN61)</f>
        <v>0</v>
      </c>
      <c r="IP61" s="63"/>
      <c r="IQ61" s="63"/>
      <c r="IR61" s="63"/>
      <c r="IS61" s="63"/>
      <c r="IT61" s="67">
        <f>SUM(IP61:IS61)</f>
        <v>0</v>
      </c>
      <c r="IU61" s="63"/>
      <c r="IV61" s="63"/>
    </row>
    <row r="62" spans="1:256" x14ac:dyDescent="0.25">
      <c r="A62" s="103" t="s">
        <v>279</v>
      </c>
      <c r="B62" s="62"/>
      <c r="C62" s="63"/>
      <c r="D62" s="63"/>
      <c r="E62" s="63"/>
      <c r="F62" s="63"/>
      <c r="G62" s="63"/>
      <c r="H62" s="63"/>
      <c r="I62" s="63"/>
      <c r="J62" s="63"/>
      <c r="K62" s="63"/>
      <c r="L62" s="64">
        <f t="shared" si="347"/>
        <v>0</v>
      </c>
      <c r="M62" s="62"/>
      <c r="N62" s="63"/>
      <c r="O62" s="63"/>
      <c r="P62" s="63"/>
      <c r="Q62" s="63"/>
      <c r="R62" s="63"/>
      <c r="S62" s="63"/>
      <c r="T62" s="63"/>
      <c r="U62" s="63"/>
      <c r="V62" s="63"/>
      <c r="W62" s="64">
        <f t="shared" si="348"/>
        <v>0</v>
      </c>
      <c r="X62" s="62"/>
      <c r="Y62" s="63"/>
      <c r="Z62" s="63"/>
      <c r="AA62" s="63"/>
      <c r="AB62" s="63"/>
      <c r="AC62" s="63"/>
      <c r="AD62" s="63"/>
      <c r="AE62" s="63"/>
      <c r="AF62" s="63"/>
      <c r="AG62" s="63"/>
      <c r="AH62" s="64">
        <f t="shared" si="349"/>
        <v>0</v>
      </c>
      <c r="AI62" s="62"/>
      <c r="AJ62" s="63"/>
      <c r="AK62" s="63"/>
      <c r="AL62" s="63"/>
      <c r="AM62" s="63"/>
      <c r="AN62" s="63"/>
      <c r="AO62" s="63"/>
      <c r="AP62" s="63"/>
      <c r="AQ62" s="63"/>
      <c r="AR62" s="63"/>
      <c r="AS62" s="64">
        <f t="shared" si="350"/>
        <v>0</v>
      </c>
      <c r="AT62" s="65">
        <f t="shared" si="351"/>
        <v>0</v>
      </c>
      <c r="AU62" s="65">
        <f t="shared" si="351"/>
        <v>0</v>
      </c>
      <c r="AV62" s="65">
        <f t="shared" si="351"/>
        <v>0</v>
      </c>
      <c r="AW62" s="65">
        <f t="shared" si="351"/>
        <v>0</v>
      </c>
      <c r="AX62" s="65">
        <f t="shared" si="351"/>
        <v>0</v>
      </c>
      <c r="AY62" s="65">
        <f t="shared" si="351"/>
        <v>0</v>
      </c>
      <c r="AZ62" s="65">
        <f t="shared" si="351"/>
        <v>0</v>
      </c>
      <c r="BA62" s="65">
        <f t="shared" si="351"/>
        <v>0</v>
      </c>
      <c r="BB62" s="65">
        <f t="shared" si="351"/>
        <v>0</v>
      </c>
      <c r="BC62" s="65">
        <f t="shared" si="351"/>
        <v>0</v>
      </c>
      <c r="BD62" s="64">
        <f t="shared" si="352"/>
        <v>0</v>
      </c>
      <c r="BE62" s="62"/>
      <c r="BF62" s="63"/>
      <c r="BG62" s="63"/>
      <c r="BH62" s="63"/>
      <c r="BI62" s="63"/>
      <c r="BJ62" s="63"/>
      <c r="BK62" s="63"/>
      <c r="BL62" s="63"/>
      <c r="BM62" s="63"/>
      <c r="BN62" s="63"/>
      <c r="BO62" s="64">
        <f t="shared" si="353"/>
        <v>0</v>
      </c>
      <c r="BP62" s="62"/>
      <c r="BQ62" s="63"/>
      <c r="BR62" s="63"/>
      <c r="BS62" s="63"/>
      <c r="BT62" s="63"/>
      <c r="BU62" s="63"/>
      <c r="BV62" s="63"/>
      <c r="BW62" s="63"/>
      <c r="BX62" s="63"/>
      <c r="BY62" s="63"/>
      <c r="BZ62" s="64">
        <f t="shared" si="354"/>
        <v>0</v>
      </c>
      <c r="CA62" s="62"/>
      <c r="CB62" s="63"/>
      <c r="CC62" s="63"/>
      <c r="CD62" s="63"/>
      <c r="CE62" s="63"/>
      <c r="CF62" s="63"/>
      <c r="CG62" s="63"/>
      <c r="CH62" s="63"/>
      <c r="CI62" s="63"/>
      <c r="CJ62" s="63"/>
      <c r="CK62" s="64">
        <f t="shared" si="355"/>
        <v>0</v>
      </c>
      <c r="CL62" s="65">
        <f t="shared" si="356"/>
        <v>0</v>
      </c>
      <c r="CM62" s="65">
        <f t="shared" si="356"/>
        <v>0</v>
      </c>
      <c r="CN62" s="65">
        <f t="shared" si="356"/>
        <v>0</v>
      </c>
      <c r="CO62" s="65">
        <f t="shared" si="356"/>
        <v>0</v>
      </c>
      <c r="CP62" s="65">
        <f t="shared" si="356"/>
        <v>0</v>
      </c>
      <c r="CQ62" s="65">
        <f t="shared" si="356"/>
        <v>0</v>
      </c>
      <c r="CR62" s="65">
        <f t="shared" si="356"/>
        <v>0</v>
      </c>
      <c r="CS62" s="65">
        <f t="shared" si="356"/>
        <v>0</v>
      </c>
      <c r="CT62" s="65">
        <f t="shared" si="356"/>
        <v>0</v>
      </c>
      <c r="CU62" s="65">
        <f t="shared" si="356"/>
        <v>0</v>
      </c>
      <c r="CV62" s="64">
        <f t="shared" si="357"/>
        <v>0</v>
      </c>
      <c r="CW62" s="62"/>
      <c r="CX62" s="63"/>
      <c r="CY62" s="63"/>
      <c r="CZ62" s="63"/>
      <c r="DA62" s="63"/>
      <c r="DB62" s="63"/>
      <c r="DC62" s="63"/>
      <c r="DD62" s="63"/>
      <c r="DE62" s="63"/>
      <c r="DF62" s="63"/>
      <c r="DG62" s="64">
        <f t="shared" si="358"/>
        <v>0</v>
      </c>
      <c r="DH62" s="62"/>
      <c r="DI62" s="63"/>
      <c r="DJ62" s="63"/>
      <c r="DK62" s="63"/>
      <c r="DL62" s="63"/>
      <c r="DM62" s="63"/>
      <c r="DN62" s="63"/>
      <c r="DO62" s="63"/>
      <c r="DP62" s="63"/>
      <c r="DQ62" s="63"/>
      <c r="DR62" s="64">
        <f t="shared" si="359"/>
        <v>0</v>
      </c>
      <c r="DS62" s="62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5">
        <f t="shared" si="360"/>
        <v>0</v>
      </c>
      <c r="EE62" s="65">
        <f t="shared" si="360"/>
        <v>0</v>
      </c>
      <c r="EF62" s="65">
        <f t="shared" si="360"/>
        <v>0</v>
      </c>
      <c r="EG62" s="65">
        <f t="shared" si="360"/>
        <v>0</v>
      </c>
      <c r="EH62" s="65">
        <f t="shared" si="360"/>
        <v>0</v>
      </c>
      <c r="EI62" s="65">
        <f t="shared" si="360"/>
        <v>0</v>
      </c>
      <c r="EJ62" s="65">
        <f t="shared" si="360"/>
        <v>0</v>
      </c>
      <c r="EK62" s="65">
        <f t="shared" si="360"/>
        <v>0</v>
      </c>
      <c r="EL62" s="65">
        <f t="shared" si="360"/>
        <v>0</v>
      </c>
      <c r="EM62" s="65">
        <f t="shared" si="360"/>
        <v>0</v>
      </c>
      <c r="EN62" s="64">
        <f t="shared" si="361"/>
        <v>0</v>
      </c>
      <c r="EO62" s="62"/>
      <c r="EP62" s="63"/>
      <c r="EQ62" s="63"/>
      <c r="ER62" s="63"/>
      <c r="ES62" s="63"/>
      <c r="ET62" s="63"/>
      <c r="EU62" s="63"/>
      <c r="EV62" s="63"/>
      <c r="EW62" s="63"/>
      <c r="EX62" s="63"/>
      <c r="EY62" s="64">
        <f t="shared" si="362"/>
        <v>0</v>
      </c>
      <c r="EZ62" s="62"/>
      <c r="FA62" s="63"/>
      <c r="FB62" s="63"/>
      <c r="FC62" s="63"/>
      <c r="FD62" s="63"/>
      <c r="FE62" s="63"/>
      <c r="FF62" s="63"/>
      <c r="FG62" s="63"/>
      <c r="FH62" s="63"/>
      <c r="FI62" s="63"/>
      <c r="FJ62" s="64">
        <f t="shared" si="363"/>
        <v>0</v>
      </c>
      <c r="FK62" s="62"/>
      <c r="FL62" s="63"/>
      <c r="FM62" s="63"/>
      <c r="FN62" s="63"/>
      <c r="FO62" s="63"/>
      <c r="FP62" s="63"/>
      <c r="FQ62" s="63"/>
      <c r="FR62" s="63"/>
      <c r="FS62" s="63"/>
      <c r="FT62" s="63"/>
      <c r="FU62" s="64">
        <f t="shared" si="364"/>
        <v>0</v>
      </c>
      <c r="FV62" s="65">
        <f t="shared" si="365"/>
        <v>0</v>
      </c>
      <c r="FW62" s="65">
        <f t="shared" si="365"/>
        <v>0</v>
      </c>
      <c r="FX62" s="65">
        <f t="shared" si="365"/>
        <v>0</v>
      </c>
      <c r="FY62" s="65">
        <f t="shared" si="365"/>
        <v>0</v>
      </c>
      <c r="FZ62" s="65">
        <f t="shared" si="365"/>
        <v>0</v>
      </c>
      <c r="GA62" s="65">
        <f t="shared" si="365"/>
        <v>0</v>
      </c>
      <c r="GB62" s="65">
        <f t="shared" si="365"/>
        <v>0</v>
      </c>
      <c r="GC62" s="65">
        <f t="shared" si="365"/>
        <v>0</v>
      </c>
      <c r="GD62" s="65">
        <f t="shared" si="365"/>
        <v>0</v>
      </c>
      <c r="GE62" s="65">
        <f t="shared" si="365"/>
        <v>0</v>
      </c>
      <c r="GF62" s="64">
        <f t="shared" si="366"/>
        <v>0</v>
      </c>
      <c r="GG62" s="66">
        <f t="shared" si="367"/>
        <v>0</v>
      </c>
      <c r="GH62" s="66">
        <f t="shared" si="345"/>
        <v>0</v>
      </c>
      <c r="GI62" s="66">
        <f t="shared" si="345"/>
        <v>0</v>
      </c>
      <c r="GJ62" s="66">
        <f t="shared" si="345"/>
        <v>0</v>
      </c>
      <c r="GK62" s="66">
        <f t="shared" si="345"/>
        <v>0</v>
      </c>
      <c r="GL62" s="66">
        <f t="shared" si="345"/>
        <v>0</v>
      </c>
      <c r="GM62" s="66">
        <f t="shared" si="345"/>
        <v>0</v>
      </c>
      <c r="GN62" s="66">
        <f t="shared" si="345"/>
        <v>0</v>
      </c>
      <c r="GO62" s="66">
        <f t="shared" si="345"/>
        <v>0</v>
      </c>
      <c r="GP62" s="66">
        <f t="shared" si="345"/>
        <v>0</v>
      </c>
      <c r="GQ62" s="64">
        <f t="shared" si="346"/>
        <v>0</v>
      </c>
      <c r="GR62" s="63"/>
      <c r="GS62" s="63"/>
      <c r="GT62" s="63"/>
      <c r="GU62" s="63"/>
      <c r="GV62" s="67">
        <f>SUM(GR62:GU62)</f>
        <v>0</v>
      </c>
      <c r="GW62" s="63"/>
      <c r="GX62" s="63"/>
      <c r="GY62" s="63"/>
      <c r="GZ62" s="63"/>
      <c r="HA62" s="67">
        <f>SUM(GW62:GZ62)</f>
        <v>0</v>
      </c>
      <c r="HB62" s="63"/>
      <c r="HC62" s="63"/>
      <c r="HD62" s="63"/>
      <c r="HE62" s="63"/>
      <c r="HF62" s="67">
        <f>SUM(HB62:HE62)</f>
        <v>0</v>
      </c>
      <c r="HG62" s="63"/>
      <c r="HH62" s="63"/>
      <c r="HI62" s="63"/>
      <c r="HJ62" s="63"/>
      <c r="HK62" s="67">
        <f>SUM(HG62:HJ62)</f>
        <v>0</v>
      </c>
      <c r="HL62" s="68">
        <f t="shared" si="372"/>
        <v>0</v>
      </c>
      <c r="HM62" s="68">
        <f t="shared" si="372"/>
        <v>0</v>
      </c>
      <c r="HN62" s="68">
        <f t="shared" si="372"/>
        <v>0</v>
      </c>
      <c r="HO62" s="68">
        <f t="shared" si="372"/>
        <v>0</v>
      </c>
      <c r="HP62" s="67">
        <f>SUM(HL62:HO62)</f>
        <v>0</v>
      </c>
      <c r="HQ62" s="63"/>
      <c r="HR62" s="63"/>
      <c r="HS62" s="63"/>
      <c r="HT62" s="63"/>
      <c r="HU62" s="67">
        <f>SUM(HQ62:HT62)</f>
        <v>0</v>
      </c>
      <c r="HV62" s="63"/>
      <c r="HW62" s="63"/>
      <c r="HX62" s="63"/>
      <c r="HY62" s="63"/>
      <c r="HZ62" s="67">
        <f>SUM(HV62:HY62)</f>
        <v>0</v>
      </c>
      <c r="IA62" s="63"/>
      <c r="IB62" s="63"/>
      <c r="IC62" s="63"/>
      <c r="ID62" s="63"/>
      <c r="IE62" s="67">
        <f>SUM(IA62:ID62)</f>
        <v>0</v>
      </c>
      <c r="IF62" s="68">
        <f t="shared" si="373"/>
        <v>0</v>
      </c>
      <c r="IG62" s="68">
        <f t="shared" si="373"/>
        <v>0</v>
      </c>
      <c r="IH62" s="68">
        <f t="shared" si="373"/>
        <v>0</v>
      </c>
      <c r="II62" s="68">
        <f t="shared" si="373"/>
        <v>0</v>
      </c>
      <c r="IJ62" s="67">
        <f>SUM(IF62:II62)</f>
        <v>0</v>
      </c>
      <c r="IK62" s="63"/>
      <c r="IL62" s="63"/>
      <c r="IM62" s="63"/>
      <c r="IN62" s="63"/>
      <c r="IO62" s="67">
        <f>SUM(IK62:IN62)</f>
        <v>0</v>
      </c>
      <c r="IP62" s="63"/>
      <c r="IQ62" s="63"/>
      <c r="IR62" s="63"/>
      <c r="IS62" s="63"/>
      <c r="IT62" s="67">
        <f>SUM(IP62:IS62)</f>
        <v>0</v>
      </c>
      <c r="IU62" s="63"/>
      <c r="IV62" s="63"/>
    </row>
    <row r="63" spans="1:256" s="54" customFormat="1" x14ac:dyDescent="0.25">
      <c r="A63" s="104" t="s">
        <v>67</v>
      </c>
      <c r="B63" s="56"/>
      <c r="C63" s="76">
        <f t="shared" ref="C63:L63" si="374">SUM(C309,C256,C188,C65)</f>
        <v>11656</v>
      </c>
      <c r="D63" s="76">
        <f t="shared" si="374"/>
        <v>1279</v>
      </c>
      <c r="E63" s="76">
        <f t="shared" si="374"/>
        <v>745</v>
      </c>
      <c r="F63" s="76">
        <f t="shared" si="374"/>
        <v>266</v>
      </c>
      <c r="G63" s="76">
        <f t="shared" si="374"/>
        <v>198</v>
      </c>
      <c r="H63" s="76">
        <f t="shared" si="374"/>
        <v>490</v>
      </c>
      <c r="I63" s="76">
        <f t="shared" si="374"/>
        <v>0</v>
      </c>
      <c r="J63" s="76">
        <f t="shared" si="374"/>
        <v>1050</v>
      </c>
      <c r="K63" s="76">
        <f t="shared" si="374"/>
        <v>693</v>
      </c>
      <c r="L63" s="105">
        <f t="shared" si="374"/>
        <v>16479</v>
      </c>
      <c r="M63" s="56"/>
      <c r="N63" s="76">
        <f t="shared" ref="N63:V63" si="375">SUM(N309,N256,N188,N65)</f>
        <v>0</v>
      </c>
      <c r="O63" s="76">
        <f t="shared" si="375"/>
        <v>0</v>
      </c>
      <c r="P63" s="76">
        <f t="shared" si="375"/>
        <v>0</v>
      </c>
      <c r="Q63" s="76">
        <f t="shared" si="375"/>
        <v>0</v>
      </c>
      <c r="R63" s="76">
        <f t="shared" si="375"/>
        <v>0</v>
      </c>
      <c r="S63" s="76">
        <f t="shared" si="375"/>
        <v>0</v>
      </c>
      <c r="T63" s="76">
        <f t="shared" si="375"/>
        <v>0</v>
      </c>
      <c r="U63" s="76">
        <f t="shared" si="375"/>
        <v>0</v>
      </c>
      <c r="V63" s="76">
        <f t="shared" si="375"/>
        <v>0</v>
      </c>
      <c r="W63" s="105">
        <f>SUM(W309,W256,W188,W65)</f>
        <v>0</v>
      </c>
      <c r="X63" s="56"/>
      <c r="Y63" s="76">
        <f t="shared" ref="Y63:AG63" si="376">SUM(Y309,Y256,Y188,Y65)</f>
        <v>0</v>
      </c>
      <c r="Z63" s="76">
        <f t="shared" si="376"/>
        <v>0</v>
      </c>
      <c r="AA63" s="76">
        <f t="shared" si="376"/>
        <v>0</v>
      </c>
      <c r="AB63" s="76">
        <f t="shared" si="376"/>
        <v>0</v>
      </c>
      <c r="AC63" s="76">
        <f t="shared" si="376"/>
        <v>0</v>
      </c>
      <c r="AD63" s="76">
        <f t="shared" si="376"/>
        <v>0</v>
      </c>
      <c r="AE63" s="76">
        <f t="shared" si="376"/>
        <v>0</v>
      </c>
      <c r="AF63" s="76">
        <f t="shared" si="376"/>
        <v>0</v>
      </c>
      <c r="AG63" s="76">
        <f t="shared" si="376"/>
        <v>0</v>
      </c>
      <c r="AH63" s="105">
        <f>SUM(AH309,AH256,AH188,AH65)</f>
        <v>0</v>
      </c>
      <c r="AI63" s="56"/>
      <c r="AJ63" s="76">
        <f t="shared" ref="AJ63:AR63" si="377">SUM(AJ309,AJ256,AJ188,AJ65)</f>
        <v>0</v>
      </c>
      <c r="AK63" s="76">
        <f t="shared" si="377"/>
        <v>0</v>
      </c>
      <c r="AL63" s="76">
        <f t="shared" si="377"/>
        <v>0</v>
      </c>
      <c r="AM63" s="76">
        <f t="shared" si="377"/>
        <v>0</v>
      </c>
      <c r="AN63" s="76">
        <f t="shared" si="377"/>
        <v>0</v>
      </c>
      <c r="AO63" s="76">
        <f t="shared" si="377"/>
        <v>0</v>
      </c>
      <c r="AP63" s="76">
        <f t="shared" si="377"/>
        <v>0</v>
      </c>
      <c r="AQ63" s="76">
        <f t="shared" si="377"/>
        <v>0</v>
      </c>
      <c r="AR63" s="76">
        <f t="shared" si="377"/>
        <v>0</v>
      </c>
      <c r="AS63" s="105">
        <f>SUM(AS309,AS256,AS188,AS65)</f>
        <v>0</v>
      </c>
      <c r="AT63" s="56"/>
      <c r="AU63" s="106">
        <f t="shared" ref="AU63:BD63" si="378">SUM(AU309,AU256,AU188,AU65)</f>
        <v>0</v>
      </c>
      <c r="AV63" s="106">
        <f t="shared" si="378"/>
        <v>0</v>
      </c>
      <c r="AW63" s="106">
        <f t="shared" si="378"/>
        <v>0</v>
      </c>
      <c r="AX63" s="106">
        <f t="shared" si="378"/>
        <v>0</v>
      </c>
      <c r="AY63" s="106">
        <f t="shared" si="378"/>
        <v>0</v>
      </c>
      <c r="AZ63" s="106">
        <f t="shared" si="378"/>
        <v>0</v>
      </c>
      <c r="BA63" s="106">
        <f t="shared" si="378"/>
        <v>0</v>
      </c>
      <c r="BB63" s="106">
        <f t="shared" si="378"/>
        <v>0</v>
      </c>
      <c r="BC63" s="106">
        <f t="shared" si="378"/>
        <v>0</v>
      </c>
      <c r="BD63" s="105">
        <f t="shared" si="378"/>
        <v>0</v>
      </c>
      <c r="BE63" s="56"/>
      <c r="BF63" s="76">
        <f t="shared" ref="BF63:BN63" si="379">SUM(BF309,BF256,BF188,BF65)</f>
        <v>0</v>
      </c>
      <c r="BG63" s="76">
        <f t="shared" si="379"/>
        <v>0</v>
      </c>
      <c r="BH63" s="76">
        <f t="shared" si="379"/>
        <v>0</v>
      </c>
      <c r="BI63" s="76">
        <f t="shared" si="379"/>
        <v>0</v>
      </c>
      <c r="BJ63" s="76">
        <f t="shared" si="379"/>
        <v>0</v>
      </c>
      <c r="BK63" s="76">
        <f t="shared" si="379"/>
        <v>0</v>
      </c>
      <c r="BL63" s="76">
        <f t="shared" si="379"/>
        <v>0</v>
      </c>
      <c r="BM63" s="76">
        <f t="shared" si="379"/>
        <v>0</v>
      </c>
      <c r="BN63" s="76">
        <f t="shared" si="379"/>
        <v>0</v>
      </c>
      <c r="BO63" s="105">
        <f>SUM(BO309,BO256,BO188,BO65)</f>
        <v>0</v>
      </c>
      <c r="BP63" s="56"/>
      <c r="BQ63" s="76">
        <f t="shared" ref="BQ63:BY63" si="380">SUM(BQ309,BQ256,BQ188,BQ65)</f>
        <v>0</v>
      </c>
      <c r="BR63" s="76">
        <f t="shared" si="380"/>
        <v>0</v>
      </c>
      <c r="BS63" s="76">
        <f t="shared" si="380"/>
        <v>0</v>
      </c>
      <c r="BT63" s="76">
        <f t="shared" si="380"/>
        <v>0</v>
      </c>
      <c r="BU63" s="76">
        <f t="shared" si="380"/>
        <v>0</v>
      </c>
      <c r="BV63" s="76">
        <f t="shared" si="380"/>
        <v>0</v>
      </c>
      <c r="BW63" s="76">
        <f t="shared" si="380"/>
        <v>0</v>
      </c>
      <c r="BX63" s="76">
        <f t="shared" si="380"/>
        <v>0</v>
      </c>
      <c r="BY63" s="76">
        <f t="shared" si="380"/>
        <v>0</v>
      </c>
      <c r="BZ63" s="105">
        <f>SUM(BZ309,BZ256,BZ188,BZ65)</f>
        <v>0</v>
      </c>
      <c r="CA63" s="56"/>
      <c r="CB63" s="76">
        <f t="shared" ref="CB63:CJ63" si="381">SUM(CB309,CB256,CB188,CB65)</f>
        <v>0</v>
      </c>
      <c r="CC63" s="76">
        <f t="shared" si="381"/>
        <v>0</v>
      </c>
      <c r="CD63" s="76">
        <f t="shared" si="381"/>
        <v>0</v>
      </c>
      <c r="CE63" s="76">
        <f t="shared" si="381"/>
        <v>0</v>
      </c>
      <c r="CF63" s="76">
        <f t="shared" si="381"/>
        <v>0</v>
      </c>
      <c r="CG63" s="76">
        <f t="shared" si="381"/>
        <v>0</v>
      </c>
      <c r="CH63" s="76">
        <f t="shared" si="381"/>
        <v>0</v>
      </c>
      <c r="CI63" s="76">
        <f t="shared" si="381"/>
        <v>0</v>
      </c>
      <c r="CJ63" s="76">
        <f t="shared" si="381"/>
        <v>0</v>
      </c>
      <c r="CK63" s="105">
        <f>SUM(CK309,CK256,CK188,CK65)</f>
        <v>0</v>
      </c>
      <c r="CL63" s="56"/>
      <c r="CM63" s="106">
        <f t="shared" ref="CM63:CV63" si="382">SUM(CM309,CM256,CM188,CM65)</f>
        <v>0</v>
      </c>
      <c r="CN63" s="106">
        <f t="shared" si="382"/>
        <v>0</v>
      </c>
      <c r="CO63" s="106">
        <f t="shared" si="382"/>
        <v>0</v>
      </c>
      <c r="CP63" s="106">
        <f t="shared" si="382"/>
        <v>0</v>
      </c>
      <c r="CQ63" s="106">
        <f t="shared" si="382"/>
        <v>0</v>
      </c>
      <c r="CR63" s="106">
        <f t="shared" si="382"/>
        <v>0</v>
      </c>
      <c r="CS63" s="106">
        <f t="shared" si="382"/>
        <v>0</v>
      </c>
      <c r="CT63" s="106">
        <f t="shared" si="382"/>
        <v>0</v>
      </c>
      <c r="CU63" s="106">
        <f t="shared" si="382"/>
        <v>0</v>
      </c>
      <c r="CV63" s="105">
        <f t="shared" si="382"/>
        <v>0</v>
      </c>
      <c r="CW63" s="56"/>
      <c r="CX63" s="76">
        <f t="shared" ref="CX63:DF63" si="383">SUM(CX309,CX256,CX188,CX65)</f>
        <v>0</v>
      </c>
      <c r="CY63" s="76">
        <f t="shared" si="383"/>
        <v>0</v>
      </c>
      <c r="CZ63" s="76">
        <f t="shared" si="383"/>
        <v>0</v>
      </c>
      <c r="DA63" s="76">
        <f t="shared" si="383"/>
        <v>0</v>
      </c>
      <c r="DB63" s="76">
        <f t="shared" si="383"/>
        <v>0</v>
      </c>
      <c r="DC63" s="76">
        <f t="shared" si="383"/>
        <v>0</v>
      </c>
      <c r="DD63" s="76">
        <f t="shared" si="383"/>
        <v>0</v>
      </c>
      <c r="DE63" s="76">
        <f t="shared" si="383"/>
        <v>0</v>
      </c>
      <c r="DF63" s="76">
        <f t="shared" si="383"/>
        <v>0</v>
      </c>
      <c r="DG63" s="105">
        <f>SUM(DG309,DG256,DG188,DG65)</f>
        <v>0</v>
      </c>
      <c r="DH63" s="56"/>
      <c r="DI63" s="76">
        <f t="shared" ref="DI63:DQ63" si="384">SUM(DI309,DI256,DI188,DI65)</f>
        <v>0</v>
      </c>
      <c r="DJ63" s="76">
        <f t="shared" si="384"/>
        <v>0</v>
      </c>
      <c r="DK63" s="76">
        <f t="shared" si="384"/>
        <v>0</v>
      </c>
      <c r="DL63" s="76">
        <f t="shared" si="384"/>
        <v>0</v>
      </c>
      <c r="DM63" s="76">
        <f t="shared" si="384"/>
        <v>0</v>
      </c>
      <c r="DN63" s="76">
        <f t="shared" si="384"/>
        <v>0</v>
      </c>
      <c r="DO63" s="76">
        <f t="shared" si="384"/>
        <v>0</v>
      </c>
      <c r="DP63" s="76">
        <f t="shared" si="384"/>
        <v>0</v>
      </c>
      <c r="DQ63" s="76">
        <f t="shared" si="384"/>
        <v>0</v>
      </c>
      <c r="DR63" s="105">
        <f>SUM(DR309,DR256,DR188,DR65)</f>
        <v>0</v>
      </c>
      <c r="DS63" s="56"/>
      <c r="DT63" s="76">
        <f t="shared" ref="DT63:EB63" si="385">SUM(DT309,DT256,DT188,DT65)</f>
        <v>0</v>
      </c>
      <c r="DU63" s="76">
        <f t="shared" si="385"/>
        <v>0</v>
      </c>
      <c r="DV63" s="76">
        <f t="shared" si="385"/>
        <v>0</v>
      </c>
      <c r="DW63" s="76">
        <f t="shared" si="385"/>
        <v>0</v>
      </c>
      <c r="DX63" s="76">
        <f t="shared" si="385"/>
        <v>0</v>
      </c>
      <c r="DY63" s="76">
        <f t="shared" si="385"/>
        <v>0</v>
      </c>
      <c r="DZ63" s="76">
        <f t="shared" si="385"/>
        <v>0</v>
      </c>
      <c r="EA63" s="76">
        <f t="shared" si="385"/>
        <v>0</v>
      </c>
      <c r="EB63" s="76">
        <f t="shared" si="385"/>
        <v>0</v>
      </c>
      <c r="EC63" s="76">
        <f>SUM(EC309,EC256,EC188,EC65)</f>
        <v>0</v>
      </c>
      <c r="ED63" s="56"/>
      <c r="EE63" s="106">
        <f t="shared" ref="EE63:EN63" si="386">SUM(EE309,EE256,EE188,EE65)</f>
        <v>0</v>
      </c>
      <c r="EF63" s="106">
        <f t="shared" si="386"/>
        <v>0</v>
      </c>
      <c r="EG63" s="106">
        <f t="shared" si="386"/>
        <v>0</v>
      </c>
      <c r="EH63" s="106">
        <f t="shared" si="386"/>
        <v>0</v>
      </c>
      <c r="EI63" s="106">
        <f t="shared" si="386"/>
        <v>0</v>
      </c>
      <c r="EJ63" s="106">
        <f t="shared" si="386"/>
        <v>0</v>
      </c>
      <c r="EK63" s="106">
        <f t="shared" si="386"/>
        <v>0</v>
      </c>
      <c r="EL63" s="106">
        <f t="shared" si="386"/>
        <v>0</v>
      </c>
      <c r="EM63" s="106">
        <f t="shared" si="386"/>
        <v>0</v>
      </c>
      <c r="EN63" s="105">
        <f t="shared" si="386"/>
        <v>0</v>
      </c>
      <c r="EO63" s="56"/>
      <c r="EP63" s="76">
        <f t="shared" ref="EP63:EX63" si="387">SUM(EP309,EP256,EP188,EP65)</f>
        <v>0</v>
      </c>
      <c r="EQ63" s="76">
        <f t="shared" si="387"/>
        <v>0</v>
      </c>
      <c r="ER63" s="76">
        <f t="shared" si="387"/>
        <v>0</v>
      </c>
      <c r="ES63" s="76">
        <f t="shared" si="387"/>
        <v>0</v>
      </c>
      <c r="ET63" s="76">
        <f t="shared" si="387"/>
        <v>0</v>
      </c>
      <c r="EU63" s="76">
        <f t="shared" si="387"/>
        <v>0</v>
      </c>
      <c r="EV63" s="76">
        <f t="shared" si="387"/>
        <v>0</v>
      </c>
      <c r="EW63" s="76">
        <f t="shared" si="387"/>
        <v>0</v>
      </c>
      <c r="EX63" s="76">
        <f t="shared" si="387"/>
        <v>0</v>
      </c>
      <c r="EY63" s="105">
        <f>SUM(EY309,EY256,EY188,EY65)</f>
        <v>0</v>
      </c>
      <c r="EZ63" s="56"/>
      <c r="FA63" s="76">
        <f t="shared" ref="FA63:FI63" si="388">SUM(FA309,FA256,FA188,FA65)</f>
        <v>0</v>
      </c>
      <c r="FB63" s="76">
        <f t="shared" si="388"/>
        <v>0</v>
      </c>
      <c r="FC63" s="76">
        <f t="shared" si="388"/>
        <v>0</v>
      </c>
      <c r="FD63" s="76">
        <f t="shared" si="388"/>
        <v>0</v>
      </c>
      <c r="FE63" s="76">
        <f t="shared" si="388"/>
        <v>0</v>
      </c>
      <c r="FF63" s="76">
        <f t="shared" si="388"/>
        <v>0</v>
      </c>
      <c r="FG63" s="76">
        <f t="shared" si="388"/>
        <v>0</v>
      </c>
      <c r="FH63" s="76">
        <f t="shared" si="388"/>
        <v>0</v>
      </c>
      <c r="FI63" s="76">
        <f t="shared" si="388"/>
        <v>0</v>
      </c>
      <c r="FJ63" s="105">
        <f>SUM(FJ309,FJ256,FJ188,FJ65)</f>
        <v>0</v>
      </c>
      <c r="FK63" s="56"/>
      <c r="FL63" s="76">
        <f t="shared" ref="FL63:FT63" si="389">SUM(FL309,FL256,FL188,FL65)</f>
        <v>0</v>
      </c>
      <c r="FM63" s="76">
        <f t="shared" si="389"/>
        <v>0</v>
      </c>
      <c r="FN63" s="76">
        <f t="shared" si="389"/>
        <v>0</v>
      </c>
      <c r="FO63" s="76">
        <f t="shared" si="389"/>
        <v>0</v>
      </c>
      <c r="FP63" s="76">
        <f t="shared" si="389"/>
        <v>0</v>
      </c>
      <c r="FQ63" s="76">
        <f t="shared" si="389"/>
        <v>0</v>
      </c>
      <c r="FR63" s="76">
        <f t="shared" si="389"/>
        <v>0</v>
      </c>
      <c r="FS63" s="76">
        <f t="shared" si="389"/>
        <v>0</v>
      </c>
      <c r="FT63" s="76">
        <f t="shared" si="389"/>
        <v>0</v>
      </c>
      <c r="FU63" s="105">
        <f>SUM(FU309,FU256,FU188,FU65)</f>
        <v>0</v>
      </c>
      <c r="FV63" s="56"/>
      <c r="FW63" s="106">
        <f t="shared" ref="FW63:GF63" si="390">SUM(FW309,FW256,FW188,FW65)</f>
        <v>0</v>
      </c>
      <c r="FX63" s="106">
        <f t="shared" si="390"/>
        <v>0</v>
      </c>
      <c r="FY63" s="106">
        <f t="shared" si="390"/>
        <v>0</v>
      </c>
      <c r="FZ63" s="106">
        <f t="shared" si="390"/>
        <v>0</v>
      </c>
      <c r="GA63" s="106">
        <f t="shared" si="390"/>
        <v>0</v>
      </c>
      <c r="GB63" s="106">
        <f t="shared" si="390"/>
        <v>0</v>
      </c>
      <c r="GC63" s="106">
        <f t="shared" si="390"/>
        <v>0</v>
      </c>
      <c r="GD63" s="106">
        <f t="shared" si="390"/>
        <v>0</v>
      </c>
      <c r="GE63" s="106">
        <f t="shared" si="390"/>
        <v>0</v>
      </c>
      <c r="GF63" s="105">
        <f t="shared" si="390"/>
        <v>0</v>
      </c>
      <c r="GG63" s="56"/>
      <c r="GH63" s="76">
        <f t="shared" ref="GH63:IO63" si="391">SUM(GH309,GH256,GH188,GH65)</f>
        <v>0</v>
      </c>
      <c r="GI63" s="76">
        <f t="shared" si="391"/>
        <v>0</v>
      </c>
      <c r="GJ63" s="76">
        <f t="shared" si="391"/>
        <v>0</v>
      </c>
      <c r="GK63" s="76">
        <f t="shared" si="391"/>
        <v>0</v>
      </c>
      <c r="GL63" s="76">
        <f t="shared" si="391"/>
        <v>0</v>
      </c>
      <c r="GM63" s="76">
        <f t="shared" si="391"/>
        <v>0</v>
      </c>
      <c r="GN63" s="76">
        <f t="shared" si="391"/>
        <v>0</v>
      </c>
      <c r="GO63" s="76">
        <f t="shared" si="391"/>
        <v>0</v>
      </c>
      <c r="GP63" s="76">
        <f t="shared" si="391"/>
        <v>0</v>
      </c>
      <c r="GQ63" s="105">
        <f t="shared" si="391"/>
        <v>0</v>
      </c>
      <c r="GR63" s="76">
        <f t="shared" si="391"/>
        <v>0</v>
      </c>
      <c r="GS63" s="76">
        <f t="shared" si="391"/>
        <v>0</v>
      </c>
      <c r="GT63" s="76">
        <f t="shared" si="391"/>
        <v>0</v>
      </c>
      <c r="GU63" s="76">
        <f t="shared" si="391"/>
        <v>0</v>
      </c>
      <c r="GV63" s="76">
        <f t="shared" si="391"/>
        <v>0</v>
      </c>
      <c r="GW63" s="76">
        <f t="shared" si="391"/>
        <v>0</v>
      </c>
      <c r="GX63" s="76">
        <f t="shared" si="391"/>
        <v>0</v>
      </c>
      <c r="GY63" s="76">
        <f t="shared" si="391"/>
        <v>0</v>
      </c>
      <c r="GZ63" s="76">
        <f t="shared" si="391"/>
        <v>0</v>
      </c>
      <c r="HA63" s="76">
        <f t="shared" si="391"/>
        <v>0</v>
      </c>
      <c r="HB63" s="76">
        <f>SUM(HB309,HB256,HB188,HB65)</f>
        <v>0</v>
      </c>
      <c r="HC63" s="76">
        <f>SUM(HC309,HC256,HC188,HC65)</f>
        <v>0</v>
      </c>
      <c r="HD63" s="76">
        <f>SUM(HD309,HD256,HD188,HD65)</f>
        <v>0</v>
      </c>
      <c r="HE63" s="76">
        <f>SUM(HE309,HE256,HE188,HE65)</f>
        <v>0</v>
      </c>
      <c r="HF63" s="76">
        <f t="shared" si="391"/>
        <v>0</v>
      </c>
      <c r="HG63" s="76">
        <f t="shared" si="391"/>
        <v>0</v>
      </c>
      <c r="HH63" s="76">
        <f t="shared" si="391"/>
        <v>0</v>
      </c>
      <c r="HI63" s="76">
        <f t="shared" si="391"/>
        <v>0</v>
      </c>
      <c r="HJ63" s="76">
        <f t="shared" si="391"/>
        <v>0</v>
      </c>
      <c r="HK63" s="76">
        <f t="shared" si="391"/>
        <v>0</v>
      </c>
      <c r="HL63" s="76">
        <f t="shared" si="391"/>
        <v>0</v>
      </c>
      <c r="HM63" s="76">
        <f t="shared" si="391"/>
        <v>0</v>
      </c>
      <c r="HN63" s="76">
        <f t="shared" si="391"/>
        <v>0</v>
      </c>
      <c r="HO63" s="76">
        <f t="shared" si="391"/>
        <v>0</v>
      </c>
      <c r="HP63" s="76">
        <f t="shared" si="391"/>
        <v>0</v>
      </c>
      <c r="HQ63" s="76">
        <f>SUM(HQ309,HQ256,HQ188,HQ65)</f>
        <v>0</v>
      </c>
      <c r="HR63" s="76">
        <f>SUM(HR309,HR256,HR188,HR65)</f>
        <v>0</v>
      </c>
      <c r="HS63" s="76">
        <f>SUM(HS309,HS256,HS188,HS65)</f>
        <v>0</v>
      </c>
      <c r="HT63" s="76">
        <f>SUM(HT309,HT256,HT188,HT65)</f>
        <v>0</v>
      </c>
      <c r="HU63" s="76">
        <f t="shared" si="391"/>
        <v>0</v>
      </c>
      <c r="HV63" s="76">
        <f t="shared" si="391"/>
        <v>0</v>
      </c>
      <c r="HW63" s="76">
        <f t="shared" si="391"/>
        <v>0</v>
      </c>
      <c r="HX63" s="76">
        <f t="shared" si="391"/>
        <v>0</v>
      </c>
      <c r="HY63" s="76">
        <f t="shared" si="391"/>
        <v>0</v>
      </c>
      <c r="HZ63" s="76">
        <f t="shared" si="391"/>
        <v>0</v>
      </c>
      <c r="IA63" s="76">
        <f>SUM(IA309,IA256,IA188,IA65)</f>
        <v>0</v>
      </c>
      <c r="IB63" s="76">
        <f>SUM(IB309,IB256,IB188,IB65)</f>
        <v>0</v>
      </c>
      <c r="IC63" s="76">
        <f>SUM(IC309,IC256,IC188,IC65)</f>
        <v>0</v>
      </c>
      <c r="ID63" s="76">
        <f>SUM(ID309,ID256,ID188,ID65)</f>
        <v>0</v>
      </c>
      <c r="IE63" s="76">
        <f t="shared" si="391"/>
        <v>0</v>
      </c>
      <c r="IF63" s="76">
        <f t="shared" si="391"/>
        <v>0</v>
      </c>
      <c r="IG63" s="76">
        <f t="shared" si="391"/>
        <v>0</v>
      </c>
      <c r="IH63" s="76">
        <f t="shared" si="391"/>
        <v>0</v>
      </c>
      <c r="II63" s="76">
        <f t="shared" si="391"/>
        <v>0</v>
      </c>
      <c r="IJ63" s="76">
        <f t="shared" si="391"/>
        <v>0</v>
      </c>
      <c r="IK63" s="76">
        <f t="shared" si="391"/>
        <v>0</v>
      </c>
      <c r="IL63" s="76">
        <f t="shared" si="391"/>
        <v>0</v>
      </c>
      <c r="IM63" s="76">
        <f t="shared" si="391"/>
        <v>0</v>
      </c>
      <c r="IN63" s="76">
        <f t="shared" si="391"/>
        <v>0</v>
      </c>
      <c r="IO63" s="76">
        <f t="shared" si="391"/>
        <v>0</v>
      </c>
      <c r="IP63" s="76">
        <f t="shared" ref="IP63:IV63" si="392">SUM(IP309,IP256,IP188,IP65)</f>
        <v>0</v>
      </c>
      <c r="IQ63" s="76">
        <f t="shared" si="392"/>
        <v>0</v>
      </c>
      <c r="IR63" s="76">
        <f t="shared" si="392"/>
        <v>0</v>
      </c>
      <c r="IS63" s="76">
        <f t="shared" si="392"/>
        <v>0</v>
      </c>
      <c r="IT63" s="76">
        <f t="shared" si="392"/>
        <v>0</v>
      </c>
      <c r="IU63" s="76">
        <f t="shared" si="392"/>
        <v>0</v>
      </c>
      <c r="IV63" s="76">
        <f t="shared" si="392"/>
        <v>0</v>
      </c>
    </row>
    <row r="64" spans="1:256" ht="12.95" customHeight="1" x14ac:dyDescent="0.25">
      <c r="A64" s="107" t="s">
        <v>68</v>
      </c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64">
        <f>SUM(C64:F64,H64:K64)</f>
        <v>0</v>
      </c>
      <c r="M64" s="62"/>
      <c r="N64" s="63"/>
      <c r="O64" s="63"/>
      <c r="P64" s="63"/>
      <c r="Q64" s="63"/>
      <c r="R64" s="63"/>
      <c r="S64" s="63"/>
      <c r="T64" s="63"/>
      <c r="U64" s="63"/>
      <c r="V64" s="63"/>
      <c r="W64" s="64">
        <f>SUM(N64:Q64,S64:V64)</f>
        <v>0</v>
      </c>
      <c r="X64" s="62"/>
      <c r="Y64" s="63"/>
      <c r="Z64" s="63"/>
      <c r="AA64" s="63"/>
      <c r="AB64" s="63"/>
      <c r="AC64" s="63"/>
      <c r="AD64" s="63"/>
      <c r="AE64" s="63"/>
      <c r="AF64" s="63"/>
      <c r="AG64" s="63"/>
      <c r="AH64" s="64">
        <f>SUM(Y64:AB64,AD64:AG64)</f>
        <v>0</v>
      </c>
      <c r="AI64" s="62"/>
      <c r="AJ64" s="63"/>
      <c r="AK64" s="63"/>
      <c r="AL64" s="63"/>
      <c r="AM64" s="63"/>
      <c r="AN64" s="63"/>
      <c r="AO64" s="63"/>
      <c r="AP64" s="63"/>
      <c r="AQ64" s="63"/>
      <c r="AR64" s="63"/>
      <c r="AS64" s="64">
        <f>SUM(AJ64:AM64,AO64:AR64)</f>
        <v>0</v>
      </c>
      <c r="AT64" s="65">
        <f>SUM(M64,AI64,X64)</f>
        <v>0</v>
      </c>
      <c r="AU64" s="65">
        <f t="shared" ref="AU64:BC64" si="393">SUM(N64,AJ64,Y64)</f>
        <v>0</v>
      </c>
      <c r="AV64" s="65">
        <f t="shared" si="393"/>
        <v>0</v>
      </c>
      <c r="AW64" s="65">
        <f t="shared" si="393"/>
        <v>0</v>
      </c>
      <c r="AX64" s="65">
        <f t="shared" si="393"/>
        <v>0</v>
      </c>
      <c r="AY64" s="65">
        <f t="shared" si="393"/>
        <v>0</v>
      </c>
      <c r="AZ64" s="65">
        <f t="shared" si="393"/>
        <v>0</v>
      </c>
      <c r="BA64" s="65">
        <f t="shared" si="393"/>
        <v>0</v>
      </c>
      <c r="BB64" s="65">
        <f t="shared" si="393"/>
        <v>0</v>
      </c>
      <c r="BC64" s="65">
        <f t="shared" si="393"/>
        <v>0</v>
      </c>
      <c r="BD64" s="64">
        <f>SUM(AU64:AX64,AZ64:BC64)</f>
        <v>0</v>
      </c>
      <c r="BE64" s="62"/>
      <c r="BF64" s="63"/>
      <c r="BG64" s="63"/>
      <c r="BH64" s="63"/>
      <c r="BI64" s="63"/>
      <c r="BJ64" s="63"/>
      <c r="BK64" s="63"/>
      <c r="BL64" s="63"/>
      <c r="BM64" s="63"/>
      <c r="BN64" s="63"/>
      <c r="BO64" s="64">
        <f>SUM(BF64:BI64,BK64:BN64)</f>
        <v>0</v>
      </c>
      <c r="BP64" s="62"/>
      <c r="BQ64" s="63"/>
      <c r="BR64" s="63"/>
      <c r="BS64" s="63"/>
      <c r="BT64" s="63"/>
      <c r="BU64" s="63"/>
      <c r="BV64" s="63"/>
      <c r="BW64" s="63"/>
      <c r="BX64" s="63"/>
      <c r="BY64" s="63"/>
      <c r="BZ64" s="64">
        <f>SUM(BQ64:BT64,BV64:BY64)</f>
        <v>0</v>
      </c>
      <c r="CA64" s="62"/>
      <c r="CB64" s="63"/>
      <c r="CC64" s="63"/>
      <c r="CD64" s="63"/>
      <c r="CE64" s="63"/>
      <c r="CF64" s="63"/>
      <c r="CG64" s="63"/>
      <c r="CH64" s="63"/>
      <c r="CI64" s="63"/>
      <c r="CJ64" s="63"/>
      <c r="CK64" s="64">
        <f>SUM(CB64:CE64,CG64:CJ64)</f>
        <v>0</v>
      </c>
      <c r="CL64" s="65">
        <f t="shared" ref="CL64:CU64" si="394">SUM(BE64,CA64,BP64)</f>
        <v>0</v>
      </c>
      <c r="CM64" s="65">
        <f t="shared" si="394"/>
        <v>0</v>
      </c>
      <c r="CN64" s="65">
        <f t="shared" si="394"/>
        <v>0</v>
      </c>
      <c r="CO64" s="65">
        <f t="shared" si="394"/>
        <v>0</v>
      </c>
      <c r="CP64" s="65">
        <f t="shared" si="394"/>
        <v>0</v>
      </c>
      <c r="CQ64" s="65">
        <f t="shared" si="394"/>
        <v>0</v>
      </c>
      <c r="CR64" s="65">
        <f t="shared" si="394"/>
        <v>0</v>
      </c>
      <c r="CS64" s="65">
        <f t="shared" si="394"/>
        <v>0</v>
      </c>
      <c r="CT64" s="65">
        <f t="shared" si="394"/>
        <v>0</v>
      </c>
      <c r="CU64" s="65">
        <f t="shared" si="394"/>
        <v>0</v>
      </c>
      <c r="CV64" s="64">
        <f>SUM(CM64:CP64,CR64:CU64)</f>
        <v>0</v>
      </c>
      <c r="CW64" s="62"/>
      <c r="CX64" s="63"/>
      <c r="CY64" s="63"/>
      <c r="CZ64" s="63"/>
      <c r="DA64" s="63"/>
      <c r="DB64" s="63"/>
      <c r="DC64" s="63"/>
      <c r="DD64" s="63"/>
      <c r="DE64" s="63"/>
      <c r="DF64" s="63"/>
      <c r="DG64" s="64">
        <f>SUM(CX64:DA64,DC64:DF64)</f>
        <v>0</v>
      </c>
      <c r="DH64" s="62"/>
      <c r="DI64" s="63"/>
      <c r="DJ64" s="63"/>
      <c r="DK64" s="63"/>
      <c r="DL64" s="63"/>
      <c r="DM64" s="63"/>
      <c r="DN64" s="63"/>
      <c r="DO64" s="63"/>
      <c r="DP64" s="63"/>
      <c r="DQ64" s="63"/>
      <c r="DR64" s="64">
        <f>SUM(DI64:DL64,DN64:DQ64)</f>
        <v>0</v>
      </c>
      <c r="DS64" s="62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5">
        <f t="shared" ref="ED64:EM64" si="395">SUM(CW64,DS64,DH64)</f>
        <v>0</v>
      </c>
      <c r="EE64" s="65">
        <f t="shared" si="395"/>
        <v>0</v>
      </c>
      <c r="EF64" s="65">
        <f t="shared" si="395"/>
        <v>0</v>
      </c>
      <c r="EG64" s="65">
        <f t="shared" si="395"/>
        <v>0</v>
      </c>
      <c r="EH64" s="65">
        <f t="shared" si="395"/>
        <v>0</v>
      </c>
      <c r="EI64" s="65">
        <f t="shared" si="395"/>
        <v>0</v>
      </c>
      <c r="EJ64" s="65">
        <f t="shared" si="395"/>
        <v>0</v>
      </c>
      <c r="EK64" s="65">
        <f t="shared" si="395"/>
        <v>0</v>
      </c>
      <c r="EL64" s="65">
        <f t="shared" si="395"/>
        <v>0</v>
      </c>
      <c r="EM64" s="65">
        <f t="shared" si="395"/>
        <v>0</v>
      </c>
      <c r="EN64" s="64">
        <f>SUM(EE64:EH64,EJ64:EM64)</f>
        <v>0</v>
      </c>
      <c r="EO64" s="62"/>
      <c r="EP64" s="63"/>
      <c r="EQ64" s="63"/>
      <c r="ER64" s="63"/>
      <c r="ES64" s="63"/>
      <c r="ET64" s="63"/>
      <c r="EU64" s="63"/>
      <c r="EV64" s="63"/>
      <c r="EW64" s="63"/>
      <c r="EX64" s="63"/>
      <c r="EY64" s="64">
        <f>SUM(EP64:ES64,EU64:EX64)</f>
        <v>0</v>
      </c>
      <c r="EZ64" s="62"/>
      <c r="FA64" s="63"/>
      <c r="FB64" s="63"/>
      <c r="FC64" s="63"/>
      <c r="FD64" s="63"/>
      <c r="FE64" s="63"/>
      <c r="FF64" s="63"/>
      <c r="FG64" s="63"/>
      <c r="FH64" s="63"/>
      <c r="FI64" s="63"/>
      <c r="FJ64" s="64">
        <f>SUM(FA64:FD64,FF64:FI64)</f>
        <v>0</v>
      </c>
      <c r="FK64" s="62"/>
      <c r="FL64" s="63"/>
      <c r="FM64" s="63"/>
      <c r="FN64" s="63"/>
      <c r="FO64" s="63"/>
      <c r="FP64" s="63"/>
      <c r="FQ64" s="63"/>
      <c r="FR64" s="63"/>
      <c r="FS64" s="63"/>
      <c r="FT64" s="63"/>
      <c r="FU64" s="64">
        <f>SUM(FL64:FO64,FQ64:FT64)</f>
        <v>0</v>
      </c>
      <c r="FV64" s="65">
        <f t="shared" ref="FV64:GE64" si="396">SUM(EO64,FK64,EZ64)</f>
        <v>0</v>
      </c>
      <c r="FW64" s="65">
        <f t="shared" si="396"/>
        <v>0</v>
      </c>
      <c r="FX64" s="65">
        <f t="shared" si="396"/>
        <v>0</v>
      </c>
      <c r="FY64" s="65">
        <f t="shared" si="396"/>
        <v>0</v>
      </c>
      <c r="FZ64" s="65">
        <f t="shared" si="396"/>
        <v>0</v>
      </c>
      <c r="GA64" s="65">
        <f t="shared" si="396"/>
        <v>0</v>
      </c>
      <c r="GB64" s="65">
        <f t="shared" si="396"/>
        <v>0</v>
      </c>
      <c r="GC64" s="65">
        <f t="shared" si="396"/>
        <v>0</v>
      </c>
      <c r="GD64" s="65">
        <f t="shared" si="396"/>
        <v>0</v>
      </c>
      <c r="GE64" s="65">
        <f t="shared" si="396"/>
        <v>0</v>
      </c>
      <c r="GF64" s="64">
        <f>SUM(FW64:FZ64,GB64:GE64)</f>
        <v>0</v>
      </c>
      <c r="GG64" s="66">
        <f>SUM(AT64,CL64,ED64,FV64)</f>
        <v>0</v>
      </c>
      <c r="GH64" s="66">
        <f t="shared" ref="GH64:GP64" si="397">SUM(AU64,CM64,EE64,FW64)</f>
        <v>0</v>
      </c>
      <c r="GI64" s="66">
        <f t="shared" si="397"/>
        <v>0</v>
      </c>
      <c r="GJ64" s="66">
        <f t="shared" si="397"/>
        <v>0</v>
      </c>
      <c r="GK64" s="66">
        <f t="shared" si="397"/>
        <v>0</v>
      </c>
      <c r="GL64" s="66">
        <f t="shared" si="397"/>
        <v>0</v>
      </c>
      <c r="GM64" s="66">
        <f t="shared" si="397"/>
        <v>0</v>
      </c>
      <c r="GN64" s="66">
        <f t="shared" si="397"/>
        <v>0</v>
      </c>
      <c r="GO64" s="66">
        <f t="shared" si="397"/>
        <v>0</v>
      </c>
      <c r="GP64" s="66">
        <f t="shared" si="397"/>
        <v>0</v>
      </c>
      <c r="GQ64" s="64">
        <f>SUM(GH64:GK64,GM64:GP64)</f>
        <v>0</v>
      </c>
      <c r="GR64" s="63"/>
      <c r="GS64" s="63"/>
      <c r="GT64" s="63"/>
      <c r="GU64" s="63"/>
      <c r="GV64" s="67">
        <f>SUM(GR64:GU64)</f>
        <v>0</v>
      </c>
      <c r="GW64" s="63"/>
      <c r="GX64" s="63"/>
      <c r="GY64" s="63"/>
      <c r="GZ64" s="63"/>
      <c r="HA64" s="67">
        <f>SUM(GW64:GZ64)</f>
        <v>0</v>
      </c>
      <c r="HB64" s="63"/>
      <c r="HC64" s="63"/>
      <c r="HD64" s="63"/>
      <c r="HE64" s="63"/>
      <c r="HF64" s="67">
        <f>SUM(HB64:HE64)</f>
        <v>0</v>
      </c>
      <c r="HG64" s="63"/>
      <c r="HH64" s="63"/>
      <c r="HI64" s="63"/>
      <c r="HJ64" s="63"/>
      <c r="HK64" s="67">
        <f>SUM(HG64:HJ64)</f>
        <v>0</v>
      </c>
      <c r="HL64" s="68">
        <f>SUM(GW64,HB64,HG64)</f>
        <v>0</v>
      </c>
      <c r="HM64" s="68">
        <f>SUM(GX64,HC64,HH64)</f>
        <v>0</v>
      </c>
      <c r="HN64" s="68">
        <f>SUM(GY64,HD64,HI64)</f>
        <v>0</v>
      </c>
      <c r="HO64" s="68">
        <f>SUM(GZ64,HE64,HJ64)</f>
        <v>0</v>
      </c>
      <c r="HP64" s="67">
        <f>SUM(HL64:HO64)</f>
        <v>0</v>
      </c>
      <c r="HQ64" s="63"/>
      <c r="HR64" s="63"/>
      <c r="HS64" s="63"/>
      <c r="HT64" s="63"/>
      <c r="HU64" s="67">
        <f>SUM(HQ64:HT64)</f>
        <v>0</v>
      </c>
      <c r="HV64" s="63"/>
      <c r="HW64" s="63"/>
      <c r="HX64" s="63"/>
      <c r="HY64" s="63"/>
      <c r="HZ64" s="67">
        <f>SUM(HV64:HY64)</f>
        <v>0</v>
      </c>
      <c r="IA64" s="63"/>
      <c r="IB64" s="63"/>
      <c r="IC64" s="63"/>
      <c r="ID64" s="63"/>
      <c r="IE64" s="67">
        <f>SUM(IA64:ID64)</f>
        <v>0</v>
      </c>
      <c r="IF64" s="68">
        <f>SUM(HQ64,HV64,IA64)</f>
        <v>0</v>
      </c>
      <c r="IG64" s="68">
        <f>SUM(HR64,HW64,IB64)</f>
        <v>0</v>
      </c>
      <c r="IH64" s="68">
        <f>SUM(HS64,HX64,IC64)</f>
        <v>0</v>
      </c>
      <c r="II64" s="68">
        <f>SUM(HT64,HY64,ID64)</f>
        <v>0</v>
      </c>
      <c r="IJ64" s="67">
        <f>SUM(IF64:II64)</f>
        <v>0</v>
      </c>
      <c r="IK64" s="63"/>
      <c r="IL64" s="63"/>
      <c r="IM64" s="63"/>
      <c r="IN64" s="63"/>
      <c r="IO64" s="67">
        <f>SUM(IK64:IN64)</f>
        <v>0</v>
      </c>
      <c r="IP64" s="63"/>
      <c r="IQ64" s="63"/>
      <c r="IR64" s="63"/>
      <c r="IS64" s="63"/>
      <c r="IT64" s="67">
        <f>SUM(IP64:IS64)</f>
        <v>0</v>
      </c>
      <c r="IU64" s="63"/>
      <c r="IV64" s="63"/>
    </row>
    <row r="65" spans="1:256" s="108" customFormat="1" x14ac:dyDescent="0.2">
      <c r="A65" s="109" t="s">
        <v>69</v>
      </c>
      <c r="B65" s="51"/>
      <c r="C65" s="51">
        <f t="shared" ref="C65:L65" si="398">SUM(C66,C91,C159,C136,C170)</f>
        <v>5171</v>
      </c>
      <c r="D65" s="51">
        <f t="shared" si="398"/>
        <v>267</v>
      </c>
      <c r="E65" s="51">
        <f t="shared" si="398"/>
        <v>372</v>
      </c>
      <c r="F65" s="51">
        <f t="shared" si="398"/>
        <v>25</v>
      </c>
      <c r="G65" s="51">
        <f t="shared" si="398"/>
        <v>132</v>
      </c>
      <c r="H65" s="51">
        <f t="shared" si="398"/>
        <v>249</v>
      </c>
      <c r="I65" s="51">
        <f t="shared" si="398"/>
        <v>0</v>
      </c>
      <c r="J65" s="51">
        <f t="shared" si="398"/>
        <v>198</v>
      </c>
      <c r="K65" s="51">
        <f t="shared" si="398"/>
        <v>68</v>
      </c>
      <c r="L65" s="51">
        <f t="shared" si="398"/>
        <v>6650</v>
      </c>
      <c r="M65" s="51"/>
      <c r="N65" s="51">
        <f t="shared" ref="N65:V65" si="399">SUM(N66,N91,N159,N136,N170)</f>
        <v>0</v>
      </c>
      <c r="O65" s="51">
        <f t="shared" si="399"/>
        <v>0</v>
      </c>
      <c r="P65" s="51">
        <f t="shared" si="399"/>
        <v>0</v>
      </c>
      <c r="Q65" s="51">
        <f t="shared" si="399"/>
        <v>0</v>
      </c>
      <c r="R65" s="51">
        <f t="shared" si="399"/>
        <v>0</v>
      </c>
      <c r="S65" s="51">
        <f t="shared" si="399"/>
        <v>0</v>
      </c>
      <c r="T65" s="51">
        <f t="shared" si="399"/>
        <v>0</v>
      </c>
      <c r="U65" s="51">
        <f t="shared" si="399"/>
        <v>0</v>
      </c>
      <c r="V65" s="51">
        <f t="shared" si="399"/>
        <v>0</v>
      </c>
      <c r="W65" s="51">
        <f>SUM(W66,W91,W159,W136,W170)</f>
        <v>0</v>
      </c>
      <c r="X65" s="51"/>
      <c r="Y65" s="51">
        <f t="shared" ref="Y65:AG65" si="400">SUM(Y66,Y91,Y159,Y136,Y170)</f>
        <v>0</v>
      </c>
      <c r="Z65" s="51">
        <f t="shared" si="400"/>
        <v>0</v>
      </c>
      <c r="AA65" s="51">
        <f t="shared" si="400"/>
        <v>0</v>
      </c>
      <c r="AB65" s="51">
        <f t="shared" si="400"/>
        <v>0</v>
      </c>
      <c r="AC65" s="51">
        <f t="shared" si="400"/>
        <v>0</v>
      </c>
      <c r="AD65" s="51">
        <f t="shared" si="400"/>
        <v>0</v>
      </c>
      <c r="AE65" s="51">
        <f t="shared" si="400"/>
        <v>0</v>
      </c>
      <c r="AF65" s="51">
        <f t="shared" si="400"/>
        <v>0</v>
      </c>
      <c r="AG65" s="51">
        <f t="shared" si="400"/>
        <v>0</v>
      </c>
      <c r="AH65" s="51">
        <f>SUM(AH66,AH91,AH159,AH136,AH170)</f>
        <v>0</v>
      </c>
      <c r="AI65" s="51"/>
      <c r="AJ65" s="51">
        <f t="shared" ref="AJ65:AR65" si="401">SUM(AJ66,AJ91,AJ159,AJ136,AJ170)</f>
        <v>0</v>
      </c>
      <c r="AK65" s="51">
        <f t="shared" si="401"/>
        <v>0</v>
      </c>
      <c r="AL65" s="51">
        <f t="shared" si="401"/>
        <v>0</v>
      </c>
      <c r="AM65" s="51">
        <f t="shared" si="401"/>
        <v>0</v>
      </c>
      <c r="AN65" s="51">
        <f t="shared" si="401"/>
        <v>0</v>
      </c>
      <c r="AO65" s="51">
        <f t="shared" si="401"/>
        <v>0</v>
      </c>
      <c r="AP65" s="51">
        <f t="shared" si="401"/>
        <v>0</v>
      </c>
      <c r="AQ65" s="51">
        <f t="shared" si="401"/>
        <v>0</v>
      </c>
      <c r="AR65" s="51">
        <f t="shared" si="401"/>
        <v>0</v>
      </c>
      <c r="AS65" s="51">
        <f>SUM(AS66,AS91,AS159,AS136,AS170)</f>
        <v>0</v>
      </c>
      <c r="AT65" s="51"/>
      <c r="AU65" s="51">
        <f t="shared" ref="AU65:BD65" si="402">SUM(AU66,AU91,AU159,AU136,AU170)</f>
        <v>0</v>
      </c>
      <c r="AV65" s="51">
        <f t="shared" si="402"/>
        <v>0</v>
      </c>
      <c r="AW65" s="51">
        <f t="shared" si="402"/>
        <v>0</v>
      </c>
      <c r="AX65" s="51">
        <f t="shared" si="402"/>
        <v>0</v>
      </c>
      <c r="AY65" s="51">
        <f t="shared" si="402"/>
        <v>0</v>
      </c>
      <c r="AZ65" s="51">
        <f t="shared" si="402"/>
        <v>0</v>
      </c>
      <c r="BA65" s="51">
        <f t="shared" si="402"/>
        <v>0</v>
      </c>
      <c r="BB65" s="51">
        <f t="shared" si="402"/>
        <v>0</v>
      </c>
      <c r="BC65" s="51">
        <f t="shared" si="402"/>
        <v>0</v>
      </c>
      <c r="BD65" s="51">
        <f t="shared" si="402"/>
        <v>0</v>
      </c>
      <c r="BE65" s="51"/>
      <c r="BF65" s="51">
        <f t="shared" ref="BF65:BN65" si="403">SUM(BF66,BF91,BF159,BF136,BF170)</f>
        <v>0</v>
      </c>
      <c r="BG65" s="51">
        <f t="shared" si="403"/>
        <v>0</v>
      </c>
      <c r="BH65" s="51">
        <f t="shared" si="403"/>
        <v>0</v>
      </c>
      <c r="BI65" s="51">
        <f t="shared" si="403"/>
        <v>0</v>
      </c>
      <c r="BJ65" s="51">
        <f t="shared" si="403"/>
        <v>0</v>
      </c>
      <c r="BK65" s="51">
        <f t="shared" si="403"/>
        <v>0</v>
      </c>
      <c r="BL65" s="51">
        <f t="shared" si="403"/>
        <v>0</v>
      </c>
      <c r="BM65" s="51">
        <f t="shared" si="403"/>
        <v>0</v>
      </c>
      <c r="BN65" s="51">
        <f t="shared" si="403"/>
        <v>0</v>
      </c>
      <c r="BO65" s="51">
        <f>SUM(BO66,BO91,BO159,BO136,BO170)</f>
        <v>0</v>
      </c>
      <c r="BP65" s="51"/>
      <c r="BQ65" s="51">
        <f t="shared" ref="BQ65:BY65" si="404">SUM(BQ66,BQ91,BQ159,BQ136,BQ170)</f>
        <v>0</v>
      </c>
      <c r="BR65" s="51">
        <f t="shared" si="404"/>
        <v>0</v>
      </c>
      <c r="BS65" s="51">
        <f t="shared" si="404"/>
        <v>0</v>
      </c>
      <c r="BT65" s="51">
        <f t="shared" si="404"/>
        <v>0</v>
      </c>
      <c r="BU65" s="51">
        <f t="shared" si="404"/>
        <v>0</v>
      </c>
      <c r="BV65" s="51">
        <f t="shared" si="404"/>
        <v>0</v>
      </c>
      <c r="BW65" s="51">
        <f t="shared" si="404"/>
        <v>0</v>
      </c>
      <c r="BX65" s="51">
        <f t="shared" si="404"/>
        <v>0</v>
      </c>
      <c r="BY65" s="51">
        <f t="shared" si="404"/>
        <v>0</v>
      </c>
      <c r="BZ65" s="51">
        <f>SUM(BZ66,BZ91,BZ159,BZ136,BZ170)</f>
        <v>0</v>
      </c>
      <c r="CA65" s="51"/>
      <c r="CB65" s="51">
        <f t="shared" ref="CB65:CJ65" si="405">SUM(CB66,CB91,CB159,CB136,CB170)</f>
        <v>0</v>
      </c>
      <c r="CC65" s="51">
        <f t="shared" si="405"/>
        <v>0</v>
      </c>
      <c r="CD65" s="51">
        <f t="shared" si="405"/>
        <v>0</v>
      </c>
      <c r="CE65" s="51">
        <f t="shared" si="405"/>
        <v>0</v>
      </c>
      <c r="CF65" s="51">
        <f t="shared" si="405"/>
        <v>0</v>
      </c>
      <c r="CG65" s="51">
        <f t="shared" si="405"/>
        <v>0</v>
      </c>
      <c r="CH65" s="51">
        <f t="shared" si="405"/>
        <v>0</v>
      </c>
      <c r="CI65" s="51">
        <f t="shared" si="405"/>
        <v>0</v>
      </c>
      <c r="CJ65" s="51">
        <f t="shared" si="405"/>
        <v>0</v>
      </c>
      <c r="CK65" s="51">
        <f>SUM(CK66,CK91,CK159,CK136,CK170)</f>
        <v>0</v>
      </c>
      <c r="CL65" s="51"/>
      <c r="CM65" s="51">
        <f t="shared" ref="CM65:CV65" si="406">SUM(CM66,CM91,CM159,CM136,CM170)</f>
        <v>0</v>
      </c>
      <c r="CN65" s="51">
        <f t="shared" si="406"/>
        <v>0</v>
      </c>
      <c r="CO65" s="51">
        <f t="shared" si="406"/>
        <v>0</v>
      </c>
      <c r="CP65" s="51">
        <f t="shared" si="406"/>
        <v>0</v>
      </c>
      <c r="CQ65" s="51">
        <f t="shared" si="406"/>
        <v>0</v>
      </c>
      <c r="CR65" s="51">
        <f t="shared" si="406"/>
        <v>0</v>
      </c>
      <c r="CS65" s="51">
        <f t="shared" si="406"/>
        <v>0</v>
      </c>
      <c r="CT65" s="51">
        <f t="shared" si="406"/>
        <v>0</v>
      </c>
      <c r="CU65" s="51">
        <f t="shared" si="406"/>
        <v>0</v>
      </c>
      <c r="CV65" s="51">
        <f t="shared" si="406"/>
        <v>0</v>
      </c>
      <c r="CW65" s="51"/>
      <c r="CX65" s="51">
        <f t="shared" ref="CX65:DF65" si="407">SUM(CX66,CX91,CX159,CX136,CX170)</f>
        <v>0</v>
      </c>
      <c r="CY65" s="51">
        <f t="shared" si="407"/>
        <v>0</v>
      </c>
      <c r="CZ65" s="51">
        <f t="shared" si="407"/>
        <v>0</v>
      </c>
      <c r="DA65" s="51">
        <f t="shared" si="407"/>
        <v>0</v>
      </c>
      <c r="DB65" s="51">
        <f t="shared" si="407"/>
        <v>0</v>
      </c>
      <c r="DC65" s="51">
        <f t="shared" si="407"/>
        <v>0</v>
      </c>
      <c r="DD65" s="51">
        <f t="shared" si="407"/>
        <v>0</v>
      </c>
      <c r="DE65" s="51">
        <f t="shared" si="407"/>
        <v>0</v>
      </c>
      <c r="DF65" s="51">
        <f t="shared" si="407"/>
        <v>0</v>
      </c>
      <c r="DG65" s="51">
        <f>SUM(DG66,DG91,DG159,DG136,DG170)</f>
        <v>0</v>
      </c>
      <c r="DH65" s="51"/>
      <c r="DI65" s="51">
        <f t="shared" ref="DI65:DQ65" si="408">SUM(DI66,DI91,DI159,DI136,DI170)</f>
        <v>0</v>
      </c>
      <c r="DJ65" s="51">
        <f t="shared" si="408"/>
        <v>0</v>
      </c>
      <c r="DK65" s="51">
        <f t="shared" si="408"/>
        <v>0</v>
      </c>
      <c r="DL65" s="51">
        <f t="shared" si="408"/>
        <v>0</v>
      </c>
      <c r="DM65" s="51">
        <f t="shared" si="408"/>
        <v>0</v>
      </c>
      <c r="DN65" s="51">
        <f t="shared" si="408"/>
        <v>0</v>
      </c>
      <c r="DO65" s="51">
        <f t="shared" si="408"/>
        <v>0</v>
      </c>
      <c r="DP65" s="51">
        <f t="shared" si="408"/>
        <v>0</v>
      </c>
      <c r="DQ65" s="51">
        <f t="shared" si="408"/>
        <v>0</v>
      </c>
      <c r="DR65" s="51">
        <f>SUM(DR66,DR91,DR159,DR136,DR170)</f>
        <v>0</v>
      </c>
      <c r="DS65" s="51"/>
      <c r="DT65" s="51">
        <f t="shared" ref="DT65:EB65" si="409">SUM(DT66,DT91,DT159,DT136,DT170)</f>
        <v>0</v>
      </c>
      <c r="DU65" s="51">
        <f t="shared" si="409"/>
        <v>0</v>
      </c>
      <c r="DV65" s="51">
        <f t="shared" si="409"/>
        <v>0</v>
      </c>
      <c r="DW65" s="51">
        <f t="shared" si="409"/>
        <v>0</v>
      </c>
      <c r="DX65" s="51">
        <f t="shared" si="409"/>
        <v>0</v>
      </c>
      <c r="DY65" s="51">
        <f t="shared" si="409"/>
        <v>0</v>
      </c>
      <c r="DZ65" s="51">
        <f t="shared" si="409"/>
        <v>0</v>
      </c>
      <c r="EA65" s="51">
        <f t="shared" si="409"/>
        <v>0</v>
      </c>
      <c r="EB65" s="51">
        <f t="shared" si="409"/>
        <v>0</v>
      </c>
      <c r="EC65" s="51">
        <f>SUM(EC66,EC91,EC159,EC136,EC170)</f>
        <v>0</v>
      </c>
      <c r="ED65" s="51"/>
      <c r="EE65" s="51">
        <f t="shared" ref="EE65:EN65" si="410">SUM(EE66,EE91,EE159,EE136,EE170)</f>
        <v>0</v>
      </c>
      <c r="EF65" s="51">
        <f t="shared" si="410"/>
        <v>0</v>
      </c>
      <c r="EG65" s="51">
        <f t="shared" si="410"/>
        <v>0</v>
      </c>
      <c r="EH65" s="51">
        <f t="shared" si="410"/>
        <v>0</v>
      </c>
      <c r="EI65" s="51">
        <f t="shared" si="410"/>
        <v>0</v>
      </c>
      <c r="EJ65" s="51">
        <f t="shared" si="410"/>
        <v>0</v>
      </c>
      <c r="EK65" s="51">
        <f t="shared" si="410"/>
        <v>0</v>
      </c>
      <c r="EL65" s="51">
        <f t="shared" si="410"/>
        <v>0</v>
      </c>
      <c r="EM65" s="51">
        <f t="shared" si="410"/>
        <v>0</v>
      </c>
      <c r="EN65" s="51">
        <f t="shared" si="410"/>
        <v>0</v>
      </c>
      <c r="EO65" s="51"/>
      <c r="EP65" s="51">
        <f t="shared" ref="EP65:EX65" si="411">SUM(EP66,EP91,EP159,EP136,EP170)</f>
        <v>0</v>
      </c>
      <c r="EQ65" s="51">
        <f t="shared" si="411"/>
        <v>0</v>
      </c>
      <c r="ER65" s="51">
        <f t="shared" si="411"/>
        <v>0</v>
      </c>
      <c r="ES65" s="51">
        <f t="shared" si="411"/>
        <v>0</v>
      </c>
      <c r="ET65" s="51">
        <f t="shared" si="411"/>
        <v>0</v>
      </c>
      <c r="EU65" s="51">
        <f t="shared" si="411"/>
        <v>0</v>
      </c>
      <c r="EV65" s="51">
        <f t="shared" si="411"/>
        <v>0</v>
      </c>
      <c r="EW65" s="51">
        <f t="shared" si="411"/>
        <v>0</v>
      </c>
      <c r="EX65" s="51">
        <f t="shared" si="411"/>
        <v>0</v>
      </c>
      <c r="EY65" s="51">
        <f>SUM(EY66,EY91,EY159,EY136,EY170)</f>
        <v>0</v>
      </c>
      <c r="EZ65" s="51"/>
      <c r="FA65" s="51">
        <f t="shared" ref="FA65:FI65" si="412">SUM(FA66,FA91,FA159,FA136,FA170)</f>
        <v>0</v>
      </c>
      <c r="FB65" s="51">
        <f t="shared" si="412"/>
        <v>0</v>
      </c>
      <c r="FC65" s="51">
        <f t="shared" si="412"/>
        <v>0</v>
      </c>
      <c r="FD65" s="51">
        <f t="shared" si="412"/>
        <v>0</v>
      </c>
      <c r="FE65" s="51">
        <f t="shared" si="412"/>
        <v>0</v>
      </c>
      <c r="FF65" s="51">
        <f t="shared" si="412"/>
        <v>0</v>
      </c>
      <c r="FG65" s="51">
        <f t="shared" si="412"/>
        <v>0</v>
      </c>
      <c r="FH65" s="51">
        <f t="shared" si="412"/>
        <v>0</v>
      </c>
      <c r="FI65" s="51">
        <f t="shared" si="412"/>
        <v>0</v>
      </c>
      <c r="FJ65" s="51">
        <f>SUM(FJ66,FJ91,FJ159,FJ136,FJ170)</f>
        <v>0</v>
      </c>
      <c r="FK65" s="51"/>
      <c r="FL65" s="51">
        <f t="shared" ref="FL65:FT65" si="413">SUM(FL66,FL91,FL159,FL136,FL170)</f>
        <v>0</v>
      </c>
      <c r="FM65" s="51">
        <f t="shared" si="413"/>
        <v>0</v>
      </c>
      <c r="FN65" s="51">
        <f t="shared" si="413"/>
        <v>0</v>
      </c>
      <c r="FO65" s="51">
        <f t="shared" si="413"/>
        <v>0</v>
      </c>
      <c r="FP65" s="51">
        <f t="shared" si="413"/>
        <v>0</v>
      </c>
      <c r="FQ65" s="51">
        <f t="shared" si="413"/>
        <v>0</v>
      </c>
      <c r="FR65" s="51">
        <f t="shared" si="413"/>
        <v>0</v>
      </c>
      <c r="FS65" s="51">
        <f t="shared" si="413"/>
        <v>0</v>
      </c>
      <c r="FT65" s="51">
        <f t="shared" si="413"/>
        <v>0</v>
      </c>
      <c r="FU65" s="51">
        <f>SUM(FU66,FU91,FU159,FU136,FU170)</f>
        <v>0</v>
      </c>
      <c r="FV65" s="51"/>
      <c r="FW65" s="51">
        <f t="shared" ref="FW65:GF65" si="414">SUM(FW66,FW91,FW159,FW136,FW170)</f>
        <v>0</v>
      </c>
      <c r="FX65" s="51">
        <f t="shared" si="414"/>
        <v>0</v>
      </c>
      <c r="FY65" s="51">
        <f t="shared" si="414"/>
        <v>0</v>
      </c>
      <c r="FZ65" s="51">
        <f t="shared" si="414"/>
        <v>0</v>
      </c>
      <c r="GA65" s="51">
        <f t="shared" si="414"/>
        <v>0</v>
      </c>
      <c r="GB65" s="51">
        <f t="shared" si="414"/>
        <v>0</v>
      </c>
      <c r="GC65" s="51">
        <f t="shared" si="414"/>
        <v>0</v>
      </c>
      <c r="GD65" s="51">
        <f t="shared" si="414"/>
        <v>0</v>
      </c>
      <c r="GE65" s="51">
        <f t="shared" si="414"/>
        <v>0</v>
      </c>
      <c r="GF65" s="51">
        <f t="shared" si="414"/>
        <v>0</v>
      </c>
      <c r="GG65" s="51"/>
      <c r="GH65" s="51">
        <f t="shared" ref="GH65:IO65" si="415">SUM(GH66,GH91,GH159,GH136,GH170)</f>
        <v>0</v>
      </c>
      <c r="GI65" s="51">
        <f t="shared" si="415"/>
        <v>0</v>
      </c>
      <c r="GJ65" s="51">
        <f t="shared" si="415"/>
        <v>0</v>
      </c>
      <c r="GK65" s="51">
        <f t="shared" si="415"/>
        <v>0</v>
      </c>
      <c r="GL65" s="51">
        <f t="shared" si="415"/>
        <v>0</v>
      </c>
      <c r="GM65" s="51">
        <f t="shared" si="415"/>
        <v>0</v>
      </c>
      <c r="GN65" s="51">
        <f t="shared" si="415"/>
        <v>0</v>
      </c>
      <c r="GO65" s="51">
        <f t="shared" si="415"/>
        <v>0</v>
      </c>
      <c r="GP65" s="51">
        <f t="shared" si="415"/>
        <v>0</v>
      </c>
      <c r="GQ65" s="51">
        <f t="shared" si="415"/>
        <v>0</v>
      </c>
      <c r="GR65" s="51">
        <f t="shared" si="415"/>
        <v>0</v>
      </c>
      <c r="GS65" s="51">
        <f t="shared" si="415"/>
        <v>0</v>
      </c>
      <c r="GT65" s="51">
        <f t="shared" si="415"/>
        <v>0</v>
      </c>
      <c r="GU65" s="51">
        <f t="shared" si="415"/>
        <v>0</v>
      </c>
      <c r="GV65" s="51">
        <f t="shared" si="415"/>
        <v>0</v>
      </c>
      <c r="GW65" s="51">
        <f t="shared" si="415"/>
        <v>0</v>
      </c>
      <c r="GX65" s="51">
        <f t="shared" si="415"/>
        <v>0</v>
      </c>
      <c r="GY65" s="51">
        <f t="shared" si="415"/>
        <v>0</v>
      </c>
      <c r="GZ65" s="51">
        <f t="shared" si="415"/>
        <v>0</v>
      </c>
      <c r="HA65" s="51">
        <f t="shared" si="415"/>
        <v>0</v>
      </c>
      <c r="HB65" s="51">
        <f>SUM(HB66,HB91,HB159,HB136,HB170)</f>
        <v>0</v>
      </c>
      <c r="HC65" s="51">
        <f>SUM(HC66,HC91,HC159,HC136,HC170)</f>
        <v>0</v>
      </c>
      <c r="HD65" s="51">
        <f>SUM(HD66,HD91,HD159,HD136,HD170)</f>
        <v>0</v>
      </c>
      <c r="HE65" s="51">
        <f>SUM(HE66,HE91,HE159,HE136,HE170)</f>
        <v>0</v>
      </c>
      <c r="HF65" s="51">
        <f t="shared" si="415"/>
        <v>0</v>
      </c>
      <c r="HG65" s="51">
        <f t="shared" si="415"/>
        <v>0</v>
      </c>
      <c r="HH65" s="51">
        <f t="shared" si="415"/>
        <v>0</v>
      </c>
      <c r="HI65" s="51">
        <f t="shared" si="415"/>
        <v>0</v>
      </c>
      <c r="HJ65" s="51">
        <f t="shared" si="415"/>
        <v>0</v>
      </c>
      <c r="HK65" s="51">
        <f t="shared" si="415"/>
        <v>0</v>
      </c>
      <c r="HL65" s="51">
        <f t="shared" si="415"/>
        <v>0</v>
      </c>
      <c r="HM65" s="51">
        <f t="shared" si="415"/>
        <v>0</v>
      </c>
      <c r="HN65" s="51">
        <f t="shared" si="415"/>
        <v>0</v>
      </c>
      <c r="HO65" s="51">
        <f t="shared" si="415"/>
        <v>0</v>
      </c>
      <c r="HP65" s="51">
        <f t="shared" si="415"/>
        <v>0</v>
      </c>
      <c r="HQ65" s="51">
        <f>SUM(HQ66,HQ91,HQ159,HQ136,HQ170)</f>
        <v>0</v>
      </c>
      <c r="HR65" s="51">
        <f>SUM(HR66,HR91,HR159,HR136,HR170)</f>
        <v>0</v>
      </c>
      <c r="HS65" s="51">
        <f>SUM(HS66,HS91,HS159,HS136,HS170)</f>
        <v>0</v>
      </c>
      <c r="HT65" s="51">
        <f>SUM(HT66,HT91,HT159,HT136,HT170)</f>
        <v>0</v>
      </c>
      <c r="HU65" s="51">
        <f t="shared" si="415"/>
        <v>0</v>
      </c>
      <c r="HV65" s="51">
        <f t="shared" si="415"/>
        <v>0</v>
      </c>
      <c r="HW65" s="51">
        <f t="shared" si="415"/>
        <v>0</v>
      </c>
      <c r="HX65" s="51">
        <f t="shared" si="415"/>
        <v>0</v>
      </c>
      <c r="HY65" s="51">
        <f t="shared" si="415"/>
        <v>0</v>
      </c>
      <c r="HZ65" s="51">
        <f t="shared" si="415"/>
        <v>0</v>
      </c>
      <c r="IA65" s="51">
        <f>SUM(IA66,IA91,IA159,IA136,IA170)</f>
        <v>0</v>
      </c>
      <c r="IB65" s="51">
        <f>SUM(IB66,IB91,IB159,IB136,IB170)</f>
        <v>0</v>
      </c>
      <c r="IC65" s="51">
        <f>SUM(IC66,IC91,IC159,IC136,IC170)</f>
        <v>0</v>
      </c>
      <c r="ID65" s="51">
        <f>SUM(ID66,ID91,ID159,ID136,ID170)</f>
        <v>0</v>
      </c>
      <c r="IE65" s="51">
        <f t="shared" si="415"/>
        <v>0</v>
      </c>
      <c r="IF65" s="51">
        <f t="shared" si="415"/>
        <v>0</v>
      </c>
      <c r="IG65" s="51">
        <f t="shared" si="415"/>
        <v>0</v>
      </c>
      <c r="IH65" s="51">
        <f t="shared" si="415"/>
        <v>0</v>
      </c>
      <c r="II65" s="51">
        <f t="shared" si="415"/>
        <v>0</v>
      </c>
      <c r="IJ65" s="51">
        <f t="shared" si="415"/>
        <v>0</v>
      </c>
      <c r="IK65" s="51">
        <f t="shared" si="415"/>
        <v>0</v>
      </c>
      <c r="IL65" s="51">
        <f t="shared" si="415"/>
        <v>0</v>
      </c>
      <c r="IM65" s="51">
        <f t="shared" si="415"/>
        <v>0</v>
      </c>
      <c r="IN65" s="51">
        <f t="shared" si="415"/>
        <v>0</v>
      </c>
      <c r="IO65" s="51">
        <f t="shared" si="415"/>
        <v>0</v>
      </c>
      <c r="IP65" s="51">
        <f t="shared" ref="IP65:IV65" si="416">SUM(IP66,IP91,IP159,IP136,IP170)</f>
        <v>0</v>
      </c>
      <c r="IQ65" s="51">
        <f t="shared" si="416"/>
        <v>0</v>
      </c>
      <c r="IR65" s="51">
        <f t="shared" si="416"/>
        <v>0</v>
      </c>
      <c r="IS65" s="51">
        <f t="shared" si="416"/>
        <v>0</v>
      </c>
      <c r="IT65" s="51">
        <f t="shared" si="416"/>
        <v>0</v>
      </c>
      <c r="IU65" s="51">
        <f t="shared" si="416"/>
        <v>0</v>
      </c>
      <c r="IV65" s="51">
        <f t="shared" si="416"/>
        <v>0</v>
      </c>
    </row>
    <row r="66" spans="1:256" s="110" customFormat="1" ht="12.75" customHeight="1" x14ac:dyDescent="0.25">
      <c r="A66" s="111" t="s">
        <v>70</v>
      </c>
      <c r="B66" s="112"/>
      <c r="C66" s="113">
        <f t="shared" ref="C66:K66" si="417">C67</f>
        <v>2228</v>
      </c>
      <c r="D66" s="113">
        <f t="shared" si="417"/>
        <v>35</v>
      </c>
      <c r="E66" s="113">
        <f t="shared" si="417"/>
        <v>105</v>
      </c>
      <c r="F66" s="113">
        <f t="shared" si="417"/>
        <v>25</v>
      </c>
      <c r="G66" s="113">
        <f t="shared" si="417"/>
        <v>60</v>
      </c>
      <c r="H66" s="113">
        <f t="shared" si="417"/>
        <v>67</v>
      </c>
      <c r="I66" s="113">
        <f t="shared" si="417"/>
        <v>0</v>
      </c>
      <c r="J66" s="113">
        <f t="shared" si="417"/>
        <v>20</v>
      </c>
      <c r="K66" s="113">
        <f t="shared" si="417"/>
        <v>5</v>
      </c>
      <c r="L66" s="114">
        <f>L67</f>
        <v>2485</v>
      </c>
      <c r="M66" s="112"/>
      <c r="N66" s="113">
        <f t="shared" ref="N66:V66" si="418">N67</f>
        <v>0</v>
      </c>
      <c r="O66" s="113">
        <f t="shared" si="418"/>
        <v>0</v>
      </c>
      <c r="P66" s="113">
        <f t="shared" si="418"/>
        <v>0</v>
      </c>
      <c r="Q66" s="113">
        <f t="shared" si="418"/>
        <v>0</v>
      </c>
      <c r="R66" s="113">
        <f t="shared" si="418"/>
        <v>0</v>
      </c>
      <c r="S66" s="113">
        <f t="shared" si="418"/>
        <v>0</v>
      </c>
      <c r="T66" s="113">
        <f t="shared" si="418"/>
        <v>0</v>
      </c>
      <c r="U66" s="113">
        <f t="shared" si="418"/>
        <v>0</v>
      </c>
      <c r="V66" s="113">
        <f t="shared" si="418"/>
        <v>0</v>
      </c>
      <c r="W66" s="114">
        <f>W67</f>
        <v>0</v>
      </c>
      <c r="X66" s="112"/>
      <c r="Y66" s="113">
        <f t="shared" ref="Y66:AG66" si="419">Y67</f>
        <v>0</v>
      </c>
      <c r="Z66" s="113">
        <f t="shared" si="419"/>
        <v>0</v>
      </c>
      <c r="AA66" s="113">
        <f t="shared" si="419"/>
        <v>0</v>
      </c>
      <c r="AB66" s="113">
        <f t="shared" si="419"/>
        <v>0</v>
      </c>
      <c r="AC66" s="113">
        <f t="shared" si="419"/>
        <v>0</v>
      </c>
      <c r="AD66" s="113">
        <f t="shared" si="419"/>
        <v>0</v>
      </c>
      <c r="AE66" s="113">
        <f t="shared" si="419"/>
        <v>0</v>
      </c>
      <c r="AF66" s="113">
        <f t="shared" si="419"/>
        <v>0</v>
      </c>
      <c r="AG66" s="113">
        <f t="shared" si="419"/>
        <v>0</v>
      </c>
      <c r="AH66" s="114">
        <f>AH67</f>
        <v>0</v>
      </c>
      <c r="AI66" s="112"/>
      <c r="AJ66" s="113">
        <f t="shared" ref="AJ66:AR66" si="420">AJ67</f>
        <v>0</v>
      </c>
      <c r="AK66" s="113">
        <f t="shared" si="420"/>
        <v>0</v>
      </c>
      <c r="AL66" s="113">
        <f t="shared" si="420"/>
        <v>0</v>
      </c>
      <c r="AM66" s="113">
        <f t="shared" si="420"/>
        <v>0</v>
      </c>
      <c r="AN66" s="113">
        <f t="shared" si="420"/>
        <v>0</v>
      </c>
      <c r="AO66" s="113">
        <f t="shared" si="420"/>
        <v>0</v>
      </c>
      <c r="AP66" s="113">
        <f t="shared" si="420"/>
        <v>0</v>
      </c>
      <c r="AQ66" s="113">
        <f t="shared" si="420"/>
        <v>0</v>
      </c>
      <c r="AR66" s="113">
        <f t="shared" si="420"/>
        <v>0</v>
      </c>
      <c r="AS66" s="114">
        <f>AS67</f>
        <v>0</v>
      </c>
      <c r="AT66" s="112"/>
      <c r="AU66" s="113">
        <f>AU67</f>
        <v>0</v>
      </c>
      <c r="AV66" s="113">
        <f t="shared" ref="AV66:BC66" si="421">AV67</f>
        <v>0</v>
      </c>
      <c r="AW66" s="113">
        <f t="shared" si="421"/>
        <v>0</v>
      </c>
      <c r="AX66" s="113">
        <f t="shared" si="421"/>
        <v>0</v>
      </c>
      <c r="AY66" s="113">
        <f t="shared" si="421"/>
        <v>0</v>
      </c>
      <c r="AZ66" s="113">
        <f t="shared" si="421"/>
        <v>0</v>
      </c>
      <c r="BA66" s="113">
        <f t="shared" si="421"/>
        <v>0</v>
      </c>
      <c r="BB66" s="113">
        <f t="shared" si="421"/>
        <v>0</v>
      </c>
      <c r="BC66" s="113">
        <f t="shared" si="421"/>
        <v>0</v>
      </c>
      <c r="BD66" s="114">
        <f>BD67</f>
        <v>0</v>
      </c>
      <c r="BE66" s="112"/>
      <c r="BF66" s="113">
        <f t="shared" ref="BF66:BN66" si="422">BF67</f>
        <v>0</v>
      </c>
      <c r="BG66" s="113">
        <f t="shared" si="422"/>
        <v>0</v>
      </c>
      <c r="BH66" s="113">
        <f t="shared" si="422"/>
        <v>0</v>
      </c>
      <c r="BI66" s="113">
        <f t="shared" si="422"/>
        <v>0</v>
      </c>
      <c r="BJ66" s="113">
        <f t="shared" si="422"/>
        <v>0</v>
      </c>
      <c r="BK66" s="113">
        <f t="shared" si="422"/>
        <v>0</v>
      </c>
      <c r="BL66" s="113">
        <f t="shared" si="422"/>
        <v>0</v>
      </c>
      <c r="BM66" s="113">
        <f t="shared" si="422"/>
        <v>0</v>
      </c>
      <c r="BN66" s="113">
        <f t="shared" si="422"/>
        <v>0</v>
      </c>
      <c r="BO66" s="114">
        <f>BO67</f>
        <v>0</v>
      </c>
      <c r="BP66" s="112"/>
      <c r="BQ66" s="113">
        <f t="shared" ref="BQ66:BY66" si="423">BQ67</f>
        <v>0</v>
      </c>
      <c r="BR66" s="113">
        <f t="shared" si="423"/>
        <v>0</v>
      </c>
      <c r="BS66" s="113">
        <f t="shared" si="423"/>
        <v>0</v>
      </c>
      <c r="BT66" s="113">
        <f t="shared" si="423"/>
        <v>0</v>
      </c>
      <c r="BU66" s="113">
        <f t="shared" si="423"/>
        <v>0</v>
      </c>
      <c r="BV66" s="113">
        <f t="shared" si="423"/>
        <v>0</v>
      </c>
      <c r="BW66" s="113">
        <f t="shared" si="423"/>
        <v>0</v>
      </c>
      <c r="BX66" s="113">
        <f t="shared" si="423"/>
        <v>0</v>
      </c>
      <c r="BY66" s="113">
        <f t="shared" si="423"/>
        <v>0</v>
      </c>
      <c r="BZ66" s="114">
        <f>BZ67</f>
        <v>0</v>
      </c>
      <c r="CA66" s="112"/>
      <c r="CB66" s="113">
        <f t="shared" ref="CB66:CJ66" si="424">CB67</f>
        <v>0</v>
      </c>
      <c r="CC66" s="113">
        <f t="shared" si="424"/>
        <v>0</v>
      </c>
      <c r="CD66" s="113">
        <f t="shared" si="424"/>
        <v>0</v>
      </c>
      <c r="CE66" s="113">
        <f t="shared" si="424"/>
        <v>0</v>
      </c>
      <c r="CF66" s="113">
        <f t="shared" si="424"/>
        <v>0</v>
      </c>
      <c r="CG66" s="113">
        <f t="shared" si="424"/>
        <v>0</v>
      </c>
      <c r="CH66" s="113">
        <f t="shared" si="424"/>
        <v>0</v>
      </c>
      <c r="CI66" s="113">
        <f t="shared" si="424"/>
        <v>0</v>
      </c>
      <c r="CJ66" s="113">
        <f t="shared" si="424"/>
        <v>0</v>
      </c>
      <c r="CK66" s="114">
        <f>CK67</f>
        <v>0</v>
      </c>
      <c r="CL66" s="112"/>
      <c r="CM66" s="113">
        <f>CM67</f>
        <v>0</v>
      </c>
      <c r="CN66" s="113">
        <f t="shared" ref="CN66:CU66" si="425">CN67</f>
        <v>0</v>
      </c>
      <c r="CO66" s="113">
        <f t="shared" si="425"/>
        <v>0</v>
      </c>
      <c r="CP66" s="113">
        <f t="shared" si="425"/>
        <v>0</v>
      </c>
      <c r="CQ66" s="113">
        <f t="shared" si="425"/>
        <v>0</v>
      </c>
      <c r="CR66" s="113">
        <f t="shared" si="425"/>
        <v>0</v>
      </c>
      <c r="CS66" s="113">
        <f t="shared" si="425"/>
        <v>0</v>
      </c>
      <c r="CT66" s="113">
        <f t="shared" si="425"/>
        <v>0</v>
      </c>
      <c r="CU66" s="113">
        <f t="shared" si="425"/>
        <v>0</v>
      </c>
      <c r="CV66" s="114">
        <f>CV67</f>
        <v>0</v>
      </c>
      <c r="CW66" s="112"/>
      <c r="CX66" s="113">
        <f t="shared" ref="CX66:DF66" si="426">CX67</f>
        <v>0</v>
      </c>
      <c r="CY66" s="113">
        <f t="shared" si="426"/>
        <v>0</v>
      </c>
      <c r="CZ66" s="113">
        <f t="shared" si="426"/>
        <v>0</v>
      </c>
      <c r="DA66" s="113">
        <f t="shared" si="426"/>
        <v>0</v>
      </c>
      <c r="DB66" s="113">
        <f t="shared" si="426"/>
        <v>0</v>
      </c>
      <c r="DC66" s="113">
        <f t="shared" si="426"/>
        <v>0</v>
      </c>
      <c r="DD66" s="113">
        <f t="shared" si="426"/>
        <v>0</v>
      </c>
      <c r="DE66" s="113">
        <f t="shared" si="426"/>
        <v>0</v>
      </c>
      <c r="DF66" s="113">
        <f t="shared" si="426"/>
        <v>0</v>
      </c>
      <c r="DG66" s="114">
        <f>DG67</f>
        <v>0</v>
      </c>
      <c r="DH66" s="112"/>
      <c r="DI66" s="113">
        <f t="shared" ref="DI66:DQ66" si="427">DI67</f>
        <v>0</v>
      </c>
      <c r="DJ66" s="113">
        <f t="shared" si="427"/>
        <v>0</v>
      </c>
      <c r="DK66" s="113">
        <f t="shared" si="427"/>
        <v>0</v>
      </c>
      <c r="DL66" s="113">
        <f t="shared" si="427"/>
        <v>0</v>
      </c>
      <c r="DM66" s="113">
        <f t="shared" si="427"/>
        <v>0</v>
      </c>
      <c r="DN66" s="113">
        <f t="shared" si="427"/>
        <v>0</v>
      </c>
      <c r="DO66" s="113">
        <f t="shared" si="427"/>
        <v>0</v>
      </c>
      <c r="DP66" s="113">
        <f t="shared" si="427"/>
        <v>0</v>
      </c>
      <c r="DQ66" s="113">
        <f t="shared" si="427"/>
        <v>0</v>
      </c>
      <c r="DR66" s="114">
        <f>DR67</f>
        <v>0</v>
      </c>
      <c r="DS66" s="112"/>
      <c r="DT66" s="113">
        <f t="shared" ref="DT66:EB66" si="428">DT67</f>
        <v>0</v>
      </c>
      <c r="DU66" s="113">
        <f t="shared" si="428"/>
        <v>0</v>
      </c>
      <c r="DV66" s="113">
        <f t="shared" si="428"/>
        <v>0</v>
      </c>
      <c r="DW66" s="113">
        <f t="shared" si="428"/>
        <v>0</v>
      </c>
      <c r="DX66" s="113">
        <f t="shared" si="428"/>
        <v>0</v>
      </c>
      <c r="DY66" s="113">
        <f t="shared" si="428"/>
        <v>0</v>
      </c>
      <c r="DZ66" s="113">
        <f t="shared" si="428"/>
        <v>0</v>
      </c>
      <c r="EA66" s="113">
        <f t="shared" si="428"/>
        <v>0</v>
      </c>
      <c r="EB66" s="113">
        <f t="shared" si="428"/>
        <v>0</v>
      </c>
      <c r="EC66" s="113">
        <f>EC67</f>
        <v>0</v>
      </c>
      <c r="ED66" s="112"/>
      <c r="EE66" s="113">
        <f>EE67</f>
        <v>0</v>
      </c>
      <c r="EF66" s="113">
        <f t="shared" ref="EF66:EM66" si="429">EF67</f>
        <v>0</v>
      </c>
      <c r="EG66" s="113">
        <f t="shared" si="429"/>
        <v>0</v>
      </c>
      <c r="EH66" s="113">
        <f t="shared" si="429"/>
        <v>0</v>
      </c>
      <c r="EI66" s="113">
        <f t="shared" si="429"/>
        <v>0</v>
      </c>
      <c r="EJ66" s="113">
        <f t="shared" si="429"/>
        <v>0</v>
      </c>
      <c r="EK66" s="113">
        <f t="shared" si="429"/>
        <v>0</v>
      </c>
      <c r="EL66" s="113">
        <f t="shared" si="429"/>
        <v>0</v>
      </c>
      <c r="EM66" s="113">
        <f t="shared" si="429"/>
        <v>0</v>
      </c>
      <c r="EN66" s="114">
        <f>EN67</f>
        <v>0</v>
      </c>
      <c r="EO66" s="112"/>
      <c r="EP66" s="113">
        <f t="shared" ref="EP66:EX66" si="430">EP67</f>
        <v>0</v>
      </c>
      <c r="EQ66" s="113">
        <f t="shared" si="430"/>
        <v>0</v>
      </c>
      <c r="ER66" s="113">
        <f t="shared" si="430"/>
        <v>0</v>
      </c>
      <c r="ES66" s="113">
        <f t="shared" si="430"/>
        <v>0</v>
      </c>
      <c r="ET66" s="113">
        <f t="shared" si="430"/>
        <v>0</v>
      </c>
      <c r="EU66" s="113">
        <f t="shared" si="430"/>
        <v>0</v>
      </c>
      <c r="EV66" s="113">
        <f t="shared" si="430"/>
        <v>0</v>
      </c>
      <c r="EW66" s="113">
        <f t="shared" si="430"/>
        <v>0</v>
      </c>
      <c r="EX66" s="113">
        <f t="shared" si="430"/>
        <v>0</v>
      </c>
      <c r="EY66" s="114">
        <f>EY67</f>
        <v>0</v>
      </c>
      <c r="EZ66" s="112"/>
      <c r="FA66" s="113">
        <f t="shared" ref="FA66:FI66" si="431">FA67</f>
        <v>0</v>
      </c>
      <c r="FB66" s="113">
        <f t="shared" si="431"/>
        <v>0</v>
      </c>
      <c r="FC66" s="113">
        <f t="shared" si="431"/>
        <v>0</v>
      </c>
      <c r="FD66" s="113">
        <f t="shared" si="431"/>
        <v>0</v>
      </c>
      <c r="FE66" s="113">
        <f t="shared" si="431"/>
        <v>0</v>
      </c>
      <c r="FF66" s="113">
        <f t="shared" si="431"/>
        <v>0</v>
      </c>
      <c r="FG66" s="113">
        <f t="shared" si="431"/>
        <v>0</v>
      </c>
      <c r="FH66" s="113">
        <f t="shared" si="431"/>
        <v>0</v>
      </c>
      <c r="FI66" s="113">
        <f t="shared" si="431"/>
        <v>0</v>
      </c>
      <c r="FJ66" s="114">
        <f>FJ67</f>
        <v>0</v>
      </c>
      <c r="FK66" s="112"/>
      <c r="FL66" s="113">
        <f t="shared" ref="FL66:FT66" si="432">FL67</f>
        <v>0</v>
      </c>
      <c r="FM66" s="113">
        <f t="shared" si="432"/>
        <v>0</v>
      </c>
      <c r="FN66" s="113">
        <f t="shared" si="432"/>
        <v>0</v>
      </c>
      <c r="FO66" s="113">
        <f t="shared" si="432"/>
        <v>0</v>
      </c>
      <c r="FP66" s="113">
        <f t="shared" si="432"/>
        <v>0</v>
      </c>
      <c r="FQ66" s="113">
        <f t="shared" si="432"/>
        <v>0</v>
      </c>
      <c r="FR66" s="113">
        <f t="shared" si="432"/>
        <v>0</v>
      </c>
      <c r="FS66" s="113">
        <f t="shared" si="432"/>
        <v>0</v>
      </c>
      <c r="FT66" s="113">
        <f t="shared" si="432"/>
        <v>0</v>
      </c>
      <c r="FU66" s="114">
        <f>FU67</f>
        <v>0</v>
      </c>
      <c r="FV66" s="112"/>
      <c r="FW66" s="113">
        <f>FW67</f>
        <v>0</v>
      </c>
      <c r="FX66" s="113">
        <f t="shared" ref="FX66:GE66" si="433">FX67</f>
        <v>0</v>
      </c>
      <c r="FY66" s="113">
        <f t="shared" si="433"/>
        <v>0</v>
      </c>
      <c r="FZ66" s="113">
        <f t="shared" si="433"/>
        <v>0</v>
      </c>
      <c r="GA66" s="113">
        <f t="shared" si="433"/>
        <v>0</v>
      </c>
      <c r="GB66" s="113">
        <f t="shared" si="433"/>
        <v>0</v>
      </c>
      <c r="GC66" s="113">
        <f t="shared" si="433"/>
        <v>0</v>
      </c>
      <c r="GD66" s="113">
        <f t="shared" si="433"/>
        <v>0</v>
      </c>
      <c r="GE66" s="113">
        <f t="shared" si="433"/>
        <v>0</v>
      </c>
      <c r="GF66" s="114">
        <f>GF67</f>
        <v>0</v>
      </c>
      <c r="GG66" s="112"/>
      <c r="GH66" s="113">
        <f t="shared" ref="GH66:GP66" si="434">GH67</f>
        <v>0</v>
      </c>
      <c r="GI66" s="113">
        <f t="shared" si="434"/>
        <v>0</v>
      </c>
      <c r="GJ66" s="113">
        <f t="shared" si="434"/>
        <v>0</v>
      </c>
      <c r="GK66" s="113">
        <f t="shared" si="434"/>
        <v>0</v>
      </c>
      <c r="GL66" s="113">
        <f t="shared" si="434"/>
        <v>0</v>
      </c>
      <c r="GM66" s="113">
        <f t="shared" si="434"/>
        <v>0</v>
      </c>
      <c r="GN66" s="113">
        <f t="shared" si="434"/>
        <v>0</v>
      </c>
      <c r="GO66" s="113">
        <f t="shared" si="434"/>
        <v>0</v>
      </c>
      <c r="GP66" s="113">
        <f t="shared" si="434"/>
        <v>0</v>
      </c>
      <c r="GQ66" s="114">
        <f t="shared" ref="GQ66:GV66" si="435">GQ67</f>
        <v>0</v>
      </c>
      <c r="GR66" s="113">
        <f t="shared" si="435"/>
        <v>0</v>
      </c>
      <c r="GS66" s="113">
        <f t="shared" si="435"/>
        <v>0</v>
      </c>
      <c r="GT66" s="113">
        <f t="shared" si="435"/>
        <v>0</v>
      </c>
      <c r="GU66" s="113">
        <f t="shared" si="435"/>
        <v>0</v>
      </c>
      <c r="GV66" s="113">
        <f t="shared" si="435"/>
        <v>0</v>
      </c>
      <c r="GW66" s="113">
        <f t="shared" ref="GW66:HJ66" si="436">GW67</f>
        <v>0</v>
      </c>
      <c r="GX66" s="113">
        <f t="shared" si="436"/>
        <v>0</v>
      </c>
      <c r="GY66" s="113">
        <f t="shared" si="436"/>
        <v>0</v>
      </c>
      <c r="GZ66" s="113">
        <f t="shared" si="436"/>
        <v>0</v>
      </c>
      <c r="HA66" s="113">
        <f>HA67</f>
        <v>0</v>
      </c>
      <c r="HB66" s="113">
        <f t="shared" si="436"/>
        <v>0</v>
      </c>
      <c r="HC66" s="113">
        <f t="shared" si="436"/>
        <v>0</v>
      </c>
      <c r="HD66" s="113">
        <f t="shared" si="436"/>
        <v>0</v>
      </c>
      <c r="HE66" s="113">
        <f t="shared" si="436"/>
        <v>0</v>
      </c>
      <c r="HF66" s="113">
        <f>HF67</f>
        <v>0</v>
      </c>
      <c r="HG66" s="113">
        <f t="shared" si="436"/>
        <v>0</v>
      </c>
      <c r="HH66" s="113">
        <f t="shared" si="436"/>
        <v>0</v>
      </c>
      <c r="HI66" s="113">
        <f t="shared" si="436"/>
        <v>0</v>
      </c>
      <c r="HJ66" s="113">
        <f t="shared" si="436"/>
        <v>0</v>
      </c>
      <c r="HK66" s="113">
        <f t="shared" ref="HK66:HP66" si="437">HK67</f>
        <v>0</v>
      </c>
      <c r="HL66" s="113">
        <f t="shared" si="437"/>
        <v>0</v>
      </c>
      <c r="HM66" s="113">
        <f t="shared" si="437"/>
        <v>0</v>
      </c>
      <c r="HN66" s="113">
        <f t="shared" si="437"/>
        <v>0</v>
      </c>
      <c r="HO66" s="113">
        <f t="shared" si="437"/>
        <v>0</v>
      </c>
      <c r="HP66" s="113">
        <f t="shared" si="437"/>
        <v>0</v>
      </c>
      <c r="HQ66" s="113">
        <f t="shared" ref="HQ66:ID66" si="438">HQ67</f>
        <v>0</v>
      </c>
      <c r="HR66" s="113">
        <f t="shared" si="438"/>
        <v>0</v>
      </c>
      <c r="HS66" s="113">
        <f t="shared" si="438"/>
        <v>0</v>
      </c>
      <c r="HT66" s="113">
        <f t="shared" si="438"/>
        <v>0</v>
      </c>
      <c r="HU66" s="113">
        <f>HU67</f>
        <v>0</v>
      </c>
      <c r="HV66" s="113">
        <f t="shared" si="438"/>
        <v>0</v>
      </c>
      <c r="HW66" s="113">
        <f t="shared" si="438"/>
        <v>0</v>
      </c>
      <c r="HX66" s="113">
        <f t="shared" si="438"/>
        <v>0</v>
      </c>
      <c r="HY66" s="113">
        <f t="shared" si="438"/>
        <v>0</v>
      </c>
      <c r="HZ66" s="113">
        <f>HZ67</f>
        <v>0</v>
      </c>
      <c r="IA66" s="113">
        <f t="shared" si="438"/>
        <v>0</v>
      </c>
      <c r="IB66" s="113">
        <f t="shared" si="438"/>
        <v>0</v>
      </c>
      <c r="IC66" s="113">
        <f t="shared" si="438"/>
        <v>0</v>
      </c>
      <c r="ID66" s="113">
        <f t="shared" si="438"/>
        <v>0</v>
      </c>
      <c r="IE66" s="113">
        <f t="shared" ref="IE66:IJ66" si="439">IE67</f>
        <v>0</v>
      </c>
      <c r="IF66" s="113">
        <f t="shared" si="439"/>
        <v>0</v>
      </c>
      <c r="IG66" s="113">
        <f t="shared" si="439"/>
        <v>0</v>
      </c>
      <c r="IH66" s="113">
        <f t="shared" si="439"/>
        <v>0</v>
      </c>
      <c r="II66" s="113">
        <f t="shared" si="439"/>
        <v>0</v>
      </c>
      <c r="IJ66" s="113">
        <f t="shared" si="439"/>
        <v>0</v>
      </c>
      <c r="IK66" s="113">
        <f t="shared" ref="IK66:IV66" si="440">IK67</f>
        <v>0</v>
      </c>
      <c r="IL66" s="113">
        <f t="shared" si="440"/>
        <v>0</v>
      </c>
      <c r="IM66" s="113">
        <f t="shared" si="440"/>
        <v>0</v>
      </c>
      <c r="IN66" s="113">
        <f t="shared" si="440"/>
        <v>0</v>
      </c>
      <c r="IO66" s="113">
        <f>IO67</f>
        <v>0</v>
      </c>
      <c r="IP66" s="113">
        <f t="shared" si="440"/>
        <v>0</v>
      </c>
      <c r="IQ66" s="113">
        <f t="shared" si="440"/>
        <v>0</v>
      </c>
      <c r="IR66" s="113">
        <f t="shared" si="440"/>
        <v>0</v>
      </c>
      <c r="IS66" s="113">
        <f t="shared" si="440"/>
        <v>0</v>
      </c>
      <c r="IT66" s="113">
        <f>IT67</f>
        <v>0</v>
      </c>
      <c r="IU66" s="113">
        <f t="shared" si="440"/>
        <v>0</v>
      </c>
      <c r="IV66" s="113">
        <f t="shared" si="440"/>
        <v>0</v>
      </c>
    </row>
    <row r="67" spans="1:256" s="57" customFormat="1" ht="12.75" customHeight="1" x14ac:dyDescent="0.25">
      <c r="A67" s="58" t="s">
        <v>71</v>
      </c>
      <c r="B67" s="60"/>
      <c r="C67" s="59">
        <f>SUM(C68,C69)</f>
        <v>2228</v>
      </c>
      <c r="D67" s="59">
        <f t="shared" ref="D67:K67" si="441">SUM(D68,D69)</f>
        <v>35</v>
      </c>
      <c r="E67" s="59">
        <f t="shared" si="441"/>
        <v>105</v>
      </c>
      <c r="F67" s="59">
        <f t="shared" si="441"/>
        <v>25</v>
      </c>
      <c r="G67" s="59">
        <f t="shared" si="441"/>
        <v>60</v>
      </c>
      <c r="H67" s="59">
        <f t="shared" si="441"/>
        <v>67</v>
      </c>
      <c r="I67" s="59">
        <f t="shared" si="441"/>
        <v>0</v>
      </c>
      <c r="J67" s="59">
        <f t="shared" si="441"/>
        <v>20</v>
      </c>
      <c r="K67" s="59">
        <f t="shared" si="441"/>
        <v>5</v>
      </c>
      <c r="L67" s="73">
        <f>L69</f>
        <v>2485</v>
      </c>
      <c r="M67" s="60"/>
      <c r="N67" s="59">
        <f>SUM(N68,N69)</f>
        <v>0</v>
      </c>
      <c r="O67" s="59">
        <f t="shared" ref="O67:V67" si="442">SUM(O68,O69)</f>
        <v>0</v>
      </c>
      <c r="P67" s="59">
        <f t="shared" si="442"/>
        <v>0</v>
      </c>
      <c r="Q67" s="59">
        <f t="shared" si="442"/>
        <v>0</v>
      </c>
      <c r="R67" s="59">
        <f t="shared" si="442"/>
        <v>0</v>
      </c>
      <c r="S67" s="59">
        <f t="shared" si="442"/>
        <v>0</v>
      </c>
      <c r="T67" s="59">
        <f t="shared" si="442"/>
        <v>0</v>
      </c>
      <c r="U67" s="59">
        <f t="shared" si="442"/>
        <v>0</v>
      </c>
      <c r="V67" s="59">
        <f t="shared" si="442"/>
        <v>0</v>
      </c>
      <c r="W67" s="73">
        <f>W69</f>
        <v>0</v>
      </c>
      <c r="X67" s="60"/>
      <c r="Y67" s="59">
        <f>SUM(Y68,Y69)</f>
        <v>0</v>
      </c>
      <c r="Z67" s="59">
        <f t="shared" ref="Z67:AG67" si="443">SUM(Z68,Z69)</f>
        <v>0</v>
      </c>
      <c r="AA67" s="59">
        <f t="shared" si="443"/>
        <v>0</v>
      </c>
      <c r="AB67" s="59">
        <f t="shared" si="443"/>
        <v>0</v>
      </c>
      <c r="AC67" s="59">
        <f t="shared" si="443"/>
        <v>0</v>
      </c>
      <c r="AD67" s="59">
        <f t="shared" si="443"/>
        <v>0</v>
      </c>
      <c r="AE67" s="59">
        <f t="shared" si="443"/>
        <v>0</v>
      </c>
      <c r="AF67" s="59">
        <f t="shared" si="443"/>
        <v>0</v>
      </c>
      <c r="AG67" s="59">
        <f t="shared" si="443"/>
        <v>0</v>
      </c>
      <c r="AH67" s="73">
        <f>AH69</f>
        <v>0</v>
      </c>
      <c r="AI67" s="60"/>
      <c r="AJ67" s="59">
        <f>SUM(AJ68,AJ69)</f>
        <v>0</v>
      </c>
      <c r="AK67" s="59">
        <f t="shared" ref="AK67:AR67" si="444">SUM(AK68,AK69)</f>
        <v>0</v>
      </c>
      <c r="AL67" s="59">
        <f t="shared" si="444"/>
        <v>0</v>
      </c>
      <c r="AM67" s="59">
        <f t="shared" si="444"/>
        <v>0</v>
      </c>
      <c r="AN67" s="59">
        <f t="shared" si="444"/>
        <v>0</v>
      </c>
      <c r="AO67" s="59">
        <f t="shared" si="444"/>
        <v>0</v>
      </c>
      <c r="AP67" s="59">
        <f t="shared" si="444"/>
        <v>0</v>
      </c>
      <c r="AQ67" s="59">
        <f t="shared" si="444"/>
        <v>0</v>
      </c>
      <c r="AR67" s="59">
        <f t="shared" si="444"/>
        <v>0</v>
      </c>
      <c r="AS67" s="73">
        <f>AS69</f>
        <v>0</v>
      </c>
      <c r="AT67" s="60"/>
      <c r="AU67" s="59">
        <f t="shared" ref="AU67:BD67" si="445">AU69</f>
        <v>0</v>
      </c>
      <c r="AV67" s="59">
        <f t="shared" si="445"/>
        <v>0</v>
      </c>
      <c r="AW67" s="59">
        <f t="shared" si="445"/>
        <v>0</v>
      </c>
      <c r="AX67" s="59">
        <f t="shared" si="445"/>
        <v>0</v>
      </c>
      <c r="AY67" s="59">
        <f t="shared" si="445"/>
        <v>0</v>
      </c>
      <c r="AZ67" s="59">
        <f t="shared" si="445"/>
        <v>0</v>
      </c>
      <c r="BA67" s="59">
        <f t="shared" si="445"/>
        <v>0</v>
      </c>
      <c r="BB67" s="59">
        <f t="shared" si="445"/>
        <v>0</v>
      </c>
      <c r="BC67" s="59">
        <f t="shared" si="445"/>
        <v>0</v>
      </c>
      <c r="BD67" s="73">
        <f t="shared" si="445"/>
        <v>0</v>
      </c>
      <c r="BE67" s="60"/>
      <c r="BF67" s="59">
        <f>SUM(BF68,BF69)</f>
        <v>0</v>
      </c>
      <c r="BG67" s="59">
        <f t="shared" ref="BG67:BN67" si="446">SUM(BG68,BG69)</f>
        <v>0</v>
      </c>
      <c r="BH67" s="59">
        <f t="shared" si="446"/>
        <v>0</v>
      </c>
      <c r="BI67" s="59">
        <f t="shared" si="446"/>
        <v>0</v>
      </c>
      <c r="BJ67" s="59">
        <f t="shared" si="446"/>
        <v>0</v>
      </c>
      <c r="BK67" s="59">
        <f t="shared" si="446"/>
        <v>0</v>
      </c>
      <c r="BL67" s="59">
        <f t="shared" si="446"/>
        <v>0</v>
      </c>
      <c r="BM67" s="59">
        <f t="shared" si="446"/>
        <v>0</v>
      </c>
      <c r="BN67" s="59">
        <f t="shared" si="446"/>
        <v>0</v>
      </c>
      <c r="BO67" s="73">
        <f>BO69</f>
        <v>0</v>
      </c>
      <c r="BP67" s="60"/>
      <c r="BQ67" s="59">
        <f>SUM(BQ68,BQ69)</f>
        <v>0</v>
      </c>
      <c r="BR67" s="59">
        <f t="shared" ref="BR67:BY67" si="447">SUM(BR68,BR69)</f>
        <v>0</v>
      </c>
      <c r="BS67" s="59">
        <f t="shared" si="447"/>
        <v>0</v>
      </c>
      <c r="BT67" s="59">
        <f t="shared" si="447"/>
        <v>0</v>
      </c>
      <c r="BU67" s="59">
        <f t="shared" si="447"/>
        <v>0</v>
      </c>
      <c r="BV67" s="59">
        <f t="shared" si="447"/>
        <v>0</v>
      </c>
      <c r="BW67" s="59">
        <f t="shared" si="447"/>
        <v>0</v>
      </c>
      <c r="BX67" s="59">
        <f t="shared" si="447"/>
        <v>0</v>
      </c>
      <c r="BY67" s="59">
        <f t="shared" si="447"/>
        <v>0</v>
      </c>
      <c r="BZ67" s="73">
        <f>BZ69</f>
        <v>0</v>
      </c>
      <c r="CA67" s="60"/>
      <c r="CB67" s="59">
        <f>SUM(CB68,CB69)</f>
        <v>0</v>
      </c>
      <c r="CC67" s="59">
        <f t="shared" ref="CC67:CJ67" si="448">SUM(CC68,CC69)</f>
        <v>0</v>
      </c>
      <c r="CD67" s="59">
        <f t="shared" si="448"/>
        <v>0</v>
      </c>
      <c r="CE67" s="59">
        <f t="shared" si="448"/>
        <v>0</v>
      </c>
      <c r="CF67" s="59">
        <f t="shared" si="448"/>
        <v>0</v>
      </c>
      <c r="CG67" s="59">
        <f t="shared" si="448"/>
        <v>0</v>
      </c>
      <c r="CH67" s="59">
        <f t="shared" si="448"/>
        <v>0</v>
      </c>
      <c r="CI67" s="59">
        <f t="shared" si="448"/>
        <v>0</v>
      </c>
      <c r="CJ67" s="59">
        <f t="shared" si="448"/>
        <v>0</v>
      </c>
      <c r="CK67" s="73">
        <f>CK69</f>
        <v>0</v>
      </c>
      <c r="CL67" s="60"/>
      <c r="CM67" s="59">
        <f t="shared" ref="CM67:CV67" si="449">CM69</f>
        <v>0</v>
      </c>
      <c r="CN67" s="59">
        <f t="shared" si="449"/>
        <v>0</v>
      </c>
      <c r="CO67" s="59">
        <f t="shared" si="449"/>
        <v>0</v>
      </c>
      <c r="CP67" s="59">
        <f t="shared" si="449"/>
        <v>0</v>
      </c>
      <c r="CQ67" s="59">
        <f t="shared" si="449"/>
        <v>0</v>
      </c>
      <c r="CR67" s="59">
        <f t="shared" si="449"/>
        <v>0</v>
      </c>
      <c r="CS67" s="59">
        <f t="shared" si="449"/>
        <v>0</v>
      </c>
      <c r="CT67" s="59">
        <f t="shared" si="449"/>
        <v>0</v>
      </c>
      <c r="CU67" s="59">
        <f t="shared" si="449"/>
        <v>0</v>
      </c>
      <c r="CV67" s="73">
        <f t="shared" si="449"/>
        <v>0</v>
      </c>
      <c r="CW67" s="60"/>
      <c r="CX67" s="59">
        <f>SUM(CX68,CX69)</f>
        <v>0</v>
      </c>
      <c r="CY67" s="59">
        <f t="shared" ref="CY67:DF67" si="450">SUM(CY68,CY69)</f>
        <v>0</v>
      </c>
      <c r="CZ67" s="59">
        <f t="shared" si="450"/>
        <v>0</v>
      </c>
      <c r="DA67" s="59">
        <f t="shared" si="450"/>
        <v>0</v>
      </c>
      <c r="DB67" s="59">
        <f t="shared" si="450"/>
        <v>0</v>
      </c>
      <c r="DC67" s="59">
        <f t="shared" si="450"/>
        <v>0</v>
      </c>
      <c r="DD67" s="59">
        <f t="shared" si="450"/>
        <v>0</v>
      </c>
      <c r="DE67" s="59">
        <f t="shared" si="450"/>
        <v>0</v>
      </c>
      <c r="DF67" s="59">
        <f t="shared" si="450"/>
        <v>0</v>
      </c>
      <c r="DG67" s="73">
        <f>DG69</f>
        <v>0</v>
      </c>
      <c r="DH67" s="60"/>
      <c r="DI67" s="59">
        <f>SUM(DI68,DI69)</f>
        <v>0</v>
      </c>
      <c r="DJ67" s="59">
        <f t="shared" ref="DJ67:DQ67" si="451">SUM(DJ68,DJ69)</f>
        <v>0</v>
      </c>
      <c r="DK67" s="59">
        <f t="shared" si="451"/>
        <v>0</v>
      </c>
      <c r="DL67" s="59">
        <f t="shared" si="451"/>
        <v>0</v>
      </c>
      <c r="DM67" s="59">
        <f t="shared" si="451"/>
        <v>0</v>
      </c>
      <c r="DN67" s="59">
        <f t="shared" si="451"/>
        <v>0</v>
      </c>
      <c r="DO67" s="59">
        <f t="shared" si="451"/>
        <v>0</v>
      </c>
      <c r="DP67" s="59">
        <f t="shared" si="451"/>
        <v>0</v>
      </c>
      <c r="DQ67" s="59">
        <f t="shared" si="451"/>
        <v>0</v>
      </c>
      <c r="DR67" s="73">
        <f>DR69</f>
        <v>0</v>
      </c>
      <c r="DS67" s="60"/>
      <c r="DT67" s="59">
        <f>SUM(DT68,DT69)</f>
        <v>0</v>
      </c>
      <c r="DU67" s="59">
        <f t="shared" ref="DU67:EB67" si="452">SUM(DU68,DU69)</f>
        <v>0</v>
      </c>
      <c r="DV67" s="59">
        <f t="shared" si="452"/>
        <v>0</v>
      </c>
      <c r="DW67" s="59">
        <f t="shared" si="452"/>
        <v>0</v>
      </c>
      <c r="DX67" s="59">
        <f t="shared" si="452"/>
        <v>0</v>
      </c>
      <c r="DY67" s="59">
        <f t="shared" si="452"/>
        <v>0</v>
      </c>
      <c r="DZ67" s="59">
        <f t="shared" si="452"/>
        <v>0</v>
      </c>
      <c r="EA67" s="59">
        <f t="shared" si="452"/>
        <v>0</v>
      </c>
      <c r="EB67" s="59">
        <f t="shared" si="452"/>
        <v>0</v>
      </c>
      <c r="EC67" s="59">
        <f>SUM(EC68,EC69)</f>
        <v>0</v>
      </c>
      <c r="ED67" s="60"/>
      <c r="EE67" s="59">
        <f t="shared" ref="EE67:EN67" si="453">EE69</f>
        <v>0</v>
      </c>
      <c r="EF67" s="59">
        <f t="shared" si="453"/>
        <v>0</v>
      </c>
      <c r="EG67" s="59">
        <f t="shared" si="453"/>
        <v>0</v>
      </c>
      <c r="EH67" s="59">
        <f t="shared" si="453"/>
        <v>0</v>
      </c>
      <c r="EI67" s="59">
        <f t="shared" si="453"/>
        <v>0</v>
      </c>
      <c r="EJ67" s="59">
        <f t="shared" si="453"/>
        <v>0</v>
      </c>
      <c r="EK67" s="59">
        <f t="shared" si="453"/>
        <v>0</v>
      </c>
      <c r="EL67" s="59">
        <f t="shared" si="453"/>
        <v>0</v>
      </c>
      <c r="EM67" s="59">
        <f t="shared" si="453"/>
        <v>0</v>
      </c>
      <c r="EN67" s="73">
        <f t="shared" si="453"/>
        <v>0</v>
      </c>
      <c r="EO67" s="60"/>
      <c r="EP67" s="59">
        <f>SUM(EP68,EP69)</f>
        <v>0</v>
      </c>
      <c r="EQ67" s="59">
        <f t="shared" ref="EQ67:EX67" si="454">SUM(EQ68,EQ69)</f>
        <v>0</v>
      </c>
      <c r="ER67" s="59">
        <f t="shared" si="454"/>
        <v>0</v>
      </c>
      <c r="ES67" s="59">
        <f t="shared" si="454"/>
        <v>0</v>
      </c>
      <c r="ET67" s="59">
        <f t="shared" si="454"/>
        <v>0</v>
      </c>
      <c r="EU67" s="59">
        <f t="shared" si="454"/>
        <v>0</v>
      </c>
      <c r="EV67" s="59">
        <f t="shared" si="454"/>
        <v>0</v>
      </c>
      <c r="EW67" s="59">
        <f t="shared" si="454"/>
        <v>0</v>
      </c>
      <c r="EX67" s="59">
        <f t="shared" si="454"/>
        <v>0</v>
      </c>
      <c r="EY67" s="73">
        <f>EY69</f>
        <v>0</v>
      </c>
      <c r="EZ67" s="60"/>
      <c r="FA67" s="59">
        <f>SUM(FA68,FA69)</f>
        <v>0</v>
      </c>
      <c r="FB67" s="59">
        <f t="shared" ref="FB67:FI67" si="455">SUM(FB68,FB69)</f>
        <v>0</v>
      </c>
      <c r="FC67" s="59">
        <f t="shared" si="455"/>
        <v>0</v>
      </c>
      <c r="FD67" s="59">
        <f t="shared" si="455"/>
        <v>0</v>
      </c>
      <c r="FE67" s="59">
        <f t="shared" si="455"/>
        <v>0</v>
      </c>
      <c r="FF67" s="59">
        <f t="shared" si="455"/>
        <v>0</v>
      </c>
      <c r="FG67" s="59">
        <f t="shared" si="455"/>
        <v>0</v>
      </c>
      <c r="FH67" s="59">
        <f t="shared" si="455"/>
        <v>0</v>
      </c>
      <c r="FI67" s="59">
        <f t="shared" si="455"/>
        <v>0</v>
      </c>
      <c r="FJ67" s="73">
        <f>FJ69</f>
        <v>0</v>
      </c>
      <c r="FK67" s="60"/>
      <c r="FL67" s="59">
        <f>SUM(FL68,FL69)</f>
        <v>0</v>
      </c>
      <c r="FM67" s="59">
        <f t="shared" ref="FM67:FT67" si="456">SUM(FM68,FM69)</f>
        <v>0</v>
      </c>
      <c r="FN67" s="59">
        <f t="shared" si="456"/>
        <v>0</v>
      </c>
      <c r="FO67" s="59">
        <f t="shared" si="456"/>
        <v>0</v>
      </c>
      <c r="FP67" s="59">
        <f t="shared" si="456"/>
        <v>0</v>
      </c>
      <c r="FQ67" s="59">
        <f t="shared" si="456"/>
        <v>0</v>
      </c>
      <c r="FR67" s="59">
        <f t="shared" si="456"/>
        <v>0</v>
      </c>
      <c r="FS67" s="59">
        <f t="shared" si="456"/>
        <v>0</v>
      </c>
      <c r="FT67" s="59">
        <f t="shared" si="456"/>
        <v>0</v>
      </c>
      <c r="FU67" s="73">
        <f>FU69</f>
        <v>0</v>
      </c>
      <c r="FV67" s="60"/>
      <c r="FW67" s="59">
        <f t="shared" ref="FW67:GF67" si="457">FW69</f>
        <v>0</v>
      </c>
      <c r="FX67" s="59">
        <f t="shared" si="457"/>
        <v>0</v>
      </c>
      <c r="FY67" s="59">
        <f t="shared" si="457"/>
        <v>0</v>
      </c>
      <c r="FZ67" s="59">
        <f t="shared" si="457"/>
        <v>0</v>
      </c>
      <c r="GA67" s="59">
        <f t="shared" si="457"/>
        <v>0</v>
      </c>
      <c r="GB67" s="59">
        <f t="shared" si="457"/>
        <v>0</v>
      </c>
      <c r="GC67" s="59">
        <f t="shared" si="457"/>
        <v>0</v>
      </c>
      <c r="GD67" s="59">
        <f t="shared" si="457"/>
        <v>0</v>
      </c>
      <c r="GE67" s="59">
        <f t="shared" si="457"/>
        <v>0</v>
      </c>
      <c r="GF67" s="73">
        <f t="shared" si="457"/>
        <v>0</v>
      </c>
      <c r="GG67" s="60"/>
      <c r="GH67" s="59">
        <f t="shared" ref="GH67:GP67" si="458">SUM(GH68,GH69)</f>
        <v>0</v>
      </c>
      <c r="GI67" s="59">
        <f t="shared" si="458"/>
        <v>0</v>
      </c>
      <c r="GJ67" s="59">
        <f t="shared" si="458"/>
        <v>0</v>
      </c>
      <c r="GK67" s="59">
        <f t="shared" si="458"/>
        <v>0</v>
      </c>
      <c r="GL67" s="59">
        <f t="shared" si="458"/>
        <v>0</v>
      </c>
      <c r="GM67" s="59">
        <f t="shared" si="458"/>
        <v>0</v>
      </c>
      <c r="GN67" s="59">
        <f t="shared" si="458"/>
        <v>0</v>
      </c>
      <c r="GO67" s="59">
        <f t="shared" si="458"/>
        <v>0</v>
      </c>
      <c r="GP67" s="59">
        <f t="shared" si="458"/>
        <v>0</v>
      </c>
      <c r="GQ67" s="73">
        <f>GQ69</f>
        <v>0</v>
      </c>
      <c r="GR67" s="59">
        <f t="shared" ref="GR67:IV67" si="459">SUM(GR68,GR69)</f>
        <v>0</v>
      </c>
      <c r="GS67" s="59">
        <f t="shared" si="459"/>
        <v>0</v>
      </c>
      <c r="GT67" s="59">
        <f t="shared" si="459"/>
        <v>0</v>
      </c>
      <c r="GU67" s="59">
        <f t="shared" si="459"/>
        <v>0</v>
      </c>
      <c r="GV67" s="59">
        <f t="shared" si="459"/>
        <v>0</v>
      </c>
      <c r="GW67" s="59">
        <f t="shared" si="459"/>
        <v>0</v>
      </c>
      <c r="GX67" s="59">
        <f t="shared" si="459"/>
        <v>0</v>
      </c>
      <c r="GY67" s="59">
        <f t="shared" si="459"/>
        <v>0</v>
      </c>
      <c r="GZ67" s="59">
        <f t="shared" si="459"/>
        <v>0</v>
      </c>
      <c r="HA67" s="59">
        <f t="shared" si="459"/>
        <v>0</v>
      </c>
      <c r="HB67" s="59">
        <f>SUM(HB68,HB69)</f>
        <v>0</v>
      </c>
      <c r="HC67" s="59">
        <f>SUM(HC68,HC69)</f>
        <v>0</v>
      </c>
      <c r="HD67" s="59">
        <f>SUM(HD68,HD69)</f>
        <v>0</v>
      </c>
      <c r="HE67" s="59">
        <f>SUM(HE68,HE69)</f>
        <v>0</v>
      </c>
      <c r="HF67" s="59">
        <f t="shared" si="459"/>
        <v>0</v>
      </c>
      <c r="HG67" s="59">
        <f t="shared" si="459"/>
        <v>0</v>
      </c>
      <c r="HH67" s="59">
        <f t="shared" si="459"/>
        <v>0</v>
      </c>
      <c r="HI67" s="59">
        <f t="shared" si="459"/>
        <v>0</v>
      </c>
      <c r="HJ67" s="59">
        <f t="shared" si="459"/>
        <v>0</v>
      </c>
      <c r="HK67" s="59">
        <f t="shared" si="459"/>
        <v>0</v>
      </c>
      <c r="HL67" s="59">
        <f t="shared" si="459"/>
        <v>0</v>
      </c>
      <c r="HM67" s="59">
        <f t="shared" si="459"/>
        <v>0</v>
      </c>
      <c r="HN67" s="59">
        <f t="shared" si="459"/>
        <v>0</v>
      </c>
      <c r="HO67" s="59">
        <f t="shared" si="459"/>
        <v>0</v>
      </c>
      <c r="HP67" s="59">
        <f t="shared" si="459"/>
        <v>0</v>
      </c>
      <c r="HQ67" s="59">
        <f>SUM(HQ68,HQ69)</f>
        <v>0</v>
      </c>
      <c r="HR67" s="59">
        <f>SUM(HR68,HR69)</f>
        <v>0</v>
      </c>
      <c r="HS67" s="59">
        <f>SUM(HS68,HS69)</f>
        <v>0</v>
      </c>
      <c r="HT67" s="59">
        <f>SUM(HT68,HT69)</f>
        <v>0</v>
      </c>
      <c r="HU67" s="59">
        <f t="shared" si="459"/>
        <v>0</v>
      </c>
      <c r="HV67" s="59">
        <f t="shared" si="459"/>
        <v>0</v>
      </c>
      <c r="HW67" s="59">
        <f t="shared" si="459"/>
        <v>0</v>
      </c>
      <c r="HX67" s="59">
        <f t="shared" si="459"/>
        <v>0</v>
      </c>
      <c r="HY67" s="59">
        <f t="shared" si="459"/>
        <v>0</v>
      </c>
      <c r="HZ67" s="59">
        <f t="shared" si="459"/>
        <v>0</v>
      </c>
      <c r="IA67" s="59">
        <f>SUM(IA68,IA69)</f>
        <v>0</v>
      </c>
      <c r="IB67" s="59">
        <f>SUM(IB68,IB69)</f>
        <v>0</v>
      </c>
      <c r="IC67" s="59">
        <f>SUM(IC68,IC69)</f>
        <v>0</v>
      </c>
      <c r="ID67" s="59">
        <f>SUM(ID68,ID69)</f>
        <v>0</v>
      </c>
      <c r="IE67" s="59">
        <f t="shared" si="459"/>
        <v>0</v>
      </c>
      <c r="IF67" s="59">
        <f t="shared" si="459"/>
        <v>0</v>
      </c>
      <c r="IG67" s="59">
        <f t="shared" si="459"/>
        <v>0</v>
      </c>
      <c r="IH67" s="59">
        <f t="shared" si="459"/>
        <v>0</v>
      </c>
      <c r="II67" s="59">
        <f t="shared" si="459"/>
        <v>0</v>
      </c>
      <c r="IJ67" s="59">
        <f t="shared" si="459"/>
        <v>0</v>
      </c>
      <c r="IK67" s="59">
        <f t="shared" si="459"/>
        <v>0</v>
      </c>
      <c r="IL67" s="59">
        <f t="shared" si="459"/>
        <v>0</v>
      </c>
      <c r="IM67" s="59">
        <f t="shared" si="459"/>
        <v>0</v>
      </c>
      <c r="IN67" s="59">
        <f t="shared" si="459"/>
        <v>0</v>
      </c>
      <c r="IO67" s="59">
        <f t="shared" si="459"/>
        <v>0</v>
      </c>
      <c r="IP67" s="59">
        <f>SUM(IP68,IP69)</f>
        <v>0</v>
      </c>
      <c r="IQ67" s="59">
        <f>SUM(IQ68,IQ69)</f>
        <v>0</v>
      </c>
      <c r="IR67" s="59">
        <f>SUM(IR68,IR69)</f>
        <v>0</v>
      </c>
      <c r="IS67" s="59">
        <f>SUM(IS68,IS69)</f>
        <v>0</v>
      </c>
      <c r="IT67" s="59">
        <f t="shared" si="459"/>
        <v>0</v>
      </c>
      <c r="IU67" s="59">
        <f t="shared" si="459"/>
        <v>0</v>
      </c>
      <c r="IV67" s="59">
        <f t="shared" si="459"/>
        <v>0</v>
      </c>
    </row>
    <row r="68" spans="1:256" ht="12.75" customHeight="1" x14ac:dyDescent="0.2">
      <c r="A68" s="61" t="s">
        <v>29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64">
        <f>SUM(C68:F68,H68:K68)</f>
        <v>0</v>
      </c>
      <c r="M68" s="62"/>
      <c r="N68" s="63"/>
      <c r="O68" s="63"/>
      <c r="P68" s="63"/>
      <c r="Q68" s="63"/>
      <c r="R68" s="63"/>
      <c r="S68" s="63"/>
      <c r="T68" s="63"/>
      <c r="U68" s="63"/>
      <c r="V68" s="63"/>
      <c r="W68" s="64">
        <f>SUM(N68:Q68,S68:V68)</f>
        <v>0</v>
      </c>
      <c r="X68" s="62"/>
      <c r="Y68" s="63"/>
      <c r="Z68" s="63"/>
      <c r="AA68" s="63"/>
      <c r="AB68" s="63"/>
      <c r="AC68" s="63"/>
      <c r="AD68" s="63"/>
      <c r="AE68" s="63"/>
      <c r="AF68" s="63"/>
      <c r="AG68" s="63"/>
      <c r="AH68" s="64">
        <f>SUM(Y68:AB68,AD68:AG68)</f>
        <v>0</v>
      </c>
      <c r="AI68" s="62"/>
      <c r="AJ68" s="63"/>
      <c r="AK68" s="63"/>
      <c r="AL68" s="63"/>
      <c r="AM68" s="63"/>
      <c r="AN68" s="63"/>
      <c r="AO68" s="63"/>
      <c r="AP68" s="63"/>
      <c r="AQ68" s="63"/>
      <c r="AR68" s="63"/>
      <c r="AS68" s="64">
        <f>SUM(AJ68:AM68,AO68:AR68)</f>
        <v>0</v>
      </c>
      <c r="AT68" s="65">
        <f t="shared" ref="AT68:BC68" si="460">SUM(M68,AI68,X68)</f>
        <v>0</v>
      </c>
      <c r="AU68" s="65">
        <f t="shared" si="460"/>
        <v>0</v>
      </c>
      <c r="AV68" s="65">
        <f t="shared" si="460"/>
        <v>0</v>
      </c>
      <c r="AW68" s="65">
        <f t="shared" si="460"/>
        <v>0</v>
      </c>
      <c r="AX68" s="65">
        <f t="shared" si="460"/>
        <v>0</v>
      </c>
      <c r="AY68" s="65">
        <f t="shared" si="460"/>
        <v>0</v>
      </c>
      <c r="AZ68" s="65">
        <f t="shared" si="460"/>
        <v>0</v>
      </c>
      <c r="BA68" s="65">
        <f t="shared" si="460"/>
        <v>0</v>
      </c>
      <c r="BB68" s="65">
        <f t="shared" si="460"/>
        <v>0</v>
      </c>
      <c r="BC68" s="65">
        <f t="shared" si="460"/>
        <v>0</v>
      </c>
      <c r="BD68" s="64">
        <f>SUM(AU68:AX68,AZ68:BC68)</f>
        <v>0</v>
      </c>
      <c r="BE68" s="62"/>
      <c r="BF68" s="63"/>
      <c r="BG68" s="63"/>
      <c r="BH68" s="63"/>
      <c r="BI68" s="63"/>
      <c r="BJ68" s="63"/>
      <c r="BK68" s="63"/>
      <c r="BL68" s="63"/>
      <c r="BM68" s="63"/>
      <c r="BN68" s="63"/>
      <c r="BO68" s="64">
        <f>SUM(BF68:BI68,BK68:BN68)</f>
        <v>0</v>
      </c>
      <c r="BP68" s="62"/>
      <c r="BQ68" s="63"/>
      <c r="BR68" s="63"/>
      <c r="BS68" s="63"/>
      <c r="BT68" s="63"/>
      <c r="BU68" s="63"/>
      <c r="BV68" s="63"/>
      <c r="BW68" s="63"/>
      <c r="BX68" s="63"/>
      <c r="BY68" s="63"/>
      <c r="BZ68" s="64">
        <f>SUM(BQ68:BT68,BV68:BY68)</f>
        <v>0</v>
      </c>
      <c r="CA68" s="62"/>
      <c r="CB68" s="63"/>
      <c r="CC68" s="63"/>
      <c r="CD68" s="63"/>
      <c r="CE68" s="63"/>
      <c r="CF68" s="63"/>
      <c r="CG68" s="63"/>
      <c r="CH68" s="63"/>
      <c r="CI68" s="63"/>
      <c r="CJ68" s="63"/>
      <c r="CK68" s="64">
        <f>SUM(CB68:CE68,CG68:CJ68)</f>
        <v>0</v>
      </c>
      <c r="CL68" s="65">
        <f t="shared" ref="CL68:CU68" si="461">SUM(BE68,CA68,BP68)</f>
        <v>0</v>
      </c>
      <c r="CM68" s="65">
        <f t="shared" si="461"/>
        <v>0</v>
      </c>
      <c r="CN68" s="65">
        <f t="shared" si="461"/>
        <v>0</v>
      </c>
      <c r="CO68" s="65">
        <f t="shared" si="461"/>
        <v>0</v>
      </c>
      <c r="CP68" s="65">
        <f t="shared" si="461"/>
        <v>0</v>
      </c>
      <c r="CQ68" s="65">
        <f t="shared" si="461"/>
        <v>0</v>
      </c>
      <c r="CR68" s="65">
        <f t="shared" si="461"/>
        <v>0</v>
      </c>
      <c r="CS68" s="65">
        <f t="shared" si="461"/>
        <v>0</v>
      </c>
      <c r="CT68" s="65">
        <f t="shared" si="461"/>
        <v>0</v>
      </c>
      <c r="CU68" s="65">
        <f t="shared" si="461"/>
        <v>0</v>
      </c>
      <c r="CV68" s="64">
        <f>SUM(CM68:CP68,CR68:CU68)</f>
        <v>0</v>
      </c>
      <c r="CW68" s="62"/>
      <c r="CX68" s="63"/>
      <c r="CY68" s="63"/>
      <c r="CZ68" s="63"/>
      <c r="DA68" s="63"/>
      <c r="DB68" s="63"/>
      <c r="DC68" s="63"/>
      <c r="DD68" s="63"/>
      <c r="DE68" s="63"/>
      <c r="DF68" s="63"/>
      <c r="DG68" s="64">
        <f>SUM(CX68:DA68,DC68:DF68)</f>
        <v>0</v>
      </c>
      <c r="DH68" s="62"/>
      <c r="DI68" s="63"/>
      <c r="DJ68" s="63"/>
      <c r="DK68" s="63"/>
      <c r="DL68" s="63"/>
      <c r="DM68" s="63"/>
      <c r="DN68" s="63"/>
      <c r="DO68" s="63"/>
      <c r="DP68" s="63"/>
      <c r="DQ68" s="63"/>
      <c r="DR68" s="64">
        <f>SUM(DI68:DL68,DN68:DQ68)</f>
        <v>0</v>
      </c>
      <c r="DS68" s="62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5">
        <f t="shared" ref="ED68:EM68" si="462">SUM(CW68,DS68,DH68)</f>
        <v>0</v>
      </c>
      <c r="EE68" s="65">
        <f t="shared" si="462"/>
        <v>0</v>
      </c>
      <c r="EF68" s="65">
        <f t="shared" si="462"/>
        <v>0</v>
      </c>
      <c r="EG68" s="65">
        <f t="shared" si="462"/>
        <v>0</v>
      </c>
      <c r="EH68" s="65">
        <f t="shared" si="462"/>
        <v>0</v>
      </c>
      <c r="EI68" s="65">
        <f t="shared" si="462"/>
        <v>0</v>
      </c>
      <c r="EJ68" s="65">
        <f t="shared" si="462"/>
        <v>0</v>
      </c>
      <c r="EK68" s="65">
        <f t="shared" si="462"/>
        <v>0</v>
      </c>
      <c r="EL68" s="65">
        <f t="shared" si="462"/>
        <v>0</v>
      </c>
      <c r="EM68" s="65">
        <f t="shared" si="462"/>
        <v>0</v>
      </c>
      <c r="EN68" s="64">
        <f>SUM(EE68:EH68,EJ68:EM68)</f>
        <v>0</v>
      </c>
      <c r="EO68" s="62"/>
      <c r="EP68" s="63"/>
      <c r="EQ68" s="63"/>
      <c r="ER68" s="63"/>
      <c r="ES68" s="63"/>
      <c r="ET68" s="63"/>
      <c r="EU68" s="63"/>
      <c r="EV68" s="63"/>
      <c r="EW68" s="63"/>
      <c r="EX68" s="63"/>
      <c r="EY68" s="64">
        <f>SUM(EP68:ES68,EU68:EX68)</f>
        <v>0</v>
      </c>
      <c r="EZ68" s="62"/>
      <c r="FA68" s="63"/>
      <c r="FB68" s="63"/>
      <c r="FC68" s="63"/>
      <c r="FD68" s="63"/>
      <c r="FE68" s="63"/>
      <c r="FF68" s="63"/>
      <c r="FG68" s="63"/>
      <c r="FH68" s="63"/>
      <c r="FI68" s="63"/>
      <c r="FJ68" s="64">
        <f>SUM(FA68:FD68,FF68:FI68)</f>
        <v>0</v>
      </c>
      <c r="FK68" s="62"/>
      <c r="FL68" s="63"/>
      <c r="FM68" s="63"/>
      <c r="FN68" s="63"/>
      <c r="FO68" s="63"/>
      <c r="FP68" s="63"/>
      <c r="FQ68" s="63"/>
      <c r="FR68" s="63"/>
      <c r="FS68" s="63"/>
      <c r="FT68" s="63"/>
      <c r="FU68" s="64">
        <f>SUM(FL68:FO68,FQ68:FT68)</f>
        <v>0</v>
      </c>
      <c r="FV68" s="65">
        <f t="shared" ref="FV68:GE68" si="463">SUM(EO68,FK68,EZ68)</f>
        <v>0</v>
      </c>
      <c r="FW68" s="65">
        <f t="shared" si="463"/>
        <v>0</v>
      </c>
      <c r="FX68" s="65">
        <f t="shared" si="463"/>
        <v>0</v>
      </c>
      <c r="FY68" s="65">
        <f t="shared" si="463"/>
        <v>0</v>
      </c>
      <c r="FZ68" s="65">
        <f t="shared" si="463"/>
        <v>0</v>
      </c>
      <c r="GA68" s="65">
        <f t="shared" si="463"/>
        <v>0</v>
      </c>
      <c r="GB68" s="65">
        <f t="shared" si="463"/>
        <v>0</v>
      </c>
      <c r="GC68" s="65">
        <f t="shared" si="463"/>
        <v>0</v>
      </c>
      <c r="GD68" s="65">
        <f t="shared" si="463"/>
        <v>0</v>
      </c>
      <c r="GE68" s="65">
        <f t="shared" si="463"/>
        <v>0</v>
      </c>
      <c r="GF68" s="64">
        <f>SUM(FW68:FZ68,GB68:GE68)</f>
        <v>0</v>
      </c>
      <c r="GG68" s="66">
        <f>SUM(AT68,CL68,ED68,FV68)</f>
        <v>0</v>
      </c>
      <c r="GH68" s="66">
        <f t="shared" ref="GH68:GP68" si="464">SUM(AU68,CM68,EE68,FW68)</f>
        <v>0</v>
      </c>
      <c r="GI68" s="66">
        <f t="shared" si="464"/>
        <v>0</v>
      </c>
      <c r="GJ68" s="66">
        <f t="shared" si="464"/>
        <v>0</v>
      </c>
      <c r="GK68" s="66">
        <f t="shared" si="464"/>
        <v>0</v>
      </c>
      <c r="GL68" s="66">
        <f t="shared" si="464"/>
        <v>0</v>
      </c>
      <c r="GM68" s="66">
        <f t="shared" si="464"/>
        <v>0</v>
      </c>
      <c r="GN68" s="66">
        <f t="shared" si="464"/>
        <v>0</v>
      </c>
      <c r="GO68" s="66">
        <f t="shared" si="464"/>
        <v>0</v>
      </c>
      <c r="GP68" s="66">
        <f t="shared" si="464"/>
        <v>0</v>
      </c>
      <c r="GQ68" s="64">
        <f>SUM(GH68:GK68,GM68:GP68)</f>
        <v>0</v>
      </c>
      <c r="GR68" s="63"/>
      <c r="GS68" s="63"/>
      <c r="GT68" s="63"/>
      <c r="GU68" s="63"/>
      <c r="GV68" s="67">
        <f>SUM(GR68:GU68)</f>
        <v>0</v>
      </c>
      <c r="GW68" s="63"/>
      <c r="GX68" s="63"/>
      <c r="GY68" s="63"/>
      <c r="GZ68" s="63"/>
      <c r="HA68" s="67">
        <f>SUM(GW68:GZ68)</f>
        <v>0</v>
      </c>
      <c r="HB68" s="63"/>
      <c r="HC68" s="63"/>
      <c r="HD68" s="63"/>
      <c r="HE68" s="63"/>
      <c r="HF68" s="67">
        <f>SUM(HB68:HE68)</f>
        <v>0</v>
      </c>
      <c r="HG68" s="63"/>
      <c r="HH68" s="63"/>
      <c r="HI68" s="63"/>
      <c r="HJ68" s="63"/>
      <c r="HK68" s="67">
        <f>SUM(HG68:HJ68)</f>
        <v>0</v>
      </c>
      <c r="HL68" s="68">
        <f>SUM(GW68,HB68,HG68)</f>
        <v>0</v>
      </c>
      <c r="HM68" s="68">
        <f>SUM(GX68,HC68,HH68)</f>
        <v>0</v>
      </c>
      <c r="HN68" s="68">
        <f>SUM(GY68,HD68,HI68)</f>
        <v>0</v>
      </c>
      <c r="HO68" s="68">
        <f>SUM(GZ68,HE68,HJ68)</f>
        <v>0</v>
      </c>
      <c r="HP68" s="67">
        <f>SUM(HL68:HO68)</f>
        <v>0</v>
      </c>
      <c r="HQ68" s="63"/>
      <c r="HR68" s="63"/>
      <c r="HS68" s="63"/>
      <c r="HT68" s="63"/>
      <c r="HU68" s="67">
        <f>SUM(HQ68:HT68)</f>
        <v>0</v>
      </c>
      <c r="HV68" s="63"/>
      <c r="HW68" s="63"/>
      <c r="HX68" s="63"/>
      <c r="HY68" s="63"/>
      <c r="HZ68" s="67">
        <f>SUM(HV68:HY68)</f>
        <v>0</v>
      </c>
      <c r="IA68" s="63"/>
      <c r="IB68" s="63"/>
      <c r="IC68" s="63"/>
      <c r="ID68" s="63"/>
      <c r="IE68" s="67">
        <f>SUM(IA68:ID68)</f>
        <v>0</v>
      </c>
      <c r="IF68" s="68">
        <f>SUM(HQ68,HV68,IA68)</f>
        <v>0</v>
      </c>
      <c r="IG68" s="68">
        <f>SUM(HR68,HW68,IB68)</f>
        <v>0</v>
      </c>
      <c r="IH68" s="68">
        <f>SUM(HS68,HX68,IC68)</f>
        <v>0</v>
      </c>
      <c r="II68" s="68">
        <f>SUM(HT68,HY68,ID68)</f>
        <v>0</v>
      </c>
      <c r="IJ68" s="67">
        <f>SUM(IF68:II68)</f>
        <v>0</v>
      </c>
      <c r="IK68" s="63"/>
      <c r="IL68" s="63"/>
      <c r="IM68" s="63"/>
      <c r="IN68" s="63"/>
      <c r="IO68" s="67">
        <f>SUM(IK68:IN68)</f>
        <v>0</v>
      </c>
      <c r="IP68" s="63"/>
      <c r="IQ68" s="63"/>
      <c r="IR68" s="63"/>
      <c r="IS68" s="63"/>
      <c r="IT68" s="67">
        <f>SUM(IP68:IS68)</f>
        <v>0</v>
      </c>
      <c r="IU68" s="63"/>
      <c r="IV68" s="63"/>
    </row>
    <row r="69" spans="1:256" ht="12.75" customHeight="1" x14ac:dyDescent="0.25">
      <c r="A69" s="115" t="s">
        <v>72</v>
      </c>
      <c r="B69" s="116">
        <f>SUM(B70:B90)</f>
        <v>5613</v>
      </c>
      <c r="C69" s="116">
        <f t="shared" ref="C69:L69" si="465">SUM(C70:C90)</f>
        <v>2228</v>
      </c>
      <c r="D69" s="116">
        <f t="shared" si="465"/>
        <v>35</v>
      </c>
      <c r="E69" s="116">
        <f t="shared" si="465"/>
        <v>105</v>
      </c>
      <c r="F69" s="116">
        <f t="shared" si="465"/>
        <v>25</v>
      </c>
      <c r="G69" s="116">
        <f t="shared" si="465"/>
        <v>60</v>
      </c>
      <c r="H69" s="116">
        <f t="shared" si="465"/>
        <v>67</v>
      </c>
      <c r="I69" s="116">
        <f t="shared" si="465"/>
        <v>0</v>
      </c>
      <c r="J69" s="116">
        <f t="shared" si="465"/>
        <v>20</v>
      </c>
      <c r="K69" s="116">
        <f t="shared" si="465"/>
        <v>5</v>
      </c>
      <c r="L69" s="116">
        <f t="shared" si="465"/>
        <v>2485</v>
      </c>
      <c r="M69" s="116">
        <f>SUM(M70:M90)</f>
        <v>0</v>
      </c>
      <c r="N69" s="116">
        <f t="shared" ref="N69:V69" si="466">SUM(N70:N90)</f>
        <v>0</v>
      </c>
      <c r="O69" s="116">
        <f t="shared" si="466"/>
        <v>0</v>
      </c>
      <c r="P69" s="116">
        <f t="shared" si="466"/>
        <v>0</v>
      </c>
      <c r="Q69" s="116">
        <f t="shared" si="466"/>
        <v>0</v>
      </c>
      <c r="R69" s="116">
        <f t="shared" si="466"/>
        <v>0</v>
      </c>
      <c r="S69" s="116">
        <f t="shared" si="466"/>
        <v>0</v>
      </c>
      <c r="T69" s="116">
        <f t="shared" si="466"/>
        <v>0</v>
      </c>
      <c r="U69" s="116">
        <f t="shared" si="466"/>
        <v>0</v>
      </c>
      <c r="V69" s="116">
        <f t="shared" si="466"/>
        <v>0</v>
      </c>
      <c r="W69" s="96">
        <f>SUM(W70:W90)</f>
        <v>0</v>
      </c>
      <c r="X69" s="116">
        <f>SUM(X70:X90)</f>
        <v>0</v>
      </c>
      <c r="Y69" s="116">
        <f t="shared" ref="Y69:AG69" si="467">SUM(Y70:Y90)</f>
        <v>0</v>
      </c>
      <c r="Z69" s="116">
        <f t="shared" si="467"/>
        <v>0</v>
      </c>
      <c r="AA69" s="116">
        <f t="shared" si="467"/>
        <v>0</v>
      </c>
      <c r="AB69" s="116">
        <f t="shared" si="467"/>
        <v>0</v>
      </c>
      <c r="AC69" s="116">
        <f t="shared" si="467"/>
        <v>0</v>
      </c>
      <c r="AD69" s="116">
        <f t="shared" si="467"/>
        <v>0</v>
      </c>
      <c r="AE69" s="116">
        <f t="shared" si="467"/>
        <v>0</v>
      </c>
      <c r="AF69" s="116">
        <f t="shared" si="467"/>
        <v>0</v>
      </c>
      <c r="AG69" s="116">
        <f t="shared" si="467"/>
        <v>0</v>
      </c>
      <c r="AH69" s="96">
        <f>SUM(AH70:AH90)</f>
        <v>0</v>
      </c>
      <c r="AI69" s="116">
        <f>SUM(AI70:AI90)</f>
        <v>0</v>
      </c>
      <c r="AJ69" s="116">
        <f t="shared" ref="AJ69:AR69" si="468">SUM(AJ70:AJ90)</f>
        <v>0</v>
      </c>
      <c r="AK69" s="116">
        <f t="shared" si="468"/>
        <v>0</v>
      </c>
      <c r="AL69" s="116">
        <f t="shared" si="468"/>
        <v>0</v>
      </c>
      <c r="AM69" s="116">
        <f t="shared" si="468"/>
        <v>0</v>
      </c>
      <c r="AN69" s="116">
        <f t="shared" si="468"/>
        <v>0</v>
      </c>
      <c r="AO69" s="116">
        <f t="shared" si="468"/>
        <v>0</v>
      </c>
      <c r="AP69" s="116">
        <f t="shared" si="468"/>
        <v>0</v>
      </c>
      <c r="AQ69" s="116">
        <f t="shared" si="468"/>
        <v>0</v>
      </c>
      <c r="AR69" s="116">
        <f t="shared" si="468"/>
        <v>0</v>
      </c>
      <c r="AS69" s="96">
        <f>SUM(AS70:AS90)</f>
        <v>0</v>
      </c>
      <c r="AT69" s="87"/>
      <c r="AU69" s="116">
        <f>SUM(AU70:AU90)</f>
        <v>0</v>
      </c>
      <c r="AV69" s="116">
        <f t="shared" ref="AV69:BC69" si="469">SUM(AV70:AV90)</f>
        <v>0</v>
      </c>
      <c r="AW69" s="116">
        <f t="shared" si="469"/>
        <v>0</v>
      </c>
      <c r="AX69" s="116">
        <f t="shared" si="469"/>
        <v>0</v>
      </c>
      <c r="AY69" s="116">
        <f t="shared" si="469"/>
        <v>0</v>
      </c>
      <c r="AZ69" s="116">
        <f t="shared" si="469"/>
        <v>0</v>
      </c>
      <c r="BA69" s="116">
        <f t="shared" si="469"/>
        <v>0</v>
      </c>
      <c r="BB69" s="116">
        <f t="shared" si="469"/>
        <v>0</v>
      </c>
      <c r="BC69" s="116">
        <f t="shared" si="469"/>
        <v>0</v>
      </c>
      <c r="BD69" s="96">
        <f>SUM(BD70:BD90)</f>
        <v>0</v>
      </c>
      <c r="BE69" s="116">
        <f>SUM(BE70:BE90)</f>
        <v>0</v>
      </c>
      <c r="BF69" s="116">
        <f t="shared" ref="BF69:BN69" si="470">SUM(BF70:BF90)</f>
        <v>0</v>
      </c>
      <c r="BG69" s="116">
        <f t="shared" si="470"/>
        <v>0</v>
      </c>
      <c r="BH69" s="116">
        <f t="shared" si="470"/>
        <v>0</v>
      </c>
      <c r="BI69" s="116">
        <f t="shared" si="470"/>
        <v>0</v>
      </c>
      <c r="BJ69" s="116">
        <f t="shared" si="470"/>
        <v>0</v>
      </c>
      <c r="BK69" s="116">
        <f t="shared" si="470"/>
        <v>0</v>
      </c>
      <c r="BL69" s="116">
        <f t="shared" si="470"/>
        <v>0</v>
      </c>
      <c r="BM69" s="116">
        <f t="shared" si="470"/>
        <v>0</v>
      </c>
      <c r="BN69" s="116">
        <f t="shared" si="470"/>
        <v>0</v>
      </c>
      <c r="BO69" s="96">
        <f>SUM(BO70:BO90)</f>
        <v>0</v>
      </c>
      <c r="BP69" s="116">
        <f>SUM(BP70:BP90)</f>
        <v>0</v>
      </c>
      <c r="BQ69" s="116">
        <f t="shared" ref="BQ69:BY69" si="471">SUM(BQ70:BQ90)</f>
        <v>0</v>
      </c>
      <c r="BR69" s="116">
        <f t="shared" si="471"/>
        <v>0</v>
      </c>
      <c r="BS69" s="116">
        <f t="shared" si="471"/>
        <v>0</v>
      </c>
      <c r="BT69" s="116">
        <f t="shared" si="471"/>
        <v>0</v>
      </c>
      <c r="BU69" s="116">
        <f t="shared" si="471"/>
        <v>0</v>
      </c>
      <c r="BV69" s="116">
        <f t="shared" si="471"/>
        <v>0</v>
      </c>
      <c r="BW69" s="116">
        <f t="shared" si="471"/>
        <v>0</v>
      </c>
      <c r="BX69" s="116">
        <f t="shared" si="471"/>
        <v>0</v>
      </c>
      <c r="BY69" s="116">
        <f t="shared" si="471"/>
        <v>0</v>
      </c>
      <c r="BZ69" s="96">
        <f>SUM(BZ70:BZ90)</f>
        <v>0</v>
      </c>
      <c r="CA69" s="116">
        <f>SUM(CA70:CA90)</f>
        <v>0</v>
      </c>
      <c r="CB69" s="116">
        <f t="shared" ref="CB69:CJ69" si="472">SUM(CB70:CB90)</f>
        <v>0</v>
      </c>
      <c r="CC69" s="116">
        <f t="shared" si="472"/>
        <v>0</v>
      </c>
      <c r="CD69" s="116">
        <f t="shared" si="472"/>
        <v>0</v>
      </c>
      <c r="CE69" s="116">
        <f t="shared" si="472"/>
        <v>0</v>
      </c>
      <c r="CF69" s="116">
        <f t="shared" si="472"/>
        <v>0</v>
      </c>
      <c r="CG69" s="116">
        <f t="shared" si="472"/>
        <v>0</v>
      </c>
      <c r="CH69" s="116">
        <f t="shared" si="472"/>
        <v>0</v>
      </c>
      <c r="CI69" s="116">
        <f t="shared" si="472"/>
        <v>0</v>
      </c>
      <c r="CJ69" s="116">
        <f t="shared" si="472"/>
        <v>0</v>
      </c>
      <c r="CK69" s="96">
        <f>SUM(CK70:CK90)</f>
        <v>0</v>
      </c>
      <c r="CL69" s="87"/>
      <c r="CM69" s="116">
        <f>SUM(CM70:CM90)</f>
        <v>0</v>
      </c>
      <c r="CN69" s="116">
        <f t="shared" ref="CN69:CU69" si="473">SUM(CN70:CN90)</f>
        <v>0</v>
      </c>
      <c r="CO69" s="116">
        <f t="shared" si="473"/>
        <v>0</v>
      </c>
      <c r="CP69" s="116">
        <f t="shared" si="473"/>
        <v>0</v>
      </c>
      <c r="CQ69" s="116">
        <f t="shared" si="473"/>
        <v>0</v>
      </c>
      <c r="CR69" s="116">
        <f t="shared" si="473"/>
        <v>0</v>
      </c>
      <c r="CS69" s="116">
        <f t="shared" si="473"/>
        <v>0</v>
      </c>
      <c r="CT69" s="116">
        <f t="shared" si="473"/>
        <v>0</v>
      </c>
      <c r="CU69" s="116">
        <f t="shared" si="473"/>
        <v>0</v>
      </c>
      <c r="CV69" s="96">
        <f>SUM(CV70:CV90)</f>
        <v>0</v>
      </c>
      <c r="CW69" s="116">
        <f>SUM(CW70:CW90)</f>
        <v>0</v>
      </c>
      <c r="CX69" s="116">
        <f t="shared" ref="CX69:DF69" si="474">SUM(CX70:CX90)</f>
        <v>0</v>
      </c>
      <c r="CY69" s="116">
        <f t="shared" si="474"/>
        <v>0</v>
      </c>
      <c r="CZ69" s="116">
        <f t="shared" si="474"/>
        <v>0</v>
      </c>
      <c r="DA69" s="116">
        <f t="shared" si="474"/>
        <v>0</v>
      </c>
      <c r="DB69" s="116">
        <f t="shared" si="474"/>
        <v>0</v>
      </c>
      <c r="DC69" s="116">
        <f t="shared" si="474"/>
        <v>0</v>
      </c>
      <c r="DD69" s="116">
        <f t="shared" si="474"/>
        <v>0</v>
      </c>
      <c r="DE69" s="116">
        <f t="shared" si="474"/>
        <v>0</v>
      </c>
      <c r="DF69" s="116">
        <f t="shared" si="474"/>
        <v>0</v>
      </c>
      <c r="DG69" s="96">
        <f>SUM(DG70:DG90)</f>
        <v>0</v>
      </c>
      <c r="DH69" s="116">
        <f>SUM(DH70:DH90)</f>
        <v>0</v>
      </c>
      <c r="DI69" s="116">
        <f t="shared" ref="DI69:DQ69" si="475">SUM(DI70:DI90)</f>
        <v>0</v>
      </c>
      <c r="DJ69" s="116">
        <f t="shared" si="475"/>
        <v>0</v>
      </c>
      <c r="DK69" s="116">
        <f t="shared" si="475"/>
        <v>0</v>
      </c>
      <c r="DL69" s="116">
        <f t="shared" si="475"/>
        <v>0</v>
      </c>
      <c r="DM69" s="116">
        <f t="shared" si="475"/>
        <v>0</v>
      </c>
      <c r="DN69" s="116">
        <f t="shared" si="475"/>
        <v>0</v>
      </c>
      <c r="DO69" s="116">
        <f t="shared" si="475"/>
        <v>0</v>
      </c>
      <c r="DP69" s="116">
        <f t="shared" si="475"/>
        <v>0</v>
      </c>
      <c r="DQ69" s="116">
        <f t="shared" si="475"/>
        <v>0</v>
      </c>
      <c r="DR69" s="96">
        <f>SUM(DR70:DR90)</f>
        <v>0</v>
      </c>
      <c r="DS69" s="116">
        <f>SUM(DS70:DS90)</f>
        <v>0</v>
      </c>
      <c r="DT69" s="116">
        <f t="shared" ref="DT69:EB69" si="476">SUM(DT70:DT90)</f>
        <v>0</v>
      </c>
      <c r="DU69" s="116">
        <f t="shared" si="476"/>
        <v>0</v>
      </c>
      <c r="DV69" s="116">
        <f t="shared" si="476"/>
        <v>0</v>
      </c>
      <c r="DW69" s="116">
        <f t="shared" si="476"/>
        <v>0</v>
      </c>
      <c r="DX69" s="116">
        <f t="shared" si="476"/>
        <v>0</v>
      </c>
      <c r="DY69" s="116">
        <f t="shared" si="476"/>
        <v>0</v>
      </c>
      <c r="DZ69" s="116">
        <f t="shared" si="476"/>
        <v>0</v>
      </c>
      <c r="EA69" s="116">
        <f t="shared" si="476"/>
        <v>0</v>
      </c>
      <c r="EB69" s="116">
        <f t="shared" si="476"/>
        <v>0</v>
      </c>
      <c r="EC69" s="116">
        <f>SUM(EC70:EC90)</f>
        <v>0</v>
      </c>
      <c r="ED69" s="87"/>
      <c r="EE69" s="116">
        <f>SUM(EE70:EE90)</f>
        <v>0</v>
      </c>
      <c r="EF69" s="116">
        <f t="shared" ref="EF69:EM69" si="477">SUM(EF70:EF90)</f>
        <v>0</v>
      </c>
      <c r="EG69" s="116">
        <f t="shared" si="477"/>
        <v>0</v>
      </c>
      <c r="EH69" s="116">
        <f t="shared" si="477"/>
        <v>0</v>
      </c>
      <c r="EI69" s="116">
        <f t="shared" si="477"/>
        <v>0</v>
      </c>
      <c r="EJ69" s="116">
        <f t="shared" si="477"/>
        <v>0</v>
      </c>
      <c r="EK69" s="116">
        <f t="shared" si="477"/>
        <v>0</v>
      </c>
      <c r="EL69" s="116">
        <f t="shared" si="477"/>
        <v>0</v>
      </c>
      <c r="EM69" s="116">
        <f t="shared" si="477"/>
        <v>0</v>
      </c>
      <c r="EN69" s="96">
        <f>SUM(EN70:EN90)</f>
        <v>0</v>
      </c>
      <c r="EO69" s="116">
        <f>SUM(EO70:EO90)</f>
        <v>0</v>
      </c>
      <c r="EP69" s="116">
        <f t="shared" ref="EP69:EX69" si="478">SUM(EP70:EP90)</f>
        <v>0</v>
      </c>
      <c r="EQ69" s="116">
        <f t="shared" si="478"/>
        <v>0</v>
      </c>
      <c r="ER69" s="116">
        <f t="shared" si="478"/>
        <v>0</v>
      </c>
      <c r="ES69" s="116">
        <f t="shared" si="478"/>
        <v>0</v>
      </c>
      <c r="ET69" s="116">
        <f t="shared" si="478"/>
        <v>0</v>
      </c>
      <c r="EU69" s="116">
        <f t="shared" si="478"/>
        <v>0</v>
      </c>
      <c r="EV69" s="116">
        <f t="shared" si="478"/>
        <v>0</v>
      </c>
      <c r="EW69" s="116">
        <f t="shared" si="478"/>
        <v>0</v>
      </c>
      <c r="EX69" s="116">
        <f t="shared" si="478"/>
        <v>0</v>
      </c>
      <c r="EY69" s="96">
        <f>SUM(EY70:EY90)</f>
        <v>0</v>
      </c>
      <c r="EZ69" s="116">
        <f>SUM(EZ70:EZ90)</f>
        <v>0</v>
      </c>
      <c r="FA69" s="116">
        <f t="shared" ref="FA69:FI69" si="479">SUM(FA70:FA90)</f>
        <v>0</v>
      </c>
      <c r="FB69" s="116">
        <f t="shared" si="479"/>
        <v>0</v>
      </c>
      <c r="FC69" s="116">
        <f t="shared" si="479"/>
        <v>0</v>
      </c>
      <c r="FD69" s="116">
        <f t="shared" si="479"/>
        <v>0</v>
      </c>
      <c r="FE69" s="116">
        <f t="shared" si="479"/>
        <v>0</v>
      </c>
      <c r="FF69" s="116">
        <f t="shared" si="479"/>
        <v>0</v>
      </c>
      <c r="FG69" s="116">
        <f t="shared" si="479"/>
        <v>0</v>
      </c>
      <c r="FH69" s="116">
        <f t="shared" si="479"/>
        <v>0</v>
      </c>
      <c r="FI69" s="116">
        <f t="shared" si="479"/>
        <v>0</v>
      </c>
      <c r="FJ69" s="96">
        <f>SUM(FJ70:FJ90)</f>
        <v>0</v>
      </c>
      <c r="FK69" s="116">
        <f>SUM(FK70:FK90)</f>
        <v>0</v>
      </c>
      <c r="FL69" s="116">
        <f t="shared" ref="FL69:FT69" si="480">SUM(FL70:FL90)</f>
        <v>0</v>
      </c>
      <c r="FM69" s="116">
        <f t="shared" si="480"/>
        <v>0</v>
      </c>
      <c r="FN69" s="116">
        <f t="shared" si="480"/>
        <v>0</v>
      </c>
      <c r="FO69" s="116">
        <f t="shared" si="480"/>
        <v>0</v>
      </c>
      <c r="FP69" s="116">
        <f t="shared" si="480"/>
        <v>0</v>
      </c>
      <c r="FQ69" s="116">
        <f t="shared" si="480"/>
        <v>0</v>
      </c>
      <c r="FR69" s="116">
        <f t="shared" si="480"/>
        <v>0</v>
      </c>
      <c r="FS69" s="116">
        <f t="shared" si="480"/>
        <v>0</v>
      </c>
      <c r="FT69" s="116">
        <f t="shared" si="480"/>
        <v>0</v>
      </c>
      <c r="FU69" s="96">
        <f>SUM(FU70:FU90)</f>
        <v>0</v>
      </c>
      <c r="FV69" s="87"/>
      <c r="FW69" s="116">
        <f>SUM(FW70:FW90)</f>
        <v>0</v>
      </c>
      <c r="FX69" s="116">
        <f t="shared" ref="FX69:GE69" si="481">SUM(FX70:FX90)</f>
        <v>0</v>
      </c>
      <c r="FY69" s="116">
        <f t="shared" si="481"/>
        <v>0</v>
      </c>
      <c r="FZ69" s="116">
        <f t="shared" si="481"/>
        <v>0</v>
      </c>
      <c r="GA69" s="116">
        <f t="shared" si="481"/>
        <v>0</v>
      </c>
      <c r="GB69" s="116">
        <f t="shared" si="481"/>
        <v>0</v>
      </c>
      <c r="GC69" s="116">
        <f t="shared" si="481"/>
        <v>0</v>
      </c>
      <c r="GD69" s="116">
        <f t="shared" si="481"/>
        <v>0</v>
      </c>
      <c r="GE69" s="116">
        <f t="shared" si="481"/>
        <v>0</v>
      </c>
      <c r="GF69" s="96">
        <f>SUM(GF70:GF90)</f>
        <v>0</v>
      </c>
      <c r="GG69" s="116">
        <f>SUM(GG70:GG90)</f>
        <v>0</v>
      </c>
      <c r="GH69" s="116">
        <f t="shared" ref="GH69:GP69" si="482">SUM(GH70:GH90)</f>
        <v>0</v>
      </c>
      <c r="GI69" s="116">
        <f t="shared" si="482"/>
        <v>0</v>
      </c>
      <c r="GJ69" s="116">
        <f t="shared" si="482"/>
        <v>0</v>
      </c>
      <c r="GK69" s="116">
        <f t="shared" si="482"/>
        <v>0</v>
      </c>
      <c r="GL69" s="116">
        <f t="shared" si="482"/>
        <v>0</v>
      </c>
      <c r="GM69" s="116">
        <f t="shared" si="482"/>
        <v>0</v>
      </c>
      <c r="GN69" s="116">
        <f t="shared" si="482"/>
        <v>0</v>
      </c>
      <c r="GO69" s="116">
        <f t="shared" si="482"/>
        <v>0</v>
      </c>
      <c r="GP69" s="116">
        <f t="shared" si="482"/>
        <v>0</v>
      </c>
      <c r="GQ69" s="96">
        <f t="shared" ref="GQ69:HV69" si="483">SUM(GQ70:GQ90)</f>
        <v>0</v>
      </c>
      <c r="GR69" s="116">
        <f t="shared" si="483"/>
        <v>0</v>
      </c>
      <c r="GS69" s="116">
        <f t="shared" si="483"/>
        <v>0</v>
      </c>
      <c r="GT69" s="116">
        <f t="shared" si="483"/>
        <v>0</v>
      </c>
      <c r="GU69" s="116">
        <f t="shared" si="483"/>
        <v>0</v>
      </c>
      <c r="GV69" s="116">
        <f t="shared" si="483"/>
        <v>0</v>
      </c>
      <c r="GW69" s="116">
        <f t="shared" si="483"/>
        <v>0</v>
      </c>
      <c r="GX69" s="116">
        <f t="shared" si="483"/>
        <v>0</v>
      </c>
      <c r="GY69" s="116">
        <f t="shared" si="483"/>
        <v>0</v>
      </c>
      <c r="GZ69" s="116">
        <f t="shared" si="483"/>
        <v>0</v>
      </c>
      <c r="HA69" s="116">
        <f t="shared" si="483"/>
        <v>0</v>
      </c>
      <c r="HB69" s="116">
        <f t="shared" si="483"/>
        <v>0</v>
      </c>
      <c r="HC69" s="116">
        <f t="shared" si="483"/>
        <v>0</v>
      </c>
      <c r="HD69" s="116">
        <f t="shared" si="483"/>
        <v>0</v>
      </c>
      <c r="HE69" s="116">
        <f t="shared" si="483"/>
        <v>0</v>
      </c>
      <c r="HF69" s="116">
        <f t="shared" si="483"/>
        <v>0</v>
      </c>
      <c r="HG69" s="116">
        <f t="shared" si="483"/>
        <v>0</v>
      </c>
      <c r="HH69" s="116">
        <f t="shared" si="483"/>
        <v>0</v>
      </c>
      <c r="HI69" s="116">
        <f t="shared" si="483"/>
        <v>0</v>
      </c>
      <c r="HJ69" s="116">
        <f t="shared" si="483"/>
        <v>0</v>
      </c>
      <c r="HK69" s="116">
        <f t="shared" si="483"/>
        <v>0</v>
      </c>
      <c r="HL69" s="116">
        <f t="shared" si="483"/>
        <v>0</v>
      </c>
      <c r="HM69" s="116">
        <f t="shared" si="483"/>
        <v>0</v>
      </c>
      <c r="HN69" s="116">
        <f t="shared" si="483"/>
        <v>0</v>
      </c>
      <c r="HO69" s="116">
        <f t="shared" si="483"/>
        <v>0</v>
      </c>
      <c r="HP69" s="116">
        <f t="shared" si="483"/>
        <v>0</v>
      </c>
      <c r="HQ69" s="116">
        <f t="shared" si="483"/>
        <v>0</v>
      </c>
      <c r="HR69" s="116">
        <f t="shared" si="483"/>
        <v>0</v>
      </c>
      <c r="HS69" s="116">
        <f t="shared" si="483"/>
        <v>0</v>
      </c>
      <c r="HT69" s="116">
        <f t="shared" si="483"/>
        <v>0</v>
      </c>
      <c r="HU69" s="116">
        <f t="shared" si="483"/>
        <v>0</v>
      </c>
      <c r="HV69" s="116">
        <f t="shared" si="483"/>
        <v>0</v>
      </c>
      <c r="HW69" s="116">
        <f t="shared" ref="HW69:IV69" si="484">SUM(HW70:HW90)</f>
        <v>0</v>
      </c>
      <c r="HX69" s="116">
        <f t="shared" si="484"/>
        <v>0</v>
      </c>
      <c r="HY69" s="116">
        <f t="shared" si="484"/>
        <v>0</v>
      </c>
      <c r="HZ69" s="116">
        <f t="shared" si="484"/>
        <v>0</v>
      </c>
      <c r="IA69" s="116">
        <f t="shared" si="484"/>
        <v>0</v>
      </c>
      <c r="IB69" s="116">
        <f t="shared" si="484"/>
        <v>0</v>
      </c>
      <c r="IC69" s="116">
        <f t="shared" si="484"/>
        <v>0</v>
      </c>
      <c r="ID69" s="116">
        <f t="shared" si="484"/>
        <v>0</v>
      </c>
      <c r="IE69" s="116">
        <f t="shared" si="484"/>
        <v>0</v>
      </c>
      <c r="IF69" s="116">
        <f t="shared" si="484"/>
        <v>0</v>
      </c>
      <c r="IG69" s="116">
        <f t="shared" si="484"/>
        <v>0</v>
      </c>
      <c r="IH69" s="116">
        <f t="shared" si="484"/>
        <v>0</v>
      </c>
      <c r="II69" s="116">
        <f t="shared" si="484"/>
        <v>0</v>
      </c>
      <c r="IJ69" s="116">
        <f t="shared" si="484"/>
        <v>0</v>
      </c>
      <c r="IK69" s="116">
        <f t="shared" si="484"/>
        <v>0</v>
      </c>
      <c r="IL69" s="116">
        <f t="shared" si="484"/>
        <v>0</v>
      </c>
      <c r="IM69" s="116">
        <f t="shared" si="484"/>
        <v>0</v>
      </c>
      <c r="IN69" s="116">
        <f t="shared" si="484"/>
        <v>0</v>
      </c>
      <c r="IO69" s="116">
        <f t="shared" si="484"/>
        <v>0</v>
      </c>
      <c r="IP69" s="116">
        <f t="shared" si="484"/>
        <v>0</v>
      </c>
      <c r="IQ69" s="116">
        <f t="shared" si="484"/>
        <v>0</v>
      </c>
      <c r="IR69" s="116">
        <f t="shared" si="484"/>
        <v>0</v>
      </c>
      <c r="IS69" s="116">
        <f t="shared" si="484"/>
        <v>0</v>
      </c>
      <c r="IT69" s="116">
        <f t="shared" si="484"/>
        <v>0</v>
      </c>
      <c r="IU69" s="116">
        <f t="shared" si="484"/>
        <v>0</v>
      </c>
      <c r="IV69" s="116">
        <f t="shared" si="484"/>
        <v>0</v>
      </c>
    </row>
    <row r="70" spans="1:256" ht="12.75" customHeight="1" x14ac:dyDescent="0.25">
      <c r="A70" s="117" t="s">
        <v>73</v>
      </c>
      <c r="B70" s="62">
        <v>800</v>
      </c>
      <c r="C70" s="63">
        <v>800</v>
      </c>
      <c r="D70" s="63">
        <v>0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4">
        <f>SUM(C70:F70,H70:K70)</f>
        <v>800</v>
      </c>
      <c r="M70" s="62"/>
      <c r="N70" s="63"/>
      <c r="O70" s="63"/>
      <c r="P70" s="63"/>
      <c r="Q70" s="63"/>
      <c r="R70" s="63"/>
      <c r="S70" s="63"/>
      <c r="T70" s="63"/>
      <c r="U70" s="63"/>
      <c r="V70" s="63"/>
      <c r="W70" s="64">
        <f t="shared" ref="W70:W90" si="485">SUM(N70:Q70,S70:V70)</f>
        <v>0</v>
      </c>
      <c r="X70" s="62"/>
      <c r="Y70" s="63"/>
      <c r="Z70" s="63"/>
      <c r="AA70" s="63"/>
      <c r="AB70" s="63"/>
      <c r="AC70" s="63"/>
      <c r="AD70" s="63"/>
      <c r="AE70" s="63"/>
      <c r="AF70" s="63"/>
      <c r="AG70" s="63"/>
      <c r="AH70" s="64">
        <f t="shared" ref="AH70:AH90" si="486">SUM(Y70:AB70,AD70:AG70)</f>
        <v>0</v>
      </c>
      <c r="AI70" s="62"/>
      <c r="AJ70" s="63"/>
      <c r="AK70" s="63"/>
      <c r="AL70" s="63"/>
      <c r="AM70" s="63"/>
      <c r="AN70" s="63"/>
      <c r="AO70" s="63"/>
      <c r="AP70" s="63"/>
      <c r="AQ70" s="63"/>
      <c r="AR70" s="63"/>
      <c r="AS70" s="64">
        <f t="shared" ref="AS70:AS90" si="487">SUM(AJ70:AM70,AO70:AR70)</f>
        <v>0</v>
      </c>
      <c r="AT70" s="65">
        <f t="shared" ref="AT70:BC90" si="488">SUM(M70,AI70,X70)</f>
        <v>0</v>
      </c>
      <c r="AU70" s="65">
        <f t="shared" si="488"/>
        <v>0</v>
      </c>
      <c r="AV70" s="65">
        <f t="shared" si="488"/>
        <v>0</v>
      </c>
      <c r="AW70" s="65">
        <f t="shared" si="488"/>
        <v>0</v>
      </c>
      <c r="AX70" s="65">
        <f t="shared" si="488"/>
        <v>0</v>
      </c>
      <c r="AY70" s="65">
        <f t="shared" si="488"/>
        <v>0</v>
      </c>
      <c r="AZ70" s="65">
        <f t="shared" si="488"/>
        <v>0</v>
      </c>
      <c r="BA70" s="65">
        <f t="shared" si="488"/>
        <v>0</v>
      </c>
      <c r="BB70" s="65">
        <f t="shared" si="488"/>
        <v>0</v>
      </c>
      <c r="BC70" s="65">
        <f t="shared" si="488"/>
        <v>0</v>
      </c>
      <c r="BD70" s="64">
        <f t="shared" ref="BD70:BD90" si="489">SUM(AU70:AX70,AZ70:BC70)</f>
        <v>0</v>
      </c>
      <c r="BE70" s="62"/>
      <c r="BF70" s="63"/>
      <c r="BG70" s="63"/>
      <c r="BH70" s="63"/>
      <c r="BI70" s="63"/>
      <c r="BJ70" s="63"/>
      <c r="BK70" s="63"/>
      <c r="BL70" s="63"/>
      <c r="BM70" s="63"/>
      <c r="BN70" s="63"/>
      <c r="BO70" s="64">
        <f t="shared" ref="BO70:BO90" si="490">SUM(BF70:BI70,BK70:BN70)</f>
        <v>0</v>
      </c>
      <c r="BP70" s="62"/>
      <c r="BQ70" s="63"/>
      <c r="BR70" s="63"/>
      <c r="BS70" s="63"/>
      <c r="BT70" s="63"/>
      <c r="BU70" s="63"/>
      <c r="BV70" s="63"/>
      <c r="BW70" s="63"/>
      <c r="BX70" s="63"/>
      <c r="BY70" s="63"/>
      <c r="BZ70" s="64">
        <f t="shared" ref="BZ70:BZ90" si="491">SUM(BQ70:BT70,BV70:BY70)</f>
        <v>0</v>
      </c>
      <c r="CA70" s="62"/>
      <c r="CB70" s="63"/>
      <c r="CC70" s="63"/>
      <c r="CD70" s="63"/>
      <c r="CE70" s="63"/>
      <c r="CF70" s="63"/>
      <c r="CG70" s="63"/>
      <c r="CH70" s="63"/>
      <c r="CI70" s="63"/>
      <c r="CJ70" s="63"/>
      <c r="CK70" s="64">
        <f t="shared" ref="CK70:CK90" si="492">SUM(CB70:CE70,CG70:CJ70)</f>
        <v>0</v>
      </c>
      <c r="CL70" s="65">
        <f t="shared" ref="CL70:CU90" si="493">SUM(BE70,CA70,BP70)</f>
        <v>0</v>
      </c>
      <c r="CM70" s="65">
        <f t="shared" si="493"/>
        <v>0</v>
      </c>
      <c r="CN70" s="65">
        <f t="shared" si="493"/>
        <v>0</v>
      </c>
      <c r="CO70" s="65">
        <f t="shared" si="493"/>
        <v>0</v>
      </c>
      <c r="CP70" s="65">
        <f t="shared" si="493"/>
        <v>0</v>
      </c>
      <c r="CQ70" s="65">
        <f t="shared" si="493"/>
        <v>0</v>
      </c>
      <c r="CR70" s="65">
        <f t="shared" si="493"/>
        <v>0</v>
      </c>
      <c r="CS70" s="65">
        <f t="shared" si="493"/>
        <v>0</v>
      </c>
      <c r="CT70" s="65">
        <f t="shared" si="493"/>
        <v>0</v>
      </c>
      <c r="CU70" s="65">
        <f t="shared" si="493"/>
        <v>0</v>
      </c>
      <c r="CV70" s="64">
        <f t="shared" ref="CV70:CV90" si="494">SUM(CM70:CP70,CR70:CU70)</f>
        <v>0</v>
      </c>
      <c r="CW70" s="62"/>
      <c r="CX70" s="63"/>
      <c r="CY70" s="63"/>
      <c r="CZ70" s="63"/>
      <c r="DA70" s="63"/>
      <c r="DB70" s="63"/>
      <c r="DC70" s="63"/>
      <c r="DD70" s="63"/>
      <c r="DE70" s="63"/>
      <c r="DF70" s="63"/>
      <c r="DG70" s="64">
        <f t="shared" ref="DG70:DG90" si="495">SUM(CX70:DA70,DC70:DF70)</f>
        <v>0</v>
      </c>
      <c r="DH70" s="62"/>
      <c r="DI70" s="63"/>
      <c r="DJ70" s="63"/>
      <c r="DK70" s="63"/>
      <c r="DL70" s="63"/>
      <c r="DM70" s="63"/>
      <c r="DN70" s="63"/>
      <c r="DO70" s="63"/>
      <c r="DP70" s="63"/>
      <c r="DQ70" s="63"/>
      <c r="DR70" s="64">
        <f t="shared" ref="DR70:DR90" si="496">SUM(DI70:DL70,DN70:DQ70)</f>
        <v>0</v>
      </c>
      <c r="DS70" s="62"/>
      <c r="DT70" s="63"/>
      <c r="DU70" s="63"/>
      <c r="DV70" s="63"/>
      <c r="DW70" s="63"/>
      <c r="DX70" s="63"/>
      <c r="DY70" s="63"/>
      <c r="DZ70" s="63"/>
      <c r="EA70" s="63"/>
      <c r="EB70" s="63"/>
      <c r="EC70" s="63"/>
      <c r="ED70" s="65">
        <f t="shared" ref="ED70:EM90" si="497">SUM(CW70,DS70,DH70)</f>
        <v>0</v>
      </c>
      <c r="EE70" s="65">
        <f t="shared" si="497"/>
        <v>0</v>
      </c>
      <c r="EF70" s="65">
        <f t="shared" si="497"/>
        <v>0</v>
      </c>
      <c r="EG70" s="65">
        <f t="shared" si="497"/>
        <v>0</v>
      </c>
      <c r="EH70" s="65">
        <f t="shared" si="497"/>
        <v>0</v>
      </c>
      <c r="EI70" s="65">
        <f t="shared" si="497"/>
        <v>0</v>
      </c>
      <c r="EJ70" s="65">
        <f t="shared" si="497"/>
        <v>0</v>
      </c>
      <c r="EK70" s="65">
        <f t="shared" si="497"/>
        <v>0</v>
      </c>
      <c r="EL70" s="65">
        <f t="shared" si="497"/>
        <v>0</v>
      </c>
      <c r="EM70" s="65">
        <f t="shared" si="497"/>
        <v>0</v>
      </c>
      <c r="EN70" s="64">
        <f t="shared" ref="EN70:EN90" si="498">SUM(EE70:EH70,EJ70:EM70)</f>
        <v>0</v>
      </c>
      <c r="EO70" s="62"/>
      <c r="EP70" s="63"/>
      <c r="EQ70" s="63"/>
      <c r="ER70" s="63"/>
      <c r="ES70" s="63"/>
      <c r="ET70" s="63"/>
      <c r="EU70" s="63"/>
      <c r="EV70" s="63"/>
      <c r="EW70" s="63"/>
      <c r="EX70" s="63"/>
      <c r="EY70" s="64">
        <f t="shared" ref="EY70:EY90" si="499">SUM(EP70:ES70,EU70:EX70)</f>
        <v>0</v>
      </c>
      <c r="EZ70" s="62"/>
      <c r="FA70" s="63"/>
      <c r="FB70" s="63"/>
      <c r="FC70" s="63"/>
      <c r="FD70" s="63"/>
      <c r="FE70" s="63"/>
      <c r="FF70" s="63"/>
      <c r="FG70" s="63"/>
      <c r="FH70" s="63"/>
      <c r="FI70" s="63"/>
      <c r="FJ70" s="64">
        <f t="shared" ref="FJ70:FJ90" si="500">SUM(FA70:FD70,FF70:FI70)</f>
        <v>0</v>
      </c>
      <c r="FK70" s="62"/>
      <c r="FL70" s="63"/>
      <c r="FM70" s="63"/>
      <c r="FN70" s="63"/>
      <c r="FO70" s="63"/>
      <c r="FP70" s="63"/>
      <c r="FQ70" s="63"/>
      <c r="FR70" s="63"/>
      <c r="FS70" s="63"/>
      <c r="FT70" s="63"/>
      <c r="FU70" s="64">
        <f t="shared" ref="FU70:FU90" si="501">SUM(FL70:FO70,FQ70:FT70)</f>
        <v>0</v>
      </c>
      <c r="FV70" s="65">
        <f t="shared" ref="FV70:GE90" si="502">SUM(EO70,FK70,EZ70)</f>
        <v>0</v>
      </c>
      <c r="FW70" s="65">
        <f t="shared" si="502"/>
        <v>0</v>
      </c>
      <c r="FX70" s="65">
        <f t="shared" si="502"/>
        <v>0</v>
      </c>
      <c r="FY70" s="65">
        <f t="shared" si="502"/>
        <v>0</v>
      </c>
      <c r="FZ70" s="65">
        <f t="shared" si="502"/>
        <v>0</v>
      </c>
      <c r="GA70" s="65">
        <f t="shared" si="502"/>
        <v>0</v>
      </c>
      <c r="GB70" s="65">
        <f t="shared" si="502"/>
        <v>0</v>
      </c>
      <c r="GC70" s="65">
        <f t="shared" si="502"/>
        <v>0</v>
      </c>
      <c r="GD70" s="65">
        <f t="shared" si="502"/>
        <v>0</v>
      </c>
      <c r="GE70" s="65">
        <f t="shared" si="502"/>
        <v>0</v>
      </c>
      <c r="GF70" s="64">
        <f t="shared" ref="GF70:GF90" si="503">SUM(FW70:FZ70,GB70:GE70)</f>
        <v>0</v>
      </c>
      <c r="GG70" s="66">
        <f t="shared" ref="GG70:GP90" si="504">SUM(AT70,CL70,ED70,FV70)</f>
        <v>0</v>
      </c>
      <c r="GH70" s="66">
        <f t="shared" si="504"/>
        <v>0</v>
      </c>
      <c r="GI70" s="66">
        <f t="shared" si="504"/>
        <v>0</v>
      </c>
      <c r="GJ70" s="66">
        <f t="shared" si="504"/>
        <v>0</v>
      </c>
      <c r="GK70" s="66">
        <f t="shared" si="504"/>
        <v>0</v>
      </c>
      <c r="GL70" s="66">
        <f t="shared" si="504"/>
        <v>0</v>
      </c>
      <c r="GM70" s="66">
        <f t="shared" si="504"/>
        <v>0</v>
      </c>
      <c r="GN70" s="66">
        <f t="shared" si="504"/>
        <v>0</v>
      </c>
      <c r="GO70" s="66">
        <f t="shared" si="504"/>
        <v>0</v>
      </c>
      <c r="GP70" s="66">
        <f t="shared" si="504"/>
        <v>0</v>
      </c>
      <c r="GQ70" s="64">
        <f t="shared" ref="GQ70:GQ90" si="505">SUM(GH70:GK70,GM70:GP70)</f>
        <v>0</v>
      </c>
      <c r="GR70" s="63"/>
      <c r="GS70" s="63"/>
      <c r="GT70" s="63">
        <v>0</v>
      </c>
      <c r="GU70" s="63">
        <v>0</v>
      </c>
      <c r="GV70" s="67">
        <f t="shared" ref="GV70:GV90" si="506">SUM(GR70:GU70)</f>
        <v>0</v>
      </c>
      <c r="GW70" s="63"/>
      <c r="GX70" s="63"/>
      <c r="GY70" s="63"/>
      <c r="GZ70" s="63"/>
      <c r="HA70" s="67">
        <f t="shared" ref="HA70:HA90" si="507">SUM(GW70:GZ70)</f>
        <v>0</v>
      </c>
      <c r="HB70" s="63"/>
      <c r="HC70" s="63"/>
      <c r="HD70" s="63"/>
      <c r="HE70" s="63"/>
      <c r="HF70" s="67">
        <f t="shared" ref="HF70:HF90" si="508">SUM(HB70:HE70)</f>
        <v>0</v>
      </c>
      <c r="HG70" s="63"/>
      <c r="HH70" s="63"/>
      <c r="HI70" s="63"/>
      <c r="HJ70" s="63"/>
      <c r="HK70" s="67">
        <f t="shared" ref="HK70:HK90" si="509">SUM(HG70:HJ70)</f>
        <v>0</v>
      </c>
      <c r="HL70" s="68">
        <f t="shared" ref="HL70:HO90" si="510">SUM(GW70,HB70,HG70)</f>
        <v>0</v>
      </c>
      <c r="HM70" s="68">
        <f t="shared" si="510"/>
        <v>0</v>
      </c>
      <c r="HN70" s="68">
        <f t="shared" si="510"/>
        <v>0</v>
      </c>
      <c r="HO70" s="68">
        <f t="shared" si="510"/>
        <v>0</v>
      </c>
      <c r="HP70" s="67">
        <f t="shared" ref="HP70:HP90" si="511">SUM(HL70:HO70)</f>
        <v>0</v>
      </c>
      <c r="HQ70" s="63"/>
      <c r="HR70" s="63"/>
      <c r="HS70" s="63"/>
      <c r="HT70" s="63"/>
      <c r="HU70" s="67">
        <f t="shared" ref="HU70:HU90" si="512">SUM(HQ70:HT70)</f>
        <v>0</v>
      </c>
      <c r="HV70" s="63"/>
      <c r="HW70" s="63"/>
      <c r="HX70" s="63"/>
      <c r="HY70" s="63"/>
      <c r="HZ70" s="67">
        <f t="shared" ref="HZ70:HZ90" si="513">SUM(HV70:HY70)</f>
        <v>0</v>
      </c>
      <c r="IA70" s="63"/>
      <c r="IB70" s="63"/>
      <c r="IC70" s="63"/>
      <c r="ID70" s="63"/>
      <c r="IE70" s="67">
        <f t="shared" ref="IE70:IE90" si="514">SUM(IA70:ID70)</f>
        <v>0</v>
      </c>
      <c r="IF70" s="68">
        <f t="shared" ref="IF70:II90" si="515">SUM(HQ70,HV70,IA70)</f>
        <v>0</v>
      </c>
      <c r="IG70" s="68">
        <f t="shared" si="515"/>
        <v>0</v>
      </c>
      <c r="IH70" s="68">
        <f t="shared" si="515"/>
        <v>0</v>
      </c>
      <c r="II70" s="68">
        <f t="shared" si="515"/>
        <v>0</v>
      </c>
      <c r="IJ70" s="67">
        <f t="shared" ref="IJ70:IJ90" si="516">SUM(IF70:II70)</f>
        <v>0</v>
      </c>
      <c r="IK70" s="63"/>
      <c r="IL70" s="63"/>
      <c r="IM70" s="63"/>
      <c r="IN70" s="63"/>
      <c r="IO70" s="67">
        <f t="shared" ref="IO70:IO90" si="517">SUM(IK70:IN70)</f>
        <v>0</v>
      </c>
      <c r="IP70" s="63"/>
      <c r="IQ70" s="63"/>
      <c r="IR70" s="63"/>
      <c r="IS70" s="63"/>
      <c r="IT70" s="67">
        <f t="shared" ref="IT70:IT90" si="518">SUM(IP70:IS70)</f>
        <v>0</v>
      </c>
      <c r="IU70" s="63"/>
      <c r="IV70" s="63"/>
    </row>
    <row r="71" spans="1:256" ht="12.75" customHeight="1" x14ac:dyDescent="0.25">
      <c r="A71" s="117" t="s">
        <v>74</v>
      </c>
      <c r="B71" s="62">
        <v>1585</v>
      </c>
      <c r="C71" s="63">
        <v>220</v>
      </c>
      <c r="D71" s="63">
        <v>10</v>
      </c>
      <c r="E71" s="63">
        <v>55</v>
      </c>
      <c r="F71" s="63">
        <v>0</v>
      </c>
      <c r="G71" s="63">
        <v>0</v>
      </c>
      <c r="H71" s="63">
        <v>17</v>
      </c>
      <c r="I71" s="63">
        <v>0</v>
      </c>
      <c r="J71" s="63">
        <v>10</v>
      </c>
      <c r="K71" s="63">
        <v>5</v>
      </c>
      <c r="L71" s="64">
        <f t="shared" ref="L71:L90" si="519">SUM(C71:F71,H71:K71)</f>
        <v>317</v>
      </c>
      <c r="M71" s="62"/>
      <c r="N71" s="63"/>
      <c r="O71" s="63"/>
      <c r="P71" s="63"/>
      <c r="Q71" s="63"/>
      <c r="R71" s="63"/>
      <c r="S71" s="63"/>
      <c r="T71" s="63"/>
      <c r="U71" s="63"/>
      <c r="V71" s="63"/>
      <c r="W71" s="64">
        <f t="shared" si="485"/>
        <v>0</v>
      </c>
      <c r="X71" s="62"/>
      <c r="Y71" s="63"/>
      <c r="Z71" s="63"/>
      <c r="AA71" s="63"/>
      <c r="AB71" s="63"/>
      <c r="AC71" s="63"/>
      <c r="AD71" s="63"/>
      <c r="AE71" s="63"/>
      <c r="AF71" s="63"/>
      <c r="AG71" s="63"/>
      <c r="AH71" s="64">
        <f t="shared" si="486"/>
        <v>0</v>
      </c>
      <c r="AI71" s="62"/>
      <c r="AJ71" s="63"/>
      <c r="AK71" s="63"/>
      <c r="AL71" s="63"/>
      <c r="AM71" s="63"/>
      <c r="AN71" s="63"/>
      <c r="AO71" s="63"/>
      <c r="AP71" s="63"/>
      <c r="AQ71" s="63"/>
      <c r="AR71" s="63"/>
      <c r="AS71" s="64">
        <f t="shared" si="487"/>
        <v>0</v>
      </c>
      <c r="AT71" s="65">
        <f t="shared" si="488"/>
        <v>0</v>
      </c>
      <c r="AU71" s="65">
        <f t="shared" si="488"/>
        <v>0</v>
      </c>
      <c r="AV71" s="65">
        <f t="shared" si="488"/>
        <v>0</v>
      </c>
      <c r="AW71" s="65">
        <f t="shared" si="488"/>
        <v>0</v>
      </c>
      <c r="AX71" s="65">
        <f t="shared" si="488"/>
        <v>0</v>
      </c>
      <c r="AY71" s="65">
        <f t="shared" si="488"/>
        <v>0</v>
      </c>
      <c r="AZ71" s="65">
        <f t="shared" si="488"/>
        <v>0</v>
      </c>
      <c r="BA71" s="65">
        <f t="shared" si="488"/>
        <v>0</v>
      </c>
      <c r="BB71" s="65">
        <f t="shared" si="488"/>
        <v>0</v>
      </c>
      <c r="BC71" s="65">
        <f t="shared" si="488"/>
        <v>0</v>
      </c>
      <c r="BD71" s="64">
        <f t="shared" si="489"/>
        <v>0</v>
      </c>
      <c r="BE71" s="62"/>
      <c r="BF71" s="63"/>
      <c r="BG71" s="63"/>
      <c r="BH71" s="63"/>
      <c r="BI71" s="63"/>
      <c r="BJ71" s="63"/>
      <c r="BK71" s="63"/>
      <c r="BL71" s="63"/>
      <c r="BM71" s="63"/>
      <c r="BN71" s="63"/>
      <c r="BO71" s="64">
        <f t="shared" si="490"/>
        <v>0</v>
      </c>
      <c r="BP71" s="62"/>
      <c r="BQ71" s="63"/>
      <c r="BR71" s="63"/>
      <c r="BS71" s="63"/>
      <c r="BT71" s="63"/>
      <c r="BU71" s="63"/>
      <c r="BV71" s="63"/>
      <c r="BW71" s="63"/>
      <c r="BX71" s="63"/>
      <c r="BY71" s="63"/>
      <c r="BZ71" s="64">
        <f t="shared" si="491"/>
        <v>0</v>
      </c>
      <c r="CA71" s="62"/>
      <c r="CB71" s="63"/>
      <c r="CC71" s="63"/>
      <c r="CD71" s="63"/>
      <c r="CE71" s="63"/>
      <c r="CF71" s="63"/>
      <c r="CG71" s="63"/>
      <c r="CH71" s="63"/>
      <c r="CI71" s="63"/>
      <c r="CJ71" s="63"/>
      <c r="CK71" s="64">
        <f t="shared" si="492"/>
        <v>0</v>
      </c>
      <c r="CL71" s="65">
        <f t="shared" si="493"/>
        <v>0</v>
      </c>
      <c r="CM71" s="65">
        <f t="shared" si="493"/>
        <v>0</v>
      </c>
      <c r="CN71" s="65">
        <f t="shared" si="493"/>
        <v>0</v>
      </c>
      <c r="CO71" s="65">
        <f t="shared" si="493"/>
        <v>0</v>
      </c>
      <c r="CP71" s="65">
        <f t="shared" si="493"/>
        <v>0</v>
      </c>
      <c r="CQ71" s="65">
        <f t="shared" si="493"/>
        <v>0</v>
      </c>
      <c r="CR71" s="65">
        <f t="shared" si="493"/>
        <v>0</v>
      </c>
      <c r="CS71" s="65">
        <f t="shared" si="493"/>
        <v>0</v>
      </c>
      <c r="CT71" s="65">
        <f t="shared" si="493"/>
        <v>0</v>
      </c>
      <c r="CU71" s="65">
        <f t="shared" si="493"/>
        <v>0</v>
      </c>
      <c r="CV71" s="64">
        <f t="shared" si="494"/>
        <v>0</v>
      </c>
      <c r="CW71" s="62"/>
      <c r="CX71" s="63"/>
      <c r="CY71" s="63"/>
      <c r="CZ71" s="63"/>
      <c r="DA71" s="63"/>
      <c r="DB71" s="63"/>
      <c r="DC71" s="63"/>
      <c r="DD71" s="63"/>
      <c r="DE71" s="63"/>
      <c r="DF71" s="63"/>
      <c r="DG71" s="64">
        <f t="shared" si="495"/>
        <v>0</v>
      </c>
      <c r="DH71" s="62"/>
      <c r="DI71" s="63"/>
      <c r="DJ71" s="63"/>
      <c r="DK71" s="63"/>
      <c r="DL71" s="63"/>
      <c r="DM71" s="63"/>
      <c r="DN71" s="63"/>
      <c r="DO71" s="63"/>
      <c r="DP71" s="63"/>
      <c r="DQ71" s="63"/>
      <c r="DR71" s="64">
        <f t="shared" si="496"/>
        <v>0</v>
      </c>
      <c r="DS71" s="62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5">
        <f t="shared" si="497"/>
        <v>0</v>
      </c>
      <c r="EE71" s="65">
        <f t="shared" si="497"/>
        <v>0</v>
      </c>
      <c r="EF71" s="65">
        <f t="shared" si="497"/>
        <v>0</v>
      </c>
      <c r="EG71" s="65">
        <f t="shared" si="497"/>
        <v>0</v>
      </c>
      <c r="EH71" s="65">
        <f t="shared" si="497"/>
        <v>0</v>
      </c>
      <c r="EI71" s="65">
        <f t="shared" si="497"/>
        <v>0</v>
      </c>
      <c r="EJ71" s="65">
        <f t="shared" si="497"/>
        <v>0</v>
      </c>
      <c r="EK71" s="65">
        <f t="shared" si="497"/>
        <v>0</v>
      </c>
      <c r="EL71" s="65">
        <f t="shared" si="497"/>
        <v>0</v>
      </c>
      <c r="EM71" s="65">
        <f t="shared" si="497"/>
        <v>0</v>
      </c>
      <c r="EN71" s="64">
        <f t="shared" si="498"/>
        <v>0</v>
      </c>
      <c r="EO71" s="62"/>
      <c r="EP71" s="63"/>
      <c r="EQ71" s="63"/>
      <c r="ER71" s="63"/>
      <c r="ES71" s="63"/>
      <c r="ET71" s="63"/>
      <c r="EU71" s="63"/>
      <c r="EV71" s="63"/>
      <c r="EW71" s="63"/>
      <c r="EX71" s="63"/>
      <c r="EY71" s="64">
        <f t="shared" si="499"/>
        <v>0</v>
      </c>
      <c r="EZ71" s="62"/>
      <c r="FA71" s="63"/>
      <c r="FB71" s="63"/>
      <c r="FC71" s="63"/>
      <c r="FD71" s="63"/>
      <c r="FE71" s="63"/>
      <c r="FF71" s="63"/>
      <c r="FG71" s="63"/>
      <c r="FH71" s="63"/>
      <c r="FI71" s="63"/>
      <c r="FJ71" s="64">
        <f t="shared" si="500"/>
        <v>0</v>
      </c>
      <c r="FK71" s="62"/>
      <c r="FL71" s="63"/>
      <c r="FM71" s="63"/>
      <c r="FN71" s="63"/>
      <c r="FO71" s="63"/>
      <c r="FP71" s="63"/>
      <c r="FQ71" s="63"/>
      <c r="FR71" s="63"/>
      <c r="FS71" s="63"/>
      <c r="FT71" s="63"/>
      <c r="FU71" s="64">
        <f t="shared" si="501"/>
        <v>0</v>
      </c>
      <c r="FV71" s="65">
        <f t="shared" si="502"/>
        <v>0</v>
      </c>
      <c r="FW71" s="65">
        <f t="shared" si="502"/>
        <v>0</v>
      </c>
      <c r="FX71" s="65">
        <f t="shared" si="502"/>
        <v>0</v>
      </c>
      <c r="FY71" s="65">
        <f t="shared" si="502"/>
        <v>0</v>
      </c>
      <c r="FZ71" s="65">
        <f t="shared" si="502"/>
        <v>0</v>
      </c>
      <c r="GA71" s="65">
        <f t="shared" si="502"/>
        <v>0</v>
      </c>
      <c r="GB71" s="65">
        <f t="shared" si="502"/>
        <v>0</v>
      </c>
      <c r="GC71" s="65">
        <f t="shared" si="502"/>
        <v>0</v>
      </c>
      <c r="GD71" s="65">
        <f t="shared" si="502"/>
        <v>0</v>
      </c>
      <c r="GE71" s="65">
        <f t="shared" si="502"/>
        <v>0</v>
      </c>
      <c r="GF71" s="64">
        <f t="shared" si="503"/>
        <v>0</v>
      </c>
      <c r="GG71" s="66">
        <f t="shared" si="504"/>
        <v>0</v>
      </c>
      <c r="GH71" s="66">
        <f t="shared" si="504"/>
        <v>0</v>
      </c>
      <c r="GI71" s="66">
        <f t="shared" si="504"/>
        <v>0</v>
      </c>
      <c r="GJ71" s="66">
        <f t="shared" si="504"/>
        <v>0</v>
      </c>
      <c r="GK71" s="66">
        <f t="shared" si="504"/>
        <v>0</v>
      </c>
      <c r="GL71" s="66">
        <f t="shared" si="504"/>
        <v>0</v>
      </c>
      <c r="GM71" s="66">
        <f t="shared" si="504"/>
        <v>0</v>
      </c>
      <c r="GN71" s="66">
        <f t="shared" si="504"/>
        <v>0</v>
      </c>
      <c r="GO71" s="66">
        <f t="shared" si="504"/>
        <v>0</v>
      </c>
      <c r="GP71" s="66">
        <f t="shared" si="504"/>
        <v>0</v>
      </c>
      <c r="GQ71" s="64">
        <f t="shared" si="505"/>
        <v>0</v>
      </c>
      <c r="GR71" s="63"/>
      <c r="GS71" s="63"/>
      <c r="GT71" s="63">
        <v>0</v>
      </c>
      <c r="GU71" s="63">
        <v>0</v>
      </c>
      <c r="GV71" s="67">
        <f t="shared" si="506"/>
        <v>0</v>
      </c>
      <c r="GW71" s="63"/>
      <c r="GX71" s="63"/>
      <c r="GY71" s="63"/>
      <c r="GZ71" s="63"/>
      <c r="HA71" s="67">
        <f t="shared" si="507"/>
        <v>0</v>
      </c>
      <c r="HB71" s="63"/>
      <c r="HC71" s="63"/>
      <c r="HD71" s="63"/>
      <c r="HE71" s="63"/>
      <c r="HF71" s="67">
        <f t="shared" si="508"/>
        <v>0</v>
      </c>
      <c r="HG71" s="63"/>
      <c r="HH71" s="63"/>
      <c r="HI71" s="63"/>
      <c r="HJ71" s="63"/>
      <c r="HK71" s="67">
        <f t="shared" si="509"/>
        <v>0</v>
      </c>
      <c r="HL71" s="68">
        <f t="shared" si="510"/>
        <v>0</v>
      </c>
      <c r="HM71" s="68">
        <f t="shared" si="510"/>
        <v>0</v>
      </c>
      <c r="HN71" s="68">
        <f t="shared" si="510"/>
        <v>0</v>
      </c>
      <c r="HO71" s="68">
        <f t="shared" si="510"/>
        <v>0</v>
      </c>
      <c r="HP71" s="67">
        <f t="shared" si="511"/>
        <v>0</v>
      </c>
      <c r="HQ71" s="63"/>
      <c r="HR71" s="63"/>
      <c r="HS71" s="63"/>
      <c r="HT71" s="63"/>
      <c r="HU71" s="67">
        <f t="shared" si="512"/>
        <v>0</v>
      </c>
      <c r="HV71" s="63"/>
      <c r="HW71" s="63"/>
      <c r="HX71" s="63"/>
      <c r="HY71" s="63"/>
      <c r="HZ71" s="67">
        <f t="shared" si="513"/>
        <v>0</v>
      </c>
      <c r="IA71" s="63"/>
      <c r="IB71" s="63"/>
      <c r="IC71" s="63"/>
      <c r="ID71" s="63"/>
      <c r="IE71" s="67">
        <f t="shared" si="514"/>
        <v>0</v>
      </c>
      <c r="IF71" s="68">
        <f t="shared" si="515"/>
        <v>0</v>
      </c>
      <c r="IG71" s="68">
        <f t="shared" si="515"/>
        <v>0</v>
      </c>
      <c r="IH71" s="68">
        <f t="shared" si="515"/>
        <v>0</v>
      </c>
      <c r="II71" s="68">
        <f t="shared" si="515"/>
        <v>0</v>
      </c>
      <c r="IJ71" s="67">
        <f t="shared" si="516"/>
        <v>0</v>
      </c>
      <c r="IK71" s="63"/>
      <c r="IL71" s="63"/>
      <c r="IM71" s="63"/>
      <c r="IN71" s="63"/>
      <c r="IO71" s="67">
        <f t="shared" si="517"/>
        <v>0</v>
      </c>
      <c r="IP71" s="63"/>
      <c r="IQ71" s="63"/>
      <c r="IR71" s="63"/>
      <c r="IS71" s="63"/>
      <c r="IT71" s="67">
        <f t="shared" si="518"/>
        <v>0</v>
      </c>
      <c r="IU71" s="63"/>
      <c r="IV71" s="63"/>
    </row>
    <row r="72" spans="1:256" ht="12.75" customHeight="1" x14ac:dyDescent="0.25">
      <c r="A72" s="117" t="s">
        <v>75</v>
      </c>
      <c r="B72" s="62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4">
        <f t="shared" si="519"/>
        <v>0</v>
      </c>
      <c r="M72" s="62"/>
      <c r="N72" s="63"/>
      <c r="O72" s="63"/>
      <c r="P72" s="63"/>
      <c r="Q72" s="63"/>
      <c r="R72" s="63"/>
      <c r="S72" s="63"/>
      <c r="T72" s="63"/>
      <c r="U72" s="63"/>
      <c r="V72" s="63"/>
      <c r="W72" s="64">
        <f t="shared" si="485"/>
        <v>0</v>
      </c>
      <c r="X72" s="62"/>
      <c r="Y72" s="63"/>
      <c r="Z72" s="63"/>
      <c r="AA72" s="63"/>
      <c r="AB72" s="63"/>
      <c r="AC72" s="63"/>
      <c r="AD72" s="63"/>
      <c r="AE72" s="63"/>
      <c r="AF72" s="63"/>
      <c r="AG72" s="63"/>
      <c r="AH72" s="64">
        <f t="shared" si="486"/>
        <v>0</v>
      </c>
      <c r="AI72" s="62"/>
      <c r="AJ72" s="63"/>
      <c r="AK72" s="63"/>
      <c r="AL72" s="63"/>
      <c r="AM72" s="63"/>
      <c r="AN72" s="63"/>
      <c r="AO72" s="63"/>
      <c r="AP72" s="63"/>
      <c r="AQ72" s="63"/>
      <c r="AR72" s="63"/>
      <c r="AS72" s="64">
        <f t="shared" si="487"/>
        <v>0</v>
      </c>
      <c r="AT72" s="65">
        <f t="shared" si="488"/>
        <v>0</v>
      </c>
      <c r="AU72" s="65">
        <f t="shared" si="488"/>
        <v>0</v>
      </c>
      <c r="AV72" s="65">
        <f t="shared" si="488"/>
        <v>0</v>
      </c>
      <c r="AW72" s="65">
        <f t="shared" si="488"/>
        <v>0</v>
      </c>
      <c r="AX72" s="65">
        <f t="shared" si="488"/>
        <v>0</v>
      </c>
      <c r="AY72" s="65">
        <f t="shared" si="488"/>
        <v>0</v>
      </c>
      <c r="AZ72" s="65">
        <f t="shared" si="488"/>
        <v>0</v>
      </c>
      <c r="BA72" s="65">
        <f t="shared" si="488"/>
        <v>0</v>
      </c>
      <c r="BB72" s="65">
        <f t="shared" si="488"/>
        <v>0</v>
      </c>
      <c r="BC72" s="65">
        <f t="shared" si="488"/>
        <v>0</v>
      </c>
      <c r="BD72" s="64">
        <f t="shared" si="489"/>
        <v>0</v>
      </c>
      <c r="BE72" s="62"/>
      <c r="BF72" s="63"/>
      <c r="BG72" s="63"/>
      <c r="BH72" s="63"/>
      <c r="BI72" s="63"/>
      <c r="BJ72" s="63"/>
      <c r="BK72" s="63"/>
      <c r="BL72" s="63"/>
      <c r="BM72" s="63"/>
      <c r="BN72" s="63"/>
      <c r="BO72" s="64">
        <f t="shared" si="490"/>
        <v>0</v>
      </c>
      <c r="BP72" s="62"/>
      <c r="BQ72" s="63"/>
      <c r="BR72" s="63"/>
      <c r="BS72" s="63"/>
      <c r="BT72" s="63"/>
      <c r="BU72" s="63"/>
      <c r="BV72" s="63"/>
      <c r="BW72" s="63"/>
      <c r="BX72" s="63"/>
      <c r="BY72" s="63"/>
      <c r="BZ72" s="64">
        <f t="shared" si="491"/>
        <v>0</v>
      </c>
      <c r="CA72" s="62"/>
      <c r="CB72" s="63"/>
      <c r="CC72" s="63"/>
      <c r="CD72" s="63"/>
      <c r="CE72" s="63"/>
      <c r="CF72" s="63"/>
      <c r="CG72" s="63"/>
      <c r="CH72" s="63"/>
      <c r="CI72" s="63"/>
      <c r="CJ72" s="63"/>
      <c r="CK72" s="64">
        <f t="shared" si="492"/>
        <v>0</v>
      </c>
      <c r="CL72" s="65">
        <f t="shared" si="493"/>
        <v>0</v>
      </c>
      <c r="CM72" s="65">
        <f t="shared" si="493"/>
        <v>0</v>
      </c>
      <c r="CN72" s="65">
        <f t="shared" si="493"/>
        <v>0</v>
      </c>
      <c r="CO72" s="65">
        <f t="shared" si="493"/>
        <v>0</v>
      </c>
      <c r="CP72" s="65">
        <f t="shared" si="493"/>
        <v>0</v>
      </c>
      <c r="CQ72" s="65">
        <f t="shared" si="493"/>
        <v>0</v>
      </c>
      <c r="CR72" s="65">
        <f t="shared" si="493"/>
        <v>0</v>
      </c>
      <c r="CS72" s="65">
        <f t="shared" si="493"/>
        <v>0</v>
      </c>
      <c r="CT72" s="65">
        <f t="shared" si="493"/>
        <v>0</v>
      </c>
      <c r="CU72" s="65">
        <f t="shared" si="493"/>
        <v>0</v>
      </c>
      <c r="CV72" s="64">
        <f t="shared" si="494"/>
        <v>0</v>
      </c>
      <c r="CW72" s="62"/>
      <c r="CX72" s="63"/>
      <c r="CY72" s="63"/>
      <c r="CZ72" s="63"/>
      <c r="DA72" s="63"/>
      <c r="DB72" s="63"/>
      <c r="DC72" s="63"/>
      <c r="DD72" s="63"/>
      <c r="DE72" s="63"/>
      <c r="DF72" s="63"/>
      <c r="DG72" s="64">
        <f t="shared" si="495"/>
        <v>0</v>
      </c>
      <c r="DH72" s="62"/>
      <c r="DI72" s="63"/>
      <c r="DJ72" s="63"/>
      <c r="DK72" s="63"/>
      <c r="DL72" s="63"/>
      <c r="DM72" s="63"/>
      <c r="DN72" s="63"/>
      <c r="DO72" s="63"/>
      <c r="DP72" s="63"/>
      <c r="DQ72" s="63"/>
      <c r="DR72" s="64">
        <f t="shared" si="496"/>
        <v>0</v>
      </c>
      <c r="DS72" s="62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5">
        <f t="shared" si="497"/>
        <v>0</v>
      </c>
      <c r="EE72" s="65">
        <f t="shared" si="497"/>
        <v>0</v>
      </c>
      <c r="EF72" s="65">
        <f t="shared" si="497"/>
        <v>0</v>
      </c>
      <c r="EG72" s="65">
        <f t="shared" si="497"/>
        <v>0</v>
      </c>
      <c r="EH72" s="65">
        <f t="shared" si="497"/>
        <v>0</v>
      </c>
      <c r="EI72" s="65">
        <f t="shared" si="497"/>
        <v>0</v>
      </c>
      <c r="EJ72" s="65">
        <f t="shared" si="497"/>
        <v>0</v>
      </c>
      <c r="EK72" s="65">
        <f t="shared" si="497"/>
        <v>0</v>
      </c>
      <c r="EL72" s="65">
        <f t="shared" si="497"/>
        <v>0</v>
      </c>
      <c r="EM72" s="65">
        <f t="shared" si="497"/>
        <v>0</v>
      </c>
      <c r="EN72" s="64">
        <f t="shared" si="498"/>
        <v>0</v>
      </c>
      <c r="EO72" s="62"/>
      <c r="EP72" s="63"/>
      <c r="EQ72" s="63"/>
      <c r="ER72" s="63"/>
      <c r="ES72" s="63"/>
      <c r="ET72" s="63"/>
      <c r="EU72" s="63"/>
      <c r="EV72" s="63"/>
      <c r="EW72" s="63"/>
      <c r="EX72" s="63"/>
      <c r="EY72" s="64">
        <f t="shared" si="499"/>
        <v>0</v>
      </c>
      <c r="EZ72" s="62"/>
      <c r="FA72" s="63"/>
      <c r="FB72" s="63"/>
      <c r="FC72" s="63"/>
      <c r="FD72" s="63"/>
      <c r="FE72" s="63"/>
      <c r="FF72" s="63"/>
      <c r="FG72" s="63"/>
      <c r="FH72" s="63"/>
      <c r="FI72" s="63"/>
      <c r="FJ72" s="64">
        <f t="shared" si="500"/>
        <v>0</v>
      </c>
      <c r="FK72" s="62"/>
      <c r="FL72" s="63"/>
      <c r="FM72" s="63"/>
      <c r="FN72" s="63"/>
      <c r="FO72" s="63"/>
      <c r="FP72" s="63"/>
      <c r="FQ72" s="63"/>
      <c r="FR72" s="63"/>
      <c r="FS72" s="63"/>
      <c r="FT72" s="63"/>
      <c r="FU72" s="64">
        <f t="shared" si="501"/>
        <v>0</v>
      </c>
      <c r="FV72" s="65">
        <f t="shared" si="502"/>
        <v>0</v>
      </c>
      <c r="FW72" s="65">
        <f t="shared" si="502"/>
        <v>0</v>
      </c>
      <c r="FX72" s="65">
        <f t="shared" si="502"/>
        <v>0</v>
      </c>
      <c r="FY72" s="65">
        <f t="shared" si="502"/>
        <v>0</v>
      </c>
      <c r="FZ72" s="65">
        <f t="shared" si="502"/>
        <v>0</v>
      </c>
      <c r="GA72" s="65">
        <f t="shared" si="502"/>
        <v>0</v>
      </c>
      <c r="GB72" s="65">
        <f t="shared" si="502"/>
        <v>0</v>
      </c>
      <c r="GC72" s="65">
        <f t="shared" si="502"/>
        <v>0</v>
      </c>
      <c r="GD72" s="65">
        <f t="shared" si="502"/>
        <v>0</v>
      </c>
      <c r="GE72" s="65">
        <f t="shared" si="502"/>
        <v>0</v>
      </c>
      <c r="GF72" s="64">
        <f t="shared" si="503"/>
        <v>0</v>
      </c>
      <c r="GG72" s="66">
        <f t="shared" si="504"/>
        <v>0</v>
      </c>
      <c r="GH72" s="66">
        <f t="shared" si="504"/>
        <v>0</v>
      </c>
      <c r="GI72" s="66">
        <f t="shared" si="504"/>
        <v>0</v>
      </c>
      <c r="GJ72" s="66">
        <f t="shared" si="504"/>
        <v>0</v>
      </c>
      <c r="GK72" s="66">
        <f t="shared" si="504"/>
        <v>0</v>
      </c>
      <c r="GL72" s="66">
        <f t="shared" si="504"/>
        <v>0</v>
      </c>
      <c r="GM72" s="66">
        <f t="shared" si="504"/>
        <v>0</v>
      </c>
      <c r="GN72" s="66">
        <f t="shared" si="504"/>
        <v>0</v>
      </c>
      <c r="GO72" s="66">
        <f t="shared" si="504"/>
        <v>0</v>
      </c>
      <c r="GP72" s="66">
        <f t="shared" si="504"/>
        <v>0</v>
      </c>
      <c r="GQ72" s="64">
        <f t="shared" si="505"/>
        <v>0</v>
      </c>
      <c r="GR72" s="63"/>
      <c r="GS72" s="63">
        <v>0</v>
      </c>
      <c r="GT72" s="63">
        <v>0</v>
      </c>
      <c r="GU72" s="63">
        <v>0</v>
      </c>
      <c r="GV72" s="67">
        <f t="shared" si="506"/>
        <v>0</v>
      </c>
      <c r="GW72" s="63"/>
      <c r="GX72" s="63"/>
      <c r="GY72" s="63"/>
      <c r="GZ72" s="63"/>
      <c r="HA72" s="67">
        <f t="shared" si="507"/>
        <v>0</v>
      </c>
      <c r="HB72" s="63"/>
      <c r="HC72" s="63"/>
      <c r="HD72" s="63"/>
      <c r="HE72" s="63"/>
      <c r="HF72" s="67">
        <f t="shared" si="508"/>
        <v>0</v>
      </c>
      <c r="HG72" s="63"/>
      <c r="HH72" s="63"/>
      <c r="HI72" s="63"/>
      <c r="HJ72" s="63"/>
      <c r="HK72" s="67">
        <f t="shared" si="509"/>
        <v>0</v>
      </c>
      <c r="HL72" s="68">
        <f t="shared" si="510"/>
        <v>0</v>
      </c>
      <c r="HM72" s="68">
        <f t="shared" si="510"/>
        <v>0</v>
      </c>
      <c r="HN72" s="68">
        <f t="shared" si="510"/>
        <v>0</v>
      </c>
      <c r="HO72" s="68">
        <f t="shared" si="510"/>
        <v>0</v>
      </c>
      <c r="HP72" s="67">
        <f t="shared" si="511"/>
        <v>0</v>
      </c>
      <c r="HQ72" s="63"/>
      <c r="HR72" s="63"/>
      <c r="HS72" s="63"/>
      <c r="HT72" s="63"/>
      <c r="HU72" s="67">
        <f t="shared" si="512"/>
        <v>0</v>
      </c>
      <c r="HV72" s="63"/>
      <c r="HW72" s="63"/>
      <c r="HX72" s="63"/>
      <c r="HY72" s="63"/>
      <c r="HZ72" s="67">
        <f t="shared" si="513"/>
        <v>0</v>
      </c>
      <c r="IA72" s="63"/>
      <c r="IB72" s="63"/>
      <c r="IC72" s="63"/>
      <c r="ID72" s="63"/>
      <c r="IE72" s="67">
        <f t="shared" si="514"/>
        <v>0</v>
      </c>
      <c r="IF72" s="68">
        <f t="shared" si="515"/>
        <v>0</v>
      </c>
      <c r="IG72" s="68">
        <f t="shared" si="515"/>
        <v>0</v>
      </c>
      <c r="IH72" s="68">
        <f t="shared" si="515"/>
        <v>0</v>
      </c>
      <c r="II72" s="68">
        <f t="shared" si="515"/>
        <v>0</v>
      </c>
      <c r="IJ72" s="67">
        <f t="shared" si="516"/>
        <v>0</v>
      </c>
      <c r="IK72" s="63"/>
      <c r="IL72" s="63"/>
      <c r="IM72" s="63"/>
      <c r="IN72" s="63"/>
      <c r="IO72" s="67">
        <f t="shared" si="517"/>
        <v>0</v>
      </c>
      <c r="IP72" s="63"/>
      <c r="IQ72" s="63"/>
      <c r="IR72" s="63"/>
      <c r="IS72" s="63"/>
      <c r="IT72" s="67">
        <f t="shared" si="518"/>
        <v>0</v>
      </c>
      <c r="IU72" s="63"/>
      <c r="IV72" s="63"/>
    </row>
    <row r="73" spans="1:256" ht="12.75" customHeight="1" x14ac:dyDescent="0.25">
      <c r="A73" s="117" t="s">
        <v>76</v>
      </c>
      <c r="B73" s="62">
        <v>0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4">
        <f t="shared" si="519"/>
        <v>0</v>
      </c>
      <c r="M73" s="62"/>
      <c r="N73" s="63"/>
      <c r="O73" s="63"/>
      <c r="P73" s="63"/>
      <c r="Q73" s="63"/>
      <c r="R73" s="63"/>
      <c r="S73" s="63"/>
      <c r="T73" s="63"/>
      <c r="U73" s="63"/>
      <c r="V73" s="63"/>
      <c r="W73" s="64">
        <f t="shared" si="485"/>
        <v>0</v>
      </c>
      <c r="X73" s="62"/>
      <c r="Y73" s="63"/>
      <c r="Z73" s="63"/>
      <c r="AA73" s="63"/>
      <c r="AB73" s="63"/>
      <c r="AC73" s="63"/>
      <c r="AD73" s="63"/>
      <c r="AE73" s="63"/>
      <c r="AF73" s="63"/>
      <c r="AG73" s="63"/>
      <c r="AH73" s="64">
        <f t="shared" si="486"/>
        <v>0</v>
      </c>
      <c r="AI73" s="62"/>
      <c r="AJ73" s="63"/>
      <c r="AK73" s="63"/>
      <c r="AL73" s="63"/>
      <c r="AM73" s="63"/>
      <c r="AN73" s="63"/>
      <c r="AO73" s="63"/>
      <c r="AP73" s="63"/>
      <c r="AQ73" s="63"/>
      <c r="AR73" s="63"/>
      <c r="AS73" s="64">
        <f t="shared" si="487"/>
        <v>0</v>
      </c>
      <c r="AT73" s="65">
        <f t="shared" si="488"/>
        <v>0</v>
      </c>
      <c r="AU73" s="65">
        <f t="shared" si="488"/>
        <v>0</v>
      </c>
      <c r="AV73" s="65">
        <f t="shared" si="488"/>
        <v>0</v>
      </c>
      <c r="AW73" s="65">
        <f t="shared" si="488"/>
        <v>0</v>
      </c>
      <c r="AX73" s="65">
        <f t="shared" si="488"/>
        <v>0</v>
      </c>
      <c r="AY73" s="65">
        <f t="shared" si="488"/>
        <v>0</v>
      </c>
      <c r="AZ73" s="65">
        <f t="shared" si="488"/>
        <v>0</v>
      </c>
      <c r="BA73" s="65">
        <f t="shared" si="488"/>
        <v>0</v>
      </c>
      <c r="BB73" s="65">
        <f t="shared" si="488"/>
        <v>0</v>
      </c>
      <c r="BC73" s="65">
        <f t="shared" si="488"/>
        <v>0</v>
      </c>
      <c r="BD73" s="64">
        <f t="shared" si="489"/>
        <v>0</v>
      </c>
      <c r="BE73" s="62"/>
      <c r="BF73" s="63"/>
      <c r="BG73" s="63"/>
      <c r="BH73" s="63"/>
      <c r="BI73" s="63"/>
      <c r="BJ73" s="63"/>
      <c r="BK73" s="63"/>
      <c r="BL73" s="63"/>
      <c r="BM73" s="63"/>
      <c r="BN73" s="63"/>
      <c r="BO73" s="64">
        <f t="shared" si="490"/>
        <v>0</v>
      </c>
      <c r="BP73" s="62"/>
      <c r="BQ73" s="63"/>
      <c r="BR73" s="63"/>
      <c r="BS73" s="63"/>
      <c r="BT73" s="63"/>
      <c r="BU73" s="63"/>
      <c r="BV73" s="63"/>
      <c r="BW73" s="63"/>
      <c r="BX73" s="63"/>
      <c r="BY73" s="63"/>
      <c r="BZ73" s="64">
        <f t="shared" si="491"/>
        <v>0</v>
      </c>
      <c r="CA73" s="62"/>
      <c r="CB73" s="63"/>
      <c r="CC73" s="63"/>
      <c r="CD73" s="63"/>
      <c r="CE73" s="63"/>
      <c r="CF73" s="63"/>
      <c r="CG73" s="63"/>
      <c r="CH73" s="63"/>
      <c r="CI73" s="63"/>
      <c r="CJ73" s="63"/>
      <c r="CK73" s="64">
        <f t="shared" si="492"/>
        <v>0</v>
      </c>
      <c r="CL73" s="65">
        <f t="shared" si="493"/>
        <v>0</v>
      </c>
      <c r="CM73" s="65">
        <f t="shared" si="493"/>
        <v>0</v>
      </c>
      <c r="CN73" s="65">
        <f t="shared" si="493"/>
        <v>0</v>
      </c>
      <c r="CO73" s="65">
        <f t="shared" si="493"/>
        <v>0</v>
      </c>
      <c r="CP73" s="65">
        <f t="shared" si="493"/>
        <v>0</v>
      </c>
      <c r="CQ73" s="65">
        <f t="shared" si="493"/>
        <v>0</v>
      </c>
      <c r="CR73" s="65">
        <f t="shared" si="493"/>
        <v>0</v>
      </c>
      <c r="CS73" s="65">
        <f t="shared" si="493"/>
        <v>0</v>
      </c>
      <c r="CT73" s="65">
        <f t="shared" si="493"/>
        <v>0</v>
      </c>
      <c r="CU73" s="65">
        <f t="shared" si="493"/>
        <v>0</v>
      </c>
      <c r="CV73" s="64">
        <f t="shared" si="494"/>
        <v>0</v>
      </c>
      <c r="CW73" s="62"/>
      <c r="CX73" s="63"/>
      <c r="CY73" s="63"/>
      <c r="CZ73" s="63"/>
      <c r="DA73" s="63"/>
      <c r="DB73" s="63"/>
      <c r="DC73" s="63"/>
      <c r="DD73" s="63"/>
      <c r="DE73" s="63"/>
      <c r="DF73" s="63"/>
      <c r="DG73" s="64">
        <f t="shared" si="495"/>
        <v>0</v>
      </c>
      <c r="DH73" s="62"/>
      <c r="DI73" s="63"/>
      <c r="DJ73" s="63"/>
      <c r="DK73" s="63"/>
      <c r="DL73" s="63"/>
      <c r="DM73" s="63"/>
      <c r="DN73" s="63"/>
      <c r="DO73" s="63"/>
      <c r="DP73" s="63"/>
      <c r="DQ73" s="63"/>
      <c r="DR73" s="64">
        <f t="shared" si="496"/>
        <v>0</v>
      </c>
      <c r="DS73" s="62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5">
        <f t="shared" si="497"/>
        <v>0</v>
      </c>
      <c r="EE73" s="65">
        <f t="shared" si="497"/>
        <v>0</v>
      </c>
      <c r="EF73" s="65">
        <f t="shared" si="497"/>
        <v>0</v>
      </c>
      <c r="EG73" s="65">
        <f t="shared" si="497"/>
        <v>0</v>
      </c>
      <c r="EH73" s="65">
        <f t="shared" si="497"/>
        <v>0</v>
      </c>
      <c r="EI73" s="65">
        <f t="shared" si="497"/>
        <v>0</v>
      </c>
      <c r="EJ73" s="65">
        <f t="shared" si="497"/>
        <v>0</v>
      </c>
      <c r="EK73" s="65">
        <f t="shared" si="497"/>
        <v>0</v>
      </c>
      <c r="EL73" s="65">
        <f t="shared" si="497"/>
        <v>0</v>
      </c>
      <c r="EM73" s="65">
        <f t="shared" si="497"/>
        <v>0</v>
      </c>
      <c r="EN73" s="64">
        <f t="shared" si="498"/>
        <v>0</v>
      </c>
      <c r="EO73" s="62"/>
      <c r="EP73" s="63"/>
      <c r="EQ73" s="63"/>
      <c r="ER73" s="63"/>
      <c r="ES73" s="63"/>
      <c r="ET73" s="63"/>
      <c r="EU73" s="63"/>
      <c r="EV73" s="63"/>
      <c r="EW73" s="63"/>
      <c r="EX73" s="63"/>
      <c r="EY73" s="64">
        <f t="shared" si="499"/>
        <v>0</v>
      </c>
      <c r="EZ73" s="62"/>
      <c r="FA73" s="63"/>
      <c r="FB73" s="63"/>
      <c r="FC73" s="63"/>
      <c r="FD73" s="63"/>
      <c r="FE73" s="63"/>
      <c r="FF73" s="63"/>
      <c r="FG73" s="63"/>
      <c r="FH73" s="63"/>
      <c r="FI73" s="63"/>
      <c r="FJ73" s="64">
        <f t="shared" si="500"/>
        <v>0</v>
      </c>
      <c r="FK73" s="62"/>
      <c r="FL73" s="63"/>
      <c r="FM73" s="63"/>
      <c r="FN73" s="63"/>
      <c r="FO73" s="63"/>
      <c r="FP73" s="63"/>
      <c r="FQ73" s="63"/>
      <c r="FR73" s="63"/>
      <c r="FS73" s="63"/>
      <c r="FT73" s="63"/>
      <c r="FU73" s="64">
        <f t="shared" si="501"/>
        <v>0</v>
      </c>
      <c r="FV73" s="65">
        <f t="shared" si="502"/>
        <v>0</v>
      </c>
      <c r="FW73" s="65">
        <f t="shared" si="502"/>
        <v>0</v>
      </c>
      <c r="FX73" s="65">
        <f t="shared" si="502"/>
        <v>0</v>
      </c>
      <c r="FY73" s="65">
        <f t="shared" si="502"/>
        <v>0</v>
      </c>
      <c r="FZ73" s="65">
        <f t="shared" si="502"/>
        <v>0</v>
      </c>
      <c r="GA73" s="65">
        <f t="shared" si="502"/>
        <v>0</v>
      </c>
      <c r="GB73" s="65">
        <f t="shared" si="502"/>
        <v>0</v>
      </c>
      <c r="GC73" s="65">
        <f t="shared" si="502"/>
        <v>0</v>
      </c>
      <c r="GD73" s="65">
        <f t="shared" si="502"/>
        <v>0</v>
      </c>
      <c r="GE73" s="65">
        <f t="shared" si="502"/>
        <v>0</v>
      </c>
      <c r="GF73" s="64">
        <f t="shared" si="503"/>
        <v>0</v>
      </c>
      <c r="GG73" s="66">
        <f t="shared" si="504"/>
        <v>0</v>
      </c>
      <c r="GH73" s="66">
        <f t="shared" si="504"/>
        <v>0</v>
      </c>
      <c r="GI73" s="66">
        <f t="shared" si="504"/>
        <v>0</v>
      </c>
      <c r="GJ73" s="66">
        <f t="shared" si="504"/>
        <v>0</v>
      </c>
      <c r="GK73" s="66">
        <f t="shared" si="504"/>
        <v>0</v>
      </c>
      <c r="GL73" s="66">
        <f t="shared" si="504"/>
        <v>0</v>
      </c>
      <c r="GM73" s="66">
        <f t="shared" si="504"/>
        <v>0</v>
      </c>
      <c r="GN73" s="66">
        <f t="shared" si="504"/>
        <v>0</v>
      </c>
      <c r="GO73" s="66">
        <f t="shared" si="504"/>
        <v>0</v>
      </c>
      <c r="GP73" s="66">
        <f t="shared" si="504"/>
        <v>0</v>
      </c>
      <c r="GQ73" s="64">
        <f t="shared" si="505"/>
        <v>0</v>
      </c>
      <c r="GR73" s="63"/>
      <c r="GS73" s="63">
        <v>0</v>
      </c>
      <c r="GT73" s="63">
        <v>0</v>
      </c>
      <c r="GU73" s="63">
        <v>0</v>
      </c>
      <c r="GV73" s="67">
        <f t="shared" si="506"/>
        <v>0</v>
      </c>
      <c r="GW73" s="63"/>
      <c r="GX73" s="63"/>
      <c r="GY73" s="63"/>
      <c r="GZ73" s="63"/>
      <c r="HA73" s="67">
        <f t="shared" si="507"/>
        <v>0</v>
      </c>
      <c r="HB73" s="63"/>
      <c r="HC73" s="63"/>
      <c r="HD73" s="63"/>
      <c r="HE73" s="63"/>
      <c r="HF73" s="67">
        <f t="shared" si="508"/>
        <v>0</v>
      </c>
      <c r="HG73" s="63"/>
      <c r="HH73" s="63"/>
      <c r="HI73" s="63"/>
      <c r="HJ73" s="63"/>
      <c r="HK73" s="67">
        <f t="shared" si="509"/>
        <v>0</v>
      </c>
      <c r="HL73" s="68">
        <f t="shared" si="510"/>
        <v>0</v>
      </c>
      <c r="HM73" s="68">
        <f t="shared" si="510"/>
        <v>0</v>
      </c>
      <c r="HN73" s="68">
        <f t="shared" si="510"/>
        <v>0</v>
      </c>
      <c r="HO73" s="68">
        <f t="shared" si="510"/>
        <v>0</v>
      </c>
      <c r="HP73" s="67">
        <f t="shared" si="511"/>
        <v>0</v>
      </c>
      <c r="HQ73" s="63"/>
      <c r="HR73" s="63"/>
      <c r="HS73" s="63"/>
      <c r="HT73" s="63"/>
      <c r="HU73" s="67">
        <f t="shared" si="512"/>
        <v>0</v>
      </c>
      <c r="HV73" s="63"/>
      <c r="HW73" s="63"/>
      <c r="HX73" s="63"/>
      <c r="HY73" s="63"/>
      <c r="HZ73" s="67">
        <f t="shared" si="513"/>
        <v>0</v>
      </c>
      <c r="IA73" s="63"/>
      <c r="IB73" s="63"/>
      <c r="IC73" s="63"/>
      <c r="ID73" s="63"/>
      <c r="IE73" s="67">
        <f t="shared" si="514"/>
        <v>0</v>
      </c>
      <c r="IF73" s="68">
        <f t="shared" si="515"/>
        <v>0</v>
      </c>
      <c r="IG73" s="68">
        <f t="shared" si="515"/>
        <v>0</v>
      </c>
      <c r="IH73" s="68">
        <f t="shared" si="515"/>
        <v>0</v>
      </c>
      <c r="II73" s="68">
        <f t="shared" si="515"/>
        <v>0</v>
      </c>
      <c r="IJ73" s="67">
        <f t="shared" si="516"/>
        <v>0</v>
      </c>
      <c r="IK73" s="63"/>
      <c r="IL73" s="63"/>
      <c r="IM73" s="63"/>
      <c r="IN73" s="63"/>
      <c r="IO73" s="67">
        <f t="shared" si="517"/>
        <v>0</v>
      </c>
      <c r="IP73" s="63"/>
      <c r="IQ73" s="63"/>
      <c r="IR73" s="63"/>
      <c r="IS73" s="63"/>
      <c r="IT73" s="67">
        <f t="shared" si="518"/>
        <v>0</v>
      </c>
      <c r="IU73" s="63"/>
      <c r="IV73" s="63"/>
    </row>
    <row r="74" spans="1:256" ht="12.75" customHeight="1" x14ac:dyDescent="0.25">
      <c r="A74" s="117" t="s">
        <v>77</v>
      </c>
      <c r="B74" s="62">
        <v>60</v>
      </c>
      <c r="C74" s="63">
        <v>0</v>
      </c>
      <c r="D74" s="63">
        <v>0</v>
      </c>
      <c r="E74" s="63">
        <v>0</v>
      </c>
      <c r="F74" s="63">
        <v>0</v>
      </c>
      <c r="G74" s="63">
        <v>60</v>
      </c>
      <c r="H74" s="63">
        <v>0</v>
      </c>
      <c r="I74" s="63">
        <v>0</v>
      </c>
      <c r="J74" s="63">
        <v>0</v>
      </c>
      <c r="K74" s="63">
        <v>0</v>
      </c>
      <c r="L74" s="64">
        <f t="shared" si="519"/>
        <v>0</v>
      </c>
      <c r="M74" s="62"/>
      <c r="N74" s="63"/>
      <c r="O74" s="63"/>
      <c r="P74" s="63"/>
      <c r="Q74" s="63"/>
      <c r="R74" s="63"/>
      <c r="S74" s="63"/>
      <c r="T74" s="63"/>
      <c r="U74" s="63"/>
      <c r="V74" s="63"/>
      <c r="W74" s="64">
        <f t="shared" si="485"/>
        <v>0</v>
      </c>
      <c r="X74" s="62"/>
      <c r="Y74" s="63"/>
      <c r="Z74" s="63"/>
      <c r="AA74" s="63"/>
      <c r="AB74" s="63"/>
      <c r="AC74" s="63"/>
      <c r="AD74" s="63"/>
      <c r="AE74" s="63"/>
      <c r="AF74" s="63"/>
      <c r="AG74" s="63"/>
      <c r="AH74" s="64">
        <f t="shared" si="486"/>
        <v>0</v>
      </c>
      <c r="AI74" s="62"/>
      <c r="AJ74" s="63"/>
      <c r="AK74" s="63"/>
      <c r="AL74" s="63"/>
      <c r="AM74" s="63"/>
      <c r="AN74" s="63"/>
      <c r="AO74" s="63"/>
      <c r="AP74" s="63"/>
      <c r="AQ74" s="63"/>
      <c r="AR74" s="63"/>
      <c r="AS74" s="64">
        <f t="shared" si="487"/>
        <v>0</v>
      </c>
      <c r="AT74" s="65">
        <f t="shared" si="488"/>
        <v>0</v>
      </c>
      <c r="AU74" s="65">
        <f t="shared" si="488"/>
        <v>0</v>
      </c>
      <c r="AV74" s="65">
        <f t="shared" si="488"/>
        <v>0</v>
      </c>
      <c r="AW74" s="65">
        <f t="shared" si="488"/>
        <v>0</v>
      </c>
      <c r="AX74" s="65">
        <f t="shared" si="488"/>
        <v>0</v>
      </c>
      <c r="AY74" s="65">
        <f t="shared" si="488"/>
        <v>0</v>
      </c>
      <c r="AZ74" s="65">
        <f t="shared" si="488"/>
        <v>0</v>
      </c>
      <c r="BA74" s="65">
        <f t="shared" si="488"/>
        <v>0</v>
      </c>
      <c r="BB74" s="65">
        <f t="shared" si="488"/>
        <v>0</v>
      </c>
      <c r="BC74" s="65">
        <f t="shared" si="488"/>
        <v>0</v>
      </c>
      <c r="BD74" s="64">
        <f t="shared" si="489"/>
        <v>0</v>
      </c>
      <c r="BE74" s="62"/>
      <c r="BF74" s="63"/>
      <c r="BG74" s="63"/>
      <c r="BH74" s="63"/>
      <c r="BI74" s="63"/>
      <c r="BJ74" s="63"/>
      <c r="BK74" s="63"/>
      <c r="BL74" s="63"/>
      <c r="BM74" s="63"/>
      <c r="BN74" s="63"/>
      <c r="BO74" s="64">
        <f t="shared" si="490"/>
        <v>0</v>
      </c>
      <c r="BP74" s="62"/>
      <c r="BQ74" s="63"/>
      <c r="BR74" s="63"/>
      <c r="BS74" s="63"/>
      <c r="BT74" s="63"/>
      <c r="BU74" s="63"/>
      <c r="BV74" s="63"/>
      <c r="BW74" s="63"/>
      <c r="BX74" s="63"/>
      <c r="BY74" s="63"/>
      <c r="BZ74" s="64">
        <f t="shared" si="491"/>
        <v>0</v>
      </c>
      <c r="CA74" s="62"/>
      <c r="CB74" s="63"/>
      <c r="CC74" s="63"/>
      <c r="CD74" s="63"/>
      <c r="CE74" s="63"/>
      <c r="CF74" s="63"/>
      <c r="CG74" s="63"/>
      <c r="CH74" s="63"/>
      <c r="CI74" s="63"/>
      <c r="CJ74" s="63"/>
      <c r="CK74" s="64">
        <f t="shared" si="492"/>
        <v>0</v>
      </c>
      <c r="CL74" s="65">
        <f t="shared" si="493"/>
        <v>0</v>
      </c>
      <c r="CM74" s="65">
        <f t="shared" si="493"/>
        <v>0</v>
      </c>
      <c r="CN74" s="65">
        <f t="shared" si="493"/>
        <v>0</v>
      </c>
      <c r="CO74" s="65">
        <f t="shared" si="493"/>
        <v>0</v>
      </c>
      <c r="CP74" s="65">
        <f t="shared" si="493"/>
        <v>0</v>
      </c>
      <c r="CQ74" s="65">
        <f t="shared" si="493"/>
        <v>0</v>
      </c>
      <c r="CR74" s="65">
        <f t="shared" si="493"/>
        <v>0</v>
      </c>
      <c r="CS74" s="65">
        <f t="shared" si="493"/>
        <v>0</v>
      </c>
      <c r="CT74" s="65">
        <f t="shared" si="493"/>
        <v>0</v>
      </c>
      <c r="CU74" s="65">
        <f t="shared" si="493"/>
        <v>0</v>
      </c>
      <c r="CV74" s="64">
        <f t="shared" si="494"/>
        <v>0</v>
      </c>
      <c r="CW74" s="62"/>
      <c r="CX74" s="63"/>
      <c r="CY74" s="63"/>
      <c r="CZ74" s="63"/>
      <c r="DA74" s="63"/>
      <c r="DB74" s="63"/>
      <c r="DC74" s="63"/>
      <c r="DD74" s="63"/>
      <c r="DE74" s="63"/>
      <c r="DF74" s="63"/>
      <c r="DG74" s="64">
        <f t="shared" si="495"/>
        <v>0</v>
      </c>
      <c r="DH74" s="62"/>
      <c r="DI74" s="63"/>
      <c r="DJ74" s="63"/>
      <c r="DK74" s="63"/>
      <c r="DL74" s="63"/>
      <c r="DM74" s="63"/>
      <c r="DN74" s="63"/>
      <c r="DO74" s="63"/>
      <c r="DP74" s="63"/>
      <c r="DQ74" s="63"/>
      <c r="DR74" s="64">
        <f t="shared" si="496"/>
        <v>0</v>
      </c>
      <c r="DS74" s="62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5">
        <f t="shared" si="497"/>
        <v>0</v>
      </c>
      <c r="EE74" s="65">
        <f t="shared" si="497"/>
        <v>0</v>
      </c>
      <c r="EF74" s="65">
        <f t="shared" si="497"/>
        <v>0</v>
      </c>
      <c r="EG74" s="65">
        <f t="shared" si="497"/>
        <v>0</v>
      </c>
      <c r="EH74" s="65">
        <f t="shared" si="497"/>
        <v>0</v>
      </c>
      <c r="EI74" s="65">
        <f t="shared" si="497"/>
        <v>0</v>
      </c>
      <c r="EJ74" s="65">
        <f t="shared" si="497"/>
        <v>0</v>
      </c>
      <c r="EK74" s="65">
        <f t="shared" si="497"/>
        <v>0</v>
      </c>
      <c r="EL74" s="65">
        <f t="shared" si="497"/>
        <v>0</v>
      </c>
      <c r="EM74" s="65">
        <f t="shared" si="497"/>
        <v>0</v>
      </c>
      <c r="EN74" s="64">
        <f t="shared" si="498"/>
        <v>0</v>
      </c>
      <c r="EO74" s="62"/>
      <c r="EP74" s="63"/>
      <c r="EQ74" s="63"/>
      <c r="ER74" s="63"/>
      <c r="ES74" s="63"/>
      <c r="ET74" s="63"/>
      <c r="EU74" s="63"/>
      <c r="EV74" s="63"/>
      <c r="EW74" s="63"/>
      <c r="EX74" s="63"/>
      <c r="EY74" s="64">
        <f t="shared" si="499"/>
        <v>0</v>
      </c>
      <c r="EZ74" s="62"/>
      <c r="FA74" s="63"/>
      <c r="FB74" s="63"/>
      <c r="FC74" s="63"/>
      <c r="FD74" s="63"/>
      <c r="FE74" s="63"/>
      <c r="FF74" s="63"/>
      <c r="FG74" s="63"/>
      <c r="FH74" s="63"/>
      <c r="FI74" s="63"/>
      <c r="FJ74" s="64">
        <f t="shared" si="500"/>
        <v>0</v>
      </c>
      <c r="FK74" s="62"/>
      <c r="FL74" s="63"/>
      <c r="FM74" s="63"/>
      <c r="FN74" s="63"/>
      <c r="FO74" s="63"/>
      <c r="FP74" s="63"/>
      <c r="FQ74" s="63"/>
      <c r="FR74" s="63"/>
      <c r="FS74" s="63"/>
      <c r="FT74" s="63"/>
      <c r="FU74" s="64">
        <f t="shared" si="501"/>
        <v>0</v>
      </c>
      <c r="FV74" s="65">
        <f t="shared" si="502"/>
        <v>0</v>
      </c>
      <c r="FW74" s="65">
        <f t="shared" si="502"/>
        <v>0</v>
      </c>
      <c r="FX74" s="65">
        <f t="shared" si="502"/>
        <v>0</v>
      </c>
      <c r="FY74" s="65">
        <f t="shared" si="502"/>
        <v>0</v>
      </c>
      <c r="FZ74" s="65">
        <f t="shared" si="502"/>
        <v>0</v>
      </c>
      <c r="GA74" s="65">
        <f t="shared" si="502"/>
        <v>0</v>
      </c>
      <c r="GB74" s="65">
        <f t="shared" si="502"/>
        <v>0</v>
      </c>
      <c r="GC74" s="65">
        <f t="shared" si="502"/>
        <v>0</v>
      </c>
      <c r="GD74" s="65">
        <f t="shared" si="502"/>
        <v>0</v>
      </c>
      <c r="GE74" s="65">
        <f t="shared" si="502"/>
        <v>0</v>
      </c>
      <c r="GF74" s="64">
        <f t="shared" si="503"/>
        <v>0</v>
      </c>
      <c r="GG74" s="66">
        <f t="shared" si="504"/>
        <v>0</v>
      </c>
      <c r="GH74" s="66">
        <f t="shared" si="504"/>
        <v>0</v>
      </c>
      <c r="GI74" s="66">
        <f t="shared" si="504"/>
        <v>0</v>
      </c>
      <c r="GJ74" s="66">
        <f t="shared" si="504"/>
        <v>0</v>
      </c>
      <c r="GK74" s="66">
        <f t="shared" si="504"/>
        <v>0</v>
      </c>
      <c r="GL74" s="66">
        <f t="shared" si="504"/>
        <v>0</v>
      </c>
      <c r="GM74" s="66">
        <f t="shared" si="504"/>
        <v>0</v>
      </c>
      <c r="GN74" s="66">
        <f t="shared" si="504"/>
        <v>0</v>
      </c>
      <c r="GO74" s="66">
        <f t="shared" si="504"/>
        <v>0</v>
      </c>
      <c r="GP74" s="66">
        <f t="shared" si="504"/>
        <v>0</v>
      </c>
      <c r="GQ74" s="64">
        <f t="shared" si="505"/>
        <v>0</v>
      </c>
      <c r="GR74" s="63"/>
      <c r="GS74" s="63"/>
      <c r="GT74" s="63">
        <v>0</v>
      </c>
      <c r="GU74" s="63">
        <v>0</v>
      </c>
      <c r="GV74" s="67">
        <f t="shared" si="506"/>
        <v>0</v>
      </c>
      <c r="GW74" s="63"/>
      <c r="GX74" s="63"/>
      <c r="GY74" s="63"/>
      <c r="GZ74" s="63"/>
      <c r="HA74" s="67">
        <f t="shared" si="507"/>
        <v>0</v>
      </c>
      <c r="HB74" s="63"/>
      <c r="HC74" s="63"/>
      <c r="HD74" s="63"/>
      <c r="HE74" s="63"/>
      <c r="HF74" s="67">
        <f t="shared" si="508"/>
        <v>0</v>
      </c>
      <c r="HG74" s="63"/>
      <c r="HH74" s="63"/>
      <c r="HI74" s="63"/>
      <c r="HJ74" s="63"/>
      <c r="HK74" s="67">
        <f t="shared" si="509"/>
        <v>0</v>
      </c>
      <c r="HL74" s="68">
        <f t="shared" si="510"/>
        <v>0</v>
      </c>
      <c r="HM74" s="68">
        <f t="shared" si="510"/>
        <v>0</v>
      </c>
      <c r="HN74" s="68">
        <f t="shared" si="510"/>
        <v>0</v>
      </c>
      <c r="HO74" s="68">
        <f t="shared" si="510"/>
        <v>0</v>
      </c>
      <c r="HP74" s="67">
        <f t="shared" si="511"/>
        <v>0</v>
      </c>
      <c r="HQ74" s="63"/>
      <c r="HR74" s="63"/>
      <c r="HS74" s="63"/>
      <c r="HT74" s="63"/>
      <c r="HU74" s="67">
        <f t="shared" si="512"/>
        <v>0</v>
      </c>
      <c r="HV74" s="63"/>
      <c r="HW74" s="63"/>
      <c r="HX74" s="63"/>
      <c r="HY74" s="63"/>
      <c r="HZ74" s="67">
        <f t="shared" si="513"/>
        <v>0</v>
      </c>
      <c r="IA74" s="63"/>
      <c r="IB74" s="63"/>
      <c r="IC74" s="63"/>
      <c r="ID74" s="63"/>
      <c r="IE74" s="67">
        <f t="shared" si="514"/>
        <v>0</v>
      </c>
      <c r="IF74" s="68">
        <f t="shared" si="515"/>
        <v>0</v>
      </c>
      <c r="IG74" s="68">
        <f t="shared" si="515"/>
        <v>0</v>
      </c>
      <c r="IH74" s="68">
        <f t="shared" si="515"/>
        <v>0</v>
      </c>
      <c r="II74" s="68">
        <f t="shared" si="515"/>
        <v>0</v>
      </c>
      <c r="IJ74" s="67">
        <f t="shared" si="516"/>
        <v>0</v>
      </c>
      <c r="IK74" s="63"/>
      <c r="IL74" s="63"/>
      <c r="IM74" s="63"/>
      <c r="IN74" s="63"/>
      <c r="IO74" s="67">
        <f t="shared" si="517"/>
        <v>0</v>
      </c>
      <c r="IP74" s="63"/>
      <c r="IQ74" s="63"/>
      <c r="IR74" s="63"/>
      <c r="IS74" s="63"/>
      <c r="IT74" s="67">
        <f t="shared" si="518"/>
        <v>0</v>
      </c>
      <c r="IU74" s="63"/>
      <c r="IV74" s="63"/>
    </row>
    <row r="75" spans="1:256" ht="12.75" customHeight="1" x14ac:dyDescent="0.25">
      <c r="A75" s="117" t="s">
        <v>78</v>
      </c>
      <c r="B75" s="62">
        <v>0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4">
        <f t="shared" si="519"/>
        <v>0</v>
      </c>
      <c r="M75" s="62"/>
      <c r="N75" s="63"/>
      <c r="O75" s="63"/>
      <c r="P75" s="63"/>
      <c r="Q75" s="63"/>
      <c r="R75" s="63"/>
      <c r="S75" s="63"/>
      <c r="T75" s="63"/>
      <c r="U75" s="63"/>
      <c r="V75" s="63"/>
      <c r="W75" s="64">
        <f t="shared" si="485"/>
        <v>0</v>
      </c>
      <c r="X75" s="62"/>
      <c r="Y75" s="63"/>
      <c r="Z75" s="63"/>
      <c r="AA75" s="63"/>
      <c r="AB75" s="63"/>
      <c r="AC75" s="63"/>
      <c r="AD75" s="63"/>
      <c r="AE75" s="63"/>
      <c r="AF75" s="63"/>
      <c r="AG75" s="63"/>
      <c r="AH75" s="64">
        <f t="shared" si="486"/>
        <v>0</v>
      </c>
      <c r="AI75" s="62"/>
      <c r="AJ75" s="63"/>
      <c r="AK75" s="63"/>
      <c r="AL75" s="63"/>
      <c r="AM75" s="63"/>
      <c r="AN75" s="63"/>
      <c r="AO75" s="63"/>
      <c r="AP75" s="63"/>
      <c r="AQ75" s="63"/>
      <c r="AR75" s="63"/>
      <c r="AS75" s="64">
        <f t="shared" si="487"/>
        <v>0</v>
      </c>
      <c r="AT75" s="65">
        <f t="shared" si="488"/>
        <v>0</v>
      </c>
      <c r="AU75" s="65">
        <f t="shared" si="488"/>
        <v>0</v>
      </c>
      <c r="AV75" s="65">
        <f t="shared" si="488"/>
        <v>0</v>
      </c>
      <c r="AW75" s="65">
        <f t="shared" si="488"/>
        <v>0</v>
      </c>
      <c r="AX75" s="65">
        <f t="shared" si="488"/>
        <v>0</v>
      </c>
      <c r="AY75" s="65">
        <f t="shared" si="488"/>
        <v>0</v>
      </c>
      <c r="AZ75" s="65">
        <f t="shared" si="488"/>
        <v>0</v>
      </c>
      <c r="BA75" s="65">
        <f t="shared" si="488"/>
        <v>0</v>
      </c>
      <c r="BB75" s="65">
        <f t="shared" si="488"/>
        <v>0</v>
      </c>
      <c r="BC75" s="65">
        <f t="shared" si="488"/>
        <v>0</v>
      </c>
      <c r="BD75" s="64">
        <f t="shared" si="489"/>
        <v>0</v>
      </c>
      <c r="BE75" s="62"/>
      <c r="BF75" s="63"/>
      <c r="BG75" s="63"/>
      <c r="BH75" s="63"/>
      <c r="BI75" s="63"/>
      <c r="BJ75" s="63"/>
      <c r="BK75" s="63"/>
      <c r="BL75" s="63"/>
      <c r="BM75" s="63"/>
      <c r="BN75" s="63"/>
      <c r="BO75" s="64">
        <f t="shared" si="490"/>
        <v>0</v>
      </c>
      <c r="BP75" s="62"/>
      <c r="BQ75" s="63"/>
      <c r="BR75" s="63"/>
      <c r="BS75" s="63"/>
      <c r="BT75" s="63"/>
      <c r="BU75" s="63"/>
      <c r="BV75" s="63"/>
      <c r="BW75" s="63"/>
      <c r="BX75" s="63"/>
      <c r="BY75" s="63"/>
      <c r="BZ75" s="64">
        <f t="shared" si="491"/>
        <v>0</v>
      </c>
      <c r="CA75" s="62"/>
      <c r="CB75" s="63"/>
      <c r="CC75" s="63"/>
      <c r="CD75" s="63"/>
      <c r="CE75" s="63"/>
      <c r="CF75" s="63"/>
      <c r="CG75" s="63"/>
      <c r="CH75" s="63"/>
      <c r="CI75" s="63"/>
      <c r="CJ75" s="63"/>
      <c r="CK75" s="64">
        <f t="shared" si="492"/>
        <v>0</v>
      </c>
      <c r="CL75" s="65">
        <f t="shared" si="493"/>
        <v>0</v>
      </c>
      <c r="CM75" s="65">
        <f t="shared" si="493"/>
        <v>0</v>
      </c>
      <c r="CN75" s="65">
        <f t="shared" si="493"/>
        <v>0</v>
      </c>
      <c r="CO75" s="65">
        <f t="shared" si="493"/>
        <v>0</v>
      </c>
      <c r="CP75" s="65">
        <f t="shared" si="493"/>
        <v>0</v>
      </c>
      <c r="CQ75" s="65">
        <f t="shared" si="493"/>
        <v>0</v>
      </c>
      <c r="CR75" s="65">
        <f t="shared" si="493"/>
        <v>0</v>
      </c>
      <c r="CS75" s="65">
        <f t="shared" si="493"/>
        <v>0</v>
      </c>
      <c r="CT75" s="65">
        <f t="shared" si="493"/>
        <v>0</v>
      </c>
      <c r="CU75" s="65">
        <f t="shared" si="493"/>
        <v>0</v>
      </c>
      <c r="CV75" s="64">
        <f t="shared" si="494"/>
        <v>0</v>
      </c>
      <c r="CW75" s="62"/>
      <c r="CX75" s="63"/>
      <c r="CY75" s="63"/>
      <c r="CZ75" s="63"/>
      <c r="DA75" s="63"/>
      <c r="DB75" s="63"/>
      <c r="DC75" s="63"/>
      <c r="DD75" s="63"/>
      <c r="DE75" s="63"/>
      <c r="DF75" s="63"/>
      <c r="DG75" s="64">
        <f t="shared" si="495"/>
        <v>0</v>
      </c>
      <c r="DH75" s="62"/>
      <c r="DI75" s="63"/>
      <c r="DJ75" s="63"/>
      <c r="DK75" s="63"/>
      <c r="DL75" s="63"/>
      <c r="DM75" s="63"/>
      <c r="DN75" s="63"/>
      <c r="DO75" s="63"/>
      <c r="DP75" s="63"/>
      <c r="DQ75" s="63"/>
      <c r="DR75" s="64">
        <f t="shared" si="496"/>
        <v>0</v>
      </c>
      <c r="DS75" s="62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5">
        <f t="shared" si="497"/>
        <v>0</v>
      </c>
      <c r="EE75" s="65">
        <f t="shared" si="497"/>
        <v>0</v>
      </c>
      <c r="EF75" s="65">
        <f t="shared" si="497"/>
        <v>0</v>
      </c>
      <c r="EG75" s="65">
        <f t="shared" si="497"/>
        <v>0</v>
      </c>
      <c r="EH75" s="65">
        <f t="shared" si="497"/>
        <v>0</v>
      </c>
      <c r="EI75" s="65">
        <f t="shared" si="497"/>
        <v>0</v>
      </c>
      <c r="EJ75" s="65">
        <f t="shared" si="497"/>
        <v>0</v>
      </c>
      <c r="EK75" s="65">
        <f t="shared" si="497"/>
        <v>0</v>
      </c>
      <c r="EL75" s="65">
        <f t="shared" si="497"/>
        <v>0</v>
      </c>
      <c r="EM75" s="65">
        <f t="shared" si="497"/>
        <v>0</v>
      </c>
      <c r="EN75" s="64">
        <f t="shared" si="498"/>
        <v>0</v>
      </c>
      <c r="EO75" s="62"/>
      <c r="EP75" s="63"/>
      <c r="EQ75" s="63"/>
      <c r="ER75" s="63"/>
      <c r="ES75" s="63"/>
      <c r="ET75" s="63"/>
      <c r="EU75" s="63"/>
      <c r="EV75" s="63"/>
      <c r="EW75" s="63"/>
      <c r="EX75" s="63"/>
      <c r="EY75" s="64">
        <f t="shared" si="499"/>
        <v>0</v>
      </c>
      <c r="EZ75" s="62"/>
      <c r="FA75" s="63"/>
      <c r="FB75" s="63"/>
      <c r="FC75" s="63"/>
      <c r="FD75" s="63"/>
      <c r="FE75" s="63"/>
      <c r="FF75" s="63"/>
      <c r="FG75" s="63"/>
      <c r="FH75" s="63"/>
      <c r="FI75" s="63"/>
      <c r="FJ75" s="64">
        <f t="shared" si="500"/>
        <v>0</v>
      </c>
      <c r="FK75" s="62"/>
      <c r="FL75" s="63"/>
      <c r="FM75" s="63"/>
      <c r="FN75" s="63"/>
      <c r="FO75" s="63"/>
      <c r="FP75" s="63"/>
      <c r="FQ75" s="63"/>
      <c r="FR75" s="63"/>
      <c r="FS75" s="63"/>
      <c r="FT75" s="63"/>
      <c r="FU75" s="64">
        <f t="shared" si="501"/>
        <v>0</v>
      </c>
      <c r="FV75" s="65">
        <f t="shared" si="502"/>
        <v>0</v>
      </c>
      <c r="FW75" s="65">
        <f t="shared" si="502"/>
        <v>0</v>
      </c>
      <c r="FX75" s="65">
        <f t="shared" si="502"/>
        <v>0</v>
      </c>
      <c r="FY75" s="65">
        <f t="shared" si="502"/>
        <v>0</v>
      </c>
      <c r="FZ75" s="65">
        <f t="shared" si="502"/>
        <v>0</v>
      </c>
      <c r="GA75" s="65">
        <f t="shared" si="502"/>
        <v>0</v>
      </c>
      <c r="GB75" s="65">
        <f t="shared" si="502"/>
        <v>0</v>
      </c>
      <c r="GC75" s="65">
        <f t="shared" si="502"/>
        <v>0</v>
      </c>
      <c r="GD75" s="65">
        <f t="shared" si="502"/>
        <v>0</v>
      </c>
      <c r="GE75" s="65">
        <f t="shared" si="502"/>
        <v>0</v>
      </c>
      <c r="GF75" s="64">
        <f t="shared" si="503"/>
        <v>0</v>
      </c>
      <c r="GG75" s="66">
        <f t="shared" si="504"/>
        <v>0</v>
      </c>
      <c r="GH75" s="66">
        <f t="shared" si="504"/>
        <v>0</v>
      </c>
      <c r="GI75" s="66">
        <f t="shared" si="504"/>
        <v>0</v>
      </c>
      <c r="GJ75" s="66">
        <f t="shared" si="504"/>
        <v>0</v>
      </c>
      <c r="GK75" s="66">
        <f t="shared" si="504"/>
        <v>0</v>
      </c>
      <c r="GL75" s="66">
        <f t="shared" si="504"/>
        <v>0</v>
      </c>
      <c r="GM75" s="66">
        <f t="shared" si="504"/>
        <v>0</v>
      </c>
      <c r="GN75" s="66">
        <f t="shared" si="504"/>
        <v>0</v>
      </c>
      <c r="GO75" s="66">
        <f t="shared" si="504"/>
        <v>0</v>
      </c>
      <c r="GP75" s="66">
        <f t="shared" si="504"/>
        <v>0</v>
      </c>
      <c r="GQ75" s="64">
        <f t="shared" si="505"/>
        <v>0</v>
      </c>
      <c r="GR75" s="63"/>
      <c r="GS75" s="63">
        <v>0</v>
      </c>
      <c r="GT75" s="63">
        <v>0</v>
      </c>
      <c r="GU75" s="63">
        <v>0</v>
      </c>
      <c r="GV75" s="67">
        <f t="shared" si="506"/>
        <v>0</v>
      </c>
      <c r="GW75" s="63"/>
      <c r="GX75" s="63"/>
      <c r="GY75" s="63"/>
      <c r="GZ75" s="63"/>
      <c r="HA75" s="67">
        <f t="shared" si="507"/>
        <v>0</v>
      </c>
      <c r="HB75" s="63"/>
      <c r="HC75" s="63"/>
      <c r="HD75" s="63"/>
      <c r="HE75" s="63"/>
      <c r="HF75" s="67">
        <f t="shared" si="508"/>
        <v>0</v>
      </c>
      <c r="HG75" s="63"/>
      <c r="HH75" s="63"/>
      <c r="HI75" s="63"/>
      <c r="HJ75" s="63"/>
      <c r="HK75" s="67">
        <f t="shared" si="509"/>
        <v>0</v>
      </c>
      <c r="HL75" s="68">
        <f t="shared" si="510"/>
        <v>0</v>
      </c>
      <c r="HM75" s="68">
        <f t="shared" si="510"/>
        <v>0</v>
      </c>
      <c r="HN75" s="68">
        <f t="shared" si="510"/>
        <v>0</v>
      </c>
      <c r="HO75" s="68">
        <f t="shared" si="510"/>
        <v>0</v>
      </c>
      <c r="HP75" s="67">
        <f t="shared" si="511"/>
        <v>0</v>
      </c>
      <c r="HQ75" s="63"/>
      <c r="HR75" s="63"/>
      <c r="HS75" s="63"/>
      <c r="HT75" s="63"/>
      <c r="HU75" s="67">
        <f t="shared" si="512"/>
        <v>0</v>
      </c>
      <c r="HV75" s="63"/>
      <c r="HW75" s="63"/>
      <c r="HX75" s="63"/>
      <c r="HY75" s="63"/>
      <c r="HZ75" s="67">
        <f t="shared" si="513"/>
        <v>0</v>
      </c>
      <c r="IA75" s="63"/>
      <c r="IB75" s="63"/>
      <c r="IC75" s="63"/>
      <c r="ID75" s="63"/>
      <c r="IE75" s="67">
        <f t="shared" si="514"/>
        <v>0</v>
      </c>
      <c r="IF75" s="68">
        <f t="shared" si="515"/>
        <v>0</v>
      </c>
      <c r="IG75" s="68">
        <f t="shared" si="515"/>
        <v>0</v>
      </c>
      <c r="IH75" s="68">
        <f t="shared" si="515"/>
        <v>0</v>
      </c>
      <c r="II75" s="68">
        <f t="shared" si="515"/>
        <v>0</v>
      </c>
      <c r="IJ75" s="67">
        <f t="shared" si="516"/>
        <v>0</v>
      </c>
      <c r="IK75" s="63"/>
      <c r="IL75" s="63"/>
      <c r="IM75" s="63"/>
      <c r="IN75" s="63"/>
      <c r="IO75" s="67">
        <f t="shared" si="517"/>
        <v>0</v>
      </c>
      <c r="IP75" s="63"/>
      <c r="IQ75" s="63"/>
      <c r="IR75" s="63"/>
      <c r="IS75" s="63"/>
      <c r="IT75" s="67">
        <f t="shared" si="518"/>
        <v>0</v>
      </c>
      <c r="IU75" s="63"/>
      <c r="IV75" s="63"/>
    </row>
    <row r="76" spans="1:256" ht="12.75" customHeight="1" x14ac:dyDescent="0.25">
      <c r="A76" s="117" t="s">
        <v>79</v>
      </c>
      <c r="B76" s="62">
        <v>0</v>
      </c>
      <c r="C76" s="63">
        <v>0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4">
        <f t="shared" si="519"/>
        <v>0</v>
      </c>
      <c r="M76" s="62"/>
      <c r="N76" s="63"/>
      <c r="O76" s="63"/>
      <c r="P76" s="63"/>
      <c r="Q76" s="63"/>
      <c r="R76" s="63"/>
      <c r="S76" s="63"/>
      <c r="T76" s="63"/>
      <c r="U76" s="63"/>
      <c r="V76" s="63"/>
      <c r="W76" s="64">
        <f t="shared" si="485"/>
        <v>0</v>
      </c>
      <c r="X76" s="62"/>
      <c r="Y76" s="63"/>
      <c r="Z76" s="63"/>
      <c r="AA76" s="63"/>
      <c r="AB76" s="63"/>
      <c r="AC76" s="63"/>
      <c r="AD76" s="63"/>
      <c r="AE76" s="63"/>
      <c r="AF76" s="63"/>
      <c r="AG76" s="63"/>
      <c r="AH76" s="64">
        <f t="shared" si="486"/>
        <v>0</v>
      </c>
      <c r="AI76" s="62"/>
      <c r="AJ76" s="63"/>
      <c r="AK76" s="63"/>
      <c r="AL76" s="63"/>
      <c r="AM76" s="63"/>
      <c r="AN76" s="63"/>
      <c r="AO76" s="63"/>
      <c r="AP76" s="63"/>
      <c r="AQ76" s="63"/>
      <c r="AR76" s="63"/>
      <c r="AS76" s="64">
        <f t="shared" si="487"/>
        <v>0</v>
      </c>
      <c r="AT76" s="65">
        <f t="shared" si="488"/>
        <v>0</v>
      </c>
      <c r="AU76" s="65">
        <f t="shared" si="488"/>
        <v>0</v>
      </c>
      <c r="AV76" s="65">
        <f t="shared" si="488"/>
        <v>0</v>
      </c>
      <c r="AW76" s="65">
        <f t="shared" si="488"/>
        <v>0</v>
      </c>
      <c r="AX76" s="65">
        <f t="shared" si="488"/>
        <v>0</v>
      </c>
      <c r="AY76" s="65">
        <f t="shared" si="488"/>
        <v>0</v>
      </c>
      <c r="AZ76" s="65">
        <f t="shared" si="488"/>
        <v>0</v>
      </c>
      <c r="BA76" s="65">
        <f t="shared" si="488"/>
        <v>0</v>
      </c>
      <c r="BB76" s="65">
        <f t="shared" si="488"/>
        <v>0</v>
      </c>
      <c r="BC76" s="65">
        <f t="shared" si="488"/>
        <v>0</v>
      </c>
      <c r="BD76" s="64">
        <f t="shared" si="489"/>
        <v>0</v>
      </c>
      <c r="BE76" s="62"/>
      <c r="BF76" s="63"/>
      <c r="BG76" s="63"/>
      <c r="BH76" s="63"/>
      <c r="BI76" s="63"/>
      <c r="BJ76" s="63"/>
      <c r="BK76" s="63"/>
      <c r="BL76" s="63"/>
      <c r="BM76" s="63"/>
      <c r="BN76" s="63"/>
      <c r="BO76" s="64">
        <f t="shared" si="490"/>
        <v>0</v>
      </c>
      <c r="BP76" s="62"/>
      <c r="BQ76" s="63"/>
      <c r="BR76" s="63"/>
      <c r="BS76" s="63"/>
      <c r="BT76" s="63"/>
      <c r="BU76" s="63"/>
      <c r="BV76" s="63"/>
      <c r="BW76" s="63"/>
      <c r="BX76" s="63"/>
      <c r="BY76" s="63"/>
      <c r="BZ76" s="64">
        <f t="shared" si="491"/>
        <v>0</v>
      </c>
      <c r="CA76" s="62"/>
      <c r="CB76" s="63"/>
      <c r="CC76" s="63"/>
      <c r="CD76" s="63"/>
      <c r="CE76" s="63"/>
      <c r="CF76" s="63"/>
      <c r="CG76" s="63"/>
      <c r="CH76" s="63"/>
      <c r="CI76" s="63"/>
      <c r="CJ76" s="63"/>
      <c r="CK76" s="64">
        <f t="shared" si="492"/>
        <v>0</v>
      </c>
      <c r="CL76" s="65">
        <f t="shared" si="493"/>
        <v>0</v>
      </c>
      <c r="CM76" s="65">
        <f t="shared" si="493"/>
        <v>0</v>
      </c>
      <c r="CN76" s="65">
        <f t="shared" si="493"/>
        <v>0</v>
      </c>
      <c r="CO76" s="65">
        <f t="shared" si="493"/>
        <v>0</v>
      </c>
      <c r="CP76" s="65">
        <f t="shared" si="493"/>
        <v>0</v>
      </c>
      <c r="CQ76" s="65">
        <f t="shared" si="493"/>
        <v>0</v>
      </c>
      <c r="CR76" s="65">
        <f t="shared" si="493"/>
        <v>0</v>
      </c>
      <c r="CS76" s="65">
        <f t="shared" si="493"/>
        <v>0</v>
      </c>
      <c r="CT76" s="65">
        <f t="shared" si="493"/>
        <v>0</v>
      </c>
      <c r="CU76" s="65">
        <f t="shared" si="493"/>
        <v>0</v>
      </c>
      <c r="CV76" s="64">
        <f t="shared" si="494"/>
        <v>0</v>
      </c>
      <c r="CW76" s="62"/>
      <c r="CX76" s="63"/>
      <c r="CY76" s="63"/>
      <c r="CZ76" s="63"/>
      <c r="DA76" s="63"/>
      <c r="DB76" s="63"/>
      <c r="DC76" s="63"/>
      <c r="DD76" s="63"/>
      <c r="DE76" s="63"/>
      <c r="DF76" s="63"/>
      <c r="DG76" s="64">
        <f t="shared" si="495"/>
        <v>0</v>
      </c>
      <c r="DH76" s="62"/>
      <c r="DI76" s="63"/>
      <c r="DJ76" s="63"/>
      <c r="DK76" s="63"/>
      <c r="DL76" s="63"/>
      <c r="DM76" s="63"/>
      <c r="DN76" s="63"/>
      <c r="DO76" s="63"/>
      <c r="DP76" s="63"/>
      <c r="DQ76" s="63"/>
      <c r="DR76" s="64">
        <f t="shared" si="496"/>
        <v>0</v>
      </c>
      <c r="DS76" s="62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5">
        <f t="shared" si="497"/>
        <v>0</v>
      </c>
      <c r="EE76" s="65">
        <f t="shared" si="497"/>
        <v>0</v>
      </c>
      <c r="EF76" s="65">
        <f t="shared" si="497"/>
        <v>0</v>
      </c>
      <c r="EG76" s="65">
        <f t="shared" si="497"/>
        <v>0</v>
      </c>
      <c r="EH76" s="65">
        <f t="shared" si="497"/>
        <v>0</v>
      </c>
      <c r="EI76" s="65">
        <f t="shared" si="497"/>
        <v>0</v>
      </c>
      <c r="EJ76" s="65">
        <f t="shared" si="497"/>
        <v>0</v>
      </c>
      <c r="EK76" s="65">
        <f t="shared" si="497"/>
        <v>0</v>
      </c>
      <c r="EL76" s="65">
        <f t="shared" si="497"/>
        <v>0</v>
      </c>
      <c r="EM76" s="65">
        <f t="shared" si="497"/>
        <v>0</v>
      </c>
      <c r="EN76" s="64">
        <f t="shared" si="498"/>
        <v>0</v>
      </c>
      <c r="EO76" s="62"/>
      <c r="EP76" s="63"/>
      <c r="EQ76" s="63"/>
      <c r="ER76" s="63"/>
      <c r="ES76" s="63"/>
      <c r="ET76" s="63"/>
      <c r="EU76" s="63"/>
      <c r="EV76" s="63"/>
      <c r="EW76" s="63"/>
      <c r="EX76" s="63"/>
      <c r="EY76" s="64">
        <f t="shared" si="499"/>
        <v>0</v>
      </c>
      <c r="EZ76" s="62"/>
      <c r="FA76" s="63"/>
      <c r="FB76" s="63"/>
      <c r="FC76" s="63"/>
      <c r="FD76" s="63"/>
      <c r="FE76" s="63"/>
      <c r="FF76" s="63"/>
      <c r="FG76" s="63"/>
      <c r="FH76" s="63"/>
      <c r="FI76" s="63"/>
      <c r="FJ76" s="64">
        <f t="shared" si="500"/>
        <v>0</v>
      </c>
      <c r="FK76" s="62"/>
      <c r="FL76" s="63"/>
      <c r="FM76" s="63"/>
      <c r="FN76" s="63"/>
      <c r="FO76" s="63"/>
      <c r="FP76" s="63"/>
      <c r="FQ76" s="63"/>
      <c r="FR76" s="63"/>
      <c r="FS76" s="63"/>
      <c r="FT76" s="63"/>
      <c r="FU76" s="64">
        <f t="shared" si="501"/>
        <v>0</v>
      </c>
      <c r="FV76" s="65">
        <f t="shared" si="502"/>
        <v>0</v>
      </c>
      <c r="FW76" s="65">
        <f t="shared" si="502"/>
        <v>0</v>
      </c>
      <c r="FX76" s="65">
        <f t="shared" si="502"/>
        <v>0</v>
      </c>
      <c r="FY76" s="65">
        <f t="shared" si="502"/>
        <v>0</v>
      </c>
      <c r="FZ76" s="65">
        <f t="shared" si="502"/>
        <v>0</v>
      </c>
      <c r="GA76" s="65">
        <f t="shared" si="502"/>
        <v>0</v>
      </c>
      <c r="GB76" s="65">
        <f t="shared" si="502"/>
        <v>0</v>
      </c>
      <c r="GC76" s="65">
        <f t="shared" si="502"/>
        <v>0</v>
      </c>
      <c r="GD76" s="65">
        <f t="shared" si="502"/>
        <v>0</v>
      </c>
      <c r="GE76" s="65">
        <f t="shared" si="502"/>
        <v>0</v>
      </c>
      <c r="GF76" s="64">
        <f t="shared" si="503"/>
        <v>0</v>
      </c>
      <c r="GG76" s="66">
        <f t="shared" si="504"/>
        <v>0</v>
      </c>
      <c r="GH76" s="66">
        <f t="shared" si="504"/>
        <v>0</v>
      </c>
      <c r="GI76" s="66">
        <f t="shared" si="504"/>
        <v>0</v>
      </c>
      <c r="GJ76" s="66">
        <f t="shared" si="504"/>
        <v>0</v>
      </c>
      <c r="GK76" s="66">
        <f t="shared" si="504"/>
        <v>0</v>
      </c>
      <c r="GL76" s="66">
        <f t="shared" si="504"/>
        <v>0</v>
      </c>
      <c r="GM76" s="66">
        <f t="shared" si="504"/>
        <v>0</v>
      </c>
      <c r="GN76" s="66">
        <f t="shared" si="504"/>
        <v>0</v>
      </c>
      <c r="GO76" s="66">
        <f t="shared" si="504"/>
        <v>0</v>
      </c>
      <c r="GP76" s="66">
        <f t="shared" si="504"/>
        <v>0</v>
      </c>
      <c r="GQ76" s="64">
        <f t="shared" si="505"/>
        <v>0</v>
      </c>
      <c r="GR76" s="63"/>
      <c r="GS76" s="63"/>
      <c r="GT76" s="63">
        <v>0</v>
      </c>
      <c r="GU76" s="63"/>
      <c r="GV76" s="67">
        <f t="shared" si="506"/>
        <v>0</v>
      </c>
      <c r="GW76" s="63"/>
      <c r="GX76" s="63"/>
      <c r="GY76" s="63"/>
      <c r="GZ76" s="63"/>
      <c r="HA76" s="67">
        <f t="shared" si="507"/>
        <v>0</v>
      </c>
      <c r="HB76" s="63"/>
      <c r="HC76" s="63"/>
      <c r="HD76" s="63"/>
      <c r="HE76" s="63"/>
      <c r="HF76" s="67">
        <f t="shared" si="508"/>
        <v>0</v>
      </c>
      <c r="HG76" s="63"/>
      <c r="HH76" s="63"/>
      <c r="HI76" s="63"/>
      <c r="HJ76" s="63"/>
      <c r="HK76" s="67">
        <f t="shared" si="509"/>
        <v>0</v>
      </c>
      <c r="HL76" s="68">
        <f t="shared" si="510"/>
        <v>0</v>
      </c>
      <c r="HM76" s="68">
        <f t="shared" si="510"/>
        <v>0</v>
      </c>
      <c r="HN76" s="68">
        <f t="shared" si="510"/>
        <v>0</v>
      </c>
      <c r="HO76" s="68">
        <f t="shared" si="510"/>
        <v>0</v>
      </c>
      <c r="HP76" s="67">
        <f t="shared" si="511"/>
        <v>0</v>
      </c>
      <c r="HQ76" s="63"/>
      <c r="HR76" s="63"/>
      <c r="HS76" s="63"/>
      <c r="HT76" s="63"/>
      <c r="HU76" s="67">
        <f t="shared" si="512"/>
        <v>0</v>
      </c>
      <c r="HV76" s="63"/>
      <c r="HW76" s="63"/>
      <c r="HX76" s="63"/>
      <c r="HY76" s="63"/>
      <c r="HZ76" s="67">
        <f t="shared" si="513"/>
        <v>0</v>
      </c>
      <c r="IA76" s="63"/>
      <c r="IB76" s="63"/>
      <c r="IC76" s="63"/>
      <c r="ID76" s="63"/>
      <c r="IE76" s="67">
        <f t="shared" si="514"/>
        <v>0</v>
      </c>
      <c r="IF76" s="68">
        <f t="shared" si="515"/>
        <v>0</v>
      </c>
      <c r="IG76" s="68">
        <f t="shared" si="515"/>
        <v>0</v>
      </c>
      <c r="IH76" s="68">
        <f t="shared" si="515"/>
        <v>0</v>
      </c>
      <c r="II76" s="68">
        <f t="shared" si="515"/>
        <v>0</v>
      </c>
      <c r="IJ76" s="67">
        <f t="shared" si="516"/>
        <v>0</v>
      </c>
      <c r="IK76" s="63"/>
      <c r="IL76" s="63"/>
      <c r="IM76" s="63"/>
      <c r="IN76" s="63"/>
      <c r="IO76" s="67">
        <f t="shared" si="517"/>
        <v>0</v>
      </c>
      <c r="IP76" s="63"/>
      <c r="IQ76" s="63"/>
      <c r="IR76" s="63"/>
      <c r="IS76" s="63"/>
      <c r="IT76" s="67">
        <f t="shared" si="518"/>
        <v>0</v>
      </c>
      <c r="IU76" s="63"/>
      <c r="IV76" s="63"/>
    </row>
    <row r="77" spans="1:256" ht="12.75" customHeight="1" x14ac:dyDescent="0.25">
      <c r="A77" s="117" t="s">
        <v>80</v>
      </c>
      <c r="B77" s="62">
        <v>0</v>
      </c>
      <c r="C77" s="63">
        <v>0</v>
      </c>
      <c r="D77" s="63">
        <v>0</v>
      </c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4">
        <f t="shared" si="519"/>
        <v>0</v>
      </c>
      <c r="M77" s="62"/>
      <c r="N77" s="63"/>
      <c r="O77" s="63"/>
      <c r="P77" s="63"/>
      <c r="Q77" s="63"/>
      <c r="R77" s="63"/>
      <c r="S77" s="63"/>
      <c r="T77" s="63"/>
      <c r="U77" s="63"/>
      <c r="V77" s="63"/>
      <c r="W77" s="64">
        <f t="shared" si="485"/>
        <v>0</v>
      </c>
      <c r="X77" s="62"/>
      <c r="Y77" s="63"/>
      <c r="Z77" s="63"/>
      <c r="AA77" s="63"/>
      <c r="AB77" s="63"/>
      <c r="AC77" s="63"/>
      <c r="AD77" s="63"/>
      <c r="AE77" s="63"/>
      <c r="AF77" s="63"/>
      <c r="AG77" s="63"/>
      <c r="AH77" s="64">
        <f t="shared" si="486"/>
        <v>0</v>
      </c>
      <c r="AI77" s="62"/>
      <c r="AJ77" s="63"/>
      <c r="AK77" s="63"/>
      <c r="AL77" s="63"/>
      <c r="AM77" s="63"/>
      <c r="AN77" s="63"/>
      <c r="AO77" s="63"/>
      <c r="AP77" s="63"/>
      <c r="AQ77" s="63"/>
      <c r="AR77" s="63"/>
      <c r="AS77" s="64">
        <f t="shared" si="487"/>
        <v>0</v>
      </c>
      <c r="AT77" s="65">
        <f t="shared" si="488"/>
        <v>0</v>
      </c>
      <c r="AU77" s="65">
        <f t="shared" si="488"/>
        <v>0</v>
      </c>
      <c r="AV77" s="65">
        <f t="shared" si="488"/>
        <v>0</v>
      </c>
      <c r="AW77" s="65">
        <f t="shared" si="488"/>
        <v>0</v>
      </c>
      <c r="AX77" s="65">
        <f t="shared" si="488"/>
        <v>0</v>
      </c>
      <c r="AY77" s="65">
        <f t="shared" si="488"/>
        <v>0</v>
      </c>
      <c r="AZ77" s="65">
        <f t="shared" si="488"/>
        <v>0</v>
      </c>
      <c r="BA77" s="65">
        <f t="shared" si="488"/>
        <v>0</v>
      </c>
      <c r="BB77" s="65">
        <f t="shared" si="488"/>
        <v>0</v>
      </c>
      <c r="BC77" s="65">
        <f t="shared" si="488"/>
        <v>0</v>
      </c>
      <c r="BD77" s="64">
        <f t="shared" si="489"/>
        <v>0</v>
      </c>
      <c r="BE77" s="62"/>
      <c r="BF77" s="63"/>
      <c r="BG77" s="63"/>
      <c r="BH77" s="63"/>
      <c r="BI77" s="63"/>
      <c r="BJ77" s="63"/>
      <c r="BK77" s="63"/>
      <c r="BL77" s="63"/>
      <c r="BM77" s="63"/>
      <c r="BN77" s="63"/>
      <c r="BO77" s="64">
        <f t="shared" si="490"/>
        <v>0</v>
      </c>
      <c r="BP77" s="62"/>
      <c r="BQ77" s="63"/>
      <c r="BR77" s="63"/>
      <c r="BS77" s="63"/>
      <c r="BT77" s="63"/>
      <c r="BU77" s="63"/>
      <c r="BV77" s="63"/>
      <c r="BW77" s="63"/>
      <c r="BX77" s="63"/>
      <c r="BY77" s="63"/>
      <c r="BZ77" s="64">
        <f t="shared" si="491"/>
        <v>0</v>
      </c>
      <c r="CA77" s="62"/>
      <c r="CB77" s="63"/>
      <c r="CC77" s="63"/>
      <c r="CD77" s="63"/>
      <c r="CE77" s="63"/>
      <c r="CF77" s="63"/>
      <c r="CG77" s="63"/>
      <c r="CH77" s="63"/>
      <c r="CI77" s="63"/>
      <c r="CJ77" s="63"/>
      <c r="CK77" s="64">
        <f t="shared" si="492"/>
        <v>0</v>
      </c>
      <c r="CL77" s="65">
        <f t="shared" si="493"/>
        <v>0</v>
      </c>
      <c r="CM77" s="65">
        <f t="shared" si="493"/>
        <v>0</v>
      </c>
      <c r="CN77" s="65">
        <f t="shared" si="493"/>
        <v>0</v>
      </c>
      <c r="CO77" s="65">
        <f t="shared" si="493"/>
        <v>0</v>
      </c>
      <c r="CP77" s="65">
        <f t="shared" si="493"/>
        <v>0</v>
      </c>
      <c r="CQ77" s="65">
        <f t="shared" si="493"/>
        <v>0</v>
      </c>
      <c r="CR77" s="65">
        <f t="shared" si="493"/>
        <v>0</v>
      </c>
      <c r="CS77" s="65">
        <f t="shared" si="493"/>
        <v>0</v>
      </c>
      <c r="CT77" s="65">
        <f t="shared" si="493"/>
        <v>0</v>
      </c>
      <c r="CU77" s="65">
        <f t="shared" si="493"/>
        <v>0</v>
      </c>
      <c r="CV77" s="64">
        <f t="shared" si="494"/>
        <v>0</v>
      </c>
      <c r="CW77" s="62"/>
      <c r="CX77" s="63"/>
      <c r="CY77" s="63"/>
      <c r="CZ77" s="63"/>
      <c r="DA77" s="63"/>
      <c r="DB77" s="63"/>
      <c r="DC77" s="63"/>
      <c r="DD77" s="63"/>
      <c r="DE77" s="63"/>
      <c r="DF77" s="63"/>
      <c r="DG77" s="64">
        <f t="shared" si="495"/>
        <v>0</v>
      </c>
      <c r="DH77" s="62"/>
      <c r="DI77" s="63"/>
      <c r="DJ77" s="63"/>
      <c r="DK77" s="63"/>
      <c r="DL77" s="63"/>
      <c r="DM77" s="63"/>
      <c r="DN77" s="63"/>
      <c r="DO77" s="63"/>
      <c r="DP77" s="63"/>
      <c r="DQ77" s="63"/>
      <c r="DR77" s="64">
        <f t="shared" si="496"/>
        <v>0</v>
      </c>
      <c r="DS77" s="62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5">
        <f t="shared" si="497"/>
        <v>0</v>
      </c>
      <c r="EE77" s="65">
        <f t="shared" si="497"/>
        <v>0</v>
      </c>
      <c r="EF77" s="65">
        <f t="shared" si="497"/>
        <v>0</v>
      </c>
      <c r="EG77" s="65">
        <f t="shared" si="497"/>
        <v>0</v>
      </c>
      <c r="EH77" s="65">
        <f t="shared" si="497"/>
        <v>0</v>
      </c>
      <c r="EI77" s="65">
        <f t="shared" si="497"/>
        <v>0</v>
      </c>
      <c r="EJ77" s="65">
        <f t="shared" si="497"/>
        <v>0</v>
      </c>
      <c r="EK77" s="65">
        <f t="shared" si="497"/>
        <v>0</v>
      </c>
      <c r="EL77" s="65">
        <f t="shared" si="497"/>
        <v>0</v>
      </c>
      <c r="EM77" s="65">
        <f t="shared" si="497"/>
        <v>0</v>
      </c>
      <c r="EN77" s="64">
        <f t="shared" si="498"/>
        <v>0</v>
      </c>
      <c r="EO77" s="62"/>
      <c r="EP77" s="63"/>
      <c r="EQ77" s="63"/>
      <c r="ER77" s="63"/>
      <c r="ES77" s="63"/>
      <c r="ET77" s="63"/>
      <c r="EU77" s="63"/>
      <c r="EV77" s="63"/>
      <c r="EW77" s="63"/>
      <c r="EX77" s="63"/>
      <c r="EY77" s="64">
        <f t="shared" si="499"/>
        <v>0</v>
      </c>
      <c r="EZ77" s="62"/>
      <c r="FA77" s="63"/>
      <c r="FB77" s="63"/>
      <c r="FC77" s="63"/>
      <c r="FD77" s="63"/>
      <c r="FE77" s="63"/>
      <c r="FF77" s="63"/>
      <c r="FG77" s="63"/>
      <c r="FH77" s="63"/>
      <c r="FI77" s="63"/>
      <c r="FJ77" s="64">
        <f t="shared" si="500"/>
        <v>0</v>
      </c>
      <c r="FK77" s="62"/>
      <c r="FL77" s="63"/>
      <c r="FM77" s="63"/>
      <c r="FN77" s="63"/>
      <c r="FO77" s="63"/>
      <c r="FP77" s="63"/>
      <c r="FQ77" s="63"/>
      <c r="FR77" s="63"/>
      <c r="FS77" s="63"/>
      <c r="FT77" s="63"/>
      <c r="FU77" s="64">
        <f t="shared" si="501"/>
        <v>0</v>
      </c>
      <c r="FV77" s="65">
        <f t="shared" si="502"/>
        <v>0</v>
      </c>
      <c r="FW77" s="65">
        <f t="shared" si="502"/>
        <v>0</v>
      </c>
      <c r="FX77" s="65">
        <f t="shared" si="502"/>
        <v>0</v>
      </c>
      <c r="FY77" s="65">
        <f t="shared" si="502"/>
        <v>0</v>
      </c>
      <c r="FZ77" s="65">
        <f t="shared" si="502"/>
        <v>0</v>
      </c>
      <c r="GA77" s="65">
        <f t="shared" si="502"/>
        <v>0</v>
      </c>
      <c r="GB77" s="65">
        <f t="shared" si="502"/>
        <v>0</v>
      </c>
      <c r="GC77" s="65">
        <f t="shared" si="502"/>
        <v>0</v>
      </c>
      <c r="GD77" s="65">
        <f t="shared" si="502"/>
        <v>0</v>
      </c>
      <c r="GE77" s="65">
        <f t="shared" si="502"/>
        <v>0</v>
      </c>
      <c r="GF77" s="64">
        <f t="shared" si="503"/>
        <v>0</v>
      </c>
      <c r="GG77" s="66">
        <f t="shared" si="504"/>
        <v>0</v>
      </c>
      <c r="GH77" s="66">
        <f t="shared" si="504"/>
        <v>0</v>
      </c>
      <c r="GI77" s="66">
        <f t="shared" si="504"/>
        <v>0</v>
      </c>
      <c r="GJ77" s="66">
        <f t="shared" si="504"/>
        <v>0</v>
      </c>
      <c r="GK77" s="66">
        <f t="shared" si="504"/>
        <v>0</v>
      </c>
      <c r="GL77" s="66">
        <f t="shared" si="504"/>
        <v>0</v>
      </c>
      <c r="GM77" s="66">
        <f t="shared" si="504"/>
        <v>0</v>
      </c>
      <c r="GN77" s="66">
        <f t="shared" si="504"/>
        <v>0</v>
      </c>
      <c r="GO77" s="66">
        <f t="shared" si="504"/>
        <v>0</v>
      </c>
      <c r="GP77" s="66">
        <f t="shared" si="504"/>
        <v>0</v>
      </c>
      <c r="GQ77" s="64">
        <f t="shared" si="505"/>
        <v>0</v>
      </c>
      <c r="GR77" s="63"/>
      <c r="GS77" s="63">
        <v>0</v>
      </c>
      <c r="GT77" s="63">
        <v>0</v>
      </c>
      <c r="GU77" s="63">
        <v>0</v>
      </c>
      <c r="GV77" s="67">
        <f t="shared" si="506"/>
        <v>0</v>
      </c>
      <c r="GW77" s="63"/>
      <c r="GX77" s="63"/>
      <c r="GY77" s="63"/>
      <c r="GZ77" s="63"/>
      <c r="HA77" s="67">
        <f t="shared" si="507"/>
        <v>0</v>
      </c>
      <c r="HB77" s="63"/>
      <c r="HC77" s="63"/>
      <c r="HD77" s="63"/>
      <c r="HE77" s="63"/>
      <c r="HF77" s="67">
        <f t="shared" si="508"/>
        <v>0</v>
      </c>
      <c r="HG77" s="63"/>
      <c r="HH77" s="63"/>
      <c r="HI77" s="63"/>
      <c r="HJ77" s="63"/>
      <c r="HK77" s="67">
        <f t="shared" si="509"/>
        <v>0</v>
      </c>
      <c r="HL77" s="68">
        <f t="shared" si="510"/>
        <v>0</v>
      </c>
      <c r="HM77" s="68">
        <f t="shared" si="510"/>
        <v>0</v>
      </c>
      <c r="HN77" s="68">
        <f t="shared" si="510"/>
        <v>0</v>
      </c>
      <c r="HO77" s="68">
        <f t="shared" si="510"/>
        <v>0</v>
      </c>
      <c r="HP77" s="67">
        <f t="shared" si="511"/>
        <v>0</v>
      </c>
      <c r="HQ77" s="63"/>
      <c r="HR77" s="63"/>
      <c r="HS77" s="63"/>
      <c r="HT77" s="63"/>
      <c r="HU77" s="67">
        <f t="shared" si="512"/>
        <v>0</v>
      </c>
      <c r="HV77" s="63"/>
      <c r="HW77" s="63"/>
      <c r="HX77" s="63"/>
      <c r="HY77" s="63"/>
      <c r="HZ77" s="67">
        <f t="shared" si="513"/>
        <v>0</v>
      </c>
      <c r="IA77" s="63"/>
      <c r="IB77" s="63"/>
      <c r="IC77" s="63"/>
      <c r="ID77" s="63"/>
      <c r="IE77" s="67">
        <f t="shared" si="514"/>
        <v>0</v>
      </c>
      <c r="IF77" s="68">
        <f t="shared" si="515"/>
        <v>0</v>
      </c>
      <c r="IG77" s="68">
        <f t="shared" si="515"/>
        <v>0</v>
      </c>
      <c r="IH77" s="68">
        <f t="shared" si="515"/>
        <v>0</v>
      </c>
      <c r="II77" s="68">
        <f t="shared" si="515"/>
        <v>0</v>
      </c>
      <c r="IJ77" s="67">
        <f t="shared" si="516"/>
        <v>0</v>
      </c>
      <c r="IK77" s="63"/>
      <c r="IL77" s="63"/>
      <c r="IM77" s="63"/>
      <c r="IN77" s="63"/>
      <c r="IO77" s="67">
        <f t="shared" si="517"/>
        <v>0</v>
      </c>
      <c r="IP77" s="63"/>
      <c r="IQ77" s="63"/>
      <c r="IR77" s="63"/>
      <c r="IS77" s="63"/>
      <c r="IT77" s="67">
        <f t="shared" si="518"/>
        <v>0</v>
      </c>
      <c r="IU77" s="63"/>
      <c r="IV77" s="63"/>
    </row>
    <row r="78" spans="1:256" ht="12.75" customHeight="1" x14ac:dyDescent="0.25">
      <c r="A78" s="117" t="s">
        <v>81</v>
      </c>
      <c r="B78" s="62">
        <v>0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4">
        <f t="shared" si="519"/>
        <v>0</v>
      </c>
      <c r="M78" s="62"/>
      <c r="N78" s="63"/>
      <c r="O78" s="63"/>
      <c r="P78" s="63"/>
      <c r="Q78" s="63"/>
      <c r="R78" s="63"/>
      <c r="S78" s="63"/>
      <c r="T78" s="63"/>
      <c r="U78" s="63"/>
      <c r="V78" s="63"/>
      <c r="W78" s="64">
        <f t="shared" si="485"/>
        <v>0</v>
      </c>
      <c r="X78" s="62"/>
      <c r="Y78" s="63"/>
      <c r="Z78" s="63"/>
      <c r="AA78" s="63"/>
      <c r="AB78" s="63"/>
      <c r="AC78" s="63"/>
      <c r="AD78" s="63"/>
      <c r="AE78" s="63"/>
      <c r="AF78" s="63"/>
      <c r="AG78" s="63"/>
      <c r="AH78" s="64">
        <f t="shared" si="486"/>
        <v>0</v>
      </c>
      <c r="AI78" s="62"/>
      <c r="AJ78" s="63"/>
      <c r="AK78" s="63"/>
      <c r="AL78" s="63"/>
      <c r="AM78" s="63"/>
      <c r="AN78" s="63"/>
      <c r="AO78" s="63"/>
      <c r="AP78" s="63"/>
      <c r="AQ78" s="63"/>
      <c r="AR78" s="63"/>
      <c r="AS78" s="64">
        <f t="shared" si="487"/>
        <v>0</v>
      </c>
      <c r="AT78" s="65">
        <f t="shared" si="488"/>
        <v>0</v>
      </c>
      <c r="AU78" s="65">
        <f t="shared" si="488"/>
        <v>0</v>
      </c>
      <c r="AV78" s="65">
        <f t="shared" si="488"/>
        <v>0</v>
      </c>
      <c r="AW78" s="65">
        <f t="shared" si="488"/>
        <v>0</v>
      </c>
      <c r="AX78" s="65">
        <f t="shared" si="488"/>
        <v>0</v>
      </c>
      <c r="AY78" s="65">
        <f t="shared" si="488"/>
        <v>0</v>
      </c>
      <c r="AZ78" s="65">
        <f t="shared" si="488"/>
        <v>0</v>
      </c>
      <c r="BA78" s="65">
        <f t="shared" si="488"/>
        <v>0</v>
      </c>
      <c r="BB78" s="65">
        <f t="shared" si="488"/>
        <v>0</v>
      </c>
      <c r="BC78" s="65">
        <f t="shared" si="488"/>
        <v>0</v>
      </c>
      <c r="BD78" s="64">
        <f t="shared" si="489"/>
        <v>0</v>
      </c>
      <c r="BE78" s="62"/>
      <c r="BF78" s="63"/>
      <c r="BG78" s="63"/>
      <c r="BH78" s="63"/>
      <c r="BI78" s="63"/>
      <c r="BJ78" s="63"/>
      <c r="BK78" s="63"/>
      <c r="BL78" s="63"/>
      <c r="BM78" s="63"/>
      <c r="BN78" s="63"/>
      <c r="BO78" s="64">
        <f t="shared" si="490"/>
        <v>0</v>
      </c>
      <c r="BP78" s="62"/>
      <c r="BQ78" s="63"/>
      <c r="BR78" s="63"/>
      <c r="BS78" s="63"/>
      <c r="BT78" s="63"/>
      <c r="BU78" s="63"/>
      <c r="BV78" s="63"/>
      <c r="BW78" s="63"/>
      <c r="BX78" s="63"/>
      <c r="BY78" s="63"/>
      <c r="BZ78" s="64">
        <f t="shared" si="491"/>
        <v>0</v>
      </c>
      <c r="CA78" s="62"/>
      <c r="CB78" s="63"/>
      <c r="CC78" s="63"/>
      <c r="CD78" s="63"/>
      <c r="CE78" s="63"/>
      <c r="CF78" s="63"/>
      <c r="CG78" s="63"/>
      <c r="CH78" s="63"/>
      <c r="CI78" s="63"/>
      <c r="CJ78" s="63"/>
      <c r="CK78" s="64">
        <f t="shared" si="492"/>
        <v>0</v>
      </c>
      <c r="CL78" s="65">
        <f t="shared" si="493"/>
        <v>0</v>
      </c>
      <c r="CM78" s="65">
        <f t="shared" si="493"/>
        <v>0</v>
      </c>
      <c r="CN78" s="65">
        <f t="shared" si="493"/>
        <v>0</v>
      </c>
      <c r="CO78" s="65">
        <f t="shared" si="493"/>
        <v>0</v>
      </c>
      <c r="CP78" s="65">
        <f t="shared" si="493"/>
        <v>0</v>
      </c>
      <c r="CQ78" s="65">
        <f t="shared" si="493"/>
        <v>0</v>
      </c>
      <c r="CR78" s="65">
        <f t="shared" si="493"/>
        <v>0</v>
      </c>
      <c r="CS78" s="65">
        <f t="shared" si="493"/>
        <v>0</v>
      </c>
      <c r="CT78" s="65">
        <f t="shared" si="493"/>
        <v>0</v>
      </c>
      <c r="CU78" s="65">
        <f t="shared" si="493"/>
        <v>0</v>
      </c>
      <c r="CV78" s="64">
        <f t="shared" si="494"/>
        <v>0</v>
      </c>
      <c r="CW78" s="62"/>
      <c r="CX78" s="63"/>
      <c r="CY78" s="63"/>
      <c r="CZ78" s="63"/>
      <c r="DA78" s="63"/>
      <c r="DB78" s="63"/>
      <c r="DC78" s="63"/>
      <c r="DD78" s="63"/>
      <c r="DE78" s="63"/>
      <c r="DF78" s="63"/>
      <c r="DG78" s="64">
        <f t="shared" si="495"/>
        <v>0</v>
      </c>
      <c r="DH78" s="62"/>
      <c r="DI78" s="63"/>
      <c r="DJ78" s="63"/>
      <c r="DK78" s="63"/>
      <c r="DL78" s="63"/>
      <c r="DM78" s="63"/>
      <c r="DN78" s="63"/>
      <c r="DO78" s="63"/>
      <c r="DP78" s="63"/>
      <c r="DQ78" s="63"/>
      <c r="DR78" s="64">
        <f t="shared" si="496"/>
        <v>0</v>
      </c>
      <c r="DS78" s="62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5">
        <f t="shared" si="497"/>
        <v>0</v>
      </c>
      <c r="EE78" s="65">
        <f t="shared" si="497"/>
        <v>0</v>
      </c>
      <c r="EF78" s="65">
        <f t="shared" si="497"/>
        <v>0</v>
      </c>
      <c r="EG78" s="65">
        <f t="shared" si="497"/>
        <v>0</v>
      </c>
      <c r="EH78" s="65">
        <f t="shared" si="497"/>
        <v>0</v>
      </c>
      <c r="EI78" s="65">
        <f t="shared" si="497"/>
        <v>0</v>
      </c>
      <c r="EJ78" s="65">
        <f t="shared" si="497"/>
        <v>0</v>
      </c>
      <c r="EK78" s="65">
        <f t="shared" si="497"/>
        <v>0</v>
      </c>
      <c r="EL78" s="65">
        <f t="shared" si="497"/>
        <v>0</v>
      </c>
      <c r="EM78" s="65">
        <f t="shared" si="497"/>
        <v>0</v>
      </c>
      <c r="EN78" s="64">
        <f t="shared" si="498"/>
        <v>0</v>
      </c>
      <c r="EO78" s="62"/>
      <c r="EP78" s="63"/>
      <c r="EQ78" s="63"/>
      <c r="ER78" s="63"/>
      <c r="ES78" s="63"/>
      <c r="ET78" s="63"/>
      <c r="EU78" s="63"/>
      <c r="EV78" s="63"/>
      <c r="EW78" s="63"/>
      <c r="EX78" s="63"/>
      <c r="EY78" s="64">
        <f t="shared" si="499"/>
        <v>0</v>
      </c>
      <c r="EZ78" s="62"/>
      <c r="FA78" s="63"/>
      <c r="FB78" s="63"/>
      <c r="FC78" s="63"/>
      <c r="FD78" s="63"/>
      <c r="FE78" s="63"/>
      <c r="FF78" s="63"/>
      <c r="FG78" s="63"/>
      <c r="FH78" s="63"/>
      <c r="FI78" s="63"/>
      <c r="FJ78" s="64">
        <f t="shared" si="500"/>
        <v>0</v>
      </c>
      <c r="FK78" s="62"/>
      <c r="FL78" s="63"/>
      <c r="FM78" s="63"/>
      <c r="FN78" s="63"/>
      <c r="FO78" s="63"/>
      <c r="FP78" s="63"/>
      <c r="FQ78" s="63"/>
      <c r="FR78" s="63"/>
      <c r="FS78" s="63"/>
      <c r="FT78" s="63"/>
      <c r="FU78" s="64">
        <f t="shared" si="501"/>
        <v>0</v>
      </c>
      <c r="FV78" s="65">
        <f t="shared" si="502"/>
        <v>0</v>
      </c>
      <c r="FW78" s="65">
        <f t="shared" si="502"/>
        <v>0</v>
      </c>
      <c r="FX78" s="65">
        <f t="shared" si="502"/>
        <v>0</v>
      </c>
      <c r="FY78" s="65">
        <f t="shared" si="502"/>
        <v>0</v>
      </c>
      <c r="FZ78" s="65">
        <f t="shared" si="502"/>
        <v>0</v>
      </c>
      <c r="GA78" s="65">
        <f t="shared" si="502"/>
        <v>0</v>
      </c>
      <c r="GB78" s="65">
        <f t="shared" si="502"/>
        <v>0</v>
      </c>
      <c r="GC78" s="65">
        <f t="shared" si="502"/>
        <v>0</v>
      </c>
      <c r="GD78" s="65">
        <f t="shared" si="502"/>
        <v>0</v>
      </c>
      <c r="GE78" s="65">
        <f t="shared" si="502"/>
        <v>0</v>
      </c>
      <c r="GF78" s="64">
        <f t="shared" si="503"/>
        <v>0</v>
      </c>
      <c r="GG78" s="66">
        <f t="shared" si="504"/>
        <v>0</v>
      </c>
      <c r="GH78" s="66">
        <f t="shared" si="504"/>
        <v>0</v>
      </c>
      <c r="GI78" s="66">
        <f t="shared" si="504"/>
        <v>0</v>
      </c>
      <c r="GJ78" s="66">
        <f t="shared" si="504"/>
        <v>0</v>
      </c>
      <c r="GK78" s="66">
        <f t="shared" si="504"/>
        <v>0</v>
      </c>
      <c r="GL78" s="66">
        <f t="shared" si="504"/>
        <v>0</v>
      </c>
      <c r="GM78" s="66">
        <f t="shared" si="504"/>
        <v>0</v>
      </c>
      <c r="GN78" s="66">
        <f t="shared" si="504"/>
        <v>0</v>
      </c>
      <c r="GO78" s="66">
        <f t="shared" si="504"/>
        <v>0</v>
      </c>
      <c r="GP78" s="66">
        <f t="shared" si="504"/>
        <v>0</v>
      </c>
      <c r="GQ78" s="64">
        <f t="shared" si="505"/>
        <v>0</v>
      </c>
      <c r="GR78" s="63"/>
      <c r="GS78" s="63">
        <v>0</v>
      </c>
      <c r="GT78" s="63">
        <v>0</v>
      </c>
      <c r="GU78" s="63">
        <v>0</v>
      </c>
      <c r="GV78" s="67">
        <f t="shared" si="506"/>
        <v>0</v>
      </c>
      <c r="GW78" s="63"/>
      <c r="GX78" s="63"/>
      <c r="GY78" s="63"/>
      <c r="GZ78" s="63"/>
      <c r="HA78" s="67">
        <f t="shared" si="507"/>
        <v>0</v>
      </c>
      <c r="HB78" s="63"/>
      <c r="HC78" s="63"/>
      <c r="HD78" s="63"/>
      <c r="HE78" s="63"/>
      <c r="HF78" s="67">
        <f t="shared" si="508"/>
        <v>0</v>
      </c>
      <c r="HG78" s="63"/>
      <c r="HH78" s="63"/>
      <c r="HI78" s="63"/>
      <c r="HJ78" s="63"/>
      <c r="HK78" s="67">
        <f t="shared" si="509"/>
        <v>0</v>
      </c>
      <c r="HL78" s="68">
        <f t="shared" si="510"/>
        <v>0</v>
      </c>
      <c r="HM78" s="68">
        <f t="shared" si="510"/>
        <v>0</v>
      </c>
      <c r="HN78" s="68">
        <f t="shared" si="510"/>
        <v>0</v>
      </c>
      <c r="HO78" s="68">
        <f t="shared" si="510"/>
        <v>0</v>
      </c>
      <c r="HP78" s="67">
        <f t="shared" si="511"/>
        <v>0</v>
      </c>
      <c r="HQ78" s="63"/>
      <c r="HR78" s="63"/>
      <c r="HS78" s="63"/>
      <c r="HT78" s="63"/>
      <c r="HU78" s="67">
        <f t="shared" si="512"/>
        <v>0</v>
      </c>
      <c r="HV78" s="63"/>
      <c r="HW78" s="63"/>
      <c r="HX78" s="63"/>
      <c r="HY78" s="63"/>
      <c r="HZ78" s="67">
        <f t="shared" si="513"/>
        <v>0</v>
      </c>
      <c r="IA78" s="63"/>
      <c r="IB78" s="63"/>
      <c r="IC78" s="63"/>
      <c r="ID78" s="63"/>
      <c r="IE78" s="67">
        <f t="shared" si="514"/>
        <v>0</v>
      </c>
      <c r="IF78" s="68">
        <f t="shared" si="515"/>
        <v>0</v>
      </c>
      <c r="IG78" s="68">
        <f t="shared" si="515"/>
        <v>0</v>
      </c>
      <c r="IH78" s="68">
        <f t="shared" si="515"/>
        <v>0</v>
      </c>
      <c r="II78" s="68">
        <f t="shared" si="515"/>
        <v>0</v>
      </c>
      <c r="IJ78" s="67">
        <f t="shared" si="516"/>
        <v>0</v>
      </c>
      <c r="IK78" s="63"/>
      <c r="IL78" s="63"/>
      <c r="IM78" s="63"/>
      <c r="IN78" s="63"/>
      <c r="IO78" s="67">
        <f t="shared" si="517"/>
        <v>0</v>
      </c>
      <c r="IP78" s="63"/>
      <c r="IQ78" s="63"/>
      <c r="IR78" s="63"/>
      <c r="IS78" s="63"/>
      <c r="IT78" s="67">
        <f t="shared" si="518"/>
        <v>0</v>
      </c>
      <c r="IU78" s="63"/>
      <c r="IV78" s="63"/>
    </row>
    <row r="79" spans="1:256" ht="12.75" customHeight="1" x14ac:dyDescent="0.25">
      <c r="A79" s="117" t="s">
        <v>82</v>
      </c>
      <c r="B79" s="62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4">
        <f t="shared" si="519"/>
        <v>0</v>
      </c>
      <c r="M79" s="62"/>
      <c r="N79" s="63"/>
      <c r="O79" s="63"/>
      <c r="P79" s="63"/>
      <c r="Q79" s="63"/>
      <c r="R79" s="63"/>
      <c r="S79" s="63"/>
      <c r="T79" s="63"/>
      <c r="U79" s="63"/>
      <c r="V79" s="63"/>
      <c r="W79" s="64">
        <f t="shared" si="485"/>
        <v>0</v>
      </c>
      <c r="X79" s="62"/>
      <c r="Y79" s="63"/>
      <c r="Z79" s="63"/>
      <c r="AA79" s="63"/>
      <c r="AB79" s="63"/>
      <c r="AC79" s="63"/>
      <c r="AD79" s="63"/>
      <c r="AE79" s="63"/>
      <c r="AF79" s="63"/>
      <c r="AG79" s="63"/>
      <c r="AH79" s="64">
        <f t="shared" si="486"/>
        <v>0</v>
      </c>
      <c r="AI79" s="62"/>
      <c r="AJ79" s="63"/>
      <c r="AK79" s="63"/>
      <c r="AL79" s="63"/>
      <c r="AM79" s="63"/>
      <c r="AN79" s="63"/>
      <c r="AO79" s="63"/>
      <c r="AP79" s="63"/>
      <c r="AQ79" s="63"/>
      <c r="AR79" s="63"/>
      <c r="AS79" s="64">
        <f t="shared" si="487"/>
        <v>0</v>
      </c>
      <c r="AT79" s="65">
        <f t="shared" si="488"/>
        <v>0</v>
      </c>
      <c r="AU79" s="65">
        <f t="shared" si="488"/>
        <v>0</v>
      </c>
      <c r="AV79" s="65">
        <f t="shared" si="488"/>
        <v>0</v>
      </c>
      <c r="AW79" s="65">
        <f t="shared" si="488"/>
        <v>0</v>
      </c>
      <c r="AX79" s="65">
        <f t="shared" si="488"/>
        <v>0</v>
      </c>
      <c r="AY79" s="65">
        <f t="shared" si="488"/>
        <v>0</v>
      </c>
      <c r="AZ79" s="65">
        <f t="shared" si="488"/>
        <v>0</v>
      </c>
      <c r="BA79" s="65">
        <f t="shared" si="488"/>
        <v>0</v>
      </c>
      <c r="BB79" s="65">
        <f t="shared" si="488"/>
        <v>0</v>
      </c>
      <c r="BC79" s="65">
        <f t="shared" si="488"/>
        <v>0</v>
      </c>
      <c r="BD79" s="64">
        <f t="shared" si="489"/>
        <v>0</v>
      </c>
      <c r="BE79" s="62"/>
      <c r="BF79" s="63"/>
      <c r="BG79" s="63"/>
      <c r="BH79" s="63"/>
      <c r="BI79" s="63"/>
      <c r="BJ79" s="63"/>
      <c r="BK79" s="63"/>
      <c r="BL79" s="63"/>
      <c r="BM79" s="63"/>
      <c r="BN79" s="63"/>
      <c r="BO79" s="64">
        <f t="shared" si="490"/>
        <v>0</v>
      </c>
      <c r="BP79" s="62"/>
      <c r="BQ79" s="63"/>
      <c r="BR79" s="63"/>
      <c r="BS79" s="63"/>
      <c r="BT79" s="63"/>
      <c r="BU79" s="63"/>
      <c r="BV79" s="63"/>
      <c r="BW79" s="63"/>
      <c r="BX79" s="63"/>
      <c r="BY79" s="63"/>
      <c r="BZ79" s="64">
        <f t="shared" si="491"/>
        <v>0</v>
      </c>
      <c r="CA79" s="62"/>
      <c r="CB79" s="63"/>
      <c r="CC79" s="63"/>
      <c r="CD79" s="63"/>
      <c r="CE79" s="63"/>
      <c r="CF79" s="63"/>
      <c r="CG79" s="63"/>
      <c r="CH79" s="63"/>
      <c r="CI79" s="63"/>
      <c r="CJ79" s="63"/>
      <c r="CK79" s="64">
        <f t="shared" si="492"/>
        <v>0</v>
      </c>
      <c r="CL79" s="65">
        <f t="shared" si="493"/>
        <v>0</v>
      </c>
      <c r="CM79" s="65">
        <f t="shared" si="493"/>
        <v>0</v>
      </c>
      <c r="CN79" s="65">
        <f t="shared" si="493"/>
        <v>0</v>
      </c>
      <c r="CO79" s="65">
        <f t="shared" si="493"/>
        <v>0</v>
      </c>
      <c r="CP79" s="65">
        <f t="shared" si="493"/>
        <v>0</v>
      </c>
      <c r="CQ79" s="65">
        <f t="shared" si="493"/>
        <v>0</v>
      </c>
      <c r="CR79" s="65">
        <f t="shared" si="493"/>
        <v>0</v>
      </c>
      <c r="CS79" s="65">
        <f t="shared" si="493"/>
        <v>0</v>
      </c>
      <c r="CT79" s="65">
        <f t="shared" si="493"/>
        <v>0</v>
      </c>
      <c r="CU79" s="65">
        <f t="shared" si="493"/>
        <v>0</v>
      </c>
      <c r="CV79" s="64">
        <f t="shared" si="494"/>
        <v>0</v>
      </c>
      <c r="CW79" s="62"/>
      <c r="CX79" s="63"/>
      <c r="CY79" s="63"/>
      <c r="CZ79" s="63"/>
      <c r="DA79" s="63"/>
      <c r="DB79" s="63"/>
      <c r="DC79" s="63"/>
      <c r="DD79" s="63"/>
      <c r="DE79" s="63"/>
      <c r="DF79" s="63"/>
      <c r="DG79" s="64">
        <f t="shared" si="495"/>
        <v>0</v>
      </c>
      <c r="DH79" s="62"/>
      <c r="DI79" s="63"/>
      <c r="DJ79" s="63"/>
      <c r="DK79" s="63"/>
      <c r="DL79" s="63"/>
      <c r="DM79" s="63"/>
      <c r="DN79" s="63"/>
      <c r="DO79" s="63"/>
      <c r="DP79" s="63"/>
      <c r="DQ79" s="63"/>
      <c r="DR79" s="64">
        <f t="shared" si="496"/>
        <v>0</v>
      </c>
      <c r="DS79" s="62"/>
      <c r="DT79" s="63"/>
      <c r="DU79" s="63"/>
      <c r="DV79" s="63"/>
      <c r="DW79" s="63"/>
      <c r="DX79" s="63"/>
      <c r="DY79" s="63"/>
      <c r="DZ79" s="63"/>
      <c r="EA79" s="63"/>
      <c r="EB79" s="63"/>
      <c r="EC79" s="63"/>
      <c r="ED79" s="65">
        <f t="shared" si="497"/>
        <v>0</v>
      </c>
      <c r="EE79" s="65">
        <f t="shared" si="497"/>
        <v>0</v>
      </c>
      <c r="EF79" s="65">
        <f t="shared" si="497"/>
        <v>0</v>
      </c>
      <c r="EG79" s="65">
        <f t="shared" si="497"/>
        <v>0</v>
      </c>
      <c r="EH79" s="65">
        <f t="shared" si="497"/>
        <v>0</v>
      </c>
      <c r="EI79" s="65">
        <f t="shared" si="497"/>
        <v>0</v>
      </c>
      <c r="EJ79" s="65">
        <f t="shared" si="497"/>
        <v>0</v>
      </c>
      <c r="EK79" s="65">
        <f t="shared" si="497"/>
        <v>0</v>
      </c>
      <c r="EL79" s="65">
        <f t="shared" si="497"/>
        <v>0</v>
      </c>
      <c r="EM79" s="65">
        <f t="shared" si="497"/>
        <v>0</v>
      </c>
      <c r="EN79" s="64">
        <f t="shared" si="498"/>
        <v>0</v>
      </c>
      <c r="EO79" s="62"/>
      <c r="EP79" s="63"/>
      <c r="EQ79" s="63"/>
      <c r="ER79" s="63"/>
      <c r="ES79" s="63"/>
      <c r="ET79" s="63"/>
      <c r="EU79" s="63"/>
      <c r="EV79" s="63"/>
      <c r="EW79" s="63"/>
      <c r="EX79" s="63"/>
      <c r="EY79" s="64">
        <f t="shared" si="499"/>
        <v>0</v>
      </c>
      <c r="EZ79" s="62"/>
      <c r="FA79" s="63"/>
      <c r="FB79" s="63"/>
      <c r="FC79" s="63"/>
      <c r="FD79" s="63"/>
      <c r="FE79" s="63"/>
      <c r="FF79" s="63"/>
      <c r="FG79" s="63"/>
      <c r="FH79" s="63"/>
      <c r="FI79" s="63"/>
      <c r="FJ79" s="64">
        <f t="shared" si="500"/>
        <v>0</v>
      </c>
      <c r="FK79" s="62"/>
      <c r="FL79" s="63"/>
      <c r="FM79" s="63"/>
      <c r="FN79" s="63"/>
      <c r="FO79" s="63"/>
      <c r="FP79" s="63"/>
      <c r="FQ79" s="63"/>
      <c r="FR79" s="63"/>
      <c r="FS79" s="63"/>
      <c r="FT79" s="63"/>
      <c r="FU79" s="64">
        <f t="shared" si="501"/>
        <v>0</v>
      </c>
      <c r="FV79" s="65">
        <f t="shared" si="502"/>
        <v>0</v>
      </c>
      <c r="FW79" s="65">
        <f t="shared" si="502"/>
        <v>0</v>
      </c>
      <c r="FX79" s="65">
        <f t="shared" si="502"/>
        <v>0</v>
      </c>
      <c r="FY79" s="65">
        <f t="shared" si="502"/>
        <v>0</v>
      </c>
      <c r="FZ79" s="65">
        <f t="shared" si="502"/>
        <v>0</v>
      </c>
      <c r="GA79" s="65">
        <f t="shared" si="502"/>
        <v>0</v>
      </c>
      <c r="GB79" s="65">
        <f t="shared" si="502"/>
        <v>0</v>
      </c>
      <c r="GC79" s="65">
        <f t="shared" si="502"/>
        <v>0</v>
      </c>
      <c r="GD79" s="65">
        <f t="shared" si="502"/>
        <v>0</v>
      </c>
      <c r="GE79" s="65">
        <f t="shared" si="502"/>
        <v>0</v>
      </c>
      <c r="GF79" s="64">
        <f t="shared" si="503"/>
        <v>0</v>
      </c>
      <c r="GG79" s="66">
        <f t="shared" si="504"/>
        <v>0</v>
      </c>
      <c r="GH79" s="66">
        <f t="shared" si="504"/>
        <v>0</v>
      </c>
      <c r="GI79" s="66">
        <f t="shared" si="504"/>
        <v>0</v>
      </c>
      <c r="GJ79" s="66">
        <f t="shared" si="504"/>
        <v>0</v>
      </c>
      <c r="GK79" s="66">
        <f t="shared" si="504"/>
        <v>0</v>
      </c>
      <c r="GL79" s="66">
        <f t="shared" si="504"/>
        <v>0</v>
      </c>
      <c r="GM79" s="66">
        <f t="shared" si="504"/>
        <v>0</v>
      </c>
      <c r="GN79" s="66">
        <f t="shared" si="504"/>
        <v>0</v>
      </c>
      <c r="GO79" s="66">
        <f t="shared" si="504"/>
        <v>0</v>
      </c>
      <c r="GP79" s="66">
        <f t="shared" si="504"/>
        <v>0</v>
      </c>
      <c r="GQ79" s="64">
        <f t="shared" si="505"/>
        <v>0</v>
      </c>
      <c r="GR79" s="63"/>
      <c r="GS79" s="63">
        <v>0</v>
      </c>
      <c r="GT79" s="63">
        <v>0</v>
      </c>
      <c r="GU79" s="63">
        <v>0</v>
      </c>
      <c r="GV79" s="67">
        <f t="shared" si="506"/>
        <v>0</v>
      </c>
      <c r="GW79" s="63"/>
      <c r="GX79" s="63"/>
      <c r="GY79" s="63"/>
      <c r="GZ79" s="63"/>
      <c r="HA79" s="67">
        <f t="shared" si="507"/>
        <v>0</v>
      </c>
      <c r="HB79" s="63"/>
      <c r="HC79" s="63"/>
      <c r="HD79" s="63"/>
      <c r="HE79" s="63"/>
      <c r="HF79" s="67">
        <f t="shared" si="508"/>
        <v>0</v>
      </c>
      <c r="HG79" s="63"/>
      <c r="HH79" s="63"/>
      <c r="HI79" s="63"/>
      <c r="HJ79" s="63"/>
      <c r="HK79" s="67">
        <f t="shared" si="509"/>
        <v>0</v>
      </c>
      <c r="HL79" s="68">
        <f t="shared" si="510"/>
        <v>0</v>
      </c>
      <c r="HM79" s="68">
        <f t="shared" si="510"/>
        <v>0</v>
      </c>
      <c r="HN79" s="68">
        <f t="shared" si="510"/>
        <v>0</v>
      </c>
      <c r="HO79" s="68">
        <f t="shared" si="510"/>
        <v>0</v>
      </c>
      <c r="HP79" s="67">
        <f t="shared" si="511"/>
        <v>0</v>
      </c>
      <c r="HQ79" s="63"/>
      <c r="HR79" s="63"/>
      <c r="HS79" s="63"/>
      <c r="HT79" s="63"/>
      <c r="HU79" s="67">
        <f t="shared" si="512"/>
        <v>0</v>
      </c>
      <c r="HV79" s="63"/>
      <c r="HW79" s="63"/>
      <c r="HX79" s="63"/>
      <c r="HY79" s="63"/>
      <c r="HZ79" s="67">
        <f t="shared" si="513"/>
        <v>0</v>
      </c>
      <c r="IA79" s="63"/>
      <c r="IB79" s="63"/>
      <c r="IC79" s="63"/>
      <c r="ID79" s="63"/>
      <c r="IE79" s="67">
        <f t="shared" si="514"/>
        <v>0</v>
      </c>
      <c r="IF79" s="68">
        <f t="shared" si="515"/>
        <v>0</v>
      </c>
      <c r="IG79" s="68">
        <f t="shared" si="515"/>
        <v>0</v>
      </c>
      <c r="IH79" s="68">
        <f t="shared" si="515"/>
        <v>0</v>
      </c>
      <c r="II79" s="68">
        <f t="shared" si="515"/>
        <v>0</v>
      </c>
      <c r="IJ79" s="67">
        <f t="shared" si="516"/>
        <v>0</v>
      </c>
      <c r="IK79" s="63"/>
      <c r="IL79" s="63"/>
      <c r="IM79" s="63"/>
      <c r="IN79" s="63"/>
      <c r="IO79" s="67">
        <f t="shared" si="517"/>
        <v>0</v>
      </c>
      <c r="IP79" s="63"/>
      <c r="IQ79" s="63"/>
      <c r="IR79" s="63"/>
      <c r="IS79" s="63"/>
      <c r="IT79" s="67">
        <f t="shared" si="518"/>
        <v>0</v>
      </c>
      <c r="IU79" s="63"/>
      <c r="IV79" s="63"/>
    </row>
    <row r="80" spans="1:256" ht="12.75" customHeight="1" x14ac:dyDescent="0.25">
      <c r="A80" s="117" t="s">
        <v>83</v>
      </c>
      <c r="B80" s="62">
        <v>0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0</v>
      </c>
      <c r="L80" s="64">
        <f t="shared" si="519"/>
        <v>0</v>
      </c>
      <c r="M80" s="62"/>
      <c r="N80" s="63"/>
      <c r="O80" s="63"/>
      <c r="P80" s="63"/>
      <c r="Q80" s="63"/>
      <c r="R80" s="63"/>
      <c r="S80" s="63"/>
      <c r="T80" s="63"/>
      <c r="U80" s="63"/>
      <c r="V80" s="63"/>
      <c r="W80" s="64">
        <f t="shared" si="485"/>
        <v>0</v>
      </c>
      <c r="X80" s="62"/>
      <c r="Y80" s="63"/>
      <c r="Z80" s="63"/>
      <c r="AA80" s="63"/>
      <c r="AB80" s="63"/>
      <c r="AC80" s="63"/>
      <c r="AD80" s="63"/>
      <c r="AE80" s="63"/>
      <c r="AF80" s="63"/>
      <c r="AG80" s="63"/>
      <c r="AH80" s="64">
        <f t="shared" si="486"/>
        <v>0</v>
      </c>
      <c r="AI80" s="62"/>
      <c r="AJ80" s="63"/>
      <c r="AK80" s="63"/>
      <c r="AL80" s="63"/>
      <c r="AM80" s="63"/>
      <c r="AN80" s="63"/>
      <c r="AO80" s="63"/>
      <c r="AP80" s="63"/>
      <c r="AQ80" s="63"/>
      <c r="AR80" s="63"/>
      <c r="AS80" s="64">
        <f t="shared" si="487"/>
        <v>0</v>
      </c>
      <c r="AT80" s="65">
        <f t="shared" si="488"/>
        <v>0</v>
      </c>
      <c r="AU80" s="65">
        <f t="shared" si="488"/>
        <v>0</v>
      </c>
      <c r="AV80" s="65">
        <f t="shared" si="488"/>
        <v>0</v>
      </c>
      <c r="AW80" s="65">
        <f t="shared" si="488"/>
        <v>0</v>
      </c>
      <c r="AX80" s="65">
        <f t="shared" si="488"/>
        <v>0</v>
      </c>
      <c r="AY80" s="65">
        <f t="shared" si="488"/>
        <v>0</v>
      </c>
      <c r="AZ80" s="65">
        <f t="shared" si="488"/>
        <v>0</v>
      </c>
      <c r="BA80" s="65">
        <f t="shared" si="488"/>
        <v>0</v>
      </c>
      <c r="BB80" s="65">
        <f t="shared" si="488"/>
        <v>0</v>
      </c>
      <c r="BC80" s="65">
        <f t="shared" si="488"/>
        <v>0</v>
      </c>
      <c r="BD80" s="64">
        <f t="shared" si="489"/>
        <v>0</v>
      </c>
      <c r="BE80" s="62"/>
      <c r="BF80" s="63"/>
      <c r="BG80" s="63"/>
      <c r="BH80" s="63"/>
      <c r="BI80" s="63"/>
      <c r="BJ80" s="63"/>
      <c r="BK80" s="63"/>
      <c r="BL80" s="63"/>
      <c r="BM80" s="63"/>
      <c r="BN80" s="63"/>
      <c r="BO80" s="64">
        <f t="shared" si="490"/>
        <v>0</v>
      </c>
      <c r="BP80" s="62"/>
      <c r="BQ80" s="63"/>
      <c r="BR80" s="63"/>
      <c r="BS80" s="63"/>
      <c r="BT80" s="63"/>
      <c r="BU80" s="63"/>
      <c r="BV80" s="63"/>
      <c r="BW80" s="63"/>
      <c r="BX80" s="63"/>
      <c r="BY80" s="63"/>
      <c r="BZ80" s="64">
        <f t="shared" si="491"/>
        <v>0</v>
      </c>
      <c r="CA80" s="62"/>
      <c r="CB80" s="63"/>
      <c r="CC80" s="63"/>
      <c r="CD80" s="63"/>
      <c r="CE80" s="63"/>
      <c r="CF80" s="63"/>
      <c r="CG80" s="63"/>
      <c r="CH80" s="63"/>
      <c r="CI80" s="63"/>
      <c r="CJ80" s="63"/>
      <c r="CK80" s="64">
        <f t="shared" si="492"/>
        <v>0</v>
      </c>
      <c r="CL80" s="65">
        <f t="shared" si="493"/>
        <v>0</v>
      </c>
      <c r="CM80" s="65">
        <f t="shared" si="493"/>
        <v>0</v>
      </c>
      <c r="CN80" s="65">
        <f t="shared" si="493"/>
        <v>0</v>
      </c>
      <c r="CO80" s="65">
        <f t="shared" si="493"/>
        <v>0</v>
      </c>
      <c r="CP80" s="65">
        <f t="shared" si="493"/>
        <v>0</v>
      </c>
      <c r="CQ80" s="65">
        <f t="shared" si="493"/>
        <v>0</v>
      </c>
      <c r="CR80" s="65">
        <f t="shared" si="493"/>
        <v>0</v>
      </c>
      <c r="CS80" s="65">
        <f t="shared" si="493"/>
        <v>0</v>
      </c>
      <c r="CT80" s="65">
        <f t="shared" si="493"/>
        <v>0</v>
      </c>
      <c r="CU80" s="65">
        <f t="shared" si="493"/>
        <v>0</v>
      </c>
      <c r="CV80" s="64">
        <f t="shared" si="494"/>
        <v>0</v>
      </c>
      <c r="CW80" s="62"/>
      <c r="CX80" s="63"/>
      <c r="CY80" s="63"/>
      <c r="CZ80" s="63"/>
      <c r="DA80" s="63"/>
      <c r="DB80" s="63"/>
      <c r="DC80" s="63"/>
      <c r="DD80" s="63"/>
      <c r="DE80" s="63"/>
      <c r="DF80" s="63"/>
      <c r="DG80" s="64">
        <f t="shared" si="495"/>
        <v>0</v>
      </c>
      <c r="DH80" s="62"/>
      <c r="DI80" s="63"/>
      <c r="DJ80" s="63"/>
      <c r="DK80" s="63"/>
      <c r="DL80" s="63"/>
      <c r="DM80" s="63"/>
      <c r="DN80" s="63"/>
      <c r="DO80" s="63"/>
      <c r="DP80" s="63"/>
      <c r="DQ80" s="63"/>
      <c r="DR80" s="64">
        <f t="shared" si="496"/>
        <v>0</v>
      </c>
      <c r="DS80" s="62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5">
        <f t="shared" si="497"/>
        <v>0</v>
      </c>
      <c r="EE80" s="65">
        <f t="shared" si="497"/>
        <v>0</v>
      </c>
      <c r="EF80" s="65">
        <f t="shared" si="497"/>
        <v>0</v>
      </c>
      <c r="EG80" s="65">
        <f t="shared" si="497"/>
        <v>0</v>
      </c>
      <c r="EH80" s="65">
        <f t="shared" si="497"/>
        <v>0</v>
      </c>
      <c r="EI80" s="65">
        <f t="shared" si="497"/>
        <v>0</v>
      </c>
      <c r="EJ80" s="65">
        <f t="shared" si="497"/>
        <v>0</v>
      </c>
      <c r="EK80" s="65">
        <f t="shared" si="497"/>
        <v>0</v>
      </c>
      <c r="EL80" s="65">
        <f t="shared" si="497"/>
        <v>0</v>
      </c>
      <c r="EM80" s="65">
        <f t="shared" si="497"/>
        <v>0</v>
      </c>
      <c r="EN80" s="64">
        <f t="shared" si="498"/>
        <v>0</v>
      </c>
      <c r="EO80" s="62"/>
      <c r="EP80" s="63"/>
      <c r="EQ80" s="63"/>
      <c r="ER80" s="63"/>
      <c r="ES80" s="63"/>
      <c r="ET80" s="63"/>
      <c r="EU80" s="63"/>
      <c r="EV80" s="63"/>
      <c r="EW80" s="63"/>
      <c r="EX80" s="63"/>
      <c r="EY80" s="64">
        <f t="shared" si="499"/>
        <v>0</v>
      </c>
      <c r="EZ80" s="62"/>
      <c r="FA80" s="63"/>
      <c r="FB80" s="63"/>
      <c r="FC80" s="63"/>
      <c r="FD80" s="63"/>
      <c r="FE80" s="63"/>
      <c r="FF80" s="63"/>
      <c r="FG80" s="63"/>
      <c r="FH80" s="63"/>
      <c r="FI80" s="63"/>
      <c r="FJ80" s="64">
        <f t="shared" si="500"/>
        <v>0</v>
      </c>
      <c r="FK80" s="62"/>
      <c r="FL80" s="63"/>
      <c r="FM80" s="63"/>
      <c r="FN80" s="63"/>
      <c r="FO80" s="63"/>
      <c r="FP80" s="63"/>
      <c r="FQ80" s="63"/>
      <c r="FR80" s="63"/>
      <c r="FS80" s="63"/>
      <c r="FT80" s="63"/>
      <c r="FU80" s="64">
        <f t="shared" si="501"/>
        <v>0</v>
      </c>
      <c r="FV80" s="65">
        <f t="shared" si="502"/>
        <v>0</v>
      </c>
      <c r="FW80" s="65">
        <f t="shared" si="502"/>
        <v>0</v>
      </c>
      <c r="FX80" s="65">
        <f t="shared" si="502"/>
        <v>0</v>
      </c>
      <c r="FY80" s="65">
        <f t="shared" si="502"/>
        <v>0</v>
      </c>
      <c r="FZ80" s="65">
        <f t="shared" si="502"/>
        <v>0</v>
      </c>
      <c r="GA80" s="65">
        <f t="shared" si="502"/>
        <v>0</v>
      </c>
      <c r="GB80" s="65">
        <f t="shared" si="502"/>
        <v>0</v>
      </c>
      <c r="GC80" s="65">
        <f t="shared" si="502"/>
        <v>0</v>
      </c>
      <c r="GD80" s="65">
        <f t="shared" si="502"/>
        <v>0</v>
      </c>
      <c r="GE80" s="65">
        <f t="shared" si="502"/>
        <v>0</v>
      </c>
      <c r="GF80" s="64">
        <f t="shared" si="503"/>
        <v>0</v>
      </c>
      <c r="GG80" s="66">
        <f t="shared" si="504"/>
        <v>0</v>
      </c>
      <c r="GH80" s="66">
        <f t="shared" si="504"/>
        <v>0</v>
      </c>
      <c r="GI80" s="66">
        <f t="shared" si="504"/>
        <v>0</v>
      </c>
      <c r="GJ80" s="66">
        <f t="shared" si="504"/>
        <v>0</v>
      </c>
      <c r="GK80" s="66">
        <f t="shared" si="504"/>
        <v>0</v>
      </c>
      <c r="GL80" s="66">
        <f t="shared" si="504"/>
        <v>0</v>
      </c>
      <c r="GM80" s="66">
        <f t="shared" si="504"/>
        <v>0</v>
      </c>
      <c r="GN80" s="66">
        <f t="shared" si="504"/>
        <v>0</v>
      </c>
      <c r="GO80" s="66">
        <f t="shared" si="504"/>
        <v>0</v>
      </c>
      <c r="GP80" s="66">
        <f t="shared" si="504"/>
        <v>0</v>
      </c>
      <c r="GQ80" s="64">
        <f t="shared" si="505"/>
        <v>0</v>
      </c>
      <c r="GR80" s="63"/>
      <c r="GS80" s="63">
        <v>0</v>
      </c>
      <c r="GT80" s="63">
        <v>0</v>
      </c>
      <c r="GU80" s="63">
        <v>0</v>
      </c>
      <c r="GV80" s="67">
        <f t="shared" si="506"/>
        <v>0</v>
      </c>
      <c r="GW80" s="63"/>
      <c r="GX80" s="63"/>
      <c r="GY80" s="63"/>
      <c r="GZ80" s="63"/>
      <c r="HA80" s="67">
        <f t="shared" si="507"/>
        <v>0</v>
      </c>
      <c r="HB80" s="63"/>
      <c r="HC80" s="63"/>
      <c r="HD80" s="63"/>
      <c r="HE80" s="63"/>
      <c r="HF80" s="67">
        <f t="shared" si="508"/>
        <v>0</v>
      </c>
      <c r="HG80" s="63"/>
      <c r="HH80" s="63"/>
      <c r="HI80" s="63"/>
      <c r="HJ80" s="63"/>
      <c r="HK80" s="67">
        <f t="shared" si="509"/>
        <v>0</v>
      </c>
      <c r="HL80" s="68">
        <f t="shared" si="510"/>
        <v>0</v>
      </c>
      <c r="HM80" s="68">
        <f t="shared" si="510"/>
        <v>0</v>
      </c>
      <c r="HN80" s="68">
        <f t="shared" si="510"/>
        <v>0</v>
      </c>
      <c r="HO80" s="68">
        <f t="shared" si="510"/>
        <v>0</v>
      </c>
      <c r="HP80" s="67">
        <f t="shared" si="511"/>
        <v>0</v>
      </c>
      <c r="HQ80" s="63"/>
      <c r="HR80" s="63"/>
      <c r="HS80" s="63"/>
      <c r="HT80" s="63"/>
      <c r="HU80" s="67">
        <f t="shared" si="512"/>
        <v>0</v>
      </c>
      <c r="HV80" s="63"/>
      <c r="HW80" s="63"/>
      <c r="HX80" s="63"/>
      <c r="HY80" s="63"/>
      <c r="HZ80" s="67">
        <f t="shared" si="513"/>
        <v>0</v>
      </c>
      <c r="IA80" s="63"/>
      <c r="IB80" s="63"/>
      <c r="IC80" s="63"/>
      <c r="ID80" s="63"/>
      <c r="IE80" s="67">
        <f t="shared" si="514"/>
        <v>0</v>
      </c>
      <c r="IF80" s="68">
        <f t="shared" si="515"/>
        <v>0</v>
      </c>
      <c r="IG80" s="68">
        <f t="shared" si="515"/>
        <v>0</v>
      </c>
      <c r="IH80" s="68">
        <f t="shared" si="515"/>
        <v>0</v>
      </c>
      <c r="II80" s="68">
        <f t="shared" si="515"/>
        <v>0</v>
      </c>
      <c r="IJ80" s="67">
        <f t="shared" si="516"/>
        <v>0</v>
      </c>
      <c r="IK80" s="63"/>
      <c r="IL80" s="63"/>
      <c r="IM80" s="63"/>
      <c r="IN80" s="63"/>
      <c r="IO80" s="67">
        <f t="shared" si="517"/>
        <v>0</v>
      </c>
      <c r="IP80" s="63"/>
      <c r="IQ80" s="63"/>
      <c r="IR80" s="63"/>
      <c r="IS80" s="63"/>
      <c r="IT80" s="67">
        <f t="shared" si="518"/>
        <v>0</v>
      </c>
      <c r="IU80" s="63"/>
      <c r="IV80" s="63"/>
    </row>
    <row r="81" spans="1:256" ht="12.75" customHeight="1" x14ac:dyDescent="0.25">
      <c r="A81" s="117" t="s">
        <v>84</v>
      </c>
      <c r="B81" s="62">
        <v>568</v>
      </c>
      <c r="C81" s="63">
        <v>568</v>
      </c>
      <c r="D81" s="63">
        <v>0</v>
      </c>
      <c r="E81" s="63">
        <v>0</v>
      </c>
      <c r="F81" s="63">
        <v>0</v>
      </c>
      <c r="G81" s="63">
        <v>0</v>
      </c>
      <c r="H81" s="63">
        <v>0</v>
      </c>
      <c r="I81" s="63">
        <v>0</v>
      </c>
      <c r="J81" s="63">
        <v>0</v>
      </c>
      <c r="K81" s="63">
        <v>0</v>
      </c>
      <c r="L81" s="64">
        <f t="shared" si="519"/>
        <v>568</v>
      </c>
      <c r="M81" s="62"/>
      <c r="N81" s="63"/>
      <c r="O81" s="63"/>
      <c r="P81" s="63"/>
      <c r="Q81" s="63"/>
      <c r="R81" s="63"/>
      <c r="S81" s="63"/>
      <c r="T81" s="63"/>
      <c r="U81" s="63"/>
      <c r="V81" s="63"/>
      <c r="W81" s="64">
        <f t="shared" si="485"/>
        <v>0</v>
      </c>
      <c r="X81" s="62"/>
      <c r="Y81" s="63"/>
      <c r="Z81" s="63"/>
      <c r="AA81" s="63"/>
      <c r="AB81" s="63"/>
      <c r="AC81" s="63"/>
      <c r="AD81" s="63"/>
      <c r="AE81" s="63"/>
      <c r="AF81" s="63"/>
      <c r="AG81" s="63"/>
      <c r="AH81" s="64">
        <f t="shared" si="486"/>
        <v>0</v>
      </c>
      <c r="AI81" s="62"/>
      <c r="AJ81" s="63"/>
      <c r="AK81" s="63"/>
      <c r="AL81" s="63"/>
      <c r="AM81" s="63"/>
      <c r="AN81" s="63"/>
      <c r="AO81" s="63"/>
      <c r="AP81" s="63"/>
      <c r="AQ81" s="63"/>
      <c r="AR81" s="63"/>
      <c r="AS81" s="64">
        <f t="shared" si="487"/>
        <v>0</v>
      </c>
      <c r="AT81" s="65">
        <f t="shared" si="488"/>
        <v>0</v>
      </c>
      <c r="AU81" s="65">
        <f t="shared" si="488"/>
        <v>0</v>
      </c>
      <c r="AV81" s="65">
        <f t="shared" si="488"/>
        <v>0</v>
      </c>
      <c r="AW81" s="65">
        <f t="shared" si="488"/>
        <v>0</v>
      </c>
      <c r="AX81" s="65">
        <f t="shared" si="488"/>
        <v>0</v>
      </c>
      <c r="AY81" s="65">
        <f t="shared" si="488"/>
        <v>0</v>
      </c>
      <c r="AZ81" s="65">
        <f t="shared" si="488"/>
        <v>0</v>
      </c>
      <c r="BA81" s="65">
        <f t="shared" si="488"/>
        <v>0</v>
      </c>
      <c r="BB81" s="65">
        <f t="shared" si="488"/>
        <v>0</v>
      </c>
      <c r="BC81" s="65">
        <f t="shared" si="488"/>
        <v>0</v>
      </c>
      <c r="BD81" s="64">
        <f t="shared" si="489"/>
        <v>0</v>
      </c>
      <c r="BE81" s="62"/>
      <c r="BF81" s="63"/>
      <c r="BG81" s="63"/>
      <c r="BH81" s="63"/>
      <c r="BI81" s="63"/>
      <c r="BJ81" s="63"/>
      <c r="BK81" s="63"/>
      <c r="BL81" s="63"/>
      <c r="BM81" s="63"/>
      <c r="BN81" s="63"/>
      <c r="BO81" s="64">
        <f t="shared" si="490"/>
        <v>0</v>
      </c>
      <c r="BP81" s="62"/>
      <c r="BQ81" s="63"/>
      <c r="BR81" s="63"/>
      <c r="BS81" s="63"/>
      <c r="BT81" s="63"/>
      <c r="BU81" s="63"/>
      <c r="BV81" s="63"/>
      <c r="BW81" s="63"/>
      <c r="BX81" s="63"/>
      <c r="BY81" s="63"/>
      <c r="BZ81" s="64">
        <f t="shared" si="491"/>
        <v>0</v>
      </c>
      <c r="CA81" s="62"/>
      <c r="CB81" s="63"/>
      <c r="CC81" s="63"/>
      <c r="CD81" s="63"/>
      <c r="CE81" s="63"/>
      <c r="CF81" s="63"/>
      <c r="CG81" s="63"/>
      <c r="CH81" s="63"/>
      <c r="CI81" s="63"/>
      <c r="CJ81" s="63"/>
      <c r="CK81" s="64">
        <f t="shared" si="492"/>
        <v>0</v>
      </c>
      <c r="CL81" s="65">
        <f t="shared" si="493"/>
        <v>0</v>
      </c>
      <c r="CM81" s="65">
        <f t="shared" si="493"/>
        <v>0</v>
      </c>
      <c r="CN81" s="65">
        <f t="shared" si="493"/>
        <v>0</v>
      </c>
      <c r="CO81" s="65">
        <f t="shared" si="493"/>
        <v>0</v>
      </c>
      <c r="CP81" s="65">
        <f t="shared" si="493"/>
        <v>0</v>
      </c>
      <c r="CQ81" s="65">
        <f t="shared" si="493"/>
        <v>0</v>
      </c>
      <c r="CR81" s="65">
        <f t="shared" si="493"/>
        <v>0</v>
      </c>
      <c r="CS81" s="65">
        <f t="shared" si="493"/>
        <v>0</v>
      </c>
      <c r="CT81" s="65">
        <f t="shared" si="493"/>
        <v>0</v>
      </c>
      <c r="CU81" s="65">
        <f t="shared" si="493"/>
        <v>0</v>
      </c>
      <c r="CV81" s="64">
        <f t="shared" si="494"/>
        <v>0</v>
      </c>
      <c r="CW81" s="62"/>
      <c r="CX81" s="63"/>
      <c r="CY81" s="63"/>
      <c r="CZ81" s="63"/>
      <c r="DA81" s="63"/>
      <c r="DB81" s="63"/>
      <c r="DC81" s="63"/>
      <c r="DD81" s="63"/>
      <c r="DE81" s="63"/>
      <c r="DF81" s="63"/>
      <c r="DG81" s="64">
        <f t="shared" si="495"/>
        <v>0</v>
      </c>
      <c r="DH81" s="62"/>
      <c r="DI81" s="63"/>
      <c r="DJ81" s="63"/>
      <c r="DK81" s="63"/>
      <c r="DL81" s="63"/>
      <c r="DM81" s="63"/>
      <c r="DN81" s="63"/>
      <c r="DO81" s="63"/>
      <c r="DP81" s="63"/>
      <c r="DQ81" s="63"/>
      <c r="DR81" s="64">
        <f t="shared" si="496"/>
        <v>0</v>
      </c>
      <c r="DS81" s="62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5">
        <f t="shared" si="497"/>
        <v>0</v>
      </c>
      <c r="EE81" s="65">
        <f t="shared" si="497"/>
        <v>0</v>
      </c>
      <c r="EF81" s="65">
        <f t="shared" si="497"/>
        <v>0</v>
      </c>
      <c r="EG81" s="65">
        <f t="shared" si="497"/>
        <v>0</v>
      </c>
      <c r="EH81" s="65">
        <f t="shared" si="497"/>
        <v>0</v>
      </c>
      <c r="EI81" s="65">
        <f t="shared" si="497"/>
        <v>0</v>
      </c>
      <c r="EJ81" s="65">
        <f t="shared" si="497"/>
        <v>0</v>
      </c>
      <c r="EK81" s="65">
        <f t="shared" si="497"/>
        <v>0</v>
      </c>
      <c r="EL81" s="65">
        <f t="shared" si="497"/>
        <v>0</v>
      </c>
      <c r="EM81" s="65">
        <f t="shared" si="497"/>
        <v>0</v>
      </c>
      <c r="EN81" s="64">
        <f t="shared" si="498"/>
        <v>0</v>
      </c>
      <c r="EO81" s="62"/>
      <c r="EP81" s="63"/>
      <c r="EQ81" s="63"/>
      <c r="ER81" s="63"/>
      <c r="ES81" s="63"/>
      <c r="ET81" s="63"/>
      <c r="EU81" s="63"/>
      <c r="EV81" s="63"/>
      <c r="EW81" s="63"/>
      <c r="EX81" s="63"/>
      <c r="EY81" s="64">
        <f t="shared" si="499"/>
        <v>0</v>
      </c>
      <c r="EZ81" s="62"/>
      <c r="FA81" s="63"/>
      <c r="FB81" s="63"/>
      <c r="FC81" s="63"/>
      <c r="FD81" s="63"/>
      <c r="FE81" s="63"/>
      <c r="FF81" s="63"/>
      <c r="FG81" s="63"/>
      <c r="FH81" s="63"/>
      <c r="FI81" s="63"/>
      <c r="FJ81" s="64">
        <f t="shared" si="500"/>
        <v>0</v>
      </c>
      <c r="FK81" s="62"/>
      <c r="FL81" s="63"/>
      <c r="FM81" s="63"/>
      <c r="FN81" s="63"/>
      <c r="FO81" s="63"/>
      <c r="FP81" s="63"/>
      <c r="FQ81" s="63"/>
      <c r="FR81" s="63"/>
      <c r="FS81" s="63"/>
      <c r="FT81" s="63"/>
      <c r="FU81" s="64">
        <f t="shared" si="501"/>
        <v>0</v>
      </c>
      <c r="FV81" s="65">
        <f t="shared" si="502"/>
        <v>0</v>
      </c>
      <c r="FW81" s="65">
        <f t="shared" si="502"/>
        <v>0</v>
      </c>
      <c r="FX81" s="65">
        <f t="shared" si="502"/>
        <v>0</v>
      </c>
      <c r="FY81" s="65">
        <f t="shared" si="502"/>
        <v>0</v>
      </c>
      <c r="FZ81" s="65">
        <f t="shared" si="502"/>
        <v>0</v>
      </c>
      <c r="GA81" s="65">
        <f t="shared" si="502"/>
        <v>0</v>
      </c>
      <c r="GB81" s="65">
        <f t="shared" si="502"/>
        <v>0</v>
      </c>
      <c r="GC81" s="65">
        <f t="shared" si="502"/>
        <v>0</v>
      </c>
      <c r="GD81" s="65">
        <f t="shared" si="502"/>
        <v>0</v>
      </c>
      <c r="GE81" s="65">
        <f t="shared" si="502"/>
        <v>0</v>
      </c>
      <c r="GF81" s="64">
        <f t="shared" si="503"/>
        <v>0</v>
      </c>
      <c r="GG81" s="66">
        <f t="shared" si="504"/>
        <v>0</v>
      </c>
      <c r="GH81" s="66">
        <f t="shared" si="504"/>
        <v>0</v>
      </c>
      <c r="GI81" s="66">
        <f t="shared" si="504"/>
        <v>0</v>
      </c>
      <c r="GJ81" s="66">
        <f t="shared" si="504"/>
        <v>0</v>
      </c>
      <c r="GK81" s="66">
        <f t="shared" si="504"/>
        <v>0</v>
      </c>
      <c r="GL81" s="66">
        <f t="shared" si="504"/>
        <v>0</v>
      </c>
      <c r="GM81" s="66">
        <f t="shared" si="504"/>
        <v>0</v>
      </c>
      <c r="GN81" s="66">
        <f t="shared" si="504"/>
        <v>0</v>
      </c>
      <c r="GO81" s="66">
        <f t="shared" si="504"/>
        <v>0</v>
      </c>
      <c r="GP81" s="66">
        <f t="shared" si="504"/>
        <v>0</v>
      </c>
      <c r="GQ81" s="64">
        <f t="shared" si="505"/>
        <v>0</v>
      </c>
      <c r="GR81" s="63"/>
      <c r="GS81" s="63"/>
      <c r="GT81" s="63">
        <v>0</v>
      </c>
      <c r="GU81" s="63">
        <v>0</v>
      </c>
      <c r="GV81" s="67">
        <f t="shared" si="506"/>
        <v>0</v>
      </c>
      <c r="GW81" s="63"/>
      <c r="GX81" s="63"/>
      <c r="GY81" s="63"/>
      <c r="GZ81" s="63"/>
      <c r="HA81" s="67">
        <f t="shared" si="507"/>
        <v>0</v>
      </c>
      <c r="HB81" s="63"/>
      <c r="HC81" s="63"/>
      <c r="HD81" s="63"/>
      <c r="HE81" s="63"/>
      <c r="HF81" s="67">
        <f t="shared" si="508"/>
        <v>0</v>
      </c>
      <c r="HG81" s="63"/>
      <c r="HH81" s="63"/>
      <c r="HI81" s="63"/>
      <c r="HJ81" s="63"/>
      <c r="HK81" s="67">
        <f t="shared" si="509"/>
        <v>0</v>
      </c>
      <c r="HL81" s="68">
        <f t="shared" si="510"/>
        <v>0</v>
      </c>
      <c r="HM81" s="68">
        <f t="shared" si="510"/>
        <v>0</v>
      </c>
      <c r="HN81" s="68">
        <f t="shared" si="510"/>
        <v>0</v>
      </c>
      <c r="HO81" s="68">
        <f t="shared" si="510"/>
        <v>0</v>
      </c>
      <c r="HP81" s="67">
        <f t="shared" si="511"/>
        <v>0</v>
      </c>
      <c r="HQ81" s="63"/>
      <c r="HR81" s="63"/>
      <c r="HS81" s="63"/>
      <c r="HT81" s="63"/>
      <c r="HU81" s="67">
        <f t="shared" si="512"/>
        <v>0</v>
      </c>
      <c r="HV81" s="63"/>
      <c r="HW81" s="63"/>
      <c r="HX81" s="63"/>
      <c r="HY81" s="63"/>
      <c r="HZ81" s="67">
        <f t="shared" si="513"/>
        <v>0</v>
      </c>
      <c r="IA81" s="63"/>
      <c r="IB81" s="63"/>
      <c r="IC81" s="63"/>
      <c r="ID81" s="63"/>
      <c r="IE81" s="67">
        <f t="shared" si="514"/>
        <v>0</v>
      </c>
      <c r="IF81" s="68">
        <f t="shared" si="515"/>
        <v>0</v>
      </c>
      <c r="IG81" s="68">
        <f t="shared" si="515"/>
        <v>0</v>
      </c>
      <c r="IH81" s="68">
        <f t="shared" si="515"/>
        <v>0</v>
      </c>
      <c r="II81" s="68">
        <f t="shared" si="515"/>
        <v>0</v>
      </c>
      <c r="IJ81" s="67">
        <f t="shared" si="516"/>
        <v>0</v>
      </c>
      <c r="IK81" s="63"/>
      <c r="IL81" s="63"/>
      <c r="IM81" s="63"/>
      <c r="IN81" s="63"/>
      <c r="IO81" s="67">
        <f t="shared" si="517"/>
        <v>0</v>
      </c>
      <c r="IP81" s="63"/>
      <c r="IQ81" s="63"/>
      <c r="IR81" s="63"/>
      <c r="IS81" s="63"/>
      <c r="IT81" s="67">
        <f t="shared" si="518"/>
        <v>0</v>
      </c>
      <c r="IU81" s="63"/>
      <c r="IV81" s="63"/>
    </row>
    <row r="82" spans="1:256" ht="12.75" customHeight="1" x14ac:dyDescent="0.25">
      <c r="A82" s="117" t="s">
        <v>85</v>
      </c>
      <c r="B82" s="62">
        <v>2000</v>
      </c>
      <c r="C82" s="63">
        <v>160</v>
      </c>
      <c r="D82" s="63">
        <v>0</v>
      </c>
      <c r="E82" s="63">
        <v>20</v>
      </c>
      <c r="F82" s="63">
        <v>0</v>
      </c>
      <c r="G82" s="63">
        <v>0</v>
      </c>
      <c r="H82" s="63">
        <v>20</v>
      </c>
      <c r="I82" s="63">
        <v>0</v>
      </c>
      <c r="J82" s="63">
        <v>0</v>
      </c>
      <c r="K82" s="63">
        <v>0</v>
      </c>
      <c r="L82" s="64">
        <f t="shared" si="519"/>
        <v>200</v>
      </c>
      <c r="M82" s="62"/>
      <c r="N82" s="63"/>
      <c r="O82" s="63"/>
      <c r="P82" s="63"/>
      <c r="Q82" s="63"/>
      <c r="R82" s="63"/>
      <c r="S82" s="63"/>
      <c r="T82" s="63"/>
      <c r="U82" s="63"/>
      <c r="V82" s="63"/>
      <c r="W82" s="64">
        <f t="shared" si="485"/>
        <v>0</v>
      </c>
      <c r="X82" s="62"/>
      <c r="Y82" s="63"/>
      <c r="Z82" s="63"/>
      <c r="AA82" s="63"/>
      <c r="AB82" s="63"/>
      <c r="AC82" s="63"/>
      <c r="AD82" s="63"/>
      <c r="AE82" s="63"/>
      <c r="AF82" s="63"/>
      <c r="AG82" s="63"/>
      <c r="AH82" s="64">
        <f t="shared" si="486"/>
        <v>0</v>
      </c>
      <c r="AI82" s="62"/>
      <c r="AJ82" s="63"/>
      <c r="AK82" s="63"/>
      <c r="AL82" s="63"/>
      <c r="AM82" s="63"/>
      <c r="AN82" s="63"/>
      <c r="AO82" s="63"/>
      <c r="AP82" s="63"/>
      <c r="AQ82" s="63"/>
      <c r="AR82" s="63"/>
      <c r="AS82" s="64">
        <f t="shared" si="487"/>
        <v>0</v>
      </c>
      <c r="AT82" s="65">
        <f t="shared" si="488"/>
        <v>0</v>
      </c>
      <c r="AU82" s="65">
        <f t="shared" si="488"/>
        <v>0</v>
      </c>
      <c r="AV82" s="65">
        <f t="shared" si="488"/>
        <v>0</v>
      </c>
      <c r="AW82" s="65">
        <f t="shared" si="488"/>
        <v>0</v>
      </c>
      <c r="AX82" s="65">
        <f t="shared" si="488"/>
        <v>0</v>
      </c>
      <c r="AY82" s="65">
        <f t="shared" si="488"/>
        <v>0</v>
      </c>
      <c r="AZ82" s="65">
        <f t="shared" si="488"/>
        <v>0</v>
      </c>
      <c r="BA82" s="65">
        <f t="shared" si="488"/>
        <v>0</v>
      </c>
      <c r="BB82" s="65">
        <f t="shared" si="488"/>
        <v>0</v>
      </c>
      <c r="BC82" s="65">
        <f t="shared" si="488"/>
        <v>0</v>
      </c>
      <c r="BD82" s="64">
        <f t="shared" si="489"/>
        <v>0</v>
      </c>
      <c r="BE82" s="62"/>
      <c r="BF82" s="63"/>
      <c r="BG82" s="63"/>
      <c r="BH82" s="63"/>
      <c r="BI82" s="63"/>
      <c r="BJ82" s="63"/>
      <c r="BK82" s="63"/>
      <c r="BL82" s="63"/>
      <c r="BM82" s="63"/>
      <c r="BN82" s="63"/>
      <c r="BO82" s="64">
        <f t="shared" si="490"/>
        <v>0</v>
      </c>
      <c r="BP82" s="62"/>
      <c r="BQ82" s="63"/>
      <c r="BR82" s="63"/>
      <c r="BS82" s="63"/>
      <c r="BT82" s="63"/>
      <c r="BU82" s="63"/>
      <c r="BV82" s="63"/>
      <c r="BW82" s="63"/>
      <c r="BX82" s="63"/>
      <c r="BY82" s="63"/>
      <c r="BZ82" s="64">
        <f t="shared" si="491"/>
        <v>0</v>
      </c>
      <c r="CA82" s="62"/>
      <c r="CB82" s="63"/>
      <c r="CC82" s="63"/>
      <c r="CD82" s="63"/>
      <c r="CE82" s="63"/>
      <c r="CF82" s="63"/>
      <c r="CG82" s="63"/>
      <c r="CH82" s="63"/>
      <c r="CI82" s="63"/>
      <c r="CJ82" s="63"/>
      <c r="CK82" s="64">
        <f t="shared" si="492"/>
        <v>0</v>
      </c>
      <c r="CL82" s="65">
        <f t="shared" si="493"/>
        <v>0</v>
      </c>
      <c r="CM82" s="65">
        <f t="shared" si="493"/>
        <v>0</v>
      </c>
      <c r="CN82" s="65">
        <f t="shared" si="493"/>
        <v>0</v>
      </c>
      <c r="CO82" s="65">
        <f t="shared" si="493"/>
        <v>0</v>
      </c>
      <c r="CP82" s="65">
        <f t="shared" si="493"/>
        <v>0</v>
      </c>
      <c r="CQ82" s="65">
        <f t="shared" si="493"/>
        <v>0</v>
      </c>
      <c r="CR82" s="65">
        <f t="shared" si="493"/>
        <v>0</v>
      </c>
      <c r="CS82" s="65">
        <f t="shared" si="493"/>
        <v>0</v>
      </c>
      <c r="CT82" s="65">
        <f t="shared" si="493"/>
        <v>0</v>
      </c>
      <c r="CU82" s="65">
        <f t="shared" si="493"/>
        <v>0</v>
      </c>
      <c r="CV82" s="64">
        <f t="shared" si="494"/>
        <v>0</v>
      </c>
      <c r="CW82" s="62"/>
      <c r="CX82" s="63"/>
      <c r="CY82" s="63"/>
      <c r="CZ82" s="63"/>
      <c r="DA82" s="63"/>
      <c r="DB82" s="63"/>
      <c r="DC82" s="63"/>
      <c r="DD82" s="63"/>
      <c r="DE82" s="63"/>
      <c r="DF82" s="63"/>
      <c r="DG82" s="64">
        <f t="shared" si="495"/>
        <v>0</v>
      </c>
      <c r="DH82" s="62"/>
      <c r="DI82" s="63"/>
      <c r="DJ82" s="63"/>
      <c r="DK82" s="63"/>
      <c r="DL82" s="63"/>
      <c r="DM82" s="63"/>
      <c r="DN82" s="63"/>
      <c r="DO82" s="63"/>
      <c r="DP82" s="63"/>
      <c r="DQ82" s="63"/>
      <c r="DR82" s="64">
        <f t="shared" si="496"/>
        <v>0</v>
      </c>
      <c r="DS82" s="62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5">
        <f t="shared" si="497"/>
        <v>0</v>
      </c>
      <c r="EE82" s="65">
        <f t="shared" si="497"/>
        <v>0</v>
      </c>
      <c r="EF82" s="65">
        <f t="shared" si="497"/>
        <v>0</v>
      </c>
      <c r="EG82" s="65">
        <f t="shared" si="497"/>
        <v>0</v>
      </c>
      <c r="EH82" s="65">
        <f t="shared" si="497"/>
        <v>0</v>
      </c>
      <c r="EI82" s="65">
        <f t="shared" si="497"/>
        <v>0</v>
      </c>
      <c r="EJ82" s="65">
        <f t="shared" si="497"/>
        <v>0</v>
      </c>
      <c r="EK82" s="65">
        <f t="shared" si="497"/>
        <v>0</v>
      </c>
      <c r="EL82" s="65">
        <f t="shared" si="497"/>
        <v>0</v>
      </c>
      <c r="EM82" s="65">
        <f t="shared" si="497"/>
        <v>0</v>
      </c>
      <c r="EN82" s="64">
        <f t="shared" si="498"/>
        <v>0</v>
      </c>
      <c r="EO82" s="62"/>
      <c r="EP82" s="63"/>
      <c r="EQ82" s="63"/>
      <c r="ER82" s="63"/>
      <c r="ES82" s="63"/>
      <c r="ET82" s="63"/>
      <c r="EU82" s="63"/>
      <c r="EV82" s="63"/>
      <c r="EW82" s="63"/>
      <c r="EX82" s="63"/>
      <c r="EY82" s="64">
        <f t="shared" si="499"/>
        <v>0</v>
      </c>
      <c r="EZ82" s="62"/>
      <c r="FA82" s="63"/>
      <c r="FB82" s="63"/>
      <c r="FC82" s="63"/>
      <c r="FD82" s="63"/>
      <c r="FE82" s="63"/>
      <c r="FF82" s="63"/>
      <c r="FG82" s="63"/>
      <c r="FH82" s="63"/>
      <c r="FI82" s="63"/>
      <c r="FJ82" s="64">
        <f t="shared" si="500"/>
        <v>0</v>
      </c>
      <c r="FK82" s="62"/>
      <c r="FL82" s="63"/>
      <c r="FM82" s="63"/>
      <c r="FN82" s="63"/>
      <c r="FO82" s="63"/>
      <c r="FP82" s="63"/>
      <c r="FQ82" s="63"/>
      <c r="FR82" s="63"/>
      <c r="FS82" s="63"/>
      <c r="FT82" s="63"/>
      <c r="FU82" s="64">
        <f t="shared" si="501"/>
        <v>0</v>
      </c>
      <c r="FV82" s="65">
        <f t="shared" si="502"/>
        <v>0</v>
      </c>
      <c r="FW82" s="65">
        <f t="shared" si="502"/>
        <v>0</v>
      </c>
      <c r="FX82" s="65">
        <f t="shared" si="502"/>
        <v>0</v>
      </c>
      <c r="FY82" s="65">
        <f t="shared" si="502"/>
        <v>0</v>
      </c>
      <c r="FZ82" s="65">
        <f t="shared" si="502"/>
        <v>0</v>
      </c>
      <c r="GA82" s="65">
        <f t="shared" si="502"/>
        <v>0</v>
      </c>
      <c r="GB82" s="65">
        <f t="shared" si="502"/>
        <v>0</v>
      </c>
      <c r="GC82" s="65">
        <f t="shared" si="502"/>
        <v>0</v>
      </c>
      <c r="GD82" s="65">
        <f t="shared" si="502"/>
        <v>0</v>
      </c>
      <c r="GE82" s="65">
        <f t="shared" si="502"/>
        <v>0</v>
      </c>
      <c r="GF82" s="64">
        <f t="shared" si="503"/>
        <v>0</v>
      </c>
      <c r="GG82" s="66">
        <f t="shared" si="504"/>
        <v>0</v>
      </c>
      <c r="GH82" s="66">
        <f t="shared" si="504"/>
        <v>0</v>
      </c>
      <c r="GI82" s="66">
        <f t="shared" si="504"/>
        <v>0</v>
      </c>
      <c r="GJ82" s="66">
        <f t="shared" si="504"/>
        <v>0</v>
      </c>
      <c r="GK82" s="66">
        <f t="shared" si="504"/>
        <v>0</v>
      </c>
      <c r="GL82" s="66">
        <f t="shared" si="504"/>
        <v>0</v>
      </c>
      <c r="GM82" s="66">
        <f t="shared" si="504"/>
        <v>0</v>
      </c>
      <c r="GN82" s="66">
        <f t="shared" si="504"/>
        <v>0</v>
      </c>
      <c r="GO82" s="66">
        <f t="shared" si="504"/>
        <v>0</v>
      </c>
      <c r="GP82" s="66">
        <f t="shared" si="504"/>
        <v>0</v>
      </c>
      <c r="GQ82" s="64">
        <f t="shared" si="505"/>
        <v>0</v>
      </c>
      <c r="GR82" s="63"/>
      <c r="GS82" s="63"/>
      <c r="GT82" s="63">
        <v>0</v>
      </c>
      <c r="GU82" s="63">
        <v>0</v>
      </c>
      <c r="GV82" s="67">
        <f t="shared" si="506"/>
        <v>0</v>
      </c>
      <c r="GW82" s="63"/>
      <c r="GX82" s="63"/>
      <c r="GY82" s="63"/>
      <c r="GZ82" s="63"/>
      <c r="HA82" s="67">
        <f t="shared" si="507"/>
        <v>0</v>
      </c>
      <c r="HB82" s="63"/>
      <c r="HC82" s="63"/>
      <c r="HD82" s="63"/>
      <c r="HE82" s="63"/>
      <c r="HF82" s="67">
        <f t="shared" si="508"/>
        <v>0</v>
      </c>
      <c r="HG82" s="63"/>
      <c r="HH82" s="63"/>
      <c r="HI82" s="63"/>
      <c r="HJ82" s="63"/>
      <c r="HK82" s="67">
        <f t="shared" si="509"/>
        <v>0</v>
      </c>
      <c r="HL82" s="68">
        <f t="shared" si="510"/>
        <v>0</v>
      </c>
      <c r="HM82" s="68">
        <f t="shared" si="510"/>
        <v>0</v>
      </c>
      <c r="HN82" s="68">
        <f t="shared" si="510"/>
        <v>0</v>
      </c>
      <c r="HO82" s="68">
        <f t="shared" si="510"/>
        <v>0</v>
      </c>
      <c r="HP82" s="67">
        <f t="shared" si="511"/>
        <v>0</v>
      </c>
      <c r="HQ82" s="63"/>
      <c r="HR82" s="63"/>
      <c r="HS82" s="63"/>
      <c r="HT82" s="63"/>
      <c r="HU82" s="67">
        <f t="shared" si="512"/>
        <v>0</v>
      </c>
      <c r="HV82" s="63"/>
      <c r="HW82" s="63"/>
      <c r="HX82" s="63"/>
      <c r="HY82" s="63"/>
      <c r="HZ82" s="67">
        <f t="shared" si="513"/>
        <v>0</v>
      </c>
      <c r="IA82" s="63"/>
      <c r="IB82" s="63"/>
      <c r="IC82" s="63"/>
      <c r="ID82" s="63"/>
      <c r="IE82" s="67">
        <f t="shared" si="514"/>
        <v>0</v>
      </c>
      <c r="IF82" s="68">
        <f t="shared" si="515"/>
        <v>0</v>
      </c>
      <c r="IG82" s="68">
        <f t="shared" si="515"/>
        <v>0</v>
      </c>
      <c r="IH82" s="68">
        <f t="shared" si="515"/>
        <v>0</v>
      </c>
      <c r="II82" s="68">
        <f t="shared" si="515"/>
        <v>0</v>
      </c>
      <c r="IJ82" s="67">
        <f t="shared" si="516"/>
        <v>0</v>
      </c>
      <c r="IK82" s="63"/>
      <c r="IL82" s="63"/>
      <c r="IM82" s="63"/>
      <c r="IN82" s="63"/>
      <c r="IO82" s="67">
        <f t="shared" si="517"/>
        <v>0</v>
      </c>
      <c r="IP82" s="63"/>
      <c r="IQ82" s="63"/>
      <c r="IR82" s="63"/>
      <c r="IS82" s="63"/>
      <c r="IT82" s="67">
        <f t="shared" si="518"/>
        <v>0</v>
      </c>
      <c r="IU82" s="63"/>
      <c r="IV82" s="63"/>
    </row>
    <row r="83" spans="1:256" ht="12.75" customHeight="1" x14ac:dyDescent="0.25">
      <c r="A83" s="117" t="s">
        <v>86</v>
      </c>
      <c r="B83" s="62">
        <v>0</v>
      </c>
      <c r="C83" s="63">
        <v>0</v>
      </c>
      <c r="D83" s="63">
        <v>0</v>
      </c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4">
        <f t="shared" si="519"/>
        <v>0</v>
      </c>
      <c r="M83" s="62"/>
      <c r="N83" s="63"/>
      <c r="O83" s="63"/>
      <c r="P83" s="63"/>
      <c r="Q83" s="63"/>
      <c r="R83" s="63"/>
      <c r="S83" s="63"/>
      <c r="T83" s="63"/>
      <c r="U83" s="63"/>
      <c r="V83" s="63"/>
      <c r="W83" s="64">
        <f t="shared" si="485"/>
        <v>0</v>
      </c>
      <c r="X83" s="62"/>
      <c r="Y83" s="63"/>
      <c r="Z83" s="63"/>
      <c r="AA83" s="63"/>
      <c r="AB83" s="63"/>
      <c r="AC83" s="63"/>
      <c r="AD83" s="63"/>
      <c r="AE83" s="63"/>
      <c r="AF83" s="63"/>
      <c r="AG83" s="63"/>
      <c r="AH83" s="64">
        <f t="shared" si="486"/>
        <v>0</v>
      </c>
      <c r="AI83" s="62"/>
      <c r="AJ83" s="63"/>
      <c r="AK83" s="63"/>
      <c r="AL83" s="63"/>
      <c r="AM83" s="63"/>
      <c r="AN83" s="63"/>
      <c r="AO83" s="63"/>
      <c r="AP83" s="63"/>
      <c r="AQ83" s="63"/>
      <c r="AR83" s="63"/>
      <c r="AS83" s="64">
        <f t="shared" si="487"/>
        <v>0</v>
      </c>
      <c r="AT83" s="65">
        <f t="shared" si="488"/>
        <v>0</v>
      </c>
      <c r="AU83" s="65">
        <f t="shared" si="488"/>
        <v>0</v>
      </c>
      <c r="AV83" s="65">
        <f t="shared" si="488"/>
        <v>0</v>
      </c>
      <c r="AW83" s="65">
        <f t="shared" si="488"/>
        <v>0</v>
      </c>
      <c r="AX83" s="65">
        <f t="shared" si="488"/>
        <v>0</v>
      </c>
      <c r="AY83" s="65">
        <f t="shared" si="488"/>
        <v>0</v>
      </c>
      <c r="AZ83" s="65">
        <f t="shared" si="488"/>
        <v>0</v>
      </c>
      <c r="BA83" s="65">
        <f t="shared" si="488"/>
        <v>0</v>
      </c>
      <c r="BB83" s="65">
        <f t="shared" si="488"/>
        <v>0</v>
      </c>
      <c r="BC83" s="65">
        <f t="shared" si="488"/>
        <v>0</v>
      </c>
      <c r="BD83" s="64">
        <f t="shared" si="489"/>
        <v>0</v>
      </c>
      <c r="BE83" s="62"/>
      <c r="BF83" s="63"/>
      <c r="BG83" s="63"/>
      <c r="BH83" s="63"/>
      <c r="BI83" s="63"/>
      <c r="BJ83" s="63"/>
      <c r="BK83" s="63"/>
      <c r="BL83" s="63"/>
      <c r="BM83" s="63"/>
      <c r="BN83" s="63"/>
      <c r="BO83" s="64">
        <f t="shared" si="490"/>
        <v>0</v>
      </c>
      <c r="BP83" s="62"/>
      <c r="BQ83" s="63"/>
      <c r="BR83" s="63"/>
      <c r="BS83" s="63"/>
      <c r="BT83" s="63"/>
      <c r="BU83" s="63"/>
      <c r="BV83" s="63"/>
      <c r="BW83" s="63"/>
      <c r="BX83" s="63"/>
      <c r="BY83" s="63"/>
      <c r="BZ83" s="64">
        <f t="shared" si="491"/>
        <v>0</v>
      </c>
      <c r="CA83" s="62"/>
      <c r="CB83" s="63"/>
      <c r="CC83" s="63"/>
      <c r="CD83" s="63"/>
      <c r="CE83" s="63"/>
      <c r="CF83" s="63"/>
      <c r="CG83" s="63"/>
      <c r="CH83" s="63"/>
      <c r="CI83" s="63"/>
      <c r="CJ83" s="63"/>
      <c r="CK83" s="64">
        <f t="shared" si="492"/>
        <v>0</v>
      </c>
      <c r="CL83" s="65">
        <f t="shared" si="493"/>
        <v>0</v>
      </c>
      <c r="CM83" s="65">
        <f t="shared" si="493"/>
        <v>0</v>
      </c>
      <c r="CN83" s="65">
        <f t="shared" si="493"/>
        <v>0</v>
      </c>
      <c r="CO83" s="65">
        <f t="shared" si="493"/>
        <v>0</v>
      </c>
      <c r="CP83" s="65">
        <f t="shared" si="493"/>
        <v>0</v>
      </c>
      <c r="CQ83" s="65">
        <f t="shared" si="493"/>
        <v>0</v>
      </c>
      <c r="CR83" s="65">
        <f t="shared" si="493"/>
        <v>0</v>
      </c>
      <c r="CS83" s="65">
        <f t="shared" si="493"/>
        <v>0</v>
      </c>
      <c r="CT83" s="65">
        <f t="shared" si="493"/>
        <v>0</v>
      </c>
      <c r="CU83" s="65">
        <f t="shared" si="493"/>
        <v>0</v>
      </c>
      <c r="CV83" s="64">
        <f t="shared" si="494"/>
        <v>0</v>
      </c>
      <c r="CW83" s="62"/>
      <c r="CX83" s="63"/>
      <c r="CY83" s="63"/>
      <c r="CZ83" s="63"/>
      <c r="DA83" s="63"/>
      <c r="DB83" s="63"/>
      <c r="DC83" s="63"/>
      <c r="DD83" s="63"/>
      <c r="DE83" s="63"/>
      <c r="DF83" s="63"/>
      <c r="DG83" s="64">
        <f t="shared" si="495"/>
        <v>0</v>
      </c>
      <c r="DH83" s="62"/>
      <c r="DI83" s="63"/>
      <c r="DJ83" s="63"/>
      <c r="DK83" s="63"/>
      <c r="DL83" s="63"/>
      <c r="DM83" s="63"/>
      <c r="DN83" s="63"/>
      <c r="DO83" s="63"/>
      <c r="DP83" s="63"/>
      <c r="DQ83" s="63"/>
      <c r="DR83" s="64">
        <f t="shared" si="496"/>
        <v>0</v>
      </c>
      <c r="DS83" s="62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5">
        <f t="shared" si="497"/>
        <v>0</v>
      </c>
      <c r="EE83" s="65">
        <f t="shared" si="497"/>
        <v>0</v>
      </c>
      <c r="EF83" s="65">
        <f t="shared" si="497"/>
        <v>0</v>
      </c>
      <c r="EG83" s="65">
        <f t="shared" si="497"/>
        <v>0</v>
      </c>
      <c r="EH83" s="65">
        <f t="shared" si="497"/>
        <v>0</v>
      </c>
      <c r="EI83" s="65">
        <f t="shared" si="497"/>
        <v>0</v>
      </c>
      <c r="EJ83" s="65">
        <f t="shared" si="497"/>
        <v>0</v>
      </c>
      <c r="EK83" s="65">
        <f t="shared" si="497"/>
        <v>0</v>
      </c>
      <c r="EL83" s="65">
        <f t="shared" si="497"/>
        <v>0</v>
      </c>
      <c r="EM83" s="65">
        <f t="shared" si="497"/>
        <v>0</v>
      </c>
      <c r="EN83" s="64">
        <f t="shared" si="498"/>
        <v>0</v>
      </c>
      <c r="EO83" s="62"/>
      <c r="EP83" s="63"/>
      <c r="EQ83" s="63"/>
      <c r="ER83" s="63"/>
      <c r="ES83" s="63"/>
      <c r="ET83" s="63"/>
      <c r="EU83" s="63"/>
      <c r="EV83" s="63"/>
      <c r="EW83" s="63"/>
      <c r="EX83" s="63"/>
      <c r="EY83" s="64">
        <f t="shared" si="499"/>
        <v>0</v>
      </c>
      <c r="EZ83" s="62"/>
      <c r="FA83" s="63"/>
      <c r="FB83" s="63"/>
      <c r="FC83" s="63"/>
      <c r="FD83" s="63"/>
      <c r="FE83" s="63"/>
      <c r="FF83" s="63"/>
      <c r="FG83" s="63"/>
      <c r="FH83" s="63"/>
      <c r="FI83" s="63"/>
      <c r="FJ83" s="64">
        <f t="shared" si="500"/>
        <v>0</v>
      </c>
      <c r="FK83" s="62"/>
      <c r="FL83" s="63"/>
      <c r="FM83" s="63"/>
      <c r="FN83" s="63"/>
      <c r="FO83" s="63"/>
      <c r="FP83" s="63"/>
      <c r="FQ83" s="63"/>
      <c r="FR83" s="63"/>
      <c r="FS83" s="63"/>
      <c r="FT83" s="63"/>
      <c r="FU83" s="64">
        <f t="shared" si="501"/>
        <v>0</v>
      </c>
      <c r="FV83" s="65">
        <f t="shared" si="502"/>
        <v>0</v>
      </c>
      <c r="FW83" s="65">
        <f t="shared" si="502"/>
        <v>0</v>
      </c>
      <c r="FX83" s="65">
        <f t="shared" si="502"/>
        <v>0</v>
      </c>
      <c r="FY83" s="65">
        <f t="shared" si="502"/>
        <v>0</v>
      </c>
      <c r="FZ83" s="65">
        <f t="shared" si="502"/>
        <v>0</v>
      </c>
      <c r="GA83" s="65">
        <f t="shared" si="502"/>
        <v>0</v>
      </c>
      <c r="GB83" s="65">
        <f t="shared" si="502"/>
        <v>0</v>
      </c>
      <c r="GC83" s="65">
        <f t="shared" si="502"/>
        <v>0</v>
      </c>
      <c r="GD83" s="65">
        <f t="shared" si="502"/>
        <v>0</v>
      </c>
      <c r="GE83" s="65">
        <f t="shared" si="502"/>
        <v>0</v>
      </c>
      <c r="GF83" s="64">
        <f t="shared" si="503"/>
        <v>0</v>
      </c>
      <c r="GG83" s="66">
        <f t="shared" si="504"/>
        <v>0</v>
      </c>
      <c r="GH83" s="66">
        <f t="shared" si="504"/>
        <v>0</v>
      </c>
      <c r="GI83" s="66">
        <f t="shared" si="504"/>
        <v>0</v>
      </c>
      <c r="GJ83" s="66">
        <f t="shared" si="504"/>
        <v>0</v>
      </c>
      <c r="GK83" s="66">
        <f t="shared" si="504"/>
        <v>0</v>
      </c>
      <c r="GL83" s="66">
        <f t="shared" si="504"/>
        <v>0</v>
      </c>
      <c r="GM83" s="66">
        <f t="shared" si="504"/>
        <v>0</v>
      </c>
      <c r="GN83" s="66">
        <f t="shared" si="504"/>
        <v>0</v>
      </c>
      <c r="GO83" s="66">
        <f t="shared" si="504"/>
        <v>0</v>
      </c>
      <c r="GP83" s="66">
        <f t="shared" si="504"/>
        <v>0</v>
      </c>
      <c r="GQ83" s="64">
        <f t="shared" si="505"/>
        <v>0</v>
      </c>
      <c r="GR83" s="63"/>
      <c r="GS83" s="63"/>
      <c r="GT83" s="63"/>
      <c r="GU83" s="63"/>
      <c r="GV83" s="67">
        <f t="shared" si="506"/>
        <v>0</v>
      </c>
      <c r="GW83" s="63"/>
      <c r="GX83" s="63"/>
      <c r="GY83" s="63"/>
      <c r="GZ83" s="63"/>
      <c r="HA83" s="67">
        <f t="shared" si="507"/>
        <v>0</v>
      </c>
      <c r="HB83" s="63"/>
      <c r="HC83" s="63"/>
      <c r="HD83" s="63"/>
      <c r="HE83" s="63"/>
      <c r="HF83" s="67">
        <f t="shared" si="508"/>
        <v>0</v>
      </c>
      <c r="HG83" s="63"/>
      <c r="HH83" s="63"/>
      <c r="HI83" s="63"/>
      <c r="HJ83" s="63"/>
      <c r="HK83" s="67">
        <f t="shared" si="509"/>
        <v>0</v>
      </c>
      <c r="HL83" s="68">
        <f t="shared" si="510"/>
        <v>0</v>
      </c>
      <c r="HM83" s="68">
        <f t="shared" si="510"/>
        <v>0</v>
      </c>
      <c r="HN83" s="68">
        <f t="shared" si="510"/>
        <v>0</v>
      </c>
      <c r="HO83" s="68">
        <f t="shared" si="510"/>
        <v>0</v>
      </c>
      <c r="HP83" s="67">
        <f t="shared" si="511"/>
        <v>0</v>
      </c>
      <c r="HQ83" s="63"/>
      <c r="HR83" s="63"/>
      <c r="HS83" s="63"/>
      <c r="HT83" s="63"/>
      <c r="HU83" s="67">
        <f t="shared" si="512"/>
        <v>0</v>
      </c>
      <c r="HV83" s="63"/>
      <c r="HW83" s="63"/>
      <c r="HX83" s="63"/>
      <c r="HY83" s="63"/>
      <c r="HZ83" s="67">
        <f t="shared" si="513"/>
        <v>0</v>
      </c>
      <c r="IA83" s="63"/>
      <c r="IB83" s="63"/>
      <c r="IC83" s="63"/>
      <c r="ID83" s="63"/>
      <c r="IE83" s="67">
        <f t="shared" si="514"/>
        <v>0</v>
      </c>
      <c r="IF83" s="68">
        <f t="shared" si="515"/>
        <v>0</v>
      </c>
      <c r="IG83" s="68">
        <f t="shared" si="515"/>
        <v>0</v>
      </c>
      <c r="IH83" s="68">
        <f t="shared" si="515"/>
        <v>0</v>
      </c>
      <c r="II83" s="68">
        <f t="shared" si="515"/>
        <v>0</v>
      </c>
      <c r="IJ83" s="67">
        <f t="shared" si="516"/>
        <v>0</v>
      </c>
      <c r="IK83" s="63"/>
      <c r="IL83" s="63"/>
      <c r="IM83" s="63"/>
      <c r="IN83" s="63"/>
      <c r="IO83" s="67">
        <f t="shared" si="517"/>
        <v>0</v>
      </c>
      <c r="IP83" s="63"/>
      <c r="IQ83" s="63"/>
      <c r="IR83" s="63"/>
      <c r="IS83" s="63"/>
      <c r="IT83" s="67">
        <f t="shared" si="518"/>
        <v>0</v>
      </c>
      <c r="IU83" s="63"/>
      <c r="IV83" s="63"/>
    </row>
    <row r="84" spans="1:256" ht="12.75" customHeight="1" x14ac:dyDescent="0.25">
      <c r="A84" s="117" t="s">
        <v>87</v>
      </c>
      <c r="B84" s="62">
        <v>0</v>
      </c>
      <c r="C84" s="63">
        <v>0</v>
      </c>
      <c r="D84" s="63">
        <v>0</v>
      </c>
      <c r="E84" s="63">
        <v>0</v>
      </c>
      <c r="F84" s="63">
        <v>0</v>
      </c>
      <c r="G84" s="63">
        <v>0</v>
      </c>
      <c r="H84" s="63">
        <v>0</v>
      </c>
      <c r="I84" s="63">
        <v>0</v>
      </c>
      <c r="J84" s="63">
        <v>0</v>
      </c>
      <c r="K84" s="63">
        <v>0</v>
      </c>
      <c r="L84" s="64">
        <f t="shared" si="519"/>
        <v>0</v>
      </c>
      <c r="M84" s="62"/>
      <c r="N84" s="63"/>
      <c r="O84" s="63"/>
      <c r="P84" s="63"/>
      <c r="Q84" s="63"/>
      <c r="R84" s="63"/>
      <c r="S84" s="63"/>
      <c r="T84" s="63"/>
      <c r="U84" s="63"/>
      <c r="V84" s="63"/>
      <c r="W84" s="64">
        <f t="shared" si="485"/>
        <v>0</v>
      </c>
      <c r="X84" s="62"/>
      <c r="Y84" s="63"/>
      <c r="Z84" s="63"/>
      <c r="AA84" s="63"/>
      <c r="AB84" s="63"/>
      <c r="AC84" s="63"/>
      <c r="AD84" s="63"/>
      <c r="AE84" s="63"/>
      <c r="AF84" s="63"/>
      <c r="AG84" s="63"/>
      <c r="AH84" s="64">
        <f t="shared" si="486"/>
        <v>0</v>
      </c>
      <c r="AI84" s="62"/>
      <c r="AJ84" s="63"/>
      <c r="AK84" s="63"/>
      <c r="AL84" s="63"/>
      <c r="AM84" s="63"/>
      <c r="AN84" s="63"/>
      <c r="AO84" s="63"/>
      <c r="AP84" s="63"/>
      <c r="AQ84" s="63"/>
      <c r="AR84" s="63"/>
      <c r="AS84" s="64">
        <f t="shared" si="487"/>
        <v>0</v>
      </c>
      <c r="AT84" s="65">
        <f t="shared" si="488"/>
        <v>0</v>
      </c>
      <c r="AU84" s="65">
        <f t="shared" si="488"/>
        <v>0</v>
      </c>
      <c r="AV84" s="65">
        <f t="shared" si="488"/>
        <v>0</v>
      </c>
      <c r="AW84" s="65">
        <f t="shared" si="488"/>
        <v>0</v>
      </c>
      <c r="AX84" s="65">
        <f t="shared" si="488"/>
        <v>0</v>
      </c>
      <c r="AY84" s="65">
        <f t="shared" si="488"/>
        <v>0</v>
      </c>
      <c r="AZ84" s="65">
        <f t="shared" si="488"/>
        <v>0</v>
      </c>
      <c r="BA84" s="65">
        <f t="shared" si="488"/>
        <v>0</v>
      </c>
      <c r="BB84" s="65">
        <f t="shared" si="488"/>
        <v>0</v>
      </c>
      <c r="BC84" s="65">
        <f t="shared" si="488"/>
        <v>0</v>
      </c>
      <c r="BD84" s="64">
        <f t="shared" si="489"/>
        <v>0</v>
      </c>
      <c r="BE84" s="62"/>
      <c r="BF84" s="63"/>
      <c r="BG84" s="63"/>
      <c r="BH84" s="63"/>
      <c r="BI84" s="63"/>
      <c r="BJ84" s="63"/>
      <c r="BK84" s="63"/>
      <c r="BL84" s="63"/>
      <c r="BM84" s="63"/>
      <c r="BN84" s="63"/>
      <c r="BO84" s="64">
        <f t="shared" si="490"/>
        <v>0</v>
      </c>
      <c r="BP84" s="62"/>
      <c r="BQ84" s="63"/>
      <c r="BR84" s="63"/>
      <c r="BS84" s="63"/>
      <c r="BT84" s="63"/>
      <c r="BU84" s="63"/>
      <c r="BV84" s="63"/>
      <c r="BW84" s="63"/>
      <c r="BX84" s="63"/>
      <c r="BY84" s="63"/>
      <c r="BZ84" s="64">
        <f t="shared" si="491"/>
        <v>0</v>
      </c>
      <c r="CA84" s="62"/>
      <c r="CB84" s="63"/>
      <c r="CC84" s="63"/>
      <c r="CD84" s="63"/>
      <c r="CE84" s="63"/>
      <c r="CF84" s="63"/>
      <c r="CG84" s="63"/>
      <c r="CH84" s="63"/>
      <c r="CI84" s="63"/>
      <c r="CJ84" s="63"/>
      <c r="CK84" s="64">
        <f t="shared" si="492"/>
        <v>0</v>
      </c>
      <c r="CL84" s="65">
        <f t="shared" si="493"/>
        <v>0</v>
      </c>
      <c r="CM84" s="65">
        <f t="shared" si="493"/>
        <v>0</v>
      </c>
      <c r="CN84" s="65">
        <f t="shared" si="493"/>
        <v>0</v>
      </c>
      <c r="CO84" s="65">
        <f t="shared" si="493"/>
        <v>0</v>
      </c>
      <c r="CP84" s="65">
        <f t="shared" si="493"/>
        <v>0</v>
      </c>
      <c r="CQ84" s="65">
        <f t="shared" si="493"/>
        <v>0</v>
      </c>
      <c r="CR84" s="65">
        <f t="shared" si="493"/>
        <v>0</v>
      </c>
      <c r="CS84" s="65">
        <f t="shared" si="493"/>
        <v>0</v>
      </c>
      <c r="CT84" s="65">
        <f t="shared" si="493"/>
        <v>0</v>
      </c>
      <c r="CU84" s="65">
        <f t="shared" si="493"/>
        <v>0</v>
      </c>
      <c r="CV84" s="64">
        <f t="shared" si="494"/>
        <v>0</v>
      </c>
      <c r="CW84" s="62"/>
      <c r="CX84" s="63"/>
      <c r="CY84" s="63"/>
      <c r="CZ84" s="63"/>
      <c r="DA84" s="63"/>
      <c r="DB84" s="63"/>
      <c r="DC84" s="63"/>
      <c r="DD84" s="63"/>
      <c r="DE84" s="63"/>
      <c r="DF84" s="63"/>
      <c r="DG84" s="64">
        <f t="shared" si="495"/>
        <v>0</v>
      </c>
      <c r="DH84" s="62"/>
      <c r="DI84" s="63"/>
      <c r="DJ84" s="63"/>
      <c r="DK84" s="63"/>
      <c r="DL84" s="63"/>
      <c r="DM84" s="63"/>
      <c r="DN84" s="63"/>
      <c r="DO84" s="63"/>
      <c r="DP84" s="63"/>
      <c r="DQ84" s="63"/>
      <c r="DR84" s="64">
        <f t="shared" si="496"/>
        <v>0</v>
      </c>
      <c r="DS84" s="62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5">
        <f t="shared" si="497"/>
        <v>0</v>
      </c>
      <c r="EE84" s="65">
        <f t="shared" si="497"/>
        <v>0</v>
      </c>
      <c r="EF84" s="65">
        <f t="shared" si="497"/>
        <v>0</v>
      </c>
      <c r="EG84" s="65">
        <f t="shared" si="497"/>
        <v>0</v>
      </c>
      <c r="EH84" s="65">
        <f t="shared" si="497"/>
        <v>0</v>
      </c>
      <c r="EI84" s="65">
        <f t="shared" si="497"/>
        <v>0</v>
      </c>
      <c r="EJ84" s="65">
        <f t="shared" si="497"/>
        <v>0</v>
      </c>
      <c r="EK84" s="65">
        <f t="shared" si="497"/>
        <v>0</v>
      </c>
      <c r="EL84" s="65">
        <f t="shared" si="497"/>
        <v>0</v>
      </c>
      <c r="EM84" s="65">
        <f t="shared" si="497"/>
        <v>0</v>
      </c>
      <c r="EN84" s="64">
        <f t="shared" si="498"/>
        <v>0</v>
      </c>
      <c r="EO84" s="62"/>
      <c r="EP84" s="63"/>
      <c r="EQ84" s="63"/>
      <c r="ER84" s="63"/>
      <c r="ES84" s="63"/>
      <c r="ET84" s="63"/>
      <c r="EU84" s="63"/>
      <c r="EV84" s="63"/>
      <c r="EW84" s="63"/>
      <c r="EX84" s="63"/>
      <c r="EY84" s="64">
        <f t="shared" si="499"/>
        <v>0</v>
      </c>
      <c r="EZ84" s="62"/>
      <c r="FA84" s="63"/>
      <c r="FB84" s="63"/>
      <c r="FC84" s="63"/>
      <c r="FD84" s="63"/>
      <c r="FE84" s="63"/>
      <c r="FF84" s="63"/>
      <c r="FG84" s="63"/>
      <c r="FH84" s="63"/>
      <c r="FI84" s="63"/>
      <c r="FJ84" s="64">
        <f t="shared" si="500"/>
        <v>0</v>
      </c>
      <c r="FK84" s="62"/>
      <c r="FL84" s="63"/>
      <c r="FM84" s="63"/>
      <c r="FN84" s="63"/>
      <c r="FO84" s="63"/>
      <c r="FP84" s="63"/>
      <c r="FQ84" s="63"/>
      <c r="FR84" s="63"/>
      <c r="FS84" s="63"/>
      <c r="FT84" s="63"/>
      <c r="FU84" s="64">
        <f t="shared" si="501"/>
        <v>0</v>
      </c>
      <c r="FV84" s="65">
        <f t="shared" si="502"/>
        <v>0</v>
      </c>
      <c r="FW84" s="65">
        <f t="shared" si="502"/>
        <v>0</v>
      </c>
      <c r="FX84" s="65">
        <f t="shared" si="502"/>
        <v>0</v>
      </c>
      <c r="FY84" s="65">
        <f t="shared" si="502"/>
        <v>0</v>
      </c>
      <c r="FZ84" s="65">
        <f t="shared" si="502"/>
        <v>0</v>
      </c>
      <c r="GA84" s="65">
        <f t="shared" si="502"/>
        <v>0</v>
      </c>
      <c r="GB84" s="65">
        <f t="shared" si="502"/>
        <v>0</v>
      </c>
      <c r="GC84" s="65">
        <f t="shared" si="502"/>
        <v>0</v>
      </c>
      <c r="GD84" s="65">
        <f t="shared" si="502"/>
        <v>0</v>
      </c>
      <c r="GE84" s="65">
        <f t="shared" si="502"/>
        <v>0</v>
      </c>
      <c r="GF84" s="64">
        <f t="shared" si="503"/>
        <v>0</v>
      </c>
      <c r="GG84" s="66">
        <f t="shared" si="504"/>
        <v>0</v>
      </c>
      <c r="GH84" s="66">
        <f t="shared" si="504"/>
        <v>0</v>
      </c>
      <c r="GI84" s="66">
        <f t="shared" si="504"/>
        <v>0</v>
      </c>
      <c r="GJ84" s="66">
        <f t="shared" si="504"/>
        <v>0</v>
      </c>
      <c r="GK84" s="66">
        <f t="shared" si="504"/>
        <v>0</v>
      </c>
      <c r="GL84" s="66">
        <f t="shared" si="504"/>
        <v>0</v>
      </c>
      <c r="GM84" s="66">
        <f t="shared" si="504"/>
        <v>0</v>
      </c>
      <c r="GN84" s="66">
        <f t="shared" si="504"/>
        <v>0</v>
      </c>
      <c r="GO84" s="66">
        <f t="shared" si="504"/>
        <v>0</v>
      </c>
      <c r="GP84" s="66">
        <f t="shared" si="504"/>
        <v>0</v>
      </c>
      <c r="GQ84" s="64">
        <f t="shared" si="505"/>
        <v>0</v>
      </c>
      <c r="GR84" s="63"/>
      <c r="GS84" s="63"/>
      <c r="GT84" s="63"/>
      <c r="GU84" s="63"/>
      <c r="GV84" s="67">
        <f t="shared" si="506"/>
        <v>0</v>
      </c>
      <c r="GW84" s="63"/>
      <c r="GX84" s="63"/>
      <c r="GY84" s="63"/>
      <c r="GZ84" s="63"/>
      <c r="HA84" s="67">
        <f t="shared" si="507"/>
        <v>0</v>
      </c>
      <c r="HB84" s="63"/>
      <c r="HC84" s="63"/>
      <c r="HD84" s="63"/>
      <c r="HE84" s="63"/>
      <c r="HF84" s="67">
        <f t="shared" si="508"/>
        <v>0</v>
      </c>
      <c r="HG84" s="63"/>
      <c r="HH84" s="63"/>
      <c r="HI84" s="63"/>
      <c r="HJ84" s="63"/>
      <c r="HK84" s="67">
        <f t="shared" si="509"/>
        <v>0</v>
      </c>
      <c r="HL84" s="68">
        <f t="shared" si="510"/>
        <v>0</v>
      </c>
      <c r="HM84" s="68">
        <f t="shared" si="510"/>
        <v>0</v>
      </c>
      <c r="HN84" s="68">
        <f t="shared" si="510"/>
        <v>0</v>
      </c>
      <c r="HO84" s="68">
        <f t="shared" si="510"/>
        <v>0</v>
      </c>
      <c r="HP84" s="67">
        <f t="shared" si="511"/>
        <v>0</v>
      </c>
      <c r="HQ84" s="63"/>
      <c r="HR84" s="63"/>
      <c r="HS84" s="63"/>
      <c r="HT84" s="63"/>
      <c r="HU84" s="67">
        <f t="shared" si="512"/>
        <v>0</v>
      </c>
      <c r="HV84" s="63"/>
      <c r="HW84" s="63"/>
      <c r="HX84" s="63"/>
      <c r="HY84" s="63"/>
      <c r="HZ84" s="67">
        <f t="shared" si="513"/>
        <v>0</v>
      </c>
      <c r="IA84" s="63"/>
      <c r="IB84" s="63"/>
      <c r="IC84" s="63"/>
      <c r="ID84" s="63"/>
      <c r="IE84" s="67">
        <f t="shared" si="514"/>
        <v>0</v>
      </c>
      <c r="IF84" s="68">
        <f t="shared" si="515"/>
        <v>0</v>
      </c>
      <c r="IG84" s="68">
        <f t="shared" si="515"/>
        <v>0</v>
      </c>
      <c r="IH84" s="68">
        <f t="shared" si="515"/>
        <v>0</v>
      </c>
      <c r="II84" s="68">
        <f t="shared" si="515"/>
        <v>0</v>
      </c>
      <c r="IJ84" s="67">
        <f t="shared" si="516"/>
        <v>0</v>
      </c>
      <c r="IK84" s="63"/>
      <c r="IL84" s="63"/>
      <c r="IM84" s="63"/>
      <c r="IN84" s="63"/>
      <c r="IO84" s="67">
        <f t="shared" si="517"/>
        <v>0</v>
      </c>
      <c r="IP84" s="63"/>
      <c r="IQ84" s="63"/>
      <c r="IR84" s="63"/>
      <c r="IS84" s="63"/>
      <c r="IT84" s="67">
        <f t="shared" si="518"/>
        <v>0</v>
      </c>
      <c r="IU84" s="63"/>
      <c r="IV84" s="63"/>
    </row>
    <row r="85" spans="1:256" ht="12.75" customHeight="1" x14ac:dyDescent="0.25">
      <c r="A85" s="117" t="s">
        <v>88</v>
      </c>
      <c r="B85" s="62">
        <v>0</v>
      </c>
      <c r="C85" s="63">
        <v>0</v>
      </c>
      <c r="D85" s="63">
        <v>0</v>
      </c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4">
        <f t="shared" si="519"/>
        <v>0</v>
      </c>
      <c r="M85" s="62"/>
      <c r="N85" s="63"/>
      <c r="O85" s="63"/>
      <c r="P85" s="63"/>
      <c r="Q85" s="63"/>
      <c r="R85" s="63"/>
      <c r="S85" s="63"/>
      <c r="T85" s="63"/>
      <c r="U85" s="63"/>
      <c r="V85" s="63"/>
      <c r="W85" s="64">
        <f t="shared" si="485"/>
        <v>0</v>
      </c>
      <c r="X85" s="62"/>
      <c r="Y85" s="63"/>
      <c r="Z85" s="63"/>
      <c r="AA85" s="63"/>
      <c r="AB85" s="63"/>
      <c r="AC85" s="63"/>
      <c r="AD85" s="63"/>
      <c r="AE85" s="63"/>
      <c r="AF85" s="63"/>
      <c r="AG85" s="63"/>
      <c r="AH85" s="64">
        <f t="shared" si="486"/>
        <v>0</v>
      </c>
      <c r="AI85" s="62"/>
      <c r="AJ85" s="63"/>
      <c r="AK85" s="63"/>
      <c r="AL85" s="63"/>
      <c r="AM85" s="63"/>
      <c r="AN85" s="63"/>
      <c r="AO85" s="63"/>
      <c r="AP85" s="63"/>
      <c r="AQ85" s="63"/>
      <c r="AR85" s="63"/>
      <c r="AS85" s="64">
        <f t="shared" si="487"/>
        <v>0</v>
      </c>
      <c r="AT85" s="65">
        <f t="shared" si="488"/>
        <v>0</v>
      </c>
      <c r="AU85" s="65">
        <f t="shared" si="488"/>
        <v>0</v>
      </c>
      <c r="AV85" s="65">
        <f t="shared" si="488"/>
        <v>0</v>
      </c>
      <c r="AW85" s="65">
        <f t="shared" si="488"/>
        <v>0</v>
      </c>
      <c r="AX85" s="65">
        <f t="shared" si="488"/>
        <v>0</v>
      </c>
      <c r="AY85" s="65">
        <f t="shared" si="488"/>
        <v>0</v>
      </c>
      <c r="AZ85" s="65">
        <f t="shared" si="488"/>
        <v>0</v>
      </c>
      <c r="BA85" s="65">
        <f t="shared" si="488"/>
        <v>0</v>
      </c>
      <c r="BB85" s="65">
        <f t="shared" si="488"/>
        <v>0</v>
      </c>
      <c r="BC85" s="65">
        <f t="shared" si="488"/>
        <v>0</v>
      </c>
      <c r="BD85" s="64">
        <f t="shared" si="489"/>
        <v>0</v>
      </c>
      <c r="BE85" s="62"/>
      <c r="BF85" s="63"/>
      <c r="BG85" s="63"/>
      <c r="BH85" s="63"/>
      <c r="BI85" s="63"/>
      <c r="BJ85" s="63"/>
      <c r="BK85" s="63"/>
      <c r="BL85" s="63"/>
      <c r="BM85" s="63"/>
      <c r="BN85" s="63"/>
      <c r="BO85" s="64">
        <f t="shared" si="490"/>
        <v>0</v>
      </c>
      <c r="BP85" s="62"/>
      <c r="BQ85" s="63"/>
      <c r="BR85" s="63"/>
      <c r="BS85" s="63"/>
      <c r="BT85" s="63"/>
      <c r="BU85" s="63"/>
      <c r="BV85" s="63"/>
      <c r="BW85" s="63"/>
      <c r="BX85" s="63"/>
      <c r="BY85" s="63"/>
      <c r="BZ85" s="64">
        <f t="shared" si="491"/>
        <v>0</v>
      </c>
      <c r="CA85" s="62"/>
      <c r="CB85" s="63"/>
      <c r="CC85" s="63"/>
      <c r="CD85" s="63"/>
      <c r="CE85" s="63"/>
      <c r="CF85" s="63"/>
      <c r="CG85" s="63"/>
      <c r="CH85" s="63"/>
      <c r="CI85" s="63"/>
      <c r="CJ85" s="63"/>
      <c r="CK85" s="64">
        <f t="shared" si="492"/>
        <v>0</v>
      </c>
      <c r="CL85" s="65">
        <f t="shared" si="493"/>
        <v>0</v>
      </c>
      <c r="CM85" s="65">
        <f t="shared" si="493"/>
        <v>0</v>
      </c>
      <c r="CN85" s="65">
        <f t="shared" si="493"/>
        <v>0</v>
      </c>
      <c r="CO85" s="65">
        <f t="shared" si="493"/>
        <v>0</v>
      </c>
      <c r="CP85" s="65">
        <f t="shared" si="493"/>
        <v>0</v>
      </c>
      <c r="CQ85" s="65">
        <f t="shared" si="493"/>
        <v>0</v>
      </c>
      <c r="CR85" s="65">
        <f t="shared" si="493"/>
        <v>0</v>
      </c>
      <c r="CS85" s="65">
        <f t="shared" si="493"/>
        <v>0</v>
      </c>
      <c r="CT85" s="65">
        <f t="shared" si="493"/>
        <v>0</v>
      </c>
      <c r="CU85" s="65">
        <f t="shared" si="493"/>
        <v>0</v>
      </c>
      <c r="CV85" s="64">
        <f t="shared" si="494"/>
        <v>0</v>
      </c>
      <c r="CW85" s="62"/>
      <c r="CX85" s="63"/>
      <c r="CY85" s="63"/>
      <c r="CZ85" s="63"/>
      <c r="DA85" s="63"/>
      <c r="DB85" s="63"/>
      <c r="DC85" s="63"/>
      <c r="DD85" s="63"/>
      <c r="DE85" s="63"/>
      <c r="DF85" s="63"/>
      <c r="DG85" s="64">
        <f t="shared" si="495"/>
        <v>0</v>
      </c>
      <c r="DH85" s="62"/>
      <c r="DI85" s="63"/>
      <c r="DJ85" s="63"/>
      <c r="DK85" s="63"/>
      <c r="DL85" s="63"/>
      <c r="DM85" s="63"/>
      <c r="DN85" s="63"/>
      <c r="DO85" s="63"/>
      <c r="DP85" s="63"/>
      <c r="DQ85" s="63"/>
      <c r="DR85" s="64">
        <f t="shared" si="496"/>
        <v>0</v>
      </c>
      <c r="DS85" s="62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5">
        <f t="shared" si="497"/>
        <v>0</v>
      </c>
      <c r="EE85" s="65">
        <f t="shared" si="497"/>
        <v>0</v>
      </c>
      <c r="EF85" s="65">
        <f t="shared" si="497"/>
        <v>0</v>
      </c>
      <c r="EG85" s="65">
        <f t="shared" si="497"/>
        <v>0</v>
      </c>
      <c r="EH85" s="65">
        <f t="shared" si="497"/>
        <v>0</v>
      </c>
      <c r="EI85" s="65">
        <f t="shared" si="497"/>
        <v>0</v>
      </c>
      <c r="EJ85" s="65">
        <f t="shared" si="497"/>
        <v>0</v>
      </c>
      <c r="EK85" s="65">
        <f t="shared" si="497"/>
        <v>0</v>
      </c>
      <c r="EL85" s="65">
        <f t="shared" si="497"/>
        <v>0</v>
      </c>
      <c r="EM85" s="65">
        <f t="shared" si="497"/>
        <v>0</v>
      </c>
      <c r="EN85" s="64">
        <f t="shared" si="498"/>
        <v>0</v>
      </c>
      <c r="EO85" s="62"/>
      <c r="EP85" s="63"/>
      <c r="EQ85" s="63"/>
      <c r="ER85" s="63"/>
      <c r="ES85" s="63"/>
      <c r="ET85" s="63"/>
      <c r="EU85" s="63"/>
      <c r="EV85" s="63"/>
      <c r="EW85" s="63"/>
      <c r="EX85" s="63"/>
      <c r="EY85" s="64">
        <f t="shared" si="499"/>
        <v>0</v>
      </c>
      <c r="EZ85" s="62"/>
      <c r="FA85" s="63"/>
      <c r="FB85" s="63"/>
      <c r="FC85" s="63"/>
      <c r="FD85" s="63"/>
      <c r="FE85" s="63"/>
      <c r="FF85" s="63"/>
      <c r="FG85" s="63"/>
      <c r="FH85" s="63"/>
      <c r="FI85" s="63"/>
      <c r="FJ85" s="64">
        <f t="shared" si="500"/>
        <v>0</v>
      </c>
      <c r="FK85" s="62"/>
      <c r="FL85" s="63"/>
      <c r="FM85" s="63"/>
      <c r="FN85" s="63"/>
      <c r="FO85" s="63"/>
      <c r="FP85" s="63"/>
      <c r="FQ85" s="63"/>
      <c r="FR85" s="63"/>
      <c r="FS85" s="63"/>
      <c r="FT85" s="63"/>
      <c r="FU85" s="64">
        <f t="shared" si="501"/>
        <v>0</v>
      </c>
      <c r="FV85" s="65">
        <f t="shared" si="502"/>
        <v>0</v>
      </c>
      <c r="FW85" s="65">
        <f t="shared" si="502"/>
        <v>0</v>
      </c>
      <c r="FX85" s="65">
        <f t="shared" si="502"/>
        <v>0</v>
      </c>
      <c r="FY85" s="65">
        <f t="shared" si="502"/>
        <v>0</v>
      </c>
      <c r="FZ85" s="65">
        <f t="shared" si="502"/>
        <v>0</v>
      </c>
      <c r="GA85" s="65">
        <f t="shared" si="502"/>
        <v>0</v>
      </c>
      <c r="GB85" s="65">
        <f t="shared" si="502"/>
        <v>0</v>
      </c>
      <c r="GC85" s="65">
        <f t="shared" si="502"/>
        <v>0</v>
      </c>
      <c r="GD85" s="65">
        <f t="shared" si="502"/>
        <v>0</v>
      </c>
      <c r="GE85" s="65">
        <f t="shared" si="502"/>
        <v>0</v>
      </c>
      <c r="GF85" s="64">
        <f t="shared" si="503"/>
        <v>0</v>
      </c>
      <c r="GG85" s="66">
        <f t="shared" si="504"/>
        <v>0</v>
      </c>
      <c r="GH85" s="66">
        <f t="shared" si="504"/>
        <v>0</v>
      </c>
      <c r="GI85" s="66">
        <f t="shared" si="504"/>
        <v>0</v>
      </c>
      <c r="GJ85" s="66">
        <f t="shared" si="504"/>
        <v>0</v>
      </c>
      <c r="GK85" s="66">
        <f t="shared" si="504"/>
        <v>0</v>
      </c>
      <c r="GL85" s="66">
        <f t="shared" si="504"/>
        <v>0</v>
      </c>
      <c r="GM85" s="66">
        <f t="shared" si="504"/>
        <v>0</v>
      </c>
      <c r="GN85" s="66">
        <f t="shared" si="504"/>
        <v>0</v>
      </c>
      <c r="GO85" s="66">
        <f t="shared" si="504"/>
        <v>0</v>
      </c>
      <c r="GP85" s="66">
        <f t="shared" si="504"/>
        <v>0</v>
      </c>
      <c r="GQ85" s="64">
        <f t="shared" si="505"/>
        <v>0</v>
      </c>
      <c r="GR85" s="63"/>
      <c r="GS85" s="63"/>
      <c r="GT85" s="63"/>
      <c r="GU85" s="63"/>
      <c r="GV85" s="67">
        <f t="shared" si="506"/>
        <v>0</v>
      </c>
      <c r="GW85" s="63"/>
      <c r="GX85" s="63"/>
      <c r="GY85" s="63"/>
      <c r="GZ85" s="63"/>
      <c r="HA85" s="67">
        <f t="shared" si="507"/>
        <v>0</v>
      </c>
      <c r="HB85" s="63"/>
      <c r="HC85" s="63"/>
      <c r="HD85" s="63"/>
      <c r="HE85" s="63"/>
      <c r="HF85" s="67">
        <f t="shared" si="508"/>
        <v>0</v>
      </c>
      <c r="HG85" s="63"/>
      <c r="HH85" s="63"/>
      <c r="HI85" s="63"/>
      <c r="HJ85" s="63"/>
      <c r="HK85" s="67">
        <f t="shared" si="509"/>
        <v>0</v>
      </c>
      <c r="HL85" s="68">
        <f t="shared" si="510"/>
        <v>0</v>
      </c>
      <c r="HM85" s="68">
        <f t="shared" si="510"/>
        <v>0</v>
      </c>
      <c r="HN85" s="68">
        <f t="shared" si="510"/>
        <v>0</v>
      </c>
      <c r="HO85" s="68">
        <f t="shared" si="510"/>
        <v>0</v>
      </c>
      <c r="HP85" s="67">
        <f t="shared" si="511"/>
        <v>0</v>
      </c>
      <c r="HQ85" s="63"/>
      <c r="HR85" s="63"/>
      <c r="HS85" s="63"/>
      <c r="HT85" s="63"/>
      <c r="HU85" s="67">
        <f t="shared" si="512"/>
        <v>0</v>
      </c>
      <c r="HV85" s="63"/>
      <c r="HW85" s="63"/>
      <c r="HX85" s="63"/>
      <c r="HY85" s="63"/>
      <c r="HZ85" s="67">
        <f t="shared" si="513"/>
        <v>0</v>
      </c>
      <c r="IA85" s="63"/>
      <c r="IB85" s="63"/>
      <c r="IC85" s="63"/>
      <c r="ID85" s="63"/>
      <c r="IE85" s="67">
        <f t="shared" si="514"/>
        <v>0</v>
      </c>
      <c r="IF85" s="68">
        <f t="shared" si="515"/>
        <v>0</v>
      </c>
      <c r="IG85" s="68">
        <f t="shared" si="515"/>
        <v>0</v>
      </c>
      <c r="IH85" s="68">
        <f t="shared" si="515"/>
        <v>0</v>
      </c>
      <c r="II85" s="68">
        <f t="shared" si="515"/>
        <v>0</v>
      </c>
      <c r="IJ85" s="67">
        <f t="shared" si="516"/>
        <v>0</v>
      </c>
      <c r="IK85" s="63"/>
      <c r="IL85" s="63"/>
      <c r="IM85" s="63"/>
      <c r="IN85" s="63"/>
      <c r="IO85" s="67">
        <f t="shared" si="517"/>
        <v>0</v>
      </c>
      <c r="IP85" s="63"/>
      <c r="IQ85" s="63"/>
      <c r="IR85" s="63"/>
      <c r="IS85" s="63"/>
      <c r="IT85" s="67">
        <f t="shared" si="518"/>
        <v>0</v>
      </c>
      <c r="IU85" s="63"/>
      <c r="IV85" s="63"/>
    </row>
    <row r="86" spans="1:256" ht="12.75" customHeight="1" x14ac:dyDescent="0.25">
      <c r="A86" s="117" t="s">
        <v>89</v>
      </c>
      <c r="B86" s="62">
        <v>0</v>
      </c>
      <c r="C86" s="63">
        <v>0</v>
      </c>
      <c r="D86" s="63">
        <v>0</v>
      </c>
      <c r="E86" s="63">
        <v>0</v>
      </c>
      <c r="F86" s="63">
        <v>0</v>
      </c>
      <c r="G86" s="63">
        <v>0</v>
      </c>
      <c r="H86" s="63">
        <v>0</v>
      </c>
      <c r="I86" s="63">
        <v>0</v>
      </c>
      <c r="J86" s="63">
        <v>0</v>
      </c>
      <c r="K86" s="63">
        <v>0</v>
      </c>
      <c r="L86" s="64">
        <f t="shared" si="519"/>
        <v>0</v>
      </c>
      <c r="M86" s="62"/>
      <c r="N86" s="63"/>
      <c r="O86" s="63"/>
      <c r="P86" s="63"/>
      <c r="Q86" s="63"/>
      <c r="R86" s="63"/>
      <c r="S86" s="63"/>
      <c r="T86" s="63"/>
      <c r="U86" s="63"/>
      <c r="V86" s="63"/>
      <c r="W86" s="64">
        <f t="shared" si="485"/>
        <v>0</v>
      </c>
      <c r="X86" s="62"/>
      <c r="Y86" s="63"/>
      <c r="Z86" s="63"/>
      <c r="AA86" s="63"/>
      <c r="AB86" s="63"/>
      <c r="AC86" s="63"/>
      <c r="AD86" s="63"/>
      <c r="AE86" s="63"/>
      <c r="AF86" s="63"/>
      <c r="AG86" s="63"/>
      <c r="AH86" s="64">
        <f t="shared" si="486"/>
        <v>0</v>
      </c>
      <c r="AI86" s="62"/>
      <c r="AJ86" s="63"/>
      <c r="AK86" s="63"/>
      <c r="AL86" s="63"/>
      <c r="AM86" s="63"/>
      <c r="AN86" s="63"/>
      <c r="AO86" s="63"/>
      <c r="AP86" s="63"/>
      <c r="AQ86" s="63"/>
      <c r="AR86" s="63"/>
      <c r="AS86" s="64">
        <f t="shared" si="487"/>
        <v>0</v>
      </c>
      <c r="AT86" s="65">
        <f t="shared" si="488"/>
        <v>0</v>
      </c>
      <c r="AU86" s="65">
        <f t="shared" si="488"/>
        <v>0</v>
      </c>
      <c r="AV86" s="65">
        <f t="shared" si="488"/>
        <v>0</v>
      </c>
      <c r="AW86" s="65">
        <f t="shared" si="488"/>
        <v>0</v>
      </c>
      <c r="AX86" s="65">
        <f t="shared" si="488"/>
        <v>0</v>
      </c>
      <c r="AY86" s="65">
        <f t="shared" si="488"/>
        <v>0</v>
      </c>
      <c r="AZ86" s="65">
        <f t="shared" si="488"/>
        <v>0</v>
      </c>
      <c r="BA86" s="65">
        <f t="shared" si="488"/>
        <v>0</v>
      </c>
      <c r="BB86" s="65">
        <f t="shared" si="488"/>
        <v>0</v>
      </c>
      <c r="BC86" s="65">
        <f t="shared" si="488"/>
        <v>0</v>
      </c>
      <c r="BD86" s="64">
        <f t="shared" si="489"/>
        <v>0</v>
      </c>
      <c r="BE86" s="62"/>
      <c r="BF86" s="63"/>
      <c r="BG86" s="63"/>
      <c r="BH86" s="63"/>
      <c r="BI86" s="63"/>
      <c r="BJ86" s="63"/>
      <c r="BK86" s="63"/>
      <c r="BL86" s="63"/>
      <c r="BM86" s="63"/>
      <c r="BN86" s="63"/>
      <c r="BO86" s="64">
        <f t="shared" si="490"/>
        <v>0</v>
      </c>
      <c r="BP86" s="62"/>
      <c r="BQ86" s="63"/>
      <c r="BR86" s="63"/>
      <c r="BS86" s="63"/>
      <c r="BT86" s="63"/>
      <c r="BU86" s="63"/>
      <c r="BV86" s="63"/>
      <c r="BW86" s="63"/>
      <c r="BX86" s="63"/>
      <c r="BY86" s="63"/>
      <c r="BZ86" s="64">
        <f t="shared" si="491"/>
        <v>0</v>
      </c>
      <c r="CA86" s="62"/>
      <c r="CB86" s="63"/>
      <c r="CC86" s="63"/>
      <c r="CD86" s="63"/>
      <c r="CE86" s="63"/>
      <c r="CF86" s="63"/>
      <c r="CG86" s="63"/>
      <c r="CH86" s="63"/>
      <c r="CI86" s="63"/>
      <c r="CJ86" s="63"/>
      <c r="CK86" s="64">
        <f t="shared" si="492"/>
        <v>0</v>
      </c>
      <c r="CL86" s="65">
        <f t="shared" si="493"/>
        <v>0</v>
      </c>
      <c r="CM86" s="65">
        <f t="shared" si="493"/>
        <v>0</v>
      </c>
      <c r="CN86" s="65">
        <f t="shared" si="493"/>
        <v>0</v>
      </c>
      <c r="CO86" s="65">
        <f t="shared" si="493"/>
        <v>0</v>
      </c>
      <c r="CP86" s="65">
        <f t="shared" si="493"/>
        <v>0</v>
      </c>
      <c r="CQ86" s="65">
        <f t="shared" si="493"/>
        <v>0</v>
      </c>
      <c r="CR86" s="65">
        <f t="shared" si="493"/>
        <v>0</v>
      </c>
      <c r="CS86" s="65">
        <f t="shared" si="493"/>
        <v>0</v>
      </c>
      <c r="CT86" s="65">
        <f t="shared" si="493"/>
        <v>0</v>
      </c>
      <c r="CU86" s="65">
        <f t="shared" si="493"/>
        <v>0</v>
      </c>
      <c r="CV86" s="64">
        <f t="shared" si="494"/>
        <v>0</v>
      </c>
      <c r="CW86" s="62"/>
      <c r="CX86" s="63"/>
      <c r="CY86" s="63"/>
      <c r="CZ86" s="63"/>
      <c r="DA86" s="63"/>
      <c r="DB86" s="63"/>
      <c r="DC86" s="63"/>
      <c r="DD86" s="63"/>
      <c r="DE86" s="63"/>
      <c r="DF86" s="63"/>
      <c r="DG86" s="64">
        <f t="shared" si="495"/>
        <v>0</v>
      </c>
      <c r="DH86" s="62"/>
      <c r="DI86" s="63"/>
      <c r="DJ86" s="63"/>
      <c r="DK86" s="63"/>
      <c r="DL86" s="63"/>
      <c r="DM86" s="63"/>
      <c r="DN86" s="63"/>
      <c r="DO86" s="63"/>
      <c r="DP86" s="63"/>
      <c r="DQ86" s="63"/>
      <c r="DR86" s="64">
        <f t="shared" si="496"/>
        <v>0</v>
      </c>
      <c r="DS86" s="62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5">
        <f t="shared" si="497"/>
        <v>0</v>
      </c>
      <c r="EE86" s="65">
        <f t="shared" si="497"/>
        <v>0</v>
      </c>
      <c r="EF86" s="65">
        <f t="shared" si="497"/>
        <v>0</v>
      </c>
      <c r="EG86" s="65">
        <f t="shared" si="497"/>
        <v>0</v>
      </c>
      <c r="EH86" s="65">
        <f t="shared" si="497"/>
        <v>0</v>
      </c>
      <c r="EI86" s="65">
        <f t="shared" si="497"/>
        <v>0</v>
      </c>
      <c r="EJ86" s="65">
        <f t="shared" si="497"/>
        <v>0</v>
      </c>
      <c r="EK86" s="65">
        <f t="shared" si="497"/>
        <v>0</v>
      </c>
      <c r="EL86" s="65">
        <f t="shared" si="497"/>
        <v>0</v>
      </c>
      <c r="EM86" s="65">
        <f t="shared" si="497"/>
        <v>0</v>
      </c>
      <c r="EN86" s="64">
        <f t="shared" si="498"/>
        <v>0</v>
      </c>
      <c r="EO86" s="62"/>
      <c r="EP86" s="63"/>
      <c r="EQ86" s="63"/>
      <c r="ER86" s="63"/>
      <c r="ES86" s="63"/>
      <c r="ET86" s="63"/>
      <c r="EU86" s="63"/>
      <c r="EV86" s="63"/>
      <c r="EW86" s="63"/>
      <c r="EX86" s="63"/>
      <c r="EY86" s="64">
        <f t="shared" si="499"/>
        <v>0</v>
      </c>
      <c r="EZ86" s="62"/>
      <c r="FA86" s="63"/>
      <c r="FB86" s="63"/>
      <c r="FC86" s="63"/>
      <c r="FD86" s="63"/>
      <c r="FE86" s="63"/>
      <c r="FF86" s="63"/>
      <c r="FG86" s="63"/>
      <c r="FH86" s="63"/>
      <c r="FI86" s="63"/>
      <c r="FJ86" s="64">
        <f t="shared" si="500"/>
        <v>0</v>
      </c>
      <c r="FK86" s="62"/>
      <c r="FL86" s="63"/>
      <c r="FM86" s="63"/>
      <c r="FN86" s="63"/>
      <c r="FO86" s="63"/>
      <c r="FP86" s="63"/>
      <c r="FQ86" s="63"/>
      <c r="FR86" s="63"/>
      <c r="FS86" s="63"/>
      <c r="FT86" s="63"/>
      <c r="FU86" s="64">
        <f t="shared" si="501"/>
        <v>0</v>
      </c>
      <c r="FV86" s="65">
        <f t="shared" si="502"/>
        <v>0</v>
      </c>
      <c r="FW86" s="65">
        <f t="shared" si="502"/>
        <v>0</v>
      </c>
      <c r="FX86" s="65">
        <f t="shared" si="502"/>
        <v>0</v>
      </c>
      <c r="FY86" s="65">
        <f t="shared" si="502"/>
        <v>0</v>
      </c>
      <c r="FZ86" s="65">
        <f t="shared" si="502"/>
        <v>0</v>
      </c>
      <c r="GA86" s="65">
        <f t="shared" si="502"/>
        <v>0</v>
      </c>
      <c r="GB86" s="65">
        <f t="shared" si="502"/>
        <v>0</v>
      </c>
      <c r="GC86" s="65">
        <f t="shared" si="502"/>
        <v>0</v>
      </c>
      <c r="GD86" s="65">
        <f t="shared" si="502"/>
        <v>0</v>
      </c>
      <c r="GE86" s="65">
        <f t="shared" si="502"/>
        <v>0</v>
      </c>
      <c r="GF86" s="64">
        <f t="shared" si="503"/>
        <v>0</v>
      </c>
      <c r="GG86" s="66">
        <f t="shared" si="504"/>
        <v>0</v>
      </c>
      <c r="GH86" s="66">
        <f t="shared" si="504"/>
        <v>0</v>
      </c>
      <c r="GI86" s="66">
        <f t="shared" si="504"/>
        <v>0</v>
      </c>
      <c r="GJ86" s="66">
        <f t="shared" si="504"/>
        <v>0</v>
      </c>
      <c r="GK86" s="66">
        <f t="shared" si="504"/>
        <v>0</v>
      </c>
      <c r="GL86" s="66">
        <f t="shared" si="504"/>
        <v>0</v>
      </c>
      <c r="GM86" s="66">
        <f t="shared" si="504"/>
        <v>0</v>
      </c>
      <c r="GN86" s="66">
        <f t="shared" si="504"/>
        <v>0</v>
      </c>
      <c r="GO86" s="66">
        <f t="shared" si="504"/>
        <v>0</v>
      </c>
      <c r="GP86" s="66">
        <f t="shared" si="504"/>
        <v>0</v>
      </c>
      <c r="GQ86" s="64">
        <f t="shared" si="505"/>
        <v>0</v>
      </c>
      <c r="GR86" s="63"/>
      <c r="GS86" s="63"/>
      <c r="GT86" s="63"/>
      <c r="GU86" s="63"/>
      <c r="GV86" s="67">
        <f t="shared" si="506"/>
        <v>0</v>
      </c>
      <c r="GW86" s="63"/>
      <c r="GX86" s="63"/>
      <c r="GY86" s="63"/>
      <c r="GZ86" s="63"/>
      <c r="HA86" s="67">
        <f t="shared" si="507"/>
        <v>0</v>
      </c>
      <c r="HB86" s="63"/>
      <c r="HC86" s="63"/>
      <c r="HD86" s="63"/>
      <c r="HE86" s="63"/>
      <c r="HF86" s="67">
        <f t="shared" si="508"/>
        <v>0</v>
      </c>
      <c r="HG86" s="63"/>
      <c r="HH86" s="63"/>
      <c r="HI86" s="63"/>
      <c r="HJ86" s="63"/>
      <c r="HK86" s="67">
        <f t="shared" si="509"/>
        <v>0</v>
      </c>
      <c r="HL86" s="68">
        <f t="shared" si="510"/>
        <v>0</v>
      </c>
      <c r="HM86" s="68">
        <f t="shared" si="510"/>
        <v>0</v>
      </c>
      <c r="HN86" s="68">
        <f t="shared" si="510"/>
        <v>0</v>
      </c>
      <c r="HO86" s="68">
        <f t="shared" si="510"/>
        <v>0</v>
      </c>
      <c r="HP86" s="67">
        <f t="shared" si="511"/>
        <v>0</v>
      </c>
      <c r="HQ86" s="63"/>
      <c r="HR86" s="63"/>
      <c r="HS86" s="63"/>
      <c r="HT86" s="63"/>
      <c r="HU86" s="67">
        <f t="shared" si="512"/>
        <v>0</v>
      </c>
      <c r="HV86" s="63"/>
      <c r="HW86" s="63"/>
      <c r="HX86" s="63"/>
      <c r="HY86" s="63"/>
      <c r="HZ86" s="67">
        <f t="shared" si="513"/>
        <v>0</v>
      </c>
      <c r="IA86" s="63"/>
      <c r="IB86" s="63"/>
      <c r="IC86" s="63"/>
      <c r="ID86" s="63"/>
      <c r="IE86" s="67">
        <f t="shared" si="514"/>
        <v>0</v>
      </c>
      <c r="IF86" s="68">
        <f t="shared" si="515"/>
        <v>0</v>
      </c>
      <c r="IG86" s="68">
        <f t="shared" si="515"/>
        <v>0</v>
      </c>
      <c r="IH86" s="68">
        <f t="shared" si="515"/>
        <v>0</v>
      </c>
      <c r="II86" s="68">
        <f t="shared" si="515"/>
        <v>0</v>
      </c>
      <c r="IJ86" s="67">
        <f t="shared" si="516"/>
        <v>0</v>
      </c>
      <c r="IK86" s="63"/>
      <c r="IL86" s="63"/>
      <c r="IM86" s="63"/>
      <c r="IN86" s="63"/>
      <c r="IO86" s="67">
        <f t="shared" si="517"/>
        <v>0</v>
      </c>
      <c r="IP86" s="63"/>
      <c r="IQ86" s="63"/>
      <c r="IR86" s="63"/>
      <c r="IS86" s="63"/>
      <c r="IT86" s="67">
        <f t="shared" si="518"/>
        <v>0</v>
      </c>
      <c r="IU86" s="63"/>
      <c r="IV86" s="63"/>
    </row>
    <row r="87" spans="1:256" ht="12.75" customHeight="1" x14ac:dyDescent="0.25">
      <c r="A87" s="117" t="s">
        <v>90</v>
      </c>
      <c r="B87" s="62">
        <v>0</v>
      </c>
      <c r="C87" s="63">
        <v>0</v>
      </c>
      <c r="D87" s="63">
        <v>0</v>
      </c>
      <c r="E87" s="63">
        <v>0</v>
      </c>
      <c r="F87" s="63">
        <v>0</v>
      </c>
      <c r="G87" s="63">
        <v>0</v>
      </c>
      <c r="H87" s="63">
        <v>0</v>
      </c>
      <c r="I87" s="63">
        <v>0</v>
      </c>
      <c r="J87" s="63">
        <v>0</v>
      </c>
      <c r="K87" s="63">
        <v>0</v>
      </c>
      <c r="L87" s="64">
        <f t="shared" si="519"/>
        <v>0</v>
      </c>
      <c r="M87" s="62"/>
      <c r="N87" s="63"/>
      <c r="O87" s="63"/>
      <c r="P87" s="63"/>
      <c r="Q87" s="63"/>
      <c r="R87" s="63"/>
      <c r="S87" s="63"/>
      <c r="T87" s="63"/>
      <c r="U87" s="63"/>
      <c r="V87" s="63"/>
      <c r="W87" s="64">
        <f t="shared" si="485"/>
        <v>0</v>
      </c>
      <c r="X87" s="62"/>
      <c r="Y87" s="63"/>
      <c r="Z87" s="63"/>
      <c r="AA87" s="63"/>
      <c r="AB87" s="63"/>
      <c r="AC87" s="63"/>
      <c r="AD87" s="63"/>
      <c r="AE87" s="63"/>
      <c r="AF87" s="63"/>
      <c r="AG87" s="63"/>
      <c r="AH87" s="64">
        <f t="shared" si="486"/>
        <v>0</v>
      </c>
      <c r="AI87" s="62"/>
      <c r="AJ87" s="63"/>
      <c r="AK87" s="63"/>
      <c r="AL87" s="63"/>
      <c r="AM87" s="63"/>
      <c r="AN87" s="63"/>
      <c r="AO87" s="63"/>
      <c r="AP87" s="63"/>
      <c r="AQ87" s="63"/>
      <c r="AR87" s="63"/>
      <c r="AS87" s="64">
        <f t="shared" si="487"/>
        <v>0</v>
      </c>
      <c r="AT87" s="65">
        <f t="shared" si="488"/>
        <v>0</v>
      </c>
      <c r="AU87" s="65">
        <f t="shared" si="488"/>
        <v>0</v>
      </c>
      <c r="AV87" s="65">
        <f t="shared" si="488"/>
        <v>0</v>
      </c>
      <c r="AW87" s="65">
        <f t="shared" si="488"/>
        <v>0</v>
      </c>
      <c r="AX87" s="65">
        <f t="shared" si="488"/>
        <v>0</v>
      </c>
      <c r="AY87" s="65">
        <f t="shared" si="488"/>
        <v>0</v>
      </c>
      <c r="AZ87" s="65">
        <f t="shared" si="488"/>
        <v>0</v>
      </c>
      <c r="BA87" s="65">
        <f t="shared" si="488"/>
        <v>0</v>
      </c>
      <c r="BB87" s="65">
        <f t="shared" si="488"/>
        <v>0</v>
      </c>
      <c r="BC87" s="65">
        <f t="shared" si="488"/>
        <v>0</v>
      </c>
      <c r="BD87" s="64">
        <f t="shared" si="489"/>
        <v>0</v>
      </c>
      <c r="BE87" s="62"/>
      <c r="BF87" s="63"/>
      <c r="BG87" s="63"/>
      <c r="BH87" s="63"/>
      <c r="BI87" s="63"/>
      <c r="BJ87" s="63"/>
      <c r="BK87" s="63"/>
      <c r="BL87" s="63"/>
      <c r="BM87" s="63"/>
      <c r="BN87" s="63"/>
      <c r="BO87" s="64">
        <f t="shared" si="490"/>
        <v>0</v>
      </c>
      <c r="BP87" s="62"/>
      <c r="BQ87" s="63"/>
      <c r="BR87" s="63"/>
      <c r="BS87" s="63"/>
      <c r="BT87" s="63"/>
      <c r="BU87" s="63"/>
      <c r="BV87" s="63"/>
      <c r="BW87" s="63"/>
      <c r="BX87" s="63"/>
      <c r="BY87" s="63"/>
      <c r="BZ87" s="64">
        <f t="shared" si="491"/>
        <v>0</v>
      </c>
      <c r="CA87" s="62"/>
      <c r="CB87" s="63"/>
      <c r="CC87" s="63"/>
      <c r="CD87" s="63"/>
      <c r="CE87" s="63"/>
      <c r="CF87" s="63"/>
      <c r="CG87" s="63"/>
      <c r="CH87" s="63"/>
      <c r="CI87" s="63"/>
      <c r="CJ87" s="63"/>
      <c r="CK87" s="64">
        <f t="shared" si="492"/>
        <v>0</v>
      </c>
      <c r="CL87" s="65">
        <f t="shared" si="493"/>
        <v>0</v>
      </c>
      <c r="CM87" s="65">
        <f t="shared" si="493"/>
        <v>0</v>
      </c>
      <c r="CN87" s="65">
        <f t="shared" si="493"/>
        <v>0</v>
      </c>
      <c r="CO87" s="65">
        <f t="shared" si="493"/>
        <v>0</v>
      </c>
      <c r="CP87" s="65">
        <f t="shared" si="493"/>
        <v>0</v>
      </c>
      <c r="CQ87" s="65">
        <f t="shared" si="493"/>
        <v>0</v>
      </c>
      <c r="CR87" s="65">
        <f t="shared" si="493"/>
        <v>0</v>
      </c>
      <c r="CS87" s="65">
        <f t="shared" si="493"/>
        <v>0</v>
      </c>
      <c r="CT87" s="65">
        <f t="shared" si="493"/>
        <v>0</v>
      </c>
      <c r="CU87" s="65">
        <f t="shared" si="493"/>
        <v>0</v>
      </c>
      <c r="CV87" s="64">
        <f t="shared" si="494"/>
        <v>0</v>
      </c>
      <c r="CW87" s="62"/>
      <c r="CX87" s="63"/>
      <c r="CY87" s="63"/>
      <c r="CZ87" s="63"/>
      <c r="DA87" s="63"/>
      <c r="DB87" s="63"/>
      <c r="DC87" s="63"/>
      <c r="DD87" s="63"/>
      <c r="DE87" s="63"/>
      <c r="DF87" s="63"/>
      <c r="DG87" s="64">
        <f t="shared" si="495"/>
        <v>0</v>
      </c>
      <c r="DH87" s="62"/>
      <c r="DI87" s="63"/>
      <c r="DJ87" s="63"/>
      <c r="DK87" s="63"/>
      <c r="DL87" s="63"/>
      <c r="DM87" s="63"/>
      <c r="DN87" s="63"/>
      <c r="DO87" s="63"/>
      <c r="DP87" s="63"/>
      <c r="DQ87" s="63"/>
      <c r="DR87" s="64">
        <f t="shared" si="496"/>
        <v>0</v>
      </c>
      <c r="DS87" s="62"/>
      <c r="DT87" s="63"/>
      <c r="DU87" s="63"/>
      <c r="DV87" s="63"/>
      <c r="DW87" s="63"/>
      <c r="DX87" s="63"/>
      <c r="DY87" s="63"/>
      <c r="DZ87" s="63"/>
      <c r="EA87" s="63"/>
      <c r="EB87" s="63"/>
      <c r="EC87" s="63"/>
      <c r="ED87" s="65">
        <f t="shared" si="497"/>
        <v>0</v>
      </c>
      <c r="EE87" s="65">
        <f t="shared" si="497"/>
        <v>0</v>
      </c>
      <c r="EF87" s="65">
        <f t="shared" si="497"/>
        <v>0</v>
      </c>
      <c r="EG87" s="65">
        <f t="shared" si="497"/>
        <v>0</v>
      </c>
      <c r="EH87" s="65">
        <f t="shared" si="497"/>
        <v>0</v>
      </c>
      <c r="EI87" s="65">
        <f t="shared" si="497"/>
        <v>0</v>
      </c>
      <c r="EJ87" s="65">
        <f t="shared" si="497"/>
        <v>0</v>
      </c>
      <c r="EK87" s="65">
        <f t="shared" si="497"/>
        <v>0</v>
      </c>
      <c r="EL87" s="65">
        <f t="shared" si="497"/>
        <v>0</v>
      </c>
      <c r="EM87" s="65">
        <f t="shared" si="497"/>
        <v>0</v>
      </c>
      <c r="EN87" s="64">
        <f t="shared" si="498"/>
        <v>0</v>
      </c>
      <c r="EO87" s="62"/>
      <c r="EP87" s="63"/>
      <c r="EQ87" s="63"/>
      <c r="ER87" s="63"/>
      <c r="ES87" s="63"/>
      <c r="ET87" s="63"/>
      <c r="EU87" s="63"/>
      <c r="EV87" s="63"/>
      <c r="EW87" s="63"/>
      <c r="EX87" s="63"/>
      <c r="EY87" s="64">
        <f t="shared" si="499"/>
        <v>0</v>
      </c>
      <c r="EZ87" s="62"/>
      <c r="FA87" s="63"/>
      <c r="FB87" s="63"/>
      <c r="FC87" s="63"/>
      <c r="FD87" s="63"/>
      <c r="FE87" s="63"/>
      <c r="FF87" s="63"/>
      <c r="FG87" s="63"/>
      <c r="FH87" s="63"/>
      <c r="FI87" s="63"/>
      <c r="FJ87" s="64">
        <f t="shared" si="500"/>
        <v>0</v>
      </c>
      <c r="FK87" s="62"/>
      <c r="FL87" s="63"/>
      <c r="FM87" s="63"/>
      <c r="FN87" s="63"/>
      <c r="FO87" s="63"/>
      <c r="FP87" s="63"/>
      <c r="FQ87" s="63"/>
      <c r="FR87" s="63"/>
      <c r="FS87" s="63"/>
      <c r="FT87" s="63"/>
      <c r="FU87" s="64">
        <f t="shared" si="501"/>
        <v>0</v>
      </c>
      <c r="FV87" s="65">
        <f t="shared" si="502"/>
        <v>0</v>
      </c>
      <c r="FW87" s="65">
        <f t="shared" si="502"/>
        <v>0</v>
      </c>
      <c r="FX87" s="65">
        <f t="shared" si="502"/>
        <v>0</v>
      </c>
      <c r="FY87" s="65">
        <f t="shared" si="502"/>
        <v>0</v>
      </c>
      <c r="FZ87" s="65">
        <f t="shared" si="502"/>
        <v>0</v>
      </c>
      <c r="GA87" s="65">
        <f t="shared" si="502"/>
        <v>0</v>
      </c>
      <c r="GB87" s="65">
        <f t="shared" si="502"/>
        <v>0</v>
      </c>
      <c r="GC87" s="65">
        <f t="shared" si="502"/>
        <v>0</v>
      </c>
      <c r="GD87" s="65">
        <f t="shared" si="502"/>
        <v>0</v>
      </c>
      <c r="GE87" s="65">
        <f t="shared" si="502"/>
        <v>0</v>
      </c>
      <c r="GF87" s="64">
        <f t="shared" si="503"/>
        <v>0</v>
      </c>
      <c r="GG87" s="66">
        <f t="shared" si="504"/>
        <v>0</v>
      </c>
      <c r="GH87" s="66">
        <f t="shared" si="504"/>
        <v>0</v>
      </c>
      <c r="GI87" s="66">
        <f t="shared" si="504"/>
        <v>0</v>
      </c>
      <c r="GJ87" s="66">
        <f t="shared" si="504"/>
        <v>0</v>
      </c>
      <c r="GK87" s="66">
        <f t="shared" si="504"/>
        <v>0</v>
      </c>
      <c r="GL87" s="66">
        <f t="shared" si="504"/>
        <v>0</v>
      </c>
      <c r="GM87" s="66">
        <f t="shared" si="504"/>
        <v>0</v>
      </c>
      <c r="GN87" s="66">
        <f t="shared" si="504"/>
        <v>0</v>
      </c>
      <c r="GO87" s="66">
        <f t="shared" si="504"/>
        <v>0</v>
      </c>
      <c r="GP87" s="66">
        <f t="shared" si="504"/>
        <v>0</v>
      </c>
      <c r="GQ87" s="64">
        <f t="shared" si="505"/>
        <v>0</v>
      </c>
      <c r="GR87" s="63"/>
      <c r="GS87" s="63"/>
      <c r="GT87" s="63"/>
      <c r="GU87" s="63"/>
      <c r="GV87" s="67">
        <f t="shared" si="506"/>
        <v>0</v>
      </c>
      <c r="GW87" s="63"/>
      <c r="GX87" s="63"/>
      <c r="GY87" s="63"/>
      <c r="GZ87" s="63"/>
      <c r="HA87" s="67">
        <f t="shared" si="507"/>
        <v>0</v>
      </c>
      <c r="HB87" s="63"/>
      <c r="HC87" s="63"/>
      <c r="HD87" s="63"/>
      <c r="HE87" s="63"/>
      <c r="HF87" s="67">
        <f t="shared" si="508"/>
        <v>0</v>
      </c>
      <c r="HG87" s="63"/>
      <c r="HH87" s="63"/>
      <c r="HI87" s="63"/>
      <c r="HJ87" s="63"/>
      <c r="HK87" s="67">
        <f t="shared" si="509"/>
        <v>0</v>
      </c>
      <c r="HL87" s="68">
        <f t="shared" si="510"/>
        <v>0</v>
      </c>
      <c r="HM87" s="68">
        <f t="shared" si="510"/>
        <v>0</v>
      </c>
      <c r="HN87" s="68">
        <f t="shared" si="510"/>
        <v>0</v>
      </c>
      <c r="HO87" s="68">
        <f t="shared" si="510"/>
        <v>0</v>
      </c>
      <c r="HP87" s="67">
        <f t="shared" si="511"/>
        <v>0</v>
      </c>
      <c r="HQ87" s="63"/>
      <c r="HR87" s="63"/>
      <c r="HS87" s="63"/>
      <c r="HT87" s="63"/>
      <c r="HU87" s="67">
        <f t="shared" si="512"/>
        <v>0</v>
      </c>
      <c r="HV87" s="63"/>
      <c r="HW87" s="63"/>
      <c r="HX87" s="63"/>
      <c r="HY87" s="63"/>
      <c r="HZ87" s="67">
        <f t="shared" si="513"/>
        <v>0</v>
      </c>
      <c r="IA87" s="63"/>
      <c r="IB87" s="63"/>
      <c r="IC87" s="63"/>
      <c r="ID87" s="63"/>
      <c r="IE87" s="67">
        <f t="shared" si="514"/>
        <v>0</v>
      </c>
      <c r="IF87" s="68">
        <f t="shared" si="515"/>
        <v>0</v>
      </c>
      <c r="IG87" s="68">
        <f t="shared" si="515"/>
        <v>0</v>
      </c>
      <c r="IH87" s="68">
        <f t="shared" si="515"/>
        <v>0</v>
      </c>
      <c r="II87" s="68">
        <f t="shared" si="515"/>
        <v>0</v>
      </c>
      <c r="IJ87" s="67">
        <f t="shared" si="516"/>
        <v>0</v>
      </c>
      <c r="IK87" s="63"/>
      <c r="IL87" s="63"/>
      <c r="IM87" s="63"/>
      <c r="IN87" s="63"/>
      <c r="IO87" s="67">
        <f t="shared" si="517"/>
        <v>0</v>
      </c>
      <c r="IP87" s="63"/>
      <c r="IQ87" s="63"/>
      <c r="IR87" s="63"/>
      <c r="IS87" s="63"/>
      <c r="IT87" s="67">
        <f t="shared" si="518"/>
        <v>0</v>
      </c>
      <c r="IU87" s="63"/>
      <c r="IV87" s="63"/>
    </row>
    <row r="88" spans="1:256" ht="12.75" customHeight="1" x14ac:dyDescent="0.25">
      <c r="A88" s="117" t="s">
        <v>91</v>
      </c>
      <c r="B88" s="62">
        <v>600</v>
      </c>
      <c r="C88" s="63">
        <v>480</v>
      </c>
      <c r="D88" s="63">
        <v>25</v>
      </c>
      <c r="E88" s="63">
        <v>30</v>
      </c>
      <c r="F88" s="63">
        <v>25</v>
      </c>
      <c r="G88" s="63">
        <v>0</v>
      </c>
      <c r="H88" s="63">
        <v>30</v>
      </c>
      <c r="I88" s="63">
        <v>0</v>
      </c>
      <c r="J88" s="63">
        <v>10</v>
      </c>
      <c r="K88" s="63">
        <v>0</v>
      </c>
      <c r="L88" s="64">
        <f t="shared" si="519"/>
        <v>600</v>
      </c>
      <c r="M88" s="62"/>
      <c r="N88" s="63"/>
      <c r="O88" s="63"/>
      <c r="P88" s="63"/>
      <c r="Q88" s="63"/>
      <c r="R88" s="63"/>
      <c r="S88" s="63"/>
      <c r="T88" s="63"/>
      <c r="U88" s="63"/>
      <c r="V88" s="63"/>
      <c r="W88" s="64">
        <f t="shared" si="485"/>
        <v>0</v>
      </c>
      <c r="X88" s="62"/>
      <c r="Y88" s="63"/>
      <c r="Z88" s="63"/>
      <c r="AA88" s="63"/>
      <c r="AB88" s="63"/>
      <c r="AC88" s="63"/>
      <c r="AD88" s="63"/>
      <c r="AE88" s="63"/>
      <c r="AF88" s="63"/>
      <c r="AG88" s="63"/>
      <c r="AH88" s="64">
        <f t="shared" si="486"/>
        <v>0</v>
      </c>
      <c r="AI88" s="62"/>
      <c r="AJ88" s="63"/>
      <c r="AK88" s="63"/>
      <c r="AL88" s="63"/>
      <c r="AM88" s="63"/>
      <c r="AN88" s="63"/>
      <c r="AO88" s="63"/>
      <c r="AP88" s="63"/>
      <c r="AQ88" s="63"/>
      <c r="AR88" s="63"/>
      <c r="AS88" s="64">
        <f t="shared" si="487"/>
        <v>0</v>
      </c>
      <c r="AT88" s="65">
        <f t="shared" si="488"/>
        <v>0</v>
      </c>
      <c r="AU88" s="65">
        <f t="shared" si="488"/>
        <v>0</v>
      </c>
      <c r="AV88" s="65">
        <f t="shared" si="488"/>
        <v>0</v>
      </c>
      <c r="AW88" s="65">
        <f t="shared" si="488"/>
        <v>0</v>
      </c>
      <c r="AX88" s="65">
        <f t="shared" si="488"/>
        <v>0</v>
      </c>
      <c r="AY88" s="65">
        <f t="shared" si="488"/>
        <v>0</v>
      </c>
      <c r="AZ88" s="65">
        <f t="shared" si="488"/>
        <v>0</v>
      </c>
      <c r="BA88" s="65">
        <f t="shared" si="488"/>
        <v>0</v>
      </c>
      <c r="BB88" s="65">
        <f t="shared" si="488"/>
        <v>0</v>
      </c>
      <c r="BC88" s="65">
        <f t="shared" si="488"/>
        <v>0</v>
      </c>
      <c r="BD88" s="64">
        <f t="shared" si="489"/>
        <v>0</v>
      </c>
      <c r="BE88" s="62"/>
      <c r="BF88" s="63"/>
      <c r="BG88" s="63"/>
      <c r="BH88" s="63"/>
      <c r="BI88" s="63"/>
      <c r="BJ88" s="63"/>
      <c r="BK88" s="63"/>
      <c r="BL88" s="63"/>
      <c r="BM88" s="63"/>
      <c r="BN88" s="63"/>
      <c r="BO88" s="64">
        <f t="shared" si="490"/>
        <v>0</v>
      </c>
      <c r="BP88" s="62"/>
      <c r="BQ88" s="63"/>
      <c r="BR88" s="63"/>
      <c r="BS88" s="63"/>
      <c r="BT88" s="63"/>
      <c r="BU88" s="63"/>
      <c r="BV88" s="63"/>
      <c r="BW88" s="63"/>
      <c r="BX88" s="63"/>
      <c r="BY88" s="63"/>
      <c r="BZ88" s="64">
        <f t="shared" si="491"/>
        <v>0</v>
      </c>
      <c r="CA88" s="62"/>
      <c r="CB88" s="63"/>
      <c r="CC88" s="63"/>
      <c r="CD88" s="63"/>
      <c r="CE88" s="63"/>
      <c r="CF88" s="63"/>
      <c r="CG88" s="63"/>
      <c r="CH88" s="63"/>
      <c r="CI88" s="63"/>
      <c r="CJ88" s="63"/>
      <c r="CK88" s="64">
        <f t="shared" si="492"/>
        <v>0</v>
      </c>
      <c r="CL88" s="65">
        <f t="shared" si="493"/>
        <v>0</v>
      </c>
      <c r="CM88" s="65">
        <f t="shared" si="493"/>
        <v>0</v>
      </c>
      <c r="CN88" s="65">
        <f t="shared" si="493"/>
        <v>0</v>
      </c>
      <c r="CO88" s="65">
        <f t="shared" si="493"/>
        <v>0</v>
      </c>
      <c r="CP88" s="65">
        <f t="shared" si="493"/>
        <v>0</v>
      </c>
      <c r="CQ88" s="65">
        <f t="shared" si="493"/>
        <v>0</v>
      </c>
      <c r="CR88" s="65">
        <f t="shared" si="493"/>
        <v>0</v>
      </c>
      <c r="CS88" s="65">
        <f t="shared" si="493"/>
        <v>0</v>
      </c>
      <c r="CT88" s="65">
        <f t="shared" si="493"/>
        <v>0</v>
      </c>
      <c r="CU88" s="65">
        <f t="shared" si="493"/>
        <v>0</v>
      </c>
      <c r="CV88" s="64">
        <f t="shared" si="494"/>
        <v>0</v>
      </c>
      <c r="CW88" s="62"/>
      <c r="CX88" s="63"/>
      <c r="CY88" s="63"/>
      <c r="CZ88" s="63"/>
      <c r="DA88" s="63"/>
      <c r="DB88" s="63"/>
      <c r="DC88" s="63"/>
      <c r="DD88" s="63"/>
      <c r="DE88" s="63"/>
      <c r="DF88" s="63"/>
      <c r="DG88" s="64">
        <f t="shared" si="495"/>
        <v>0</v>
      </c>
      <c r="DH88" s="62"/>
      <c r="DI88" s="63"/>
      <c r="DJ88" s="63"/>
      <c r="DK88" s="63"/>
      <c r="DL88" s="63"/>
      <c r="DM88" s="63"/>
      <c r="DN88" s="63"/>
      <c r="DO88" s="63"/>
      <c r="DP88" s="63"/>
      <c r="DQ88" s="63"/>
      <c r="DR88" s="64">
        <f t="shared" si="496"/>
        <v>0</v>
      </c>
      <c r="DS88" s="62"/>
      <c r="DT88" s="63"/>
      <c r="DU88" s="63"/>
      <c r="DV88" s="63"/>
      <c r="DW88" s="63"/>
      <c r="DX88" s="63"/>
      <c r="DY88" s="63"/>
      <c r="DZ88" s="63"/>
      <c r="EA88" s="63"/>
      <c r="EB88" s="63"/>
      <c r="EC88" s="63"/>
      <c r="ED88" s="65">
        <f t="shared" si="497"/>
        <v>0</v>
      </c>
      <c r="EE88" s="65">
        <f t="shared" si="497"/>
        <v>0</v>
      </c>
      <c r="EF88" s="65">
        <f t="shared" si="497"/>
        <v>0</v>
      </c>
      <c r="EG88" s="65">
        <f t="shared" si="497"/>
        <v>0</v>
      </c>
      <c r="EH88" s="65">
        <f t="shared" si="497"/>
        <v>0</v>
      </c>
      <c r="EI88" s="65">
        <f t="shared" si="497"/>
        <v>0</v>
      </c>
      <c r="EJ88" s="65">
        <f t="shared" si="497"/>
        <v>0</v>
      </c>
      <c r="EK88" s="65">
        <f t="shared" si="497"/>
        <v>0</v>
      </c>
      <c r="EL88" s="65">
        <f t="shared" si="497"/>
        <v>0</v>
      </c>
      <c r="EM88" s="65">
        <f t="shared" si="497"/>
        <v>0</v>
      </c>
      <c r="EN88" s="64">
        <f t="shared" si="498"/>
        <v>0</v>
      </c>
      <c r="EO88" s="62"/>
      <c r="EP88" s="63"/>
      <c r="EQ88" s="63"/>
      <c r="ER88" s="63"/>
      <c r="ES88" s="63"/>
      <c r="ET88" s="63"/>
      <c r="EU88" s="63"/>
      <c r="EV88" s="63"/>
      <c r="EW88" s="63"/>
      <c r="EX88" s="63"/>
      <c r="EY88" s="64">
        <f t="shared" si="499"/>
        <v>0</v>
      </c>
      <c r="EZ88" s="62"/>
      <c r="FA88" s="63"/>
      <c r="FB88" s="63"/>
      <c r="FC88" s="63"/>
      <c r="FD88" s="63"/>
      <c r="FE88" s="63"/>
      <c r="FF88" s="63"/>
      <c r="FG88" s="63"/>
      <c r="FH88" s="63"/>
      <c r="FI88" s="63"/>
      <c r="FJ88" s="64">
        <f t="shared" si="500"/>
        <v>0</v>
      </c>
      <c r="FK88" s="62"/>
      <c r="FL88" s="63"/>
      <c r="FM88" s="63"/>
      <c r="FN88" s="63"/>
      <c r="FO88" s="63"/>
      <c r="FP88" s="63"/>
      <c r="FQ88" s="63"/>
      <c r="FR88" s="63"/>
      <c r="FS88" s="63"/>
      <c r="FT88" s="63"/>
      <c r="FU88" s="64">
        <f t="shared" si="501"/>
        <v>0</v>
      </c>
      <c r="FV88" s="65">
        <f t="shared" si="502"/>
        <v>0</v>
      </c>
      <c r="FW88" s="65">
        <f t="shared" si="502"/>
        <v>0</v>
      </c>
      <c r="FX88" s="65">
        <f t="shared" si="502"/>
        <v>0</v>
      </c>
      <c r="FY88" s="65">
        <f t="shared" si="502"/>
        <v>0</v>
      </c>
      <c r="FZ88" s="65">
        <f t="shared" si="502"/>
        <v>0</v>
      </c>
      <c r="GA88" s="65">
        <f t="shared" si="502"/>
        <v>0</v>
      </c>
      <c r="GB88" s="65">
        <f t="shared" si="502"/>
        <v>0</v>
      </c>
      <c r="GC88" s="65">
        <f t="shared" si="502"/>
        <v>0</v>
      </c>
      <c r="GD88" s="65">
        <f t="shared" si="502"/>
        <v>0</v>
      </c>
      <c r="GE88" s="65">
        <f t="shared" si="502"/>
        <v>0</v>
      </c>
      <c r="GF88" s="64">
        <f t="shared" si="503"/>
        <v>0</v>
      </c>
      <c r="GG88" s="66">
        <f t="shared" si="504"/>
        <v>0</v>
      </c>
      <c r="GH88" s="66">
        <f t="shared" si="504"/>
        <v>0</v>
      </c>
      <c r="GI88" s="66">
        <f t="shared" si="504"/>
        <v>0</v>
      </c>
      <c r="GJ88" s="66">
        <f t="shared" si="504"/>
        <v>0</v>
      </c>
      <c r="GK88" s="66">
        <f t="shared" si="504"/>
        <v>0</v>
      </c>
      <c r="GL88" s="66">
        <f t="shared" si="504"/>
        <v>0</v>
      </c>
      <c r="GM88" s="66">
        <f t="shared" si="504"/>
        <v>0</v>
      </c>
      <c r="GN88" s="66">
        <f t="shared" si="504"/>
        <v>0</v>
      </c>
      <c r="GO88" s="66">
        <f t="shared" si="504"/>
        <v>0</v>
      </c>
      <c r="GP88" s="66">
        <f t="shared" si="504"/>
        <v>0</v>
      </c>
      <c r="GQ88" s="64">
        <f t="shared" si="505"/>
        <v>0</v>
      </c>
      <c r="GR88" s="63"/>
      <c r="GS88" s="63"/>
      <c r="GT88" s="63"/>
      <c r="GU88" s="63"/>
      <c r="GV88" s="67">
        <f t="shared" si="506"/>
        <v>0</v>
      </c>
      <c r="GW88" s="63"/>
      <c r="GX88" s="63"/>
      <c r="GY88" s="63"/>
      <c r="GZ88" s="63"/>
      <c r="HA88" s="67">
        <f t="shared" si="507"/>
        <v>0</v>
      </c>
      <c r="HB88" s="63"/>
      <c r="HC88" s="63"/>
      <c r="HD88" s="63"/>
      <c r="HE88" s="63"/>
      <c r="HF88" s="67">
        <f t="shared" si="508"/>
        <v>0</v>
      </c>
      <c r="HG88" s="63"/>
      <c r="HH88" s="63"/>
      <c r="HI88" s="63"/>
      <c r="HJ88" s="63"/>
      <c r="HK88" s="67">
        <f t="shared" si="509"/>
        <v>0</v>
      </c>
      <c r="HL88" s="68">
        <f t="shared" si="510"/>
        <v>0</v>
      </c>
      <c r="HM88" s="68">
        <f t="shared" si="510"/>
        <v>0</v>
      </c>
      <c r="HN88" s="68">
        <f t="shared" si="510"/>
        <v>0</v>
      </c>
      <c r="HO88" s="68">
        <f t="shared" si="510"/>
        <v>0</v>
      </c>
      <c r="HP88" s="67">
        <f t="shared" si="511"/>
        <v>0</v>
      </c>
      <c r="HQ88" s="63"/>
      <c r="HR88" s="63"/>
      <c r="HS88" s="63"/>
      <c r="HT88" s="63"/>
      <c r="HU88" s="67">
        <f t="shared" si="512"/>
        <v>0</v>
      </c>
      <c r="HV88" s="63"/>
      <c r="HW88" s="63"/>
      <c r="HX88" s="63"/>
      <c r="HY88" s="63"/>
      <c r="HZ88" s="67">
        <f t="shared" si="513"/>
        <v>0</v>
      </c>
      <c r="IA88" s="63"/>
      <c r="IB88" s="63"/>
      <c r="IC88" s="63"/>
      <c r="ID88" s="63"/>
      <c r="IE88" s="67">
        <f t="shared" si="514"/>
        <v>0</v>
      </c>
      <c r="IF88" s="68">
        <f t="shared" si="515"/>
        <v>0</v>
      </c>
      <c r="IG88" s="68">
        <f t="shared" si="515"/>
        <v>0</v>
      </c>
      <c r="IH88" s="68">
        <f t="shared" si="515"/>
        <v>0</v>
      </c>
      <c r="II88" s="68">
        <f t="shared" si="515"/>
        <v>0</v>
      </c>
      <c r="IJ88" s="67">
        <f t="shared" si="516"/>
        <v>0</v>
      </c>
      <c r="IK88" s="63"/>
      <c r="IL88" s="63"/>
      <c r="IM88" s="63"/>
      <c r="IN88" s="63"/>
      <c r="IO88" s="67">
        <f t="shared" si="517"/>
        <v>0</v>
      </c>
      <c r="IP88" s="63"/>
      <c r="IQ88" s="63"/>
      <c r="IR88" s="63"/>
      <c r="IS88" s="63"/>
      <c r="IT88" s="67">
        <f t="shared" si="518"/>
        <v>0</v>
      </c>
      <c r="IU88" s="63"/>
      <c r="IV88" s="63"/>
    </row>
    <row r="89" spans="1:256" ht="12.75" customHeight="1" x14ac:dyDescent="0.25">
      <c r="A89" s="117" t="s">
        <v>92</v>
      </c>
      <c r="B89" s="62">
        <v>0</v>
      </c>
      <c r="C89" s="63">
        <v>0</v>
      </c>
      <c r="D89" s="63">
        <v>0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4">
        <f t="shared" si="519"/>
        <v>0</v>
      </c>
      <c r="M89" s="62"/>
      <c r="N89" s="63"/>
      <c r="O89" s="63"/>
      <c r="P89" s="63"/>
      <c r="Q89" s="63"/>
      <c r="R89" s="63"/>
      <c r="S89" s="63"/>
      <c r="T89" s="63"/>
      <c r="U89" s="63"/>
      <c r="V89" s="63"/>
      <c r="W89" s="64">
        <f t="shared" si="485"/>
        <v>0</v>
      </c>
      <c r="X89" s="62"/>
      <c r="Y89" s="63"/>
      <c r="Z89" s="63"/>
      <c r="AA89" s="63"/>
      <c r="AB89" s="63"/>
      <c r="AC89" s="63"/>
      <c r="AD89" s="63"/>
      <c r="AE89" s="63"/>
      <c r="AF89" s="63"/>
      <c r="AG89" s="63"/>
      <c r="AH89" s="64">
        <f t="shared" si="486"/>
        <v>0</v>
      </c>
      <c r="AI89" s="62"/>
      <c r="AJ89" s="63"/>
      <c r="AK89" s="63"/>
      <c r="AL89" s="63"/>
      <c r="AM89" s="63"/>
      <c r="AN89" s="63"/>
      <c r="AO89" s="63"/>
      <c r="AP89" s="63"/>
      <c r="AQ89" s="63"/>
      <c r="AR89" s="63"/>
      <c r="AS89" s="64">
        <f t="shared" si="487"/>
        <v>0</v>
      </c>
      <c r="AT89" s="65">
        <f t="shared" si="488"/>
        <v>0</v>
      </c>
      <c r="AU89" s="65">
        <f t="shared" si="488"/>
        <v>0</v>
      </c>
      <c r="AV89" s="65">
        <f t="shared" si="488"/>
        <v>0</v>
      </c>
      <c r="AW89" s="65">
        <f t="shared" si="488"/>
        <v>0</v>
      </c>
      <c r="AX89" s="65">
        <f t="shared" si="488"/>
        <v>0</v>
      </c>
      <c r="AY89" s="65">
        <f t="shared" si="488"/>
        <v>0</v>
      </c>
      <c r="AZ89" s="65">
        <f t="shared" si="488"/>
        <v>0</v>
      </c>
      <c r="BA89" s="65">
        <f t="shared" si="488"/>
        <v>0</v>
      </c>
      <c r="BB89" s="65">
        <f t="shared" si="488"/>
        <v>0</v>
      </c>
      <c r="BC89" s="65">
        <f t="shared" si="488"/>
        <v>0</v>
      </c>
      <c r="BD89" s="64">
        <f t="shared" si="489"/>
        <v>0</v>
      </c>
      <c r="BE89" s="62"/>
      <c r="BF89" s="63"/>
      <c r="BG89" s="63"/>
      <c r="BH89" s="63"/>
      <c r="BI89" s="63"/>
      <c r="BJ89" s="63"/>
      <c r="BK89" s="63"/>
      <c r="BL89" s="63"/>
      <c r="BM89" s="63"/>
      <c r="BN89" s="63"/>
      <c r="BO89" s="64">
        <f t="shared" si="490"/>
        <v>0</v>
      </c>
      <c r="BP89" s="62"/>
      <c r="BQ89" s="63"/>
      <c r="BR89" s="63"/>
      <c r="BS89" s="63"/>
      <c r="BT89" s="63"/>
      <c r="BU89" s="63"/>
      <c r="BV89" s="63"/>
      <c r="BW89" s="63"/>
      <c r="BX89" s="63"/>
      <c r="BY89" s="63"/>
      <c r="BZ89" s="64">
        <f t="shared" si="491"/>
        <v>0</v>
      </c>
      <c r="CA89" s="62"/>
      <c r="CB89" s="63"/>
      <c r="CC89" s="63"/>
      <c r="CD89" s="63"/>
      <c r="CE89" s="63"/>
      <c r="CF89" s="63"/>
      <c r="CG89" s="63"/>
      <c r="CH89" s="63"/>
      <c r="CI89" s="63"/>
      <c r="CJ89" s="63"/>
      <c r="CK89" s="64">
        <f t="shared" si="492"/>
        <v>0</v>
      </c>
      <c r="CL89" s="65">
        <f t="shared" si="493"/>
        <v>0</v>
      </c>
      <c r="CM89" s="65">
        <f t="shared" si="493"/>
        <v>0</v>
      </c>
      <c r="CN89" s="65">
        <f t="shared" si="493"/>
        <v>0</v>
      </c>
      <c r="CO89" s="65">
        <f t="shared" si="493"/>
        <v>0</v>
      </c>
      <c r="CP89" s="65">
        <f t="shared" si="493"/>
        <v>0</v>
      </c>
      <c r="CQ89" s="65">
        <f t="shared" si="493"/>
        <v>0</v>
      </c>
      <c r="CR89" s="65">
        <f t="shared" si="493"/>
        <v>0</v>
      </c>
      <c r="CS89" s="65">
        <f t="shared" si="493"/>
        <v>0</v>
      </c>
      <c r="CT89" s="65">
        <f t="shared" si="493"/>
        <v>0</v>
      </c>
      <c r="CU89" s="65">
        <f t="shared" si="493"/>
        <v>0</v>
      </c>
      <c r="CV89" s="64">
        <f t="shared" si="494"/>
        <v>0</v>
      </c>
      <c r="CW89" s="62"/>
      <c r="CX89" s="63"/>
      <c r="CY89" s="63"/>
      <c r="CZ89" s="63"/>
      <c r="DA89" s="63"/>
      <c r="DB89" s="63"/>
      <c r="DC89" s="63"/>
      <c r="DD89" s="63"/>
      <c r="DE89" s="63"/>
      <c r="DF89" s="63"/>
      <c r="DG89" s="64">
        <f t="shared" si="495"/>
        <v>0</v>
      </c>
      <c r="DH89" s="62"/>
      <c r="DI89" s="63"/>
      <c r="DJ89" s="63"/>
      <c r="DK89" s="63"/>
      <c r="DL89" s="63"/>
      <c r="DM89" s="63"/>
      <c r="DN89" s="63"/>
      <c r="DO89" s="63"/>
      <c r="DP89" s="63"/>
      <c r="DQ89" s="63"/>
      <c r="DR89" s="64">
        <f t="shared" si="496"/>
        <v>0</v>
      </c>
      <c r="DS89" s="62"/>
      <c r="DT89" s="63"/>
      <c r="DU89" s="63"/>
      <c r="DV89" s="63"/>
      <c r="DW89" s="63"/>
      <c r="DX89" s="63"/>
      <c r="DY89" s="63"/>
      <c r="DZ89" s="63"/>
      <c r="EA89" s="63"/>
      <c r="EB89" s="63"/>
      <c r="EC89" s="63"/>
      <c r="ED89" s="65">
        <f t="shared" si="497"/>
        <v>0</v>
      </c>
      <c r="EE89" s="65">
        <f t="shared" si="497"/>
        <v>0</v>
      </c>
      <c r="EF89" s="65">
        <f t="shared" si="497"/>
        <v>0</v>
      </c>
      <c r="EG89" s="65">
        <f t="shared" si="497"/>
        <v>0</v>
      </c>
      <c r="EH89" s="65">
        <f t="shared" si="497"/>
        <v>0</v>
      </c>
      <c r="EI89" s="65">
        <f t="shared" si="497"/>
        <v>0</v>
      </c>
      <c r="EJ89" s="65">
        <f t="shared" si="497"/>
        <v>0</v>
      </c>
      <c r="EK89" s="65">
        <f t="shared" si="497"/>
        <v>0</v>
      </c>
      <c r="EL89" s="65">
        <f t="shared" si="497"/>
        <v>0</v>
      </c>
      <c r="EM89" s="65">
        <f t="shared" si="497"/>
        <v>0</v>
      </c>
      <c r="EN89" s="64">
        <f t="shared" si="498"/>
        <v>0</v>
      </c>
      <c r="EO89" s="62"/>
      <c r="EP89" s="63"/>
      <c r="EQ89" s="63"/>
      <c r="ER89" s="63"/>
      <c r="ES89" s="63"/>
      <c r="ET89" s="63"/>
      <c r="EU89" s="63"/>
      <c r="EV89" s="63"/>
      <c r="EW89" s="63"/>
      <c r="EX89" s="63"/>
      <c r="EY89" s="64">
        <f t="shared" si="499"/>
        <v>0</v>
      </c>
      <c r="EZ89" s="62"/>
      <c r="FA89" s="63"/>
      <c r="FB89" s="63"/>
      <c r="FC89" s="63"/>
      <c r="FD89" s="63"/>
      <c r="FE89" s="63"/>
      <c r="FF89" s="63"/>
      <c r="FG89" s="63"/>
      <c r="FH89" s="63"/>
      <c r="FI89" s="63"/>
      <c r="FJ89" s="64">
        <f t="shared" si="500"/>
        <v>0</v>
      </c>
      <c r="FK89" s="62"/>
      <c r="FL89" s="63"/>
      <c r="FM89" s="63"/>
      <c r="FN89" s="63"/>
      <c r="FO89" s="63"/>
      <c r="FP89" s="63"/>
      <c r="FQ89" s="63"/>
      <c r="FR89" s="63"/>
      <c r="FS89" s="63"/>
      <c r="FT89" s="63"/>
      <c r="FU89" s="64">
        <f t="shared" si="501"/>
        <v>0</v>
      </c>
      <c r="FV89" s="65">
        <f t="shared" si="502"/>
        <v>0</v>
      </c>
      <c r="FW89" s="65">
        <f t="shared" si="502"/>
        <v>0</v>
      </c>
      <c r="FX89" s="65">
        <f t="shared" si="502"/>
        <v>0</v>
      </c>
      <c r="FY89" s="65">
        <f t="shared" si="502"/>
        <v>0</v>
      </c>
      <c r="FZ89" s="65">
        <f t="shared" si="502"/>
        <v>0</v>
      </c>
      <c r="GA89" s="65">
        <f t="shared" si="502"/>
        <v>0</v>
      </c>
      <c r="GB89" s="65">
        <f t="shared" si="502"/>
        <v>0</v>
      </c>
      <c r="GC89" s="65">
        <f t="shared" si="502"/>
        <v>0</v>
      </c>
      <c r="GD89" s="65">
        <f t="shared" si="502"/>
        <v>0</v>
      </c>
      <c r="GE89" s="65">
        <f t="shared" si="502"/>
        <v>0</v>
      </c>
      <c r="GF89" s="64">
        <f t="shared" si="503"/>
        <v>0</v>
      </c>
      <c r="GG89" s="66">
        <f t="shared" si="504"/>
        <v>0</v>
      </c>
      <c r="GH89" s="66">
        <f t="shared" si="504"/>
        <v>0</v>
      </c>
      <c r="GI89" s="66">
        <f t="shared" si="504"/>
        <v>0</v>
      </c>
      <c r="GJ89" s="66">
        <f t="shared" si="504"/>
        <v>0</v>
      </c>
      <c r="GK89" s="66">
        <f t="shared" si="504"/>
        <v>0</v>
      </c>
      <c r="GL89" s="66">
        <f t="shared" si="504"/>
        <v>0</v>
      </c>
      <c r="GM89" s="66">
        <f t="shared" si="504"/>
        <v>0</v>
      </c>
      <c r="GN89" s="66">
        <f t="shared" si="504"/>
        <v>0</v>
      </c>
      <c r="GO89" s="66">
        <f t="shared" si="504"/>
        <v>0</v>
      </c>
      <c r="GP89" s="66">
        <f t="shared" si="504"/>
        <v>0</v>
      </c>
      <c r="GQ89" s="64">
        <f t="shared" si="505"/>
        <v>0</v>
      </c>
      <c r="GR89" s="63"/>
      <c r="GS89" s="63"/>
      <c r="GT89" s="63"/>
      <c r="GU89" s="63"/>
      <c r="GV89" s="67">
        <f t="shared" si="506"/>
        <v>0</v>
      </c>
      <c r="GW89" s="63"/>
      <c r="GX89" s="63"/>
      <c r="GY89" s="63"/>
      <c r="GZ89" s="63"/>
      <c r="HA89" s="67">
        <f t="shared" si="507"/>
        <v>0</v>
      </c>
      <c r="HB89" s="63"/>
      <c r="HC89" s="63"/>
      <c r="HD89" s="63"/>
      <c r="HE89" s="63"/>
      <c r="HF89" s="67">
        <f t="shared" si="508"/>
        <v>0</v>
      </c>
      <c r="HG89" s="63"/>
      <c r="HH89" s="63"/>
      <c r="HI89" s="63"/>
      <c r="HJ89" s="63"/>
      <c r="HK89" s="67">
        <f t="shared" si="509"/>
        <v>0</v>
      </c>
      <c r="HL89" s="68">
        <f t="shared" si="510"/>
        <v>0</v>
      </c>
      <c r="HM89" s="68">
        <f t="shared" si="510"/>
        <v>0</v>
      </c>
      <c r="HN89" s="68">
        <f t="shared" si="510"/>
        <v>0</v>
      </c>
      <c r="HO89" s="68">
        <f t="shared" si="510"/>
        <v>0</v>
      </c>
      <c r="HP89" s="67">
        <f t="shared" si="511"/>
        <v>0</v>
      </c>
      <c r="HQ89" s="63"/>
      <c r="HR89" s="63"/>
      <c r="HS89" s="63"/>
      <c r="HT89" s="63"/>
      <c r="HU89" s="67">
        <f t="shared" si="512"/>
        <v>0</v>
      </c>
      <c r="HV89" s="63"/>
      <c r="HW89" s="63"/>
      <c r="HX89" s="63"/>
      <c r="HY89" s="63"/>
      <c r="HZ89" s="67">
        <f t="shared" si="513"/>
        <v>0</v>
      </c>
      <c r="IA89" s="63"/>
      <c r="IB89" s="63"/>
      <c r="IC89" s="63"/>
      <c r="ID89" s="63"/>
      <c r="IE89" s="67">
        <f t="shared" si="514"/>
        <v>0</v>
      </c>
      <c r="IF89" s="68">
        <f t="shared" si="515"/>
        <v>0</v>
      </c>
      <c r="IG89" s="68">
        <f t="shared" si="515"/>
        <v>0</v>
      </c>
      <c r="IH89" s="68">
        <f t="shared" si="515"/>
        <v>0</v>
      </c>
      <c r="II89" s="68">
        <f t="shared" si="515"/>
        <v>0</v>
      </c>
      <c r="IJ89" s="67">
        <f t="shared" si="516"/>
        <v>0</v>
      </c>
      <c r="IK89" s="63"/>
      <c r="IL89" s="63"/>
      <c r="IM89" s="63"/>
      <c r="IN89" s="63"/>
      <c r="IO89" s="67">
        <f t="shared" si="517"/>
        <v>0</v>
      </c>
      <c r="IP89" s="63"/>
      <c r="IQ89" s="63"/>
      <c r="IR89" s="63"/>
      <c r="IS89" s="63"/>
      <c r="IT89" s="67">
        <f t="shared" si="518"/>
        <v>0</v>
      </c>
      <c r="IU89" s="63"/>
      <c r="IV89" s="63"/>
    </row>
    <row r="90" spans="1:256" ht="12.75" customHeight="1" x14ac:dyDescent="0.25">
      <c r="A90" s="117" t="s">
        <v>93</v>
      </c>
      <c r="B90" s="62">
        <v>0</v>
      </c>
      <c r="C90" s="63">
        <v>0</v>
      </c>
      <c r="D90" s="63">
        <v>0</v>
      </c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4">
        <f t="shared" si="519"/>
        <v>0</v>
      </c>
      <c r="M90" s="62"/>
      <c r="N90" s="63"/>
      <c r="O90" s="63"/>
      <c r="P90" s="63"/>
      <c r="Q90" s="63"/>
      <c r="R90" s="63"/>
      <c r="S90" s="63"/>
      <c r="T90" s="63"/>
      <c r="U90" s="63"/>
      <c r="V90" s="63"/>
      <c r="W90" s="64">
        <f t="shared" si="485"/>
        <v>0</v>
      </c>
      <c r="X90" s="62"/>
      <c r="Y90" s="63"/>
      <c r="Z90" s="63"/>
      <c r="AA90" s="63"/>
      <c r="AB90" s="63"/>
      <c r="AC90" s="63"/>
      <c r="AD90" s="63"/>
      <c r="AE90" s="63"/>
      <c r="AF90" s="63"/>
      <c r="AG90" s="63"/>
      <c r="AH90" s="64">
        <f t="shared" si="486"/>
        <v>0</v>
      </c>
      <c r="AI90" s="62"/>
      <c r="AJ90" s="63"/>
      <c r="AK90" s="63"/>
      <c r="AL90" s="63"/>
      <c r="AM90" s="63"/>
      <c r="AN90" s="63"/>
      <c r="AO90" s="63"/>
      <c r="AP90" s="63"/>
      <c r="AQ90" s="63"/>
      <c r="AR90" s="63"/>
      <c r="AS90" s="64">
        <f t="shared" si="487"/>
        <v>0</v>
      </c>
      <c r="AT90" s="65">
        <f t="shared" si="488"/>
        <v>0</v>
      </c>
      <c r="AU90" s="65">
        <f t="shared" si="488"/>
        <v>0</v>
      </c>
      <c r="AV90" s="65">
        <f t="shared" si="488"/>
        <v>0</v>
      </c>
      <c r="AW90" s="65">
        <f t="shared" si="488"/>
        <v>0</v>
      </c>
      <c r="AX90" s="65">
        <f t="shared" si="488"/>
        <v>0</v>
      </c>
      <c r="AY90" s="65">
        <f t="shared" si="488"/>
        <v>0</v>
      </c>
      <c r="AZ90" s="65">
        <f t="shared" si="488"/>
        <v>0</v>
      </c>
      <c r="BA90" s="65">
        <f t="shared" si="488"/>
        <v>0</v>
      </c>
      <c r="BB90" s="65">
        <f t="shared" si="488"/>
        <v>0</v>
      </c>
      <c r="BC90" s="65">
        <f t="shared" si="488"/>
        <v>0</v>
      </c>
      <c r="BD90" s="64">
        <f t="shared" si="489"/>
        <v>0</v>
      </c>
      <c r="BE90" s="62"/>
      <c r="BF90" s="63"/>
      <c r="BG90" s="63"/>
      <c r="BH90" s="63"/>
      <c r="BI90" s="63"/>
      <c r="BJ90" s="63"/>
      <c r="BK90" s="63"/>
      <c r="BL90" s="63"/>
      <c r="BM90" s="63"/>
      <c r="BN90" s="63"/>
      <c r="BO90" s="64">
        <f t="shared" si="490"/>
        <v>0</v>
      </c>
      <c r="BP90" s="62"/>
      <c r="BQ90" s="63"/>
      <c r="BR90" s="63"/>
      <c r="BS90" s="63"/>
      <c r="BT90" s="63"/>
      <c r="BU90" s="63"/>
      <c r="BV90" s="63"/>
      <c r="BW90" s="63"/>
      <c r="BX90" s="63"/>
      <c r="BY90" s="63"/>
      <c r="BZ90" s="64">
        <f t="shared" si="491"/>
        <v>0</v>
      </c>
      <c r="CA90" s="62"/>
      <c r="CB90" s="63"/>
      <c r="CC90" s="63"/>
      <c r="CD90" s="63"/>
      <c r="CE90" s="63"/>
      <c r="CF90" s="63"/>
      <c r="CG90" s="63"/>
      <c r="CH90" s="63"/>
      <c r="CI90" s="63"/>
      <c r="CJ90" s="63"/>
      <c r="CK90" s="64">
        <f t="shared" si="492"/>
        <v>0</v>
      </c>
      <c r="CL90" s="65">
        <f t="shared" si="493"/>
        <v>0</v>
      </c>
      <c r="CM90" s="65">
        <f t="shared" si="493"/>
        <v>0</v>
      </c>
      <c r="CN90" s="65">
        <f t="shared" si="493"/>
        <v>0</v>
      </c>
      <c r="CO90" s="65">
        <f t="shared" si="493"/>
        <v>0</v>
      </c>
      <c r="CP90" s="65">
        <f t="shared" si="493"/>
        <v>0</v>
      </c>
      <c r="CQ90" s="65">
        <f t="shared" si="493"/>
        <v>0</v>
      </c>
      <c r="CR90" s="65">
        <f t="shared" si="493"/>
        <v>0</v>
      </c>
      <c r="CS90" s="65">
        <f t="shared" si="493"/>
        <v>0</v>
      </c>
      <c r="CT90" s="65">
        <f t="shared" si="493"/>
        <v>0</v>
      </c>
      <c r="CU90" s="65">
        <f t="shared" si="493"/>
        <v>0</v>
      </c>
      <c r="CV90" s="64">
        <f t="shared" si="494"/>
        <v>0</v>
      </c>
      <c r="CW90" s="62"/>
      <c r="CX90" s="63"/>
      <c r="CY90" s="63"/>
      <c r="CZ90" s="63"/>
      <c r="DA90" s="63"/>
      <c r="DB90" s="63"/>
      <c r="DC90" s="63"/>
      <c r="DD90" s="63"/>
      <c r="DE90" s="63"/>
      <c r="DF90" s="63"/>
      <c r="DG90" s="64">
        <f t="shared" si="495"/>
        <v>0</v>
      </c>
      <c r="DH90" s="62"/>
      <c r="DI90" s="63"/>
      <c r="DJ90" s="63"/>
      <c r="DK90" s="63"/>
      <c r="DL90" s="63"/>
      <c r="DM90" s="63"/>
      <c r="DN90" s="63"/>
      <c r="DO90" s="63"/>
      <c r="DP90" s="63"/>
      <c r="DQ90" s="63"/>
      <c r="DR90" s="64">
        <f t="shared" si="496"/>
        <v>0</v>
      </c>
      <c r="DS90" s="62"/>
      <c r="DT90" s="63"/>
      <c r="DU90" s="63"/>
      <c r="DV90" s="63"/>
      <c r="DW90" s="63"/>
      <c r="DX90" s="63"/>
      <c r="DY90" s="63"/>
      <c r="DZ90" s="63"/>
      <c r="EA90" s="63"/>
      <c r="EB90" s="63"/>
      <c r="EC90" s="63"/>
      <c r="ED90" s="65">
        <f t="shared" si="497"/>
        <v>0</v>
      </c>
      <c r="EE90" s="65">
        <f t="shared" si="497"/>
        <v>0</v>
      </c>
      <c r="EF90" s="65">
        <f t="shared" si="497"/>
        <v>0</v>
      </c>
      <c r="EG90" s="65">
        <f t="shared" si="497"/>
        <v>0</v>
      </c>
      <c r="EH90" s="65">
        <f t="shared" si="497"/>
        <v>0</v>
      </c>
      <c r="EI90" s="65">
        <f t="shared" si="497"/>
        <v>0</v>
      </c>
      <c r="EJ90" s="65">
        <f t="shared" si="497"/>
        <v>0</v>
      </c>
      <c r="EK90" s="65">
        <f t="shared" si="497"/>
        <v>0</v>
      </c>
      <c r="EL90" s="65">
        <f t="shared" si="497"/>
        <v>0</v>
      </c>
      <c r="EM90" s="65">
        <f t="shared" si="497"/>
        <v>0</v>
      </c>
      <c r="EN90" s="64">
        <f t="shared" si="498"/>
        <v>0</v>
      </c>
      <c r="EO90" s="62"/>
      <c r="EP90" s="63"/>
      <c r="EQ90" s="63"/>
      <c r="ER90" s="63"/>
      <c r="ES90" s="63"/>
      <c r="ET90" s="63"/>
      <c r="EU90" s="63"/>
      <c r="EV90" s="63"/>
      <c r="EW90" s="63"/>
      <c r="EX90" s="63"/>
      <c r="EY90" s="64">
        <f t="shared" si="499"/>
        <v>0</v>
      </c>
      <c r="EZ90" s="62"/>
      <c r="FA90" s="63"/>
      <c r="FB90" s="63"/>
      <c r="FC90" s="63"/>
      <c r="FD90" s="63"/>
      <c r="FE90" s="63"/>
      <c r="FF90" s="63"/>
      <c r="FG90" s="63"/>
      <c r="FH90" s="63"/>
      <c r="FI90" s="63"/>
      <c r="FJ90" s="64">
        <f t="shared" si="500"/>
        <v>0</v>
      </c>
      <c r="FK90" s="62"/>
      <c r="FL90" s="63"/>
      <c r="FM90" s="63"/>
      <c r="FN90" s="63"/>
      <c r="FO90" s="63"/>
      <c r="FP90" s="63"/>
      <c r="FQ90" s="63"/>
      <c r="FR90" s="63"/>
      <c r="FS90" s="63"/>
      <c r="FT90" s="63"/>
      <c r="FU90" s="64">
        <f t="shared" si="501"/>
        <v>0</v>
      </c>
      <c r="FV90" s="65">
        <f t="shared" si="502"/>
        <v>0</v>
      </c>
      <c r="FW90" s="65">
        <f t="shared" si="502"/>
        <v>0</v>
      </c>
      <c r="FX90" s="65">
        <f t="shared" si="502"/>
        <v>0</v>
      </c>
      <c r="FY90" s="65">
        <f t="shared" si="502"/>
        <v>0</v>
      </c>
      <c r="FZ90" s="65">
        <f t="shared" si="502"/>
        <v>0</v>
      </c>
      <c r="GA90" s="65">
        <f t="shared" si="502"/>
        <v>0</v>
      </c>
      <c r="GB90" s="65">
        <f t="shared" si="502"/>
        <v>0</v>
      </c>
      <c r="GC90" s="65">
        <f t="shared" si="502"/>
        <v>0</v>
      </c>
      <c r="GD90" s="65">
        <f t="shared" si="502"/>
        <v>0</v>
      </c>
      <c r="GE90" s="65">
        <f t="shared" si="502"/>
        <v>0</v>
      </c>
      <c r="GF90" s="64">
        <f t="shared" si="503"/>
        <v>0</v>
      </c>
      <c r="GG90" s="66">
        <f t="shared" si="504"/>
        <v>0</v>
      </c>
      <c r="GH90" s="66">
        <f t="shared" si="504"/>
        <v>0</v>
      </c>
      <c r="GI90" s="66">
        <f t="shared" si="504"/>
        <v>0</v>
      </c>
      <c r="GJ90" s="66">
        <f t="shared" si="504"/>
        <v>0</v>
      </c>
      <c r="GK90" s="66">
        <f t="shared" si="504"/>
        <v>0</v>
      </c>
      <c r="GL90" s="66">
        <f t="shared" si="504"/>
        <v>0</v>
      </c>
      <c r="GM90" s="66">
        <f t="shared" si="504"/>
        <v>0</v>
      </c>
      <c r="GN90" s="66">
        <f t="shared" si="504"/>
        <v>0</v>
      </c>
      <c r="GO90" s="66">
        <f t="shared" si="504"/>
        <v>0</v>
      </c>
      <c r="GP90" s="66">
        <f t="shared" si="504"/>
        <v>0</v>
      </c>
      <c r="GQ90" s="64">
        <f t="shared" si="505"/>
        <v>0</v>
      </c>
      <c r="GR90" s="63"/>
      <c r="GS90" s="63"/>
      <c r="GT90" s="63"/>
      <c r="GU90" s="63"/>
      <c r="GV90" s="67">
        <f t="shared" si="506"/>
        <v>0</v>
      </c>
      <c r="GW90" s="63"/>
      <c r="GX90" s="63"/>
      <c r="GY90" s="63"/>
      <c r="GZ90" s="63"/>
      <c r="HA90" s="67">
        <f t="shared" si="507"/>
        <v>0</v>
      </c>
      <c r="HB90" s="63"/>
      <c r="HC90" s="63"/>
      <c r="HD90" s="63"/>
      <c r="HE90" s="63"/>
      <c r="HF90" s="67">
        <f t="shared" si="508"/>
        <v>0</v>
      </c>
      <c r="HG90" s="63"/>
      <c r="HH90" s="63"/>
      <c r="HI90" s="63"/>
      <c r="HJ90" s="63"/>
      <c r="HK90" s="67">
        <f t="shared" si="509"/>
        <v>0</v>
      </c>
      <c r="HL90" s="68">
        <f t="shared" si="510"/>
        <v>0</v>
      </c>
      <c r="HM90" s="68">
        <f t="shared" si="510"/>
        <v>0</v>
      </c>
      <c r="HN90" s="68">
        <f t="shared" si="510"/>
        <v>0</v>
      </c>
      <c r="HO90" s="68">
        <f t="shared" si="510"/>
        <v>0</v>
      </c>
      <c r="HP90" s="67">
        <f t="shared" si="511"/>
        <v>0</v>
      </c>
      <c r="HQ90" s="63"/>
      <c r="HR90" s="63"/>
      <c r="HS90" s="63"/>
      <c r="HT90" s="63"/>
      <c r="HU90" s="67">
        <f t="shared" si="512"/>
        <v>0</v>
      </c>
      <c r="HV90" s="63"/>
      <c r="HW90" s="63"/>
      <c r="HX90" s="63"/>
      <c r="HY90" s="63"/>
      <c r="HZ90" s="67">
        <f t="shared" si="513"/>
        <v>0</v>
      </c>
      <c r="IA90" s="63"/>
      <c r="IB90" s="63"/>
      <c r="IC90" s="63"/>
      <c r="ID90" s="63"/>
      <c r="IE90" s="67">
        <f t="shared" si="514"/>
        <v>0</v>
      </c>
      <c r="IF90" s="68">
        <f t="shared" si="515"/>
        <v>0</v>
      </c>
      <c r="IG90" s="68">
        <f t="shared" si="515"/>
        <v>0</v>
      </c>
      <c r="IH90" s="68">
        <f t="shared" si="515"/>
        <v>0</v>
      </c>
      <c r="II90" s="68">
        <f t="shared" si="515"/>
        <v>0</v>
      </c>
      <c r="IJ90" s="67">
        <f t="shared" si="516"/>
        <v>0</v>
      </c>
      <c r="IK90" s="63"/>
      <c r="IL90" s="63"/>
      <c r="IM90" s="63"/>
      <c r="IN90" s="63"/>
      <c r="IO90" s="67">
        <f t="shared" si="517"/>
        <v>0</v>
      </c>
      <c r="IP90" s="63"/>
      <c r="IQ90" s="63"/>
      <c r="IR90" s="63"/>
      <c r="IS90" s="63"/>
      <c r="IT90" s="67">
        <f t="shared" si="518"/>
        <v>0</v>
      </c>
      <c r="IU90" s="63"/>
      <c r="IV90" s="63"/>
    </row>
    <row r="91" spans="1:256" s="110" customFormat="1" ht="12.75" customHeight="1" x14ac:dyDescent="0.25">
      <c r="A91" s="118" t="s">
        <v>94</v>
      </c>
      <c r="B91" s="114"/>
      <c r="C91" s="114">
        <f t="shared" ref="C91:L91" si="520">SUM(C92,C130)</f>
        <v>2528</v>
      </c>
      <c r="D91" s="114">
        <f t="shared" si="520"/>
        <v>132</v>
      </c>
      <c r="E91" s="114">
        <f t="shared" si="520"/>
        <v>242</v>
      </c>
      <c r="F91" s="114">
        <f t="shared" si="520"/>
        <v>0</v>
      </c>
      <c r="G91" s="114">
        <f t="shared" si="520"/>
        <v>3</v>
      </c>
      <c r="H91" s="114">
        <f t="shared" si="520"/>
        <v>132</v>
      </c>
      <c r="I91" s="114">
        <f t="shared" si="520"/>
        <v>0</v>
      </c>
      <c r="J91" s="114">
        <f t="shared" si="520"/>
        <v>128</v>
      </c>
      <c r="K91" s="114">
        <f t="shared" si="520"/>
        <v>38</v>
      </c>
      <c r="L91" s="114">
        <f t="shared" si="520"/>
        <v>3500</v>
      </c>
      <c r="M91" s="114"/>
      <c r="N91" s="114">
        <f t="shared" ref="N91:V91" si="521">SUM(N92,N130)</f>
        <v>0</v>
      </c>
      <c r="O91" s="114">
        <f t="shared" si="521"/>
        <v>0</v>
      </c>
      <c r="P91" s="114">
        <f t="shared" si="521"/>
        <v>0</v>
      </c>
      <c r="Q91" s="114">
        <f t="shared" si="521"/>
        <v>0</v>
      </c>
      <c r="R91" s="114">
        <f t="shared" si="521"/>
        <v>0</v>
      </c>
      <c r="S91" s="114">
        <f t="shared" si="521"/>
        <v>0</v>
      </c>
      <c r="T91" s="114">
        <f t="shared" si="521"/>
        <v>0</v>
      </c>
      <c r="U91" s="114">
        <f t="shared" si="521"/>
        <v>0</v>
      </c>
      <c r="V91" s="114">
        <f t="shared" si="521"/>
        <v>0</v>
      </c>
      <c r="W91" s="114">
        <f>SUM(W92,W130)</f>
        <v>0</v>
      </c>
      <c r="X91" s="114"/>
      <c r="Y91" s="114">
        <f t="shared" ref="Y91:AG91" si="522">SUM(Y92,Y130)</f>
        <v>0</v>
      </c>
      <c r="Z91" s="114">
        <f t="shared" si="522"/>
        <v>0</v>
      </c>
      <c r="AA91" s="114">
        <f t="shared" si="522"/>
        <v>0</v>
      </c>
      <c r="AB91" s="114">
        <f t="shared" si="522"/>
        <v>0</v>
      </c>
      <c r="AC91" s="114">
        <f t="shared" si="522"/>
        <v>0</v>
      </c>
      <c r="AD91" s="114">
        <f t="shared" si="522"/>
        <v>0</v>
      </c>
      <c r="AE91" s="114">
        <f t="shared" si="522"/>
        <v>0</v>
      </c>
      <c r="AF91" s="114">
        <f t="shared" si="522"/>
        <v>0</v>
      </c>
      <c r="AG91" s="114">
        <f t="shared" si="522"/>
        <v>0</v>
      </c>
      <c r="AH91" s="114">
        <f>SUM(AH92,AH130)</f>
        <v>0</v>
      </c>
      <c r="AI91" s="114"/>
      <c r="AJ91" s="114">
        <f t="shared" ref="AJ91:AR91" si="523">SUM(AJ92,AJ130)</f>
        <v>0</v>
      </c>
      <c r="AK91" s="114">
        <f t="shared" si="523"/>
        <v>0</v>
      </c>
      <c r="AL91" s="114">
        <f t="shared" si="523"/>
        <v>0</v>
      </c>
      <c r="AM91" s="114">
        <f t="shared" si="523"/>
        <v>0</v>
      </c>
      <c r="AN91" s="114">
        <f t="shared" si="523"/>
        <v>0</v>
      </c>
      <c r="AO91" s="114">
        <f t="shared" si="523"/>
        <v>0</v>
      </c>
      <c r="AP91" s="114">
        <f t="shared" si="523"/>
        <v>0</v>
      </c>
      <c r="AQ91" s="114">
        <f t="shared" si="523"/>
        <v>0</v>
      </c>
      <c r="AR91" s="114">
        <f t="shared" si="523"/>
        <v>0</v>
      </c>
      <c r="AS91" s="114">
        <f>SUM(AS92,AS130)</f>
        <v>0</v>
      </c>
      <c r="AT91" s="114"/>
      <c r="AU91" s="114">
        <f t="shared" ref="AU91:BD91" si="524">SUM(AU92,AU130)</f>
        <v>0</v>
      </c>
      <c r="AV91" s="114">
        <f t="shared" si="524"/>
        <v>0</v>
      </c>
      <c r="AW91" s="114">
        <f t="shared" si="524"/>
        <v>0</v>
      </c>
      <c r="AX91" s="114">
        <f t="shared" si="524"/>
        <v>0</v>
      </c>
      <c r="AY91" s="114">
        <f t="shared" si="524"/>
        <v>0</v>
      </c>
      <c r="AZ91" s="114">
        <f t="shared" si="524"/>
        <v>0</v>
      </c>
      <c r="BA91" s="114">
        <f t="shared" si="524"/>
        <v>0</v>
      </c>
      <c r="BB91" s="114">
        <f t="shared" si="524"/>
        <v>0</v>
      </c>
      <c r="BC91" s="114">
        <f t="shared" si="524"/>
        <v>0</v>
      </c>
      <c r="BD91" s="114">
        <f t="shared" si="524"/>
        <v>0</v>
      </c>
      <c r="BE91" s="114"/>
      <c r="BF91" s="114">
        <f t="shared" ref="BF91:BN91" si="525">SUM(BF92,BF130)</f>
        <v>0</v>
      </c>
      <c r="BG91" s="114">
        <f t="shared" si="525"/>
        <v>0</v>
      </c>
      <c r="BH91" s="114">
        <f t="shared" si="525"/>
        <v>0</v>
      </c>
      <c r="BI91" s="114">
        <f t="shared" si="525"/>
        <v>0</v>
      </c>
      <c r="BJ91" s="114">
        <f t="shared" si="525"/>
        <v>0</v>
      </c>
      <c r="BK91" s="114">
        <f t="shared" si="525"/>
        <v>0</v>
      </c>
      <c r="BL91" s="114">
        <f t="shared" si="525"/>
        <v>0</v>
      </c>
      <c r="BM91" s="114">
        <f t="shared" si="525"/>
        <v>0</v>
      </c>
      <c r="BN91" s="114">
        <f t="shared" si="525"/>
        <v>0</v>
      </c>
      <c r="BO91" s="114">
        <f>SUM(BO92,BO130)</f>
        <v>0</v>
      </c>
      <c r="BP91" s="114"/>
      <c r="BQ91" s="114">
        <f t="shared" ref="BQ91:BY91" si="526">SUM(BQ92,BQ130)</f>
        <v>0</v>
      </c>
      <c r="BR91" s="114">
        <f t="shared" si="526"/>
        <v>0</v>
      </c>
      <c r="BS91" s="114">
        <f t="shared" si="526"/>
        <v>0</v>
      </c>
      <c r="BT91" s="114">
        <f t="shared" si="526"/>
        <v>0</v>
      </c>
      <c r="BU91" s="114">
        <f t="shared" si="526"/>
        <v>0</v>
      </c>
      <c r="BV91" s="114">
        <f t="shared" si="526"/>
        <v>0</v>
      </c>
      <c r="BW91" s="114">
        <f t="shared" si="526"/>
        <v>0</v>
      </c>
      <c r="BX91" s="114">
        <f t="shared" si="526"/>
        <v>0</v>
      </c>
      <c r="BY91" s="114">
        <f t="shared" si="526"/>
        <v>0</v>
      </c>
      <c r="BZ91" s="114">
        <f>SUM(BZ92,BZ130)</f>
        <v>0</v>
      </c>
      <c r="CA91" s="114"/>
      <c r="CB91" s="114">
        <f t="shared" ref="CB91:CJ91" si="527">SUM(CB92,CB130)</f>
        <v>0</v>
      </c>
      <c r="CC91" s="114">
        <f t="shared" si="527"/>
        <v>0</v>
      </c>
      <c r="CD91" s="114">
        <f t="shared" si="527"/>
        <v>0</v>
      </c>
      <c r="CE91" s="114">
        <f t="shared" si="527"/>
        <v>0</v>
      </c>
      <c r="CF91" s="114">
        <f t="shared" si="527"/>
        <v>0</v>
      </c>
      <c r="CG91" s="114">
        <f t="shared" si="527"/>
        <v>0</v>
      </c>
      <c r="CH91" s="114">
        <f t="shared" si="527"/>
        <v>0</v>
      </c>
      <c r="CI91" s="114">
        <f t="shared" si="527"/>
        <v>0</v>
      </c>
      <c r="CJ91" s="114">
        <f t="shared" si="527"/>
        <v>0</v>
      </c>
      <c r="CK91" s="114">
        <f>SUM(CK92,CK130)</f>
        <v>0</v>
      </c>
      <c r="CL91" s="114"/>
      <c r="CM91" s="114">
        <f t="shared" ref="CM91:CV91" si="528">SUM(CM92,CM130)</f>
        <v>0</v>
      </c>
      <c r="CN91" s="114">
        <f t="shared" si="528"/>
        <v>0</v>
      </c>
      <c r="CO91" s="114">
        <f t="shared" si="528"/>
        <v>0</v>
      </c>
      <c r="CP91" s="114">
        <f t="shared" si="528"/>
        <v>0</v>
      </c>
      <c r="CQ91" s="114">
        <f t="shared" si="528"/>
        <v>0</v>
      </c>
      <c r="CR91" s="114">
        <f t="shared" si="528"/>
        <v>0</v>
      </c>
      <c r="CS91" s="114">
        <f t="shared" si="528"/>
        <v>0</v>
      </c>
      <c r="CT91" s="114">
        <f t="shared" si="528"/>
        <v>0</v>
      </c>
      <c r="CU91" s="114">
        <f t="shared" si="528"/>
        <v>0</v>
      </c>
      <c r="CV91" s="114">
        <f t="shared" si="528"/>
        <v>0</v>
      </c>
      <c r="CW91" s="114"/>
      <c r="CX91" s="114">
        <f t="shared" ref="CX91:DF91" si="529">SUM(CX92,CX130)</f>
        <v>0</v>
      </c>
      <c r="CY91" s="114">
        <f t="shared" si="529"/>
        <v>0</v>
      </c>
      <c r="CZ91" s="114">
        <f t="shared" si="529"/>
        <v>0</v>
      </c>
      <c r="DA91" s="114">
        <f t="shared" si="529"/>
        <v>0</v>
      </c>
      <c r="DB91" s="114">
        <f t="shared" si="529"/>
        <v>0</v>
      </c>
      <c r="DC91" s="114">
        <f t="shared" si="529"/>
        <v>0</v>
      </c>
      <c r="DD91" s="114">
        <f t="shared" si="529"/>
        <v>0</v>
      </c>
      <c r="DE91" s="114">
        <f t="shared" si="529"/>
        <v>0</v>
      </c>
      <c r="DF91" s="114">
        <f t="shared" si="529"/>
        <v>0</v>
      </c>
      <c r="DG91" s="114">
        <f>SUM(DG92,DG130)</f>
        <v>0</v>
      </c>
      <c r="DH91" s="114"/>
      <c r="DI91" s="114">
        <f t="shared" ref="DI91:DQ91" si="530">SUM(DI92,DI130)</f>
        <v>0</v>
      </c>
      <c r="DJ91" s="114">
        <f t="shared" si="530"/>
        <v>0</v>
      </c>
      <c r="DK91" s="114">
        <f t="shared" si="530"/>
        <v>0</v>
      </c>
      <c r="DL91" s="114">
        <f t="shared" si="530"/>
        <v>0</v>
      </c>
      <c r="DM91" s="114">
        <f t="shared" si="530"/>
        <v>0</v>
      </c>
      <c r="DN91" s="114">
        <f t="shared" si="530"/>
        <v>0</v>
      </c>
      <c r="DO91" s="114">
        <f t="shared" si="530"/>
        <v>0</v>
      </c>
      <c r="DP91" s="114">
        <f t="shared" si="530"/>
        <v>0</v>
      </c>
      <c r="DQ91" s="114">
        <f t="shared" si="530"/>
        <v>0</v>
      </c>
      <c r="DR91" s="114">
        <f>SUM(DR92,DR130)</f>
        <v>0</v>
      </c>
      <c r="DS91" s="114"/>
      <c r="DT91" s="114">
        <f t="shared" ref="DT91:EB91" si="531">SUM(DT92,DT130)</f>
        <v>0</v>
      </c>
      <c r="DU91" s="114">
        <f t="shared" si="531"/>
        <v>0</v>
      </c>
      <c r="DV91" s="114">
        <f t="shared" si="531"/>
        <v>0</v>
      </c>
      <c r="DW91" s="114">
        <f t="shared" si="531"/>
        <v>0</v>
      </c>
      <c r="DX91" s="114">
        <f t="shared" si="531"/>
        <v>0</v>
      </c>
      <c r="DY91" s="114">
        <f t="shared" si="531"/>
        <v>0</v>
      </c>
      <c r="DZ91" s="114">
        <f t="shared" si="531"/>
        <v>0</v>
      </c>
      <c r="EA91" s="114">
        <f t="shared" si="531"/>
        <v>0</v>
      </c>
      <c r="EB91" s="114">
        <f t="shared" si="531"/>
        <v>0</v>
      </c>
      <c r="EC91" s="114">
        <f>SUM(EC92,EC130)</f>
        <v>0</v>
      </c>
      <c r="ED91" s="114"/>
      <c r="EE91" s="114">
        <f t="shared" ref="EE91:EN91" si="532">SUM(EE92,EE130)</f>
        <v>0</v>
      </c>
      <c r="EF91" s="114">
        <f t="shared" si="532"/>
        <v>0</v>
      </c>
      <c r="EG91" s="114">
        <f t="shared" si="532"/>
        <v>0</v>
      </c>
      <c r="EH91" s="114">
        <f t="shared" si="532"/>
        <v>0</v>
      </c>
      <c r="EI91" s="114">
        <f t="shared" si="532"/>
        <v>0</v>
      </c>
      <c r="EJ91" s="114">
        <f t="shared" si="532"/>
        <v>0</v>
      </c>
      <c r="EK91" s="114">
        <f t="shared" si="532"/>
        <v>0</v>
      </c>
      <c r="EL91" s="114">
        <f t="shared" si="532"/>
        <v>0</v>
      </c>
      <c r="EM91" s="114">
        <f t="shared" si="532"/>
        <v>0</v>
      </c>
      <c r="EN91" s="114">
        <f t="shared" si="532"/>
        <v>0</v>
      </c>
      <c r="EO91" s="114"/>
      <c r="EP91" s="114">
        <f t="shared" ref="EP91:EX91" si="533">SUM(EP92,EP130)</f>
        <v>0</v>
      </c>
      <c r="EQ91" s="114">
        <f t="shared" si="533"/>
        <v>0</v>
      </c>
      <c r="ER91" s="114">
        <f t="shared" si="533"/>
        <v>0</v>
      </c>
      <c r="ES91" s="114">
        <f t="shared" si="533"/>
        <v>0</v>
      </c>
      <c r="ET91" s="114">
        <f t="shared" si="533"/>
        <v>0</v>
      </c>
      <c r="EU91" s="114">
        <f t="shared" si="533"/>
        <v>0</v>
      </c>
      <c r="EV91" s="114">
        <f t="shared" si="533"/>
        <v>0</v>
      </c>
      <c r="EW91" s="114">
        <f t="shared" si="533"/>
        <v>0</v>
      </c>
      <c r="EX91" s="114">
        <f t="shared" si="533"/>
        <v>0</v>
      </c>
      <c r="EY91" s="114">
        <f>SUM(EY92,EY130)</f>
        <v>0</v>
      </c>
      <c r="EZ91" s="114"/>
      <c r="FA91" s="114">
        <f t="shared" ref="FA91:FI91" si="534">SUM(FA92,FA130)</f>
        <v>0</v>
      </c>
      <c r="FB91" s="114">
        <f t="shared" si="534"/>
        <v>0</v>
      </c>
      <c r="FC91" s="114">
        <f t="shared" si="534"/>
        <v>0</v>
      </c>
      <c r="FD91" s="114">
        <f t="shared" si="534"/>
        <v>0</v>
      </c>
      <c r="FE91" s="114">
        <f t="shared" si="534"/>
        <v>0</v>
      </c>
      <c r="FF91" s="114">
        <f t="shared" si="534"/>
        <v>0</v>
      </c>
      <c r="FG91" s="114">
        <f t="shared" si="534"/>
        <v>0</v>
      </c>
      <c r="FH91" s="114">
        <f t="shared" si="534"/>
        <v>0</v>
      </c>
      <c r="FI91" s="114">
        <f t="shared" si="534"/>
        <v>0</v>
      </c>
      <c r="FJ91" s="114">
        <f>SUM(FJ92,FJ130)</f>
        <v>0</v>
      </c>
      <c r="FK91" s="114"/>
      <c r="FL91" s="114">
        <f t="shared" ref="FL91:FT91" si="535">SUM(FL92,FL130)</f>
        <v>0</v>
      </c>
      <c r="FM91" s="114">
        <f t="shared" si="535"/>
        <v>0</v>
      </c>
      <c r="FN91" s="114">
        <f t="shared" si="535"/>
        <v>0</v>
      </c>
      <c r="FO91" s="114">
        <f t="shared" si="535"/>
        <v>0</v>
      </c>
      <c r="FP91" s="114">
        <f t="shared" si="535"/>
        <v>0</v>
      </c>
      <c r="FQ91" s="114">
        <f t="shared" si="535"/>
        <v>0</v>
      </c>
      <c r="FR91" s="114">
        <f t="shared" si="535"/>
        <v>0</v>
      </c>
      <c r="FS91" s="114">
        <f t="shared" si="535"/>
        <v>0</v>
      </c>
      <c r="FT91" s="114">
        <f t="shared" si="535"/>
        <v>0</v>
      </c>
      <c r="FU91" s="114">
        <f>SUM(FU92,FU130)</f>
        <v>0</v>
      </c>
      <c r="FV91" s="114"/>
      <c r="FW91" s="114">
        <f t="shared" ref="FW91:GF91" si="536">SUM(FW92,FW130)</f>
        <v>0</v>
      </c>
      <c r="FX91" s="114">
        <f t="shared" si="536"/>
        <v>0</v>
      </c>
      <c r="FY91" s="114">
        <f t="shared" si="536"/>
        <v>0</v>
      </c>
      <c r="FZ91" s="114">
        <f t="shared" si="536"/>
        <v>0</v>
      </c>
      <c r="GA91" s="114">
        <f t="shared" si="536"/>
        <v>0</v>
      </c>
      <c r="GB91" s="114">
        <f t="shared" si="536"/>
        <v>0</v>
      </c>
      <c r="GC91" s="114">
        <f t="shared" si="536"/>
        <v>0</v>
      </c>
      <c r="GD91" s="114">
        <f t="shared" si="536"/>
        <v>0</v>
      </c>
      <c r="GE91" s="114">
        <f t="shared" si="536"/>
        <v>0</v>
      </c>
      <c r="GF91" s="114">
        <f t="shared" si="536"/>
        <v>0</v>
      </c>
      <c r="GG91" s="114"/>
      <c r="GH91" s="114">
        <f t="shared" ref="GH91:IO91" si="537">SUM(GH92,GH130)</f>
        <v>0</v>
      </c>
      <c r="GI91" s="114">
        <f t="shared" si="537"/>
        <v>0</v>
      </c>
      <c r="GJ91" s="114">
        <f t="shared" si="537"/>
        <v>0</v>
      </c>
      <c r="GK91" s="114">
        <f t="shared" si="537"/>
        <v>0</v>
      </c>
      <c r="GL91" s="114">
        <f t="shared" si="537"/>
        <v>0</v>
      </c>
      <c r="GM91" s="114">
        <f t="shared" si="537"/>
        <v>0</v>
      </c>
      <c r="GN91" s="114">
        <f t="shared" si="537"/>
        <v>0</v>
      </c>
      <c r="GO91" s="114">
        <f t="shared" si="537"/>
        <v>0</v>
      </c>
      <c r="GP91" s="114">
        <f t="shared" si="537"/>
        <v>0</v>
      </c>
      <c r="GQ91" s="114">
        <f t="shared" si="537"/>
        <v>0</v>
      </c>
      <c r="GR91" s="114">
        <f t="shared" si="537"/>
        <v>0</v>
      </c>
      <c r="GS91" s="114">
        <f t="shared" si="537"/>
        <v>0</v>
      </c>
      <c r="GT91" s="114">
        <f t="shared" si="537"/>
        <v>0</v>
      </c>
      <c r="GU91" s="114">
        <f t="shared" si="537"/>
        <v>0</v>
      </c>
      <c r="GV91" s="114">
        <f t="shared" si="537"/>
        <v>0</v>
      </c>
      <c r="GW91" s="114">
        <f t="shared" si="537"/>
        <v>0</v>
      </c>
      <c r="GX91" s="114">
        <f t="shared" si="537"/>
        <v>0</v>
      </c>
      <c r="GY91" s="114">
        <f t="shared" si="537"/>
        <v>0</v>
      </c>
      <c r="GZ91" s="114">
        <f t="shared" si="537"/>
        <v>0</v>
      </c>
      <c r="HA91" s="114">
        <f t="shared" si="537"/>
        <v>0</v>
      </c>
      <c r="HB91" s="114">
        <f>SUM(HB92,HB130)</f>
        <v>0</v>
      </c>
      <c r="HC91" s="114">
        <f>SUM(HC92,HC130)</f>
        <v>0</v>
      </c>
      <c r="HD91" s="114">
        <f>SUM(HD92,HD130)</f>
        <v>0</v>
      </c>
      <c r="HE91" s="114">
        <f>SUM(HE92,HE130)</f>
        <v>0</v>
      </c>
      <c r="HF91" s="114">
        <f t="shared" si="537"/>
        <v>0</v>
      </c>
      <c r="HG91" s="114">
        <f t="shared" si="537"/>
        <v>0</v>
      </c>
      <c r="HH91" s="114">
        <f t="shared" si="537"/>
        <v>0</v>
      </c>
      <c r="HI91" s="114">
        <f t="shared" si="537"/>
        <v>0</v>
      </c>
      <c r="HJ91" s="114">
        <f t="shared" si="537"/>
        <v>0</v>
      </c>
      <c r="HK91" s="114">
        <f t="shared" si="537"/>
        <v>0</v>
      </c>
      <c r="HL91" s="114">
        <f t="shared" si="537"/>
        <v>0</v>
      </c>
      <c r="HM91" s="114">
        <f t="shared" si="537"/>
        <v>0</v>
      </c>
      <c r="HN91" s="114">
        <f t="shared" si="537"/>
        <v>0</v>
      </c>
      <c r="HO91" s="114">
        <f t="shared" si="537"/>
        <v>0</v>
      </c>
      <c r="HP91" s="114">
        <f t="shared" si="537"/>
        <v>0</v>
      </c>
      <c r="HQ91" s="114">
        <f>SUM(HQ92,HQ130)</f>
        <v>0</v>
      </c>
      <c r="HR91" s="114">
        <f>SUM(HR92,HR130)</f>
        <v>0</v>
      </c>
      <c r="HS91" s="114">
        <f>SUM(HS92,HS130)</f>
        <v>0</v>
      </c>
      <c r="HT91" s="114">
        <f>SUM(HT92,HT130)</f>
        <v>0</v>
      </c>
      <c r="HU91" s="114">
        <f t="shared" si="537"/>
        <v>0</v>
      </c>
      <c r="HV91" s="114">
        <f t="shared" si="537"/>
        <v>0</v>
      </c>
      <c r="HW91" s="114">
        <f t="shared" si="537"/>
        <v>0</v>
      </c>
      <c r="HX91" s="114">
        <f t="shared" si="537"/>
        <v>0</v>
      </c>
      <c r="HY91" s="114">
        <f t="shared" si="537"/>
        <v>0</v>
      </c>
      <c r="HZ91" s="114">
        <f t="shared" si="537"/>
        <v>0</v>
      </c>
      <c r="IA91" s="114">
        <f>SUM(IA92,IA130)</f>
        <v>0</v>
      </c>
      <c r="IB91" s="114">
        <f>SUM(IB92,IB130)</f>
        <v>0</v>
      </c>
      <c r="IC91" s="114">
        <f>SUM(IC92,IC130)</f>
        <v>0</v>
      </c>
      <c r="ID91" s="114">
        <f>SUM(ID92,ID130)</f>
        <v>0</v>
      </c>
      <c r="IE91" s="114">
        <f t="shared" si="537"/>
        <v>0</v>
      </c>
      <c r="IF91" s="114">
        <f t="shared" si="537"/>
        <v>0</v>
      </c>
      <c r="IG91" s="114">
        <f t="shared" si="537"/>
        <v>0</v>
      </c>
      <c r="IH91" s="114">
        <f t="shared" si="537"/>
        <v>0</v>
      </c>
      <c r="II91" s="114">
        <f t="shared" si="537"/>
        <v>0</v>
      </c>
      <c r="IJ91" s="114">
        <f t="shared" si="537"/>
        <v>0</v>
      </c>
      <c r="IK91" s="114">
        <f t="shared" si="537"/>
        <v>0</v>
      </c>
      <c r="IL91" s="114">
        <f t="shared" si="537"/>
        <v>0</v>
      </c>
      <c r="IM91" s="114">
        <f t="shared" si="537"/>
        <v>0</v>
      </c>
      <c r="IN91" s="114">
        <f t="shared" si="537"/>
        <v>0</v>
      </c>
      <c r="IO91" s="114">
        <f t="shared" si="537"/>
        <v>0</v>
      </c>
      <c r="IP91" s="114">
        <f t="shared" ref="IP91:IV91" si="538">SUM(IP92,IP130)</f>
        <v>0</v>
      </c>
      <c r="IQ91" s="114">
        <f t="shared" si="538"/>
        <v>0</v>
      </c>
      <c r="IR91" s="114">
        <f t="shared" si="538"/>
        <v>0</v>
      </c>
      <c r="IS91" s="114">
        <f t="shared" si="538"/>
        <v>0</v>
      </c>
      <c r="IT91" s="114">
        <f t="shared" si="538"/>
        <v>0</v>
      </c>
      <c r="IU91" s="114">
        <f t="shared" si="538"/>
        <v>0</v>
      </c>
      <c r="IV91" s="114">
        <f t="shared" si="538"/>
        <v>0</v>
      </c>
    </row>
    <row r="92" spans="1:256" s="57" customFormat="1" ht="12.75" customHeight="1" x14ac:dyDescent="0.25">
      <c r="A92" s="119" t="s">
        <v>95</v>
      </c>
      <c r="B92" s="120"/>
      <c r="C92" s="73">
        <f>SUM(C94,C104,C120:C120,C123:C129,C93)</f>
        <v>2528</v>
      </c>
      <c r="D92" s="73">
        <f t="shared" ref="D92:L92" si="539">SUM(D94,D104,D120:D120,D123:D129,D93)</f>
        <v>132</v>
      </c>
      <c r="E92" s="73">
        <f t="shared" si="539"/>
        <v>242</v>
      </c>
      <c r="F92" s="73">
        <f t="shared" si="539"/>
        <v>0</v>
      </c>
      <c r="G92" s="73">
        <f t="shared" si="539"/>
        <v>3</v>
      </c>
      <c r="H92" s="73">
        <f t="shared" si="539"/>
        <v>132</v>
      </c>
      <c r="I92" s="73">
        <f t="shared" si="539"/>
        <v>0</v>
      </c>
      <c r="J92" s="73">
        <f t="shared" si="539"/>
        <v>128</v>
      </c>
      <c r="K92" s="73">
        <f t="shared" si="539"/>
        <v>38</v>
      </c>
      <c r="L92" s="73">
        <f t="shared" si="539"/>
        <v>3500</v>
      </c>
      <c r="M92" s="120"/>
      <c r="N92" s="73">
        <f>SUM(N94,N104,N120:N120,N123:N129,N93)</f>
        <v>0</v>
      </c>
      <c r="O92" s="73">
        <f t="shared" ref="O92:V92" si="540">SUM(O94,O104,O120:O120,O123:O129,O93)</f>
        <v>0</v>
      </c>
      <c r="P92" s="73">
        <f t="shared" si="540"/>
        <v>0</v>
      </c>
      <c r="Q92" s="73">
        <f t="shared" si="540"/>
        <v>0</v>
      </c>
      <c r="R92" s="73">
        <f t="shared" si="540"/>
        <v>0</v>
      </c>
      <c r="S92" s="73">
        <f t="shared" si="540"/>
        <v>0</v>
      </c>
      <c r="T92" s="73">
        <f t="shared" si="540"/>
        <v>0</v>
      </c>
      <c r="U92" s="73">
        <f t="shared" si="540"/>
        <v>0</v>
      </c>
      <c r="V92" s="73">
        <f t="shared" si="540"/>
        <v>0</v>
      </c>
      <c r="W92" s="73">
        <f>SUM(W94,W104,W120:W120,W123:W129,W93)</f>
        <v>0</v>
      </c>
      <c r="X92" s="120"/>
      <c r="Y92" s="73">
        <f>SUM(Y94,Y104,Y120:Y120,Y123:Y129,Y93)</f>
        <v>0</v>
      </c>
      <c r="Z92" s="73">
        <f t="shared" ref="Z92:AG92" si="541">SUM(Z94,Z104,Z120:Z120,Z123:Z129,Z93)</f>
        <v>0</v>
      </c>
      <c r="AA92" s="73">
        <f t="shared" si="541"/>
        <v>0</v>
      </c>
      <c r="AB92" s="73">
        <f t="shared" si="541"/>
        <v>0</v>
      </c>
      <c r="AC92" s="73">
        <f t="shared" si="541"/>
        <v>0</v>
      </c>
      <c r="AD92" s="73">
        <f t="shared" si="541"/>
        <v>0</v>
      </c>
      <c r="AE92" s="73">
        <f t="shared" si="541"/>
        <v>0</v>
      </c>
      <c r="AF92" s="73">
        <f t="shared" si="541"/>
        <v>0</v>
      </c>
      <c r="AG92" s="73">
        <f t="shared" si="541"/>
        <v>0</v>
      </c>
      <c r="AH92" s="73">
        <f>SUM(AH94,AH104,AH120:AH120,AH123:AH129,AH93)</f>
        <v>0</v>
      </c>
      <c r="AI92" s="120"/>
      <c r="AJ92" s="73">
        <f>SUM(AJ94,AJ104,AJ120:AJ120,AJ123:AJ129,AJ93)</f>
        <v>0</v>
      </c>
      <c r="AK92" s="73">
        <f t="shared" ref="AK92:AR92" si="542">SUM(AK94,AK104,AK120:AK120,AK123:AK129,AK93)</f>
        <v>0</v>
      </c>
      <c r="AL92" s="73">
        <f t="shared" si="542"/>
        <v>0</v>
      </c>
      <c r="AM92" s="73">
        <f t="shared" si="542"/>
        <v>0</v>
      </c>
      <c r="AN92" s="73">
        <f t="shared" si="542"/>
        <v>0</v>
      </c>
      <c r="AO92" s="73">
        <f t="shared" si="542"/>
        <v>0</v>
      </c>
      <c r="AP92" s="73">
        <f t="shared" si="542"/>
        <v>0</v>
      </c>
      <c r="AQ92" s="73">
        <f t="shared" si="542"/>
        <v>0</v>
      </c>
      <c r="AR92" s="73">
        <f t="shared" si="542"/>
        <v>0</v>
      </c>
      <c r="AS92" s="73">
        <f>SUM(AS94,AS104,AS120:AS120,AS123:AS129,AS93)</f>
        <v>0</v>
      </c>
      <c r="AT92" s="120"/>
      <c r="AU92" s="73">
        <f t="shared" ref="AU92:BD92" si="543">SUM(AU94,AU104,AU120:AU120,AU123:AU129,AU93)</f>
        <v>0</v>
      </c>
      <c r="AV92" s="73">
        <f t="shared" si="543"/>
        <v>0</v>
      </c>
      <c r="AW92" s="73">
        <f t="shared" si="543"/>
        <v>0</v>
      </c>
      <c r="AX92" s="73">
        <f t="shared" si="543"/>
        <v>0</v>
      </c>
      <c r="AY92" s="73">
        <f t="shared" si="543"/>
        <v>0</v>
      </c>
      <c r="AZ92" s="73">
        <f t="shared" si="543"/>
        <v>0</v>
      </c>
      <c r="BA92" s="73">
        <f t="shared" si="543"/>
        <v>0</v>
      </c>
      <c r="BB92" s="73">
        <f t="shared" si="543"/>
        <v>0</v>
      </c>
      <c r="BC92" s="73">
        <f t="shared" si="543"/>
        <v>0</v>
      </c>
      <c r="BD92" s="73">
        <f t="shared" si="543"/>
        <v>0</v>
      </c>
      <c r="BE92" s="120"/>
      <c r="BF92" s="73">
        <f>SUM(BF94,BF104,BF120:BF120,BF123:BF129,BF93)</f>
        <v>0</v>
      </c>
      <c r="BG92" s="73">
        <f t="shared" ref="BG92:BN92" si="544">SUM(BG94,BG104,BG120:BG120,BG123:BG129,BG93)</f>
        <v>0</v>
      </c>
      <c r="BH92" s="73">
        <f t="shared" si="544"/>
        <v>0</v>
      </c>
      <c r="BI92" s="73">
        <f t="shared" si="544"/>
        <v>0</v>
      </c>
      <c r="BJ92" s="73">
        <f t="shared" si="544"/>
        <v>0</v>
      </c>
      <c r="BK92" s="73">
        <f t="shared" si="544"/>
        <v>0</v>
      </c>
      <c r="BL92" s="73">
        <f t="shared" si="544"/>
        <v>0</v>
      </c>
      <c r="BM92" s="73">
        <f t="shared" si="544"/>
        <v>0</v>
      </c>
      <c r="BN92" s="73">
        <f t="shared" si="544"/>
        <v>0</v>
      </c>
      <c r="BO92" s="73">
        <f>SUM(BO94,BO104,BO120:BO120,BO123:BO129,BO93)</f>
        <v>0</v>
      </c>
      <c r="BP92" s="120"/>
      <c r="BQ92" s="73">
        <f>SUM(BQ94,BQ104,BQ120:BQ120,BQ123:BQ129,BQ93)</f>
        <v>0</v>
      </c>
      <c r="BR92" s="73">
        <f t="shared" ref="BR92:BY92" si="545">SUM(BR94,BR104,BR120:BR120,BR123:BR129,BR93)</f>
        <v>0</v>
      </c>
      <c r="BS92" s="73">
        <f t="shared" si="545"/>
        <v>0</v>
      </c>
      <c r="BT92" s="73">
        <f t="shared" si="545"/>
        <v>0</v>
      </c>
      <c r="BU92" s="73">
        <f t="shared" si="545"/>
        <v>0</v>
      </c>
      <c r="BV92" s="73">
        <f t="shared" si="545"/>
        <v>0</v>
      </c>
      <c r="BW92" s="73">
        <f t="shared" si="545"/>
        <v>0</v>
      </c>
      <c r="BX92" s="73">
        <f t="shared" si="545"/>
        <v>0</v>
      </c>
      <c r="BY92" s="73">
        <f t="shared" si="545"/>
        <v>0</v>
      </c>
      <c r="BZ92" s="73">
        <f>SUM(BZ94,BZ104,BZ120:BZ120,BZ123:BZ129,BZ93)</f>
        <v>0</v>
      </c>
      <c r="CA92" s="120"/>
      <c r="CB92" s="73">
        <f>SUM(CB94,CB104,CB120:CB120,CB123:CB129,CB93)</f>
        <v>0</v>
      </c>
      <c r="CC92" s="73">
        <f t="shared" ref="CC92:CJ92" si="546">SUM(CC94,CC104,CC120:CC120,CC123:CC129,CC93)</f>
        <v>0</v>
      </c>
      <c r="CD92" s="73">
        <f t="shared" si="546"/>
        <v>0</v>
      </c>
      <c r="CE92" s="73">
        <f t="shared" si="546"/>
        <v>0</v>
      </c>
      <c r="CF92" s="73">
        <f t="shared" si="546"/>
        <v>0</v>
      </c>
      <c r="CG92" s="73">
        <f t="shared" si="546"/>
        <v>0</v>
      </c>
      <c r="CH92" s="73">
        <f t="shared" si="546"/>
        <v>0</v>
      </c>
      <c r="CI92" s="73">
        <f t="shared" si="546"/>
        <v>0</v>
      </c>
      <c r="CJ92" s="73">
        <f t="shared" si="546"/>
        <v>0</v>
      </c>
      <c r="CK92" s="73">
        <f>SUM(CK94,CK104,CK120:CK120,CK123:CK129,CK93)</f>
        <v>0</v>
      </c>
      <c r="CL92" s="120"/>
      <c r="CM92" s="73">
        <f t="shared" ref="CM92:CV92" si="547">SUM(CM94,CM104,CM120:CM120,CM123:CM129,CM93)</f>
        <v>0</v>
      </c>
      <c r="CN92" s="73">
        <f t="shared" si="547"/>
        <v>0</v>
      </c>
      <c r="CO92" s="73">
        <f t="shared" si="547"/>
        <v>0</v>
      </c>
      <c r="CP92" s="73">
        <f t="shared" si="547"/>
        <v>0</v>
      </c>
      <c r="CQ92" s="73">
        <f t="shared" si="547"/>
        <v>0</v>
      </c>
      <c r="CR92" s="73">
        <f t="shared" si="547"/>
        <v>0</v>
      </c>
      <c r="CS92" s="73">
        <f t="shared" si="547"/>
        <v>0</v>
      </c>
      <c r="CT92" s="73">
        <f t="shared" si="547"/>
        <v>0</v>
      </c>
      <c r="CU92" s="73">
        <f t="shared" si="547"/>
        <v>0</v>
      </c>
      <c r="CV92" s="73">
        <f t="shared" si="547"/>
        <v>0</v>
      </c>
      <c r="CW92" s="120"/>
      <c r="CX92" s="73">
        <f>SUM(CX94,CX104,CX120:CX120,CX123:CX129,CX93)</f>
        <v>0</v>
      </c>
      <c r="CY92" s="73">
        <f t="shared" ref="CY92:DF92" si="548">SUM(CY94,CY104,CY120:CY120,CY123:CY129,CY93)</f>
        <v>0</v>
      </c>
      <c r="CZ92" s="73">
        <f t="shared" si="548"/>
        <v>0</v>
      </c>
      <c r="DA92" s="73">
        <f t="shared" si="548"/>
        <v>0</v>
      </c>
      <c r="DB92" s="73">
        <f t="shared" si="548"/>
        <v>0</v>
      </c>
      <c r="DC92" s="73">
        <f t="shared" si="548"/>
        <v>0</v>
      </c>
      <c r="DD92" s="73">
        <f t="shared" si="548"/>
        <v>0</v>
      </c>
      <c r="DE92" s="73">
        <f t="shared" si="548"/>
        <v>0</v>
      </c>
      <c r="DF92" s="73">
        <f t="shared" si="548"/>
        <v>0</v>
      </c>
      <c r="DG92" s="73">
        <f>SUM(DG94,DG104,DG120:DG120,DG123:DG129,DG93)</f>
        <v>0</v>
      </c>
      <c r="DH92" s="120"/>
      <c r="DI92" s="73">
        <f>SUM(DI94,DI104,DI120:DI120,DI123:DI129,DI93)</f>
        <v>0</v>
      </c>
      <c r="DJ92" s="73">
        <f t="shared" ref="DJ92:DQ92" si="549">SUM(DJ94,DJ104,DJ120:DJ120,DJ123:DJ129,DJ93)</f>
        <v>0</v>
      </c>
      <c r="DK92" s="73">
        <f t="shared" si="549"/>
        <v>0</v>
      </c>
      <c r="DL92" s="73">
        <f t="shared" si="549"/>
        <v>0</v>
      </c>
      <c r="DM92" s="73">
        <f t="shared" si="549"/>
        <v>0</v>
      </c>
      <c r="DN92" s="73">
        <f t="shared" si="549"/>
        <v>0</v>
      </c>
      <c r="DO92" s="73">
        <f t="shared" si="549"/>
        <v>0</v>
      </c>
      <c r="DP92" s="73">
        <f t="shared" si="549"/>
        <v>0</v>
      </c>
      <c r="DQ92" s="73">
        <f t="shared" si="549"/>
        <v>0</v>
      </c>
      <c r="DR92" s="73">
        <f>SUM(DR94,DR104,DR120:DR120,DR123:DR129,DR93)</f>
        <v>0</v>
      </c>
      <c r="DS92" s="120"/>
      <c r="DT92" s="73">
        <f>SUM(DT94,DT104,DT120:DT120,DT123:DT129,DT93)</f>
        <v>0</v>
      </c>
      <c r="DU92" s="73">
        <f t="shared" ref="DU92:EB92" si="550">SUM(DU94,DU104,DU120:DU120,DU123:DU129,DU93)</f>
        <v>0</v>
      </c>
      <c r="DV92" s="73">
        <f t="shared" si="550"/>
        <v>0</v>
      </c>
      <c r="DW92" s="73">
        <f t="shared" si="550"/>
        <v>0</v>
      </c>
      <c r="DX92" s="73">
        <f t="shared" si="550"/>
        <v>0</v>
      </c>
      <c r="DY92" s="73">
        <f t="shared" si="550"/>
        <v>0</v>
      </c>
      <c r="DZ92" s="73">
        <f t="shared" si="550"/>
        <v>0</v>
      </c>
      <c r="EA92" s="73">
        <f t="shared" si="550"/>
        <v>0</v>
      </c>
      <c r="EB92" s="73">
        <f t="shared" si="550"/>
        <v>0</v>
      </c>
      <c r="EC92" s="73">
        <f>SUM(EC94,EC104,EC120:EC120,EC123:EC129,EC93)</f>
        <v>0</v>
      </c>
      <c r="ED92" s="120"/>
      <c r="EE92" s="73">
        <f t="shared" ref="EE92:EN92" si="551">SUM(EE94,EE104,EE120:EE120,EE123:EE129,EE93)</f>
        <v>0</v>
      </c>
      <c r="EF92" s="73">
        <f t="shared" si="551"/>
        <v>0</v>
      </c>
      <c r="EG92" s="73">
        <f t="shared" si="551"/>
        <v>0</v>
      </c>
      <c r="EH92" s="73">
        <f t="shared" si="551"/>
        <v>0</v>
      </c>
      <c r="EI92" s="73">
        <f t="shared" si="551"/>
        <v>0</v>
      </c>
      <c r="EJ92" s="73">
        <f t="shared" si="551"/>
        <v>0</v>
      </c>
      <c r="EK92" s="73">
        <f t="shared" si="551"/>
        <v>0</v>
      </c>
      <c r="EL92" s="73">
        <f t="shared" si="551"/>
        <v>0</v>
      </c>
      <c r="EM92" s="73">
        <f t="shared" si="551"/>
        <v>0</v>
      </c>
      <c r="EN92" s="73">
        <f t="shared" si="551"/>
        <v>0</v>
      </c>
      <c r="EO92" s="120"/>
      <c r="EP92" s="73">
        <f>SUM(EP94,EP104,EP120:EP120,EP123:EP129,EP93)</f>
        <v>0</v>
      </c>
      <c r="EQ92" s="73">
        <f t="shared" ref="EQ92:EX92" si="552">SUM(EQ94,EQ104,EQ120:EQ120,EQ123:EQ129,EQ93)</f>
        <v>0</v>
      </c>
      <c r="ER92" s="73">
        <f t="shared" si="552"/>
        <v>0</v>
      </c>
      <c r="ES92" s="73">
        <f t="shared" si="552"/>
        <v>0</v>
      </c>
      <c r="ET92" s="73">
        <f t="shared" si="552"/>
        <v>0</v>
      </c>
      <c r="EU92" s="73">
        <f t="shared" si="552"/>
        <v>0</v>
      </c>
      <c r="EV92" s="73">
        <f t="shared" si="552"/>
        <v>0</v>
      </c>
      <c r="EW92" s="73">
        <f t="shared" si="552"/>
        <v>0</v>
      </c>
      <c r="EX92" s="73">
        <f t="shared" si="552"/>
        <v>0</v>
      </c>
      <c r="EY92" s="73">
        <f>SUM(EY94,EY104,EY120:EY120,EY123:EY129,EY93)</f>
        <v>0</v>
      </c>
      <c r="EZ92" s="120"/>
      <c r="FA92" s="73">
        <f>SUM(FA94,FA104,FA120:FA120,FA123:FA129,FA93)</f>
        <v>0</v>
      </c>
      <c r="FB92" s="73">
        <f t="shared" ref="FB92:FI92" si="553">SUM(FB94,FB104,FB120:FB120,FB123:FB129,FB93)</f>
        <v>0</v>
      </c>
      <c r="FC92" s="73">
        <f t="shared" si="553"/>
        <v>0</v>
      </c>
      <c r="FD92" s="73">
        <f t="shared" si="553"/>
        <v>0</v>
      </c>
      <c r="FE92" s="73">
        <f t="shared" si="553"/>
        <v>0</v>
      </c>
      <c r="FF92" s="73">
        <f t="shared" si="553"/>
        <v>0</v>
      </c>
      <c r="FG92" s="73">
        <f t="shared" si="553"/>
        <v>0</v>
      </c>
      <c r="FH92" s="73">
        <f t="shared" si="553"/>
        <v>0</v>
      </c>
      <c r="FI92" s="73">
        <f t="shared" si="553"/>
        <v>0</v>
      </c>
      <c r="FJ92" s="73">
        <f>SUM(FJ94,FJ104,FJ120:FJ120,FJ123:FJ129,FJ93)</f>
        <v>0</v>
      </c>
      <c r="FK92" s="120"/>
      <c r="FL92" s="73">
        <f>SUM(FL94,FL104,FL120:FL120,FL123:FL129,FL93)</f>
        <v>0</v>
      </c>
      <c r="FM92" s="73">
        <f t="shared" ref="FM92:FT92" si="554">SUM(FM94,FM104,FM120:FM120,FM123:FM129,FM93)</f>
        <v>0</v>
      </c>
      <c r="FN92" s="73">
        <f t="shared" si="554"/>
        <v>0</v>
      </c>
      <c r="FO92" s="73">
        <f t="shared" si="554"/>
        <v>0</v>
      </c>
      <c r="FP92" s="73">
        <f t="shared" si="554"/>
        <v>0</v>
      </c>
      <c r="FQ92" s="73">
        <f t="shared" si="554"/>
        <v>0</v>
      </c>
      <c r="FR92" s="73">
        <f t="shared" si="554"/>
        <v>0</v>
      </c>
      <c r="FS92" s="73">
        <f t="shared" si="554"/>
        <v>0</v>
      </c>
      <c r="FT92" s="73">
        <f t="shared" si="554"/>
        <v>0</v>
      </c>
      <c r="FU92" s="73">
        <f>SUM(FU94,FU104,FU120:FU120,FU123:FU129,FU93)</f>
        <v>0</v>
      </c>
      <c r="FV92" s="120"/>
      <c r="FW92" s="73">
        <f t="shared" ref="FW92:GF92" si="555">SUM(FW94,FW104,FW120:FW120,FW123:FW129,FW93)</f>
        <v>0</v>
      </c>
      <c r="FX92" s="73">
        <f t="shared" si="555"/>
        <v>0</v>
      </c>
      <c r="FY92" s="73">
        <f t="shared" si="555"/>
        <v>0</v>
      </c>
      <c r="FZ92" s="73">
        <f t="shared" si="555"/>
        <v>0</v>
      </c>
      <c r="GA92" s="73">
        <f t="shared" si="555"/>
        <v>0</v>
      </c>
      <c r="GB92" s="73">
        <f t="shared" si="555"/>
        <v>0</v>
      </c>
      <c r="GC92" s="73">
        <f t="shared" si="555"/>
        <v>0</v>
      </c>
      <c r="GD92" s="73">
        <f t="shared" si="555"/>
        <v>0</v>
      </c>
      <c r="GE92" s="73">
        <f t="shared" si="555"/>
        <v>0</v>
      </c>
      <c r="GF92" s="73">
        <f t="shared" si="555"/>
        <v>0</v>
      </c>
      <c r="GG92" s="120"/>
      <c r="GH92" s="73">
        <f>SUM(GH94,GH104,GH120:GH120,GH123:GH129,GH93)</f>
        <v>0</v>
      </c>
      <c r="GI92" s="73">
        <f t="shared" ref="GI92:HK92" si="556">SUM(GI94,GI104,GI120:GI120,GI123:GI129,GI93)</f>
        <v>0</v>
      </c>
      <c r="GJ92" s="73">
        <f t="shared" si="556"/>
        <v>0</v>
      </c>
      <c r="GK92" s="73">
        <f t="shared" si="556"/>
        <v>0</v>
      </c>
      <c r="GL92" s="73">
        <f t="shared" si="556"/>
        <v>0</v>
      </c>
      <c r="GM92" s="73">
        <f t="shared" si="556"/>
        <v>0</v>
      </c>
      <c r="GN92" s="73">
        <f t="shared" si="556"/>
        <v>0</v>
      </c>
      <c r="GO92" s="73">
        <f t="shared" si="556"/>
        <v>0</v>
      </c>
      <c r="GP92" s="73">
        <f t="shared" si="556"/>
        <v>0</v>
      </c>
      <c r="GQ92" s="73">
        <f t="shared" si="556"/>
        <v>0</v>
      </c>
      <c r="GR92" s="73">
        <f t="shared" si="556"/>
        <v>0</v>
      </c>
      <c r="GS92" s="73">
        <f t="shared" si="556"/>
        <v>0</v>
      </c>
      <c r="GT92" s="73">
        <f t="shared" si="556"/>
        <v>0</v>
      </c>
      <c r="GU92" s="73">
        <f t="shared" si="556"/>
        <v>0</v>
      </c>
      <c r="GV92" s="73">
        <f t="shared" si="556"/>
        <v>0</v>
      </c>
      <c r="GW92" s="73">
        <f t="shared" si="556"/>
        <v>0</v>
      </c>
      <c r="GX92" s="73">
        <f t="shared" si="556"/>
        <v>0</v>
      </c>
      <c r="GY92" s="73">
        <f t="shared" si="556"/>
        <v>0</v>
      </c>
      <c r="GZ92" s="73">
        <f t="shared" si="556"/>
        <v>0</v>
      </c>
      <c r="HA92" s="73">
        <f t="shared" si="556"/>
        <v>0</v>
      </c>
      <c r="HB92" s="73">
        <f>SUM(HB94,HB104,HB120:HB120,HB123:HB129,HB93)</f>
        <v>0</v>
      </c>
      <c r="HC92" s="73">
        <f>SUM(HC94,HC104,HC120:HC120,HC123:HC129,HC93)</f>
        <v>0</v>
      </c>
      <c r="HD92" s="73">
        <f>SUM(HD94,HD104,HD120:HD120,HD123:HD129,HD93)</f>
        <v>0</v>
      </c>
      <c r="HE92" s="73">
        <f>SUM(HE94,HE104,HE120:HE120,HE123:HE129,HE93)</f>
        <v>0</v>
      </c>
      <c r="HF92" s="73">
        <f t="shared" si="556"/>
        <v>0</v>
      </c>
      <c r="HG92" s="73">
        <f t="shared" si="556"/>
        <v>0</v>
      </c>
      <c r="HH92" s="73">
        <f t="shared" si="556"/>
        <v>0</v>
      </c>
      <c r="HI92" s="73">
        <f t="shared" si="556"/>
        <v>0</v>
      </c>
      <c r="HJ92" s="73">
        <f t="shared" si="556"/>
        <v>0</v>
      </c>
      <c r="HK92" s="73">
        <f t="shared" si="556"/>
        <v>0</v>
      </c>
      <c r="HL92" s="73">
        <f t="shared" ref="HL92:HT92" si="557">SUM(HL94,HL104,HL120:HL120,HL123:HL129,HL93)</f>
        <v>0</v>
      </c>
      <c r="HM92" s="73">
        <f t="shared" si="557"/>
        <v>0</v>
      </c>
      <c r="HN92" s="73">
        <f t="shared" si="557"/>
        <v>0</v>
      </c>
      <c r="HO92" s="73">
        <f t="shared" si="557"/>
        <v>0</v>
      </c>
      <c r="HP92" s="73">
        <f t="shared" si="557"/>
        <v>0</v>
      </c>
      <c r="HQ92" s="73">
        <f t="shared" si="557"/>
        <v>0</v>
      </c>
      <c r="HR92" s="73">
        <f t="shared" si="557"/>
        <v>0</v>
      </c>
      <c r="HS92" s="73">
        <f t="shared" si="557"/>
        <v>0</v>
      </c>
      <c r="HT92" s="73">
        <f t="shared" si="557"/>
        <v>0</v>
      </c>
      <c r="HU92" s="73">
        <f t="shared" ref="HU92:IV92" si="558">SUM(HU94,HU104,HU120:HU120,HU123:HU129,HU93)</f>
        <v>0</v>
      </c>
      <c r="HV92" s="73">
        <f t="shared" si="558"/>
        <v>0</v>
      </c>
      <c r="HW92" s="73">
        <f t="shared" si="558"/>
        <v>0</v>
      </c>
      <c r="HX92" s="73">
        <f t="shared" si="558"/>
        <v>0</v>
      </c>
      <c r="HY92" s="73">
        <f t="shared" si="558"/>
        <v>0</v>
      </c>
      <c r="HZ92" s="73">
        <f t="shared" si="558"/>
        <v>0</v>
      </c>
      <c r="IA92" s="73">
        <f>SUM(IA94,IA104,IA120:IA120,IA123:IA129,IA93)</f>
        <v>0</v>
      </c>
      <c r="IB92" s="73">
        <f>SUM(IB94,IB104,IB120:IB120,IB123:IB129,IB93)</f>
        <v>0</v>
      </c>
      <c r="IC92" s="73">
        <f>SUM(IC94,IC104,IC120:IC120,IC123:IC129,IC93)</f>
        <v>0</v>
      </c>
      <c r="ID92" s="73">
        <f>SUM(ID94,ID104,ID120:ID120,ID123:ID129,ID93)</f>
        <v>0</v>
      </c>
      <c r="IE92" s="73">
        <f t="shared" si="558"/>
        <v>0</v>
      </c>
      <c r="IF92" s="73">
        <f t="shared" si="558"/>
        <v>0</v>
      </c>
      <c r="IG92" s="73">
        <f t="shared" si="558"/>
        <v>0</v>
      </c>
      <c r="IH92" s="73">
        <f t="shared" si="558"/>
        <v>0</v>
      </c>
      <c r="II92" s="73">
        <f t="shared" si="558"/>
        <v>0</v>
      </c>
      <c r="IJ92" s="73">
        <f t="shared" si="558"/>
        <v>0</v>
      </c>
      <c r="IK92" s="73">
        <f t="shared" si="558"/>
        <v>0</v>
      </c>
      <c r="IL92" s="73">
        <f t="shared" si="558"/>
        <v>0</v>
      </c>
      <c r="IM92" s="73">
        <f t="shared" si="558"/>
        <v>0</v>
      </c>
      <c r="IN92" s="73">
        <f t="shared" si="558"/>
        <v>0</v>
      </c>
      <c r="IO92" s="73">
        <f t="shared" si="558"/>
        <v>0</v>
      </c>
      <c r="IP92" s="73">
        <f>SUM(IP94,IP104,IP120:IP120,IP123:IP129,IP93)</f>
        <v>0</v>
      </c>
      <c r="IQ92" s="73">
        <f>SUM(IQ94,IQ104,IQ120:IQ120,IQ123:IQ129,IQ93)</f>
        <v>0</v>
      </c>
      <c r="IR92" s="73">
        <f>SUM(IR94,IR104,IR120:IR120,IR123:IR129,IR93)</f>
        <v>0</v>
      </c>
      <c r="IS92" s="73">
        <f>SUM(IS94,IS104,IS120:IS120,IS123:IS129,IS93)</f>
        <v>0</v>
      </c>
      <c r="IT92" s="73">
        <f t="shared" si="558"/>
        <v>0</v>
      </c>
      <c r="IU92" s="73">
        <f t="shared" si="558"/>
        <v>0</v>
      </c>
      <c r="IV92" s="73">
        <f t="shared" si="558"/>
        <v>0</v>
      </c>
    </row>
    <row r="93" spans="1:256" ht="12.75" customHeight="1" x14ac:dyDescent="0.2">
      <c r="A93" s="61" t="s">
        <v>29</v>
      </c>
      <c r="B93" s="62"/>
      <c r="C93" s="63"/>
      <c r="D93" s="63"/>
      <c r="E93" s="63"/>
      <c r="F93" s="63"/>
      <c r="G93" s="63"/>
      <c r="H93" s="63"/>
      <c r="I93" s="63"/>
      <c r="J93" s="63"/>
      <c r="K93" s="63"/>
      <c r="L93" s="64">
        <f>SUM(C93:F93,H93:K93)</f>
        <v>0</v>
      </c>
      <c r="M93" s="62"/>
      <c r="N93" s="63"/>
      <c r="O93" s="63"/>
      <c r="P93" s="63"/>
      <c r="Q93" s="63"/>
      <c r="R93" s="63"/>
      <c r="S93" s="63"/>
      <c r="T93" s="63"/>
      <c r="U93" s="63"/>
      <c r="V93" s="63"/>
      <c r="W93" s="64">
        <f>SUM(N93:Q93,S93:V93)</f>
        <v>0</v>
      </c>
      <c r="X93" s="62"/>
      <c r="Y93" s="63"/>
      <c r="Z93" s="63"/>
      <c r="AA93" s="63"/>
      <c r="AB93" s="63"/>
      <c r="AC93" s="63"/>
      <c r="AD93" s="63"/>
      <c r="AE93" s="63"/>
      <c r="AF93" s="63"/>
      <c r="AG93" s="63"/>
      <c r="AH93" s="64">
        <f>SUM(Y93:AB93,AD93:AG93)</f>
        <v>0</v>
      </c>
      <c r="AI93" s="62"/>
      <c r="AJ93" s="63"/>
      <c r="AK93" s="63"/>
      <c r="AL93" s="63"/>
      <c r="AM93" s="63"/>
      <c r="AN93" s="63"/>
      <c r="AO93" s="63"/>
      <c r="AP93" s="63"/>
      <c r="AQ93" s="63"/>
      <c r="AR93" s="63"/>
      <c r="AS93" s="64">
        <f>SUM(AJ93:AM93,AO93:AR93)</f>
        <v>0</v>
      </c>
      <c r="AT93" s="65">
        <f t="shared" ref="AT93:BC93" si="559">SUM(M93,AI93,X93)</f>
        <v>0</v>
      </c>
      <c r="AU93" s="65">
        <f t="shared" si="559"/>
        <v>0</v>
      </c>
      <c r="AV93" s="65">
        <f t="shared" si="559"/>
        <v>0</v>
      </c>
      <c r="AW93" s="65">
        <f t="shared" si="559"/>
        <v>0</v>
      </c>
      <c r="AX93" s="65">
        <f t="shared" si="559"/>
        <v>0</v>
      </c>
      <c r="AY93" s="65">
        <f t="shared" si="559"/>
        <v>0</v>
      </c>
      <c r="AZ93" s="65">
        <f t="shared" si="559"/>
        <v>0</v>
      </c>
      <c r="BA93" s="65">
        <f t="shared" si="559"/>
        <v>0</v>
      </c>
      <c r="BB93" s="65">
        <f t="shared" si="559"/>
        <v>0</v>
      </c>
      <c r="BC93" s="65">
        <f t="shared" si="559"/>
        <v>0</v>
      </c>
      <c r="BD93" s="64">
        <f>SUM(AU93:AX93,AZ93:BC93)</f>
        <v>0</v>
      </c>
      <c r="BE93" s="62"/>
      <c r="BF93" s="63"/>
      <c r="BG93" s="63"/>
      <c r="BH93" s="63"/>
      <c r="BI93" s="63"/>
      <c r="BJ93" s="63"/>
      <c r="BK93" s="63"/>
      <c r="BL93" s="63"/>
      <c r="BM93" s="63"/>
      <c r="BN93" s="63"/>
      <c r="BO93" s="64">
        <f>SUM(BF93:BI93,BK93:BN93)</f>
        <v>0</v>
      </c>
      <c r="BP93" s="62"/>
      <c r="BQ93" s="63"/>
      <c r="BR93" s="63"/>
      <c r="BS93" s="63"/>
      <c r="BT93" s="63"/>
      <c r="BU93" s="63"/>
      <c r="BV93" s="63"/>
      <c r="BW93" s="63"/>
      <c r="BX93" s="63"/>
      <c r="BY93" s="63"/>
      <c r="BZ93" s="64">
        <f>SUM(BQ93:BT93,BV93:BY93)</f>
        <v>0</v>
      </c>
      <c r="CA93" s="62"/>
      <c r="CB93" s="63"/>
      <c r="CC93" s="63"/>
      <c r="CD93" s="63"/>
      <c r="CE93" s="63"/>
      <c r="CF93" s="63"/>
      <c r="CG93" s="63"/>
      <c r="CH93" s="63"/>
      <c r="CI93" s="63"/>
      <c r="CJ93" s="63"/>
      <c r="CK93" s="64">
        <f>SUM(CB93:CE93,CG93:CJ93)</f>
        <v>0</v>
      </c>
      <c r="CL93" s="65">
        <f t="shared" ref="CL93:CU93" si="560">SUM(BE93,CA93,BP93)</f>
        <v>0</v>
      </c>
      <c r="CM93" s="65">
        <f t="shared" si="560"/>
        <v>0</v>
      </c>
      <c r="CN93" s="65">
        <f t="shared" si="560"/>
        <v>0</v>
      </c>
      <c r="CO93" s="65">
        <f t="shared" si="560"/>
        <v>0</v>
      </c>
      <c r="CP93" s="65">
        <f t="shared" si="560"/>
        <v>0</v>
      </c>
      <c r="CQ93" s="65">
        <f t="shared" si="560"/>
        <v>0</v>
      </c>
      <c r="CR93" s="65">
        <f t="shared" si="560"/>
        <v>0</v>
      </c>
      <c r="CS93" s="65">
        <f t="shared" si="560"/>
        <v>0</v>
      </c>
      <c r="CT93" s="65">
        <f t="shared" si="560"/>
        <v>0</v>
      </c>
      <c r="CU93" s="65">
        <f t="shared" si="560"/>
        <v>0</v>
      </c>
      <c r="CV93" s="64">
        <f>SUM(CM93:CP93,CR93:CU93)</f>
        <v>0</v>
      </c>
      <c r="CW93" s="62"/>
      <c r="CX93" s="63"/>
      <c r="CY93" s="63"/>
      <c r="CZ93" s="63"/>
      <c r="DA93" s="63"/>
      <c r="DB93" s="63"/>
      <c r="DC93" s="63"/>
      <c r="DD93" s="63"/>
      <c r="DE93" s="63"/>
      <c r="DF93" s="63"/>
      <c r="DG93" s="64">
        <f>SUM(CX93:DA93,DC93:DF93)</f>
        <v>0</v>
      </c>
      <c r="DH93" s="62"/>
      <c r="DI93" s="63"/>
      <c r="DJ93" s="63"/>
      <c r="DK93" s="63"/>
      <c r="DL93" s="63"/>
      <c r="DM93" s="63"/>
      <c r="DN93" s="63"/>
      <c r="DO93" s="63"/>
      <c r="DP93" s="63"/>
      <c r="DQ93" s="63"/>
      <c r="DR93" s="64">
        <f>SUM(DI93:DL93,DN93:DQ93)</f>
        <v>0</v>
      </c>
      <c r="DS93" s="62"/>
      <c r="DT93" s="63"/>
      <c r="DU93" s="63"/>
      <c r="DV93" s="63"/>
      <c r="DW93" s="63"/>
      <c r="DX93" s="63"/>
      <c r="DY93" s="63"/>
      <c r="DZ93" s="63"/>
      <c r="EA93" s="63"/>
      <c r="EB93" s="63"/>
      <c r="EC93" s="63"/>
      <c r="ED93" s="65">
        <f t="shared" ref="ED93:EM93" si="561">SUM(CW93,DS93,DH93)</f>
        <v>0</v>
      </c>
      <c r="EE93" s="65">
        <f t="shared" si="561"/>
        <v>0</v>
      </c>
      <c r="EF93" s="65">
        <f t="shared" si="561"/>
        <v>0</v>
      </c>
      <c r="EG93" s="65">
        <f t="shared" si="561"/>
        <v>0</v>
      </c>
      <c r="EH93" s="65">
        <f t="shared" si="561"/>
        <v>0</v>
      </c>
      <c r="EI93" s="65">
        <f t="shared" si="561"/>
        <v>0</v>
      </c>
      <c r="EJ93" s="65">
        <f t="shared" si="561"/>
        <v>0</v>
      </c>
      <c r="EK93" s="65">
        <f t="shared" si="561"/>
        <v>0</v>
      </c>
      <c r="EL93" s="65">
        <f t="shared" si="561"/>
        <v>0</v>
      </c>
      <c r="EM93" s="65">
        <f t="shared" si="561"/>
        <v>0</v>
      </c>
      <c r="EN93" s="64">
        <f>SUM(EE93:EH93,EJ93:EM93)</f>
        <v>0</v>
      </c>
      <c r="EO93" s="62"/>
      <c r="EP93" s="63"/>
      <c r="EQ93" s="63"/>
      <c r="ER93" s="63"/>
      <c r="ES93" s="63"/>
      <c r="ET93" s="63"/>
      <c r="EU93" s="63"/>
      <c r="EV93" s="63"/>
      <c r="EW93" s="63"/>
      <c r="EX93" s="63"/>
      <c r="EY93" s="64">
        <f>SUM(EP93:ES93,EU93:EX93)</f>
        <v>0</v>
      </c>
      <c r="EZ93" s="62"/>
      <c r="FA93" s="63"/>
      <c r="FB93" s="63"/>
      <c r="FC93" s="63"/>
      <c r="FD93" s="63"/>
      <c r="FE93" s="63"/>
      <c r="FF93" s="63"/>
      <c r="FG93" s="63"/>
      <c r="FH93" s="63"/>
      <c r="FI93" s="63"/>
      <c r="FJ93" s="64">
        <f>SUM(FA93:FD93,FF93:FI93)</f>
        <v>0</v>
      </c>
      <c r="FK93" s="62"/>
      <c r="FL93" s="63"/>
      <c r="FM93" s="63"/>
      <c r="FN93" s="63"/>
      <c r="FO93" s="63"/>
      <c r="FP93" s="63"/>
      <c r="FQ93" s="63"/>
      <c r="FR93" s="63"/>
      <c r="FS93" s="63"/>
      <c r="FT93" s="63"/>
      <c r="FU93" s="64">
        <f>SUM(FL93:FO93,FQ93:FT93)</f>
        <v>0</v>
      </c>
      <c r="FV93" s="65">
        <f t="shared" ref="FV93:GE93" si="562">SUM(EO93,FK93,EZ93)</f>
        <v>0</v>
      </c>
      <c r="FW93" s="65">
        <f t="shared" si="562"/>
        <v>0</v>
      </c>
      <c r="FX93" s="65">
        <f t="shared" si="562"/>
        <v>0</v>
      </c>
      <c r="FY93" s="65">
        <f t="shared" si="562"/>
        <v>0</v>
      </c>
      <c r="FZ93" s="65">
        <f t="shared" si="562"/>
        <v>0</v>
      </c>
      <c r="GA93" s="65">
        <f t="shared" si="562"/>
        <v>0</v>
      </c>
      <c r="GB93" s="65">
        <f t="shared" si="562"/>
        <v>0</v>
      </c>
      <c r="GC93" s="65">
        <f t="shared" si="562"/>
        <v>0</v>
      </c>
      <c r="GD93" s="65">
        <f t="shared" si="562"/>
        <v>0</v>
      </c>
      <c r="GE93" s="65">
        <f t="shared" si="562"/>
        <v>0</v>
      </c>
      <c r="GF93" s="64">
        <f>SUM(FW93:FZ93,GB93:GE93)</f>
        <v>0</v>
      </c>
      <c r="GG93" s="66">
        <f>SUM(AT93,CL93,ED93,FV93)</f>
        <v>0</v>
      </c>
      <c r="GH93" s="66">
        <f t="shared" ref="GH93:GP93" si="563">SUM(AU93,CM93,EE93,FW93)</f>
        <v>0</v>
      </c>
      <c r="GI93" s="66">
        <f t="shared" si="563"/>
        <v>0</v>
      </c>
      <c r="GJ93" s="66">
        <f t="shared" si="563"/>
        <v>0</v>
      </c>
      <c r="GK93" s="66">
        <f t="shared" si="563"/>
        <v>0</v>
      </c>
      <c r="GL93" s="66">
        <f t="shared" si="563"/>
        <v>0</v>
      </c>
      <c r="GM93" s="66">
        <f t="shared" si="563"/>
        <v>0</v>
      </c>
      <c r="GN93" s="66">
        <f t="shared" si="563"/>
        <v>0</v>
      </c>
      <c r="GO93" s="66">
        <f t="shared" si="563"/>
        <v>0</v>
      </c>
      <c r="GP93" s="66">
        <f t="shared" si="563"/>
        <v>0</v>
      </c>
      <c r="GQ93" s="64">
        <f>SUM(GH93:GK93,GM93:GP93)</f>
        <v>0</v>
      </c>
      <c r="GR93" s="63"/>
      <c r="GS93" s="63"/>
      <c r="GT93" s="63"/>
      <c r="GU93" s="63"/>
      <c r="GV93" s="67">
        <f>SUM(GR93:GU93)</f>
        <v>0</v>
      </c>
      <c r="GW93" s="63"/>
      <c r="GX93" s="63"/>
      <c r="GY93" s="63"/>
      <c r="GZ93" s="63"/>
      <c r="HA93" s="67">
        <f>SUM(GW93:GZ93)</f>
        <v>0</v>
      </c>
      <c r="HB93" s="63"/>
      <c r="HC93" s="63"/>
      <c r="HD93" s="63"/>
      <c r="HE93" s="63"/>
      <c r="HF93" s="67">
        <f>SUM(HB93:HE93)</f>
        <v>0</v>
      </c>
      <c r="HG93" s="63"/>
      <c r="HH93" s="63"/>
      <c r="HI93" s="63"/>
      <c r="HJ93" s="63"/>
      <c r="HK93" s="67">
        <f>SUM(HG93:HJ93)</f>
        <v>0</v>
      </c>
      <c r="HL93" s="68">
        <f>SUM(GW93,HB93,HG93)</f>
        <v>0</v>
      </c>
      <c r="HM93" s="68">
        <f>SUM(GX93,HC93,HH93)</f>
        <v>0</v>
      </c>
      <c r="HN93" s="68">
        <f>SUM(GY93,HD93,HI93)</f>
        <v>0</v>
      </c>
      <c r="HO93" s="68">
        <f>SUM(GZ93,HE93,HJ93)</f>
        <v>0</v>
      </c>
      <c r="HP93" s="67">
        <f>SUM(HL93:HO93)</f>
        <v>0</v>
      </c>
      <c r="HQ93" s="63"/>
      <c r="HR93" s="63"/>
      <c r="HS93" s="63"/>
      <c r="HT93" s="63"/>
      <c r="HU93" s="67">
        <f>SUM(HQ93:HT93)</f>
        <v>0</v>
      </c>
      <c r="HV93" s="63"/>
      <c r="HW93" s="63"/>
      <c r="HX93" s="63"/>
      <c r="HY93" s="63"/>
      <c r="HZ93" s="67">
        <f>SUM(HV93:HY93)</f>
        <v>0</v>
      </c>
      <c r="IA93" s="63"/>
      <c r="IB93" s="63"/>
      <c r="IC93" s="63"/>
      <c r="ID93" s="63"/>
      <c r="IE93" s="67">
        <f>SUM(IA93:ID93)</f>
        <v>0</v>
      </c>
      <c r="IF93" s="68">
        <f>SUM(HQ93,HV93,IA93)</f>
        <v>0</v>
      </c>
      <c r="IG93" s="68">
        <f>SUM(HR93,HW93,IB93)</f>
        <v>0</v>
      </c>
      <c r="IH93" s="68">
        <f>SUM(HS93,HX93,IC93)</f>
        <v>0</v>
      </c>
      <c r="II93" s="68">
        <f>SUM(HT93,HY93,ID93)</f>
        <v>0</v>
      </c>
      <c r="IJ93" s="67">
        <f>SUM(IF93:II93)</f>
        <v>0</v>
      </c>
      <c r="IK93" s="63"/>
      <c r="IL93" s="63"/>
      <c r="IM93" s="63"/>
      <c r="IN93" s="63"/>
      <c r="IO93" s="67">
        <f>SUM(IK93:IN93)</f>
        <v>0</v>
      </c>
      <c r="IP93" s="63"/>
      <c r="IQ93" s="63"/>
      <c r="IR93" s="63"/>
      <c r="IS93" s="63"/>
      <c r="IT93" s="67">
        <f>SUM(IP93:IS93)</f>
        <v>0</v>
      </c>
      <c r="IU93" s="63"/>
      <c r="IV93" s="63"/>
    </row>
    <row r="94" spans="1:256" s="78" customFormat="1" ht="12.75" customHeight="1" x14ac:dyDescent="0.25">
      <c r="A94" s="121" t="s">
        <v>96</v>
      </c>
      <c r="B94" s="80"/>
      <c r="C94" s="82">
        <f t="shared" ref="C94:K94" si="564">SUM(C95,C100)</f>
        <v>0</v>
      </c>
      <c r="D94" s="82">
        <f t="shared" si="564"/>
        <v>0</v>
      </c>
      <c r="E94" s="82">
        <f t="shared" si="564"/>
        <v>0</v>
      </c>
      <c r="F94" s="82">
        <f t="shared" si="564"/>
        <v>0</v>
      </c>
      <c r="G94" s="82">
        <f t="shared" si="564"/>
        <v>0</v>
      </c>
      <c r="H94" s="82">
        <f t="shared" si="564"/>
        <v>0</v>
      </c>
      <c r="I94" s="82">
        <f t="shared" si="564"/>
        <v>0</v>
      </c>
      <c r="J94" s="82">
        <f t="shared" si="564"/>
        <v>0</v>
      </c>
      <c r="K94" s="82">
        <f t="shared" si="564"/>
        <v>0</v>
      </c>
      <c r="L94" s="82">
        <f>SUM(L95,L100)</f>
        <v>0</v>
      </c>
      <c r="M94" s="80"/>
      <c r="N94" s="82">
        <f t="shared" ref="N94:V94" si="565">SUM(N95,N100)</f>
        <v>0</v>
      </c>
      <c r="O94" s="82">
        <f t="shared" si="565"/>
        <v>0</v>
      </c>
      <c r="P94" s="82">
        <f t="shared" si="565"/>
        <v>0</v>
      </c>
      <c r="Q94" s="82">
        <f t="shared" si="565"/>
        <v>0</v>
      </c>
      <c r="R94" s="82">
        <f t="shared" si="565"/>
        <v>0</v>
      </c>
      <c r="S94" s="82">
        <f t="shared" si="565"/>
        <v>0</v>
      </c>
      <c r="T94" s="82">
        <f t="shared" si="565"/>
        <v>0</v>
      </c>
      <c r="U94" s="82">
        <f t="shared" si="565"/>
        <v>0</v>
      </c>
      <c r="V94" s="82">
        <f t="shared" si="565"/>
        <v>0</v>
      </c>
      <c r="W94" s="82">
        <f>SUM(W95,W100)</f>
        <v>0</v>
      </c>
      <c r="X94" s="80"/>
      <c r="Y94" s="82">
        <f t="shared" ref="Y94:AG94" si="566">SUM(Y95,Y100)</f>
        <v>0</v>
      </c>
      <c r="Z94" s="82">
        <f t="shared" si="566"/>
        <v>0</v>
      </c>
      <c r="AA94" s="82">
        <f t="shared" si="566"/>
        <v>0</v>
      </c>
      <c r="AB94" s="82">
        <f t="shared" si="566"/>
        <v>0</v>
      </c>
      <c r="AC94" s="82">
        <f t="shared" si="566"/>
        <v>0</v>
      </c>
      <c r="AD94" s="82">
        <f t="shared" si="566"/>
        <v>0</v>
      </c>
      <c r="AE94" s="82">
        <f t="shared" si="566"/>
        <v>0</v>
      </c>
      <c r="AF94" s="82">
        <f t="shared" si="566"/>
        <v>0</v>
      </c>
      <c r="AG94" s="82">
        <f t="shared" si="566"/>
        <v>0</v>
      </c>
      <c r="AH94" s="82">
        <f>SUM(AH95,AH100)</f>
        <v>0</v>
      </c>
      <c r="AI94" s="80"/>
      <c r="AJ94" s="82">
        <f t="shared" ref="AJ94:AR94" si="567">SUM(AJ95,AJ100)</f>
        <v>0</v>
      </c>
      <c r="AK94" s="82">
        <f t="shared" si="567"/>
        <v>0</v>
      </c>
      <c r="AL94" s="82">
        <f t="shared" si="567"/>
        <v>0</v>
      </c>
      <c r="AM94" s="82">
        <f t="shared" si="567"/>
        <v>0</v>
      </c>
      <c r="AN94" s="82">
        <f t="shared" si="567"/>
        <v>0</v>
      </c>
      <c r="AO94" s="82">
        <f t="shared" si="567"/>
        <v>0</v>
      </c>
      <c r="AP94" s="82">
        <f t="shared" si="567"/>
        <v>0</v>
      </c>
      <c r="AQ94" s="82">
        <f t="shared" si="567"/>
        <v>0</v>
      </c>
      <c r="AR94" s="82">
        <f t="shared" si="567"/>
        <v>0</v>
      </c>
      <c r="AS94" s="82">
        <f>SUM(AS95,AS100)</f>
        <v>0</v>
      </c>
      <c r="AT94" s="80"/>
      <c r="AU94" s="82">
        <f>SUM(AU95,AU100)</f>
        <v>0</v>
      </c>
      <c r="AV94" s="82">
        <f t="shared" ref="AV94:BC94" si="568">SUM(AV95,AV100)</f>
        <v>0</v>
      </c>
      <c r="AW94" s="82">
        <f t="shared" si="568"/>
        <v>0</v>
      </c>
      <c r="AX94" s="82">
        <f t="shared" si="568"/>
        <v>0</v>
      </c>
      <c r="AY94" s="82">
        <f t="shared" si="568"/>
        <v>0</v>
      </c>
      <c r="AZ94" s="82">
        <f t="shared" si="568"/>
        <v>0</v>
      </c>
      <c r="BA94" s="82">
        <f t="shared" si="568"/>
        <v>0</v>
      </c>
      <c r="BB94" s="82">
        <f t="shared" si="568"/>
        <v>0</v>
      </c>
      <c r="BC94" s="82">
        <f t="shared" si="568"/>
        <v>0</v>
      </c>
      <c r="BD94" s="82">
        <f>SUM(BD95,BD100)</f>
        <v>0</v>
      </c>
      <c r="BE94" s="80"/>
      <c r="BF94" s="82">
        <f t="shared" ref="BF94:BN94" si="569">SUM(BF95,BF100)</f>
        <v>0</v>
      </c>
      <c r="BG94" s="82">
        <f t="shared" si="569"/>
        <v>0</v>
      </c>
      <c r="BH94" s="82">
        <f t="shared" si="569"/>
        <v>0</v>
      </c>
      <c r="BI94" s="82">
        <f t="shared" si="569"/>
        <v>0</v>
      </c>
      <c r="BJ94" s="82">
        <f t="shared" si="569"/>
        <v>0</v>
      </c>
      <c r="BK94" s="82">
        <f t="shared" si="569"/>
        <v>0</v>
      </c>
      <c r="BL94" s="82">
        <f t="shared" si="569"/>
        <v>0</v>
      </c>
      <c r="BM94" s="82">
        <f t="shared" si="569"/>
        <v>0</v>
      </c>
      <c r="BN94" s="82">
        <f t="shared" si="569"/>
        <v>0</v>
      </c>
      <c r="BO94" s="82">
        <f>SUM(BO95,BO100)</f>
        <v>0</v>
      </c>
      <c r="BP94" s="80"/>
      <c r="BQ94" s="82">
        <f t="shared" ref="BQ94:BY94" si="570">SUM(BQ95,BQ100)</f>
        <v>0</v>
      </c>
      <c r="BR94" s="82">
        <f t="shared" si="570"/>
        <v>0</v>
      </c>
      <c r="BS94" s="82">
        <f t="shared" si="570"/>
        <v>0</v>
      </c>
      <c r="BT94" s="82">
        <f t="shared" si="570"/>
        <v>0</v>
      </c>
      <c r="BU94" s="82">
        <f t="shared" si="570"/>
        <v>0</v>
      </c>
      <c r="BV94" s="82">
        <f t="shared" si="570"/>
        <v>0</v>
      </c>
      <c r="BW94" s="82">
        <f t="shared" si="570"/>
        <v>0</v>
      </c>
      <c r="BX94" s="82">
        <f t="shared" si="570"/>
        <v>0</v>
      </c>
      <c r="BY94" s="82">
        <f t="shared" si="570"/>
        <v>0</v>
      </c>
      <c r="BZ94" s="82">
        <f>SUM(BZ95,BZ100)</f>
        <v>0</v>
      </c>
      <c r="CA94" s="80"/>
      <c r="CB94" s="82">
        <f t="shared" ref="CB94:CJ94" si="571">SUM(CB95,CB100)</f>
        <v>0</v>
      </c>
      <c r="CC94" s="82">
        <f t="shared" si="571"/>
        <v>0</v>
      </c>
      <c r="CD94" s="82">
        <f t="shared" si="571"/>
        <v>0</v>
      </c>
      <c r="CE94" s="82">
        <f t="shared" si="571"/>
        <v>0</v>
      </c>
      <c r="CF94" s="82">
        <f t="shared" si="571"/>
        <v>0</v>
      </c>
      <c r="CG94" s="82">
        <f t="shared" si="571"/>
        <v>0</v>
      </c>
      <c r="CH94" s="82">
        <f t="shared" si="571"/>
        <v>0</v>
      </c>
      <c r="CI94" s="82">
        <f t="shared" si="571"/>
        <v>0</v>
      </c>
      <c r="CJ94" s="82">
        <f t="shared" si="571"/>
        <v>0</v>
      </c>
      <c r="CK94" s="82">
        <f>SUM(CK95,CK100)</f>
        <v>0</v>
      </c>
      <c r="CL94" s="80"/>
      <c r="CM94" s="82">
        <f>SUM(CM95,CM100)</f>
        <v>0</v>
      </c>
      <c r="CN94" s="82">
        <f t="shared" ref="CN94:CU94" si="572">SUM(CN95,CN100)</f>
        <v>0</v>
      </c>
      <c r="CO94" s="82">
        <f t="shared" si="572"/>
        <v>0</v>
      </c>
      <c r="CP94" s="82">
        <f t="shared" si="572"/>
        <v>0</v>
      </c>
      <c r="CQ94" s="82">
        <f t="shared" si="572"/>
        <v>0</v>
      </c>
      <c r="CR94" s="82">
        <f t="shared" si="572"/>
        <v>0</v>
      </c>
      <c r="CS94" s="82">
        <f t="shared" si="572"/>
        <v>0</v>
      </c>
      <c r="CT94" s="82">
        <f t="shared" si="572"/>
        <v>0</v>
      </c>
      <c r="CU94" s="82">
        <f t="shared" si="572"/>
        <v>0</v>
      </c>
      <c r="CV94" s="82">
        <f>SUM(CV95,CV100)</f>
        <v>0</v>
      </c>
      <c r="CW94" s="80"/>
      <c r="CX94" s="82">
        <f t="shared" ref="CX94:DF94" si="573">SUM(CX95,CX100)</f>
        <v>0</v>
      </c>
      <c r="CY94" s="82">
        <f t="shared" si="573"/>
        <v>0</v>
      </c>
      <c r="CZ94" s="82">
        <f t="shared" si="573"/>
        <v>0</v>
      </c>
      <c r="DA94" s="82">
        <f t="shared" si="573"/>
        <v>0</v>
      </c>
      <c r="DB94" s="82">
        <f t="shared" si="573"/>
        <v>0</v>
      </c>
      <c r="DC94" s="82">
        <f t="shared" si="573"/>
        <v>0</v>
      </c>
      <c r="DD94" s="82">
        <f t="shared" si="573"/>
        <v>0</v>
      </c>
      <c r="DE94" s="82">
        <f t="shared" si="573"/>
        <v>0</v>
      </c>
      <c r="DF94" s="82">
        <f t="shared" si="573"/>
        <v>0</v>
      </c>
      <c r="DG94" s="82">
        <f>SUM(DG95,DG100)</f>
        <v>0</v>
      </c>
      <c r="DH94" s="80"/>
      <c r="DI94" s="82">
        <f t="shared" ref="DI94:DQ94" si="574">SUM(DI95,DI100)</f>
        <v>0</v>
      </c>
      <c r="DJ94" s="82">
        <f t="shared" si="574"/>
        <v>0</v>
      </c>
      <c r="DK94" s="82">
        <f t="shared" si="574"/>
        <v>0</v>
      </c>
      <c r="DL94" s="82">
        <f t="shared" si="574"/>
        <v>0</v>
      </c>
      <c r="DM94" s="82">
        <f t="shared" si="574"/>
        <v>0</v>
      </c>
      <c r="DN94" s="82">
        <f t="shared" si="574"/>
        <v>0</v>
      </c>
      <c r="DO94" s="82">
        <f t="shared" si="574"/>
        <v>0</v>
      </c>
      <c r="DP94" s="82">
        <f t="shared" si="574"/>
        <v>0</v>
      </c>
      <c r="DQ94" s="82">
        <f t="shared" si="574"/>
        <v>0</v>
      </c>
      <c r="DR94" s="82">
        <f>SUM(DR95,DR100)</f>
        <v>0</v>
      </c>
      <c r="DS94" s="80"/>
      <c r="DT94" s="82">
        <f t="shared" ref="DT94:EB94" si="575">SUM(DT95,DT100)</f>
        <v>0</v>
      </c>
      <c r="DU94" s="82">
        <f t="shared" si="575"/>
        <v>0</v>
      </c>
      <c r="DV94" s="82">
        <f t="shared" si="575"/>
        <v>0</v>
      </c>
      <c r="DW94" s="82">
        <f t="shared" si="575"/>
        <v>0</v>
      </c>
      <c r="DX94" s="82">
        <f t="shared" si="575"/>
        <v>0</v>
      </c>
      <c r="DY94" s="82">
        <f t="shared" si="575"/>
        <v>0</v>
      </c>
      <c r="DZ94" s="82">
        <f t="shared" si="575"/>
        <v>0</v>
      </c>
      <c r="EA94" s="82">
        <f t="shared" si="575"/>
        <v>0</v>
      </c>
      <c r="EB94" s="82">
        <f t="shared" si="575"/>
        <v>0</v>
      </c>
      <c r="EC94" s="82">
        <f>SUM(EC95,EC100)</f>
        <v>0</v>
      </c>
      <c r="ED94" s="80"/>
      <c r="EE94" s="82">
        <f>SUM(EE95,EE100)</f>
        <v>0</v>
      </c>
      <c r="EF94" s="82">
        <f t="shared" ref="EF94:EM94" si="576">SUM(EF95,EF100)</f>
        <v>0</v>
      </c>
      <c r="EG94" s="82">
        <f t="shared" si="576"/>
        <v>0</v>
      </c>
      <c r="EH94" s="82">
        <f t="shared" si="576"/>
        <v>0</v>
      </c>
      <c r="EI94" s="82">
        <f t="shared" si="576"/>
        <v>0</v>
      </c>
      <c r="EJ94" s="82">
        <f t="shared" si="576"/>
        <v>0</v>
      </c>
      <c r="EK94" s="82">
        <f t="shared" si="576"/>
        <v>0</v>
      </c>
      <c r="EL94" s="82">
        <f t="shared" si="576"/>
        <v>0</v>
      </c>
      <c r="EM94" s="82">
        <f t="shared" si="576"/>
        <v>0</v>
      </c>
      <c r="EN94" s="82">
        <f>SUM(EN95,EN100)</f>
        <v>0</v>
      </c>
      <c r="EO94" s="80"/>
      <c r="EP94" s="82">
        <f t="shared" ref="EP94:EX94" si="577">SUM(EP95,EP100)</f>
        <v>0</v>
      </c>
      <c r="EQ94" s="82">
        <f t="shared" si="577"/>
        <v>0</v>
      </c>
      <c r="ER94" s="82">
        <f t="shared" si="577"/>
        <v>0</v>
      </c>
      <c r="ES94" s="82">
        <f t="shared" si="577"/>
        <v>0</v>
      </c>
      <c r="ET94" s="82">
        <f t="shared" si="577"/>
        <v>0</v>
      </c>
      <c r="EU94" s="82">
        <f t="shared" si="577"/>
        <v>0</v>
      </c>
      <c r="EV94" s="82">
        <f t="shared" si="577"/>
        <v>0</v>
      </c>
      <c r="EW94" s="82">
        <f t="shared" si="577"/>
        <v>0</v>
      </c>
      <c r="EX94" s="82">
        <f t="shared" si="577"/>
        <v>0</v>
      </c>
      <c r="EY94" s="82">
        <f>SUM(EY95,EY100)</f>
        <v>0</v>
      </c>
      <c r="EZ94" s="80"/>
      <c r="FA94" s="82">
        <f t="shared" ref="FA94:FI94" si="578">SUM(FA95,FA100)</f>
        <v>0</v>
      </c>
      <c r="FB94" s="82">
        <f t="shared" si="578"/>
        <v>0</v>
      </c>
      <c r="FC94" s="82">
        <f t="shared" si="578"/>
        <v>0</v>
      </c>
      <c r="FD94" s="82">
        <f t="shared" si="578"/>
        <v>0</v>
      </c>
      <c r="FE94" s="82">
        <f t="shared" si="578"/>
        <v>0</v>
      </c>
      <c r="FF94" s="82">
        <f t="shared" si="578"/>
        <v>0</v>
      </c>
      <c r="FG94" s="82">
        <f t="shared" si="578"/>
        <v>0</v>
      </c>
      <c r="FH94" s="82">
        <f t="shared" si="578"/>
        <v>0</v>
      </c>
      <c r="FI94" s="82">
        <f t="shared" si="578"/>
        <v>0</v>
      </c>
      <c r="FJ94" s="82">
        <f>SUM(FJ95,FJ100)</f>
        <v>0</v>
      </c>
      <c r="FK94" s="80"/>
      <c r="FL94" s="82">
        <f t="shared" ref="FL94:FT94" si="579">SUM(FL95,FL100)</f>
        <v>0</v>
      </c>
      <c r="FM94" s="82">
        <f t="shared" si="579"/>
        <v>0</v>
      </c>
      <c r="FN94" s="82">
        <f t="shared" si="579"/>
        <v>0</v>
      </c>
      <c r="FO94" s="82">
        <f t="shared" si="579"/>
        <v>0</v>
      </c>
      <c r="FP94" s="82">
        <f t="shared" si="579"/>
        <v>0</v>
      </c>
      <c r="FQ94" s="82">
        <f t="shared" si="579"/>
        <v>0</v>
      </c>
      <c r="FR94" s="82">
        <f t="shared" si="579"/>
        <v>0</v>
      </c>
      <c r="FS94" s="82">
        <f t="shared" si="579"/>
        <v>0</v>
      </c>
      <c r="FT94" s="82">
        <f t="shared" si="579"/>
        <v>0</v>
      </c>
      <c r="FU94" s="82">
        <f>SUM(FU95,FU100)</f>
        <v>0</v>
      </c>
      <c r="FV94" s="80"/>
      <c r="FW94" s="82">
        <f>SUM(FW95,FW100)</f>
        <v>0</v>
      </c>
      <c r="FX94" s="82">
        <f t="shared" ref="FX94:GE94" si="580">SUM(FX95,FX100)</f>
        <v>0</v>
      </c>
      <c r="FY94" s="82">
        <f t="shared" si="580"/>
        <v>0</v>
      </c>
      <c r="FZ94" s="82">
        <f t="shared" si="580"/>
        <v>0</v>
      </c>
      <c r="GA94" s="82">
        <f t="shared" si="580"/>
        <v>0</v>
      </c>
      <c r="GB94" s="82">
        <f t="shared" si="580"/>
        <v>0</v>
      </c>
      <c r="GC94" s="82">
        <f t="shared" si="580"/>
        <v>0</v>
      </c>
      <c r="GD94" s="82">
        <f t="shared" si="580"/>
        <v>0</v>
      </c>
      <c r="GE94" s="82">
        <f t="shared" si="580"/>
        <v>0</v>
      </c>
      <c r="GF94" s="82">
        <f>SUM(GF95,GF100)</f>
        <v>0</v>
      </c>
      <c r="GG94" s="80"/>
      <c r="GH94" s="82">
        <f t="shared" ref="GH94:GP94" si="581">SUM(GH95,GH100)</f>
        <v>0</v>
      </c>
      <c r="GI94" s="82">
        <f t="shared" si="581"/>
        <v>0</v>
      </c>
      <c r="GJ94" s="82">
        <f t="shared" si="581"/>
        <v>0</v>
      </c>
      <c r="GK94" s="82">
        <f t="shared" si="581"/>
        <v>0</v>
      </c>
      <c r="GL94" s="82">
        <f t="shared" si="581"/>
        <v>0</v>
      </c>
      <c r="GM94" s="82">
        <f t="shared" si="581"/>
        <v>0</v>
      </c>
      <c r="GN94" s="82">
        <f t="shared" si="581"/>
        <v>0</v>
      </c>
      <c r="GO94" s="82">
        <f t="shared" si="581"/>
        <v>0</v>
      </c>
      <c r="GP94" s="82">
        <f t="shared" si="581"/>
        <v>0</v>
      </c>
      <c r="GQ94" s="82">
        <f t="shared" ref="GQ94:HV94" si="582">SUM(GQ95,GQ100)</f>
        <v>0</v>
      </c>
      <c r="GR94" s="82">
        <f t="shared" si="582"/>
        <v>0</v>
      </c>
      <c r="GS94" s="82">
        <f t="shared" si="582"/>
        <v>0</v>
      </c>
      <c r="GT94" s="82">
        <f t="shared" si="582"/>
        <v>0</v>
      </c>
      <c r="GU94" s="82">
        <f t="shared" si="582"/>
        <v>0</v>
      </c>
      <c r="GV94" s="82">
        <f t="shared" si="582"/>
        <v>0</v>
      </c>
      <c r="GW94" s="82">
        <f t="shared" si="582"/>
        <v>0</v>
      </c>
      <c r="GX94" s="82">
        <f t="shared" si="582"/>
        <v>0</v>
      </c>
      <c r="GY94" s="82">
        <f t="shared" si="582"/>
        <v>0</v>
      </c>
      <c r="GZ94" s="82">
        <f t="shared" si="582"/>
        <v>0</v>
      </c>
      <c r="HA94" s="82">
        <f t="shared" si="582"/>
        <v>0</v>
      </c>
      <c r="HB94" s="82">
        <f t="shared" si="582"/>
        <v>0</v>
      </c>
      <c r="HC94" s="82">
        <f t="shared" si="582"/>
        <v>0</v>
      </c>
      <c r="HD94" s="82">
        <f t="shared" si="582"/>
        <v>0</v>
      </c>
      <c r="HE94" s="82">
        <f t="shared" si="582"/>
        <v>0</v>
      </c>
      <c r="HF94" s="82">
        <f t="shared" si="582"/>
        <v>0</v>
      </c>
      <c r="HG94" s="82">
        <f t="shared" si="582"/>
        <v>0</v>
      </c>
      <c r="HH94" s="82">
        <f t="shared" si="582"/>
        <v>0</v>
      </c>
      <c r="HI94" s="82">
        <f t="shared" si="582"/>
        <v>0</v>
      </c>
      <c r="HJ94" s="82">
        <f t="shared" si="582"/>
        <v>0</v>
      </c>
      <c r="HK94" s="82">
        <f t="shared" si="582"/>
        <v>0</v>
      </c>
      <c r="HL94" s="82">
        <f t="shared" si="582"/>
        <v>0</v>
      </c>
      <c r="HM94" s="82">
        <f t="shared" si="582"/>
        <v>0</v>
      </c>
      <c r="HN94" s="82">
        <f t="shared" si="582"/>
        <v>0</v>
      </c>
      <c r="HO94" s="82">
        <f t="shared" si="582"/>
        <v>0</v>
      </c>
      <c r="HP94" s="82">
        <f t="shared" si="582"/>
        <v>0</v>
      </c>
      <c r="HQ94" s="82">
        <f t="shared" si="582"/>
        <v>0</v>
      </c>
      <c r="HR94" s="82">
        <f t="shared" si="582"/>
        <v>0</v>
      </c>
      <c r="HS94" s="82">
        <f t="shared" si="582"/>
        <v>0</v>
      </c>
      <c r="HT94" s="82">
        <f t="shared" si="582"/>
        <v>0</v>
      </c>
      <c r="HU94" s="82">
        <f t="shared" si="582"/>
        <v>0</v>
      </c>
      <c r="HV94" s="82">
        <f t="shared" si="582"/>
        <v>0</v>
      </c>
      <c r="HW94" s="82">
        <f t="shared" ref="HW94:IV94" si="583">SUM(HW95,HW100)</f>
        <v>0</v>
      </c>
      <c r="HX94" s="82">
        <f t="shared" si="583"/>
        <v>0</v>
      </c>
      <c r="HY94" s="82">
        <f t="shared" si="583"/>
        <v>0</v>
      </c>
      <c r="HZ94" s="82">
        <f t="shared" si="583"/>
        <v>0</v>
      </c>
      <c r="IA94" s="82">
        <f t="shared" si="583"/>
        <v>0</v>
      </c>
      <c r="IB94" s="82">
        <f t="shared" si="583"/>
        <v>0</v>
      </c>
      <c r="IC94" s="82">
        <f t="shared" si="583"/>
        <v>0</v>
      </c>
      <c r="ID94" s="82">
        <f t="shared" si="583"/>
        <v>0</v>
      </c>
      <c r="IE94" s="82">
        <f t="shared" si="583"/>
        <v>0</v>
      </c>
      <c r="IF94" s="82">
        <f t="shared" si="583"/>
        <v>0</v>
      </c>
      <c r="IG94" s="82">
        <f t="shared" si="583"/>
        <v>0</v>
      </c>
      <c r="IH94" s="82">
        <f t="shared" si="583"/>
        <v>0</v>
      </c>
      <c r="II94" s="82">
        <f t="shared" si="583"/>
        <v>0</v>
      </c>
      <c r="IJ94" s="82">
        <f t="shared" si="583"/>
        <v>0</v>
      </c>
      <c r="IK94" s="82">
        <f t="shared" si="583"/>
        <v>0</v>
      </c>
      <c r="IL94" s="82">
        <f t="shared" si="583"/>
        <v>0</v>
      </c>
      <c r="IM94" s="82">
        <f t="shared" si="583"/>
        <v>0</v>
      </c>
      <c r="IN94" s="82">
        <f t="shared" si="583"/>
        <v>0</v>
      </c>
      <c r="IO94" s="82">
        <f t="shared" si="583"/>
        <v>0</v>
      </c>
      <c r="IP94" s="82">
        <f t="shared" si="583"/>
        <v>0</v>
      </c>
      <c r="IQ94" s="82">
        <f t="shared" si="583"/>
        <v>0</v>
      </c>
      <c r="IR94" s="82">
        <f t="shared" si="583"/>
        <v>0</v>
      </c>
      <c r="IS94" s="82">
        <f t="shared" si="583"/>
        <v>0</v>
      </c>
      <c r="IT94" s="82">
        <f t="shared" si="583"/>
        <v>0</v>
      </c>
      <c r="IU94" s="82">
        <f t="shared" si="583"/>
        <v>0</v>
      </c>
      <c r="IV94" s="82">
        <f t="shared" si="583"/>
        <v>0</v>
      </c>
    </row>
    <row r="95" spans="1:256" ht="12.75" customHeight="1" x14ac:dyDescent="0.25">
      <c r="A95" s="122" t="s">
        <v>97</v>
      </c>
      <c r="B95" s="62"/>
      <c r="C95" s="96">
        <f t="shared" ref="C95:K95" si="584">SUM(C96:C99)</f>
        <v>0</v>
      </c>
      <c r="D95" s="96">
        <f t="shared" si="584"/>
        <v>0</v>
      </c>
      <c r="E95" s="96">
        <f t="shared" si="584"/>
        <v>0</v>
      </c>
      <c r="F95" s="96">
        <f t="shared" si="584"/>
        <v>0</v>
      </c>
      <c r="G95" s="96">
        <f t="shared" si="584"/>
        <v>0</v>
      </c>
      <c r="H95" s="96">
        <f t="shared" si="584"/>
        <v>0</v>
      </c>
      <c r="I95" s="96">
        <f t="shared" si="584"/>
        <v>0</v>
      </c>
      <c r="J95" s="96">
        <f t="shared" si="584"/>
        <v>0</v>
      </c>
      <c r="K95" s="96">
        <f t="shared" si="584"/>
        <v>0</v>
      </c>
      <c r="L95" s="96">
        <f>SUM(L96:L99)</f>
        <v>0</v>
      </c>
      <c r="M95" s="62"/>
      <c r="N95" s="96">
        <f t="shared" ref="N95:V95" si="585">SUM(N96:N99)</f>
        <v>0</v>
      </c>
      <c r="O95" s="96">
        <f t="shared" si="585"/>
        <v>0</v>
      </c>
      <c r="P95" s="96">
        <f t="shared" si="585"/>
        <v>0</v>
      </c>
      <c r="Q95" s="96">
        <f t="shared" si="585"/>
        <v>0</v>
      </c>
      <c r="R95" s="96">
        <f t="shared" si="585"/>
        <v>0</v>
      </c>
      <c r="S95" s="96">
        <f t="shared" si="585"/>
        <v>0</v>
      </c>
      <c r="T95" s="96">
        <f t="shared" si="585"/>
        <v>0</v>
      </c>
      <c r="U95" s="96">
        <f t="shared" si="585"/>
        <v>0</v>
      </c>
      <c r="V95" s="96">
        <f t="shared" si="585"/>
        <v>0</v>
      </c>
      <c r="W95" s="96">
        <f>SUM(W96:W99)</f>
        <v>0</v>
      </c>
      <c r="X95" s="62"/>
      <c r="Y95" s="96">
        <f t="shared" ref="Y95:AG95" si="586">SUM(Y96:Y99)</f>
        <v>0</v>
      </c>
      <c r="Z95" s="96">
        <f t="shared" si="586"/>
        <v>0</v>
      </c>
      <c r="AA95" s="96">
        <f t="shared" si="586"/>
        <v>0</v>
      </c>
      <c r="AB95" s="96">
        <f t="shared" si="586"/>
        <v>0</v>
      </c>
      <c r="AC95" s="96">
        <f t="shared" si="586"/>
        <v>0</v>
      </c>
      <c r="AD95" s="96">
        <f t="shared" si="586"/>
        <v>0</v>
      </c>
      <c r="AE95" s="96">
        <f t="shared" si="586"/>
        <v>0</v>
      </c>
      <c r="AF95" s="96">
        <f t="shared" si="586"/>
        <v>0</v>
      </c>
      <c r="AG95" s="96">
        <f t="shared" si="586"/>
        <v>0</v>
      </c>
      <c r="AH95" s="96">
        <f>SUM(AH96:AH99)</f>
        <v>0</v>
      </c>
      <c r="AI95" s="62"/>
      <c r="AJ95" s="96">
        <f t="shared" ref="AJ95:AR95" si="587">SUM(AJ96:AJ99)</f>
        <v>0</v>
      </c>
      <c r="AK95" s="96">
        <f t="shared" si="587"/>
        <v>0</v>
      </c>
      <c r="AL95" s="96">
        <f t="shared" si="587"/>
        <v>0</v>
      </c>
      <c r="AM95" s="96">
        <f t="shared" si="587"/>
        <v>0</v>
      </c>
      <c r="AN95" s="96">
        <f t="shared" si="587"/>
        <v>0</v>
      </c>
      <c r="AO95" s="96">
        <f t="shared" si="587"/>
        <v>0</v>
      </c>
      <c r="AP95" s="96">
        <f t="shared" si="587"/>
        <v>0</v>
      </c>
      <c r="AQ95" s="96">
        <f t="shared" si="587"/>
        <v>0</v>
      </c>
      <c r="AR95" s="96">
        <f t="shared" si="587"/>
        <v>0</v>
      </c>
      <c r="AS95" s="96">
        <f>SUM(AS96:AS99)</f>
        <v>0</v>
      </c>
      <c r="AT95" s="62"/>
      <c r="AU95" s="96">
        <f>SUM(AU96:AU99)</f>
        <v>0</v>
      </c>
      <c r="AV95" s="96">
        <f t="shared" ref="AV95:BC95" si="588">SUM(AV96:AV99)</f>
        <v>0</v>
      </c>
      <c r="AW95" s="96">
        <f t="shared" si="588"/>
        <v>0</v>
      </c>
      <c r="AX95" s="96">
        <f t="shared" si="588"/>
        <v>0</v>
      </c>
      <c r="AY95" s="96">
        <f t="shared" si="588"/>
        <v>0</v>
      </c>
      <c r="AZ95" s="96">
        <f t="shared" si="588"/>
        <v>0</v>
      </c>
      <c r="BA95" s="96">
        <f t="shared" si="588"/>
        <v>0</v>
      </c>
      <c r="BB95" s="96">
        <f t="shared" si="588"/>
        <v>0</v>
      </c>
      <c r="BC95" s="96">
        <f t="shared" si="588"/>
        <v>0</v>
      </c>
      <c r="BD95" s="96">
        <f>SUM(BD96:BD99)</f>
        <v>0</v>
      </c>
      <c r="BE95" s="62"/>
      <c r="BF95" s="96">
        <f t="shared" ref="BF95:BN95" si="589">SUM(BF96:BF99)</f>
        <v>0</v>
      </c>
      <c r="BG95" s="96">
        <f t="shared" si="589"/>
        <v>0</v>
      </c>
      <c r="BH95" s="96">
        <f t="shared" si="589"/>
        <v>0</v>
      </c>
      <c r="BI95" s="96">
        <f t="shared" si="589"/>
        <v>0</v>
      </c>
      <c r="BJ95" s="96">
        <f t="shared" si="589"/>
        <v>0</v>
      </c>
      <c r="BK95" s="96">
        <f t="shared" si="589"/>
        <v>0</v>
      </c>
      <c r="BL95" s="96">
        <f t="shared" si="589"/>
        <v>0</v>
      </c>
      <c r="BM95" s="96">
        <f t="shared" si="589"/>
        <v>0</v>
      </c>
      <c r="BN95" s="96">
        <f t="shared" si="589"/>
        <v>0</v>
      </c>
      <c r="BO95" s="96">
        <f>SUM(BO96:BO99)</f>
        <v>0</v>
      </c>
      <c r="BP95" s="62"/>
      <c r="BQ95" s="96">
        <f t="shared" ref="BQ95:BY95" si="590">SUM(BQ96:BQ99)</f>
        <v>0</v>
      </c>
      <c r="BR95" s="96">
        <f t="shared" si="590"/>
        <v>0</v>
      </c>
      <c r="BS95" s="96">
        <f t="shared" si="590"/>
        <v>0</v>
      </c>
      <c r="BT95" s="96">
        <f t="shared" si="590"/>
        <v>0</v>
      </c>
      <c r="BU95" s="96">
        <f t="shared" si="590"/>
        <v>0</v>
      </c>
      <c r="BV95" s="96">
        <f t="shared" si="590"/>
        <v>0</v>
      </c>
      <c r="BW95" s="96">
        <f t="shared" si="590"/>
        <v>0</v>
      </c>
      <c r="BX95" s="96">
        <f t="shared" si="590"/>
        <v>0</v>
      </c>
      <c r="BY95" s="96">
        <f t="shared" si="590"/>
        <v>0</v>
      </c>
      <c r="BZ95" s="96">
        <f>SUM(BZ96:BZ99)</f>
        <v>0</v>
      </c>
      <c r="CA95" s="62"/>
      <c r="CB95" s="96">
        <f t="shared" ref="CB95:CJ95" si="591">SUM(CB96:CB99)</f>
        <v>0</v>
      </c>
      <c r="CC95" s="96">
        <f t="shared" si="591"/>
        <v>0</v>
      </c>
      <c r="CD95" s="96">
        <f t="shared" si="591"/>
        <v>0</v>
      </c>
      <c r="CE95" s="96">
        <f t="shared" si="591"/>
        <v>0</v>
      </c>
      <c r="CF95" s="96">
        <f t="shared" si="591"/>
        <v>0</v>
      </c>
      <c r="CG95" s="96">
        <f t="shared" si="591"/>
        <v>0</v>
      </c>
      <c r="CH95" s="96">
        <f t="shared" si="591"/>
        <v>0</v>
      </c>
      <c r="CI95" s="96">
        <f t="shared" si="591"/>
        <v>0</v>
      </c>
      <c r="CJ95" s="96">
        <f t="shared" si="591"/>
        <v>0</v>
      </c>
      <c r="CK95" s="96">
        <f>SUM(CK96:CK99)</f>
        <v>0</v>
      </c>
      <c r="CL95" s="62"/>
      <c r="CM95" s="96">
        <f>SUM(CM96:CM99)</f>
        <v>0</v>
      </c>
      <c r="CN95" s="96">
        <f t="shared" ref="CN95:CU95" si="592">SUM(CN96:CN99)</f>
        <v>0</v>
      </c>
      <c r="CO95" s="96">
        <f t="shared" si="592"/>
        <v>0</v>
      </c>
      <c r="CP95" s="96">
        <f t="shared" si="592"/>
        <v>0</v>
      </c>
      <c r="CQ95" s="96">
        <f t="shared" si="592"/>
        <v>0</v>
      </c>
      <c r="CR95" s="96">
        <f t="shared" si="592"/>
        <v>0</v>
      </c>
      <c r="CS95" s="96">
        <f t="shared" si="592"/>
        <v>0</v>
      </c>
      <c r="CT95" s="96">
        <f t="shared" si="592"/>
        <v>0</v>
      </c>
      <c r="CU95" s="96">
        <f t="shared" si="592"/>
        <v>0</v>
      </c>
      <c r="CV95" s="96">
        <f>SUM(CV96:CV99)</f>
        <v>0</v>
      </c>
      <c r="CW95" s="62"/>
      <c r="CX95" s="96">
        <f t="shared" ref="CX95:DF95" si="593">SUM(CX96:CX99)</f>
        <v>0</v>
      </c>
      <c r="CY95" s="96">
        <f t="shared" si="593"/>
        <v>0</v>
      </c>
      <c r="CZ95" s="96">
        <f t="shared" si="593"/>
        <v>0</v>
      </c>
      <c r="DA95" s="96">
        <f t="shared" si="593"/>
        <v>0</v>
      </c>
      <c r="DB95" s="96">
        <f t="shared" si="593"/>
        <v>0</v>
      </c>
      <c r="DC95" s="96">
        <f t="shared" si="593"/>
        <v>0</v>
      </c>
      <c r="DD95" s="96">
        <f t="shared" si="593"/>
        <v>0</v>
      </c>
      <c r="DE95" s="96">
        <f t="shared" si="593"/>
        <v>0</v>
      </c>
      <c r="DF95" s="96">
        <f t="shared" si="593"/>
        <v>0</v>
      </c>
      <c r="DG95" s="96">
        <f>SUM(DG96:DG99)</f>
        <v>0</v>
      </c>
      <c r="DH95" s="62"/>
      <c r="DI95" s="96">
        <f t="shared" ref="DI95:DQ95" si="594">SUM(DI96:DI99)</f>
        <v>0</v>
      </c>
      <c r="DJ95" s="96">
        <f t="shared" si="594"/>
        <v>0</v>
      </c>
      <c r="DK95" s="96">
        <f t="shared" si="594"/>
        <v>0</v>
      </c>
      <c r="DL95" s="96">
        <f t="shared" si="594"/>
        <v>0</v>
      </c>
      <c r="DM95" s="96">
        <f t="shared" si="594"/>
        <v>0</v>
      </c>
      <c r="DN95" s="96">
        <f t="shared" si="594"/>
        <v>0</v>
      </c>
      <c r="DO95" s="96">
        <f t="shared" si="594"/>
        <v>0</v>
      </c>
      <c r="DP95" s="96">
        <f t="shared" si="594"/>
        <v>0</v>
      </c>
      <c r="DQ95" s="96">
        <f t="shared" si="594"/>
        <v>0</v>
      </c>
      <c r="DR95" s="96">
        <f>SUM(DR96:DR99)</f>
        <v>0</v>
      </c>
      <c r="DS95" s="62"/>
      <c r="DT95" s="96">
        <f t="shared" ref="DT95:EB95" si="595">SUM(DT96:DT99)</f>
        <v>0</v>
      </c>
      <c r="DU95" s="96">
        <f t="shared" si="595"/>
        <v>0</v>
      </c>
      <c r="DV95" s="96">
        <f t="shared" si="595"/>
        <v>0</v>
      </c>
      <c r="DW95" s="96">
        <f t="shared" si="595"/>
        <v>0</v>
      </c>
      <c r="DX95" s="96">
        <f t="shared" si="595"/>
        <v>0</v>
      </c>
      <c r="DY95" s="96">
        <f t="shared" si="595"/>
        <v>0</v>
      </c>
      <c r="DZ95" s="96">
        <f t="shared" si="595"/>
        <v>0</v>
      </c>
      <c r="EA95" s="96">
        <f t="shared" si="595"/>
        <v>0</v>
      </c>
      <c r="EB95" s="96">
        <f t="shared" si="595"/>
        <v>0</v>
      </c>
      <c r="EC95" s="96">
        <f>SUM(EC96:EC99)</f>
        <v>0</v>
      </c>
      <c r="ED95" s="62"/>
      <c r="EE95" s="96">
        <f>SUM(EE96:EE99)</f>
        <v>0</v>
      </c>
      <c r="EF95" s="96">
        <f t="shared" ref="EF95:EM95" si="596">SUM(EF96:EF99)</f>
        <v>0</v>
      </c>
      <c r="EG95" s="96">
        <f t="shared" si="596"/>
        <v>0</v>
      </c>
      <c r="EH95" s="96">
        <f t="shared" si="596"/>
        <v>0</v>
      </c>
      <c r="EI95" s="96">
        <f t="shared" si="596"/>
        <v>0</v>
      </c>
      <c r="EJ95" s="96">
        <f t="shared" si="596"/>
        <v>0</v>
      </c>
      <c r="EK95" s="96">
        <f t="shared" si="596"/>
        <v>0</v>
      </c>
      <c r="EL95" s="96">
        <f t="shared" si="596"/>
        <v>0</v>
      </c>
      <c r="EM95" s="96">
        <f t="shared" si="596"/>
        <v>0</v>
      </c>
      <c r="EN95" s="96">
        <f>SUM(EN96:EN99)</f>
        <v>0</v>
      </c>
      <c r="EO95" s="62"/>
      <c r="EP95" s="96">
        <f t="shared" ref="EP95:EX95" si="597">SUM(EP96:EP99)</f>
        <v>0</v>
      </c>
      <c r="EQ95" s="96">
        <f t="shared" si="597"/>
        <v>0</v>
      </c>
      <c r="ER95" s="96">
        <f t="shared" si="597"/>
        <v>0</v>
      </c>
      <c r="ES95" s="96">
        <f t="shared" si="597"/>
        <v>0</v>
      </c>
      <c r="ET95" s="96">
        <f t="shared" si="597"/>
        <v>0</v>
      </c>
      <c r="EU95" s="96">
        <f t="shared" si="597"/>
        <v>0</v>
      </c>
      <c r="EV95" s="96">
        <f t="shared" si="597"/>
        <v>0</v>
      </c>
      <c r="EW95" s="96">
        <f t="shared" si="597"/>
        <v>0</v>
      </c>
      <c r="EX95" s="96">
        <f t="shared" si="597"/>
        <v>0</v>
      </c>
      <c r="EY95" s="96">
        <f>SUM(EY96:EY99)</f>
        <v>0</v>
      </c>
      <c r="EZ95" s="62"/>
      <c r="FA95" s="96">
        <f t="shared" ref="FA95:FI95" si="598">SUM(FA96:FA99)</f>
        <v>0</v>
      </c>
      <c r="FB95" s="96">
        <f t="shared" si="598"/>
        <v>0</v>
      </c>
      <c r="FC95" s="96">
        <f t="shared" si="598"/>
        <v>0</v>
      </c>
      <c r="FD95" s="96">
        <f t="shared" si="598"/>
        <v>0</v>
      </c>
      <c r="FE95" s="96">
        <f t="shared" si="598"/>
        <v>0</v>
      </c>
      <c r="FF95" s="96">
        <f t="shared" si="598"/>
        <v>0</v>
      </c>
      <c r="FG95" s="96">
        <f t="shared" si="598"/>
        <v>0</v>
      </c>
      <c r="FH95" s="96">
        <f t="shared" si="598"/>
        <v>0</v>
      </c>
      <c r="FI95" s="96">
        <f t="shared" si="598"/>
        <v>0</v>
      </c>
      <c r="FJ95" s="96">
        <f>SUM(FJ96:FJ99)</f>
        <v>0</v>
      </c>
      <c r="FK95" s="62"/>
      <c r="FL95" s="96">
        <f t="shared" ref="FL95:FT95" si="599">SUM(FL96:FL99)</f>
        <v>0</v>
      </c>
      <c r="FM95" s="96">
        <f t="shared" si="599"/>
        <v>0</v>
      </c>
      <c r="FN95" s="96">
        <f t="shared" si="599"/>
        <v>0</v>
      </c>
      <c r="FO95" s="96">
        <f t="shared" si="599"/>
        <v>0</v>
      </c>
      <c r="FP95" s="96">
        <f t="shared" si="599"/>
        <v>0</v>
      </c>
      <c r="FQ95" s="96">
        <f t="shared" si="599"/>
        <v>0</v>
      </c>
      <c r="FR95" s="96">
        <f t="shared" si="599"/>
        <v>0</v>
      </c>
      <c r="FS95" s="96">
        <f t="shared" si="599"/>
        <v>0</v>
      </c>
      <c r="FT95" s="96">
        <f t="shared" si="599"/>
        <v>0</v>
      </c>
      <c r="FU95" s="96">
        <f>SUM(FU96:FU99)</f>
        <v>0</v>
      </c>
      <c r="FV95" s="62"/>
      <c r="FW95" s="96">
        <f>SUM(FW96:FW99)</f>
        <v>0</v>
      </c>
      <c r="FX95" s="96">
        <f t="shared" ref="FX95:GE95" si="600">SUM(FX96:FX99)</f>
        <v>0</v>
      </c>
      <c r="FY95" s="96">
        <f t="shared" si="600"/>
        <v>0</v>
      </c>
      <c r="FZ95" s="96">
        <f t="shared" si="600"/>
        <v>0</v>
      </c>
      <c r="GA95" s="96">
        <f t="shared" si="600"/>
        <v>0</v>
      </c>
      <c r="GB95" s="96">
        <f t="shared" si="600"/>
        <v>0</v>
      </c>
      <c r="GC95" s="96">
        <f t="shared" si="600"/>
        <v>0</v>
      </c>
      <c r="GD95" s="96">
        <f t="shared" si="600"/>
        <v>0</v>
      </c>
      <c r="GE95" s="96">
        <f t="shared" si="600"/>
        <v>0</v>
      </c>
      <c r="GF95" s="96">
        <f>SUM(GF96:GF99)</f>
        <v>0</v>
      </c>
      <c r="GG95" s="62"/>
      <c r="GH95" s="96">
        <f t="shared" ref="GH95:GP95" si="601">SUM(GH96:GH99)</f>
        <v>0</v>
      </c>
      <c r="GI95" s="96">
        <f t="shared" si="601"/>
        <v>0</v>
      </c>
      <c r="GJ95" s="96">
        <f t="shared" si="601"/>
        <v>0</v>
      </c>
      <c r="GK95" s="96">
        <f t="shared" si="601"/>
        <v>0</v>
      </c>
      <c r="GL95" s="96">
        <f t="shared" si="601"/>
        <v>0</v>
      </c>
      <c r="GM95" s="96">
        <f t="shared" si="601"/>
        <v>0</v>
      </c>
      <c r="GN95" s="96">
        <f t="shared" si="601"/>
        <v>0</v>
      </c>
      <c r="GO95" s="96">
        <f t="shared" si="601"/>
        <v>0</v>
      </c>
      <c r="GP95" s="96">
        <f t="shared" si="601"/>
        <v>0</v>
      </c>
      <c r="GQ95" s="96">
        <f>SUM(GQ96:GQ99)</f>
        <v>0</v>
      </c>
      <c r="GR95" s="96">
        <f t="shared" ref="GR95:IV95" si="602">SUM(GR96:GR99)</f>
        <v>0</v>
      </c>
      <c r="GS95" s="96">
        <f t="shared" si="602"/>
        <v>0</v>
      </c>
      <c r="GT95" s="96">
        <f t="shared" si="602"/>
        <v>0</v>
      </c>
      <c r="GU95" s="96">
        <f t="shared" si="602"/>
        <v>0</v>
      </c>
      <c r="GV95" s="96">
        <f t="shared" si="602"/>
        <v>0</v>
      </c>
      <c r="GW95" s="96">
        <f t="shared" si="602"/>
        <v>0</v>
      </c>
      <c r="GX95" s="96">
        <f t="shared" si="602"/>
        <v>0</v>
      </c>
      <c r="GY95" s="96">
        <f t="shared" si="602"/>
        <v>0</v>
      </c>
      <c r="GZ95" s="96">
        <f t="shared" si="602"/>
        <v>0</v>
      </c>
      <c r="HA95" s="96">
        <f t="shared" si="602"/>
        <v>0</v>
      </c>
      <c r="HB95" s="96">
        <f>SUM(HB96:HB99)</f>
        <v>0</v>
      </c>
      <c r="HC95" s="96">
        <f>SUM(HC96:HC99)</f>
        <v>0</v>
      </c>
      <c r="HD95" s="96">
        <f>SUM(HD96:HD99)</f>
        <v>0</v>
      </c>
      <c r="HE95" s="96">
        <f>SUM(HE96:HE99)</f>
        <v>0</v>
      </c>
      <c r="HF95" s="96">
        <f t="shared" si="602"/>
        <v>0</v>
      </c>
      <c r="HG95" s="96">
        <f t="shared" si="602"/>
        <v>0</v>
      </c>
      <c r="HH95" s="96">
        <f t="shared" si="602"/>
        <v>0</v>
      </c>
      <c r="HI95" s="96">
        <f t="shared" si="602"/>
        <v>0</v>
      </c>
      <c r="HJ95" s="96">
        <f t="shared" si="602"/>
        <v>0</v>
      </c>
      <c r="HK95" s="96">
        <f t="shared" si="602"/>
        <v>0</v>
      </c>
      <c r="HL95" s="96">
        <f t="shared" si="602"/>
        <v>0</v>
      </c>
      <c r="HM95" s="96">
        <f t="shared" si="602"/>
        <v>0</v>
      </c>
      <c r="HN95" s="96">
        <f t="shared" si="602"/>
        <v>0</v>
      </c>
      <c r="HO95" s="96">
        <f t="shared" si="602"/>
        <v>0</v>
      </c>
      <c r="HP95" s="96">
        <f t="shared" si="602"/>
        <v>0</v>
      </c>
      <c r="HQ95" s="96">
        <f>SUM(HQ96:HQ99)</f>
        <v>0</v>
      </c>
      <c r="HR95" s="96">
        <f>SUM(HR96:HR99)</f>
        <v>0</v>
      </c>
      <c r="HS95" s="96">
        <f>SUM(HS96:HS99)</f>
        <v>0</v>
      </c>
      <c r="HT95" s="96">
        <f>SUM(HT96:HT99)</f>
        <v>0</v>
      </c>
      <c r="HU95" s="96">
        <f t="shared" si="602"/>
        <v>0</v>
      </c>
      <c r="HV95" s="96">
        <f t="shared" si="602"/>
        <v>0</v>
      </c>
      <c r="HW95" s="96">
        <f t="shared" si="602"/>
        <v>0</v>
      </c>
      <c r="HX95" s="96">
        <f t="shared" si="602"/>
        <v>0</v>
      </c>
      <c r="HY95" s="96">
        <f t="shared" si="602"/>
        <v>0</v>
      </c>
      <c r="HZ95" s="96">
        <f t="shared" si="602"/>
        <v>0</v>
      </c>
      <c r="IA95" s="96">
        <f>SUM(IA96:IA99)</f>
        <v>0</v>
      </c>
      <c r="IB95" s="96">
        <f>SUM(IB96:IB99)</f>
        <v>0</v>
      </c>
      <c r="IC95" s="96">
        <f>SUM(IC96:IC99)</f>
        <v>0</v>
      </c>
      <c r="ID95" s="96">
        <f>SUM(ID96:ID99)</f>
        <v>0</v>
      </c>
      <c r="IE95" s="96">
        <f t="shared" si="602"/>
        <v>0</v>
      </c>
      <c r="IF95" s="96">
        <f t="shared" si="602"/>
        <v>0</v>
      </c>
      <c r="IG95" s="96">
        <f t="shared" si="602"/>
        <v>0</v>
      </c>
      <c r="IH95" s="96">
        <f t="shared" si="602"/>
        <v>0</v>
      </c>
      <c r="II95" s="96">
        <f t="shared" si="602"/>
        <v>0</v>
      </c>
      <c r="IJ95" s="96">
        <f t="shared" si="602"/>
        <v>0</v>
      </c>
      <c r="IK95" s="96">
        <f t="shared" si="602"/>
        <v>0</v>
      </c>
      <c r="IL95" s="96">
        <f t="shared" si="602"/>
        <v>0</v>
      </c>
      <c r="IM95" s="96">
        <f t="shared" si="602"/>
        <v>0</v>
      </c>
      <c r="IN95" s="96">
        <f t="shared" si="602"/>
        <v>0</v>
      </c>
      <c r="IO95" s="96">
        <f t="shared" si="602"/>
        <v>0</v>
      </c>
      <c r="IP95" s="96">
        <f>SUM(IP96:IP99)</f>
        <v>0</v>
      </c>
      <c r="IQ95" s="96">
        <f>SUM(IQ96:IQ99)</f>
        <v>0</v>
      </c>
      <c r="IR95" s="96">
        <f>SUM(IR96:IR99)</f>
        <v>0</v>
      </c>
      <c r="IS95" s="96">
        <f>SUM(IS96:IS99)</f>
        <v>0</v>
      </c>
      <c r="IT95" s="96">
        <f t="shared" si="602"/>
        <v>0</v>
      </c>
      <c r="IU95" s="96">
        <f t="shared" si="602"/>
        <v>0</v>
      </c>
      <c r="IV95" s="96">
        <f t="shared" si="602"/>
        <v>0</v>
      </c>
    </row>
    <row r="96" spans="1:256" ht="12.75" customHeight="1" x14ac:dyDescent="0.25">
      <c r="A96" s="123" t="s">
        <v>98</v>
      </c>
      <c r="B96" s="62">
        <v>6720</v>
      </c>
      <c r="C96" s="63"/>
      <c r="D96" s="63"/>
      <c r="E96" s="63"/>
      <c r="F96" s="63"/>
      <c r="G96" s="63"/>
      <c r="H96" s="63"/>
      <c r="I96" s="63"/>
      <c r="J96" s="63"/>
      <c r="K96" s="63"/>
      <c r="L96" s="64">
        <f>SUM(C96:F96,H96:K96)</f>
        <v>0</v>
      </c>
      <c r="M96" s="62"/>
      <c r="N96" s="63"/>
      <c r="O96" s="63"/>
      <c r="P96" s="63"/>
      <c r="Q96" s="63"/>
      <c r="R96" s="63"/>
      <c r="S96" s="63"/>
      <c r="T96" s="63"/>
      <c r="U96" s="63"/>
      <c r="V96" s="63"/>
      <c r="W96" s="64">
        <f>SUM(N96:Q96,S96:V96)</f>
        <v>0</v>
      </c>
      <c r="X96" s="62"/>
      <c r="Y96" s="63"/>
      <c r="Z96" s="63"/>
      <c r="AA96" s="63"/>
      <c r="AB96" s="63"/>
      <c r="AC96" s="63"/>
      <c r="AD96" s="63"/>
      <c r="AE96" s="63"/>
      <c r="AF96" s="63"/>
      <c r="AG96" s="63"/>
      <c r="AH96" s="64">
        <f>SUM(Y96:AB96,AD96:AG96)</f>
        <v>0</v>
      </c>
      <c r="AI96" s="62"/>
      <c r="AJ96" s="63"/>
      <c r="AK96" s="63"/>
      <c r="AL96" s="63"/>
      <c r="AM96" s="63"/>
      <c r="AN96" s="63"/>
      <c r="AO96" s="63"/>
      <c r="AP96" s="63"/>
      <c r="AQ96" s="63"/>
      <c r="AR96" s="63"/>
      <c r="AS96" s="64">
        <f>SUM(AJ96:AM96,AO96:AR96)</f>
        <v>0</v>
      </c>
      <c r="AT96" s="65">
        <f t="shared" ref="AT96:BC99" si="603">SUM(M96,AI96,X96)</f>
        <v>0</v>
      </c>
      <c r="AU96" s="65">
        <f t="shared" si="603"/>
        <v>0</v>
      </c>
      <c r="AV96" s="65">
        <f t="shared" si="603"/>
        <v>0</v>
      </c>
      <c r="AW96" s="65">
        <f t="shared" si="603"/>
        <v>0</v>
      </c>
      <c r="AX96" s="65">
        <f t="shared" si="603"/>
        <v>0</v>
      </c>
      <c r="AY96" s="65">
        <f t="shared" si="603"/>
        <v>0</v>
      </c>
      <c r="AZ96" s="65">
        <f t="shared" si="603"/>
        <v>0</v>
      </c>
      <c r="BA96" s="65">
        <f t="shared" si="603"/>
        <v>0</v>
      </c>
      <c r="BB96" s="65">
        <f t="shared" si="603"/>
        <v>0</v>
      </c>
      <c r="BC96" s="65">
        <f t="shared" si="603"/>
        <v>0</v>
      </c>
      <c r="BD96" s="64">
        <f>SUM(AU96:AX96,AZ96:BC96)</f>
        <v>0</v>
      </c>
      <c r="BE96" s="62"/>
      <c r="BF96" s="63"/>
      <c r="BG96" s="63"/>
      <c r="BH96" s="63"/>
      <c r="BI96" s="63"/>
      <c r="BJ96" s="63"/>
      <c r="BK96" s="63"/>
      <c r="BL96" s="63"/>
      <c r="BM96" s="63"/>
      <c r="BN96" s="63"/>
      <c r="BO96" s="64">
        <f>SUM(BF96:BI96,BK96:BN96)</f>
        <v>0</v>
      </c>
      <c r="BP96" s="62"/>
      <c r="BQ96" s="63"/>
      <c r="BR96" s="63"/>
      <c r="BS96" s="63"/>
      <c r="BT96" s="63"/>
      <c r="BU96" s="63"/>
      <c r="BV96" s="63"/>
      <c r="BW96" s="63"/>
      <c r="BX96" s="63"/>
      <c r="BY96" s="63"/>
      <c r="BZ96" s="64">
        <f>SUM(BQ96:BT96,BV96:BY96)</f>
        <v>0</v>
      </c>
      <c r="CA96" s="62"/>
      <c r="CB96" s="63"/>
      <c r="CC96" s="63"/>
      <c r="CD96" s="63"/>
      <c r="CE96" s="63"/>
      <c r="CF96" s="63"/>
      <c r="CG96" s="63"/>
      <c r="CH96" s="63"/>
      <c r="CI96" s="63"/>
      <c r="CJ96" s="63"/>
      <c r="CK96" s="64">
        <f>SUM(CB96:CE96,CG96:CJ96)</f>
        <v>0</v>
      </c>
      <c r="CL96" s="65">
        <f t="shared" ref="CL96:CU99" si="604">SUM(BE96,CA96,BP96)</f>
        <v>0</v>
      </c>
      <c r="CM96" s="65">
        <f t="shared" si="604"/>
        <v>0</v>
      </c>
      <c r="CN96" s="65">
        <f t="shared" si="604"/>
        <v>0</v>
      </c>
      <c r="CO96" s="65">
        <f t="shared" si="604"/>
        <v>0</v>
      </c>
      <c r="CP96" s="65">
        <f t="shared" si="604"/>
        <v>0</v>
      </c>
      <c r="CQ96" s="65">
        <f t="shared" si="604"/>
        <v>0</v>
      </c>
      <c r="CR96" s="65">
        <f t="shared" si="604"/>
        <v>0</v>
      </c>
      <c r="CS96" s="65">
        <f t="shared" si="604"/>
        <v>0</v>
      </c>
      <c r="CT96" s="65">
        <f t="shared" si="604"/>
        <v>0</v>
      </c>
      <c r="CU96" s="65">
        <f t="shared" si="604"/>
        <v>0</v>
      </c>
      <c r="CV96" s="64">
        <f>SUM(CM96:CP96,CR96:CU96)</f>
        <v>0</v>
      </c>
      <c r="CW96" s="62"/>
      <c r="CX96" s="63"/>
      <c r="CY96" s="63"/>
      <c r="CZ96" s="63"/>
      <c r="DA96" s="63"/>
      <c r="DB96" s="63"/>
      <c r="DC96" s="63"/>
      <c r="DD96" s="63"/>
      <c r="DE96" s="63"/>
      <c r="DF96" s="63"/>
      <c r="DG96" s="64">
        <f>SUM(CX96:DA96,DC96:DF96)</f>
        <v>0</v>
      </c>
      <c r="DH96" s="62"/>
      <c r="DI96" s="63"/>
      <c r="DJ96" s="63"/>
      <c r="DK96" s="63"/>
      <c r="DL96" s="63"/>
      <c r="DM96" s="63"/>
      <c r="DN96" s="63"/>
      <c r="DO96" s="63"/>
      <c r="DP96" s="63"/>
      <c r="DQ96" s="63"/>
      <c r="DR96" s="64">
        <f>SUM(DI96:DL96,DN96:DQ96)</f>
        <v>0</v>
      </c>
      <c r="DS96" s="62"/>
      <c r="DT96" s="63"/>
      <c r="DU96" s="63"/>
      <c r="DV96" s="63"/>
      <c r="DW96" s="63"/>
      <c r="DX96" s="63"/>
      <c r="DY96" s="63"/>
      <c r="DZ96" s="63"/>
      <c r="EA96" s="63"/>
      <c r="EB96" s="63"/>
      <c r="EC96" s="63"/>
      <c r="ED96" s="65">
        <f t="shared" ref="ED96:EM99" si="605">SUM(CW96,DS96,DH96)</f>
        <v>0</v>
      </c>
      <c r="EE96" s="65">
        <f t="shared" si="605"/>
        <v>0</v>
      </c>
      <c r="EF96" s="65">
        <f t="shared" si="605"/>
        <v>0</v>
      </c>
      <c r="EG96" s="65">
        <f t="shared" si="605"/>
        <v>0</v>
      </c>
      <c r="EH96" s="65">
        <f t="shared" si="605"/>
        <v>0</v>
      </c>
      <c r="EI96" s="65">
        <f t="shared" si="605"/>
        <v>0</v>
      </c>
      <c r="EJ96" s="65">
        <f t="shared" si="605"/>
        <v>0</v>
      </c>
      <c r="EK96" s="65">
        <f t="shared" si="605"/>
        <v>0</v>
      </c>
      <c r="EL96" s="65">
        <f t="shared" si="605"/>
        <v>0</v>
      </c>
      <c r="EM96" s="65">
        <f t="shared" si="605"/>
        <v>0</v>
      </c>
      <c r="EN96" s="64">
        <f>SUM(EE96:EH96,EJ96:EM96)</f>
        <v>0</v>
      </c>
      <c r="EO96" s="62"/>
      <c r="EP96" s="63"/>
      <c r="EQ96" s="63"/>
      <c r="ER96" s="63"/>
      <c r="ES96" s="63"/>
      <c r="ET96" s="63"/>
      <c r="EU96" s="63"/>
      <c r="EV96" s="63"/>
      <c r="EW96" s="63"/>
      <c r="EX96" s="63"/>
      <c r="EY96" s="64">
        <f>SUM(EP96:ES96,EU96:EX96)</f>
        <v>0</v>
      </c>
      <c r="EZ96" s="62"/>
      <c r="FA96" s="63"/>
      <c r="FB96" s="63"/>
      <c r="FC96" s="63"/>
      <c r="FD96" s="63"/>
      <c r="FE96" s="63"/>
      <c r="FF96" s="63"/>
      <c r="FG96" s="63"/>
      <c r="FH96" s="63"/>
      <c r="FI96" s="63"/>
      <c r="FJ96" s="64">
        <f>SUM(FA96:FD96,FF96:FI96)</f>
        <v>0</v>
      </c>
      <c r="FK96" s="62"/>
      <c r="FL96" s="63"/>
      <c r="FM96" s="63"/>
      <c r="FN96" s="63"/>
      <c r="FO96" s="63"/>
      <c r="FP96" s="63"/>
      <c r="FQ96" s="63"/>
      <c r="FR96" s="63"/>
      <c r="FS96" s="63"/>
      <c r="FT96" s="63"/>
      <c r="FU96" s="64">
        <f>SUM(FL96:FO96,FQ96:FT96)</f>
        <v>0</v>
      </c>
      <c r="FV96" s="65">
        <f t="shared" ref="FV96:GE99" si="606">SUM(EO96,FK96,EZ96)</f>
        <v>0</v>
      </c>
      <c r="FW96" s="65">
        <f t="shared" si="606"/>
        <v>0</v>
      </c>
      <c r="FX96" s="65">
        <f t="shared" si="606"/>
        <v>0</v>
      </c>
      <c r="FY96" s="65">
        <f t="shared" si="606"/>
        <v>0</v>
      </c>
      <c r="FZ96" s="65">
        <f t="shared" si="606"/>
        <v>0</v>
      </c>
      <c r="GA96" s="65">
        <f t="shared" si="606"/>
        <v>0</v>
      </c>
      <c r="GB96" s="65">
        <f t="shared" si="606"/>
        <v>0</v>
      </c>
      <c r="GC96" s="65">
        <f t="shared" si="606"/>
        <v>0</v>
      </c>
      <c r="GD96" s="65">
        <f t="shared" si="606"/>
        <v>0</v>
      </c>
      <c r="GE96" s="65">
        <f t="shared" si="606"/>
        <v>0</v>
      </c>
      <c r="GF96" s="64">
        <f>SUM(FW96:FZ96,GB96:GE96)</f>
        <v>0</v>
      </c>
      <c r="GG96" s="66">
        <f t="shared" ref="GG96:GP99" si="607">SUM(AT96,CL96,ED96,FV96)</f>
        <v>0</v>
      </c>
      <c r="GH96" s="66">
        <f t="shared" si="607"/>
        <v>0</v>
      </c>
      <c r="GI96" s="66">
        <f t="shared" si="607"/>
        <v>0</v>
      </c>
      <c r="GJ96" s="66">
        <f t="shared" si="607"/>
        <v>0</v>
      </c>
      <c r="GK96" s="66">
        <f t="shared" si="607"/>
        <v>0</v>
      </c>
      <c r="GL96" s="66">
        <f t="shared" si="607"/>
        <v>0</v>
      </c>
      <c r="GM96" s="66">
        <f t="shared" si="607"/>
        <v>0</v>
      </c>
      <c r="GN96" s="66">
        <f t="shared" si="607"/>
        <v>0</v>
      </c>
      <c r="GO96" s="66">
        <f t="shared" si="607"/>
        <v>0</v>
      </c>
      <c r="GP96" s="66">
        <f t="shared" si="607"/>
        <v>0</v>
      </c>
      <c r="GQ96" s="64">
        <f>SUM(GH96:GK96,GM96:GP96)</f>
        <v>0</v>
      </c>
      <c r="GR96" s="63"/>
      <c r="GS96" s="63"/>
      <c r="GT96" s="63"/>
      <c r="GU96" s="63"/>
      <c r="GV96" s="67">
        <f>SUM(GR96:GU96)</f>
        <v>0</v>
      </c>
      <c r="GW96" s="63"/>
      <c r="GX96" s="63"/>
      <c r="GY96" s="63"/>
      <c r="GZ96" s="63"/>
      <c r="HA96" s="67">
        <f>SUM(GW96:GZ96)</f>
        <v>0</v>
      </c>
      <c r="HB96" s="63"/>
      <c r="HC96" s="63"/>
      <c r="HD96" s="63"/>
      <c r="HE96" s="63"/>
      <c r="HF96" s="67">
        <f>SUM(HB96:HE96)</f>
        <v>0</v>
      </c>
      <c r="HG96" s="63"/>
      <c r="HH96" s="63"/>
      <c r="HI96" s="63"/>
      <c r="HJ96" s="63"/>
      <c r="HK96" s="67">
        <f>SUM(HG96:HJ96)</f>
        <v>0</v>
      </c>
      <c r="HL96" s="68">
        <f t="shared" ref="HL96:HO99" si="608">SUM(GW96,HB96,HG96)</f>
        <v>0</v>
      </c>
      <c r="HM96" s="68">
        <f t="shared" si="608"/>
        <v>0</v>
      </c>
      <c r="HN96" s="68">
        <f t="shared" si="608"/>
        <v>0</v>
      </c>
      <c r="HO96" s="68">
        <f t="shared" si="608"/>
        <v>0</v>
      </c>
      <c r="HP96" s="67">
        <f>SUM(HL96:HO96)</f>
        <v>0</v>
      </c>
      <c r="HQ96" s="63"/>
      <c r="HR96" s="63"/>
      <c r="HS96" s="63"/>
      <c r="HT96" s="63"/>
      <c r="HU96" s="67">
        <f>SUM(HQ96:HT96)</f>
        <v>0</v>
      </c>
      <c r="HV96" s="63"/>
      <c r="HW96" s="63"/>
      <c r="HX96" s="63"/>
      <c r="HY96" s="63"/>
      <c r="HZ96" s="67">
        <f>SUM(HV96:HY96)</f>
        <v>0</v>
      </c>
      <c r="IA96" s="63"/>
      <c r="IB96" s="63"/>
      <c r="IC96" s="63"/>
      <c r="ID96" s="63"/>
      <c r="IE96" s="67">
        <f>SUM(IA96:ID96)</f>
        <v>0</v>
      </c>
      <c r="IF96" s="68">
        <f t="shared" ref="IF96:II99" si="609">SUM(HQ96,HV96,IA96)</f>
        <v>0</v>
      </c>
      <c r="IG96" s="68">
        <f t="shared" si="609"/>
        <v>0</v>
      </c>
      <c r="IH96" s="68">
        <f t="shared" si="609"/>
        <v>0</v>
      </c>
      <c r="II96" s="68">
        <f t="shared" si="609"/>
        <v>0</v>
      </c>
      <c r="IJ96" s="67">
        <f>SUM(IF96:II96)</f>
        <v>0</v>
      </c>
      <c r="IK96" s="63"/>
      <c r="IL96" s="63"/>
      <c r="IM96" s="63"/>
      <c r="IN96" s="63"/>
      <c r="IO96" s="67">
        <f>SUM(IK96:IN96)</f>
        <v>0</v>
      </c>
      <c r="IP96" s="63"/>
      <c r="IQ96" s="63"/>
      <c r="IR96" s="63"/>
      <c r="IS96" s="63"/>
      <c r="IT96" s="67">
        <f>SUM(IP96:IS96)</f>
        <v>0</v>
      </c>
      <c r="IU96" s="63"/>
      <c r="IV96" s="63"/>
    </row>
    <row r="97" spans="1:256" ht="12.75" customHeight="1" x14ac:dyDescent="0.25">
      <c r="A97" s="123" t="s">
        <v>99</v>
      </c>
      <c r="B97" s="62">
        <v>0</v>
      </c>
      <c r="C97" s="63"/>
      <c r="D97" s="63"/>
      <c r="E97" s="63"/>
      <c r="F97" s="63"/>
      <c r="G97" s="63"/>
      <c r="H97" s="63"/>
      <c r="I97" s="63"/>
      <c r="J97" s="63"/>
      <c r="K97" s="63"/>
      <c r="L97" s="64">
        <f>SUM(C97:F97,H97:K97)</f>
        <v>0</v>
      </c>
      <c r="M97" s="62"/>
      <c r="N97" s="63"/>
      <c r="O97" s="63"/>
      <c r="P97" s="63"/>
      <c r="Q97" s="63"/>
      <c r="R97" s="63"/>
      <c r="S97" s="63"/>
      <c r="T97" s="63"/>
      <c r="U97" s="63"/>
      <c r="V97" s="63"/>
      <c r="W97" s="64">
        <f>SUM(N97:Q97,S97:V97)</f>
        <v>0</v>
      </c>
      <c r="X97" s="62"/>
      <c r="Y97" s="63"/>
      <c r="Z97" s="63"/>
      <c r="AA97" s="63"/>
      <c r="AB97" s="63"/>
      <c r="AC97" s="63"/>
      <c r="AD97" s="63"/>
      <c r="AE97" s="63"/>
      <c r="AF97" s="63"/>
      <c r="AG97" s="63"/>
      <c r="AH97" s="64">
        <f>SUM(Y97:AB97,AD97:AG97)</f>
        <v>0</v>
      </c>
      <c r="AI97" s="62"/>
      <c r="AJ97" s="63"/>
      <c r="AK97" s="63"/>
      <c r="AL97" s="63"/>
      <c r="AM97" s="63"/>
      <c r="AN97" s="63"/>
      <c r="AO97" s="63"/>
      <c r="AP97" s="63"/>
      <c r="AQ97" s="63"/>
      <c r="AR97" s="63"/>
      <c r="AS97" s="64">
        <f>SUM(AJ97:AM97,AO97:AR97)</f>
        <v>0</v>
      </c>
      <c r="AT97" s="65">
        <f t="shared" si="603"/>
        <v>0</v>
      </c>
      <c r="AU97" s="65">
        <f t="shared" si="603"/>
        <v>0</v>
      </c>
      <c r="AV97" s="65">
        <f t="shared" si="603"/>
        <v>0</v>
      </c>
      <c r="AW97" s="65">
        <f t="shared" si="603"/>
        <v>0</v>
      </c>
      <c r="AX97" s="65">
        <f t="shared" si="603"/>
        <v>0</v>
      </c>
      <c r="AY97" s="65">
        <f t="shared" si="603"/>
        <v>0</v>
      </c>
      <c r="AZ97" s="65">
        <f t="shared" si="603"/>
        <v>0</v>
      </c>
      <c r="BA97" s="65">
        <f t="shared" si="603"/>
        <v>0</v>
      </c>
      <c r="BB97" s="65">
        <f t="shared" si="603"/>
        <v>0</v>
      </c>
      <c r="BC97" s="65">
        <f t="shared" si="603"/>
        <v>0</v>
      </c>
      <c r="BD97" s="64">
        <f>SUM(AU97:AX97,AZ97:BC97)</f>
        <v>0</v>
      </c>
      <c r="BE97" s="62"/>
      <c r="BF97" s="63"/>
      <c r="BG97" s="63"/>
      <c r="BH97" s="63"/>
      <c r="BI97" s="63"/>
      <c r="BJ97" s="63"/>
      <c r="BK97" s="63"/>
      <c r="BL97" s="63"/>
      <c r="BM97" s="63"/>
      <c r="BN97" s="63"/>
      <c r="BO97" s="64">
        <f>SUM(BF97:BI97,BK97:BN97)</f>
        <v>0</v>
      </c>
      <c r="BP97" s="62"/>
      <c r="BQ97" s="63"/>
      <c r="BR97" s="63"/>
      <c r="BS97" s="63"/>
      <c r="BT97" s="63"/>
      <c r="BU97" s="63"/>
      <c r="BV97" s="63"/>
      <c r="BW97" s="63"/>
      <c r="BX97" s="63"/>
      <c r="BY97" s="63"/>
      <c r="BZ97" s="64">
        <f>SUM(BQ97:BT97,BV97:BY97)</f>
        <v>0</v>
      </c>
      <c r="CA97" s="62"/>
      <c r="CB97" s="63"/>
      <c r="CC97" s="63"/>
      <c r="CD97" s="63"/>
      <c r="CE97" s="63"/>
      <c r="CF97" s="63"/>
      <c r="CG97" s="63"/>
      <c r="CH97" s="63"/>
      <c r="CI97" s="63"/>
      <c r="CJ97" s="63"/>
      <c r="CK97" s="64">
        <f>SUM(CB97:CE97,CG97:CJ97)</f>
        <v>0</v>
      </c>
      <c r="CL97" s="65">
        <f t="shared" si="604"/>
        <v>0</v>
      </c>
      <c r="CM97" s="65">
        <f t="shared" si="604"/>
        <v>0</v>
      </c>
      <c r="CN97" s="65">
        <f t="shared" si="604"/>
        <v>0</v>
      </c>
      <c r="CO97" s="65">
        <f t="shared" si="604"/>
        <v>0</v>
      </c>
      <c r="CP97" s="65">
        <f t="shared" si="604"/>
        <v>0</v>
      </c>
      <c r="CQ97" s="65">
        <f t="shared" si="604"/>
        <v>0</v>
      </c>
      <c r="CR97" s="65">
        <f t="shared" si="604"/>
        <v>0</v>
      </c>
      <c r="CS97" s="65">
        <f t="shared" si="604"/>
        <v>0</v>
      </c>
      <c r="CT97" s="65">
        <f t="shared" si="604"/>
        <v>0</v>
      </c>
      <c r="CU97" s="65">
        <f t="shared" si="604"/>
        <v>0</v>
      </c>
      <c r="CV97" s="64">
        <f>SUM(CM97:CP97,CR97:CU97)</f>
        <v>0</v>
      </c>
      <c r="CW97" s="62"/>
      <c r="CX97" s="63"/>
      <c r="CY97" s="63"/>
      <c r="CZ97" s="63"/>
      <c r="DA97" s="63"/>
      <c r="DB97" s="63"/>
      <c r="DC97" s="63"/>
      <c r="DD97" s="63"/>
      <c r="DE97" s="63"/>
      <c r="DF97" s="63"/>
      <c r="DG97" s="64">
        <f>SUM(CX97:DA97,DC97:DF97)</f>
        <v>0</v>
      </c>
      <c r="DH97" s="62"/>
      <c r="DI97" s="63"/>
      <c r="DJ97" s="63"/>
      <c r="DK97" s="63"/>
      <c r="DL97" s="63"/>
      <c r="DM97" s="63"/>
      <c r="DN97" s="63"/>
      <c r="DO97" s="63"/>
      <c r="DP97" s="63"/>
      <c r="DQ97" s="63"/>
      <c r="DR97" s="64">
        <f>SUM(DI97:DL97,DN97:DQ97)</f>
        <v>0</v>
      </c>
      <c r="DS97" s="62"/>
      <c r="DT97" s="63"/>
      <c r="DU97" s="63"/>
      <c r="DV97" s="63"/>
      <c r="DW97" s="63"/>
      <c r="DX97" s="63"/>
      <c r="DY97" s="63"/>
      <c r="DZ97" s="63"/>
      <c r="EA97" s="63"/>
      <c r="EB97" s="63"/>
      <c r="EC97" s="63"/>
      <c r="ED97" s="65">
        <f t="shared" si="605"/>
        <v>0</v>
      </c>
      <c r="EE97" s="65">
        <f t="shared" si="605"/>
        <v>0</v>
      </c>
      <c r="EF97" s="65">
        <f t="shared" si="605"/>
        <v>0</v>
      </c>
      <c r="EG97" s="65">
        <f t="shared" si="605"/>
        <v>0</v>
      </c>
      <c r="EH97" s="65">
        <f t="shared" si="605"/>
        <v>0</v>
      </c>
      <c r="EI97" s="65">
        <f t="shared" si="605"/>
        <v>0</v>
      </c>
      <c r="EJ97" s="65">
        <f t="shared" si="605"/>
        <v>0</v>
      </c>
      <c r="EK97" s="65">
        <f t="shared" si="605"/>
        <v>0</v>
      </c>
      <c r="EL97" s="65">
        <f t="shared" si="605"/>
        <v>0</v>
      </c>
      <c r="EM97" s="65">
        <f t="shared" si="605"/>
        <v>0</v>
      </c>
      <c r="EN97" s="64">
        <f>SUM(EE97:EH97,EJ97:EM97)</f>
        <v>0</v>
      </c>
      <c r="EO97" s="62"/>
      <c r="EP97" s="63"/>
      <c r="EQ97" s="63"/>
      <c r="ER97" s="63"/>
      <c r="ES97" s="63"/>
      <c r="ET97" s="63"/>
      <c r="EU97" s="63"/>
      <c r="EV97" s="63"/>
      <c r="EW97" s="63"/>
      <c r="EX97" s="63"/>
      <c r="EY97" s="64">
        <f>SUM(EP97:ES97,EU97:EX97)</f>
        <v>0</v>
      </c>
      <c r="EZ97" s="62"/>
      <c r="FA97" s="63"/>
      <c r="FB97" s="63"/>
      <c r="FC97" s="63"/>
      <c r="FD97" s="63"/>
      <c r="FE97" s="63"/>
      <c r="FF97" s="63"/>
      <c r="FG97" s="63"/>
      <c r="FH97" s="63"/>
      <c r="FI97" s="63"/>
      <c r="FJ97" s="64">
        <f>SUM(FA97:FD97,FF97:FI97)</f>
        <v>0</v>
      </c>
      <c r="FK97" s="62"/>
      <c r="FL97" s="63"/>
      <c r="FM97" s="63"/>
      <c r="FN97" s="63"/>
      <c r="FO97" s="63"/>
      <c r="FP97" s="63"/>
      <c r="FQ97" s="63"/>
      <c r="FR97" s="63"/>
      <c r="FS97" s="63"/>
      <c r="FT97" s="63"/>
      <c r="FU97" s="64">
        <f>SUM(FL97:FO97,FQ97:FT97)</f>
        <v>0</v>
      </c>
      <c r="FV97" s="65">
        <f t="shared" si="606"/>
        <v>0</v>
      </c>
      <c r="FW97" s="65">
        <f t="shared" si="606"/>
        <v>0</v>
      </c>
      <c r="FX97" s="65">
        <f t="shared" si="606"/>
        <v>0</v>
      </c>
      <c r="FY97" s="65">
        <f t="shared" si="606"/>
        <v>0</v>
      </c>
      <c r="FZ97" s="65">
        <f t="shared" si="606"/>
        <v>0</v>
      </c>
      <c r="GA97" s="65">
        <f t="shared" si="606"/>
        <v>0</v>
      </c>
      <c r="GB97" s="65">
        <f t="shared" si="606"/>
        <v>0</v>
      </c>
      <c r="GC97" s="65">
        <f t="shared" si="606"/>
        <v>0</v>
      </c>
      <c r="GD97" s="65">
        <f t="shared" si="606"/>
        <v>0</v>
      </c>
      <c r="GE97" s="65">
        <f t="shared" si="606"/>
        <v>0</v>
      </c>
      <c r="GF97" s="64">
        <f>SUM(FW97:FZ97,GB97:GE97)</f>
        <v>0</v>
      </c>
      <c r="GG97" s="66">
        <f t="shared" si="607"/>
        <v>0</v>
      </c>
      <c r="GH97" s="66">
        <f t="shared" si="607"/>
        <v>0</v>
      </c>
      <c r="GI97" s="66">
        <f t="shared" si="607"/>
        <v>0</v>
      </c>
      <c r="GJ97" s="66">
        <f t="shared" si="607"/>
        <v>0</v>
      </c>
      <c r="GK97" s="66">
        <f t="shared" si="607"/>
        <v>0</v>
      </c>
      <c r="GL97" s="66">
        <f t="shared" si="607"/>
        <v>0</v>
      </c>
      <c r="GM97" s="66">
        <f t="shared" si="607"/>
        <v>0</v>
      </c>
      <c r="GN97" s="66">
        <f t="shared" si="607"/>
        <v>0</v>
      </c>
      <c r="GO97" s="66">
        <f t="shared" si="607"/>
        <v>0</v>
      </c>
      <c r="GP97" s="66">
        <f t="shared" si="607"/>
        <v>0</v>
      </c>
      <c r="GQ97" s="64">
        <f>SUM(GH97:GK97,GM97:GP97)</f>
        <v>0</v>
      </c>
      <c r="GR97" s="63"/>
      <c r="GS97" s="63"/>
      <c r="GT97" s="63"/>
      <c r="GU97" s="63"/>
      <c r="GV97" s="67">
        <f>SUM(GR97:GU97)</f>
        <v>0</v>
      </c>
      <c r="GW97" s="63"/>
      <c r="GX97" s="63"/>
      <c r="GY97" s="63"/>
      <c r="GZ97" s="63"/>
      <c r="HA97" s="67">
        <f>SUM(GW97:GZ97)</f>
        <v>0</v>
      </c>
      <c r="HB97" s="63"/>
      <c r="HC97" s="63"/>
      <c r="HD97" s="63"/>
      <c r="HE97" s="63"/>
      <c r="HF97" s="67">
        <f>SUM(HB97:HE97)</f>
        <v>0</v>
      </c>
      <c r="HG97" s="63"/>
      <c r="HH97" s="63"/>
      <c r="HI97" s="63"/>
      <c r="HJ97" s="63"/>
      <c r="HK97" s="67">
        <f>SUM(HG97:HJ97)</f>
        <v>0</v>
      </c>
      <c r="HL97" s="68">
        <f t="shared" si="608"/>
        <v>0</v>
      </c>
      <c r="HM97" s="68">
        <f t="shared" si="608"/>
        <v>0</v>
      </c>
      <c r="HN97" s="68">
        <f t="shared" si="608"/>
        <v>0</v>
      </c>
      <c r="HO97" s="68">
        <f t="shared" si="608"/>
        <v>0</v>
      </c>
      <c r="HP97" s="67">
        <f>SUM(HL97:HO97)</f>
        <v>0</v>
      </c>
      <c r="HQ97" s="63"/>
      <c r="HR97" s="63"/>
      <c r="HS97" s="63"/>
      <c r="HT97" s="63"/>
      <c r="HU97" s="67">
        <f>SUM(HQ97:HT97)</f>
        <v>0</v>
      </c>
      <c r="HV97" s="63"/>
      <c r="HW97" s="63"/>
      <c r="HX97" s="63"/>
      <c r="HY97" s="63"/>
      <c r="HZ97" s="67">
        <f>SUM(HV97:HY97)</f>
        <v>0</v>
      </c>
      <c r="IA97" s="63"/>
      <c r="IB97" s="63"/>
      <c r="IC97" s="63"/>
      <c r="ID97" s="63"/>
      <c r="IE97" s="67">
        <f>SUM(IA97:ID97)</f>
        <v>0</v>
      </c>
      <c r="IF97" s="68">
        <f t="shared" si="609"/>
        <v>0</v>
      </c>
      <c r="IG97" s="68">
        <f t="shared" si="609"/>
        <v>0</v>
      </c>
      <c r="IH97" s="68">
        <f t="shared" si="609"/>
        <v>0</v>
      </c>
      <c r="II97" s="68">
        <f t="shared" si="609"/>
        <v>0</v>
      </c>
      <c r="IJ97" s="67">
        <f>SUM(IF97:II97)</f>
        <v>0</v>
      </c>
      <c r="IK97" s="63"/>
      <c r="IL97" s="63"/>
      <c r="IM97" s="63"/>
      <c r="IN97" s="63"/>
      <c r="IO97" s="67">
        <f>SUM(IK97:IN97)</f>
        <v>0</v>
      </c>
      <c r="IP97" s="63"/>
      <c r="IQ97" s="63"/>
      <c r="IR97" s="63"/>
      <c r="IS97" s="63"/>
      <c r="IT97" s="67">
        <f>SUM(IP97:IS97)</f>
        <v>0</v>
      </c>
      <c r="IU97" s="63"/>
      <c r="IV97" s="63"/>
    </row>
    <row r="98" spans="1:256" ht="12.75" customHeight="1" x14ac:dyDescent="0.25">
      <c r="A98" s="123" t="s">
        <v>100</v>
      </c>
      <c r="B98" s="62">
        <v>200</v>
      </c>
      <c r="C98" s="63"/>
      <c r="D98" s="63"/>
      <c r="E98" s="63"/>
      <c r="F98" s="63"/>
      <c r="G98" s="63"/>
      <c r="H98" s="63"/>
      <c r="I98" s="63"/>
      <c r="J98" s="63"/>
      <c r="K98" s="63"/>
      <c r="L98" s="64">
        <f>SUM(C98:F98,H98:K98)</f>
        <v>0</v>
      </c>
      <c r="M98" s="62"/>
      <c r="N98" s="63"/>
      <c r="O98" s="63"/>
      <c r="P98" s="63"/>
      <c r="Q98" s="63"/>
      <c r="R98" s="63"/>
      <c r="S98" s="63"/>
      <c r="T98" s="63"/>
      <c r="U98" s="63"/>
      <c r="V98" s="63"/>
      <c r="W98" s="64">
        <f>SUM(N98:Q98,S98:V98)</f>
        <v>0</v>
      </c>
      <c r="X98" s="62"/>
      <c r="Y98" s="63"/>
      <c r="Z98" s="63"/>
      <c r="AA98" s="63"/>
      <c r="AB98" s="63"/>
      <c r="AC98" s="63"/>
      <c r="AD98" s="63"/>
      <c r="AE98" s="63"/>
      <c r="AF98" s="63"/>
      <c r="AG98" s="63"/>
      <c r="AH98" s="64">
        <f>SUM(Y98:AB98,AD98:AG98)</f>
        <v>0</v>
      </c>
      <c r="AI98" s="62"/>
      <c r="AJ98" s="63"/>
      <c r="AK98" s="63"/>
      <c r="AL98" s="63"/>
      <c r="AM98" s="63"/>
      <c r="AN98" s="63"/>
      <c r="AO98" s="63"/>
      <c r="AP98" s="63"/>
      <c r="AQ98" s="63"/>
      <c r="AR98" s="63"/>
      <c r="AS98" s="64">
        <f>SUM(AJ98:AM98,AO98:AR98)</f>
        <v>0</v>
      </c>
      <c r="AT98" s="65">
        <f t="shared" si="603"/>
        <v>0</v>
      </c>
      <c r="AU98" s="65">
        <f t="shared" si="603"/>
        <v>0</v>
      </c>
      <c r="AV98" s="65">
        <f t="shared" si="603"/>
        <v>0</v>
      </c>
      <c r="AW98" s="65">
        <f t="shared" si="603"/>
        <v>0</v>
      </c>
      <c r="AX98" s="65">
        <f t="shared" si="603"/>
        <v>0</v>
      </c>
      <c r="AY98" s="65">
        <f t="shared" si="603"/>
        <v>0</v>
      </c>
      <c r="AZ98" s="65">
        <f t="shared" si="603"/>
        <v>0</v>
      </c>
      <c r="BA98" s="65">
        <f t="shared" si="603"/>
        <v>0</v>
      </c>
      <c r="BB98" s="65">
        <f t="shared" si="603"/>
        <v>0</v>
      </c>
      <c r="BC98" s="65">
        <f t="shared" si="603"/>
        <v>0</v>
      </c>
      <c r="BD98" s="64">
        <f>SUM(AU98:AX98,AZ98:BC98)</f>
        <v>0</v>
      </c>
      <c r="BE98" s="62"/>
      <c r="BF98" s="63"/>
      <c r="BG98" s="63"/>
      <c r="BH98" s="63"/>
      <c r="BI98" s="63"/>
      <c r="BJ98" s="63"/>
      <c r="BK98" s="63"/>
      <c r="BL98" s="63"/>
      <c r="BM98" s="63"/>
      <c r="BN98" s="63"/>
      <c r="BO98" s="64">
        <f>SUM(BF98:BI98,BK98:BN98)</f>
        <v>0</v>
      </c>
      <c r="BP98" s="62"/>
      <c r="BQ98" s="63"/>
      <c r="BR98" s="63"/>
      <c r="BS98" s="63"/>
      <c r="BT98" s="63"/>
      <c r="BU98" s="63"/>
      <c r="BV98" s="63"/>
      <c r="BW98" s="63"/>
      <c r="BX98" s="63"/>
      <c r="BY98" s="63"/>
      <c r="BZ98" s="64">
        <f>SUM(BQ98:BT98,BV98:BY98)</f>
        <v>0</v>
      </c>
      <c r="CA98" s="62"/>
      <c r="CB98" s="63"/>
      <c r="CC98" s="63"/>
      <c r="CD98" s="63"/>
      <c r="CE98" s="63"/>
      <c r="CF98" s="63"/>
      <c r="CG98" s="63"/>
      <c r="CH98" s="63"/>
      <c r="CI98" s="63"/>
      <c r="CJ98" s="63"/>
      <c r="CK98" s="64">
        <f>SUM(CB98:CE98,CG98:CJ98)</f>
        <v>0</v>
      </c>
      <c r="CL98" s="65">
        <f t="shared" si="604"/>
        <v>0</v>
      </c>
      <c r="CM98" s="65">
        <f t="shared" si="604"/>
        <v>0</v>
      </c>
      <c r="CN98" s="65">
        <f t="shared" si="604"/>
        <v>0</v>
      </c>
      <c r="CO98" s="65">
        <f t="shared" si="604"/>
        <v>0</v>
      </c>
      <c r="CP98" s="65">
        <f t="shared" si="604"/>
        <v>0</v>
      </c>
      <c r="CQ98" s="65">
        <f t="shared" si="604"/>
        <v>0</v>
      </c>
      <c r="CR98" s="65">
        <f t="shared" si="604"/>
        <v>0</v>
      </c>
      <c r="CS98" s="65">
        <f t="shared" si="604"/>
        <v>0</v>
      </c>
      <c r="CT98" s="65">
        <f t="shared" si="604"/>
        <v>0</v>
      </c>
      <c r="CU98" s="65">
        <f t="shared" si="604"/>
        <v>0</v>
      </c>
      <c r="CV98" s="64">
        <f>SUM(CM98:CP98,CR98:CU98)</f>
        <v>0</v>
      </c>
      <c r="CW98" s="62"/>
      <c r="CX98" s="63"/>
      <c r="CY98" s="63"/>
      <c r="CZ98" s="63"/>
      <c r="DA98" s="63"/>
      <c r="DB98" s="63"/>
      <c r="DC98" s="63"/>
      <c r="DD98" s="63"/>
      <c r="DE98" s="63"/>
      <c r="DF98" s="63"/>
      <c r="DG98" s="64">
        <f>SUM(CX98:DA98,DC98:DF98)</f>
        <v>0</v>
      </c>
      <c r="DH98" s="62"/>
      <c r="DI98" s="63"/>
      <c r="DJ98" s="63"/>
      <c r="DK98" s="63"/>
      <c r="DL98" s="63"/>
      <c r="DM98" s="63"/>
      <c r="DN98" s="63"/>
      <c r="DO98" s="63"/>
      <c r="DP98" s="63"/>
      <c r="DQ98" s="63"/>
      <c r="DR98" s="64">
        <f>SUM(DI98:DL98,DN98:DQ98)</f>
        <v>0</v>
      </c>
      <c r="DS98" s="62"/>
      <c r="DT98" s="63"/>
      <c r="DU98" s="63"/>
      <c r="DV98" s="63"/>
      <c r="DW98" s="63"/>
      <c r="DX98" s="63"/>
      <c r="DY98" s="63"/>
      <c r="DZ98" s="63"/>
      <c r="EA98" s="63"/>
      <c r="EB98" s="63"/>
      <c r="EC98" s="63"/>
      <c r="ED98" s="65">
        <f t="shared" si="605"/>
        <v>0</v>
      </c>
      <c r="EE98" s="65">
        <f t="shared" si="605"/>
        <v>0</v>
      </c>
      <c r="EF98" s="65">
        <f t="shared" si="605"/>
        <v>0</v>
      </c>
      <c r="EG98" s="65">
        <f t="shared" si="605"/>
        <v>0</v>
      </c>
      <c r="EH98" s="65">
        <f t="shared" si="605"/>
        <v>0</v>
      </c>
      <c r="EI98" s="65">
        <f t="shared" si="605"/>
        <v>0</v>
      </c>
      <c r="EJ98" s="65">
        <f t="shared" si="605"/>
        <v>0</v>
      </c>
      <c r="EK98" s="65">
        <f t="shared" si="605"/>
        <v>0</v>
      </c>
      <c r="EL98" s="65">
        <f t="shared" si="605"/>
        <v>0</v>
      </c>
      <c r="EM98" s="65">
        <f t="shared" si="605"/>
        <v>0</v>
      </c>
      <c r="EN98" s="64">
        <f>SUM(EE98:EH98,EJ98:EM98)</f>
        <v>0</v>
      </c>
      <c r="EO98" s="62"/>
      <c r="EP98" s="63"/>
      <c r="EQ98" s="63"/>
      <c r="ER98" s="63"/>
      <c r="ES98" s="63"/>
      <c r="ET98" s="63"/>
      <c r="EU98" s="63"/>
      <c r="EV98" s="63"/>
      <c r="EW98" s="63"/>
      <c r="EX98" s="63"/>
      <c r="EY98" s="64">
        <f>SUM(EP98:ES98,EU98:EX98)</f>
        <v>0</v>
      </c>
      <c r="EZ98" s="62"/>
      <c r="FA98" s="63"/>
      <c r="FB98" s="63"/>
      <c r="FC98" s="63"/>
      <c r="FD98" s="63"/>
      <c r="FE98" s="63"/>
      <c r="FF98" s="63"/>
      <c r="FG98" s="63"/>
      <c r="FH98" s="63"/>
      <c r="FI98" s="63"/>
      <c r="FJ98" s="64">
        <f>SUM(FA98:FD98,FF98:FI98)</f>
        <v>0</v>
      </c>
      <c r="FK98" s="62"/>
      <c r="FL98" s="63"/>
      <c r="FM98" s="63"/>
      <c r="FN98" s="63"/>
      <c r="FO98" s="63"/>
      <c r="FP98" s="63"/>
      <c r="FQ98" s="63"/>
      <c r="FR98" s="63"/>
      <c r="FS98" s="63"/>
      <c r="FT98" s="63"/>
      <c r="FU98" s="64">
        <f>SUM(FL98:FO98,FQ98:FT98)</f>
        <v>0</v>
      </c>
      <c r="FV98" s="65">
        <f t="shared" si="606"/>
        <v>0</v>
      </c>
      <c r="FW98" s="65">
        <f t="shared" si="606"/>
        <v>0</v>
      </c>
      <c r="FX98" s="65">
        <f t="shared" si="606"/>
        <v>0</v>
      </c>
      <c r="FY98" s="65">
        <f t="shared" si="606"/>
        <v>0</v>
      </c>
      <c r="FZ98" s="65">
        <f t="shared" si="606"/>
        <v>0</v>
      </c>
      <c r="GA98" s="65">
        <f t="shared" si="606"/>
        <v>0</v>
      </c>
      <c r="GB98" s="65">
        <f t="shared" si="606"/>
        <v>0</v>
      </c>
      <c r="GC98" s="65">
        <f t="shared" si="606"/>
        <v>0</v>
      </c>
      <c r="GD98" s="65">
        <f t="shared" si="606"/>
        <v>0</v>
      </c>
      <c r="GE98" s="65">
        <f t="shared" si="606"/>
        <v>0</v>
      </c>
      <c r="GF98" s="64">
        <f>SUM(FW98:FZ98,GB98:GE98)</f>
        <v>0</v>
      </c>
      <c r="GG98" s="66">
        <f t="shared" si="607"/>
        <v>0</v>
      </c>
      <c r="GH98" s="66">
        <f t="shared" si="607"/>
        <v>0</v>
      </c>
      <c r="GI98" s="66">
        <f t="shared" si="607"/>
        <v>0</v>
      </c>
      <c r="GJ98" s="66">
        <f t="shared" si="607"/>
        <v>0</v>
      </c>
      <c r="GK98" s="66">
        <f t="shared" si="607"/>
        <v>0</v>
      </c>
      <c r="GL98" s="66">
        <f t="shared" si="607"/>
        <v>0</v>
      </c>
      <c r="GM98" s="66">
        <f t="shared" si="607"/>
        <v>0</v>
      </c>
      <c r="GN98" s="66">
        <f t="shared" si="607"/>
        <v>0</v>
      </c>
      <c r="GO98" s="66">
        <f t="shared" si="607"/>
        <v>0</v>
      </c>
      <c r="GP98" s="66">
        <f t="shared" si="607"/>
        <v>0</v>
      </c>
      <c r="GQ98" s="64">
        <f>SUM(GH98:GK98,GM98:GP98)</f>
        <v>0</v>
      </c>
      <c r="GR98" s="63"/>
      <c r="GS98" s="63"/>
      <c r="GT98" s="63"/>
      <c r="GU98" s="63"/>
      <c r="GV98" s="67">
        <f>SUM(GR98:GU98)</f>
        <v>0</v>
      </c>
      <c r="GW98" s="63"/>
      <c r="GX98" s="63"/>
      <c r="GY98" s="63"/>
      <c r="GZ98" s="63"/>
      <c r="HA98" s="67">
        <f>SUM(GW98:GZ98)</f>
        <v>0</v>
      </c>
      <c r="HB98" s="63"/>
      <c r="HC98" s="63"/>
      <c r="HD98" s="63"/>
      <c r="HE98" s="63"/>
      <c r="HF98" s="67">
        <f>SUM(HB98:HE98)</f>
        <v>0</v>
      </c>
      <c r="HG98" s="63"/>
      <c r="HH98" s="63"/>
      <c r="HI98" s="63"/>
      <c r="HJ98" s="63"/>
      <c r="HK98" s="67">
        <f>SUM(HG98:HJ98)</f>
        <v>0</v>
      </c>
      <c r="HL98" s="68">
        <f t="shared" si="608"/>
        <v>0</v>
      </c>
      <c r="HM98" s="68">
        <f t="shared" si="608"/>
        <v>0</v>
      </c>
      <c r="HN98" s="68">
        <f t="shared" si="608"/>
        <v>0</v>
      </c>
      <c r="HO98" s="68">
        <f t="shared" si="608"/>
        <v>0</v>
      </c>
      <c r="HP98" s="67">
        <f>SUM(HL98:HO98)</f>
        <v>0</v>
      </c>
      <c r="HQ98" s="63"/>
      <c r="HR98" s="63"/>
      <c r="HS98" s="63"/>
      <c r="HT98" s="63"/>
      <c r="HU98" s="67">
        <f>SUM(HQ98:HT98)</f>
        <v>0</v>
      </c>
      <c r="HV98" s="63"/>
      <c r="HW98" s="63"/>
      <c r="HX98" s="63"/>
      <c r="HY98" s="63"/>
      <c r="HZ98" s="67">
        <f>SUM(HV98:HY98)</f>
        <v>0</v>
      </c>
      <c r="IA98" s="63"/>
      <c r="IB98" s="63"/>
      <c r="IC98" s="63"/>
      <c r="ID98" s="63"/>
      <c r="IE98" s="67">
        <f>SUM(IA98:ID98)</f>
        <v>0</v>
      </c>
      <c r="IF98" s="68">
        <f t="shared" si="609"/>
        <v>0</v>
      </c>
      <c r="IG98" s="68">
        <f t="shared" si="609"/>
        <v>0</v>
      </c>
      <c r="IH98" s="68">
        <f t="shared" si="609"/>
        <v>0</v>
      </c>
      <c r="II98" s="68">
        <f t="shared" si="609"/>
        <v>0</v>
      </c>
      <c r="IJ98" s="67">
        <f>SUM(IF98:II98)</f>
        <v>0</v>
      </c>
      <c r="IK98" s="63"/>
      <c r="IL98" s="63"/>
      <c r="IM98" s="63"/>
      <c r="IN98" s="63"/>
      <c r="IO98" s="67">
        <f>SUM(IK98:IN98)</f>
        <v>0</v>
      </c>
      <c r="IP98" s="63"/>
      <c r="IQ98" s="63"/>
      <c r="IR98" s="63"/>
      <c r="IS98" s="63"/>
      <c r="IT98" s="67">
        <f>SUM(IP98:IS98)</f>
        <v>0</v>
      </c>
      <c r="IU98" s="63"/>
      <c r="IV98" s="63"/>
    </row>
    <row r="99" spans="1:256" s="92" customFormat="1" ht="12.75" customHeight="1" x14ac:dyDescent="0.25">
      <c r="A99" s="123" t="s">
        <v>101</v>
      </c>
      <c r="B99" s="62">
        <v>225</v>
      </c>
      <c r="C99" s="63"/>
      <c r="D99" s="63"/>
      <c r="E99" s="63"/>
      <c r="F99" s="63"/>
      <c r="G99" s="63"/>
      <c r="H99" s="63"/>
      <c r="I99" s="63"/>
      <c r="J99" s="63"/>
      <c r="K99" s="63"/>
      <c r="L99" s="64">
        <f>SUM(C99:F99,H99:K99)</f>
        <v>0</v>
      </c>
      <c r="M99" s="62"/>
      <c r="N99" s="63"/>
      <c r="O99" s="63"/>
      <c r="P99" s="63"/>
      <c r="Q99" s="63"/>
      <c r="R99" s="63"/>
      <c r="S99" s="63"/>
      <c r="T99" s="63"/>
      <c r="U99" s="63"/>
      <c r="V99" s="63"/>
      <c r="W99" s="64">
        <f>SUM(N99:Q99,S99:V99)</f>
        <v>0</v>
      </c>
      <c r="X99" s="62"/>
      <c r="Y99" s="63"/>
      <c r="Z99" s="63"/>
      <c r="AA99" s="63"/>
      <c r="AB99" s="63"/>
      <c r="AC99" s="63"/>
      <c r="AD99" s="63"/>
      <c r="AE99" s="63"/>
      <c r="AF99" s="63"/>
      <c r="AG99" s="63"/>
      <c r="AH99" s="64">
        <f>SUM(Y99:AB99,AD99:AG99)</f>
        <v>0</v>
      </c>
      <c r="AI99" s="62"/>
      <c r="AJ99" s="63"/>
      <c r="AK99" s="63"/>
      <c r="AL99" s="63"/>
      <c r="AM99" s="63"/>
      <c r="AN99" s="63"/>
      <c r="AO99" s="63"/>
      <c r="AP99" s="63"/>
      <c r="AQ99" s="63"/>
      <c r="AR99" s="63"/>
      <c r="AS99" s="64">
        <f>SUM(AJ99:AM99,AO99:AR99)</f>
        <v>0</v>
      </c>
      <c r="AT99" s="65">
        <f t="shared" si="603"/>
        <v>0</v>
      </c>
      <c r="AU99" s="65">
        <f t="shared" si="603"/>
        <v>0</v>
      </c>
      <c r="AV99" s="65">
        <f t="shared" si="603"/>
        <v>0</v>
      </c>
      <c r="AW99" s="65">
        <f t="shared" si="603"/>
        <v>0</v>
      </c>
      <c r="AX99" s="65">
        <f t="shared" si="603"/>
        <v>0</v>
      </c>
      <c r="AY99" s="65">
        <f t="shared" si="603"/>
        <v>0</v>
      </c>
      <c r="AZ99" s="65">
        <f t="shared" si="603"/>
        <v>0</v>
      </c>
      <c r="BA99" s="65">
        <f t="shared" si="603"/>
        <v>0</v>
      </c>
      <c r="BB99" s="65">
        <f t="shared" si="603"/>
        <v>0</v>
      </c>
      <c r="BC99" s="65">
        <f t="shared" si="603"/>
        <v>0</v>
      </c>
      <c r="BD99" s="64">
        <f>SUM(AU99:AX99,AZ99:BC99)</f>
        <v>0</v>
      </c>
      <c r="BE99" s="62"/>
      <c r="BF99" s="63"/>
      <c r="BG99" s="63"/>
      <c r="BH99" s="63"/>
      <c r="BI99" s="63"/>
      <c r="BJ99" s="63"/>
      <c r="BK99" s="63"/>
      <c r="BL99" s="63"/>
      <c r="BM99" s="63"/>
      <c r="BN99" s="63"/>
      <c r="BO99" s="64">
        <f>SUM(BF99:BI99,BK99:BN99)</f>
        <v>0</v>
      </c>
      <c r="BP99" s="62"/>
      <c r="BQ99" s="63"/>
      <c r="BR99" s="63"/>
      <c r="BS99" s="63"/>
      <c r="BT99" s="63"/>
      <c r="BU99" s="63"/>
      <c r="BV99" s="63"/>
      <c r="BW99" s="63"/>
      <c r="BX99" s="63"/>
      <c r="BY99" s="63"/>
      <c r="BZ99" s="64">
        <f>SUM(BQ99:BT99,BV99:BY99)</f>
        <v>0</v>
      </c>
      <c r="CA99" s="62"/>
      <c r="CB99" s="63"/>
      <c r="CC99" s="63"/>
      <c r="CD99" s="63"/>
      <c r="CE99" s="63"/>
      <c r="CF99" s="63"/>
      <c r="CG99" s="63"/>
      <c r="CH99" s="63"/>
      <c r="CI99" s="63"/>
      <c r="CJ99" s="63"/>
      <c r="CK99" s="64">
        <f>SUM(CB99:CE99,CG99:CJ99)</f>
        <v>0</v>
      </c>
      <c r="CL99" s="65">
        <f t="shared" si="604"/>
        <v>0</v>
      </c>
      <c r="CM99" s="65">
        <f t="shared" si="604"/>
        <v>0</v>
      </c>
      <c r="CN99" s="65">
        <f t="shared" si="604"/>
        <v>0</v>
      </c>
      <c r="CO99" s="65">
        <f t="shared" si="604"/>
        <v>0</v>
      </c>
      <c r="CP99" s="65">
        <f t="shared" si="604"/>
        <v>0</v>
      </c>
      <c r="CQ99" s="65">
        <f t="shared" si="604"/>
        <v>0</v>
      </c>
      <c r="CR99" s="65">
        <f t="shared" si="604"/>
        <v>0</v>
      </c>
      <c r="CS99" s="65">
        <f t="shared" si="604"/>
        <v>0</v>
      </c>
      <c r="CT99" s="65">
        <f t="shared" si="604"/>
        <v>0</v>
      </c>
      <c r="CU99" s="65">
        <f t="shared" si="604"/>
        <v>0</v>
      </c>
      <c r="CV99" s="64">
        <f>SUM(CM99:CP99,CR99:CU99)</f>
        <v>0</v>
      </c>
      <c r="CW99" s="62"/>
      <c r="CX99" s="63"/>
      <c r="CY99" s="63"/>
      <c r="CZ99" s="63"/>
      <c r="DA99" s="63"/>
      <c r="DB99" s="63"/>
      <c r="DC99" s="63"/>
      <c r="DD99" s="63"/>
      <c r="DE99" s="63"/>
      <c r="DF99" s="63"/>
      <c r="DG99" s="64">
        <f>SUM(CX99:DA99,DC99:DF99)</f>
        <v>0</v>
      </c>
      <c r="DH99" s="62"/>
      <c r="DI99" s="63"/>
      <c r="DJ99" s="63"/>
      <c r="DK99" s="63"/>
      <c r="DL99" s="63"/>
      <c r="DM99" s="63"/>
      <c r="DN99" s="63"/>
      <c r="DO99" s="63"/>
      <c r="DP99" s="63"/>
      <c r="DQ99" s="63"/>
      <c r="DR99" s="64">
        <f>SUM(DI99:DL99,DN99:DQ99)</f>
        <v>0</v>
      </c>
      <c r="DS99" s="62"/>
      <c r="DT99" s="63"/>
      <c r="DU99" s="63"/>
      <c r="DV99" s="63"/>
      <c r="DW99" s="63"/>
      <c r="DX99" s="63"/>
      <c r="DY99" s="63"/>
      <c r="DZ99" s="63"/>
      <c r="EA99" s="63"/>
      <c r="EB99" s="63"/>
      <c r="EC99" s="63"/>
      <c r="ED99" s="65">
        <f t="shared" si="605"/>
        <v>0</v>
      </c>
      <c r="EE99" s="65">
        <f t="shared" si="605"/>
        <v>0</v>
      </c>
      <c r="EF99" s="65">
        <f t="shared" si="605"/>
        <v>0</v>
      </c>
      <c r="EG99" s="65">
        <f t="shared" si="605"/>
        <v>0</v>
      </c>
      <c r="EH99" s="65">
        <f t="shared" si="605"/>
        <v>0</v>
      </c>
      <c r="EI99" s="65">
        <f t="shared" si="605"/>
        <v>0</v>
      </c>
      <c r="EJ99" s="65">
        <f t="shared" si="605"/>
        <v>0</v>
      </c>
      <c r="EK99" s="65">
        <f t="shared" si="605"/>
        <v>0</v>
      </c>
      <c r="EL99" s="65">
        <f t="shared" si="605"/>
        <v>0</v>
      </c>
      <c r="EM99" s="65">
        <f t="shared" si="605"/>
        <v>0</v>
      </c>
      <c r="EN99" s="64">
        <f>SUM(EE99:EH99,EJ99:EM99)</f>
        <v>0</v>
      </c>
      <c r="EO99" s="62"/>
      <c r="EP99" s="63"/>
      <c r="EQ99" s="63"/>
      <c r="ER99" s="63"/>
      <c r="ES99" s="63"/>
      <c r="ET99" s="63"/>
      <c r="EU99" s="63"/>
      <c r="EV99" s="63"/>
      <c r="EW99" s="63"/>
      <c r="EX99" s="63"/>
      <c r="EY99" s="64">
        <f>SUM(EP99:ES99,EU99:EX99)</f>
        <v>0</v>
      </c>
      <c r="EZ99" s="62"/>
      <c r="FA99" s="63"/>
      <c r="FB99" s="63"/>
      <c r="FC99" s="63"/>
      <c r="FD99" s="63"/>
      <c r="FE99" s="63"/>
      <c r="FF99" s="63"/>
      <c r="FG99" s="63"/>
      <c r="FH99" s="63"/>
      <c r="FI99" s="63"/>
      <c r="FJ99" s="64">
        <f>SUM(FA99:FD99,FF99:FI99)</f>
        <v>0</v>
      </c>
      <c r="FK99" s="62"/>
      <c r="FL99" s="63"/>
      <c r="FM99" s="63"/>
      <c r="FN99" s="63"/>
      <c r="FO99" s="63"/>
      <c r="FP99" s="63"/>
      <c r="FQ99" s="63"/>
      <c r="FR99" s="63"/>
      <c r="FS99" s="63"/>
      <c r="FT99" s="63"/>
      <c r="FU99" s="64">
        <f>SUM(FL99:FO99,FQ99:FT99)</f>
        <v>0</v>
      </c>
      <c r="FV99" s="65">
        <f t="shared" si="606"/>
        <v>0</v>
      </c>
      <c r="FW99" s="65">
        <f t="shared" si="606"/>
        <v>0</v>
      </c>
      <c r="FX99" s="65">
        <f t="shared" si="606"/>
        <v>0</v>
      </c>
      <c r="FY99" s="65">
        <f t="shared" si="606"/>
        <v>0</v>
      </c>
      <c r="FZ99" s="65">
        <f t="shared" si="606"/>
        <v>0</v>
      </c>
      <c r="GA99" s="65">
        <f t="shared" si="606"/>
        <v>0</v>
      </c>
      <c r="GB99" s="65">
        <f t="shared" si="606"/>
        <v>0</v>
      </c>
      <c r="GC99" s="65">
        <f t="shared" si="606"/>
        <v>0</v>
      </c>
      <c r="GD99" s="65">
        <f t="shared" si="606"/>
        <v>0</v>
      </c>
      <c r="GE99" s="65">
        <f t="shared" si="606"/>
        <v>0</v>
      </c>
      <c r="GF99" s="64">
        <f>SUM(FW99:FZ99,GB99:GE99)</f>
        <v>0</v>
      </c>
      <c r="GG99" s="66">
        <f t="shared" si="607"/>
        <v>0</v>
      </c>
      <c r="GH99" s="66">
        <f t="shared" si="607"/>
        <v>0</v>
      </c>
      <c r="GI99" s="66">
        <f t="shared" si="607"/>
        <v>0</v>
      </c>
      <c r="GJ99" s="66">
        <f t="shared" si="607"/>
        <v>0</v>
      </c>
      <c r="GK99" s="66">
        <f t="shared" si="607"/>
        <v>0</v>
      </c>
      <c r="GL99" s="66">
        <f t="shared" si="607"/>
        <v>0</v>
      </c>
      <c r="GM99" s="66">
        <f t="shared" si="607"/>
        <v>0</v>
      </c>
      <c r="GN99" s="66">
        <f t="shared" si="607"/>
        <v>0</v>
      </c>
      <c r="GO99" s="66">
        <f t="shared" si="607"/>
        <v>0</v>
      </c>
      <c r="GP99" s="66">
        <f t="shared" si="607"/>
        <v>0</v>
      </c>
      <c r="GQ99" s="64">
        <f>SUM(GH99:GK99,GM99:GP99)</f>
        <v>0</v>
      </c>
      <c r="GR99" s="63"/>
      <c r="GS99" s="63"/>
      <c r="GT99" s="63"/>
      <c r="GU99" s="63"/>
      <c r="GV99" s="67">
        <f>SUM(GR99:GU99)</f>
        <v>0</v>
      </c>
      <c r="GW99" s="63"/>
      <c r="GX99" s="63"/>
      <c r="GY99" s="63"/>
      <c r="GZ99" s="63"/>
      <c r="HA99" s="67">
        <f>SUM(GW99:GZ99)</f>
        <v>0</v>
      </c>
      <c r="HB99" s="63"/>
      <c r="HC99" s="63"/>
      <c r="HD99" s="63"/>
      <c r="HE99" s="63"/>
      <c r="HF99" s="67">
        <f>SUM(HB99:HE99)</f>
        <v>0</v>
      </c>
      <c r="HG99" s="63"/>
      <c r="HH99" s="63"/>
      <c r="HI99" s="63"/>
      <c r="HJ99" s="63"/>
      <c r="HK99" s="67">
        <f>SUM(HG99:HJ99)</f>
        <v>0</v>
      </c>
      <c r="HL99" s="68">
        <f t="shared" si="608"/>
        <v>0</v>
      </c>
      <c r="HM99" s="68">
        <f t="shared" si="608"/>
        <v>0</v>
      </c>
      <c r="HN99" s="68">
        <f t="shared" si="608"/>
        <v>0</v>
      </c>
      <c r="HO99" s="68">
        <f t="shared" si="608"/>
        <v>0</v>
      </c>
      <c r="HP99" s="67">
        <f>SUM(HL99:HO99)</f>
        <v>0</v>
      </c>
      <c r="HQ99" s="63"/>
      <c r="HR99" s="63"/>
      <c r="HS99" s="63"/>
      <c r="HT99" s="63"/>
      <c r="HU99" s="67">
        <f>SUM(HQ99:HT99)</f>
        <v>0</v>
      </c>
      <c r="HV99" s="63"/>
      <c r="HW99" s="63"/>
      <c r="HX99" s="63"/>
      <c r="HY99" s="63"/>
      <c r="HZ99" s="67">
        <f>SUM(HV99:HY99)</f>
        <v>0</v>
      </c>
      <c r="IA99" s="63"/>
      <c r="IB99" s="63"/>
      <c r="IC99" s="63"/>
      <c r="ID99" s="63"/>
      <c r="IE99" s="67">
        <f>SUM(IA99:ID99)</f>
        <v>0</v>
      </c>
      <c r="IF99" s="68">
        <f t="shared" si="609"/>
        <v>0</v>
      </c>
      <c r="IG99" s="68">
        <f t="shared" si="609"/>
        <v>0</v>
      </c>
      <c r="IH99" s="68">
        <f t="shared" si="609"/>
        <v>0</v>
      </c>
      <c r="II99" s="68">
        <f t="shared" si="609"/>
        <v>0</v>
      </c>
      <c r="IJ99" s="67">
        <f>SUM(IF99:II99)</f>
        <v>0</v>
      </c>
      <c r="IK99" s="63"/>
      <c r="IL99" s="63"/>
      <c r="IM99" s="63"/>
      <c r="IN99" s="63"/>
      <c r="IO99" s="67">
        <f>SUM(IK99:IN99)</f>
        <v>0</v>
      </c>
      <c r="IP99" s="63"/>
      <c r="IQ99" s="63"/>
      <c r="IR99" s="63"/>
      <c r="IS99" s="63"/>
      <c r="IT99" s="67">
        <f>SUM(IP99:IS99)</f>
        <v>0</v>
      </c>
      <c r="IU99" s="63"/>
      <c r="IV99" s="63"/>
    </row>
    <row r="100" spans="1:256" s="92" customFormat="1" ht="12.75" customHeight="1" x14ac:dyDescent="0.25">
      <c r="A100" s="122" t="s">
        <v>103</v>
      </c>
      <c r="B100" s="124" t="s">
        <v>98</v>
      </c>
      <c r="C100" s="96">
        <f t="shared" ref="C100:K100" si="610">SUM(C101:C103)</f>
        <v>0</v>
      </c>
      <c r="D100" s="96">
        <f t="shared" si="610"/>
        <v>0</v>
      </c>
      <c r="E100" s="96">
        <f t="shared" si="610"/>
        <v>0</v>
      </c>
      <c r="F100" s="96">
        <f t="shared" si="610"/>
        <v>0</v>
      </c>
      <c r="G100" s="96">
        <f t="shared" si="610"/>
        <v>0</v>
      </c>
      <c r="H100" s="96">
        <f t="shared" si="610"/>
        <v>0</v>
      </c>
      <c r="I100" s="96">
        <f t="shared" si="610"/>
        <v>0</v>
      </c>
      <c r="J100" s="96">
        <f t="shared" si="610"/>
        <v>0</v>
      </c>
      <c r="K100" s="96">
        <f t="shared" si="610"/>
        <v>0</v>
      </c>
      <c r="L100" s="96">
        <f>SUM(L101:L103)</f>
        <v>0</v>
      </c>
      <c r="M100" s="124" t="s">
        <v>98</v>
      </c>
      <c r="N100" s="96">
        <f t="shared" ref="N100:V100" si="611">SUM(N101:N103)</f>
        <v>0</v>
      </c>
      <c r="O100" s="96">
        <f t="shared" si="611"/>
        <v>0</v>
      </c>
      <c r="P100" s="96">
        <f t="shared" si="611"/>
        <v>0</v>
      </c>
      <c r="Q100" s="96">
        <f t="shared" si="611"/>
        <v>0</v>
      </c>
      <c r="R100" s="96">
        <f t="shared" si="611"/>
        <v>0</v>
      </c>
      <c r="S100" s="96">
        <f t="shared" si="611"/>
        <v>0</v>
      </c>
      <c r="T100" s="96">
        <f t="shared" si="611"/>
        <v>0</v>
      </c>
      <c r="U100" s="96">
        <f t="shared" si="611"/>
        <v>0</v>
      </c>
      <c r="V100" s="96">
        <f t="shared" si="611"/>
        <v>0</v>
      </c>
      <c r="W100" s="96">
        <f>SUM(W101:W103)</f>
        <v>0</v>
      </c>
      <c r="X100" s="124" t="s">
        <v>98</v>
      </c>
      <c r="Y100" s="96">
        <f t="shared" ref="Y100:AG100" si="612">SUM(Y101:Y103)</f>
        <v>0</v>
      </c>
      <c r="Z100" s="96">
        <f t="shared" si="612"/>
        <v>0</v>
      </c>
      <c r="AA100" s="96">
        <f t="shared" si="612"/>
        <v>0</v>
      </c>
      <c r="AB100" s="96">
        <f t="shared" si="612"/>
        <v>0</v>
      </c>
      <c r="AC100" s="96">
        <f t="shared" si="612"/>
        <v>0</v>
      </c>
      <c r="AD100" s="96">
        <f t="shared" si="612"/>
        <v>0</v>
      </c>
      <c r="AE100" s="96">
        <f t="shared" si="612"/>
        <v>0</v>
      </c>
      <c r="AF100" s="96">
        <f t="shared" si="612"/>
        <v>0</v>
      </c>
      <c r="AG100" s="96">
        <f t="shared" si="612"/>
        <v>0</v>
      </c>
      <c r="AH100" s="96">
        <f>SUM(AH101:AH103)</f>
        <v>0</v>
      </c>
      <c r="AI100" s="124" t="s">
        <v>98</v>
      </c>
      <c r="AJ100" s="96">
        <f t="shared" ref="AJ100:AR100" si="613">SUM(AJ101:AJ103)</f>
        <v>0</v>
      </c>
      <c r="AK100" s="96">
        <f t="shared" si="613"/>
        <v>0</v>
      </c>
      <c r="AL100" s="96">
        <f t="shared" si="613"/>
        <v>0</v>
      </c>
      <c r="AM100" s="96">
        <f t="shared" si="613"/>
        <v>0</v>
      </c>
      <c r="AN100" s="96">
        <f t="shared" si="613"/>
        <v>0</v>
      </c>
      <c r="AO100" s="96">
        <f t="shared" si="613"/>
        <v>0</v>
      </c>
      <c r="AP100" s="96">
        <f t="shared" si="613"/>
        <v>0</v>
      </c>
      <c r="AQ100" s="96">
        <f t="shared" si="613"/>
        <v>0</v>
      </c>
      <c r="AR100" s="96">
        <f t="shared" si="613"/>
        <v>0</v>
      </c>
      <c r="AS100" s="96">
        <f>SUM(AS101:AS103)</f>
        <v>0</v>
      </c>
      <c r="AT100" s="124" t="s">
        <v>98</v>
      </c>
      <c r="AU100" s="96">
        <f>SUM(AU101:AU103)</f>
        <v>0</v>
      </c>
      <c r="AV100" s="96">
        <f t="shared" ref="AV100:BC100" si="614">SUM(AV101:AV103)</f>
        <v>0</v>
      </c>
      <c r="AW100" s="96">
        <f t="shared" si="614"/>
        <v>0</v>
      </c>
      <c r="AX100" s="96">
        <f t="shared" si="614"/>
        <v>0</v>
      </c>
      <c r="AY100" s="96">
        <f t="shared" si="614"/>
        <v>0</v>
      </c>
      <c r="AZ100" s="96">
        <f t="shared" si="614"/>
        <v>0</v>
      </c>
      <c r="BA100" s="96">
        <f t="shared" si="614"/>
        <v>0</v>
      </c>
      <c r="BB100" s="96">
        <f t="shared" si="614"/>
        <v>0</v>
      </c>
      <c r="BC100" s="96">
        <f t="shared" si="614"/>
        <v>0</v>
      </c>
      <c r="BD100" s="96">
        <f>SUM(BD101:BD103)</f>
        <v>0</v>
      </c>
      <c r="BE100" s="124" t="s">
        <v>98</v>
      </c>
      <c r="BF100" s="96">
        <f t="shared" ref="BF100:BN100" si="615">SUM(BF101:BF103)</f>
        <v>0</v>
      </c>
      <c r="BG100" s="96">
        <f t="shared" si="615"/>
        <v>0</v>
      </c>
      <c r="BH100" s="96">
        <f t="shared" si="615"/>
        <v>0</v>
      </c>
      <c r="BI100" s="96">
        <f t="shared" si="615"/>
        <v>0</v>
      </c>
      <c r="BJ100" s="96">
        <f t="shared" si="615"/>
        <v>0</v>
      </c>
      <c r="BK100" s="96">
        <f t="shared" si="615"/>
        <v>0</v>
      </c>
      <c r="BL100" s="96">
        <f t="shared" si="615"/>
        <v>0</v>
      </c>
      <c r="BM100" s="96">
        <f t="shared" si="615"/>
        <v>0</v>
      </c>
      <c r="BN100" s="96">
        <f t="shared" si="615"/>
        <v>0</v>
      </c>
      <c r="BO100" s="96">
        <f>SUM(BO101:BO103)</f>
        <v>0</v>
      </c>
      <c r="BP100" s="124" t="s">
        <v>98</v>
      </c>
      <c r="BQ100" s="96">
        <f t="shared" ref="BQ100:BY100" si="616">SUM(BQ101:BQ103)</f>
        <v>0</v>
      </c>
      <c r="BR100" s="96">
        <f t="shared" si="616"/>
        <v>0</v>
      </c>
      <c r="BS100" s="96">
        <f t="shared" si="616"/>
        <v>0</v>
      </c>
      <c r="BT100" s="96">
        <f t="shared" si="616"/>
        <v>0</v>
      </c>
      <c r="BU100" s="96">
        <f t="shared" si="616"/>
        <v>0</v>
      </c>
      <c r="BV100" s="96">
        <f t="shared" si="616"/>
        <v>0</v>
      </c>
      <c r="BW100" s="96">
        <f t="shared" si="616"/>
        <v>0</v>
      </c>
      <c r="BX100" s="96">
        <f t="shared" si="616"/>
        <v>0</v>
      </c>
      <c r="BY100" s="96">
        <f t="shared" si="616"/>
        <v>0</v>
      </c>
      <c r="BZ100" s="96">
        <f>SUM(BZ101:BZ103)</f>
        <v>0</v>
      </c>
      <c r="CA100" s="124" t="s">
        <v>98</v>
      </c>
      <c r="CB100" s="96">
        <f t="shared" ref="CB100:CJ100" si="617">SUM(CB101:CB103)</f>
        <v>0</v>
      </c>
      <c r="CC100" s="96">
        <f t="shared" si="617"/>
        <v>0</v>
      </c>
      <c r="CD100" s="96">
        <f t="shared" si="617"/>
        <v>0</v>
      </c>
      <c r="CE100" s="96">
        <f t="shared" si="617"/>
        <v>0</v>
      </c>
      <c r="CF100" s="96">
        <f t="shared" si="617"/>
        <v>0</v>
      </c>
      <c r="CG100" s="96">
        <f t="shared" si="617"/>
        <v>0</v>
      </c>
      <c r="CH100" s="96">
        <f t="shared" si="617"/>
        <v>0</v>
      </c>
      <c r="CI100" s="96">
        <f t="shared" si="617"/>
        <v>0</v>
      </c>
      <c r="CJ100" s="96">
        <f t="shared" si="617"/>
        <v>0</v>
      </c>
      <c r="CK100" s="96">
        <f>SUM(CK101:CK103)</f>
        <v>0</v>
      </c>
      <c r="CL100" s="124" t="s">
        <v>98</v>
      </c>
      <c r="CM100" s="96">
        <f>SUM(CM101:CM103)</f>
        <v>0</v>
      </c>
      <c r="CN100" s="96">
        <f t="shared" ref="CN100:CU100" si="618">SUM(CN101:CN103)</f>
        <v>0</v>
      </c>
      <c r="CO100" s="96">
        <f t="shared" si="618"/>
        <v>0</v>
      </c>
      <c r="CP100" s="96">
        <f t="shared" si="618"/>
        <v>0</v>
      </c>
      <c r="CQ100" s="96">
        <f t="shared" si="618"/>
        <v>0</v>
      </c>
      <c r="CR100" s="96">
        <f t="shared" si="618"/>
        <v>0</v>
      </c>
      <c r="CS100" s="96">
        <f t="shared" si="618"/>
        <v>0</v>
      </c>
      <c r="CT100" s="96">
        <f t="shared" si="618"/>
        <v>0</v>
      </c>
      <c r="CU100" s="96">
        <f t="shared" si="618"/>
        <v>0</v>
      </c>
      <c r="CV100" s="96">
        <f>SUM(CV101:CV103)</f>
        <v>0</v>
      </c>
      <c r="CW100" s="124" t="s">
        <v>98</v>
      </c>
      <c r="CX100" s="96">
        <f t="shared" ref="CX100:DF100" si="619">SUM(CX101:CX103)</f>
        <v>0</v>
      </c>
      <c r="CY100" s="96">
        <f t="shared" si="619"/>
        <v>0</v>
      </c>
      <c r="CZ100" s="96">
        <f t="shared" si="619"/>
        <v>0</v>
      </c>
      <c r="DA100" s="96">
        <f t="shared" si="619"/>
        <v>0</v>
      </c>
      <c r="DB100" s="96">
        <f t="shared" si="619"/>
        <v>0</v>
      </c>
      <c r="DC100" s="96">
        <f t="shared" si="619"/>
        <v>0</v>
      </c>
      <c r="DD100" s="96">
        <f t="shared" si="619"/>
        <v>0</v>
      </c>
      <c r="DE100" s="96">
        <f t="shared" si="619"/>
        <v>0</v>
      </c>
      <c r="DF100" s="96">
        <f t="shared" si="619"/>
        <v>0</v>
      </c>
      <c r="DG100" s="96">
        <f>SUM(DG101:DG103)</f>
        <v>0</v>
      </c>
      <c r="DH100" s="124" t="s">
        <v>98</v>
      </c>
      <c r="DI100" s="96">
        <f t="shared" ref="DI100:DQ100" si="620">SUM(DI101:DI103)</f>
        <v>0</v>
      </c>
      <c r="DJ100" s="96">
        <f t="shared" si="620"/>
        <v>0</v>
      </c>
      <c r="DK100" s="96">
        <f t="shared" si="620"/>
        <v>0</v>
      </c>
      <c r="DL100" s="96">
        <f t="shared" si="620"/>
        <v>0</v>
      </c>
      <c r="DM100" s="96">
        <f t="shared" si="620"/>
        <v>0</v>
      </c>
      <c r="DN100" s="96">
        <f t="shared" si="620"/>
        <v>0</v>
      </c>
      <c r="DO100" s="96">
        <f t="shared" si="620"/>
        <v>0</v>
      </c>
      <c r="DP100" s="96">
        <f t="shared" si="620"/>
        <v>0</v>
      </c>
      <c r="DQ100" s="96">
        <f t="shared" si="620"/>
        <v>0</v>
      </c>
      <c r="DR100" s="96">
        <f>SUM(DR101:DR103)</f>
        <v>0</v>
      </c>
      <c r="DS100" s="124" t="s">
        <v>98</v>
      </c>
      <c r="DT100" s="96">
        <f t="shared" ref="DT100:EB100" si="621">SUM(DT101:DT103)</f>
        <v>0</v>
      </c>
      <c r="DU100" s="96">
        <f t="shared" si="621"/>
        <v>0</v>
      </c>
      <c r="DV100" s="96">
        <f t="shared" si="621"/>
        <v>0</v>
      </c>
      <c r="DW100" s="96">
        <f t="shared" si="621"/>
        <v>0</v>
      </c>
      <c r="DX100" s="96">
        <f t="shared" si="621"/>
        <v>0</v>
      </c>
      <c r="DY100" s="96">
        <f t="shared" si="621"/>
        <v>0</v>
      </c>
      <c r="DZ100" s="96">
        <f t="shared" si="621"/>
        <v>0</v>
      </c>
      <c r="EA100" s="96">
        <f t="shared" si="621"/>
        <v>0</v>
      </c>
      <c r="EB100" s="96">
        <f t="shared" si="621"/>
        <v>0</v>
      </c>
      <c r="EC100" s="96">
        <f>SUM(EC101:EC103)</f>
        <v>0</v>
      </c>
      <c r="ED100" s="124" t="s">
        <v>98</v>
      </c>
      <c r="EE100" s="96">
        <f>SUM(EE101:EE103)</f>
        <v>0</v>
      </c>
      <c r="EF100" s="96">
        <f t="shared" ref="EF100:EM100" si="622">SUM(EF101:EF103)</f>
        <v>0</v>
      </c>
      <c r="EG100" s="96">
        <f t="shared" si="622"/>
        <v>0</v>
      </c>
      <c r="EH100" s="96">
        <f t="shared" si="622"/>
        <v>0</v>
      </c>
      <c r="EI100" s="96">
        <f t="shared" si="622"/>
        <v>0</v>
      </c>
      <c r="EJ100" s="96">
        <f t="shared" si="622"/>
        <v>0</v>
      </c>
      <c r="EK100" s="96">
        <f t="shared" si="622"/>
        <v>0</v>
      </c>
      <c r="EL100" s="96">
        <f t="shared" si="622"/>
        <v>0</v>
      </c>
      <c r="EM100" s="96">
        <f t="shared" si="622"/>
        <v>0</v>
      </c>
      <c r="EN100" s="96">
        <f>SUM(EN101:EN103)</f>
        <v>0</v>
      </c>
      <c r="EO100" s="124" t="s">
        <v>98</v>
      </c>
      <c r="EP100" s="96">
        <f t="shared" ref="EP100:EX100" si="623">SUM(EP101:EP103)</f>
        <v>0</v>
      </c>
      <c r="EQ100" s="96">
        <f t="shared" si="623"/>
        <v>0</v>
      </c>
      <c r="ER100" s="96">
        <f t="shared" si="623"/>
        <v>0</v>
      </c>
      <c r="ES100" s="96">
        <f t="shared" si="623"/>
        <v>0</v>
      </c>
      <c r="ET100" s="96">
        <f t="shared" si="623"/>
        <v>0</v>
      </c>
      <c r="EU100" s="96">
        <f t="shared" si="623"/>
        <v>0</v>
      </c>
      <c r="EV100" s="96">
        <f t="shared" si="623"/>
        <v>0</v>
      </c>
      <c r="EW100" s="96">
        <f t="shared" si="623"/>
        <v>0</v>
      </c>
      <c r="EX100" s="96">
        <f t="shared" si="623"/>
        <v>0</v>
      </c>
      <c r="EY100" s="96">
        <f>SUM(EY101:EY103)</f>
        <v>0</v>
      </c>
      <c r="EZ100" s="124" t="s">
        <v>98</v>
      </c>
      <c r="FA100" s="96">
        <f t="shared" ref="FA100:FI100" si="624">SUM(FA101:FA103)</f>
        <v>0</v>
      </c>
      <c r="FB100" s="96">
        <f t="shared" si="624"/>
        <v>0</v>
      </c>
      <c r="FC100" s="96">
        <f t="shared" si="624"/>
        <v>0</v>
      </c>
      <c r="FD100" s="96">
        <f t="shared" si="624"/>
        <v>0</v>
      </c>
      <c r="FE100" s="96">
        <f t="shared" si="624"/>
        <v>0</v>
      </c>
      <c r="FF100" s="96">
        <f t="shared" si="624"/>
        <v>0</v>
      </c>
      <c r="FG100" s="96">
        <f t="shared" si="624"/>
        <v>0</v>
      </c>
      <c r="FH100" s="96">
        <f t="shared" si="624"/>
        <v>0</v>
      </c>
      <c r="FI100" s="96">
        <f t="shared" si="624"/>
        <v>0</v>
      </c>
      <c r="FJ100" s="96">
        <f>SUM(FJ101:FJ103)</f>
        <v>0</v>
      </c>
      <c r="FK100" s="124" t="s">
        <v>98</v>
      </c>
      <c r="FL100" s="96">
        <f t="shared" ref="FL100:FT100" si="625">SUM(FL101:FL103)</f>
        <v>0</v>
      </c>
      <c r="FM100" s="96">
        <f t="shared" si="625"/>
        <v>0</v>
      </c>
      <c r="FN100" s="96">
        <f t="shared" si="625"/>
        <v>0</v>
      </c>
      <c r="FO100" s="96">
        <f t="shared" si="625"/>
        <v>0</v>
      </c>
      <c r="FP100" s="96">
        <f t="shared" si="625"/>
        <v>0</v>
      </c>
      <c r="FQ100" s="96">
        <f t="shared" si="625"/>
        <v>0</v>
      </c>
      <c r="FR100" s="96">
        <f t="shared" si="625"/>
        <v>0</v>
      </c>
      <c r="FS100" s="96">
        <f t="shared" si="625"/>
        <v>0</v>
      </c>
      <c r="FT100" s="96">
        <f t="shared" si="625"/>
        <v>0</v>
      </c>
      <c r="FU100" s="96">
        <f>SUM(FU101:FU103)</f>
        <v>0</v>
      </c>
      <c r="FV100" s="124" t="s">
        <v>98</v>
      </c>
      <c r="FW100" s="96">
        <f>SUM(FW101:FW103)</f>
        <v>0</v>
      </c>
      <c r="FX100" s="96">
        <f t="shared" ref="FX100:GE100" si="626">SUM(FX101:FX103)</f>
        <v>0</v>
      </c>
      <c r="FY100" s="96">
        <f t="shared" si="626"/>
        <v>0</v>
      </c>
      <c r="FZ100" s="96">
        <f t="shared" si="626"/>
        <v>0</v>
      </c>
      <c r="GA100" s="96">
        <f t="shared" si="626"/>
        <v>0</v>
      </c>
      <c r="GB100" s="96">
        <f t="shared" si="626"/>
        <v>0</v>
      </c>
      <c r="GC100" s="96">
        <f t="shared" si="626"/>
        <v>0</v>
      </c>
      <c r="GD100" s="96">
        <f t="shared" si="626"/>
        <v>0</v>
      </c>
      <c r="GE100" s="96">
        <f t="shared" si="626"/>
        <v>0</v>
      </c>
      <c r="GF100" s="96">
        <f>SUM(GF101:GF103)</f>
        <v>0</v>
      </c>
      <c r="GG100" s="124" t="s">
        <v>98</v>
      </c>
      <c r="GH100" s="96">
        <f t="shared" ref="GH100:GP100" si="627">SUM(GH101:GH103)</f>
        <v>0</v>
      </c>
      <c r="GI100" s="96">
        <f t="shared" si="627"/>
        <v>0</v>
      </c>
      <c r="GJ100" s="96">
        <f t="shared" si="627"/>
        <v>0</v>
      </c>
      <c r="GK100" s="96">
        <f t="shared" si="627"/>
        <v>0</v>
      </c>
      <c r="GL100" s="96">
        <f t="shared" si="627"/>
        <v>0</v>
      </c>
      <c r="GM100" s="96">
        <f t="shared" si="627"/>
        <v>0</v>
      </c>
      <c r="GN100" s="96">
        <f t="shared" si="627"/>
        <v>0</v>
      </c>
      <c r="GO100" s="96">
        <f t="shared" si="627"/>
        <v>0</v>
      </c>
      <c r="GP100" s="96">
        <f t="shared" si="627"/>
        <v>0</v>
      </c>
      <c r="GQ100" s="96">
        <f>SUM(GQ101:GQ103)</f>
        <v>0</v>
      </c>
      <c r="GR100" s="96">
        <f t="shared" ref="GR100:IV100" si="628">SUM(GR101:GR103)</f>
        <v>0</v>
      </c>
      <c r="GS100" s="96">
        <f t="shared" si="628"/>
        <v>0</v>
      </c>
      <c r="GT100" s="96">
        <f t="shared" si="628"/>
        <v>0</v>
      </c>
      <c r="GU100" s="96">
        <f t="shared" si="628"/>
        <v>0</v>
      </c>
      <c r="GV100" s="96">
        <f t="shared" si="628"/>
        <v>0</v>
      </c>
      <c r="GW100" s="96">
        <f t="shared" si="628"/>
        <v>0</v>
      </c>
      <c r="GX100" s="96">
        <f t="shared" si="628"/>
        <v>0</v>
      </c>
      <c r="GY100" s="96">
        <f t="shared" si="628"/>
        <v>0</v>
      </c>
      <c r="GZ100" s="96">
        <f t="shared" si="628"/>
        <v>0</v>
      </c>
      <c r="HA100" s="96">
        <f t="shared" si="628"/>
        <v>0</v>
      </c>
      <c r="HB100" s="96">
        <f>SUM(HB101:HB103)</f>
        <v>0</v>
      </c>
      <c r="HC100" s="96">
        <f>SUM(HC101:HC103)</f>
        <v>0</v>
      </c>
      <c r="HD100" s="96">
        <f>SUM(HD101:HD103)</f>
        <v>0</v>
      </c>
      <c r="HE100" s="96">
        <f>SUM(HE101:HE103)</f>
        <v>0</v>
      </c>
      <c r="HF100" s="96">
        <f t="shared" si="628"/>
        <v>0</v>
      </c>
      <c r="HG100" s="96">
        <f t="shared" si="628"/>
        <v>0</v>
      </c>
      <c r="HH100" s="96">
        <f t="shared" si="628"/>
        <v>0</v>
      </c>
      <c r="HI100" s="96">
        <f t="shared" si="628"/>
        <v>0</v>
      </c>
      <c r="HJ100" s="96">
        <f t="shared" si="628"/>
        <v>0</v>
      </c>
      <c r="HK100" s="96">
        <f t="shared" si="628"/>
        <v>0</v>
      </c>
      <c r="HL100" s="96">
        <f t="shared" si="628"/>
        <v>0</v>
      </c>
      <c r="HM100" s="96">
        <f t="shared" si="628"/>
        <v>0</v>
      </c>
      <c r="HN100" s="96">
        <f t="shared" si="628"/>
        <v>0</v>
      </c>
      <c r="HO100" s="96">
        <f t="shared" si="628"/>
        <v>0</v>
      </c>
      <c r="HP100" s="96">
        <f t="shared" si="628"/>
        <v>0</v>
      </c>
      <c r="HQ100" s="96">
        <f>SUM(HQ101:HQ103)</f>
        <v>0</v>
      </c>
      <c r="HR100" s="96">
        <f>SUM(HR101:HR103)</f>
        <v>0</v>
      </c>
      <c r="HS100" s="96">
        <f>SUM(HS101:HS103)</f>
        <v>0</v>
      </c>
      <c r="HT100" s="96">
        <f>SUM(HT101:HT103)</f>
        <v>0</v>
      </c>
      <c r="HU100" s="96">
        <f t="shared" si="628"/>
        <v>0</v>
      </c>
      <c r="HV100" s="96">
        <f t="shared" si="628"/>
        <v>0</v>
      </c>
      <c r="HW100" s="96">
        <f t="shared" si="628"/>
        <v>0</v>
      </c>
      <c r="HX100" s="96">
        <f t="shared" si="628"/>
        <v>0</v>
      </c>
      <c r="HY100" s="96">
        <f t="shared" si="628"/>
        <v>0</v>
      </c>
      <c r="HZ100" s="96">
        <f t="shared" si="628"/>
        <v>0</v>
      </c>
      <c r="IA100" s="96">
        <f>SUM(IA101:IA103)</f>
        <v>0</v>
      </c>
      <c r="IB100" s="96">
        <f>SUM(IB101:IB103)</f>
        <v>0</v>
      </c>
      <c r="IC100" s="96">
        <f>SUM(IC101:IC103)</f>
        <v>0</v>
      </c>
      <c r="ID100" s="96">
        <f>SUM(ID101:ID103)</f>
        <v>0</v>
      </c>
      <c r="IE100" s="96">
        <f t="shared" si="628"/>
        <v>0</v>
      </c>
      <c r="IF100" s="96">
        <f t="shared" si="628"/>
        <v>0</v>
      </c>
      <c r="IG100" s="96">
        <f t="shared" si="628"/>
        <v>0</v>
      </c>
      <c r="IH100" s="96">
        <f t="shared" si="628"/>
        <v>0</v>
      </c>
      <c r="II100" s="96">
        <f t="shared" si="628"/>
        <v>0</v>
      </c>
      <c r="IJ100" s="96">
        <f t="shared" si="628"/>
        <v>0</v>
      </c>
      <c r="IK100" s="96">
        <f t="shared" si="628"/>
        <v>0</v>
      </c>
      <c r="IL100" s="96">
        <f t="shared" si="628"/>
        <v>0</v>
      </c>
      <c r="IM100" s="96">
        <f t="shared" si="628"/>
        <v>0</v>
      </c>
      <c r="IN100" s="96">
        <f t="shared" si="628"/>
        <v>0</v>
      </c>
      <c r="IO100" s="96">
        <f t="shared" si="628"/>
        <v>0</v>
      </c>
      <c r="IP100" s="96">
        <f>SUM(IP101:IP103)</f>
        <v>0</v>
      </c>
      <c r="IQ100" s="96">
        <f>SUM(IQ101:IQ103)</f>
        <v>0</v>
      </c>
      <c r="IR100" s="96">
        <f>SUM(IR101:IR103)</f>
        <v>0</v>
      </c>
      <c r="IS100" s="96">
        <f>SUM(IS101:IS103)</f>
        <v>0</v>
      </c>
      <c r="IT100" s="96">
        <f t="shared" si="628"/>
        <v>0</v>
      </c>
      <c r="IU100" s="96">
        <f t="shared" si="628"/>
        <v>0</v>
      </c>
      <c r="IV100" s="96">
        <f t="shared" si="628"/>
        <v>0</v>
      </c>
    </row>
    <row r="101" spans="1:256" s="92" customFormat="1" ht="12.75" customHeight="1" x14ac:dyDescent="0.25">
      <c r="A101" s="123" t="s">
        <v>98</v>
      </c>
      <c r="B101" s="62"/>
      <c r="C101" s="63"/>
      <c r="D101" s="63"/>
      <c r="E101" s="63"/>
      <c r="F101" s="63"/>
      <c r="G101" s="63"/>
      <c r="H101" s="63"/>
      <c r="I101" s="63"/>
      <c r="J101" s="63"/>
      <c r="K101" s="63"/>
      <c r="L101" s="64">
        <f>SUM(C101:F101,H101:K101)</f>
        <v>0</v>
      </c>
      <c r="M101" s="62"/>
      <c r="N101" s="63"/>
      <c r="O101" s="63"/>
      <c r="P101" s="63"/>
      <c r="Q101" s="63"/>
      <c r="R101" s="63"/>
      <c r="S101" s="63"/>
      <c r="T101" s="63"/>
      <c r="U101" s="63"/>
      <c r="V101" s="63"/>
      <c r="W101" s="64">
        <f>SUM(N101:Q101,S101:V101)</f>
        <v>0</v>
      </c>
      <c r="X101" s="62"/>
      <c r="Y101" s="63"/>
      <c r="Z101" s="63"/>
      <c r="AA101" s="63"/>
      <c r="AB101" s="63"/>
      <c r="AC101" s="63"/>
      <c r="AD101" s="63"/>
      <c r="AE101" s="63"/>
      <c r="AF101" s="63"/>
      <c r="AG101" s="63"/>
      <c r="AH101" s="64">
        <f>SUM(Y101:AB101,AD101:AG101)</f>
        <v>0</v>
      </c>
      <c r="AI101" s="62"/>
      <c r="AJ101" s="63"/>
      <c r="AK101" s="63"/>
      <c r="AL101" s="63"/>
      <c r="AM101" s="63"/>
      <c r="AN101" s="63"/>
      <c r="AO101" s="63"/>
      <c r="AP101" s="63"/>
      <c r="AQ101" s="63"/>
      <c r="AR101" s="63"/>
      <c r="AS101" s="64">
        <f>SUM(AJ101:AM101,AO101:AR101)</f>
        <v>0</v>
      </c>
      <c r="AT101" s="65">
        <f t="shared" ref="AT101:BC103" si="629">SUM(M101,AI101,X101)</f>
        <v>0</v>
      </c>
      <c r="AU101" s="65">
        <f t="shared" si="629"/>
        <v>0</v>
      </c>
      <c r="AV101" s="65">
        <f t="shared" si="629"/>
        <v>0</v>
      </c>
      <c r="AW101" s="65">
        <f t="shared" si="629"/>
        <v>0</v>
      </c>
      <c r="AX101" s="65">
        <f t="shared" si="629"/>
        <v>0</v>
      </c>
      <c r="AY101" s="65">
        <f t="shared" si="629"/>
        <v>0</v>
      </c>
      <c r="AZ101" s="65">
        <f t="shared" si="629"/>
        <v>0</v>
      </c>
      <c r="BA101" s="65">
        <f t="shared" si="629"/>
        <v>0</v>
      </c>
      <c r="BB101" s="65">
        <f t="shared" si="629"/>
        <v>0</v>
      </c>
      <c r="BC101" s="65">
        <f t="shared" si="629"/>
        <v>0</v>
      </c>
      <c r="BD101" s="64">
        <f>SUM(AU101:AX101,AZ101:BC101)</f>
        <v>0</v>
      </c>
      <c r="BE101" s="62"/>
      <c r="BF101" s="63"/>
      <c r="BG101" s="63"/>
      <c r="BH101" s="63"/>
      <c r="BI101" s="63"/>
      <c r="BJ101" s="63"/>
      <c r="BK101" s="63"/>
      <c r="BL101" s="63"/>
      <c r="BM101" s="63"/>
      <c r="BN101" s="63"/>
      <c r="BO101" s="64">
        <f>SUM(BF101:BI101,BK101:BN101)</f>
        <v>0</v>
      </c>
      <c r="BP101" s="62"/>
      <c r="BQ101" s="63"/>
      <c r="BR101" s="63"/>
      <c r="BS101" s="63"/>
      <c r="BT101" s="63"/>
      <c r="BU101" s="63"/>
      <c r="BV101" s="63"/>
      <c r="BW101" s="63"/>
      <c r="BX101" s="63"/>
      <c r="BY101" s="63"/>
      <c r="BZ101" s="64">
        <f>SUM(BQ101:BT101,BV101:BY101)</f>
        <v>0</v>
      </c>
      <c r="CA101" s="62"/>
      <c r="CB101" s="63"/>
      <c r="CC101" s="63"/>
      <c r="CD101" s="63"/>
      <c r="CE101" s="63"/>
      <c r="CF101" s="63"/>
      <c r="CG101" s="63"/>
      <c r="CH101" s="63"/>
      <c r="CI101" s="63"/>
      <c r="CJ101" s="63"/>
      <c r="CK101" s="64">
        <f>SUM(CB101:CE101,CG101:CJ101)</f>
        <v>0</v>
      </c>
      <c r="CL101" s="65">
        <f t="shared" ref="CL101:CU103" si="630">SUM(BE101,CA101,BP101)</f>
        <v>0</v>
      </c>
      <c r="CM101" s="65">
        <f t="shared" si="630"/>
        <v>0</v>
      </c>
      <c r="CN101" s="65">
        <f t="shared" si="630"/>
        <v>0</v>
      </c>
      <c r="CO101" s="65">
        <f t="shared" si="630"/>
        <v>0</v>
      </c>
      <c r="CP101" s="65">
        <f t="shared" si="630"/>
        <v>0</v>
      </c>
      <c r="CQ101" s="65">
        <f t="shared" si="630"/>
        <v>0</v>
      </c>
      <c r="CR101" s="65">
        <f t="shared" si="630"/>
        <v>0</v>
      </c>
      <c r="CS101" s="65">
        <f t="shared" si="630"/>
        <v>0</v>
      </c>
      <c r="CT101" s="65">
        <f t="shared" si="630"/>
        <v>0</v>
      </c>
      <c r="CU101" s="65">
        <f t="shared" si="630"/>
        <v>0</v>
      </c>
      <c r="CV101" s="64">
        <f>SUM(CM101:CP101,CR101:CU101)</f>
        <v>0</v>
      </c>
      <c r="CW101" s="62"/>
      <c r="CX101" s="63"/>
      <c r="CY101" s="63"/>
      <c r="CZ101" s="63"/>
      <c r="DA101" s="63"/>
      <c r="DB101" s="63"/>
      <c r="DC101" s="63"/>
      <c r="DD101" s="63"/>
      <c r="DE101" s="63"/>
      <c r="DF101" s="63"/>
      <c r="DG101" s="64">
        <f>SUM(CX101:DA101,DC101:DF101)</f>
        <v>0</v>
      </c>
      <c r="DH101" s="62"/>
      <c r="DI101" s="63"/>
      <c r="DJ101" s="63"/>
      <c r="DK101" s="63"/>
      <c r="DL101" s="63"/>
      <c r="DM101" s="63"/>
      <c r="DN101" s="63"/>
      <c r="DO101" s="63"/>
      <c r="DP101" s="63"/>
      <c r="DQ101" s="63"/>
      <c r="DR101" s="64">
        <f>SUM(DI101:DL101,DN101:DQ101)</f>
        <v>0</v>
      </c>
      <c r="DS101" s="62"/>
      <c r="DT101" s="63"/>
      <c r="DU101" s="63"/>
      <c r="DV101" s="63"/>
      <c r="DW101" s="63"/>
      <c r="DX101" s="63"/>
      <c r="DY101" s="63"/>
      <c r="DZ101" s="63"/>
      <c r="EA101" s="63"/>
      <c r="EB101" s="63"/>
      <c r="EC101" s="63"/>
      <c r="ED101" s="65">
        <f t="shared" ref="ED101:EM103" si="631">SUM(CW101,DS101,DH101)</f>
        <v>0</v>
      </c>
      <c r="EE101" s="65">
        <f t="shared" si="631"/>
        <v>0</v>
      </c>
      <c r="EF101" s="65">
        <f t="shared" si="631"/>
        <v>0</v>
      </c>
      <c r="EG101" s="65">
        <f t="shared" si="631"/>
        <v>0</v>
      </c>
      <c r="EH101" s="65">
        <f t="shared" si="631"/>
        <v>0</v>
      </c>
      <c r="EI101" s="65">
        <f t="shared" si="631"/>
        <v>0</v>
      </c>
      <c r="EJ101" s="65">
        <f t="shared" si="631"/>
        <v>0</v>
      </c>
      <c r="EK101" s="65">
        <f t="shared" si="631"/>
        <v>0</v>
      </c>
      <c r="EL101" s="65">
        <f t="shared" si="631"/>
        <v>0</v>
      </c>
      <c r="EM101" s="65">
        <f t="shared" si="631"/>
        <v>0</v>
      </c>
      <c r="EN101" s="64">
        <f>SUM(EE101:EH101,EJ101:EM101)</f>
        <v>0</v>
      </c>
      <c r="EO101" s="62"/>
      <c r="EP101" s="63"/>
      <c r="EQ101" s="63"/>
      <c r="ER101" s="63"/>
      <c r="ES101" s="63"/>
      <c r="ET101" s="63"/>
      <c r="EU101" s="63"/>
      <c r="EV101" s="63"/>
      <c r="EW101" s="63"/>
      <c r="EX101" s="63"/>
      <c r="EY101" s="64">
        <f>SUM(EP101:ES101,EU101:EX101)</f>
        <v>0</v>
      </c>
      <c r="EZ101" s="62"/>
      <c r="FA101" s="63"/>
      <c r="FB101" s="63"/>
      <c r="FC101" s="63"/>
      <c r="FD101" s="63"/>
      <c r="FE101" s="63"/>
      <c r="FF101" s="63"/>
      <c r="FG101" s="63"/>
      <c r="FH101" s="63"/>
      <c r="FI101" s="63"/>
      <c r="FJ101" s="64">
        <f>SUM(FA101:FD101,FF101:FI101)</f>
        <v>0</v>
      </c>
      <c r="FK101" s="62"/>
      <c r="FL101" s="63"/>
      <c r="FM101" s="63"/>
      <c r="FN101" s="63"/>
      <c r="FO101" s="63"/>
      <c r="FP101" s="63"/>
      <c r="FQ101" s="63"/>
      <c r="FR101" s="63"/>
      <c r="FS101" s="63"/>
      <c r="FT101" s="63"/>
      <c r="FU101" s="64">
        <f>SUM(FL101:FO101,FQ101:FT101)</f>
        <v>0</v>
      </c>
      <c r="FV101" s="65">
        <f t="shared" ref="FV101:GE103" si="632">SUM(EO101,FK101,EZ101)</f>
        <v>0</v>
      </c>
      <c r="FW101" s="65">
        <f t="shared" si="632"/>
        <v>0</v>
      </c>
      <c r="FX101" s="65">
        <f t="shared" si="632"/>
        <v>0</v>
      </c>
      <c r="FY101" s="65">
        <f t="shared" si="632"/>
        <v>0</v>
      </c>
      <c r="FZ101" s="65">
        <f t="shared" si="632"/>
        <v>0</v>
      </c>
      <c r="GA101" s="65">
        <f t="shared" si="632"/>
        <v>0</v>
      </c>
      <c r="GB101" s="65">
        <f t="shared" si="632"/>
        <v>0</v>
      </c>
      <c r="GC101" s="65">
        <f t="shared" si="632"/>
        <v>0</v>
      </c>
      <c r="GD101" s="65">
        <f t="shared" si="632"/>
        <v>0</v>
      </c>
      <c r="GE101" s="65">
        <f t="shared" si="632"/>
        <v>0</v>
      </c>
      <c r="GF101" s="64">
        <f>SUM(FW101:FZ101,GB101:GE101)</f>
        <v>0</v>
      </c>
      <c r="GG101" s="66">
        <f t="shared" ref="GG101:GP103" si="633">SUM(AT101,CL101,ED101,FV101)</f>
        <v>0</v>
      </c>
      <c r="GH101" s="66">
        <f t="shared" si="633"/>
        <v>0</v>
      </c>
      <c r="GI101" s="66">
        <f t="shared" si="633"/>
        <v>0</v>
      </c>
      <c r="GJ101" s="66">
        <f t="shared" si="633"/>
        <v>0</v>
      </c>
      <c r="GK101" s="66">
        <f t="shared" si="633"/>
        <v>0</v>
      </c>
      <c r="GL101" s="66">
        <f t="shared" si="633"/>
        <v>0</v>
      </c>
      <c r="GM101" s="66">
        <f t="shared" si="633"/>
        <v>0</v>
      </c>
      <c r="GN101" s="66">
        <f t="shared" si="633"/>
        <v>0</v>
      </c>
      <c r="GO101" s="66">
        <f t="shared" si="633"/>
        <v>0</v>
      </c>
      <c r="GP101" s="66">
        <f t="shared" si="633"/>
        <v>0</v>
      </c>
      <c r="GQ101" s="64">
        <f>SUM(GH101:GK101,GM101:GP101)</f>
        <v>0</v>
      </c>
      <c r="GR101" s="63"/>
      <c r="GS101" s="63"/>
      <c r="GT101" s="63"/>
      <c r="GU101" s="63"/>
      <c r="GV101" s="67">
        <f>SUM(GR101:GU101)</f>
        <v>0</v>
      </c>
      <c r="GW101" s="63"/>
      <c r="GX101" s="63"/>
      <c r="GY101" s="63"/>
      <c r="GZ101" s="63"/>
      <c r="HA101" s="67">
        <f>SUM(GW101:GZ101)</f>
        <v>0</v>
      </c>
      <c r="HB101" s="63"/>
      <c r="HC101" s="63"/>
      <c r="HD101" s="63"/>
      <c r="HE101" s="63"/>
      <c r="HF101" s="67">
        <f>SUM(HB101:HE101)</f>
        <v>0</v>
      </c>
      <c r="HG101" s="63"/>
      <c r="HH101" s="63"/>
      <c r="HI101" s="63"/>
      <c r="HJ101" s="63"/>
      <c r="HK101" s="67">
        <f>SUM(HG101:HJ101)</f>
        <v>0</v>
      </c>
      <c r="HL101" s="68">
        <f t="shared" ref="HL101:HO103" si="634">SUM(GW101,HB101,HG101)</f>
        <v>0</v>
      </c>
      <c r="HM101" s="68">
        <f t="shared" si="634"/>
        <v>0</v>
      </c>
      <c r="HN101" s="68">
        <f t="shared" si="634"/>
        <v>0</v>
      </c>
      <c r="HO101" s="68">
        <f t="shared" si="634"/>
        <v>0</v>
      </c>
      <c r="HP101" s="67">
        <f>SUM(HL101:HO101)</f>
        <v>0</v>
      </c>
      <c r="HQ101" s="63"/>
      <c r="HR101" s="63"/>
      <c r="HS101" s="63"/>
      <c r="HT101" s="63"/>
      <c r="HU101" s="67">
        <f>SUM(HQ101:HT101)</f>
        <v>0</v>
      </c>
      <c r="HV101" s="63"/>
      <c r="HW101" s="63"/>
      <c r="HX101" s="63"/>
      <c r="HY101" s="63"/>
      <c r="HZ101" s="67">
        <f>SUM(HV101:HY101)</f>
        <v>0</v>
      </c>
      <c r="IA101" s="63"/>
      <c r="IB101" s="63"/>
      <c r="IC101" s="63"/>
      <c r="ID101" s="63"/>
      <c r="IE101" s="67">
        <f>SUM(IA101:ID101)</f>
        <v>0</v>
      </c>
      <c r="IF101" s="68">
        <f t="shared" ref="IF101:II103" si="635">SUM(HQ101,HV101,IA101)</f>
        <v>0</v>
      </c>
      <c r="IG101" s="68">
        <f t="shared" si="635"/>
        <v>0</v>
      </c>
      <c r="IH101" s="68">
        <f t="shared" si="635"/>
        <v>0</v>
      </c>
      <c r="II101" s="68">
        <f t="shared" si="635"/>
        <v>0</v>
      </c>
      <c r="IJ101" s="67">
        <f>SUM(IF101:II101)</f>
        <v>0</v>
      </c>
      <c r="IK101" s="63"/>
      <c r="IL101" s="63"/>
      <c r="IM101" s="63"/>
      <c r="IN101" s="63"/>
      <c r="IO101" s="67">
        <f>SUM(IK101:IN101)</f>
        <v>0</v>
      </c>
      <c r="IP101" s="63"/>
      <c r="IQ101" s="63"/>
      <c r="IR101" s="63"/>
      <c r="IS101" s="63"/>
      <c r="IT101" s="67">
        <f>SUM(IP101:IS101)</f>
        <v>0</v>
      </c>
      <c r="IU101" s="63"/>
      <c r="IV101" s="63"/>
    </row>
    <row r="102" spans="1:256" s="92" customFormat="1" ht="12.75" customHeight="1" x14ac:dyDescent="0.25">
      <c r="A102" s="123" t="s">
        <v>99</v>
      </c>
      <c r="B102" s="62"/>
      <c r="C102" s="63"/>
      <c r="D102" s="63"/>
      <c r="E102" s="63"/>
      <c r="F102" s="63"/>
      <c r="G102" s="63"/>
      <c r="H102" s="63"/>
      <c r="I102" s="63"/>
      <c r="J102" s="63"/>
      <c r="K102" s="63"/>
      <c r="L102" s="64">
        <f>SUM(C102:F102,H102:K102)</f>
        <v>0</v>
      </c>
      <c r="M102" s="62"/>
      <c r="N102" s="63"/>
      <c r="O102" s="63"/>
      <c r="P102" s="63"/>
      <c r="Q102" s="63"/>
      <c r="R102" s="63"/>
      <c r="S102" s="63"/>
      <c r="T102" s="63"/>
      <c r="U102" s="63"/>
      <c r="V102" s="63"/>
      <c r="W102" s="64">
        <f>SUM(N102:Q102,S102:V102)</f>
        <v>0</v>
      </c>
      <c r="X102" s="62"/>
      <c r="Y102" s="63"/>
      <c r="Z102" s="63"/>
      <c r="AA102" s="63"/>
      <c r="AB102" s="63"/>
      <c r="AC102" s="63"/>
      <c r="AD102" s="63"/>
      <c r="AE102" s="63"/>
      <c r="AF102" s="63"/>
      <c r="AG102" s="63"/>
      <c r="AH102" s="64">
        <f>SUM(Y102:AB102,AD102:AG102)</f>
        <v>0</v>
      </c>
      <c r="AI102" s="62"/>
      <c r="AJ102" s="63"/>
      <c r="AK102" s="63"/>
      <c r="AL102" s="63"/>
      <c r="AM102" s="63"/>
      <c r="AN102" s="63"/>
      <c r="AO102" s="63"/>
      <c r="AP102" s="63"/>
      <c r="AQ102" s="63"/>
      <c r="AR102" s="63"/>
      <c r="AS102" s="64">
        <f>SUM(AJ102:AM102,AO102:AR102)</f>
        <v>0</v>
      </c>
      <c r="AT102" s="65">
        <f t="shared" si="629"/>
        <v>0</v>
      </c>
      <c r="AU102" s="65">
        <f t="shared" si="629"/>
        <v>0</v>
      </c>
      <c r="AV102" s="65">
        <f t="shared" si="629"/>
        <v>0</v>
      </c>
      <c r="AW102" s="65">
        <f t="shared" si="629"/>
        <v>0</v>
      </c>
      <c r="AX102" s="65">
        <f t="shared" si="629"/>
        <v>0</v>
      </c>
      <c r="AY102" s="65">
        <f t="shared" si="629"/>
        <v>0</v>
      </c>
      <c r="AZ102" s="65">
        <f t="shared" si="629"/>
        <v>0</v>
      </c>
      <c r="BA102" s="65">
        <f t="shared" si="629"/>
        <v>0</v>
      </c>
      <c r="BB102" s="65">
        <f t="shared" si="629"/>
        <v>0</v>
      </c>
      <c r="BC102" s="65">
        <f t="shared" si="629"/>
        <v>0</v>
      </c>
      <c r="BD102" s="64">
        <f>SUM(AU102:AX102,AZ102:BC102)</f>
        <v>0</v>
      </c>
      <c r="BE102" s="62"/>
      <c r="BF102" s="63"/>
      <c r="BG102" s="63"/>
      <c r="BH102" s="63"/>
      <c r="BI102" s="63"/>
      <c r="BJ102" s="63"/>
      <c r="BK102" s="63"/>
      <c r="BL102" s="63"/>
      <c r="BM102" s="63"/>
      <c r="BN102" s="63"/>
      <c r="BO102" s="64">
        <f>SUM(BF102:BI102,BK102:BN102)</f>
        <v>0</v>
      </c>
      <c r="BP102" s="62"/>
      <c r="BQ102" s="63"/>
      <c r="BR102" s="63"/>
      <c r="BS102" s="63"/>
      <c r="BT102" s="63"/>
      <c r="BU102" s="63"/>
      <c r="BV102" s="63"/>
      <c r="BW102" s="63"/>
      <c r="BX102" s="63"/>
      <c r="BY102" s="63"/>
      <c r="BZ102" s="64">
        <f>SUM(BQ102:BT102,BV102:BY102)</f>
        <v>0</v>
      </c>
      <c r="CA102" s="62"/>
      <c r="CB102" s="63"/>
      <c r="CC102" s="63"/>
      <c r="CD102" s="63"/>
      <c r="CE102" s="63"/>
      <c r="CF102" s="63"/>
      <c r="CG102" s="63"/>
      <c r="CH102" s="63"/>
      <c r="CI102" s="63"/>
      <c r="CJ102" s="63"/>
      <c r="CK102" s="64">
        <f>SUM(CB102:CE102,CG102:CJ102)</f>
        <v>0</v>
      </c>
      <c r="CL102" s="65">
        <f t="shared" si="630"/>
        <v>0</v>
      </c>
      <c r="CM102" s="65">
        <f t="shared" si="630"/>
        <v>0</v>
      </c>
      <c r="CN102" s="65">
        <f t="shared" si="630"/>
        <v>0</v>
      </c>
      <c r="CO102" s="65">
        <f t="shared" si="630"/>
        <v>0</v>
      </c>
      <c r="CP102" s="65">
        <f t="shared" si="630"/>
        <v>0</v>
      </c>
      <c r="CQ102" s="65">
        <f t="shared" si="630"/>
        <v>0</v>
      </c>
      <c r="CR102" s="65">
        <f t="shared" si="630"/>
        <v>0</v>
      </c>
      <c r="CS102" s="65">
        <f t="shared" si="630"/>
        <v>0</v>
      </c>
      <c r="CT102" s="65">
        <f t="shared" si="630"/>
        <v>0</v>
      </c>
      <c r="CU102" s="65">
        <f t="shared" si="630"/>
        <v>0</v>
      </c>
      <c r="CV102" s="64">
        <f>SUM(CM102:CP102,CR102:CU102)</f>
        <v>0</v>
      </c>
      <c r="CW102" s="62"/>
      <c r="CX102" s="63"/>
      <c r="CY102" s="63"/>
      <c r="CZ102" s="63"/>
      <c r="DA102" s="63"/>
      <c r="DB102" s="63"/>
      <c r="DC102" s="63"/>
      <c r="DD102" s="63"/>
      <c r="DE102" s="63"/>
      <c r="DF102" s="63"/>
      <c r="DG102" s="64">
        <f>SUM(CX102:DA102,DC102:DF102)</f>
        <v>0</v>
      </c>
      <c r="DH102" s="62"/>
      <c r="DI102" s="63"/>
      <c r="DJ102" s="63"/>
      <c r="DK102" s="63"/>
      <c r="DL102" s="63"/>
      <c r="DM102" s="63"/>
      <c r="DN102" s="63"/>
      <c r="DO102" s="63"/>
      <c r="DP102" s="63"/>
      <c r="DQ102" s="63"/>
      <c r="DR102" s="64">
        <f>SUM(DI102:DL102,DN102:DQ102)</f>
        <v>0</v>
      </c>
      <c r="DS102" s="62"/>
      <c r="DT102" s="63"/>
      <c r="DU102" s="63"/>
      <c r="DV102" s="63"/>
      <c r="DW102" s="63"/>
      <c r="DX102" s="63"/>
      <c r="DY102" s="63"/>
      <c r="DZ102" s="63"/>
      <c r="EA102" s="63"/>
      <c r="EB102" s="63"/>
      <c r="EC102" s="63"/>
      <c r="ED102" s="65">
        <f t="shared" si="631"/>
        <v>0</v>
      </c>
      <c r="EE102" s="65">
        <f t="shared" si="631"/>
        <v>0</v>
      </c>
      <c r="EF102" s="65">
        <f t="shared" si="631"/>
        <v>0</v>
      </c>
      <c r="EG102" s="65">
        <f t="shared" si="631"/>
        <v>0</v>
      </c>
      <c r="EH102" s="65">
        <f t="shared" si="631"/>
        <v>0</v>
      </c>
      <c r="EI102" s="65">
        <f t="shared" si="631"/>
        <v>0</v>
      </c>
      <c r="EJ102" s="65">
        <f t="shared" si="631"/>
        <v>0</v>
      </c>
      <c r="EK102" s="65">
        <f t="shared" si="631"/>
        <v>0</v>
      </c>
      <c r="EL102" s="65">
        <f t="shared" si="631"/>
        <v>0</v>
      </c>
      <c r="EM102" s="65">
        <f t="shared" si="631"/>
        <v>0</v>
      </c>
      <c r="EN102" s="64">
        <f>SUM(EE102:EH102,EJ102:EM102)</f>
        <v>0</v>
      </c>
      <c r="EO102" s="62"/>
      <c r="EP102" s="63"/>
      <c r="EQ102" s="63"/>
      <c r="ER102" s="63"/>
      <c r="ES102" s="63"/>
      <c r="ET102" s="63"/>
      <c r="EU102" s="63"/>
      <c r="EV102" s="63"/>
      <c r="EW102" s="63"/>
      <c r="EX102" s="63"/>
      <c r="EY102" s="64">
        <f>SUM(EP102:ES102,EU102:EX102)</f>
        <v>0</v>
      </c>
      <c r="EZ102" s="62"/>
      <c r="FA102" s="63"/>
      <c r="FB102" s="63"/>
      <c r="FC102" s="63"/>
      <c r="FD102" s="63"/>
      <c r="FE102" s="63"/>
      <c r="FF102" s="63"/>
      <c r="FG102" s="63"/>
      <c r="FH102" s="63"/>
      <c r="FI102" s="63"/>
      <c r="FJ102" s="64">
        <f>SUM(FA102:FD102,FF102:FI102)</f>
        <v>0</v>
      </c>
      <c r="FK102" s="62"/>
      <c r="FL102" s="63"/>
      <c r="FM102" s="63"/>
      <c r="FN102" s="63"/>
      <c r="FO102" s="63"/>
      <c r="FP102" s="63"/>
      <c r="FQ102" s="63"/>
      <c r="FR102" s="63"/>
      <c r="FS102" s="63"/>
      <c r="FT102" s="63"/>
      <c r="FU102" s="64">
        <f>SUM(FL102:FO102,FQ102:FT102)</f>
        <v>0</v>
      </c>
      <c r="FV102" s="65">
        <f t="shared" si="632"/>
        <v>0</v>
      </c>
      <c r="FW102" s="65">
        <f t="shared" si="632"/>
        <v>0</v>
      </c>
      <c r="FX102" s="65">
        <f t="shared" si="632"/>
        <v>0</v>
      </c>
      <c r="FY102" s="65">
        <f t="shared" si="632"/>
        <v>0</v>
      </c>
      <c r="FZ102" s="65">
        <f t="shared" si="632"/>
        <v>0</v>
      </c>
      <c r="GA102" s="65">
        <f t="shared" si="632"/>
        <v>0</v>
      </c>
      <c r="GB102" s="65">
        <f t="shared" si="632"/>
        <v>0</v>
      </c>
      <c r="GC102" s="65">
        <f t="shared" si="632"/>
        <v>0</v>
      </c>
      <c r="GD102" s="65">
        <f t="shared" si="632"/>
        <v>0</v>
      </c>
      <c r="GE102" s="65">
        <f t="shared" si="632"/>
        <v>0</v>
      </c>
      <c r="GF102" s="64">
        <f>SUM(FW102:FZ102,GB102:GE102)</f>
        <v>0</v>
      </c>
      <c r="GG102" s="66">
        <f t="shared" si="633"/>
        <v>0</v>
      </c>
      <c r="GH102" s="66">
        <f t="shared" si="633"/>
        <v>0</v>
      </c>
      <c r="GI102" s="66">
        <f t="shared" si="633"/>
        <v>0</v>
      </c>
      <c r="GJ102" s="66">
        <f t="shared" si="633"/>
        <v>0</v>
      </c>
      <c r="GK102" s="66">
        <f t="shared" si="633"/>
        <v>0</v>
      </c>
      <c r="GL102" s="66">
        <f t="shared" si="633"/>
        <v>0</v>
      </c>
      <c r="GM102" s="66">
        <f t="shared" si="633"/>
        <v>0</v>
      </c>
      <c r="GN102" s="66">
        <f t="shared" si="633"/>
        <v>0</v>
      </c>
      <c r="GO102" s="66">
        <f t="shared" si="633"/>
        <v>0</v>
      </c>
      <c r="GP102" s="66">
        <f t="shared" si="633"/>
        <v>0</v>
      </c>
      <c r="GQ102" s="64">
        <f>SUM(GH102:GK102,GM102:GP102)</f>
        <v>0</v>
      </c>
      <c r="GR102" s="63"/>
      <c r="GS102" s="63"/>
      <c r="GT102" s="63"/>
      <c r="GU102" s="63"/>
      <c r="GV102" s="67">
        <f>SUM(GR102:GU102)</f>
        <v>0</v>
      </c>
      <c r="GW102" s="63"/>
      <c r="GX102" s="63"/>
      <c r="GY102" s="63"/>
      <c r="GZ102" s="63"/>
      <c r="HA102" s="67">
        <f>SUM(GW102:GZ102)</f>
        <v>0</v>
      </c>
      <c r="HB102" s="63"/>
      <c r="HC102" s="63"/>
      <c r="HD102" s="63"/>
      <c r="HE102" s="63"/>
      <c r="HF102" s="67">
        <f>SUM(HB102:HE102)</f>
        <v>0</v>
      </c>
      <c r="HG102" s="63"/>
      <c r="HH102" s="63"/>
      <c r="HI102" s="63"/>
      <c r="HJ102" s="63"/>
      <c r="HK102" s="67">
        <f>SUM(HG102:HJ102)</f>
        <v>0</v>
      </c>
      <c r="HL102" s="68">
        <f t="shared" si="634"/>
        <v>0</v>
      </c>
      <c r="HM102" s="68">
        <f t="shared" si="634"/>
        <v>0</v>
      </c>
      <c r="HN102" s="68">
        <f t="shared" si="634"/>
        <v>0</v>
      </c>
      <c r="HO102" s="68">
        <f t="shared" si="634"/>
        <v>0</v>
      </c>
      <c r="HP102" s="67">
        <f>SUM(HL102:HO102)</f>
        <v>0</v>
      </c>
      <c r="HQ102" s="63"/>
      <c r="HR102" s="63"/>
      <c r="HS102" s="63"/>
      <c r="HT102" s="63"/>
      <c r="HU102" s="67">
        <f>SUM(HQ102:HT102)</f>
        <v>0</v>
      </c>
      <c r="HV102" s="63"/>
      <c r="HW102" s="63"/>
      <c r="HX102" s="63"/>
      <c r="HY102" s="63"/>
      <c r="HZ102" s="67">
        <f>SUM(HV102:HY102)</f>
        <v>0</v>
      </c>
      <c r="IA102" s="63"/>
      <c r="IB102" s="63"/>
      <c r="IC102" s="63"/>
      <c r="ID102" s="63"/>
      <c r="IE102" s="67">
        <f>SUM(IA102:ID102)</f>
        <v>0</v>
      </c>
      <c r="IF102" s="68">
        <f t="shared" si="635"/>
        <v>0</v>
      </c>
      <c r="IG102" s="68">
        <f t="shared" si="635"/>
        <v>0</v>
      </c>
      <c r="IH102" s="68">
        <f t="shared" si="635"/>
        <v>0</v>
      </c>
      <c r="II102" s="68">
        <f t="shared" si="635"/>
        <v>0</v>
      </c>
      <c r="IJ102" s="67">
        <f>SUM(IF102:II102)</f>
        <v>0</v>
      </c>
      <c r="IK102" s="63"/>
      <c r="IL102" s="63"/>
      <c r="IM102" s="63"/>
      <c r="IN102" s="63"/>
      <c r="IO102" s="67">
        <f>SUM(IK102:IN102)</f>
        <v>0</v>
      </c>
      <c r="IP102" s="63"/>
      <c r="IQ102" s="63"/>
      <c r="IR102" s="63"/>
      <c r="IS102" s="63"/>
      <c r="IT102" s="67">
        <f>SUM(IP102:IS102)</f>
        <v>0</v>
      </c>
      <c r="IU102" s="63"/>
      <c r="IV102" s="63"/>
    </row>
    <row r="103" spans="1:256" s="92" customFormat="1" ht="12.75" customHeight="1" x14ac:dyDescent="0.25">
      <c r="A103" s="123" t="s">
        <v>106</v>
      </c>
      <c r="B103" s="62"/>
      <c r="C103" s="63"/>
      <c r="D103" s="63"/>
      <c r="E103" s="63"/>
      <c r="F103" s="63"/>
      <c r="G103" s="63"/>
      <c r="H103" s="63"/>
      <c r="I103" s="63"/>
      <c r="J103" s="63"/>
      <c r="K103" s="63"/>
      <c r="L103" s="64">
        <f>SUM(C103:F103,H103:K103)</f>
        <v>0</v>
      </c>
      <c r="M103" s="62"/>
      <c r="N103" s="63"/>
      <c r="O103" s="63"/>
      <c r="P103" s="63"/>
      <c r="Q103" s="63"/>
      <c r="R103" s="63"/>
      <c r="S103" s="63"/>
      <c r="T103" s="63"/>
      <c r="U103" s="63"/>
      <c r="V103" s="63"/>
      <c r="W103" s="64">
        <f>SUM(N103:Q103,S103:V103)</f>
        <v>0</v>
      </c>
      <c r="X103" s="62"/>
      <c r="Y103" s="63"/>
      <c r="Z103" s="63"/>
      <c r="AA103" s="63"/>
      <c r="AB103" s="63"/>
      <c r="AC103" s="63"/>
      <c r="AD103" s="63"/>
      <c r="AE103" s="63"/>
      <c r="AF103" s="63"/>
      <c r="AG103" s="63"/>
      <c r="AH103" s="64">
        <f>SUM(Y103:AB103,AD103:AG103)</f>
        <v>0</v>
      </c>
      <c r="AI103" s="62"/>
      <c r="AJ103" s="63"/>
      <c r="AK103" s="63"/>
      <c r="AL103" s="63"/>
      <c r="AM103" s="63"/>
      <c r="AN103" s="63"/>
      <c r="AO103" s="63"/>
      <c r="AP103" s="63"/>
      <c r="AQ103" s="63"/>
      <c r="AR103" s="63"/>
      <c r="AS103" s="64">
        <f>SUM(AJ103:AM103,AO103:AR103)</f>
        <v>0</v>
      </c>
      <c r="AT103" s="65">
        <f t="shared" si="629"/>
        <v>0</v>
      </c>
      <c r="AU103" s="65">
        <f t="shared" si="629"/>
        <v>0</v>
      </c>
      <c r="AV103" s="65">
        <f t="shared" si="629"/>
        <v>0</v>
      </c>
      <c r="AW103" s="65">
        <f t="shared" si="629"/>
        <v>0</v>
      </c>
      <c r="AX103" s="65">
        <f t="shared" si="629"/>
        <v>0</v>
      </c>
      <c r="AY103" s="65">
        <f t="shared" si="629"/>
        <v>0</v>
      </c>
      <c r="AZ103" s="65">
        <f t="shared" si="629"/>
        <v>0</v>
      </c>
      <c r="BA103" s="65">
        <f t="shared" si="629"/>
        <v>0</v>
      </c>
      <c r="BB103" s="65">
        <f t="shared" si="629"/>
        <v>0</v>
      </c>
      <c r="BC103" s="65">
        <f t="shared" si="629"/>
        <v>0</v>
      </c>
      <c r="BD103" s="64">
        <f>SUM(AU103:AX103,AZ103:BC103)</f>
        <v>0</v>
      </c>
      <c r="BE103" s="62"/>
      <c r="BF103" s="63"/>
      <c r="BG103" s="63"/>
      <c r="BH103" s="63"/>
      <c r="BI103" s="63"/>
      <c r="BJ103" s="63"/>
      <c r="BK103" s="63"/>
      <c r="BL103" s="63"/>
      <c r="BM103" s="63"/>
      <c r="BN103" s="63"/>
      <c r="BO103" s="64">
        <f>SUM(BF103:BI103,BK103:BN103)</f>
        <v>0</v>
      </c>
      <c r="BP103" s="62"/>
      <c r="BQ103" s="63"/>
      <c r="BR103" s="63"/>
      <c r="BS103" s="63"/>
      <c r="BT103" s="63"/>
      <c r="BU103" s="63"/>
      <c r="BV103" s="63"/>
      <c r="BW103" s="63"/>
      <c r="BX103" s="63"/>
      <c r="BY103" s="63"/>
      <c r="BZ103" s="64">
        <f>SUM(BQ103:BT103,BV103:BY103)</f>
        <v>0</v>
      </c>
      <c r="CA103" s="62"/>
      <c r="CB103" s="63"/>
      <c r="CC103" s="63"/>
      <c r="CD103" s="63"/>
      <c r="CE103" s="63"/>
      <c r="CF103" s="63"/>
      <c r="CG103" s="63"/>
      <c r="CH103" s="63"/>
      <c r="CI103" s="63"/>
      <c r="CJ103" s="63"/>
      <c r="CK103" s="64">
        <f>SUM(CB103:CE103,CG103:CJ103)</f>
        <v>0</v>
      </c>
      <c r="CL103" s="65">
        <f t="shared" si="630"/>
        <v>0</v>
      </c>
      <c r="CM103" s="65">
        <f t="shared" si="630"/>
        <v>0</v>
      </c>
      <c r="CN103" s="65">
        <f t="shared" si="630"/>
        <v>0</v>
      </c>
      <c r="CO103" s="65">
        <f t="shared" si="630"/>
        <v>0</v>
      </c>
      <c r="CP103" s="65">
        <f t="shared" si="630"/>
        <v>0</v>
      </c>
      <c r="CQ103" s="65">
        <f t="shared" si="630"/>
        <v>0</v>
      </c>
      <c r="CR103" s="65">
        <f t="shared" si="630"/>
        <v>0</v>
      </c>
      <c r="CS103" s="65">
        <f t="shared" si="630"/>
        <v>0</v>
      </c>
      <c r="CT103" s="65">
        <f t="shared" si="630"/>
        <v>0</v>
      </c>
      <c r="CU103" s="65">
        <f t="shared" si="630"/>
        <v>0</v>
      </c>
      <c r="CV103" s="64">
        <f>SUM(CM103:CP103,CR103:CU103)</f>
        <v>0</v>
      </c>
      <c r="CW103" s="62"/>
      <c r="CX103" s="63"/>
      <c r="CY103" s="63"/>
      <c r="CZ103" s="63"/>
      <c r="DA103" s="63"/>
      <c r="DB103" s="63"/>
      <c r="DC103" s="63"/>
      <c r="DD103" s="63"/>
      <c r="DE103" s="63"/>
      <c r="DF103" s="63"/>
      <c r="DG103" s="64">
        <f>SUM(CX103:DA103,DC103:DF103)</f>
        <v>0</v>
      </c>
      <c r="DH103" s="62"/>
      <c r="DI103" s="63"/>
      <c r="DJ103" s="63"/>
      <c r="DK103" s="63"/>
      <c r="DL103" s="63"/>
      <c r="DM103" s="63"/>
      <c r="DN103" s="63"/>
      <c r="DO103" s="63"/>
      <c r="DP103" s="63"/>
      <c r="DQ103" s="63"/>
      <c r="DR103" s="64">
        <f>SUM(DI103:DL103,DN103:DQ103)</f>
        <v>0</v>
      </c>
      <c r="DS103" s="62"/>
      <c r="DT103" s="63"/>
      <c r="DU103" s="63"/>
      <c r="DV103" s="63"/>
      <c r="DW103" s="63"/>
      <c r="DX103" s="63"/>
      <c r="DY103" s="63"/>
      <c r="DZ103" s="63"/>
      <c r="EA103" s="63"/>
      <c r="EB103" s="63"/>
      <c r="EC103" s="63"/>
      <c r="ED103" s="65">
        <f t="shared" si="631"/>
        <v>0</v>
      </c>
      <c r="EE103" s="65">
        <f t="shared" si="631"/>
        <v>0</v>
      </c>
      <c r="EF103" s="65">
        <f t="shared" si="631"/>
        <v>0</v>
      </c>
      <c r="EG103" s="65">
        <f t="shared" si="631"/>
        <v>0</v>
      </c>
      <c r="EH103" s="65">
        <f t="shared" si="631"/>
        <v>0</v>
      </c>
      <c r="EI103" s="65">
        <f t="shared" si="631"/>
        <v>0</v>
      </c>
      <c r="EJ103" s="65">
        <f t="shared" si="631"/>
        <v>0</v>
      </c>
      <c r="EK103" s="65">
        <f t="shared" si="631"/>
        <v>0</v>
      </c>
      <c r="EL103" s="65">
        <f t="shared" si="631"/>
        <v>0</v>
      </c>
      <c r="EM103" s="65">
        <f t="shared" si="631"/>
        <v>0</v>
      </c>
      <c r="EN103" s="64">
        <f>SUM(EE103:EH103,EJ103:EM103)</f>
        <v>0</v>
      </c>
      <c r="EO103" s="62"/>
      <c r="EP103" s="63"/>
      <c r="EQ103" s="63"/>
      <c r="ER103" s="63"/>
      <c r="ES103" s="63"/>
      <c r="ET103" s="63"/>
      <c r="EU103" s="63"/>
      <c r="EV103" s="63"/>
      <c r="EW103" s="63"/>
      <c r="EX103" s="63"/>
      <c r="EY103" s="64">
        <f>SUM(EP103:ES103,EU103:EX103)</f>
        <v>0</v>
      </c>
      <c r="EZ103" s="62"/>
      <c r="FA103" s="63"/>
      <c r="FB103" s="63"/>
      <c r="FC103" s="63"/>
      <c r="FD103" s="63"/>
      <c r="FE103" s="63"/>
      <c r="FF103" s="63"/>
      <c r="FG103" s="63"/>
      <c r="FH103" s="63"/>
      <c r="FI103" s="63"/>
      <c r="FJ103" s="64">
        <f>SUM(FA103:FD103,FF103:FI103)</f>
        <v>0</v>
      </c>
      <c r="FK103" s="62"/>
      <c r="FL103" s="63"/>
      <c r="FM103" s="63"/>
      <c r="FN103" s="63"/>
      <c r="FO103" s="63"/>
      <c r="FP103" s="63"/>
      <c r="FQ103" s="63"/>
      <c r="FR103" s="63"/>
      <c r="FS103" s="63"/>
      <c r="FT103" s="63"/>
      <c r="FU103" s="64">
        <f>SUM(FL103:FO103,FQ103:FT103)</f>
        <v>0</v>
      </c>
      <c r="FV103" s="65">
        <f t="shared" si="632"/>
        <v>0</v>
      </c>
      <c r="FW103" s="65">
        <f t="shared" si="632"/>
        <v>0</v>
      </c>
      <c r="FX103" s="65">
        <f t="shared" si="632"/>
        <v>0</v>
      </c>
      <c r="FY103" s="65">
        <f t="shared" si="632"/>
        <v>0</v>
      </c>
      <c r="FZ103" s="65">
        <f t="shared" si="632"/>
        <v>0</v>
      </c>
      <c r="GA103" s="65">
        <f t="shared" si="632"/>
        <v>0</v>
      </c>
      <c r="GB103" s="65">
        <f t="shared" si="632"/>
        <v>0</v>
      </c>
      <c r="GC103" s="65">
        <f t="shared" si="632"/>
        <v>0</v>
      </c>
      <c r="GD103" s="65">
        <f t="shared" si="632"/>
        <v>0</v>
      </c>
      <c r="GE103" s="65">
        <f t="shared" si="632"/>
        <v>0</v>
      </c>
      <c r="GF103" s="64">
        <f>SUM(FW103:FZ103,GB103:GE103)</f>
        <v>0</v>
      </c>
      <c r="GG103" s="66">
        <f t="shared" si="633"/>
        <v>0</v>
      </c>
      <c r="GH103" s="66">
        <f t="shared" si="633"/>
        <v>0</v>
      </c>
      <c r="GI103" s="66">
        <f t="shared" si="633"/>
        <v>0</v>
      </c>
      <c r="GJ103" s="66">
        <f t="shared" si="633"/>
        <v>0</v>
      </c>
      <c r="GK103" s="66">
        <f t="shared" si="633"/>
        <v>0</v>
      </c>
      <c r="GL103" s="66">
        <f t="shared" si="633"/>
        <v>0</v>
      </c>
      <c r="GM103" s="66">
        <f t="shared" si="633"/>
        <v>0</v>
      </c>
      <c r="GN103" s="66">
        <f t="shared" si="633"/>
        <v>0</v>
      </c>
      <c r="GO103" s="66">
        <f t="shared" si="633"/>
        <v>0</v>
      </c>
      <c r="GP103" s="66">
        <f t="shared" si="633"/>
        <v>0</v>
      </c>
      <c r="GQ103" s="64">
        <f>SUM(GH103:GK103,GM103:GP103)</f>
        <v>0</v>
      </c>
      <c r="GR103" s="63"/>
      <c r="GS103" s="63"/>
      <c r="GT103" s="63"/>
      <c r="GU103" s="63"/>
      <c r="GV103" s="67">
        <f>SUM(GR103:GU103)</f>
        <v>0</v>
      </c>
      <c r="GW103" s="63"/>
      <c r="GX103" s="63"/>
      <c r="GY103" s="63"/>
      <c r="GZ103" s="63"/>
      <c r="HA103" s="67">
        <f>SUM(GW103:GZ103)</f>
        <v>0</v>
      </c>
      <c r="HB103" s="63"/>
      <c r="HC103" s="63"/>
      <c r="HD103" s="63"/>
      <c r="HE103" s="63"/>
      <c r="HF103" s="67">
        <f>SUM(HB103:HE103)</f>
        <v>0</v>
      </c>
      <c r="HG103" s="63"/>
      <c r="HH103" s="63"/>
      <c r="HI103" s="63"/>
      <c r="HJ103" s="63"/>
      <c r="HK103" s="67">
        <f>SUM(HG103:HJ103)</f>
        <v>0</v>
      </c>
      <c r="HL103" s="68">
        <f t="shared" si="634"/>
        <v>0</v>
      </c>
      <c r="HM103" s="68">
        <f t="shared" si="634"/>
        <v>0</v>
      </c>
      <c r="HN103" s="68">
        <f t="shared" si="634"/>
        <v>0</v>
      </c>
      <c r="HO103" s="68">
        <f t="shared" si="634"/>
        <v>0</v>
      </c>
      <c r="HP103" s="67">
        <f>SUM(HL103:HO103)</f>
        <v>0</v>
      </c>
      <c r="HQ103" s="63"/>
      <c r="HR103" s="63"/>
      <c r="HS103" s="63"/>
      <c r="HT103" s="63"/>
      <c r="HU103" s="67">
        <f>SUM(HQ103:HT103)</f>
        <v>0</v>
      </c>
      <c r="HV103" s="63"/>
      <c r="HW103" s="63"/>
      <c r="HX103" s="63"/>
      <c r="HY103" s="63"/>
      <c r="HZ103" s="67">
        <f>SUM(HV103:HY103)</f>
        <v>0</v>
      </c>
      <c r="IA103" s="63"/>
      <c r="IB103" s="63"/>
      <c r="IC103" s="63"/>
      <c r="ID103" s="63"/>
      <c r="IE103" s="67">
        <f>SUM(IA103:ID103)</f>
        <v>0</v>
      </c>
      <c r="IF103" s="68">
        <f t="shared" si="635"/>
        <v>0</v>
      </c>
      <c r="IG103" s="68">
        <f t="shared" si="635"/>
        <v>0</v>
      </c>
      <c r="IH103" s="68">
        <f t="shared" si="635"/>
        <v>0</v>
      </c>
      <c r="II103" s="68">
        <f t="shared" si="635"/>
        <v>0</v>
      </c>
      <c r="IJ103" s="67">
        <f>SUM(IF103:II103)</f>
        <v>0</v>
      </c>
      <c r="IK103" s="63"/>
      <c r="IL103" s="63"/>
      <c r="IM103" s="63"/>
      <c r="IN103" s="63"/>
      <c r="IO103" s="67">
        <f>SUM(IK103:IN103)</f>
        <v>0</v>
      </c>
      <c r="IP103" s="63"/>
      <c r="IQ103" s="63"/>
      <c r="IR103" s="63"/>
      <c r="IS103" s="63"/>
      <c r="IT103" s="67">
        <f>SUM(IP103:IS103)</f>
        <v>0</v>
      </c>
      <c r="IU103" s="63"/>
      <c r="IV103" s="63"/>
    </row>
    <row r="104" spans="1:256" s="125" customFormat="1" ht="12.75" customHeight="1" x14ac:dyDescent="0.25">
      <c r="A104" s="126" t="s">
        <v>108</v>
      </c>
      <c r="B104" s="127" t="s">
        <v>109</v>
      </c>
      <c r="C104" s="82">
        <f t="shared" ref="C104:K104" si="636">SUM(C105,C110,C115)</f>
        <v>1408</v>
      </c>
      <c r="D104" s="82">
        <f t="shared" si="636"/>
        <v>100</v>
      </c>
      <c r="E104" s="82">
        <f t="shared" si="636"/>
        <v>182</v>
      </c>
      <c r="F104" s="82">
        <f t="shared" si="636"/>
        <v>0</v>
      </c>
      <c r="G104" s="82">
        <f t="shared" si="636"/>
        <v>0</v>
      </c>
      <c r="H104" s="82">
        <f t="shared" si="636"/>
        <v>100</v>
      </c>
      <c r="I104" s="82">
        <f t="shared" si="636"/>
        <v>0</v>
      </c>
      <c r="J104" s="82">
        <f t="shared" si="636"/>
        <v>100</v>
      </c>
      <c r="K104" s="82">
        <f t="shared" si="636"/>
        <v>10</v>
      </c>
      <c r="L104" s="82">
        <f>SUM(L105,L110,L115,L123:L129)</f>
        <v>2200</v>
      </c>
      <c r="M104" s="127" t="s">
        <v>109</v>
      </c>
      <c r="N104" s="82">
        <f t="shared" ref="N104:V104" si="637">SUM(N105,N110,N115)</f>
        <v>0</v>
      </c>
      <c r="O104" s="82">
        <f t="shared" si="637"/>
        <v>0</v>
      </c>
      <c r="P104" s="82">
        <f t="shared" si="637"/>
        <v>0</v>
      </c>
      <c r="Q104" s="82">
        <f t="shared" si="637"/>
        <v>0</v>
      </c>
      <c r="R104" s="82">
        <f t="shared" si="637"/>
        <v>0</v>
      </c>
      <c r="S104" s="82">
        <f t="shared" si="637"/>
        <v>0</v>
      </c>
      <c r="T104" s="82">
        <f t="shared" si="637"/>
        <v>0</v>
      </c>
      <c r="U104" s="82">
        <f t="shared" si="637"/>
        <v>0</v>
      </c>
      <c r="V104" s="82">
        <f t="shared" si="637"/>
        <v>0</v>
      </c>
      <c r="W104" s="82">
        <f>SUM(W105,W110,W115,W123:W129)</f>
        <v>0</v>
      </c>
      <c r="X104" s="127" t="s">
        <v>109</v>
      </c>
      <c r="Y104" s="82">
        <f t="shared" ref="Y104:AG104" si="638">SUM(Y105,Y110,Y115)</f>
        <v>0</v>
      </c>
      <c r="Z104" s="82">
        <f t="shared" si="638"/>
        <v>0</v>
      </c>
      <c r="AA104" s="82">
        <f t="shared" si="638"/>
        <v>0</v>
      </c>
      <c r="AB104" s="82">
        <f t="shared" si="638"/>
        <v>0</v>
      </c>
      <c r="AC104" s="82">
        <f t="shared" si="638"/>
        <v>0</v>
      </c>
      <c r="AD104" s="82">
        <f t="shared" si="638"/>
        <v>0</v>
      </c>
      <c r="AE104" s="82">
        <f t="shared" si="638"/>
        <v>0</v>
      </c>
      <c r="AF104" s="82">
        <f t="shared" si="638"/>
        <v>0</v>
      </c>
      <c r="AG104" s="82">
        <f t="shared" si="638"/>
        <v>0</v>
      </c>
      <c r="AH104" s="82">
        <f>SUM(AH105,AH110,AH115,AH123:AH129)</f>
        <v>0</v>
      </c>
      <c r="AI104" s="127" t="s">
        <v>109</v>
      </c>
      <c r="AJ104" s="82">
        <f t="shared" ref="AJ104:AR104" si="639">SUM(AJ105,AJ110,AJ115)</f>
        <v>0</v>
      </c>
      <c r="AK104" s="82">
        <f t="shared" si="639"/>
        <v>0</v>
      </c>
      <c r="AL104" s="82">
        <f t="shared" si="639"/>
        <v>0</v>
      </c>
      <c r="AM104" s="82">
        <f t="shared" si="639"/>
        <v>0</v>
      </c>
      <c r="AN104" s="82">
        <f t="shared" si="639"/>
        <v>0</v>
      </c>
      <c r="AO104" s="82">
        <f t="shared" si="639"/>
        <v>0</v>
      </c>
      <c r="AP104" s="82">
        <f t="shared" si="639"/>
        <v>0</v>
      </c>
      <c r="AQ104" s="82">
        <f t="shared" si="639"/>
        <v>0</v>
      </c>
      <c r="AR104" s="82">
        <f t="shared" si="639"/>
        <v>0</v>
      </c>
      <c r="AS104" s="82">
        <f>SUM(AS105,AS110,AS115,AS123:AS129)</f>
        <v>0</v>
      </c>
      <c r="AT104" s="127" t="s">
        <v>109</v>
      </c>
      <c r="AU104" s="82">
        <f>SUM(AU105,AU110,AU115,AU123:AU129)</f>
        <v>0</v>
      </c>
      <c r="AV104" s="82">
        <f t="shared" ref="AV104:BC104" si="640">SUM(AV105,AV110,AV115,AV123:AV129)</f>
        <v>0</v>
      </c>
      <c r="AW104" s="82">
        <f t="shared" si="640"/>
        <v>0</v>
      </c>
      <c r="AX104" s="82">
        <f t="shared" si="640"/>
        <v>0</v>
      </c>
      <c r="AY104" s="82">
        <f t="shared" si="640"/>
        <v>0</v>
      </c>
      <c r="AZ104" s="82">
        <f t="shared" si="640"/>
        <v>0</v>
      </c>
      <c r="BA104" s="82">
        <f t="shared" si="640"/>
        <v>0</v>
      </c>
      <c r="BB104" s="82">
        <f t="shared" si="640"/>
        <v>0</v>
      </c>
      <c r="BC104" s="82">
        <f t="shared" si="640"/>
        <v>0</v>
      </c>
      <c r="BD104" s="82">
        <f>SUM(BD105,BD110,BD115,BD123:BD129)</f>
        <v>0</v>
      </c>
      <c r="BE104" s="127" t="s">
        <v>109</v>
      </c>
      <c r="BF104" s="82">
        <f t="shared" ref="BF104:BN104" si="641">SUM(BF105,BF110,BF115)</f>
        <v>0</v>
      </c>
      <c r="BG104" s="82">
        <f t="shared" si="641"/>
        <v>0</v>
      </c>
      <c r="BH104" s="82">
        <f t="shared" si="641"/>
        <v>0</v>
      </c>
      <c r="BI104" s="82">
        <f t="shared" si="641"/>
        <v>0</v>
      </c>
      <c r="BJ104" s="82">
        <f t="shared" si="641"/>
        <v>0</v>
      </c>
      <c r="BK104" s="82">
        <f t="shared" si="641"/>
        <v>0</v>
      </c>
      <c r="BL104" s="82">
        <f t="shared" si="641"/>
        <v>0</v>
      </c>
      <c r="BM104" s="82">
        <f t="shared" si="641"/>
        <v>0</v>
      </c>
      <c r="BN104" s="82">
        <f t="shared" si="641"/>
        <v>0</v>
      </c>
      <c r="BO104" s="82">
        <f>SUM(BO105,BO110,BO115,BO123:BO129)</f>
        <v>0</v>
      </c>
      <c r="BP104" s="127" t="s">
        <v>109</v>
      </c>
      <c r="BQ104" s="82">
        <f t="shared" ref="BQ104:BY104" si="642">SUM(BQ105,BQ110,BQ115)</f>
        <v>0</v>
      </c>
      <c r="BR104" s="82">
        <f t="shared" si="642"/>
        <v>0</v>
      </c>
      <c r="BS104" s="82">
        <f t="shared" si="642"/>
        <v>0</v>
      </c>
      <c r="BT104" s="82">
        <f t="shared" si="642"/>
        <v>0</v>
      </c>
      <c r="BU104" s="82">
        <f t="shared" si="642"/>
        <v>0</v>
      </c>
      <c r="BV104" s="82">
        <f t="shared" si="642"/>
        <v>0</v>
      </c>
      <c r="BW104" s="82">
        <f t="shared" si="642"/>
        <v>0</v>
      </c>
      <c r="BX104" s="82">
        <f t="shared" si="642"/>
        <v>0</v>
      </c>
      <c r="BY104" s="82">
        <f t="shared" si="642"/>
        <v>0</v>
      </c>
      <c r="BZ104" s="82">
        <f>SUM(BZ105,BZ110,BZ115,BZ123:BZ129)</f>
        <v>0</v>
      </c>
      <c r="CA104" s="127" t="s">
        <v>109</v>
      </c>
      <c r="CB104" s="82">
        <f t="shared" ref="CB104:CJ104" si="643">SUM(CB105,CB110,CB115)</f>
        <v>0</v>
      </c>
      <c r="CC104" s="82">
        <f t="shared" si="643"/>
        <v>0</v>
      </c>
      <c r="CD104" s="82">
        <f t="shared" si="643"/>
        <v>0</v>
      </c>
      <c r="CE104" s="82">
        <f t="shared" si="643"/>
        <v>0</v>
      </c>
      <c r="CF104" s="82">
        <f t="shared" si="643"/>
        <v>0</v>
      </c>
      <c r="CG104" s="82">
        <f t="shared" si="643"/>
        <v>0</v>
      </c>
      <c r="CH104" s="82">
        <f t="shared" si="643"/>
        <v>0</v>
      </c>
      <c r="CI104" s="82">
        <f t="shared" si="643"/>
        <v>0</v>
      </c>
      <c r="CJ104" s="82">
        <f t="shared" si="643"/>
        <v>0</v>
      </c>
      <c r="CK104" s="82">
        <f>SUM(CK105,CK110,CK115,CK123:CK129)</f>
        <v>0</v>
      </c>
      <c r="CL104" s="127" t="s">
        <v>109</v>
      </c>
      <c r="CM104" s="82">
        <f>SUM(CM105,CM110,CM115,CM123:CM129)</f>
        <v>0</v>
      </c>
      <c r="CN104" s="82">
        <f t="shared" ref="CN104:CU104" si="644">SUM(CN105,CN110,CN115,CN123:CN129)</f>
        <v>0</v>
      </c>
      <c r="CO104" s="82">
        <f t="shared" si="644"/>
        <v>0</v>
      </c>
      <c r="CP104" s="82">
        <f t="shared" si="644"/>
        <v>0</v>
      </c>
      <c r="CQ104" s="82">
        <f t="shared" si="644"/>
        <v>0</v>
      </c>
      <c r="CR104" s="82">
        <f t="shared" si="644"/>
        <v>0</v>
      </c>
      <c r="CS104" s="82">
        <f t="shared" si="644"/>
        <v>0</v>
      </c>
      <c r="CT104" s="82">
        <f t="shared" si="644"/>
        <v>0</v>
      </c>
      <c r="CU104" s="82">
        <f t="shared" si="644"/>
        <v>0</v>
      </c>
      <c r="CV104" s="82">
        <f>SUM(CV105,CV110,CV115,CV123:CV129)</f>
        <v>0</v>
      </c>
      <c r="CW104" s="127" t="s">
        <v>109</v>
      </c>
      <c r="CX104" s="82">
        <f t="shared" ref="CX104:DF104" si="645">SUM(CX105,CX110,CX115)</f>
        <v>0</v>
      </c>
      <c r="CY104" s="82">
        <f t="shared" si="645"/>
        <v>0</v>
      </c>
      <c r="CZ104" s="82">
        <f t="shared" si="645"/>
        <v>0</v>
      </c>
      <c r="DA104" s="82">
        <f t="shared" si="645"/>
        <v>0</v>
      </c>
      <c r="DB104" s="82">
        <f t="shared" si="645"/>
        <v>0</v>
      </c>
      <c r="DC104" s="82">
        <f t="shared" si="645"/>
        <v>0</v>
      </c>
      <c r="DD104" s="82">
        <f t="shared" si="645"/>
        <v>0</v>
      </c>
      <c r="DE104" s="82">
        <f t="shared" si="645"/>
        <v>0</v>
      </c>
      <c r="DF104" s="82">
        <f t="shared" si="645"/>
        <v>0</v>
      </c>
      <c r="DG104" s="82">
        <f>SUM(DG105,DG110,DG115,DG123:DG129)</f>
        <v>0</v>
      </c>
      <c r="DH104" s="127" t="s">
        <v>109</v>
      </c>
      <c r="DI104" s="82">
        <f t="shared" ref="DI104:DQ104" si="646">SUM(DI105,DI110,DI115)</f>
        <v>0</v>
      </c>
      <c r="DJ104" s="82">
        <f t="shared" si="646"/>
        <v>0</v>
      </c>
      <c r="DK104" s="82">
        <f t="shared" si="646"/>
        <v>0</v>
      </c>
      <c r="DL104" s="82">
        <f t="shared" si="646"/>
        <v>0</v>
      </c>
      <c r="DM104" s="82">
        <f t="shared" si="646"/>
        <v>0</v>
      </c>
      <c r="DN104" s="82">
        <f t="shared" si="646"/>
        <v>0</v>
      </c>
      <c r="DO104" s="82">
        <f t="shared" si="646"/>
        <v>0</v>
      </c>
      <c r="DP104" s="82">
        <f t="shared" si="646"/>
        <v>0</v>
      </c>
      <c r="DQ104" s="82">
        <f t="shared" si="646"/>
        <v>0</v>
      </c>
      <c r="DR104" s="82">
        <f>SUM(DR105,DR110,DR115,DR123:DR129)</f>
        <v>0</v>
      </c>
      <c r="DS104" s="127" t="s">
        <v>109</v>
      </c>
      <c r="DT104" s="82">
        <f t="shared" ref="DT104:EB104" si="647">SUM(DT105,DT110,DT115)</f>
        <v>0</v>
      </c>
      <c r="DU104" s="82">
        <f t="shared" si="647"/>
        <v>0</v>
      </c>
      <c r="DV104" s="82">
        <f t="shared" si="647"/>
        <v>0</v>
      </c>
      <c r="DW104" s="82">
        <f t="shared" si="647"/>
        <v>0</v>
      </c>
      <c r="DX104" s="82">
        <f t="shared" si="647"/>
        <v>0</v>
      </c>
      <c r="DY104" s="82">
        <f t="shared" si="647"/>
        <v>0</v>
      </c>
      <c r="DZ104" s="82">
        <f t="shared" si="647"/>
        <v>0</v>
      </c>
      <c r="EA104" s="82">
        <f t="shared" si="647"/>
        <v>0</v>
      </c>
      <c r="EB104" s="82">
        <f t="shared" si="647"/>
        <v>0</v>
      </c>
      <c r="EC104" s="82">
        <f>SUM(EC105,EC110,EC115)</f>
        <v>0</v>
      </c>
      <c r="ED104" s="127" t="s">
        <v>109</v>
      </c>
      <c r="EE104" s="82">
        <f>SUM(EE105,EE110,EE115,EE123:EE129)</f>
        <v>0</v>
      </c>
      <c r="EF104" s="82">
        <f t="shared" ref="EF104:EM104" si="648">SUM(EF105,EF110,EF115,EF123:EF129)</f>
        <v>0</v>
      </c>
      <c r="EG104" s="82">
        <f t="shared" si="648"/>
        <v>0</v>
      </c>
      <c r="EH104" s="82">
        <f t="shared" si="648"/>
        <v>0</v>
      </c>
      <c r="EI104" s="82">
        <f t="shared" si="648"/>
        <v>0</v>
      </c>
      <c r="EJ104" s="82">
        <f t="shared" si="648"/>
        <v>0</v>
      </c>
      <c r="EK104" s="82">
        <f t="shared" si="648"/>
        <v>0</v>
      </c>
      <c r="EL104" s="82">
        <f t="shared" si="648"/>
        <v>0</v>
      </c>
      <c r="EM104" s="82">
        <f t="shared" si="648"/>
        <v>0</v>
      </c>
      <c r="EN104" s="82">
        <f>SUM(EN105,EN110,EN115,EN123:EN129)</f>
        <v>0</v>
      </c>
      <c r="EO104" s="127" t="s">
        <v>109</v>
      </c>
      <c r="EP104" s="82">
        <f t="shared" ref="EP104:EX104" si="649">SUM(EP105,EP110,EP115)</f>
        <v>0</v>
      </c>
      <c r="EQ104" s="82">
        <f t="shared" si="649"/>
        <v>0</v>
      </c>
      <c r="ER104" s="82">
        <f t="shared" si="649"/>
        <v>0</v>
      </c>
      <c r="ES104" s="82">
        <f t="shared" si="649"/>
        <v>0</v>
      </c>
      <c r="ET104" s="82">
        <f t="shared" si="649"/>
        <v>0</v>
      </c>
      <c r="EU104" s="82">
        <f t="shared" si="649"/>
        <v>0</v>
      </c>
      <c r="EV104" s="82">
        <f t="shared" si="649"/>
        <v>0</v>
      </c>
      <c r="EW104" s="82">
        <f t="shared" si="649"/>
        <v>0</v>
      </c>
      <c r="EX104" s="82">
        <f t="shared" si="649"/>
        <v>0</v>
      </c>
      <c r="EY104" s="82">
        <f>SUM(EY105,EY110,EY115,EY123:EY129)</f>
        <v>0</v>
      </c>
      <c r="EZ104" s="127" t="s">
        <v>109</v>
      </c>
      <c r="FA104" s="82">
        <f t="shared" ref="FA104:FI104" si="650">SUM(FA105,FA110,FA115)</f>
        <v>0</v>
      </c>
      <c r="FB104" s="82">
        <f t="shared" si="650"/>
        <v>0</v>
      </c>
      <c r="FC104" s="82">
        <f t="shared" si="650"/>
        <v>0</v>
      </c>
      <c r="FD104" s="82">
        <f t="shared" si="650"/>
        <v>0</v>
      </c>
      <c r="FE104" s="82">
        <f t="shared" si="650"/>
        <v>0</v>
      </c>
      <c r="FF104" s="82">
        <f t="shared" si="650"/>
        <v>0</v>
      </c>
      <c r="FG104" s="82">
        <f t="shared" si="650"/>
        <v>0</v>
      </c>
      <c r="FH104" s="82">
        <f t="shared" si="650"/>
        <v>0</v>
      </c>
      <c r="FI104" s="82">
        <f t="shared" si="650"/>
        <v>0</v>
      </c>
      <c r="FJ104" s="82">
        <f>SUM(FJ105,FJ110,FJ115,FJ123:FJ129)</f>
        <v>0</v>
      </c>
      <c r="FK104" s="127" t="s">
        <v>109</v>
      </c>
      <c r="FL104" s="82">
        <f t="shared" ref="FL104:FT104" si="651">SUM(FL105,FL110,FL115)</f>
        <v>0</v>
      </c>
      <c r="FM104" s="82">
        <f t="shared" si="651"/>
        <v>0</v>
      </c>
      <c r="FN104" s="82">
        <f t="shared" si="651"/>
        <v>0</v>
      </c>
      <c r="FO104" s="82">
        <f t="shared" si="651"/>
        <v>0</v>
      </c>
      <c r="FP104" s="82">
        <f t="shared" si="651"/>
        <v>0</v>
      </c>
      <c r="FQ104" s="82">
        <f t="shared" si="651"/>
        <v>0</v>
      </c>
      <c r="FR104" s="82">
        <f t="shared" si="651"/>
        <v>0</v>
      </c>
      <c r="FS104" s="82">
        <f t="shared" si="651"/>
        <v>0</v>
      </c>
      <c r="FT104" s="82">
        <f t="shared" si="651"/>
        <v>0</v>
      </c>
      <c r="FU104" s="82">
        <f>SUM(FU105,FU110,FU115,FU123:FU129)</f>
        <v>0</v>
      </c>
      <c r="FV104" s="127" t="s">
        <v>109</v>
      </c>
      <c r="FW104" s="82">
        <f>SUM(FW105,FW110,FW115,FW123:FW129)</f>
        <v>0</v>
      </c>
      <c r="FX104" s="82">
        <f t="shared" ref="FX104:GE104" si="652">SUM(FX105,FX110,FX115,FX123:FX129)</f>
        <v>0</v>
      </c>
      <c r="FY104" s="82">
        <f t="shared" si="652"/>
        <v>0</v>
      </c>
      <c r="FZ104" s="82">
        <f t="shared" si="652"/>
        <v>0</v>
      </c>
      <c r="GA104" s="82">
        <f t="shared" si="652"/>
        <v>0</v>
      </c>
      <c r="GB104" s="82">
        <f t="shared" si="652"/>
        <v>0</v>
      </c>
      <c r="GC104" s="82">
        <f t="shared" si="652"/>
        <v>0</v>
      </c>
      <c r="GD104" s="82">
        <f t="shared" si="652"/>
        <v>0</v>
      </c>
      <c r="GE104" s="82">
        <f t="shared" si="652"/>
        <v>0</v>
      </c>
      <c r="GF104" s="82">
        <f>SUM(GF105,GF110,GF115,GF123:GF129)</f>
        <v>0</v>
      </c>
      <c r="GG104" s="127" t="s">
        <v>109</v>
      </c>
      <c r="GH104" s="82">
        <f t="shared" ref="GH104:GP104" si="653">SUM(GH105,GH110,GH115)</f>
        <v>0</v>
      </c>
      <c r="GI104" s="82">
        <f t="shared" si="653"/>
        <v>0</v>
      </c>
      <c r="GJ104" s="82">
        <f t="shared" si="653"/>
        <v>0</v>
      </c>
      <c r="GK104" s="82">
        <f t="shared" si="653"/>
        <v>0</v>
      </c>
      <c r="GL104" s="82">
        <f t="shared" si="653"/>
        <v>0</v>
      </c>
      <c r="GM104" s="82">
        <f t="shared" si="653"/>
        <v>0</v>
      </c>
      <c r="GN104" s="82">
        <f t="shared" si="653"/>
        <v>0</v>
      </c>
      <c r="GO104" s="82">
        <f t="shared" si="653"/>
        <v>0</v>
      </c>
      <c r="GP104" s="82">
        <f t="shared" si="653"/>
        <v>0</v>
      </c>
      <c r="GQ104" s="82">
        <f>SUM(GQ105,GQ110,GQ115,GQ123:GQ129)</f>
        <v>0</v>
      </c>
      <c r="GR104" s="82">
        <f t="shared" ref="GR104:HW104" si="654">SUM(GR105,GR110,GR115)</f>
        <v>0</v>
      </c>
      <c r="GS104" s="82">
        <f t="shared" si="654"/>
        <v>0</v>
      </c>
      <c r="GT104" s="82">
        <f t="shared" si="654"/>
        <v>0</v>
      </c>
      <c r="GU104" s="82">
        <f t="shared" si="654"/>
        <v>0</v>
      </c>
      <c r="GV104" s="82">
        <f t="shared" si="654"/>
        <v>0</v>
      </c>
      <c r="GW104" s="82">
        <f t="shared" si="654"/>
        <v>0</v>
      </c>
      <c r="GX104" s="82">
        <f t="shared" si="654"/>
        <v>0</v>
      </c>
      <c r="GY104" s="82">
        <f t="shared" si="654"/>
        <v>0</v>
      </c>
      <c r="GZ104" s="82">
        <f t="shared" si="654"/>
        <v>0</v>
      </c>
      <c r="HA104" s="82">
        <f t="shared" si="654"/>
        <v>0</v>
      </c>
      <c r="HB104" s="82">
        <f t="shared" si="654"/>
        <v>0</v>
      </c>
      <c r="HC104" s="82">
        <f t="shared" si="654"/>
        <v>0</v>
      </c>
      <c r="HD104" s="82">
        <f t="shared" si="654"/>
        <v>0</v>
      </c>
      <c r="HE104" s="82">
        <f t="shared" si="654"/>
        <v>0</v>
      </c>
      <c r="HF104" s="82">
        <f t="shared" si="654"/>
        <v>0</v>
      </c>
      <c r="HG104" s="82">
        <f t="shared" si="654"/>
        <v>0</v>
      </c>
      <c r="HH104" s="82">
        <f t="shared" si="654"/>
        <v>0</v>
      </c>
      <c r="HI104" s="82">
        <f t="shared" si="654"/>
        <v>0</v>
      </c>
      <c r="HJ104" s="82">
        <f t="shared" si="654"/>
        <v>0</v>
      </c>
      <c r="HK104" s="82">
        <f t="shared" si="654"/>
        <v>0</v>
      </c>
      <c r="HL104" s="82">
        <f t="shared" si="654"/>
        <v>0</v>
      </c>
      <c r="HM104" s="82">
        <f t="shared" si="654"/>
        <v>0</v>
      </c>
      <c r="HN104" s="82">
        <f t="shared" si="654"/>
        <v>0</v>
      </c>
      <c r="HO104" s="82">
        <f t="shared" si="654"/>
        <v>0</v>
      </c>
      <c r="HP104" s="82">
        <f t="shared" si="654"/>
        <v>0</v>
      </c>
      <c r="HQ104" s="82">
        <f t="shared" si="654"/>
        <v>0</v>
      </c>
      <c r="HR104" s="82">
        <f t="shared" si="654"/>
        <v>0</v>
      </c>
      <c r="HS104" s="82">
        <f t="shared" si="654"/>
        <v>0</v>
      </c>
      <c r="HT104" s="82">
        <f t="shared" si="654"/>
        <v>0</v>
      </c>
      <c r="HU104" s="82">
        <f t="shared" si="654"/>
        <v>0</v>
      </c>
      <c r="HV104" s="82">
        <f t="shared" si="654"/>
        <v>0</v>
      </c>
      <c r="HW104" s="82">
        <f t="shared" si="654"/>
        <v>0</v>
      </c>
      <c r="HX104" s="82">
        <f t="shared" ref="HX104:IV104" si="655">SUM(HX105,HX110,HX115)</f>
        <v>0</v>
      </c>
      <c r="HY104" s="82">
        <f t="shared" si="655"/>
        <v>0</v>
      </c>
      <c r="HZ104" s="82">
        <f t="shared" si="655"/>
        <v>0</v>
      </c>
      <c r="IA104" s="82">
        <f t="shared" si="655"/>
        <v>0</v>
      </c>
      <c r="IB104" s="82">
        <f t="shared" si="655"/>
        <v>0</v>
      </c>
      <c r="IC104" s="82">
        <f t="shared" si="655"/>
        <v>0</v>
      </c>
      <c r="ID104" s="82">
        <f t="shared" si="655"/>
        <v>0</v>
      </c>
      <c r="IE104" s="82">
        <f t="shared" si="655"/>
        <v>0</v>
      </c>
      <c r="IF104" s="82">
        <f t="shared" si="655"/>
        <v>0</v>
      </c>
      <c r="IG104" s="82">
        <f t="shared" si="655"/>
        <v>0</v>
      </c>
      <c r="IH104" s="82">
        <f t="shared" si="655"/>
        <v>0</v>
      </c>
      <c r="II104" s="82">
        <f t="shared" si="655"/>
        <v>0</v>
      </c>
      <c r="IJ104" s="82">
        <f t="shared" si="655"/>
        <v>0</v>
      </c>
      <c r="IK104" s="82">
        <f t="shared" si="655"/>
        <v>0</v>
      </c>
      <c r="IL104" s="82">
        <f t="shared" si="655"/>
        <v>0</v>
      </c>
      <c r="IM104" s="82">
        <f t="shared" si="655"/>
        <v>0</v>
      </c>
      <c r="IN104" s="82">
        <f t="shared" si="655"/>
        <v>0</v>
      </c>
      <c r="IO104" s="82">
        <f t="shared" si="655"/>
        <v>0</v>
      </c>
      <c r="IP104" s="82">
        <f t="shared" si="655"/>
        <v>0</v>
      </c>
      <c r="IQ104" s="82">
        <f t="shared" si="655"/>
        <v>0</v>
      </c>
      <c r="IR104" s="82">
        <f t="shared" si="655"/>
        <v>0</v>
      </c>
      <c r="IS104" s="82">
        <f t="shared" si="655"/>
        <v>0</v>
      </c>
      <c r="IT104" s="82">
        <f t="shared" si="655"/>
        <v>0</v>
      </c>
      <c r="IU104" s="82">
        <f t="shared" si="655"/>
        <v>0</v>
      </c>
      <c r="IV104" s="82">
        <f t="shared" si="655"/>
        <v>0</v>
      </c>
    </row>
    <row r="105" spans="1:256" s="92" customFormat="1" ht="12.75" customHeight="1" x14ac:dyDescent="0.25">
      <c r="A105" s="115" t="s">
        <v>102</v>
      </c>
      <c r="B105" s="124" t="s">
        <v>98</v>
      </c>
      <c r="C105" s="96">
        <f t="shared" ref="C105:K105" si="656">SUM(C106:C109)</f>
        <v>1408</v>
      </c>
      <c r="D105" s="96">
        <f t="shared" si="656"/>
        <v>100</v>
      </c>
      <c r="E105" s="96">
        <f t="shared" si="656"/>
        <v>182</v>
      </c>
      <c r="F105" s="96">
        <f t="shared" si="656"/>
        <v>0</v>
      </c>
      <c r="G105" s="96">
        <f t="shared" si="656"/>
        <v>0</v>
      </c>
      <c r="H105" s="96">
        <f t="shared" si="656"/>
        <v>100</v>
      </c>
      <c r="I105" s="96">
        <f t="shared" si="656"/>
        <v>0</v>
      </c>
      <c r="J105" s="96">
        <f t="shared" si="656"/>
        <v>100</v>
      </c>
      <c r="K105" s="96">
        <f t="shared" si="656"/>
        <v>10</v>
      </c>
      <c r="L105" s="96">
        <f>SUM(L106:L109)</f>
        <v>1900</v>
      </c>
      <c r="M105" s="124" t="s">
        <v>98</v>
      </c>
      <c r="N105" s="96">
        <f t="shared" ref="N105:V105" si="657">SUM(N106:N109)</f>
        <v>0</v>
      </c>
      <c r="O105" s="96">
        <f t="shared" si="657"/>
        <v>0</v>
      </c>
      <c r="P105" s="96">
        <f t="shared" si="657"/>
        <v>0</v>
      </c>
      <c r="Q105" s="96">
        <f t="shared" si="657"/>
        <v>0</v>
      </c>
      <c r="R105" s="96">
        <f t="shared" si="657"/>
        <v>0</v>
      </c>
      <c r="S105" s="96">
        <f t="shared" si="657"/>
        <v>0</v>
      </c>
      <c r="T105" s="96">
        <f t="shared" si="657"/>
        <v>0</v>
      </c>
      <c r="U105" s="96">
        <f t="shared" si="657"/>
        <v>0</v>
      </c>
      <c r="V105" s="96">
        <f t="shared" si="657"/>
        <v>0</v>
      </c>
      <c r="W105" s="96">
        <f>SUM(W106:W109)</f>
        <v>0</v>
      </c>
      <c r="X105" s="124" t="s">
        <v>98</v>
      </c>
      <c r="Y105" s="96">
        <f t="shared" ref="Y105:AG105" si="658">SUM(Y106:Y109)</f>
        <v>0</v>
      </c>
      <c r="Z105" s="96">
        <f t="shared" si="658"/>
        <v>0</v>
      </c>
      <c r="AA105" s="96">
        <f t="shared" si="658"/>
        <v>0</v>
      </c>
      <c r="AB105" s="96">
        <f t="shared" si="658"/>
        <v>0</v>
      </c>
      <c r="AC105" s="96">
        <f t="shared" si="658"/>
        <v>0</v>
      </c>
      <c r="AD105" s="96">
        <f t="shared" si="658"/>
        <v>0</v>
      </c>
      <c r="AE105" s="96">
        <f t="shared" si="658"/>
        <v>0</v>
      </c>
      <c r="AF105" s="96">
        <f t="shared" si="658"/>
        <v>0</v>
      </c>
      <c r="AG105" s="96">
        <f t="shared" si="658"/>
        <v>0</v>
      </c>
      <c r="AH105" s="96">
        <f>SUM(AH106:AH109)</f>
        <v>0</v>
      </c>
      <c r="AI105" s="124" t="s">
        <v>98</v>
      </c>
      <c r="AJ105" s="96">
        <f t="shared" ref="AJ105:AR105" si="659">SUM(AJ106:AJ109)</f>
        <v>0</v>
      </c>
      <c r="AK105" s="96">
        <f t="shared" si="659"/>
        <v>0</v>
      </c>
      <c r="AL105" s="96">
        <f t="shared" si="659"/>
        <v>0</v>
      </c>
      <c r="AM105" s="96">
        <f t="shared" si="659"/>
        <v>0</v>
      </c>
      <c r="AN105" s="96">
        <f t="shared" si="659"/>
        <v>0</v>
      </c>
      <c r="AO105" s="96">
        <f t="shared" si="659"/>
        <v>0</v>
      </c>
      <c r="AP105" s="96">
        <f t="shared" si="659"/>
        <v>0</v>
      </c>
      <c r="AQ105" s="96">
        <f t="shared" si="659"/>
        <v>0</v>
      </c>
      <c r="AR105" s="96">
        <f t="shared" si="659"/>
        <v>0</v>
      </c>
      <c r="AS105" s="96">
        <f>SUM(AS106:AS109)</f>
        <v>0</v>
      </c>
      <c r="AT105" s="124" t="s">
        <v>98</v>
      </c>
      <c r="AU105" s="96">
        <f>SUM(AU106:AU109)</f>
        <v>0</v>
      </c>
      <c r="AV105" s="96">
        <f t="shared" ref="AV105:BC105" si="660">SUM(AV106:AV109)</f>
        <v>0</v>
      </c>
      <c r="AW105" s="96">
        <f t="shared" si="660"/>
        <v>0</v>
      </c>
      <c r="AX105" s="96">
        <f t="shared" si="660"/>
        <v>0</v>
      </c>
      <c r="AY105" s="96">
        <f t="shared" si="660"/>
        <v>0</v>
      </c>
      <c r="AZ105" s="96">
        <f t="shared" si="660"/>
        <v>0</v>
      </c>
      <c r="BA105" s="96">
        <f t="shared" si="660"/>
        <v>0</v>
      </c>
      <c r="BB105" s="96">
        <f t="shared" si="660"/>
        <v>0</v>
      </c>
      <c r="BC105" s="96">
        <f t="shared" si="660"/>
        <v>0</v>
      </c>
      <c r="BD105" s="96">
        <f>SUM(BD106:BD109)</f>
        <v>0</v>
      </c>
      <c r="BE105" s="124" t="s">
        <v>98</v>
      </c>
      <c r="BF105" s="96">
        <f t="shared" ref="BF105:BN105" si="661">SUM(BF106:BF109)</f>
        <v>0</v>
      </c>
      <c r="BG105" s="96">
        <f t="shared" si="661"/>
        <v>0</v>
      </c>
      <c r="BH105" s="96">
        <f t="shared" si="661"/>
        <v>0</v>
      </c>
      <c r="BI105" s="96">
        <f t="shared" si="661"/>
        <v>0</v>
      </c>
      <c r="BJ105" s="96">
        <f t="shared" si="661"/>
        <v>0</v>
      </c>
      <c r="BK105" s="96">
        <f t="shared" si="661"/>
        <v>0</v>
      </c>
      <c r="BL105" s="96">
        <f t="shared" si="661"/>
        <v>0</v>
      </c>
      <c r="BM105" s="96">
        <f t="shared" si="661"/>
        <v>0</v>
      </c>
      <c r="BN105" s="96">
        <f t="shared" si="661"/>
        <v>0</v>
      </c>
      <c r="BO105" s="96">
        <f>SUM(BO106:BO109)</f>
        <v>0</v>
      </c>
      <c r="BP105" s="124" t="s">
        <v>98</v>
      </c>
      <c r="BQ105" s="96">
        <f t="shared" ref="BQ105:BY105" si="662">SUM(BQ106:BQ109)</f>
        <v>0</v>
      </c>
      <c r="BR105" s="96">
        <f t="shared" si="662"/>
        <v>0</v>
      </c>
      <c r="BS105" s="96">
        <f t="shared" si="662"/>
        <v>0</v>
      </c>
      <c r="BT105" s="96">
        <f t="shared" si="662"/>
        <v>0</v>
      </c>
      <c r="BU105" s="96">
        <f t="shared" si="662"/>
        <v>0</v>
      </c>
      <c r="BV105" s="96">
        <f t="shared" si="662"/>
        <v>0</v>
      </c>
      <c r="BW105" s="96">
        <f t="shared" si="662"/>
        <v>0</v>
      </c>
      <c r="BX105" s="96">
        <f t="shared" si="662"/>
        <v>0</v>
      </c>
      <c r="BY105" s="96">
        <f t="shared" si="662"/>
        <v>0</v>
      </c>
      <c r="BZ105" s="96">
        <f>SUM(BZ106:BZ109)</f>
        <v>0</v>
      </c>
      <c r="CA105" s="124" t="s">
        <v>98</v>
      </c>
      <c r="CB105" s="96">
        <f t="shared" ref="CB105:CJ105" si="663">SUM(CB106:CB109)</f>
        <v>0</v>
      </c>
      <c r="CC105" s="96">
        <f t="shared" si="663"/>
        <v>0</v>
      </c>
      <c r="CD105" s="96">
        <f t="shared" si="663"/>
        <v>0</v>
      </c>
      <c r="CE105" s="96">
        <f t="shared" si="663"/>
        <v>0</v>
      </c>
      <c r="CF105" s="96">
        <f t="shared" si="663"/>
        <v>0</v>
      </c>
      <c r="CG105" s="96">
        <f t="shared" si="663"/>
        <v>0</v>
      </c>
      <c r="CH105" s="96">
        <f t="shared" si="663"/>
        <v>0</v>
      </c>
      <c r="CI105" s="96">
        <f t="shared" si="663"/>
        <v>0</v>
      </c>
      <c r="CJ105" s="96">
        <f t="shared" si="663"/>
        <v>0</v>
      </c>
      <c r="CK105" s="96">
        <f>SUM(CK106:CK109)</f>
        <v>0</v>
      </c>
      <c r="CL105" s="124" t="s">
        <v>98</v>
      </c>
      <c r="CM105" s="96">
        <f>SUM(CM106:CM109)</f>
        <v>0</v>
      </c>
      <c r="CN105" s="96">
        <f t="shared" ref="CN105:CU105" si="664">SUM(CN106:CN109)</f>
        <v>0</v>
      </c>
      <c r="CO105" s="96">
        <f t="shared" si="664"/>
        <v>0</v>
      </c>
      <c r="CP105" s="96">
        <f t="shared" si="664"/>
        <v>0</v>
      </c>
      <c r="CQ105" s="96">
        <f t="shared" si="664"/>
        <v>0</v>
      </c>
      <c r="CR105" s="96">
        <f t="shared" si="664"/>
        <v>0</v>
      </c>
      <c r="CS105" s="96">
        <f t="shared" si="664"/>
        <v>0</v>
      </c>
      <c r="CT105" s="96">
        <f t="shared" si="664"/>
        <v>0</v>
      </c>
      <c r="CU105" s="96">
        <f t="shared" si="664"/>
        <v>0</v>
      </c>
      <c r="CV105" s="96">
        <f>SUM(CV106:CV109)</f>
        <v>0</v>
      </c>
      <c r="CW105" s="124" t="s">
        <v>98</v>
      </c>
      <c r="CX105" s="96">
        <f t="shared" ref="CX105:DF105" si="665">SUM(CX106:CX109)</f>
        <v>0</v>
      </c>
      <c r="CY105" s="96">
        <f t="shared" si="665"/>
        <v>0</v>
      </c>
      <c r="CZ105" s="96">
        <f t="shared" si="665"/>
        <v>0</v>
      </c>
      <c r="DA105" s="96">
        <f t="shared" si="665"/>
        <v>0</v>
      </c>
      <c r="DB105" s="96">
        <f t="shared" si="665"/>
        <v>0</v>
      </c>
      <c r="DC105" s="96">
        <f t="shared" si="665"/>
        <v>0</v>
      </c>
      <c r="DD105" s="96">
        <f t="shared" si="665"/>
        <v>0</v>
      </c>
      <c r="DE105" s="96">
        <f t="shared" si="665"/>
        <v>0</v>
      </c>
      <c r="DF105" s="96">
        <f t="shared" si="665"/>
        <v>0</v>
      </c>
      <c r="DG105" s="96">
        <f>SUM(DG106:DG109)</f>
        <v>0</v>
      </c>
      <c r="DH105" s="124" t="s">
        <v>98</v>
      </c>
      <c r="DI105" s="96">
        <f t="shared" ref="DI105:DQ105" si="666">SUM(DI106:DI109)</f>
        <v>0</v>
      </c>
      <c r="DJ105" s="96">
        <f t="shared" si="666"/>
        <v>0</v>
      </c>
      <c r="DK105" s="96">
        <f t="shared" si="666"/>
        <v>0</v>
      </c>
      <c r="DL105" s="96">
        <f t="shared" si="666"/>
        <v>0</v>
      </c>
      <c r="DM105" s="96">
        <f t="shared" si="666"/>
        <v>0</v>
      </c>
      <c r="DN105" s="96">
        <f t="shared" si="666"/>
        <v>0</v>
      </c>
      <c r="DO105" s="96">
        <f t="shared" si="666"/>
        <v>0</v>
      </c>
      <c r="DP105" s="96">
        <f t="shared" si="666"/>
        <v>0</v>
      </c>
      <c r="DQ105" s="96">
        <f t="shared" si="666"/>
        <v>0</v>
      </c>
      <c r="DR105" s="96">
        <f>SUM(DR106:DR109)</f>
        <v>0</v>
      </c>
      <c r="DS105" s="124" t="s">
        <v>98</v>
      </c>
      <c r="DT105" s="96">
        <f t="shared" ref="DT105:EB105" si="667">SUM(DT106:DT109)</f>
        <v>0</v>
      </c>
      <c r="DU105" s="96">
        <f t="shared" si="667"/>
        <v>0</v>
      </c>
      <c r="DV105" s="96">
        <f t="shared" si="667"/>
        <v>0</v>
      </c>
      <c r="DW105" s="96">
        <f t="shared" si="667"/>
        <v>0</v>
      </c>
      <c r="DX105" s="96">
        <f t="shared" si="667"/>
        <v>0</v>
      </c>
      <c r="DY105" s="96">
        <f t="shared" si="667"/>
        <v>0</v>
      </c>
      <c r="DZ105" s="96">
        <f t="shared" si="667"/>
        <v>0</v>
      </c>
      <c r="EA105" s="96">
        <f t="shared" si="667"/>
        <v>0</v>
      </c>
      <c r="EB105" s="96">
        <f t="shared" si="667"/>
        <v>0</v>
      </c>
      <c r="EC105" s="96">
        <f>SUM(EC106:EC109)</f>
        <v>0</v>
      </c>
      <c r="ED105" s="124" t="s">
        <v>98</v>
      </c>
      <c r="EE105" s="96">
        <f>SUM(EE106:EE109)</f>
        <v>0</v>
      </c>
      <c r="EF105" s="96">
        <f t="shared" ref="EF105:EM105" si="668">SUM(EF106:EF109)</f>
        <v>0</v>
      </c>
      <c r="EG105" s="96">
        <f t="shared" si="668"/>
        <v>0</v>
      </c>
      <c r="EH105" s="96">
        <f t="shared" si="668"/>
        <v>0</v>
      </c>
      <c r="EI105" s="96">
        <f t="shared" si="668"/>
        <v>0</v>
      </c>
      <c r="EJ105" s="96">
        <f t="shared" si="668"/>
        <v>0</v>
      </c>
      <c r="EK105" s="96">
        <f t="shared" si="668"/>
        <v>0</v>
      </c>
      <c r="EL105" s="96">
        <f t="shared" si="668"/>
        <v>0</v>
      </c>
      <c r="EM105" s="96">
        <f t="shared" si="668"/>
        <v>0</v>
      </c>
      <c r="EN105" s="96">
        <f>SUM(EN106:EN109)</f>
        <v>0</v>
      </c>
      <c r="EO105" s="124" t="s">
        <v>98</v>
      </c>
      <c r="EP105" s="96">
        <f t="shared" ref="EP105:EX105" si="669">SUM(EP106:EP109)</f>
        <v>0</v>
      </c>
      <c r="EQ105" s="96">
        <f t="shared" si="669"/>
        <v>0</v>
      </c>
      <c r="ER105" s="96">
        <f t="shared" si="669"/>
        <v>0</v>
      </c>
      <c r="ES105" s="96">
        <f t="shared" si="669"/>
        <v>0</v>
      </c>
      <c r="ET105" s="96">
        <f t="shared" si="669"/>
        <v>0</v>
      </c>
      <c r="EU105" s="96">
        <f t="shared" si="669"/>
        <v>0</v>
      </c>
      <c r="EV105" s="96">
        <f t="shared" si="669"/>
        <v>0</v>
      </c>
      <c r="EW105" s="96">
        <f t="shared" si="669"/>
        <v>0</v>
      </c>
      <c r="EX105" s="96">
        <f t="shared" si="669"/>
        <v>0</v>
      </c>
      <c r="EY105" s="96">
        <f>SUM(EY106:EY109)</f>
        <v>0</v>
      </c>
      <c r="EZ105" s="124" t="s">
        <v>98</v>
      </c>
      <c r="FA105" s="96">
        <f t="shared" ref="FA105:FI105" si="670">SUM(FA106:FA109)</f>
        <v>0</v>
      </c>
      <c r="FB105" s="96">
        <f t="shared" si="670"/>
        <v>0</v>
      </c>
      <c r="FC105" s="96">
        <f t="shared" si="670"/>
        <v>0</v>
      </c>
      <c r="FD105" s="96">
        <f t="shared" si="670"/>
        <v>0</v>
      </c>
      <c r="FE105" s="96">
        <f t="shared" si="670"/>
        <v>0</v>
      </c>
      <c r="FF105" s="96">
        <f t="shared" si="670"/>
        <v>0</v>
      </c>
      <c r="FG105" s="96">
        <f t="shared" si="670"/>
        <v>0</v>
      </c>
      <c r="FH105" s="96">
        <f t="shared" si="670"/>
        <v>0</v>
      </c>
      <c r="FI105" s="96">
        <f t="shared" si="670"/>
        <v>0</v>
      </c>
      <c r="FJ105" s="96">
        <f>SUM(FJ106:FJ109)</f>
        <v>0</v>
      </c>
      <c r="FK105" s="124" t="s">
        <v>98</v>
      </c>
      <c r="FL105" s="96">
        <f t="shared" ref="FL105:FT105" si="671">SUM(FL106:FL109)</f>
        <v>0</v>
      </c>
      <c r="FM105" s="96">
        <f t="shared" si="671"/>
        <v>0</v>
      </c>
      <c r="FN105" s="96">
        <f t="shared" si="671"/>
        <v>0</v>
      </c>
      <c r="FO105" s="96">
        <f t="shared" si="671"/>
        <v>0</v>
      </c>
      <c r="FP105" s="96">
        <f t="shared" si="671"/>
        <v>0</v>
      </c>
      <c r="FQ105" s="96">
        <f t="shared" si="671"/>
        <v>0</v>
      </c>
      <c r="FR105" s="96">
        <f t="shared" si="671"/>
        <v>0</v>
      </c>
      <c r="FS105" s="96">
        <f t="shared" si="671"/>
        <v>0</v>
      </c>
      <c r="FT105" s="96">
        <f t="shared" si="671"/>
        <v>0</v>
      </c>
      <c r="FU105" s="96">
        <f>SUM(FU106:FU109)</f>
        <v>0</v>
      </c>
      <c r="FV105" s="124" t="s">
        <v>98</v>
      </c>
      <c r="FW105" s="96">
        <f>SUM(FW106:FW109)</f>
        <v>0</v>
      </c>
      <c r="FX105" s="96">
        <f t="shared" ref="FX105:GE105" si="672">SUM(FX106:FX109)</f>
        <v>0</v>
      </c>
      <c r="FY105" s="96">
        <f t="shared" si="672"/>
        <v>0</v>
      </c>
      <c r="FZ105" s="96">
        <f t="shared" si="672"/>
        <v>0</v>
      </c>
      <c r="GA105" s="96">
        <f t="shared" si="672"/>
        <v>0</v>
      </c>
      <c r="GB105" s="96">
        <f t="shared" si="672"/>
        <v>0</v>
      </c>
      <c r="GC105" s="96">
        <f t="shared" si="672"/>
        <v>0</v>
      </c>
      <c r="GD105" s="96">
        <f t="shared" si="672"/>
        <v>0</v>
      </c>
      <c r="GE105" s="96">
        <f t="shared" si="672"/>
        <v>0</v>
      </c>
      <c r="GF105" s="96">
        <f>SUM(GF106:GF109)</f>
        <v>0</v>
      </c>
      <c r="GG105" s="124" t="s">
        <v>98</v>
      </c>
      <c r="GH105" s="96">
        <f t="shared" ref="GH105:GP105" si="673">SUM(GH106:GH109)</f>
        <v>0</v>
      </c>
      <c r="GI105" s="96">
        <f t="shared" si="673"/>
        <v>0</v>
      </c>
      <c r="GJ105" s="96">
        <f t="shared" si="673"/>
        <v>0</v>
      </c>
      <c r="GK105" s="96">
        <f t="shared" si="673"/>
        <v>0</v>
      </c>
      <c r="GL105" s="96">
        <f t="shared" si="673"/>
        <v>0</v>
      </c>
      <c r="GM105" s="96">
        <f t="shared" si="673"/>
        <v>0</v>
      </c>
      <c r="GN105" s="96">
        <f t="shared" si="673"/>
        <v>0</v>
      </c>
      <c r="GO105" s="96">
        <f t="shared" si="673"/>
        <v>0</v>
      </c>
      <c r="GP105" s="96">
        <f t="shared" si="673"/>
        <v>0</v>
      </c>
      <c r="GQ105" s="96">
        <f t="shared" ref="GQ105:HV105" si="674">SUM(GQ106:GQ109)</f>
        <v>0</v>
      </c>
      <c r="GR105" s="96">
        <f t="shared" si="674"/>
        <v>0</v>
      </c>
      <c r="GS105" s="96">
        <f t="shared" si="674"/>
        <v>0</v>
      </c>
      <c r="GT105" s="96">
        <f t="shared" si="674"/>
        <v>0</v>
      </c>
      <c r="GU105" s="96">
        <f t="shared" si="674"/>
        <v>0</v>
      </c>
      <c r="GV105" s="96">
        <f t="shared" si="674"/>
        <v>0</v>
      </c>
      <c r="GW105" s="96">
        <f t="shared" si="674"/>
        <v>0</v>
      </c>
      <c r="GX105" s="96">
        <f t="shared" si="674"/>
        <v>0</v>
      </c>
      <c r="GY105" s="96">
        <f t="shared" si="674"/>
        <v>0</v>
      </c>
      <c r="GZ105" s="96">
        <f t="shared" si="674"/>
        <v>0</v>
      </c>
      <c r="HA105" s="96">
        <f t="shared" si="674"/>
        <v>0</v>
      </c>
      <c r="HB105" s="96">
        <f t="shared" si="674"/>
        <v>0</v>
      </c>
      <c r="HC105" s="96">
        <f t="shared" si="674"/>
        <v>0</v>
      </c>
      <c r="HD105" s="96">
        <f t="shared" si="674"/>
        <v>0</v>
      </c>
      <c r="HE105" s="96">
        <f t="shared" si="674"/>
        <v>0</v>
      </c>
      <c r="HF105" s="96">
        <f t="shared" si="674"/>
        <v>0</v>
      </c>
      <c r="HG105" s="96">
        <f t="shared" si="674"/>
        <v>0</v>
      </c>
      <c r="HH105" s="96">
        <f t="shared" si="674"/>
        <v>0</v>
      </c>
      <c r="HI105" s="96">
        <f t="shared" si="674"/>
        <v>0</v>
      </c>
      <c r="HJ105" s="96">
        <f t="shared" si="674"/>
        <v>0</v>
      </c>
      <c r="HK105" s="96">
        <f t="shared" si="674"/>
        <v>0</v>
      </c>
      <c r="HL105" s="96">
        <f t="shared" si="674"/>
        <v>0</v>
      </c>
      <c r="HM105" s="96">
        <f t="shared" si="674"/>
        <v>0</v>
      </c>
      <c r="HN105" s="96">
        <f t="shared" si="674"/>
        <v>0</v>
      </c>
      <c r="HO105" s="96">
        <f t="shared" si="674"/>
        <v>0</v>
      </c>
      <c r="HP105" s="96">
        <f t="shared" si="674"/>
        <v>0</v>
      </c>
      <c r="HQ105" s="96">
        <f t="shared" si="674"/>
        <v>0</v>
      </c>
      <c r="HR105" s="96">
        <f t="shared" si="674"/>
        <v>0</v>
      </c>
      <c r="HS105" s="96">
        <f t="shared" si="674"/>
        <v>0</v>
      </c>
      <c r="HT105" s="96">
        <f t="shared" si="674"/>
        <v>0</v>
      </c>
      <c r="HU105" s="96">
        <f t="shared" si="674"/>
        <v>0</v>
      </c>
      <c r="HV105" s="96">
        <f t="shared" si="674"/>
        <v>0</v>
      </c>
      <c r="HW105" s="96">
        <f t="shared" ref="HW105:IV105" si="675">SUM(HW106:HW109)</f>
        <v>0</v>
      </c>
      <c r="HX105" s="96">
        <f t="shared" si="675"/>
        <v>0</v>
      </c>
      <c r="HY105" s="96">
        <f t="shared" si="675"/>
        <v>0</v>
      </c>
      <c r="HZ105" s="96">
        <f t="shared" si="675"/>
        <v>0</v>
      </c>
      <c r="IA105" s="96">
        <f t="shared" si="675"/>
        <v>0</v>
      </c>
      <c r="IB105" s="96">
        <f t="shared" si="675"/>
        <v>0</v>
      </c>
      <c r="IC105" s="96">
        <f t="shared" si="675"/>
        <v>0</v>
      </c>
      <c r="ID105" s="96">
        <f t="shared" si="675"/>
        <v>0</v>
      </c>
      <c r="IE105" s="96">
        <f t="shared" si="675"/>
        <v>0</v>
      </c>
      <c r="IF105" s="96">
        <f t="shared" si="675"/>
        <v>0</v>
      </c>
      <c r="IG105" s="96">
        <f t="shared" si="675"/>
        <v>0</v>
      </c>
      <c r="IH105" s="96">
        <f t="shared" si="675"/>
        <v>0</v>
      </c>
      <c r="II105" s="96">
        <f t="shared" si="675"/>
        <v>0</v>
      </c>
      <c r="IJ105" s="96">
        <f t="shared" si="675"/>
        <v>0</v>
      </c>
      <c r="IK105" s="96">
        <f t="shared" si="675"/>
        <v>0</v>
      </c>
      <c r="IL105" s="96">
        <f t="shared" si="675"/>
        <v>0</v>
      </c>
      <c r="IM105" s="96">
        <f t="shared" si="675"/>
        <v>0</v>
      </c>
      <c r="IN105" s="96">
        <f t="shared" si="675"/>
        <v>0</v>
      </c>
      <c r="IO105" s="96">
        <f t="shared" si="675"/>
        <v>0</v>
      </c>
      <c r="IP105" s="96">
        <f t="shared" si="675"/>
        <v>0</v>
      </c>
      <c r="IQ105" s="96">
        <f t="shared" si="675"/>
        <v>0</v>
      </c>
      <c r="IR105" s="96">
        <f t="shared" si="675"/>
        <v>0</v>
      </c>
      <c r="IS105" s="96">
        <f t="shared" si="675"/>
        <v>0</v>
      </c>
      <c r="IT105" s="96">
        <f t="shared" si="675"/>
        <v>0</v>
      </c>
      <c r="IU105" s="96">
        <f t="shared" si="675"/>
        <v>0</v>
      </c>
      <c r="IV105" s="96">
        <f t="shared" si="675"/>
        <v>0</v>
      </c>
    </row>
    <row r="106" spans="1:256" s="92" customFormat="1" ht="12.75" customHeight="1" x14ac:dyDescent="0.25">
      <c r="A106" s="117" t="s">
        <v>98</v>
      </c>
      <c r="B106" s="128">
        <v>9.6</v>
      </c>
      <c r="C106" s="63">
        <v>1267</v>
      </c>
      <c r="D106" s="63">
        <v>100</v>
      </c>
      <c r="E106" s="63">
        <v>150</v>
      </c>
      <c r="F106" s="63">
        <v>0</v>
      </c>
      <c r="G106" s="63">
        <v>0</v>
      </c>
      <c r="H106" s="63">
        <v>100</v>
      </c>
      <c r="I106" s="63">
        <v>0</v>
      </c>
      <c r="J106" s="63">
        <v>100</v>
      </c>
      <c r="K106" s="63">
        <v>10</v>
      </c>
      <c r="L106" s="64">
        <f>SUM(C106:F106,H106:K106)</f>
        <v>1727</v>
      </c>
      <c r="M106" s="128"/>
      <c r="N106" s="63"/>
      <c r="O106" s="63"/>
      <c r="P106" s="63"/>
      <c r="Q106" s="63"/>
      <c r="R106" s="63"/>
      <c r="S106" s="63"/>
      <c r="T106" s="63"/>
      <c r="U106" s="63"/>
      <c r="V106" s="63"/>
      <c r="W106" s="129">
        <f>SUM(N106:Q106,S106:V106)</f>
        <v>0</v>
      </c>
      <c r="X106" s="128"/>
      <c r="Y106" s="63"/>
      <c r="Z106" s="63"/>
      <c r="AA106" s="63"/>
      <c r="AB106" s="63"/>
      <c r="AC106" s="63"/>
      <c r="AD106" s="63"/>
      <c r="AE106" s="63"/>
      <c r="AF106" s="63"/>
      <c r="AG106" s="63"/>
      <c r="AH106" s="64">
        <f>SUM(Y106:AB106,AD106:AG106)</f>
        <v>0</v>
      </c>
      <c r="AI106" s="128"/>
      <c r="AJ106" s="63"/>
      <c r="AK106" s="63"/>
      <c r="AL106" s="63"/>
      <c r="AM106" s="63"/>
      <c r="AN106" s="63"/>
      <c r="AO106" s="63"/>
      <c r="AP106" s="63"/>
      <c r="AQ106" s="63"/>
      <c r="AR106" s="63"/>
      <c r="AS106" s="64">
        <f>SUM(AJ106:AM106,AO106:AR106)</f>
        <v>0</v>
      </c>
      <c r="AT106" s="65">
        <f t="shared" ref="AT106:BC109" si="676">SUM(M106,AI106,X106)</f>
        <v>0</v>
      </c>
      <c r="AU106" s="65">
        <f t="shared" si="676"/>
        <v>0</v>
      </c>
      <c r="AV106" s="65">
        <f t="shared" si="676"/>
        <v>0</v>
      </c>
      <c r="AW106" s="65">
        <f t="shared" si="676"/>
        <v>0</v>
      </c>
      <c r="AX106" s="65">
        <f t="shared" si="676"/>
        <v>0</v>
      </c>
      <c r="AY106" s="65">
        <f t="shared" si="676"/>
        <v>0</v>
      </c>
      <c r="AZ106" s="65">
        <f t="shared" si="676"/>
        <v>0</v>
      </c>
      <c r="BA106" s="65">
        <f t="shared" si="676"/>
        <v>0</v>
      </c>
      <c r="BB106" s="65">
        <f t="shared" si="676"/>
        <v>0</v>
      </c>
      <c r="BC106" s="65">
        <f t="shared" si="676"/>
        <v>0</v>
      </c>
      <c r="BD106" s="64">
        <f>SUM(AU106:AX106,AZ106:BC106)</f>
        <v>0</v>
      </c>
      <c r="BE106" s="128"/>
      <c r="BF106" s="63"/>
      <c r="BG106" s="63"/>
      <c r="BH106" s="63"/>
      <c r="BI106" s="63"/>
      <c r="BJ106" s="63"/>
      <c r="BK106" s="63"/>
      <c r="BL106" s="63"/>
      <c r="BM106" s="63"/>
      <c r="BN106" s="63"/>
      <c r="BO106" s="64">
        <f>SUM(BF106:BI106,BK106:BN106)</f>
        <v>0</v>
      </c>
      <c r="BP106" s="128"/>
      <c r="BQ106" s="63"/>
      <c r="BR106" s="63"/>
      <c r="BS106" s="63"/>
      <c r="BT106" s="63"/>
      <c r="BU106" s="63"/>
      <c r="BV106" s="63"/>
      <c r="BW106" s="63"/>
      <c r="BX106" s="63"/>
      <c r="BY106" s="63"/>
      <c r="BZ106" s="64">
        <f>SUM(BQ106:BT106,BV106:BY106)</f>
        <v>0</v>
      </c>
      <c r="CA106" s="128"/>
      <c r="CB106" s="63"/>
      <c r="CC106" s="63"/>
      <c r="CD106" s="63"/>
      <c r="CE106" s="63"/>
      <c r="CF106" s="63"/>
      <c r="CG106" s="63"/>
      <c r="CH106" s="63"/>
      <c r="CI106" s="63"/>
      <c r="CJ106" s="63"/>
      <c r="CK106" s="64">
        <f>SUM(CB106:CE106,CG106:CJ106)</f>
        <v>0</v>
      </c>
      <c r="CL106" s="65">
        <f t="shared" ref="CL106:CU109" si="677">SUM(BE106,CA106,BP106)</f>
        <v>0</v>
      </c>
      <c r="CM106" s="65">
        <f t="shared" si="677"/>
        <v>0</v>
      </c>
      <c r="CN106" s="65">
        <f t="shared" si="677"/>
        <v>0</v>
      </c>
      <c r="CO106" s="65">
        <f t="shared" si="677"/>
        <v>0</v>
      </c>
      <c r="CP106" s="65">
        <f t="shared" si="677"/>
        <v>0</v>
      </c>
      <c r="CQ106" s="65">
        <f t="shared" si="677"/>
        <v>0</v>
      </c>
      <c r="CR106" s="65">
        <f t="shared" si="677"/>
        <v>0</v>
      </c>
      <c r="CS106" s="65">
        <f t="shared" si="677"/>
        <v>0</v>
      </c>
      <c r="CT106" s="65">
        <f t="shared" si="677"/>
        <v>0</v>
      </c>
      <c r="CU106" s="65">
        <f t="shared" si="677"/>
        <v>0</v>
      </c>
      <c r="CV106" s="64">
        <f>SUM(CM106:CP106,CR106:CU106)</f>
        <v>0</v>
      </c>
      <c r="CW106" s="128"/>
      <c r="CX106" s="63"/>
      <c r="CY106" s="63"/>
      <c r="CZ106" s="63"/>
      <c r="DA106" s="63"/>
      <c r="DB106" s="63"/>
      <c r="DC106" s="63"/>
      <c r="DD106" s="63"/>
      <c r="DE106" s="63"/>
      <c r="DF106" s="63"/>
      <c r="DG106" s="64">
        <f>SUM(CX106:DA106,DC106:DF106)</f>
        <v>0</v>
      </c>
      <c r="DH106" s="128"/>
      <c r="DI106" s="63"/>
      <c r="DJ106" s="63"/>
      <c r="DK106" s="63"/>
      <c r="DL106" s="63"/>
      <c r="DM106" s="63"/>
      <c r="DN106" s="63"/>
      <c r="DO106" s="63"/>
      <c r="DP106" s="63"/>
      <c r="DQ106" s="63"/>
      <c r="DR106" s="64">
        <f>SUM(DI106:DL106,DN106:DQ106)</f>
        <v>0</v>
      </c>
      <c r="DS106" s="128"/>
      <c r="DT106" s="63"/>
      <c r="DU106" s="63"/>
      <c r="DV106" s="63"/>
      <c r="DW106" s="63"/>
      <c r="DX106" s="63"/>
      <c r="DY106" s="63"/>
      <c r="DZ106" s="63"/>
      <c r="EA106" s="63"/>
      <c r="EB106" s="63"/>
      <c r="EC106" s="63"/>
      <c r="ED106" s="65">
        <f t="shared" ref="ED106:EM109" si="678">SUM(CW106,DS106,DH106)</f>
        <v>0</v>
      </c>
      <c r="EE106" s="65">
        <f t="shared" si="678"/>
        <v>0</v>
      </c>
      <c r="EF106" s="65">
        <f t="shared" si="678"/>
        <v>0</v>
      </c>
      <c r="EG106" s="65">
        <f t="shared" si="678"/>
        <v>0</v>
      </c>
      <c r="EH106" s="65">
        <f t="shared" si="678"/>
        <v>0</v>
      </c>
      <c r="EI106" s="65">
        <f t="shared" si="678"/>
        <v>0</v>
      </c>
      <c r="EJ106" s="65">
        <f t="shared" si="678"/>
        <v>0</v>
      </c>
      <c r="EK106" s="65">
        <f t="shared" si="678"/>
        <v>0</v>
      </c>
      <c r="EL106" s="65">
        <f t="shared" si="678"/>
        <v>0</v>
      </c>
      <c r="EM106" s="65">
        <f t="shared" si="678"/>
        <v>0</v>
      </c>
      <c r="EN106" s="64">
        <f>SUM(EE106:EH106,EJ106:EM106)</f>
        <v>0</v>
      </c>
      <c r="EO106" s="128"/>
      <c r="EP106" s="63"/>
      <c r="EQ106" s="63"/>
      <c r="ER106" s="63"/>
      <c r="ES106" s="63"/>
      <c r="ET106" s="63"/>
      <c r="EU106" s="63"/>
      <c r="EV106" s="63"/>
      <c r="EW106" s="63"/>
      <c r="EX106" s="63"/>
      <c r="EY106" s="64">
        <f>SUM(EP106:ES106,EU106:EX106)</f>
        <v>0</v>
      </c>
      <c r="EZ106" s="128"/>
      <c r="FA106" s="63"/>
      <c r="FB106" s="63"/>
      <c r="FC106" s="63"/>
      <c r="FD106" s="63"/>
      <c r="FE106" s="63"/>
      <c r="FF106" s="63"/>
      <c r="FG106" s="63"/>
      <c r="FH106" s="63"/>
      <c r="FI106" s="63"/>
      <c r="FJ106" s="64">
        <f>SUM(FA106:FD106,FF106:FI106)</f>
        <v>0</v>
      </c>
      <c r="FK106" s="128"/>
      <c r="FL106" s="63"/>
      <c r="FM106" s="63"/>
      <c r="FN106" s="63"/>
      <c r="FO106" s="63"/>
      <c r="FP106" s="63"/>
      <c r="FQ106" s="63"/>
      <c r="FR106" s="63"/>
      <c r="FS106" s="63"/>
      <c r="FT106" s="63"/>
      <c r="FU106" s="64">
        <f>SUM(FL106:FO106,FQ106:FT106)</f>
        <v>0</v>
      </c>
      <c r="FV106" s="65">
        <f t="shared" ref="FV106:GE109" si="679">SUM(EO106,FK106,EZ106)</f>
        <v>0</v>
      </c>
      <c r="FW106" s="65">
        <f t="shared" si="679"/>
        <v>0</v>
      </c>
      <c r="FX106" s="65">
        <f t="shared" si="679"/>
        <v>0</v>
      </c>
      <c r="FY106" s="65">
        <f t="shared" si="679"/>
        <v>0</v>
      </c>
      <c r="FZ106" s="65">
        <f t="shared" si="679"/>
        <v>0</v>
      </c>
      <c r="GA106" s="65">
        <f t="shared" si="679"/>
        <v>0</v>
      </c>
      <c r="GB106" s="65">
        <f t="shared" si="679"/>
        <v>0</v>
      </c>
      <c r="GC106" s="65">
        <f t="shared" si="679"/>
        <v>0</v>
      </c>
      <c r="GD106" s="65">
        <f t="shared" si="679"/>
        <v>0</v>
      </c>
      <c r="GE106" s="65">
        <f t="shared" si="679"/>
        <v>0</v>
      </c>
      <c r="GF106" s="64">
        <f>SUM(FW106:FZ106,GB106:GE106)</f>
        <v>0</v>
      </c>
      <c r="GG106" s="130">
        <f t="shared" ref="GG106:GP109" si="680">SUM(AT106,CL106,ED106,FV106)</f>
        <v>0</v>
      </c>
      <c r="GH106" s="66">
        <f t="shared" si="680"/>
        <v>0</v>
      </c>
      <c r="GI106" s="66">
        <f t="shared" si="680"/>
        <v>0</v>
      </c>
      <c r="GJ106" s="66">
        <f t="shared" si="680"/>
        <v>0</v>
      </c>
      <c r="GK106" s="66">
        <f t="shared" si="680"/>
        <v>0</v>
      </c>
      <c r="GL106" s="66">
        <f t="shared" si="680"/>
        <v>0</v>
      </c>
      <c r="GM106" s="66">
        <f t="shared" si="680"/>
        <v>0</v>
      </c>
      <c r="GN106" s="66">
        <f t="shared" si="680"/>
        <v>0</v>
      </c>
      <c r="GO106" s="66">
        <f t="shared" si="680"/>
        <v>0</v>
      </c>
      <c r="GP106" s="66">
        <f t="shared" si="680"/>
        <v>0</v>
      </c>
      <c r="GQ106" s="64">
        <f>SUM(GH106:GK106,GM106:GP106)</f>
        <v>0</v>
      </c>
      <c r="GR106" s="63"/>
      <c r="GS106" s="63"/>
      <c r="GT106" s="63"/>
      <c r="GU106" s="63"/>
      <c r="GV106" s="67">
        <f>SUM(GR106:GU106)</f>
        <v>0</v>
      </c>
      <c r="GW106" s="63"/>
      <c r="GX106" s="63"/>
      <c r="GY106" s="63"/>
      <c r="GZ106" s="63"/>
      <c r="HA106" s="67">
        <f>SUM(GW106:GZ106)</f>
        <v>0</v>
      </c>
      <c r="HB106" s="63"/>
      <c r="HC106" s="63"/>
      <c r="HD106" s="63"/>
      <c r="HE106" s="63"/>
      <c r="HF106" s="67">
        <f>SUM(HB106:HE106)</f>
        <v>0</v>
      </c>
      <c r="HG106" s="63"/>
      <c r="HH106" s="63"/>
      <c r="HI106" s="63"/>
      <c r="HJ106" s="63"/>
      <c r="HK106" s="67">
        <f>SUM(HG106:HJ106)</f>
        <v>0</v>
      </c>
      <c r="HL106" s="68">
        <f t="shared" ref="HL106:HO109" si="681">SUM(GW106,HB106,HG106)</f>
        <v>0</v>
      </c>
      <c r="HM106" s="68">
        <f t="shared" si="681"/>
        <v>0</v>
      </c>
      <c r="HN106" s="68">
        <f t="shared" si="681"/>
        <v>0</v>
      </c>
      <c r="HO106" s="68">
        <f t="shared" si="681"/>
        <v>0</v>
      </c>
      <c r="HP106" s="67">
        <f>SUM(HL106:HO106)</f>
        <v>0</v>
      </c>
      <c r="HQ106" s="63"/>
      <c r="HR106" s="63"/>
      <c r="HS106" s="63"/>
      <c r="HT106" s="63"/>
      <c r="HU106" s="67">
        <f>SUM(HQ106:HT106)</f>
        <v>0</v>
      </c>
      <c r="HV106" s="63"/>
      <c r="HW106" s="63"/>
      <c r="HX106" s="63"/>
      <c r="HY106" s="63"/>
      <c r="HZ106" s="67">
        <f>SUM(HV106:HY106)</f>
        <v>0</v>
      </c>
      <c r="IA106" s="63"/>
      <c r="IB106" s="63"/>
      <c r="IC106" s="63"/>
      <c r="ID106" s="63"/>
      <c r="IE106" s="67">
        <f>SUM(IA106:ID106)</f>
        <v>0</v>
      </c>
      <c r="IF106" s="68">
        <f t="shared" ref="IF106:II109" si="682">SUM(HQ106,HV106,IA106)</f>
        <v>0</v>
      </c>
      <c r="IG106" s="68">
        <f t="shared" si="682"/>
        <v>0</v>
      </c>
      <c r="IH106" s="68">
        <f t="shared" si="682"/>
        <v>0</v>
      </c>
      <c r="II106" s="68">
        <f t="shared" si="682"/>
        <v>0</v>
      </c>
      <c r="IJ106" s="67">
        <f>SUM(IF106:II106)</f>
        <v>0</v>
      </c>
      <c r="IK106" s="63"/>
      <c r="IL106" s="63"/>
      <c r="IM106" s="63"/>
      <c r="IN106" s="63"/>
      <c r="IO106" s="67">
        <f>SUM(IK106:IN106)</f>
        <v>0</v>
      </c>
      <c r="IP106" s="63"/>
      <c r="IQ106" s="63"/>
      <c r="IR106" s="63"/>
      <c r="IS106" s="63"/>
      <c r="IT106" s="67">
        <f>SUM(IP106:IS106)</f>
        <v>0</v>
      </c>
      <c r="IU106" s="63"/>
      <c r="IV106" s="63"/>
    </row>
    <row r="107" spans="1:256" s="92" customFormat="1" ht="12.75" customHeight="1" x14ac:dyDescent="0.25">
      <c r="A107" s="117" t="s">
        <v>104</v>
      </c>
      <c r="B107" s="128">
        <v>4.8</v>
      </c>
      <c r="C107" s="63">
        <v>125</v>
      </c>
      <c r="D107" s="63">
        <v>0</v>
      </c>
      <c r="E107" s="63">
        <v>32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4">
        <f>SUM(C107:F107,H107:K107)</f>
        <v>157</v>
      </c>
      <c r="M107" s="62"/>
      <c r="N107" s="63"/>
      <c r="O107" s="63"/>
      <c r="P107" s="63"/>
      <c r="Q107" s="63"/>
      <c r="R107" s="63"/>
      <c r="S107" s="63"/>
      <c r="T107" s="63"/>
      <c r="U107" s="63"/>
      <c r="V107" s="63"/>
      <c r="W107" s="64">
        <f>SUM(N107:Q107,S107:V107)</f>
        <v>0</v>
      </c>
      <c r="X107" s="62"/>
      <c r="Y107" s="63"/>
      <c r="Z107" s="63"/>
      <c r="AA107" s="63"/>
      <c r="AB107" s="63"/>
      <c r="AC107" s="63"/>
      <c r="AD107" s="63"/>
      <c r="AE107" s="63"/>
      <c r="AF107" s="63"/>
      <c r="AG107" s="63"/>
      <c r="AH107" s="64">
        <f>SUM(Y107:AB107,AD107:AG107)</f>
        <v>0</v>
      </c>
      <c r="AI107" s="62"/>
      <c r="AJ107" s="63"/>
      <c r="AK107" s="63"/>
      <c r="AL107" s="63"/>
      <c r="AM107" s="63"/>
      <c r="AN107" s="63"/>
      <c r="AO107" s="63"/>
      <c r="AP107" s="63"/>
      <c r="AQ107" s="63"/>
      <c r="AR107" s="63"/>
      <c r="AS107" s="64">
        <f>SUM(AJ107:AM107,AO107:AR107)</f>
        <v>0</v>
      </c>
      <c r="AT107" s="65">
        <f t="shared" si="676"/>
        <v>0</v>
      </c>
      <c r="AU107" s="65">
        <f t="shared" si="676"/>
        <v>0</v>
      </c>
      <c r="AV107" s="65">
        <f t="shared" si="676"/>
        <v>0</v>
      </c>
      <c r="AW107" s="65">
        <f t="shared" si="676"/>
        <v>0</v>
      </c>
      <c r="AX107" s="65">
        <f t="shared" si="676"/>
        <v>0</v>
      </c>
      <c r="AY107" s="65">
        <f t="shared" si="676"/>
        <v>0</v>
      </c>
      <c r="AZ107" s="65">
        <f t="shared" si="676"/>
        <v>0</v>
      </c>
      <c r="BA107" s="65">
        <f t="shared" si="676"/>
        <v>0</v>
      </c>
      <c r="BB107" s="65">
        <f t="shared" si="676"/>
        <v>0</v>
      </c>
      <c r="BC107" s="65">
        <f t="shared" si="676"/>
        <v>0</v>
      </c>
      <c r="BD107" s="64">
        <f>SUM(AU107:AX107,AZ107:BC107)</f>
        <v>0</v>
      </c>
      <c r="BE107" s="62"/>
      <c r="BF107" s="63"/>
      <c r="BG107" s="63"/>
      <c r="BH107" s="63"/>
      <c r="BI107" s="63"/>
      <c r="BJ107" s="63"/>
      <c r="BK107" s="63"/>
      <c r="BL107" s="63"/>
      <c r="BM107" s="63"/>
      <c r="BN107" s="63"/>
      <c r="BO107" s="64">
        <f>SUM(BF107:BI107,BK107:BN107)</f>
        <v>0</v>
      </c>
      <c r="BP107" s="62"/>
      <c r="BQ107" s="63"/>
      <c r="BR107" s="63"/>
      <c r="BS107" s="63"/>
      <c r="BT107" s="63"/>
      <c r="BU107" s="63"/>
      <c r="BV107" s="63"/>
      <c r="BW107" s="63"/>
      <c r="BX107" s="63"/>
      <c r="BY107" s="63"/>
      <c r="BZ107" s="64">
        <f>SUM(BQ107:BT107,BV107:BY107)</f>
        <v>0</v>
      </c>
      <c r="CA107" s="62"/>
      <c r="CB107" s="63"/>
      <c r="CC107" s="63"/>
      <c r="CD107" s="63"/>
      <c r="CE107" s="63"/>
      <c r="CF107" s="63"/>
      <c r="CG107" s="63"/>
      <c r="CH107" s="63"/>
      <c r="CI107" s="63"/>
      <c r="CJ107" s="63"/>
      <c r="CK107" s="64">
        <f>SUM(CB107:CE107,CG107:CJ107)</f>
        <v>0</v>
      </c>
      <c r="CL107" s="65">
        <f t="shared" si="677"/>
        <v>0</v>
      </c>
      <c r="CM107" s="65">
        <f t="shared" si="677"/>
        <v>0</v>
      </c>
      <c r="CN107" s="65">
        <f t="shared" si="677"/>
        <v>0</v>
      </c>
      <c r="CO107" s="65">
        <f t="shared" si="677"/>
        <v>0</v>
      </c>
      <c r="CP107" s="65">
        <f t="shared" si="677"/>
        <v>0</v>
      </c>
      <c r="CQ107" s="65">
        <f t="shared" si="677"/>
        <v>0</v>
      </c>
      <c r="CR107" s="65">
        <f t="shared" si="677"/>
        <v>0</v>
      </c>
      <c r="CS107" s="65">
        <f t="shared" si="677"/>
        <v>0</v>
      </c>
      <c r="CT107" s="65">
        <f t="shared" si="677"/>
        <v>0</v>
      </c>
      <c r="CU107" s="65">
        <f t="shared" si="677"/>
        <v>0</v>
      </c>
      <c r="CV107" s="64">
        <f>SUM(CM107:CP107,CR107:CU107)</f>
        <v>0</v>
      </c>
      <c r="CW107" s="62"/>
      <c r="CX107" s="63"/>
      <c r="CY107" s="63"/>
      <c r="CZ107" s="63"/>
      <c r="DA107" s="63"/>
      <c r="DB107" s="63"/>
      <c r="DC107" s="63"/>
      <c r="DD107" s="63"/>
      <c r="DE107" s="63"/>
      <c r="DF107" s="63"/>
      <c r="DG107" s="64">
        <f>SUM(CX107:DA107,DC107:DF107)</f>
        <v>0</v>
      </c>
      <c r="DH107" s="62"/>
      <c r="DI107" s="63"/>
      <c r="DJ107" s="63"/>
      <c r="DK107" s="63"/>
      <c r="DL107" s="63"/>
      <c r="DM107" s="63"/>
      <c r="DN107" s="63"/>
      <c r="DO107" s="63"/>
      <c r="DP107" s="63"/>
      <c r="DQ107" s="63"/>
      <c r="DR107" s="64">
        <f>SUM(DI107:DL107,DN107:DQ107)</f>
        <v>0</v>
      </c>
      <c r="DS107" s="62"/>
      <c r="DT107" s="63"/>
      <c r="DU107" s="63"/>
      <c r="DV107" s="63"/>
      <c r="DW107" s="63"/>
      <c r="DX107" s="63"/>
      <c r="DY107" s="63"/>
      <c r="DZ107" s="63"/>
      <c r="EA107" s="63"/>
      <c r="EB107" s="63"/>
      <c r="EC107" s="63"/>
      <c r="ED107" s="65">
        <f t="shared" si="678"/>
        <v>0</v>
      </c>
      <c r="EE107" s="65">
        <f t="shared" si="678"/>
        <v>0</v>
      </c>
      <c r="EF107" s="65">
        <f t="shared" si="678"/>
        <v>0</v>
      </c>
      <c r="EG107" s="65">
        <f t="shared" si="678"/>
        <v>0</v>
      </c>
      <c r="EH107" s="65">
        <f t="shared" si="678"/>
        <v>0</v>
      </c>
      <c r="EI107" s="65">
        <f t="shared" si="678"/>
        <v>0</v>
      </c>
      <c r="EJ107" s="65">
        <f t="shared" si="678"/>
        <v>0</v>
      </c>
      <c r="EK107" s="65">
        <f t="shared" si="678"/>
        <v>0</v>
      </c>
      <c r="EL107" s="65">
        <f t="shared" si="678"/>
        <v>0</v>
      </c>
      <c r="EM107" s="65">
        <f t="shared" si="678"/>
        <v>0</v>
      </c>
      <c r="EN107" s="64">
        <f>SUM(EE107:EH107,EJ107:EM107)</f>
        <v>0</v>
      </c>
      <c r="EO107" s="62"/>
      <c r="EP107" s="63"/>
      <c r="EQ107" s="63"/>
      <c r="ER107" s="63"/>
      <c r="ES107" s="63"/>
      <c r="ET107" s="63"/>
      <c r="EU107" s="63"/>
      <c r="EV107" s="63"/>
      <c r="EW107" s="63"/>
      <c r="EX107" s="63"/>
      <c r="EY107" s="64">
        <f>SUM(EP107:ES107,EU107:EX107)</f>
        <v>0</v>
      </c>
      <c r="EZ107" s="62"/>
      <c r="FA107" s="63"/>
      <c r="FB107" s="63"/>
      <c r="FC107" s="63"/>
      <c r="FD107" s="63"/>
      <c r="FE107" s="63"/>
      <c r="FF107" s="63"/>
      <c r="FG107" s="63"/>
      <c r="FH107" s="63"/>
      <c r="FI107" s="63"/>
      <c r="FJ107" s="64">
        <f>SUM(FA107:FD107,FF107:FI107)</f>
        <v>0</v>
      </c>
      <c r="FK107" s="62"/>
      <c r="FL107" s="63"/>
      <c r="FM107" s="63"/>
      <c r="FN107" s="63"/>
      <c r="FO107" s="63"/>
      <c r="FP107" s="63"/>
      <c r="FQ107" s="63"/>
      <c r="FR107" s="63"/>
      <c r="FS107" s="63"/>
      <c r="FT107" s="63"/>
      <c r="FU107" s="64">
        <f>SUM(FL107:FO107,FQ107:FT107)</f>
        <v>0</v>
      </c>
      <c r="FV107" s="65">
        <f t="shared" si="679"/>
        <v>0</v>
      </c>
      <c r="FW107" s="65">
        <f t="shared" si="679"/>
        <v>0</v>
      </c>
      <c r="FX107" s="65">
        <f t="shared" si="679"/>
        <v>0</v>
      </c>
      <c r="FY107" s="65">
        <f t="shared" si="679"/>
        <v>0</v>
      </c>
      <c r="FZ107" s="65">
        <f t="shared" si="679"/>
        <v>0</v>
      </c>
      <c r="GA107" s="65">
        <f t="shared" si="679"/>
        <v>0</v>
      </c>
      <c r="GB107" s="65">
        <f t="shared" si="679"/>
        <v>0</v>
      </c>
      <c r="GC107" s="65">
        <f t="shared" si="679"/>
        <v>0</v>
      </c>
      <c r="GD107" s="65">
        <f t="shared" si="679"/>
        <v>0</v>
      </c>
      <c r="GE107" s="65">
        <f t="shared" si="679"/>
        <v>0</v>
      </c>
      <c r="GF107" s="64">
        <f>SUM(FW107:FZ107,GB107:GE107)</f>
        <v>0</v>
      </c>
      <c r="GG107" s="66">
        <f t="shared" si="680"/>
        <v>0</v>
      </c>
      <c r="GH107" s="66">
        <f t="shared" si="680"/>
        <v>0</v>
      </c>
      <c r="GI107" s="66">
        <f t="shared" si="680"/>
        <v>0</v>
      </c>
      <c r="GJ107" s="66">
        <f t="shared" si="680"/>
        <v>0</v>
      </c>
      <c r="GK107" s="66">
        <f t="shared" si="680"/>
        <v>0</v>
      </c>
      <c r="GL107" s="66">
        <f t="shared" si="680"/>
        <v>0</v>
      </c>
      <c r="GM107" s="66">
        <f t="shared" si="680"/>
        <v>0</v>
      </c>
      <c r="GN107" s="66">
        <f t="shared" si="680"/>
        <v>0</v>
      </c>
      <c r="GO107" s="66">
        <f t="shared" si="680"/>
        <v>0</v>
      </c>
      <c r="GP107" s="66">
        <f t="shared" si="680"/>
        <v>0</v>
      </c>
      <c r="GQ107" s="64">
        <f>SUM(GH107:GK107,GM107:GP107)</f>
        <v>0</v>
      </c>
      <c r="GR107" s="63"/>
      <c r="GS107" s="63"/>
      <c r="GT107" s="63"/>
      <c r="GU107" s="63"/>
      <c r="GV107" s="67">
        <f>SUM(GR107:GU107)</f>
        <v>0</v>
      </c>
      <c r="GW107" s="63"/>
      <c r="GX107" s="63"/>
      <c r="GY107" s="63"/>
      <c r="GZ107" s="63"/>
      <c r="HA107" s="67">
        <f>SUM(GW107:GZ107)</f>
        <v>0</v>
      </c>
      <c r="HB107" s="63"/>
      <c r="HC107" s="63"/>
      <c r="HD107" s="63"/>
      <c r="HE107" s="63"/>
      <c r="HF107" s="67">
        <f>SUM(HB107:HE107)</f>
        <v>0</v>
      </c>
      <c r="HG107" s="63"/>
      <c r="HH107" s="63"/>
      <c r="HI107" s="63"/>
      <c r="HJ107" s="63"/>
      <c r="HK107" s="67">
        <f>SUM(HG107:HJ107)</f>
        <v>0</v>
      </c>
      <c r="HL107" s="68">
        <f t="shared" si="681"/>
        <v>0</v>
      </c>
      <c r="HM107" s="68">
        <f t="shared" si="681"/>
        <v>0</v>
      </c>
      <c r="HN107" s="68">
        <f t="shared" si="681"/>
        <v>0</v>
      </c>
      <c r="HO107" s="68">
        <f t="shared" si="681"/>
        <v>0</v>
      </c>
      <c r="HP107" s="67">
        <f>SUM(HL107:HO107)</f>
        <v>0</v>
      </c>
      <c r="HQ107" s="63"/>
      <c r="HR107" s="63"/>
      <c r="HS107" s="63"/>
      <c r="HT107" s="63"/>
      <c r="HU107" s="67">
        <f>SUM(HQ107:HT107)</f>
        <v>0</v>
      </c>
      <c r="HV107" s="63"/>
      <c r="HW107" s="63"/>
      <c r="HX107" s="63"/>
      <c r="HY107" s="63"/>
      <c r="HZ107" s="67">
        <f>SUM(HV107:HY107)</f>
        <v>0</v>
      </c>
      <c r="IA107" s="63"/>
      <c r="IB107" s="63"/>
      <c r="IC107" s="63"/>
      <c r="ID107" s="63"/>
      <c r="IE107" s="67">
        <f>SUM(IA107:ID107)</f>
        <v>0</v>
      </c>
      <c r="IF107" s="68">
        <f t="shared" si="682"/>
        <v>0</v>
      </c>
      <c r="IG107" s="68">
        <f t="shared" si="682"/>
        <v>0</v>
      </c>
      <c r="IH107" s="68">
        <f t="shared" si="682"/>
        <v>0</v>
      </c>
      <c r="II107" s="68">
        <f t="shared" si="682"/>
        <v>0</v>
      </c>
      <c r="IJ107" s="67">
        <f>SUM(IF107:II107)</f>
        <v>0</v>
      </c>
      <c r="IK107" s="63"/>
      <c r="IL107" s="63"/>
      <c r="IM107" s="63"/>
      <c r="IN107" s="63"/>
      <c r="IO107" s="67">
        <f>SUM(IK107:IN107)</f>
        <v>0</v>
      </c>
      <c r="IP107" s="63"/>
      <c r="IQ107" s="63"/>
      <c r="IR107" s="63"/>
      <c r="IS107" s="63"/>
      <c r="IT107" s="67">
        <f>SUM(IP107:IS107)</f>
        <v>0</v>
      </c>
      <c r="IU107" s="63"/>
      <c r="IV107" s="63"/>
    </row>
    <row r="108" spans="1:256" s="92" customFormat="1" ht="12.75" customHeight="1" x14ac:dyDescent="0.25">
      <c r="A108" s="117" t="s">
        <v>105</v>
      </c>
      <c r="B108" s="128"/>
      <c r="C108" s="63"/>
      <c r="D108" s="63">
        <v>0</v>
      </c>
      <c r="E108" s="63">
        <v>0</v>
      </c>
      <c r="F108" s="63">
        <v>0</v>
      </c>
      <c r="G108" s="63">
        <v>0</v>
      </c>
      <c r="H108" s="63">
        <v>0</v>
      </c>
      <c r="I108" s="63">
        <v>0</v>
      </c>
      <c r="J108" s="63">
        <v>0</v>
      </c>
      <c r="K108" s="63">
        <v>0</v>
      </c>
      <c r="L108" s="64">
        <f>SUM(C108:F108,H108:K108)</f>
        <v>0</v>
      </c>
      <c r="M108" s="62"/>
      <c r="N108" s="63"/>
      <c r="O108" s="63"/>
      <c r="P108" s="63"/>
      <c r="Q108" s="63"/>
      <c r="R108" s="63"/>
      <c r="S108" s="63"/>
      <c r="T108" s="63"/>
      <c r="U108" s="63"/>
      <c r="V108" s="63"/>
      <c r="W108" s="64">
        <f>SUM(N108:Q108,S108:V108)</f>
        <v>0</v>
      </c>
      <c r="X108" s="62"/>
      <c r="Y108" s="63"/>
      <c r="Z108" s="63"/>
      <c r="AA108" s="63"/>
      <c r="AB108" s="63"/>
      <c r="AC108" s="63"/>
      <c r="AD108" s="63"/>
      <c r="AE108" s="63"/>
      <c r="AF108" s="63"/>
      <c r="AG108" s="63"/>
      <c r="AH108" s="64">
        <f>SUM(Y108:AB108,AD108:AG108)</f>
        <v>0</v>
      </c>
      <c r="AI108" s="62"/>
      <c r="AJ108" s="63"/>
      <c r="AK108" s="63"/>
      <c r="AL108" s="63"/>
      <c r="AM108" s="63"/>
      <c r="AN108" s="63"/>
      <c r="AO108" s="63"/>
      <c r="AP108" s="63"/>
      <c r="AQ108" s="63"/>
      <c r="AR108" s="63"/>
      <c r="AS108" s="64">
        <f>SUM(AJ108:AM108,AO108:AR108)</f>
        <v>0</v>
      </c>
      <c r="AT108" s="65">
        <f t="shared" si="676"/>
        <v>0</v>
      </c>
      <c r="AU108" s="65">
        <f t="shared" si="676"/>
        <v>0</v>
      </c>
      <c r="AV108" s="65">
        <f t="shared" si="676"/>
        <v>0</v>
      </c>
      <c r="AW108" s="65">
        <f t="shared" si="676"/>
        <v>0</v>
      </c>
      <c r="AX108" s="65">
        <f t="shared" si="676"/>
        <v>0</v>
      </c>
      <c r="AY108" s="65">
        <f t="shared" si="676"/>
        <v>0</v>
      </c>
      <c r="AZ108" s="65">
        <f t="shared" si="676"/>
        <v>0</v>
      </c>
      <c r="BA108" s="65">
        <f t="shared" si="676"/>
        <v>0</v>
      </c>
      <c r="BB108" s="65">
        <f t="shared" si="676"/>
        <v>0</v>
      </c>
      <c r="BC108" s="65">
        <f t="shared" si="676"/>
        <v>0</v>
      </c>
      <c r="BD108" s="64">
        <f>SUM(AU108:AX108,AZ108:BC108)</f>
        <v>0</v>
      </c>
      <c r="BE108" s="62"/>
      <c r="BF108" s="63"/>
      <c r="BG108" s="63"/>
      <c r="BH108" s="63"/>
      <c r="BI108" s="63"/>
      <c r="BJ108" s="63"/>
      <c r="BK108" s="63"/>
      <c r="BL108" s="63"/>
      <c r="BM108" s="63"/>
      <c r="BN108" s="63"/>
      <c r="BO108" s="64">
        <f>SUM(BF108:BI108,BK108:BN108)</f>
        <v>0</v>
      </c>
      <c r="BP108" s="62"/>
      <c r="BQ108" s="63"/>
      <c r="BR108" s="63"/>
      <c r="BS108" s="63"/>
      <c r="BT108" s="63"/>
      <c r="BU108" s="63"/>
      <c r="BV108" s="63"/>
      <c r="BW108" s="63"/>
      <c r="BX108" s="63"/>
      <c r="BY108" s="63"/>
      <c r="BZ108" s="64">
        <f>SUM(BQ108:BT108,BV108:BY108)</f>
        <v>0</v>
      </c>
      <c r="CA108" s="62"/>
      <c r="CB108" s="63"/>
      <c r="CC108" s="63"/>
      <c r="CD108" s="63"/>
      <c r="CE108" s="63"/>
      <c r="CF108" s="63"/>
      <c r="CG108" s="63"/>
      <c r="CH108" s="63"/>
      <c r="CI108" s="63"/>
      <c r="CJ108" s="63"/>
      <c r="CK108" s="64">
        <f>SUM(CB108:CE108,CG108:CJ108)</f>
        <v>0</v>
      </c>
      <c r="CL108" s="65">
        <f t="shared" si="677"/>
        <v>0</v>
      </c>
      <c r="CM108" s="65">
        <f t="shared" si="677"/>
        <v>0</v>
      </c>
      <c r="CN108" s="65">
        <f t="shared" si="677"/>
        <v>0</v>
      </c>
      <c r="CO108" s="65">
        <f t="shared" si="677"/>
        <v>0</v>
      </c>
      <c r="CP108" s="65">
        <f t="shared" si="677"/>
        <v>0</v>
      </c>
      <c r="CQ108" s="65">
        <f t="shared" si="677"/>
        <v>0</v>
      </c>
      <c r="CR108" s="65">
        <f t="shared" si="677"/>
        <v>0</v>
      </c>
      <c r="CS108" s="65">
        <f t="shared" si="677"/>
        <v>0</v>
      </c>
      <c r="CT108" s="65">
        <f t="shared" si="677"/>
        <v>0</v>
      </c>
      <c r="CU108" s="65">
        <f t="shared" si="677"/>
        <v>0</v>
      </c>
      <c r="CV108" s="64">
        <f>SUM(CM108:CP108,CR108:CU108)</f>
        <v>0</v>
      </c>
      <c r="CW108" s="62"/>
      <c r="CX108" s="63"/>
      <c r="CY108" s="63"/>
      <c r="CZ108" s="63"/>
      <c r="DA108" s="63"/>
      <c r="DB108" s="63"/>
      <c r="DC108" s="63"/>
      <c r="DD108" s="63"/>
      <c r="DE108" s="63"/>
      <c r="DF108" s="63"/>
      <c r="DG108" s="64">
        <f>SUM(CX108:DA108,DC108:DF108)</f>
        <v>0</v>
      </c>
      <c r="DH108" s="62"/>
      <c r="DI108" s="63"/>
      <c r="DJ108" s="63"/>
      <c r="DK108" s="63"/>
      <c r="DL108" s="63"/>
      <c r="DM108" s="63"/>
      <c r="DN108" s="63"/>
      <c r="DO108" s="63"/>
      <c r="DP108" s="63"/>
      <c r="DQ108" s="63"/>
      <c r="DR108" s="64">
        <f>SUM(DI108:DL108,DN108:DQ108)</f>
        <v>0</v>
      </c>
      <c r="DS108" s="62"/>
      <c r="DT108" s="63"/>
      <c r="DU108" s="63"/>
      <c r="DV108" s="63"/>
      <c r="DW108" s="63"/>
      <c r="DX108" s="63"/>
      <c r="DY108" s="63"/>
      <c r="DZ108" s="63"/>
      <c r="EA108" s="63"/>
      <c r="EB108" s="63"/>
      <c r="EC108" s="63"/>
      <c r="ED108" s="65">
        <f t="shared" si="678"/>
        <v>0</v>
      </c>
      <c r="EE108" s="65">
        <f t="shared" si="678"/>
        <v>0</v>
      </c>
      <c r="EF108" s="65">
        <f t="shared" si="678"/>
        <v>0</v>
      </c>
      <c r="EG108" s="65">
        <f t="shared" si="678"/>
        <v>0</v>
      </c>
      <c r="EH108" s="65">
        <f t="shared" si="678"/>
        <v>0</v>
      </c>
      <c r="EI108" s="65">
        <f t="shared" si="678"/>
        <v>0</v>
      </c>
      <c r="EJ108" s="65">
        <f t="shared" si="678"/>
        <v>0</v>
      </c>
      <c r="EK108" s="65">
        <f t="shared" si="678"/>
        <v>0</v>
      </c>
      <c r="EL108" s="65">
        <f t="shared" si="678"/>
        <v>0</v>
      </c>
      <c r="EM108" s="65">
        <f t="shared" si="678"/>
        <v>0</v>
      </c>
      <c r="EN108" s="64">
        <f>SUM(EE108:EH108,EJ108:EM108)</f>
        <v>0</v>
      </c>
      <c r="EO108" s="62"/>
      <c r="EP108" s="63"/>
      <c r="EQ108" s="63"/>
      <c r="ER108" s="63"/>
      <c r="ES108" s="63"/>
      <c r="ET108" s="63"/>
      <c r="EU108" s="63"/>
      <c r="EV108" s="63"/>
      <c r="EW108" s="63"/>
      <c r="EX108" s="63"/>
      <c r="EY108" s="64">
        <f>SUM(EP108:ES108,EU108:EX108)</f>
        <v>0</v>
      </c>
      <c r="EZ108" s="62"/>
      <c r="FA108" s="63"/>
      <c r="FB108" s="63"/>
      <c r="FC108" s="63"/>
      <c r="FD108" s="63"/>
      <c r="FE108" s="63"/>
      <c r="FF108" s="63"/>
      <c r="FG108" s="63"/>
      <c r="FH108" s="63"/>
      <c r="FI108" s="63"/>
      <c r="FJ108" s="64">
        <f>SUM(FA108:FD108,FF108:FI108)</f>
        <v>0</v>
      </c>
      <c r="FK108" s="62"/>
      <c r="FL108" s="63"/>
      <c r="FM108" s="63"/>
      <c r="FN108" s="63"/>
      <c r="FO108" s="63"/>
      <c r="FP108" s="63"/>
      <c r="FQ108" s="63"/>
      <c r="FR108" s="63"/>
      <c r="FS108" s="63"/>
      <c r="FT108" s="63"/>
      <c r="FU108" s="64">
        <f>SUM(FL108:FO108,FQ108:FT108)</f>
        <v>0</v>
      </c>
      <c r="FV108" s="65">
        <f t="shared" si="679"/>
        <v>0</v>
      </c>
      <c r="FW108" s="65">
        <f t="shared" si="679"/>
        <v>0</v>
      </c>
      <c r="FX108" s="65">
        <f t="shared" si="679"/>
        <v>0</v>
      </c>
      <c r="FY108" s="65">
        <f t="shared" si="679"/>
        <v>0</v>
      </c>
      <c r="FZ108" s="65">
        <f t="shared" si="679"/>
        <v>0</v>
      </c>
      <c r="GA108" s="65">
        <f t="shared" si="679"/>
        <v>0</v>
      </c>
      <c r="GB108" s="65">
        <f t="shared" si="679"/>
        <v>0</v>
      </c>
      <c r="GC108" s="65">
        <f t="shared" si="679"/>
        <v>0</v>
      </c>
      <c r="GD108" s="65">
        <f t="shared" si="679"/>
        <v>0</v>
      </c>
      <c r="GE108" s="65">
        <f t="shared" si="679"/>
        <v>0</v>
      </c>
      <c r="GF108" s="64">
        <f>SUM(FW108:FZ108,GB108:GE108)</f>
        <v>0</v>
      </c>
      <c r="GG108" s="66">
        <f t="shared" si="680"/>
        <v>0</v>
      </c>
      <c r="GH108" s="66">
        <f t="shared" si="680"/>
        <v>0</v>
      </c>
      <c r="GI108" s="66">
        <f t="shared" si="680"/>
        <v>0</v>
      </c>
      <c r="GJ108" s="66">
        <f t="shared" si="680"/>
        <v>0</v>
      </c>
      <c r="GK108" s="66">
        <f t="shared" si="680"/>
        <v>0</v>
      </c>
      <c r="GL108" s="66">
        <f t="shared" si="680"/>
        <v>0</v>
      </c>
      <c r="GM108" s="66">
        <f t="shared" si="680"/>
        <v>0</v>
      </c>
      <c r="GN108" s="66">
        <f t="shared" si="680"/>
        <v>0</v>
      </c>
      <c r="GO108" s="66">
        <f t="shared" si="680"/>
        <v>0</v>
      </c>
      <c r="GP108" s="66">
        <f t="shared" si="680"/>
        <v>0</v>
      </c>
      <c r="GQ108" s="64">
        <f>SUM(GH108:GK108,GM108:GP108)</f>
        <v>0</v>
      </c>
      <c r="GR108" s="63"/>
      <c r="GS108" s="63">
        <v>0</v>
      </c>
      <c r="GT108" s="63"/>
      <c r="GU108" s="63"/>
      <c r="GV108" s="67">
        <f>SUM(GR108:GU108)</f>
        <v>0</v>
      </c>
      <c r="GW108" s="63"/>
      <c r="GX108" s="63"/>
      <c r="GY108" s="63"/>
      <c r="GZ108" s="63"/>
      <c r="HA108" s="67">
        <f>SUM(GW108:GZ108)</f>
        <v>0</v>
      </c>
      <c r="HB108" s="63"/>
      <c r="HC108" s="63"/>
      <c r="HD108" s="63"/>
      <c r="HE108" s="63"/>
      <c r="HF108" s="67">
        <f>SUM(HB108:HE108)</f>
        <v>0</v>
      </c>
      <c r="HG108" s="63"/>
      <c r="HH108" s="63"/>
      <c r="HI108" s="63"/>
      <c r="HJ108" s="63"/>
      <c r="HK108" s="67">
        <f>SUM(HG108:HJ108)</f>
        <v>0</v>
      </c>
      <c r="HL108" s="68">
        <f t="shared" si="681"/>
        <v>0</v>
      </c>
      <c r="HM108" s="68">
        <f t="shared" si="681"/>
        <v>0</v>
      </c>
      <c r="HN108" s="68">
        <f t="shared" si="681"/>
        <v>0</v>
      </c>
      <c r="HO108" s="68">
        <f t="shared" si="681"/>
        <v>0</v>
      </c>
      <c r="HP108" s="67">
        <f>SUM(HL108:HO108)</f>
        <v>0</v>
      </c>
      <c r="HQ108" s="63"/>
      <c r="HR108" s="63"/>
      <c r="HS108" s="63"/>
      <c r="HT108" s="63"/>
      <c r="HU108" s="67">
        <f>SUM(HQ108:HT108)</f>
        <v>0</v>
      </c>
      <c r="HV108" s="63"/>
      <c r="HW108" s="63"/>
      <c r="HX108" s="63"/>
      <c r="HY108" s="63"/>
      <c r="HZ108" s="67">
        <f>SUM(HV108:HY108)</f>
        <v>0</v>
      </c>
      <c r="IA108" s="63"/>
      <c r="IB108" s="63"/>
      <c r="IC108" s="63"/>
      <c r="ID108" s="63"/>
      <c r="IE108" s="67">
        <f>SUM(IA108:ID108)</f>
        <v>0</v>
      </c>
      <c r="IF108" s="68">
        <f t="shared" si="682"/>
        <v>0</v>
      </c>
      <c r="IG108" s="68">
        <f t="shared" si="682"/>
        <v>0</v>
      </c>
      <c r="IH108" s="68">
        <f t="shared" si="682"/>
        <v>0</v>
      </c>
      <c r="II108" s="68">
        <f t="shared" si="682"/>
        <v>0</v>
      </c>
      <c r="IJ108" s="67">
        <f>SUM(IF108:II108)</f>
        <v>0</v>
      </c>
      <c r="IK108" s="63"/>
      <c r="IL108" s="63"/>
      <c r="IM108" s="63"/>
      <c r="IN108" s="63"/>
      <c r="IO108" s="67">
        <f>SUM(IK108:IN108)</f>
        <v>0</v>
      </c>
      <c r="IP108" s="63"/>
      <c r="IQ108" s="63"/>
      <c r="IR108" s="63"/>
      <c r="IS108" s="63"/>
      <c r="IT108" s="67">
        <f>SUM(IP108:IS108)</f>
        <v>0</v>
      </c>
      <c r="IU108" s="63"/>
      <c r="IV108" s="63"/>
    </row>
    <row r="109" spans="1:256" s="92" customFormat="1" ht="12.75" customHeight="1" x14ac:dyDescent="0.25">
      <c r="A109" s="117" t="s">
        <v>107</v>
      </c>
      <c r="B109" s="128">
        <v>1.6</v>
      </c>
      <c r="C109" s="63">
        <v>16</v>
      </c>
      <c r="D109" s="63">
        <v>0</v>
      </c>
      <c r="E109" s="63">
        <v>0</v>
      </c>
      <c r="F109" s="63">
        <v>0</v>
      </c>
      <c r="G109" s="63">
        <v>0</v>
      </c>
      <c r="H109" s="63">
        <v>0</v>
      </c>
      <c r="I109" s="63">
        <v>0</v>
      </c>
      <c r="J109" s="63">
        <v>0</v>
      </c>
      <c r="K109" s="63">
        <v>0</v>
      </c>
      <c r="L109" s="64">
        <f>SUM(C109:F109,H109:K109)</f>
        <v>16</v>
      </c>
      <c r="M109" s="62"/>
      <c r="N109" s="63"/>
      <c r="O109" s="63"/>
      <c r="P109" s="63"/>
      <c r="Q109" s="63"/>
      <c r="R109" s="63"/>
      <c r="S109" s="63"/>
      <c r="T109" s="63"/>
      <c r="U109" s="63"/>
      <c r="V109" s="63"/>
      <c r="W109" s="64">
        <f>SUM(N109:Q109,S109:V109)</f>
        <v>0</v>
      </c>
      <c r="X109" s="62"/>
      <c r="Y109" s="63"/>
      <c r="Z109" s="63"/>
      <c r="AA109" s="63"/>
      <c r="AB109" s="63"/>
      <c r="AC109" s="63"/>
      <c r="AD109" s="63"/>
      <c r="AE109" s="63"/>
      <c r="AF109" s="63"/>
      <c r="AG109" s="63"/>
      <c r="AH109" s="64">
        <f>SUM(Y109:AB109,AD109:AG109)</f>
        <v>0</v>
      </c>
      <c r="AI109" s="62"/>
      <c r="AJ109" s="63"/>
      <c r="AK109" s="63"/>
      <c r="AL109" s="63"/>
      <c r="AM109" s="63"/>
      <c r="AN109" s="63"/>
      <c r="AO109" s="63"/>
      <c r="AP109" s="63"/>
      <c r="AQ109" s="63"/>
      <c r="AR109" s="63"/>
      <c r="AS109" s="64">
        <f>SUM(AJ109:AM109,AO109:AR109)</f>
        <v>0</v>
      </c>
      <c r="AT109" s="65">
        <f t="shared" si="676"/>
        <v>0</v>
      </c>
      <c r="AU109" s="65">
        <f t="shared" si="676"/>
        <v>0</v>
      </c>
      <c r="AV109" s="65">
        <f t="shared" si="676"/>
        <v>0</v>
      </c>
      <c r="AW109" s="65">
        <f t="shared" si="676"/>
        <v>0</v>
      </c>
      <c r="AX109" s="65">
        <f t="shared" si="676"/>
        <v>0</v>
      </c>
      <c r="AY109" s="65">
        <f t="shared" si="676"/>
        <v>0</v>
      </c>
      <c r="AZ109" s="65">
        <f t="shared" si="676"/>
        <v>0</v>
      </c>
      <c r="BA109" s="65">
        <f t="shared" si="676"/>
        <v>0</v>
      </c>
      <c r="BB109" s="65">
        <f t="shared" si="676"/>
        <v>0</v>
      </c>
      <c r="BC109" s="65">
        <f t="shared" si="676"/>
        <v>0</v>
      </c>
      <c r="BD109" s="64">
        <f>SUM(AU109:AX109,AZ109:BC109)</f>
        <v>0</v>
      </c>
      <c r="BE109" s="62"/>
      <c r="BF109" s="63"/>
      <c r="BG109" s="63"/>
      <c r="BH109" s="63"/>
      <c r="BI109" s="63"/>
      <c r="BJ109" s="63"/>
      <c r="BK109" s="63"/>
      <c r="BL109" s="63"/>
      <c r="BM109" s="63"/>
      <c r="BN109" s="63"/>
      <c r="BO109" s="64">
        <f>SUM(BF109:BI109,BK109:BN109)</f>
        <v>0</v>
      </c>
      <c r="BP109" s="62"/>
      <c r="BQ109" s="63"/>
      <c r="BR109" s="63"/>
      <c r="BS109" s="63"/>
      <c r="BT109" s="63"/>
      <c r="BU109" s="63"/>
      <c r="BV109" s="63"/>
      <c r="BW109" s="63"/>
      <c r="BX109" s="63"/>
      <c r="BY109" s="63"/>
      <c r="BZ109" s="64">
        <f>SUM(BQ109:BT109,BV109:BY109)</f>
        <v>0</v>
      </c>
      <c r="CA109" s="62"/>
      <c r="CB109" s="63"/>
      <c r="CC109" s="63"/>
      <c r="CD109" s="63"/>
      <c r="CE109" s="63"/>
      <c r="CF109" s="63"/>
      <c r="CG109" s="63"/>
      <c r="CH109" s="63"/>
      <c r="CI109" s="63"/>
      <c r="CJ109" s="63"/>
      <c r="CK109" s="64">
        <f>SUM(CB109:CE109,CG109:CJ109)</f>
        <v>0</v>
      </c>
      <c r="CL109" s="65">
        <f t="shared" si="677"/>
        <v>0</v>
      </c>
      <c r="CM109" s="65">
        <f t="shared" si="677"/>
        <v>0</v>
      </c>
      <c r="CN109" s="65">
        <f t="shared" si="677"/>
        <v>0</v>
      </c>
      <c r="CO109" s="65">
        <f t="shared" si="677"/>
        <v>0</v>
      </c>
      <c r="CP109" s="65">
        <f t="shared" si="677"/>
        <v>0</v>
      </c>
      <c r="CQ109" s="65">
        <f t="shared" si="677"/>
        <v>0</v>
      </c>
      <c r="CR109" s="65">
        <f t="shared" si="677"/>
        <v>0</v>
      </c>
      <c r="CS109" s="65">
        <f t="shared" si="677"/>
        <v>0</v>
      </c>
      <c r="CT109" s="65">
        <f t="shared" si="677"/>
        <v>0</v>
      </c>
      <c r="CU109" s="65">
        <f t="shared" si="677"/>
        <v>0</v>
      </c>
      <c r="CV109" s="64">
        <f>SUM(CM109:CP109,CR109:CU109)</f>
        <v>0</v>
      </c>
      <c r="CW109" s="62"/>
      <c r="CX109" s="63"/>
      <c r="CY109" s="63"/>
      <c r="CZ109" s="63"/>
      <c r="DA109" s="63"/>
      <c r="DB109" s="63"/>
      <c r="DC109" s="63"/>
      <c r="DD109" s="63"/>
      <c r="DE109" s="63"/>
      <c r="DF109" s="63"/>
      <c r="DG109" s="64">
        <f>SUM(CX109:DA109,DC109:DF109)</f>
        <v>0</v>
      </c>
      <c r="DH109" s="62"/>
      <c r="DI109" s="63"/>
      <c r="DJ109" s="63"/>
      <c r="DK109" s="63"/>
      <c r="DL109" s="63"/>
      <c r="DM109" s="63"/>
      <c r="DN109" s="63"/>
      <c r="DO109" s="63"/>
      <c r="DP109" s="63"/>
      <c r="DQ109" s="63"/>
      <c r="DR109" s="64">
        <f>SUM(DI109:DL109,DN109:DQ109)</f>
        <v>0</v>
      </c>
      <c r="DS109" s="62"/>
      <c r="DT109" s="63"/>
      <c r="DU109" s="63"/>
      <c r="DV109" s="63"/>
      <c r="DW109" s="63"/>
      <c r="DX109" s="63"/>
      <c r="DY109" s="63"/>
      <c r="DZ109" s="63"/>
      <c r="EA109" s="63"/>
      <c r="EB109" s="63"/>
      <c r="EC109" s="63"/>
      <c r="ED109" s="65">
        <f t="shared" si="678"/>
        <v>0</v>
      </c>
      <c r="EE109" s="65">
        <f t="shared" si="678"/>
        <v>0</v>
      </c>
      <c r="EF109" s="65">
        <f t="shared" si="678"/>
        <v>0</v>
      </c>
      <c r="EG109" s="65">
        <f t="shared" si="678"/>
        <v>0</v>
      </c>
      <c r="EH109" s="65">
        <f t="shared" si="678"/>
        <v>0</v>
      </c>
      <c r="EI109" s="65">
        <f t="shared" si="678"/>
        <v>0</v>
      </c>
      <c r="EJ109" s="65">
        <f t="shared" si="678"/>
        <v>0</v>
      </c>
      <c r="EK109" s="65">
        <f t="shared" si="678"/>
        <v>0</v>
      </c>
      <c r="EL109" s="65">
        <f t="shared" si="678"/>
        <v>0</v>
      </c>
      <c r="EM109" s="65">
        <f t="shared" si="678"/>
        <v>0</v>
      </c>
      <c r="EN109" s="64">
        <f>SUM(EE109:EH109,EJ109:EM109)</f>
        <v>0</v>
      </c>
      <c r="EO109" s="62"/>
      <c r="EP109" s="63"/>
      <c r="EQ109" s="63"/>
      <c r="ER109" s="63"/>
      <c r="ES109" s="63"/>
      <c r="ET109" s="63"/>
      <c r="EU109" s="63"/>
      <c r="EV109" s="63"/>
      <c r="EW109" s="63"/>
      <c r="EX109" s="63"/>
      <c r="EY109" s="64">
        <f>SUM(EP109:ES109,EU109:EX109)</f>
        <v>0</v>
      </c>
      <c r="EZ109" s="62"/>
      <c r="FA109" s="63"/>
      <c r="FB109" s="63"/>
      <c r="FC109" s="63"/>
      <c r="FD109" s="63"/>
      <c r="FE109" s="63"/>
      <c r="FF109" s="63"/>
      <c r="FG109" s="63"/>
      <c r="FH109" s="63"/>
      <c r="FI109" s="63"/>
      <c r="FJ109" s="64">
        <f>SUM(FA109:FD109,FF109:FI109)</f>
        <v>0</v>
      </c>
      <c r="FK109" s="62"/>
      <c r="FL109" s="63"/>
      <c r="FM109" s="63"/>
      <c r="FN109" s="63"/>
      <c r="FO109" s="63"/>
      <c r="FP109" s="63"/>
      <c r="FQ109" s="63"/>
      <c r="FR109" s="63"/>
      <c r="FS109" s="63"/>
      <c r="FT109" s="63"/>
      <c r="FU109" s="64">
        <f>SUM(FL109:FO109,FQ109:FT109)</f>
        <v>0</v>
      </c>
      <c r="FV109" s="65">
        <f t="shared" si="679"/>
        <v>0</v>
      </c>
      <c r="FW109" s="65">
        <f t="shared" si="679"/>
        <v>0</v>
      </c>
      <c r="FX109" s="65">
        <f t="shared" si="679"/>
        <v>0</v>
      </c>
      <c r="FY109" s="65">
        <f t="shared" si="679"/>
        <v>0</v>
      </c>
      <c r="FZ109" s="65">
        <f t="shared" si="679"/>
        <v>0</v>
      </c>
      <c r="GA109" s="65">
        <f t="shared" si="679"/>
        <v>0</v>
      </c>
      <c r="GB109" s="65">
        <f t="shared" si="679"/>
        <v>0</v>
      </c>
      <c r="GC109" s="65">
        <f t="shared" si="679"/>
        <v>0</v>
      </c>
      <c r="GD109" s="65">
        <f t="shared" si="679"/>
        <v>0</v>
      </c>
      <c r="GE109" s="65">
        <f t="shared" si="679"/>
        <v>0</v>
      </c>
      <c r="GF109" s="64">
        <f>SUM(FW109:FZ109,GB109:GE109)</f>
        <v>0</v>
      </c>
      <c r="GG109" s="131">
        <f t="shared" si="680"/>
        <v>0</v>
      </c>
      <c r="GH109" s="66">
        <f t="shared" si="680"/>
        <v>0</v>
      </c>
      <c r="GI109" s="66">
        <f t="shared" si="680"/>
        <v>0</v>
      </c>
      <c r="GJ109" s="66">
        <f t="shared" si="680"/>
        <v>0</v>
      </c>
      <c r="GK109" s="66">
        <f t="shared" si="680"/>
        <v>0</v>
      </c>
      <c r="GL109" s="66">
        <f t="shared" si="680"/>
        <v>0</v>
      </c>
      <c r="GM109" s="66">
        <f t="shared" si="680"/>
        <v>0</v>
      </c>
      <c r="GN109" s="66">
        <f t="shared" si="680"/>
        <v>0</v>
      </c>
      <c r="GO109" s="66">
        <f t="shared" si="680"/>
        <v>0</v>
      </c>
      <c r="GP109" s="66">
        <f t="shared" si="680"/>
        <v>0</v>
      </c>
      <c r="GQ109" s="64">
        <f>SUM(GH109:GK109,GM109:GP109)</f>
        <v>0</v>
      </c>
      <c r="GR109" s="63"/>
      <c r="GS109" s="63"/>
      <c r="GT109" s="63"/>
      <c r="GU109" s="63"/>
      <c r="GV109" s="67">
        <f>SUM(GR109:GU109)</f>
        <v>0</v>
      </c>
      <c r="GW109" s="63"/>
      <c r="GX109" s="63"/>
      <c r="GY109" s="63"/>
      <c r="GZ109" s="63"/>
      <c r="HA109" s="67">
        <f>SUM(GW109:GZ109)</f>
        <v>0</v>
      </c>
      <c r="HB109" s="63"/>
      <c r="HC109" s="63"/>
      <c r="HD109" s="63"/>
      <c r="HE109" s="63"/>
      <c r="HF109" s="67">
        <f>SUM(HB109:HE109)</f>
        <v>0</v>
      </c>
      <c r="HG109" s="63"/>
      <c r="HH109" s="63"/>
      <c r="HI109" s="63"/>
      <c r="HJ109" s="63"/>
      <c r="HK109" s="67">
        <f>SUM(HG109:HJ109)</f>
        <v>0</v>
      </c>
      <c r="HL109" s="68">
        <f t="shared" si="681"/>
        <v>0</v>
      </c>
      <c r="HM109" s="68">
        <f t="shared" si="681"/>
        <v>0</v>
      </c>
      <c r="HN109" s="68">
        <f t="shared" si="681"/>
        <v>0</v>
      </c>
      <c r="HO109" s="68">
        <f t="shared" si="681"/>
        <v>0</v>
      </c>
      <c r="HP109" s="67">
        <f>SUM(HL109:HO109)</f>
        <v>0</v>
      </c>
      <c r="HQ109" s="63"/>
      <c r="HR109" s="63"/>
      <c r="HS109" s="63"/>
      <c r="HT109" s="63"/>
      <c r="HU109" s="67">
        <f>SUM(HQ109:HT109)</f>
        <v>0</v>
      </c>
      <c r="HV109" s="63"/>
      <c r="HW109" s="63"/>
      <c r="HX109" s="63"/>
      <c r="HY109" s="63"/>
      <c r="HZ109" s="67">
        <f>SUM(HV109:HY109)</f>
        <v>0</v>
      </c>
      <c r="IA109" s="63"/>
      <c r="IB109" s="63"/>
      <c r="IC109" s="63"/>
      <c r="ID109" s="63"/>
      <c r="IE109" s="67">
        <f>SUM(IA109:ID109)</f>
        <v>0</v>
      </c>
      <c r="IF109" s="68">
        <f t="shared" si="682"/>
        <v>0</v>
      </c>
      <c r="IG109" s="68">
        <f t="shared" si="682"/>
        <v>0</v>
      </c>
      <c r="IH109" s="68">
        <f t="shared" si="682"/>
        <v>0</v>
      </c>
      <c r="II109" s="68">
        <f t="shared" si="682"/>
        <v>0</v>
      </c>
      <c r="IJ109" s="67">
        <f>SUM(IF109:II109)</f>
        <v>0</v>
      </c>
      <c r="IK109" s="63"/>
      <c r="IL109" s="63"/>
      <c r="IM109" s="63"/>
      <c r="IN109" s="63"/>
      <c r="IO109" s="67">
        <f>SUM(IK109:IN109)</f>
        <v>0</v>
      </c>
      <c r="IP109" s="63"/>
      <c r="IQ109" s="63"/>
      <c r="IR109" s="63"/>
      <c r="IS109" s="63"/>
      <c r="IT109" s="67">
        <f>SUM(IP109:IS109)</f>
        <v>0</v>
      </c>
      <c r="IU109" s="63"/>
      <c r="IV109" s="63"/>
    </row>
    <row r="110" spans="1:256" s="92" customFormat="1" ht="12.75" customHeight="1" x14ac:dyDescent="0.25">
      <c r="A110" s="115" t="s">
        <v>109</v>
      </c>
      <c r="B110" s="124" t="s">
        <v>98</v>
      </c>
      <c r="C110" s="96">
        <f t="shared" ref="C110:K110" si="683">SUM(C111:C114)</f>
        <v>0</v>
      </c>
      <c r="D110" s="96">
        <f t="shared" si="683"/>
        <v>0</v>
      </c>
      <c r="E110" s="96">
        <f t="shared" si="683"/>
        <v>0</v>
      </c>
      <c r="F110" s="96">
        <f t="shared" si="683"/>
        <v>0</v>
      </c>
      <c r="G110" s="96">
        <f t="shared" si="683"/>
        <v>0</v>
      </c>
      <c r="H110" s="96">
        <f t="shared" si="683"/>
        <v>0</v>
      </c>
      <c r="I110" s="96">
        <f t="shared" si="683"/>
        <v>0</v>
      </c>
      <c r="J110" s="96">
        <f t="shared" si="683"/>
        <v>0</v>
      </c>
      <c r="K110" s="96">
        <f t="shared" si="683"/>
        <v>0</v>
      </c>
      <c r="L110" s="96">
        <f>SUM(L111:L114)</f>
        <v>0</v>
      </c>
      <c r="M110" s="124" t="s">
        <v>98</v>
      </c>
      <c r="N110" s="96">
        <f t="shared" ref="N110:V110" si="684">SUM(N111:N114)</f>
        <v>0</v>
      </c>
      <c r="O110" s="96">
        <f t="shared" si="684"/>
        <v>0</v>
      </c>
      <c r="P110" s="96">
        <f t="shared" si="684"/>
        <v>0</v>
      </c>
      <c r="Q110" s="96">
        <f t="shared" si="684"/>
        <v>0</v>
      </c>
      <c r="R110" s="96">
        <f t="shared" si="684"/>
        <v>0</v>
      </c>
      <c r="S110" s="96">
        <f t="shared" si="684"/>
        <v>0</v>
      </c>
      <c r="T110" s="96">
        <f t="shared" si="684"/>
        <v>0</v>
      </c>
      <c r="U110" s="96">
        <f t="shared" si="684"/>
        <v>0</v>
      </c>
      <c r="V110" s="96">
        <f t="shared" si="684"/>
        <v>0</v>
      </c>
      <c r="W110" s="96">
        <f>SUM(W111:W114)</f>
        <v>0</v>
      </c>
      <c r="X110" s="124" t="s">
        <v>98</v>
      </c>
      <c r="Y110" s="96">
        <f t="shared" ref="Y110:AG110" si="685">SUM(Y111:Y114)</f>
        <v>0</v>
      </c>
      <c r="Z110" s="96">
        <f t="shared" si="685"/>
        <v>0</v>
      </c>
      <c r="AA110" s="96">
        <f t="shared" si="685"/>
        <v>0</v>
      </c>
      <c r="AB110" s="96">
        <f t="shared" si="685"/>
        <v>0</v>
      </c>
      <c r="AC110" s="96">
        <f t="shared" si="685"/>
        <v>0</v>
      </c>
      <c r="AD110" s="96">
        <f t="shared" si="685"/>
        <v>0</v>
      </c>
      <c r="AE110" s="96">
        <f t="shared" si="685"/>
        <v>0</v>
      </c>
      <c r="AF110" s="96">
        <f t="shared" si="685"/>
        <v>0</v>
      </c>
      <c r="AG110" s="96">
        <f t="shared" si="685"/>
        <v>0</v>
      </c>
      <c r="AH110" s="96">
        <f>SUM(AH111:AH114)</f>
        <v>0</v>
      </c>
      <c r="AI110" s="124" t="s">
        <v>98</v>
      </c>
      <c r="AJ110" s="96">
        <f t="shared" ref="AJ110:AR110" si="686">SUM(AJ111:AJ114)</f>
        <v>0</v>
      </c>
      <c r="AK110" s="96">
        <f t="shared" si="686"/>
        <v>0</v>
      </c>
      <c r="AL110" s="96">
        <f t="shared" si="686"/>
        <v>0</v>
      </c>
      <c r="AM110" s="96">
        <f t="shared" si="686"/>
        <v>0</v>
      </c>
      <c r="AN110" s="96">
        <f t="shared" si="686"/>
        <v>0</v>
      </c>
      <c r="AO110" s="96">
        <f t="shared" si="686"/>
        <v>0</v>
      </c>
      <c r="AP110" s="96">
        <f t="shared" si="686"/>
        <v>0</v>
      </c>
      <c r="AQ110" s="96">
        <f t="shared" si="686"/>
        <v>0</v>
      </c>
      <c r="AR110" s="96">
        <f t="shared" si="686"/>
        <v>0</v>
      </c>
      <c r="AS110" s="96">
        <f>SUM(AS111:AS114)</f>
        <v>0</v>
      </c>
      <c r="AT110" s="124" t="s">
        <v>98</v>
      </c>
      <c r="AU110" s="96">
        <f>SUM(AU111:AU114)</f>
        <v>0</v>
      </c>
      <c r="AV110" s="96">
        <f t="shared" ref="AV110:BC110" si="687">SUM(AV111:AV114)</f>
        <v>0</v>
      </c>
      <c r="AW110" s="96">
        <f t="shared" si="687"/>
        <v>0</v>
      </c>
      <c r="AX110" s="96">
        <f t="shared" si="687"/>
        <v>0</v>
      </c>
      <c r="AY110" s="96">
        <f t="shared" si="687"/>
        <v>0</v>
      </c>
      <c r="AZ110" s="96">
        <f t="shared" si="687"/>
        <v>0</v>
      </c>
      <c r="BA110" s="96">
        <f t="shared" si="687"/>
        <v>0</v>
      </c>
      <c r="BB110" s="96">
        <f t="shared" si="687"/>
        <v>0</v>
      </c>
      <c r="BC110" s="96">
        <f t="shared" si="687"/>
        <v>0</v>
      </c>
      <c r="BD110" s="96">
        <f>SUM(BD111:BD114)</f>
        <v>0</v>
      </c>
      <c r="BE110" s="124" t="s">
        <v>98</v>
      </c>
      <c r="BF110" s="96">
        <f t="shared" ref="BF110:BN110" si="688">SUM(BF111:BF114)</f>
        <v>0</v>
      </c>
      <c r="BG110" s="96">
        <f t="shared" si="688"/>
        <v>0</v>
      </c>
      <c r="BH110" s="96">
        <f t="shared" si="688"/>
        <v>0</v>
      </c>
      <c r="BI110" s="96">
        <f t="shared" si="688"/>
        <v>0</v>
      </c>
      <c r="BJ110" s="96">
        <f t="shared" si="688"/>
        <v>0</v>
      </c>
      <c r="BK110" s="96">
        <f t="shared" si="688"/>
        <v>0</v>
      </c>
      <c r="BL110" s="96">
        <f t="shared" si="688"/>
        <v>0</v>
      </c>
      <c r="BM110" s="96">
        <f t="shared" si="688"/>
        <v>0</v>
      </c>
      <c r="BN110" s="96">
        <f t="shared" si="688"/>
        <v>0</v>
      </c>
      <c r="BO110" s="96">
        <f>SUM(BO111:BO114)</f>
        <v>0</v>
      </c>
      <c r="BP110" s="124" t="s">
        <v>98</v>
      </c>
      <c r="BQ110" s="96">
        <f t="shared" ref="BQ110:BY110" si="689">SUM(BQ111:BQ114)</f>
        <v>0</v>
      </c>
      <c r="BR110" s="96">
        <f t="shared" si="689"/>
        <v>0</v>
      </c>
      <c r="BS110" s="96">
        <f t="shared" si="689"/>
        <v>0</v>
      </c>
      <c r="BT110" s="96">
        <f t="shared" si="689"/>
        <v>0</v>
      </c>
      <c r="BU110" s="96">
        <f t="shared" si="689"/>
        <v>0</v>
      </c>
      <c r="BV110" s="96">
        <f t="shared" si="689"/>
        <v>0</v>
      </c>
      <c r="BW110" s="96">
        <f t="shared" si="689"/>
        <v>0</v>
      </c>
      <c r="BX110" s="96">
        <f t="shared" si="689"/>
        <v>0</v>
      </c>
      <c r="BY110" s="96">
        <f t="shared" si="689"/>
        <v>0</v>
      </c>
      <c r="BZ110" s="96">
        <f>SUM(BZ111:BZ114)</f>
        <v>0</v>
      </c>
      <c r="CA110" s="124" t="s">
        <v>98</v>
      </c>
      <c r="CB110" s="96">
        <f t="shared" ref="CB110:CJ110" si="690">SUM(CB111:CB114)</f>
        <v>0</v>
      </c>
      <c r="CC110" s="96">
        <f t="shared" si="690"/>
        <v>0</v>
      </c>
      <c r="CD110" s="96">
        <f t="shared" si="690"/>
        <v>0</v>
      </c>
      <c r="CE110" s="96">
        <f t="shared" si="690"/>
        <v>0</v>
      </c>
      <c r="CF110" s="96">
        <f t="shared" si="690"/>
        <v>0</v>
      </c>
      <c r="CG110" s="96">
        <f t="shared" si="690"/>
        <v>0</v>
      </c>
      <c r="CH110" s="96">
        <f t="shared" si="690"/>
        <v>0</v>
      </c>
      <c r="CI110" s="96">
        <f t="shared" si="690"/>
        <v>0</v>
      </c>
      <c r="CJ110" s="96">
        <f t="shared" si="690"/>
        <v>0</v>
      </c>
      <c r="CK110" s="96">
        <f>SUM(CK111:CK114)</f>
        <v>0</v>
      </c>
      <c r="CL110" s="124" t="s">
        <v>98</v>
      </c>
      <c r="CM110" s="96">
        <f>SUM(CM111:CM114)</f>
        <v>0</v>
      </c>
      <c r="CN110" s="96">
        <f t="shared" ref="CN110:CU110" si="691">SUM(CN111:CN114)</f>
        <v>0</v>
      </c>
      <c r="CO110" s="96">
        <f t="shared" si="691"/>
        <v>0</v>
      </c>
      <c r="CP110" s="96">
        <f t="shared" si="691"/>
        <v>0</v>
      </c>
      <c r="CQ110" s="96">
        <f t="shared" si="691"/>
        <v>0</v>
      </c>
      <c r="CR110" s="96">
        <f t="shared" si="691"/>
        <v>0</v>
      </c>
      <c r="CS110" s="96">
        <f t="shared" si="691"/>
        <v>0</v>
      </c>
      <c r="CT110" s="96">
        <f t="shared" si="691"/>
        <v>0</v>
      </c>
      <c r="CU110" s="96">
        <f t="shared" si="691"/>
        <v>0</v>
      </c>
      <c r="CV110" s="96">
        <f>SUM(CV111:CV114)</f>
        <v>0</v>
      </c>
      <c r="CW110" s="124" t="s">
        <v>98</v>
      </c>
      <c r="CX110" s="96">
        <f t="shared" ref="CX110:DF110" si="692">SUM(CX111:CX114)</f>
        <v>0</v>
      </c>
      <c r="CY110" s="96">
        <f t="shared" si="692"/>
        <v>0</v>
      </c>
      <c r="CZ110" s="96">
        <f t="shared" si="692"/>
        <v>0</v>
      </c>
      <c r="DA110" s="96">
        <f t="shared" si="692"/>
        <v>0</v>
      </c>
      <c r="DB110" s="96">
        <f t="shared" si="692"/>
        <v>0</v>
      </c>
      <c r="DC110" s="96">
        <f t="shared" si="692"/>
        <v>0</v>
      </c>
      <c r="DD110" s="96">
        <f t="shared" si="692"/>
        <v>0</v>
      </c>
      <c r="DE110" s="96">
        <f t="shared" si="692"/>
        <v>0</v>
      </c>
      <c r="DF110" s="96">
        <f t="shared" si="692"/>
        <v>0</v>
      </c>
      <c r="DG110" s="96">
        <f>SUM(DG111:DG114)</f>
        <v>0</v>
      </c>
      <c r="DH110" s="124" t="s">
        <v>98</v>
      </c>
      <c r="DI110" s="96">
        <f t="shared" ref="DI110:DQ110" si="693">SUM(DI111:DI114)</f>
        <v>0</v>
      </c>
      <c r="DJ110" s="96">
        <f t="shared" si="693"/>
        <v>0</v>
      </c>
      <c r="DK110" s="96">
        <f t="shared" si="693"/>
        <v>0</v>
      </c>
      <c r="DL110" s="96">
        <f t="shared" si="693"/>
        <v>0</v>
      </c>
      <c r="DM110" s="96">
        <f t="shared" si="693"/>
        <v>0</v>
      </c>
      <c r="DN110" s="96">
        <f t="shared" si="693"/>
        <v>0</v>
      </c>
      <c r="DO110" s="96">
        <f t="shared" si="693"/>
        <v>0</v>
      </c>
      <c r="DP110" s="96">
        <f t="shared" si="693"/>
        <v>0</v>
      </c>
      <c r="DQ110" s="96">
        <f t="shared" si="693"/>
        <v>0</v>
      </c>
      <c r="DR110" s="96">
        <f>SUM(DR111:DR114)</f>
        <v>0</v>
      </c>
      <c r="DS110" s="124" t="s">
        <v>98</v>
      </c>
      <c r="DT110" s="96">
        <f t="shared" ref="DT110:EB110" si="694">SUM(DT111:DT114)</f>
        <v>0</v>
      </c>
      <c r="DU110" s="96">
        <f t="shared" si="694"/>
        <v>0</v>
      </c>
      <c r="DV110" s="96">
        <f t="shared" si="694"/>
        <v>0</v>
      </c>
      <c r="DW110" s="96">
        <f t="shared" si="694"/>
        <v>0</v>
      </c>
      <c r="DX110" s="96">
        <f t="shared" si="694"/>
        <v>0</v>
      </c>
      <c r="DY110" s="96">
        <f t="shared" si="694"/>
        <v>0</v>
      </c>
      <c r="DZ110" s="96">
        <f t="shared" si="694"/>
        <v>0</v>
      </c>
      <c r="EA110" s="96">
        <f t="shared" si="694"/>
        <v>0</v>
      </c>
      <c r="EB110" s="96">
        <f t="shared" si="694"/>
        <v>0</v>
      </c>
      <c r="EC110" s="96">
        <f>SUM(EC111:EC114)</f>
        <v>0</v>
      </c>
      <c r="ED110" s="124" t="s">
        <v>98</v>
      </c>
      <c r="EE110" s="96">
        <f>SUM(EE111:EE114)</f>
        <v>0</v>
      </c>
      <c r="EF110" s="96">
        <f t="shared" ref="EF110:EM110" si="695">SUM(EF111:EF114)</f>
        <v>0</v>
      </c>
      <c r="EG110" s="96">
        <f t="shared" si="695"/>
        <v>0</v>
      </c>
      <c r="EH110" s="96">
        <f t="shared" si="695"/>
        <v>0</v>
      </c>
      <c r="EI110" s="96">
        <f t="shared" si="695"/>
        <v>0</v>
      </c>
      <c r="EJ110" s="96">
        <f t="shared" si="695"/>
        <v>0</v>
      </c>
      <c r="EK110" s="96">
        <f t="shared" si="695"/>
        <v>0</v>
      </c>
      <c r="EL110" s="96">
        <f t="shared" si="695"/>
        <v>0</v>
      </c>
      <c r="EM110" s="96">
        <f t="shared" si="695"/>
        <v>0</v>
      </c>
      <c r="EN110" s="96">
        <f>SUM(EN111:EN114)</f>
        <v>0</v>
      </c>
      <c r="EO110" s="124" t="s">
        <v>98</v>
      </c>
      <c r="EP110" s="96">
        <f t="shared" ref="EP110:EX110" si="696">SUM(EP111:EP114)</f>
        <v>0</v>
      </c>
      <c r="EQ110" s="96">
        <f t="shared" si="696"/>
        <v>0</v>
      </c>
      <c r="ER110" s="96">
        <f t="shared" si="696"/>
        <v>0</v>
      </c>
      <c r="ES110" s="96">
        <f t="shared" si="696"/>
        <v>0</v>
      </c>
      <c r="ET110" s="96">
        <f t="shared" si="696"/>
        <v>0</v>
      </c>
      <c r="EU110" s="96">
        <f t="shared" si="696"/>
        <v>0</v>
      </c>
      <c r="EV110" s="96">
        <f t="shared" si="696"/>
        <v>0</v>
      </c>
      <c r="EW110" s="96">
        <f t="shared" si="696"/>
        <v>0</v>
      </c>
      <c r="EX110" s="96">
        <f t="shared" si="696"/>
        <v>0</v>
      </c>
      <c r="EY110" s="96">
        <f>SUM(EY111:EY114)</f>
        <v>0</v>
      </c>
      <c r="EZ110" s="124" t="s">
        <v>98</v>
      </c>
      <c r="FA110" s="96">
        <f t="shared" ref="FA110:FI110" si="697">SUM(FA111:FA114)</f>
        <v>0</v>
      </c>
      <c r="FB110" s="96">
        <f t="shared" si="697"/>
        <v>0</v>
      </c>
      <c r="FC110" s="96">
        <f t="shared" si="697"/>
        <v>0</v>
      </c>
      <c r="FD110" s="96">
        <f t="shared" si="697"/>
        <v>0</v>
      </c>
      <c r="FE110" s="96">
        <f t="shared" si="697"/>
        <v>0</v>
      </c>
      <c r="FF110" s="96">
        <f t="shared" si="697"/>
        <v>0</v>
      </c>
      <c r="FG110" s="96">
        <f t="shared" si="697"/>
        <v>0</v>
      </c>
      <c r="FH110" s="96">
        <f t="shared" si="697"/>
        <v>0</v>
      </c>
      <c r="FI110" s="96">
        <f t="shared" si="697"/>
        <v>0</v>
      </c>
      <c r="FJ110" s="96">
        <f>SUM(FJ111:FJ114)</f>
        <v>0</v>
      </c>
      <c r="FK110" s="124" t="s">
        <v>98</v>
      </c>
      <c r="FL110" s="96">
        <f t="shared" ref="FL110:FT110" si="698">SUM(FL111:FL114)</f>
        <v>0</v>
      </c>
      <c r="FM110" s="96">
        <f t="shared" si="698"/>
        <v>0</v>
      </c>
      <c r="FN110" s="96">
        <f t="shared" si="698"/>
        <v>0</v>
      </c>
      <c r="FO110" s="96">
        <f t="shared" si="698"/>
        <v>0</v>
      </c>
      <c r="FP110" s="96">
        <f t="shared" si="698"/>
        <v>0</v>
      </c>
      <c r="FQ110" s="96">
        <f t="shared" si="698"/>
        <v>0</v>
      </c>
      <c r="FR110" s="96">
        <f t="shared" si="698"/>
        <v>0</v>
      </c>
      <c r="FS110" s="96">
        <f t="shared" si="698"/>
        <v>0</v>
      </c>
      <c r="FT110" s="96">
        <f t="shared" si="698"/>
        <v>0</v>
      </c>
      <c r="FU110" s="96">
        <f>SUM(FU111:FU114)</f>
        <v>0</v>
      </c>
      <c r="FV110" s="124" t="s">
        <v>98</v>
      </c>
      <c r="FW110" s="96">
        <f>SUM(FW111:FW114)</f>
        <v>0</v>
      </c>
      <c r="FX110" s="96">
        <f t="shared" ref="FX110:GE110" si="699">SUM(FX111:FX114)</f>
        <v>0</v>
      </c>
      <c r="FY110" s="96">
        <f t="shared" si="699"/>
        <v>0</v>
      </c>
      <c r="FZ110" s="96">
        <f t="shared" si="699"/>
        <v>0</v>
      </c>
      <c r="GA110" s="96">
        <f t="shared" si="699"/>
        <v>0</v>
      </c>
      <c r="GB110" s="96">
        <f t="shared" si="699"/>
        <v>0</v>
      </c>
      <c r="GC110" s="96">
        <f t="shared" si="699"/>
        <v>0</v>
      </c>
      <c r="GD110" s="96">
        <f t="shared" si="699"/>
        <v>0</v>
      </c>
      <c r="GE110" s="96">
        <f t="shared" si="699"/>
        <v>0</v>
      </c>
      <c r="GF110" s="96">
        <f>SUM(GF111:GF114)</f>
        <v>0</v>
      </c>
      <c r="GG110" s="124" t="s">
        <v>98</v>
      </c>
      <c r="GH110" s="96">
        <f t="shared" ref="GH110:GP110" si="700">SUM(GH111:GH114)</f>
        <v>0</v>
      </c>
      <c r="GI110" s="96">
        <f t="shared" si="700"/>
        <v>0</v>
      </c>
      <c r="GJ110" s="96">
        <f t="shared" si="700"/>
        <v>0</v>
      </c>
      <c r="GK110" s="96">
        <f t="shared" si="700"/>
        <v>0</v>
      </c>
      <c r="GL110" s="96">
        <f t="shared" si="700"/>
        <v>0</v>
      </c>
      <c r="GM110" s="96">
        <f t="shared" si="700"/>
        <v>0</v>
      </c>
      <c r="GN110" s="96">
        <f t="shared" si="700"/>
        <v>0</v>
      </c>
      <c r="GO110" s="96">
        <f t="shared" si="700"/>
        <v>0</v>
      </c>
      <c r="GP110" s="96">
        <f t="shared" si="700"/>
        <v>0</v>
      </c>
      <c r="GQ110" s="96">
        <f t="shared" ref="GQ110:HV110" si="701">SUM(GQ111:GQ114)</f>
        <v>0</v>
      </c>
      <c r="GR110" s="96">
        <f t="shared" si="701"/>
        <v>0</v>
      </c>
      <c r="GS110" s="96">
        <f t="shared" si="701"/>
        <v>0</v>
      </c>
      <c r="GT110" s="96">
        <f t="shared" si="701"/>
        <v>0</v>
      </c>
      <c r="GU110" s="96">
        <f t="shared" si="701"/>
        <v>0</v>
      </c>
      <c r="GV110" s="96">
        <f t="shared" si="701"/>
        <v>0</v>
      </c>
      <c r="GW110" s="96">
        <f t="shared" si="701"/>
        <v>0</v>
      </c>
      <c r="GX110" s="96">
        <f t="shared" si="701"/>
        <v>0</v>
      </c>
      <c r="GY110" s="96">
        <f t="shared" si="701"/>
        <v>0</v>
      </c>
      <c r="GZ110" s="96">
        <f t="shared" si="701"/>
        <v>0</v>
      </c>
      <c r="HA110" s="96">
        <f t="shared" si="701"/>
        <v>0</v>
      </c>
      <c r="HB110" s="96">
        <f t="shared" si="701"/>
        <v>0</v>
      </c>
      <c r="HC110" s="96">
        <f t="shared" si="701"/>
        <v>0</v>
      </c>
      <c r="HD110" s="96">
        <f t="shared" si="701"/>
        <v>0</v>
      </c>
      <c r="HE110" s="96">
        <f t="shared" si="701"/>
        <v>0</v>
      </c>
      <c r="HF110" s="96">
        <f t="shared" si="701"/>
        <v>0</v>
      </c>
      <c r="HG110" s="96">
        <f t="shared" si="701"/>
        <v>0</v>
      </c>
      <c r="HH110" s="96">
        <f t="shared" si="701"/>
        <v>0</v>
      </c>
      <c r="HI110" s="96">
        <f t="shared" si="701"/>
        <v>0</v>
      </c>
      <c r="HJ110" s="96">
        <f t="shared" si="701"/>
        <v>0</v>
      </c>
      <c r="HK110" s="96">
        <f t="shared" si="701"/>
        <v>0</v>
      </c>
      <c r="HL110" s="96">
        <f t="shared" si="701"/>
        <v>0</v>
      </c>
      <c r="HM110" s="96">
        <f t="shared" si="701"/>
        <v>0</v>
      </c>
      <c r="HN110" s="96">
        <f t="shared" si="701"/>
        <v>0</v>
      </c>
      <c r="HO110" s="96">
        <f t="shared" si="701"/>
        <v>0</v>
      </c>
      <c r="HP110" s="96">
        <f t="shared" si="701"/>
        <v>0</v>
      </c>
      <c r="HQ110" s="96">
        <f t="shared" si="701"/>
        <v>0</v>
      </c>
      <c r="HR110" s="96">
        <f t="shared" si="701"/>
        <v>0</v>
      </c>
      <c r="HS110" s="96">
        <f t="shared" si="701"/>
        <v>0</v>
      </c>
      <c r="HT110" s="96">
        <f t="shared" si="701"/>
        <v>0</v>
      </c>
      <c r="HU110" s="96">
        <f t="shared" si="701"/>
        <v>0</v>
      </c>
      <c r="HV110" s="96">
        <f t="shared" si="701"/>
        <v>0</v>
      </c>
      <c r="HW110" s="96">
        <f t="shared" ref="HW110:IV110" si="702">SUM(HW111:HW114)</f>
        <v>0</v>
      </c>
      <c r="HX110" s="96">
        <f t="shared" si="702"/>
        <v>0</v>
      </c>
      <c r="HY110" s="96">
        <f t="shared" si="702"/>
        <v>0</v>
      </c>
      <c r="HZ110" s="96">
        <f t="shared" si="702"/>
        <v>0</v>
      </c>
      <c r="IA110" s="96">
        <f t="shared" si="702"/>
        <v>0</v>
      </c>
      <c r="IB110" s="96">
        <f t="shared" si="702"/>
        <v>0</v>
      </c>
      <c r="IC110" s="96">
        <f t="shared" si="702"/>
        <v>0</v>
      </c>
      <c r="ID110" s="96">
        <f t="shared" si="702"/>
        <v>0</v>
      </c>
      <c r="IE110" s="96">
        <f t="shared" si="702"/>
        <v>0</v>
      </c>
      <c r="IF110" s="96">
        <f t="shared" si="702"/>
        <v>0</v>
      </c>
      <c r="IG110" s="96">
        <f t="shared" si="702"/>
        <v>0</v>
      </c>
      <c r="IH110" s="96">
        <f t="shared" si="702"/>
        <v>0</v>
      </c>
      <c r="II110" s="96">
        <f t="shared" si="702"/>
        <v>0</v>
      </c>
      <c r="IJ110" s="96">
        <f t="shared" si="702"/>
        <v>0</v>
      </c>
      <c r="IK110" s="96">
        <f t="shared" si="702"/>
        <v>0</v>
      </c>
      <c r="IL110" s="96">
        <f t="shared" si="702"/>
        <v>0</v>
      </c>
      <c r="IM110" s="96">
        <f t="shared" si="702"/>
        <v>0</v>
      </c>
      <c r="IN110" s="96">
        <f t="shared" si="702"/>
        <v>0</v>
      </c>
      <c r="IO110" s="96">
        <f t="shared" si="702"/>
        <v>0</v>
      </c>
      <c r="IP110" s="96">
        <f t="shared" si="702"/>
        <v>0</v>
      </c>
      <c r="IQ110" s="96">
        <f t="shared" si="702"/>
        <v>0</v>
      </c>
      <c r="IR110" s="96">
        <f t="shared" si="702"/>
        <v>0</v>
      </c>
      <c r="IS110" s="96">
        <f t="shared" si="702"/>
        <v>0</v>
      </c>
      <c r="IT110" s="96">
        <f t="shared" si="702"/>
        <v>0</v>
      </c>
      <c r="IU110" s="96">
        <f t="shared" si="702"/>
        <v>0</v>
      </c>
      <c r="IV110" s="96">
        <f t="shared" si="702"/>
        <v>0</v>
      </c>
    </row>
    <row r="111" spans="1:256" s="92" customFormat="1" ht="12.75" customHeight="1" x14ac:dyDescent="0.25">
      <c r="A111" s="117" t="s">
        <v>98</v>
      </c>
      <c r="B111" s="62">
        <v>12</v>
      </c>
      <c r="C111" s="63"/>
      <c r="D111" s="63"/>
      <c r="E111" s="63"/>
      <c r="F111" s="63"/>
      <c r="G111" s="63"/>
      <c r="H111" s="63"/>
      <c r="I111" s="63"/>
      <c r="J111" s="63"/>
      <c r="K111" s="63"/>
      <c r="L111" s="64">
        <f>SUM(C111:F111,H111:K111)</f>
        <v>0</v>
      </c>
      <c r="M111" s="128"/>
      <c r="N111" s="63"/>
      <c r="O111" s="63"/>
      <c r="P111" s="63"/>
      <c r="Q111" s="63"/>
      <c r="R111" s="63"/>
      <c r="S111" s="63"/>
      <c r="T111" s="63"/>
      <c r="U111" s="63"/>
      <c r="V111" s="63"/>
      <c r="W111" s="64">
        <f>SUM(N111:Q111,S111:V111)</f>
        <v>0</v>
      </c>
      <c r="X111" s="128"/>
      <c r="Y111" s="63"/>
      <c r="Z111" s="63"/>
      <c r="AA111" s="63"/>
      <c r="AB111" s="63"/>
      <c r="AC111" s="63"/>
      <c r="AD111" s="63"/>
      <c r="AE111" s="63"/>
      <c r="AF111" s="63"/>
      <c r="AG111" s="63"/>
      <c r="AH111" s="64">
        <f>SUM(Y111:AB111,AD111:AG111)</f>
        <v>0</v>
      </c>
      <c r="AI111" s="128"/>
      <c r="AJ111" s="63"/>
      <c r="AK111" s="63"/>
      <c r="AL111" s="63"/>
      <c r="AM111" s="63"/>
      <c r="AN111" s="63"/>
      <c r="AO111" s="63"/>
      <c r="AP111" s="63"/>
      <c r="AQ111" s="63"/>
      <c r="AR111" s="63"/>
      <c r="AS111" s="64">
        <f>SUM(AJ111:AM111,AO111:AR111)</f>
        <v>0</v>
      </c>
      <c r="AT111" s="65">
        <f t="shared" ref="AT111:BC114" si="703">SUM(M111,AI111,X111)</f>
        <v>0</v>
      </c>
      <c r="AU111" s="65">
        <f t="shared" si="703"/>
        <v>0</v>
      </c>
      <c r="AV111" s="65">
        <f t="shared" si="703"/>
        <v>0</v>
      </c>
      <c r="AW111" s="65">
        <f t="shared" si="703"/>
        <v>0</v>
      </c>
      <c r="AX111" s="65">
        <f t="shared" si="703"/>
        <v>0</v>
      </c>
      <c r="AY111" s="65">
        <f t="shared" si="703"/>
        <v>0</v>
      </c>
      <c r="AZ111" s="65">
        <f t="shared" si="703"/>
        <v>0</v>
      </c>
      <c r="BA111" s="65">
        <f t="shared" si="703"/>
        <v>0</v>
      </c>
      <c r="BB111" s="65">
        <f t="shared" si="703"/>
        <v>0</v>
      </c>
      <c r="BC111" s="65">
        <f t="shared" si="703"/>
        <v>0</v>
      </c>
      <c r="BD111" s="64">
        <f>SUM(AU111:AX111,AZ111:BC111)</f>
        <v>0</v>
      </c>
      <c r="BE111" s="128"/>
      <c r="BF111" s="63"/>
      <c r="BG111" s="63"/>
      <c r="BH111" s="63"/>
      <c r="BI111" s="63"/>
      <c r="BJ111" s="63"/>
      <c r="BK111" s="63"/>
      <c r="BL111" s="63"/>
      <c r="BM111" s="63"/>
      <c r="BN111" s="63"/>
      <c r="BO111" s="64">
        <f>SUM(BF111:BI111,BK111:BN111)</f>
        <v>0</v>
      </c>
      <c r="BP111" s="128"/>
      <c r="BQ111" s="63"/>
      <c r="BR111" s="63"/>
      <c r="BS111" s="63"/>
      <c r="BT111" s="63"/>
      <c r="BU111" s="63"/>
      <c r="BV111" s="63"/>
      <c r="BW111" s="63"/>
      <c r="BX111" s="63"/>
      <c r="BY111" s="63"/>
      <c r="BZ111" s="64">
        <f>SUM(BQ111:BT111,BV111:BY111)</f>
        <v>0</v>
      </c>
      <c r="CA111" s="128"/>
      <c r="CB111" s="63"/>
      <c r="CC111" s="63"/>
      <c r="CD111" s="63"/>
      <c r="CE111" s="63"/>
      <c r="CF111" s="63"/>
      <c r="CG111" s="63"/>
      <c r="CH111" s="63"/>
      <c r="CI111" s="63"/>
      <c r="CJ111" s="63"/>
      <c r="CK111" s="64">
        <f>SUM(CB111:CE111,CG111:CJ111)</f>
        <v>0</v>
      </c>
      <c r="CL111" s="65">
        <f t="shared" ref="CL111:CU114" si="704">SUM(BE111,CA111,BP111)</f>
        <v>0</v>
      </c>
      <c r="CM111" s="65">
        <f t="shared" si="704"/>
        <v>0</v>
      </c>
      <c r="CN111" s="65">
        <f t="shared" si="704"/>
        <v>0</v>
      </c>
      <c r="CO111" s="65">
        <f t="shared" si="704"/>
        <v>0</v>
      </c>
      <c r="CP111" s="65">
        <f t="shared" si="704"/>
        <v>0</v>
      </c>
      <c r="CQ111" s="65">
        <f t="shared" si="704"/>
        <v>0</v>
      </c>
      <c r="CR111" s="65">
        <f t="shared" si="704"/>
        <v>0</v>
      </c>
      <c r="CS111" s="65">
        <f t="shared" si="704"/>
        <v>0</v>
      </c>
      <c r="CT111" s="65">
        <f t="shared" si="704"/>
        <v>0</v>
      </c>
      <c r="CU111" s="65">
        <f t="shared" si="704"/>
        <v>0</v>
      </c>
      <c r="CV111" s="64">
        <f>SUM(CM111:CP111,CR111:CU111)</f>
        <v>0</v>
      </c>
      <c r="CW111" s="128"/>
      <c r="CX111" s="63"/>
      <c r="CY111" s="63"/>
      <c r="CZ111" s="63"/>
      <c r="DA111" s="63"/>
      <c r="DB111" s="63"/>
      <c r="DC111" s="63"/>
      <c r="DD111" s="63"/>
      <c r="DE111" s="63"/>
      <c r="DF111" s="63"/>
      <c r="DG111" s="64">
        <f>SUM(CX111:DA111,DC111:DF111)</f>
        <v>0</v>
      </c>
      <c r="DH111" s="128"/>
      <c r="DI111" s="63"/>
      <c r="DJ111" s="63"/>
      <c r="DK111" s="63"/>
      <c r="DL111" s="63"/>
      <c r="DM111" s="63"/>
      <c r="DN111" s="63"/>
      <c r="DO111" s="63"/>
      <c r="DP111" s="63"/>
      <c r="DQ111" s="63"/>
      <c r="DR111" s="64">
        <f>SUM(DI111:DL111,DN111:DQ111)</f>
        <v>0</v>
      </c>
      <c r="DS111" s="128"/>
      <c r="DT111" s="63"/>
      <c r="DU111" s="63"/>
      <c r="DV111" s="63"/>
      <c r="DW111" s="63"/>
      <c r="DX111" s="63"/>
      <c r="DY111" s="63"/>
      <c r="DZ111" s="63"/>
      <c r="EA111" s="63"/>
      <c r="EB111" s="63"/>
      <c r="EC111" s="63"/>
      <c r="ED111" s="65">
        <f t="shared" ref="ED111:EM114" si="705">SUM(CW111,DS111,DH111)</f>
        <v>0</v>
      </c>
      <c r="EE111" s="65">
        <f t="shared" si="705"/>
        <v>0</v>
      </c>
      <c r="EF111" s="65">
        <f t="shared" si="705"/>
        <v>0</v>
      </c>
      <c r="EG111" s="65">
        <f t="shared" si="705"/>
        <v>0</v>
      </c>
      <c r="EH111" s="65">
        <f t="shared" si="705"/>
        <v>0</v>
      </c>
      <c r="EI111" s="65">
        <f t="shared" si="705"/>
        <v>0</v>
      </c>
      <c r="EJ111" s="65">
        <f t="shared" si="705"/>
        <v>0</v>
      </c>
      <c r="EK111" s="65">
        <f t="shared" si="705"/>
        <v>0</v>
      </c>
      <c r="EL111" s="65">
        <f t="shared" si="705"/>
        <v>0</v>
      </c>
      <c r="EM111" s="65">
        <f t="shared" si="705"/>
        <v>0</v>
      </c>
      <c r="EN111" s="64">
        <f>SUM(EE111:EH111,EJ111:EM111)</f>
        <v>0</v>
      </c>
      <c r="EO111" s="128"/>
      <c r="EP111" s="63"/>
      <c r="EQ111" s="63"/>
      <c r="ER111" s="63"/>
      <c r="ES111" s="63"/>
      <c r="ET111" s="63"/>
      <c r="EU111" s="63"/>
      <c r="EV111" s="63"/>
      <c r="EW111" s="63"/>
      <c r="EX111" s="63"/>
      <c r="EY111" s="64">
        <f>SUM(EP111:ES111,EU111:EX111)</f>
        <v>0</v>
      </c>
      <c r="EZ111" s="128"/>
      <c r="FA111" s="63"/>
      <c r="FB111" s="63"/>
      <c r="FC111" s="63"/>
      <c r="FD111" s="63"/>
      <c r="FE111" s="63"/>
      <c r="FF111" s="63"/>
      <c r="FG111" s="63"/>
      <c r="FH111" s="63"/>
      <c r="FI111" s="63"/>
      <c r="FJ111" s="64">
        <f>SUM(FA111:FD111,FF111:FI111)</f>
        <v>0</v>
      </c>
      <c r="FK111" s="128"/>
      <c r="FL111" s="63"/>
      <c r="FM111" s="63"/>
      <c r="FN111" s="63"/>
      <c r="FO111" s="63"/>
      <c r="FP111" s="63"/>
      <c r="FQ111" s="63"/>
      <c r="FR111" s="63"/>
      <c r="FS111" s="63"/>
      <c r="FT111" s="63"/>
      <c r="FU111" s="64">
        <f>SUM(FL111:FO111,FQ111:FT111)</f>
        <v>0</v>
      </c>
      <c r="FV111" s="65">
        <f t="shared" ref="FV111:GE114" si="706">SUM(EO111,FK111,EZ111)</f>
        <v>0</v>
      </c>
      <c r="FW111" s="65">
        <f t="shared" si="706"/>
        <v>0</v>
      </c>
      <c r="FX111" s="65">
        <f t="shared" si="706"/>
        <v>0</v>
      </c>
      <c r="FY111" s="65">
        <f t="shared" si="706"/>
        <v>0</v>
      </c>
      <c r="FZ111" s="65">
        <f t="shared" si="706"/>
        <v>0</v>
      </c>
      <c r="GA111" s="65">
        <f t="shared" si="706"/>
        <v>0</v>
      </c>
      <c r="GB111" s="65">
        <f t="shared" si="706"/>
        <v>0</v>
      </c>
      <c r="GC111" s="65">
        <f t="shared" si="706"/>
        <v>0</v>
      </c>
      <c r="GD111" s="65">
        <f t="shared" si="706"/>
        <v>0</v>
      </c>
      <c r="GE111" s="65">
        <f t="shared" si="706"/>
        <v>0</v>
      </c>
      <c r="GF111" s="64">
        <f>SUM(FW111:FZ111,GB111:GE111)</f>
        <v>0</v>
      </c>
      <c r="GG111" s="131">
        <f t="shared" ref="GG111:GP114" si="707">SUM(AT111,CL111,ED111,FV111)</f>
        <v>0</v>
      </c>
      <c r="GH111" s="66">
        <f t="shared" si="707"/>
        <v>0</v>
      </c>
      <c r="GI111" s="66">
        <f t="shared" si="707"/>
        <v>0</v>
      </c>
      <c r="GJ111" s="66">
        <f t="shared" si="707"/>
        <v>0</v>
      </c>
      <c r="GK111" s="66">
        <f t="shared" si="707"/>
        <v>0</v>
      </c>
      <c r="GL111" s="66">
        <f t="shared" si="707"/>
        <v>0</v>
      </c>
      <c r="GM111" s="66">
        <f t="shared" si="707"/>
        <v>0</v>
      </c>
      <c r="GN111" s="66">
        <f t="shared" si="707"/>
        <v>0</v>
      </c>
      <c r="GO111" s="66">
        <f t="shared" si="707"/>
        <v>0</v>
      </c>
      <c r="GP111" s="66">
        <f t="shared" si="707"/>
        <v>0</v>
      </c>
      <c r="GQ111" s="64">
        <f>SUM(GH111:GK111,GM111:GP111)</f>
        <v>0</v>
      </c>
      <c r="GR111" s="63"/>
      <c r="GS111" s="63"/>
      <c r="GT111" s="63"/>
      <c r="GU111" s="63"/>
      <c r="GV111" s="67">
        <f>SUM(GR111:GU111)</f>
        <v>0</v>
      </c>
      <c r="GW111" s="63"/>
      <c r="GX111" s="63"/>
      <c r="GY111" s="63"/>
      <c r="GZ111" s="63"/>
      <c r="HA111" s="67">
        <f>SUM(GW111:GZ111)</f>
        <v>0</v>
      </c>
      <c r="HB111" s="63"/>
      <c r="HC111" s="63"/>
      <c r="HD111" s="63"/>
      <c r="HE111" s="63"/>
      <c r="HF111" s="67">
        <f>SUM(HB111:HE111)</f>
        <v>0</v>
      </c>
      <c r="HG111" s="63"/>
      <c r="HH111" s="63"/>
      <c r="HI111" s="63"/>
      <c r="HJ111" s="63"/>
      <c r="HK111" s="67">
        <f>SUM(HG111:HJ111)</f>
        <v>0</v>
      </c>
      <c r="HL111" s="68">
        <f t="shared" ref="HL111:HO114" si="708">SUM(GW111,HB111,HG111)</f>
        <v>0</v>
      </c>
      <c r="HM111" s="68">
        <f t="shared" si="708"/>
        <v>0</v>
      </c>
      <c r="HN111" s="68">
        <f t="shared" si="708"/>
        <v>0</v>
      </c>
      <c r="HO111" s="68">
        <f t="shared" si="708"/>
        <v>0</v>
      </c>
      <c r="HP111" s="67">
        <f>SUM(HL111:HO111)</f>
        <v>0</v>
      </c>
      <c r="HQ111" s="63"/>
      <c r="HR111" s="63"/>
      <c r="HS111" s="63"/>
      <c r="HT111" s="63"/>
      <c r="HU111" s="67">
        <f>SUM(HQ111:HT111)</f>
        <v>0</v>
      </c>
      <c r="HV111" s="63"/>
      <c r="HW111" s="63"/>
      <c r="HX111" s="63"/>
      <c r="HY111" s="63"/>
      <c r="HZ111" s="67">
        <f>SUM(HV111:HY111)</f>
        <v>0</v>
      </c>
      <c r="IA111" s="63"/>
      <c r="IB111" s="63"/>
      <c r="IC111" s="63"/>
      <c r="ID111" s="63"/>
      <c r="IE111" s="67">
        <f>SUM(IA111:ID111)</f>
        <v>0</v>
      </c>
      <c r="IF111" s="68">
        <f t="shared" ref="IF111:II114" si="709">SUM(HQ111,HV111,IA111)</f>
        <v>0</v>
      </c>
      <c r="IG111" s="68">
        <f t="shared" si="709"/>
        <v>0</v>
      </c>
      <c r="IH111" s="68">
        <f t="shared" si="709"/>
        <v>0</v>
      </c>
      <c r="II111" s="68">
        <f t="shared" si="709"/>
        <v>0</v>
      </c>
      <c r="IJ111" s="67">
        <f>SUM(IF111:II111)</f>
        <v>0</v>
      </c>
      <c r="IK111" s="63"/>
      <c r="IL111" s="63"/>
      <c r="IM111" s="63"/>
      <c r="IN111" s="63"/>
      <c r="IO111" s="67">
        <f>SUM(IK111:IN111)</f>
        <v>0</v>
      </c>
      <c r="IP111" s="63"/>
      <c r="IQ111" s="63"/>
      <c r="IR111" s="63"/>
      <c r="IS111" s="63"/>
      <c r="IT111" s="67">
        <f>SUM(IP111:IS111)</f>
        <v>0</v>
      </c>
      <c r="IU111" s="63"/>
      <c r="IV111" s="63"/>
    </row>
    <row r="112" spans="1:256" s="92" customFormat="1" ht="12.75" customHeight="1" x14ac:dyDescent="0.25">
      <c r="A112" s="117" t="s">
        <v>104</v>
      </c>
      <c r="B112" s="62">
        <v>6</v>
      </c>
      <c r="C112" s="63"/>
      <c r="D112" s="63"/>
      <c r="E112" s="63"/>
      <c r="F112" s="63"/>
      <c r="G112" s="63"/>
      <c r="H112" s="63"/>
      <c r="I112" s="63"/>
      <c r="J112" s="63"/>
      <c r="K112" s="63"/>
      <c r="L112" s="64">
        <f>SUM(C112:F112,H112:K112)</f>
        <v>0</v>
      </c>
      <c r="M112" s="62"/>
      <c r="N112" s="63"/>
      <c r="O112" s="63"/>
      <c r="P112" s="63"/>
      <c r="Q112" s="63"/>
      <c r="R112" s="63"/>
      <c r="S112" s="63"/>
      <c r="T112" s="63"/>
      <c r="U112" s="63"/>
      <c r="V112" s="63"/>
      <c r="W112" s="64">
        <f>SUM(N112:Q112,S112:V112)</f>
        <v>0</v>
      </c>
      <c r="X112" s="62"/>
      <c r="Y112" s="63"/>
      <c r="Z112" s="63"/>
      <c r="AA112" s="63"/>
      <c r="AB112" s="63"/>
      <c r="AC112" s="63"/>
      <c r="AD112" s="63"/>
      <c r="AE112" s="63"/>
      <c r="AF112" s="63"/>
      <c r="AG112" s="63"/>
      <c r="AH112" s="64">
        <f>SUM(Y112:AB112,AD112:AG112)</f>
        <v>0</v>
      </c>
      <c r="AI112" s="62"/>
      <c r="AJ112" s="63"/>
      <c r="AK112" s="63"/>
      <c r="AL112" s="63"/>
      <c r="AM112" s="63"/>
      <c r="AN112" s="63"/>
      <c r="AO112" s="63"/>
      <c r="AP112" s="63"/>
      <c r="AQ112" s="63"/>
      <c r="AR112" s="63"/>
      <c r="AS112" s="64">
        <f>SUM(AJ112:AM112,AO112:AR112)</f>
        <v>0</v>
      </c>
      <c r="AT112" s="65">
        <f t="shared" si="703"/>
        <v>0</v>
      </c>
      <c r="AU112" s="65">
        <f t="shared" si="703"/>
        <v>0</v>
      </c>
      <c r="AV112" s="65">
        <f t="shared" si="703"/>
        <v>0</v>
      </c>
      <c r="AW112" s="65">
        <f t="shared" si="703"/>
        <v>0</v>
      </c>
      <c r="AX112" s="65">
        <f t="shared" si="703"/>
        <v>0</v>
      </c>
      <c r="AY112" s="65">
        <f t="shared" si="703"/>
        <v>0</v>
      </c>
      <c r="AZ112" s="65">
        <f t="shared" si="703"/>
        <v>0</v>
      </c>
      <c r="BA112" s="65">
        <f t="shared" si="703"/>
        <v>0</v>
      </c>
      <c r="BB112" s="65">
        <f t="shared" si="703"/>
        <v>0</v>
      </c>
      <c r="BC112" s="65">
        <f t="shared" si="703"/>
        <v>0</v>
      </c>
      <c r="BD112" s="64">
        <f>SUM(AU112:AX112,AZ112:BC112)</f>
        <v>0</v>
      </c>
      <c r="BE112" s="62"/>
      <c r="BF112" s="63"/>
      <c r="BG112" s="63"/>
      <c r="BH112" s="63"/>
      <c r="BI112" s="63"/>
      <c r="BJ112" s="63"/>
      <c r="BK112" s="63"/>
      <c r="BL112" s="63"/>
      <c r="BM112" s="63"/>
      <c r="BN112" s="63"/>
      <c r="BO112" s="64">
        <f>SUM(BF112:BI112,BK112:BN112)</f>
        <v>0</v>
      </c>
      <c r="BP112" s="62"/>
      <c r="BQ112" s="63"/>
      <c r="BR112" s="63"/>
      <c r="BS112" s="63"/>
      <c r="BT112" s="63"/>
      <c r="BU112" s="63"/>
      <c r="BV112" s="63"/>
      <c r="BW112" s="63"/>
      <c r="BX112" s="63"/>
      <c r="BY112" s="63"/>
      <c r="BZ112" s="64">
        <f>SUM(BQ112:BT112,BV112:BY112)</f>
        <v>0</v>
      </c>
      <c r="CA112" s="62"/>
      <c r="CB112" s="63"/>
      <c r="CC112" s="63"/>
      <c r="CD112" s="63"/>
      <c r="CE112" s="63"/>
      <c r="CF112" s="63"/>
      <c r="CG112" s="63"/>
      <c r="CH112" s="63"/>
      <c r="CI112" s="63"/>
      <c r="CJ112" s="63"/>
      <c r="CK112" s="64">
        <f>SUM(CB112:CE112,CG112:CJ112)</f>
        <v>0</v>
      </c>
      <c r="CL112" s="65">
        <f t="shared" si="704"/>
        <v>0</v>
      </c>
      <c r="CM112" s="65">
        <f t="shared" si="704"/>
        <v>0</v>
      </c>
      <c r="CN112" s="65">
        <f t="shared" si="704"/>
        <v>0</v>
      </c>
      <c r="CO112" s="65">
        <f t="shared" si="704"/>
        <v>0</v>
      </c>
      <c r="CP112" s="65">
        <f t="shared" si="704"/>
        <v>0</v>
      </c>
      <c r="CQ112" s="65">
        <f t="shared" si="704"/>
        <v>0</v>
      </c>
      <c r="CR112" s="65">
        <f t="shared" si="704"/>
        <v>0</v>
      </c>
      <c r="CS112" s="65">
        <f t="shared" si="704"/>
        <v>0</v>
      </c>
      <c r="CT112" s="65">
        <f t="shared" si="704"/>
        <v>0</v>
      </c>
      <c r="CU112" s="65">
        <f t="shared" si="704"/>
        <v>0</v>
      </c>
      <c r="CV112" s="64">
        <f>SUM(CM112:CP112,CR112:CU112)</f>
        <v>0</v>
      </c>
      <c r="CW112" s="62"/>
      <c r="CX112" s="63"/>
      <c r="CY112" s="63"/>
      <c r="CZ112" s="63"/>
      <c r="DA112" s="63"/>
      <c r="DB112" s="63"/>
      <c r="DC112" s="63"/>
      <c r="DD112" s="63"/>
      <c r="DE112" s="63"/>
      <c r="DF112" s="63"/>
      <c r="DG112" s="64">
        <f>SUM(CX112:DA112,DC112:DF112)</f>
        <v>0</v>
      </c>
      <c r="DH112" s="62"/>
      <c r="DI112" s="63"/>
      <c r="DJ112" s="63"/>
      <c r="DK112" s="63"/>
      <c r="DL112" s="63"/>
      <c r="DM112" s="63"/>
      <c r="DN112" s="63"/>
      <c r="DO112" s="63"/>
      <c r="DP112" s="63"/>
      <c r="DQ112" s="63"/>
      <c r="DR112" s="64">
        <f>SUM(DI112:DL112,DN112:DQ112)</f>
        <v>0</v>
      </c>
      <c r="DS112" s="62"/>
      <c r="DT112" s="63"/>
      <c r="DU112" s="63"/>
      <c r="DV112" s="63"/>
      <c r="DW112" s="63"/>
      <c r="DX112" s="63"/>
      <c r="DY112" s="63"/>
      <c r="DZ112" s="63"/>
      <c r="EA112" s="63"/>
      <c r="EB112" s="63"/>
      <c r="EC112" s="63"/>
      <c r="ED112" s="65">
        <f t="shared" si="705"/>
        <v>0</v>
      </c>
      <c r="EE112" s="65">
        <f t="shared" si="705"/>
        <v>0</v>
      </c>
      <c r="EF112" s="65">
        <f t="shared" si="705"/>
        <v>0</v>
      </c>
      <c r="EG112" s="65">
        <f t="shared" si="705"/>
        <v>0</v>
      </c>
      <c r="EH112" s="65">
        <f t="shared" si="705"/>
        <v>0</v>
      </c>
      <c r="EI112" s="65">
        <f t="shared" si="705"/>
        <v>0</v>
      </c>
      <c r="EJ112" s="65">
        <f t="shared" si="705"/>
        <v>0</v>
      </c>
      <c r="EK112" s="65">
        <f t="shared" si="705"/>
        <v>0</v>
      </c>
      <c r="EL112" s="65">
        <f t="shared" si="705"/>
        <v>0</v>
      </c>
      <c r="EM112" s="65">
        <f t="shared" si="705"/>
        <v>0</v>
      </c>
      <c r="EN112" s="64">
        <f>SUM(EE112:EH112,EJ112:EM112)</f>
        <v>0</v>
      </c>
      <c r="EO112" s="62"/>
      <c r="EP112" s="63"/>
      <c r="EQ112" s="63"/>
      <c r="ER112" s="63"/>
      <c r="ES112" s="63"/>
      <c r="ET112" s="63"/>
      <c r="EU112" s="63"/>
      <c r="EV112" s="63"/>
      <c r="EW112" s="63"/>
      <c r="EX112" s="63"/>
      <c r="EY112" s="64">
        <f>SUM(EP112:ES112,EU112:EX112)</f>
        <v>0</v>
      </c>
      <c r="EZ112" s="62"/>
      <c r="FA112" s="63"/>
      <c r="FB112" s="63"/>
      <c r="FC112" s="63"/>
      <c r="FD112" s="63"/>
      <c r="FE112" s="63"/>
      <c r="FF112" s="63"/>
      <c r="FG112" s="63"/>
      <c r="FH112" s="63"/>
      <c r="FI112" s="63"/>
      <c r="FJ112" s="64">
        <f>SUM(FA112:FD112,FF112:FI112)</f>
        <v>0</v>
      </c>
      <c r="FK112" s="62"/>
      <c r="FL112" s="63"/>
      <c r="FM112" s="63"/>
      <c r="FN112" s="63"/>
      <c r="FO112" s="63"/>
      <c r="FP112" s="63"/>
      <c r="FQ112" s="63"/>
      <c r="FR112" s="63"/>
      <c r="FS112" s="63"/>
      <c r="FT112" s="63"/>
      <c r="FU112" s="64">
        <f>SUM(FL112:FO112,FQ112:FT112)</f>
        <v>0</v>
      </c>
      <c r="FV112" s="65">
        <f t="shared" si="706"/>
        <v>0</v>
      </c>
      <c r="FW112" s="65">
        <f t="shared" si="706"/>
        <v>0</v>
      </c>
      <c r="FX112" s="65">
        <f t="shared" si="706"/>
        <v>0</v>
      </c>
      <c r="FY112" s="65">
        <f t="shared" si="706"/>
        <v>0</v>
      </c>
      <c r="FZ112" s="65">
        <f t="shared" si="706"/>
        <v>0</v>
      </c>
      <c r="GA112" s="65">
        <f t="shared" si="706"/>
        <v>0</v>
      </c>
      <c r="GB112" s="65">
        <f t="shared" si="706"/>
        <v>0</v>
      </c>
      <c r="GC112" s="65">
        <f t="shared" si="706"/>
        <v>0</v>
      </c>
      <c r="GD112" s="65">
        <f t="shared" si="706"/>
        <v>0</v>
      </c>
      <c r="GE112" s="65">
        <f t="shared" si="706"/>
        <v>0</v>
      </c>
      <c r="GF112" s="64">
        <f>SUM(FW112:FZ112,GB112:GE112)</f>
        <v>0</v>
      </c>
      <c r="GG112" s="66">
        <f t="shared" si="707"/>
        <v>0</v>
      </c>
      <c r="GH112" s="66">
        <f t="shared" si="707"/>
        <v>0</v>
      </c>
      <c r="GI112" s="66">
        <f t="shared" si="707"/>
        <v>0</v>
      </c>
      <c r="GJ112" s="66">
        <f t="shared" si="707"/>
        <v>0</v>
      </c>
      <c r="GK112" s="66">
        <f t="shared" si="707"/>
        <v>0</v>
      </c>
      <c r="GL112" s="66">
        <f t="shared" si="707"/>
        <v>0</v>
      </c>
      <c r="GM112" s="66">
        <f t="shared" si="707"/>
        <v>0</v>
      </c>
      <c r="GN112" s="66">
        <f t="shared" si="707"/>
        <v>0</v>
      </c>
      <c r="GO112" s="66">
        <f t="shared" si="707"/>
        <v>0</v>
      </c>
      <c r="GP112" s="66">
        <f t="shared" si="707"/>
        <v>0</v>
      </c>
      <c r="GQ112" s="64">
        <f>SUM(GH112:GK112,GM112:GP112)</f>
        <v>0</v>
      </c>
      <c r="GR112" s="63"/>
      <c r="GS112" s="63"/>
      <c r="GT112" s="63"/>
      <c r="GU112" s="63"/>
      <c r="GV112" s="67">
        <f>SUM(GR112:GU112)</f>
        <v>0</v>
      </c>
      <c r="GW112" s="63"/>
      <c r="GX112" s="63"/>
      <c r="GY112" s="63"/>
      <c r="GZ112" s="63"/>
      <c r="HA112" s="67">
        <f>SUM(GW112:GZ112)</f>
        <v>0</v>
      </c>
      <c r="HB112" s="63"/>
      <c r="HC112" s="63"/>
      <c r="HD112" s="63"/>
      <c r="HE112" s="63"/>
      <c r="HF112" s="67">
        <f>SUM(HB112:HE112)</f>
        <v>0</v>
      </c>
      <c r="HG112" s="63"/>
      <c r="HH112" s="63"/>
      <c r="HI112" s="63"/>
      <c r="HJ112" s="63"/>
      <c r="HK112" s="67">
        <f>SUM(HG112:HJ112)</f>
        <v>0</v>
      </c>
      <c r="HL112" s="68">
        <f t="shared" si="708"/>
        <v>0</v>
      </c>
      <c r="HM112" s="68">
        <f t="shared" si="708"/>
        <v>0</v>
      </c>
      <c r="HN112" s="68">
        <f t="shared" si="708"/>
        <v>0</v>
      </c>
      <c r="HO112" s="68">
        <f t="shared" si="708"/>
        <v>0</v>
      </c>
      <c r="HP112" s="67">
        <f>SUM(HL112:HO112)</f>
        <v>0</v>
      </c>
      <c r="HQ112" s="63"/>
      <c r="HR112" s="63"/>
      <c r="HS112" s="63"/>
      <c r="HT112" s="63"/>
      <c r="HU112" s="67">
        <f>SUM(HQ112:HT112)</f>
        <v>0</v>
      </c>
      <c r="HV112" s="63"/>
      <c r="HW112" s="63"/>
      <c r="HX112" s="63"/>
      <c r="HY112" s="63"/>
      <c r="HZ112" s="67">
        <f>SUM(HV112:HY112)</f>
        <v>0</v>
      </c>
      <c r="IA112" s="63"/>
      <c r="IB112" s="63"/>
      <c r="IC112" s="63"/>
      <c r="ID112" s="63"/>
      <c r="IE112" s="67">
        <f>SUM(IA112:ID112)</f>
        <v>0</v>
      </c>
      <c r="IF112" s="68">
        <f t="shared" si="709"/>
        <v>0</v>
      </c>
      <c r="IG112" s="68">
        <f t="shared" si="709"/>
        <v>0</v>
      </c>
      <c r="IH112" s="68">
        <f t="shared" si="709"/>
        <v>0</v>
      </c>
      <c r="II112" s="68">
        <f t="shared" si="709"/>
        <v>0</v>
      </c>
      <c r="IJ112" s="67">
        <f>SUM(IF112:II112)</f>
        <v>0</v>
      </c>
      <c r="IK112" s="63"/>
      <c r="IL112" s="63"/>
      <c r="IM112" s="63"/>
      <c r="IN112" s="63"/>
      <c r="IO112" s="67">
        <f>SUM(IK112:IN112)</f>
        <v>0</v>
      </c>
      <c r="IP112" s="63"/>
      <c r="IQ112" s="63"/>
      <c r="IR112" s="63"/>
      <c r="IS112" s="63"/>
      <c r="IT112" s="67">
        <f>SUM(IP112:IS112)</f>
        <v>0</v>
      </c>
      <c r="IU112" s="63"/>
      <c r="IV112" s="63"/>
    </row>
    <row r="113" spans="1:256" s="92" customFormat="1" ht="12.75" customHeight="1" x14ac:dyDescent="0.25">
      <c r="A113" s="117" t="s">
        <v>105</v>
      </c>
      <c r="B113" s="62">
        <v>0</v>
      </c>
      <c r="C113" s="63"/>
      <c r="D113" s="63"/>
      <c r="E113" s="63"/>
      <c r="F113" s="63"/>
      <c r="G113" s="63"/>
      <c r="H113" s="63"/>
      <c r="I113" s="63"/>
      <c r="J113" s="63"/>
      <c r="K113" s="63"/>
      <c r="L113" s="64">
        <f>SUM(C113:F113,H113:K113)</f>
        <v>0</v>
      </c>
      <c r="M113" s="62"/>
      <c r="N113" s="63"/>
      <c r="O113" s="63"/>
      <c r="P113" s="63"/>
      <c r="Q113" s="63"/>
      <c r="R113" s="63"/>
      <c r="S113" s="63"/>
      <c r="T113" s="63"/>
      <c r="U113" s="63"/>
      <c r="V113" s="63"/>
      <c r="W113" s="64">
        <f>SUM(N113:Q113,S113:V113)</f>
        <v>0</v>
      </c>
      <c r="X113" s="62"/>
      <c r="Y113" s="63"/>
      <c r="Z113" s="63"/>
      <c r="AA113" s="63"/>
      <c r="AB113" s="63"/>
      <c r="AC113" s="63"/>
      <c r="AD113" s="63"/>
      <c r="AE113" s="63"/>
      <c r="AF113" s="63"/>
      <c r="AG113" s="63"/>
      <c r="AH113" s="64">
        <f>SUM(Y113:AB113,AD113:AG113)</f>
        <v>0</v>
      </c>
      <c r="AI113" s="62"/>
      <c r="AJ113" s="63"/>
      <c r="AK113" s="63"/>
      <c r="AL113" s="63"/>
      <c r="AM113" s="63"/>
      <c r="AN113" s="63"/>
      <c r="AO113" s="63"/>
      <c r="AP113" s="63"/>
      <c r="AQ113" s="63"/>
      <c r="AR113" s="63"/>
      <c r="AS113" s="64">
        <f>SUM(AJ113:AM113,AO113:AR113)</f>
        <v>0</v>
      </c>
      <c r="AT113" s="65">
        <f t="shared" si="703"/>
        <v>0</v>
      </c>
      <c r="AU113" s="65">
        <f t="shared" si="703"/>
        <v>0</v>
      </c>
      <c r="AV113" s="65">
        <f t="shared" si="703"/>
        <v>0</v>
      </c>
      <c r="AW113" s="65">
        <f t="shared" si="703"/>
        <v>0</v>
      </c>
      <c r="AX113" s="65">
        <f t="shared" si="703"/>
        <v>0</v>
      </c>
      <c r="AY113" s="65">
        <f t="shared" si="703"/>
        <v>0</v>
      </c>
      <c r="AZ113" s="65">
        <f t="shared" si="703"/>
        <v>0</v>
      </c>
      <c r="BA113" s="65">
        <f t="shared" si="703"/>
        <v>0</v>
      </c>
      <c r="BB113" s="65">
        <f t="shared" si="703"/>
        <v>0</v>
      </c>
      <c r="BC113" s="65">
        <f t="shared" si="703"/>
        <v>0</v>
      </c>
      <c r="BD113" s="64">
        <f>SUM(AU113:AX113,AZ113:BC113)</f>
        <v>0</v>
      </c>
      <c r="BE113" s="62"/>
      <c r="BF113" s="63"/>
      <c r="BG113" s="63"/>
      <c r="BH113" s="63"/>
      <c r="BI113" s="63"/>
      <c r="BJ113" s="63"/>
      <c r="BK113" s="63"/>
      <c r="BL113" s="63"/>
      <c r="BM113" s="63"/>
      <c r="BN113" s="63"/>
      <c r="BO113" s="64">
        <f>SUM(BF113:BI113,BK113:BN113)</f>
        <v>0</v>
      </c>
      <c r="BP113" s="62"/>
      <c r="BQ113" s="63"/>
      <c r="BR113" s="63"/>
      <c r="BS113" s="63"/>
      <c r="BT113" s="63"/>
      <c r="BU113" s="63"/>
      <c r="BV113" s="63"/>
      <c r="BW113" s="63"/>
      <c r="BX113" s="63"/>
      <c r="BY113" s="63"/>
      <c r="BZ113" s="64">
        <f>SUM(BQ113:BT113,BV113:BY113)</f>
        <v>0</v>
      </c>
      <c r="CA113" s="62"/>
      <c r="CB113" s="63"/>
      <c r="CC113" s="63"/>
      <c r="CD113" s="63"/>
      <c r="CE113" s="63"/>
      <c r="CF113" s="63"/>
      <c r="CG113" s="63"/>
      <c r="CH113" s="63"/>
      <c r="CI113" s="63"/>
      <c r="CJ113" s="63"/>
      <c r="CK113" s="64">
        <f>SUM(CB113:CE113,CG113:CJ113)</f>
        <v>0</v>
      </c>
      <c r="CL113" s="65">
        <f t="shared" si="704"/>
        <v>0</v>
      </c>
      <c r="CM113" s="65">
        <f t="shared" si="704"/>
        <v>0</v>
      </c>
      <c r="CN113" s="65">
        <f t="shared" si="704"/>
        <v>0</v>
      </c>
      <c r="CO113" s="65">
        <f t="shared" si="704"/>
        <v>0</v>
      </c>
      <c r="CP113" s="65">
        <f t="shared" si="704"/>
        <v>0</v>
      </c>
      <c r="CQ113" s="65">
        <f t="shared" si="704"/>
        <v>0</v>
      </c>
      <c r="CR113" s="65">
        <f t="shared" si="704"/>
        <v>0</v>
      </c>
      <c r="CS113" s="65">
        <f t="shared" si="704"/>
        <v>0</v>
      </c>
      <c r="CT113" s="65">
        <f t="shared" si="704"/>
        <v>0</v>
      </c>
      <c r="CU113" s="65">
        <f t="shared" si="704"/>
        <v>0</v>
      </c>
      <c r="CV113" s="64">
        <f>SUM(CM113:CP113,CR113:CU113)</f>
        <v>0</v>
      </c>
      <c r="CW113" s="62"/>
      <c r="CX113" s="63"/>
      <c r="CY113" s="63"/>
      <c r="CZ113" s="63"/>
      <c r="DA113" s="63"/>
      <c r="DB113" s="63"/>
      <c r="DC113" s="63"/>
      <c r="DD113" s="63"/>
      <c r="DE113" s="63"/>
      <c r="DF113" s="63"/>
      <c r="DG113" s="64">
        <f>SUM(CX113:DA113,DC113:DF113)</f>
        <v>0</v>
      </c>
      <c r="DH113" s="62"/>
      <c r="DI113" s="63"/>
      <c r="DJ113" s="63"/>
      <c r="DK113" s="63"/>
      <c r="DL113" s="63"/>
      <c r="DM113" s="63"/>
      <c r="DN113" s="63"/>
      <c r="DO113" s="63"/>
      <c r="DP113" s="63"/>
      <c r="DQ113" s="63"/>
      <c r="DR113" s="64">
        <f>SUM(DI113:DL113,DN113:DQ113)</f>
        <v>0</v>
      </c>
      <c r="DS113" s="62"/>
      <c r="DT113" s="63"/>
      <c r="DU113" s="63"/>
      <c r="DV113" s="63"/>
      <c r="DW113" s="63"/>
      <c r="DX113" s="63"/>
      <c r="DY113" s="63"/>
      <c r="DZ113" s="63"/>
      <c r="EA113" s="63"/>
      <c r="EB113" s="63"/>
      <c r="EC113" s="63"/>
      <c r="ED113" s="65">
        <f t="shared" si="705"/>
        <v>0</v>
      </c>
      <c r="EE113" s="65">
        <f t="shared" si="705"/>
        <v>0</v>
      </c>
      <c r="EF113" s="65">
        <f t="shared" si="705"/>
        <v>0</v>
      </c>
      <c r="EG113" s="65">
        <f t="shared" si="705"/>
        <v>0</v>
      </c>
      <c r="EH113" s="65">
        <f t="shared" si="705"/>
        <v>0</v>
      </c>
      <c r="EI113" s="65">
        <f t="shared" si="705"/>
        <v>0</v>
      </c>
      <c r="EJ113" s="65">
        <f t="shared" si="705"/>
        <v>0</v>
      </c>
      <c r="EK113" s="65">
        <f t="shared" si="705"/>
        <v>0</v>
      </c>
      <c r="EL113" s="65">
        <f t="shared" si="705"/>
        <v>0</v>
      </c>
      <c r="EM113" s="65">
        <f t="shared" si="705"/>
        <v>0</v>
      </c>
      <c r="EN113" s="64">
        <f>SUM(EE113:EH113,EJ113:EM113)</f>
        <v>0</v>
      </c>
      <c r="EO113" s="62"/>
      <c r="EP113" s="63"/>
      <c r="EQ113" s="63"/>
      <c r="ER113" s="63"/>
      <c r="ES113" s="63"/>
      <c r="ET113" s="63"/>
      <c r="EU113" s="63"/>
      <c r="EV113" s="63"/>
      <c r="EW113" s="63"/>
      <c r="EX113" s="63"/>
      <c r="EY113" s="64">
        <f>SUM(EP113:ES113,EU113:EX113)</f>
        <v>0</v>
      </c>
      <c r="EZ113" s="62"/>
      <c r="FA113" s="63"/>
      <c r="FB113" s="63"/>
      <c r="FC113" s="63"/>
      <c r="FD113" s="63"/>
      <c r="FE113" s="63"/>
      <c r="FF113" s="63"/>
      <c r="FG113" s="63"/>
      <c r="FH113" s="63"/>
      <c r="FI113" s="63"/>
      <c r="FJ113" s="64">
        <f>SUM(FA113:FD113,FF113:FI113)</f>
        <v>0</v>
      </c>
      <c r="FK113" s="62"/>
      <c r="FL113" s="63"/>
      <c r="FM113" s="63"/>
      <c r="FN113" s="63"/>
      <c r="FO113" s="63"/>
      <c r="FP113" s="63"/>
      <c r="FQ113" s="63"/>
      <c r="FR113" s="63"/>
      <c r="FS113" s="63"/>
      <c r="FT113" s="63"/>
      <c r="FU113" s="64">
        <f>SUM(FL113:FO113,FQ113:FT113)</f>
        <v>0</v>
      </c>
      <c r="FV113" s="65">
        <f t="shared" si="706"/>
        <v>0</v>
      </c>
      <c r="FW113" s="65">
        <f t="shared" si="706"/>
        <v>0</v>
      </c>
      <c r="FX113" s="65">
        <f t="shared" si="706"/>
        <v>0</v>
      </c>
      <c r="FY113" s="65">
        <f t="shared" si="706"/>
        <v>0</v>
      </c>
      <c r="FZ113" s="65">
        <f t="shared" si="706"/>
        <v>0</v>
      </c>
      <c r="GA113" s="65">
        <f t="shared" si="706"/>
        <v>0</v>
      </c>
      <c r="GB113" s="65">
        <f t="shared" si="706"/>
        <v>0</v>
      </c>
      <c r="GC113" s="65">
        <f t="shared" si="706"/>
        <v>0</v>
      </c>
      <c r="GD113" s="65">
        <f t="shared" si="706"/>
        <v>0</v>
      </c>
      <c r="GE113" s="65">
        <f t="shared" si="706"/>
        <v>0</v>
      </c>
      <c r="GF113" s="64">
        <f>SUM(FW113:FZ113,GB113:GE113)</f>
        <v>0</v>
      </c>
      <c r="GG113" s="66">
        <f t="shared" si="707"/>
        <v>0</v>
      </c>
      <c r="GH113" s="66">
        <f t="shared" si="707"/>
        <v>0</v>
      </c>
      <c r="GI113" s="66">
        <f t="shared" si="707"/>
        <v>0</v>
      </c>
      <c r="GJ113" s="66">
        <f t="shared" si="707"/>
        <v>0</v>
      </c>
      <c r="GK113" s="66">
        <f t="shared" si="707"/>
        <v>0</v>
      </c>
      <c r="GL113" s="66">
        <f t="shared" si="707"/>
        <v>0</v>
      </c>
      <c r="GM113" s="66">
        <f t="shared" si="707"/>
        <v>0</v>
      </c>
      <c r="GN113" s="66">
        <f t="shared" si="707"/>
        <v>0</v>
      </c>
      <c r="GO113" s="66">
        <f t="shared" si="707"/>
        <v>0</v>
      </c>
      <c r="GP113" s="66">
        <f t="shared" si="707"/>
        <v>0</v>
      </c>
      <c r="GQ113" s="64">
        <f>SUM(GH113:GK113,GM113:GP113)</f>
        <v>0</v>
      </c>
      <c r="GR113" s="63"/>
      <c r="GS113" s="63">
        <v>0</v>
      </c>
      <c r="GT113" s="63"/>
      <c r="GU113" s="63"/>
      <c r="GV113" s="67">
        <f>SUM(GR113:GU113)</f>
        <v>0</v>
      </c>
      <c r="GW113" s="63"/>
      <c r="GX113" s="63"/>
      <c r="GY113" s="63"/>
      <c r="GZ113" s="63"/>
      <c r="HA113" s="67">
        <f>SUM(GW113:GZ113)</f>
        <v>0</v>
      </c>
      <c r="HB113" s="63"/>
      <c r="HC113" s="63"/>
      <c r="HD113" s="63"/>
      <c r="HE113" s="63"/>
      <c r="HF113" s="67">
        <f>SUM(HB113:HE113)</f>
        <v>0</v>
      </c>
      <c r="HG113" s="63"/>
      <c r="HH113" s="63"/>
      <c r="HI113" s="63"/>
      <c r="HJ113" s="63"/>
      <c r="HK113" s="67">
        <f>SUM(HG113:HJ113)</f>
        <v>0</v>
      </c>
      <c r="HL113" s="68">
        <f t="shared" si="708"/>
        <v>0</v>
      </c>
      <c r="HM113" s="68">
        <f t="shared" si="708"/>
        <v>0</v>
      </c>
      <c r="HN113" s="68">
        <f t="shared" si="708"/>
        <v>0</v>
      </c>
      <c r="HO113" s="68">
        <f t="shared" si="708"/>
        <v>0</v>
      </c>
      <c r="HP113" s="67">
        <f>SUM(HL113:HO113)</f>
        <v>0</v>
      </c>
      <c r="HQ113" s="63"/>
      <c r="HR113" s="63"/>
      <c r="HS113" s="63"/>
      <c r="HT113" s="63"/>
      <c r="HU113" s="67">
        <f>SUM(HQ113:HT113)</f>
        <v>0</v>
      </c>
      <c r="HV113" s="63"/>
      <c r="HW113" s="63"/>
      <c r="HX113" s="63"/>
      <c r="HY113" s="63"/>
      <c r="HZ113" s="67">
        <f>SUM(HV113:HY113)</f>
        <v>0</v>
      </c>
      <c r="IA113" s="63"/>
      <c r="IB113" s="63"/>
      <c r="IC113" s="63"/>
      <c r="ID113" s="63"/>
      <c r="IE113" s="67">
        <f>SUM(IA113:ID113)</f>
        <v>0</v>
      </c>
      <c r="IF113" s="68">
        <f t="shared" si="709"/>
        <v>0</v>
      </c>
      <c r="IG113" s="68">
        <f t="shared" si="709"/>
        <v>0</v>
      </c>
      <c r="IH113" s="68">
        <f t="shared" si="709"/>
        <v>0</v>
      </c>
      <c r="II113" s="68">
        <f t="shared" si="709"/>
        <v>0</v>
      </c>
      <c r="IJ113" s="67">
        <f>SUM(IF113:II113)</f>
        <v>0</v>
      </c>
      <c r="IK113" s="63"/>
      <c r="IL113" s="63"/>
      <c r="IM113" s="63"/>
      <c r="IN113" s="63"/>
      <c r="IO113" s="67">
        <f>SUM(IK113:IN113)</f>
        <v>0</v>
      </c>
      <c r="IP113" s="63"/>
      <c r="IQ113" s="63"/>
      <c r="IR113" s="63"/>
      <c r="IS113" s="63"/>
      <c r="IT113" s="67">
        <f>SUM(IP113:IS113)</f>
        <v>0</v>
      </c>
      <c r="IU113" s="63"/>
      <c r="IV113" s="63"/>
    </row>
    <row r="114" spans="1:256" s="92" customFormat="1" ht="12.75" customHeight="1" x14ac:dyDescent="0.25">
      <c r="A114" s="117" t="s">
        <v>107</v>
      </c>
      <c r="B114" s="62">
        <v>2</v>
      </c>
      <c r="C114" s="63"/>
      <c r="D114" s="63"/>
      <c r="E114" s="63"/>
      <c r="F114" s="63"/>
      <c r="G114" s="63"/>
      <c r="H114" s="63"/>
      <c r="I114" s="63"/>
      <c r="J114" s="63"/>
      <c r="K114" s="63"/>
      <c r="L114" s="64">
        <f>SUM(C114:F114,H114:K114)</f>
        <v>0</v>
      </c>
      <c r="M114" s="62"/>
      <c r="N114" s="63"/>
      <c r="O114" s="63"/>
      <c r="P114" s="63"/>
      <c r="Q114" s="63"/>
      <c r="R114" s="63"/>
      <c r="S114" s="63"/>
      <c r="T114" s="63"/>
      <c r="U114" s="63"/>
      <c r="V114" s="63"/>
      <c r="W114" s="64">
        <f>SUM(N114:Q114,S114:V114)</f>
        <v>0</v>
      </c>
      <c r="X114" s="62"/>
      <c r="Y114" s="63"/>
      <c r="Z114" s="63"/>
      <c r="AA114" s="63"/>
      <c r="AB114" s="63"/>
      <c r="AC114" s="63"/>
      <c r="AD114" s="63"/>
      <c r="AE114" s="63"/>
      <c r="AF114" s="63"/>
      <c r="AG114" s="63"/>
      <c r="AH114" s="64">
        <f>SUM(Y114:AB114,AD114:AG114)</f>
        <v>0</v>
      </c>
      <c r="AI114" s="62"/>
      <c r="AJ114" s="63"/>
      <c r="AK114" s="63"/>
      <c r="AL114" s="63"/>
      <c r="AM114" s="63"/>
      <c r="AN114" s="63"/>
      <c r="AO114" s="63"/>
      <c r="AP114" s="63"/>
      <c r="AQ114" s="63"/>
      <c r="AR114" s="63"/>
      <c r="AS114" s="64">
        <f>SUM(AJ114:AM114,AO114:AR114)</f>
        <v>0</v>
      </c>
      <c r="AT114" s="65">
        <f t="shared" si="703"/>
        <v>0</v>
      </c>
      <c r="AU114" s="65">
        <f t="shared" si="703"/>
        <v>0</v>
      </c>
      <c r="AV114" s="65">
        <f t="shared" si="703"/>
        <v>0</v>
      </c>
      <c r="AW114" s="65">
        <f t="shared" si="703"/>
        <v>0</v>
      </c>
      <c r="AX114" s="65">
        <f t="shared" si="703"/>
        <v>0</v>
      </c>
      <c r="AY114" s="65">
        <f t="shared" si="703"/>
        <v>0</v>
      </c>
      <c r="AZ114" s="65">
        <f t="shared" si="703"/>
        <v>0</v>
      </c>
      <c r="BA114" s="65">
        <f t="shared" si="703"/>
        <v>0</v>
      </c>
      <c r="BB114" s="65">
        <f t="shared" si="703"/>
        <v>0</v>
      </c>
      <c r="BC114" s="65">
        <f t="shared" si="703"/>
        <v>0</v>
      </c>
      <c r="BD114" s="64">
        <f>SUM(AU114:AX114,AZ114:BC114)</f>
        <v>0</v>
      </c>
      <c r="BE114" s="62"/>
      <c r="BF114" s="63"/>
      <c r="BG114" s="63"/>
      <c r="BH114" s="63"/>
      <c r="BI114" s="63"/>
      <c r="BJ114" s="63"/>
      <c r="BK114" s="63"/>
      <c r="BL114" s="63"/>
      <c r="BM114" s="63"/>
      <c r="BN114" s="63"/>
      <c r="BO114" s="64">
        <f>SUM(BF114:BI114,BK114:BN114)</f>
        <v>0</v>
      </c>
      <c r="BP114" s="62"/>
      <c r="BQ114" s="63"/>
      <c r="BR114" s="63"/>
      <c r="BS114" s="63"/>
      <c r="BT114" s="63"/>
      <c r="BU114" s="63"/>
      <c r="BV114" s="63"/>
      <c r="BW114" s="63"/>
      <c r="BX114" s="63"/>
      <c r="BY114" s="63"/>
      <c r="BZ114" s="64">
        <f>SUM(BQ114:BT114,BV114:BY114)</f>
        <v>0</v>
      </c>
      <c r="CA114" s="62"/>
      <c r="CB114" s="63"/>
      <c r="CC114" s="63"/>
      <c r="CD114" s="63"/>
      <c r="CE114" s="63"/>
      <c r="CF114" s="63"/>
      <c r="CG114" s="63"/>
      <c r="CH114" s="63"/>
      <c r="CI114" s="63"/>
      <c r="CJ114" s="63"/>
      <c r="CK114" s="64">
        <f>SUM(CB114:CE114,CG114:CJ114)</f>
        <v>0</v>
      </c>
      <c r="CL114" s="65">
        <f t="shared" si="704"/>
        <v>0</v>
      </c>
      <c r="CM114" s="65">
        <f t="shared" si="704"/>
        <v>0</v>
      </c>
      <c r="CN114" s="65">
        <f t="shared" si="704"/>
        <v>0</v>
      </c>
      <c r="CO114" s="65">
        <f t="shared" si="704"/>
        <v>0</v>
      </c>
      <c r="CP114" s="65">
        <f t="shared" si="704"/>
        <v>0</v>
      </c>
      <c r="CQ114" s="65">
        <f t="shared" si="704"/>
        <v>0</v>
      </c>
      <c r="CR114" s="65">
        <f t="shared" si="704"/>
        <v>0</v>
      </c>
      <c r="CS114" s="65">
        <f t="shared" si="704"/>
        <v>0</v>
      </c>
      <c r="CT114" s="65">
        <f t="shared" si="704"/>
        <v>0</v>
      </c>
      <c r="CU114" s="65">
        <f t="shared" si="704"/>
        <v>0</v>
      </c>
      <c r="CV114" s="64">
        <f>SUM(CM114:CP114,CR114:CU114)</f>
        <v>0</v>
      </c>
      <c r="CW114" s="62"/>
      <c r="CX114" s="63"/>
      <c r="CY114" s="63"/>
      <c r="CZ114" s="63"/>
      <c r="DA114" s="63"/>
      <c r="DB114" s="63"/>
      <c r="DC114" s="63"/>
      <c r="DD114" s="63"/>
      <c r="DE114" s="63"/>
      <c r="DF114" s="63"/>
      <c r="DG114" s="64">
        <f>SUM(CX114:DA114,DC114:DF114)</f>
        <v>0</v>
      </c>
      <c r="DH114" s="62"/>
      <c r="DI114" s="63"/>
      <c r="DJ114" s="63"/>
      <c r="DK114" s="63"/>
      <c r="DL114" s="63"/>
      <c r="DM114" s="63"/>
      <c r="DN114" s="63"/>
      <c r="DO114" s="63"/>
      <c r="DP114" s="63"/>
      <c r="DQ114" s="63"/>
      <c r="DR114" s="64">
        <f>SUM(DI114:DL114,DN114:DQ114)</f>
        <v>0</v>
      </c>
      <c r="DS114" s="62"/>
      <c r="DT114" s="63"/>
      <c r="DU114" s="63"/>
      <c r="DV114" s="63"/>
      <c r="DW114" s="63"/>
      <c r="DX114" s="63"/>
      <c r="DY114" s="63"/>
      <c r="DZ114" s="63"/>
      <c r="EA114" s="63"/>
      <c r="EB114" s="63"/>
      <c r="EC114" s="63"/>
      <c r="ED114" s="65">
        <f t="shared" si="705"/>
        <v>0</v>
      </c>
      <c r="EE114" s="65">
        <f t="shared" si="705"/>
        <v>0</v>
      </c>
      <c r="EF114" s="65">
        <f t="shared" si="705"/>
        <v>0</v>
      </c>
      <c r="EG114" s="65">
        <f t="shared" si="705"/>
        <v>0</v>
      </c>
      <c r="EH114" s="65">
        <f t="shared" si="705"/>
        <v>0</v>
      </c>
      <c r="EI114" s="65">
        <f t="shared" si="705"/>
        <v>0</v>
      </c>
      <c r="EJ114" s="65">
        <f t="shared" si="705"/>
        <v>0</v>
      </c>
      <c r="EK114" s="65">
        <f t="shared" si="705"/>
        <v>0</v>
      </c>
      <c r="EL114" s="65">
        <f t="shared" si="705"/>
        <v>0</v>
      </c>
      <c r="EM114" s="65">
        <f t="shared" si="705"/>
        <v>0</v>
      </c>
      <c r="EN114" s="64">
        <f>SUM(EE114:EH114,EJ114:EM114)</f>
        <v>0</v>
      </c>
      <c r="EO114" s="62"/>
      <c r="EP114" s="63"/>
      <c r="EQ114" s="63"/>
      <c r="ER114" s="63"/>
      <c r="ES114" s="63"/>
      <c r="ET114" s="63"/>
      <c r="EU114" s="63"/>
      <c r="EV114" s="63"/>
      <c r="EW114" s="63"/>
      <c r="EX114" s="63"/>
      <c r="EY114" s="64">
        <f>SUM(EP114:ES114,EU114:EX114)</f>
        <v>0</v>
      </c>
      <c r="EZ114" s="62"/>
      <c r="FA114" s="63"/>
      <c r="FB114" s="63"/>
      <c r="FC114" s="63"/>
      <c r="FD114" s="63"/>
      <c r="FE114" s="63"/>
      <c r="FF114" s="63"/>
      <c r="FG114" s="63"/>
      <c r="FH114" s="63"/>
      <c r="FI114" s="63"/>
      <c r="FJ114" s="64">
        <f>SUM(FA114:FD114,FF114:FI114)</f>
        <v>0</v>
      </c>
      <c r="FK114" s="62"/>
      <c r="FL114" s="63"/>
      <c r="FM114" s="63"/>
      <c r="FN114" s="63"/>
      <c r="FO114" s="63"/>
      <c r="FP114" s="63"/>
      <c r="FQ114" s="63"/>
      <c r="FR114" s="63"/>
      <c r="FS114" s="63"/>
      <c r="FT114" s="63"/>
      <c r="FU114" s="64">
        <f>SUM(FL114:FO114,FQ114:FT114)</f>
        <v>0</v>
      </c>
      <c r="FV114" s="65">
        <f t="shared" si="706"/>
        <v>0</v>
      </c>
      <c r="FW114" s="65">
        <f t="shared" si="706"/>
        <v>0</v>
      </c>
      <c r="FX114" s="65">
        <f t="shared" si="706"/>
        <v>0</v>
      </c>
      <c r="FY114" s="65">
        <f t="shared" si="706"/>
        <v>0</v>
      </c>
      <c r="FZ114" s="65">
        <f t="shared" si="706"/>
        <v>0</v>
      </c>
      <c r="GA114" s="65">
        <f t="shared" si="706"/>
        <v>0</v>
      </c>
      <c r="GB114" s="65">
        <f t="shared" si="706"/>
        <v>0</v>
      </c>
      <c r="GC114" s="65">
        <f t="shared" si="706"/>
        <v>0</v>
      </c>
      <c r="GD114" s="65">
        <f t="shared" si="706"/>
        <v>0</v>
      </c>
      <c r="GE114" s="65">
        <f t="shared" si="706"/>
        <v>0</v>
      </c>
      <c r="GF114" s="64">
        <f>SUM(FW114:FZ114,GB114:GE114)</f>
        <v>0</v>
      </c>
      <c r="GG114" s="131">
        <f t="shared" si="707"/>
        <v>0</v>
      </c>
      <c r="GH114" s="66">
        <f t="shared" si="707"/>
        <v>0</v>
      </c>
      <c r="GI114" s="66">
        <f t="shared" si="707"/>
        <v>0</v>
      </c>
      <c r="GJ114" s="66">
        <f t="shared" si="707"/>
        <v>0</v>
      </c>
      <c r="GK114" s="66">
        <f t="shared" si="707"/>
        <v>0</v>
      </c>
      <c r="GL114" s="66">
        <f t="shared" si="707"/>
        <v>0</v>
      </c>
      <c r="GM114" s="66">
        <f t="shared" si="707"/>
        <v>0</v>
      </c>
      <c r="GN114" s="66">
        <f t="shared" si="707"/>
        <v>0</v>
      </c>
      <c r="GO114" s="66">
        <f t="shared" si="707"/>
        <v>0</v>
      </c>
      <c r="GP114" s="66">
        <f t="shared" si="707"/>
        <v>0</v>
      </c>
      <c r="GQ114" s="64">
        <f>SUM(GH114:GK114,GM114:GP114)</f>
        <v>0</v>
      </c>
      <c r="GR114" s="63"/>
      <c r="GS114" s="63"/>
      <c r="GT114" s="63"/>
      <c r="GU114" s="63"/>
      <c r="GV114" s="67">
        <f>SUM(GR114:GU114)</f>
        <v>0</v>
      </c>
      <c r="GW114" s="63"/>
      <c r="GX114" s="63"/>
      <c r="GY114" s="63"/>
      <c r="GZ114" s="63"/>
      <c r="HA114" s="67">
        <f>SUM(GW114:GZ114)</f>
        <v>0</v>
      </c>
      <c r="HB114" s="63"/>
      <c r="HC114" s="63"/>
      <c r="HD114" s="63"/>
      <c r="HE114" s="63"/>
      <c r="HF114" s="67">
        <f>SUM(HB114:HE114)</f>
        <v>0</v>
      </c>
      <c r="HG114" s="63"/>
      <c r="HH114" s="63"/>
      <c r="HI114" s="63"/>
      <c r="HJ114" s="63"/>
      <c r="HK114" s="67">
        <f>SUM(HG114:HJ114)</f>
        <v>0</v>
      </c>
      <c r="HL114" s="68">
        <f t="shared" si="708"/>
        <v>0</v>
      </c>
      <c r="HM114" s="68">
        <f t="shared" si="708"/>
        <v>0</v>
      </c>
      <c r="HN114" s="68">
        <f t="shared" si="708"/>
        <v>0</v>
      </c>
      <c r="HO114" s="68">
        <f t="shared" si="708"/>
        <v>0</v>
      </c>
      <c r="HP114" s="67">
        <f>SUM(HL114:HO114)</f>
        <v>0</v>
      </c>
      <c r="HQ114" s="63"/>
      <c r="HR114" s="63"/>
      <c r="HS114" s="63"/>
      <c r="HT114" s="63"/>
      <c r="HU114" s="67">
        <f>SUM(HQ114:HT114)</f>
        <v>0</v>
      </c>
      <c r="HV114" s="63"/>
      <c r="HW114" s="63"/>
      <c r="HX114" s="63"/>
      <c r="HY114" s="63"/>
      <c r="HZ114" s="67">
        <f>SUM(HV114:HY114)</f>
        <v>0</v>
      </c>
      <c r="IA114" s="63"/>
      <c r="IB114" s="63"/>
      <c r="IC114" s="63"/>
      <c r="ID114" s="63"/>
      <c r="IE114" s="67">
        <f>SUM(IA114:ID114)</f>
        <v>0</v>
      </c>
      <c r="IF114" s="68">
        <f t="shared" si="709"/>
        <v>0</v>
      </c>
      <c r="IG114" s="68">
        <f t="shared" si="709"/>
        <v>0</v>
      </c>
      <c r="IH114" s="68">
        <f t="shared" si="709"/>
        <v>0</v>
      </c>
      <c r="II114" s="68">
        <f t="shared" si="709"/>
        <v>0</v>
      </c>
      <c r="IJ114" s="67">
        <f>SUM(IF114:II114)</f>
        <v>0</v>
      </c>
      <c r="IK114" s="63"/>
      <c r="IL114" s="63"/>
      <c r="IM114" s="63"/>
      <c r="IN114" s="63"/>
      <c r="IO114" s="67">
        <f>SUM(IK114:IN114)</f>
        <v>0</v>
      </c>
      <c r="IP114" s="63"/>
      <c r="IQ114" s="63"/>
      <c r="IR114" s="63"/>
      <c r="IS114" s="63"/>
      <c r="IT114" s="67">
        <f>SUM(IP114:IS114)</f>
        <v>0</v>
      </c>
      <c r="IU114" s="63"/>
      <c r="IV114" s="63"/>
    </row>
    <row r="115" spans="1:256" ht="12.75" customHeight="1" x14ac:dyDescent="0.25">
      <c r="A115" s="115" t="s">
        <v>110</v>
      </c>
      <c r="B115" s="62"/>
      <c r="C115" s="96">
        <f t="shared" ref="C115:K115" si="710">SUM(C116:C119)</f>
        <v>0</v>
      </c>
      <c r="D115" s="96">
        <f t="shared" si="710"/>
        <v>0</v>
      </c>
      <c r="E115" s="96">
        <f t="shared" si="710"/>
        <v>0</v>
      </c>
      <c r="F115" s="96">
        <f t="shared" si="710"/>
        <v>0</v>
      </c>
      <c r="G115" s="96">
        <f t="shared" si="710"/>
        <v>0</v>
      </c>
      <c r="H115" s="96">
        <f t="shared" si="710"/>
        <v>0</v>
      </c>
      <c r="I115" s="96">
        <f t="shared" si="710"/>
        <v>0</v>
      </c>
      <c r="J115" s="96">
        <f t="shared" si="710"/>
        <v>0</v>
      </c>
      <c r="K115" s="96">
        <f t="shared" si="710"/>
        <v>0</v>
      </c>
      <c r="L115" s="96">
        <f>SUM(L116:L119)</f>
        <v>0</v>
      </c>
      <c r="M115" s="62"/>
      <c r="N115" s="96">
        <f t="shared" ref="N115:V115" si="711">SUM(N116:N119)</f>
        <v>0</v>
      </c>
      <c r="O115" s="96">
        <f t="shared" si="711"/>
        <v>0</v>
      </c>
      <c r="P115" s="96">
        <f t="shared" si="711"/>
        <v>0</v>
      </c>
      <c r="Q115" s="96">
        <f t="shared" si="711"/>
        <v>0</v>
      </c>
      <c r="R115" s="96">
        <f t="shared" si="711"/>
        <v>0</v>
      </c>
      <c r="S115" s="96">
        <f t="shared" si="711"/>
        <v>0</v>
      </c>
      <c r="T115" s="96">
        <f t="shared" si="711"/>
        <v>0</v>
      </c>
      <c r="U115" s="96">
        <f t="shared" si="711"/>
        <v>0</v>
      </c>
      <c r="V115" s="96">
        <f t="shared" si="711"/>
        <v>0</v>
      </c>
      <c r="W115" s="96">
        <f>SUM(W116:W119)</f>
        <v>0</v>
      </c>
      <c r="X115" s="62"/>
      <c r="Y115" s="96">
        <f t="shared" ref="Y115:AG115" si="712">SUM(Y116:Y119)</f>
        <v>0</v>
      </c>
      <c r="Z115" s="96">
        <f t="shared" si="712"/>
        <v>0</v>
      </c>
      <c r="AA115" s="96">
        <f t="shared" si="712"/>
        <v>0</v>
      </c>
      <c r="AB115" s="96">
        <f t="shared" si="712"/>
        <v>0</v>
      </c>
      <c r="AC115" s="96">
        <f t="shared" si="712"/>
        <v>0</v>
      </c>
      <c r="AD115" s="96">
        <f t="shared" si="712"/>
        <v>0</v>
      </c>
      <c r="AE115" s="96">
        <f t="shared" si="712"/>
        <v>0</v>
      </c>
      <c r="AF115" s="96">
        <f t="shared" si="712"/>
        <v>0</v>
      </c>
      <c r="AG115" s="96">
        <f t="shared" si="712"/>
        <v>0</v>
      </c>
      <c r="AH115" s="96">
        <f>SUM(AH116:AH119)</f>
        <v>0</v>
      </c>
      <c r="AI115" s="62"/>
      <c r="AJ115" s="96">
        <f t="shared" ref="AJ115:AR115" si="713">SUM(AJ116:AJ119)</f>
        <v>0</v>
      </c>
      <c r="AK115" s="96">
        <f t="shared" si="713"/>
        <v>0</v>
      </c>
      <c r="AL115" s="96">
        <f t="shared" si="713"/>
        <v>0</v>
      </c>
      <c r="AM115" s="96">
        <f t="shared" si="713"/>
        <v>0</v>
      </c>
      <c r="AN115" s="96">
        <f t="shared" si="713"/>
        <v>0</v>
      </c>
      <c r="AO115" s="96">
        <f t="shared" si="713"/>
        <v>0</v>
      </c>
      <c r="AP115" s="96">
        <f t="shared" si="713"/>
        <v>0</v>
      </c>
      <c r="AQ115" s="96">
        <f t="shared" si="713"/>
        <v>0</v>
      </c>
      <c r="AR115" s="96">
        <f t="shared" si="713"/>
        <v>0</v>
      </c>
      <c r="AS115" s="96">
        <f>SUM(AS116:AS119)</f>
        <v>0</v>
      </c>
      <c r="AT115" s="62"/>
      <c r="AU115" s="96">
        <f>SUM(AU116:AU119)</f>
        <v>0</v>
      </c>
      <c r="AV115" s="96">
        <f t="shared" ref="AV115:BC115" si="714">SUM(AV116:AV119)</f>
        <v>0</v>
      </c>
      <c r="AW115" s="96">
        <f t="shared" si="714"/>
        <v>0</v>
      </c>
      <c r="AX115" s="96">
        <f t="shared" si="714"/>
        <v>0</v>
      </c>
      <c r="AY115" s="96">
        <f t="shared" si="714"/>
        <v>0</v>
      </c>
      <c r="AZ115" s="96">
        <f t="shared" si="714"/>
        <v>0</v>
      </c>
      <c r="BA115" s="96">
        <f t="shared" si="714"/>
        <v>0</v>
      </c>
      <c r="BB115" s="96">
        <f t="shared" si="714"/>
        <v>0</v>
      </c>
      <c r="BC115" s="96">
        <f t="shared" si="714"/>
        <v>0</v>
      </c>
      <c r="BD115" s="96">
        <f>SUM(BD116:BD119)</f>
        <v>0</v>
      </c>
      <c r="BE115" s="62"/>
      <c r="BF115" s="96">
        <f t="shared" ref="BF115:BN115" si="715">SUM(BF116:BF119)</f>
        <v>0</v>
      </c>
      <c r="BG115" s="96">
        <f t="shared" si="715"/>
        <v>0</v>
      </c>
      <c r="BH115" s="96">
        <f t="shared" si="715"/>
        <v>0</v>
      </c>
      <c r="BI115" s="96">
        <f t="shared" si="715"/>
        <v>0</v>
      </c>
      <c r="BJ115" s="96">
        <f t="shared" si="715"/>
        <v>0</v>
      </c>
      <c r="BK115" s="96">
        <f t="shared" si="715"/>
        <v>0</v>
      </c>
      <c r="BL115" s="96">
        <f t="shared" si="715"/>
        <v>0</v>
      </c>
      <c r="BM115" s="96">
        <f t="shared" si="715"/>
        <v>0</v>
      </c>
      <c r="BN115" s="96">
        <f t="shared" si="715"/>
        <v>0</v>
      </c>
      <c r="BO115" s="96">
        <f>SUM(BO116:BO119)</f>
        <v>0</v>
      </c>
      <c r="BP115" s="62"/>
      <c r="BQ115" s="96">
        <f t="shared" ref="BQ115:BY115" si="716">SUM(BQ116:BQ119)</f>
        <v>0</v>
      </c>
      <c r="BR115" s="96">
        <f t="shared" si="716"/>
        <v>0</v>
      </c>
      <c r="BS115" s="96">
        <f t="shared" si="716"/>
        <v>0</v>
      </c>
      <c r="BT115" s="96">
        <f t="shared" si="716"/>
        <v>0</v>
      </c>
      <c r="BU115" s="96">
        <f t="shared" si="716"/>
        <v>0</v>
      </c>
      <c r="BV115" s="96">
        <f t="shared" si="716"/>
        <v>0</v>
      </c>
      <c r="BW115" s="96">
        <f t="shared" si="716"/>
        <v>0</v>
      </c>
      <c r="BX115" s="96">
        <f t="shared" si="716"/>
        <v>0</v>
      </c>
      <c r="BY115" s="96">
        <f t="shared" si="716"/>
        <v>0</v>
      </c>
      <c r="BZ115" s="96">
        <f>SUM(BZ116:BZ119)</f>
        <v>0</v>
      </c>
      <c r="CA115" s="62"/>
      <c r="CB115" s="96">
        <f t="shared" ref="CB115:CJ115" si="717">SUM(CB116:CB119)</f>
        <v>0</v>
      </c>
      <c r="CC115" s="96">
        <f t="shared" si="717"/>
        <v>0</v>
      </c>
      <c r="CD115" s="96">
        <f t="shared" si="717"/>
        <v>0</v>
      </c>
      <c r="CE115" s="96">
        <f t="shared" si="717"/>
        <v>0</v>
      </c>
      <c r="CF115" s="96">
        <f t="shared" si="717"/>
        <v>0</v>
      </c>
      <c r="CG115" s="96">
        <f t="shared" si="717"/>
        <v>0</v>
      </c>
      <c r="CH115" s="96">
        <f t="shared" si="717"/>
        <v>0</v>
      </c>
      <c r="CI115" s="96">
        <f t="shared" si="717"/>
        <v>0</v>
      </c>
      <c r="CJ115" s="96">
        <f t="shared" si="717"/>
        <v>0</v>
      </c>
      <c r="CK115" s="96">
        <f>SUM(CK116:CK119)</f>
        <v>0</v>
      </c>
      <c r="CL115" s="62"/>
      <c r="CM115" s="96">
        <f>SUM(CM116:CM119)</f>
        <v>0</v>
      </c>
      <c r="CN115" s="96">
        <f t="shared" ref="CN115:CU115" si="718">SUM(CN116:CN119)</f>
        <v>0</v>
      </c>
      <c r="CO115" s="96">
        <f t="shared" si="718"/>
        <v>0</v>
      </c>
      <c r="CP115" s="96">
        <f t="shared" si="718"/>
        <v>0</v>
      </c>
      <c r="CQ115" s="96">
        <f t="shared" si="718"/>
        <v>0</v>
      </c>
      <c r="CR115" s="96">
        <f t="shared" si="718"/>
        <v>0</v>
      </c>
      <c r="CS115" s="96">
        <f t="shared" si="718"/>
        <v>0</v>
      </c>
      <c r="CT115" s="96">
        <f t="shared" si="718"/>
        <v>0</v>
      </c>
      <c r="CU115" s="96">
        <f t="shared" si="718"/>
        <v>0</v>
      </c>
      <c r="CV115" s="96">
        <f>SUM(CV116:CV119)</f>
        <v>0</v>
      </c>
      <c r="CW115" s="62"/>
      <c r="CX115" s="96">
        <f t="shared" ref="CX115:DF115" si="719">SUM(CX116:CX119)</f>
        <v>0</v>
      </c>
      <c r="CY115" s="96">
        <f t="shared" si="719"/>
        <v>0</v>
      </c>
      <c r="CZ115" s="96">
        <f t="shared" si="719"/>
        <v>0</v>
      </c>
      <c r="DA115" s="96">
        <f t="shared" si="719"/>
        <v>0</v>
      </c>
      <c r="DB115" s="96">
        <f t="shared" si="719"/>
        <v>0</v>
      </c>
      <c r="DC115" s="96">
        <f t="shared" si="719"/>
        <v>0</v>
      </c>
      <c r="DD115" s="96">
        <f t="shared" si="719"/>
        <v>0</v>
      </c>
      <c r="DE115" s="96">
        <f t="shared" si="719"/>
        <v>0</v>
      </c>
      <c r="DF115" s="96">
        <f t="shared" si="719"/>
        <v>0</v>
      </c>
      <c r="DG115" s="96">
        <f>SUM(DG116:DG119)</f>
        <v>0</v>
      </c>
      <c r="DH115" s="62"/>
      <c r="DI115" s="96">
        <f t="shared" ref="DI115:DQ115" si="720">SUM(DI116:DI119)</f>
        <v>0</v>
      </c>
      <c r="DJ115" s="96">
        <f t="shared" si="720"/>
        <v>0</v>
      </c>
      <c r="DK115" s="96">
        <f t="shared" si="720"/>
        <v>0</v>
      </c>
      <c r="DL115" s="96">
        <f t="shared" si="720"/>
        <v>0</v>
      </c>
      <c r="DM115" s="96">
        <f t="shared" si="720"/>
        <v>0</v>
      </c>
      <c r="DN115" s="96">
        <f t="shared" si="720"/>
        <v>0</v>
      </c>
      <c r="DO115" s="96">
        <f t="shared" si="720"/>
        <v>0</v>
      </c>
      <c r="DP115" s="96">
        <f t="shared" si="720"/>
        <v>0</v>
      </c>
      <c r="DQ115" s="96">
        <f t="shared" si="720"/>
        <v>0</v>
      </c>
      <c r="DR115" s="96">
        <f>SUM(DR116:DR119)</f>
        <v>0</v>
      </c>
      <c r="DS115" s="62"/>
      <c r="DT115" s="96">
        <f t="shared" ref="DT115:EB115" si="721">SUM(DT116:DT119)</f>
        <v>0</v>
      </c>
      <c r="DU115" s="96">
        <f t="shared" si="721"/>
        <v>0</v>
      </c>
      <c r="DV115" s="96">
        <f t="shared" si="721"/>
        <v>0</v>
      </c>
      <c r="DW115" s="96">
        <f t="shared" si="721"/>
        <v>0</v>
      </c>
      <c r="DX115" s="96">
        <f t="shared" si="721"/>
        <v>0</v>
      </c>
      <c r="DY115" s="96">
        <f t="shared" si="721"/>
        <v>0</v>
      </c>
      <c r="DZ115" s="96">
        <f t="shared" si="721"/>
        <v>0</v>
      </c>
      <c r="EA115" s="96">
        <f t="shared" si="721"/>
        <v>0</v>
      </c>
      <c r="EB115" s="96">
        <f t="shared" si="721"/>
        <v>0</v>
      </c>
      <c r="EC115" s="96">
        <f>SUM(EC116:EC119)</f>
        <v>0</v>
      </c>
      <c r="ED115" s="62"/>
      <c r="EE115" s="96">
        <f>SUM(EE116:EE119)</f>
        <v>0</v>
      </c>
      <c r="EF115" s="96">
        <f t="shared" ref="EF115:EM115" si="722">SUM(EF116:EF119)</f>
        <v>0</v>
      </c>
      <c r="EG115" s="96">
        <f t="shared" si="722"/>
        <v>0</v>
      </c>
      <c r="EH115" s="96">
        <f t="shared" si="722"/>
        <v>0</v>
      </c>
      <c r="EI115" s="96">
        <f t="shared" si="722"/>
        <v>0</v>
      </c>
      <c r="EJ115" s="96">
        <f t="shared" si="722"/>
        <v>0</v>
      </c>
      <c r="EK115" s="96">
        <f t="shared" si="722"/>
        <v>0</v>
      </c>
      <c r="EL115" s="96">
        <f t="shared" si="722"/>
        <v>0</v>
      </c>
      <c r="EM115" s="96">
        <f t="shared" si="722"/>
        <v>0</v>
      </c>
      <c r="EN115" s="96">
        <f>SUM(EN116:EN119)</f>
        <v>0</v>
      </c>
      <c r="EO115" s="62"/>
      <c r="EP115" s="96">
        <f t="shared" ref="EP115:EX115" si="723">SUM(EP116:EP119)</f>
        <v>0</v>
      </c>
      <c r="EQ115" s="96">
        <f t="shared" si="723"/>
        <v>0</v>
      </c>
      <c r="ER115" s="96">
        <f t="shared" si="723"/>
        <v>0</v>
      </c>
      <c r="ES115" s="96">
        <f t="shared" si="723"/>
        <v>0</v>
      </c>
      <c r="ET115" s="96">
        <f t="shared" si="723"/>
        <v>0</v>
      </c>
      <c r="EU115" s="96">
        <f t="shared" si="723"/>
        <v>0</v>
      </c>
      <c r="EV115" s="96">
        <f t="shared" si="723"/>
        <v>0</v>
      </c>
      <c r="EW115" s="96">
        <f t="shared" si="723"/>
        <v>0</v>
      </c>
      <c r="EX115" s="96">
        <f t="shared" si="723"/>
        <v>0</v>
      </c>
      <c r="EY115" s="96">
        <f>SUM(EY116:EY119)</f>
        <v>0</v>
      </c>
      <c r="EZ115" s="62"/>
      <c r="FA115" s="96">
        <f t="shared" ref="FA115:FI115" si="724">SUM(FA116:FA119)</f>
        <v>0</v>
      </c>
      <c r="FB115" s="96">
        <f t="shared" si="724"/>
        <v>0</v>
      </c>
      <c r="FC115" s="96">
        <f t="shared" si="724"/>
        <v>0</v>
      </c>
      <c r="FD115" s="96">
        <f t="shared" si="724"/>
        <v>0</v>
      </c>
      <c r="FE115" s="96">
        <f t="shared" si="724"/>
        <v>0</v>
      </c>
      <c r="FF115" s="96">
        <f t="shared" si="724"/>
        <v>0</v>
      </c>
      <c r="FG115" s="96">
        <f t="shared" si="724"/>
        <v>0</v>
      </c>
      <c r="FH115" s="96">
        <f t="shared" si="724"/>
        <v>0</v>
      </c>
      <c r="FI115" s="96">
        <f t="shared" si="724"/>
        <v>0</v>
      </c>
      <c r="FJ115" s="96">
        <f>SUM(FJ116:FJ119)</f>
        <v>0</v>
      </c>
      <c r="FK115" s="62"/>
      <c r="FL115" s="96">
        <f t="shared" ref="FL115:FT115" si="725">SUM(FL116:FL119)</f>
        <v>0</v>
      </c>
      <c r="FM115" s="96">
        <f t="shared" si="725"/>
        <v>0</v>
      </c>
      <c r="FN115" s="96">
        <f t="shared" si="725"/>
        <v>0</v>
      </c>
      <c r="FO115" s="96">
        <f t="shared" si="725"/>
        <v>0</v>
      </c>
      <c r="FP115" s="96">
        <f t="shared" si="725"/>
        <v>0</v>
      </c>
      <c r="FQ115" s="96">
        <f t="shared" si="725"/>
        <v>0</v>
      </c>
      <c r="FR115" s="96">
        <f t="shared" si="725"/>
        <v>0</v>
      </c>
      <c r="FS115" s="96">
        <f t="shared" si="725"/>
        <v>0</v>
      </c>
      <c r="FT115" s="96">
        <f t="shared" si="725"/>
        <v>0</v>
      </c>
      <c r="FU115" s="96">
        <f>SUM(FU116:FU119)</f>
        <v>0</v>
      </c>
      <c r="FV115" s="62"/>
      <c r="FW115" s="96">
        <f>SUM(FW116:FW119)</f>
        <v>0</v>
      </c>
      <c r="FX115" s="96">
        <f t="shared" ref="FX115:GE115" si="726">SUM(FX116:FX119)</f>
        <v>0</v>
      </c>
      <c r="FY115" s="96">
        <f t="shared" si="726"/>
        <v>0</v>
      </c>
      <c r="FZ115" s="96">
        <f t="shared" si="726"/>
        <v>0</v>
      </c>
      <c r="GA115" s="96">
        <f t="shared" si="726"/>
        <v>0</v>
      </c>
      <c r="GB115" s="96">
        <f t="shared" si="726"/>
        <v>0</v>
      </c>
      <c r="GC115" s="96">
        <f t="shared" si="726"/>
        <v>0</v>
      </c>
      <c r="GD115" s="96">
        <f t="shared" si="726"/>
        <v>0</v>
      </c>
      <c r="GE115" s="96">
        <f t="shared" si="726"/>
        <v>0</v>
      </c>
      <c r="GF115" s="96">
        <f>SUM(GF116:GF119)</f>
        <v>0</v>
      </c>
      <c r="GG115" s="62"/>
      <c r="GH115" s="96">
        <f t="shared" ref="GH115:GP115" si="727">SUM(GH116:GH119)</f>
        <v>0</v>
      </c>
      <c r="GI115" s="96">
        <f t="shared" si="727"/>
        <v>0</v>
      </c>
      <c r="GJ115" s="96">
        <f t="shared" si="727"/>
        <v>0</v>
      </c>
      <c r="GK115" s="96">
        <f t="shared" si="727"/>
        <v>0</v>
      </c>
      <c r="GL115" s="96">
        <f t="shared" si="727"/>
        <v>0</v>
      </c>
      <c r="GM115" s="96">
        <f t="shared" si="727"/>
        <v>0</v>
      </c>
      <c r="GN115" s="96">
        <f t="shared" si="727"/>
        <v>0</v>
      </c>
      <c r="GO115" s="96">
        <f t="shared" si="727"/>
        <v>0</v>
      </c>
      <c r="GP115" s="96">
        <f t="shared" si="727"/>
        <v>0</v>
      </c>
      <c r="GQ115" s="96">
        <f t="shared" ref="GQ115:HV115" si="728">SUM(GQ116:GQ119)</f>
        <v>0</v>
      </c>
      <c r="GR115" s="96">
        <f t="shared" si="728"/>
        <v>0</v>
      </c>
      <c r="GS115" s="96">
        <f t="shared" si="728"/>
        <v>0</v>
      </c>
      <c r="GT115" s="96">
        <f t="shared" si="728"/>
        <v>0</v>
      </c>
      <c r="GU115" s="96">
        <f t="shared" si="728"/>
        <v>0</v>
      </c>
      <c r="GV115" s="96">
        <f t="shared" si="728"/>
        <v>0</v>
      </c>
      <c r="GW115" s="96">
        <f t="shared" si="728"/>
        <v>0</v>
      </c>
      <c r="GX115" s="96">
        <f t="shared" si="728"/>
        <v>0</v>
      </c>
      <c r="GY115" s="96">
        <f t="shared" si="728"/>
        <v>0</v>
      </c>
      <c r="GZ115" s="96">
        <f t="shared" si="728"/>
        <v>0</v>
      </c>
      <c r="HA115" s="96">
        <f t="shared" si="728"/>
        <v>0</v>
      </c>
      <c r="HB115" s="96">
        <f t="shared" si="728"/>
        <v>0</v>
      </c>
      <c r="HC115" s="96">
        <f t="shared" si="728"/>
        <v>0</v>
      </c>
      <c r="HD115" s="96">
        <f t="shared" si="728"/>
        <v>0</v>
      </c>
      <c r="HE115" s="96">
        <f t="shared" si="728"/>
        <v>0</v>
      </c>
      <c r="HF115" s="96">
        <f t="shared" si="728"/>
        <v>0</v>
      </c>
      <c r="HG115" s="96">
        <f t="shared" si="728"/>
        <v>0</v>
      </c>
      <c r="HH115" s="96">
        <f t="shared" si="728"/>
        <v>0</v>
      </c>
      <c r="HI115" s="96">
        <f t="shared" si="728"/>
        <v>0</v>
      </c>
      <c r="HJ115" s="96">
        <f t="shared" si="728"/>
        <v>0</v>
      </c>
      <c r="HK115" s="96">
        <f t="shared" si="728"/>
        <v>0</v>
      </c>
      <c r="HL115" s="96">
        <f t="shared" si="728"/>
        <v>0</v>
      </c>
      <c r="HM115" s="96">
        <f t="shared" si="728"/>
        <v>0</v>
      </c>
      <c r="HN115" s="96">
        <f t="shared" si="728"/>
        <v>0</v>
      </c>
      <c r="HO115" s="96">
        <f t="shared" si="728"/>
        <v>0</v>
      </c>
      <c r="HP115" s="96">
        <f t="shared" si="728"/>
        <v>0</v>
      </c>
      <c r="HQ115" s="96">
        <f t="shared" si="728"/>
        <v>0</v>
      </c>
      <c r="HR115" s="96">
        <f t="shared" si="728"/>
        <v>0</v>
      </c>
      <c r="HS115" s="96">
        <f t="shared" si="728"/>
        <v>0</v>
      </c>
      <c r="HT115" s="96">
        <f t="shared" si="728"/>
        <v>0</v>
      </c>
      <c r="HU115" s="96">
        <f t="shared" si="728"/>
        <v>0</v>
      </c>
      <c r="HV115" s="96">
        <f t="shared" si="728"/>
        <v>0</v>
      </c>
      <c r="HW115" s="96">
        <f t="shared" ref="HW115:IV115" si="729">SUM(HW116:HW119)</f>
        <v>0</v>
      </c>
      <c r="HX115" s="96">
        <f t="shared" si="729"/>
        <v>0</v>
      </c>
      <c r="HY115" s="96">
        <f t="shared" si="729"/>
        <v>0</v>
      </c>
      <c r="HZ115" s="96">
        <f t="shared" si="729"/>
        <v>0</v>
      </c>
      <c r="IA115" s="96">
        <f t="shared" si="729"/>
        <v>0</v>
      </c>
      <c r="IB115" s="96">
        <f t="shared" si="729"/>
        <v>0</v>
      </c>
      <c r="IC115" s="96">
        <f t="shared" si="729"/>
        <v>0</v>
      </c>
      <c r="ID115" s="96">
        <f t="shared" si="729"/>
        <v>0</v>
      </c>
      <c r="IE115" s="96">
        <f t="shared" si="729"/>
        <v>0</v>
      </c>
      <c r="IF115" s="96">
        <f t="shared" si="729"/>
        <v>0</v>
      </c>
      <c r="IG115" s="96">
        <f t="shared" si="729"/>
        <v>0</v>
      </c>
      <c r="IH115" s="96">
        <f t="shared" si="729"/>
        <v>0</v>
      </c>
      <c r="II115" s="96">
        <f t="shared" si="729"/>
        <v>0</v>
      </c>
      <c r="IJ115" s="96">
        <f t="shared" si="729"/>
        <v>0</v>
      </c>
      <c r="IK115" s="96">
        <f t="shared" si="729"/>
        <v>0</v>
      </c>
      <c r="IL115" s="96">
        <f t="shared" si="729"/>
        <v>0</v>
      </c>
      <c r="IM115" s="96">
        <f t="shared" si="729"/>
        <v>0</v>
      </c>
      <c r="IN115" s="96">
        <f t="shared" si="729"/>
        <v>0</v>
      </c>
      <c r="IO115" s="96">
        <f t="shared" si="729"/>
        <v>0</v>
      </c>
      <c r="IP115" s="96">
        <f t="shared" si="729"/>
        <v>0</v>
      </c>
      <c r="IQ115" s="96">
        <f t="shared" si="729"/>
        <v>0</v>
      </c>
      <c r="IR115" s="96">
        <f t="shared" si="729"/>
        <v>0</v>
      </c>
      <c r="IS115" s="96">
        <f t="shared" si="729"/>
        <v>0</v>
      </c>
      <c r="IT115" s="96">
        <f t="shared" si="729"/>
        <v>0</v>
      </c>
      <c r="IU115" s="96">
        <f t="shared" si="729"/>
        <v>0</v>
      </c>
      <c r="IV115" s="96">
        <f t="shared" si="729"/>
        <v>0</v>
      </c>
    </row>
    <row r="116" spans="1:256" ht="12.75" customHeight="1" x14ac:dyDescent="0.25">
      <c r="A116" s="117" t="s">
        <v>98</v>
      </c>
      <c r="B116" s="62"/>
      <c r="C116" s="63"/>
      <c r="D116" s="63"/>
      <c r="E116" s="63"/>
      <c r="F116" s="63"/>
      <c r="G116" s="63"/>
      <c r="H116" s="63"/>
      <c r="I116" s="63"/>
      <c r="J116" s="63"/>
      <c r="K116" s="63"/>
      <c r="L116" s="64">
        <f>SUM(C116:F116,H116:K116)</f>
        <v>0</v>
      </c>
      <c r="M116" s="62"/>
      <c r="N116" s="63"/>
      <c r="O116" s="63"/>
      <c r="P116" s="63"/>
      <c r="Q116" s="63"/>
      <c r="R116" s="63"/>
      <c r="S116" s="63"/>
      <c r="T116" s="63"/>
      <c r="U116" s="63"/>
      <c r="V116" s="63"/>
      <c r="W116" s="64">
        <f>SUM(N116:Q116,S116:V116)</f>
        <v>0</v>
      </c>
      <c r="X116" s="62"/>
      <c r="Y116" s="63"/>
      <c r="Z116" s="63"/>
      <c r="AA116" s="63"/>
      <c r="AB116" s="63"/>
      <c r="AC116" s="63"/>
      <c r="AD116" s="63"/>
      <c r="AE116" s="63"/>
      <c r="AF116" s="63"/>
      <c r="AG116" s="63"/>
      <c r="AH116" s="64">
        <f>SUM(Y116:AB116,AD116:AG116)</f>
        <v>0</v>
      </c>
      <c r="AI116" s="62"/>
      <c r="AJ116" s="63"/>
      <c r="AK116" s="63"/>
      <c r="AL116" s="63"/>
      <c r="AM116" s="63"/>
      <c r="AN116" s="63"/>
      <c r="AO116" s="63"/>
      <c r="AP116" s="63"/>
      <c r="AQ116" s="63"/>
      <c r="AR116" s="63"/>
      <c r="AS116" s="64">
        <f>SUM(AJ116:AM116,AO116:AR116)</f>
        <v>0</v>
      </c>
      <c r="AT116" s="65">
        <f t="shared" ref="AT116:BC119" si="730">SUM(M116,AI116,X116)</f>
        <v>0</v>
      </c>
      <c r="AU116" s="65">
        <f t="shared" si="730"/>
        <v>0</v>
      </c>
      <c r="AV116" s="65">
        <f t="shared" si="730"/>
        <v>0</v>
      </c>
      <c r="AW116" s="65">
        <f t="shared" si="730"/>
        <v>0</v>
      </c>
      <c r="AX116" s="65">
        <f t="shared" si="730"/>
        <v>0</v>
      </c>
      <c r="AY116" s="65">
        <f t="shared" si="730"/>
        <v>0</v>
      </c>
      <c r="AZ116" s="65">
        <f t="shared" si="730"/>
        <v>0</v>
      </c>
      <c r="BA116" s="65">
        <f t="shared" si="730"/>
        <v>0</v>
      </c>
      <c r="BB116" s="65">
        <f t="shared" si="730"/>
        <v>0</v>
      </c>
      <c r="BC116" s="65">
        <f t="shared" si="730"/>
        <v>0</v>
      </c>
      <c r="BD116" s="64">
        <f>SUM(AU116:AX116,AZ116:BC116)</f>
        <v>0</v>
      </c>
      <c r="BE116" s="62"/>
      <c r="BF116" s="63"/>
      <c r="BG116" s="63"/>
      <c r="BH116" s="63"/>
      <c r="BI116" s="63"/>
      <c r="BJ116" s="63"/>
      <c r="BK116" s="63"/>
      <c r="BL116" s="63"/>
      <c r="BM116" s="63"/>
      <c r="BN116" s="63"/>
      <c r="BO116" s="64">
        <f>SUM(BF116:BI116,BK116:BN116)</f>
        <v>0</v>
      </c>
      <c r="BP116" s="62"/>
      <c r="BQ116" s="63"/>
      <c r="BR116" s="63"/>
      <c r="BS116" s="63"/>
      <c r="BT116" s="63"/>
      <c r="BU116" s="63"/>
      <c r="BV116" s="63"/>
      <c r="BW116" s="63"/>
      <c r="BX116" s="63"/>
      <c r="BY116" s="63"/>
      <c r="BZ116" s="64">
        <f>SUM(BQ116:BT116,BV116:BY116)</f>
        <v>0</v>
      </c>
      <c r="CA116" s="62"/>
      <c r="CB116" s="63"/>
      <c r="CC116" s="63"/>
      <c r="CD116" s="63"/>
      <c r="CE116" s="63"/>
      <c r="CF116" s="63"/>
      <c r="CG116" s="63"/>
      <c r="CH116" s="63"/>
      <c r="CI116" s="63"/>
      <c r="CJ116" s="63"/>
      <c r="CK116" s="64">
        <f>SUM(CB116:CE116,CG116:CJ116)</f>
        <v>0</v>
      </c>
      <c r="CL116" s="65">
        <f t="shared" ref="CL116:CU119" si="731">SUM(BE116,CA116,BP116)</f>
        <v>0</v>
      </c>
      <c r="CM116" s="65">
        <f t="shared" si="731"/>
        <v>0</v>
      </c>
      <c r="CN116" s="65">
        <f t="shared" si="731"/>
        <v>0</v>
      </c>
      <c r="CO116" s="65">
        <f t="shared" si="731"/>
        <v>0</v>
      </c>
      <c r="CP116" s="65">
        <f t="shared" si="731"/>
        <v>0</v>
      </c>
      <c r="CQ116" s="65">
        <f t="shared" si="731"/>
        <v>0</v>
      </c>
      <c r="CR116" s="65">
        <f t="shared" si="731"/>
        <v>0</v>
      </c>
      <c r="CS116" s="65">
        <f t="shared" si="731"/>
        <v>0</v>
      </c>
      <c r="CT116" s="65">
        <f t="shared" si="731"/>
        <v>0</v>
      </c>
      <c r="CU116" s="65">
        <f t="shared" si="731"/>
        <v>0</v>
      </c>
      <c r="CV116" s="64">
        <f>SUM(CM116:CP116,CR116:CU116)</f>
        <v>0</v>
      </c>
      <c r="CW116" s="62"/>
      <c r="CX116" s="63"/>
      <c r="CY116" s="63"/>
      <c r="CZ116" s="63"/>
      <c r="DA116" s="63"/>
      <c r="DB116" s="63"/>
      <c r="DC116" s="63"/>
      <c r="DD116" s="63"/>
      <c r="DE116" s="63"/>
      <c r="DF116" s="63"/>
      <c r="DG116" s="64">
        <f>SUM(CX116:DA116,DC116:DF116)</f>
        <v>0</v>
      </c>
      <c r="DH116" s="62"/>
      <c r="DI116" s="63"/>
      <c r="DJ116" s="63"/>
      <c r="DK116" s="63"/>
      <c r="DL116" s="63"/>
      <c r="DM116" s="63"/>
      <c r="DN116" s="63"/>
      <c r="DO116" s="63"/>
      <c r="DP116" s="63"/>
      <c r="DQ116" s="63"/>
      <c r="DR116" s="64">
        <f>SUM(DI116:DL116,DN116:DQ116)</f>
        <v>0</v>
      </c>
      <c r="DS116" s="62"/>
      <c r="DT116" s="63"/>
      <c r="DU116" s="63"/>
      <c r="DV116" s="63"/>
      <c r="DW116" s="63"/>
      <c r="DX116" s="63"/>
      <c r="DY116" s="63"/>
      <c r="DZ116" s="63"/>
      <c r="EA116" s="63"/>
      <c r="EB116" s="63"/>
      <c r="EC116" s="63"/>
      <c r="ED116" s="65">
        <f t="shared" ref="ED116:EM119" si="732">SUM(CW116,DS116,DH116)</f>
        <v>0</v>
      </c>
      <c r="EE116" s="65">
        <f t="shared" si="732"/>
        <v>0</v>
      </c>
      <c r="EF116" s="65">
        <f t="shared" si="732"/>
        <v>0</v>
      </c>
      <c r="EG116" s="65">
        <f t="shared" si="732"/>
        <v>0</v>
      </c>
      <c r="EH116" s="65">
        <f t="shared" si="732"/>
        <v>0</v>
      </c>
      <c r="EI116" s="65">
        <f t="shared" si="732"/>
        <v>0</v>
      </c>
      <c r="EJ116" s="65">
        <f t="shared" si="732"/>
        <v>0</v>
      </c>
      <c r="EK116" s="65">
        <f t="shared" si="732"/>
        <v>0</v>
      </c>
      <c r="EL116" s="65">
        <f t="shared" si="732"/>
        <v>0</v>
      </c>
      <c r="EM116" s="65">
        <f t="shared" si="732"/>
        <v>0</v>
      </c>
      <c r="EN116" s="64">
        <f>SUM(EE116:EH116,EJ116:EM116)</f>
        <v>0</v>
      </c>
      <c r="EO116" s="62"/>
      <c r="EP116" s="63"/>
      <c r="EQ116" s="63"/>
      <c r="ER116" s="63"/>
      <c r="ES116" s="63"/>
      <c r="ET116" s="63"/>
      <c r="EU116" s="63"/>
      <c r="EV116" s="63"/>
      <c r="EW116" s="63"/>
      <c r="EX116" s="63"/>
      <c r="EY116" s="64">
        <f>SUM(EP116:ES116,EU116:EX116)</f>
        <v>0</v>
      </c>
      <c r="EZ116" s="62"/>
      <c r="FA116" s="63"/>
      <c r="FB116" s="63"/>
      <c r="FC116" s="63"/>
      <c r="FD116" s="63"/>
      <c r="FE116" s="63"/>
      <c r="FF116" s="63"/>
      <c r="FG116" s="63"/>
      <c r="FH116" s="63"/>
      <c r="FI116" s="63"/>
      <c r="FJ116" s="64">
        <f>SUM(FA116:FD116,FF116:FI116)</f>
        <v>0</v>
      </c>
      <c r="FK116" s="62"/>
      <c r="FL116" s="63"/>
      <c r="FM116" s="63"/>
      <c r="FN116" s="63"/>
      <c r="FO116" s="63"/>
      <c r="FP116" s="63"/>
      <c r="FQ116" s="63"/>
      <c r="FR116" s="63"/>
      <c r="FS116" s="63"/>
      <c r="FT116" s="63"/>
      <c r="FU116" s="64">
        <f>SUM(FL116:FO116,FQ116:FT116)</f>
        <v>0</v>
      </c>
      <c r="FV116" s="65">
        <f t="shared" ref="FV116:GE119" si="733">SUM(EO116,FK116,EZ116)</f>
        <v>0</v>
      </c>
      <c r="FW116" s="65">
        <f t="shared" si="733"/>
        <v>0</v>
      </c>
      <c r="FX116" s="65">
        <f t="shared" si="733"/>
        <v>0</v>
      </c>
      <c r="FY116" s="65">
        <f t="shared" si="733"/>
        <v>0</v>
      </c>
      <c r="FZ116" s="65">
        <f t="shared" si="733"/>
        <v>0</v>
      </c>
      <c r="GA116" s="65">
        <f t="shared" si="733"/>
        <v>0</v>
      </c>
      <c r="GB116" s="65">
        <f t="shared" si="733"/>
        <v>0</v>
      </c>
      <c r="GC116" s="65">
        <f t="shared" si="733"/>
        <v>0</v>
      </c>
      <c r="GD116" s="65">
        <f t="shared" si="733"/>
        <v>0</v>
      </c>
      <c r="GE116" s="65">
        <f t="shared" si="733"/>
        <v>0</v>
      </c>
      <c r="GF116" s="64">
        <f>SUM(FW116:FZ116,GB116:GE116)</f>
        <v>0</v>
      </c>
      <c r="GG116" s="66">
        <f t="shared" ref="GG116:GP119" si="734">SUM(AT116,CL116,ED116,FV116)</f>
        <v>0</v>
      </c>
      <c r="GH116" s="66">
        <f t="shared" si="734"/>
        <v>0</v>
      </c>
      <c r="GI116" s="66">
        <f t="shared" si="734"/>
        <v>0</v>
      </c>
      <c r="GJ116" s="66">
        <f t="shared" si="734"/>
        <v>0</v>
      </c>
      <c r="GK116" s="66">
        <f t="shared" si="734"/>
        <v>0</v>
      </c>
      <c r="GL116" s="66">
        <f t="shared" si="734"/>
        <v>0</v>
      </c>
      <c r="GM116" s="66">
        <f t="shared" si="734"/>
        <v>0</v>
      </c>
      <c r="GN116" s="66">
        <f t="shared" si="734"/>
        <v>0</v>
      </c>
      <c r="GO116" s="66">
        <f t="shared" si="734"/>
        <v>0</v>
      </c>
      <c r="GP116" s="66">
        <f t="shared" si="734"/>
        <v>0</v>
      </c>
      <c r="GQ116" s="64">
        <f>SUM(GH116:GK116,GM116:GP116)</f>
        <v>0</v>
      </c>
      <c r="GR116" s="63"/>
      <c r="GS116" s="63"/>
      <c r="GT116" s="63"/>
      <c r="GU116" s="63"/>
      <c r="GV116" s="67">
        <f>SUM(GR116:GU116)</f>
        <v>0</v>
      </c>
      <c r="GW116" s="63"/>
      <c r="GX116" s="63"/>
      <c r="GY116" s="63"/>
      <c r="GZ116" s="63"/>
      <c r="HA116" s="67">
        <f>SUM(GW116:GZ116)</f>
        <v>0</v>
      </c>
      <c r="HB116" s="63"/>
      <c r="HC116" s="63"/>
      <c r="HD116" s="63"/>
      <c r="HE116" s="63"/>
      <c r="HF116" s="67">
        <f>SUM(HB116:HE116)</f>
        <v>0</v>
      </c>
      <c r="HG116" s="63"/>
      <c r="HH116" s="63"/>
      <c r="HI116" s="63"/>
      <c r="HJ116" s="63"/>
      <c r="HK116" s="67">
        <f>SUM(HG116:HJ116)</f>
        <v>0</v>
      </c>
      <c r="HL116" s="68">
        <f t="shared" ref="HL116:HO119" si="735">SUM(GW116,HB116,HG116)</f>
        <v>0</v>
      </c>
      <c r="HM116" s="68">
        <f t="shared" si="735"/>
        <v>0</v>
      </c>
      <c r="HN116" s="68">
        <f t="shared" si="735"/>
        <v>0</v>
      </c>
      <c r="HO116" s="68">
        <f t="shared" si="735"/>
        <v>0</v>
      </c>
      <c r="HP116" s="67">
        <f>SUM(HL116:HO116)</f>
        <v>0</v>
      </c>
      <c r="HQ116" s="63"/>
      <c r="HR116" s="63"/>
      <c r="HS116" s="63"/>
      <c r="HT116" s="63"/>
      <c r="HU116" s="67">
        <f>SUM(HQ116:HT116)</f>
        <v>0</v>
      </c>
      <c r="HV116" s="63"/>
      <c r="HW116" s="63"/>
      <c r="HX116" s="63"/>
      <c r="HY116" s="63"/>
      <c r="HZ116" s="67">
        <f>SUM(HV116:HY116)</f>
        <v>0</v>
      </c>
      <c r="IA116" s="63"/>
      <c r="IB116" s="63"/>
      <c r="IC116" s="63"/>
      <c r="ID116" s="63"/>
      <c r="IE116" s="67">
        <f>SUM(IA116:ID116)</f>
        <v>0</v>
      </c>
      <c r="IF116" s="68">
        <f t="shared" ref="IF116:II119" si="736">SUM(HQ116,HV116,IA116)</f>
        <v>0</v>
      </c>
      <c r="IG116" s="68">
        <f t="shared" si="736"/>
        <v>0</v>
      </c>
      <c r="IH116" s="68">
        <f t="shared" si="736"/>
        <v>0</v>
      </c>
      <c r="II116" s="68">
        <f t="shared" si="736"/>
        <v>0</v>
      </c>
      <c r="IJ116" s="67">
        <f>SUM(IF116:II116)</f>
        <v>0</v>
      </c>
      <c r="IK116" s="63"/>
      <c r="IL116" s="63"/>
      <c r="IM116" s="63"/>
      <c r="IN116" s="63"/>
      <c r="IO116" s="67">
        <f>SUM(IK116:IN116)</f>
        <v>0</v>
      </c>
      <c r="IP116" s="63"/>
      <c r="IQ116" s="63"/>
      <c r="IR116" s="63"/>
      <c r="IS116" s="63"/>
      <c r="IT116" s="67">
        <f>SUM(IP116:IS116)</f>
        <v>0</v>
      </c>
      <c r="IU116" s="63"/>
      <c r="IV116" s="63"/>
    </row>
    <row r="117" spans="1:256" ht="12.75" customHeight="1" x14ac:dyDescent="0.25">
      <c r="A117" s="117" t="s">
        <v>104</v>
      </c>
      <c r="B117" s="62"/>
      <c r="C117" s="63"/>
      <c r="D117" s="63"/>
      <c r="E117" s="63"/>
      <c r="F117" s="63"/>
      <c r="G117" s="63"/>
      <c r="H117" s="63"/>
      <c r="I117" s="63"/>
      <c r="J117" s="63"/>
      <c r="K117" s="63"/>
      <c r="L117" s="64">
        <f>SUM(C117:F117,H117:K117)</f>
        <v>0</v>
      </c>
      <c r="M117" s="62"/>
      <c r="N117" s="63"/>
      <c r="O117" s="63"/>
      <c r="P117" s="63"/>
      <c r="Q117" s="63"/>
      <c r="R117" s="63"/>
      <c r="S117" s="63"/>
      <c r="T117" s="63"/>
      <c r="U117" s="63"/>
      <c r="V117" s="63"/>
      <c r="W117" s="64">
        <f>SUM(N117:Q117,S117:V117)</f>
        <v>0</v>
      </c>
      <c r="X117" s="62"/>
      <c r="Y117" s="63"/>
      <c r="Z117" s="63"/>
      <c r="AA117" s="63"/>
      <c r="AB117" s="63"/>
      <c r="AC117" s="63"/>
      <c r="AD117" s="63"/>
      <c r="AE117" s="63"/>
      <c r="AF117" s="63"/>
      <c r="AG117" s="63"/>
      <c r="AH117" s="64">
        <f>SUM(Y117:AB117,AD117:AG117)</f>
        <v>0</v>
      </c>
      <c r="AI117" s="62"/>
      <c r="AJ117" s="63"/>
      <c r="AK117" s="63"/>
      <c r="AL117" s="63"/>
      <c r="AM117" s="63"/>
      <c r="AN117" s="63"/>
      <c r="AO117" s="63"/>
      <c r="AP117" s="63"/>
      <c r="AQ117" s="63"/>
      <c r="AR117" s="63"/>
      <c r="AS117" s="64">
        <f>SUM(AJ117:AM117,AO117:AR117)</f>
        <v>0</v>
      </c>
      <c r="AT117" s="65">
        <f t="shared" si="730"/>
        <v>0</v>
      </c>
      <c r="AU117" s="65">
        <f t="shared" si="730"/>
        <v>0</v>
      </c>
      <c r="AV117" s="65">
        <f t="shared" si="730"/>
        <v>0</v>
      </c>
      <c r="AW117" s="65">
        <f t="shared" si="730"/>
        <v>0</v>
      </c>
      <c r="AX117" s="65">
        <f t="shared" si="730"/>
        <v>0</v>
      </c>
      <c r="AY117" s="65">
        <f t="shared" si="730"/>
        <v>0</v>
      </c>
      <c r="AZ117" s="65">
        <f t="shared" si="730"/>
        <v>0</v>
      </c>
      <c r="BA117" s="65">
        <f t="shared" si="730"/>
        <v>0</v>
      </c>
      <c r="BB117" s="65">
        <f t="shared" si="730"/>
        <v>0</v>
      </c>
      <c r="BC117" s="65">
        <f t="shared" si="730"/>
        <v>0</v>
      </c>
      <c r="BD117" s="64">
        <f>SUM(AU117:AX117,AZ117:BC117)</f>
        <v>0</v>
      </c>
      <c r="BE117" s="62"/>
      <c r="BF117" s="63"/>
      <c r="BG117" s="63"/>
      <c r="BH117" s="63"/>
      <c r="BI117" s="63"/>
      <c r="BJ117" s="63"/>
      <c r="BK117" s="63"/>
      <c r="BL117" s="63"/>
      <c r="BM117" s="63"/>
      <c r="BN117" s="63"/>
      <c r="BO117" s="64">
        <f>SUM(BF117:BI117,BK117:BN117)</f>
        <v>0</v>
      </c>
      <c r="BP117" s="62"/>
      <c r="BQ117" s="63"/>
      <c r="BR117" s="63"/>
      <c r="BS117" s="63"/>
      <c r="BT117" s="63"/>
      <c r="BU117" s="63"/>
      <c r="BV117" s="63"/>
      <c r="BW117" s="63"/>
      <c r="BX117" s="63"/>
      <c r="BY117" s="63"/>
      <c r="BZ117" s="64">
        <f>SUM(BQ117:BT117,BV117:BY117)</f>
        <v>0</v>
      </c>
      <c r="CA117" s="62"/>
      <c r="CB117" s="63"/>
      <c r="CC117" s="63"/>
      <c r="CD117" s="63"/>
      <c r="CE117" s="63"/>
      <c r="CF117" s="63"/>
      <c r="CG117" s="63"/>
      <c r="CH117" s="63"/>
      <c r="CI117" s="63"/>
      <c r="CJ117" s="63"/>
      <c r="CK117" s="64">
        <f>SUM(CB117:CE117,CG117:CJ117)</f>
        <v>0</v>
      </c>
      <c r="CL117" s="65">
        <f t="shared" si="731"/>
        <v>0</v>
      </c>
      <c r="CM117" s="65">
        <f t="shared" si="731"/>
        <v>0</v>
      </c>
      <c r="CN117" s="65">
        <f t="shared" si="731"/>
        <v>0</v>
      </c>
      <c r="CO117" s="65">
        <f t="shared" si="731"/>
        <v>0</v>
      </c>
      <c r="CP117" s="65">
        <f t="shared" si="731"/>
        <v>0</v>
      </c>
      <c r="CQ117" s="65">
        <f t="shared" si="731"/>
        <v>0</v>
      </c>
      <c r="CR117" s="65">
        <f t="shared" si="731"/>
        <v>0</v>
      </c>
      <c r="CS117" s="65">
        <f t="shared" si="731"/>
        <v>0</v>
      </c>
      <c r="CT117" s="65">
        <f t="shared" si="731"/>
        <v>0</v>
      </c>
      <c r="CU117" s="65">
        <f t="shared" si="731"/>
        <v>0</v>
      </c>
      <c r="CV117" s="64">
        <f>SUM(CM117:CP117,CR117:CU117)</f>
        <v>0</v>
      </c>
      <c r="CW117" s="62"/>
      <c r="CX117" s="63"/>
      <c r="CY117" s="63"/>
      <c r="CZ117" s="63"/>
      <c r="DA117" s="63"/>
      <c r="DB117" s="63"/>
      <c r="DC117" s="63"/>
      <c r="DD117" s="63"/>
      <c r="DE117" s="63"/>
      <c r="DF117" s="63"/>
      <c r="DG117" s="64">
        <f>SUM(CX117:DA117,DC117:DF117)</f>
        <v>0</v>
      </c>
      <c r="DH117" s="62"/>
      <c r="DI117" s="63"/>
      <c r="DJ117" s="63"/>
      <c r="DK117" s="63"/>
      <c r="DL117" s="63"/>
      <c r="DM117" s="63"/>
      <c r="DN117" s="63"/>
      <c r="DO117" s="63"/>
      <c r="DP117" s="63"/>
      <c r="DQ117" s="63"/>
      <c r="DR117" s="64">
        <f>SUM(DI117:DL117,DN117:DQ117)</f>
        <v>0</v>
      </c>
      <c r="DS117" s="62"/>
      <c r="DT117" s="63"/>
      <c r="DU117" s="63"/>
      <c r="DV117" s="63"/>
      <c r="DW117" s="63"/>
      <c r="DX117" s="63"/>
      <c r="DY117" s="63"/>
      <c r="DZ117" s="63"/>
      <c r="EA117" s="63"/>
      <c r="EB117" s="63"/>
      <c r="EC117" s="63"/>
      <c r="ED117" s="65">
        <f t="shared" si="732"/>
        <v>0</v>
      </c>
      <c r="EE117" s="65">
        <f t="shared" si="732"/>
        <v>0</v>
      </c>
      <c r="EF117" s="65">
        <f t="shared" si="732"/>
        <v>0</v>
      </c>
      <c r="EG117" s="65">
        <f t="shared" si="732"/>
        <v>0</v>
      </c>
      <c r="EH117" s="65">
        <f t="shared" si="732"/>
        <v>0</v>
      </c>
      <c r="EI117" s="65">
        <f t="shared" si="732"/>
        <v>0</v>
      </c>
      <c r="EJ117" s="65">
        <f t="shared" si="732"/>
        <v>0</v>
      </c>
      <c r="EK117" s="65">
        <f t="shared" si="732"/>
        <v>0</v>
      </c>
      <c r="EL117" s="65">
        <f t="shared" si="732"/>
        <v>0</v>
      </c>
      <c r="EM117" s="65">
        <f t="shared" si="732"/>
        <v>0</v>
      </c>
      <c r="EN117" s="64">
        <f>SUM(EE117:EH117,EJ117:EM117)</f>
        <v>0</v>
      </c>
      <c r="EO117" s="62"/>
      <c r="EP117" s="63"/>
      <c r="EQ117" s="63"/>
      <c r="ER117" s="63"/>
      <c r="ES117" s="63"/>
      <c r="ET117" s="63"/>
      <c r="EU117" s="63"/>
      <c r="EV117" s="63"/>
      <c r="EW117" s="63"/>
      <c r="EX117" s="63"/>
      <c r="EY117" s="64">
        <f>SUM(EP117:ES117,EU117:EX117)</f>
        <v>0</v>
      </c>
      <c r="EZ117" s="62"/>
      <c r="FA117" s="63"/>
      <c r="FB117" s="63"/>
      <c r="FC117" s="63"/>
      <c r="FD117" s="63"/>
      <c r="FE117" s="63"/>
      <c r="FF117" s="63"/>
      <c r="FG117" s="63"/>
      <c r="FH117" s="63"/>
      <c r="FI117" s="63"/>
      <c r="FJ117" s="64">
        <f>SUM(FA117:FD117,FF117:FI117)</f>
        <v>0</v>
      </c>
      <c r="FK117" s="62"/>
      <c r="FL117" s="63"/>
      <c r="FM117" s="63"/>
      <c r="FN117" s="63"/>
      <c r="FO117" s="63"/>
      <c r="FP117" s="63"/>
      <c r="FQ117" s="63"/>
      <c r="FR117" s="63"/>
      <c r="FS117" s="63"/>
      <c r="FT117" s="63"/>
      <c r="FU117" s="64">
        <f>SUM(FL117:FO117,FQ117:FT117)</f>
        <v>0</v>
      </c>
      <c r="FV117" s="65">
        <f t="shared" si="733"/>
        <v>0</v>
      </c>
      <c r="FW117" s="65">
        <f t="shared" si="733"/>
        <v>0</v>
      </c>
      <c r="FX117" s="65">
        <f t="shared" si="733"/>
        <v>0</v>
      </c>
      <c r="FY117" s="65">
        <f t="shared" si="733"/>
        <v>0</v>
      </c>
      <c r="FZ117" s="65">
        <f t="shared" si="733"/>
        <v>0</v>
      </c>
      <c r="GA117" s="65">
        <f t="shared" si="733"/>
        <v>0</v>
      </c>
      <c r="GB117" s="65">
        <f t="shared" si="733"/>
        <v>0</v>
      </c>
      <c r="GC117" s="65">
        <f t="shared" si="733"/>
        <v>0</v>
      </c>
      <c r="GD117" s="65">
        <f t="shared" si="733"/>
        <v>0</v>
      </c>
      <c r="GE117" s="65">
        <f t="shared" si="733"/>
        <v>0</v>
      </c>
      <c r="GF117" s="64">
        <f>SUM(FW117:FZ117,GB117:GE117)</f>
        <v>0</v>
      </c>
      <c r="GG117" s="66">
        <f t="shared" si="734"/>
        <v>0</v>
      </c>
      <c r="GH117" s="66">
        <f t="shared" si="734"/>
        <v>0</v>
      </c>
      <c r="GI117" s="66">
        <f t="shared" si="734"/>
        <v>0</v>
      </c>
      <c r="GJ117" s="66">
        <f t="shared" si="734"/>
        <v>0</v>
      </c>
      <c r="GK117" s="66">
        <f t="shared" si="734"/>
        <v>0</v>
      </c>
      <c r="GL117" s="66">
        <f t="shared" si="734"/>
        <v>0</v>
      </c>
      <c r="GM117" s="66">
        <f t="shared" si="734"/>
        <v>0</v>
      </c>
      <c r="GN117" s="66">
        <f t="shared" si="734"/>
        <v>0</v>
      </c>
      <c r="GO117" s="66">
        <f t="shared" si="734"/>
        <v>0</v>
      </c>
      <c r="GP117" s="66">
        <f t="shared" si="734"/>
        <v>0</v>
      </c>
      <c r="GQ117" s="64">
        <f>SUM(GH117:GK117,GM117:GP117)</f>
        <v>0</v>
      </c>
      <c r="GR117" s="63"/>
      <c r="GS117" s="63"/>
      <c r="GT117" s="63"/>
      <c r="GU117" s="63"/>
      <c r="GV117" s="67">
        <f>SUM(GR117:GU117)</f>
        <v>0</v>
      </c>
      <c r="GW117" s="63"/>
      <c r="GX117" s="63"/>
      <c r="GY117" s="63"/>
      <c r="GZ117" s="63"/>
      <c r="HA117" s="67">
        <f>SUM(GW117:GZ117)</f>
        <v>0</v>
      </c>
      <c r="HB117" s="63"/>
      <c r="HC117" s="63"/>
      <c r="HD117" s="63"/>
      <c r="HE117" s="63"/>
      <c r="HF117" s="67">
        <f>SUM(HB117:HE117)</f>
        <v>0</v>
      </c>
      <c r="HG117" s="63"/>
      <c r="HH117" s="63"/>
      <c r="HI117" s="63"/>
      <c r="HJ117" s="63"/>
      <c r="HK117" s="67">
        <f>SUM(HG117:HJ117)</f>
        <v>0</v>
      </c>
      <c r="HL117" s="68">
        <f t="shared" si="735"/>
        <v>0</v>
      </c>
      <c r="HM117" s="68">
        <f t="shared" si="735"/>
        <v>0</v>
      </c>
      <c r="HN117" s="68">
        <f t="shared" si="735"/>
        <v>0</v>
      </c>
      <c r="HO117" s="68">
        <f t="shared" si="735"/>
        <v>0</v>
      </c>
      <c r="HP117" s="67">
        <f>SUM(HL117:HO117)</f>
        <v>0</v>
      </c>
      <c r="HQ117" s="63"/>
      <c r="HR117" s="63"/>
      <c r="HS117" s="63"/>
      <c r="HT117" s="63"/>
      <c r="HU117" s="67">
        <f>SUM(HQ117:HT117)</f>
        <v>0</v>
      </c>
      <c r="HV117" s="63"/>
      <c r="HW117" s="63"/>
      <c r="HX117" s="63"/>
      <c r="HY117" s="63"/>
      <c r="HZ117" s="67">
        <f>SUM(HV117:HY117)</f>
        <v>0</v>
      </c>
      <c r="IA117" s="63"/>
      <c r="IB117" s="63"/>
      <c r="IC117" s="63"/>
      <c r="ID117" s="63"/>
      <c r="IE117" s="67">
        <f>SUM(IA117:ID117)</f>
        <v>0</v>
      </c>
      <c r="IF117" s="68">
        <f t="shared" si="736"/>
        <v>0</v>
      </c>
      <c r="IG117" s="68">
        <f t="shared" si="736"/>
        <v>0</v>
      </c>
      <c r="IH117" s="68">
        <f t="shared" si="736"/>
        <v>0</v>
      </c>
      <c r="II117" s="68">
        <f t="shared" si="736"/>
        <v>0</v>
      </c>
      <c r="IJ117" s="67">
        <f>SUM(IF117:II117)</f>
        <v>0</v>
      </c>
      <c r="IK117" s="63"/>
      <c r="IL117" s="63"/>
      <c r="IM117" s="63"/>
      <c r="IN117" s="63"/>
      <c r="IO117" s="67">
        <f>SUM(IK117:IN117)</f>
        <v>0</v>
      </c>
      <c r="IP117" s="63"/>
      <c r="IQ117" s="63"/>
      <c r="IR117" s="63"/>
      <c r="IS117" s="63"/>
      <c r="IT117" s="67">
        <f>SUM(IP117:IS117)</f>
        <v>0</v>
      </c>
      <c r="IU117" s="63"/>
      <c r="IV117" s="63"/>
    </row>
    <row r="118" spans="1:256" ht="12.75" customHeight="1" x14ac:dyDescent="0.25">
      <c r="A118" s="117" t="s">
        <v>105</v>
      </c>
      <c r="B118" s="62"/>
      <c r="C118" s="63"/>
      <c r="D118" s="63"/>
      <c r="E118" s="63"/>
      <c r="F118" s="63"/>
      <c r="G118" s="63"/>
      <c r="H118" s="63"/>
      <c r="I118" s="63"/>
      <c r="J118" s="63"/>
      <c r="K118" s="63"/>
      <c r="L118" s="64">
        <f>SUM(C118:F118,H118:K118)</f>
        <v>0</v>
      </c>
      <c r="M118" s="62"/>
      <c r="N118" s="63"/>
      <c r="O118" s="63"/>
      <c r="P118" s="63"/>
      <c r="Q118" s="63"/>
      <c r="R118" s="63"/>
      <c r="S118" s="63"/>
      <c r="T118" s="63"/>
      <c r="U118" s="63"/>
      <c r="V118" s="63"/>
      <c r="W118" s="64">
        <f>SUM(N118:Q118,S118:V118)</f>
        <v>0</v>
      </c>
      <c r="X118" s="62"/>
      <c r="Y118" s="63"/>
      <c r="Z118" s="63"/>
      <c r="AA118" s="63"/>
      <c r="AB118" s="63"/>
      <c r="AC118" s="63"/>
      <c r="AD118" s="63"/>
      <c r="AE118" s="63"/>
      <c r="AF118" s="63"/>
      <c r="AG118" s="63"/>
      <c r="AH118" s="64">
        <f>SUM(Y118:AB118,AD118:AG118)</f>
        <v>0</v>
      </c>
      <c r="AI118" s="62"/>
      <c r="AJ118" s="63"/>
      <c r="AK118" s="63"/>
      <c r="AL118" s="63"/>
      <c r="AM118" s="63"/>
      <c r="AN118" s="63"/>
      <c r="AO118" s="63"/>
      <c r="AP118" s="63"/>
      <c r="AQ118" s="63"/>
      <c r="AR118" s="63"/>
      <c r="AS118" s="64">
        <f>SUM(AJ118:AM118,AO118:AR118)</f>
        <v>0</v>
      </c>
      <c r="AT118" s="65">
        <f t="shared" si="730"/>
        <v>0</v>
      </c>
      <c r="AU118" s="65">
        <f t="shared" si="730"/>
        <v>0</v>
      </c>
      <c r="AV118" s="65">
        <f t="shared" si="730"/>
        <v>0</v>
      </c>
      <c r="AW118" s="65">
        <f t="shared" si="730"/>
        <v>0</v>
      </c>
      <c r="AX118" s="65">
        <f t="shared" si="730"/>
        <v>0</v>
      </c>
      <c r="AY118" s="65">
        <f t="shared" si="730"/>
        <v>0</v>
      </c>
      <c r="AZ118" s="65">
        <f t="shared" si="730"/>
        <v>0</v>
      </c>
      <c r="BA118" s="65">
        <f t="shared" si="730"/>
        <v>0</v>
      </c>
      <c r="BB118" s="65">
        <f t="shared" si="730"/>
        <v>0</v>
      </c>
      <c r="BC118" s="65">
        <f t="shared" si="730"/>
        <v>0</v>
      </c>
      <c r="BD118" s="64">
        <f>SUM(AU118:AX118,AZ118:BC118)</f>
        <v>0</v>
      </c>
      <c r="BE118" s="62"/>
      <c r="BF118" s="63"/>
      <c r="BG118" s="63"/>
      <c r="BH118" s="63"/>
      <c r="BI118" s="63"/>
      <c r="BJ118" s="63"/>
      <c r="BK118" s="63"/>
      <c r="BL118" s="63"/>
      <c r="BM118" s="63"/>
      <c r="BN118" s="63"/>
      <c r="BO118" s="64">
        <f>SUM(BF118:BI118,BK118:BN118)</f>
        <v>0</v>
      </c>
      <c r="BP118" s="62"/>
      <c r="BQ118" s="63"/>
      <c r="BR118" s="63"/>
      <c r="BS118" s="63"/>
      <c r="BT118" s="63"/>
      <c r="BU118" s="63"/>
      <c r="BV118" s="63"/>
      <c r="BW118" s="63"/>
      <c r="BX118" s="63"/>
      <c r="BY118" s="63"/>
      <c r="BZ118" s="64">
        <f>SUM(BQ118:BT118,BV118:BY118)</f>
        <v>0</v>
      </c>
      <c r="CA118" s="62"/>
      <c r="CB118" s="63"/>
      <c r="CC118" s="63"/>
      <c r="CD118" s="63"/>
      <c r="CE118" s="63"/>
      <c r="CF118" s="63"/>
      <c r="CG118" s="63"/>
      <c r="CH118" s="63"/>
      <c r="CI118" s="63"/>
      <c r="CJ118" s="63"/>
      <c r="CK118" s="64">
        <f>SUM(CB118:CE118,CG118:CJ118)</f>
        <v>0</v>
      </c>
      <c r="CL118" s="65">
        <f t="shared" si="731"/>
        <v>0</v>
      </c>
      <c r="CM118" s="65">
        <f t="shared" si="731"/>
        <v>0</v>
      </c>
      <c r="CN118" s="65">
        <f t="shared" si="731"/>
        <v>0</v>
      </c>
      <c r="CO118" s="65">
        <f t="shared" si="731"/>
        <v>0</v>
      </c>
      <c r="CP118" s="65">
        <f t="shared" si="731"/>
        <v>0</v>
      </c>
      <c r="CQ118" s="65">
        <f t="shared" si="731"/>
        <v>0</v>
      </c>
      <c r="CR118" s="65">
        <f t="shared" si="731"/>
        <v>0</v>
      </c>
      <c r="CS118" s="65">
        <f t="shared" si="731"/>
        <v>0</v>
      </c>
      <c r="CT118" s="65">
        <f t="shared" si="731"/>
        <v>0</v>
      </c>
      <c r="CU118" s="65">
        <f t="shared" si="731"/>
        <v>0</v>
      </c>
      <c r="CV118" s="64">
        <f>SUM(CM118:CP118,CR118:CU118)</f>
        <v>0</v>
      </c>
      <c r="CW118" s="62"/>
      <c r="CX118" s="63"/>
      <c r="CY118" s="63"/>
      <c r="CZ118" s="63"/>
      <c r="DA118" s="63"/>
      <c r="DB118" s="63"/>
      <c r="DC118" s="63"/>
      <c r="DD118" s="63"/>
      <c r="DE118" s="63"/>
      <c r="DF118" s="63"/>
      <c r="DG118" s="64">
        <f>SUM(CX118:DA118,DC118:DF118)</f>
        <v>0</v>
      </c>
      <c r="DH118" s="62"/>
      <c r="DI118" s="63"/>
      <c r="DJ118" s="63"/>
      <c r="DK118" s="63"/>
      <c r="DL118" s="63"/>
      <c r="DM118" s="63"/>
      <c r="DN118" s="63"/>
      <c r="DO118" s="63"/>
      <c r="DP118" s="63"/>
      <c r="DQ118" s="63"/>
      <c r="DR118" s="64">
        <f>SUM(DI118:DL118,DN118:DQ118)</f>
        <v>0</v>
      </c>
      <c r="DS118" s="62"/>
      <c r="DT118" s="63"/>
      <c r="DU118" s="63"/>
      <c r="DV118" s="63"/>
      <c r="DW118" s="63"/>
      <c r="DX118" s="63"/>
      <c r="DY118" s="63"/>
      <c r="DZ118" s="63"/>
      <c r="EA118" s="63"/>
      <c r="EB118" s="63"/>
      <c r="EC118" s="63"/>
      <c r="ED118" s="65">
        <f t="shared" si="732"/>
        <v>0</v>
      </c>
      <c r="EE118" s="65">
        <f t="shared" si="732"/>
        <v>0</v>
      </c>
      <c r="EF118" s="65">
        <f t="shared" si="732"/>
        <v>0</v>
      </c>
      <c r="EG118" s="65">
        <f t="shared" si="732"/>
        <v>0</v>
      </c>
      <c r="EH118" s="65">
        <f t="shared" si="732"/>
        <v>0</v>
      </c>
      <c r="EI118" s="65">
        <f t="shared" si="732"/>
        <v>0</v>
      </c>
      <c r="EJ118" s="65">
        <f t="shared" si="732"/>
        <v>0</v>
      </c>
      <c r="EK118" s="65">
        <f t="shared" si="732"/>
        <v>0</v>
      </c>
      <c r="EL118" s="65">
        <f t="shared" si="732"/>
        <v>0</v>
      </c>
      <c r="EM118" s="65">
        <f t="shared" si="732"/>
        <v>0</v>
      </c>
      <c r="EN118" s="64">
        <f>SUM(EE118:EH118,EJ118:EM118)</f>
        <v>0</v>
      </c>
      <c r="EO118" s="62"/>
      <c r="EP118" s="63"/>
      <c r="EQ118" s="63"/>
      <c r="ER118" s="63"/>
      <c r="ES118" s="63"/>
      <c r="ET118" s="63"/>
      <c r="EU118" s="63"/>
      <c r="EV118" s="63"/>
      <c r="EW118" s="63"/>
      <c r="EX118" s="63"/>
      <c r="EY118" s="64">
        <f>SUM(EP118:ES118,EU118:EX118)</f>
        <v>0</v>
      </c>
      <c r="EZ118" s="62"/>
      <c r="FA118" s="63"/>
      <c r="FB118" s="63"/>
      <c r="FC118" s="63"/>
      <c r="FD118" s="63"/>
      <c r="FE118" s="63"/>
      <c r="FF118" s="63"/>
      <c r="FG118" s="63"/>
      <c r="FH118" s="63"/>
      <c r="FI118" s="63"/>
      <c r="FJ118" s="64">
        <f>SUM(FA118:FD118,FF118:FI118)</f>
        <v>0</v>
      </c>
      <c r="FK118" s="62"/>
      <c r="FL118" s="63"/>
      <c r="FM118" s="63"/>
      <c r="FN118" s="63"/>
      <c r="FO118" s="63"/>
      <c r="FP118" s="63"/>
      <c r="FQ118" s="63"/>
      <c r="FR118" s="63"/>
      <c r="FS118" s="63"/>
      <c r="FT118" s="63"/>
      <c r="FU118" s="64">
        <f>SUM(FL118:FO118,FQ118:FT118)</f>
        <v>0</v>
      </c>
      <c r="FV118" s="65">
        <f t="shared" si="733"/>
        <v>0</v>
      </c>
      <c r="FW118" s="65">
        <f t="shared" si="733"/>
        <v>0</v>
      </c>
      <c r="FX118" s="65">
        <f t="shared" si="733"/>
        <v>0</v>
      </c>
      <c r="FY118" s="65">
        <f t="shared" si="733"/>
        <v>0</v>
      </c>
      <c r="FZ118" s="65">
        <f t="shared" si="733"/>
        <v>0</v>
      </c>
      <c r="GA118" s="65">
        <f t="shared" si="733"/>
        <v>0</v>
      </c>
      <c r="GB118" s="65">
        <f t="shared" si="733"/>
        <v>0</v>
      </c>
      <c r="GC118" s="65">
        <f t="shared" si="733"/>
        <v>0</v>
      </c>
      <c r="GD118" s="65">
        <f t="shared" si="733"/>
        <v>0</v>
      </c>
      <c r="GE118" s="65">
        <f t="shared" si="733"/>
        <v>0</v>
      </c>
      <c r="GF118" s="64">
        <f>SUM(FW118:FZ118,GB118:GE118)</f>
        <v>0</v>
      </c>
      <c r="GG118" s="66">
        <f t="shared" si="734"/>
        <v>0</v>
      </c>
      <c r="GH118" s="66">
        <f t="shared" si="734"/>
        <v>0</v>
      </c>
      <c r="GI118" s="66">
        <f t="shared" si="734"/>
        <v>0</v>
      </c>
      <c r="GJ118" s="66">
        <f t="shared" si="734"/>
        <v>0</v>
      </c>
      <c r="GK118" s="66">
        <f t="shared" si="734"/>
        <v>0</v>
      </c>
      <c r="GL118" s="66">
        <f t="shared" si="734"/>
        <v>0</v>
      </c>
      <c r="GM118" s="66">
        <f t="shared" si="734"/>
        <v>0</v>
      </c>
      <c r="GN118" s="66">
        <f t="shared" si="734"/>
        <v>0</v>
      </c>
      <c r="GO118" s="66">
        <f t="shared" si="734"/>
        <v>0</v>
      </c>
      <c r="GP118" s="66">
        <f t="shared" si="734"/>
        <v>0</v>
      </c>
      <c r="GQ118" s="64">
        <f>SUM(GH118:GK118,GM118:GP118)</f>
        <v>0</v>
      </c>
      <c r="GR118" s="63"/>
      <c r="GS118" s="63"/>
      <c r="GT118" s="63"/>
      <c r="GU118" s="63"/>
      <c r="GV118" s="67">
        <f>SUM(GR118:GU118)</f>
        <v>0</v>
      </c>
      <c r="GW118" s="63"/>
      <c r="GX118" s="63"/>
      <c r="GY118" s="63"/>
      <c r="GZ118" s="63"/>
      <c r="HA118" s="67">
        <f>SUM(GW118:GZ118)</f>
        <v>0</v>
      </c>
      <c r="HB118" s="63"/>
      <c r="HC118" s="63"/>
      <c r="HD118" s="63"/>
      <c r="HE118" s="63"/>
      <c r="HF118" s="67">
        <f>SUM(HB118:HE118)</f>
        <v>0</v>
      </c>
      <c r="HG118" s="63"/>
      <c r="HH118" s="63"/>
      <c r="HI118" s="63"/>
      <c r="HJ118" s="63"/>
      <c r="HK118" s="67">
        <f>SUM(HG118:HJ118)</f>
        <v>0</v>
      </c>
      <c r="HL118" s="68">
        <f t="shared" si="735"/>
        <v>0</v>
      </c>
      <c r="HM118" s="68">
        <f t="shared" si="735"/>
        <v>0</v>
      </c>
      <c r="HN118" s="68">
        <f t="shared" si="735"/>
        <v>0</v>
      </c>
      <c r="HO118" s="68">
        <f t="shared" si="735"/>
        <v>0</v>
      </c>
      <c r="HP118" s="67">
        <f>SUM(HL118:HO118)</f>
        <v>0</v>
      </c>
      <c r="HQ118" s="63"/>
      <c r="HR118" s="63"/>
      <c r="HS118" s="63"/>
      <c r="HT118" s="63"/>
      <c r="HU118" s="67">
        <f>SUM(HQ118:HT118)</f>
        <v>0</v>
      </c>
      <c r="HV118" s="63"/>
      <c r="HW118" s="63"/>
      <c r="HX118" s="63"/>
      <c r="HY118" s="63"/>
      <c r="HZ118" s="67">
        <f>SUM(HV118:HY118)</f>
        <v>0</v>
      </c>
      <c r="IA118" s="63"/>
      <c r="IB118" s="63"/>
      <c r="IC118" s="63"/>
      <c r="ID118" s="63"/>
      <c r="IE118" s="67">
        <f>SUM(IA118:ID118)</f>
        <v>0</v>
      </c>
      <c r="IF118" s="68">
        <f t="shared" si="736"/>
        <v>0</v>
      </c>
      <c r="IG118" s="68">
        <f t="shared" si="736"/>
        <v>0</v>
      </c>
      <c r="IH118" s="68">
        <f t="shared" si="736"/>
        <v>0</v>
      </c>
      <c r="II118" s="68">
        <f t="shared" si="736"/>
        <v>0</v>
      </c>
      <c r="IJ118" s="67">
        <f>SUM(IF118:II118)</f>
        <v>0</v>
      </c>
      <c r="IK118" s="63"/>
      <c r="IL118" s="63"/>
      <c r="IM118" s="63"/>
      <c r="IN118" s="63"/>
      <c r="IO118" s="67">
        <f>SUM(IK118:IN118)</f>
        <v>0</v>
      </c>
      <c r="IP118" s="63"/>
      <c r="IQ118" s="63"/>
      <c r="IR118" s="63"/>
      <c r="IS118" s="63"/>
      <c r="IT118" s="67">
        <f>SUM(IP118:IS118)</f>
        <v>0</v>
      </c>
      <c r="IU118" s="63"/>
      <c r="IV118" s="63"/>
    </row>
    <row r="119" spans="1:256" ht="12.75" customHeight="1" x14ac:dyDescent="0.25">
      <c r="A119" s="117" t="s">
        <v>107</v>
      </c>
      <c r="B119" s="62"/>
      <c r="C119" s="63"/>
      <c r="D119" s="63"/>
      <c r="E119" s="63"/>
      <c r="F119" s="63"/>
      <c r="G119" s="63"/>
      <c r="H119" s="63"/>
      <c r="I119" s="63"/>
      <c r="J119" s="63"/>
      <c r="K119" s="63"/>
      <c r="L119" s="64">
        <f>SUM(C119:F119,H119:K119)</f>
        <v>0</v>
      </c>
      <c r="M119" s="62"/>
      <c r="N119" s="63"/>
      <c r="O119" s="63"/>
      <c r="P119" s="63"/>
      <c r="Q119" s="63"/>
      <c r="R119" s="63"/>
      <c r="S119" s="63"/>
      <c r="T119" s="63"/>
      <c r="U119" s="63"/>
      <c r="V119" s="63"/>
      <c r="W119" s="64">
        <f>SUM(N119:Q119,S119:V119)</f>
        <v>0</v>
      </c>
      <c r="X119" s="62"/>
      <c r="Y119" s="63"/>
      <c r="Z119" s="63"/>
      <c r="AA119" s="63"/>
      <c r="AB119" s="63"/>
      <c r="AC119" s="63"/>
      <c r="AD119" s="63"/>
      <c r="AE119" s="63"/>
      <c r="AF119" s="63"/>
      <c r="AG119" s="63"/>
      <c r="AH119" s="64">
        <f>SUM(Y119:AB119,AD119:AG119)</f>
        <v>0</v>
      </c>
      <c r="AI119" s="62"/>
      <c r="AJ119" s="63"/>
      <c r="AK119" s="63"/>
      <c r="AL119" s="63"/>
      <c r="AM119" s="63"/>
      <c r="AN119" s="63"/>
      <c r="AO119" s="63"/>
      <c r="AP119" s="63"/>
      <c r="AQ119" s="63"/>
      <c r="AR119" s="63"/>
      <c r="AS119" s="64">
        <f>SUM(AJ119:AM119,AO119:AR119)</f>
        <v>0</v>
      </c>
      <c r="AT119" s="65">
        <f t="shared" si="730"/>
        <v>0</v>
      </c>
      <c r="AU119" s="65">
        <f t="shared" si="730"/>
        <v>0</v>
      </c>
      <c r="AV119" s="65">
        <f t="shared" si="730"/>
        <v>0</v>
      </c>
      <c r="AW119" s="65">
        <f t="shared" si="730"/>
        <v>0</v>
      </c>
      <c r="AX119" s="65">
        <f t="shared" si="730"/>
        <v>0</v>
      </c>
      <c r="AY119" s="65">
        <f t="shared" si="730"/>
        <v>0</v>
      </c>
      <c r="AZ119" s="65">
        <f t="shared" si="730"/>
        <v>0</v>
      </c>
      <c r="BA119" s="65">
        <f t="shared" si="730"/>
        <v>0</v>
      </c>
      <c r="BB119" s="65">
        <f t="shared" si="730"/>
        <v>0</v>
      </c>
      <c r="BC119" s="65">
        <f t="shared" si="730"/>
        <v>0</v>
      </c>
      <c r="BD119" s="64">
        <f>SUM(AU119:AX119,AZ119:BC119)</f>
        <v>0</v>
      </c>
      <c r="BE119" s="62"/>
      <c r="BF119" s="63"/>
      <c r="BG119" s="63"/>
      <c r="BH119" s="63"/>
      <c r="BI119" s="63"/>
      <c r="BJ119" s="63"/>
      <c r="BK119" s="63"/>
      <c r="BL119" s="63"/>
      <c r="BM119" s="63"/>
      <c r="BN119" s="63"/>
      <c r="BO119" s="64">
        <f>SUM(BF119:BI119,BK119:BN119)</f>
        <v>0</v>
      </c>
      <c r="BP119" s="62"/>
      <c r="BQ119" s="63"/>
      <c r="BR119" s="63"/>
      <c r="BS119" s="63"/>
      <c r="BT119" s="63"/>
      <c r="BU119" s="63"/>
      <c r="BV119" s="63"/>
      <c r="BW119" s="63"/>
      <c r="BX119" s="63"/>
      <c r="BY119" s="63"/>
      <c r="BZ119" s="64">
        <f>SUM(BQ119:BT119,BV119:BY119)</f>
        <v>0</v>
      </c>
      <c r="CA119" s="62"/>
      <c r="CB119" s="63"/>
      <c r="CC119" s="63"/>
      <c r="CD119" s="63"/>
      <c r="CE119" s="63"/>
      <c r="CF119" s="63"/>
      <c r="CG119" s="63"/>
      <c r="CH119" s="63"/>
      <c r="CI119" s="63"/>
      <c r="CJ119" s="63"/>
      <c r="CK119" s="64">
        <f>SUM(CB119:CE119,CG119:CJ119)</f>
        <v>0</v>
      </c>
      <c r="CL119" s="65">
        <f t="shared" si="731"/>
        <v>0</v>
      </c>
      <c r="CM119" s="65">
        <f t="shared" si="731"/>
        <v>0</v>
      </c>
      <c r="CN119" s="65">
        <f t="shared" si="731"/>
        <v>0</v>
      </c>
      <c r="CO119" s="65">
        <f t="shared" si="731"/>
        <v>0</v>
      </c>
      <c r="CP119" s="65">
        <f t="shared" si="731"/>
        <v>0</v>
      </c>
      <c r="CQ119" s="65">
        <f t="shared" si="731"/>
        <v>0</v>
      </c>
      <c r="CR119" s="65">
        <f t="shared" si="731"/>
        <v>0</v>
      </c>
      <c r="CS119" s="65">
        <f t="shared" si="731"/>
        <v>0</v>
      </c>
      <c r="CT119" s="65">
        <f t="shared" si="731"/>
        <v>0</v>
      </c>
      <c r="CU119" s="65">
        <f t="shared" si="731"/>
        <v>0</v>
      </c>
      <c r="CV119" s="64">
        <f>SUM(CM119:CP119,CR119:CU119)</f>
        <v>0</v>
      </c>
      <c r="CW119" s="62"/>
      <c r="CX119" s="63"/>
      <c r="CY119" s="63"/>
      <c r="CZ119" s="63"/>
      <c r="DA119" s="63"/>
      <c r="DB119" s="63"/>
      <c r="DC119" s="63"/>
      <c r="DD119" s="63"/>
      <c r="DE119" s="63"/>
      <c r="DF119" s="63"/>
      <c r="DG119" s="64">
        <f>SUM(CX119:DA119,DC119:DF119)</f>
        <v>0</v>
      </c>
      <c r="DH119" s="62"/>
      <c r="DI119" s="63"/>
      <c r="DJ119" s="63"/>
      <c r="DK119" s="63"/>
      <c r="DL119" s="63"/>
      <c r="DM119" s="63"/>
      <c r="DN119" s="63"/>
      <c r="DO119" s="63"/>
      <c r="DP119" s="63"/>
      <c r="DQ119" s="63"/>
      <c r="DR119" s="64">
        <f>SUM(DI119:DL119,DN119:DQ119)</f>
        <v>0</v>
      </c>
      <c r="DS119" s="62"/>
      <c r="DT119" s="63"/>
      <c r="DU119" s="63"/>
      <c r="DV119" s="63"/>
      <c r="DW119" s="63"/>
      <c r="DX119" s="63"/>
      <c r="DY119" s="63"/>
      <c r="DZ119" s="63"/>
      <c r="EA119" s="63"/>
      <c r="EB119" s="63"/>
      <c r="EC119" s="63"/>
      <c r="ED119" s="65">
        <f t="shared" si="732"/>
        <v>0</v>
      </c>
      <c r="EE119" s="65">
        <f t="shared" si="732"/>
        <v>0</v>
      </c>
      <c r="EF119" s="65">
        <f t="shared" si="732"/>
        <v>0</v>
      </c>
      <c r="EG119" s="65">
        <f t="shared" si="732"/>
        <v>0</v>
      </c>
      <c r="EH119" s="65">
        <f t="shared" si="732"/>
        <v>0</v>
      </c>
      <c r="EI119" s="65">
        <f t="shared" si="732"/>
        <v>0</v>
      </c>
      <c r="EJ119" s="65">
        <f t="shared" si="732"/>
        <v>0</v>
      </c>
      <c r="EK119" s="65">
        <f t="shared" si="732"/>
        <v>0</v>
      </c>
      <c r="EL119" s="65">
        <f t="shared" si="732"/>
        <v>0</v>
      </c>
      <c r="EM119" s="65">
        <f t="shared" si="732"/>
        <v>0</v>
      </c>
      <c r="EN119" s="64">
        <f>SUM(EE119:EH119,EJ119:EM119)</f>
        <v>0</v>
      </c>
      <c r="EO119" s="62"/>
      <c r="EP119" s="63"/>
      <c r="EQ119" s="63"/>
      <c r="ER119" s="63"/>
      <c r="ES119" s="63"/>
      <c r="ET119" s="63"/>
      <c r="EU119" s="63"/>
      <c r="EV119" s="63"/>
      <c r="EW119" s="63"/>
      <c r="EX119" s="63"/>
      <c r="EY119" s="64">
        <f>SUM(EP119:ES119,EU119:EX119)</f>
        <v>0</v>
      </c>
      <c r="EZ119" s="62"/>
      <c r="FA119" s="63"/>
      <c r="FB119" s="63"/>
      <c r="FC119" s="63"/>
      <c r="FD119" s="63"/>
      <c r="FE119" s="63"/>
      <c r="FF119" s="63"/>
      <c r="FG119" s="63"/>
      <c r="FH119" s="63"/>
      <c r="FI119" s="63"/>
      <c r="FJ119" s="64">
        <f>SUM(FA119:FD119,FF119:FI119)</f>
        <v>0</v>
      </c>
      <c r="FK119" s="62"/>
      <c r="FL119" s="63"/>
      <c r="FM119" s="63"/>
      <c r="FN119" s="63"/>
      <c r="FO119" s="63"/>
      <c r="FP119" s="63"/>
      <c r="FQ119" s="63"/>
      <c r="FR119" s="63"/>
      <c r="FS119" s="63"/>
      <c r="FT119" s="63"/>
      <c r="FU119" s="64">
        <f>SUM(FL119:FO119,FQ119:FT119)</f>
        <v>0</v>
      </c>
      <c r="FV119" s="65">
        <f t="shared" si="733"/>
        <v>0</v>
      </c>
      <c r="FW119" s="65">
        <f t="shared" si="733"/>
        <v>0</v>
      </c>
      <c r="FX119" s="65">
        <f t="shared" si="733"/>
        <v>0</v>
      </c>
      <c r="FY119" s="65">
        <f t="shared" si="733"/>
        <v>0</v>
      </c>
      <c r="FZ119" s="65">
        <f t="shared" si="733"/>
        <v>0</v>
      </c>
      <c r="GA119" s="65">
        <f t="shared" si="733"/>
        <v>0</v>
      </c>
      <c r="GB119" s="65">
        <f t="shared" si="733"/>
        <v>0</v>
      </c>
      <c r="GC119" s="65">
        <f t="shared" si="733"/>
        <v>0</v>
      </c>
      <c r="GD119" s="65">
        <f t="shared" si="733"/>
        <v>0</v>
      </c>
      <c r="GE119" s="65">
        <f t="shared" si="733"/>
        <v>0</v>
      </c>
      <c r="GF119" s="64">
        <f>SUM(FW119:FZ119,GB119:GE119)</f>
        <v>0</v>
      </c>
      <c r="GG119" s="66">
        <f t="shared" si="734"/>
        <v>0</v>
      </c>
      <c r="GH119" s="66">
        <f t="shared" si="734"/>
        <v>0</v>
      </c>
      <c r="GI119" s="66">
        <f t="shared" si="734"/>
        <v>0</v>
      </c>
      <c r="GJ119" s="66">
        <f t="shared" si="734"/>
        <v>0</v>
      </c>
      <c r="GK119" s="66">
        <f t="shared" si="734"/>
        <v>0</v>
      </c>
      <c r="GL119" s="66">
        <f t="shared" si="734"/>
        <v>0</v>
      </c>
      <c r="GM119" s="66">
        <f t="shared" si="734"/>
        <v>0</v>
      </c>
      <c r="GN119" s="66">
        <f t="shared" si="734"/>
        <v>0</v>
      </c>
      <c r="GO119" s="66">
        <f t="shared" si="734"/>
        <v>0</v>
      </c>
      <c r="GP119" s="66">
        <f t="shared" si="734"/>
        <v>0</v>
      </c>
      <c r="GQ119" s="64">
        <f>SUM(GH119:GK119,GM119:GP119)</f>
        <v>0</v>
      </c>
      <c r="GR119" s="63"/>
      <c r="GS119" s="63"/>
      <c r="GT119" s="63"/>
      <c r="GU119" s="63"/>
      <c r="GV119" s="67">
        <f>SUM(GR119:GU119)</f>
        <v>0</v>
      </c>
      <c r="GW119" s="63"/>
      <c r="GX119" s="63"/>
      <c r="GY119" s="63"/>
      <c r="GZ119" s="63"/>
      <c r="HA119" s="67">
        <f>SUM(GW119:GZ119)</f>
        <v>0</v>
      </c>
      <c r="HB119" s="63"/>
      <c r="HC119" s="63"/>
      <c r="HD119" s="63"/>
      <c r="HE119" s="63"/>
      <c r="HF119" s="67">
        <f>SUM(HB119:HE119)</f>
        <v>0</v>
      </c>
      <c r="HG119" s="63"/>
      <c r="HH119" s="63"/>
      <c r="HI119" s="63"/>
      <c r="HJ119" s="63"/>
      <c r="HK119" s="67">
        <f>SUM(HG119:HJ119)</f>
        <v>0</v>
      </c>
      <c r="HL119" s="68">
        <f t="shared" si="735"/>
        <v>0</v>
      </c>
      <c r="HM119" s="68">
        <f t="shared" si="735"/>
        <v>0</v>
      </c>
      <c r="HN119" s="68">
        <f t="shared" si="735"/>
        <v>0</v>
      </c>
      <c r="HO119" s="68">
        <f t="shared" si="735"/>
        <v>0</v>
      </c>
      <c r="HP119" s="67">
        <f>SUM(HL119:HO119)</f>
        <v>0</v>
      </c>
      <c r="HQ119" s="63"/>
      <c r="HR119" s="63"/>
      <c r="HS119" s="63"/>
      <c r="HT119" s="63"/>
      <c r="HU119" s="67">
        <f>SUM(HQ119:HT119)</f>
        <v>0</v>
      </c>
      <c r="HV119" s="63"/>
      <c r="HW119" s="63"/>
      <c r="HX119" s="63"/>
      <c r="HY119" s="63"/>
      <c r="HZ119" s="67">
        <f>SUM(HV119:HY119)</f>
        <v>0</v>
      </c>
      <c r="IA119" s="63"/>
      <c r="IB119" s="63"/>
      <c r="IC119" s="63"/>
      <c r="ID119" s="63"/>
      <c r="IE119" s="67">
        <f>SUM(IA119:ID119)</f>
        <v>0</v>
      </c>
      <c r="IF119" s="68">
        <f t="shared" si="736"/>
        <v>0</v>
      </c>
      <c r="IG119" s="68">
        <f t="shared" si="736"/>
        <v>0</v>
      </c>
      <c r="IH119" s="68">
        <f t="shared" si="736"/>
        <v>0</v>
      </c>
      <c r="II119" s="68">
        <f t="shared" si="736"/>
        <v>0</v>
      </c>
      <c r="IJ119" s="67">
        <f>SUM(IF119:II119)</f>
        <v>0</v>
      </c>
      <c r="IK119" s="63"/>
      <c r="IL119" s="63"/>
      <c r="IM119" s="63"/>
      <c r="IN119" s="63"/>
      <c r="IO119" s="67">
        <f>SUM(IK119:IN119)</f>
        <v>0</v>
      </c>
      <c r="IP119" s="63"/>
      <c r="IQ119" s="63"/>
      <c r="IR119" s="63"/>
      <c r="IS119" s="63"/>
      <c r="IT119" s="67">
        <f>SUM(IP119:IS119)</f>
        <v>0</v>
      </c>
      <c r="IU119" s="63"/>
      <c r="IV119" s="63"/>
    </row>
    <row r="120" spans="1:256" ht="12.75" customHeight="1" x14ac:dyDescent="0.25">
      <c r="A120" s="115" t="s">
        <v>111</v>
      </c>
      <c r="B120" s="96">
        <f t="shared" ref="B120:BD120" si="737">SUM(B121:B122)</f>
        <v>100000</v>
      </c>
      <c r="C120" s="96">
        <f t="shared" si="737"/>
        <v>880</v>
      </c>
      <c r="D120" s="96">
        <f t="shared" si="737"/>
        <v>20</v>
      </c>
      <c r="E120" s="96">
        <f t="shared" si="737"/>
        <v>40</v>
      </c>
      <c r="F120" s="96">
        <f t="shared" si="737"/>
        <v>0</v>
      </c>
      <c r="G120" s="96">
        <f t="shared" si="737"/>
        <v>0</v>
      </c>
      <c r="H120" s="96">
        <f t="shared" si="737"/>
        <v>20</v>
      </c>
      <c r="I120" s="96">
        <f t="shared" si="737"/>
        <v>0</v>
      </c>
      <c r="J120" s="96">
        <f t="shared" si="737"/>
        <v>20</v>
      </c>
      <c r="K120" s="96">
        <f t="shared" si="737"/>
        <v>20</v>
      </c>
      <c r="L120" s="96">
        <f t="shared" si="737"/>
        <v>1000</v>
      </c>
      <c r="M120" s="96">
        <f t="shared" si="737"/>
        <v>0</v>
      </c>
      <c r="N120" s="96">
        <f t="shared" si="737"/>
        <v>0</v>
      </c>
      <c r="O120" s="96">
        <f t="shared" si="737"/>
        <v>0</v>
      </c>
      <c r="P120" s="96">
        <f t="shared" si="737"/>
        <v>0</v>
      </c>
      <c r="Q120" s="96">
        <f t="shared" si="737"/>
        <v>0</v>
      </c>
      <c r="R120" s="96">
        <f t="shared" si="737"/>
        <v>0</v>
      </c>
      <c r="S120" s="96">
        <f t="shared" si="737"/>
        <v>0</v>
      </c>
      <c r="T120" s="96">
        <f t="shared" si="737"/>
        <v>0</v>
      </c>
      <c r="U120" s="96">
        <f t="shared" si="737"/>
        <v>0</v>
      </c>
      <c r="V120" s="96">
        <f t="shared" si="737"/>
        <v>0</v>
      </c>
      <c r="W120" s="96">
        <f t="shared" si="737"/>
        <v>0</v>
      </c>
      <c r="X120" s="96">
        <f t="shared" ref="X120:AG120" si="738">SUM(X121:X122)</f>
        <v>0</v>
      </c>
      <c r="Y120" s="96">
        <f t="shared" si="738"/>
        <v>0</v>
      </c>
      <c r="Z120" s="96">
        <f t="shared" si="738"/>
        <v>0</v>
      </c>
      <c r="AA120" s="96">
        <f t="shared" si="738"/>
        <v>0</v>
      </c>
      <c r="AB120" s="96">
        <f t="shared" si="738"/>
        <v>0</v>
      </c>
      <c r="AC120" s="96">
        <f t="shared" si="738"/>
        <v>0</v>
      </c>
      <c r="AD120" s="96">
        <f t="shared" si="738"/>
        <v>0</v>
      </c>
      <c r="AE120" s="96">
        <f t="shared" si="738"/>
        <v>0</v>
      </c>
      <c r="AF120" s="96">
        <f t="shared" si="738"/>
        <v>0</v>
      </c>
      <c r="AG120" s="96">
        <f t="shared" si="738"/>
        <v>0</v>
      </c>
      <c r="AH120" s="96">
        <f t="shared" si="737"/>
        <v>0</v>
      </c>
      <c r="AI120" s="96">
        <f t="shared" si="737"/>
        <v>0</v>
      </c>
      <c r="AJ120" s="96">
        <f t="shared" si="737"/>
        <v>0</v>
      </c>
      <c r="AK120" s="96">
        <f t="shared" si="737"/>
        <v>0</v>
      </c>
      <c r="AL120" s="96">
        <f t="shared" si="737"/>
        <v>0</v>
      </c>
      <c r="AM120" s="96">
        <f t="shared" si="737"/>
        <v>0</v>
      </c>
      <c r="AN120" s="96">
        <f t="shared" si="737"/>
        <v>0</v>
      </c>
      <c r="AO120" s="96">
        <f t="shared" si="737"/>
        <v>0</v>
      </c>
      <c r="AP120" s="96">
        <f t="shared" si="737"/>
        <v>0</v>
      </c>
      <c r="AQ120" s="96">
        <f t="shared" si="737"/>
        <v>0</v>
      </c>
      <c r="AR120" s="96">
        <f t="shared" si="737"/>
        <v>0</v>
      </c>
      <c r="AS120" s="96">
        <f t="shared" si="737"/>
        <v>0</v>
      </c>
      <c r="AT120" s="96">
        <f t="shared" si="737"/>
        <v>0</v>
      </c>
      <c r="AU120" s="96">
        <f t="shared" si="737"/>
        <v>0</v>
      </c>
      <c r="AV120" s="96">
        <f t="shared" si="737"/>
        <v>0</v>
      </c>
      <c r="AW120" s="96">
        <f t="shared" si="737"/>
        <v>0</v>
      </c>
      <c r="AX120" s="96">
        <f t="shared" si="737"/>
        <v>0</v>
      </c>
      <c r="AY120" s="96">
        <f t="shared" si="737"/>
        <v>0</v>
      </c>
      <c r="AZ120" s="96">
        <f t="shared" si="737"/>
        <v>0</v>
      </c>
      <c r="BA120" s="96">
        <f t="shared" si="737"/>
        <v>0</v>
      </c>
      <c r="BB120" s="96">
        <f t="shared" si="737"/>
        <v>0</v>
      </c>
      <c r="BC120" s="96">
        <f t="shared" si="737"/>
        <v>0</v>
      </c>
      <c r="BD120" s="96">
        <f t="shared" si="737"/>
        <v>0</v>
      </c>
      <c r="BE120" s="96">
        <f t="shared" ref="BE120:BN120" si="739">SUM(BE121:BE122)</f>
        <v>0</v>
      </c>
      <c r="BF120" s="96">
        <f t="shared" si="739"/>
        <v>0</v>
      </c>
      <c r="BG120" s="96">
        <f t="shared" si="739"/>
        <v>0</v>
      </c>
      <c r="BH120" s="96">
        <f t="shared" si="739"/>
        <v>0</v>
      </c>
      <c r="BI120" s="96">
        <f t="shared" si="739"/>
        <v>0</v>
      </c>
      <c r="BJ120" s="96">
        <f t="shared" si="739"/>
        <v>0</v>
      </c>
      <c r="BK120" s="96">
        <f t="shared" si="739"/>
        <v>0</v>
      </c>
      <c r="BL120" s="96">
        <f t="shared" si="739"/>
        <v>0</v>
      </c>
      <c r="BM120" s="96">
        <f t="shared" si="739"/>
        <v>0</v>
      </c>
      <c r="BN120" s="96">
        <f t="shared" si="739"/>
        <v>0</v>
      </c>
      <c r="BO120" s="96">
        <f t="shared" ref="BO120:HZ120" si="740">SUM(BO121:BO122)</f>
        <v>0</v>
      </c>
      <c r="BP120" s="96">
        <f t="shared" si="740"/>
        <v>0</v>
      </c>
      <c r="BQ120" s="96">
        <f t="shared" si="740"/>
        <v>0</v>
      </c>
      <c r="BR120" s="96">
        <f t="shared" si="740"/>
        <v>0</v>
      </c>
      <c r="BS120" s="96">
        <f t="shared" si="740"/>
        <v>0</v>
      </c>
      <c r="BT120" s="96">
        <f t="shared" si="740"/>
        <v>0</v>
      </c>
      <c r="BU120" s="96">
        <f t="shared" si="740"/>
        <v>0</v>
      </c>
      <c r="BV120" s="96">
        <f t="shared" si="740"/>
        <v>0</v>
      </c>
      <c r="BW120" s="96">
        <f t="shared" si="740"/>
        <v>0</v>
      </c>
      <c r="BX120" s="96">
        <f t="shared" si="740"/>
        <v>0</v>
      </c>
      <c r="BY120" s="96">
        <f t="shared" si="740"/>
        <v>0</v>
      </c>
      <c r="BZ120" s="96">
        <f t="shared" si="740"/>
        <v>0</v>
      </c>
      <c r="CA120" s="96">
        <f t="shared" ref="CA120:CJ120" si="741">SUM(CA121:CA122)</f>
        <v>0</v>
      </c>
      <c r="CB120" s="96">
        <f t="shared" si="741"/>
        <v>0</v>
      </c>
      <c r="CC120" s="96">
        <f t="shared" si="741"/>
        <v>0</v>
      </c>
      <c r="CD120" s="96">
        <f t="shared" si="741"/>
        <v>0</v>
      </c>
      <c r="CE120" s="96">
        <f t="shared" si="741"/>
        <v>0</v>
      </c>
      <c r="CF120" s="96">
        <f t="shared" si="741"/>
        <v>0</v>
      </c>
      <c r="CG120" s="96">
        <f t="shared" si="741"/>
        <v>0</v>
      </c>
      <c r="CH120" s="96">
        <f t="shared" si="741"/>
        <v>0</v>
      </c>
      <c r="CI120" s="96">
        <f t="shared" si="741"/>
        <v>0</v>
      </c>
      <c r="CJ120" s="96">
        <f t="shared" si="741"/>
        <v>0</v>
      </c>
      <c r="CK120" s="96">
        <f t="shared" si="740"/>
        <v>0</v>
      </c>
      <c r="CL120" s="96">
        <f t="shared" si="740"/>
        <v>0</v>
      </c>
      <c r="CM120" s="96">
        <f t="shared" si="740"/>
        <v>0</v>
      </c>
      <c r="CN120" s="96">
        <f t="shared" si="740"/>
        <v>0</v>
      </c>
      <c r="CO120" s="96">
        <f t="shared" si="740"/>
        <v>0</v>
      </c>
      <c r="CP120" s="96">
        <f t="shared" si="740"/>
        <v>0</v>
      </c>
      <c r="CQ120" s="96">
        <f t="shared" si="740"/>
        <v>0</v>
      </c>
      <c r="CR120" s="96">
        <f t="shared" si="740"/>
        <v>0</v>
      </c>
      <c r="CS120" s="96">
        <f t="shared" si="740"/>
        <v>0</v>
      </c>
      <c r="CT120" s="96">
        <f t="shared" si="740"/>
        <v>0</v>
      </c>
      <c r="CU120" s="96">
        <f t="shared" si="740"/>
        <v>0</v>
      </c>
      <c r="CV120" s="96">
        <f t="shared" si="740"/>
        <v>0</v>
      </c>
      <c r="CW120" s="96">
        <f t="shared" ref="CW120:DF120" si="742">SUM(CW121:CW122)</f>
        <v>0</v>
      </c>
      <c r="CX120" s="96">
        <f t="shared" si="742"/>
        <v>0</v>
      </c>
      <c r="CY120" s="96">
        <f t="shared" si="742"/>
        <v>0</v>
      </c>
      <c r="CZ120" s="96">
        <f t="shared" si="742"/>
        <v>0</v>
      </c>
      <c r="DA120" s="96">
        <f t="shared" si="742"/>
        <v>0</v>
      </c>
      <c r="DB120" s="96">
        <f t="shared" si="742"/>
        <v>0</v>
      </c>
      <c r="DC120" s="96">
        <f t="shared" si="742"/>
        <v>0</v>
      </c>
      <c r="DD120" s="96">
        <f t="shared" si="742"/>
        <v>0</v>
      </c>
      <c r="DE120" s="96">
        <f t="shared" si="742"/>
        <v>0</v>
      </c>
      <c r="DF120" s="96">
        <f t="shared" si="742"/>
        <v>0</v>
      </c>
      <c r="DG120" s="96">
        <f t="shared" si="740"/>
        <v>0</v>
      </c>
      <c r="DH120" s="96">
        <f t="shared" si="740"/>
        <v>0</v>
      </c>
      <c r="DI120" s="96">
        <f t="shared" si="740"/>
        <v>0</v>
      </c>
      <c r="DJ120" s="96">
        <f t="shared" si="740"/>
        <v>0</v>
      </c>
      <c r="DK120" s="96">
        <f t="shared" si="740"/>
        <v>0</v>
      </c>
      <c r="DL120" s="96">
        <f t="shared" si="740"/>
        <v>0</v>
      </c>
      <c r="DM120" s="96">
        <f t="shared" si="740"/>
        <v>0</v>
      </c>
      <c r="DN120" s="96">
        <f t="shared" si="740"/>
        <v>0</v>
      </c>
      <c r="DO120" s="96">
        <f t="shared" si="740"/>
        <v>0</v>
      </c>
      <c r="DP120" s="96">
        <f t="shared" si="740"/>
        <v>0</v>
      </c>
      <c r="DQ120" s="96">
        <f t="shared" si="740"/>
        <v>0</v>
      </c>
      <c r="DR120" s="96">
        <f t="shared" si="740"/>
        <v>0</v>
      </c>
      <c r="DS120" s="96">
        <f t="shared" ref="DS120:EB120" si="743">SUM(DS121:DS122)</f>
        <v>0</v>
      </c>
      <c r="DT120" s="96">
        <f t="shared" si="743"/>
        <v>0</v>
      </c>
      <c r="DU120" s="96">
        <f t="shared" si="743"/>
        <v>0</v>
      </c>
      <c r="DV120" s="96">
        <f t="shared" si="743"/>
        <v>0</v>
      </c>
      <c r="DW120" s="96">
        <f t="shared" si="743"/>
        <v>0</v>
      </c>
      <c r="DX120" s="96">
        <f t="shared" si="743"/>
        <v>0</v>
      </c>
      <c r="DY120" s="96">
        <f t="shared" si="743"/>
        <v>0</v>
      </c>
      <c r="DZ120" s="96">
        <f t="shared" si="743"/>
        <v>0</v>
      </c>
      <c r="EA120" s="96">
        <f t="shared" si="743"/>
        <v>0</v>
      </c>
      <c r="EB120" s="96">
        <f t="shared" si="743"/>
        <v>0</v>
      </c>
      <c r="EC120" s="96">
        <f t="shared" si="740"/>
        <v>0</v>
      </c>
      <c r="ED120" s="96">
        <f t="shared" si="740"/>
        <v>0</v>
      </c>
      <c r="EE120" s="96">
        <f t="shared" si="740"/>
        <v>0</v>
      </c>
      <c r="EF120" s="96">
        <f t="shared" si="740"/>
        <v>0</v>
      </c>
      <c r="EG120" s="96">
        <f t="shared" si="740"/>
        <v>0</v>
      </c>
      <c r="EH120" s="96">
        <f t="shared" si="740"/>
        <v>0</v>
      </c>
      <c r="EI120" s="96">
        <f t="shared" si="740"/>
        <v>0</v>
      </c>
      <c r="EJ120" s="96">
        <f t="shared" si="740"/>
        <v>0</v>
      </c>
      <c r="EK120" s="96">
        <f t="shared" si="740"/>
        <v>0</v>
      </c>
      <c r="EL120" s="96">
        <f t="shared" si="740"/>
        <v>0</v>
      </c>
      <c r="EM120" s="96">
        <f t="shared" si="740"/>
        <v>0</v>
      </c>
      <c r="EN120" s="96">
        <f t="shared" si="740"/>
        <v>0</v>
      </c>
      <c r="EO120" s="96">
        <f t="shared" ref="EO120:EX120" si="744">SUM(EO121:EO122)</f>
        <v>0</v>
      </c>
      <c r="EP120" s="96">
        <f t="shared" si="744"/>
        <v>0</v>
      </c>
      <c r="EQ120" s="96">
        <f t="shared" si="744"/>
        <v>0</v>
      </c>
      <c r="ER120" s="96">
        <f t="shared" si="744"/>
        <v>0</v>
      </c>
      <c r="ES120" s="96">
        <f t="shared" si="744"/>
        <v>0</v>
      </c>
      <c r="ET120" s="96">
        <f t="shared" si="744"/>
        <v>0</v>
      </c>
      <c r="EU120" s="96">
        <f t="shared" si="744"/>
        <v>0</v>
      </c>
      <c r="EV120" s="96">
        <f t="shared" si="744"/>
        <v>0</v>
      </c>
      <c r="EW120" s="96">
        <f t="shared" si="744"/>
        <v>0</v>
      </c>
      <c r="EX120" s="96">
        <f t="shared" si="744"/>
        <v>0</v>
      </c>
      <c r="EY120" s="96">
        <f t="shared" si="740"/>
        <v>0</v>
      </c>
      <c r="EZ120" s="96">
        <f t="shared" si="740"/>
        <v>0</v>
      </c>
      <c r="FA120" s="96">
        <f t="shared" si="740"/>
        <v>0</v>
      </c>
      <c r="FB120" s="96">
        <f t="shared" si="740"/>
        <v>0</v>
      </c>
      <c r="FC120" s="96">
        <f t="shared" si="740"/>
        <v>0</v>
      </c>
      <c r="FD120" s="96">
        <f t="shared" si="740"/>
        <v>0</v>
      </c>
      <c r="FE120" s="96">
        <f t="shared" si="740"/>
        <v>0</v>
      </c>
      <c r="FF120" s="96">
        <f t="shared" si="740"/>
        <v>0</v>
      </c>
      <c r="FG120" s="96">
        <f t="shared" si="740"/>
        <v>0</v>
      </c>
      <c r="FH120" s="96">
        <f t="shared" si="740"/>
        <v>0</v>
      </c>
      <c r="FI120" s="96">
        <f t="shared" si="740"/>
        <v>0</v>
      </c>
      <c r="FJ120" s="96">
        <f t="shared" si="740"/>
        <v>0</v>
      </c>
      <c r="FK120" s="96">
        <f t="shared" ref="FK120:FT120" si="745">SUM(FK121:FK122)</f>
        <v>0</v>
      </c>
      <c r="FL120" s="96">
        <f t="shared" si="745"/>
        <v>0</v>
      </c>
      <c r="FM120" s="96">
        <f t="shared" si="745"/>
        <v>0</v>
      </c>
      <c r="FN120" s="96">
        <f t="shared" si="745"/>
        <v>0</v>
      </c>
      <c r="FO120" s="96">
        <f t="shared" si="745"/>
        <v>0</v>
      </c>
      <c r="FP120" s="96">
        <f t="shared" si="745"/>
        <v>0</v>
      </c>
      <c r="FQ120" s="96">
        <f t="shared" si="745"/>
        <v>0</v>
      </c>
      <c r="FR120" s="96">
        <f t="shared" si="745"/>
        <v>0</v>
      </c>
      <c r="FS120" s="96">
        <f t="shared" si="745"/>
        <v>0</v>
      </c>
      <c r="FT120" s="96">
        <f t="shared" si="745"/>
        <v>0</v>
      </c>
      <c r="FU120" s="96">
        <f t="shared" si="740"/>
        <v>0</v>
      </c>
      <c r="FV120" s="96">
        <f t="shared" si="740"/>
        <v>0</v>
      </c>
      <c r="FW120" s="96">
        <f t="shared" si="740"/>
        <v>0</v>
      </c>
      <c r="FX120" s="96">
        <f t="shared" si="740"/>
        <v>0</v>
      </c>
      <c r="FY120" s="96">
        <f t="shared" si="740"/>
        <v>0</v>
      </c>
      <c r="FZ120" s="96">
        <f t="shared" si="740"/>
        <v>0</v>
      </c>
      <c r="GA120" s="96">
        <f t="shared" si="740"/>
        <v>0</v>
      </c>
      <c r="GB120" s="96">
        <f t="shared" si="740"/>
        <v>0</v>
      </c>
      <c r="GC120" s="96">
        <f t="shared" si="740"/>
        <v>0</v>
      </c>
      <c r="GD120" s="96">
        <f t="shared" si="740"/>
        <v>0</v>
      </c>
      <c r="GE120" s="96">
        <f t="shared" si="740"/>
        <v>0</v>
      </c>
      <c r="GF120" s="96">
        <f t="shared" si="740"/>
        <v>0</v>
      </c>
      <c r="GG120" s="96">
        <f t="shared" si="740"/>
        <v>0</v>
      </c>
      <c r="GH120" s="96">
        <f t="shared" si="740"/>
        <v>0</v>
      </c>
      <c r="GI120" s="96">
        <f t="shared" si="740"/>
        <v>0</v>
      </c>
      <c r="GJ120" s="96">
        <f t="shared" si="740"/>
        <v>0</v>
      </c>
      <c r="GK120" s="96">
        <f t="shared" si="740"/>
        <v>0</v>
      </c>
      <c r="GL120" s="96">
        <f t="shared" si="740"/>
        <v>0</v>
      </c>
      <c r="GM120" s="96">
        <f t="shared" si="740"/>
        <v>0</v>
      </c>
      <c r="GN120" s="96">
        <f t="shared" si="740"/>
        <v>0</v>
      </c>
      <c r="GO120" s="96">
        <f t="shared" si="740"/>
        <v>0</v>
      </c>
      <c r="GP120" s="96">
        <f t="shared" si="740"/>
        <v>0</v>
      </c>
      <c r="GQ120" s="96">
        <f t="shared" si="740"/>
        <v>0</v>
      </c>
      <c r="GR120" s="96">
        <f t="shared" si="740"/>
        <v>0</v>
      </c>
      <c r="GS120" s="96">
        <f t="shared" si="740"/>
        <v>0</v>
      </c>
      <c r="GT120" s="96">
        <f t="shared" si="740"/>
        <v>0</v>
      </c>
      <c r="GU120" s="96">
        <f t="shared" si="740"/>
        <v>0</v>
      </c>
      <c r="GV120" s="96">
        <f t="shared" si="740"/>
        <v>0</v>
      </c>
      <c r="GW120" s="96">
        <f t="shared" si="740"/>
        <v>0</v>
      </c>
      <c r="GX120" s="96">
        <f t="shared" si="740"/>
        <v>0</v>
      </c>
      <c r="GY120" s="96">
        <f t="shared" si="740"/>
        <v>0</v>
      </c>
      <c r="GZ120" s="96">
        <f t="shared" si="740"/>
        <v>0</v>
      </c>
      <c r="HA120" s="96">
        <f t="shared" si="740"/>
        <v>0</v>
      </c>
      <c r="HB120" s="96">
        <f>SUM(HB121:HB122)</f>
        <v>0</v>
      </c>
      <c r="HC120" s="96">
        <f>SUM(HC121:HC122)</f>
        <v>0</v>
      </c>
      <c r="HD120" s="96">
        <f>SUM(HD121:HD122)</f>
        <v>0</v>
      </c>
      <c r="HE120" s="96">
        <f>SUM(HE121:HE122)</f>
        <v>0</v>
      </c>
      <c r="HF120" s="96">
        <f t="shared" si="740"/>
        <v>0</v>
      </c>
      <c r="HG120" s="96">
        <f t="shared" si="740"/>
        <v>0</v>
      </c>
      <c r="HH120" s="96">
        <f t="shared" si="740"/>
        <v>0</v>
      </c>
      <c r="HI120" s="96">
        <f t="shared" si="740"/>
        <v>0</v>
      </c>
      <c r="HJ120" s="96">
        <f t="shared" si="740"/>
        <v>0</v>
      </c>
      <c r="HK120" s="96">
        <f t="shared" si="740"/>
        <v>0</v>
      </c>
      <c r="HL120" s="96">
        <f t="shared" si="740"/>
        <v>0</v>
      </c>
      <c r="HM120" s="96">
        <f t="shared" si="740"/>
        <v>0</v>
      </c>
      <c r="HN120" s="96">
        <f t="shared" si="740"/>
        <v>0</v>
      </c>
      <c r="HO120" s="96">
        <f t="shared" si="740"/>
        <v>0</v>
      </c>
      <c r="HP120" s="96">
        <f t="shared" si="740"/>
        <v>0</v>
      </c>
      <c r="HQ120" s="96">
        <f>SUM(HQ121:HQ122)</f>
        <v>0</v>
      </c>
      <c r="HR120" s="96">
        <f>SUM(HR121:HR122)</f>
        <v>0</v>
      </c>
      <c r="HS120" s="96">
        <f>SUM(HS121:HS122)</f>
        <v>0</v>
      </c>
      <c r="HT120" s="96">
        <f>SUM(HT121:HT122)</f>
        <v>0</v>
      </c>
      <c r="HU120" s="96">
        <f t="shared" si="740"/>
        <v>0</v>
      </c>
      <c r="HV120" s="96">
        <f t="shared" si="740"/>
        <v>0</v>
      </c>
      <c r="HW120" s="96">
        <f t="shared" si="740"/>
        <v>0</v>
      </c>
      <c r="HX120" s="96">
        <f t="shared" si="740"/>
        <v>0</v>
      </c>
      <c r="HY120" s="96">
        <f t="shared" si="740"/>
        <v>0</v>
      </c>
      <c r="HZ120" s="96">
        <f t="shared" si="740"/>
        <v>0</v>
      </c>
      <c r="IA120" s="96">
        <f>SUM(IA121:IA122)</f>
        <v>0</v>
      </c>
      <c r="IB120" s="96">
        <f>SUM(IB121:IB122)</f>
        <v>0</v>
      </c>
      <c r="IC120" s="96">
        <f>SUM(IC121:IC122)</f>
        <v>0</v>
      </c>
      <c r="ID120" s="96">
        <f>SUM(ID121:ID122)</f>
        <v>0</v>
      </c>
      <c r="IE120" s="96">
        <f t="shared" ref="IE120:IV120" si="746">SUM(IE121:IE122)</f>
        <v>0</v>
      </c>
      <c r="IF120" s="96">
        <f t="shared" si="746"/>
        <v>0</v>
      </c>
      <c r="IG120" s="96">
        <f t="shared" si="746"/>
        <v>0</v>
      </c>
      <c r="IH120" s="96">
        <f t="shared" si="746"/>
        <v>0</v>
      </c>
      <c r="II120" s="96">
        <f t="shared" si="746"/>
        <v>0</v>
      </c>
      <c r="IJ120" s="96">
        <f t="shared" si="746"/>
        <v>0</v>
      </c>
      <c r="IK120" s="96">
        <f t="shared" si="746"/>
        <v>0</v>
      </c>
      <c r="IL120" s="96">
        <f t="shared" si="746"/>
        <v>0</v>
      </c>
      <c r="IM120" s="96">
        <f t="shared" si="746"/>
        <v>0</v>
      </c>
      <c r="IN120" s="96">
        <f t="shared" si="746"/>
        <v>0</v>
      </c>
      <c r="IO120" s="96">
        <f t="shared" si="746"/>
        <v>0</v>
      </c>
      <c r="IP120" s="96">
        <f>SUM(IP121:IP122)</f>
        <v>0</v>
      </c>
      <c r="IQ120" s="96">
        <f>SUM(IQ121:IQ122)</f>
        <v>0</v>
      </c>
      <c r="IR120" s="96">
        <f>SUM(IR121:IR122)</f>
        <v>0</v>
      </c>
      <c r="IS120" s="96">
        <f>SUM(IS121:IS122)</f>
        <v>0</v>
      </c>
      <c r="IT120" s="96">
        <f t="shared" si="746"/>
        <v>0</v>
      </c>
      <c r="IU120" s="96">
        <f t="shared" si="746"/>
        <v>0</v>
      </c>
      <c r="IV120" s="96">
        <f t="shared" si="746"/>
        <v>0</v>
      </c>
    </row>
    <row r="121" spans="1:256" ht="12.75" customHeight="1" x14ac:dyDescent="0.25">
      <c r="A121" s="117" t="s">
        <v>112</v>
      </c>
      <c r="B121" s="62">
        <v>0</v>
      </c>
      <c r="C121" s="63">
        <v>0</v>
      </c>
      <c r="D121" s="63">
        <v>0</v>
      </c>
      <c r="E121" s="63">
        <v>0</v>
      </c>
      <c r="F121" s="63">
        <v>0</v>
      </c>
      <c r="G121" s="63">
        <v>0</v>
      </c>
      <c r="H121" s="63">
        <v>0</v>
      </c>
      <c r="I121" s="63">
        <v>0</v>
      </c>
      <c r="J121" s="63">
        <v>0</v>
      </c>
      <c r="K121" s="63">
        <v>0</v>
      </c>
      <c r="L121" s="64">
        <f>SUM(C121:F121,H121:K121)</f>
        <v>0</v>
      </c>
      <c r="M121" s="62"/>
      <c r="N121" s="63"/>
      <c r="O121" s="63"/>
      <c r="P121" s="63"/>
      <c r="Q121" s="63"/>
      <c r="R121" s="63"/>
      <c r="S121" s="63"/>
      <c r="T121" s="63"/>
      <c r="U121" s="63"/>
      <c r="V121" s="63"/>
      <c r="W121" s="64">
        <f t="shared" ref="W121:W129" si="747">SUM(N121:Q121,S121:V121)</f>
        <v>0</v>
      </c>
      <c r="X121" s="62"/>
      <c r="Y121" s="63"/>
      <c r="Z121" s="63"/>
      <c r="AA121" s="63"/>
      <c r="AB121" s="63"/>
      <c r="AC121" s="63"/>
      <c r="AD121" s="63"/>
      <c r="AE121" s="63"/>
      <c r="AF121" s="63"/>
      <c r="AG121" s="63"/>
      <c r="AH121" s="64">
        <f t="shared" ref="AH121:AH129" si="748">SUM(Y121:AB121,AD121:AG121)</f>
        <v>0</v>
      </c>
      <c r="AI121" s="62"/>
      <c r="AJ121" s="63"/>
      <c r="AK121" s="63"/>
      <c r="AL121" s="63"/>
      <c r="AM121" s="63"/>
      <c r="AN121" s="63"/>
      <c r="AO121" s="63"/>
      <c r="AP121" s="63"/>
      <c r="AQ121" s="63"/>
      <c r="AR121" s="63"/>
      <c r="AS121" s="64">
        <f t="shared" ref="AS121:AS129" si="749">SUM(AJ121:AM121,AO121:AR121)</f>
        <v>0</v>
      </c>
      <c r="AT121" s="65">
        <f t="shared" ref="AT121:BC129" si="750">SUM(M121,AI121,X121)</f>
        <v>0</v>
      </c>
      <c r="AU121" s="65">
        <f t="shared" si="750"/>
        <v>0</v>
      </c>
      <c r="AV121" s="65">
        <f t="shared" si="750"/>
        <v>0</v>
      </c>
      <c r="AW121" s="65">
        <f t="shared" si="750"/>
        <v>0</v>
      </c>
      <c r="AX121" s="65">
        <f t="shared" si="750"/>
        <v>0</v>
      </c>
      <c r="AY121" s="65">
        <f t="shared" si="750"/>
        <v>0</v>
      </c>
      <c r="AZ121" s="65">
        <f t="shared" si="750"/>
        <v>0</v>
      </c>
      <c r="BA121" s="65">
        <f t="shared" si="750"/>
        <v>0</v>
      </c>
      <c r="BB121" s="65">
        <f t="shared" si="750"/>
        <v>0</v>
      </c>
      <c r="BC121" s="65">
        <f t="shared" si="750"/>
        <v>0</v>
      </c>
      <c r="BD121" s="64">
        <f t="shared" ref="BD121:BD129" si="751">SUM(AU121:AX121,AZ121:BC121)</f>
        <v>0</v>
      </c>
      <c r="BE121" s="62"/>
      <c r="BF121" s="63"/>
      <c r="BG121" s="63"/>
      <c r="BH121" s="63"/>
      <c r="BI121" s="63"/>
      <c r="BJ121" s="63"/>
      <c r="BK121" s="63"/>
      <c r="BL121" s="63"/>
      <c r="BM121" s="63"/>
      <c r="BN121" s="63"/>
      <c r="BO121" s="64">
        <f t="shared" ref="BO121:BO129" si="752">SUM(BF121:BI121,BK121:BN121)</f>
        <v>0</v>
      </c>
      <c r="BP121" s="62"/>
      <c r="BQ121" s="63"/>
      <c r="BR121" s="63"/>
      <c r="BS121" s="63"/>
      <c r="BT121" s="63"/>
      <c r="BU121" s="63"/>
      <c r="BV121" s="63"/>
      <c r="BW121" s="63"/>
      <c r="BX121" s="63"/>
      <c r="BY121" s="63"/>
      <c r="BZ121" s="64">
        <f t="shared" ref="BZ121:BZ129" si="753">SUM(BQ121:BT121,BV121:BY121)</f>
        <v>0</v>
      </c>
      <c r="CA121" s="62"/>
      <c r="CB121" s="63"/>
      <c r="CC121" s="63"/>
      <c r="CD121" s="63"/>
      <c r="CE121" s="63"/>
      <c r="CF121" s="63"/>
      <c r="CG121" s="63"/>
      <c r="CH121" s="63"/>
      <c r="CI121" s="63"/>
      <c r="CJ121" s="63"/>
      <c r="CK121" s="64">
        <f t="shared" ref="CK121:CK129" si="754">SUM(CB121:CE121,CG121:CJ121)</f>
        <v>0</v>
      </c>
      <c r="CL121" s="65">
        <f t="shared" ref="CL121:CU129" si="755">SUM(BE121,CA121,BP121)</f>
        <v>0</v>
      </c>
      <c r="CM121" s="65">
        <f t="shared" si="755"/>
        <v>0</v>
      </c>
      <c r="CN121" s="65">
        <f t="shared" si="755"/>
        <v>0</v>
      </c>
      <c r="CO121" s="65">
        <f t="shared" si="755"/>
        <v>0</v>
      </c>
      <c r="CP121" s="65">
        <f t="shared" si="755"/>
        <v>0</v>
      </c>
      <c r="CQ121" s="65">
        <f t="shared" si="755"/>
        <v>0</v>
      </c>
      <c r="CR121" s="65">
        <f t="shared" si="755"/>
        <v>0</v>
      </c>
      <c r="CS121" s="65">
        <f t="shared" si="755"/>
        <v>0</v>
      </c>
      <c r="CT121" s="65">
        <f t="shared" si="755"/>
        <v>0</v>
      </c>
      <c r="CU121" s="65">
        <f t="shared" si="755"/>
        <v>0</v>
      </c>
      <c r="CV121" s="64">
        <f t="shared" ref="CV121:CV129" si="756">SUM(CM121:CP121,CR121:CU121)</f>
        <v>0</v>
      </c>
      <c r="CW121" s="62"/>
      <c r="CX121" s="63"/>
      <c r="CY121" s="63"/>
      <c r="CZ121" s="63"/>
      <c r="DA121" s="63"/>
      <c r="DB121" s="63"/>
      <c r="DC121" s="63"/>
      <c r="DD121" s="63"/>
      <c r="DE121" s="63"/>
      <c r="DF121" s="63"/>
      <c r="DG121" s="64">
        <f t="shared" ref="DG121:DG129" si="757">SUM(CX121:DA121,DC121:DF121)</f>
        <v>0</v>
      </c>
      <c r="DH121" s="62"/>
      <c r="DI121" s="63"/>
      <c r="DJ121" s="63"/>
      <c r="DK121" s="63"/>
      <c r="DL121" s="63"/>
      <c r="DM121" s="63"/>
      <c r="DN121" s="63"/>
      <c r="DO121" s="63"/>
      <c r="DP121" s="63"/>
      <c r="DQ121" s="63"/>
      <c r="DR121" s="64">
        <f t="shared" ref="DR121:DR129" si="758">SUM(DI121:DL121,DN121:DQ121)</f>
        <v>0</v>
      </c>
      <c r="DS121" s="62"/>
      <c r="DT121" s="63"/>
      <c r="DU121" s="63"/>
      <c r="DV121" s="63"/>
      <c r="DW121" s="63"/>
      <c r="DX121" s="63"/>
      <c r="DY121" s="63"/>
      <c r="DZ121" s="63"/>
      <c r="EA121" s="63"/>
      <c r="EB121" s="63"/>
      <c r="EC121" s="63"/>
      <c r="ED121" s="65">
        <f t="shared" ref="ED121:EM129" si="759">SUM(CW121,DS121,DH121)</f>
        <v>0</v>
      </c>
      <c r="EE121" s="65">
        <f t="shared" si="759"/>
        <v>0</v>
      </c>
      <c r="EF121" s="65">
        <f t="shared" si="759"/>
        <v>0</v>
      </c>
      <c r="EG121" s="65">
        <f t="shared" si="759"/>
        <v>0</v>
      </c>
      <c r="EH121" s="65">
        <f t="shared" si="759"/>
        <v>0</v>
      </c>
      <c r="EI121" s="65">
        <f t="shared" si="759"/>
        <v>0</v>
      </c>
      <c r="EJ121" s="65">
        <f t="shared" si="759"/>
        <v>0</v>
      </c>
      <c r="EK121" s="65">
        <f t="shared" si="759"/>
        <v>0</v>
      </c>
      <c r="EL121" s="65">
        <f t="shared" si="759"/>
        <v>0</v>
      </c>
      <c r="EM121" s="65">
        <f t="shared" si="759"/>
        <v>0</v>
      </c>
      <c r="EN121" s="64">
        <f t="shared" ref="EN121:EN129" si="760">SUM(EE121:EH121,EJ121:EM121)</f>
        <v>0</v>
      </c>
      <c r="EO121" s="62"/>
      <c r="EP121" s="63"/>
      <c r="EQ121" s="63"/>
      <c r="ER121" s="63"/>
      <c r="ES121" s="63"/>
      <c r="ET121" s="63"/>
      <c r="EU121" s="63"/>
      <c r="EV121" s="63"/>
      <c r="EW121" s="63"/>
      <c r="EX121" s="63"/>
      <c r="EY121" s="64">
        <f t="shared" ref="EY121:EY129" si="761">SUM(EP121:ES121,EU121:EX121)</f>
        <v>0</v>
      </c>
      <c r="EZ121" s="62"/>
      <c r="FA121" s="63"/>
      <c r="FB121" s="63"/>
      <c r="FC121" s="63"/>
      <c r="FD121" s="63"/>
      <c r="FE121" s="63"/>
      <c r="FF121" s="63"/>
      <c r="FG121" s="63"/>
      <c r="FH121" s="63"/>
      <c r="FI121" s="63"/>
      <c r="FJ121" s="64">
        <f t="shared" ref="FJ121:FJ129" si="762">SUM(FA121:FD121,FF121:FI121)</f>
        <v>0</v>
      </c>
      <c r="FK121" s="62"/>
      <c r="FL121" s="63"/>
      <c r="FM121" s="63"/>
      <c r="FN121" s="63"/>
      <c r="FO121" s="63"/>
      <c r="FP121" s="63"/>
      <c r="FQ121" s="63"/>
      <c r="FR121" s="63"/>
      <c r="FS121" s="63"/>
      <c r="FT121" s="63"/>
      <c r="FU121" s="64">
        <f t="shared" ref="FU121:FU129" si="763">SUM(FL121:FO121,FQ121:FT121)</f>
        <v>0</v>
      </c>
      <c r="FV121" s="65">
        <f t="shared" ref="FV121:GE129" si="764">SUM(EO121,FK121,EZ121)</f>
        <v>0</v>
      </c>
      <c r="FW121" s="65">
        <f t="shared" si="764"/>
        <v>0</v>
      </c>
      <c r="FX121" s="65">
        <f t="shared" si="764"/>
        <v>0</v>
      </c>
      <c r="FY121" s="65">
        <f t="shared" si="764"/>
        <v>0</v>
      </c>
      <c r="FZ121" s="65">
        <f t="shared" si="764"/>
        <v>0</v>
      </c>
      <c r="GA121" s="65">
        <f t="shared" si="764"/>
        <v>0</v>
      </c>
      <c r="GB121" s="65">
        <f t="shared" si="764"/>
        <v>0</v>
      </c>
      <c r="GC121" s="65">
        <f t="shared" si="764"/>
        <v>0</v>
      </c>
      <c r="GD121" s="65">
        <f t="shared" si="764"/>
        <v>0</v>
      </c>
      <c r="GE121" s="65">
        <f t="shared" si="764"/>
        <v>0</v>
      </c>
      <c r="GF121" s="64">
        <f t="shared" ref="GF121:GF129" si="765">SUM(FW121:FZ121,GB121:GE121)</f>
        <v>0</v>
      </c>
      <c r="GG121" s="66">
        <f t="shared" ref="GG121:GP129" si="766">SUM(AT121,CL121,ED121,FV121)</f>
        <v>0</v>
      </c>
      <c r="GH121" s="66">
        <f t="shared" si="766"/>
        <v>0</v>
      </c>
      <c r="GI121" s="66">
        <f t="shared" si="766"/>
        <v>0</v>
      </c>
      <c r="GJ121" s="66">
        <f t="shared" si="766"/>
        <v>0</v>
      </c>
      <c r="GK121" s="66">
        <f t="shared" si="766"/>
        <v>0</v>
      </c>
      <c r="GL121" s="66">
        <f t="shared" si="766"/>
        <v>0</v>
      </c>
      <c r="GM121" s="66">
        <f t="shared" si="766"/>
        <v>0</v>
      </c>
      <c r="GN121" s="66">
        <f t="shared" si="766"/>
        <v>0</v>
      </c>
      <c r="GO121" s="66">
        <f t="shared" si="766"/>
        <v>0</v>
      </c>
      <c r="GP121" s="66">
        <f t="shared" si="766"/>
        <v>0</v>
      </c>
      <c r="GQ121" s="64">
        <f t="shared" ref="GQ121:GQ129" si="767">SUM(GH121:GK121,GM121:GP121)</f>
        <v>0</v>
      </c>
      <c r="GR121" s="63"/>
      <c r="GS121" s="63"/>
      <c r="GT121" s="63"/>
      <c r="GU121" s="63"/>
      <c r="GV121" s="67">
        <f t="shared" ref="GV121:GV129" si="768">SUM(GR121:GU121)</f>
        <v>0</v>
      </c>
      <c r="GW121" s="63"/>
      <c r="GX121" s="63"/>
      <c r="GY121" s="63"/>
      <c r="GZ121" s="63"/>
      <c r="HA121" s="67">
        <f t="shared" ref="HA121:HA129" si="769">SUM(GW121:GZ121)</f>
        <v>0</v>
      </c>
      <c r="HB121" s="63"/>
      <c r="HC121" s="63"/>
      <c r="HD121" s="63"/>
      <c r="HE121" s="63"/>
      <c r="HF121" s="67">
        <f t="shared" ref="HF121:HF129" si="770">SUM(HB121:HE121)</f>
        <v>0</v>
      </c>
      <c r="HG121" s="63"/>
      <c r="HH121" s="63"/>
      <c r="HI121" s="63"/>
      <c r="HJ121" s="63"/>
      <c r="HK121" s="67">
        <f t="shared" ref="HK121:HK129" si="771">SUM(HG121:HJ121)</f>
        <v>0</v>
      </c>
      <c r="HL121" s="68">
        <f t="shared" ref="HL121:HO129" si="772">SUM(GW121,HB121,HG121)</f>
        <v>0</v>
      </c>
      <c r="HM121" s="68">
        <f t="shared" si="772"/>
        <v>0</v>
      </c>
      <c r="HN121" s="68">
        <f t="shared" si="772"/>
        <v>0</v>
      </c>
      <c r="HO121" s="68">
        <f t="shared" si="772"/>
        <v>0</v>
      </c>
      <c r="HP121" s="67">
        <f t="shared" ref="HP121:HP129" si="773">SUM(HL121:HO121)</f>
        <v>0</v>
      </c>
      <c r="HQ121" s="63"/>
      <c r="HR121" s="63"/>
      <c r="HS121" s="63"/>
      <c r="HT121" s="63"/>
      <c r="HU121" s="67">
        <f t="shared" ref="HU121:HU129" si="774">SUM(HQ121:HT121)</f>
        <v>0</v>
      </c>
      <c r="HV121" s="63"/>
      <c r="HW121" s="63"/>
      <c r="HX121" s="63"/>
      <c r="HY121" s="63"/>
      <c r="HZ121" s="67">
        <f t="shared" ref="HZ121:HZ129" si="775">SUM(HV121:HY121)</f>
        <v>0</v>
      </c>
      <c r="IA121" s="63"/>
      <c r="IB121" s="63"/>
      <c r="IC121" s="63"/>
      <c r="ID121" s="63"/>
      <c r="IE121" s="67">
        <f t="shared" ref="IE121:IE129" si="776">SUM(IA121:ID121)</f>
        <v>0</v>
      </c>
      <c r="IF121" s="68">
        <f t="shared" ref="IF121:II129" si="777">SUM(HQ121,HV121,IA121)</f>
        <v>0</v>
      </c>
      <c r="IG121" s="68">
        <f t="shared" si="777"/>
        <v>0</v>
      </c>
      <c r="IH121" s="68">
        <f t="shared" si="777"/>
        <v>0</v>
      </c>
      <c r="II121" s="68">
        <f t="shared" si="777"/>
        <v>0</v>
      </c>
      <c r="IJ121" s="67">
        <f t="shared" ref="IJ121:IJ129" si="778">SUM(IF121:II121)</f>
        <v>0</v>
      </c>
      <c r="IK121" s="63"/>
      <c r="IL121" s="63"/>
      <c r="IM121" s="63"/>
      <c r="IN121" s="63"/>
      <c r="IO121" s="67">
        <f t="shared" ref="IO121:IO129" si="779">SUM(IK121:IN121)</f>
        <v>0</v>
      </c>
      <c r="IP121" s="63"/>
      <c r="IQ121" s="63"/>
      <c r="IR121" s="63"/>
      <c r="IS121" s="63"/>
      <c r="IT121" s="67">
        <f t="shared" ref="IT121:IT129" si="780">SUM(IP121:IS121)</f>
        <v>0</v>
      </c>
      <c r="IU121" s="63"/>
      <c r="IV121" s="63"/>
    </row>
    <row r="122" spans="1:256" ht="12.75" customHeight="1" x14ac:dyDescent="0.25">
      <c r="A122" s="117" t="s">
        <v>113</v>
      </c>
      <c r="B122" s="62">
        <v>100000</v>
      </c>
      <c r="C122" s="63">
        <v>880</v>
      </c>
      <c r="D122" s="63">
        <v>20</v>
      </c>
      <c r="E122" s="63">
        <v>40</v>
      </c>
      <c r="F122" s="63">
        <v>0</v>
      </c>
      <c r="G122" s="63">
        <v>0</v>
      </c>
      <c r="H122" s="63">
        <v>20</v>
      </c>
      <c r="I122" s="63">
        <v>0</v>
      </c>
      <c r="J122" s="63">
        <v>20</v>
      </c>
      <c r="K122" s="63">
        <v>20</v>
      </c>
      <c r="L122" s="64">
        <f t="shared" ref="L122:L129" si="781">SUM(C122:F122,H122:K122)</f>
        <v>1000</v>
      </c>
      <c r="M122" s="62"/>
      <c r="N122" s="63"/>
      <c r="O122" s="63"/>
      <c r="P122" s="63"/>
      <c r="Q122" s="63"/>
      <c r="R122" s="63"/>
      <c r="S122" s="63"/>
      <c r="T122" s="63"/>
      <c r="U122" s="63"/>
      <c r="V122" s="63"/>
      <c r="W122" s="64">
        <f t="shared" si="747"/>
        <v>0</v>
      </c>
      <c r="X122" s="62"/>
      <c r="Y122" s="63"/>
      <c r="Z122" s="63"/>
      <c r="AA122" s="63"/>
      <c r="AB122" s="63"/>
      <c r="AC122" s="63"/>
      <c r="AD122" s="63"/>
      <c r="AE122" s="63"/>
      <c r="AF122" s="63"/>
      <c r="AG122" s="63"/>
      <c r="AH122" s="64">
        <f t="shared" si="748"/>
        <v>0</v>
      </c>
      <c r="AI122" s="62"/>
      <c r="AJ122" s="63"/>
      <c r="AK122" s="63"/>
      <c r="AL122" s="63"/>
      <c r="AM122" s="63"/>
      <c r="AN122" s="63"/>
      <c r="AO122" s="63"/>
      <c r="AP122" s="63"/>
      <c r="AQ122" s="63"/>
      <c r="AR122" s="63"/>
      <c r="AS122" s="64">
        <f t="shared" si="749"/>
        <v>0</v>
      </c>
      <c r="AT122" s="65">
        <f t="shared" si="750"/>
        <v>0</v>
      </c>
      <c r="AU122" s="65">
        <f t="shared" si="750"/>
        <v>0</v>
      </c>
      <c r="AV122" s="65">
        <f t="shared" si="750"/>
        <v>0</v>
      </c>
      <c r="AW122" s="65">
        <f t="shared" si="750"/>
        <v>0</v>
      </c>
      <c r="AX122" s="65">
        <f t="shared" si="750"/>
        <v>0</v>
      </c>
      <c r="AY122" s="65">
        <f t="shared" si="750"/>
        <v>0</v>
      </c>
      <c r="AZ122" s="65">
        <f t="shared" si="750"/>
        <v>0</v>
      </c>
      <c r="BA122" s="65">
        <f t="shared" si="750"/>
        <v>0</v>
      </c>
      <c r="BB122" s="65">
        <f t="shared" si="750"/>
        <v>0</v>
      </c>
      <c r="BC122" s="65">
        <f t="shared" si="750"/>
        <v>0</v>
      </c>
      <c r="BD122" s="64">
        <f t="shared" si="751"/>
        <v>0</v>
      </c>
      <c r="BE122" s="62"/>
      <c r="BF122" s="63"/>
      <c r="BG122" s="63"/>
      <c r="BH122" s="63"/>
      <c r="BI122" s="63"/>
      <c r="BJ122" s="63"/>
      <c r="BK122" s="63"/>
      <c r="BL122" s="63"/>
      <c r="BM122" s="63"/>
      <c r="BN122" s="63"/>
      <c r="BO122" s="64">
        <f t="shared" si="752"/>
        <v>0</v>
      </c>
      <c r="BP122" s="62"/>
      <c r="BQ122" s="63"/>
      <c r="BR122" s="63"/>
      <c r="BS122" s="63"/>
      <c r="BT122" s="63"/>
      <c r="BU122" s="63"/>
      <c r="BV122" s="63"/>
      <c r="BW122" s="63"/>
      <c r="BX122" s="63"/>
      <c r="BY122" s="63"/>
      <c r="BZ122" s="64">
        <f t="shared" si="753"/>
        <v>0</v>
      </c>
      <c r="CA122" s="62"/>
      <c r="CB122" s="63"/>
      <c r="CC122" s="63"/>
      <c r="CD122" s="63"/>
      <c r="CE122" s="63"/>
      <c r="CF122" s="63"/>
      <c r="CG122" s="63"/>
      <c r="CH122" s="63"/>
      <c r="CI122" s="63"/>
      <c r="CJ122" s="63"/>
      <c r="CK122" s="64">
        <f t="shared" si="754"/>
        <v>0</v>
      </c>
      <c r="CL122" s="65">
        <f t="shared" si="755"/>
        <v>0</v>
      </c>
      <c r="CM122" s="65">
        <f t="shared" si="755"/>
        <v>0</v>
      </c>
      <c r="CN122" s="65">
        <f t="shared" si="755"/>
        <v>0</v>
      </c>
      <c r="CO122" s="65">
        <f t="shared" si="755"/>
        <v>0</v>
      </c>
      <c r="CP122" s="65">
        <f t="shared" si="755"/>
        <v>0</v>
      </c>
      <c r="CQ122" s="65">
        <f t="shared" si="755"/>
        <v>0</v>
      </c>
      <c r="CR122" s="65">
        <f t="shared" si="755"/>
        <v>0</v>
      </c>
      <c r="CS122" s="65">
        <f t="shared" si="755"/>
        <v>0</v>
      </c>
      <c r="CT122" s="65">
        <f t="shared" si="755"/>
        <v>0</v>
      </c>
      <c r="CU122" s="65">
        <f t="shared" si="755"/>
        <v>0</v>
      </c>
      <c r="CV122" s="64">
        <f t="shared" si="756"/>
        <v>0</v>
      </c>
      <c r="CW122" s="62"/>
      <c r="CX122" s="63"/>
      <c r="CY122" s="63"/>
      <c r="CZ122" s="63"/>
      <c r="DA122" s="63"/>
      <c r="DB122" s="63"/>
      <c r="DC122" s="63"/>
      <c r="DD122" s="63"/>
      <c r="DE122" s="63"/>
      <c r="DF122" s="63"/>
      <c r="DG122" s="64">
        <f t="shared" si="757"/>
        <v>0</v>
      </c>
      <c r="DH122" s="62"/>
      <c r="DI122" s="63"/>
      <c r="DJ122" s="63"/>
      <c r="DK122" s="63"/>
      <c r="DL122" s="63"/>
      <c r="DM122" s="63"/>
      <c r="DN122" s="63"/>
      <c r="DO122" s="63"/>
      <c r="DP122" s="63"/>
      <c r="DQ122" s="63"/>
      <c r="DR122" s="64">
        <f t="shared" si="758"/>
        <v>0</v>
      </c>
      <c r="DS122" s="62"/>
      <c r="DT122" s="63"/>
      <c r="DU122" s="63"/>
      <c r="DV122" s="63"/>
      <c r="DW122" s="63"/>
      <c r="DX122" s="63"/>
      <c r="DY122" s="63"/>
      <c r="DZ122" s="63"/>
      <c r="EA122" s="63"/>
      <c r="EB122" s="63"/>
      <c r="EC122" s="63"/>
      <c r="ED122" s="65">
        <f t="shared" si="759"/>
        <v>0</v>
      </c>
      <c r="EE122" s="65">
        <f t="shared" si="759"/>
        <v>0</v>
      </c>
      <c r="EF122" s="65">
        <f t="shared" si="759"/>
        <v>0</v>
      </c>
      <c r="EG122" s="65">
        <f t="shared" si="759"/>
        <v>0</v>
      </c>
      <c r="EH122" s="65">
        <f t="shared" si="759"/>
        <v>0</v>
      </c>
      <c r="EI122" s="65">
        <f t="shared" si="759"/>
        <v>0</v>
      </c>
      <c r="EJ122" s="65">
        <f t="shared" si="759"/>
        <v>0</v>
      </c>
      <c r="EK122" s="65">
        <f t="shared" si="759"/>
        <v>0</v>
      </c>
      <c r="EL122" s="65">
        <f t="shared" si="759"/>
        <v>0</v>
      </c>
      <c r="EM122" s="65">
        <f t="shared" si="759"/>
        <v>0</v>
      </c>
      <c r="EN122" s="64">
        <f t="shared" si="760"/>
        <v>0</v>
      </c>
      <c r="EO122" s="62"/>
      <c r="EP122" s="63"/>
      <c r="EQ122" s="63"/>
      <c r="ER122" s="63"/>
      <c r="ES122" s="63"/>
      <c r="ET122" s="63"/>
      <c r="EU122" s="63"/>
      <c r="EV122" s="63"/>
      <c r="EW122" s="63"/>
      <c r="EX122" s="63"/>
      <c r="EY122" s="64">
        <f t="shared" si="761"/>
        <v>0</v>
      </c>
      <c r="EZ122" s="62"/>
      <c r="FA122" s="63"/>
      <c r="FB122" s="63"/>
      <c r="FC122" s="63"/>
      <c r="FD122" s="63"/>
      <c r="FE122" s="63"/>
      <c r="FF122" s="63"/>
      <c r="FG122" s="63"/>
      <c r="FH122" s="63"/>
      <c r="FI122" s="63"/>
      <c r="FJ122" s="64">
        <f t="shared" si="762"/>
        <v>0</v>
      </c>
      <c r="FK122" s="62"/>
      <c r="FL122" s="63"/>
      <c r="FM122" s="63"/>
      <c r="FN122" s="63"/>
      <c r="FO122" s="63"/>
      <c r="FP122" s="63"/>
      <c r="FQ122" s="63"/>
      <c r="FR122" s="63"/>
      <c r="FS122" s="63"/>
      <c r="FT122" s="63"/>
      <c r="FU122" s="64">
        <f t="shared" si="763"/>
        <v>0</v>
      </c>
      <c r="FV122" s="65">
        <f t="shared" si="764"/>
        <v>0</v>
      </c>
      <c r="FW122" s="65">
        <f t="shared" si="764"/>
        <v>0</v>
      </c>
      <c r="FX122" s="65">
        <f t="shared" si="764"/>
        <v>0</v>
      </c>
      <c r="FY122" s="65">
        <f t="shared" si="764"/>
        <v>0</v>
      </c>
      <c r="FZ122" s="65">
        <f t="shared" si="764"/>
        <v>0</v>
      </c>
      <c r="GA122" s="65">
        <f t="shared" si="764"/>
        <v>0</v>
      </c>
      <c r="GB122" s="65">
        <f t="shared" si="764"/>
        <v>0</v>
      </c>
      <c r="GC122" s="65">
        <f t="shared" si="764"/>
        <v>0</v>
      </c>
      <c r="GD122" s="65">
        <f t="shared" si="764"/>
        <v>0</v>
      </c>
      <c r="GE122" s="65">
        <f t="shared" si="764"/>
        <v>0</v>
      </c>
      <c r="GF122" s="64">
        <f t="shared" si="765"/>
        <v>0</v>
      </c>
      <c r="GG122" s="66">
        <f t="shared" si="766"/>
        <v>0</v>
      </c>
      <c r="GH122" s="66">
        <f t="shared" si="766"/>
        <v>0</v>
      </c>
      <c r="GI122" s="66">
        <f t="shared" si="766"/>
        <v>0</v>
      </c>
      <c r="GJ122" s="66">
        <f t="shared" si="766"/>
        <v>0</v>
      </c>
      <c r="GK122" s="66">
        <f t="shared" si="766"/>
        <v>0</v>
      </c>
      <c r="GL122" s="66">
        <f t="shared" si="766"/>
        <v>0</v>
      </c>
      <c r="GM122" s="66">
        <f t="shared" si="766"/>
        <v>0</v>
      </c>
      <c r="GN122" s="66">
        <f t="shared" si="766"/>
        <v>0</v>
      </c>
      <c r="GO122" s="66">
        <f t="shared" si="766"/>
        <v>0</v>
      </c>
      <c r="GP122" s="66">
        <f t="shared" si="766"/>
        <v>0</v>
      </c>
      <c r="GQ122" s="64">
        <f t="shared" si="767"/>
        <v>0</v>
      </c>
      <c r="GR122" s="63"/>
      <c r="GS122" s="63"/>
      <c r="GT122" s="63"/>
      <c r="GU122" s="63"/>
      <c r="GV122" s="67">
        <f t="shared" si="768"/>
        <v>0</v>
      </c>
      <c r="GW122" s="63"/>
      <c r="GX122" s="63"/>
      <c r="GY122" s="63"/>
      <c r="GZ122" s="63"/>
      <c r="HA122" s="67">
        <f t="shared" si="769"/>
        <v>0</v>
      </c>
      <c r="HB122" s="63"/>
      <c r="HC122" s="63"/>
      <c r="HD122" s="63"/>
      <c r="HE122" s="63"/>
      <c r="HF122" s="67">
        <f t="shared" si="770"/>
        <v>0</v>
      </c>
      <c r="HG122" s="63"/>
      <c r="HH122" s="63"/>
      <c r="HI122" s="63"/>
      <c r="HJ122" s="63"/>
      <c r="HK122" s="67">
        <f t="shared" si="771"/>
        <v>0</v>
      </c>
      <c r="HL122" s="68">
        <f t="shared" si="772"/>
        <v>0</v>
      </c>
      <c r="HM122" s="68">
        <f t="shared" si="772"/>
        <v>0</v>
      </c>
      <c r="HN122" s="68">
        <f t="shared" si="772"/>
        <v>0</v>
      </c>
      <c r="HO122" s="68">
        <f t="shared" si="772"/>
        <v>0</v>
      </c>
      <c r="HP122" s="67">
        <f t="shared" si="773"/>
        <v>0</v>
      </c>
      <c r="HQ122" s="63"/>
      <c r="HR122" s="63"/>
      <c r="HS122" s="63"/>
      <c r="HT122" s="63"/>
      <c r="HU122" s="67">
        <f t="shared" si="774"/>
        <v>0</v>
      </c>
      <c r="HV122" s="63"/>
      <c r="HW122" s="63"/>
      <c r="HX122" s="63"/>
      <c r="HY122" s="63"/>
      <c r="HZ122" s="67">
        <f t="shared" si="775"/>
        <v>0</v>
      </c>
      <c r="IA122" s="63"/>
      <c r="IB122" s="63"/>
      <c r="IC122" s="63"/>
      <c r="ID122" s="63"/>
      <c r="IE122" s="67">
        <f t="shared" si="776"/>
        <v>0</v>
      </c>
      <c r="IF122" s="68">
        <f t="shared" si="777"/>
        <v>0</v>
      </c>
      <c r="IG122" s="68">
        <f t="shared" si="777"/>
        <v>0</v>
      </c>
      <c r="IH122" s="68">
        <f t="shared" si="777"/>
        <v>0</v>
      </c>
      <c r="II122" s="68">
        <f t="shared" si="777"/>
        <v>0</v>
      </c>
      <c r="IJ122" s="67">
        <f t="shared" si="778"/>
        <v>0</v>
      </c>
      <c r="IK122" s="63"/>
      <c r="IL122" s="63"/>
      <c r="IM122" s="63"/>
      <c r="IN122" s="63"/>
      <c r="IO122" s="67">
        <f t="shared" si="779"/>
        <v>0</v>
      </c>
      <c r="IP122" s="63"/>
      <c r="IQ122" s="63"/>
      <c r="IR122" s="63"/>
      <c r="IS122" s="63"/>
      <c r="IT122" s="67">
        <f t="shared" si="780"/>
        <v>0</v>
      </c>
      <c r="IU122" s="63"/>
      <c r="IV122" s="63"/>
    </row>
    <row r="123" spans="1:256" ht="12.75" customHeight="1" x14ac:dyDescent="0.25">
      <c r="A123" s="132" t="s">
        <v>114</v>
      </c>
      <c r="B123" s="62">
        <v>300</v>
      </c>
      <c r="C123" s="63">
        <v>240</v>
      </c>
      <c r="D123" s="63">
        <v>12</v>
      </c>
      <c r="E123" s="63">
        <v>20</v>
      </c>
      <c r="F123" s="63">
        <v>0</v>
      </c>
      <c r="G123" s="63">
        <v>0</v>
      </c>
      <c r="H123" s="63">
        <v>12</v>
      </c>
      <c r="I123" s="63">
        <v>0</v>
      </c>
      <c r="J123" s="63">
        <v>8</v>
      </c>
      <c r="K123" s="63">
        <v>8</v>
      </c>
      <c r="L123" s="64">
        <f t="shared" si="781"/>
        <v>300</v>
      </c>
      <c r="M123" s="62"/>
      <c r="N123" s="63"/>
      <c r="O123" s="63"/>
      <c r="P123" s="63"/>
      <c r="Q123" s="63"/>
      <c r="R123" s="63"/>
      <c r="S123" s="63"/>
      <c r="T123" s="63"/>
      <c r="U123" s="63"/>
      <c r="V123" s="63"/>
      <c r="W123" s="64">
        <f t="shared" si="747"/>
        <v>0</v>
      </c>
      <c r="X123" s="62"/>
      <c r="Y123" s="63"/>
      <c r="Z123" s="63"/>
      <c r="AA123" s="63"/>
      <c r="AB123" s="63"/>
      <c r="AC123" s="63"/>
      <c r="AD123" s="63"/>
      <c r="AE123" s="63"/>
      <c r="AF123" s="63"/>
      <c r="AG123" s="63"/>
      <c r="AH123" s="64">
        <f t="shared" si="748"/>
        <v>0</v>
      </c>
      <c r="AI123" s="62"/>
      <c r="AJ123" s="63"/>
      <c r="AK123" s="63"/>
      <c r="AL123" s="63"/>
      <c r="AM123" s="63"/>
      <c r="AN123" s="63"/>
      <c r="AO123" s="63"/>
      <c r="AP123" s="63"/>
      <c r="AQ123" s="63"/>
      <c r="AR123" s="63"/>
      <c r="AS123" s="64">
        <f t="shared" si="749"/>
        <v>0</v>
      </c>
      <c r="AT123" s="65">
        <f t="shared" si="750"/>
        <v>0</v>
      </c>
      <c r="AU123" s="65">
        <f t="shared" si="750"/>
        <v>0</v>
      </c>
      <c r="AV123" s="65">
        <f t="shared" si="750"/>
        <v>0</v>
      </c>
      <c r="AW123" s="65">
        <f t="shared" si="750"/>
        <v>0</v>
      </c>
      <c r="AX123" s="65">
        <f t="shared" si="750"/>
        <v>0</v>
      </c>
      <c r="AY123" s="65">
        <f t="shared" si="750"/>
        <v>0</v>
      </c>
      <c r="AZ123" s="65">
        <f t="shared" si="750"/>
        <v>0</v>
      </c>
      <c r="BA123" s="65">
        <f t="shared" si="750"/>
        <v>0</v>
      </c>
      <c r="BB123" s="65">
        <f t="shared" si="750"/>
        <v>0</v>
      </c>
      <c r="BC123" s="65">
        <f t="shared" si="750"/>
        <v>0</v>
      </c>
      <c r="BD123" s="64">
        <f t="shared" si="751"/>
        <v>0</v>
      </c>
      <c r="BE123" s="62"/>
      <c r="BF123" s="63"/>
      <c r="BG123" s="63"/>
      <c r="BH123" s="63"/>
      <c r="BI123" s="63"/>
      <c r="BJ123" s="63"/>
      <c r="BK123" s="63"/>
      <c r="BL123" s="63"/>
      <c r="BM123" s="63"/>
      <c r="BN123" s="63"/>
      <c r="BO123" s="64">
        <f t="shared" si="752"/>
        <v>0</v>
      </c>
      <c r="BP123" s="62"/>
      <c r="BQ123" s="63"/>
      <c r="BR123" s="63"/>
      <c r="BS123" s="63"/>
      <c r="BT123" s="63"/>
      <c r="BU123" s="63"/>
      <c r="BV123" s="63"/>
      <c r="BW123" s="63"/>
      <c r="BX123" s="63"/>
      <c r="BY123" s="63"/>
      <c r="BZ123" s="64">
        <f t="shared" si="753"/>
        <v>0</v>
      </c>
      <c r="CA123" s="62"/>
      <c r="CB123" s="63"/>
      <c r="CC123" s="63"/>
      <c r="CD123" s="63"/>
      <c r="CE123" s="63"/>
      <c r="CF123" s="63"/>
      <c r="CG123" s="63"/>
      <c r="CH123" s="63"/>
      <c r="CI123" s="63"/>
      <c r="CJ123" s="63"/>
      <c r="CK123" s="64">
        <f t="shared" si="754"/>
        <v>0</v>
      </c>
      <c r="CL123" s="65">
        <f t="shared" si="755"/>
        <v>0</v>
      </c>
      <c r="CM123" s="65">
        <f t="shared" si="755"/>
        <v>0</v>
      </c>
      <c r="CN123" s="65">
        <f t="shared" si="755"/>
        <v>0</v>
      </c>
      <c r="CO123" s="65">
        <f t="shared" si="755"/>
        <v>0</v>
      </c>
      <c r="CP123" s="65">
        <f t="shared" si="755"/>
        <v>0</v>
      </c>
      <c r="CQ123" s="65">
        <f t="shared" si="755"/>
        <v>0</v>
      </c>
      <c r="CR123" s="65">
        <f t="shared" si="755"/>
        <v>0</v>
      </c>
      <c r="CS123" s="65">
        <f t="shared" si="755"/>
        <v>0</v>
      </c>
      <c r="CT123" s="65">
        <f t="shared" si="755"/>
        <v>0</v>
      </c>
      <c r="CU123" s="65">
        <f t="shared" si="755"/>
        <v>0</v>
      </c>
      <c r="CV123" s="64">
        <f t="shared" si="756"/>
        <v>0</v>
      </c>
      <c r="CW123" s="62"/>
      <c r="CX123" s="63"/>
      <c r="CY123" s="63"/>
      <c r="CZ123" s="63"/>
      <c r="DA123" s="63"/>
      <c r="DB123" s="63"/>
      <c r="DC123" s="63"/>
      <c r="DD123" s="63"/>
      <c r="DE123" s="63"/>
      <c r="DF123" s="63"/>
      <c r="DG123" s="64">
        <f t="shared" si="757"/>
        <v>0</v>
      </c>
      <c r="DH123" s="62"/>
      <c r="DI123" s="63"/>
      <c r="DJ123" s="63"/>
      <c r="DK123" s="63"/>
      <c r="DL123" s="63"/>
      <c r="DM123" s="63"/>
      <c r="DN123" s="63"/>
      <c r="DO123" s="63"/>
      <c r="DP123" s="63"/>
      <c r="DQ123" s="63"/>
      <c r="DR123" s="64">
        <f t="shared" si="758"/>
        <v>0</v>
      </c>
      <c r="DS123" s="62"/>
      <c r="DT123" s="63"/>
      <c r="DU123" s="63"/>
      <c r="DV123" s="63"/>
      <c r="DW123" s="63"/>
      <c r="DX123" s="63"/>
      <c r="DY123" s="63"/>
      <c r="DZ123" s="63"/>
      <c r="EA123" s="63"/>
      <c r="EB123" s="63"/>
      <c r="EC123" s="63"/>
      <c r="ED123" s="65">
        <f t="shared" si="759"/>
        <v>0</v>
      </c>
      <c r="EE123" s="65">
        <f t="shared" si="759"/>
        <v>0</v>
      </c>
      <c r="EF123" s="65">
        <f t="shared" si="759"/>
        <v>0</v>
      </c>
      <c r="EG123" s="65">
        <f t="shared" si="759"/>
        <v>0</v>
      </c>
      <c r="EH123" s="65">
        <f t="shared" si="759"/>
        <v>0</v>
      </c>
      <c r="EI123" s="65">
        <f t="shared" si="759"/>
        <v>0</v>
      </c>
      <c r="EJ123" s="65">
        <f t="shared" si="759"/>
        <v>0</v>
      </c>
      <c r="EK123" s="65">
        <f t="shared" si="759"/>
        <v>0</v>
      </c>
      <c r="EL123" s="65">
        <f t="shared" si="759"/>
        <v>0</v>
      </c>
      <c r="EM123" s="65">
        <f t="shared" si="759"/>
        <v>0</v>
      </c>
      <c r="EN123" s="64">
        <f t="shared" si="760"/>
        <v>0</v>
      </c>
      <c r="EO123" s="62"/>
      <c r="EP123" s="63"/>
      <c r="EQ123" s="63"/>
      <c r="ER123" s="63"/>
      <c r="ES123" s="63"/>
      <c r="ET123" s="63"/>
      <c r="EU123" s="63"/>
      <c r="EV123" s="63"/>
      <c r="EW123" s="63"/>
      <c r="EX123" s="63"/>
      <c r="EY123" s="64">
        <f t="shared" si="761"/>
        <v>0</v>
      </c>
      <c r="EZ123" s="62"/>
      <c r="FA123" s="63"/>
      <c r="FB123" s="63"/>
      <c r="FC123" s="63"/>
      <c r="FD123" s="63"/>
      <c r="FE123" s="63"/>
      <c r="FF123" s="63"/>
      <c r="FG123" s="63"/>
      <c r="FH123" s="63"/>
      <c r="FI123" s="63"/>
      <c r="FJ123" s="64">
        <f t="shared" si="762"/>
        <v>0</v>
      </c>
      <c r="FK123" s="62"/>
      <c r="FL123" s="63"/>
      <c r="FM123" s="63"/>
      <c r="FN123" s="63"/>
      <c r="FO123" s="63"/>
      <c r="FP123" s="63"/>
      <c r="FQ123" s="63"/>
      <c r="FR123" s="63"/>
      <c r="FS123" s="63"/>
      <c r="FT123" s="63"/>
      <c r="FU123" s="64">
        <f t="shared" si="763"/>
        <v>0</v>
      </c>
      <c r="FV123" s="65">
        <f t="shared" si="764"/>
        <v>0</v>
      </c>
      <c r="FW123" s="65">
        <f t="shared" si="764"/>
        <v>0</v>
      </c>
      <c r="FX123" s="65">
        <f t="shared" si="764"/>
        <v>0</v>
      </c>
      <c r="FY123" s="65">
        <f t="shared" si="764"/>
        <v>0</v>
      </c>
      <c r="FZ123" s="65">
        <f t="shared" si="764"/>
        <v>0</v>
      </c>
      <c r="GA123" s="65">
        <f t="shared" si="764"/>
        <v>0</v>
      </c>
      <c r="GB123" s="65">
        <f t="shared" si="764"/>
        <v>0</v>
      </c>
      <c r="GC123" s="65">
        <f t="shared" si="764"/>
        <v>0</v>
      </c>
      <c r="GD123" s="65">
        <f t="shared" si="764"/>
        <v>0</v>
      </c>
      <c r="GE123" s="65">
        <f t="shared" si="764"/>
        <v>0</v>
      </c>
      <c r="GF123" s="64">
        <f t="shared" si="765"/>
        <v>0</v>
      </c>
      <c r="GG123" s="66">
        <f t="shared" si="766"/>
        <v>0</v>
      </c>
      <c r="GH123" s="66">
        <f t="shared" si="766"/>
        <v>0</v>
      </c>
      <c r="GI123" s="66">
        <f t="shared" si="766"/>
        <v>0</v>
      </c>
      <c r="GJ123" s="66">
        <f t="shared" si="766"/>
        <v>0</v>
      </c>
      <c r="GK123" s="66">
        <f t="shared" si="766"/>
        <v>0</v>
      </c>
      <c r="GL123" s="66">
        <f t="shared" si="766"/>
        <v>0</v>
      </c>
      <c r="GM123" s="66">
        <f t="shared" si="766"/>
        <v>0</v>
      </c>
      <c r="GN123" s="66">
        <f t="shared" si="766"/>
        <v>0</v>
      </c>
      <c r="GO123" s="66">
        <f t="shared" si="766"/>
        <v>0</v>
      </c>
      <c r="GP123" s="66">
        <f t="shared" si="766"/>
        <v>0</v>
      </c>
      <c r="GQ123" s="64">
        <f t="shared" si="767"/>
        <v>0</v>
      </c>
      <c r="GR123" s="63"/>
      <c r="GS123" s="63"/>
      <c r="GT123" s="63"/>
      <c r="GU123" s="63"/>
      <c r="GV123" s="67">
        <f t="shared" si="768"/>
        <v>0</v>
      </c>
      <c r="GW123" s="63"/>
      <c r="GX123" s="63"/>
      <c r="GY123" s="63"/>
      <c r="GZ123" s="63"/>
      <c r="HA123" s="67">
        <f t="shared" si="769"/>
        <v>0</v>
      </c>
      <c r="HB123" s="63"/>
      <c r="HC123" s="63"/>
      <c r="HD123" s="63"/>
      <c r="HE123" s="63"/>
      <c r="HF123" s="67">
        <f t="shared" si="770"/>
        <v>0</v>
      </c>
      <c r="HG123" s="63"/>
      <c r="HH123" s="63"/>
      <c r="HI123" s="63"/>
      <c r="HJ123" s="63"/>
      <c r="HK123" s="67">
        <f t="shared" si="771"/>
        <v>0</v>
      </c>
      <c r="HL123" s="68">
        <f t="shared" si="772"/>
        <v>0</v>
      </c>
      <c r="HM123" s="68">
        <f t="shared" si="772"/>
        <v>0</v>
      </c>
      <c r="HN123" s="68">
        <f t="shared" si="772"/>
        <v>0</v>
      </c>
      <c r="HO123" s="68">
        <f t="shared" si="772"/>
        <v>0</v>
      </c>
      <c r="HP123" s="67">
        <f t="shared" si="773"/>
        <v>0</v>
      </c>
      <c r="HQ123" s="63"/>
      <c r="HR123" s="63"/>
      <c r="HS123" s="63"/>
      <c r="HT123" s="63"/>
      <c r="HU123" s="67">
        <f t="shared" si="774"/>
        <v>0</v>
      </c>
      <c r="HV123" s="63"/>
      <c r="HW123" s="63"/>
      <c r="HX123" s="63"/>
      <c r="HY123" s="63"/>
      <c r="HZ123" s="67">
        <f t="shared" si="775"/>
        <v>0</v>
      </c>
      <c r="IA123" s="63"/>
      <c r="IB123" s="63"/>
      <c r="IC123" s="63"/>
      <c r="ID123" s="63"/>
      <c r="IE123" s="67">
        <f t="shared" si="776"/>
        <v>0</v>
      </c>
      <c r="IF123" s="68">
        <f t="shared" si="777"/>
        <v>0</v>
      </c>
      <c r="IG123" s="68">
        <f t="shared" si="777"/>
        <v>0</v>
      </c>
      <c r="IH123" s="68">
        <f t="shared" si="777"/>
        <v>0</v>
      </c>
      <c r="II123" s="68">
        <f t="shared" si="777"/>
        <v>0</v>
      </c>
      <c r="IJ123" s="67">
        <f t="shared" si="778"/>
        <v>0</v>
      </c>
      <c r="IK123" s="63"/>
      <c r="IL123" s="63"/>
      <c r="IM123" s="63"/>
      <c r="IN123" s="63"/>
      <c r="IO123" s="67">
        <f t="shared" si="779"/>
        <v>0</v>
      </c>
      <c r="IP123" s="63"/>
      <c r="IQ123" s="63"/>
      <c r="IR123" s="63"/>
      <c r="IS123" s="63"/>
      <c r="IT123" s="67">
        <f t="shared" si="780"/>
        <v>0</v>
      </c>
      <c r="IU123" s="63"/>
      <c r="IV123" s="63"/>
    </row>
    <row r="124" spans="1:256" ht="12.75" customHeight="1" x14ac:dyDescent="0.25">
      <c r="A124" s="132" t="s">
        <v>115</v>
      </c>
      <c r="B124" s="62">
        <v>3</v>
      </c>
      <c r="C124" s="63">
        <v>0</v>
      </c>
      <c r="D124" s="63">
        <v>0</v>
      </c>
      <c r="E124" s="63">
        <v>0</v>
      </c>
      <c r="F124" s="63">
        <v>0</v>
      </c>
      <c r="G124" s="63">
        <v>3</v>
      </c>
      <c r="H124" s="63">
        <v>0</v>
      </c>
      <c r="I124" s="63">
        <v>0</v>
      </c>
      <c r="J124" s="63">
        <v>0</v>
      </c>
      <c r="K124" s="63">
        <v>0</v>
      </c>
      <c r="L124" s="64">
        <f t="shared" si="781"/>
        <v>0</v>
      </c>
      <c r="M124" s="62"/>
      <c r="N124" s="63"/>
      <c r="O124" s="63"/>
      <c r="P124" s="63"/>
      <c r="Q124" s="63"/>
      <c r="R124" s="63"/>
      <c r="S124" s="63"/>
      <c r="T124" s="63"/>
      <c r="U124" s="63"/>
      <c r="V124" s="63"/>
      <c r="W124" s="64">
        <f t="shared" si="747"/>
        <v>0</v>
      </c>
      <c r="X124" s="62"/>
      <c r="Y124" s="63"/>
      <c r="Z124" s="63"/>
      <c r="AA124" s="63"/>
      <c r="AB124" s="63"/>
      <c r="AC124" s="63"/>
      <c r="AD124" s="63"/>
      <c r="AE124" s="63"/>
      <c r="AF124" s="63"/>
      <c r="AG124" s="63"/>
      <c r="AH124" s="64">
        <f t="shared" si="748"/>
        <v>0</v>
      </c>
      <c r="AI124" s="62"/>
      <c r="AJ124" s="63"/>
      <c r="AK124" s="63"/>
      <c r="AL124" s="63"/>
      <c r="AM124" s="63"/>
      <c r="AN124" s="63"/>
      <c r="AO124" s="63"/>
      <c r="AP124" s="63"/>
      <c r="AQ124" s="63"/>
      <c r="AR124" s="63"/>
      <c r="AS124" s="64">
        <f t="shared" si="749"/>
        <v>0</v>
      </c>
      <c r="AT124" s="65">
        <f t="shared" si="750"/>
        <v>0</v>
      </c>
      <c r="AU124" s="65">
        <f t="shared" si="750"/>
        <v>0</v>
      </c>
      <c r="AV124" s="65">
        <f t="shared" si="750"/>
        <v>0</v>
      </c>
      <c r="AW124" s="65">
        <f t="shared" si="750"/>
        <v>0</v>
      </c>
      <c r="AX124" s="65">
        <f t="shared" si="750"/>
        <v>0</v>
      </c>
      <c r="AY124" s="65">
        <f t="shared" si="750"/>
        <v>0</v>
      </c>
      <c r="AZ124" s="65">
        <f t="shared" si="750"/>
        <v>0</v>
      </c>
      <c r="BA124" s="65">
        <f t="shared" si="750"/>
        <v>0</v>
      </c>
      <c r="BB124" s="65">
        <f t="shared" si="750"/>
        <v>0</v>
      </c>
      <c r="BC124" s="65">
        <f t="shared" si="750"/>
        <v>0</v>
      </c>
      <c r="BD124" s="64">
        <f t="shared" si="751"/>
        <v>0</v>
      </c>
      <c r="BE124" s="62"/>
      <c r="BF124" s="63"/>
      <c r="BG124" s="63"/>
      <c r="BH124" s="63"/>
      <c r="BI124" s="63"/>
      <c r="BJ124" s="63"/>
      <c r="BK124" s="63"/>
      <c r="BL124" s="63"/>
      <c r="BM124" s="63"/>
      <c r="BN124" s="63"/>
      <c r="BO124" s="64">
        <f t="shared" si="752"/>
        <v>0</v>
      </c>
      <c r="BP124" s="62"/>
      <c r="BQ124" s="63"/>
      <c r="BR124" s="63"/>
      <c r="BS124" s="63"/>
      <c r="BT124" s="63"/>
      <c r="BU124" s="63"/>
      <c r="BV124" s="63"/>
      <c r="BW124" s="63"/>
      <c r="BX124" s="63"/>
      <c r="BY124" s="63"/>
      <c r="BZ124" s="64">
        <f t="shared" si="753"/>
        <v>0</v>
      </c>
      <c r="CA124" s="62"/>
      <c r="CB124" s="63"/>
      <c r="CC124" s="63"/>
      <c r="CD124" s="63"/>
      <c r="CE124" s="63"/>
      <c r="CF124" s="63"/>
      <c r="CG124" s="63"/>
      <c r="CH124" s="63"/>
      <c r="CI124" s="63"/>
      <c r="CJ124" s="63"/>
      <c r="CK124" s="64">
        <f t="shared" si="754"/>
        <v>0</v>
      </c>
      <c r="CL124" s="65">
        <f t="shared" si="755"/>
        <v>0</v>
      </c>
      <c r="CM124" s="65">
        <f t="shared" si="755"/>
        <v>0</v>
      </c>
      <c r="CN124" s="65">
        <f t="shared" si="755"/>
        <v>0</v>
      </c>
      <c r="CO124" s="65">
        <f t="shared" si="755"/>
        <v>0</v>
      </c>
      <c r="CP124" s="65">
        <f t="shared" si="755"/>
        <v>0</v>
      </c>
      <c r="CQ124" s="65">
        <f t="shared" si="755"/>
        <v>0</v>
      </c>
      <c r="CR124" s="65">
        <f t="shared" si="755"/>
        <v>0</v>
      </c>
      <c r="CS124" s="65">
        <f t="shared" si="755"/>
        <v>0</v>
      </c>
      <c r="CT124" s="65">
        <f t="shared" si="755"/>
        <v>0</v>
      </c>
      <c r="CU124" s="65">
        <f t="shared" si="755"/>
        <v>0</v>
      </c>
      <c r="CV124" s="64">
        <f t="shared" si="756"/>
        <v>0</v>
      </c>
      <c r="CW124" s="62"/>
      <c r="CX124" s="63"/>
      <c r="CY124" s="63"/>
      <c r="CZ124" s="63"/>
      <c r="DA124" s="63"/>
      <c r="DB124" s="63"/>
      <c r="DC124" s="63"/>
      <c r="DD124" s="63"/>
      <c r="DE124" s="63"/>
      <c r="DF124" s="63"/>
      <c r="DG124" s="64">
        <f t="shared" si="757"/>
        <v>0</v>
      </c>
      <c r="DH124" s="62"/>
      <c r="DI124" s="63"/>
      <c r="DJ124" s="63"/>
      <c r="DK124" s="63"/>
      <c r="DL124" s="63"/>
      <c r="DM124" s="63"/>
      <c r="DN124" s="63"/>
      <c r="DO124" s="63"/>
      <c r="DP124" s="63"/>
      <c r="DQ124" s="63"/>
      <c r="DR124" s="64">
        <f t="shared" si="758"/>
        <v>0</v>
      </c>
      <c r="DS124" s="62"/>
      <c r="DT124" s="63"/>
      <c r="DU124" s="63"/>
      <c r="DV124" s="63"/>
      <c r="DW124" s="63"/>
      <c r="DX124" s="63"/>
      <c r="DY124" s="63"/>
      <c r="DZ124" s="63"/>
      <c r="EA124" s="63"/>
      <c r="EB124" s="63"/>
      <c r="EC124" s="63"/>
      <c r="ED124" s="65">
        <f t="shared" si="759"/>
        <v>0</v>
      </c>
      <c r="EE124" s="65">
        <f t="shared" si="759"/>
        <v>0</v>
      </c>
      <c r="EF124" s="65">
        <f t="shared" si="759"/>
        <v>0</v>
      </c>
      <c r="EG124" s="65">
        <f t="shared" si="759"/>
        <v>0</v>
      </c>
      <c r="EH124" s="65">
        <f t="shared" si="759"/>
        <v>0</v>
      </c>
      <c r="EI124" s="65">
        <f t="shared" si="759"/>
        <v>0</v>
      </c>
      <c r="EJ124" s="65">
        <f t="shared" si="759"/>
        <v>0</v>
      </c>
      <c r="EK124" s="65">
        <f t="shared" si="759"/>
        <v>0</v>
      </c>
      <c r="EL124" s="65">
        <f t="shared" si="759"/>
        <v>0</v>
      </c>
      <c r="EM124" s="65">
        <f t="shared" si="759"/>
        <v>0</v>
      </c>
      <c r="EN124" s="64">
        <f t="shared" si="760"/>
        <v>0</v>
      </c>
      <c r="EO124" s="62"/>
      <c r="EP124" s="63"/>
      <c r="EQ124" s="63"/>
      <c r="ER124" s="63"/>
      <c r="ES124" s="63"/>
      <c r="ET124" s="63"/>
      <c r="EU124" s="63"/>
      <c r="EV124" s="63"/>
      <c r="EW124" s="63"/>
      <c r="EX124" s="63"/>
      <c r="EY124" s="64">
        <f t="shared" si="761"/>
        <v>0</v>
      </c>
      <c r="EZ124" s="62"/>
      <c r="FA124" s="63"/>
      <c r="FB124" s="63"/>
      <c r="FC124" s="63"/>
      <c r="FD124" s="63"/>
      <c r="FE124" s="63"/>
      <c r="FF124" s="63"/>
      <c r="FG124" s="63"/>
      <c r="FH124" s="63"/>
      <c r="FI124" s="63"/>
      <c r="FJ124" s="64">
        <f t="shared" si="762"/>
        <v>0</v>
      </c>
      <c r="FK124" s="62"/>
      <c r="FL124" s="63"/>
      <c r="FM124" s="63"/>
      <c r="FN124" s="63"/>
      <c r="FO124" s="63"/>
      <c r="FP124" s="63"/>
      <c r="FQ124" s="63"/>
      <c r="FR124" s="63"/>
      <c r="FS124" s="63"/>
      <c r="FT124" s="63"/>
      <c r="FU124" s="64">
        <f t="shared" si="763"/>
        <v>0</v>
      </c>
      <c r="FV124" s="65">
        <f t="shared" si="764"/>
        <v>0</v>
      </c>
      <c r="FW124" s="65">
        <f t="shared" si="764"/>
        <v>0</v>
      </c>
      <c r="FX124" s="65">
        <f t="shared" si="764"/>
        <v>0</v>
      </c>
      <c r="FY124" s="65">
        <f t="shared" si="764"/>
        <v>0</v>
      </c>
      <c r="FZ124" s="65">
        <f t="shared" si="764"/>
        <v>0</v>
      </c>
      <c r="GA124" s="65">
        <f t="shared" si="764"/>
        <v>0</v>
      </c>
      <c r="GB124" s="65">
        <f t="shared" si="764"/>
        <v>0</v>
      </c>
      <c r="GC124" s="65">
        <f t="shared" si="764"/>
        <v>0</v>
      </c>
      <c r="GD124" s="65">
        <f t="shared" si="764"/>
        <v>0</v>
      </c>
      <c r="GE124" s="65">
        <f t="shared" si="764"/>
        <v>0</v>
      </c>
      <c r="GF124" s="64">
        <f t="shared" si="765"/>
        <v>0</v>
      </c>
      <c r="GG124" s="66">
        <f t="shared" si="766"/>
        <v>0</v>
      </c>
      <c r="GH124" s="66">
        <f t="shared" si="766"/>
        <v>0</v>
      </c>
      <c r="GI124" s="66">
        <f t="shared" si="766"/>
        <v>0</v>
      </c>
      <c r="GJ124" s="66">
        <f t="shared" si="766"/>
        <v>0</v>
      </c>
      <c r="GK124" s="66">
        <f t="shared" si="766"/>
        <v>0</v>
      </c>
      <c r="GL124" s="66">
        <f t="shared" si="766"/>
        <v>0</v>
      </c>
      <c r="GM124" s="66">
        <f t="shared" si="766"/>
        <v>0</v>
      </c>
      <c r="GN124" s="66">
        <f t="shared" si="766"/>
        <v>0</v>
      </c>
      <c r="GO124" s="66">
        <f t="shared" si="766"/>
        <v>0</v>
      </c>
      <c r="GP124" s="66">
        <f t="shared" si="766"/>
        <v>0</v>
      </c>
      <c r="GQ124" s="64">
        <f t="shared" si="767"/>
        <v>0</v>
      </c>
      <c r="GR124" s="63"/>
      <c r="GS124" s="63">
        <v>0</v>
      </c>
      <c r="GT124" s="63"/>
      <c r="GU124" s="63"/>
      <c r="GV124" s="67">
        <f t="shared" si="768"/>
        <v>0</v>
      </c>
      <c r="GW124" s="63"/>
      <c r="GX124" s="63"/>
      <c r="GY124" s="63"/>
      <c r="GZ124" s="63"/>
      <c r="HA124" s="67">
        <f t="shared" si="769"/>
        <v>0</v>
      </c>
      <c r="HB124" s="63"/>
      <c r="HC124" s="63"/>
      <c r="HD124" s="63"/>
      <c r="HE124" s="63"/>
      <c r="HF124" s="67">
        <f t="shared" si="770"/>
        <v>0</v>
      </c>
      <c r="HG124" s="63"/>
      <c r="HH124" s="63"/>
      <c r="HI124" s="63"/>
      <c r="HJ124" s="63"/>
      <c r="HK124" s="67">
        <f t="shared" si="771"/>
        <v>0</v>
      </c>
      <c r="HL124" s="68">
        <f t="shared" si="772"/>
        <v>0</v>
      </c>
      <c r="HM124" s="68">
        <f t="shared" si="772"/>
        <v>0</v>
      </c>
      <c r="HN124" s="68">
        <f t="shared" si="772"/>
        <v>0</v>
      </c>
      <c r="HO124" s="68">
        <f t="shared" si="772"/>
        <v>0</v>
      </c>
      <c r="HP124" s="67">
        <f t="shared" si="773"/>
        <v>0</v>
      </c>
      <c r="HQ124" s="63"/>
      <c r="HR124" s="63"/>
      <c r="HS124" s="63"/>
      <c r="HT124" s="63"/>
      <c r="HU124" s="67">
        <f t="shared" si="774"/>
        <v>0</v>
      </c>
      <c r="HV124" s="63"/>
      <c r="HW124" s="63"/>
      <c r="HX124" s="63"/>
      <c r="HY124" s="63"/>
      <c r="HZ124" s="67">
        <f t="shared" si="775"/>
        <v>0</v>
      </c>
      <c r="IA124" s="63"/>
      <c r="IB124" s="63"/>
      <c r="IC124" s="63"/>
      <c r="ID124" s="63"/>
      <c r="IE124" s="67">
        <f t="shared" si="776"/>
        <v>0</v>
      </c>
      <c r="IF124" s="68">
        <f t="shared" si="777"/>
        <v>0</v>
      </c>
      <c r="IG124" s="68">
        <f t="shared" si="777"/>
        <v>0</v>
      </c>
      <c r="IH124" s="68">
        <f t="shared" si="777"/>
        <v>0</v>
      </c>
      <c r="II124" s="68">
        <f t="shared" si="777"/>
        <v>0</v>
      </c>
      <c r="IJ124" s="67">
        <f t="shared" si="778"/>
        <v>0</v>
      </c>
      <c r="IK124" s="63"/>
      <c r="IL124" s="63"/>
      <c r="IM124" s="63"/>
      <c r="IN124" s="63"/>
      <c r="IO124" s="67">
        <f t="shared" si="779"/>
        <v>0</v>
      </c>
      <c r="IP124" s="63"/>
      <c r="IQ124" s="63"/>
      <c r="IR124" s="63"/>
      <c r="IS124" s="63"/>
      <c r="IT124" s="67">
        <f t="shared" si="780"/>
        <v>0</v>
      </c>
      <c r="IU124" s="63"/>
      <c r="IV124" s="63"/>
    </row>
    <row r="125" spans="1:256" ht="12.75" customHeight="1" x14ac:dyDescent="0.25">
      <c r="A125" s="132" t="s">
        <v>116</v>
      </c>
      <c r="B125" s="62">
        <v>0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4">
        <f t="shared" si="781"/>
        <v>0</v>
      </c>
      <c r="M125" s="62"/>
      <c r="N125" s="63"/>
      <c r="O125" s="63"/>
      <c r="P125" s="63"/>
      <c r="Q125" s="63"/>
      <c r="R125" s="63"/>
      <c r="S125" s="63"/>
      <c r="T125" s="63"/>
      <c r="U125" s="63"/>
      <c r="V125" s="63"/>
      <c r="W125" s="64">
        <f t="shared" si="747"/>
        <v>0</v>
      </c>
      <c r="X125" s="62"/>
      <c r="Y125" s="63"/>
      <c r="Z125" s="63"/>
      <c r="AA125" s="63"/>
      <c r="AB125" s="63"/>
      <c r="AC125" s="63"/>
      <c r="AD125" s="63"/>
      <c r="AE125" s="63"/>
      <c r="AF125" s="63"/>
      <c r="AG125" s="63"/>
      <c r="AH125" s="64">
        <f t="shared" si="748"/>
        <v>0</v>
      </c>
      <c r="AI125" s="62"/>
      <c r="AJ125" s="63"/>
      <c r="AK125" s="63"/>
      <c r="AL125" s="63"/>
      <c r="AM125" s="63"/>
      <c r="AN125" s="63"/>
      <c r="AO125" s="63"/>
      <c r="AP125" s="63"/>
      <c r="AQ125" s="63"/>
      <c r="AR125" s="63"/>
      <c r="AS125" s="64">
        <f t="shared" si="749"/>
        <v>0</v>
      </c>
      <c r="AT125" s="65">
        <f t="shared" si="750"/>
        <v>0</v>
      </c>
      <c r="AU125" s="65">
        <f t="shared" si="750"/>
        <v>0</v>
      </c>
      <c r="AV125" s="65">
        <f t="shared" si="750"/>
        <v>0</v>
      </c>
      <c r="AW125" s="65">
        <f t="shared" si="750"/>
        <v>0</v>
      </c>
      <c r="AX125" s="65">
        <f t="shared" si="750"/>
        <v>0</v>
      </c>
      <c r="AY125" s="65">
        <f t="shared" si="750"/>
        <v>0</v>
      </c>
      <c r="AZ125" s="65">
        <f t="shared" si="750"/>
        <v>0</v>
      </c>
      <c r="BA125" s="65">
        <f t="shared" si="750"/>
        <v>0</v>
      </c>
      <c r="BB125" s="65">
        <f t="shared" si="750"/>
        <v>0</v>
      </c>
      <c r="BC125" s="65">
        <f t="shared" si="750"/>
        <v>0</v>
      </c>
      <c r="BD125" s="64">
        <f t="shared" si="751"/>
        <v>0</v>
      </c>
      <c r="BE125" s="62"/>
      <c r="BF125" s="63"/>
      <c r="BG125" s="63"/>
      <c r="BH125" s="63"/>
      <c r="BI125" s="63"/>
      <c r="BJ125" s="63"/>
      <c r="BK125" s="63"/>
      <c r="BL125" s="63"/>
      <c r="BM125" s="63"/>
      <c r="BN125" s="63"/>
      <c r="BO125" s="64">
        <f t="shared" si="752"/>
        <v>0</v>
      </c>
      <c r="BP125" s="62"/>
      <c r="BQ125" s="63"/>
      <c r="BR125" s="63"/>
      <c r="BS125" s="63"/>
      <c r="BT125" s="63"/>
      <c r="BU125" s="63"/>
      <c r="BV125" s="63"/>
      <c r="BW125" s="63"/>
      <c r="BX125" s="63"/>
      <c r="BY125" s="63"/>
      <c r="BZ125" s="64">
        <f t="shared" si="753"/>
        <v>0</v>
      </c>
      <c r="CA125" s="62"/>
      <c r="CB125" s="63"/>
      <c r="CC125" s="63"/>
      <c r="CD125" s="63"/>
      <c r="CE125" s="63"/>
      <c r="CF125" s="63"/>
      <c r="CG125" s="63"/>
      <c r="CH125" s="63"/>
      <c r="CI125" s="63"/>
      <c r="CJ125" s="63"/>
      <c r="CK125" s="64">
        <f t="shared" si="754"/>
        <v>0</v>
      </c>
      <c r="CL125" s="65">
        <f t="shared" si="755"/>
        <v>0</v>
      </c>
      <c r="CM125" s="65">
        <f t="shared" si="755"/>
        <v>0</v>
      </c>
      <c r="CN125" s="65">
        <f t="shared" si="755"/>
        <v>0</v>
      </c>
      <c r="CO125" s="65">
        <f t="shared" si="755"/>
        <v>0</v>
      </c>
      <c r="CP125" s="65">
        <f t="shared" si="755"/>
        <v>0</v>
      </c>
      <c r="CQ125" s="65">
        <f t="shared" si="755"/>
        <v>0</v>
      </c>
      <c r="CR125" s="65">
        <f t="shared" si="755"/>
        <v>0</v>
      </c>
      <c r="CS125" s="65">
        <f t="shared" si="755"/>
        <v>0</v>
      </c>
      <c r="CT125" s="65">
        <f t="shared" si="755"/>
        <v>0</v>
      </c>
      <c r="CU125" s="65">
        <f t="shared" si="755"/>
        <v>0</v>
      </c>
      <c r="CV125" s="64">
        <f t="shared" si="756"/>
        <v>0</v>
      </c>
      <c r="CW125" s="62"/>
      <c r="CX125" s="63"/>
      <c r="CY125" s="63"/>
      <c r="CZ125" s="63"/>
      <c r="DA125" s="63"/>
      <c r="DB125" s="63"/>
      <c r="DC125" s="63"/>
      <c r="DD125" s="63"/>
      <c r="DE125" s="63"/>
      <c r="DF125" s="63"/>
      <c r="DG125" s="64">
        <f t="shared" si="757"/>
        <v>0</v>
      </c>
      <c r="DH125" s="62"/>
      <c r="DI125" s="63"/>
      <c r="DJ125" s="63"/>
      <c r="DK125" s="63"/>
      <c r="DL125" s="63"/>
      <c r="DM125" s="63"/>
      <c r="DN125" s="63"/>
      <c r="DO125" s="63"/>
      <c r="DP125" s="63"/>
      <c r="DQ125" s="63"/>
      <c r="DR125" s="64">
        <f t="shared" si="758"/>
        <v>0</v>
      </c>
      <c r="DS125" s="62"/>
      <c r="DT125" s="63"/>
      <c r="DU125" s="63"/>
      <c r="DV125" s="63"/>
      <c r="DW125" s="63"/>
      <c r="DX125" s="63"/>
      <c r="DY125" s="63"/>
      <c r="DZ125" s="63"/>
      <c r="EA125" s="63"/>
      <c r="EB125" s="63"/>
      <c r="EC125" s="63"/>
      <c r="ED125" s="65">
        <f t="shared" si="759"/>
        <v>0</v>
      </c>
      <c r="EE125" s="65">
        <f t="shared" si="759"/>
        <v>0</v>
      </c>
      <c r="EF125" s="65">
        <f t="shared" si="759"/>
        <v>0</v>
      </c>
      <c r="EG125" s="65">
        <f t="shared" si="759"/>
        <v>0</v>
      </c>
      <c r="EH125" s="65">
        <f t="shared" si="759"/>
        <v>0</v>
      </c>
      <c r="EI125" s="65">
        <f t="shared" si="759"/>
        <v>0</v>
      </c>
      <c r="EJ125" s="65">
        <f t="shared" si="759"/>
        <v>0</v>
      </c>
      <c r="EK125" s="65">
        <f t="shared" si="759"/>
        <v>0</v>
      </c>
      <c r="EL125" s="65">
        <f t="shared" si="759"/>
        <v>0</v>
      </c>
      <c r="EM125" s="65">
        <f t="shared" si="759"/>
        <v>0</v>
      </c>
      <c r="EN125" s="64">
        <f t="shared" si="760"/>
        <v>0</v>
      </c>
      <c r="EO125" s="62"/>
      <c r="EP125" s="63"/>
      <c r="EQ125" s="63"/>
      <c r="ER125" s="63"/>
      <c r="ES125" s="63"/>
      <c r="ET125" s="63"/>
      <c r="EU125" s="63"/>
      <c r="EV125" s="63"/>
      <c r="EW125" s="63"/>
      <c r="EX125" s="63"/>
      <c r="EY125" s="64">
        <f t="shared" si="761"/>
        <v>0</v>
      </c>
      <c r="EZ125" s="62"/>
      <c r="FA125" s="63"/>
      <c r="FB125" s="63"/>
      <c r="FC125" s="63"/>
      <c r="FD125" s="63"/>
      <c r="FE125" s="63"/>
      <c r="FF125" s="63"/>
      <c r="FG125" s="63"/>
      <c r="FH125" s="63"/>
      <c r="FI125" s="63"/>
      <c r="FJ125" s="64">
        <f t="shared" si="762"/>
        <v>0</v>
      </c>
      <c r="FK125" s="62"/>
      <c r="FL125" s="63"/>
      <c r="FM125" s="63"/>
      <c r="FN125" s="63"/>
      <c r="FO125" s="63"/>
      <c r="FP125" s="63"/>
      <c r="FQ125" s="63"/>
      <c r="FR125" s="63"/>
      <c r="FS125" s="63"/>
      <c r="FT125" s="63"/>
      <c r="FU125" s="64">
        <f t="shared" si="763"/>
        <v>0</v>
      </c>
      <c r="FV125" s="65">
        <f t="shared" si="764"/>
        <v>0</v>
      </c>
      <c r="FW125" s="65">
        <f t="shared" si="764"/>
        <v>0</v>
      </c>
      <c r="FX125" s="65">
        <f t="shared" si="764"/>
        <v>0</v>
      </c>
      <c r="FY125" s="65">
        <f t="shared" si="764"/>
        <v>0</v>
      </c>
      <c r="FZ125" s="65">
        <f t="shared" si="764"/>
        <v>0</v>
      </c>
      <c r="GA125" s="65">
        <f t="shared" si="764"/>
        <v>0</v>
      </c>
      <c r="GB125" s="65">
        <f t="shared" si="764"/>
        <v>0</v>
      </c>
      <c r="GC125" s="65">
        <f t="shared" si="764"/>
        <v>0</v>
      </c>
      <c r="GD125" s="65">
        <f t="shared" si="764"/>
        <v>0</v>
      </c>
      <c r="GE125" s="65">
        <f t="shared" si="764"/>
        <v>0</v>
      </c>
      <c r="GF125" s="64">
        <f t="shared" si="765"/>
        <v>0</v>
      </c>
      <c r="GG125" s="66">
        <f t="shared" si="766"/>
        <v>0</v>
      </c>
      <c r="GH125" s="66">
        <f t="shared" si="766"/>
        <v>0</v>
      </c>
      <c r="GI125" s="66">
        <f t="shared" si="766"/>
        <v>0</v>
      </c>
      <c r="GJ125" s="66">
        <f t="shared" si="766"/>
        <v>0</v>
      </c>
      <c r="GK125" s="66">
        <f t="shared" si="766"/>
        <v>0</v>
      </c>
      <c r="GL125" s="66">
        <f t="shared" si="766"/>
        <v>0</v>
      </c>
      <c r="GM125" s="66">
        <f t="shared" si="766"/>
        <v>0</v>
      </c>
      <c r="GN125" s="66">
        <f t="shared" si="766"/>
        <v>0</v>
      </c>
      <c r="GO125" s="66">
        <f t="shared" si="766"/>
        <v>0</v>
      </c>
      <c r="GP125" s="66">
        <f t="shared" si="766"/>
        <v>0</v>
      </c>
      <c r="GQ125" s="64">
        <f t="shared" si="767"/>
        <v>0</v>
      </c>
      <c r="GR125" s="63"/>
      <c r="GS125" s="63">
        <v>0</v>
      </c>
      <c r="GT125" s="63"/>
      <c r="GU125" s="63"/>
      <c r="GV125" s="67">
        <f t="shared" si="768"/>
        <v>0</v>
      </c>
      <c r="GW125" s="63"/>
      <c r="GX125" s="63"/>
      <c r="GY125" s="63"/>
      <c r="GZ125" s="63"/>
      <c r="HA125" s="67">
        <f t="shared" si="769"/>
        <v>0</v>
      </c>
      <c r="HB125" s="63"/>
      <c r="HC125" s="63"/>
      <c r="HD125" s="63"/>
      <c r="HE125" s="63"/>
      <c r="HF125" s="67">
        <f t="shared" si="770"/>
        <v>0</v>
      </c>
      <c r="HG125" s="63"/>
      <c r="HH125" s="63"/>
      <c r="HI125" s="63"/>
      <c r="HJ125" s="63"/>
      <c r="HK125" s="67">
        <f t="shared" si="771"/>
        <v>0</v>
      </c>
      <c r="HL125" s="68">
        <f t="shared" si="772"/>
        <v>0</v>
      </c>
      <c r="HM125" s="68">
        <f t="shared" si="772"/>
        <v>0</v>
      </c>
      <c r="HN125" s="68">
        <f t="shared" si="772"/>
        <v>0</v>
      </c>
      <c r="HO125" s="68">
        <f t="shared" si="772"/>
        <v>0</v>
      </c>
      <c r="HP125" s="67">
        <f t="shared" si="773"/>
        <v>0</v>
      </c>
      <c r="HQ125" s="63"/>
      <c r="HR125" s="63"/>
      <c r="HS125" s="63"/>
      <c r="HT125" s="63"/>
      <c r="HU125" s="67">
        <f t="shared" si="774"/>
        <v>0</v>
      </c>
      <c r="HV125" s="63"/>
      <c r="HW125" s="63"/>
      <c r="HX125" s="63"/>
      <c r="HY125" s="63"/>
      <c r="HZ125" s="67">
        <f t="shared" si="775"/>
        <v>0</v>
      </c>
      <c r="IA125" s="63"/>
      <c r="IB125" s="63"/>
      <c r="IC125" s="63"/>
      <c r="ID125" s="63"/>
      <c r="IE125" s="67">
        <f t="shared" si="776"/>
        <v>0</v>
      </c>
      <c r="IF125" s="68">
        <f t="shared" si="777"/>
        <v>0</v>
      </c>
      <c r="IG125" s="68">
        <f t="shared" si="777"/>
        <v>0</v>
      </c>
      <c r="IH125" s="68">
        <f t="shared" si="777"/>
        <v>0</v>
      </c>
      <c r="II125" s="68">
        <f t="shared" si="777"/>
        <v>0</v>
      </c>
      <c r="IJ125" s="67">
        <f t="shared" si="778"/>
        <v>0</v>
      </c>
      <c r="IK125" s="63"/>
      <c r="IL125" s="63"/>
      <c r="IM125" s="63"/>
      <c r="IN125" s="63"/>
      <c r="IO125" s="67">
        <f t="shared" si="779"/>
        <v>0</v>
      </c>
      <c r="IP125" s="63"/>
      <c r="IQ125" s="63"/>
      <c r="IR125" s="63"/>
      <c r="IS125" s="63"/>
      <c r="IT125" s="67">
        <f t="shared" si="780"/>
        <v>0</v>
      </c>
      <c r="IU125" s="63"/>
      <c r="IV125" s="63"/>
    </row>
    <row r="126" spans="1:256" ht="12.75" customHeight="1" x14ac:dyDescent="0.25">
      <c r="A126" s="133" t="s">
        <v>117</v>
      </c>
      <c r="B126" s="62">
        <v>0</v>
      </c>
      <c r="C126" s="63">
        <v>0</v>
      </c>
      <c r="D126" s="63">
        <v>0</v>
      </c>
      <c r="E126" s="63">
        <v>0</v>
      </c>
      <c r="F126" s="63">
        <v>0</v>
      </c>
      <c r="G126" s="63">
        <v>0</v>
      </c>
      <c r="H126" s="63">
        <v>0</v>
      </c>
      <c r="I126" s="63">
        <v>0</v>
      </c>
      <c r="J126" s="63">
        <v>0</v>
      </c>
      <c r="K126" s="63">
        <v>0</v>
      </c>
      <c r="L126" s="64">
        <f t="shared" si="781"/>
        <v>0</v>
      </c>
      <c r="M126" s="62"/>
      <c r="N126" s="63"/>
      <c r="O126" s="63"/>
      <c r="P126" s="63"/>
      <c r="Q126" s="63"/>
      <c r="R126" s="63"/>
      <c r="S126" s="63"/>
      <c r="T126" s="63"/>
      <c r="U126" s="63"/>
      <c r="V126" s="63"/>
      <c r="W126" s="64">
        <f t="shared" si="747"/>
        <v>0</v>
      </c>
      <c r="X126" s="62"/>
      <c r="Y126" s="63"/>
      <c r="Z126" s="63"/>
      <c r="AA126" s="63"/>
      <c r="AB126" s="63"/>
      <c r="AC126" s="63"/>
      <c r="AD126" s="63"/>
      <c r="AE126" s="63"/>
      <c r="AF126" s="63"/>
      <c r="AG126" s="63"/>
      <c r="AH126" s="64">
        <f t="shared" si="748"/>
        <v>0</v>
      </c>
      <c r="AI126" s="62"/>
      <c r="AJ126" s="63"/>
      <c r="AK126" s="63"/>
      <c r="AL126" s="63"/>
      <c r="AM126" s="63"/>
      <c r="AN126" s="63"/>
      <c r="AO126" s="63"/>
      <c r="AP126" s="63"/>
      <c r="AQ126" s="63"/>
      <c r="AR126" s="63"/>
      <c r="AS126" s="64">
        <f t="shared" si="749"/>
        <v>0</v>
      </c>
      <c r="AT126" s="65">
        <f t="shared" si="750"/>
        <v>0</v>
      </c>
      <c r="AU126" s="65">
        <f t="shared" si="750"/>
        <v>0</v>
      </c>
      <c r="AV126" s="65">
        <f t="shared" si="750"/>
        <v>0</v>
      </c>
      <c r="AW126" s="65">
        <f t="shared" si="750"/>
        <v>0</v>
      </c>
      <c r="AX126" s="65">
        <f t="shared" si="750"/>
        <v>0</v>
      </c>
      <c r="AY126" s="65">
        <f t="shared" si="750"/>
        <v>0</v>
      </c>
      <c r="AZ126" s="65">
        <f t="shared" si="750"/>
        <v>0</v>
      </c>
      <c r="BA126" s="65">
        <f t="shared" si="750"/>
        <v>0</v>
      </c>
      <c r="BB126" s="65">
        <f t="shared" si="750"/>
        <v>0</v>
      </c>
      <c r="BC126" s="65">
        <f t="shared" si="750"/>
        <v>0</v>
      </c>
      <c r="BD126" s="64">
        <f t="shared" si="751"/>
        <v>0</v>
      </c>
      <c r="BE126" s="62"/>
      <c r="BF126" s="63"/>
      <c r="BG126" s="63"/>
      <c r="BH126" s="63"/>
      <c r="BI126" s="63"/>
      <c r="BJ126" s="63"/>
      <c r="BK126" s="63"/>
      <c r="BL126" s="63"/>
      <c r="BM126" s="63"/>
      <c r="BN126" s="63"/>
      <c r="BO126" s="64">
        <f t="shared" si="752"/>
        <v>0</v>
      </c>
      <c r="BP126" s="62"/>
      <c r="BQ126" s="63"/>
      <c r="BR126" s="63"/>
      <c r="BS126" s="63"/>
      <c r="BT126" s="63"/>
      <c r="BU126" s="63"/>
      <c r="BV126" s="63"/>
      <c r="BW126" s="63"/>
      <c r="BX126" s="63"/>
      <c r="BY126" s="63"/>
      <c r="BZ126" s="64">
        <f t="shared" si="753"/>
        <v>0</v>
      </c>
      <c r="CA126" s="62"/>
      <c r="CB126" s="63"/>
      <c r="CC126" s="63"/>
      <c r="CD126" s="63"/>
      <c r="CE126" s="63"/>
      <c r="CF126" s="63"/>
      <c r="CG126" s="63"/>
      <c r="CH126" s="63"/>
      <c r="CI126" s="63"/>
      <c r="CJ126" s="63"/>
      <c r="CK126" s="64">
        <f t="shared" si="754"/>
        <v>0</v>
      </c>
      <c r="CL126" s="65">
        <f t="shared" si="755"/>
        <v>0</v>
      </c>
      <c r="CM126" s="65">
        <f t="shared" si="755"/>
        <v>0</v>
      </c>
      <c r="CN126" s="65">
        <f t="shared" si="755"/>
        <v>0</v>
      </c>
      <c r="CO126" s="65">
        <f t="shared" si="755"/>
        <v>0</v>
      </c>
      <c r="CP126" s="65">
        <f t="shared" si="755"/>
        <v>0</v>
      </c>
      <c r="CQ126" s="65">
        <f t="shared" si="755"/>
        <v>0</v>
      </c>
      <c r="CR126" s="65">
        <f t="shared" si="755"/>
        <v>0</v>
      </c>
      <c r="CS126" s="65">
        <f t="shared" si="755"/>
        <v>0</v>
      </c>
      <c r="CT126" s="65">
        <f t="shared" si="755"/>
        <v>0</v>
      </c>
      <c r="CU126" s="65">
        <f t="shared" si="755"/>
        <v>0</v>
      </c>
      <c r="CV126" s="64">
        <f t="shared" si="756"/>
        <v>0</v>
      </c>
      <c r="CW126" s="62"/>
      <c r="CX126" s="63"/>
      <c r="CY126" s="63"/>
      <c r="CZ126" s="63"/>
      <c r="DA126" s="63"/>
      <c r="DB126" s="63"/>
      <c r="DC126" s="63"/>
      <c r="DD126" s="63"/>
      <c r="DE126" s="63"/>
      <c r="DF126" s="63"/>
      <c r="DG126" s="64">
        <f t="shared" si="757"/>
        <v>0</v>
      </c>
      <c r="DH126" s="62"/>
      <c r="DI126" s="63"/>
      <c r="DJ126" s="63"/>
      <c r="DK126" s="63"/>
      <c r="DL126" s="63"/>
      <c r="DM126" s="63"/>
      <c r="DN126" s="63"/>
      <c r="DO126" s="63"/>
      <c r="DP126" s="63"/>
      <c r="DQ126" s="63"/>
      <c r="DR126" s="64">
        <f t="shared" si="758"/>
        <v>0</v>
      </c>
      <c r="DS126" s="62"/>
      <c r="DT126" s="63"/>
      <c r="DU126" s="63"/>
      <c r="DV126" s="63"/>
      <c r="DW126" s="63"/>
      <c r="DX126" s="63"/>
      <c r="DY126" s="63"/>
      <c r="DZ126" s="63"/>
      <c r="EA126" s="63"/>
      <c r="EB126" s="63"/>
      <c r="EC126" s="63"/>
      <c r="ED126" s="65">
        <f t="shared" si="759"/>
        <v>0</v>
      </c>
      <c r="EE126" s="65">
        <f t="shared" si="759"/>
        <v>0</v>
      </c>
      <c r="EF126" s="65">
        <f t="shared" si="759"/>
        <v>0</v>
      </c>
      <c r="EG126" s="65">
        <f t="shared" si="759"/>
        <v>0</v>
      </c>
      <c r="EH126" s="65">
        <f t="shared" si="759"/>
        <v>0</v>
      </c>
      <c r="EI126" s="65">
        <f t="shared" si="759"/>
        <v>0</v>
      </c>
      <c r="EJ126" s="65">
        <f t="shared" si="759"/>
        <v>0</v>
      </c>
      <c r="EK126" s="65">
        <f t="shared" si="759"/>
        <v>0</v>
      </c>
      <c r="EL126" s="65">
        <f t="shared" si="759"/>
        <v>0</v>
      </c>
      <c r="EM126" s="65">
        <f t="shared" si="759"/>
        <v>0</v>
      </c>
      <c r="EN126" s="64">
        <f t="shared" si="760"/>
        <v>0</v>
      </c>
      <c r="EO126" s="62"/>
      <c r="EP126" s="63"/>
      <c r="EQ126" s="63"/>
      <c r="ER126" s="63"/>
      <c r="ES126" s="63"/>
      <c r="ET126" s="63"/>
      <c r="EU126" s="63"/>
      <c r="EV126" s="63"/>
      <c r="EW126" s="63"/>
      <c r="EX126" s="63"/>
      <c r="EY126" s="64">
        <f t="shared" si="761"/>
        <v>0</v>
      </c>
      <c r="EZ126" s="62"/>
      <c r="FA126" s="63"/>
      <c r="FB126" s="63"/>
      <c r="FC126" s="63"/>
      <c r="FD126" s="63"/>
      <c r="FE126" s="63"/>
      <c r="FF126" s="63"/>
      <c r="FG126" s="63"/>
      <c r="FH126" s="63"/>
      <c r="FI126" s="63"/>
      <c r="FJ126" s="64">
        <f t="shared" si="762"/>
        <v>0</v>
      </c>
      <c r="FK126" s="62"/>
      <c r="FL126" s="63"/>
      <c r="FM126" s="63"/>
      <c r="FN126" s="63"/>
      <c r="FO126" s="63"/>
      <c r="FP126" s="63"/>
      <c r="FQ126" s="63"/>
      <c r="FR126" s="63"/>
      <c r="FS126" s="63"/>
      <c r="FT126" s="63"/>
      <c r="FU126" s="64">
        <f t="shared" si="763"/>
        <v>0</v>
      </c>
      <c r="FV126" s="65">
        <f t="shared" si="764"/>
        <v>0</v>
      </c>
      <c r="FW126" s="65">
        <f t="shared" si="764"/>
        <v>0</v>
      </c>
      <c r="FX126" s="65">
        <f t="shared" si="764"/>
        <v>0</v>
      </c>
      <c r="FY126" s="65">
        <f t="shared" si="764"/>
        <v>0</v>
      </c>
      <c r="FZ126" s="65">
        <f t="shared" si="764"/>
        <v>0</v>
      </c>
      <c r="GA126" s="65">
        <f t="shared" si="764"/>
        <v>0</v>
      </c>
      <c r="GB126" s="65">
        <f t="shared" si="764"/>
        <v>0</v>
      </c>
      <c r="GC126" s="65">
        <f t="shared" si="764"/>
        <v>0</v>
      </c>
      <c r="GD126" s="65">
        <f t="shared" si="764"/>
        <v>0</v>
      </c>
      <c r="GE126" s="65">
        <f t="shared" si="764"/>
        <v>0</v>
      </c>
      <c r="GF126" s="64">
        <f t="shared" si="765"/>
        <v>0</v>
      </c>
      <c r="GG126" s="66">
        <f t="shared" si="766"/>
        <v>0</v>
      </c>
      <c r="GH126" s="66">
        <f t="shared" si="766"/>
        <v>0</v>
      </c>
      <c r="GI126" s="66">
        <f t="shared" si="766"/>
        <v>0</v>
      </c>
      <c r="GJ126" s="66">
        <f t="shared" si="766"/>
        <v>0</v>
      </c>
      <c r="GK126" s="66">
        <f t="shared" si="766"/>
        <v>0</v>
      </c>
      <c r="GL126" s="66">
        <f t="shared" si="766"/>
        <v>0</v>
      </c>
      <c r="GM126" s="66">
        <f t="shared" si="766"/>
        <v>0</v>
      </c>
      <c r="GN126" s="66">
        <f t="shared" si="766"/>
        <v>0</v>
      </c>
      <c r="GO126" s="66">
        <f t="shared" si="766"/>
        <v>0</v>
      </c>
      <c r="GP126" s="66">
        <f t="shared" si="766"/>
        <v>0</v>
      </c>
      <c r="GQ126" s="64">
        <f t="shared" si="767"/>
        <v>0</v>
      </c>
      <c r="GR126" s="63"/>
      <c r="GS126" s="63">
        <v>0</v>
      </c>
      <c r="GT126" s="63"/>
      <c r="GU126" s="63"/>
      <c r="GV126" s="67">
        <f t="shared" si="768"/>
        <v>0</v>
      </c>
      <c r="GW126" s="63"/>
      <c r="GX126" s="63"/>
      <c r="GY126" s="63"/>
      <c r="GZ126" s="63"/>
      <c r="HA126" s="67">
        <f t="shared" si="769"/>
        <v>0</v>
      </c>
      <c r="HB126" s="63"/>
      <c r="HC126" s="63"/>
      <c r="HD126" s="63"/>
      <c r="HE126" s="63"/>
      <c r="HF126" s="67">
        <f t="shared" si="770"/>
        <v>0</v>
      </c>
      <c r="HG126" s="63"/>
      <c r="HH126" s="63"/>
      <c r="HI126" s="63"/>
      <c r="HJ126" s="63"/>
      <c r="HK126" s="67">
        <f t="shared" si="771"/>
        <v>0</v>
      </c>
      <c r="HL126" s="68">
        <f t="shared" si="772"/>
        <v>0</v>
      </c>
      <c r="HM126" s="68">
        <f t="shared" si="772"/>
        <v>0</v>
      </c>
      <c r="HN126" s="68">
        <f t="shared" si="772"/>
        <v>0</v>
      </c>
      <c r="HO126" s="68">
        <f t="shared" si="772"/>
        <v>0</v>
      </c>
      <c r="HP126" s="67">
        <f t="shared" si="773"/>
        <v>0</v>
      </c>
      <c r="HQ126" s="63"/>
      <c r="HR126" s="63"/>
      <c r="HS126" s="63"/>
      <c r="HT126" s="63"/>
      <c r="HU126" s="67">
        <f t="shared" si="774"/>
        <v>0</v>
      </c>
      <c r="HV126" s="63"/>
      <c r="HW126" s="63"/>
      <c r="HX126" s="63"/>
      <c r="HY126" s="63"/>
      <c r="HZ126" s="67">
        <f t="shared" si="775"/>
        <v>0</v>
      </c>
      <c r="IA126" s="63"/>
      <c r="IB126" s="63"/>
      <c r="IC126" s="63"/>
      <c r="ID126" s="63"/>
      <c r="IE126" s="67">
        <f t="shared" si="776"/>
        <v>0</v>
      </c>
      <c r="IF126" s="68">
        <f t="shared" si="777"/>
        <v>0</v>
      </c>
      <c r="IG126" s="68">
        <f t="shared" si="777"/>
        <v>0</v>
      </c>
      <c r="IH126" s="68">
        <f t="shared" si="777"/>
        <v>0</v>
      </c>
      <c r="II126" s="68">
        <f t="shared" si="777"/>
        <v>0</v>
      </c>
      <c r="IJ126" s="67">
        <f t="shared" si="778"/>
        <v>0</v>
      </c>
      <c r="IK126" s="63"/>
      <c r="IL126" s="63"/>
      <c r="IM126" s="63"/>
      <c r="IN126" s="63"/>
      <c r="IO126" s="67">
        <f t="shared" si="779"/>
        <v>0</v>
      </c>
      <c r="IP126" s="63"/>
      <c r="IQ126" s="63"/>
      <c r="IR126" s="63"/>
      <c r="IS126" s="63"/>
      <c r="IT126" s="67">
        <f t="shared" si="780"/>
        <v>0</v>
      </c>
      <c r="IU126" s="63"/>
      <c r="IV126" s="63"/>
    </row>
    <row r="127" spans="1:256" ht="12.75" customHeight="1" x14ac:dyDescent="0.25">
      <c r="A127" s="132" t="s">
        <v>118</v>
      </c>
      <c r="B127" s="62">
        <v>0</v>
      </c>
      <c r="C127" s="63">
        <v>0</v>
      </c>
      <c r="D127" s="63">
        <v>0</v>
      </c>
      <c r="E127" s="63">
        <v>0</v>
      </c>
      <c r="F127" s="63">
        <v>0</v>
      </c>
      <c r="G127" s="63">
        <v>0</v>
      </c>
      <c r="H127" s="63">
        <v>0</v>
      </c>
      <c r="I127" s="63">
        <v>0</v>
      </c>
      <c r="J127" s="63">
        <v>0</v>
      </c>
      <c r="K127" s="63">
        <v>0</v>
      </c>
      <c r="L127" s="64">
        <f t="shared" si="781"/>
        <v>0</v>
      </c>
      <c r="M127" s="62"/>
      <c r="N127" s="63"/>
      <c r="O127" s="63"/>
      <c r="P127" s="63"/>
      <c r="Q127" s="63"/>
      <c r="R127" s="63"/>
      <c r="S127" s="63"/>
      <c r="T127" s="63"/>
      <c r="U127" s="63"/>
      <c r="V127" s="63"/>
      <c r="W127" s="64">
        <f t="shared" si="747"/>
        <v>0</v>
      </c>
      <c r="X127" s="62"/>
      <c r="Y127" s="63"/>
      <c r="Z127" s="63"/>
      <c r="AA127" s="63"/>
      <c r="AB127" s="63"/>
      <c r="AC127" s="63"/>
      <c r="AD127" s="63"/>
      <c r="AE127" s="63"/>
      <c r="AF127" s="63"/>
      <c r="AG127" s="63"/>
      <c r="AH127" s="64">
        <f t="shared" si="748"/>
        <v>0</v>
      </c>
      <c r="AI127" s="62"/>
      <c r="AJ127" s="63"/>
      <c r="AK127" s="63"/>
      <c r="AL127" s="63"/>
      <c r="AM127" s="63"/>
      <c r="AN127" s="63"/>
      <c r="AO127" s="63"/>
      <c r="AP127" s="63"/>
      <c r="AQ127" s="63"/>
      <c r="AR127" s="63"/>
      <c r="AS127" s="64">
        <f t="shared" si="749"/>
        <v>0</v>
      </c>
      <c r="AT127" s="65">
        <f t="shared" si="750"/>
        <v>0</v>
      </c>
      <c r="AU127" s="65">
        <f t="shared" si="750"/>
        <v>0</v>
      </c>
      <c r="AV127" s="65">
        <f t="shared" si="750"/>
        <v>0</v>
      </c>
      <c r="AW127" s="65">
        <f t="shared" si="750"/>
        <v>0</v>
      </c>
      <c r="AX127" s="65">
        <f t="shared" si="750"/>
        <v>0</v>
      </c>
      <c r="AY127" s="65">
        <f t="shared" si="750"/>
        <v>0</v>
      </c>
      <c r="AZ127" s="65">
        <f t="shared" si="750"/>
        <v>0</v>
      </c>
      <c r="BA127" s="65">
        <f t="shared" si="750"/>
        <v>0</v>
      </c>
      <c r="BB127" s="65">
        <f t="shared" si="750"/>
        <v>0</v>
      </c>
      <c r="BC127" s="65">
        <f t="shared" si="750"/>
        <v>0</v>
      </c>
      <c r="BD127" s="64">
        <f t="shared" si="751"/>
        <v>0</v>
      </c>
      <c r="BE127" s="62"/>
      <c r="BF127" s="63"/>
      <c r="BG127" s="63"/>
      <c r="BH127" s="63"/>
      <c r="BI127" s="63"/>
      <c r="BJ127" s="63"/>
      <c r="BK127" s="63"/>
      <c r="BL127" s="63"/>
      <c r="BM127" s="63"/>
      <c r="BN127" s="63"/>
      <c r="BO127" s="64">
        <f t="shared" si="752"/>
        <v>0</v>
      </c>
      <c r="BP127" s="62"/>
      <c r="BQ127" s="63"/>
      <c r="BR127" s="63"/>
      <c r="BS127" s="63"/>
      <c r="BT127" s="63"/>
      <c r="BU127" s="63"/>
      <c r="BV127" s="63"/>
      <c r="BW127" s="63"/>
      <c r="BX127" s="63"/>
      <c r="BY127" s="63"/>
      <c r="BZ127" s="64">
        <f t="shared" si="753"/>
        <v>0</v>
      </c>
      <c r="CA127" s="62"/>
      <c r="CB127" s="63"/>
      <c r="CC127" s="63"/>
      <c r="CD127" s="63"/>
      <c r="CE127" s="63"/>
      <c r="CF127" s="63"/>
      <c r="CG127" s="63"/>
      <c r="CH127" s="63"/>
      <c r="CI127" s="63"/>
      <c r="CJ127" s="63"/>
      <c r="CK127" s="64">
        <f t="shared" si="754"/>
        <v>0</v>
      </c>
      <c r="CL127" s="65">
        <f t="shared" si="755"/>
        <v>0</v>
      </c>
      <c r="CM127" s="65">
        <f t="shared" si="755"/>
        <v>0</v>
      </c>
      <c r="CN127" s="65">
        <f t="shared" si="755"/>
        <v>0</v>
      </c>
      <c r="CO127" s="65">
        <f t="shared" si="755"/>
        <v>0</v>
      </c>
      <c r="CP127" s="65">
        <f t="shared" si="755"/>
        <v>0</v>
      </c>
      <c r="CQ127" s="65">
        <f t="shared" si="755"/>
        <v>0</v>
      </c>
      <c r="CR127" s="65">
        <f t="shared" si="755"/>
        <v>0</v>
      </c>
      <c r="CS127" s="65">
        <f t="shared" si="755"/>
        <v>0</v>
      </c>
      <c r="CT127" s="65">
        <f t="shared" si="755"/>
        <v>0</v>
      </c>
      <c r="CU127" s="65">
        <f t="shared" si="755"/>
        <v>0</v>
      </c>
      <c r="CV127" s="64">
        <f t="shared" si="756"/>
        <v>0</v>
      </c>
      <c r="CW127" s="62"/>
      <c r="CX127" s="63"/>
      <c r="CY127" s="63"/>
      <c r="CZ127" s="63"/>
      <c r="DA127" s="63"/>
      <c r="DB127" s="63"/>
      <c r="DC127" s="63"/>
      <c r="DD127" s="63"/>
      <c r="DE127" s="63"/>
      <c r="DF127" s="63"/>
      <c r="DG127" s="64">
        <f t="shared" si="757"/>
        <v>0</v>
      </c>
      <c r="DH127" s="62"/>
      <c r="DI127" s="63"/>
      <c r="DJ127" s="63"/>
      <c r="DK127" s="63"/>
      <c r="DL127" s="63"/>
      <c r="DM127" s="63"/>
      <c r="DN127" s="63"/>
      <c r="DO127" s="63"/>
      <c r="DP127" s="63"/>
      <c r="DQ127" s="63"/>
      <c r="DR127" s="64">
        <f t="shared" si="758"/>
        <v>0</v>
      </c>
      <c r="DS127" s="62"/>
      <c r="DT127" s="63"/>
      <c r="DU127" s="63"/>
      <c r="DV127" s="63"/>
      <c r="DW127" s="63"/>
      <c r="DX127" s="63"/>
      <c r="DY127" s="63"/>
      <c r="DZ127" s="63"/>
      <c r="EA127" s="63"/>
      <c r="EB127" s="63"/>
      <c r="EC127" s="63"/>
      <c r="ED127" s="65">
        <f t="shared" si="759"/>
        <v>0</v>
      </c>
      <c r="EE127" s="65">
        <f t="shared" si="759"/>
        <v>0</v>
      </c>
      <c r="EF127" s="65">
        <f t="shared" si="759"/>
        <v>0</v>
      </c>
      <c r="EG127" s="65">
        <f t="shared" si="759"/>
        <v>0</v>
      </c>
      <c r="EH127" s="65">
        <f t="shared" si="759"/>
        <v>0</v>
      </c>
      <c r="EI127" s="65">
        <f t="shared" si="759"/>
        <v>0</v>
      </c>
      <c r="EJ127" s="65">
        <f t="shared" si="759"/>
        <v>0</v>
      </c>
      <c r="EK127" s="65">
        <f t="shared" si="759"/>
        <v>0</v>
      </c>
      <c r="EL127" s="65">
        <f t="shared" si="759"/>
        <v>0</v>
      </c>
      <c r="EM127" s="65">
        <f t="shared" si="759"/>
        <v>0</v>
      </c>
      <c r="EN127" s="64">
        <f t="shared" si="760"/>
        <v>0</v>
      </c>
      <c r="EO127" s="62"/>
      <c r="EP127" s="63"/>
      <c r="EQ127" s="63"/>
      <c r="ER127" s="63"/>
      <c r="ES127" s="63"/>
      <c r="ET127" s="63"/>
      <c r="EU127" s="63"/>
      <c r="EV127" s="63"/>
      <c r="EW127" s="63"/>
      <c r="EX127" s="63"/>
      <c r="EY127" s="64">
        <f t="shared" si="761"/>
        <v>0</v>
      </c>
      <c r="EZ127" s="62"/>
      <c r="FA127" s="63"/>
      <c r="FB127" s="63"/>
      <c r="FC127" s="63"/>
      <c r="FD127" s="63"/>
      <c r="FE127" s="63"/>
      <c r="FF127" s="63"/>
      <c r="FG127" s="63"/>
      <c r="FH127" s="63"/>
      <c r="FI127" s="63"/>
      <c r="FJ127" s="64">
        <f t="shared" si="762"/>
        <v>0</v>
      </c>
      <c r="FK127" s="62"/>
      <c r="FL127" s="63"/>
      <c r="FM127" s="63"/>
      <c r="FN127" s="63"/>
      <c r="FO127" s="63"/>
      <c r="FP127" s="63"/>
      <c r="FQ127" s="63"/>
      <c r="FR127" s="63"/>
      <c r="FS127" s="63"/>
      <c r="FT127" s="63"/>
      <c r="FU127" s="64">
        <f t="shared" si="763"/>
        <v>0</v>
      </c>
      <c r="FV127" s="65">
        <f t="shared" si="764"/>
        <v>0</v>
      </c>
      <c r="FW127" s="65">
        <f t="shared" si="764"/>
        <v>0</v>
      </c>
      <c r="FX127" s="65">
        <f t="shared" si="764"/>
        <v>0</v>
      </c>
      <c r="FY127" s="65">
        <f t="shared" si="764"/>
        <v>0</v>
      </c>
      <c r="FZ127" s="65">
        <f t="shared" si="764"/>
        <v>0</v>
      </c>
      <c r="GA127" s="65">
        <f t="shared" si="764"/>
        <v>0</v>
      </c>
      <c r="GB127" s="65">
        <f t="shared" si="764"/>
        <v>0</v>
      </c>
      <c r="GC127" s="65">
        <f t="shared" si="764"/>
        <v>0</v>
      </c>
      <c r="GD127" s="65">
        <f t="shared" si="764"/>
        <v>0</v>
      </c>
      <c r="GE127" s="65">
        <f t="shared" si="764"/>
        <v>0</v>
      </c>
      <c r="GF127" s="64">
        <f t="shared" si="765"/>
        <v>0</v>
      </c>
      <c r="GG127" s="66">
        <f t="shared" si="766"/>
        <v>0</v>
      </c>
      <c r="GH127" s="66">
        <f t="shared" si="766"/>
        <v>0</v>
      </c>
      <c r="GI127" s="66">
        <f t="shared" si="766"/>
        <v>0</v>
      </c>
      <c r="GJ127" s="66">
        <f t="shared" si="766"/>
        <v>0</v>
      </c>
      <c r="GK127" s="66">
        <f t="shared" si="766"/>
        <v>0</v>
      </c>
      <c r="GL127" s="66">
        <f t="shared" si="766"/>
        <v>0</v>
      </c>
      <c r="GM127" s="66">
        <f t="shared" si="766"/>
        <v>0</v>
      </c>
      <c r="GN127" s="66">
        <f t="shared" si="766"/>
        <v>0</v>
      </c>
      <c r="GO127" s="66">
        <f t="shared" si="766"/>
        <v>0</v>
      </c>
      <c r="GP127" s="66">
        <f t="shared" si="766"/>
        <v>0</v>
      </c>
      <c r="GQ127" s="64">
        <f t="shared" si="767"/>
        <v>0</v>
      </c>
      <c r="GR127" s="63"/>
      <c r="GS127" s="63"/>
      <c r="GT127" s="63"/>
      <c r="GU127" s="63"/>
      <c r="GV127" s="67">
        <f t="shared" si="768"/>
        <v>0</v>
      </c>
      <c r="GW127" s="63"/>
      <c r="GX127" s="63"/>
      <c r="GY127" s="63"/>
      <c r="GZ127" s="63"/>
      <c r="HA127" s="67">
        <f t="shared" si="769"/>
        <v>0</v>
      </c>
      <c r="HB127" s="63"/>
      <c r="HC127" s="63"/>
      <c r="HD127" s="63"/>
      <c r="HE127" s="63"/>
      <c r="HF127" s="67">
        <f t="shared" si="770"/>
        <v>0</v>
      </c>
      <c r="HG127" s="63"/>
      <c r="HH127" s="63"/>
      <c r="HI127" s="63"/>
      <c r="HJ127" s="63"/>
      <c r="HK127" s="67">
        <f t="shared" si="771"/>
        <v>0</v>
      </c>
      <c r="HL127" s="68">
        <f t="shared" si="772"/>
        <v>0</v>
      </c>
      <c r="HM127" s="68">
        <f t="shared" si="772"/>
        <v>0</v>
      </c>
      <c r="HN127" s="68">
        <f t="shared" si="772"/>
        <v>0</v>
      </c>
      <c r="HO127" s="68">
        <f t="shared" si="772"/>
        <v>0</v>
      </c>
      <c r="HP127" s="67">
        <f t="shared" si="773"/>
        <v>0</v>
      </c>
      <c r="HQ127" s="63"/>
      <c r="HR127" s="63"/>
      <c r="HS127" s="63"/>
      <c r="HT127" s="63"/>
      <c r="HU127" s="67">
        <f t="shared" si="774"/>
        <v>0</v>
      </c>
      <c r="HV127" s="63"/>
      <c r="HW127" s="63"/>
      <c r="HX127" s="63"/>
      <c r="HY127" s="63"/>
      <c r="HZ127" s="67">
        <f t="shared" si="775"/>
        <v>0</v>
      </c>
      <c r="IA127" s="63"/>
      <c r="IB127" s="63"/>
      <c r="IC127" s="63"/>
      <c r="ID127" s="63"/>
      <c r="IE127" s="67">
        <f t="shared" si="776"/>
        <v>0</v>
      </c>
      <c r="IF127" s="68">
        <f t="shared" si="777"/>
        <v>0</v>
      </c>
      <c r="IG127" s="68">
        <f t="shared" si="777"/>
        <v>0</v>
      </c>
      <c r="IH127" s="68">
        <f t="shared" si="777"/>
        <v>0</v>
      </c>
      <c r="II127" s="68">
        <f t="shared" si="777"/>
        <v>0</v>
      </c>
      <c r="IJ127" s="67">
        <f t="shared" si="778"/>
        <v>0</v>
      </c>
      <c r="IK127" s="63"/>
      <c r="IL127" s="63"/>
      <c r="IM127" s="63"/>
      <c r="IN127" s="63"/>
      <c r="IO127" s="67">
        <f t="shared" si="779"/>
        <v>0</v>
      </c>
      <c r="IP127" s="63"/>
      <c r="IQ127" s="63"/>
      <c r="IR127" s="63"/>
      <c r="IS127" s="63"/>
      <c r="IT127" s="67">
        <f t="shared" si="780"/>
        <v>0</v>
      </c>
      <c r="IU127" s="63"/>
      <c r="IV127" s="63"/>
    </row>
    <row r="128" spans="1:256" ht="12.75" customHeight="1" x14ac:dyDescent="0.25">
      <c r="A128" s="132" t="s">
        <v>119</v>
      </c>
      <c r="B128" s="62">
        <v>0</v>
      </c>
      <c r="C128" s="63">
        <v>0</v>
      </c>
      <c r="D128" s="63">
        <v>0</v>
      </c>
      <c r="E128" s="63">
        <v>0</v>
      </c>
      <c r="F128" s="63">
        <v>0</v>
      </c>
      <c r="G128" s="63">
        <v>0</v>
      </c>
      <c r="H128" s="63">
        <v>0</v>
      </c>
      <c r="I128" s="63">
        <v>0</v>
      </c>
      <c r="J128" s="63">
        <v>0</v>
      </c>
      <c r="K128" s="63">
        <v>0</v>
      </c>
      <c r="L128" s="64">
        <f t="shared" si="781"/>
        <v>0</v>
      </c>
      <c r="M128" s="62"/>
      <c r="N128" s="63"/>
      <c r="O128" s="63"/>
      <c r="P128" s="63"/>
      <c r="Q128" s="63"/>
      <c r="R128" s="63"/>
      <c r="S128" s="63"/>
      <c r="T128" s="63"/>
      <c r="U128" s="63"/>
      <c r="V128" s="63"/>
      <c r="W128" s="64">
        <f t="shared" si="747"/>
        <v>0</v>
      </c>
      <c r="X128" s="62"/>
      <c r="Y128" s="63"/>
      <c r="Z128" s="63"/>
      <c r="AA128" s="63"/>
      <c r="AB128" s="63"/>
      <c r="AC128" s="63"/>
      <c r="AD128" s="63"/>
      <c r="AE128" s="63"/>
      <c r="AF128" s="63"/>
      <c r="AG128" s="63"/>
      <c r="AH128" s="64">
        <f t="shared" si="748"/>
        <v>0</v>
      </c>
      <c r="AI128" s="62"/>
      <c r="AJ128" s="63"/>
      <c r="AK128" s="63"/>
      <c r="AL128" s="63"/>
      <c r="AM128" s="63"/>
      <c r="AN128" s="63"/>
      <c r="AO128" s="63"/>
      <c r="AP128" s="63"/>
      <c r="AQ128" s="63"/>
      <c r="AR128" s="63"/>
      <c r="AS128" s="64">
        <f t="shared" si="749"/>
        <v>0</v>
      </c>
      <c r="AT128" s="65">
        <f t="shared" si="750"/>
        <v>0</v>
      </c>
      <c r="AU128" s="65">
        <f t="shared" si="750"/>
        <v>0</v>
      </c>
      <c r="AV128" s="65">
        <f t="shared" si="750"/>
        <v>0</v>
      </c>
      <c r="AW128" s="65">
        <f t="shared" si="750"/>
        <v>0</v>
      </c>
      <c r="AX128" s="65">
        <f t="shared" si="750"/>
        <v>0</v>
      </c>
      <c r="AY128" s="65">
        <f t="shared" si="750"/>
        <v>0</v>
      </c>
      <c r="AZ128" s="65">
        <f t="shared" si="750"/>
        <v>0</v>
      </c>
      <c r="BA128" s="65">
        <f t="shared" si="750"/>
        <v>0</v>
      </c>
      <c r="BB128" s="65">
        <f t="shared" si="750"/>
        <v>0</v>
      </c>
      <c r="BC128" s="65">
        <f t="shared" si="750"/>
        <v>0</v>
      </c>
      <c r="BD128" s="64">
        <f t="shared" si="751"/>
        <v>0</v>
      </c>
      <c r="BE128" s="62"/>
      <c r="BF128" s="63"/>
      <c r="BG128" s="63"/>
      <c r="BH128" s="63"/>
      <c r="BI128" s="63"/>
      <c r="BJ128" s="63"/>
      <c r="BK128" s="63"/>
      <c r="BL128" s="63"/>
      <c r="BM128" s="63"/>
      <c r="BN128" s="63"/>
      <c r="BO128" s="64">
        <f t="shared" si="752"/>
        <v>0</v>
      </c>
      <c r="BP128" s="62"/>
      <c r="BQ128" s="63"/>
      <c r="BR128" s="63"/>
      <c r="BS128" s="63"/>
      <c r="BT128" s="63"/>
      <c r="BU128" s="63"/>
      <c r="BV128" s="63"/>
      <c r="BW128" s="63"/>
      <c r="BX128" s="63"/>
      <c r="BY128" s="63"/>
      <c r="BZ128" s="64">
        <f t="shared" si="753"/>
        <v>0</v>
      </c>
      <c r="CA128" s="62"/>
      <c r="CB128" s="63"/>
      <c r="CC128" s="63"/>
      <c r="CD128" s="63"/>
      <c r="CE128" s="63"/>
      <c r="CF128" s="63"/>
      <c r="CG128" s="63"/>
      <c r="CH128" s="63"/>
      <c r="CI128" s="63"/>
      <c r="CJ128" s="63"/>
      <c r="CK128" s="64">
        <f t="shared" si="754"/>
        <v>0</v>
      </c>
      <c r="CL128" s="65">
        <f t="shared" si="755"/>
        <v>0</v>
      </c>
      <c r="CM128" s="65">
        <f t="shared" si="755"/>
        <v>0</v>
      </c>
      <c r="CN128" s="65">
        <f t="shared" si="755"/>
        <v>0</v>
      </c>
      <c r="CO128" s="65">
        <f t="shared" si="755"/>
        <v>0</v>
      </c>
      <c r="CP128" s="65">
        <f t="shared" si="755"/>
        <v>0</v>
      </c>
      <c r="CQ128" s="65">
        <f t="shared" si="755"/>
        <v>0</v>
      </c>
      <c r="CR128" s="65">
        <f t="shared" si="755"/>
        <v>0</v>
      </c>
      <c r="CS128" s="65">
        <f t="shared" si="755"/>
        <v>0</v>
      </c>
      <c r="CT128" s="65">
        <f t="shared" si="755"/>
        <v>0</v>
      </c>
      <c r="CU128" s="65">
        <f t="shared" si="755"/>
        <v>0</v>
      </c>
      <c r="CV128" s="64">
        <f t="shared" si="756"/>
        <v>0</v>
      </c>
      <c r="CW128" s="62"/>
      <c r="CX128" s="63"/>
      <c r="CY128" s="63"/>
      <c r="CZ128" s="63"/>
      <c r="DA128" s="63"/>
      <c r="DB128" s="63"/>
      <c r="DC128" s="63"/>
      <c r="DD128" s="63"/>
      <c r="DE128" s="63"/>
      <c r="DF128" s="63"/>
      <c r="DG128" s="64">
        <f t="shared" si="757"/>
        <v>0</v>
      </c>
      <c r="DH128" s="62"/>
      <c r="DI128" s="63"/>
      <c r="DJ128" s="63"/>
      <c r="DK128" s="63"/>
      <c r="DL128" s="63"/>
      <c r="DM128" s="63"/>
      <c r="DN128" s="63"/>
      <c r="DO128" s="63"/>
      <c r="DP128" s="63"/>
      <c r="DQ128" s="63"/>
      <c r="DR128" s="64">
        <f t="shared" si="758"/>
        <v>0</v>
      </c>
      <c r="DS128" s="62"/>
      <c r="DT128" s="63"/>
      <c r="DU128" s="63"/>
      <c r="DV128" s="63"/>
      <c r="DW128" s="63"/>
      <c r="DX128" s="63"/>
      <c r="DY128" s="63"/>
      <c r="DZ128" s="63"/>
      <c r="EA128" s="63"/>
      <c r="EB128" s="63"/>
      <c r="EC128" s="63"/>
      <c r="ED128" s="65">
        <f t="shared" si="759"/>
        <v>0</v>
      </c>
      <c r="EE128" s="65">
        <f t="shared" si="759"/>
        <v>0</v>
      </c>
      <c r="EF128" s="65">
        <f t="shared" si="759"/>
        <v>0</v>
      </c>
      <c r="EG128" s="65">
        <f t="shared" si="759"/>
        <v>0</v>
      </c>
      <c r="EH128" s="65">
        <f t="shared" si="759"/>
        <v>0</v>
      </c>
      <c r="EI128" s="65">
        <f t="shared" si="759"/>
        <v>0</v>
      </c>
      <c r="EJ128" s="65">
        <f t="shared" si="759"/>
        <v>0</v>
      </c>
      <c r="EK128" s="65">
        <f t="shared" si="759"/>
        <v>0</v>
      </c>
      <c r="EL128" s="65">
        <f t="shared" si="759"/>
        <v>0</v>
      </c>
      <c r="EM128" s="65">
        <f t="shared" si="759"/>
        <v>0</v>
      </c>
      <c r="EN128" s="64">
        <f t="shared" si="760"/>
        <v>0</v>
      </c>
      <c r="EO128" s="62"/>
      <c r="EP128" s="63"/>
      <c r="EQ128" s="63"/>
      <c r="ER128" s="63"/>
      <c r="ES128" s="63"/>
      <c r="ET128" s="63"/>
      <c r="EU128" s="63"/>
      <c r="EV128" s="63"/>
      <c r="EW128" s="63"/>
      <c r="EX128" s="63"/>
      <c r="EY128" s="64">
        <f t="shared" si="761"/>
        <v>0</v>
      </c>
      <c r="EZ128" s="62"/>
      <c r="FA128" s="63"/>
      <c r="FB128" s="63"/>
      <c r="FC128" s="63"/>
      <c r="FD128" s="63"/>
      <c r="FE128" s="63"/>
      <c r="FF128" s="63"/>
      <c r="FG128" s="63"/>
      <c r="FH128" s="63"/>
      <c r="FI128" s="63"/>
      <c r="FJ128" s="64">
        <f t="shared" si="762"/>
        <v>0</v>
      </c>
      <c r="FK128" s="62"/>
      <c r="FL128" s="63"/>
      <c r="FM128" s="63"/>
      <c r="FN128" s="63"/>
      <c r="FO128" s="63"/>
      <c r="FP128" s="63"/>
      <c r="FQ128" s="63"/>
      <c r="FR128" s="63"/>
      <c r="FS128" s="63"/>
      <c r="FT128" s="63"/>
      <c r="FU128" s="64">
        <f t="shared" si="763"/>
        <v>0</v>
      </c>
      <c r="FV128" s="65">
        <f t="shared" si="764"/>
        <v>0</v>
      </c>
      <c r="FW128" s="65">
        <f t="shared" si="764"/>
        <v>0</v>
      </c>
      <c r="FX128" s="65">
        <f t="shared" si="764"/>
        <v>0</v>
      </c>
      <c r="FY128" s="65">
        <f t="shared" si="764"/>
        <v>0</v>
      </c>
      <c r="FZ128" s="65">
        <f t="shared" si="764"/>
        <v>0</v>
      </c>
      <c r="GA128" s="65">
        <f t="shared" si="764"/>
        <v>0</v>
      </c>
      <c r="GB128" s="65">
        <f t="shared" si="764"/>
        <v>0</v>
      </c>
      <c r="GC128" s="65">
        <f t="shared" si="764"/>
        <v>0</v>
      </c>
      <c r="GD128" s="65">
        <f t="shared" si="764"/>
        <v>0</v>
      </c>
      <c r="GE128" s="65">
        <f t="shared" si="764"/>
        <v>0</v>
      </c>
      <c r="GF128" s="64">
        <f t="shared" si="765"/>
        <v>0</v>
      </c>
      <c r="GG128" s="66">
        <f t="shared" si="766"/>
        <v>0</v>
      </c>
      <c r="GH128" s="66">
        <f t="shared" si="766"/>
        <v>0</v>
      </c>
      <c r="GI128" s="66">
        <f t="shared" si="766"/>
        <v>0</v>
      </c>
      <c r="GJ128" s="66">
        <f t="shared" si="766"/>
        <v>0</v>
      </c>
      <c r="GK128" s="66">
        <f t="shared" si="766"/>
        <v>0</v>
      </c>
      <c r="GL128" s="66">
        <f t="shared" si="766"/>
        <v>0</v>
      </c>
      <c r="GM128" s="66">
        <f t="shared" si="766"/>
        <v>0</v>
      </c>
      <c r="GN128" s="66">
        <f t="shared" si="766"/>
        <v>0</v>
      </c>
      <c r="GO128" s="66">
        <f t="shared" si="766"/>
        <v>0</v>
      </c>
      <c r="GP128" s="66">
        <f t="shared" si="766"/>
        <v>0</v>
      </c>
      <c r="GQ128" s="64">
        <f t="shared" si="767"/>
        <v>0</v>
      </c>
      <c r="GR128" s="63"/>
      <c r="GS128" s="63"/>
      <c r="GT128" s="63"/>
      <c r="GU128" s="63"/>
      <c r="GV128" s="67">
        <f t="shared" si="768"/>
        <v>0</v>
      </c>
      <c r="GW128" s="63"/>
      <c r="GX128" s="63"/>
      <c r="GY128" s="63"/>
      <c r="GZ128" s="63"/>
      <c r="HA128" s="67">
        <f t="shared" si="769"/>
        <v>0</v>
      </c>
      <c r="HB128" s="63"/>
      <c r="HC128" s="63"/>
      <c r="HD128" s="63"/>
      <c r="HE128" s="63"/>
      <c r="HF128" s="67">
        <f t="shared" si="770"/>
        <v>0</v>
      </c>
      <c r="HG128" s="63"/>
      <c r="HH128" s="63"/>
      <c r="HI128" s="63"/>
      <c r="HJ128" s="63"/>
      <c r="HK128" s="67">
        <f t="shared" si="771"/>
        <v>0</v>
      </c>
      <c r="HL128" s="68">
        <f t="shared" si="772"/>
        <v>0</v>
      </c>
      <c r="HM128" s="68">
        <f t="shared" si="772"/>
        <v>0</v>
      </c>
      <c r="HN128" s="68">
        <f t="shared" si="772"/>
        <v>0</v>
      </c>
      <c r="HO128" s="68">
        <f t="shared" si="772"/>
        <v>0</v>
      </c>
      <c r="HP128" s="67">
        <f t="shared" si="773"/>
        <v>0</v>
      </c>
      <c r="HQ128" s="63"/>
      <c r="HR128" s="63"/>
      <c r="HS128" s="63"/>
      <c r="HT128" s="63"/>
      <c r="HU128" s="67">
        <f t="shared" si="774"/>
        <v>0</v>
      </c>
      <c r="HV128" s="63"/>
      <c r="HW128" s="63"/>
      <c r="HX128" s="63"/>
      <c r="HY128" s="63"/>
      <c r="HZ128" s="67">
        <f t="shared" si="775"/>
        <v>0</v>
      </c>
      <c r="IA128" s="63"/>
      <c r="IB128" s="63"/>
      <c r="IC128" s="63"/>
      <c r="ID128" s="63"/>
      <c r="IE128" s="67">
        <f t="shared" si="776"/>
        <v>0</v>
      </c>
      <c r="IF128" s="68">
        <f t="shared" si="777"/>
        <v>0</v>
      </c>
      <c r="IG128" s="68">
        <f t="shared" si="777"/>
        <v>0</v>
      </c>
      <c r="IH128" s="68">
        <f t="shared" si="777"/>
        <v>0</v>
      </c>
      <c r="II128" s="68">
        <f t="shared" si="777"/>
        <v>0</v>
      </c>
      <c r="IJ128" s="67">
        <f t="shared" si="778"/>
        <v>0</v>
      </c>
      <c r="IK128" s="63"/>
      <c r="IL128" s="63"/>
      <c r="IM128" s="63"/>
      <c r="IN128" s="63"/>
      <c r="IO128" s="67">
        <f t="shared" si="779"/>
        <v>0</v>
      </c>
      <c r="IP128" s="63"/>
      <c r="IQ128" s="63"/>
      <c r="IR128" s="63"/>
      <c r="IS128" s="63"/>
      <c r="IT128" s="67">
        <f t="shared" si="780"/>
        <v>0</v>
      </c>
      <c r="IU128" s="63"/>
      <c r="IV128" s="63"/>
    </row>
    <row r="129" spans="1:256" ht="12.75" customHeight="1" x14ac:dyDescent="0.25">
      <c r="A129" s="132" t="s">
        <v>120</v>
      </c>
      <c r="B129" s="62">
        <v>0</v>
      </c>
      <c r="C129" s="63">
        <v>0</v>
      </c>
      <c r="D129" s="63">
        <v>0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4">
        <f t="shared" si="781"/>
        <v>0</v>
      </c>
      <c r="M129" s="62"/>
      <c r="N129" s="63"/>
      <c r="O129" s="63"/>
      <c r="P129" s="63"/>
      <c r="Q129" s="63"/>
      <c r="R129" s="63"/>
      <c r="S129" s="63"/>
      <c r="T129" s="63"/>
      <c r="U129" s="63"/>
      <c r="V129" s="63"/>
      <c r="W129" s="64">
        <f t="shared" si="747"/>
        <v>0</v>
      </c>
      <c r="X129" s="62"/>
      <c r="Y129" s="63"/>
      <c r="Z129" s="63"/>
      <c r="AA129" s="63"/>
      <c r="AB129" s="63"/>
      <c r="AC129" s="63"/>
      <c r="AD129" s="63"/>
      <c r="AE129" s="63"/>
      <c r="AF129" s="63"/>
      <c r="AG129" s="63"/>
      <c r="AH129" s="64">
        <f t="shared" si="748"/>
        <v>0</v>
      </c>
      <c r="AI129" s="62"/>
      <c r="AJ129" s="63"/>
      <c r="AK129" s="63"/>
      <c r="AL129" s="63"/>
      <c r="AM129" s="63"/>
      <c r="AN129" s="63"/>
      <c r="AO129" s="63"/>
      <c r="AP129" s="63"/>
      <c r="AQ129" s="63"/>
      <c r="AR129" s="63"/>
      <c r="AS129" s="64">
        <f t="shared" si="749"/>
        <v>0</v>
      </c>
      <c r="AT129" s="65">
        <f t="shared" si="750"/>
        <v>0</v>
      </c>
      <c r="AU129" s="65">
        <f t="shared" si="750"/>
        <v>0</v>
      </c>
      <c r="AV129" s="65">
        <f t="shared" si="750"/>
        <v>0</v>
      </c>
      <c r="AW129" s="65">
        <f t="shared" si="750"/>
        <v>0</v>
      </c>
      <c r="AX129" s="65">
        <f t="shared" si="750"/>
        <v>0</v>
      </c>
      <c r="AY129" s="65">
        <f t="shared" si="750"/>
        <v>0</v>
      </c>
      <c r="AZ129" s="65">
        <f t="shared" si="750"/>
        <v>0</v>
      </c>
      <c r="BA129" s="65">
        <f t="shared" si="750"/>
        <v>0</v>
      </c>
      <c r="BB129" s="65">
        <f t="shared" si="750"/>
        <v>0</v>
      </c>
      <c r="BC129" s="65">
        <f t="shared" si="750"/>
        <v>0</v>
      </c>
      <c r="BD129" s="64">
        <f t="shared" si="751"/>
        <v>0</v>
      </c>
      <c r="BE129" s="62"/>
      <c r="BF129" s="63"/>
      <c r="BG129" s="63"/>
      <c r="BH129" s="63"/>
      <c r="BI129" s="63"/>
      <c r="BJ129" s="63"/>
      <c r="BK129" s="63"/>
      <c r="BL129" s="63"/>
      <c r="BM129" s="63"/>
      <c r="BN129" s="63"/>
      <c r="BO129" s="64">
        <f t="shared" si="752"/>
        <v>0</v>
      </c>
      <c r="BP129" s="62"/>
      <c r="BQ129" s="63"/>
      <c r="BR129" s="63"/>
      <c r="BS129" s="63"/>
      <c r="BT129" s="63"/>
      <c r="BU129" s="63"/>
      <c r="BV129" s="63"/>
      <c r="BW129" s="63"/>
      <c r="BX129" s="63"/>
      <c r="BY129" s="63"/>
      <c r="BZ129" s="64">
        <f t="shared" si="753"/>
        <v>0</v>
      </c>
      <c r="CA129" s="62"/>
      <c r="CB129" s="63"/>
      <c r="CC129" s="63"/>
      <c r="CD129" s="63"/>
      <c r="CE129" s="63"/>
      <c r="CF129" s="63"/>
      <c r="CG129" s="63"/>
      <c r="CH129" s="63"/>
      <c r="CI129" s="63"/>
      <c r="CJ129" s="63"/>
      <c r="CK129" s="64">
        <f t="shared" si="754"/>
        <v>0</v>
      </c>
      <c r="CL129" s="65">
        <f t="shared" si="755"/>
        <v>0</v>
      </c>
      <c r="CM129" s="65">
        <f t="shared" si="755"/>
        <v>0</v>
      </c>
      <c r="CN129" s="65">
        <f t="shared" si="755"/>
        <v>0</v>
      </c>
      <c r="CO129" s="65">
        <f t="shared" si="755"/>
        <v>0</v>
      </c>
      <c r="CP129" s="65">
        <f t="shared" si="755"/>
        <v>0</v>
      </c>
      <c r="CQ129" s="65">
        <f t="shared" si="755"/>
        <v>0</v>
      </c>
      <c r="CR129" s="65">
        <f t="shared" si="755"/>
        <v>0</v>
      </c>
      <c r="CS129" s="65">
        <f t="shared" si="755"/>
        <v>0</v>
      </c>
      <c r="CT129" s="65">
        <f t="shared" si="755"/>
        <v>0</v>
      </c>
      <c r="CU129" s="65">
        <f t="shared" si="755"/>
        <v>0</v>
      </c>
      <c r="CV129" s="64">
        <f t="shared" si="756"/>
        <v>0</v>
      </c>
      <c r="CW129" s="62"/>
      <c r="CX129" s="63"/>
      <c r="CY129" s="63"/>
      <c r="CZ129" s="63"/>
      <c r="DA129" s="63"/>
      <c r="DB129" s="63"/>
      <c r="DC129" s="63"/>
      <c r="DD129" s="63"/>
      <c r="DE129" s="63"/>
      <c r="DF129" s="63"/>
      <c r="DG129" s="64">
        <f t="shared" si="757"/>
        <v>0</v>
      </c>
      <c r="DH129" s="62"/>
      <c r="DI129" s="63"/>
      <c r="DJ129" s="63"/>
      <c r="DK129" s="63"/>
      <c r="DL129" s="63"/>
      <c r="DM129" s="63"/>
      <c r="DN129" s="63"/>
      <c r="DO129" s="63"/>
      <c r="DP129" s="63"/>
      <c r="DQ129" s="63"/>
      <c r="DR129" s="64">
        <f t="shared" si="758"/>
        <v>0</v>
      </c>
      <c r="DS129" s="62"/>
      <c r="DT129" s="63"/>
      <c r="DU129" s="63"/>
      <c r="DV129" s="63"/>
      <c r="DW129" s="63"/>
      <c r="DX129" s="63"/>
      <c r="DY129" s="63"/>
      <c r="DZ129" s="63"/>
      <c r="EA129" s="63"/>
      <c r="EB129" s="63"/>
      <c r="EC129" s="63"/>
      <c r="ED129" s="65">
        <f t="shared" si="759"/>
        <v>0</v>
      </c>
      <c r="EE129" s="65">
        <f t="shared" si="759"/>
        <v>0</v>
      </c>
      <c r="EF129" s="65">
        <f t="shared" si="759"/>
        <v>0</v>
      </c>
      <c r="EG129" s="65">
        <f t="shared" si="759"/>
        <v>0</v>
      </c>
      <c r="EH129" s="65">
        <f t="shared" si="759"/>
        <v>0</v>
      </c>
      <c r="EI129" s="65">
        <f t="shared" si="759"/>
        <v>0</v>
      </c>
      <c r="EJ129" s="65">
        <f t="shared" si="759"/>
        <v>0</v>
      </c>
      <c r="EK129" s="65">
        <f t="shared" si="759"/>
        <v>0</v>
      </c>
      <c r="EL129" s="65">
        <f t="shared" si="759"/>
        <v>0</v>
      </c>
      <c r="EM129" s="65">
        <f t="shared" si="759"/>
        <v>0</v>
      </c>
      <c r="EN129" s="64">
        <f t="shared" si="760"/>
        <v>0</v>
      </c>
      <c r="EO129" s="62"/>
      <c r="EP129" s="63"/>
      <c r="EQ129" s="63"/>
      <c r="ER129" s="63"/>
      <c r="ES129" s="63"/>
      <c r="ET129" s="63"/>
      <c r="EU129" s="63"/>
      <c r="EV129" s="63"/>
      <c r="EW129" s="63"/>
      <c r="EX129" s="63"/>
      <c r="EY129" s="64">
        <f t="shared" si="761"/>
        <v>0</v>
      </c>
      <c r="EZ129" s="62"/>
      <c r="FA129" s="63"/>
      <c r="FB129" s="63"/>
      <c r="FC129" s="63"/>
      <c r="FD129" s="63"/>
      <c r="FE129" s="63"/>
      <c r="FF129" s="63"/>
      <c r="FG129" s="63"/>
      <c r="FH129" s="63"/>
      <c r="FI129" s="63"/>
      <c r="FJ129" s="64">
        <f t="shared" si="762"/>
        <v>0</v>
      </c>
      <c r="FK129" s="62"/>
      <c r="FL129" s="63"/>
      <c r="FM129" s="63"/>
      <c r="FN129" s="63"/>
      <c r="FO129" s="63"/>
      <c r="FP129" s="63"/>
      <c r="FQ129" s="63"/>
      <c r="FR129" s="63"/>
      <c r="FS129" s="63"/>
      <c r="FT129" s="63"/>
      <c r="FU129" s="64">
        <f t="shared" si="763"/>
        <v>0</v>
      </c>
      <c r="FV129" s="65">
        <f t="shared" si="764"/>
        <v>0</v>
      </c>
      <c r="FW129" s="65">
        <f t="shared" si="764"/>
        <v>0</v>
      </c>
      <c r="FX129" s="65">
        <f t="shared" si="764"/>
        <v>0</v>
      </c>
      <c r="FY129" s="65">
        <f t="shared" si="764"/>
        <v>0</v>
      </c>
      <c r="FZ129" s="65">
        <f t="shared" si="764"/>
        <v>0</v>
      </c>
      <c r="GA129" s="65">
        <f t="shared" si="764"/>
        <v>0</v>
      </c>
      <c r="GB129" s="65">
        <f t="shared" si="764"/>
        <v>0</v>
      </c>
      <c r="GC129" s="65">
        <f t="shared" si="764"/>
        <v>0</v>
      </c>
      <c r="GD129" s="65">
        <f t="shared" si="764"/>
        <v>0</v>
      </c>
      <c r="GE129" s="65">
        <f t="shared" si="764"/>
        <v>0</v>
      </c>
      <c r="GF129" s="64">
        <f t="shared" si="765"/>
        <v>0</v>
      </c>
      <c r="GG129" s="66">
        <f t="shared" si="766"/>
        <v>0</v>
      </c>
      <c r="GH129" s="66">
        <f t="shared" si="766"/>
        <v>0</v>
      </c>
      <c r="GI129" s="66">
        <f t="shared" si="766"/>
        <v>0</v>
      </c>
      <c r="GJ129" s="66">
        <f t="shared" si="766"/>
        <v>0</v>
      </c>
      <c r="GK129" s="66">
        <f t="shared" si="766"/>
        <v>0</v>
      </c>
      <c r="GL129" s="66">
        <f t="shared" si="766"/>
        <v>0</v>
      </c>
      <c r="GM129" s="66">
        <f t="shared" si="766"/>
        <v>0</v>
      </c>
      <c r="GN129" s="66">
        <f t="shared" si="766"/>
        <v>0</v>
      </c>
      <c r="GO129" s="66">
        <f t="shared" si="766"/>
        <v>0</v>
      </c>
      <c r="GP129" s="66">
        <f t="shared" si="766"/>
        <v>0</v>
      </c>
      <c r="GQ129" s="64">
        <f t="shared" si="767"/>
        <v>0</v>
      </c>
      <c r="GR129" s="63"/>
      <c r="GS129" s="63"/>
      <c r="GT129" s="63"/>
      <c r="GU129" s="63"/>
      <c r="GV129" s="67">
        <f t="shared" si="768"/>
        <v>0</v>
      </c>
      <c r="GW129" s="63"/>
      <c r="GX129" s="63"/>
      <c r="GY129" s="63"/>
      <c r="GZ129" s="63"/>
      <c r="HA129" s="67">
        <f t="shared" si="769"/>
        <v>0</v>
      </c>
      <c r="HB129" s="63"/>
      <c r="HC129" s="63"/>
      <c r="HD129" s="63"/>
      <c r="HE129" s="63"/>
      <c r="HF129" s="67">
        <f t="shared" si="770"/>
        <v>0</v>
      </c>
      <c r="HG129" s="63"/>
      <c r="HH129" s="63"/>
      <c r="HI129" s="63"/>
      <c r="HJ129" s="63"/>
      <c r="HK129" s="67">
        <f t="shared" si="771"/>
        <v>0</v>
      </c>
      <c r="HL129" s="68">
        <f t="shared" si="772"/>
        <v>0</v>
      </c>
      <c r="HM129" s="68">
        <f t="shared" si="772"/>
        <v>0</v>
      </c>
      <c r="HN129" s="68">
        <f t="shared" si="772"/>
        <v>0</v>
      </c>
      <c r="HO129" s="68">
        <f t="shared" si="772"/>
        <v>0</v>
      </c>
      <c r="HP129" s="67">
        <f t="shared" si="773"/>
        <v>0</v>
      </c>
      <c r="HQ129" s="63"/>
      <c r="HR129" s="63"/>
      <c r="HS129" s="63"/>
      <c r="HT129" s="63"/>
      <c r="HU129" s="67">
        <f t="shared" si="774"/>
        <v>0</v>
      </c>
      <c r="HV129" s="63"/>
      <c r="HW129" s="63"/>
      <c r="HX129" s="63"/>
      <c r="HY129" s="63"/>
      <c r="HZ129" s="67">
        <f t="shared" si="775"/>
        <v>0</v>
      </c>
      <c r="IA129" s="63"/>
      <c r="IB129" s="63"/>
      <c r="IC129" s="63"/>
      <c r="ID129" s="63"/>
      <c r="IE129" s="67">
        <f t="shared" si="776"/>
        <v>0</v>
      </c>
      <c r="IF129" s="68">
        <f t="shared" si="777"/>
        <v>0</v>
      </c>
      <c r="IG129" s="68">
        <f t="shared" si="777"/>
        <v>0</v>
      </c>
      <c r="IH129" s="68">
        <f t="shared" si="777"/>
        <v>0</v>
      </c>
      <c r="II129" s="68">
        <f t="shared" si="777"/>
        <v>0</v>
      </c>
      <c r="IJ129" s="67">
        <f t="shared" si="778"/>
        <v>0</v>
      </c>
      <c r="IK129" s="63"/>
      <c r="IL129" s="63"/>
      <c r="IM129" s="63"/>
      <c r="IN129" s="63"/>
      <c r="IO129" s="67">
        <f t="shared" si="779"/>
        <v>0</v>
      </c>
      <c r="IP129" s="63"/>
      <c r="IQ129" s="63"/>
      <c r="IR129" s="63"/>
      <c r="IS129" s="63"/>
      <c r="IT129" s="67">
        <f t="shared" si="780"/>
        <v>0</v>
      </c>
      <c r="IU129" s="63"/>
      <c r="IV129" s="63"/>
    </row>
    <row r="130" spans="1:256" s="57" customFormat="1" ht="12.75" customHeight="1" x14ac:dyDescent="0.25">
      <c r="A130" s="119" t="s">
        <v>121</v>
      </c>
      <c r="B130" s="60"/>
      <c r="C130" s="73">
        <f t="shared" ref="C130:K130" si="782">SUM(C131:C135)</f>
        <v>0</v>
      </c>
      <c r="D130" s="73">
        <f t="shared" si="782"/>
        <v>0</v>
      </c>
      <c r="E130" s="73">
        <f t="shared" si="782"/>
        <v>0</v>
      </c>
      <c r="F130" s="73">
        <f t="shared" si="782"/>
        <v>0</v>
      </c>
      <c r="G130" s="73">
        <f t="shared" si="782"/>
        <v>0</v>
      </c>
      <c r="H130" s="73">
        <f t="shared" si="782"/>
        <v>0</v>
      </c>
      <c r="I130" s="73">
        <f t="shared" si="782"/>
        <v>0</v>
      </c>
      <c r="J130" s="73">
        <f t="shared" si="782"/>
        <v>0</v>
      </c>
      <c r="K130" s="73">
        <f t="shared" si="782"/>
        <v>0</v>
      </c>
      <c r="L130" s="73">
        <f>SUM(L132:L135)</f>
        <v>0</v>
      </c>
      <c r="M130" s="60"/>
      <c r="N130" s="73">
        <f t="shared" ref="N130:V130" si="783">SUM(N131:N135)</f>
        <v>0</v>
      </c>
      <c r="O130" s="73">
        <f t="shared" si="783"/>
        <v>0</v>
      </c>
      <c r="P130" s="73">
        <f t="shared" si="783"/>
        <v>0</v>
      </c>
      <c r="Q130" s="73">
        <f t="shared" si="783"/>
        <v>0</v>
      </c>
      <c r="R130" s="73">
        <f t="shared" si="783"/>
        <v>0</v>
      </c>
      <c r="S130" s="73">
        <f t="shared" si="783"/>
        <v>0</v>
      </c>
      <c r="T130" s="73">
        <f t="shared" si="783"/>
        <v>0</v>
      </c>
      <c r="U130" s="73">
        <f t="shared" si="783"/>
        <v>0</v>
      </c>
      <c r="V130" s="73">
        <f t="shared" si="783"/>
        <v>0</v>
      </c>
      <c r="W130" s="73">
        <f>SUM(W132:W135)</f>
        <v>0</v>
      </c>
      <c r="X130" s="60"/>
      <c r="Y130" s="73">
        <f t="shared" ref="Y130:AG130" si="784">SUM(Y131:Y135)</f>
        <v>0</v>
      </c>
      <c r="Z130" s="73">
        <f t="shared" si="784"/>
        <v>0</v>
      </c>
      <c r="AA130" s="73">
        <f t="shared" si="784"/>
        <v>0</v>
      </c>
      <c r="AB130" s="73">
        <f t="shared" si="784"/>
        <v>0</v>
      </c>
      <c r="AC130" s="73">
        <f t="shared" si="784"/>
        <v>0</v>
      </c>
      <c r="AD130" s="73">
        <f t="shared" si="784"/>
        <v>0</v>
      </c>
      <c r="AE130" s="73">
        <f t="shared" si="784"/>
        <v>0</v>
      </c>
      <c r="AF130" s="73">
        <f t="shared" si="784"/>
        <v>0</v>
      </c>
      <c r="AG130" s="73">
        <f t="shared" si="784"/>
        <v>0</v>
      </c>
      <c r="AH130" s="73">
        <f>SUM(AH132:AH135)</f>
        <v>0</v>
      </c>
      <c r="AI130" s="60"/>
      <c r="AJ130" s="73">
        <f t="shared" ref="AJ130:AR130" si="785">SUM(AJ131:AJ135)</f>
        <v>0</v>
      </c>
      <c r="AK130" s="73">
        <f t="shared" si="785"/>
        <v>0</v>
      </c>
      <c r="AL130" s="73">
        <f t="shared" si="785"/>
        <v>0</v>
      </c>
      <c r="AM130" s="73">
        <f t="shared" si="785"/>
        <v>0</v>
      </c>
      <c r="AN130" s="73">
        <f t="shared" si="785"/>
        <v>0</v>
      </c>
      <c r="AO130" s="73">
        <f t="shared" si="785"/>
        <v>0</v>
      </c>
      <c r="AP130" s="73">
        <f t="shared" si="785"/>
        <v>0</v>
      </c>
      <c r="AQ130" s="73">
        <f t="shared" si="785"/>
        <v>0</v>
      </c>
      <c r="AR130" s="73">
        <f t="shared" si="785"/>
        <v>0</v>
      </c>
      <c r="AS130" s="73">
        <f>SUM(AS132:AS135)</f>
        <v>0</v>
      </c>
      <c r="AT130" s="60"/>
      <c r="AU130" s="73">
        <f t="shared" ref="AU130:BD130" si="786">SUM(AU132:AU135)</f>
        <v>0</v>
      </c>
      <c r="AV130" s="73">
        <f t="shared" si="786"/>
        <v>0</v>
      </c>
      <c r="AW130" s="73">
        <f t="shared" si="786"/>
        <v>0</v>
      </c>
      <c r="AX130" s="73">
        <f t="shared" si="786"/>
        <v>0</v>
      </c>
      <c r="AY130" s="73">
        <f t="shared" si="786"/>
        <v>0</v>
      </c>
      <c r="AZ130" s="73">
        <f t="shared" si="786"/>
        <v>0</v>
      </c>
      <c r="BA130" s="73">
        <f t="shared" si="786"/>
        <v>0</v>
      </c>
      <c r="BB130" s="73">
        <f t="shared" si="786"/>
        <v>0</v>
      </c>
      <c r="BC130" s="73">
        <f t="shared" si="786"/>
        <v>0</v>
      </c>
      <c r="BD130" s="73">
        <f t="shared" si="786"/>
        <v>0</v>
      </c>
      <c r="BE130" s="60"/>
      <c r="BF130" s="73">
        <f t="shared" ref="BF130:BN130" si="787">SUM(BF131:BF135)</f>
        <v>0</v>
      </c>
      <c r="BG130" s="73">
        <f t="shared" si="787"/>
        <v>0</v>
      </c>
      <c r="BH130" s="73">
        <f t="shared" si="787"/>
        <v>0</v>
      </c>
      <c r="BI130" s="73">
        <f t="shared" si="787"/>
        <v>0</v>
      </c>
      <c r="BJ130" s="73">
        <f t="shared" si="787"/>
        <v>0</v>
      </c>
      <c r="BK130" s="73">
        <f t="shared" si="787"/>
        <v>0</v>
      </c>
      <c r="BL130" s="73">
        <f t="shared" si="787"/>
        <v>0</v>
      </c>
      <c r="BM130" s="73">
        <f t="shared" si="787"/>
        <v>0</v>
      </c>
      <c r="BN130" s="73">
        <f t="shared" si="787"/>
        <v>0</v>
      </c>
      <c r="BO130" s="73">
        <f>SUM(BO132:BO135)</f>
        <v>0</v>
      </c>
      <c r="BP130" s="60"/>
      <c r="BQ130" s="73">
        <f t="shared" ref="BQ130:BY130" si="788">SUM(BQ131:BQ135)</f>
        <v>0</v>
      </c>
      <c r="BR130" s="73">
        <f t="shared" si="788"/>
        <v>0</v>
      </c>
      <c r="BS130" s="73">
        <f t="shared" si="788"/>
        <v>0</v>
      </c>
      <c r="BT130" s="73">
        <f t="shared" si="788"/>
        <v>0</v>
      </c>
      <c r="BU130" s="73">
        <f t="shared" si="788"/>
        <v>0</v>
      </c>
      <c r="BV130" s="73">
        <f t="shared" si="788"/>
        <v>0</v>
      </c>
      <c r="BW130" s="73">
        <f t="shared" si="788"/>
        <v>0</v>
      </c>
      <c r="BX130" s="73">
        <f t="shared" si="788"/>
        <v>0</v>
      </c>
      <c r="BY130" s="73">
        <f t="shared" si="788"/>
        <v>0</v>
      </c>
      <c r="BZ130" s="73">
        <f>SUM(BZ132:BZ135)</f>
        <v>0</v>
      </c>
      <c r="CA130" s="60"/>
      <c r="CB130" s="73">
        <f t="shared" ref="CB130:CJ130" si="789">SUM(CB131:CB135)</f>
        <v>0</v>
      </c>
      <c r="CC130" s="73">
        <f t="shared" si="789"/>
        <v>0</v>
      </c>
      <c r="CD130" s="73">
        <f t="shared" si="789"/>
        <v>0</v>
      </c>
      <c r="CE130" s="73">
        <f t="shared" si="789"/>
        <v>0</v>
      </c>
      <c r="CF130" s="73">
        <f t="shared" si="789"/>
        <v>0</v>
      </c>
      <c r="CG130" s="73">
        <f t="shared" si="789"/>
        <v>0</v>
      </c>
      <c r="CH130" s="73">
        <f t="shared" si="789"/>
        <v>0</v>
      </c>
      <c r="CI130" s="73">
        <f t="shared" si="789"/>
        <v>0</v>
      </c>
      <c r="CJ130" s="73">
        <f t="shared" si="789"/>
        <v>0</v>
      </c>
      <c r="CK130" s="73">
        <f>SUM(CK132:CK135)</f>
        <v>0</v>
      </c>
      <c r="CL130" s="60"/>
      <c r="CM130" s="73">
        <f t="shared" ref="CM130:CV130" si="790">SUM(CM132:CM135)</f>
        <v>0</v>
      </c>
      <c r="CN130" s="73">
        <f t="shared" si="790"/>
        <v>0</v>
      </c>
      <c r="CO130" s="73">
        <f t="shared" si="790"/>
        <v>0</v>
      </c>
      <c r="CP130" s="73">
        <f t="shared" si="790"/>
        <v>0</v>
      </c>
      <c r="CQ130" s="73">
        <f t="shared" si="790"/>
        <v>0</v>
      </c>
      <c r="CR130" s="73">
        <f t="shared" si="790"/>
        <v>0</v>
      </c>
      <c r="CS130" s="73">
        <f t="shared" si="790"/>
        <v>0</v>
      </c>
      <c r="CT130" s="73">
        <f t="shared" si="790"/>
        <v>0</v>
      </c>
      <c r="CU130" s="73">
        <f t="shared" si="790"/>
        <v>0</v>
      </c>
      <c r="CV130" s="73">
        <f t="shared" si="790"/>
        <v>0</v>
      </c>
      <c r="CW130" s="60"/>
      <c r="CX130" s="73">
        <f t="shared" ref="CX130:DF130" si="791">SUM(CX131:CX135)</f>
        <v>0</v>
      </c>
      <c r="CY130" s="73">
        <f t="shared" si="791"/>
        <v>0</v>
      </c>
      <c r="CZ130" s="73">
        <f t="shared" si="791"/>
        <v>0</v>
      </c>
      <c r="DA130" s="73">
        <f t="shared" si="791"/>
        <v>0</v>
      </c>
      <c r="DB130" s="73">
        <f t="shared" si="791"/>
        <v>0</v>
      </c>
      <c r="DC130" s="73">
        <f t="shared" si="791"/>
        <v>0</v>
      </c>
      <c r="DD130" s="73">
        <f t="shared" si="791"/>
        <v>0</v>
      </c>
      <c r="DE130" s="73">
        <f t="shared" si="791"/>
        <v>0</v>
      </c>
      <c r="DF130" s="73">
        <f t="shared" si="791"/>
        <v>0</v>
      </c>
      <c r="DG130" s="73">
        <f>SUM(DG132:DG135)</f>
        <v>0</v>
      </c>
      <c r="DH130" s="60"/>
      <c r="DI130" s="73">
        <f t="shared" ref="DI130:DQ130" si="792">SUM(DI131:DI135)</f>
        <v>0</v>
      </c>
      <c r="DJ130" s="73">
        <f t="shared" si="792"/>
        <v>0</v>
      </c>
      <c r="DK130" s="73">
        <f t="shared" si="792"/>
        <v>0</v>
      </c>
      <c r="DL130" s="73">
        <f t="shared" si="792"/>
        <v>0</v>
      </c>
      <c r="DM130" s="73">
        <f t="shared" si="792"/>
        <v>0</v>
      </c>
      <c r="DN130" s="73">
        <f t="shared" si="792"/>
        <v>0</v>
      </c>
      <c r="DO130" s="73">
        <f t="shared" si="792"/>
        <v>0</v>
      </c>
      <c r="DP130" s="73">
        <f t="shared" si="792"/>
        <v>0</v>
      </c>
      <c r="DQ130" s="73">
        <f t="shared" si="792"/>
        <v>0</v>
      </c>
      <c r="DR130" s="73">
        <f>SUM(DR132:DR135)</f>
        <v>0</v>
      </c>
      <c r="DS130" s="60"/>
      <c r="DT130" s="73">
        <f t="shared" ref="DT130:EB130" si="793">SUM(DT131:DT135)</f>
        <v>0</v>
      </c>
      <c r="DU130" s="73">
        <f t="shared" si="793"/>
        <v>0</v>
      </c>
      <c r="DV130" s="73">
        <f t="shared" si="793"/>
        <v>0</v>
      </c>
      <c r="DW130" s="73">
        <f t="shared" si="793"/>
        <v>0</v>
      </c>
      <c r="DX130" s="73">
        <f t="shared" si="793"/>
        <v>0</v>
      </c>
      <c r="DY130" s="73">
        <f t="shared" si="793"/>
        <v>0</v>
      </c>
      <c r="DZ130" s="73">
        <f t="shared" si="793"/>
        <v>0</v>
      </c>
      <c r="EA130" s="73">
        <f t="shared" si="793"/>
        <v>0</v>
      </c>
      <c r="EB130" s="73">
        <f t="shared" si="793"/>
        <v>0</v>
      </c>
      <c r="EC130" s="73">
        <f>SUM(EC131:EC135)</f>
        <v>0</v>
      </c>
      <c r="ED130" s="60"/>
      <c r="EE130" s="73">
        <f t="shared" ref="EE130:EN130" si="794">SUM(EE132:EE135)</f>
        <v>0</v>
      </c>
      <c r="EF130" s="73">
        <f t="shared" si="794"/>
        <v>0</v>
      </c>
      <c r="EG130" s="73">
        <f t="shared" si="794"/>
        <v>0</v>
      </c>
      <c r="EH130" s="73">
        <f t="shared" si="794"/>
        <v>0</v>
      </c>
      <c r="EI130" s="73">
        <f t="shared" si="794"/>
        <v>0</v>
      </c>
      <c r="EJ130" s="73">
        <f t="shared" si="794"/>
        <v>0</v>
      </c>
      <c r="EK130" s="73">
        <f t="shared" si="794"/>
        <v>0</v>
      </c>
      <c r="EL130" s="73">
        <f t="shared" si="794"/>
        <v>0</v>
      </c>
      <c r="EM130" s="73">
        <f t="shared" si="794"/>
        <v>0</v>
      </c>
      <c r="EN130" s="73">
        <f t="shared" si="794"/>
        <v>0</v>
      </c>
      <c r="EO130" s="60"/>
      <c r="EP130" s="73">
        <f t="shared" ref="EP130:EX130" si="795">SUM(EP131:EP135)</f>
        <v>0</v>
      </c>
      <c r="EQ130" s="73">
        <f t="shared" si="795"/>
        <v>0</v>
      </c>
      <c r="ER130" s="73">
        <f t="shared" si="795"/>
        <v>0</v>
      </c>
      <c r="ES130" s="73">
        <f t="shared" si="795"/>
        <v>0</v>
      </c>
      <c r="ET130" s="73">
        <f t="shared" si="795"/>
        <v>0</v>
      </c>
      <c r="EU130" s="73">
        <f t="shared" si="795"/>
        <v>0</v>
      </c>
      <c r="EV130" s="73">
        <f t="shared" si="795"/>
        <v>0</v>
      </c>
      <c r="EW130" s="73">
        <f t="shared" si="795"/>
        <v>0</v>
      </c>
      <c r="EX130" s="73">
        <f t="shared" si="795"/>
        <v>0</v>
      </c>
      <c r="EY130" s="73">
        <f>SUM(EY132:EY135)</f>
        <v>0</v>
      </c>
      <c r="EZ130" s="60"/>
      <c r="FA130" s="73">
        <f t="shared" ref="FA130:FI130" si="796">SUM(FA131:FA135)</f>
        <v>0</v>
      </c>
      <c r="FB130" s="73">
        <f t="shared" si="796"/>
        <v>0</v>
      </c>
      <c r="FC130" s="73">
        <f t="shared" si="796"/>
        <v>0</v>
      </c>
      <c r="FD130" s="73">
        <f t="shared" si="796"/>
        <v>0</v>
      </c>
      <c r="FE130" s="73">
        <f t="shared" si="796"/>
        <v>0</v>
      </c>
      <c r="FF130" s="73">
        <f t="shared" si="796"/>
        <v>0</v>
      </c>
      <c r="FG130" s="73">
        <f t="shared" si="796"/>
        <v>0</v>
      </c>
      <c r="FH130" s="73">
        <f t="shared" si="796"/>
        <v>0</v>
      </c>
      <c r="FI130" s="73">
        <f t="shared" si="796"/>
        <v>0</v>
      </c>
      <c r="FJ130" s="73">
        <f>SUM(FJ132:FJ135)</f>
        <v>0</v>
      </c>
      <c r="FK130" s="60"/>
      <c r="FL130" s="73">
        <f t="shared" ref="FL130:FT130" si="797">SUM(FL131:FL135)</f>
        <v>0</v>
      </c>
      <c r="FM130" s="73">
        <f t="shared" si="797"/>
        <v>0</v>
      </c>
      <c r="FN130" s="73">
        <f t="shared" si="797"/>
        <v>0</v>
      </c>
      <c r="FO130" s="73">
        <f t="shared" si="797"/>
        <v>0</v>
      </c>
      <c r="FP130" s="73">
        <f t="shared" si="797"/>
        <v>0</v>
      </c>
      <c r="FQ130" s="73">
        <f t="shared" si="797"/>
        <v>0</v>
      </c>
      <c r="FR130" s="73">
        <f t="shared" si="797"/>
        <v>0</v>
      </c>
      <c r="FS130" s="73">
        <f t="shared" si="797"/>
        <v>0</v>
      </c>
      <c r="FT130" s="73">
        <f t="shared" si="797"/>
        <v>0</v>
      </c>
      <c r="FU130" s="73">
        <f>SUM(FU132:FU135)</f>
        <v>0</v>
      </c>
      <c r="FV130" s="60"/>
      <c r="FW130" s="73">
        <f t="shared" ref="FW130:GF130" si="798">SUM(FW132:FW135)</f>
        <v>0</v>
      </c>
      <c r="FX130" s="73">
        <f t="shared" si="798"/>
        <v>0</v>
      </c>
      <c r="FY130" s="73">
        <f t="shared" si="798"/>
        <v>0</v>
      </c>
      <c r="FZ130" s="73">
        <f t="shared" si="798"/>
        <v>0</v>
      </c>
      <c r="GA130" s="73">
        <f t="shared" si="798"/>
        <v>0</v>
      </c>
      <c r="GB130" s="73">
        <f t="shared" si="798"/>
        <v>0</v>
      </c>
      <c r="GC130" s="73">
        <f t="shared" si="798"/>
        <v>0</v>
      </c>
      <c r="GD130" s="73">
        <f t="shared" si="798"/>
        <v>0</v>
      </c>
      <c r="GE130" s="73">
        <f t="shared" si="798"/>
        <v>0</v>
      </c>
      <c r="GF130" s="73">
        <f t="shared" si="798"/>
        <v>0</v>
      </c>
      <c r="GG130" s="60"/>
      <c r="GH130" s="73">
        <f t="shared" ref="GH130:GP130" si="799">SUM(GH131:GH135)</f>
        <v>0</v>
      </c>
      <c r="GI130" s="73">
        <f t="shared" si="799"/>
        <v>0</v>
      </c>
      <c r="GJ130" s="73">
        <f t="shared" si="799"/>
        <v>0</v>
      </c>
      <c r="GK130" s="73">
        <f t="shared" si="799"/>
        <v>0</v>
      </c>
      <c r="GL130" s="73">
        <f t="shared" si="799"/>
        <v>0</v>
      </c>
      <c r="GM130" s="73">
        <f t="shared" si="799"/>
        <v>0</v>
      </c>
      <c r="GN130" s="73">
        <f t="shared" si="799"/>
        <v>0</v>
      </c>
      <c r="GO130" s="73">
        <f t="shared" si="799"/>
        <v>0</v>
      </c>
      <c r="GP130" s="73">
        <f t="shared" si="799"/>
        <v>0</v>
      </c>
      <c r="GQ130" s="73">
        <f>SUM(GQ132:GQ135)</f>
        <v>0</v>
      </c>
      <c r="GR130" s="73">
        <f t="shared" ref="GR130:IV130" si="800">SUM(GR131:GR135)</f>
        <v>0</v>
      </c>
      <c r="GS130" s="73">
        <f t="shared" si="800"/>
        <v>0</v>
      </c>
      <c r="GT130" s="73">
        <f t="shared" si="800"/>
        <v>0</v>
      </c>
      <c r="GU130" s="73">
        <f t="shared" si="800"/>
        <v>0</v>
      </c>
      <c r="GV130" s="73">
        <f t="shared" si="800"/>
        <v>0</v>
      </c>
      <c r="GW130" s="73">
        <f t="shared" si="800"/>
        <v>0</v>
      </c>
      <c r="GX130" s="73">
        <f t="shared" si="800"/>
        <v>0</v>
      </c>
      <c r="GY130" s="73">
        <f t="shared" si="800"/>
        <v>0</v>
      </c>
      <c r="GZ130" s="73">
        <f t="shared" si="800"/>
        <v>0</v>
      </c>
      <c r="HA130" s="73">
        <f t="shared" si="800"/>
        <v>0</v>
      </c>
      <c r="HB130" s="73">
        <f>SUM(HB131:HB135)</f>
        <v>0</v>
      </c>
      <c r="HC130" s="73">
        <f>SUM(HC131:HC135)</f>
        <v>0</v>
      </c>
      <c r="HD130" s="73">
        <f>SUM(HD131:HD135)</f>
        <v>0</v>
      </c>
      <c r="HE130" s="73">
        <f>SUM(HE131:HE135)</f>
        <v>0</v>
      </c>
      <c r="HF130" s="73">
        <f t="shared" si="800"/>
        <v>0</v>
      </c>
      <c r="HG130" s="73">
        <f t="shared" si="800"/>
        <v>0</v>
      </c>
      <c r="HH130" s="73">
        <f t="shared" si="800"/>
        <v>0</v>
      </c>
      <c r="HI130" s="73">
        <f t="shared" si="800"/>
        <v>0</v>
      </c>
      <c r="HJ130" s="73">
        <f t="shared" si="800"/>
        <v>0</v>
      </c>
      <c r="HK130" s="73">
        <f t="shared" si="800"/>
        <v>0</v>
      </c>
      <c r="HL130" s="73">
        <f t="shared" si="800"/>
        <v>0</v>
      </c>
      <c r="HM130" s="73">
        <f t="shared" si="800"/>
        <v>0</v>
      </c>
      <c r="HN130" s="73">
        <f t="shared" si="800"/>
        <v>0</v>
      </c>
      <c r="HO130" s="73">
        <f t="shared" si="800"/>
        <v>0</v>
      </c>
      <c r="HP130" s="73">
        <f t="shared" si="800"/>
        <v>0</v>
      </c>
      <c r="HQ130" s="73">
        <f>SUM(HQ131:HQ135)</f>
        <v>0</v>
      </c>
      <c r="HR130" s="73">
        <f>SUM(HR131:HR135)</f>
        <v>0</v>
      </c>
      <c r="HS130" s="73">
        <f>SUM(HS131:HS135)</f>
        <v>0</v>
      </c>
      <c r="HT130" s="73">
        <f>SUM(HT131:HT135)</f>
        <v>0</v>
      </c>
      <c r="HU130" s="73">
        <f t="shared" si="800"/>
        <v>0</v>
      </c>
      <c r="HV130" s="73">
        <f t="shared" si="800"/>
        <v>0</v>
      </c>
      <c r="HW130" s="73">
        <f t="shared" si="800"/>
        <v>0</v>
      </c>
      <c r="HX130" s="73">
        <f t="shared" si="800"/>
        <v>0</v>
      </c>
      <c r="HY130" s="73">
        <f t="shared" si="800"/>
        <v>0</v>
      </c>
      <c r="HZ130" s="73">
        <f t="shared" si="800"/>
        <v>0</v>
      </c>
      <c r="IA130" s="73">
        <f>SUM(IA131:IA135)</f>
        <v>0</v>
      </c>
      <c r="IB130" s="73">
        <f>SUM(IB131:IB135)</f>
        <v>0</v>
      </c>
      <c r="IC130" s="73">
        <f>SUM(IC131:IC135)</f>
        <v>0</v>
      </c>
      <c r="ID130" s="73">
        <f>SUM(ID131:ID135)</f>
        <v>0</v>
      </c>
      <c r="IE130" s="73">
        <f t="shared" si="800"/>
        <v>0</v>
      </c>
      <c r="IF130" s="73">
        <f t="shared" si="800"/>
        <v>0</v>
      </c>
      <c r="IG130" s="73">
        <f t="shared" si="800"/>
        <v>0</v>
      </c>
      <c r="IH130" s="73">
        <f t="shared" si="800"/>
        <v>0</v>
      </c>
      <c r="II130" s="73">
        <f t="shared" si="800"/>
        <v>0</v>
      </c>
      <c r="IJ130" s="73">
        <f t="shared" si="800"/>
        <v>0</v>
      </c>
      <c r="IK130" s="73">
        <f t="shared" si="800"/>
        <v>0</v>
      </c>
      <c r="IL130" s="73">
        <f t="shared" si="800"/>
        <v>0</v>
      </c>
      <c r="IM130" s="73">
        <f t="shared" si="800"/>
        <v>0</v>
      </c>
      <c r="IN130" s="73">
        <f t="shared" si="800"/>
        <v>0</v>
      </c>
      <c r="IO130" s="73">
        <f t="shared" si="800"/>
        <v>0</v>
      </c>
      <c r="IP130" s="73">
        <f>SUM(IP131:IP135)</f>
        <v>0</v>
      </c>
      <c r="IQ130" s="73">
        <f>SUM(IQ131:IQ135)</f>
        <v>0</v>
      </c>
      <c r="IR130" s="73">
        <f>SUM(IR131:IR135)</f>
        <v>0</v>
      </c>
      <c r="IS130" s="73">
        <f>SUM(IS131:IS135)</f>
        <v>0</v>
      </c>
      <c r="IT130" s="73">
        <f t="shared" si="800"/>
        <v>0</v>
      </c>
      <c r="IU130" s="73">
        <f t="shared" si="800"/>
        <v>0</v>
      </c>
      <c r="IV130" s="73">
        <f t="shared" si="800"/>
        <v>0</v>
      </c>
    </row>
    <row r="131" spans="1:256" ht="12.75" customHeight="1" x14ac:dyDescent="0.2">
      <c r="A131" s="61" t="s">
        <v>122</v>
      </c>
      <c r="B131" s="62"/>
      <c r="C131" s="96"/>
      <c r="D131" s="96"/>
      <c r="E131" s="96"/>
      <c r="F131" s="96"/>
      <c r="G131" s="96"/>
      <c r="H131" s="96"/>
      <c r="I131" s="96"/>
      <c r="J131" s="96"/>
      <c r="K131" s="96"/>
      <c r="L131" s="134"/>
      <c r="M131" s="62"/>
      <c r="N131" s="96"/>
      <c r="O131" s="96"/>
      <c r="P131" s="96"/>
      <c r="Q131" s="96"/>
      <c r="R131" s="96"/>
      <c r="S131" s="96"/>
      <c r="T131" s="96"/>
      <c r="U131" s="96"/>
      <c r="V131" s="96"/>
      <c r="W131" s="134"/>
      <c r="X131" s="62"/>
      <c r="Y131" s="96"/>
      <c r="Z131" s="96"/>
      <c r="AA131" s="96"/>
      <c r="AB131" s="96"/>
      <c r="AC131" s="96"/>
      <c r="AD131" s="96"/>
      <c r="AE131" s="96"/>
      <c r="AF131" s="96"/>
      <c r="AG131" s="96"/>
      <c r="AH131" s="134"/>
      <c r="AI131" s="62"/>
      <c r="AJ131" s="96"/>
      <c r="AK131" s="96"/>
      <c r="AL131" s="96"/>
      <c r="AM131" s="96"/>
      <c r="AN131" s="96"/>
      <c r="AO131" s="96"/>
      <c r="AP131" s="96"/>
      <c r="AQ131" s="96"/>
      <c r="AR131" s="96"/>
      <c r="AS131" s="134"/>
      <c r="AT131" s="62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62"/>
      <c r="BF131" s="96"/>
      <c r="BG131" s="96"/>
      <c r="BH131" s="96"/>
      <c r="BI131" s="96"/>
      <c r="BJ131" s="96"/>
      <c r="BK131" s="96"/>
      <c r="BL131" s="96"/>
      <c r="BM131" s="96"/>
      <c r="BN131" s="96"/>
      <c r="BO131" s="134"/>
      <c r="BP131" s="62"/>
      <c r="BQ131" s="96"/>
      <c r="BR131" s="96"/>
      <c r="BS131" s="96"/>
      <c r="BT131" s="96"/>
      <c r="BU131" s="96"/>
      <c r="BV131" s="96"/>
      <c r="BW131" s="96"/>
      <c r="BX131" s="96"/>
      <c r="BY131" s="96"/>
      <c r="BZ131" s="134"/>
      <c r="CA131" s="62"/>
      <c r="CB131" s="96"/>
      <c r="CC131" s="96"/>
      <c r="CD131" s="96"/>
      <c r="CE131" s="96"/>
      <c r="CF131" s="96"/>
      <c r="CG131" s="96"/>
      <c r="CH131" s="96"/>
      <c r="CI131" s="96"/>
      <c r="CJ131" s="96"/>
      <c r="CK131" s="134"/>
      <c r="CL131" s="62"/>
      <c r="CM131" s="134"/>
      <c r="CN131" s="134"/>
      <c r="CO131" s="134"/>
      <c r="CP131" s="134"/>
      <c r="CQ131" s="134"/>
      <c r="CR131" s="134"/>
      <c r="CS131" s="134"/>
      <c r="CT131" s="134"/>
      <c r="CU131" s="134"/>
      <c r="CV131" s="134"/>
      <c r="CW131" s="62"/>
      <c r="CX131" s="96"/>
      <c r="CY131" s="96"/>
      <c r="CZ131" s="96"/>
      <c r="DA131" s="96"/>
      <c r="DB131" s="96"/>
      <c r="DC131" s="96"/>
      <c r="DD131" s="96"/>
      <c r="DE131" s="96"/>
      <c r="DF131" s="96"/>
      <c r="DG131" s="134"/>
      <c r="DH131" s="62"/>
      <c r="DI131" s="96"/>
      <c r="DJ131" s="96"/>
      <c r="DK131" s="96"/>
      <c r="DL131" s="96"/>
      <c r="DM131" s="96"/>
      <c r="DN131" s="96"/>
      <c r="DO131" s="96"/>
      <c r="DP131" s="96"/>
      <c r="DQ131" s="96"/>
      <c r="DR131" s="134"/>
      <c r="DS131" s="62"/>
      <c r="DT131" s="96"/>
      <c r="DU131" s="96"/>
      <c r="DV131" s="96"/>
      <c r="DW131" s="96"/>
      <c r="DX131" s="96"/>
      <c r="DY131" s="96"/>
      <c r="DZ131" s="96"/>
      <c r="EA131" s="96"/>
      <c r="EB131" s="96"/>
      <c r="EC131" s="96"/>
      <c r="ED131" s="62"/>
      <c r="EE131" s="134"/>
      <c r="EF131" s="134"/>
      <c r="EG131" s="134"/>
      <c r="EH131" s="134"/>
      <c r="EI131" s="134"/>
      <c r="EJ131" s="134"/>
      <c r="EK131" s="134"/>
      <c r="EL131" s="134"/>
      <c r="EM131" s="134"/>
      <c r="EN131" s="134"/>
      <c r="EO131" s="62"/>
      <c r="EP131" s="96"/>
      <c r="EQ131" s="96"/>
      <c r="ER131" s="96"/>
      <c r="ES131" s="96"/>
      <c r="ET131" s="96"/>
      <c r="EU131" s="96"/>
      <c r="EV131" s="96"/>
      <c r="EW131" s="96"/>
      <c r="EX131" s="96"/>
      <c r="EY131" s="134"/>
      <c r="EZ131" s="62"/>
      <c r="FA131" s="96"/>
      <c r="FB131" s="96"/>
      <c r="FC131" s="96"/>
      <c r="FD131" s="96"/>
      <c r="FE131" s="96"/>
      <c r="FF131" s="96"/>
      <c r="FG131" s="96"/>
      <c r="FH131" s="96"/>
      <c r="FI131" s="96"/>
      <c r="FJ131" s="134"/>
      <c r="FK131" s="62"/>
      <c r="FL131" s="96"/>
      <c r="FM131" s="96"/>
      <c r="FN131" s="96"/>
      <c r="FO131" s="96"/>
      <c r="FP131" s="96"/>
      <c r="FQ131" s="96"/>
      <c r="FR131" s="96"/>
      <c r="FS131" s="96"/>
      <c r="FT131" s="96"/>
      <c r="FU131" s="134"/>
      <c r="FV131" s="62"/>
      <c r="FW131" s="134"/>
      <c r="FX131" s="134"/>
      <c r="FY131" s="134"/>
      <c r="FZ131" s="134"/>
      <c r="GA131" s="134"/>
      <c r="GB131" s="134"/>
      <c r="GC131" s="134"/>
      <c r="GD131" s="134"/>
      <c r="GE131" s="134"/>
      <c r="GF131" s="134"/>
      <c r="GG131" s="62"/>
      <c r="GH131" s="96"/>
      <c r="GI131" s="96"/>
      <c r="GJ131" s="96"/>
      <c r="GK131" s="96"/>
      <c r="GL131" s="96"/>
      <c r="GM131" s="96"/>
      <c r="GN131" s="96"/>
      <c r="GO131" s="96"/>
      <c r="GP131" s="96"/>
      <c r="GQ131" s="134"/>
      <c r="GR131" s="96"/>
      <c r="GS131" s="96"/>
      <c r="GT131" s="96"/>
      <c r="GU131" s="96"/>
      <c r="GV131" s="67">
        <f>SUM(GR131:GU131)</f>
        <v>0</v>
      </c>
      <c r="GW131" s="96"/>
      <c r="GX131" s="96"/>
      <c r="GY131" s="96"/>
      <c r="GZ131" s="96"/>
      <c r="HA131" s="67">
        <f>SUM(GW131:GZ131)</f>
        <v>0</v>
      </c>
      <c r="HB131" s="96"/>
      <c r="HC131" s="96"/>
      <c r="HD131" s="96"/>
      <c r="HE131" s="96"/>
      <c r="HF131" s="67">
        <f>SUM(HB131:HE131)</f>
        <v>0</v>
      </c>
      <c r="HG131" s="96"/>
      <c r="HH131" s="96"/>
      <c r="HI131" s="96"/>
      <c r="HJ131" s="96"/>
      <c r="HK131" s="67">
        <f>SUM(HG131:HJ131)</f>
        <v>0</v>
      </c>
      <c r="HL131" s="68">
        <f t="shared" ref="HL131:HO135" si="801">SUM(GW131,HB131,HG131)</f>
        <v>0</v>
      </c>
      <c r="HM131" s="68">
        <f t="shared" si="801"/>
        <v>0</v>
      </c>
      <c r="HN131" s="68">
        <f t="shared" si="801"/>
        <v>0</v>
      </c>
      <c r="HO131" s="68">
        <f t="shared" si="801"/>
        <v>0</v>
      </c>
      <c r="HP131" s="67">
        <f>SUM(HL131:HO131)</f>
        <v>0</v>
      </c>
      <c r="HQ131" s="96"/>
      <c r="HR131" s="96"/>
      <c r="HS131" s="96"/>
      <c r="HT131" s="96"/>
      <c r="HU131" s="67">
        <f>SUM(HQ131:HT131)</f>
        <v>0</v>
      </c>
      <c r="HV131" s="96"/>
      <c r="HW131" s="96"/>
      <c r="HX131" s="96"/>
      <c r="HY131" s="96"/>
      <c r="HZ131" s="67">
        <f>SUM(HV131:HY131)</f>
        <v>0</v>
      </c>
      <c r="IA131" s="96"/>
      <c r="IB131" s="96"/>
      <c r="IC131" s="96"/>
      <c r="ID131" s="96"/>
      <c r="IE131" s="67">
        <f>SUM(IA131:ID131)</f>
        <v>0</v>
      </c>
      <c r="IF131" s="68">
        <f t="shared" ref="IF131:II135" si="802">SUM(HQ131,HV131,IA131)</f>
        <v>0</v>
      </c>
      <c r="IG131" s="68">
        <f t="shared" si="802"/>
        <v>0</v>
      </c>
      <c r="IH131" s="68">
        <f t="shared" si="802"/>
        <v>0</v>
      </c>
      <c r="II131" s="68">
        <f t="shared" si="802"/>
        <v>0</v>
      </c>
      <c r="IJ131" s="67">
        <f>SUM(IF131:II131)</f>
        <v>0</v>
      </c>
      <c r="IK131" s="96"/>
      <c r="IL131" s="96"/>
      <c r="IM131" s="96"/>
      <c r="IN131" s="96"/>
      <c r="IO131" s="67">
        <f>SUM(IK131:IN131)</f>
        <v>0</v>
      </c>
      <c r="IP131" s="96"/>
      <c r="IQ131" s="96"/>
      <c r="IR131" s="96"/>
      <c r="IS131" s="96"/>
      <c r="IT131" s="67">
        <f>SUM(IP131:IS131)</f>
        <v>0</v>
      </c>
      <c r="IU131" s="96"/>
      <c r="IV131" s="96"/>
    </row>
    <row r="132" spans="1:256" ht="12.75" customHeight="1" x14ac:dyDescent="0.25">
      <c r="A132" s="83" t="s">
        <v>123</v>
      </c>
      <c r="B132" s="62">
        <v>2</v>
      </c>
      <c r="C132" s="63"/>
      <c r="D132" s="63"/>
      <c r="E132" s="63"/>
      <c r="F132" s="63"/>
      <c r="G132" s="63"/>
      <c r="H132" s="63"/>
      <c r="I132" s="63"/>
      <c r="J132" s="63"/>
      <c r="K132" s="63"/>
      <c r="L132" s="64">
        <f>SUM(C132:F132,H132:K132)</f>
        <v>0</v>
      </c>
      <c r="M132" s="62"/>
      <c r="N132" s="63"/>
      <c r="O132" s="63"/>
      <c r="P132" s="63"/>
      <c r="Q132" s="63"/>
      <c r="R132" s="63"/>
      <c r="S132" s="63"/>
      <c r="T132" s="63"/>
      <c r="U132" s="63"/>
      <c r="V132" s="63"/>
      <c r="W132" s="64">
        <f>SUM(N132:Q132,S132:V132)</f>
        <v>0</v>
      </c>
      <c r="X132" s="62"/>
      <c r="Y132" s="63"/>
      <c r="Z132" s="63"/>
      <c r="AA132" s="63"/>
      <c r="AB132" s="63"/>
      <c r="AC132" s="63"/>
      <c r="AD132" s="63"/>
      <c r="AE132" s="63"/>
      <c r="AF132" s="63"/>
      <c r="AG132" s="63"/>
      <c r="AH132" s="64">
        <f>SUM(Y132:AB132,AD132:AG132)</f>
        <v>0</v>
      </c>
      <c r="AI132" s="62"/>
      <c r="AJ132" s="63"/>
      <c r="AK132" s="63"/>
      <c r="AL132" s="63"/>
      <c r="AM132" s="63"/>
      <c r="AN132" s="63"/>
      <c r="AO132" s="63"/>
      <c r="AP132" s="63"/>
      <c r="AQ132" s="63"/>
      <c r="AR132" s="63"/>
      <c r="AS132" s="64">
        <f>SUM(AJ132:AM132,AO132:AR132)</f>
        <v>0</v>
      </c>
      <c r="AT132" s="65">
        <f t="shared" ref="AT132:BC135" si="803">SUM(M132,AI132,X132)</f>
        <v>0</v>
      </c>
      <c r="AU132" s="65">
        <f t="shared" si="803"/>
        <v>0</v>
      </c>
      <c r="AV132" s="65">
        <f t="shared" si="803"/>
        <v>0</v>
      </c>
      <c r="AW132" s="65">
        <f t="shared" si="803"/>
        <v>0</v>
      </c>
      <c r="AX132" s="65">
        <f t="shared" si="803"/>
        <v>0</v>
      </c>
      <c r="AY132" s="65">
        <f t="shared" si="803"/>
        <v>0</v>
      </c>
      <c r="AZ132" s="65">
        <f t="shared" si="803"/>
        <v>0</v>
      </c>
      <c r="BA132" s="65">
        <f t="shared" si="803"/>
        <v>0</v>
      </c>
      <c r="BB132" s="65">
        <f t="shared" si="803"/>
        <v>0</v>
      </c>
      <c r="BC132" s="65">
        <f t="shared" si="803"/>
        <v>0</v>
      </c>
      <c r="BD132" s="64">
        <f>SUM(AU132:AX132,AZ132:BC132)</f>
        <v>0</v>
      </c>
      <c r="BE132" s="62"/>
      <c r="BF132" s="63"/>
      <c r="BG132" s="63"/>
      <c r="BH132" s="63"/>
      <c r="BI132" s="63"/>
      <c r="BJ132" s="63"/>
      <c r="BK132" s="63"/>
      <c r="BL132" s="63"/>
      <c r="BM132" s="63"/>
      <c r="BN132" s="63"/>
      <c r="BO132" s="64">
        <f>SUM(BF132:BI132,BK132:BN132)</f>
        <v>0</v>
      </c>
      <c r="BP132" s="62"/>
      <c r="BQ132" s="63"/>
      <c r="BR132" s="63"/>
      <c r="BS132" s="63"/>
      <c r="BT132" s="63"/>
      <c r="BU132" s="63"/>
      <c r="BV132" s="63"/>
      <c r="BW132" s="63"/>
      <c r="BX132" s="63"/>
      <c r="BY132" s="63"/>
      <c r="BZ132" s="64">
        <f>SUM(BQ132:BT132,BV132:BY132)</f>
        <v>0</v>
      </c>
      <c r="CA132" s="62"/>
      <c r="CB132" s="63"/>
      <c r="CC132" s="63"/>
      <c r="CD132" s="63"/>
      <c r="CE132" s="63"/>
      <c r="CF132" s="63"/>
      <c r="CG132" s="63"/>
      <c r="CH132" s="63"/>
      <c r="CI132" s="63"/>
      <c r="CJ132" s="63"/>
      <c r="CK132" s="64">
        <f>SUM(CB132:CE132,CG132:CJ132)</f>
        <v>0</v>
      </c>
      <c r="CL132" s="65">
        <f t="shared" ref="CL132:CU135" si="804">SUM(BE132,CA132,BP132)</f>
        <v>0</v>
      </c>
      <c r="CM132" s="65">
        <f t="shared" si="804"/>
        <v>0</v>
      </c>
      <c r="CN132" s="65">
        <f t="shared" si="804"/>
        <v>0</v>
      </c>
      <c r="CO132" s="65">
        <f t="shared" si="804"/>
        <v>0</v>
      </c>
      <c r="CP132" s="65">
        <f t="shared" si="804"/>
        <v>0</v>
      </c>
      <c r="CQ132" s="65">
        <f t="shared" si="804"/>
        <v>0</v>
      </c>
      <c r="CR132" s="65">
        <f t="shared" si="804"/>
        <v>0</v>
      </c>
      <c r="CS132" s="65">
        <f t="shared" si="804"/>
        <v>0</v>
      </c>
      <c r="CT132" s="65">
        <f t="shared" si="804"/>
        <v>0</v>
      </c>
      <c r="CU132" s="65">
        <f t="shared" si="804"/>
        <v>0</v>
      </c>
      <c r="CV132" s="64">
        <f>SUM(CM132:CP132,CR132:CU132)</f>
        <v>0</v>
      </c>
      <c r="CW132" s="62"/>
      <c r="CX132" s="63"/>
      <c r="CY132" s="63"/>
      <c r="CZ132" s="63"/>
      <c r="DA132" s="63"/>
      <c r="DB132" s="63"/>
      <c r="DC132" s="63"/>
      <c r="DD132" s="63"/>
      <c r="DE132" s="63"/>
      <c r="DF132" s="63"/>
      <c r="DG132" s="64">
        <f>SUM(CX132:DA132,DC132:DF132)</f>
        <v>0</v>
      </c>
      <c r="DH132" s="62"/>
      <c r="DI132" s="63"/>
      <c r="DJ132" s="63"/>
      <c r="DK132" s="63"/>
      <c r="DL132" s="63"/>
      <c r="DM132" s="63"/>
      <c r="DN132" s="63"/>
      <c r="DO132" s="63"/>
      <c r="DP132" s="63"/>
      <c r="DQ132" s="63"/>
      <c r="DR132" s="64">
        <f>SUM(DI132:DL132,DN132:DQ132)</f>
        <v>0</v>
      </c>
      <c r="DS132" s="62"/>
      <c r="DT132" s="63"/>
      <c r="DU132" s="63"/>
      <c r="DV132" s="63"/>
      <c r="DW132" s="63"/>
      <c r="DX132" s="63"/>
      <c r="DY132" s="63"/>
      <c r="DZ132" s="63"/>
      <c r="EA132" s="63"/>
      <c r="EB132" s="63"/>
      <c r="EC132" s="63"/>
      <c r="ED132" s="65">
        <f t="shared" ref="ED132:EM135" si="805">SUM(CW132,DS132,DH132)</f>
        <v>0</v>
      </c>
      <c r="EE132" s="65">
        <f t="shared" si="805"/>
        <v>0</v>
      </c>
      <c r="EF132" s="65">
        <f t="shared" si="805"/>
        <v>0</v>
      </c>
      <c r="EG132" s="65">
        <f t="shared" si="805"/>
        <v>0</v>
      </c>
      <c r="EH132" s="65">
        <f t="shared" si="805"/>
        <v>0</v>
      </c>
      <c r="EI132" s="65">
        <f t="shared" si="805"/>
        <v>0</v>
      </c>
      <c r="EJ132" s="65">
        <f t="shared" si="805"/>
        <v>0</v>
      </c>
      <c r="EK132" s="65">
        <f t="shared" si="805"/>
        <v>0</v>
      </c>
      <c r="EL132" s="65">
        <f t="shared" si="805"/>
        <v>0</v>
      </c>
      <c r="EM132" s="65">
        <f t="shared" si="805"/>
        <v>0</v>
      </c>
      <c r="EN132" s="64">
        <f>SUM(EE132:EH132,EJ132:EM132)</f>
        <v>0</v>
      </c>
      <c r="EO132" s="62"/>
      <c r="EP132" s="63"/>
      <c r="EQ132" s="63"/>
      <c r="ER132" s="63"/>
      <c r="ES132" s="63"/>
      <c r="ET132" s="63"/>
      <c r="EU132" s="63"/>
      <c r="EV132" s="63"/>
      <c r="EW132" s="63"/>
      <c r="EX132" s="63"/>
      <c r="EY132" s="64">
        <f>SUM(EP132:ES132,EU132:EX132)</f>
        <v>0</v>
      </c>
      <c r="EZ132" s="62"/>
      <c r="FA132" s="63"/>
      <c r="FB132" s="63"/>
      <c r="FC132" s="63"/>
      <c r="FD132" s="63"/>
      <c r="FE132" s="63"/>
      <c r="FF132" s="63"/>
      <c r="FG132" s="63"/>
      <c r="FH132" s="63"/>
      <c r="FI132" s="63"/>
      <c r="FJ132" s="64">
        <f>SUM(FA132:FD132,FF132:FI132)</f>
        <v>0</v>
      </c>
      <c r="FK132" s="62"/>
      <c r="FL132" s="63"/>
      <c r="FM132" s="63"/>
      <c r="FN132" s="63"/>
      <c r="FO132" s="63"/>
      <c r="FP132" s="63"/>
      <c r="FQ132" s="63"/>
      <c r="FR132" s="63"/>
      <c r="FS132" s="63"/>
      <c r="FT132" s="63"/>
      <c r="FU132" s="64">
        <f>SUM(FL132:FO132,FQ132:FT132)</f>
        <v>0</v>
      </c>
      <c r="FV132" s="65">
        <f t="shared" ref="FV132:GE135" si="806">SUM(EO132,FK132,EZ132)</f>
        <v>0</v>
      </c>
      <c r="FW132" s="65">
        <f t="shared" si="806"/>
        <v>0</v>
      </c>
      <c r="FX132" s="65">
        <f t="shared" si="806"/>
        <v>0</v>
      </c>
      <c r="FY132" s="65">
        <f t="shared" si="806"/>
        <v>0</v>
      </c>
      <c r="FZ132" s="65">
        <f t="shared" si="806"/>
        <v>0</v>
      </c>
      <c r="GA132" s="65">
        <f t="shared" si="806"/>
        <v>0</v>
      </c>
      <c r="GB132" s="65">
        <f t="shared" si="806"/>
        <v>0</v>
      </c>
      <c r="GC132" s="65">
        <f t="shared" si="806"/>
        <v>0</v>
      </c>
      <c r="GD132" s="65">
        <f t="shared" si="806"/>
        <v>0</v>
      </c>
      <c r="GE132" s="65">
        <f t="shared" si="806"/>
        <v>0</v>
      </c>
      <c r="GF132" s="64">
        <f>SUM(FW132:FZ132,GB132:GE132)</f>
        <v>0</v>
      </c>
      <c r="GG132" s="66">
        <f t="shared" ref="GG132:GP135" si="807">SUM(AT132,CL132,ED132,FV132)</f>
        <v>0</v>
      </c>
      <c r="GH132" s="66">
        <f t="shared" si="807"/>
        <v>0</v>
      </c>
      <c r="GI132" s="66">
        <f t="shared" si="807"/>
        <v>0</v>
      </c>
      <c r="GJ132" s="66">
        <f t="shared" si="807"/>
        <v>0</v>
      </c>
      <c r="GK132" s="66">
        <f t="shared" si="807"/>
        <v>0</v>
      </c>
      <c r="GL132" s="66">
        <f t="shared" si="807"/>
        <v>0</v>
      </c>
      <c r="GM132" s="66">
        <f t="shared" si="807"/>
        <v>0</v>
      </c>
      <c r="GN132" s="66">
        <f t="shared" si="807"/>
        <v>0</v>
      </c>
      <c r="GO132" s="66">
        <f t="shared" si="807"/>
        <v>0</v>
      </c>
      <c r="GP132" s="66">
        <f t="shared" si="807"/>
        <v>0</v>
      </c>
      <c r="GQ132" s="64">
        <f>SUM(GH132:GK132,GM132:GP132)</f>
        <v>0</v>
      </c>
      <c r="GR132" s="63"/>
      <c r="GS132" s="63"/>
      <c r="GT132" s="63"/>
      <c r="GU132" s="63"/>
      <c r="GV132" s="67">
        <f>SUM(GR132:GU132)</f>
        <v>0</v>
      </c>
      <c r="GW132" s="63"/>
      <c r="GX132" s="63"/>
      <c r="GY132" s="63"/>
      <c r="GZ132" s="63"/>
      <c r="HA132" s="67">
        <f>SUM(GW132:GZ132)</f>
        <v>0</v>
      </c>
      <c r="HB132" s="63"/>
      <c r="HC132" s="63"/>
      <c r="HD132" s="63"/>
      <c r="HE132" s="63"/>
      <c r="HF132" s="67">
        <f>SUM(HB132:HE132)</f>
        <v>0</v>
      </c>
      <c r="HG132" s="63"/>
      <c r="HH132" s="63"/>
      <c r="HI132" s="63"/>
      <c r="HJ132" s="63"/>
      <c r="HK132" s="67">
        <f>SUM(HG132:HJ132)</f>
        <v>0</v>
      </c>
      <c r="HL132" s="68">
        <f t="shared" si="801"/>
        <v>0</v>
      </c>
      <c r="HM132" s="68">
        <f t="shared" si="801"/>
        <v>0</v>
      </c>
      <c r="HN132" s="68">
        <f t="shared" si="801"/>
        <v>0</v>
      </c>
      <c r="HO132" s="68">
        <f t="shared" si="801"/>
        <v>0</v>
      </c>
      <c r="HP132" s="67">
        <f>SUM(HL132:HO132)</f>
        <v>0</v>
      </c>
      <c r="HQ132" s="63"/>
      <c r="HR132" s="63"/>
      <c r="HS132" s="63"/>
      <c r="HT132" s="63"/>
      <c r="HU132" s="67">
        <f>SUM(HQ132:HT132)</f>
        <v>0</v>
      </c>
      <c r="HV132" s="63"/>
      <c r="HW132" s="63"/>
      <c r="HX132" s="63"/>
      <c r="HY132" s="63"/>
      <c r="HZ132" s="67">
        <f>SUM(HV132:HY132)</f>
        <v>0</v>
      </c>
      <c r="IA132" s="63"/>
      <c r="IB132" s="63"/>
      <c r="IC132" s="63"/>
      <c r="ID132" s="63"/>
      <c r="IE132" s="67">
        <f>SUM(IA132:ID132)</f>
        <v>0</v>
      </c>
      <c r="IF132" s="68">
        <f t="shared" si="802"/>
        <v>0</v>
      </c>
      <c r="IG132" s="68">
        <f t="shared" si="802"/>
        <v>0</v>
      </c>
      <c r="IH132" s="68">
        <f t="shared" si="802"/>
        <v>0</v>
      </c>
      <c r="II132" s="68">
        <f t="shared" si="802"/>
        <v>0</v>
      </c>
      <c r="IJ132" s="67">
        <f>SUM(IF132:II132)</f>
        <v>0</v>
      </c>
      <c r="IK132" s="63"/>
      <c r="IL132" s="63"/>
      <c r="IM132" s="63"/>
      <c r="IN132" s="63"/>
      <c r="IO132" s="67">
        <f>SUM(IK132:IN132)</f>
        <v>0</v>
      </c>
      <c r="IP132" s="63"/>
      <c r="IQ132" s="63"/>
      <c r="IR132" s="63"/>
      <c r="IS132" s="63"/>
      <c r="IT132" s="67">
        <f>SUM(IP132:IS132)</f>
        <v>0</v>
      </c>
      <c r="IU132" s="63"/>
      <c r="IV132" s="63"/>
    </row>
    <row r="133" spans="1:256" ht="12.75" customHeight="1" x14ac:dyDescent="0.25">
      <c r="A133" s="83" t="s">
        <v>124</v>
      </c>
      <c r="B133" s="62">
        <v>0</v>
      </c>
      <c r="C133" s="63"/>
      <c r="D133" s="63"/>
      <c r="E133" s="63"/>
      <c r="F133" s="63"/>
      <c r="G133" s="63"/>
      <c r="H133" s="63"/>
      <c r="I133" s="63"/>
      <c r="J133" s="63"/>
      <c r="K133" s="63"/>
      <c r="L133" s="64">
        <f>SUM(C133:F133,H133:K133)</f>
        <v>0</v>
      </c>
      <c r="M133" s="62"/>
      <c r="N133" s="63"/>
      <c r="O133" s="63"/>
      <c r="P133" s="63"/>
      <c r="Q133" s="63"/>
      <c r="R133" s="63"/>
      <c r="S133" s="63"/>
      <c r="T133" s="63"/>
      <c r="U133" s="63"/>
      <c r="V133" s="63"/>
      <c r="W133" s="64">
        <f>SUM(N133:Q133,S133:V133)</f>
        <v>0</v>
      </c>
      <c r="X133" s="62"/>
      <c r="Y133" s="63"/>
      <c r="Z133" s="63"/>
      <c r="AA133" s="63"/>
      <c r="AB133" s="63"/>
      <c r="AC133" s="63"/>
      <c r="AD133" s="63"/>
      <c r="AE133" s="63"/>
      <c r="AF133" s="63"/>
      <c r="AG133" s="63"/>
      <c r="AH133" s="64">
        <f>SUM(Y133:AB133,AD133:AG133)</f>
        <v>0</v>
      </c>
      <c r="AI133" s="62"/>
      <c r="AJ133" s="63"/>
      <c r="AK133" s="63"/>
      <c r="AL133" s="63"/>
      <c r="AM133" s="63"/>
      <c r="AN133" s="63"/>
      <c r="AO133" s="63"/>
      <c r="AP133" s="63"/>
      <c r="AQ133" s="63"/>
      <c r="AR133" s="63"/>
      <c r="AS133" s="64">
        <f>SUM(AJ133:AM133,AO133:AR133)</f>
        <v>0</v>
      </c>
      <c r="AT133" s="65">
        <f t="shared" si="803"/>
        <v>0</v>
      </c>
      <c r="AU133" s="65">
        <f t="shared" si="803"/>
        <v>0</v>
      </c>
      <c r="AV133" s="65">
        <f t="shared" si="803"/>
        <v>0</v>
      </c>
      <c r="AW133" s="65">
        <f t="shared" si="803"/>
        <v>0</v>
      </c>
      <c r="AX133" s="65">
        <f t="shared" si="803"/>
        <v>0</v>
      </c>
      <c r="AY133" s="65">
        <f t="shared" si="803"/>
        <v>0</v>
      </c>
      <c r="AZ133" s="65">
        <f t="shared" si="803"/>
        <v>0</v>
      </c>
      <c r="BA133" s="65">
        <f t="shared" si="803"/>
        <v>0</v>
      </c>
      <c r="BB133" s="65">
        <f t="shared" si="803"/>
        <v>0</v>
      </c>
      <c r="BC133" s="65">
        <f t="shared" si="803"/>
        <v>0</v>
      </c>
      <c r="BD133" s="64">
        <f>SUM(AU133:AX133,AZ133:BC133)</f>
        <v>0</v>
      </c>
      <c r="BE133" s="62"/>
      <c r="BF133" s="63"/>
      <c r="BG133" s="63"/>
      <c r="BH133" s="63"/>
      <c r="BI133" s="63"/>
      <c r="BJ133" s="63"/>
      <c r="BK133" s="63"/>
      <c r="BL133" s="63"/>
      <c r="BM133" s="63"/>
      <c r="BN133" s="63"/>
      <c r="BO133" s="64">
        <f>SUM(BF133:BI133,BK133:BN133)</f>
        <v>0</v>
      </c>
      <c r="BP133" s="62"/>
      <c r="BQ133" s="63"/>
      <c r="BR133" s="63"/>
      <c r="BS133" s="63"/>
      <c r="BT133" s="63"/>
      <c r="BU133" s="63"/>
      <c r="BV133" s="63"/>
      <c r="BW133" s="63"/>
      <c r="BX133" s="63"/>
      <c r="BY133" s="63"/>
      <c r="BZ133" s="64">
        <f>SUM(BQ133:BT133,BV133:BY133)</f>
        <v>0</v>
      </c>
      <c r="CA133" s="62"/>
      <c r="CB133" s="63"/>
      <c r="CC133" s="63"/>
      <c r="CD133" s="63"/>
      <c r="CE133" s="63"/>
      <c r="CF133" s="63"/>
      <c r="CG133" s="63"/>
      <c r="CH133" s="63"/>
      <c r="CI133" s="63"/>
      <c r="CJ133" s="63"/>
      <c r="CK133" s="64">
        <f>SUM(CB133:CE133,CG133:CJ133)</f>
        <v>0</v>
      </c>
      <c r="CL133" s="65">
        <f t="shared" si="804"/>
        <v>0</v>
      </c>
      <c r="CM133" s="65">
        <f t="shared" si="804"/>
        <v>0</v>
      </c>
      <c r="CN133" s="65">
        <f t="shared" si="804"/>
        <v>0</v>
      </c>
      <c r="CO133" s="65">
        <f t="shared" si="804"/>
        <v>0</v>
      </c>
      <c r="CP133" s="65">
        <f t="shared" si="804"/>
        <v>0</v>
      </c>
      <c r="CQ133" s="65">
        <f t="shared" si="804"/>
        <v>0</v>
      </c>
      <c r="CR133" s="65">
        <f t="shared" si="804"/>
        <v>0</v>
      </c>
      <c r="CS133" s="65">
        <f t="shared" si="804"/>
        <v>0</v>
      </c>
      <c r="CT133" s="65">
        <f t="shared" si="804"/>
        <v>0</v>
      </c>
      <c r="CU133" s="65">
        <f t="shared" si="804"/>
        <v>0</v>
      </c>
      <c r="CV133" s="64">
        <f>SUM(CM133:CP133,CR133:CU133)</f>
        <v>0</v>
      </c>
      <c r="CW133" s="62"/>
      <c r="CX133" s="63"/>
      <c r="CY133" s="63"/>
      <c r="CZ133" s="63"/>
      <c r="DA133" s="63"/>
      <c r="DB133" s="63"/>
      <c r="DC133" s="63"/>
      <c r="DD133" s="63"/>
      <c r="DE133" s="63"/>
      <c r="DF133" s="63"/>
      <c r="DG133" s="64">
        <f>SUM(CX133:DA133,DC133:DF133)</f>
        <v>0</v>
      </c>
      <c r="DH133" s="62"/>
      <c r="DI133" s="63"/>
      <c r="DJ133" s="63"/>
      <c r="DK133" s="63"/>
      <c r="DL133" s="63"/>
      <c r="DM133" s="63"/>
      <c r="DN133" s="63"/>
      <c r="DO133" s="63"/>
      <c r="DP133" s="63"/>
      <c r="DQ133" s="63"/>
      <c r="DR133" s="64">
        <f>SUM(DI133:DL133,DN133:DQ133)</f>
        <v>0</v>
      </c>
      <c r="DS133" s="62"/>
      <c r="DT133" s="63"/>
      <c r="DU133" s="63"/>
      <c r="DV133" s="63"/>
      <c r="DW133" s="63"/>
      <c r="DX133" s="63"/>
      <c r="DY133" s="63"/>
      <c r="DZ133" s="63"/>
      <c r="EA133" s="63"/>
      <c r="EB133" s="63"/>
      <c r="EC133" s="63"/>
      <c r="ED133" s="65">
        <f t="shared" si="805"/>
        <v>0</v>
      </c>
      <c r="EE133" s="65">
        <f t="shared" si="805"/>
        <v>0</v>
      </c>
      <c r="EF133" s="65">
        <f t="shared" si="805"/>
        <v>0</v>
      </c>
      <c r="EG133" s="65">
        <f t="shared" si="805"/>
        <v>0</v>
      </c>
      <c r="EH133" s="65">
        <f t="shared" si="805"/>
        <v>0</v>
      </c>
      <c r="EI133" s="65">
        <f t="shared" si="805"/>
        <v>0</v>
      </c>
      <c r="EJ133" s="65">
        <f t="shared" si="805"/>
        <v>0</v>
      </c>
      <c r="EK133" s="65">
        <f t="shared" si="805"/>
        <v>0</v>
      </c>
      <c r="EL133" s="65">
        <f t="shared" si="805"/>
        <v>0</v>
      </c>
      <c r="EM133" s="65">
        <f t="shared" si="805"/>
        <v>0</v>
      </c>
      <c r="EN133" s="64">
        <f>SUM(EE133:EH133,EJ133:EM133)</f>
        <v>0</v>
      </c>
      <c r="EO133" s="62"/>
      <c r="EP133" s="63"/>
      <c r="EQ133" s="63"/>
      <c r="ER133" s="63"/>
      <c r="ES133" s="63"/>
      <c r="ET133" s="63"/>
      <c r="EU133" s="63"/>
      <c r="EV133" s="63"/>
      <c r="EW133" s="63"/>
      <c r="EX133" s="63"/>
      <c r="EY133" s="64">
        <f>SUM(EP133:ES133,EU133:EX133)</f>
        <v>0</v>
      </c>
      <c r="EZ133" s="62"/>
      <c r="FA133" s="63"/>
      <c r="FB133" s="63"/>
      <c r="FC133" s="63"/>
      <c r="FD133" s="63"/>
      <c r="FE133" s="63"/>
      <c r="FF133" s="63"/>
      <c r="FG133" s="63"/>
      <c r="FH133" s="63"/>
      <c r="FI133" s="63"/>
      <c r="FJ133" s="64">
        <f>SUM(FA133:FD133,FF133:FI133)</f>
        <v>0</v>
      </c>
      <c r="FK133" s="62"/>
      <c r="FL133" s="63"/>
      <c r="FM133" s="63"/>
      <c r="FN133" s="63"/>
      <c r="FO133" s="63"/>
      <c r="FP133" s="63"/>
      <c r="FQ133" s="63"/>
      <c r="FR133" s="63"/>
      <c r="FS133" s="63"/>
      <c r="FT133" s="63"/>
      <c r="FU133" s="64">
        <f>SUM(FL133:FO133,FQ133:FT133)</f>
        <v>0</v>
      </c>
      <c r="FV133" s="65">
        <f t="shared" si="806"/>
        <v>0</v>
      </c>
      <c r="FW133" s="65">
        <f t="shared" si="806"/>
        <v>0</v>
      </c>
      <c r="FX133" s="65">
        <f t="shared" si="806"/>
        <v>0</v>
      </c>
      <c r="FY133" s="65">
        <f t="shared" si="806"/>
        <v>0</v>
      </c>
      <c r="FZ133" s="65">
        <f t="shared" si="806"/>
        <v>0</v>
      </c>
      <c r="GA133" s="65">
        <f t="shared" si="806"/>
        <v>0</v>
      </c>
      <c r="GB133" s="65">
        <f t="shared" si="806"/>
        <v>0</v>
      </c>
      <c r="GC133" s="65">
        <f t="shared" si="806"/>
        <v>0</v>
      </c>
      <c r="GD133" s="65">
        <f t="shared" si="806"/>
        <v>0</v>
      </c>
      <c r="GE133" s="65">
        <f t="shared" si="806"/>
        <v>0</v>
      </c>
      <c r="GF133" s="64">
        <f>SUM(FW133:FZ133,GB133:GE133)</f>
        <v>0</v>
      </c>
      <c r="GG133" s="66">
        <f t="shared" si="807"/>
        <v>0</v>
      </c>
      <c r="GH133" s="66">
        <f t="shared" si="807"/>
        <v>0</v>
      </c>
      <c r="GI133" s="66">
        <f t="shared" si="807"/>
        <v>0</v>
      </c>
      <c r="GJ133" s="66">
        <f t="shared" si="807"/>
        <v>0</v>
      </c>
      <c r="GK133" s="66">
        <f t="shared" si="807"/>
        <v>0</v>
      </c>
      <c r="GL133" s="66">
        <f t="shared" si="807"/>
        <v>0</v>
      </c>
      <c r="GM133" s="66">
        <f t="shared" si="807"/>
        <v>0</v>
      </c>
      <c r="GN133" s="66">
        <f t="shared" si="807"/>
        <v>0</v>
      </c>
      <c r="GO133" s="66">
        <f t="shared" si="807"/>
        <v>0</v>
      </c>
      <c r="GP133" s="66">
        <f t="shared" si="807"/>
        <v>0</v>
      </c>
      <c r="GQ133" s="64">
        <f>SUM(GH133:GK133,GM133:GP133)</f>
        <v>0</v>
      </c>
      <c r="GR133" s="63"/>
      <c r="GS133" s="63">
        <v>0</v>
      </c>
      <c r="GT133" s="63"/>
      <c r="GU133" s="63"/>
      <c r="GV133" s="67">
        <f>SUM(GR133:GU133)</f>
        <v>0</v>
      </c>
      <c r="GW133" s="63"/>
      <c r="GX133" s="63"/>
      <c r="GY133" s="63"/>
      <c r="GZ133" s="63"/>
      <c r="HA133" s="67">
        <f>SUM(GW133:GZ133)</f>
        <v>0</v>
      </c>
      <c r="HB133" s="63"/>
      <c r="HC133" s="63"/>
      <c r="HD133" s="63"/>
      <c r="HE133" s="63"/>
      <c r="HF133" s="67">
        <f>SUM(HB133:HE133)</f>
        <v>0</v>
      </c>
      <c r="HG133" s="63"/>
      <c r="HH133" s="63"/>
      <c r="HI133" s="63"/>
      <c r="HJ133" s="63"/>
      <c r="HK133" s="67">
        <f>SUM(HG133:HJ133)</f>
        <v>0</v>
      </c>
      <c r="HL133" s="68">
        <f t="shared" si="801"/>
        <v>0</v>
      </c>
      <c r="HM133" s="68">
        <f t="shared" si="801"/>
        <v>0</v>
      </c>
      <c r="HN133" s="68">
        <f t="shared" si="801"/>
        <v>0</v>
      </c>
      <c r="HO133" s="68">
        <f t="shared" si="801"/>
        <v>0</v>
      </c>
      <c r="HP133" s="67">
        <f>SUM(HL133:HO133)</f>
        <v>0</v>
      </c>
      <c r="HQ133" s="63"/>
      <c r="HR133" s="63"/>
      <c r="HS133" s="63"/>
      <c r="HT133" s="63"/>
      <c r="HU133" s="67">
        <f>SUM(HQ133:HT133)</f>
        <v>0</v>
      </c>
      <c r="HV133" s="63"/>
      <c r="HW133" s="63"/>
      <c r="HX133" s="63"/>
      <c r="HY133" s="63"/>
      <c r="HZ133" s="67">
        <f>SUM(HV133:HY133)</f>
        <v>0</v>
      </c>
      <c r="IA133" s="63"/>
      <c r="IB133" s="63"/>
      <c r="IC133" s="63"/>
      <c r="ID133" s="63"/>
      <c r="IE133" s="67">
        <f>SUM(IA133:ID133)</f>
        <v>0</v>
      </c>
      <c r="IF133" s="68">
        <f t="shared" si="802"/>
        <v>0</v>
      </c>
      <c r="IG133" s="68">
        <f t="shared" si="802"/>
        <v>0</v>
      </c>
      <c r="IH133" s="68">
        <f t="shared" si="802"/>
        <v>0</v>
      </c>
      <c r="II133" s="68">
        <f t="shared" si="802"/>
        <v>0</v>
      </c>
      <c r="IJ133" s="67">
        <f>SUM(IF133:II133)</f>
        <v>0</v>
      </c>
      <c r="IK133" s="63"/>
      <c r="IL133" s="63"/>
      <c r="IM133" s="63"/>
      <c r="IN133" s="63"/>
      <c r="IO133" s="67">
        <f>SUM(IK133:IN133)</f>
        <v>0</v>
      </c>
      <c r="IP133" s="63"/>
      <c r="IQ133" s="63"/>
      <c r="IR133" s="63"/>
      <c r="IS133" s="63"/>
      <c r="IT133" s="67">
        <f>SUM(IP133:IS133)</f>
        <v>0</v>
      </c>
      <c r="IU133" s="63"/>
      <c r="IV133" s="63"/>
    </row>
    <row r="134" spans="1:256" ht="12.75" customHeight="1" x14ac:dyDescent="0.25">
      <c r="A134" s="83" t="s">
        <v>125</v>
      </c>
      <c r="B134" s="62">
        <v>0</v>
      </c>
      <c r="C134" s="63"/>
      <c r="D134" s="63"/>
      <c r="E134" s="63"/>
      <c r="F134" s="63"/>
      <c r="G134" s="63"/>
      <c r="H134" s="63"/>
      <c r="I134" s="63"/>
      <c r="J134" s="63"/>
      <c r="K134" s="63"/>
      <c r="L134" s="64">
        <f>SUM(C134:F134,H134:K134)</f>
        <v>0</v>
      </c>
      <c r="M134" s="62"/>
      <c r="N134" s="63"/>
      <c r="O134" s="63"/>
      <c r="P134" s="63"/>
      <c r="Q134" s="63"/>
      <c r="R134" s="63"/>
      <c r="S134" s="63"/>
      <c r="T134" s="63"/>
      <c r="U134" s="63"/>
      <c r="V134" s="63"/>
      <c r="W134" s="64">
        <f>SUM(N134:Q134,S134:V134)</f>
        <v>0</v>
      </c>
      <c r="X134" s="62"/>
      <c r="Y134" s="63"/>
      <c r="Z134" s="63"/>
      <c r="AA134" s="63"/>
      <c r="AB134" s="63"/>
      <c r="AC134" s="63"/>
      <c r="AD134" s="63"/>
      <c r="AE134" s="63"/>
      <c r="AF134" s="63"/>
      <c r="AG134" s="63"/>
      <c r="AH134" s="64">
        <f>SUM(Y134:AB134,AD134:AG134)</f>
        <v>0</v>
      </c>
      <c r="AI134" s="62"/>
      <c r="AJ134" s="63"/>
      <c r="AK134" s="63"/>
      <c r="AL134" s="63"/>
      <c r="AM134" s="63"/>
      <c r="AN134" s="63"/>
      <c r="AO134" s="63"/>
      <c r="AP134" s="63"/>
      <c r="AQ134" s="63"/>
      <c r="AR134" s="63"/>
      <c r="AS134" s="64">
        <f>SUM(AJ134:AM134,AO134:AR134)</f>
        <v>0</v>
      </c>
      <c r="AT134" s="65">
        <f t="shared" si="803"/>
        <v>0</v>
      </c>
      <c r="AU134" s="65">
        <f t="shared" si="803"/>
        <v>0</v>
      </c>
      <c r="AV134" s="65">
        <f t="shared" si="803"/>
        <v>0</v>
      </c>
      <c r="AW134" s="65">
        <f t="shared" si="803"/>
        <v>0</v>
      </c>
      <c r="AX134" s="65">
        <f t="shared" si="803"/>
        <v>0</v>
      </c>
      <c r="AY134" s="65">
        <f t="shared" si="803"/>
        <v>0</v>
      </c>
      <c r="AZ134" s="65">
        <f t="shared" si="803"/>
        <v>0</v>
      </c>
      <c r="BA134" s="65">
        <f t="shared" si="803"/>
        <v>0</v>
      </c>
      <c r="BB134" s="65">
        <f t="shared" si="803"/>
        <v>0</v>
      </c>
      <c r="BC134" s="65">
        <f t="shared" si="803"/>
        <v>0</v>
      </c>
      <c r="BD134" s="64">
        <f>SUM(AU134:AX134,AZ134:BC134)</f>
        <v>0</v>
      </c>
      <c r="BE134" s="62"/>
      <c r="BF134" s="63"/>
      <c r="BG134" s="63"/>
      <c r="BH134" s="63"/>
      <c r="BI134" s="63"/>
      <c r="BJ134" s="63"/>
      <c r="BK134" s="63"/>
      <c r="BL134" s="63"/>
      <c r="BM134" s="63"/>
      <c r="BN134" s="63"/>
      <c r="BO134" s="64">
        <f>SUM(BF134:BI134,BK134:BN134)</f>
        <v>0</v>
      </c>
      <c r="BP134" s="62"/>
      <c r="BQ134" s="63"/>
      <c r="BR134" s="63"/>
      <c r="BS134" s="63"/>
      <c r="BT134" s="63"/>
      <c r="BU134" s="63"/>
      <c r="BV134" s="63"/>
      <c r="BW134" s="63"/>
      <c r="BX134" s="63"/>
      <c r="BY134" s="63"/>
      <c r="BZ134" s="64">
        <f>SUM(BQ134:BT134,BV134:BY134)</f>
        <v>0</v>
      </c>
      <c r="CA134" s="62"/>
      <c r="CB134" s="63"/>
      <c r="CC134" s="63"/>
      <c r="CD134" s="63"/>
      <c r="CE134" s="63"/>
      <c r="CF134" s="63"/>
      <c r="CG134" s="63"/>
      <c r="CH134" s="63"/>
      <c r="CI134" s="63"/>
      <c r="CJ134" s="63"/>
      <c r="CK134" s="64">
        <f>SUM(CB134:CE134,CG134:CJ134)</f>
        <v>0</v>
      </c>
      <c r="CL134" s="65">
        <f t="shared" si="804"/>
        <v>0</v>
      </c>
      <c r="CM134" s="65">
        <f t="shared" si="804"/>
        <v>0</v>
      </c>
      <c r="CN134" s="65">
        <f t="shared" si="804"/>
        <v>0</v>
      </c>
      <c r="CO134" s="65">
        <f t="shared" si="804"/>
        <v>0</v>
      </c>
      <c r="CP134" s="65">
        <f t="shared" si="804"/>
        <v>0</v>
      </c>
      <c r="CQ134" s="65">
        <f t="shared" si="804"/>
        <v>0</v>
      </c>
      <c r="CR134" s="65">
        <f t="shared" si="804"/>
        <v>0</v>
      </c>
      <c r="CS134" s="65">
        <f t="shared" si="804"/>
        <v>0</v>
      </c>
      <c r="CT134" s="65">
        <f t="shared" si="804"/>
        <v>0</v>
      </c>
      <c r="CU134" s="65">
        <f t="shared" si="804"/>
        <v>0</v>
      </c>
      <c r="CV134" s="64">
        <f>SUM(CM134:CP134,CR134:CU134)</f>
        <v>0</v>
      </c>
      <c r="CW134" s="62"/>
      <c r="CX134" s="63"/>
      <c r="CY134" s="63"/>
      <c r="CZ134" s="63"/>
      <c r="DA134" s="63"/>
      <c r="DB134" s="63"/>
      <c r="DC134" s="63"/>
      <c r="DD134" s="63"/>
      <c r="DE134" s="63"/>
      <c r="DF134" s="63"/>
      <c r="DG134" s="64">
        <f>SUM(CX134:DA134,DC134:DF134)</f>
        <v>0</v>
      </c>
      <c r="DH134" s="62"/>
      <c r="DI134" s="63"/>
      <c r="DJ134" s="63"/>
      <c r="DK134" s="63"/>
      <c r="DL134" s="63"/>
      <c r="DM134" s="63"/>
      <c r="DN134" s="63"/>
      <c r="DO134" s="63"/>
      <c r="DP134" s="63"/>
      <c r="DQ134" s="63"/>
      <c r="DR134" s="64">
        <f>SUM(DI134:DL134,DN134:DQ134)</f>
        <v>0</v>
      </c>
      <c r="DS134" s="62"/>
      <c r="DT134" s="63"/>
      <c r="DU134" s="63"/>
      <c r="DV134" s="63"/>
      <c r="DW134" s="63"/>
      <c r="DX134" s="63"/>
      <c r="DY134" s="63"/>
      <c r="DZ134" s="63"/>
      <c r="EA134" s="63"/>
      <c r="EB134" s="63"/>
      <c r="EC134" s="63"/>
      <c r="ED134" s="65">
        <f t="shared" si="805"/>
        <v>0</v>
      </c>
      <c r="EE134" s="65">
        <f t="shared" si="805"/>
        <v>0</v>
      </c>
      <c r="EF134" s="65">
        <f t="shared" si="805"/>
        <v>0</v>
      </c>
      <c r="EG134" s="65">
        <f t="shared" si="805"/>
        <v>0</v>
      </c>
      <c r="EH134" s="65">
        <f t="shared" si="805"/>
        <v>0</v>
      </c>
      <c r="EI134" s="65">
        <f t="shared" si="805"/>
        <v>0</v>
      </c>
      <c r="EJ134" s="65">
        <f t="shared" si="805"/>
        <v>0</v>
      </c>
      <c r="EK134" s="65">
        <f t="shared" si="805"/>
        <v>0</v>
      </c>
      <c r="EL134" s="65">
        <f t="shared" si="805"/>
        <v>0</v>
      </c>
      <c r="EM134" s="65">
        <f t="shared" si="805"/>
        <v>0</v>
      </c>
      <c r="EN134" s="64">
        <f>SUM(EE134:EH134,EJ134:EM134)</f>
        <v>0</v>
      </c>
      <c r="EO134" s="62"/>
      <c r="EP134" s="63"/>
      <c r="EQ134" s="63"/>
      <c r="ER134" s="63"/>
      <c r="ES134" s="63"/>
      <c r="ET134" s="63"/>
      <c r="EU134" s="63"/>
      <c r="EV134" s="63"/>
      <c r="EW134" s="63"/>
      <c r="EX134" s="63"/>
      <c r="EY134" s="64">
        <f>SUM(EP134:ES134,EU134:EX134)</f>
        <v>0</v>
      </c>
      <c r="EZ134" s="62"/>
      <c r="FA134" s="63"/>
      <c r="FB134" s="63"/>
      <c r="FC134" s="63"/>
      <c r="FD134" s="63"/>
      <c r="FE134" s="63"/>
      <c r="FF134" s="63"/>
      <c r="FG134" s="63"/>
      <c r="FH134" s="63"/>
      <c r="FI134" s="63"/>
      <c r="FJ134" s="64">
        <f>SUM(FA134:FD134,FF134:FI134)</f>
        <v>0</v>
      </c>
      <c r="FK134" s="62"/>
      <c r="FL134" s="63"/>
      <c r="FM134" s="63"/>
      <c r="FN134" s="63"/>
      <c r="FO134" s="63"/>
      <c r="FP134" s="63"/>
      <c r="FQ134" s="63"/>
      <c r="FR134" s="63"/>
      <c r="FS134" s="63"/>
      <c r="FT134" s="63"/>
      <c r="FU134" s="64">
        <f>SUM(FL134:FO134,FQ134:FT134)</f>
        <v>0</v>
      </c>
      <c r="FV134" s="65">
        <f t="shared" si="806"/>
        <v>0</v>
      </c>
      <c r="FW134" s="65">
        <f t="shared" si="806"/>
        <v>0</v>
      </c>
      <c r="FX134" s="65">
        <f t="shared" si="806"/>
        <v>0</v>
      </c>
      <c r="FY134" s="65">
        <f t="shared" si="806"/>
        <v>0</v>
      </c>
      <c r="FZ134" s="65">
        <f t="shared" si="806"/>
        <v>0</v>
      </c>
      <c r="GA134" s="65">
        <f t="shared" si="806"/>
        <v>0</v>
      </c>
      <c r="GB134" s="65">
        <f t="shared" si="806"/>
        <v>0</v>
      </c>
      <c r="GC134" s="65">
        <f t="shared" si="806"/>
        <v>0</v>
      </c>
      <c r="GD134" s="65">
        <f t="shared" si="806"/>
        <v>0</v>
      </c>
      <c r="GE134" s="65">
        <f t="shared" si="806"/>
        <v>0</v>
      </c>
      <c r="GF134" s="64">
        <f>SUM(FW134:FZ134,GB134:GE134)</f>
        <v>0</v>
      </c>
      <c r="GG134" s="66">
        <f t="shared" si="807"/>
        <v>0</v>
      </c>
      <c r="GH134" s="66">
        <f t="shared" si="807"/>
        <v>0</v>
      </c>
      <c r="GI134" s="66">
        <f t="shared" si="807"/>
        <v>0</v>
      </c>
      <c r="GJ134" s="66">
        <f t="shared" si="807"/>
        <v>0</v>
      </c>
      <c r="GK134" s="66">
        <f t="shared" si="807"/>
        <v>0</v>
      </c>
      <c r="GL134" s="66">
        <f t="shared" si="807"/>
        <v>0</v>
      </c>
      <c r="GM134" s="66">
        <f t="shared" si="807"/>
        <v>0</v>
      </c>
      <c r="GN134" s="66">
        <f t="shared" si="807"/>
        <v>0</v>
      </c>
      <c r="GO134" s="66">
        <f t="shared" si="807"/>
        <v>0</v>
      </c>
      <c r="GP134" s="66">
        <f t="shared" si="807"/>
        <v>0</v>
      </c>
      <c r="GQ134" s="64">
        <f>SUM(GH134:GK134,GM134:GP134)</f>
        <v>0</v>
      </c>
      <c r="GR134" s="63"/>
      <c r="GS134" s="63">
        <v>0</v>
      </c>
      <c r="GT134" s="63"/>
      <c r="GU134" s="63"/>
      <c r="GV134" s="67">
        <f>SUM(GR134:GU134)</f>
        <v>0</v>
      </c>
      <c r="GW134" s="63"/>
      <c r="GX134" s="63"/>
      <c r="GY134" s="63"/>
      <c r="GZ134" s="63"/>
      <c r="HA134" s="67">
        <f>SUM(GW134:GZ134)</f>
        <v>0</v>
      </c>
      <c r="HB134" s="63"/>
      <c r="HC134" s="63"/>
      <c r="HD134" s="63"/>
      <c r="HE134" s="63"/>
      <c r="HF134" s="67">
        <f>SUM(HB134:HE134)</f>
        <v>0</v>
      </c>
      <c r="HG134" s="63"/>
      <c r="HH134" s="63"/>
      <c r="HI134" s="63"/>
      <c r="HJ134" s="63"/>
      <c r="HK134" s="67">
        <f>SUM(HG134:HJ134)</f>
        <v>0</v>
      </c>
      <c r="HL134" s="68">
        <f t="shared" si="801"/>
        <v>0</v>
      </c>
      <c r="HM134" s="68">
        <f t="shared" si="801"/>
        <v>0</v>
      </c>
      <c r="HN134" s="68">
        <f t="shared" si="801"/>
        <v>0</v>
      </c>
      <c r="HO134" s="68">
        <f t="shared" si="801"/>
        <v>0</v>
      </c>
      <c r="HP134" s="67">
        <f>SUM(HL134:HO134)</f>
        <v>0</v>
      </c>
      <c r="HQ134" s="63"/>
      <c r="HR134" s="63"/>
      <c r="HS134" s="63"/>
      <c r="HT134" s="63"/>
      <c r="HU134" s="67">
        <f>SUM(HQ134:HT134)</f>
        <v>0</v>
      </c>
      <c r="HV134" s="63"/>
      <c r="HW134" s="63"/>
      <c r="HX134" s="63"/>
      <c r="HY134" s="63"/>
      <c r="HZ134" s="67">
        <f>SUM(HV134:HY134)</f>
        <v>0</v>
      </c>
      <c r="IA134" s="63"/>
      <c r="IB134" s="63"/>
      <c r="IC134" s="63"/>
      <c r="ID134" s="63"/>
      <c r="IE134" s="67">
        <f>SUM(IA134:ID134)</f>
        <v>0</v>
      </c>
      <c r="IF134" s="68">
        <f t="shared" si="802"/>
        <v>0</v>
      </c>
      <c r="IG134" s="68">
        <f t="shared" si="802"/>
        <v>0</v>
      </c>
      <c r="IH134" s="68">
        <f t="shared" si="802"/>
        <v>0</v>
      </c>
      <c r="II134" s="68">
        <f t="shared" si="802"/>
        <v>0</v>
      </c>
      <c r="IJ134" s="67">
        <f>SUM(IF134:II134)</f>
        <v>0</v>
      </c>
      <c r="IK134" s="63"/>
      <c r="IL134" s="63"/>
      <c r="IM134" s="63"/>
      <c r="IN134" s="63"/>
      <c r="IO134" s="67">
        <f>SUM(IK134:IN134)</f>
        <v>0</v>
      </c>
      <c r="IP134" s="63"/>
      <c r="IQ134" s="63"/>
      <c r="IR134" s="63"/>
      <c r="IS134" s="63"/>
      <c r="IT134" s="67">
        <f>SUM(IP134:IS134)</f>
        <v>0</v>
      </c>
      <c r="IU134" s="63"/>
      <c r="IV134" s="63"/>
    </row>
    <row r="135" spans="1:256" ht="12.75" customHeight="1" x14ac:dyDescent="0.25">
      <c r="A135" s="84" t="s">
        <v>126</v>
      </c>
      <c r="B135" s="62">
        <v>5</v>
      </c>
      <c r="C135" s="63"/>
      <c r="D135" s="63"/>
      <c r="E135" s="63"/>
      <c r="F135" s="63"/>
      <c r="G135" s="63"/>
      <c r="H135" s="63"/>
      <c r="I135" s="63"/>
      <c r="J135" s="63"/>
      <c r="K135" s="63"/>
      <c r="L135" s="64">
        <f>SUM(C135:F135,H135:K135)</f>
        <v>0</v>
      </c>
      <c r="M135" s="62"/>
      <c r="N135" s="63"/>
      <c r="O135" s="63"/>
      <c r="P135" s="63"/>
      <c r="Q135" s="63"/>
      <c r="R135" s="63"/>
      <c r="S135" s="63"/>
      <c r="T135" s="63"/>
      <c r="U135" s="63"/>
      <c r="V135" s="63"/>
      <c r="W135" s="64">
        <f>SUM(N135:Q135,S135:V135)</f>
        <v>0</v>
      </c>
      <c r="X135" s="62"/>
      <c r="Y135" s="63"/>
      <c r="Z135" s="63"/>
      <c r="AA135" s="63"/>
      <c r="AB135" s="63"/>
      <c r="AC135" s="63"/>
      <c r="AD135" s="63"/>
      <c r="AE135" s="63"/>
      <c r="AF135" s="63"/>
      <c r="AG135" s="63"/>
      <c r="AH135" s="64">
        <f>SUM(Y135:AB135,AD135:AG135)</f>
        <v>0</v>
      </c>
      <c r="AI135" s="62"/>
      <c r="AJ135" s="63"/>
      <c r="AK135" s="63"/>
      <c r="AL135" s="63"/>
      <c r="AM135" s="63"/>
      <c r="AN135" s="63"/>
      <c r="AO135" s="63"/>
      <c r="AP135" s="63"/>
      <c r="AQ135" s="63"/>
      <c r="AR135" s="63"/>
      <c r="AS135" s="64">
        <f>SUM(AJ135:AM135,AO135:AR135)</f>
        <v>0</v>
      </c>
      <c r="AT135" s="65">
        <f t="shared" si="803"/>
        <v>0</v>
      </c>
      <c r="AU135" s="65">
        <f t="shared" si="803"/>
        <v>0</v>
      </c>
      <c r="AV135" s="65">
        <f t="shared" si="803"/>
        <v>0</v>
      </c>
      <c r="AW135" s="65">
        <f t="shared" si="803"/>
        <v>0</v>
      </c>
      <c r="AX135" s="65">
        <f t="shared" si="803"/>
        <v>0</v>
      </c>
      <c r="AY135" s="65">
        <f t="shared" si="803"/>
        <v>0</v>
      </c>
      <c r="AZ135" s="65">
        <f t="shared" si="803"/>
        <v>0</v>
      </c>
      <c r="BA135" s="65">
        <f t="shared" si="803"/>
        <v>0</v>
      </c>
      <c r="BB135" s="65">
        <f t="shared" si="803"/>
        <v>0</v>
      </c>
      <c r="BC135" s="65">
        <f t="shared" si="803"/>
        <v>0</v>
      </c>
      <c r="BD135" s="64">
        <f>SUM(AU135:AX135,AZ135:BC135)</f>
        <v>0</v>
      </c>
      <c r="BE135" s="62"/>
      <c r="BF135" s="63"/>
      <c r="BG135" s="63"/>
      <c r="BH135" s="63"/>
      <c r="BI135" s="63"/>
      <c r="BJ135" s="63"/>
      <c r="BK135" s="63"/>
      <c r="BL135" s="63"/>
      <c r="BM135" s="63"/>
      <c r="BN135" s="63"/>
      <c r="BO135" s="64">
        <f>SUM(BF135:BI135,BK135:BN135)</f>
        <v>0</v>
      </c>
      <c r="BP135" s="62"/>
      <c r="BQ135" s="63"/>
      <c r="BR135" s="63"/>
      <c r="BS135" s="63"/>
      <c r="BT135" s="63"/>
      <c r="BU135" s="63"/>
      <c r="BV135" s="63"/>
      <c r="BW135" s="63"/>
      <c r="BX135" s="63"/>
      <c r="BY135" s="63"/>
      <c r="BZ135" s="64">
        <f>SUM(BQ135:BT135,BV135:BY135)</f>
        <v>0</v>
      </c>
      <c r="CA135" s="62"/>
      <c r="CB135" s="63"/>
      <c r="CC135" s="63"/>
      <c r="CD135" s="63"/>
      <c r="CE135" s="63"/>
      <c r="CF135" s="63"/>
      <c r="CG135" s="63"/>
      <c r="CH135" s="63"/>
      <c r="CI135" s="63"/>
      <c r="CJ135" s="63"/>
      <c r="CK135" s="64">
        <f>SUM(CB135:CE135,CG135:CJ135)</f>
        <v>0</v>
      </c>
      <c r="CL135" s="65">
        <f t="shared" si="804"/>
        <v>0</v>
      </c>
      <c r="CM135" s="65">
        <f t="shared" si="804"/>
        <v>0</v>
      </c>
      <c r="CN135" s="65">
        <f t="shared" si="804"/>
        <v>0</v>
      </c>
      <c r="CO135" s="65">
        <f t="shared" si="804"/>
        <v>0</v>
      </c>
      <c r="CP135" s="65">
        <f t="shared" si="804"/>
        <v>0</v>
      </c>
      <c r="CQ135" s="65">
        <f t="shared" si="804"/>
        <v>0</v>
      </c>
      <c r="CR135" s="65">
        <f t="shared" si="804"/>
        <v>0</v>
      </c>
      <c r="CS135" s="65">
        <f t="shared" si="804"/>
        <v>0</v>
      </c>
      <c r="CT135" s="65">
        <f t="shared" si="804"/>
        <v>0</v>
      </c>
      <c r="CU135" s="65">
        <f t="shared" si="804"/>
        <v>0</v>
      </c>
      <c r="CV135" s="64">
        <f>SUM(CM135:CP135,CR135:CU135)</f>
        <v>0</v>
      </c>
      <c r="CW135" s="62"/>
      <c r="CX135" s="63"/>
      <c r="CY135" s="63"/>
      <c r="CZ135" s="63"/>
      <c r="DA135" s="63"/>
      <c r="DB135" s="63"/>
      <c r="DC135" s="63"/>
      <c r="DD135" s="63"/>
      <c r="DE135" s="63"/>
      <c r="DF135" s="63"/>
      <c r="DG135" s="64">
        <f>SUM(CX135:DA135,DC135:DF135)</f>
        <v>0</v>
      </c>
      <c r="DH135" s="62"/>
      <c r="DI135" s="63"/>
      <c r="DJ135" s="63"/>
      <c r="DK135" s="63"/>
      <c r="DL135" s="63"/>
      <c r="DM135" s="63"/>
      <c r="DN135" s="63"/>
      <c r="DO135" s="63"/>
      <c r="DP135" s="63"/>
      <c r="DQ135" s="63"/>
      <c r="DR135" s="64">
        <f>SUM(DI135:DL135,DN135:DQ135)</f>
        <v>0</v>
      </c>
      <c r="DS135" s="62"/>
      <c r="DT135" s="63"/>
      <c r="DU135" s="63"/>
      <c r="DV135" s="63"/>
      <c r="DW135" s="63"/>
      <c r="DX135" s="63"/>
      <c r="DY135" s="63"/>
      <c r="DZ135" s="63"/>
      <c r="EA135" s="63"/>
      <c r="EB135" s="63"/>
      <c r="EC135" s="63"/>
      <c r="ED135" s="65">
        <f t="shared" si="805"/>
        <v>0</v>
      </c>
      <c r="EE135" s="65">
        <f t="shared" si="805"/>
        <v>0</v>
      </c>
      <c r="EF135" s="65">
        <f t="shared" si="805"/>
        <v>0</v>
      </c>
      <c r="EG135" s="65">
        <f t="shared" si="805"/>
        <v>0</v>
      </c>
      <c r="EH135" s="65">
        <f t="shared" si="805"/>
        <v>0</v>
      </c>
      <c r="EI135" s="65">
        <f t="shared" si="805"/>
        <v>0</v>
      </c>
      <c r="EJ135" s="65">
        <f t="shared" si="805"/>
        <v>0</v>
      </c>
      <c r="EK135" s="65">
        <f t="shared" si="805"/>
        <v>0</v>
      </c>
      <c r="EL135" s="65">
        <f t="shared" si="805"/>
        <v>0</v>
      </c>
      <c r="EM135" s="65">
        <f t="shared" si="805"/>
        <v>0</v>
      </c>
      <c r="EN135" s="64">
        <f>SUM(EE135:EH135,EJ135:EM135)</f>
        <v>0</v>
      </c>
      <c r="EO135" s="62"/>
      <c r="EP135" s="63"/>
      <c r="EQ135" s="63"/>
      <c r="ER135" s="63"/>
      <c r="ES135" s="63"/>
      <c r="ET135" s="63"/>
      <c r="EU135" s="63"/>
      <c r="EV135" s="63"/>
      <c r="EW135" s="63"/>
      <c r="EX135" s="63"/>
      <c r="EY135" s="64">
        <f>SUM(EP135:ES135,EU135:EX135)</f>
        <v>0</v>
      </c>
      <c r="EZ135" s="62"/>
      <c r="FA135" s="63"/>
      <c r="FB135" s="63"/>
      <c r="FC135" s="63"/>
      <c r="FD135" s="63"/>
      <c r="FE135" s="63"/>
      <c r="FF135" s="63"/>
      <c r="FG135" s="63"/>
      <c r="FH135" s="63"/>
      <c r="FI135" s="63"/>
      <c r="FJ135" s="64">
        <f>SUM(FA135:FD135,FF135:FI135)</f>
        <v>0</v>
      </c>
      <c r="FK135" s="62"/>
      <c r="FL135" s="63"/>
      <c r="FM135" s="63"/>
      <c r="FN135" s="63"/>
      <c r="FO135" s="63"/>
      <c r="FP135" s="63"/>
      <c r="FQ135" s="63"/>
      <c r="FR135" s="63"/>
      <c r="FS135" s="63"/>
      <c r="FT135" s="63"/>
      <c r="FU135" s="64">
        <f>SUM(FL135:FO135,FQ135:FT135)</f>
        <v>0</v>
      </c>
      <c r="FV135" s="65">
        <f t="shared" si="806"/>
        <v>0</v>
      </c>
      <c r="FW135" s="65">
        <f t="shared" si="806"/>
        <v>0</v>
      </c>
      <c r="FX135" s="65">
        <f t="shared" si="806"/>
        <v>0</v>
      </c>
      <c r="FY135" s="65">
        <f t="shared" si="806"/>
        <v>0</v>
      </c>
      <c r="FZ135" s="65">
        <f t="shared" si="806"/>
        <v>0</v>
      </c>
      <c r="GA135" s="65">
        <f t="shared" si="806"/>
        <v>0</v>
      </c>
      <c r="GB135" s="65">
        <f t="shared" si="806"/>
        <v>0</v>
      </c>
      <c r="GC135" s="65">
        <f t="shared" si="806"/>
        <v>0</v>
      </c>
      <c r="GD135" s="65">
        <f t="shared" si="806"/>
        <v>0</v>
      </c>
      <c r="GE135" s="65">
        <f t="shared" si="806"/>
        <v>0</v>
      </c>
      <c r="GF135" s="64">
        <f>SUM(FW135:FZ135,GB135:GE135)</f>
        <v>0</v>
      </c>
      <c r="GG135" s="66">
        <f t="shared" si="807"/>
        <v>0</v>
      </c>
      <c r="GH135" s="66">
        <f t="shared" si="807"/>
        <v>0</v>
      </c>
      <c r="GI135" s="66">
        <f t="shared" si="807"/>
        <v>0</v>
      </c>
      <c r="GJ135" s="66">
        <f t="shared" si="807"/>
        <v>0</v>
      </c>
      <c r="GK135" s="66">
        <f t="shared" si="807"/>
        <v>0</v>
      </c>
      <c r="GL135" s="66">
        <f t="shared" si="807"/>
        <v>0</v>
      </c>
      <c r="GM135" s="66">
        <f t="shared" si="807"/>
        <v>0</v>
      </c>
      <c r="GN135" s="66">
        <f t="shared" si="807"/>
        <v>0</v>
      </c>
      <c r="GO135" s="66">
        <f t="shared" si="807"/>
        <v>0</v>
      </c>
      <c r="GP135" s="66">
        <f t="shared" si="807"/>
        <v>0</v>
      </c>
      <c r="GQ135" s="64">
        <f>SUM(GH135:GK135,GM135:GP135)</f>
        <v>0</v>
      </c>
      <c r="GR135" s="63"/>
      <c r="GS135" s="63"/>
      <c r="GT135" s="63"/>
      <c r="GU135" s="63"/>
      <c r="GV135" s="67">
        <f>SUM(GR135:GU135)</f>
        <v>0</v>
      </c>
      <c r="GW135" s="63"/>
      <c r="GX135" s="63"/>
      <c r="GY135" s="63"/>
      <c r="GZ135" s="63"/>
      <c r="HA135" s="67">
        <f>SUM(GW135:GZ135)</f>
        <v>0</v>
      </c>
      <c r="HB135" s="63"/>
      <c r="HC135" s="63"/>
      <c r="HD135" s="63"/>
      <c r="HE135" s="63"/>
      <c r="HF135" s="67">
        <f>SUM(HB135:HE135)</f>
        <v>0</v>
      </c>
      <c r="HG135" s="63"/>
      <c r="HH135" s="63"/>
      <c r="HI135" s="63"/>
      <c r="HJ135" s="63"/>
      <c r="HK135" s="67">
        <f>SUM(HG135:HJ135)</f>
        <v>0</v>
      </c>
      <c r="HL135" s="68">
        <f t="shared" si="801"/>
        <v>0</v>
      </c>
      <c r="HM135" s="68">
        <f t="shared" si="801"/>
        <v>0</v>
      </c>
      <c r="HN135" s="68">
        <f t="shared" si="801"/>
        <v>0</v>
      </c>
      <c r="HO135" s="68">
        <f t="shared" si="801"/>
        <v>0</v>
      </c>
      <c r="HP135" s="67">
        <f>SUM(HL135:HO135)</f>
        <v>0</v>
      </c>
      <c r="HQ135" s="63"/>
      <c r="HR135" s="63"/>
      <c r="HS135" s="63"/>
      <c r="HT135" s="63"/>
      <c r="HU135" s="67">
        <f>SUM(HQ135:HT135)</f>
        <v>0</v>
      </c>
      <c r="HV135" s="63"/>
      <c r="HW135" s="63"/>
      <c r="HX135" s="63"/>
      <c r="HY135" s="63"/>
      <c r="HZ135" s="67">
        <f>SUM(HV135:HY135)</f>
        <v>0</v>
      </c>
      <c r="IA135" s="63"/>
      <c r="IB135" s="63"/>
      <c r="IC135" s="63"/>
      <c r="ID135" s="63"/>
      <c r="IE135" s="67">
        <f>SUM(IA135:ID135)</f>
        <v>0</v>
      </c>
      <c r="IF135" s="68">
        <f t="shared" si="802"/>
        <v>0</v>
      </c>
      <c r="IG135" s="68">
        <f t="shared" si="802"/>
        <v>0</v>
      </c>
      <c r="IH135" s="68">
        <f t="shared" si="802"/>
        <v>0</v>
      </c>
      <c r="II135" s="68">
        <f t="shared" si="802"/>
        <v>0</v>
      </c>
      <c r="IJ135" s="67">
        <f>SUM(IF135:II135)</f>
        <v>0</v>
      </c>
      <c r="IK135" s="63"/>
      <c r="IL135" s="63"/>
      <c r="IM135" s="63"/>
      <c r="IN135" s="63"/>
      <c r="IO135" s="67">
        <f>SUM(IK135:IN135)</f>
        <v>0</v>
      </c>
      <c r="IP135" s="63"/>
      <c r="IQ135" s="63"/>
      <c r="IR135" s="63"/>
      <c r="IS135" s="63"/>
      <c r="IT135" s="67">
        <f>SUM(IP135:IS135)</f>
        <v>0</v>
      </c>
      <c r="IU135" s="63"/>
      <c r="IV135" s="63"/>
    </row>
    <row r="136" spans="1:256" s="110" customFormat="1" ht="12.75" customHeight="1" x14ac:dyDescent="0.25">
      <c r="A136" s="135" t="s">
        <v>127</v>
      </c>
      <c r="B136" s="136"/>
      <c r="C136" s="114">
        <f t="shared" ref="C136:K136" si="808">C137</f>
        <v>0</v>
      </c>
      <c r="D136" s="114">
        <f t="shared" si="808"/>
        <v>0</v>
      </c>
      <c r="E136" s="114">
        <f t="shared" si="808"/>
        <v>0</v>
      </c>
      <c r="F136" s="114">
        <f t="shared" si="808"/>
        <v>0</v>
      </c>
      <c r="G136" s="114">
        <f t="shared" si="808"/>
        <v>26</v>
      </c>
      <c r="H136" s="114">
        <f t="shared" si="808"/>
        <v>0</v>
      </c>
      <c r="I136" s="114">
        <f t="shared" si="808"/>
        <v>0</v>
      </c>
      <c r="J136" s="114">
        <f t="shared" si="808"/>
        <v>0</v>
      </c>
      <c r="K136" s="114">
        <f t="shared" si="808"/>
        <v>0</v>
      </c>
      <c r="L136" s="114">
        <f>L137</f>
        <v>0</v>
      </c>
      <c r="M136" s="136"/>
      <c r="N136" s="114">
        <f t="shared" ref="N136:V136" si="809">N137</f>
        <v>0</v>
      </c>
      <c r="O136" s="114">
        <f t="shared" si="809"/>
        <v>0</v>
      </c>
      <c r="P136" s="114">
        <f t="shared" si="809"/>
        <v>0</v>
      </c>
      <c r="Q136" s="114">
        <f t="shared" si="809"/>
        <v>0</v>
      </c>
      <c r="R136" s="114">
        <f t="shared" si="809"/>
        <v>0</v>
      </c>
      <c r="S136" s="114">
        <f t="shared" si="809"/>
        <v>0</v>
      </c>
      <c r="T136" s="114">
        <f t="shared" si="809"/>
        <v>0</v>
      </c>
      <c r="U136" s="114">
        <f t="shared" si="809"/>
        <v>0</v>
      </c>
      <c r="V136" s="114">
        <f t="shared" si="809"/>
        <v>0</v>
      </c>
      <c r="W136" s="114">
        <f>W137</f>
        <v>0</v>
      </c>
      <c r="X136" s="136"/>
      <c r="Y136" s="114">
        <f t="shared" ref="Y136:AG136" si="810">Y137</f>
        <v>0</v>
      </c>
      <c r="Z136" s="114">
        <f t="shared" si="810"/>
        <v>0</v>
      </c>
      <c r="AA136" s="114">
        <f t="shared" si="810"/>
        <v>0</v>
      </c>
      <c r="AB136" s="114">
        <f t="shared" si="810"/>
        <v>0</v>
      </c>
      <c r="AC136" s="114">
        <f t="shared" si="810"/>
        <v>0</v>
      </c>
      <c r="AD136" s="114">
        <f t="shared" si="810"/>
        <v>0</v>
      </c>
      <c r="AE136" s="114">
        <f t="shared" si="810"/>
        <v>0</v>
      </c>
      <c r="AF136" s="114">
        <f t="shared" si="810"/>
        <v>0</v>
      </c>
      <c r="AG136" s="114">
        <f t="shared" si="810"/>
        <v>0</v>
      </c>
      <c r="AH136" s="114">
        <f>AH137</f>
        <v>0</v>
      </c>
      <c r="AI136" s="136"/>
      <c r="AJ136" s="114">
        <f t="shared" ref="AJ136:AR136" si="811">AJ137</f>
        <v>0</v>
      </c>
      <c r="AK136" s="114">
        <f t="shared" si="811"/>
        <v>0</v>
      </c>
      <c r="AL136" s="114">
        <f t="shared" si="811"/>
        <v>0</v>
      </c>
      <c r="AM136" s="114">
        <f t="shared" si="811"/>
        <v>0</v>
      </c>
      <c r="AN136" s="114">
        <f t="shared" si="811"/>
        <v>0</v>
      </c>
      <c r="AO136" s="114">
        <f t="shared" si="811"/>
        <v>0</v>
      </c>
      <c r="AP136" s="114">
        <f t="shared" si="811"/>
        <v>0</v>
      </c>
      <c r="AQ136" s="114">
        <f t="shared" si="811"/>
        <v>0</v>
      </c>
      <c r="AR136" s="114">
        <f t="shared" si="811"/>
        <v>0</v>
      </c>
      <c r="AS136" s="114">
        <f>AS137</f>
        <v>0</v>
      </c>
      <c r="AT136" s="136"/>
      <c r="AU136" s="114">
        <f>AU137</f>
        <v>0</v>
      </c>
      <c r="AV136" s="114">
        <f t="shared" ref="AV136:BC136" si="812">AV137</f>
        <v>0</v>
      </c>
      <c r="AW136" s="114">
        <f t="shared" si="812"/>
        <v>0</v>
      </c>
      <c r="AX136" s="114">
        <f t="shared" si="812"/>
        <v>0</v>
      </c>
      <c r="AY136" s="114">
        <f t="shared" si="812"/>
        <v>0</v>
      </c>
      <c r="AZ136" s="114">
        <f t="shared" si="812"/>
        <v>0</v>
      </c>
      <c r="BA136" s="114">
        <f t="shared" si="812"/>
        <v>0</v>
      </c>
      <c r="BB136" s="114">
        <f t="shared" si="812"/>
        <v>0</v>
      </c>
      <c r="BC136" s="114">
        <f t="shared" si="812"/>
        <v>0</v>
      </c>
      <c r="BD136" s="114">
        <f>BD137</f>
        <v>0</v>
      </c>
      <c r="BE136" s="136"/>
      <c r="BF136" s="114">
        <f t="shared" ref="BF136:BN136" si="813">BF137</f>
        <v>0</v>
      </c>
      <c r="BG136" s="114">
        <f t="shared" si="813"/>
        <v>0</v>
      </c>
      <c r="BH136" s="114">
        <f t="shared" si="813"/>
        <v>0</v>
      </c>
      <c r="BI136" s="114">
        <f t="shared" si="813"/>
        <v>0</v>
      </c>
      <c r="BJ136" s="114">
        <f t="shared" si="813"/>
        <v>0</v>
      </c>
      <c r="BK136" s="114">
        <f t="shared" si="813"/>
        <v>0</v>
      </c>
      <c r="BL136" s="114">
        <f t="shared" si="813"/>
        <v>0</v>
      </c>
      <c r="BM136" s="114">
        <f t="shared" si="813"/>
        <v>0</v>
      </c>
      <c r="BN136" s="114">
        <f t="shared" si="813"/>
        <v>0</v>
      </c>
      <c r="BO136" s="114">
        <f>BO137</f>
        <v>0</v>
      </c>
      <c r="BP136" s="136"/>
      <c r="BQ136" s="114">
        <f t="shared" ref="BQ136:BY136" si="814">BQ137</f>
        <v>0</v>
      </c>
      <c r="BR136" s="114">
        <f t="shared" si="814"/>
        <v>0</v>
      </c>
      <c r="BS136" s="114">
        <f t="shared" si="814"/>
        <v>0</v>
      </c>
      <c r="BT136" s="114">
        <f t="shared" si="814"/>
        <v>0</v>
      </c>
      <c r="BU136" s="114">
        <f t="shared" si="814"/>
        <v>0</v>
      </c>
      <c r="BV136" s="114">
        <f t="shared" si="814"/>
        <v>0</v>
      </c>
      <c r="BW136" s="114">
        <f t="shared" si="814"/>
        <v>0</v>
      </c>
      <c r="BX136" s="114">
        <f t="shared" si="814"/>
        <v>0</v>
      </c>
      <c r="BY136" s="114">
        <f t="shared" si="814"/>
        <v>0</v>
      </c>
      <c r="BZ136" s="114">
        <f>BZ137</f>
        <v>0</v>
      </c>
      <c r="CA136" s="136"/>
      <c r="CB136" s="114">
        <f t="shared" ref="CB136:CJ136" si="815">CB137</f>
        <v>0</v>
      </c>
      <c r="CC136" s="114">
        <f t="shared" si="815"/>
        <v>0</v>
      </c>
      <c r="CD136" s="114">
        <f t="shared" si="815"/>
        <v>0</v>
      </c>
      <c r="CE136" s="114">
        <f t="shared" si="815"/>
        <v>0</v>
      </c>
      <c r="CF136" s="114">
        <f t="shared" si="815"/>
        <v>0</v>
      </c>
      <c r="CG136" s="114">
        <f t="shared" si="815"/>
        <v>0</v>
      </c>
      <c r="CH136" s="114">
        <f t="shared" si="815"/>
        <v>0</v>
      </c>
      <c r="CI136" s="114">
        <f t="shared" si="815"/>
        <v>0</v>
      </c>
      <c r="CJ136" s="114">
        <f t="shared" si="815"/>
        <v>0</v>
      </c>
      <c r="CK136" s="114">
        <f>CK137</f>
        <v>0</v>
      </c>
      <c r="CL136" s="136"/>
      <c r="CM136" s="114">
        <f>CM137</f>
        <v>0</v>
      </c>
      <c r="CN136" s="114">
        <f t="shared" ref="CN136:CU136" si="816">CN137</f>
        <v>0</v>
      </c>
      <c r="CO136" s="114">
        <f t="shared" si="816"/>
        <v>0</v>
      </c>
      <c r="CP136" s="114">
        <f t="shared" si="816"/>
        <v>0</v>
      </c>
      <c r="CQ136" s="114">
        <f t="shared" si="816"/>
        <v>0</v>
      </c>
      <c r="CR136" s="114">
        <f t="shared" si="816"/>
        <v>0</v>
      </c>
      <c r="CS136" s="114">
        <f t="shared" si="816"/>
        <v>0</v>
      </c>
      <c r="CT136" s="114">
        <f t="shared" si="816"/>
        <v>0</v>
      </c>
      <c r="CU136" s="114">
        <f t="shared" si="816"/>
        <v>0</v>
      </c>
      <c r="CV136" s="114">
        <f>CV137</f>
        <v>0</v>
      </c>
      <c r="CW136" s="136"/>
      <c r="CX136" s="114">
        <f t="shared" ref="CX136:DF136" si="817">CX137</f>
        <v>0</v>
      </c>
      <c r="CY136" s="114">
        <f t="shared" si="817"/>
        <v>0</v>
      </c>
      <c r="CZ136" s="114">
        <f t="shared" si="817"/>
        <v>0</v>
      </c>
      <c r="DA136" s="114">
        <f t="shared" si="817"/>
        <v>0</v>
      </c>
      <c r="DB136" s="114">
        <f t="shared" si="817"/>
        <v>0</v>
      </c>
      <c r="DC136" s="114">
        <f t="shared" si="817"/>
        <v>0</v>
      </c>
      <c r="DD136" s="114">
        <f t="shared" si="817"/>
        <v>0</v>
      </c>
      <c r="DE136" s="114">
        <f t="shared" si="817"/>
        <v>0</v>
      </c>
      <c r="DF136" s="114">
        <f t="shared" si="817"/>
        <v>0</v>
      </c>
      <c r="DG136" s="114">
        <f>DG137</f>
        <v>0</v>
      </c>
      <c r="DH136" s="136"/>
      <c r="DI136" s="114">
        <f t="shared" ref="DI136:DQ136" si="818">DI137</f>
        <v>0</v>
      </c>
      <c r="DJ136" s="114">
        <f t="shared" si="818"/>
        <v>0</v>
      </c>
      <c r="DK136" s="114">
        <f t="shared" si="818"/>
        <v>0</v>
      </c>
      <c r="DL136" s="114">
        <f t="shared" si="818"/>
        <v>0</v>
      </c>
      <c r="DM136" s="114">
        <f t="shared" si="818"/>
        <v>0</v>
      </c>
      <c r="DN136" s="114">
        <f t="shared" si="818"/>
        <v>0</v>
      </c>
      <c r="DO136" s="114">
        <f t="shared" si="818"/>
        <v>0</v>
      </c>
      <c r="DP136" s="114">
        <f t="shared" si="818"/>
        <v>0</v>
      </c>
      <c r="DQ136" s="114">
        <f t="shared" si="818"/>
        <v>0</v>
      </c>
      <c r="DR136" s="114">
        <f>DR137</f>
        <v>0</v>
      </c>
      <c r="DS136" s="136"/>
      <c r="DT136" s="114">
        <f t="shared" ref="DT136:EB136" si="819">DT137</f>
        <v>0</v>
      </c>
      <c r="DU136" s="114">
        <f t="shared" si="819"/>
        <v>0</v>
      </c>
      <c r="DV136" s="114">
        <f t="shared" si="819"/>
        <v>0</v>
      </c>
      <c r="DW136" s="114">
        <f t="shared" si="819"/>
        <v>0</v>
      </c>
      <c r="DX136" s="114">
        <f t="shared" si="819"/>
        <v>0</v>
      </c>
      <c r="DY136" s="114">
        <f t="shared" si="819"/>
        <v>0</v>
      </c>
      <c r="DZ136" s="114">
        <f t="shared" si="819"/>
        <v>0</v>
      </c>
      <c r="EA136" s="114">
        <f t="shared" si="819"/>
        <v>0</v>
      </c>
      <c r="EB136" s="114">
        <f t="shared" si="819"/>
        <v>0</v>
      </c>
      <c r="EC136" s="114">
        <f>EC137</f>
        <v>0</v>
      </c>
      <c r="ED136" s="136"/>
      <c r="EE136" s="114">
        <f>EE137</f>
        <v>0</v>
      </c>
      <c r="EF136" s="114">
        <f t="shared" ref="EF136:EM136" si="820">EF137</f>
        <v>0</v>
      </c>
      <c r="EG136" s="114">
        <f t="shared" si="820"/>
        <v>0</v>
      </c>
      <c r="EH136" s="114">
        <f t="shared" si="820"/>
        <v>0</v>
      </c>
      <c r="EI136" s="114">
        <f t="shared" si="820"/>
        <v>0</v>
      </c>
      <c r="EJ136" s="114">
        <f t="shared" si="820"/>
        <v>0</v>
      </c>
      <c r="EK136" s="114">
        <f t="shared" si="820"/>
        <v>0</v>
      </c>
      <c r="EL136" s="114">
        <f t="shared" si="820"/>
        <v>0</v>
      </c>
      <c r="EM136" s="114">
        <f t="shared" si="820"/>
        <v>0</v>
      </c>
      <c r="EN136" s="114">
        <f>EN137</f>
        <v>0</v>
      </c>
      <c r="EO136" s="136"/>
      <c r="EP136" s="114">
        <f t="shared" ref="EP136:EX136" si="821">EP137</f>
        <v>0</v>
      </c>
      <c r="EQ136" s="114">
        <f t="shared" si="821"/>
        <v>0</v>
      </c>
      <c r="ER136" s="114">
        <f t="shared" si="821"/>
        <v>0</v>
      </c>
      <c r="ES136" s="114">
        <f t="shared" si="821"/>
        <v>0</v>
      </c>
      <c r="ET136" s="114">
        <f t="shared" si="821"/>
        <v>0</v>
      </c>
      <c r="EU136" s="114">
        <f t="shared" si="821"/>
        <v>0</v>
      </c>
      <c r="EV136" s="114">
        <f t="shared" si="821"/>
        <v>0</v>
      </c>
      <c r="EW136" s="114">
        <f t="shared" si="821"/>
        <v>0</v>
      </c>
      <c r="EX136" s="114">
        <f t="shared" si="821"/>
        <v>0</v>
      </c>
      <c r="EY136" s="114">
        <f>EY137</f>
        <v>0</v>
      </c>
      <c r="EZ136" s="136"/>
      <c r="FA136" s="114">
        <f t="shared" ref="FA136:FI136" si="822">FA137</f>
        <v>0</v>
      </c>
      <c r="FB136" s="114">
        <f t="shared" si="822"/>
        <v>0</v>
      </c>
      <c r="FC136" s="114">
        <f t="shared" si="822"/>
        <v>0</v>
      </c>
      <c r="FD136" s="114">
        <f t="shared" si="822"/>
        <v>0</v>
      </c>
      <c r="FE136" s="114">
        <f t="shared" si="822"/>
        <v>0</v>
      </c>
      <c r="FF136" s="114">
        <f t="shared" si="822"/>
        <v>0</v>
      </c>
      <c r="FG136" s="114">
        <f t="shared" si="822"/>
        <v>0</v>
      </c>
      <c r="FH136" s="114">
        <f t="shared" si="822"/>
        <v>0</v>
      </c>
      <c r="FI136" s="114">
        <f t="shared" si="822"/>
        <v>0</v>
      </c>
      <c r="FJ136" s="114">
        <f>FJ137</f>
        <v>0</v>
      </c>
      <c r="FK136" s="136"/>
      <c r="FL136" s="114">
        <f t="shared" ref="FL136:FT136" si="823">FL137</f>
        <v>0</v>
      </c>
      <c r="FM136" s="114">
        <f t="shared" si="823"/>
        <v>0</v>
      </c>
      <c r="FN136" s="114">
        <f t="shared" si="823"/>
        <v>0</v>
      </c>
      <c r="FO136" s="114">
        <f t="shared" si="823"/>
        <v>0</v>
      </c>
      <c r="FP136" s="114">
        <f t="shared" si="823"/>
        <v>0</v>
      </c>
      <c r="FQ136" s="114">
        <f t="shared" si="823"/>
        <v>0</v>
      </c>
      <c r="FR136" s="114">
        <f t="shared" si="823"/>
        <v>0</v>
      </c>
      <c r="FS136" s="114">
        <f t="shared" si="823"/>
        <v>0</v>
      </c>
      <c r="FT136" s="114">
        <f t="shared" si="823"/>
        <v>0</v>
      </c>
      <c r="FU136" s="114">
        <f>FU137</f>
        <v>0</v>
      </c>
      <c r="FV136" s="136"/>
      <c r="FW136" s="114">
        <f>FW137</f>
        <v>0</v>
      </c>
      <c r="FX136" s="114">
        <f t="shared" ref="FX136:GE136" si="824">FX137</f>
        <v>0</v>
      </c>
      <c r="FY136" s="114">
        <f t="shared" si="824"/>
        <v>0</v>
      </c>
      <c r="FZ136" s="114">
        <f t="shared" si="824"/>
        <v>0</v>
      </c>
      <c r="GA136" s="114">
        <f t="shared" si="824"/>
        <v>0</v>
      </c>
      <c r="GB136" s="114">
        <f t="shared" si="824"/>
        <v>0</v>
      </c>
      <c r="GC136" s="114">
        <f t="shared" si="824"/>
        <v>0</v>
      </c>
      <c r="GD136" s="114">
        <f t="shared" si="824"/>
        <v>0</v>
      </c>
      <c r="GE136" s="114">
        <f t="shared" si="824"/>
        <v>0</v>
      </c>
      <c r="GF136" s="114">
        <f>GF137</f>
        <v>0</v>
      </c>
      <c r="GG136" s="136"/>
      <c r="GH136" s="114">
        <f t="shared" ref="GH136:GP136" si="825">GH137</f>
        <v>0</v>
      </c>
      <c r="GI136" s="114">
        <f t="shared" si="825"/>
        <v>0</v>
      </c>
      <c r="GJ136" s="114">
        <f t="shared" si="825"/>
        <v>0</v>
      </c>
      <c r="GK136" s="114">
        <f t="shared" si="825"/>
        <v>0</v>
      </c>
      <c r="GL136" s="114">
        <f t="shared" si="825"/>
        <v>0</v>
      </c>
      <c r="GM136" s="114">
        <f t="shared" si="825"/>
        <v>0</v>
      </c>
      <c r="GN136" s="114">
        <f t="shared" si="825"/>
        <v>0</v>
      </c>
      <c r="GO136" s="114">
        <f t="shared" si="825"/>
        <v>0</v>
      </c>
      <c r="GP136" s="114">
        <f t="shared" si="825"/>
        <v>0</v>
      </c>
      <c r="GQ136" s="114">
        <f t="shared" ref="GQ136:GV136" si="826">GQ137</f>
        <v>0</v>
      </c>
      <c r="GR136" s="114">
        <f t="shared" si="826"/>
        <v>0</v>
      </c>
      <c r="GS136" s="114">
        <f t="shared" si="826"/>
        <v>0</v>
      </c>
      <c r="GT136" s="114">
        <f t="shared" si="826"/>
        <v>0</v>
      </c>
      <c r="GU136" s="114">
        <f t="shared" si="826"/>
        <v>0</v>
      </c>
      <c r="GV136" s="114">
        <f t="shared" si="826"/>
        <v>0</v>
      </c>
      <c r="GW136" s="114">
        <f t="shared" ref="GW136:HJ136" si="827">GW137</f>
        <v>0</v>
      </c>
      <c r="GX136" s="114">
        <f t="shared" si="827"/>
        <v>0</v>
      </c>
      <c r="GY136" s="114">
        <f t="shared" si="827"/>
        <v>0</v>
      </c>
      <c r="GZ136" s="114">
        <f t="shared" si="827"/>
        <v>0</v>
      </c>
      <c r="HA136" s="114">
        <f>HA137</f>
        <v>0</v>
      </c>
      <c r="HB136" s="114">
        <f t="shared" si="827"/>
        <v>0</v>
      </c>
      <c r="HC136" s="114">
        <f t="shared" si="827"/>
        <v>0</v>
      </c>
      <c r="HD136" s="114">
        <f t="shared" si="827"/>
        <v>0</v>
      </c>
      <c r="HE136" s="114">
        <f t="shared" si="827"/>
        <v>0</v>
      </c>
      <c r="HF136" s="114">
        <f>HF137</f>
        <v>0</v>
      </c>
      <c r="HG136" s="114">
        <f t="shared" si="827"/>
        <v>0</v>
      </c>
      <c r="HH136" s="114">
        <f t="shared" si="827"/>
        <v>0</v>
      </c>
      <c r="HI136" s="114">
        <f t="shared" si="827"/>
        <v>0</v>
      </c>
      <c r="HJ136" s="114">
        <f t="shared" si="827"/>
        <v>0</v>
      </c>
      <c r="HK136" s="114">
        <f t="shared" ref="HK136:HP136" si="828">HK137</f>
        <v>0</v>
      </c>
      <c r="HL136" s="114">
        <f t="shared" si="828"/>
        <v>0</v>
      </c>
      <c r="HM136" s="114">
        <f t="shared" si="828"/>
        <v>0</v>
      </c>
      <c r="HN136" s="114">
        <f t="shared" si="828"/>
        <v>0</v>
      </c>
      <c r="HO136" s="114">
        <f t="shared" si="828"/>
        <v>0</v>
      </c>
      <c r="HP136" s="114">
        <f t="shared" si="828"/>
        <v>0</v>
      </c>
      <c r="HQ136" s="114">
        <f t="shared" ref="HQ136:ID136" si="829">HQ137</f>
        <v>0</v>
      </c>
      <c r="HR136" s="114">
        <f t="shared" si="829"/>
        <v>0</v>
      </c>
      <c r="HS136" s="114">
        <f t="shared" si="829"/>
        <v>0</v>
      </c>
      <c r="HT136" s="114">
        <f t="shared" si="829"/>
        <v>0</v>
      </c>
      <c r="HU136" s="114">
        <f>HU137</f>
        <v>0</v>
      </c>
      <c r="HV136" s="114">
        <f t="shared" si="829"/>
        <v>0</v>
      </c>
      <c r="HW136" s="114">
        <f t="shared" si="829"/>
        <v>0</v>
      </c>
      <c r="HX136" s="114">
        <f t="shared" si="829"/>
        <v>0</v>
      </c>
      <c r="HY136" s="114">
        <f t="shared" si="829"/>
        <v>0</v>
      </c>
      <c r="HZ136" s="114">
        <f>HZ137</f>
        <v>0</v>
      </c>
      <c r="IA136" s="114">
        <f t="shared" si="829"/>
        <v>0</v>
      </c>
      <c r="IB136" s="114">
        <f t="shared" si="829"/>
        <v>0</v>
      </c>
      <c r="IC136" s="114">
        <f t="shared" si="829"/>
        <v>0</v>
      </c>
      <c r="ID136" s="114">
        <f t="shared" si="829"/>
        <v>0</v>
      </c>
      <c r="IE136" s="114">
        <f t="shared" ref="IE136:IJ136" si="830">IE137</f>
        <v>0</v>
      </c>
      <c r="IF136" s="114">
        <f t="shared" si="830"/>
        <v>0</v>
      </c>
      <c r="IG136" s="114">
        <f t="shared" si="830"/>
        <v>0</v>
      </c>
      <c r="IH136" s="114">
        <f t="shared" si="830"/>
        <v>0</v>
      </c>
      <c r="II136" s="114">
        <f t="shared" si="830"/>
        <v>0</v>
      </c>
      <c r="IJ136" s="114">
        <f t="shared" si="830"/>
        <v>0</v>
      </c>
      <c r="IK136" s="114">
        <f t="shared" ref="IK136:IV136" si="831">IK137</f>
        <v>0</v>
      </c>
      <c r="IL136" s="114">
        <f t="shared" si="831"/>
        <v>0</v>
      </c>
      <c r="IM136" s="114">
        <f t="shared" si="831"/>
        <v>0</v>
      </c>
      <c r="IN136" s="114">
        <f t="shared" si="831"/>
        <v>0</v>
      </c>
      <c r="IO136" s="114">
        <f>IO137</f>
        <v>0</v>
      </c>
      <c r="IP136" s="114">
        <f t="shared" si="831"/>
        <v>0</v>
      </c>
      <c r="IQ136" s="114">
        <f t="shared" si="831"/>
        <v>0</v>
      </c>
      <c r="IR136" s="114">
        <f t="shared" si="831"/>
        <v>0</v>
      </c>
      <c r="IS136" s="114">
        <f t="shared" si="831"/>
        <v>0</v>
      </c>
      <c r="IT136" s="114">
        <f>IT137</f>
        <v>0</v>
      </c>
      <c r="IU136" s="114">
        <f t="shared" si="831"/>
        <v>0</v>
      </c>
      <c r="IV136" s="114">
        <f t="shared" si="831"/>
        <v>0</v>
      </c>
    </row>
    <row r="137" spans="1:256" s="57" customFormat="1" ht="25.5" customHeight="1" x14ac:dyDescent="0.25">
      <c r="A137" s="137" t="s">
        <v>128</v>
      </c>
      <c r="B137" s="138"/>
      <c r="C137" s="73">
        <f t="shared" ref="C137:K137" si="832">SUM(C139,C155,C138)</f>
        <v>0</v>
      </c>
      <c r="D137" s="73">
        <f t="shared" si="832"/>
        <v>0</v>
      </c>
      <c r="E137" s="73">
        <f t="shared" si="832"/>
        <v>0</v>
      </c>
      <c r="F137" s="73">
        <f t="shared" si="832"/>
        <v>0</v>
      </c>
      <c r="G137" s="73">
        <f t="shared" si="832"/>
        <v>26</v>
      </c>
      <c r="H137" s="73">
        <f t="shared" si="832"/>
        <v>0</v>
      </c>
      <c r="I137" s="73">
        <f t="shared" si="832"/>
        <v>0</v>
      </c>
      <c r="J137" s="73">
        <f t="shared" si="832"/>
        <v>0</v>
      </c>
      <c r="K137" s="73">
        <f t="shared" si="832"/>
        <v>0</v>
      </c>
      <c r="L137" s="73">
        <f>SUM(L139,L155, )</f>
        <v>0</v>
      </c>
      <c r="M137" s="138"/>
      <c r="N137" s="73">
        <f t="shared" ref="N137:V137" si="833">SUM(N139,N155,N138)</f>
        <v>0</v>
      </c>
      <c r="O137" s="73">
        <f t="shared" si="833"/>
        <v>0</v>
      </c>
      <c r="P137" s="73">
        <f t="shared" si="833"/>
        <v>0</v>
      </c>
      <c r="Q137" s="73">
        <f t="shared" si="833"/>
        <v>0</v>
      </c>
      <c r="R137" s="73">
        <f t="shared" si="833"/>
        <v>0</v>
      </c>
      <c r="S137" s="73">
        <f t="shared" si="833"/>
        <v>0</v>
      </c>
      <c r="T137" s="73">
        <f t="shared" si="833"/>
        <v>0</v>
      </c>
      <c r="U137" s="73">
        <f t="shared" si="833"/>
        <v>0</v>
      </c>
      <c r="V137" s="73">
        <f t="shared" si="833"/>
        <v>0</v>
      </c>
      <c r="W137" s="73">
        <f>SUM(W139,W155, )</f>
        <v>0</v>
      </c>
      <c r="X137" s="138"/>
      <c r="Y137" s="73">
        <f t="shared" ref="Y137:AG137" si="834">SUM(Y139,Y155,Y138)</f>
        <v>0</v>
      </c>
      <c r="Z137" s="73">
        <f t="shared" si="834"/>
        <v>0</v>
      </c>
      <c r="AA137" s="73">
        <f t="shared" si="834"/>
        <v>0</v>
      </c>
      <c r="AB137" s="73">
        <f t="shared" si="834"/>
        <v>0</v>
      </c>
      <c r="AC137" s="73">
        <f t="shared" si="834"/>
        <v>0</v>
      </c>
      <c r="AD137" s="73">
        <f t="shared" si="834"/>
        <v>0</v>
      </c>
      <c r="AE137" s="73">
        <f t="shared" si="834"/>
        <v>0</v>
      </c>
      <c r="AF137" s="73">
        <f t="shared" si="834"/>
        <v>0</v>
      </c>
      <c r="AG137" s="73">
        <f t="shared" si="834"/>
        <v>0</v>
      </c>
      <c r="AH137" s="73">
        <f>SUM(AH139,AH155, )</f>
        <v>0</v>
      </c>
      <c r="AI137" s="138"/>
      <c r="AJ137" s="73">
        <f t="shared" ref="AJ137:AR137" si="835">SUM(AJ139,AJ155,AJ138)</f>
        <v>0</v>
      </c>
      <c r="AK137" s="73">
        <f t="shared" si="835"/>
        <v>0</v>
      </c>
      <c r="AL137" s="73">
        <f t="shared" si="835"/>
        <v>0</v>
      </c>
      <c r="AM137" s="73">
        <f t="shared" si="835"/>
        <v>0</v>
      </c>
      <c r="AN137" s="73">
        <f t="shared" si="835"/>
        <v>0</v>
      </c>
      <c r="AO137" s="73">
        <f t="shared" si="835"/>
        <v>0</v>
      </c>
      <c r="AP137" s="73">
        <f t="shared" si="835"/>
        <v>0</v>
      </c>
      <c r="AQ137" s="73">
        <f t="shared" si="835"/>
        <v>0</v>
      </c>
      <c r="AR137" s="73">
        <f t="shared" si="835"/>
        <v>0</v>
      </c>
      <c r="AS137" s="73">
        <f>SUM(AS139,AS155, )</f>
        <v>0</v>
      </c>
      <c r="AT137" s="138"/>
      <c r="AU137" s="73">
        <f t="shared" ref="AU137:BD137" si="836">SUM(AU139,AU155, )</f>
        <v>0</v>
      </c>
      <c r="AV137" s="73">
        <f t="shared" si="836"/>
        <v>0</v>
      </c>
      <c r="AW137" s="73">
        <f t="shared" si="836"/>
        <v>0</v>
      </c>
      <c r="AX137" s="73">
        <f t="shared" si="836"/>
        <v>0</v>
      </c>
      <c r="AY137" s="73">
        <f t="shared" si="836"/>
        <v>0</v>
      </c>
      <c r="AZ137" s="73">
        <f t="shared" si="836"/>
        <v>0</v>
      </c>
      <c r="BA137" s="73">
        <f t="shared" si="836"/>
        <v>0</v>
      </c>
      <c r="BB137" s="73">
        <f t="shared" si="836"/>
        <v>0</v>
      </c>
      <c r="BC137" s="73">
        <f t="shared" si="836"/>
        <v>0</v>
      </c>
      <c r="BD137" s="73">
        <f t="shared" si="836"/>
        <v>0</v>
      </c>
      <c r="BE137" s="138"/>
      <c r="BF137" s="73">
        <f t="shared" ref="BF137:BN137" si="837">SUM(BF139,BF155,BF138)</f>
        <v>0</v>
      </c>
      <c r="BG137" s="73">
        <f t="shared" si="837"/>
        <v>0</v>
      </c>
      <c r="BH137" s="73">
        <f t="shared" si="837"/>
        <v>0</v>
      </c>
      <c r="BI137" s="73">
        <f t="shared" si="837"/>
        <v>0</v>
      </c>
      <c r="BJ137" s="73">
        <f t="shared" si="837"/>
        <v>0</v>
      </c>
      <c r="BK137" s="73">
        <f t="shared" si="837"/>
        <v>0</v>
      </c>
      <c r="BL137" s="73">
        <f t="shared" si="837"/>
        <v>0</v>
      </c>
      <c r="BM137" s="73">
        <f t="shared" si="837"/>
        <v>0</v>
      </c>
      <c r="BN137" s="73">
        <f t="shared" si="837"/>
        <v>0</v>
      </c>
      <c r="BO137" s="73">
        <f>SUM(BO139,BO155, )</f>
        <v>0</v>
      </c>
      <c r="BP137" s="138"/>
      <c r="BQ137" s="73">
        <f t="shared" ref="BQ137:BY137" si="838">SUM(BQ139,BQ155,BQ138)</f>
        <v>0</v>
      </c>
      <c r="BR137" s="73">
        <f t="shared" si="838"/>
        <v>0</v>
      </c>
      <c r="BS137" s="73">
        <f t="shared" si="838"/>
        <v>0</v>
      </c>
      <c r="BT137" s="73">
        <f t="shared" si="838"/>
        <v>0</v>
      </c>
      <c r="BU137" s="73">
        <f t="shared" si="838"/>
        <v>0</v>
      </c>
      <c r="BV137" s="73">
        <f t="shared" si="838"/>
        <v>0</v>
      </c>
      <c r="BW137" s="73">
        <f t="shared" si="838"/>
        <v>0</v>
      </c>
      <c r="BX137" s="73">
        <f t="shared" si="838"/>
        <v>0</v>
      </c>
      <c r="BY137" s="73">
        <f t="shared" si="838"/>
        <v>0</v>
      </c>
      <c r="BZ137" s="73">
        <f>SUM(BZ139,BZ155, )</f>
        <v>0</v>
      </c>
      <c r="CA137" s="138"/>
      <c r="CB137" s="73">
        <f t="shared" ref="CB137:CJ137" si="839">SUM(CB139,CB155,CB138)</f>
        <v>0</v>
      </c>
      <c r="CC137" s="73">
        <f t="shared" si="839"/>
        <v>0</v>
      </c>
      <c r="CD137" s="73">
        <f t="shared" si="839"/>
        <v>0</v>
      </c>
      <c r="CE137" s="73">
        <f t="shared" si="839"/>
        <v>0</v>
      </c>
      <c r="CF137" s="73">
        <f t="shared" si="839"/>
        <v>0</v>
      </c>
      <c r="CG137" s="73">
        <f t="shared" si="839"/>
        <v>0</v>
      </c>
      <c r="CH137" s="73">
        <f t="shared" si="839"/>
        <v>0</v>
      </c>
      <c r="CI137" s="73">
        <f t="shared" si="839"/>
        <v>0</v>
      </c>
      <c r="CJ137" s="73">
        <f t="shared" si="839"/>
        <v>0</v>
      </c>
      <c r="CK137" s="73">
        <f>SUM(CK139,CK155, )</f>
        <v>0</v>
      </c>
      <c r="CL137" s="138"/>
      <c r="CM137" s="73">
        <f t="shared" ref="CM137:CV137" si="840">SUM(CM139,CM155, )</f>
        <v>0</v>
      </c>
      <c r="CN137" s="73">
        <f t="shared" si="840"/>
        <v>0</v>
      </c>
      <c r="CO137" s="73">
        <f t="shared" si="840"/>
        <v>0</v>
      </c>
      <c r="CP137" s="73">
        <f t="shared" si="840"/>
        <v>0</v>
      </c>
      <c r="CQ137" s="73">
        <f t="shared" si="840"/>
        <v>0</v>
      </c>
      <c r="CR137" s="73">
        <f t="shared" si="840"/>
        <v>0</v>
      </c>
      <c r="CS137" s="73">
        <f t="shared" si="840"/>
        <v>0</v>
      </c>
      <c r="CT137" s="73">
        <f t="shared" si="840"/>
        <v>0</v>
      </c>
      <c r="CU137" s="73">
        <f t="shared" si="840"/>
        <v>0</v>
      </c>
      <c r="CV137" s="73">
        <f t="shared" si="840"/>
        <v>0</v>
      </c>
      <c r="CW137" s="138"/>
      <c r="CX137" s="73">
        <f t="shared" ref="CX137:DF137" si="841">SUM(CX139,CX155,CX138)</f>
        <v>0</v>
      </c>
      <c r="CY137" s="73">
        <f t="shared" si="841"/>
        <v>0</v>
      </c>
      <c r="CZ137" s="73">
        <f t="shared" si="841"/>
        <v>0</v>
      </c>
      <c r="DA137" s="73">
        <f t="shared" si="841"/>
        <v>0</v>
      </c>
      <c r="DB137" s="73">
        <f t="shared" si="841"/>
        <v>0</v>
      </c>
      <c r="DC137" s="73">
        <f t="shared" si="841"/>
        <v>0</v>
      </c>
      <c r="DD137" s="73">
        <f t="shared" si="841"/>
        <v>0</v>
      </c>
      <c r="DE137" s="73">
        <f t="shared" si="841"/>
        <v>0</v>
      </c>
      <c r="DF137" s="73">
        <f t="shared" si="841"/>
        <v>0</v>
      </c>
      <c r="DG137" s="73">
        <f>SUM(DG139,DG155, )</f>
        <v>0</v>
      </c>
      <c r="DH137" s="138"/>
      <c r="DI137" s="73">
        <f t="shared" ref="DI137:DQ137" si="842">SUM(DI139,DI155,DI138)</f>
        <v>0</v>
      </c>
      <c r="DJ137" s="73">
        <f t="shared" si="842"/>
        <v>0</v>
      </c>
      <c r="DK137" s="73">
        <f t="shared" si="842"/>
        <v>0</v>
      </c>
      <c r="DL137" s="73">
        <f t="shared" si="842"/>
        <v>0</v>
      </c>
      <c r="DM137" s="73">
        <f t="shared" si="842"/>
        <v>0</v>
      </c>
      <c r="DN137" s="73">
        <f t="shared" si="842"/>
        <v>0</v>
      </c>
      <c r="DO137" s="73">
        <f t="shared" si="842"/>
        <v>0</v>
      </c>
      <c r="DP137" s="73">
        <f t="shared" si="842"/>
        <v>0</v>
      </c>
      <c r="DQ137" s="73">
        <f t="shared" si="842"/>
        <v>0</v>
      </c>
      <c r="DR137" s="73">
        <f>SUM(DR139,DR155, )</f>
        <v>0</v>
      </c>
      <c r="DS137" s="138"/>
      <c r="DT137" s="73">
        <f t="shared" ref="DT137:EB137" si="843">SUM(DT139,DT155,DT138)</f>
        <v>0</v>
      </c>
      <c r="DU137" s="73">
        <f t="shared" si="843"/>
        <v>0</v>
      </c>
      <c r="DV137" s="73">
        <f t="shared" si="843"/>
        <v>0</v>
      </c>
      <c r="DW137" s="73">
        <f t="shared" si="843"/>
        <v>0</v>
      </c>
      <c r="DX137" s="73">
        <f t="shared" si="843"/>
        <v>0</v>
      </c>
      <c r="DY137" s="73">
        <f t="shared" si="843"/>
        <v>0</v>
      </c>
      <c r="DZ137" s="73">
        <f t="shared" si="843"/>
        <v>0</v>
      </c>
      <c r="EA137" s="73">
        <f t="shared" si="843"/>
        <v>0</v>
      </c>
      <c r="EB137" s="73">
        <f t="shared" si="843"/>
        <v>0</v>
      </c>
      <c r="EC137" s="73">
        <f>SUM(EC139,EC155,EC138)</f>
        <v>0</v>
      </c>
      <c r="ED137" s="138"/>
      <c r="EE137" s="73">
        <f t="shared" ref="EE137:EN137" si="844">SUM(EE139,EE155, )</f>
        <v>0</v>
      </c>
      <c r="EF137" s="73">
        <f t="shared" si="844"/>
        <v>0</v>
      </c>
      <c r="EG137" s="73">
        <f t="shared" si="844"/>
        <v>0</v>
      </c>
      <c r="EH137" s="73">
        <f t="shared" si="844"/>
        <v>0</v>
      </c>
      <c r="EI137" s="73">
        <f t="shared" si="844"/>
        <v>0</v>
      </c>
      <c r="EJ137" s="73">
        <f t="shared" si="844"/>
        <v>0</v>
      </c>
      <c r="EK137" s="73">
        <f t="shared" si="844"/>
        <v>0</v>
      </c>
      <c r="EL137" s="73">
        <f t="shared" si="844"/>
        <v>0</v>
      </c>
      <c r="EM137" s="73">
        <f t="shared" si="844"/>
        <v>0</v>
      </c>
      <c r="EN137" s="73">
        <f t="shared" si="844"/>
        <v>0</v>
      </c>
      <c r="EO137" s="138"/>
      <c r="EP137" s="73">
        <f t="shared" ref="EP137:EX137" si="845">SUM(EP139,EP155,EP138)</f>
        <v>0</v>
      </c>
      <c r="EQ137" s="73">
        <f t="shared" si="845"/>
        <v>0</v>
      </c>
      <c r="ER137" s="73">
        <f t="shared" si="845"/>
        <v>0</v>
      </c>
      <c r="ES137" s="73">
        <f t="shared" si="845"/>
        <v>0</v>
      </c>
      <c r="ET137" s="73">
        <f t="shared" si="845"/>
        <v>0</v>
      </c>
      <c r="EU137" s="73">
        <f t="shared" si="845"/>
        <v>0</v>
      </c>
      <c r="EV137" s="73">
        <f t="shared" si="845"/>
        <v>0</v>
      </c>
      <c r="EW137" s="73">
        <f t="shared" si="845"/>
        <v>0</v>
      </c>
      <c r="EX137" s="73">
        <f t="shared" si="845"/>
        <v>0</v>
      </c>
      <c r="EY137" s="73">
        <f>SUM(EY139,EY155, )</f>
        <v>0</v>
      </c>
      <c r="EZ137" s="138"/>
      <c r="FA137" s="73">
        <f t="shared" ref="FA137:FI137" si="846">SUM(FA139,FA155,FA138)</f>
        <v>0</v>
      </c>
      <c r="FB137" s="73">
        <f t="shared" si="846"/>
        <v>0</v>
      </c>
      <c r="FC137" s="73">
        <f t="shared" si="846"/>
        <v>0</v>
      </c>
      <c r="FD137" s="73">
        <f t="shared" si="846"/>
        <v>0</v>
      </c>
      <c r="FE137" s="73">
        <f t="shared" si="846"/>
        <v>0</v>
      </c>
      <c r="FF137" s="73">
        <f t="shared" si="846"/>
        <v>0</v>
      </c>
      <c r="FG137" s="73">
        <f t="shared" si="846"/>
        <v>0</v>
      </c>
      <c r="FH137" s="73">
        <f t="shared" si="846"/>
        <v>0</v>
      </c>
      <c r="FI137" s="73">
        <f t="shared" si="846"/>
        <v>0</v>
      </c>
      <c r="FJ137" s="73">
        <f>SUM(FJ139,FJ155, )</f>
        <v>0</v>
      </c>
      <c r="FK137" s="138"/>
      <c r="FL137" s="73">
        <f t="shared" ref="FL137:FT137" si="847">SUM(FL139,FL155,FL138)</f>
        <v>0</v>
      </c>
      <c r="FM137" s="73">
        <f t="shared" si="847"/>
        <v>0</v>
      </c>
      <c r="FN137" s="73">
        <f t="shared" si="847"/>
        <v>0</v>
      </c>
      <c r="FO137" s="73">
        <f t="shared" si="847"/>
        <v>0</v>
      </c>
      <c r="FP137" s="73">
        <f t="shared" si="847"/>
        <v>0</v>
      </c>
      <c r="FQ137" s="73">
        <f t="shared" si="847"/>
        <v>0</v>
      </c>
      <c r="FR137" s="73">
        <f t="shared" si="847"/>
        <v>0</v>
      </c>
      <c r="FS137" s="73">
        <f t="shared" si="847"/>
        <v>0</v>
      </c>
      <c r="FT137" s="73">
        <f t="shared" si="847"/>
        <v>0</v>
      </c>
      <c r="FU137" s="73">
        <f>SUM(FU139,FU155, )</f>
        <v>0</v>
      </c>
      <c r="FV137" s="138"/>
      <c r="FW137" s="73">
        <f t="shared" ref="FW137:GF137" si="848">SUM(FW139,FW155, )</f>
        <v>0</v>
      </c>
      <c r="FX137" s="73">
        <f t="shared" si="848"/>
        <v>0</v>
      </c>
      <c r="FY137" s="73">
        <f t="shared" si="848"/>
        <v>0</v>
      </c>
      <c r="FZ137" s="73">
        <f t="shared" si="848"/>
        <v>0</v>
      </c>
      <c r="GA137" s="73">
        <f t="shared" si="848"/>
        <v>0</v>
      </c>
      <c r="GB137" s="73">
        <f t="shared" si="848"/>
        <v>0</v>
      </c>
      <c r="GC137" s="73">
        <f t="shared" si="848"/>
        <v>0</v>
      </c>
      <c r="GD137" s="73">
        <f t="shared" si="848"/>
        <v>0</v>
      </c>
      <c r="GE137" s="73">
        <f t="shared" si="848"/>
        <v>0</v>
      </c>
      <c r="GF137" s="73">
        <f t="shared" si="848"/>
        <v>0</v>
      </c>
      <c r="GG137" s="138"/>
      <c r="GH137" s="73">
        <f t="shared" ref="GH137:GP137" si="849">SUM(GH139,GH155,GH138)</f>
        <v>0</v>
      </c>
      <c r="GI137" s="73">
        <f t="shared" si="849"/>
        <v>0</v>
      </c>
      <c r="GJ137" s="73">
        <f t="shared" si="849"/>
        <v>0</v>
      </c>
      <c r="GK137" s="73">
        <f t="shared" si="849"/>
        <v>0</v>
      </c>
      <c r="GL137" s="73">
        <f t="shared" si="849"/>
        <v>0</v>
      </c>
      <c r="GM137" s="73">
        <f t="shared" si="849"/>
        <v>0</v>
      </c>
      <c r="GN137" s="73">
        <f t="shared" si="849"/>
        <v>0</v>
      </c>
      <c r="GO137" s="73">
        <f t="shared" si="849"/>
        <v>0</v>
      </c>
      <c r="GP137" s="73">
        <f t="shared" si="849"/>
        <v>0</v>
      </c>
      <c r="GQ137" s="73">
        <f>SUM(GQ139,GQ155, )</f>
        <v>0</v>
      </c>
      <c r="GR137" s="73">
        <f t="shared" ref="GR137:IV137" si="850">SUM(GR139,GR155,GR138)</f>
        <v>0</v>
      </c>
      <c r="GS137" s="73">
        <f t="shared" si="850"/>
        <v>0</v>
      </c>
      <c r="GT137" s="73">
        <f t="shared" si="850"/>
        <v>0</v>
      </c>
      <c r="GU137" s="73">
        <f t="shared" si="850"/>
        <v>0</v>
      </c>
      <c r="GV137" s="73">
        <f t="shared" si="850"/>
        <v>0</v>
      </c>
      <c r="GW137" s="73">
        <f t="shared" si="850"/>
        <v>0</v>
      </c>
      <c r="GX137" s="73">
        <f t="shared" si="850"/>
        <v>0</v>
      </c>
      <c r="GY137" s="73">
        <f t="shared" si="850"/>
        <v>0</v>
      </c>
      <c r="GZ137" s="73">
        <f t="shared" si="850"/>
        <v>0</v>
      </c>
      <c r="HA137" s="73">
        <f t="shared" si="850"/>
        <v>0</v>
      </c>
      <c r="HB137" s="73">
        <f>SUM(HB139,HB155,HB138)</f>
        <v>0</v>
      </c>
      <c r="HC137" s="73">
        <f>SUM(HC139,HC155,HC138)</f>
        <v>0</v>
      </c>
      <c r="HD137" s="73">
        <f>SUM(HD139,HD155,HD138)</f>
        <v>0</v>
      </c>
      <c r="HE137" s="73">
        <f>SUM(HE139,HE155,HE138)</f>
        <v>0</v>
      </c>
      <c r="HF137" s="73">
        <f t="shared" si="850"/>
        <v>0</v>
      </c>
      <c r="HG137" s="73">
        <f t="shared" si="850"/>
        <v>0</v>
      </c>
      <c r="HH137" s="73">
        <f t="shared" si="850"/>
        <v>0</v>
      </c>
      <c r="HI137" s="73">
        <f t="shared" si="850"/>
        <v>0</v>
      </c>
      <c r="HJ137" s="73">
        <f t="shared" si="850"/>
        <v>0</v>
      </c>
      <c r="HK137" s="73">
        <f t="shared" si="850"/>
        <v>0</v>
      </c>
      <c r="HL137" s="73">
        <f t="shared" si="850"/>
        <v>0</v>
      </c>
      <c r="HM137" s="73">
        <f t="shared" si="850"/>
        <v>0</v>
      </c>
      <c r="HN137" s="73">
        <f t="shared" si="850"/>
        <v>0</v>
      </c>
      <c r="HO137" s="73">
        <f t="shared" si="850"/>
        <v>0</v>
      </c>
      <c r="HP137" s="73">
        <f t="shared" si="850"/>
        <v>0</v>
      </c>
      <c r="HQ137" s="73">
        <f>SUM(HQ139,HQ155,HQ138)</f>
        <v>0</v>
      </c>
      <c r="HR137" s="73">
        <f>SUM(HR139,HR155,HR138)</f>
        <v>0</v>
      </c>
      <c r="HS137" s="73">
        <f>SUM(HS139,HS155,HS138)</f>
        <v>0</v>
      </c>
      <c r="HT137" s="73">
        <f>SUM(HT139,HT155,HT138)</f>
        <v>0</v>
      </c>
      <c r="HU137" s="73">
        <f t="shared" si="850"/>
        <v>0</v>
      </c>
      <c r="HV137" s="73">
        <f t="shared" si="850"/>
        <v>0</v>
      </c>
      <c r="HW137" s="73">
        <f t="shared" si="850"/>
        <v>0</v>
      </c>
      <c r="HX137" s="73">
        <f t="shared" si="850"/>
        <v>0</v>
      </c>
      <c r="HY137" s="73">
        <f t="shared" si="850"/>
        <v>0</v>
      </c>
      <c r="HZ137" s="73">
        <f t="shared" si="850"/>
        <v>0</v>
      </c>
      <c r="IA137" s="73">
        <f>SUM(IA139,IA155,IA138)</f>
        <v>0</v>
      </c>
      <c r="IB137" s="73">
        <f>SUM(IB139,IB155,IB138)</f>
        <v>0</v>
      </c>
      <c r="IC137" s="73">
        <f>SUM(IC139,IC155,IC138)</f>
        <v>0</v>
      </c>
      <c r="ID137" s="73">
        <f>SUM(ID139,ID155,ID138)</f>
        <v>0</v>
      </c>
      <c r="IE137" s="73">
        <f t="shared" si="850"/>
        <v>0</v>
      </c>
      <c r="IF137" s="73">
        <f t="shared" si="850"/>
        <v>0</v>
      </c>
      <c r="IG137" s="73">
        <f t="shared" si="850"/>
        <v>0</v>
      </c>
      <c r="IH137" s="73">
        <f t="shared" si="850"/>
        <v>0</v>
      </c>
      <c r="II137" s="73">
        <f t="shared" si="850"/>
        <v>0</v>
      </c>
      <c r="IJ137" s="73">
        <f t="shared" si="850"/>
        <v>0</v>
      </c>
      <c r="IK137" s="73">
        <f t="shared" si="850"/>
        <v>0</v>
      </c>
      <c r="IL137" s="73">
        <f t="shared" si="850"/>
        <v>0</v>
      </c>
      <c r="IM137" s="73">
        <f t="shared" si="850"/>
        <v>0</v>
      </c>
      <c r="IN137" s="73">
        <f t="shared" si="850"/>
        <v>0</v>
      </c>
      <c r="IO137" s="73">
        <f t="shared" si="850"/>
        <v>0</v>
      </c>
      <c r="IP137" s="73">
        <f>SUM(IP139,IP155,IP138)</f>
        <v>0</v>
      </c>
      <c r="IQ137" s="73">
        <f>SUM(IQ139,IQ155,IQ138)</f>
        <v>0</v>
      </c>
      <c r="IR137" s="73">
        <f>SUM(IR139,IR155,IR138)</f>
        <v>0</v>
      </c>
      <c r="IS137" s="73">
        <f>SUM(IS139,IS155,IS138)</f>
        <v>0</v>
      </c>
      <c r="IT137" s="73">
        <f t="shared" si="850"/>
        <v>0</v>
      </c>
      <c r="IU137" s="73">
        <f t="shared" si="850"/>
        <v>0</v>
      </c>
      <c r="IV137" s="73">
        <f t="shared" si="850"/>
        <v>0</v>
      </c>
    </row>
    <row r="138" spans="1:256" ht="12.75" customHeight="1" x14ac:dyDescent="0.2">
      <c r="A138" s="61" t="s">
        <v>29</v>
      </c>
      <c r="B138" s="62"/>
      <c r="C138" s="63"/>
      <c r="D138" s="63"/>
      <c r="E138" s="63"/>
      <c r="F138" s="63"/>
      <c r="G138" s="63"/>
      <c r="H138" s="63"/>
      <c r="I138" s="63"/>
      <c r="J138" s="63"/>
      <c r="K138" s="63"/>
      <c r="L138" s="64">
        <f>SUM(C138:F138,H138:K138)</f>
        <v>0</v>
      </c>
      <c r="M138" s="62"/>
      <c r="N138" s="63"/>
      <c r="O138" s="63"/>
      <c r="P138" s="63"/>
      <c r="Q138" s="63"/>
      <c r="R138" s="63"/>
      <c r="S138" s="63"/>
      <c r="T138" s="63"/>
      <c r="U138" s="63"/>
      <c r="V138" s="63"/>
      <c r="W138" s="64">
        <f>SUM(N138:Q138,S138:V138)</f>
        <v>0</v>
      </c>
      <c r="X138" s="62"/>
      <c r="Y138" s="63"/>
      <c r="Z138" s="63"/>
      <c r="AA138" s="63"/>
      <c r="AB138" s="63"/>
      <c r="AC138" s="63"/>
      <c r="AD138" s="63"/>
      <c r="AE138" s="63"/>
      <c r="AF138" s="63"/>
      <c r="AG138" s="63"/>
      <c r="AH138" s="64">
        <f>SUM(Y138:AB138,AD138:AG138)</f>
        <v>0</v>
      </c>
      <c r="AI138" s="62"/>
      <c r="AJ138" s="63"/>
      <c r="AK138" s="63"/>
      <c r="AL138" s="63"/>
      <c r="AM138" s="63"/>
      <c r="AN138" s="63"/>
      <c r="AO138" s="63"/>
      <c r="AP138" s="63"/>
      <c r="AQ138" s="63"/>
      <c r="AR138" s="63"/>
      <c r="AS138" s="64">
        <f>SUM(AJ138:AM138,AO138:AR138)</f>
        <v>0</v>
      </c>
      <c r="AT138" s="65">
        <f t="shared" ref="AT138:BC138" si="851">SUM(M138,AI138,X138)</f>
        <v>0</v>
      </c>
      <c r="AU138" s="65">
        <f t="shared" si="851"/>
        <v>0</v>
      </c>
      <c r="AV138" s="65">
        <f t="shared" si="851"/>
        <v>0</v>
      </c>
      <c r="AW138" s="65">
        <f t="shared" si="851"/>
        <v>0</v>
      </c>
      <c r="AX138" s="65">
        <f t="shared" si="851"/>
        <v>0</v>
      </c>
      <c r="AY138" s="65">
        <f t="shared" si="851"/>
        <v>0</v>
      </c>
      <c r="AZ138" s="65">
        <f t="shared" si="851"/>
        <v>0</v>
      </c>
      <c r="BA138" s="65">
        <f t="shared" si="851"/>
        <v>0</v>
      </c>
      <c r="BB138" s="65">
        <f t="shared" si="851"/>
        <v>0</v>
      </c>
      <c r="BC138" s="65">
        <f t="shared" si="851"/>
        <v>0</v>
      </c>
      <c r="BD138" s="64">
        <f>SUM(AU138:AX138,AZ138:BC138)</f>
        <v>0</v>
      </c>
      <c r="BE138" s="62"/>
      <c r="BF138" s="63"/>
      <c r="BG138" s="63"/>
      <c r="BH138" s="63"/>
      <c r="BI138" s="63"/>
      <c r="BJ138" s="63"/>
      <c r="BK138" s="63"/>
      <c r="BL138" s="63"/>
      <c r="BM138" s="63"/>
      <c r="BN138" s="63"/>
      <c r="BO138" s="64">
        <f>SUM(BF138:BI138,BK138:BN138)</f>
        <v>0</v>
      </c>
      <c r="BP138" s="62"/>
      <c r="BQ138" s="63"/>
      <c r="BR138" s="63"/>
      <c r="BS138" s="63"/>
      <c r="BT138" s="63"/>
      <c r="BU138" s="63"/>
      <c r="BV138" s="63"/>
      <c r="BW138" s="63"/>
      <c r="BX138" s="63"/>
      <c r="BY138" s="63"/>
      <c r="BZ138" s="64">
        <f>SUM(BQ138:BT138,BV138:BY138)</f>
        <v>0</v>
      </c>
      <c r="CA138" s="62"/>
      <c r="CB138" s="63"/>
      <c r="CC138" s="63"/>
      <c r="CD138" s="63"/>
      <c r="CE138" s="63"/>
      <c r="CF138" s="63"/>
      <c r="CG138" s="63"/>
      <c r="CH138" s="63"/>
      <c r="CI138" s="63"/>
      <c r="CJ138" s="63"/>
      <c r="CK138" s="64">
        <f>SUM(CB138:CE138,CG138:CJ138)</f>
        <v>0</v>
      </c>
      <c r="CL138" s="65">
        <f t="shared" ref="CL138:CU138" si="852">SUM(BE138,CA138,BP138)</f>
        <v>0</v>
      </c>
      <c r="CM138" s="65">
        <f t="shared" si="852"/>
        <v>0</v>
      </c>
      <c r="CN138" s="65">
        <f t="shared" si="852"/>
        <v>0</v>
      </c>
      <c r="CO138" s="65">
        <f t="shared" si="852"/>
        <v>0</v>
      </c>
      <c r="CP138" s="65">
        <f t="shared" si="852"/>
        <v>0</v>
      </c>
      <c r="CQ138" s="65">
        <f t="shared" si="852"/>
        <v>0</v>
      </c>
      <c r="CR138" s="65">
        <f t="shared" si="852"/>
        <v>0</v>
      </c>
      <c r="CS138" s="65">
        <f t="shared" si="852"/>
        <v>0</v>
      </c>
      <c r="CT138" s="65">
        <f t="shared" si="852"/>
        <v>0</v>
      </c>
      <c r="CU138" s="65">
        <f t="shared" si="852"/>
        <v>0</v>
      </c>
      <c r="CV138" s="64">
        <f>SUM(CM138:CP138,CR138:CU138)</f>
        <v>0</v>
      </c>
      <c r="CW138" s="62"/>
      <c r="CX138" s="63"/>
      <c r="CY138" s="63"/>
      <c r="CZ138" s="63"/>
      <c r="DA138" s="63"/>
      <c r="DB138" s="63"/>
      <c r="DC138" s="63"/>
      <c r="DD138" s="63"/>
      <c r="DE138" s="63"/>
      <c r="DF138" s="63"/>
      <c r="DG138" s="64">
        <f>SUM(CX138:DA138,DC138:DF138)</f>
        <v>0</v>
      </c>
      <c r="DH138" s="62"/>
      <c r="DI138" s="63"/>
      <c r="DJ138" s="63"/>
      <c r="DK138" s="63"/>
      <c r="DL138" s="63"/>
      <c r="DM138" s="63"/>
      <c r="DN138" s="63"/>
      <c r="DO138" s="63"/>
      <c r="DP138" s="63"/>
      <c r="DQ138" s="63"/>
      <c r="DR138" s="64">
        <f>SUM(DI138:DL138,DN138:DQ138)</f>
        <v>0</v>
      </c>
      <c r="DS138" s="62"/>
      <c r="DT138" s="63"/>
      <c r="DU138" s="63"/>
      <c r="DV138" s="63"/>
      <c r="DW138" s="63"/>
      <c r="DX138" s="63"/>
      <c r="DY138" s="63"/>
      <c r="DZ138" s="63"/>
      <c r="EA138" s="63"/>
      <c r="EB138" s="63"/>
      <c r="EC138" s="63"/>
      <c r="ED138" s="65">
        <f t="shared" ref="ED138:EM138" si="853">SUM(CW138,DS138,DH138)</f>
        <v>0</v>
      </c>
      <c r="EE138" s="65">
        <f t="shared" si="853"/>
        <v>0</v>
      </c>
      <c r="EF138" s="65">
        <f t="shared" si="853"/>
        <v>0</v>
      </c>
      <c r="EG138" s="65">
        <f t="shared" si="853"/>
        <v>0</v>
      </c>
      <c r="EH138" s="65">
        <f t="shared" si="853"/>
        <v>0</v>
      </c>
      <c r="EI138" s="65">
        <f t="shared" si="853"/>
        <v>0</v>
      </c>
      <c r="EJ138" s="65">
        <f t="shared" si="853"/>
        <v>0</v>
      </c>
      <c r="EK138" s="65">
        <f t="shared" si="853"/>
        <v>0</v>
      </c>
      <c r="EL138" s="65">
        <f t="shared" si="853"/>
        <v>0</v>
      </c>
      <c r="EM138" s="65">
        <f t="shared" si="853"/>
        <v>0</v>
      </c>
      <c r="EN138" s="64">
        <f>SUM(EE138:EH138,EJ138:EM138)</f>
        <v>0</v>
      </c>
      <c r="EO138" s="62"/>
      <c r="EP138" s="63"/>
      <c r="EQ138" s="63"/>
      <c r="ER138" s="63"/>
      <c r="ES138" s="63"/>
      <c r="ET138" s="63"/>
      <c r="EU138" s="63"/>
      <c r="EV138" s="63"/>
      <c r="EW138" s="63"/>
      <c r="EX138" s="63"/>
      <c r="EY138" s="64">
        <f>SUM(EP138:ES138,EU138:EX138)</f>
        <v>0</v>
      </c>
      <c r="EZ138" s="62"/>
      <c r="FA138" s="63"/>
      <c r="FB138" s="63"/>
      <c r="FC138" s="63"/>
      <c r="FD138" s="63"/>
      <c r="FE138" s="63"/>
      <c r="FF138" s="63"/>
      <c r="FG138" s="63"/>
      <c r="FH138" s="63"/>
      <c r="FI138" s="63"/>
      <c r="FJ138" s="64">
        <f>SUM(FA138:FD138,FF138:FI138)</f>
        <v>0</v>
      </c>
      <c r="FK138" s="62"/>
      <c r="FL138" s="63"/>
      <c r="FM138" s="63"/>
      <c r="FN138" s="63"/>
      <c r="FO138" s="63"/>
      <c r="FP138" s="63"/>
      <c r="FQ138" s="63"/>
      <c r="FR138" s="63"/>
      <c r="FS138" s="63"/>
      <c r="FT138" s="63"/>
      <c r="FU138" s="64">
        <f>SUM(FL138:FO138,FQ138:FT138)</f>
        <v>0</v>
      </c>
      <c r="FV138" s="65">
        <f t="shared" ref="FV138:GE138" si="854">SUM(EO138,FK138,EZ138)</f>
        <v>0</v>
      </c>
      <c r="FW138" s="65">
        <f t="shared" si="854"/>
        <v>0</v>
      </c>
      <c r="FX138" s="65">
        <f t="shared" si="854"/>
        <v>0</v>
      </c>
      <c r="FY138" s="65">
        <f t="shared" si="854"/>
        <v>0</v>
      </c>
      <c r="FZ138" s="65">
        <f t="shared" si="854"/>
        <v>0</v>
      </c>
      <c r="GA138" s="65">
        <f t="shared" si="854"/>
        <v>0</v>
      </c>
      <c r="GB138" s="65">
        <f t="shared" si="854"/>
        <v>0</v>
      </c>
      <c r="GC138" s="65">
        <f t="shared" si="854"/>
        <v>0</v>
      </c>
      <c r="GD138" s="65">
        <f t="shared" si="854"/>
        <v>0</v>
      </c>
      <c r="GE138" s="65">
        <f t="shared" si="854"/>
        <v>0</v>
      </c>
      <c r="GF138" s="64">
        <f>SUM(FW138:FZ138,GB138:GE138)</f>
        <v>0</v>
      </c>
      <c r="GG138" s="62"/>
      <c r="GH138" s="63"/>
      <c r="GI138" s="63"/>
      <c r="GJ138" s="63"/>
      <c r="GK138" s="63"/>
      <c r="GL138" s="63"/>
      <c r="GM138" s="63"/>
      <c r="GN138" s="63"/>
      <c r="GO138" s="63"/>
      <c r="GP138" s="63"/>
      <c r="GQ138" s="64">
        <f>SUM(GH138:GK138,GM138:GP138)</f>
        <v>0</v>
      </c>
      <c r="GR138" s="63"/>
      <c r="GS138" s="63"/>
      <c r="GT138" s="63"/>
      <c r="GU138" s="63"/>
      <c r="GV138" s="67">
        <f>SUM(GR138:GU138)</f>
        <v>0</v>
      </c>
      <c r="GW138" s="63"/>
      <c r="GX138" s="63"/>
      <c r="GY138" s="63"/>
      <c r="GZ138" s="63"/>
      <c r="HA138" s="67">
        <f>SUM(GW138:GZ138)</f>
        <v>0</v>
      </c>
      <c r="HB138" s="63"/>
      <c r="HC138" s="63"/>
      <c r="HD138" s="63"/>
      <c r="HE138" s="63"/>
      <c r="HF138" s="67">
        <f>SUM(HB138:HE138)</f>
        <v>0</v>
      </c>
      <c r="HG138" s="63"/>
      <c r="HH138" s="63"/>
      <c r="HI138" s="63"/>
      <c r="HJ138" s="63"/>
      <c r="HK138" s="67">
        <f>SUM(HG138:HJ138)</f>
        <v>0</v>
      </c>
      <c r="HL138" s="68">
        <f>SUM(GW138,HB138,HG138)</f>
        <v>0</v>
      </c>
      <c r="HM138" s="68">
        <f>SUM(GX138,HC138,HH138)</f>
        <v>0</v>
      </c>
      <c r="HN138" s="68">
        <f>SUM(GY138,HD138,HI138)</f>
        <v>0</v>
      </c>
      <c r="HO138" s="68">
        <f>SUM(GZ138,HE138,HJ138)</f>
        <v>0</v>
      </c>
      <c r="HP138" s="67">
        <f>SUM(HL138:HO138)</f>
        <v>0</v>
      </c>
      <c r="HQ138" s="63"/>
      <c r="HR138" s="63"/>
      <c r="HS138" s="63"/>
      <c r="HT138" s="63"/>
      <c r="HU138" s="67">
        <f>SUM(HQ138:HT138)</f>
        <v>0</v>
      </c>
      <c r="HV138" s="63"/>
      <c r="HW138" s="63"/>
      <c r="HX138" s="63"/>
      <c r="HY138" s="63"/>
      <c r="HZ138" s="67">
        <f>SUM(HV138:HY138)</f>
        <v>0</v>
      </c>
      <c r="IA138" s="63"/>
      <c r="IB138" s="63"/>
      <c r="IC138" s="63"/>
      <c r="ID138" s="63"/>
      <c r="IE138" s="67">
        <f>SUM(IA138:ID138)</f>
        <v>0</v>
      </c>
      <c r="IF138" s="68">
        <f>SUM(HQ138,HV138,IA138)</f>
        <v>0</v>
      </c>
      <c r="IG138" s="68">
        <f>SUM(HR138,HW138,IB138)</f>
        <v>0</v>
      </c>
      <c r="IH138" s="68">
        <f>SUM(HS138,HX138,IC138)</f>
        <v>0</v>
      </c>
      <c r="II138" s="68">
        <f>SUM(HT138,HY138,ID138)</f>
        <v>0</v>
      </c>
      <c r="IJ138" s="67">
        <f>SUM(IF138:II138)</f>
        <v>0</v>
      </c>
      <c r="IK138" s="63"/>
      <c r="IL138" s="63"/>
      <c r="IM138" s="63"/>
      <c r="IN138" s="63"/>
      <c r="IO138" s="67">
        <f>SUM(IK138:IN138)</f>
        <v>0</v>
      </c>
      <c r="IP138" s="63"/>
      <c r="IQ138" s="63"/>
      <c r="IR138" s="63"/>
      <c r="IS138" s="63"/>
      <c r="IT138" s="67">
        <f>SUM(IP138:IS138)</f>
        <v>0</v>
      </c>
      <c r="IU138" s="63"/>
      <c r="IV138" s="63"/>
    </row>
    <row r="139" spans="1:256" s="78" customFormat="1" ht="25.5" customHeight="1" x14ac:dyDescent="0.25">
      <c r="A139" s="139" t="s">
        <v>129</v>
      </c>
      <c r="B139" s="140"/>
      <c r="C139" s="82">
        <f t="shared" ref="C139:L139" si="855">SUM(C140:C143)</f>
        <v>0</v>
      </c>
      <c r="D139" s="82">
        <f t="shared" si="855"/>
        <v>0</v>
      </c>
      <c r="E139" s="82">
        <f t="shared" si="855"/>
        <v>0</v>
      </c>
      <c r="F139" s="82">
        <f t="shared" si="855"/>
        <v>0</v>
      </c>
      <c r="G139" s="82">
        <f t="shared" si="855"/>
        <v>26</v>
      </c>
      <c r="H139" s="82">
        <f t="shared" si="855"/>
        <v>0</v>
      </c>
      <c r="I139" s="82">
        <f t="shared" si="855"/>
        <v>0</v>
      </c>
      <c r="J139" s="82">
        <f t="shared" si="855"/>
        <v>0</v>
      </c>
      <c r="K139" s="82">
        <f t="shared" si="855"/>
        <v>0</v>
      </c>
      <c r="L139" s="82">
        <f t="shared" si="855"/>
        <v>0</v>
      </c>
      <c r="M139" s="140"/>
      <c r="N139" s="82">
        <f t="shared" ref="N139:V139" si="856">SUM(N140:N143)</f>
        <v>0</v>
      </c>
      <c r="O139" s="82">
        <f t="shared" si="856"/>
        <v>0</v>
      </c>
      <c r="P139" s="82">
        <f t="shared" si="856"/>
        <v>0</v>
      </c>
      <c r="Q139" s="82">
        <f t="shared" si="856"/>
        <v>0</v>
      </c>
      <c r="R139" s="82">
        <f t="shared" si="856"/>
        <v>0</v>
      </c>
      <c r="S139" s="82">
        <f t="shared" si="856"/>
        <v>0</v>
      </c>
      <c r="T139" s="82">
        <f t="shared" si="856"/>
        <v>0</v>
      </c>
      <c r="U139" s="82">
        <f t="shared" si="856"/>
        <v>0</v>
      </c>
      <c r="V139" s="82">
        <f t="shared" si="856"/>
        <v>0</v>
      </c>
      <c r="W139" s="82">
        <f>SUM(W140:W143)</f>
        <v>0</v>
      </c>
      <c r="X139" s="140"/>
      <c r="Y139" s="82">
        <f t="shared" ref="Y139:AG139" si="857">SUM(Y140:Y143)</f>
        <v>0</v>
      </c>
      <c r="Z139" s="82">
        <f t="shared" si="857"/>
        <v>0</v>
      </c>
      <c r="AA139" s="82">
        <f t="shared" si="857"/>
        <v>0</v>
      </c>
      <c r="AB139" s="82">
        <f t="shared" si="857"/>
        <v>0</v>
      </c>
      <c r="AC139" s="82">
        <f t="shared" si="857"/>
        <v>0</v>
      </c>
      <c r="AD139" s="82">
        <f t="shared" si="857"/>
        <v>0</v>
      </c>
      <c r="AE139" s="82">
        <f t="shared" si="857"/>
        <v>0</v>
      </c>
      <c r="AF139" s="82">
        <f t="shared" si="857"/>
        <v>0</v>
      </c>
      <c r="AG139" s="82">
        <f t="shared" si="857"/>
        <v>0</v>
      </c>
      <c r="AH139" s="82">
        <f>SUM(AH140:AH143)</f>
        <v>0</v>
      </c>
      <c r="AI139" s="140"/>
      <c r="AJ139" s="82">
        <f t="shared" ref="AJ139:AR139" si="858">SUM(AJ140:AJ143)</f>
        <v>0</v>
      </c>
      <c r="AK139" s="82">
        <f t="shared" si="858"/>
        <v>0</v>
      </c>
      <c r="AL139" s="82">
        <f t="shared" si="858"/>
        <v>0</v>
      </c>
      <c r="AM139" s="82">
        <f t="shared" si="858"/>
        <v>0</v>
      </c>
      <c r="AN139" s="82">
        <f t="shared" si="858"/>
        <v>0</v>
      </c>
      <c r="AO139" s="82">
        <f t="shared" si="858"/>
        <v>0</v>
      </c>
      <c r="AP139" s="82">
        <f t="shared" si="858"/>
        <v>0</v>
      </c>
      <c r="AQ139" s="82">
        <f t="shared" si="858"/>
        <v>0</v>
      </c>
      <c r="AR139" s="82">
        <f t="shared" si="858"/>
        <v>0</v>
      </c>
      <c r="AS139" s="82">
        <f>SUM(AS140:AS143)</f>
        <v>0</v>
      </c>
      <c r="AT139" s="140"/>
      <c r="AU139" s="82">
        <f t="shared" ref="AU139:BD139" si="859">SUM(AU140:AU143)</f>
        <v>0</v>
      </c>
      <c r="AV139" s="82">
        <f t="shared" si="859"/>
        <v>0</v>
      </c>
      <c r="AW139" s="82">
        <f t="shared" si="859"/>
        <v>0</v>
      </c>
      <c r="AX139" s="82">
        <f t="shared" si="859"/>
        <v>0</v>
      </c>
      <c r="AY139" s="82">
        <f t="shared" si="859"/>
        <v>0</v>
      </c>
      <c r="AZ139" s="82">
        <f t="shared" si="859"/>
        <v>0</v>
      </c>
      <c r="BA139" s="82">
        <f t="shared" si="859"/>
        <v>0</v>
      </c>
      <c r="BB139" s="82">
        <f t="shared" si="859"/>
        <v>0</v>
      </c>
      <c r="BC139" s="82">
        <f t="shared" si="859"/>
        <v>0</v>
      </c>
      <c r="BD139" s="82">
        <f t="shared" si="859"/>
        <v>0</v>
      </c>
      <c r="BE139" s="140"/>
      <c r="BF139" s="82">
        <f t="shared" ref="BF139:BN139" si="860">SUM(BF140:BF143)</f>
        <v>0</v>
      </c>
      <c r="BG139" s="82">
        <f t="shared" si="860"/>
        <v>0</v>
      </c>
      <c r="BH139" s="82">
        <f t="shared" si="860"/>
        <v>0</v>
      </c>
      <c r="BI139" s="82">
        <f t="shared" si="860"/>
        <v>0</v>
      </c>
      <c r="BJ139" s="82">
        <f t="shared" si="860"/>
        <v>0</v>
      </c>
      <c r="BK139" s="82">
        <f t="shared" si="860"/>
        <v>0</v>
      </c>
      <c r="BL139" s="82">
        <f t="shared" si="860"/>
        <v>0</v>
      </c>
      <c r="BM139" s="82">
        <f t="shared" si="860"/>
        <v>0</v>
      </c>
      <c r="BN139" s="82">
        <f t="shared" si="860"/>
        <v>0</v>
      </c>
      <c r="BO139" s="82">
        <f>SUM(BO140:BO143)</f>
        <v>0</v>
      </c>
      <c r="BP139" s="140"/>
      <c r="BQ139" s="82">
        <f t="shared" ref="BQ139:BY139" si="861">SUM(BQ140:BQ143)</f>
        <v>0</v>
      </c>
      <c r="BR139" s="82">
        <f t="shared" si="861"/>
        <v>0</v>
      </c>
      <c r="BS139" s="82">
        <f t="shared" si="861"/>
        <v>0</v>
      </c>
      <c r="BT139" s="82">
        <f t="shared" si="861"/>
        <v>0</v>
      </c>
      <c r="BU139" s="82">
        <f t="shared" si="861"/>
        <v>0</v>
      </c>
      <c r="BV139" s="82">
        <f t="shared" si="861"/>
        <v>0</v>
      </c>
      <c r="BW139" s="82">
        <f t="shared" si="861"/>
        <v>0</v>
      </c>
      <c r="BX139" s="82">
        <f t="shared" si="861"/>
        <v>0</v>
      </c>
      <c r="BY139" s="82">
        <f t="shared" si="861"/>
        <v>0</v>
      </c>
      <c r="BZ139" s="82">
        <f>SUM(BZ140:BZ143)</f>
        <v>0</v>
      </c>
      <c r="CA139" s="140"/>
      <c r="CB139" s="82">
        <f t="shared" ref="CB139:CJ139" si="862">SUM(CB140:CB143)</f>
        <v>0</v>
      </c>
      <c r="CC139" s="82">
        <f t="shared" si="862"/>
        <v>0</v>
      </c>
      <c r="CD139" s="82">
        <f t="shared" si="862"/>
        <v>0</v>
      </c>
      <c r="CE139" s="82">
        <f t="shared" si="862"/>
        <v>0</v>
      </c>
      <c r="CF139" s="82">
        <f t="shared" si="862"/>
        <v>0</v>
      </c>
      <c r="CG139" s="82">
        <f t="shared" si="862"/>
        <v>0</v>
      </c>
      <c r="CH139" s="82">
        <f t="shared" si="862"/>
        <v>0</v>
      </c>
      <c r="CI139" s="82">
        <f t="shared" si="862"/>
        <v>0</v>
      </c>
      <c r="CJ139" s="82">
        <f t="shared" si="862"/>
        <v>0</v>
      </c>
      <c r="CK139" s="82">
        <f>SUM(CK140:CK143)</f>
        <v>0</v>
      </c>
      <c r="CL139" s="140"/>
      <c r="CM139" s="82">
        <f t="shared" ref="CM139:CV139" si="863">SUM(CM140:CM143)</f>
        <v>0</v>
      </c>
      <c r="CN139" s="82">
        <f t="shared" si="863"/>
        <v>0</v>
      </c>
      <c r="CO139" s="82">
        <f t="shared" si="863"/>
        <v>0</v>
      </c>
      <c r="CP139" s="82">
        <f t="shared" si="863"/>
        <v>0</v>
      </c>
      <c r="CQ139" s="82">
        <f t="shared" si="863"/>
        <v>0</v>
      </c>
      <c r="CR139" s="82">
        <f t="shared" si="863"/>
        <v>0</v>
      </c>
      <c r="CS139" s="82">
        <f t="shared" si="863"/>
        <v>0</v>
      </c>
      <c r="CT139" s="82">
        <f t="shared" si="863"/>
        <v>0</v>
      </c>
      <c r="CU139" s="82">
        <f t="shared" si="863"/>
        <v>0</v>
      </c>
      <c r="CV139" s="82">
        <f t="shared" si="863"/>
        <v>0</v>
      </c>
      <c r="CW139" s="140"/>
      <c r="CX139" s="82">
        <f t="shared" ref="CX139:DF139" si="864">SUM(CX140:CX143)</f>
        <v>0</v>
      </c>
      <c r="CY139" s="82">
        <f t="shared" si="864"/>
        <v>0</v>
      </c>
      <c r="CZ139" s="82">
        <f t="shared" si="864"/>
        <v>0</v>
      </c>
      <c r="DA139" s="82">
        <f t="shared" si="864"/>
        <v>0</v>
      </c>
      <c r="DB139" s="82">
        <f t="shared" si="864"/>
        <v>0</v>
      </c>
      <c r="DC139" s="82">
        <f t="shared" si="864"/>
        <v>0</v>
      </c>
      <c r="DD139" s="82">
        <f t="shared" si="864"/>
        <v>0</v>
      </c>
      <c r="DE139" s="82">
        <f t="shared" si="864"/>
        <v>0</v>
      </c>
      <c r="DF139" s="82">
        <f t="shared" si="864"/>
        <v>0</v>
      </c>
      <c r="DG139" s="82">
        <f>SUM(DG140:DG143)</f>
        <v>0</v>
      </c>
      <c r="DH139" s="140"/>
      <c r="DI139" s="82">
        <f t="shared" ref="DI139:DQ139" si="865">SUM(DI140:DI143)</f>
        <v>0</v>
      </c>
      <c r="DJ139" s="82">
        <f t="shared" si="865"/>
        <v>0</v>
      </c>
      <c r="DK139" s="82">
        <f t="shared" si="865"/>
        <v>0</v>
      </c>
      <c r="DL139" s="82">
        <f t="shared" si="865"/>
        <v>0</v>
      </c>
      <c r="DM139" s="82">
        <f t="shared" si="865"/>
        <v>0</v>
      </c>
      <c r="DN139" s="82">
        <f t="shared" si="865"/>
        <v>0</v>
      </c>
      <c r="DO139" s="82">
        <f t="shared" si="865"/>
        <v>0</v>
      </c>
      <c r="DP139" s="82">
        <f t="shared" si="865"/>
        <v>0</v>
      </c>
      <c r="DQ139" s="82">
        <f t="shared" si="865"/>
        <v>0</v>
      </c>
      <c r="DR139" s="82">
        <f>SUM(DR140:DR143)</f>
        <v>0</v>
      </c>
      <c r="DS139" s="140"/>
      <c r="DT139" s="82">
        <f t="shared" ref="DT139:EB139" si="866">SUM(DT140:DT143)</f>
        <v>0</v>
      </c>
      <c r="DU139" s="82">
        <f t="shared" si="866"/>
        <v>0</v>
      </c>
      <c r="DV139" s="82">
        <f t="shared" si="866"/>
        <v>0</v>
      </c>
      <c r="DW139" s="82">
        <f t="shared" si="866"/>
        <v>0</v>
      </c>
      <c r="DX139" s="82">
        <f t="shared" si="866"/>
        <v>0</v>
      </c>
      <c r="DY139" s="82">
        <f t="shared" si="866"/>
        <v>0</v>
      </c>
      <c r="DZ139" s="82">
        <f t="shared" si="866"/>
        <v>0</v>
      </c>
      <c r="EA139" s="82">
        <f t="shared" si="866"/>
        <v>0</v>
      </c>
      <c r="EB139" s="82">
        <f t="shared" si="866"/>
        <v>0</v>
      </c>
      <c r="EC139" s="82">
        <f>SUM(EC140:EC143)</f>
        <v>0</v>
      </c>
      <c r="ED139" s="140"/>
      <c r="EE139" s="82">
        <f t="shared" ref="EE139:EN139" si="867">SUM(EE140:EE143)</f>
        <v>0</v>
      </c>
      <c r="EF139" s="82">
        <f t="shared" si="867"/>
        <v>0</v>
      </c>
      <c r="EG139" s="82">
        <f t="shared" si="867"/>
        <v>0</v>
      </c>
      <c r="EH139" s="82">
        <f t="shared" si="867"/>
        <v>0</v>
      </c>
      <c r="EI139" s="82">
        <f t="shared" si="867"/>
        <v>0</v>
      </c>
      <c r="EJ139" s="82">
        <f t="shared" si="867"/>
        <v>0</v>
      </c>
      <c r="EK139" s="82">
        <f t="shared" si="867"/>
        <v>0</v>
      </c>
      <c r="EL139" s="82">
        <f t="shared" si="867"/>
        <v>0</v>
      </c>
      <c r="EM139" s="82">
        <f t="shared" si="867"/>
        <v>0</v>
      </c>
      <c r="EN139" s="82">
        <f t="shared" si="867"/>
        <v>0</v>
      </c>
      <c r="EO139" s="140"/>
      <c r="EP139" s="82">
        <f t="shared" ref="EP139:EX139" si="868">SUM(EP140:EP143)</f>
        <v>0</v>
      </c>
      <c r="EQ139" s="82">
        <f t="shared" si="868"/>
        <v>0</v>
      </c>
      <c r="ER139" s="82">
        <f t="shared" si="868"/>
        <v>0</v>
      </c>
      <c r="ES139" s="82">
        <f t="shared" si="868"/>
        <v>0</v>
      </c>
      <c r="ET139" s="82">
        <f t="shared" si="868"/>
        <v>0</v>
      </c>
      <c r="EU139" s="82">
        <f t="shared" si="868"/>
        <v>0</v>
      </c>
      <c r="EV139" s="82">
        <f t="shared" si="868"/>
        <v>0</v>
      </c>
      <c r="EW139" s="82">
        <f t="shared" si="868"/>
        <v>0</v>
      </c>
      <c r="EX139" s="82">
        <f t="shared" si="868"/>
        <v>0</v>
      </c>
      <c r="EY139" s="82">
        <f>SUM(EY140:EY143)</f>
        <v>0</v>
      </c>
      <c r="EZ139" s="140"/>
      <c r="FA139" s="82">
        <f t="shared" ref="FA139:FI139" si="869">SUM(FA140:FA143)</f>
        <v>0</v>
      </c>
      <c r="FB139" s="82">
        <f t="shared" si="869"/>
        <v>0</v>
      </c>
      <c r="FC139" s="82">
        <f t="shared" si="869"/>
        <v>0</v>
      </c>
      <c r="FD139" s="82">
        <f t="shared" si="869"/>
        <v>0</v>
      </c>
      <c r="FE139" s="82">
        <f t="shared" si="869"/>
        <v>0</v>
      </c>
      <c r="FF139" s="82">
        <f t="shared" si="869"/>
        <v>0</v>
      </c>
      <c r="FG139" s="82">
        <f t="shared" si="869"/>
        <v>0</v>
      </c>
      <c r="FH139" s="82">
        <f t="shared" si="869"/>
        <v>0</v>
      </c>
      <c r="FI139" s="82">
        <f t="shared" si="869"/>
        <v>0</v>
      </c>
      <c r="FJ139" s="82">
        <f>SUM(FJ140:FJ143)</f>
        <v>0</v>
      </c>
      <c r="FK139" s="140"/>
      <c r="FL139" s="82">
        <f t="shared" ref="FL139:FT139" si="870">SUM(FL140:FL143)</f>
        <v>0</v>
      </c>
      <c r="FM139" s="82">
        <f t="shared" si="870"/>
        <v>0</v>
      </c>
      <c r="FN139" s="82">
        <f t="shared" si="870"/>
        <v>0</v>
      </c>
      <c r="FO139" s="82">
        <f t="shared" si="870"/>
        <v>0</v>
      </c>
      <c r="FP139" s="82">
        <f t="shared" si="870"/>
        <v>0</v>
      </c>
      <c r="FQ139" s="82">
        <f t="shared" si="870"/>
        <v>0</v>
      </c>
      <c r="FR139" s="82">
        <f t="shared" si="870"/>
        <v>0</v>
      </c>
      <c r="FS139" s="82">
        <f t="shared" si="870"/>
        <v>0</v>
      </c>
      <c r="FT139" s="82">
        <f t="shared" si="870"/>
        <v>0</v>
      </c>
      <c r="FU139" s="82">
        <f>SUM(FU140:FU143)</f>
        <v>0</v>
      </c>
      <c r="FV139" s="140"/>
      <c r="FW139" s="82">
        <f t="shared" ref="FW139:GF139" si="871">SUM(FW140:FW143)</f>
        <v>0</v>
      </c>
      <c r="FX139" s="82">
        <f t="shared" si="871"/>
        <v>0</v>
      </c>
      <c r="FY139" s="82">
        <f t="shared" si="871"/>
        <v>0</v>
      </c>
      <c r="FZ139" s="82">
        <f t="shared" si="871"/>
        <v>0</v>
      </c>
      <c r="GA139" s="82">
        <f t="shared" si="871"/>
        <v>0</v>
      </c>
      <c r="GB139" s="82">
        <f t="shared" si="871"/>
        <v>0</v>
      </c>
      <c r="GC139" s="82">
        <f t="shared" si="871"/>
        <v>0</v>
      </c>
      <c r="GD139" s="82">
        <f t="shared" si="871"/>
        <v>0</v>
      </c>
      <c r="GE139" s="82">
        <f t="shared" si="871"/>
        <v>0</v>
      </c>
      <c r="GF139" s="82">
        <f t="shared" si="871"/>
        <v>0</v>
      </c>
      <c r="GG139" s="140"/>
      <c r="GH139" s="82">
        <f t="shared" ref="GH139:IO139" si="872">SUM(GH140:GH143)</f>
        <v>0</v>
      </c>
      <c r="GI139" s="82">
        <f t="shared" si="872"/>
        <v>0</v>
      </c>
      <c r="GJ139" s="82">
        <f t="shared" si="872"/>
        <v>0</v>
      </c>
      <c r="GK139" s="82">
        <f t="shared" si="872"/>
        <v>0</v>
      </c>
      <c r="GL139" s="82">
        <f t="shared" si="872"/>
        <v>0</v>
      </c>
      <c r="GM139" s="82">
        <f t="shared" si="872"/>
        <v>0</v>
      </c>
      <c r="GN139" s="82">
        <f t="shared" si="872"/>
        <v>0</v>
      </c>
      <c r="GO139" s="82">
        <f t="shared" si="872"/>
        <v>0</v>
      </c>
      <c r="GP139" s="82">
        <f t="shared" si="872"/>
        <v>0</v>
      </c>
      <c r="GQ139" s="82">
        <f t="shared" si="872"/>
        <v>0</v>
      </c>
      <c r="GR139" s="82">
        <f t="shared" si="872"/>
        <v>0</v>
      </c>
      <c r="GS139" s="82">
        <f t="shared" si="872"/>
        <v>0</v>
      </c>
      <c r="GT139" s="82">
        <f t="shared" si="872"/>
        <v>0</v>
      </c>
      <c r="GU139" s="82">
        <f t="shared" si="872"/>
        <v>0</v>
      </c>
      <c r="GV139" s="82">
        <f t="shared" si="872"/>
        <v>0</v>
      </c>
      <c r="GW139" s="82">
        <f t="shared" si="872"/>
        <v>0</v>
      </c>
      <c r="GX139" s="82">
        <f t="shared" si="872"/>
        <v>0</v>
      </c>
      <c r="GY139" s="82">
        <f t="shared" si="872"/>
        <v>0</v>
      </c>
      <c r="GZ139" s="82">
        <f t="shared" si="872"/>
        <v>0</v>
      </c>
      <c r="HA139" s="82">
        <f t="shared" si="872"/>
        <v>0</v>
      </c>
      <c r="HB139" s="82">
        <f>SUM(HB140:HB143)</f>
        <v>0</v>
      </c>
      <c r="HC139" s="82">
        <f>SUM(HC140:HC143)</f>
        <v>0</v>
      </c>
      <c r="HD139" s="82">
        <f>SUM(HD140:HD143)</f>
        <v>0</v>
      </c>
      <c r="HE139" s="82">
        <f>SUM(HE140:HE143)</f>
        <v>0</v>
      </c>
      <c r="HF139" s="82">
        <f t="shared" si="872"/>
        <v>0</v>
      </c>
      <c r="HG139" s="82">
        <f t="shared" si="872"/>
        <v>0</v>
      </c>
      <c r="HH139" s="82">
        <f t="shared" si="872"/>
        <v>0</v>
      </c>
      <c r="HI139" s="82">
        <f t="shared" si="872"/>
        <v>0</v>
      </c>
      <c r="HJ139" s="82">
        <f t="shared" si="872"/>
        <v>0</v>
      </c>
      <c r="HK139" s="82">
        <f t="shared" si="872"/>
        <v>0</v>
      </c>
      <c r="HL139" s="82">
        <f t="shared" si="872"/>
        <v>0</v>
      </c>
      <c r="HM139" s="82">
        <f t="shared" si="872"/>
        <v>0</v>
      </c>
      <c r="HN139" s="82">
        <f t="shared" si="872"/>
        <v>0</v>
      </c>
      <c r="HO139" s="82">
        <f t="shared" si="872"/>
        <v>0</v>
      </c>
      <c r="HP139" s="82">
        <f t="shared" si="872"/>
        <v>0</v>
      </c>
      <c r="HQ139" s="82">
        <f>SUM(HQ140:HQ143)</f>
        <v>0</v>
      </c>
      <c r="HR139" s="82">
        <f>SUM(HR140:HR143)</f>
        <v>0</v>
      </c>
      <c r="HS139" s="82">
        <f>SUM(HS140:HS143)</f>
        <v>0</v>
      </c>
      <c r="HT139" s="82">
        <f>SUM(HT140:HT143)</f>
        <v>0</v>
      </c>
      <c r="HU139" s="82">
        <f t="shared" si="872"/>
        <v>0</v>
      </c>
      <c r="HV139" s="82">
        <f t="shared" si="872"/>
        <v>0</v>
      </c>
      <c r="HW139" s="82">
        <f t="shared" si="872"/>
        <v>0</v>
      </c>
      <c r="HX139" s="82">
        <f t="shared" si="872"/>
        <v>0</v>
      </c>
      <c r="HY139" s="82">
        <f t="shared" si="872"/>
        <v>0</v>
      </c>
      <c r="HZ139" s="82">
        <f t="shared" si="872"/>
        <v>0</v>
      </c>
      <c r="IA139" s="82">
        <f>SUM(IA140:IA143)</f>
        <v>0</v>
      </c>
      <c r="IB139" s="82">
        <f>SUM(IB140:IB143)</f>
        <v>0</v>
      </c>
      <c r="IC139" s="82">
        <f>SUM(IC140:IC143)</f>
        <v>0</v>
      </c>
      <c r="ID139" s="82">
        <f>SUM(ID140:ID143)</f>
        <v>0</v>
      </c>
      <c r="IE139" s="82">
        <f t="shared" si="872"/>
        <v>0</v>
      </c>
      <c r="IF139" s="82">
        <f t="shared" si="872"/>
        <v>0</v>
      </c>
      <c r="IG139" s="82">
        <f t="shared" si="872"/>
        <v>0</v>
      </c>
      <c r="IH139" s="82">
        <f t="shared" si="872"/>
        <v>0</v>
      </c>
      <c r="II139" s="82">
        <f t="shared" si="872"/>
        <v>0</v>
      </c>
      <c r="IJ139" s="82">
        <f t="shared" si="872"/>
        <v>0</v>
      </c>
      <c r="IK139" s="82">
        <f t="shared" si="872"/>
        <v>0</v>
      </c>
      <c r="IL139" s="82">
        <f t="shared" si="872"/>
        <v>0</v>
      </c>
      <c r="IM139" s="82">
        <f t="shared" si="872"/>
        <v>0</v>
      </c>
      <c r="IN139" s="82">
        <f t="shared" si="872"/>
        <v>0</v>
      </c>
      <c r="IO139" s="82">
        <f t="shared" si="872"/>
        <v>0</v>
      </c>
      <c r="IP139" s="82">
        <f t="shared" ref="IP139:IV139" si="873">SUM(IP140:IP143)</f>
        <v>0</v>
      </c>
      <c r="IQ139" s="82">
        <f t="shared" si="873"/>
        <v>0</v>
      </c>
      <c r="IR139" s="82">
        <f t="shared" si="873"/>
        <v>0</v>
      </c>
      <c r="IS139" s="82">
        <f t="shared" si="873"/>
        <v>0</v>
      </c>
      <c r="IT139" s="82">
        <f t="shared" si="873"/>
        <v>0</v>
      </c>
      <c r="IU139" s="82">
        <f t="shared" si="873"/>
        <v>0</v>
      </c>
      <c r="IV139" s="82">
        <f t="shared" si="873"/>
        <v>0</v>
      </c>
    </row>
    <row r="140" spans="1:256" ht="12.75" customHeight="1" x14ac:dyDescent="0.25">
      <c r="A140" s="83" t="s">
        <v>130</v>
      </c>
      <c r="B140" s="62"/>
      <c r="C140" s="63"/>
      <c r="D140" s="63"/>
      <c r="E140" s="63"/>
      <c r="F140" s="63"/>
      <c r="G140" s="63"/>
      <c r="H140" s="63"/>
      <c r="I140" s="63"/>
      <c r="J140" s="63"/>
      <c r="K140" s="63"/>
      <c r="L140" s="64">
        <f>SUM(C140:F140,H140:K140)</f>
        <v>0</v>
      </c>
      <c r="M140" s="62"/>
      <c r="N140" s="63"/>
      <c r="O140" s="63"/>
      <c r="P140" s="63"/>
      <c r="Q140" s="63"/>
      <c r="R140" s="63"/>
      <c r="S140" s="63"/>
      <c r="T140" s="63"/>
      <c r="U140" s="63"/>
      <c r="V140" s="63"/>
      <c r="W140" s="64">
        <f>SUM(N140:Q140,S140:V140)</f>
        <v>0</v>
      </c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4">
        <f>SUM(Y140:AB140,AD140:AG140)</f>
        <v>0</v>
      </c>
      <c r="AI140" s="62"/>
      <c r="AJ140" s="63"/>
      <c r="AK140" s="63"/>
      <c r="AL140" s="63"/>
      <c r="AM140" s="63"/>
      <c r="AN140" s="63"/>
      <c r="AO140" s="63"/>
      <c r="AP140" s="63"/>
      <c r="AQ140" s="63"/>
      <c r="AR140" s="63"/>
      <c r="AS140" s="64">
        <f>SUM(AJ140:AM140,AO140:AR140)</f>
        <v>0</v>
      </c>
      <c r="AT140" s="65">
        <f t="shared" ref="AT140:BC142" si="874">SUM(M140,AI140,X140)</f>
        <v>0</v>
      </c>
      <c r="AU140" s="65">
        <f t="shared" si="874"/>
        <v>0</v>
      </c>
      <c r="AV140" s="65">
        <f t="shared" si="874"/>
        <v>0</v>
      </c>
      <c r="AW140" s="65">
        <f t="shared" si="874"/>
        <v>0</v>
      </c>
      <c r="AX140" s="65">
        <f t="shared" si="874"/>
        <v>0</v>
      </c>
      <c r="AY140" s="65">
        <f t="shared" si="874"/>
        <v>0</v>
      </c>
      <c r="AZ140" s="65">
        <f t="shared" si="874"/>
        <v>0</v>
      </c>
      <c r="BA140" s="65">
        <f t="shared" si="874"/>
        <v>0</v>
      </c>
      <c r="BB140" s="65">
        <f t="shared" si="874"/>
        <v>0</v>
      </c>
      <c r="BC140" s="65">
        <f t="shared" si="874"/>
        <v>0</v>
      </c>
      <c r="BD140" s="64">
        <f>SUM(AU140:AX140,AZ140:BC140)</f>
        <v>0</v>
      </c>
      <c r="BE140" s="62"/>
      <c r="BF140" s="63"/>
      <c r="BG140" s="63"/>
      <c r="BH140" s="63"/>
      <c r="BI140" s="63"/>
      <c r="BJ140" s="63"/>
      <c r="BK140" s="63"/>
      <c r="BL140" s="63"/>
      <c r="BM140" s="63"/>
      <c r="BN140" s="63"/>
      <c r="BO140" s="64">
        <f>SUM(BF140:BI140,BK140:BN140)</f>
        <v>0</v>
      </c>
      <c r="BP140" s="62"/>
      <c r="BQ140" s="63"/>
      <c r="BR140" s="63"/>
      <c r="BS140" s="63"/>
      <c r="BT140" s="63"/>
      <c r="BU140" s="63"/>
      <c r="BV140" s="63"/>
      <c r="BW140" s="63"/>
      <c r="BX140" s="63"/>
      <c r="BY140" s="63"/>
      <c r="BZ140" s="64">
        <f>SUM(BQ140:BT140,BV140:BY140)</f>
        <v>0</v>
      </c>
      <c r="CA140" s="62"/>
      <c r="CB140" s="63"/>
      <c r="CC140" s="63"/>
      <c r="CD140" s="63"/>
      <c r="CE140" s="63"/>
      <c r="CF140" s="63"/>
      <c r="CG140" s="63"/>
      <c r="CH140" s="63"/>
      <c r="CI140" s="63"/>
      <c r="CJ140" s="63"/>
      <c r="CK140" s="64">
        <f>SUM(CB140:CE140,CG140:CJ140)</f>
        <v>0</v>
      </c>
      <c r="CL140" s="65">
        <f t="shared" ref="CL140:CU142" si="875">SUM(BE140,CA140,BP140)</f>
        <v>0</v>
      </c>
      <c r="CM140" s="65">
        <f t="shared" si="875"/>
        <v>0</v>
      </c>
      <c r="CN140" s="65">
        <f t="shared" si="875"/>
        <v>0</v>
      </c>
      <c r="CO140" s="65">
        <f t="shared" si="875"/>
        <v>0</v>
      </c>
      <c r="CP140" s="65">
        <f t="shared" si="875"/>
        <v>0</v>
      </c>
      <c r="CQ140" s="65">
        <f t="shared" si="875"/>
        <v>0</v>
      </c>
      <c r="CR140" s="65">
        <f t="shared" si="875"/>
        <v>0</v>
      </c>
      <c r="CS140" s="65">
        <f t="shared" si="875"/>
        <v>0</v>
      </c>
      <c r="CT140" s="65">
        <f t="shared" si="875"/>
        <v>0</v>
      </c>
      <c r="CU140" s="65">
        <f t="shared" si="875"/>
        <v>0</v>
      </c>
      <c r="CV140" s="64">
        <f>SUM(CM140:CP140,CR140:CU140)</f>
        <v>0</v>
      </c>
      <c r="CW140" s="62"/>
      <c r="CX140" s="63"/>
      <c r="CY140" s="63"/>
      <c r="CZ140" s="63"/>
      <c r="DA140" s="63"/>
      <c r="DB140" s="63"/>
      <c r="DC140" s="63"/>
      <c r="DD140" s="63"/>
      <c r="DE140" s="63"/>
      <c r="DF140" s="63"/>
      <c r="DG140" s="64">
        <f>SUM(CX140:DA140,DC140:DF140)</f>
        <v>0</v>
      </c>
      <c r="DH140" s="62"/>
      <c r="DI140" s="63"/>
      <c r="DJ140" s="63"/>
      <c r="DK140" s="63"/>
      <c r="DL140" s="63"/>
      <c r="DM140" s="63"/>
      <c r="DN140" s="63"/>
      <c r="DO140" s="63"/>
      <c r="DP140" s="63"/>
      <c r="DQ140" s="63"/>
      <c r="DR140" s="64">
        <f>SUM(DI140:DL140,DN140:DQ140)</f>
        <v>0</v>
      </c>
      <c r="DS140" s="62"/>
      <c r="DT140" s="63"/>
      <c r="DU140" s="63"/>
      <c r="DV140" s="63"/>
      <c r="DW140" s="63"/>
      <c r="DX140" s="63"/>
      <c r="DY140" s="63"/>
      <c r="DZ140" s="63"/>
      <c r="EA140" s="63"/>
      <c r="EB140" s="63"/>
      <c r="EC140" s="63"/>
      <c r="ED140" s="65">
        <f t="shared" ref="ED140:EM142" si="876">SUM(CW140,DS140,DH140)</f>
        <v>0</v>
      </c>
      <c r="EE140" s="65">
        <f t="shared" si="876"/>
        <v>0</v>
      </c>
      <c r="EF140" s="65">
        <f t="shared" si="876"/>
        <v>0</v>
      </c>
      <c r="EG140" s="65">
        <f t="shared" si="876"/>
        <v>0</v>
      </c>
      <c r="EH140" s="65">
        <f t="shared" si="876"/>
        <v>0</v>
      </c>
      <c r="EI140" s="65">
        <f t="shared" si="876"/>
        <v>0</v>
      </c>
      <c r="EJ140" s="65">
        <f t="shared" si="876"/>
        <v>0</v>
      </c>
      <c r="EK140" s="65">
        <f t="shared" si="876"/>
        <v>0</v>
      </c>
      <c r="EL140" s="65">
        <f t="shared" si="876"/>
        <v>0</v>
      </c>
      <c r="EM140" s="65">
        <f t="shared" si="876"/>
        <v>0</v>
      </c>
      <c r="EN140" s="64">
        <f>SUM(EE140:EH140,EJ140:EM140)</f>
        <v>0</v>
      </c>
      <c r="EO140" s="62"/>
      <c r="EP140" s="63"/>
      <c r="EQ140" s="63"/>
      <c r="ER140" s="63"/>
      <c r="ES140" s="63"/>
      <c r="ET140" s="63"/>
      <c r="EU140" s="63"/>
      <c r="EV140" s="63"/>
      <c r="EW140" s="63"/>
      <c r="EX140" s="63"/>
      <c r="EY140" s="64">
        <f>SUM(EP140:ES140,EU140:EX140)</f>
        <v>0</v>
      </c>
      <c r="EZ140" s="62"/>
      <c r="FA140" s="63"/>
      <c r="FB140" s="63"/>
      <c r="FC140" s="63"/>
      <c r="FD140" s="63"/>
      <c r="FE140" s="63"/>
      <c r="FF140" s="63"/>
      <c r="FG140" s="63"/>
      <c r="FH140" s="63"/>
      <c r="FI140" s="63"/>
      <c r="FJ140" s="64">
        <f>SUM(FA140:FD140,FF140:FI140)</f>
        <v>0</v>
      </c>
      <c r="FK140" s="62"/>
      <c r="FL140" s="63"/>
      <c r="FM140" s="63"/>
      <c r="FN140" s="63"/>
      <c r="FO140" s="63"/>
      <c r="FP140" s="63"/>
      <c r="FQ140" s="63"/>
      <c r="FR140" s="63"/>
      <c r="FS140" s="63"/>
      <c r="FT140" s="63"/>
      <c r="FU140" s="64">
        <f>SUM(FL140:FO140,FQ140:FT140)</f>
        <v>0</v>
      </c>
      <c r="FV140" s="65">
        <f t="shared" ref="FV140:GE142" si="877">SUM(EO140,FK140,EZ140)</f>
        <v>0</v>
      </c>
      <c r="FW140" s="65">
        <f t="shared" si="877"/>
        <v>0</v>
      </c>
      <c r="FX140" s="65">
        <f t="shared" si="877"/>
        <v>0</v>
      </c>
      <c r="FY140" s="65">
        <f t="shared" si="877"/>
        <v>0</v>
      </c>
      <c r="FZ140" s="65">
        <f t="shared" si="877"/>
        <v>0</v>
      </c>
      <c r="GA140" s="65">
        <f t="shared" si="877"/>
        <v>0</v>
      </c>
      <c r="GB140" s="65">
        <f t="shared" si="877"/>
        <v>0</v>
      </c>
      <c r="GC140" s="65">
        <f t="shared" si="877"/>
        <v>0</v>
      </c>
      <c r="GD140" s="65">
        <f t="shared" si="877"/>
        <v>0</v>
      </c>
      <c r="GE140" s="65">
        <f t="shared" si="877"/>
        <v>0</v>
      </c>
      <c r="GF140" s="64">
        <f>SUM(FW140:FZ140,GB140:GE140)</f>
        <v>0</v>
      </c>
      <c r="GG140" s="66">
        <f t="shared" ref="GG140:GP142" si="878">SUM(AT140,CL140,ED140,FV140)</f>
        <v>0</v>
      </c>
      <c r="GH140" s="66">
        <f t="shared" si="878"/>
        <v>0</v>
      </c>
      <c r="GI140" s="66">
        <f t="shared" si="878"/>
        <v>0</v>
      </c>
      <c r="GJ140" s="66">
        <f t="shared" si="878"/>
        <v>0</v>
      </c>
      <c r="GK140" s="66">
        <f t="shared" si="878"/>
        <v>0</v>
      </c>
      <c r="GL140" s="66">
        <f t="shared" si="878"/>
        <v>0</v>
      </c>
      <c r="GM140" s="66">
        <f t="shared" si="878"/>
        <v>0</v>
      </c>
      <c r="GN140" s="66">
        <f t="shared" si="878"/>
        <v>0</v>
      </c>
      <c r="GO140" s="66">
        <f t="shared" si="878"/>
        <v>0</v>
      </c>
      <c r="GP140" s="66">
        <f t="shared" si="878"/>
        <v>0</v>
      </c>
      <c r="GQ140" s="64">
        <f>SUM(GH140:GK140,GM140:GP140)</f>
        <v>0</v>
      </c>
      <c r="GR140" s="63"/>
      <c r="GS140" s="63"/>
      <c r="GT140" s="63"/>
      <c r="GU140" s="63"/>
      <c r="GV140" s="67">
        <f>SUM(GR140:GU140)</f>
        <v>0</v>
      </c>
      <c r="GW140" s="63"/>
      <c r="GX140" s="63"/>
      <c r="GY140" s="63"/>
      <c r="GZ140" s="63"/>
      <c r="HA140" s="67">
        <f>SUM(GW140:GZ140)</f>
        <v>0</v>
      </c>
      <c r="HB140" s="63"/>
      <c r="HC140" s="63"/>
      <c r="HD140" s="63"/>
      <c r="HE140" s="63"/>
      <c r="HF140" s="67">
        <f>SUM(HB140:HE140)</f>
        <v>0</v>
      </c>
      <c r="HG140" s="63"/>
      <c r="HH140" s="63"/>
      <c r="HI140" s="63"/>
      <c r="HJ140" s="63"/>
      <c r="HK140" s="67">
        <f>SUM(HG140:HJ140)</f>
        <v>0</v>
      </c>
      <c r="HL140" s="68">
        <f t="shared" ref="HL140:HO142" si="879">SUM(GW140,HB140,HG140)</f>
        <v>0</v>
      </c>
      <c r="HM140" s="68">
        <f t="shared" si="879"/>
        <v>0</v>
      </c>
      <c r="HN140" s="68">
        <f t="shared" si="879"/>
        <v>0</v>
      </c>
      <c r="HO140" s="68">
        <f t="shared" si="879"/>
        <v>0</v>
      </c>
      <c r="HP140" s="67">
        <f>SUM(HL140:HO140)</f>
        <v>0</v>
      </c>
      <c r="HQ140" s="63"/>
      <c r="HR140" s="63"/>
      <c r="HS140" s="63"/>
      <c r="HT140" s="63"/>
      <c r="HU140" s="67">
        <f>SUM(HQ140:HT140)</f>
        <v>0</v>
      </c>
      <c r="HV140" s="63"/>
      <c r="HW140" s="63"/>
      <c r="HX140" s="63"/>
      <c r="HY140" s="63"/>
      <c r="HZ140" s="67">
        <f>SUM(HV140:HY140)</f>
        <v>0</v>
      </c>
      <c r="IA140" s="63"/>
      <c r="IB140" s="63"/>
      <c r="IC140" s="63"/>
      <c r="ID140" s="63"/>
      <c r="IE140" s="67">
        <f>SUM(IA140:ID140)</f>
        <v>0</v>
      </c>
      <c r="IF140" s="68">
        <f t="shared" ref="IF140:II142" si="880">SUM(HQ140,HV140,IA140)</f>
        <v>0</v>
      </c>
      <c r="IG140" s="68">
        <f t="shared" si="880"/>
        <v>0</v>
      </c>
      <c r="IH140" s="68">
        <f t="shared" si="880"/>
        <v>0</v>
      </c>
      <c r="II140" s="68">
        <f t="shared" si="880"/>
        <v>0</v>
      </c>
      <c r="IJ140" s="67">
        <f>SUM(IF140:II140)</f>
        <v>0</v>
      </c>
      <c r="IK140" s="63"/>
      <c r="IL140" s="63"/>
      <c r="IM140" s="63"/>
      <c r="IN140" s="63"/>
      <c r="IO140" s="67">
        <f>SUM(IK140:IN140)</f>
        <v>0</v>
      </c>
      <c r="IP140" s="63"/>
      <c r="IQ140" s="63"/>
      <c r="IR140" s="63"/>
      <c r="IS140" s="63"/>
      <c r="IT140" s="67">
        <f>SUM(IP140:IS140)</f>
        <v>0</v>
      </c>
      <c r="IU140" s="63"/>
      <c r="IV140" s="63"/>
    </row>
    <row r="141" spans="1:256" ht="12.75" customHeight="1" x14ac:dyDescent="0.25">
      <c r="A141" s="84" t="s">
        <v>131</v>
      </c>
      <c r="B141" s="62"/>
      <c r="C141" s="63"/>
      <c r="D141" s="63"/>
      <c r="E141" s="63"/>
      <c r="F141" s="63"/>
      <c r="G141" s="63"/>
      <c r="H141" s="63"/>
      <c r="I141" s="63"/>
      <c r="J141" s="63"/>
      <c r="K141" s="63"/>
      <c r="L141" s="64">
        <f>SUM(C141:F141,H141:K141)</f>
        <v>0</v>
      </c>
      <c r="M141" s="62"/>
      <c r="N141" s="63"/>
      <c r="O141" s="63"/>
      <c r="P141" s="63"/>
      <c r="Q141" s="63"/>
      <c r="R141" s="63"/>
      <c r="S141" s="63"/>
      <c r="T141" s="63"/>
      <c r="U141" s="63"/>
      <c r="V141" s="63"/>
      <c r="W141" s="64">
        <f>SUM(N141:Q141,S141:V141)</f>
        <v>0</v>
      </c>
      <c r="X141" s="62"/>
      <c r="Y141" s="63"/>
      <c r="Z141" s="63"/>
      <c r="AA141" s="63"/>
      <c r="AB141" s="63"/>
      <c r="AC141" s="63"/>
      <c r="AD141" s="63"/>
      <c r="AE141" s="63"/>
      <c r="AF141" s="63"/>
      <c r="AG141" s="63"/>
      <c r="AH141" s="64">
        <f>SUM(Y141:AB141,AD141:AG141)</f>
        <v>0</v>
      </c>
      <c r="AI141" s="62"/>
      <c r="AJ141" s="63"/>
      <c r="AK141" s="63"/>
      <c r="AL141" s="63"/>
      <c r="AM141" s="63"/>
      <c r="AN141" s="63"/>
      <c r="AO141" s="63"/>
      <c r="AP141" s="63"/>
      <c r="AQ141" s="63"/>
      <c r="AR141" s="63"/>
      <c r="AS141" s="64">
        <f>SUM(AJ141:AM141,AO141:AR141)</f>
        <v>0</v>
      </c>
      <c r="AT141" s="65">
        <f t="shared" si="874"/>
        <v>0</v>
      </c>
      <c r="AU141" s="65">
        <f t="shared" si="874"/>
        <v>0</v>
      </c>
      <c r="AV141" s="65">
        <f t="shared" si="874"/>
        <v>0</v>
      </c>
      <c r="AW141" s="65">
        <f t="shared" si="874"/>
        <v>0</v>
      </c>
      <c r="AX141" s="65">
        <f t="shared" si="874"/>
        <v>0</v>
      </c>
      <c r="AY141" s="65">
        <f t="shared" si="874"/>
        <v>0</v>
      </c>
      <c r="AZ141" s="65">
        <f t="shared" si="874"/>
        <v>0</v>
      </c>
      <c r="BA141" s="65">
        <f t="shared" si="874"/>
        <v>0</v>
      </c>
      <c r="BB141" s="65">
        <f t="shared" si="874"/>
        <v>0</v>
      </c>
      <c r="BC141" s="65">
        <f t="shared" si="874"/>
        <v>0</v>
      </c>
      <c r="BD141" s="64">
        <f>SUM(AU141:AX141,AZ141:BC141)</f>
        <v>0</v>
      </c>
      <c r="BE141" s="62"/>
      <c r="BF141" s="63"/>
      <c r="BG141" s="63"/>
      <c r="BH141" s="63"/>
      <c r="BI141" s="63"/>
      <c r="BJ141" s="63"/>
      <c r="BK141" s="63"/>
      <c r="BL141" s="63"/>
      <c r="BM141" s="63"/>
      <c r="BN141" s="63"/>
      <c r="BO141" s="64">
        <f>SUM(BF141:BI141,BK141:BN141)</f>
        <v>0</v>
      </c>
      <c r="BP141" s="62"/>
      <c r="BQ141" s="63"/>
      <c r="BR141" s="63"/>
      <c r="BS141" s="63"/>
      <c r="BT141" s="63"/>
      <c r="BU141" s="63"/>
      <c r="BV141" s="63"/>
      <c r="BW141" s="63"/>
      <c r="BX141" s="63"/>
      <c r="BY141" s="63"/>
      <c r="BZ141" s="64">
        <f>SUM(BQ141:BT141,BV141:BY141)</f>
        <v>0</v>
      </c>
      <c r="CA141" s="62"/>
      <c r="CB141" s="63"/>
      <c r="CC141" s="63"/>
      <c r="CD141" s="63"/>
      <c r="CE141" s="63"/>
      <c r="CF141" s="63"/>
      <c r="CG141" s="63"/>
      <c r="CH141" s="63"/>
      <c r="CI141" s="63"/>
      <c r="CJ141" s="63"/>
      <c r="CK141" s="64">
        <f>SUM(CB141:CE141,CG141:CJ141)</f>
        <v>0</v>
      </c>
      <c r="CL141" s="65">
        <f t="shared" si="875"/>
        <v>0</v>
      </c>
      <c r="CM141" s="65">
        <f t="shared" si="875"/>
        <v>0</v>
      </c>
      <c r="CN141" s="65">
        <f t="shared" si="875"/>
        <v>0</v>
      </c>
      <c r="CO141" s="65">
        <f t="shared" si="875"/>
        <v>0</v>
      </c>
      <c r="CP141" s="65">
        <f t="shared" si="875"/>
        <v>0</v>
      </c>
      <c r="CQ141" s="65">
        <f t="shared" si="875"/>
        <v>0</v>
      </c>
      <c r="CR141" s="65">
        <f t="shared" si="875"/>
        <v>0</v>
      </c>
      <c r="CS141" s="65">
        <f t="shared" si="875"/>
        <v>0</v>
      </c>
      <c r="CT141" s="65">
        <f t="shared" si="875"/>
        <v>0</v>
      </c>
      <c r="CU141" s="65">
        <f t="shared" si="875"/>
        <v>0</v>
      </c>
      <c r="CV141" s="64">
        <f>SUM(CM141:CP141,CR141:CU141)</f>
        <v>0</v>
      </c>
      <c r="CW141" s="62"/>
      <c r="CX141" s="63"/>
      <c r="CY141" s="63"/>
      <c r="CZ141" s="63"/>
      <c r="DA141" s="63"/>
      <c r="DB141" s="63"/>
      <c r="DC141" s="63"/>
      <c r="DD141" s="63"/>
      <c r="DE141" s="63"/>
      <c r="DF141" s="63"/>
      <c r="DG141" s="64">
        <f>SUM(CX141:DA141,DC141:DF141)</f>
        <v>0</v>
      </c>
      <c r="DH141" s="62"/>
      <c r="DI141" s="63"/>
      <c r="DJ141" s="63"/>
      <c r="DK141" s="63"/>
      <c r="DL141" s="63"/>
      <c r="DM141" s="63"/>
      <c r="DN141" s="63"/>
      <c r="DO141" s="63"/>
      <c r="DP141" s="63"/>
      <c r="DQ141" s="63"/>
      <c r="DR141" s="64">
        <f>SUM(DI141:DL141,DN141:DQ141)</f>
        <v>0</v>
      </c>
      <c r="DS141" s="62"/>
      <c r="DT141" s="63"/>
      <c r="DU141" s="63"/>
      <c r="DV141" s="63"/>
      <c r="DW141" s="63"/>
      <c r="DX141" s="63"/>
      <c r="DY141" s="63"/>
      <c r="DZ141" s="63"/>
      <c r="EA141" s="63"/>
      <c r="EB141" s="63"/>
      <c r="EC141" s="63"/>
      <c r="ED141" s="65">
        <f t="shared" si="876"/>
        <v>0</v>
      </c>
      <c r="EE141" s="65">
        <f t="shared" si="876"/>
        <v>0</v>
      </c>
      <c r="EF141" s="65">
        <f t="shared" si="876"/>
        <v>0</v>
      </c>
      <c r="EG141" s="65">
        <f t="shared" si="876"/>
        <v>0</v>
      </c>
      <c r="EH141" s="65">
        <f t="shared" si="876"/>
        <v>0</v>
      </c>
      <c r="EI141" s="65">
        <f t="shared" si="876"/>
        <v>0</v>
      </c>
      <c r="EJ141" s="65">
        <f t="shared" si="876"/>
        <v>0</v>
      </c>
      <c r="EK141" s="65">
        <f t="shared" si="876"/>
        <v>0</v>
      </c>
      <c r="EL141" s="65">
        <f t="shared" si="876"/>
        <v>0</v>
      </c>
      <c r="EM141" s="65">
        <f t="shared" si="876"/>
        <v>0</v>
      </c>
      <c r="EN141" s="64">
        <f>SUM(EE141:EH141,EJ141:EM141)</f>
        <v>0</v>
      </c>
      <c r="EO141" s="62"/>
      <c r="EP141" s="63"/>
      <c r="EQ141" s="63"/>
      <c r="ER141" s="63"/>
      <c r="ES141" s="63"/>
      <c r="ET141" s="63"/>
      <c r="EU141" s="63"/>
      <c r="EV141" s="63"/>
      <c r="EW141" s="63"/>
      <c r="EX141" s="63"/>
      <c r="EY141" s="64">
        <f>SUM(EP141:ES141,EU141:EX141)</f>
        <v>0</v>
      </c>
      <c r="EZ141" s="62"/>
      <c r="FA141" s="63"/>
      <c r="FB141" s="63"/>
      <c r="FC141" s="63"/>
      <c r="FD141" s="63"/>
      <c r="FE141" s="63"/>
      <c r="FF141" s="63"/>
      <c r="FG141" s="63"/>
      <c r="FH141" s="63"/>
      <c r="FI141" s="63"/>
      <c r="FJ141" s="64">
        <f>SUM(FA141:FD141,FF141:FI141)</f>
        <v>0</v>
      </c>
      <c r="FK141" s="62"/>
      <c r="FL141" s="63"/>
      <c r="FM141" s="63"/>
      <c r="FN141" s="63"/>
      <c r="FO141" s="63"/>
      <c r="FP141" s="63"/>
      <c r="FQ141" s="63"/>
      <c r="FR141" s="63"/>
      <c r="FS141" s="63"/>
      <c r="FT141" s="63"/>
      <c r="FU141" s="64">
        <f>SUM(FL141:FO141,FQ141:FT141)</f>
        <v>0</v>
      </c>
      <c r="FV141" s="65">
        <f t="shared" si="877"/>
        <v>0</v>
      </c>
      <c r="FW141" s="65">
        <f t="shared" si="877"/>
        <v>0</v>
      </c>
      <c r="FX141" s="65">
        <f t="shared" si="877"/>
        <v>0</v>
      </c>
      <c r="FY141" s="65">
        <f t="shared" si="877"/>
        <v>0</v>
      </c>
      <c r="FZ141" s="65">
        <f t="shared" si="877"/>
        <v>0</v>
      </c>
      <c r="GA141" s="65">
        <f t="shared" si="877"/>
        <v>0</v>
      </c>
      <c r="GB141" s="65">
        <f t="shared" si="877"/>
        <v>0</v>
      </c>
      <c r="GC141" s="65">
        <f t="shared" si="877"/>
        <v>0</v>
      </c>
      <c r="GD141" s="65">
        <f t="shared" si="877"/>
        <v>0</v>
      </c>
      <c r="GE141" s="65">
        <f t="shared" si="877"/>
        <v>0</v>
      </c>
      <c r="GF141" s="64">
        <f>SUM(FW141:FZ141,GB141:GE141)</f>
        <v>0</v>
      </c>
      <c r="GG141" s="66">
        <f t="shared" si="878"/>
        <v>0</v>
      </c>
      <c r="GH141" s="66">
        <f t="shared" si="878"/>
        <v>0</v>
      </c>
      <c r="GI141" s="66">
        <f t="shared" si="878"/>
        <v>0</v>
      </c>
      <c r="GJ141" s="66">
        <f t="shared" si="878"/>
        <v>0</v>
      </c>
      <c r="GK141" s="66">
        <f t="shared" si="878"/>
        <v>0</v>
      </c>
      <c r="GL141" s="66">
        <f t="shared" si="878"/>
        <v>0</v>
      </c>
      <c r="GM141" s="66">
        <f t="shared" si="878"/>
        <v>0</v>
      </c>
      <c r="GN141" s="66">
        <f t="shared" si="878"/>
        <v>0</v>
      </c>
      <c r="GO141" s="66">
        <f t="shared" si="878"/>
        <v>0</v>
      </c>
      <c r="GP141" s="66">
        <f t="shared" si="878"/>
        <v>0</v>
      </c>
      <c r="GQ141" s="64">
        <f>SUM(GH141:GK141,GM141:GP141)</f>
        <v>0</v>
      </c>
      <c r="GR141" s="63"/>
      <c r="GS141" s="63"/>
      <c r="GT141" s="63"/>
      <c r="GU141" s="63"/>
      <c r="GV141" s="67">
        <f>SUM(GR141:GU141)</f>
        <v>0</v>
      </c>
      <c r="GW141" s="63"/>
      <c r="GX141" s="63"/>
      <c r="GY141" s="63"/>
      <c r="GZ141" s="63"/>
      <c r="HA141" s="67">
        <f>SUM(GW141:GZ141)</f>
        <v>0</v>
      </c>
      <c r="HB141" s="63"/>
      <c r="HC141" s="63"/>
      <c r="HD141" s="63"/>
      <c r="HE141" s="63"/>
      <c r="HF141" s="67">
        <f>SUM(HB141:HE141)</f>
        <v>0</v>
      </c>
      <c r="HG141" s="63"/>
      <c r="HH141" s="63"/>
      <c r="HI141" s="63"/>
      <c r="HJ141" s="63"/>
      <c r="HK141" s="67">
        <f>SUM(HG141:HJ141)</f>
        <v>0</v>
      </c>
      <c r="HL141" s="68">
        <f t="shared" si="879"/>
        <v>0</v>
      </c>
      <c r="HM141" s="68">
        <f t="shared" si="879"/>
        <v>0</v>
      </c>
      <c r="HN141" s="68">
        <f t="shared" si="879"/>
        <v>0</v>
      </c>
      <c r="HO141" s="68">
        <f t="shared" si="879"/>
        <v>0</v>
      </c>
      <c r="HP141" s="67">
        <f>SUM(HL141:HO141)</f>
        <v>0</v>
      </c>
      <c r="HQ141" s="63"/>
      <c r="HR141" s="63"/>
      <c r="HS141" s="63"/>
      <c r="HT141" s="63"/>
      <c r="HU141" s="67">
        <f>SUM(HQ141:HT141)</f>
        <v>0</v>
      </c>
      <c r="HV141" s="63"/>
      <c r="HW141" s="63"/>
      <c r="HX141" s="63"/>
      <c r="HY141" s="63"/>
      <c r="HZ141" s="67">
        <f>SUM(HV141:HY141)</f>
        <v>0</v>
      </c>
      <c r="IA141" s="63"/>
      <c r="IB141" s="63"/>
      <c r="IC141" s="63"/>
      <c r="ID141" s="63"/>
      <c r="IE141" s="67">
        <f>SUM(IA141:ID141)</f>
        <v>0</v>
      </c>
      <c r="IF141" s="68">
        <f t="shared" si="880"/>
        <v>0</v>
      </c>
      <c r="IG141" s="68">
        <f t="shared" si="880"/>
        <v>0</v>
      </c>
      <c r="IH141" s="68">
        <f t="shared" si="880"/>
        <v>0</v>
      </c>
      <c r="II141" s="68">
        <f t="shared" si="880"/>
        <v>0</v>
      </c>
      <c r="IJ141" s="67">
        <f>SUM(IF141:II141)</f>
        <v>0</v>
      </c>
      <c r="IK141" s="63"/>
      <c r="IL141" s="63"/>
      <c r="IM141" s="63"/>
      <c r="IN141" s="63"/>
      <c r="IO141" s="67">
        <f>SUM(IK141:IN141)</f>
        <v>0</v>
      </c>
      <c r="IP141" s="63"/>
      <c r="IQ141" s="63"/>
      <c r="IR141" s="63"/>
      <c r="IS141" s="63"/>
      <c r="IT141" s="67">
        <f>SUM(IP141:IS141)</f>
        <v>0</v>
      </c>
      <c r="IU141" s="63"/>
      <c r="IV141" s="63"/>
    </row>
    <row r="142" spans="1:256" ht="12.75" customHeight="1" x14ac:dyDescent="0.25">
      <c r="A142" s="84" t="s">
        <v>132</v>
      </c>
      <c r="B142" s="62"/>
      <c r="C142" s="63"/>
      <c r="D142" s="63"/>
      <c r="E142" s="63"/>
      <c r="F142" s="63"/>
      <c r="G142" s="63"/>
      <c r="H142" s="63"/>
      <c r="I142" s="63"/>
      <c r="J142" s="63"/>
      <c r="K142" s="63"/>
      <c r="L142" s="64">
        <f>SUM(C142:F142,H142:K142)</f>
        <v>0</v>
      </c>
      <c r="M142" s="62"/>
      <c r="N142" s="63"/>
      <c r="O142" s="63"/>
      <c r="P142" s="63"/>
      <c r="Q142" s="63"/>
      <c r="R142" s="63"/>
      <c r="S142" s="63"/>
      <c r="T142" s="63"/>
      <c r="U142" s="63"/>
      <c r="V142" s="63"/>
      <c r="W142" s="64">
        <f>SUM(N142:Q142,S142:V142)</f>
        <v>0</v>
      </c>
      <c r="X142" s="62"/>
      <c r="Y142" s="63"/>
      <c r="Z142" s="63"/>
      <c r="AA142" s="63"/>
      <c r="AB142" s="63"/>
      <c r="AC142" s="63"/>
      <c r="AD142" s="63"/>
      <c r="AE142" s="63"/>
      <c r="AF142" s="63"/>
      <c r="AG142" s="63"/>
      <c r="AH142" s="64">
        <f>SUM(Y142:AB142,AD142:AG142)</f>
        <v>0</v>
      </c>
      <c r="AI142" s="62"/>
      <c r="AJ142" s="63"/>
      <c r="AK142" s="63"/>
      <c r="AL142" s="63"/>
      <c r="AM142" s="63"/>
      <c r="AN142" s="63"/>
      <c r="AO142" s="63"/>
      <c r="AP142" s="63"/>
      <c r="AQ142" s="63"/>
      <c r="AR142" s="63"/>
      <c r="AS142" s="64">
        <f>SUM(AJ142:AM142,AO142:AR142)</f>
        <v>0</v>
      </c>
      <c r="AT142" s="65">
        <f t="shared" si="874"/>
        <v>0</v>
      </c>
      <c r="AU142" s="65">
        <f t="shared" si="874"/>
        <v>0</v>
      </c>
      <c r="AV142" s="65">
        <f t="shared" si="874"/>
        <v>0</v>
      </c>
      <c r="AW142" s="65">
        <f t="shared" si="874"/>
        <v>0</v>
      </c>
      <c r="AX142" s="65">
        <f t="shared" si="874"/>
        <v>0</v>
      </c>
      <c r="AY142" s="65">
        <f t="shared" si="874"/>
        <v>0</v>
      </c>
      <c r="AZ142" s="65">
        <f t="shared" si="874"/>
        <v>0</v>
      </c>
      <c r="BA142" s="65">
        <f t="shared" si="874"/>
        <v>0</v>
      </c>
      <c r="BB142" s="65">
        <f t="shared" si="874"/>
        <v>0</v>
      </c>
      <c r="BC142" s="65">
        <f t="shared" si="874"/>
        <v>0</v>
      </c>
      <c r="BD142" s="64">
        <f>SUM(AU142:AX142,AZ142:BC142)</f>
        <v>0</v>
      </c>
      <c r="BE142" s="62"/>
      <c r="BF142" s="63"/>
      <c r="BG142" s="63"/>
      <c r="BH142" s="63"/>
      <c r="BI142" s="63"/>
      <c r="BJ142" s="63"/>
      <c r="BK142" s="63"/>
      <c r="BL142" s="63"/>
      <c r="BM142" s="63"/>
      <c r="BN142" s="63"/>
      <c r="BO142" s="64">
        <f>SUM(BF142:BI142,BK142:BN142)</f>
        <v>0</v>
      </c>
      <c r="BP142" s="62"/>
      <c r="BQ142" s="63"/>
      <c r="BR142" s="63"/>
      <c r="BS142" s="63"/>
      <c r="BT142" s="63"/>
      <c r="BU142" s="63"/>
      <c r="BV142" s="63"/>
      <c r="BW142" s="63"/>
      <c r="BX142" s="63"/>
      <c r="BY142" s="63"/>
      <c r="BZ142" s="64">
        <f>SUM(BQ142:BT142,BV142:BY142)</f>
        <v>0</v>
      </c>
      <c r="CA142" s="62"/>
      <c r="CB142" s="63"/>
      <c r="CC142" s="63"/>
      <c r="CD142" s="63"/>
      <c r="CE142" s="63"/>
      <c r="CF142" s="63"/>
      <c r="CG142" s="63"/>
      <c r="CH142" s="63"/>
      <c r="CI142" s="63"/>
      <c r="CJ142" s="63"/>
      <c r="CK142" s="64">
        <f>SUM(CB142:CE142,CG142:CJ142)</f>
        <v>0</v>
      </c>
      <c r="CL142" s="65">
        <f t="shared" si="875"/>
        <v>0</v>
      </c>
      <c r="CM142" s="65">
        <f t="shared" si="875"/>
        <v>0</v>
      </c>
      <c r="CN142" s="65">
        <f t="shared" si="875"/>
        <v>0</v>
      </c>
      <c r="CO142" s="65">
        <f t="shared" si="875"/>
        <v>0</v>
      </c>
      <c r="CP142" s="65">
        <f t="shared" si="875"/>
        <v>0</v>
      </c>
      <c r="CQ142" s="65">
        <f t="shared" si="875"/>
        <v>0</v>
      </c>
      <c r="CR142" s="65">
        <f t="shared" si="875"/>
        <v>0</v>
      </c>
      <c r="CS142" s="65">
        <f t="shared" si="875"/>
        <v>0</v>
      </c>
      <c r="CT142" s="65">
        <f t="shared" si="875"/>
        <v>0</v>
      </c>
      <c r="CU142" s="65">
        <f t="shared" si="875"/>
        <v>0</v>
      </c>
      <c r="CV142" s="64">
        <f>SUM(CM142:CP142,CR142:CU142)</f>
        <v>0</v>
      </c>
      <c r="CW142" s="62"/>
      <c r="CX142" s="63"/>
      <c r="CY142" s="63"/>
      <c r="CZ142" s="63"/>
      <c r="DA142" s="63"/>
      <c r="DB142" s="63"/>
      <c r="DC142" s="63"/>
      <c r="DD142" s="63"/>
      <c r="DE142" s="63"/>
      <c r="DF142" s="63"/>
      <c r="DG142" s="64">
        <f>SUM(CX142:DA142,DC142:DF142)</f>
        <v>0</v>
      </c>
      <c r="DH142" s="62"/>
      <c r="DI142" s="63"/>
      <c r="DJ142" s="63"/>
      <c r="DK142" s="63"/>
      <c r="DL142" s="63"/>
      <c r="DM142" s="63"/>
      <c r="DN142" s="63"/>
      <c r="DO142" s="63"/>
      <c r="DP142" s="63"/>
      <c r="DQ142" s="63"/>
      <c r="DR142" s="64">
        <f>SUM(DI142:DL142,DN142:DQ142)</f>
        <v>0</v>
      </c>
      <c r="DS142" s="62"/>
      <c r="DT142" s="63"/>
      <c r="DU142" s="63"/>
      <c r="DV142" s="63"/>
      <c r="DW142" s="63"/>
      <c r="DX142" s="63"/>
      <c r="DY142" s="63"/>
      <c r="DZ142" s="63"/>
      <c r="EA142" s="63"/>
      <c r="EB142" s="63"/>
      <c r="EC142" s="63"/>
      <c r="ED142" s="65">
        <f t="shared" si="876"/>
        <v>0</v>
      </c>
      <c r="EE142" s="65">
        <f t="shared" si="876"/>
        <v>0</v>
      </c>
      <c r="EF142" s="65">
        <f t="shared" si="876"/>
        <v>0</v>
      </c>
      <c r="EG142" s="65">
        <f t="shared" si="876"/>
        <v>0</v>
      </c>
      <c r="EH142" s="65">
        <f t="shared" si="876"/>
        <v>0</v>
      </c>
      <c r="EI142" s="65">
        <f t="shared" si="876"/>
        <v>0</v>
      </c>
      <c r="EJ142" s="65">
        <f t="shared" si="876"/>
        <v>0</v>
      </c>
      <c r="EK142" s="65">
        <f t="shared" si="876"/>
        <v>0</v>
      </c>
      <c r="EL142" s="65">
        <f t="shared" si="876"/>
        <v>0</v>
      </c>
      <c r="EM142" s="65">
        <f t="shared" si="876"/>
        <v>0</v>
      </c>
      <c r="EN142" s="64">
        <f>SUM(EE142:EH142,EJ142:EM142)</f>
        <v>0</v>
      </c>
      <c r="EO142" s="62"/>
      <c r="EP142" s="63"/>
      <c r="EQ142" s="63"/>
      <c r="ER142" s="63"/>
      <c r="ES142" s="63"/>
      <c r="ET142" s="63"/>
      <c r="EU142" s="63"/>
      <c r="EV142" s="63"/>
      <c r="EW142" s="63"/>
      <c r="EX142" s="63"/>
      <c r="EY142" s="64">
        <f>SUM(EP142:ES142,EU142:EX142)</f>
        <v>0</v>
      </c>
      <c r="EZ142" s="62"/>
      <c r="FA142" s="63"/>
      <c r="FB142" s="63"/>
      <c r="FC142" s="63"/>
      <c r="FD142" s="63"/>
      <c r="FE142" s="63"/>
      <c r="FF142" s="63"/>
      <c r="FG142" s="63"/>
      <c r="FH142" s="63"/>
      <c r="FI142" s="63"/>
      <c r="FJ142" s="64">
        <f>SUM(FA142:FD142,FF142:FI142)</f>
        <v>0</v>
      </c>
      <c r="FK142" s="62"/>
      <c r="FL142" s="63"/>
      <c r="FM142" s="63"/>
      <c r="FN142" s="63"/>
      <c r="FO142" s="63"/>
      <c r="FP142" s="63"/>
      <c r="FQ142" s="63"/>
      <c r="FR142" s="63"/>
      <c r="FS142" s="63"/>
      <c r="FT142" s="63"/>
      <c r="FU142" s="64">
        <f>SUM(FL142:FO142,FQ142:FT142)</f>
        <v>0</v>
      </c>
      <c r="FV142" s="65">
        <f t="shared" si="877"/>
        <v>0</v>
      </c>
      <c r="FW142" s="65">
        <f t="shared" si="877"/>
        <v>0</v>
      </c>
      <c r="FX142" s="65">
        <f t="shared" si="877"/>
        <v>0</v>
      </c>
      <c r="FY142" s="65">
        <f t="shared" si="877"/>
        <v>0</v>
      </c>
      <c r="FZ142" s="65">
        <f t="shared" si="877"/>
        <v>0</v>
      </c>
      <c r="GA142" s="65">
        <f t="shared" si="877"/>
        <v>0</v>
      </c>
      <c r="GB142" s="65">
        <f t="shared" si="877"/>
        <v>0</v>
      </c>
      <c r="GC142" s="65">
        <f t="shared" si="877"/>
        <v>0</v>
      </c>
      <c r="GD142" s="65">
        <f t="shared" si="877"/>
        <v>0</v>
      </c>
      <c r="GE142" s="65">
        <f t="shared" si="877"/>
        <v>0</v>
      </c>
      <c r="GF142" s="64">
        <f>SUM(FW142:FZ142,GB142:GE142)</f>
        <v>0</v>
      </c>
      <c r="GG142" s="66">
        <f t="shared" si="878"/>
        <v>0</v>
      </c>
      <c r="GH142" s="66">
        <f t="shared" si="878"/>
        <v>0</v>
      </c>
      <c r="GI142" s="66">
        <f t="shared" si="878"/>
        <v>0</v>
      </c>
      <c r="GJ142" s="66">
        <f t="shared" si="878"/>
        <v>0</v>
      </c>
      <c r="GK142" s="66">
        <f t="shared" si="878"/>
        <v>0</v>
      </c>
      <c r="GL142" s="66">
        <f t="shared" si="878"/>
        <v>0</v>
      </c>
      <c r="GM142" s="66">
        <f t="shared" si="878"/>
        <v>0</v>
      </c>
      <c r="GN142" s="66">
        <f t="shared" si="878"/>
        <v>0</v>
      </c>
      <c r="GO142" s="66">
        <f t="shared" si="878"/>
        <v>0</v>
      </c>
      <c r="GP142" s="66">
        <f t="shared" si="878"/>
        <v>0</v>
      </c>
      <c r="GQ142" s="64">
        <f>SUM(GH142:GK142,GM142:GP142)</f>
        <v>0</v>
      </c>
      <c r="GR142" s="63"/>
      <c r="GS142" s="63"/>
      <c r="GT142" s="63"/>
      <c r="GU142" s="63"/>
      <c r="GV142" s="67">
        <f>SUM(GR142:GU142)</f>
        <v>0</v>
      </c>
      <c r="GW142" s="63"/>
      <c r="GX142" s="63"/>
      <c r="GY142" s="63"/>
      <c r="GZ142" s="63"/>
      <c r="HA142" s="67">
        <f>SUM(GW142:GZ142)</f>
        <v>0</v>
      </c>
      <c r="HB142" s="63"/>
      <c r="HC142" s="63"/>
      <c r="HD142" s="63"/>
      <c r="HE142" s="63"/>
      <c r="HF142" s="67">
        <f>SUM(HB142:HE142)</f>
        <v>0</v>
      </c>
      <c r="HG142" s="63"/>
      <c r="HH142" s="63"/>
      <c r="HI142" s="63"/>
      <c r="HJ142" s="63"/>
      <c r="HK142" s="67">
        <f>SUM(HG142:HJ142)</f>
        <v>0</v>
      </c>
      <c r="HL142" s="68">
        <f t="shared" si="879"/>
        <v>0</v>
      </c>
      <c r="HM142" s="68">
        <f t="shared" si="879"/>
        <v>0</v>
      </c>
      <c r="HN142" s="68">
        <f t="shared" si="879"/>
        <v>0</v>
      </c>
      <c r="HO142" s="68">
        <f t="shared" si="879"/>
        <v>0</v>
      </c>
      <c r="HP142" s="67">
        <f>SUM(HL142:HO142)</f>
        <v>0</v>
      </c>
      <c r="HQ142" s="63"/>
      <c r="HR142" s="63"/>
      <c r="HS142" s="63"/>
      <c r="HT142" s="63"/>
      <c r="HU142" s="67">
        <f>SUM(HQ142:HT142)</f>
        <v>0</v>
      </c>
      <c r="HV142" s="63"/>
      <c r="HW142" s="63"/>
      <c r="HX142" s="63"/>
      <c r="HY142" s="63"/>
      <c r="HZ142" s="67">
        <f>SUM(HV142:HY142)</f>
        <v>0</v>
      </c>
      <c r="IA142" s="63"/>
      <c r="IB142" s="63"/>
      <c r="IC142" s="63"/>
      <c r="ID142" s="63"/>
      <c r="IE142" s="67">
        <f>SUM(IA142:ID142)</f>
        <v>0</v>
      </c>
      <c r="IF142" s="68">
        <f t="shared" si="880"/>
        <v>0</v>
      </c>
      <c r="IG142" s="68">
        <f t="shared" si="880"/>
        <v>0</v>
      </c>
      <c r="IH142" s="68">
        <f t="shared" si="880"/>
        <v>0</v>
      </c>
      <c r="II142" s="68">
        <f t="shared" si="880"/>
        <v>0</v>
      </c>
      <c r="IJ142" s="67">
        <f>SUM(IF142:II142)</f>
        <v>0</v>
      </c>
      <c r="IK142" s="63"/>
      <c r="IL142" s="63"/>
      <c r="IM142" s="63"/>
      <c r="IN142" s="63"/>
      <c r="IO142" s="67">
        <f>SUM(IK142:IN142)</f>
        <v>0</v>
      </c>
      <c r="IP142" s="63"/>
      <c r="IQ142" s="63"/>
      <c r="IR142" s="63"/>
      <c r="IS142" s="63"/>
      <c r="IT142" s="67">
        <f>SUM(IP142:IS142)</f>
        <v>0</v>
      </c>
      <c r="IU142" s="63"/>
      <c r="IV142" s="63"/>
    </row>
    <row r="143" spans="1:256" ht="12.75" customHeight="1" x14ac:dyDescent="0.25">
      <c r="A143" s="84" t="s">
        <v>133</v>
      </c>
      <c r="B143" s="96">
        <f t="shared" ref="B143:K143" si="881">SUM(B144:B154)</f>
        <v>32</v>
      </c>
      <c r="C143" s="96">
        <f t="shared" si="881"/>
        <v>0</v>
      </c>
      <c r="D143" s="96">
        <f t="shared" si="881"/>
        <v>0</v>
      </c>
      <c r="E143" s="96">
        <f t="shared" si="881"/>
        <v>0</v>
      </c>
      <c r="F143" s="96">
        <f t="shared" si="881"/>
        <v>0</v>
      </c>
      <c r="G143" s="96">
        <f t="shared" si="881"/>
        <v>26</v>
      </c>
      <c r="H143" s="96">
        <f t="shared" si="881"/>
        <v>0</v>
      </c>
      <c r="I143" s="96">
        <f t="shared" si="881"/>
        <v>0</v>
      </c>
      <c r="J143" s="96">
        <f t="shared" si="881"/>
        <v>0</v>
      </c>
      <c r="K143" s="96">
        <f t="shared" si="881"/>
        <v>0</v>
      </c>
      <c r="L143" s="96">
        <f>SUM(L144:L154)</f>
        <v>0</v>
      </c>
      <c r="M143" s="141"/>
      <c r="N143" s="96">
        <f t="shared" ref="N143:V143" si="882">SUM(N144:N154)</f>
        <v>0</v>
      </c>
      <c r="O143" s="96">
        <f t="shared" si="882"/>
        <v>0</v>
      </c>
      <c r="P143" s="96">
        <f t="shared" si="882"/>
        <v>0</v>
      </c>
      <c r="Q143" s="96">
        <f t="shared" si="882"/>
        <v>0</v>
      </c>
      <c r="R143" s="96">
        <f t="shared" si="882"/>
        <v>0</v>
      </c>
      <c r="S143" s="96">
        <f t="shared" si="882"/>
        <v>0</v>
      </c>
      <c r="T143" s="96">
        <f t="shared" si="882"/>
        <v>0</v>
      </c>
      <c r="U143" s="96">
        <f t="shared" si="882"/>
        <v>0</v>
      </c>
      <c r="V143" s="96">
        <f t="shared" si="882"/>
        <v>0</v>
      </c>
      <c r="W143" s="96">
        <f>SUM(W144:W154)</f>
        <v>0</v>
      </c>
      <c r="X143" s="141"/>
      <c r="Y143" s="96">
        <f t="shared" ref="Y143:AG143" si="883">SUM(Y144:Y154)</f>
        <v>0</v>
      </c>
      <c r="Z143" s="96">
        <f t="shared" si="883"/>
        <v>0</v>
      </c>
      <c r="AA143" s="96">
        <f t="shared" si="883"/>
        <v>0</v>
      </c>
      <c r="AB143" s="96">
        <f t="shared" si="883"/>
        <v>0</v>
      </c>
      <c r="AC143" s="96">
        <f t="shared" si="883"/>
        <v>0</v>
      </c>
      <c r="AD143" s="96">
        <f t="shared" si="883"/>
        <v>0</v>
      </c>
      <c r="AE143" s="96">
        <f t="shared" si="883"/>
        <v>0</v>
      </c>
      <c r="AF143" s="96">
        <f t="shared" si="883"/>
        <v>0</v>
      </c>
      <c r="AG143" s="96">
        <f t="shared" si="883"/>
        <v>0</v>
      </c>
      <c r="AH143" s="96">
        <f>SUM(AH144:AH154)</f>
        <v>0</v>
      </c>
      <c r="AI143" s="141"/>
      <c r="AJ143" s="96">
        <f t="shared" ref="AJ143:AR143" si="884">SUM(AJ144:AJ154)</f>
        <v>0</v>
      </c>
      <c r="AK143" s="96">
        <f t="shared" si="884"/>
        <v>0</v>
      </c>
      <c r="AL143" s="96">
        <f t="shared" si="884"/>
        <v>0</v>
      </c>
      <c r="AM143" s="96">
        <f t="shared" si="884"/>
        <v>0</v>
      </c>
      <c r="AN143" s="96">
        <f t="shared" si="884"/>
        <v>0</v>
      </c>
      <c r="AO143" s="96">
        <f t="shared" si="884"/>
        <v>0</v>
      </c>
      <c r="AP143" s="96">
        <f t="shared" si="884"/>
        <v>0</v>
      </c>
      <c r="AQ143" s="96">
        <f t="shared" si="884"/>
        <v>0</v>
      </c>
      <c r="AR143" s="96">
        <f t="shared" si="884"/>
        <v>0</v>
      </c>
      <c r="AS143" s="96">
        <f>SUM(AS144:AS154)</f>
        <v>0</v>
      </c>
      <c r="AT143" s="142"/>
      <c r="AU143" s="96">
        <f>SUM(AU144:AU154)</f>
        <v>0</v>
      </c>
      <c r="AV143" s="96">
        <f t="shared" ref="AV143:BC143" si="885">SUM(AV144:AV154)</f>
        <v>0</v>
      </c>
      <c r="AW143" s="96">
        <f t="shared" si="885"/>
        <v>0</v>
      </c>
      <c r="AX143" s="96">
        <f t="shared" si="885"/>
        <v>0</v>
      </c>
      <c r="AY143" s="96">
        <f t="shared" si="885"/>
        <v>0</v>
      </c>
      <c r="AZ143" s="96">
        <f t="shared" si="885"/>
        <v>0</v>
      </c>
      <c r="BA143" s="96">
        <f t="shared" si="885"/>
        <v>0</v>
      </c>
      <c r="BB143" s="96">
        <f t="shared" si="885"/>
        <v>0</v>
      </c>
      <c r="BC143" s="96">
        <f t="shared" si="885"/>
        <v>0</v>
      </c>
      <c r="BD143" s="96">
        <f>SUM(BD144:BD154)</f>
        <v>0</v>
      </c>
      <c r="BE143" s="141"/>
      <c r="BF143" s="96">
        <f t="shared" ref="BF143:BN143" si="886">SUM(BF144:BF154)</f>
        <v>0</v>
      </c>
      <c r="BG143" s="96">
        <f t="shared" si="886"/>
        <v>0</v>
      </c>
      <c r="BH143" s="96">
        <f t="shared" si="886"/>
        <v>0</v>
      </c>
      <c r="BI143" s="96">
        <f t="shared" si="886"/>
        <v>0</v>
      </c>
      <c r="BJ143" s="96">
        <f t="shared" si="886"/>
        <v>0</v>
      </c>
      <c r="BK143" s="96">
        <f t="shared" si="886"/>
        <v>0</v>
      </c>
      <c r="BL143" s="96">
        <f t="shared" si="886"/>
        <v>0</v>
      </c>
      <c r="BM143" s="96">
        <f t="shared" si="886"/>
        <v>0</v>
      </c>
      <c r="BN143" s="96">
        <f t="shared" si="886"/>
        <v>0</v>
      </c>
      <c r="BO143" s="96">
        <f>SUM(BO144:BO154)</f>
        <v>0</v>
      </c>
      <c r="BP143" s="141"/>
      <c r="BQ143" s="96">
        <f t="shared" ref="BQ143:BY143" si="887">SUM(BQ144:BQ154)</f>
        <v>0</v>
      </c>
      <c r="BR143" s="96">
        <f t="shared" si="887"/>
        <v>0</v>
      </c>
      <c r="BS143" s="96">
        <f t="shared" si="887"/>
        <v>0</v>
      </c>
      <c r="BT143" s="96">
        <f t="shared" si="887"/>
        <v>0</v>
      </c>
      <c r="BU143" s="96">
        <f t="shared" si="887"/>
        <v>0</v>
      </c>
      <c r="BV143" s="96">
        <f t="shared" si="887"/>
        <v>0</v>
      </c>
      <c r="BW143" s="96">
        <f t="shared" si="887"/>
        <v>0</v>
      </c>
      <c r="BX143" s="96">
        <f t="shared" si="887"/>
        <v>0</v>
      </c>
      <c r="BY143" s="96">
        <f t="shared" si="887"/>
        <v>0</v>
      </c>
      <c r="BZ143" s="96">
        <f>SUM(BZ144:BZ154)</f>
        <v>0</v>
      </c>
      <c r="CA143" s="141"/>
      <c r="CB143" s="96">
        <f t="shared" ref="CB143:CJ143" si="888">SUM(CB144:CB154)</f>
        <v>0</v>
      </c>
      <c r="CC143" s="96">
        <f t="shared" si="888"/>
        <v>0</v>
      </c>
      <c r="CD143" s="96">
        <f t="shared" si="888"/>
        <v>0</v>
      </c>
      <c r="CE143" s="96">
        <f t="shared" si="888"/>
        <v>0</v>
      </c>
      <c r="CF143" s="96">
        <f t="shared" si="888"/>
        <v>0</v>
      </c>
      <c r="CG143" s="96">
        <f t="shared" si="888"/>
        <v>0</v>
      </c>
      <c r="CH143" s="96">
        <f t="shared" si="888"/>
        <v>0</v>
      </c>
      <c r="CI143" s="96">
        <f t="shared" si="888"/>
        <v>0</v>
      </c>
      <c r="CJ143" s="96">
        <f t="shared" si="888"/>
        <v>0</v>
      </c>
      <c r="CK143" s="96">
        <f>SUM(CK144:CK154)</f>
        <v>0</v>
      </c>
      <c r="CL143" s="142"/>
      <c r="CM143" s="96">
        <f>SUM(CM144:CM154)</f>
        <v>0</v>
      </c>
      <c r="CN143" s="96">
        <f t="shared" ref="CN143:CU143" si="889">SUM(CN144:CN154)</f>
        <v>0</v>
      </c>
      <c r="CO143" s="96">
        <f t="shared" si="889"/>
        <v>0</v>
      </c>
      <c r="CP143" s="96">
        <f t="shared" si="889"/>
        <v>0</v>
      </c>
      <c r="CQ143" s="96">
        <f t="shared" si="889"/>
        <v>0</v>
      </c>
      <c r="CR143" s="96">
        <f t="shared" si="889"/>
        <v>0</v>
      </c>
      <c r="CS143" s="96">
        <f t="shared" si="889"/>
        <v>0</v>
      </c>
      <c r="CT143" s="96">
        <f t="shared" si="889"/>
        <v>0</v>
      </c>
      <c r="CU143" s="96">
        <f t="shared" si="889"/>
        <v>0</v>
      </c>
      <c r="CV143" s="96">
        <f>SUM(CV144:CV154)</f>
        <v>0</v>
      </c>
      <c r="CW143" s="141"/>
      <c r="CX143" s="96">
        <f t="shared" ref="CX143:DF143" si="890">SUM(CX144:CX154)</f>
        <v>0</v>
      </c>
      <c r="CY143" s="96">
        <f t="shared" si="890"/>
        <v>0</v>
      </c>
      <c r="CZ143" s="96">
        <f t="shared" si="890"/>
        <v>0</v>
      </c>
      <c r="DA143" s="96">
        <f t="shared" si="890"/>
        <v>0</v>
      </c>
      <c r="DB143" s="96">
        <f t="shared" si="890"/>
        <v>0</v>
      </c>
      <c r="DC143" s="96">
        <f t="shared" si="890"/>
        <v>0</v>
      </c>
      <c r="DD143" s="96">
        <f t="shared" si="890"/>
        <v>0</v>
      </c>
      <c r="DE143" s="96">
        <f t="shared" si="890"/>
        <v>0</v>
      </c>
      <c r="DF143" s="96">
        <f t="shared" si="890"/>
        <v>0</v>
      </c>
      <c r="DG143" s="96">
        <f>SUM(DG144:DG154)</f>
        <v>0</v>
      </c>
      <c r="DH143" s="141"/>
      <c r="DI143" s="96">
        <f t="shared" ref="DI143:DQ143" si="891">SUM(DI144:DI154)</f>
        <v>0</v>
      </c>
      <c r="DJ143" s="96">
        <f t="shared" si="891"/>
        <v>0</v>
      </c>
      <c r="DK143" s="96">
        <f t="shared" si="891"/>
        <v>0</v>
      </c>
      <c r="DL143" s="96">
        <f t="shared" si="891"/>
        <v>0</v>
      </c>
      <c r="DM143" s="96">
        <f t="shared" si="891"/>
        <v>0</v>
      </c>
      <c r="DN143" s="96">
        <f t="shared" si="891"/>
        <v>0</v>
      </c>
      <c r="DO143" s="96">
        <f t="shared" si="891"/>
        <v>0</v>
      </c>
      <c r="DP143" s="96">
        <f t="shared" si="891"/>
        <v>0</v>
      </c>
      <c r="DQ143" s="96">
        <f t="shared" si="891"/>
        <v>0</v>
      </c>
      <c r="DR143" s="96">
        <f>SUM(DR144:DR154)</f>
        <v>0</v>
      </c>
      <c r="DS143" s="141"/>
      <c r="DT143" s="96">
        <f t="shared" ref="DT143:EB143" si="892">SUM(DT144:DT154)</f>
        <v>0</v>
      </c>
      <c r="DU143" s="96">
        <f t="shared" si="892"/>
        <v>0</v>
      </c>
      <c r="DV143" s="96">
        <f t="shared" si="892"/>
        <v>0</v>
      </c>
      <c r="DW143" s="96">
        <f t="shared" si="892"/>
        <v>0</v>
      </c>
      <c r="DX143" s="96">
        <f t="shared" si="892"/>
        <v>0</v>
      </c>
      <c r="DY143" s="96">
        <f t="shared" si="892"/>
        <v>0</v>
      </c>
      <c r="DZ143" s="96">
        <f t="shared" si="892"/>
        <v>0</v>
      </c>
      <c r="EA143" s="96">
        <f t="shared" si="892"/>
        <v>0</v>
      </c>
      <c r="EB143" s="96">
        <f t="shared" si="892"/>
        <v>0</v>
      </c>
      <c r="EC143" s="96">
        <f>SUM(EC144:EC154)</f>
        <v>0</v>
      </c>
      <c r="ED143" s="142"/>
      <c r="EE143" s="96">
        <f>SUM(EE144:EE154)</f>
        <v>0</v>
      </c>
      <c r="EF143" s="96">
        <f t="shared" ref="EF143:EM143" si="893">SUM(EF144:EF154)</f>
        <v>0</v>
      </c>
      <c r="EG143" s="96">
        <f t="shared" si="893"/>
        <v>0</v>
      </c>
      <c r="EH143" s="96">
        <f t="shared" si="893"/>
        <v>0</v>
      </c>
      <c r="EI143" s="96">
        <f t="shared" si="893"/>
        <v>0</v>
      </c>
      <c r="EJ143" s="96">
        <f t="shared" si="893"/>
        <v>0</v>
      </c>
      <c r="EK143" s="96">
        <f t="shared" si="893"/>
        <v>0</v>
      </c>
      <c r="EL143" s="96">
        <f t="shared" si="893"/>
        <v>0</v>
      </c>
      <c r="EM143" s="96">
        <f t="shared" si="893"/>
        <v>0</v>
      </c>
      <c r="EN143" s="96">
        <f>SUM(EN144:EN154)</f>
        <v>0</v>
      </c>
      <c r="EO143" s="141"/>
      <c r="EP143" s="96">
        <f t="shared" ref="EP143:EX143" si="894">SUM(EP144:EP154)</f>
        <v>0</v>
      </c>
      <c r="EQ143" s="96">
        <f t="shared" si="894"/>
        <v>0</v>
      </c>
      <c r="ER143" s="96">
        <f t="shared" si="894"/>
        <v>0</v>
      </c>
      <c r="ES143" s="96">
        <f t="shared" si="894"/>
        <v>0</v>
      </c>
      <c r="ET143" s="96">
        <f t="shared" si="894"/>
        <v>0</v>
      </c>
      <c r="EU143" s="96">
        <f t="shared" si="894"/>
        <v>0</v>
      </c>
      <c r="EV143" s="96">
        <f t="shared" si="894"/>
        <v>0</v>
      </c>
      <c r="EW143" s="96">
        <f t="shared" si="894"/>
        <v>0</v>
      </c>
      <c r="EX143" s="96">
        <f t="shared" si="894"/>
        <v>0</v>
      </c>
      <c r="EY143" s="96">
        <f>SUM(EY144:EY154)</f>
        <v>0</v>
      </c>
      <c r="EZ143" s="141"/>
      <c r="FA143" s="96">
        <f t="shared" ref="FA143:FI143" si="895">SUM(FA144:FA154)</f>
        <v>0</v>
      </c>
      <c r="FB143" s="96">
        <f t="shared" si="895"/>
        <v>0</v>
      </c>
      <c r="FC143" s="96">
        <f t="shared" si="895"/>
        <v>0</v>
      </c>
      <c r="FD143" s="96">
        <f t="shared" si="895"/>
        <v>0</v>
      </c>
      <c r="FE143" s="96">
        <f t="shared" si="895"/>
        <v>0</v>
      </c>
      <c r="FF143" s="96">
        <f t="shared" si="895"/>
        <v>0</v>
      </c>
      <c r="FG143" s="96">
        <f t="shared" si="895"/>
        <v>0</v>
      </c>
      <c r="FH143" s="96">
        <f t="shared" si="895"/>
        <v>0</v>
      </c>
      <c r="FI143" s="96">
        <f t="shared" si="895"/>
        <v>0</v>
      </c>
      <c r="FJ143" s="96">
        <f>SUM(FJ144:FJ154)</f>
        <v>0</v>
      </c>
      <c r="FK143" s="141"/>
      <c r="FL143" s="96">
        <f t="shared" ref="FL143:FT143" si="896">SUM(FL144:FL154)</f>
        <v>0</v>
      </c>
      <c r="FM143" s="96">
        <f t="shared" si="896"/>
        <v>0</v>
      </c>
      <c r="FN143" s="96">
        <f t="shared" si="896"/>
        <v>0</v>
      </c>
      <c r="FO143" s="96">
        <f t="shared" si="896"/>
        <v>0</v>
      </c>
      <c r="FP143" s="96">
        <f t="shared" si="896"/>
        <v>0</v>
      </c>
      <c r="FQ143" s="96">
        <f t="shared" si="896"/>
        <v>0</v>
      </c>
      <c r="FR143" s="96">
        <f t="shared" si="896"/>
        <v>0</v>
      </c>
      <c r="FS143" s="96">
        <f t="shared" si="896"/>
        <v>0</v>
      </c>
      <c r="FT143" s="96">
        <f t="shared" si="896"/>
        <v>0</v>
      </c>
      <c r="FU143" s="96">
        <f>SUM(FU144:FU154)</f>
        <v>0</v>
      </c>
      <c r="FV143" s="142"/>
      <c r="FW143" s="96">
        <f>SUM(FW144:FW154)</f>
        <v>0</v>
      </c>
      <c r="FX143" s="96">
        <f t="shared" ref="FX143:GE143" si="897">SUM(FX144:FX154)</f>
        <v>0</v>
      </c>
      <c r="FY143" s="96">
        <f t="shared" si="897"/>
        <v>0</v>
      </c>
      <c r="FZ143" s="96">
        <f t="shared" si="897"/>
        <v>0</v>
      </c>
      <c r="GA143" s="96">
        <f t="shared" si="897"/>
        <v>0</v>
      </c>
      <c r="GB143" s="96">
        <f t="shared" si="897"/>
        <v>0</v>
      </c>
      <c r="GC143" s="96">
        <f t="shared" si="897"/>
        <v>0</v>
      </c>
      <c r="GD143" s="96">
        <f t="shared" si="897"/>
        <v>0</v>
      </c>
      <c r="GE143" s="96">
        <f t="shared" si="897"/>
        <v>0</v>
      </c>
      <c r="GF143" s="96">
        <f>SUM(GF144:GF154)</f>
        <v>0</v>
      </c>
      <c r="GG143" s="141"/>
      <c r="GH143" s="96">
        <f t="shared" ref="GH143:GP143" si="898">SUM(GH144:GH154)</f>
        <v>0</v>
      </c>
      <c r="GI143" s="96">
        <f t="shared" si="898"/>
        <v>0</v>
      </c>
      <c r="GJ143" s="96">
        <f t="shared" si="898"/>
        <v>0</v>
      </c>
      <c r="GK143" s="96">
        <f t="shared" si="898"/>
        <v>0</v>
      </c>
      <c r="GL143" s="96">
        <f t="shared" si="898"/>
        <v>0</v>
      </c>
      <c r="GM143" s="96">
        <f t="shared" si="898"/>
        <v>0</v>
      </c>
      <c r="GN143" s="96">
        <f t="shared" si="898"/>
        <v>0</v>
      </c>
      <c r="GO143" s="96">
        <f t="shared" si="898"/>
        <v>0</v>
      </c>
      <c r="GP143" s="96">
        <f t="shared" si="898"/>
        <v>0</v>
      </c>
      <c r="GQ143" s="96">
        <f t="shared" ref="GQ143:HV143" si="899">SUM(GQ144:GQ154)</f>
        <v>0</v>
      </c>
      <c r="GR143" s="96">
        <f t="shared" si="899"/>
        <v>0</v>
      </c>
      <c r="GS143" s="96">
        <f t="shared" si="899"/>
        <v>0</v>
      </c>
      <c r="GT143" s="96">
        <f t="shared" si="899"/>
        <v>0</v>
      </c>
      <c r="GU143" s="96">
        <f t="shared" si="899"/>
        <v>0</v>
      </c>
      <c r="GV143" s="96">
        <f t="shared" si="899"/>
        <v>0</v>
      </c>
      <c r="GW143" s="96">
        <f t="shared" si="899"/>
        <v>0</v>
      </c>
      <c r="GX143" s="96">
        <f t="shared" si="899"/>
        <v>0</v>
      </c>
      <c r="GY143" s="96">
        <f t="shared" si="899"/>
        <v>0</v>
      </c>
      <c r="GZ143" s="96">
        <f t="shared" si="899"/>
        <v>0</v>
      </c>
      <c r="HA143" s="96">
        <f t="shared" si="899"/>
        <v>0</v>
      </c>
      <c r="HB143" s="96">
        <f t="shared" si="899"/>
        <v>0</v>
      </c>
      <c r="HC143" s="96">
        <f t="shared" si="899"/>
        <v>0</v>
      </c>
      <c r="HD143" s="96">
        <f t="shared" si="899"/>
        <v>0</v>
      </c>
      <c r="HE143" s="96">
        <f t="shared" si="899"/>
        <v>0</v>
      </c>
      <c r="HF143" s="96">
        <f t="shared" si="899"/>
        <v>0</v>
      </c>
      <c r="HG143" s="96">
        <f t="shared" si="899"/>
        <v>0</v>
      </c>
      <c r="HH143" s="96">
        <f t="shared" si="899"/>
        <v>0</v>
      </c>
      <c r="HI143" s="96">
        <f t="shared" si="899"/>
        <v>0</v>
      </c>
      <c r="HJ143" s="96">
        <f t="shared" si="899"/>
        <v>0</v>
      </c>
      <c r="HK143" s="96">
        <f t="shared" si="899"/>
        <v>0</v>
      </c>
      <c r="HL143" s="96">
        <f t="shared" si="899"/>
        <v>0</v>
      </c>
      <c r="HM143" s="96">
        <f t="shared" si="899"/>
        <v>0</v>
      </c>
      <c r="HN143" s="96">
        <f t="shared" si="899"/>
        <v>0</v>
      </c>
      <c r="HO143" s="96">
        <f t="shared" si="899"/>
        <v>0</v>
      </c>
      <c r="HP143" s="96">
        <f t="shared" si="899"/>
        <v>0</v>
      </c>
      <c r="HQ143" s="96">
        <f t="shared" si="899"/>
        <v>0</v>
      </c>
      <c r="HR143" s="96">
        <f t="shared" si="899"/>
        <v>0</v>
      </c>
      <c r="HS143" s="96">
        <f t="shared" si="899"/>
        <v>0</v>
      </c>
      <c r="HT143" s="96">
        <f t="shared" si="899"/>
        <v>0</v>
      </c>
      <c r="HU143" s="96">
        <f t="shared" si="899"/>
        <v>0</v>
      </c>
      <c r="HV143" s="96">
        <f t="shared" si="899"/>
        <v>0</v>
      </c>
      <c r="HW143" s="96">
        <f t="shared" ref="HW143:IV143" si="900">SUM(HW144:HW154)</f>
        <v>0</v>
      </c>
      <c r="HX143" s="96">
        <f t="shared" si="900"/>
        <v>0</v>
      </c>
      <c r="HY143" s="96">
        <f t="shared" si="900"/>
        <v>0</v>
      </c>
      <c r="HZ143" s="96">
        <f t="shared" si="900"/>
        <v>0</v>
      </c>
      <c r="IA143" s="96">
        <f t="shared" si="900"/>
        <v>0</v>
      </c>
      <c r="IB143" s="96">
        <f t="shared" si="900"/>
        <v>0</v>
      </c>
      <c r="IC143" s="96">
        <f t="shared" si="900"/>
        <v>0</v>
      </c>
      <c r="ID143" s="96">
        <f t="shared" si="900"/>
        <v>0</v>
      </c>
      <c r="IE143" s="96">
        <f t="shared" si="900"/>
        <v>0</v>
      </c>
      <c r="IF143" s="96">
        <f t="shared" si="900"/>
        <v>0</v>
      </c>
      <c r="IG143" s="96">
        <f t="shared" si="900"/>
        <v>0</v>
      </c>
      <c r="IH143" s="96">
        <f t="shared" si="900"/>
        <v>0</v>
      </c>
      <c r="II143" s="96">
        <f t="shared" si="900"/>
        <v>0</v>
      </c>
      <c r="IJ143" s="96">
        <f t="shared" si="900"/>
        <v>0</v>
      </c>
      <c r="IK143" s="96">
        <f t="shared" si="900"/>
        <v>0</v>
      </c>
      <c r="IL143" s="96">
        <f t="shared" si="900"/>
        <v>0</v>
      </c>
      <c r="IM143" s="96">
        <f t="shared" si="900"/>
        <v>0</v>
      </c>
      <c r="IN143" s="96">
        <f t="shared" si="900"/>
        <v>0</v>
      </c>
      <c r="IO143" s="96">
        <f t="shared" si="900"/>
        <v>0</v>
      </c>
      <c r="IP143" s="96">
        <f t="shared" si="900"/>
        <v>0</v>
      </c>
      <c r="IQ143" s="96">
        <f t="shared" si="900"/>
        <v>0</v>
      </c>
      <c r="IR143" s="96">
        <f t="shared" si="900"/>
        <v>0</v>
      </c>
      <c r="IS143" s="96">
        <f t="shared" si="900"/>
        <v>0</v>
      </c>
      <c r="IT143" s="96">
        <f t="shared" si="900"/>
        <v>0</v>
      </c>
      <c r="IU143" s="96">
        <f t="shared" si="900"/>
        <v>0</v>
      </c>
      <c r="IV143" s="96">
        <f t="shared" si="900"/>
        <v>0</v>
      </c>
    </row>
    <row r="144" spans="1:256" ht="12.75" customHeight="1" x14ac:dyDescent="0.25">
      <c r="A144" s="117" t="s">
        <v>134</v>
      </c>
      <c r="B144" s="62">
        <v>0</v>
      </c>
      <c r="C144" s="63">
        <v>0</v>
      </c>
      <c r="D144" s="63">
        <v>0</v>
      </c>
      <c r="E144" s="63">
        <v>0</v>
      </c>
      <c r="F144" s="63">
        <v>0</v>
      </c>
      <c r="G144" s="63">
        <v>0</v>
      </c>
      <c r="H144" s="63">
        <v>0</v>
      </c>
      <c r="I144" s="63">
        <v>0</v>
      </c>
      <c r="J144" s="63">
        <v>0</v>
      </c>
      <c r="K144" s="63">
        <v>0</v>
      </c>
      <c r="L144" s="64">
        <f>SUM(C144:F144,H144:K144)</f>
        <v>0</v>
      </c>
      <c r="M144" s="62"/>
      <c r="N144" s="63"/>
      <c r="O144" s="63"/>
      <c r="P144" s="63"/>
      <c r="Q144" s="63"/>
      <c r="R144" s="63"/>
      <c r="S144" s="63"/>
      <c r="T144" s="63"/>
      <c r="U144" s="63"/>
      <c r="V144" s="63"/>
      <c r="W144" s="64">
        <f t="shared" ref="W144:W154" si="901">SUM(N144:Q144,S144:V144)</f>
        <v>0</v>
      </c>
      <c r="X144" s="62"/>
      <c r="Y144" s="63"/>
      <c r="Z144" s="63"/>
      <c r="AA144" s="63"/>
      <c r="AB144" s="63"/>
      <c r="AC144" s="63"/>
      <c r="AD144" s="63"/>
      <c r="AE144" s="63"/>
      <c r="AF144" s="63"/>
      <c r="AG144" s="63"/>
      <c r="AH144" s="64">
        <f t="shared" ref="AH144:AH154" si="902">SUM(Y144:AB144,AD144:AG144)</f>
        <v>0</v>
      </c>
      <c r="AI144" s="62"/>
      <c r="AJ144" s="63"/>
      <c r="AK144" s="63"/>
      <c r="AL144" s="63"/>
      <c r="AM144" s="63"/>
      <c r="AN144" s="63"/>
      <c r="AO144" s="63"/>
      <c r="AP144" s="63"/>
      <c r="AQ144" s="63"/>
      <c r="AR144" s="63"/>
      <c r="AS144" s="64">
        <f t="shared" ref="AS144:AS154" si="903">SUM(AJ144:AM144,AO144:AR144)</f>
        <v>0</v>
      </c>
      <c r="AT144" s="65">
        <f t="shared" ref="AT144:BC154" si="904">SUM(M144,AI144,X144)</f>
        <v>0</v>
      </c>
      <c r="AU144" s="65">
        <f t="shared" si="904"/>
        <v>0</v>
      </c>
      <c r="AV144" s="65">
        <f t="shared" si="904"/>
        <v>0</v>
      </c>
      <c r="AW144" s="65">
        <f t="shared" si="904"/>
        <v>0</v>
      </c>
      <c r="AX144" s="65">
        <f t="shared" si="904"/>
        <v>0</v>
      </c>
      <c r="AY144" s="65">
        <f t="shared" si="904"/>
        <v>0</v>
      </c>
      <c r="AZ144" s="65">
        <f t="shared" si="904"/>
        <v>0</v>
      </c>
      <c r="BA144" s="65">
        <f t="shared" si="904"/>
        <v>0</v>
      </c>
      <c r="BB144" s="65">
        <f t="shared" si="904"/>
        <v>0</v>
      </c>
      <c r="BC144" s="65">
        <f t="shared" si="904"/>
        <v>0</v>
      </c>
      <c r="BD144" s="64">
        <f t="shared" ref="BD144:BD154" si="905">SUM(AU144:AX144,AZ144:BC144)</f>
        <v>0</v>
      </c>
      <c r="BE144" s="62"/>
      <c r="BF144" s="63"/>
      <c r="BG144" s="63"/>
      <c r="BH144" s="63"/>
      <c r="BI144" s="63"/>
      <c r="BJ144" s="63"/>
      <c r="BK144" s="63"/>
      <c r="BL144" s="63"/>
      <c r="BM144" s="63"/>
      <c r="BN144" s="63"/>
      <c r="BO144" s="64">
        <f t="shared" ref="BO144:BO154" si="906">SUM(BF144:BI144,BK144:BN144)</f>
        <v>0</v>
      </c>
      <c r="BP144" s="62"/>
      <c r="BQ144" s="63"/>
      <c r="BR144" s="63"/>
      <c r="BS144" s="63"/>
      <c r="BT144" s="63"/>
      <c r="BU144" s="63"/>
      <c r="BV144" s="63"/>
      <c r="BW144" s="63"/>
      <c r="BX144" s="63"/>
      <c r="BY144" s="63"/>
      <c r="BZ144" s="64">
        <f t="shared" ref="BZ144:BZ154" si="907">SUM(BQ144:BT144,BV144:BY144)</f>
        <v>0</v>
      </c>
      <c r="CA144" s="62"/>
      <c r="CB144" s="63"/>
      <c r="CC144" s="63"/>
      <c r="CD144" s="63"/>
      <c r="CE144" s="63"/>
      <c r="CF144" s="63"/>
      <c r="CG144" s="63"/>
      <c r="CH144" s="63"/>
      <c r="CI144" s="63"/>
      <c r="CJ144" s="63"/>
      <c r="CK144" s="64">
        <f t="shared" ref="CK144:CK154" si="908">SUM(CB144:CE144,CG144:CJ144)</f>
        <v>0</v>
      </c>
      <c r="CL144" s="65">
        <f t="shared" ref="CL144:CU154" si="909">SUM(BE144,CA144,BP144)</f>
        <v>0</v>
      </c>
      <c r="CM144" s="65">
        <f t="shared" si="909"/>
        <v>0</v>
      </c>
      <c r="CN144" s="65">
        <f t="shared" si="909"/>
        <v>0</v>
      </c>
      <c r="CO144" s="65">
        <f t="shared" si="909"/>
        <v>0</v>
      </c>
      <c r="CP144" s="65">
        <f t="shared" si="909"/>
        <v>0</v>
      </c>
      <c r="CQ144" s="65">
        <f t="shared" si="909"/>
        <v>0</v>
      </c>
      <c r="CR144" s="65">
        <f t="shared" si="909"/>
        <v>0</v>
      </c>
      <c r="CS144" s="65">
        <f t="shared" si="909"/>
        <v>0</v>
      </c>
      <c r="CT144" s="65">
        <f t="shared" si="909"/>
        <v>0</v>
      </c>
      <c r="CU144" s="65">
        <f t="shared" si="909"/>
        <v>0</v>
      </c>
      <c r="CV144" s="64">
        <f t="shared" ref="CV144:CV154" si="910">SUM(CM144:CP144,CR144:CU144)</f>
        <v>0</v>
      </c>
      <c r="CW144" s="62"/>
      <c r="CX144" s="63"/>
      <c r="CY144" s="63"/>
      <c r="CZ144" s="63"/>
      <c r="DA144" s="63"/>
      <c r="DB144" s="63"/>
      <c r="DC144" s="63"/>
      <c r="DD144" s="63"/>
      <c r="DE144" s="63"/>
      <c r="DF144" s="63"/>
      <c r="DG144" s="64">
        <f t="shared" ref="DG144:DG154" si="911">SUM(CX144:DA144,DC144:DF144)</f>
        <v>0</v>
      </c>
      <c r="DH144" s="62"/>
      <c r="DI144" s="63"/>
      <c r="DJ144" s="63"/>
      <c r="DK144" s="63"/>
      <c r="DL144" s="63"/>
      <c r="DM144" s="63"/>
      <c r="DN144" s="63"/>
      <c r="DO144" s="63"/>
      <c r="DP144" s="63"/>
      <c r="DQ144" s="63"/>
      <c r="DR144" s="64">
        <f t="shared" ref="DR144:DR154" si="912">SUM(DI144:DL144,DN144:DQ144)</f>
        <v>0</v>
      </c>
      <c r="DS144" s="62"/>
      <c r="DT144" s="63"/>
      <c r="DU144" s="63"/>
      <c r="DV144" s="63"/>
      <c r="DW144" s="63"/>
      <c r="DX144" s="63"/>
      <c r="DY144" s="63"/>
      <c r="DZ144" s="63"/>
      <c r="EA144" s="63"/>
      <c r="EB144" s="63"/>
      <c r="EC144" s="63"/>
      <c r="ED144" s="65">
        <f t="shared" ref="ED144:EM154" si="913">SUM(CW144,DS144,DH144)</f>
        <v>0</v>
      </c>
      <c r="EE144" s="65">
        <f t="shared" si="913"/>
        <v>0</v>
      </c>
      <c r="EF144" s="65">
        <f t="shared" si="913"/>
        <v>0</v>
      </c>
      <c r="EG144" s="65">
        <f t="shared" si="913"/>
        <v>0</v>
      </c>
      <c r="EH144" s="65">
        <f t="shared" si="913"/>
        <v>0</v>
      </c>
      <c r="EI144" s="65">
        <f t="shared" si="913"/>
        <v>0</v>
      </c>
      <c r="EJ144" s="65">
        <f t="shared" si="913"/>
        <v>0</v>
      </c>
      <c r="EK144" s="65">
        <f t="shared" si="913"/>
        <v>0</v>
      </c>
      <c r="EL144" s="65">
        <f t="shared" si="913"/>
        <v>0</v>
      </c>
      <c r="EM144" s="65">
        <f t="shared" si="913"/>
        <v>0</v>
      </c>
      <c r="EN144" s="64">
        <f t="shared" ref="EN144:EN154" si="914">SUM(EE144:EH144,EJ144:EM144)</f>
        <v>0</v>
      </c>
      <c r="EO144" s="62"/>
      <c r="EP144" s="63"/>
      <c r="EQ144" s="63"/>
      <c r="ER144" s="63"/>
      <c r="ES144" s="63"/>
      <c r="ET144" s="63"/>
      <c r="EU144" s="63"/>
      <c r="EV144" s="63"/>
      <c r="EW144" s="63"/>
      <c r="EX144" s="63"/>
      <c r="EY144" s="64">
        <f t="shared" ref="EY144:EY154" si="915">SUM(EP144:ES144,EU144:EX144)</f>
        <v>0</v>
      </c>
      <c r="EZ144" s="62"/>
      <c r="FA144" s="63"/>
      <c r="FB144" s="63"/>
      <c r="FC144" s="63"/>
      <c r="FD144" s="63"/>
      <c r="FE144" s="63"/>
      <c r="FF144" s="63"/>
      <c r="FG144" s="63"/>
      <c r="FH144" s="63"/>
      <c r="FI144" s="63"/>
      <c r="FJ144" s="64">
        <f t="shared" ref="FJ144:FJ154" si="916">SUM(FA144:FD144,FF144:FI144)</f>
        <v>0</v>
      </c>
      <c r="FK144" s="62"/>
      <c r="FL144" s="63"/>
      <c r="FM144" s="63"/>
      <c r="FN144" s="63"/>
      <c r="FO144" s="63"/>
      <c r="FP144" s="63"/>
      <c r="FQ144" s="63"/>
      <c r="FR144" s="63"/>
      <c r="FS144" s="63"/>
      <c r="FT144" s="63"/>
      <c r="FU144" s="64">
        <f t="shared" ref="FU144:FU154" si="917">SUM(FL144:FO144,FQ144:FT144)</f>
        <v>0</v>
      </c>
      <c r="FV144" s="65">
        <f t="shared" ref="FV144:GE154" si="918">SUM(EO144,FK144,EZ144)</f>
        <v>0</v>
      </c>
      <c r="FW144" s="65">
        <f t="shared" si="918"/>
        <v>0</v>
      </c>
      <c r="FX144" s="65">
        <f t="shared" si="918"/>
        <v>0</v>
      </c>
      <c r="FY144" s="65">
        <f t="shared" si="918"/>
        <v>0</v>
      </c>
      <c r="FZ144" s="65">
        <f t="shared" si="918"/>
        <v>0</v>
      </c>
      <c r="GA144" s="65">
        <f t="shared" si="918"/>
        <v>0</v>
      </c>
      <c r="GB144" s="65">
        <f t="shared" si="918"/>
        <v>0</v>
      </c>
      <c r="GC144" s="65">
        <f t="shared" si="918"/>
        <v>0</v>
      </c>
      <c r="GD144" s="65">
        <f t="shared" si="918"/>
        <v>0</v>
      </c>
      <c r="GE144" s="65">
        <f t="shared" si="918"/>
        <v>0</v>
      </c>
      <c r="GF144" s="64">
        <f t="shared" ref="GF144:GF154" si="919">SUM(FW144:FZ144,GB144:GE144)</f>
        <v>0</v>
      </c>
      <c r="GG144" s="66">
        <f t="shared" ref="GG144:GP154" si="920">SUM(AT144,CL144,ED144,FV144)</f>
        <v>0</v>
      </c>
      <c r="GH144" s="66">
        <f t="shared" si="920"/>
        <v>0</v>
      </c>
      <c r="GI144" s="66">
        <f t="shared" si="920"/>
        <v>0</v>
      </c>
      <c r="GJ144" s="66">
        <f t="shared" si="920"/>
        <v>0</v>
      </c>
      <c r="GK144" s="66">
        <f t="shared" si="920"/>
        <v>0</v>
      </c>
      <c r="GL144" s="66">
        <f t="shared" si="920"/>
        <v>0</v>
      </c>
      <c r="GM144" s="66">
        <f t="shared" si="920"/>
        <v>0</v>
      </c>
      <c r="GN144" s="66">
        <f t="shared" si="920"/>
        <v>0</v>
      </c>
      <c r="GO144" s="66">
        <f t="shared" si="920"/>
        <v>0</v>
      </c>
      <c r="GP144" s="66">
        <f t="shared" si="920"/>
        <v>0</v>
      </c>
      <c r="GQ144" s="64">
        <f t="shared" ref="GQ144:GQ154" si="921">SUM(GH144:GK144,GM144:GP144)</f>
        <v>0</v>
      </c>
      <c r="GR144" s="63"/>
      <c r="GS144" s="63"/>
      <c r="GT144" s="63"/>
      <c r="GU144" s="63"/>
      <c r="GV144" s="67">
        <f t="shared" ref="GV144:GV154" si="922">SUM(GR144:GU144)</f>
        <v>0</v>
      </c>
      <c r="GW144" s="63"/>
      <c r="GX144" s="63"/>
      <c r="GY144" s="63"/>
      <c r="GZ144" s="63"/>
      <c r="HA144" s="67">
        <f t="shared" ref="HA144:HA154" si="923">SUM(GW144:GZ144)</f>
        <v>0</v>
      </c>
      <c r="HB144" s="63"/>
      <c r="HC144" s="63"/>
      <c r="HD144" s="63"/>
      <c r="HE144" s="63"/>
      <c r="HF144" s="67">
        <f t="shared" ref="HF144:HF154" si="924">SUM(HB144:HE144)</f>
        <v>0</v>
      </c>
      <c r="HG144" s="63"/>
      <c r="HH144" s="63"/>
      <c r="HI144" s="63"/>
      <c r="HJ144" s="63"/>
      <c r="HK144" s="67">
        <f t="shared" ref="HK144:HK154" si="925">SUM(HG144:HJ144)</f>
        <v>0</v>
      </c>
      <c r="HL144" s="68">
        <f t="shared" ref="HL144:HO154" si="926">SUM(GW144,HB144,HG144)</f>
        <v>0</v>
      </c>
      <c r="HM144" s="68">
        <f t="shared" si="926"/>
        <v>0</v>
      </c>
      <c r="HN144" s="68">
        <f t="shared" si="926"/>
        <v>0</v>
      </c>
      <c r="HO144" s="68">
        <f t="shared" si="926"/>
        <v>0</v>
      </c>
      <c r="HP144" s="67">
        <f t="shared" ref="HP144:HP154" si="927">SUM(HL144:HO144)</f>
        <v>0</v>
      </c>
      <c r="HQ144" s="63"/>
      <c r="HR144" s="63"/>
      <c r="HS144" s="63"/>
      <c r="HT144" s="63"/>
      <c r="HU144" s="67">
        <f t="shared" ref="HU144:HU154" si="928">SUM(HQ144:HT144)</f>
        <v>0</v>
      </c>
      <c r="HV144" s="63"/>
      <c r="HW144" s="63"/>
      <c r="HX144" s="63"/>
      <c r="HY144" s="63"/>
      <c r="HZ144" s="67">
        <f t="shared" ref="HZ144:HZ154" si="929">SUM(HV144:HY144)</f>
        <v>0</v>
      </c>
      <c r="IA144" s="63"/>
      <c r="IB144" s="63"/>
      <c r="IC144" s="63"/>
      <c r="ID144" s="63"/>
      <c r="IE144" s="67">
        <f t="shared" ref="IE144:IE154" si="930">SUM(IA144:ID144)</f>
        <v>0</v>
      </c>
      <c r="IF144" s="68">
        <f t="shared" ref="IF144:II154" si="931">SUM(HQ144,HV144,IA144)</f>
        <v>0</v>
      </c>
      <c r="IG144" s="68">
        <f t="shared" si="931"/>
        <v>0</v>
      </c>
      <c r="IH144" s="68">
        <f t="shared" si="931"/>
        <v>0</v>
      </c>
      <c r="II144" s="68">
        <f t="shared" si="931"/>
        <v>0</v>
      </c>
      <c r="IJ144" s="67">
        <f t="shared" ref="IJ144:IJ154" si="932">SUM(IF144:II144)</f>
        <v>0</v>
      </c>
      <c r="IK144" s="63"/>
      <c r="IL144" s="63"/>
      <c r="IM144" s="63"/>
      <c r="IN144" s="63"/>
      <c r="IO144" s="67">
        <f t="shared" ref="IO144:IO154" si="933">SUM(IK144:IN144)</f>
        <v>0</v>
      </c>
      <c r="IP144" s="63"/>
      <c r="IQ144" s="63"/>
      <c r="IR144" s="63"/>
      <c r="IS144" s="63"/>
      <c r="IT144" s="67">
        <f t="shared" ref="IT144:IT154" si="934">SUM(IP144:IS144)</f>
        <v>0</v>
      </c>
      <c r="IU144" s="63"/>
      <c r="IV144" s="63"/>
    </row>
    <row r="145" spans="1:256" ht="12.75" customHeight="1" x14ac:dyDescent="0.25">
      <c r="A145" s="117" t="s">
        <v>135</v>
      </c>
      <c r="B145" s="62">
        <v>0</v>
      </c>
      <c r="C145" s="63">
        <v>0</v>
      </c>
      <c r="D145" s="63">
        <v>0</v>
      </c>
      <c r="E145" s="63">
        <v>0</v>
      </c>
      <c r="F145" s="63">
        <v>0</v>
      </c>
      <c r="G145" s="63">
        <v>0</v>
      </c>
      <c r="H145" s="63">
        <v>0</v>
      </c>
      <c r="I145" s="63">
        <v>0</v>
      </c>
      <c r="J145" s="63">
        <v>0</v>
      </c>
      <c r="K145" s="63">
        <v>0</v>
      </c>
      <c r="L145" s="64">
        <f t="shared" ref="L145:L154" si="935">SUM(C145:F145,H145:K145)</f>
        <v>0</v>
      </c>
      <c r="M145" s="62"/>
      <c r="N145" s="63"/>
      <c r="O145" s="63"/>
      <c r="P145" s="63"/>
      <c r="Q145" s="63"/>
      <c r="R145" s="63"/>
      <c r="S145" s="63"/>
      <c r="T145" s="63"/>
      <c r="U145" s="63"/>
      <c r="V145" s="63"/>
      <c r="W145" s="64">
        <f t="shared" si="901"/>
        <v>0</v>
      </c>
      <c r="X145" s="62"/>
      <c r="Y145" s="63"/>
      <c r="Z145" s="63"/>
      <c r="AA145" s="63"/>
      <c r="AB145" s="63"/>
      <c r="AC145" s="63"/>
      <c r="AD145" s="63"/>
      <c r="AE145" s="63"/>
      <c r="AF145" s="63"/>
      <c r="AG145" s="63"/>
      <c r="AH145" s="64">
        <f t="shared" si="902"/>
        <v>0</v>
      </c>
      <c r="AI145" s="62"/>
      <c r="AJ145" s="63"/>
      <c r="AK145" s="63"/>
      <c r="AL145" s="63"/>
      <c r="AM145" s="63"/>
      <c r="AN145" s="63"/>
      <c r="AO145" s="63"/>
      <c r="AP145" s="63"/>
      <c r="AQ145" s="63"/>
      <c r="AR145" s="63"/>
      <c r="AS145" s="64">
        <f t="shared" si="903"/>
        <v>0</v>
      </c>
      <c r="AT145" s="65">
        <f t="shared" si="904"/>
        <v>0</v>
      </c>
      <c r="AU145" s="65">
        <f t="shared" si="904"/>
        <v>0</v>
      </c>
      <c r="AV145" s="65">
        <f t="shared" si="904"/>
        <v>0</v>
      </c>
      <c r="AW145" s="65">
        <f t="shared" si="904"/>
        <v>0</v>
      </c>
      <c r="AX145" s="65">
        <f t="shared" si="904"/>
        <v>0</v>
      </c>
      <c r="AY145" s="65">
        <f t="shared" si="904"/>
        <v>0</v>
      </c>
      <c r="AZ145" s="65">
        <f t="shared" si="904"/>
        <v>0</v>
      </c>
      <c r="BA145" s="65">
        <f t="shared" si="904"/>
        <v>0</v>
      </c>
      <c r="BB145" s="65">
        <f t="shared" si="904"/>
        <v>0</v>
      </c>
      <c r="BC145" s="65">
        <f t="shared" si="904"/>
        <v>0</v>
      </c>
      <c r="BD145" s="64">
        <f t="shared" si="905"/>
        <v>0</v>
      </c>
      <c r="BE145" s="62"/>
      <c r="BF145" s="63"/>
      <c r="BG145" s="63"/>
      <c r="BH145" s="63"/>
      <c r="BI145" s="63"/>
      <c r="BJ145" s="63"/>
      <c r="BK145" s="63"/>
      <c r="BL145" s="63"/>
      <c r="BM145" s="63"/>
      <c r="BN145" s="63"/>
      <c r="BO145" s="64">
        <f t="shared" si="906"/>
        <v>0</v>
      </c>
      <c r="BP145" s="62"/>
      <c r="BQ145" s="63"/>
      <c r="BR145" s="63"/>
      <c r="BS145" s="63"/>
      <c r="BT145" s="63"/>
      <c r="BU145" s="63"/>
      <c r="BV145" s="63"/>
      <c r="BW145" s="63"/>
      <c r="BX145" s="63"/>
      <c r="BY145" s="63"/>
      <c r="BZ145" s="64">
        <f t="shared" si="907"/>
        <v>0</v>
      </c>
      <c r="CA145" s="62"/>
      <c r="CB145" s="63"/>
      <c r="CC145" s="63"/>
      <c r="CD145" s="63"/>
      <c r="CE145" s="63"/>
      <c r="CF145" s="63"/>
      <c r="CG145" s="63"/>
      <c r="CH145" s="63"/>
      <c r="CI145" s="63"/>
      <c r="CJ145" s="63"/>
      <c r="CK145" s="64">
        <f t="shared" si="908"/>
        <v>0</v>
      </c>
      <c r="CL145" s="65">
        <f t="shared" si="909"/>
        <v>0</v>
      </c>
      <c r="CM145" s="65">
        <f t="shared" si="909"/>
        <v>0</v>
      </c>
      <c r="CN145" s="65">
        <f t="shared" si="909"/>
        <v>0</v>
      </c>
      <c r="CO145" s="65">
        <f t="shared" si="909"/>
        <v>0</v>
      </c>
      <c r="CP145" s="65">
        <f t="shared" si="909"/>
        <v>0</v>
      </c>
      <c r="CQ145" s="65">
        <f t="shared" si="909"/>
        <v>0</v>
      </c>
      <c r="CR145" s="65">
        <f t="shared" si="909"/>
        <v>0</v>
      </c>
      <c r="CS145" s="65">
        <f t="shared" si="909"/>
        <v>0</v>
      </c>
      <c r="CT145" s="65">
        <f t="shared" si="909"/>
        <v>0</v>
      </c>
      <c r="CU145" s="65">
        <f t="shared" si="909"/>
        <v>0</v>
      </c>
      <c r="CV145" s="64">
        <f t="shared" si="910"/>
        <v>0</v>
      </c>
      <c r="CW145" s="62"/>
      <c r="CX145" s="63"/>
      <c r="CY145" s="63"/>
      <c r="CZ145" s="63"/>
      <c r="DA145" s="63"/>
      <c r="DB145" s="63"/>
      <c r="DC145" s="63"/>
      <c r="DD145" s="63"/>
      <c r="DE145" s="63"/>
      <c r="DF145" s="63"/>
      <c r="DG145" s="64">
        <f t="shared" si="911"/>
        <v>0</v>
      </c>
      <c r="DH145" s="62"/>
      <c r="DI145" s="63"/>
      <c r="DJ145" s="63"/>
      <c r="DK145" s="63"/>
      <c r="DL145" s="63"/>
      <c r="DM145" s="63"/>
      <c r="DN145" s="63"/>
      <c r="DO145" s="63"/>
      <c r="DP145" s="63"/>
      <c r="DQ145" s="63"/>
      <c r="DR145" s="64">
        <f t="shared" si="912"/>
        <v>0</v>
      </c>
      <c r="DS145" s="62"/>
      <c r="DT145" s="63"/>
      <c r="DU145" s="63"/>
      <c r="DV145" s="63"/>
      <c r="DW145" s="63"/>
      <c r="DX145" s="63"/>
      <c r="DY145" s="63"/>
      <c r="DZ145" s="63"/>
      <c r="EA145" s="63"/>
      <c r="EB145" s="63"/>
      <c r="EC145" s="63"/>
      <c r="ED145" s="65">
        <f t="shared" si="913"/>
        <v>0</v>
      </c>
      <c r="EE145" s="65">
        <f t="shared" si="913"/>
        <v>0</v>
      </c>
      <c r="EF145" s="65">
        <f t="shared" si="913"/>
        <v>0</v>
      </c>
      <c r="EG145" s="65">
        <f t="shared" si="913"/>
        <v>0</v>
      </c>
      <c r="EH145" s="65">
        <f t="shared" si="913"/>
        <v>0</v>
      </c>
      <c r="EI145" s="65">
        <f t="shared" si="913"/>
        <v>0</v>
      </c>
      <c r="EJ145" s="65">
        <f t="shared" si="913"/>
        <v>0</v>
      </c>
      <c r="EK145" s="65">
        <f t="shared" si="913"/>
        <v>0</v>
      </c>
      <c r="EL145" s="65">
        <f t="shared" si="913"/>
        <v>0</v>
      </c>
      <c r="EM145" s="65">
        <f t="shared" si="913"/>
        <v>0</v>
      </c>
      <c r="EN145" s="64">
        <f t="shared" si="914"/>
        <v>0</v>
      </c>
      <c r="EO145" s="62"/>
      <c r="EP145" s="63"/>
      <c r="EQ145" s="63"/>
      <c r="ER145" s="63"/>
      <c r="ES145" s="63"/>
      <c r="ET145" s="63"/>
      <c r="EU145" s="63"/>
      <c r="EV145" s="63"/>
      <c r="EW145" s="63"/>
      <c r="EX145" s="63"/>
      <c r="EY145" s="64">
        <f t="shared" si="915"/>
        <v>0</v>
      </c>
      <c r="EZ145" s="62"/>
      <c r="FA145" s="63"/>
      <c r="FB145" s="63"/>
      <c r="FC145" s="63"/>
      <c r="FD145" s="63"/>
      <c r="FE145" s="63"/>
      <c r="FF145" s="63"/>
      <c r="FG145" s="63"/>
      <c r="FH145" s="63"/>
      <c r="FI145" s="63"/>
      <c r="FJ145" s="64">
        <f t="shared" si="916"/>
        <v>0</v>
      </c>
      <c r="FK145" s="62"/>
      <c r="FL145" s="63"/>
      <c r="FM145" s="63"/>
      <c r="FN145" s="63"/>
      <c r="FO145" s="63"/>
      <c r="FP145" s="63"/>
      <c r="FQ145" s="63"/>
      <c r="FR145" s="63"/>
      <c r="FS145" s="63"/>
      <c r="FT145" s="63"/>
      <c r="FU145" s="64">
        <f t="shared" si="917"/>
        <v>0</v>
      </c>
      <c r="FV145" s="65">
        <f t="shared" si="918"/>
        <v>0</v>
      </c>
      <c r="FW145" s="65">
        <f t="shared" si="918"/>
        <v>0</v>
      </c>
      <c r="FX145" s="65">
        <f t="shared" si="918"/>
        <v>0</v>
      </c>
      <c r="FY145" s="65">
        <f t="shared" si="918"/>
        <v>0</v>
      </c>
      <c r="FZ145" s="65">
        <f t="shared" si="918"/>
        <v>0</v>
      </c>
      <c r="GA145" s="65">
        <f t="shared" si="918"/>
        <v>0</v>
      </c>
      <c r="GB145" s="65">
        <f t="shared" si="918"/>
        <v>0</v>
      </c>
      <c r="GC145" s="65">
        <f t="shared" si="918"/>
        <v>0</v>
      </c>
      <c r="GD145" s="65">
        <f t="shared" si="918"/>
        <v>0</v>
      </c>
      <c r="GE145" s="65">
        <f t="shared" si="918"/>
        <v>0</v>
      </c>
      <c r="GF145" s="64">
        <f t="shared" si="919"/>
        <v>0</v>
      </c>
      <c r="GG145" s="66">
        <f t="shared" si="920"/>
        <v>0</v>
      </c>
      <c r="GH145" s="66">
        <f t="shared" si="920"/>
        <v>0</v>
      </c>
      <c r="GI145" s="66">
        <f t="shared" si="920"/>
        <v>0</v>
      </c>
      <c r="GJ145" s="66">
        <f t="shared" si="920"/>
        <v>0</v>
      </c>
      <c r="GK145" s="66">
        <f t="shared" si="920"/>
        <v>0</v>
      </c>
      <c r="GL145" s="66">
        <f t="shared" si="920"/>
        <v>0</v>
      </c>
      <c r="GM145" s="66">
        <f t="shared" si="920"/>
        <v>0</v>
      </c>
      <c r="GN145" s="66">
        <f t="shared" si="920"/>
        <v>0</v>
      </c>
      <c r="GO145" s="66">
        <f t="shared" si="920"/>
        <v>0</v>
      </c>
      <c r="GP145" s="66">
        <f t="shared" si="920"/>
        <v>0</v>
      </c>
      <c r="GQ145" s="64">
        <f t="shared" si="921"/>
        <v>0</v>
      </c>
      <c r="GR145" s="63"/>
      <c r="GS145" s="63"/>
      <c r="GT145" s="63"/>
      <c r="GU145" s="63"/>
      <c r="GV145" s="67">
        <f t="shared" si="922"/>
        <v>0</v>
      </c>
      <c r="GW145" s="63"/>
      <c r="GX145" s="63"/>
      <c r="GY145" s="63"/>
      <c r="GZ145" s="63"/>
      <c r="HA145" s="67">
        <f t="shared" si="923"/>
        <v>0</v>
      </c>
      <c r="HB145" s="63"/>
      <c r="HC145" s="63"/>
      <c r="HD145" s="63"/>
      <c r="HE145" s="63"/>
      <c r="HF145" s="67">
        <f t="shared" si="924"/>
        <v>0</v>
      </c>
      <c r="HG145" s="63"/>
      <c r="HH145" s="63"/>
      <c r="HI145" s="63"/>
      <c r="HJ145" s="63"/>
      <c r="HK145" s="67">
        <f t="shared" si="925"/>
        <v>0</v>
      </c>
      <c r="HL145" s="68">
        <f t="shared" si="926"/>
        <v>0</v>
      </c>
      <c r="HM145" s="68">
        <f t="shared" si="926"/>
        <v>0</v>
      </c>
      <c r="HN145" s="68">
        <f t="shared" si="926"/>
        <v>0</v>
      </c>
      <c r="HO145" s="68">
        <f t="shared" si="926"/>
        <v>0</v>
      </c>
      <c r="HP145" s="67">
        <f t="shared" si="927"/>
        <v>0</v>
      </c>
      <c r="HQ145" s="63"/>
      <c r="HR145" s="63"/>
      <c r="HS145" s="63"/>
      <c r="HT145" s="63"/>
      <c r="HU145" s="67">
        <f t="shared" si="928"/>
        <v>0</v>
      </c>
      <c r="HV145" s="63"/>
      <c r="HW145" s="63"/>
      <c r="HX145" s="63"/>
      <c r="HY145" s="63"/>
      <c r="HZ145" s="67">
        <f t="shared" si="929"/>
        <v>0</v>
      </c>
      <c r="IA145" s="63"/>
      <c r="IB145" s="63"/>
      <c r="IC145" s="63"/>
      <c r="ID145" s="63"/>
      <c r="IE145" s="67">
        <f t="shared" si="930"/>
        <v>0</v>
      </c>
      <c r="IF145" s="68">
        <f t="shared" si="931"/>
        <v>0</v>
      </c>
      <c r="IG145" s="68">
        <f t="shared" si="931"/>
        <v>0</v>
      </c>
      <c r="IH145" s="68">
        <f t="shared" si="931"/>
        <v>0</v>
      </c>
      <c r="II145" s="68">
        <f t="shared" si="931"/>
        <v>0</v>
      </c>
      <c r="IJ145" s="67">
        <f t="shared" si="932"/>
        <v>0</v>
      </c>
      <c r="IK145" s="63"/>
      <c r="IL145" s="63"/>
      <c r="IM145" s="63"/>
      <c r="IN145" s="63"/>
      <c r="IO145" s="67">
        <f t="shared" si="933"/>
        <v>0</v>
      </c>
      <c r="IP145" s="63"/>
      <c r="IQ145" s="63"/>
      <c r="IR145" s="63"/>
      <c r="IS145" s="63"/>
      <c r="IT145" s="67">
        <f t="shared" si="934"/>
        <v>0</v>
      </c>
      <c r="IU145" s="63"/>
      <c r="IV145" s="63"/>
    </row>
    <row r="146" spans="1:256" ht="12.75" customHeight="1" x14ac:dyDescent="0.25">
      <c r="A146" s="117" t="s">
        <v>136</v>
      </c>
      <c r="B146" s="62">
        <v>0</v>
      </c>
      <c r="C146" s="63">
        <v>0</v>
      </c>
      <c r="D146" s="63">
        <v>0</v>
      </c>
      <c r="E146" s="63">
        <v>0</v>
      </c>
      <c r="F146" s="63">
        <v>0</v>
      </c>
      <c r="G146" s="63">
        <v>0</v>
      </c>
      <c r="H146" s="63">
        <v>0</v>
      </c>
      <c r="I146" s="63">
        <v>0</v>
      </c>
      <c r="J146" s="63">
        <v>0</v>
      </c>
      <c r="K146" s="63">
        <v>0</v>
      </c>
      <c r="L146" s="64">
        <f t="shared" si="935"/>
        <v>0</v>
      </c>
      <c r="M146" s="62"/>
      <c r="N146" s="63"/>
      <c r="O146" s="63"/>
      <c r="P146" s="63"/>
      <c r="Q146" s="63"/>
      <c r="R146" s="63"/>
      <c r="S146" s="63"/>
      <c r="T146" s="63"/>
      <c r="U146" s="63"/>
      <c r="V146" s="63"/>
      <c r="W146" s="64">
        <f t="shared" si="901"/>
        <v>0</v>
      </c>
      <c r="X146" s="62"/>
      <c r="Y146" s="63"/>
      <c r="Z146" s="63"/>
      <c r="AA146" s="63"/>
      <c r="AB146" s="63"/>
      <c r="AC146" s="63"/>
      <c r="AD146" s="63"/>
      <c r="AE146" s="63"/>
      <c r="AF146" s="63"/>
      <c r="AG146" s="63"/>
      <c r="AH146" s="64">
        <f t="shared" si="902"/>
        <v>0</v>
      </c>
      <c r="AI146" s="62"/>
      <c r="AJ146" s="63"/>
      <c r="AK146" s="63"/>
      <c r="AL146" s="63"/>
      <c r="AM146" s="63"/>
      <c r="AN146" s="63"/>
      <c r="AO146" s="63"/>
      <c r="AP146" s="63"/>
      <c r="AQ146" s="63"/>
      <c r="AR146" s="63"/>
      <c r="AS146" s="64">
        <f t="shared" si="903"/>
        <v>0</v>
      </c>
      <c r="AT146" s="65">
        <f t="shared" si="904"/>
        <v>0</v>
      </c>
      <c r="AU146" s="65">
        <f t="shared" si="904"/>
        <v>0</v>
      </c>
      <c r="AV146" s="65">
        <f t="shared" si="904"/>
        <v>0</v>
      </c>
      <c r="AW146" s="65">
        <f t="shared" si="904"/>
        <v>0</v>
      </c>
      <c r="AX146" s="65">
        <f t="shared" si="904"/>
        <v>0</v>
      </c>
      <c r="AY146" s="65">
        <f t="shared" si="904"/>
        <v>0</v>
      </c>
      <c r="AZ146" s="65">
        <f t="shared" si="904"/>
        <v>0</v>
      </c>
      <c r="BA146" s="65">
        <f t="shared" si="904"/>
        <v>0</v>
      </c>
      <c r="BB146" s="65">
        <f t="shared" si="904"/>
        <v>0</v>
      </c>
      <c r="BC146" s="65">
        <f t="shared" si="904"/>
        <v>0</v>
      </c>
      <c r="BD146" s="64">
        <f t="shared" si="905"/>
        <v>0</v>
      </c>
      <c r="BE146" s="62"/>
      <c r="BF146" s="63"/>
      <c r="BG146" s="63"/>
      <c r="BH146" s="63"/>
      <c r="BI146" s="63"/>
      <c r="BJ146" s="63"/>
      <c r="BK146" s="63"/>
      <c r="BL146" s="63"/>
      <c r="BM146" s="63"/>
      <c r="BN146" s="63"/>
      <c r="BO146" s="64">
        <f t="shared" si="906"/>
        <v>0</v>
      </c>
      <c r="BP146" s="62"/>
      <c r="BQ146" s="63"/>
      <c r="BR146" s="63"/>
      <c r="BS146" s="63"/>
      <c r="BT146" s="63"/>
      <c r="BU146" s="63"/>
      <c r="BV146" s="63"/>
      <c r="BW146" s="63"/>
      <c r="BX146" s="63"/>
      <c r="BY146" s="63"/>
      <c r="BZ146" s="64">
        <f t="shared" si="907"/>
        <v>0</v>
      </c>
      <c r="CA146" s="62"/>
      <c r="CB146" s="63"/>
      <c r="CC146" s="63"/>
      <c r="CD146" s="63"/>
      <c r="CE146" s="63"/>
      <c r="CF146" s="63"/>
      <c r="CG146" s="63"/>
      <c r="CH146" s="63"/>
      <c r="CI146" s="63"/>
      <c r="CJ146" s="63"/>
      <c r="CK146" s="64">
        <f t="shared" si="908"/>
        <v>0</v>
      </c>
      <c r="CL146" s="65">
        <f t="shared" si="909"/>
        <v>0</v>
      </c>
      <c r="CM146" s="65">
        <f t="shared" si="909"/>
        <v>0</v>
      </c>
      <c r="CN146" s="65">
        <f t="shared" si="909"/>
        <v>0</v>
      </c>
      <c r="CO146" s="65">
        <f t="shared" si="909"/>
        <v>0</v>
      </c>
      <c r="CP146" s="65">
        <f t="shared" si="909"/>
        <v>0</v>
      </c>
      <c r="CQ146" s="65">
        <f t="shared" si="909"/>
        <v>0</v>
      </c>
      <c r="CR146" s="65">
        <f t="shared" si="909"/>
        <v>0</v>
      </c>
      <c r="CS146" s="65">
        <f t="shared" si="909"/>
        <v>0</v>
      </c>
      <c r="CT146" s="65">
        <f t="shared" si="909"/>
        <v>0</v>
      </c>
      <c r="CU146" s="65">
        <f t="shared" si="909"/>
        <v>0</v>
      </c>
      <c r="CV146" s="64">
        <f t="shared" si="910"/>
        <v>0</v>
      </c>
      <c r="CW146" s="62"/>
      <c r="CX146" s="63"/>
      <c r="CY146" s="63"/>
      <c r="CZ146" s="63"/>
      <c r="DA146" s="63"/>
      <c r="DB146" s="63"/>
      <c r="DC146" s="63"/>
      <c r="DD146" s="63"/>
      <c r="DE146" s="63"/>
      <c r="DF146" s="63"/>
      <c r="DG146" s="64">
        <f t="shared" si="911"/>
        <v>0</v>
      </c>
      <c r="DH146" s="62"/>
      <c r="DI146" s="63"/>
      <c r="DJ146" s="63"/>
      <c r="DK146" s="63"/>
      <c r="DL146" s="63"/>
      <c r="DM146" s="63"/>
      <c r="DN146" s="63"/>
      <c r="DO146" s="63"/>
      <c r="DP146" s="63"/>
      <c r="DQ146" s="63"/>
      <c r="DR146" s="64">
        <f t="shared" si="912"/>
        <v>0</v>
      </c>
      <c r="DS146" s="62"/>
      <c r="DT146" s="63"/>
      <c r="DU146" s="63"/>
      <c r="DV146" s="63"/>
      <c r="DW146" s="63"/>
      <c r="DX146" s="63"/>
      <c r="DY146" s="63"/>
      <c r="DZ146" s="63"/>
      <c r="EA146" s="63"/>
      <c r="EB146" s="63"/>
      <c r="EC146" s="63"/>
      <c r="ED146" s="65">
        <f t="shared" si="913"/>
        <v>0</v>
      </c>
      <c r="EE146" s="65">
        <f t="shared" si="913"/>
        <v>0</v>
      </c>
      <c r="EF146" s="65">
        <f t="shared" si="913"/>
        <v>0</v>
      </c>
      <c r="EG146" s="65">
        <f t="shared" si="913"/>
        <v>0</v>
      </c>
      <c r="EH146" s="65">
        <f t="shared" si="913"/>
        <v>0</v>
      </c>
      <c r="EI146" s="65">
        <f t="shared" si="913"/>
        <v>0</v>
      </c>
      <c r="EJ146" s="65">
        <f t="shared" si="913"/>
        <v>0</v>
      </c>
      <c r="EK146" s="65">
        <f t="shared" si="913"/>
        <v>0</v>
      </c>
      <c r="EL146" s="65">
        <f t="shared" si="913"/>
        <v>0</v>
      </c>
      <c r="EM146" s="65">
        <f t="shared" si="913"/>
        <v>0</v>
      </c>
      <c r="EN146" s="64">
        <f t="shared" si="914"/>
        <v>0</v>
      </c>
      <c r="EO146" s="62"/>
      <c r="EP146" s="63"/>
      <c r="EQ146" s="63"/>
      <c r="ER146" s="63"/>
      <c r="ES146" s="63"/>
      <c r="ET146" s="63"/>
      <c r="EU146" s="63"/>
      <c r="EV146" s="63"/>
      <c r="EW146" s="63"/>
      <c r="EX146" s="63"/>
      <c r="EY146" s="64">
        <f t="shared" si="915"/>
        <v>0</v>
      </c>
      <c r="EZ146" s="62"/>
      <c r="FA146" s="63"/>
      <c r="FB146" s="63"/>
      <c r="FC146" s="63"/>
      <c r="FD146" s="63"/>
      <c r="FE146" s="63"/>
      <c r="FF146" s="63"/>
      <c r="FG146" s="63"/>
      <c r="FH146" s="63"/>
      <c r="FI146" s="63"/>
      <c r="FJ146" s="64">
        <f t="shared" si="916"/>
        <v>0</v>
      </c>
      <c r="FK146" s="62"/>
      <c r="FL146" s="63"/>
      <c r="FM146" s="63"/>
      <c r="FN146" s="63"/>
      <c r="FO146" s="63"/>
      <c r="FP146" s="63"/>
      <c r="FQ146" s="63"/>
      <c r="FR146" s="63"/>
      <c r="FS146" s="63"/>
      <c r="FT146" s="63"/>
      <c r="FU146" s="64">
        <f t="shared" si="917"/>
        <v>0</v>
      </c>
      <c r="FV146" s="65">
        <f t="shared" si="918"/>
        <v>0</v>
      </c>
      <c r="FW146" s="65">
        <f t="shared" si="918"/>
        <v>0</v>
      </c>
      <c r="FX146" s="65">
        <f t="shared" si="918"/>
        <v>0</v>
      </c>
      <c r="FY146" s="65">
        <f t="shared" si="918"/>
        <v>0</v>
      </c>
      <c r="FZ146" s="65">
        <f t="shared" si="918"/>
        <v>0</v>
      </c>
      <c r="GA146" s="65">
        <f t="shared" si="918"/>
        <v>0</v>
      </c>
      <c r="GB146" s="65">
        <f t="shared" si="918"/>
        <v>0</v>
      </c>
      <c r="GC146" s="65">
        <f t="shared" si="918"/>
        <v>0</v>
      </c>
      <c r="GD146" s="65">
        <f t="shared" si="918"/>
        <v>0</v>
      </c>
      <c r="GE146" s="65">
        <f t="shared" si="918"/>
        <v>0</v>
      </c>
      <c r="GF146" s="64">
        <f t="shared" si="919"/>
        <v>0</v>
      </c>
      <c r="GG146" s="66">
        <f t="shared" si="920"/>
        <v>0</v>
      </c>
      <c r="GH146" s="66">
        <f t="shared" si="920"/>
        <v>0</v>
      </c>
      <c r="GI146" s="66">
        <f t="shared" si="920"/>
        <v>0</v>
      </c>
      <c r="GJ146" s="66">
        <f t="shared" si="920"/>
        <v>0</v>
      </c>
      <c r="GK146" s="66">
        <f t="shared" si="920"/>
        <v>0</v>
      </c>
      <c r="GL146" s="66">
        <f t="shared" si="920"/>
        <v>0</v>
      </c>
      <c r="GM146" s="66">
        <f t="shared" si="920"/>
        <v>0</v>
      </c>
      <c r="GN146" s="66">
        <f t="shared" si="920"/>
        <v>0</v>
      </c>
      <c r="GO146" s="66">
        <f t="shared" si="920"/>
        <v>0</v>
      </c>
      <c r="GP146" s="66">
        <f t="shared" si="920"/>
        <v>0</v>
      </c>
      <c r="GQ146" s="64">
        <f t="shared" si="921"/>
        <v>0</v>
      </c>
      <c r="GR146" s="63"/>
      <c r="GS146" s="63"/>
      <c r="GT146" s="63"/>
      <c r="GU146" s="63"/>
      <c r="GV146" s="67">
        <f t="shared" si="922"/>
        <v>0</v>
      </c>
      <c r="GW146" s="63"/>
      <c r="GX146" s="63"/>
      <c r="GY146" s="63"/>
      <c r="GZ146" s="63"/>
      <c r="HA146" s="67">
        <f t="shared" si="923"/>
        <v>0</v>
      </c>
      <c r="HB146" s="63"/>
      <c r="HC146" s="63"/>
      <c r="HD146" s="63"/>
      <c r="HE146" s="63"/>
      <c r="HF146" s="67">
        <f t="shared" si="924"/>
        <v>0</v>
      </c>
      <c r="HG146" s="63"/>
      <c r="HH146" s="63"/>
      <c r="HI146" s="63"/>
      <c r="HJ146" s="63"/>
      <c r="HK146" s="67">
        <f t="shared" si="925"/>
        <v>0</v>
      </c>
      <c r="HL146" s="68">
        <f t="shared" si="926"/>
        <v>0</v>
      </c>
      <c r="HM146" s="68">
        <f t="shared" si="926"/>
        <v>0</v>
      </c>
      <c r="HN146" s="68">
        <f t="shared" si="926"/>
        <v>0</v>
      </c>
      <c r="HO146" s="68">
        <f t="shared" si="926"/>
        <v>0</v>
      </c>
      <c r="HP146" s="67">
        <f t="shared" si="927"/>
        <v>0</v>
      </c>
      <c r="HQ146" s="63"/>
      <c r="HR146" s="63"/>
      <c r="HS146" s="63"/>
      <c r="HT146" s="63"/>
      <c r="HU146" s="67">
        <f t="shared" si="928"/>
        <v>0</v>
      </c>
      <c r="HV146" s="63"/>
      <c r="HW146" s="63"/>
      <c r="HX146" s="63"/>
      <c r="HY146" s="63"/>
      <c r="HZ146" s="67">
        <f t="shared" si="929"/>
        <v>0</v>
      </c>
      <c r="IA146" s="63"/>
      <c r="IB146" s="63"/>
      <c r="IC146" s="63"/>
      <c r="ID146" s="63"/>
      <c r="IE146" s="67">
        <f t="shared" si="930"/>
        <v>0</v>
      </c>
      <c r="IF146" s="68">
        <f t="shared" si="931"/>
        <v>0</v>
      </c>
      <c r="IG146" s="68">
        <f t="shared" si="931"/>
        <v>0</v>
      </c>
      <c r="IH146" s="68">
        <f t="shared" si="931"/>
        <v>0</v>
      </c>
      <c r="II146" s="68">
        <f t="shared" si="931"/>
        <v>0</v>
      </c>
      <c r="IJ146" s="67">
        <f t="shared" si="932"/>
        <v>0</v>
      </c>
      <c r="IK146" s="63"/>
      <c r="IL146" s="63"/>
      <c r="IM146" s="63"/>
      <c r="IN146" s="63"/>
      <c r="IO146" s="67">
        <f t="shared" si="933"/>
        <v>0</v>
      </c>
      <c r="IP146" s="63"/>
      <c r="IQ146" s="63"/>
      <c r="IR146" s="63"/>
      <c r="IS146" s="63"/>
      <c r="IT146" s="67">
        <f t="shared" si="934"/>
        <v>0</v>
      </c>
      <c r="IU146" s="63"/>
      <c r="IV146" s="63"/>
    </row>
    <row r="147" spans="1:256" ht="12.75" customHeight="1" x14ac:dyDescent="0.25">
      <c r="A147" s="117" t="s">
        <v>137</v>
      </c>
      <c r="B147" s="62">
        <v>10</v>
      </c>
      <c r="C147" s="63">
        <v>0</v>
      </c>
      <c r="D147" s="63">
        <v>0</v>
      </c>
      <c r="E147" s="63">
        <v>0</v>
      </c>
      <c r="F147" s="63">
        <v>0</v>
      </c>
      <c r="G147" s="63">
        <v>10</v>
      </c>
      <c r="H147" s="63">
        <v>0</v>
      </c>
      <c r="I147" s="63">
        <v>0</v>
      </c>
      <c r="J147" s="63">
        <v>0</v>
      </c>
      <c r="K147" s="63">
        <v>0</v>
      </c>
      <c r="L147" s="64">
        <f t="shared" si="935"/>
        <v>0</v>
      </c>
      <c r="M147" s="62"/>
      <c r="N147" s="63"/>
      <c r="O147" s="63"/>
      <c r="P147" s="63"/>
      <c r="Q147" s="63"/>
      <c r="R147" s="63"/>
      <c r="S147" s="63"/>
      <c r="T147" s="63"/>
      <c r="U147" s="63"/>
      <c r="V147" s="63"/>
      <c r="W147" s="64">
        <f t="shared" si="901"/>
        <v>0</v>
      </c>
      <c r="X147" s="62"/>
      <c r="Y147" s="63"/>
      <c r="Z147" s="63"/>
      <c r="AA147" s="63"/>
      <c r="AB147" s="63"/>
      <c r="AC147" s="63"/>
      <c r="AD147" s="63"/>
      <c r="AE147" s="63"/>
      <c r="AF147" s="63"/>
      <c r="AG147" s="63"/>
      <c r="AH147" s="64">
        <f t="shared" si="902"/>
        <v>0</v>
      </c>
      <c r="AI147" s="62"/>
      <c r="AJ147" s="63"/>
      <c r="AK147" s="63"/>
      <c r="AL147" s="63"/>
      <c r="AM147" s="63"/>
      <c r="AN147" s="63"/>
      <c r="AO147" s="63"/>
      <c r="AP147" s="63"/>
      <c r="AQ147" s="63"/>
      <c r="AR147" s="63"/>
      <c r="AS147" s="64">
        <f t="shared" si="903"/>
        <v>0</v>
      </c>
      <c r="AT147" s="65">
        <f t="shared" si="904"/>
        <v>0</v>
      </c>
      <c r="AU147" s="65">
        <f t="shared" si="904"/>
        <v>0</v>
      </c>
      <c r="AV147" s="65">
        <f t="shared" si="904"/>
        <v>0</v>
      </c>
      <c r="AW147" s="65">
        <f t="shared" si="904"/>
        <v>0</v>
      </c>
      <c r="AX147" s="65">
        <f t="shared" si="904"/>
        <v>0</v>
      </c>
      <c r="AY147" s="65">
        <f t="shared" si="904"/>
        <v>0</v>
      </c>
      <c r="AZ147" s="65">
        <f t="shared" si="904"/>
        <v>0</v>
      </c>
      <c r="BA147" s="65">
        <f t="shared" si="904"/>
        <v>0</v>
      </c>
      <c r="BB147" s="65">
        <f t="shared" si="904"/>
        <v>0</v>
      </c>
      <c r="BC147" s="65">
        <f t="shared" si="904"/>
        <v>0</v>
      </c>
      <c r="BD147" s="64">
        <f t="shared" si="905"/>
        <v>0</v>
      </c>
      <c r="BE147" s="62"/>
      <c r="BF147" s="63"/>
      <c r="BG147" s="63"/>
      <c r="BH147" s="63"/>
      <c r="BI147" s="63"/>
      <c r="BJ147" s="63"/>
      <c r="BK147" s="63"/>
      <c r="BL147" s="63"/>
      <c r="BM147" s="63"/>
      <c r="BN147" s="63"/>
      <c r="BO147" s="64">
        <f t="shared" si="906"/>
        <v>0</v>
      </c>
      <c r="BP147" s="62"/>
      <c r="BQ147" s="63"/>
      <c r="BR147" s="63"/>
      <c r="BS147" s="63"/>
      <c r="BT147" s="63"/>
      <c r="BU147" s="63"/>
      <c r="BV147" s="63"/>
      <c r="BW147" s="63"/>
      <c r="BX147" s="63"/>
      <c r="BY147" s="63"/>
      <c r="BZ147" s="64">
        <f t="shared" si="907"/>
        <v>0</v>
      </c>
      <c r="CA147" s="62"/>
      <c r="CB147" s="63"/>
      <c r="CC147" s="63"/>
      <c r="CD147" s="63"/>
      <c r="CE147" s="63"/>
      <c r="CF147" s="63"/>
      <c r="CG147" s="63"/>
      <c r="CH147" s="63"/>
      <c r="CI147" s="63"/>
      <c r="CJ147" s="63"/>
      <c r="CK147" s="64">
        <f t="shared" si="908"/>
        <v>0</v>
      </c>
      <c r="CL147" s="65">
        <f t="shared" si="909"/>
        <v>0</v>
      </c>
      <c r="CM147" s="65">
        <f t="shared" si="909"/>
        <v>0</v>
      </c>
      <c r="CN147" s="65">
        <f t="shared" si="909"/>
        <v>0</v>
      </c>
      <c r="CO147" s="65">
        <f t="shared" si="909"/>
        <v>0</v>
      </c>
      <c r="CP147" s="65">
        <f t="shared" si="909"/>
        <v>0</v>
      </c>
      <c r="CQ147" s="65">
        <f t="shared" si="909"/>
        <v>0</v>
      </c>
      <c r="CR147" s="65">
        <f t="shared" si="909"/>
        <v>0</v>
      </c>
      <c r="CS147" s="65">
        <f t="shared" si="909"/>
        <v>0</v>
      </c>
      <c r="CT147" s="65">
        <f t="shared" si="909"/>
        <v>0</v>
      </c>
      <c r="CU147" s="65">
        <f t="shared" si="909"/>
        <v>0</v>
      </c>
      <c r="CV147" s="64">
        <f t="shared" si="910"/>
        <v>0</v>
      </c>
      <c r="CW147" s="62"/>
      <c r="CX147" s="63"/>
      <c r="CY147" s="63"/>
      <c r="CZ147" s="63"/>
      <c r="DA147" s="63"/>
      <c r="DB147" s="63"/>
      <c r="DC147" s="63"/>
      <c r="DD147" s="63"/>
      <c r="DE147" s="63"/>
      <c r="DF147" s="63"/>
      <c r="DG147" s="64">
        <f t="shared" si="911"/>
        <v>0</v>
      </c>
      <c r="DH147" s="62"/>
      <c r="DI147" s="63"/>
      <c r="DJ147" s="63"/>
      <c r="DK147" s="63"/>
      <c r="DL147" s="63"/>
      <c r="DM147" s="63"/>
      <c r="DN147" s="63"/>
      <c r="DO147" s="63"/>
      <c r="DP147" s="63"/>
      <c r="DQ147" s="63"/>
      <c r="DR147" s="64">
        <f t="shared" si="912"/>
        <v>0</v>
      </c>
      <c r="DS147" s="62"/>
      <c r="DT147" s="63"/>
      <c r="DU147" s="63"/>
      <c r="DV147" s="63"/>
      <c r="DW147" s="63"/>
      <c r="DX147" s="63"/>
      <c r="DY147" s="63"/>
      <c r="DZ147" s="63"/>
      <c r="EA147" s="63"/>
      <c r="EB147" s="63"/>
      <c r="EC147" s="63"/>
      <c r="ED147" s="65">
        <f t="shared" si="913"/>
        <v>0</v>
      </c>
      <c r="EE147" s="65">
        <f t="shared" si="913"/>
        <v>0</v>
      </c>
      <c r="EF147" s="65">
        <f t="shared" si="913"/>
        <v>0</v>
      </c>
      <c r="EG147" s="65">
        <f t="shared" si="913"/>
        <v>0</v>
      </c>
      <c r="EH147" s="65">
        <f t="shared" si="913"/>
        <v>0</v>
      </c>
      <c r="EI147" s="65">
        <f t="shared" si="913"/>
        <v>0</v>
      </c>
      <c r="EJ147" s="65">
        <f t="shared" si="913"/>
        <v>0</v>
      </c>
      <c r="EK147" s="65">
        <f t="shared" si="913"/>
        <v>0</v>
      </c>
      <c r="EL147" s="65">
        <f t="shared" si="913"/>
        <v>0</v>
      </c>
      <c r="EM147" s="65">
        <f t="shared" si="913"/>
        <v>0</v>
      </c>
      <c r="EN147" s="64">
        <f t="shared" si="914"/>
        <v>0</v>
      </c>
      <c r="EO147" s="62"/>
      <c r="EP147" s="63"/>
      <c r="EQ147" s="63"/>
      <c r="ER147" s="63"/>
      <c r="ES147" s="63"/>
      <c r="ET147" s="63"/>
      <c r="EU147" s="63"/>
      <c r="EV147" s="63"/>
      <c r="EW147" s="63"/>
      <c r="EX147" s="63"/>
      <c r="EY147" s="64">
        <f t="shared" si="915"/>
        <v>0</v>
      </c>
      <c r="EZ147" s="62"/>
      <c r="FA147" s="63"/>
      <c r="FB147" s="63"/>
      <c r="FC147" s="63"/>
      <c r="FD147" s="63"/>
      <c r="FE147" s="63"/>
      <c r="FF147" s="63"/>
      <c r="FG147" s="63"/>
      <c r="FH147" s="63"/>
      <c r="FI147" s="63"/>
      <c r="FJ147" s="64">
        <f t="shared" si="916"/>
        <v>0</v>
      </c>
      <c r="FK147" s="62"/>
      <c r="FL147" s="63"/>
      <c r="FM147" s="63"/>
      <c r="FN147" s="63"/>
      <c r="FO147" s="63"/>
      <c r="FP147" s="63"/>
      <c r="FQ147" s="63"/>
      <c r="FR147" s="63"/>
      <c r="FS147" s="63"/>
      <c r="FT147" s="63"/>
      <c r="FU147" s="64">
        <f t="shared" si="917"/>
        <v>0</v>
      </c>
      <c r="FV147" s="65">
        <f t="shared" si="918"/>
        <v>0</v>
      </c>
      <c r="FW147" s="65">
        <f t="shared" si="918"/>
        <v>0</v>
      </c>
      <c r="FX147" s="65">
        <f t="shared" si="918"/>
        <v>0</v>
      </c>
      <c r="FY147" s="65">
        <f t="shared" si="918"/>
        <v>0</v>
      </c>
      <c r="FZ147" s="65">
        <f t="shared" si="918"/>
        <v>0</v>
      </c>
      <c r="GA147" s="65">
        <f t="shared" si="918"/>
        <v>0</v>
      </c>
      <c r="GB147" s="65">
        <f t="shared" si="918"/>
        <v>0</v>
      </c>
      <c r="GC147" s="65">
        <f t="shared" si="918"/>
        <v>0</v>
      </c>
      <c r="GD147" s="65">
        <f t="shared" si="918"/>
        <v>0</v>
      </c>
      <c r="GE147" s="65">
        <f t="shared" si="918"/>
        <v>0</v>
      </c>
      <c r="GF147" s="64">
        <f t="shared" si="919"/>
        <v>0</v>
      </c>
      <c r="GG147" s="66">
        <f t="shared" si="920"/>
        <v>0</v>
      </c>
      <c r="GH147" s="66">
        <f t="shared" si="920"/>
        <v>0</v>
      </c>
      <c r="GI147" s="66">
        <f t="shared" si="920"/>
        <v>0</v>
      </c>
      <c r="GJ147" s="66">
        <f t="shared" si="920"/>
        <v>0</v>
      </c>
      <c r="GK147" s="66">
        <f t="shared" si="920"/>
        <v>0</v>
      </c>
      <c r="GL147" s="66">
        <f t="shared" si="920"/>
        <v>0</v>
      </c>
      <c r="GM147" s="66">
        <f t="shared" si="920"/>
        <v>0</v>
      </c>
      <c r="GN147" s="66">
        <f t="shared" si="920"/>
        <v>0</v>
      </c>
      <c r="GO147" s="66">
        <f t="shared" si="920"/>
        <v>0</v>
      </c>
      <c r="GP147" s="66">
        <f t="shared" si="920"/>
        <v>0</v>
      </c>
      <c r="GQ147" s="64">
        <f t="shared" si="921"/>
        <v>0</v>
      </c>
      <c r="GR147" s="63"/>
      <c r="GS147" s="63"/>
      <c r="GT147" s="63"/>
      <c r="GU147" s="63"/>
      <c r="GV147" s="67">
        <f t="shared" si="922"/>
        <v>0</v>
      </c>
      <c r="GW147" s="63"/>
      <c r="GX147" s="63"/>
      <c r="GY147" s="63"/>
      <c r="GZ147" s="63"/>
      <c r="HA147" s="67">
        <f t="shared" si="923"/>
        <v>0</v>
      </c>
      <c r="HB147" s="63"/>
      <c r="HC147" s="63"/>
      <c r="HD147" s="63"/>
      <c r="HE147" s="63"/>
      <c r="HF147" s="67">
        <f t="shared" si="924"/>
        <v>0</v>
      </c>
      <c r="HG147" s="63"/>
      <c r="HH147" s="63"/>
      <c r="HI147" s="63"/>
      <c r="HJ147" s="63"/>
      <c r="HK147" s="67">
        <f t="shared" si="925"/>
        <v>0</v>
      </c>
      <c r="HL147" s="68">
        <f t="shared" si="926"/>
        <v>0</v>
      </c>
      <c r="HM147" s="68">
        <f t="shared" si="926"/>
        <v>0</v>
      </c>
      <c r="HN147" s="68">
        <f t="shared" si="926"/>
        <v>0</v>
      </c>
      <c r="HO147" s="68">
        <f t="shared" si="926"/>
        <v>0</v>
      </c>
      <c r="HP147" s="67">
        <f t="shared" si="927"/>
        <v>0</v>
      </c>
      <c r="HQ147" s="63"/>
      <c r="HR147" s="63"/>
      <c r="HS147" s="63"/>
      <c r="HT147" s="63"/>
      <c r="HU147" s="67">
        <f t="shared" si="928"/>
        <v>0</v>
      </c>
      <c r="HV147" s="63"/>
      <c r="HW147" s="63"/>
      <c r="HX147" s="63"/>
      <c r="HY147" s="63"/>
      <c r="HZ147" s="67">
        <f t="shared" si="929"/>
        <v>0</v>
      </c>
      <c r="IA147" s="63"/>
      <c r="IB147" s="63"/>
      <c r="IC147" s="63"/>
      <c r="ID147" s="63"/>
      <c r="IE147" s="67">
        <f t="shared" si="930"/>
        <v>0</v>
      </c>
      <c r="IF147" s="68">
        <f t="shared" si="931"/>
        <v>0</v>
      </c>
      <c r="IG147" s="68">
        <f t="shared" si="931"/>
        <v>0</v>
      </c>
      <c r="IH147" s="68">
        <f t="shared" si="931"/>
        <v>0</v>
      </c>
      <c r="II147" s="68">
        <f t="shared" si="931"/>
        <v>0</v>
      </c>
      <c r="IJ147" s="67">
        <f t="shared" si="932"/>
        <v>0</v>
      </c>
      <c r="IK147" s="63"/>
      <c r="IL147" s="63"/>
      <c r="IM147" s="63"/>
      <c r="IN147" s="63"/>
      <c r="IO147" s="67">
        <f t="shared" si="933"/>
        <v>0</v>
      </c>
      <c r="IP147" s="63"/>
      <c r="IQ147" s="63"/>
      <c r="IR147" s="63"/>
      <c r="IS147" s="63"/>
      <c r="IT147" s="67">
        <f t="shared" si="934"/>
        <v>0</v>
      </c>
      <c r="IU147" s="63"/>
      <c r="IV147" s="63"/>
    </row>
    <row r="148" spans="1:256" ht="12.75" customHeight="1" x14ac:dyDescent="0.25">
      <c r="A148" s="117" t="s">
        <v>138</v>
      </c>
      <c r="B148" s="62">
        <v>0</v>
      </c>
      <c r="C148" s="63">
        <v>0</v>
      </c>
      <c r="D148" s="63">
        <v>0</v>
      </c>
      <c r="E148" s="63">
        <v>0</v>
      </c>
      <c r="F148" s="63">
        <v>0</v>
      </c>
      <c r="G148" s="63">
        <v>0</v>
      </c>
      <c r="H148" s="63">
        <v>0</v>
      </c>
      <c r="I148" s="63">
        <v>0</v>
      </c>
      <c r="J148" s="63">
        <v>0</v>
      </c>
      <c r="K148" s="63">
        <v>0</v>
      </c>
      <c r="L148" s="64">
        <f t="shared" si="935"/>
        <v>0</v>
      </c>
      <c r="M148" s="62"/>
      <c r="N148" s="63"/>
      <c r="O148" s="63"/>
      <c r="P148" s="63"/>
      <c r="Q148" s="63"/>
      <c r="R148" s="63"/>
      <c r="S148" s="63"/>
      <c r="T148" s="63"/>
      <c r="U148" s="63"/>
      <c r="V148" s="63"/>
      <c r="W148" s="64">
        <f t="shared" si="901"/>
        <v>0</v>
      </c>
      <c r="X148" s="62"/>
      <c r="Y148" s="63"/>
      <c r="Z148" s="63"/>
      <c r="AA148" s="63"/>
      <c r="AB148" s="63"/>
      <c r="AC148" s="63"/>
      <c r="AD148" s="63"/>
      <c r="AE148" s="63"/>
      <c r="AF148" s="63"/>
      <c r="AG148" s="63"/>
      <c r="AH148" s="64">
        <f t="shared" si="902"/>
        <v>0</v>
      </c>
      <c r="AI148" s="62"/>
      <c r="AJ148" s="63"/>
      <c r="AK148" s="63"/>
      <c r="AL148" s="63"/>
      <c r="AM148" s="63"/>
      <c r="AN148" s="63"/>
      <c r="AO148" s="63"/>
      <c r="AP148" s="63"/>
      <c r="AQ148" s="63"/>
      <c r="AR148" s="63"/>
      <c r="AS148" s="64">
        <f t="shared" si="903"/>
        <v>0</v>
      </c>
      <c r="AT148" s="65">
        <f t="shared" si="904"/>
        <v>0</v>
      </c>
      <c r="AU148" s="65">
        <f t="shared" si="904"/>
        <v>0</v>
      </c>
      <c r="AV148" s="65">
        <f t="shared" si="904"/>
        <v>0</v>
      </c>
      <c r="AW148" s="65">
        <f t="shared" si="904"/>
        <v>0</v>
      </c>
      <c r="AX148" s="65">
        <f t="shared" si="904"/>
        <v>0</v>
      </c>
      <c r="AY148" s="65">
        <f t="shared" si="904"/>
        <v>0</v>
      </c>
      <c r="AZ148" s="65">
        <f t="shared" si="904"/>
        <v>0</v>
      </c>
      <c r="BA148" s="65">
        <f t="shared" si="904"/>
        <v>0</v>
      </c>
      <c r="BB148" s="65">
        <f t="shared" si="904"/>
        <v>0</v>
      </c>
      <c r="BC148" s="65">
        <f t="shared" si="904"/>
        <v>0</v>
      </c>
      <c r="BD148" s="64">
        <f t="shared" si="905"/>
        <v>0</v>
      </c>
      <c r="BE148" s="62"/>
      <c r="BF148" s="63"/>
      <c r="BG148" s="63"/>
      <c r="BH148" s="63"/>
      <c r="BI148" s="63"/>
      <c r="BJ148" s="63"/>
      <c r="BK148" s="63"/>
      <c r="BL148" s="63"/>
      <c r="BM148" s="63"/>
      <c r="BN148" s="63"/>
      <c r="BO148" s="64">
        <f t="shared" si="906"/>
        <v>0</v>
      </c>
      <c r="BP148" s="62"/>
      <c r="BQ148" s="63"/>
      <c r="BR148" s="63"/>
      <c r="BS148" s="63"/>
      <c r="BT148" s="63"/>
      <c r="BU148" s="63"/>
      <c r="BV148" s="63"/>
      <c r="BW148" s="63"/>
      <c r="BX148" s="63"/>
      <c r="BY148" s="63"/>
      <c r="BZ148" s="64">
        <f t="shared" si="907"/>
        <v>0</v>
      </c>
      <c r="CA148" s="62"/>
      <c r="CB148" s="63"/>
      <c r="CC148" s="63"/>
      <c r="CD148" s="63"/>
      <c r="CE148" s="63"/>
      <c r="CF148" s="63"/>
      <c r="CG148" s="63"/>
      <c r="CH148" s="63"/>
      <c r="CI148" s="63"/>
      <c r="CJ148" s="63"/>
      <c r="CK148" s="64">
        <f t="shared" si="908"/>
        <v>0</v>
      </c>
      <c r="CL148" s="65">
        <f t="shared" si="909"/>
        <v>0</v>
      </c>
      <c r="CM148" s="65">
        <f t="shared" si="909"/>
        <v>0</v>
      </c>
      <c r="CN148" s="65">
        <f t="shared" si="909"/>
        <v>0</v>
      </c>
      <c r="CO148" s="65">
        <f t="shared" si="909"/>
        <v>0</v>
      </c>
      <c r="CP148" s="65">
        <f t="shared" si="909"/>
        <v>0</v>
      </c>
      <c r="CQ148" s="65">
        <f t="shared" si="909"/>
        <v>0</v>
      </c>
      <c r="CR148" s="65">
        <f t="shared" si="909"/>
        <v>0</v>
      </c>
      <c r="CS148" s="65">
        <f t="shared" si="909"/>
        <v>0</v>
      </c>
      <c r="CT148" s="65">
        <f t="shared" si="909"/>
        <v>0</v>
      </c>
      <c r="CU148" s="65">
        <f t="shared" si="909"/>
        <v>0</v>
      </c>
      <c r="CV148" s="64">
        <f t="shared" si="910"/>
        <v>0</v>
      </c>
      <c r="CW148" s="62"/>
      <c r="CX148" s="63"/>
      <c r="CY148" s="63"/>
      <c r="CZ148" s="63"/>
      <c r="DA148" s="63"/>
      <c r="DB148" s="63"/>
      <c r="DC148" s="63"/>
      <c r="DD148" s="63"/>
      <c r="DE148" s="63"/>
      <c r="DF148" s="63"/>
      <c r="DG148" s="64">
        <f t="shared" si="911"/>
        <v>0</v>
      </c>
      <c r="DH148" s="62"/>
      <c r="DI148" s="63"/>
      <c r="DJ148" s="63"/>
      <c r="DK148" s="63"/>
      <c r="DL148" s="63"/>
      <c r="DM148" s="63"/>
      <c r="DN148" s="63"/>
      <c r="DO148" s="63"/>
      <c r="DP148" s="63"/>
      <c r="DQ148" s="63"/>
      <c r="DR148" s="64">
        <f t="shared" si="912"/>
        <v>0</v>
      </c>
      <c r="DS148" s="62"/>
      <c r="DT148" s="63"/>
      <c r="DU148" s="63"/>
      <c r="DV148" s="63"/>
      <c r="DW148" s="63"/>
      <c r="DX148" s="63"/>
      <c r="DY148" s="63"/>
      <c r="DZ148" s="63"/>
      <c r="EA148" s="63"/>
      <c r="EB148" s="63"/>
      <c r="EC148" s="63"/>
      <c r="ED148" s="65">
        <f t="shared" si="913"/>
        <v>0</v>
      </c>
      <c r="EE148" s="65">
        <f t="shared" si="913"/>
        <v>0</v>
      </c>
      <c r="EF148" s="65">
        <f t="shared" si="913"/>
        <v>0</v>
      </c>
      <c r="EG148" s="65">
        <f t="shared" si="913"/>
        <v>0</v>
      </c>
      <c r="EH148" s="65">
        <f t="shared" si="913"/>
        <v>0</v>
      </c>
      <c r="EI148" s="65">
        <f t="shared" si="913"/>
        <v>0</v>
      </c>
      <c r="EJ148" s="65">
        <f t="shared" si="913"/>
        <v>0</v>
      </c>
      <c r="EK148" s="65">
        <f t="shared" si="913"/>
        <v>0</v>
      </c>
      <c r="EL148" s="65">
        <f t="shared" si="913"/>
        <v>0</v>
      </c>
      <c r="EM148" s="65">
        <f t="shared" si="913"/>
        <v>0</v>
      </c>
      <c r="EN148" s="64">
        <f t="shared" si="914"/>
        <v>0</v>
      </c>
      <c r="EO148" s="62"/>
      <c r="EP148" s="63"/>
      <c r="EQ148" s="63"/>
      <c r="ER148" s="63"/>
      <c r="ES148" s="63"/>
      <c r="ET148" s="63"/>
      <c r="EU148" s="63"/>
      <c r="EV148" s="63"/>
      <c r="EW148" s="63"/>
      <c r="EX148" s="63"/>
      <c r="EY148" s="64">
        <f t="shared" si="915"/>
        <v>0</v>
      </c>
      <c r="EZ148" s="62"/>
      <c r="FA148" s="63"/>
      <c r="FB148" s="63"/>
      <c r="FC148" s="63"/>
      <c r="FD148" s="63"/>
      <c r="FE148" s="63"/>
      <c r="FF148" s="63"/>
      <c r="FG148" s="63"/>
      <c r="FH148" s="63"/>
      <c r="FI148" s="63"/>
      <c r="FJ148" s="64">
        <f t="shared" si="916"/>
        <v>0</v>
      </c>
      <c r="FK148" s="62"/>
      <c r="FL148" s="63"/>
      <c r="FM148" s="63"/>
      <c r="FN148" s="63"/>
      <c r="FO148" s="63"/>
      <c r="FP148" s="63"/>
      <c r="FQ148" s="63"/>
      <c r="FR148" s="63"/>
      <c r="FS148" s="63"/>
      <c r="FT148" s="63"/>
      <c r="FU148" s="64">
        <f t="shared" si="917"/>
        <v>0</v>
      </c>
      <c r="FV148" s="65">
        <f t="shared" si="918"/>
        <v>0</v>
      </c>
      <c r="FW148" s="65">
        <f t="shared" si="918"/>
        <v>0</v>
      </c>
      <c r="FX148" s="65">
        <f t="shared" si="918"/>
        <v>0</v>
      </c>
      <c r="FY148" s="65">
        <f t="shared" si="918"/>
        <v>0</v>
      </c>
      <c r="FZ148" s="65">
        <f t="shared" si="918"/>
        <v>0</v>
      </c>
      <c r="GA148" s="65">
        <f t="shared" si="918"/>
        <v>0</v>
      </c>
      <c r="GB148" s="65">
        <f t="shared" si="918"/>
        <v>0</v>
      </c>
      <c r="GC148" s="65">
        <f t="shared" si="918"/>
        <v>0</v>
      </c>
      <c r="GD148" s="65">
        <f t="shared" si="918"/>
        <v>0</v>
      </c>
      <c r="GE148" s="65">
        <f t="shared" si="918"/>
        <v>0</v>
      </c>
      <c r="GF148" s="64">
        <f t="shared" si="919"/>
        <v>0</v>
      </c>
      <c r="GG148" s="66">
        <f t="shared" si="920"/>
        <v>0</v>
      </c>
      <c r="GH148" s="66">
        <f t="shared" si="920"/>
        <v>0</v>
      </c>
      <c r="GI148" s="66">
        <f t="shared" si="920"/>
        <v>0</v>
      </c>
      <c r="GJ148" s="66">
        <f t="shared" si="920"/>
        <v>0</v>
      </c>
      <c r="GK148" s="66">
        <f t="shared" si="920"/>
        <v>0</v>
      </c>
      <c r="GL148" s="66">
        <f t="shared" si="920"/>
        <v>0</v>
      </c>
      <c r="GM148" s="66">
        <f t="shared" si="920"/>
        <v>0</v>
      </c>
      <c r="GN148" s="66">
        <f t="shared" si="920"/>
        <v>0</v>
      </c>
      <c r="GO148" s="66">
        <f t="shared" si="920"/>
        <v>0</v>
      </c>
      <c r="GP148" s="66">
        <f t="shared" si="920"/>
        <v>0</v>
      </c>
      <c r="GQ148" s="64">
        <f t="shared" si="921"/>
        <v>0</v>
      </c>
      <c r="GR148" s="63"/>
      <c r="GS148" s="63"/>
      <c r="GT148" s="63"/>
      <c r="GU148" s="63"/>
      <c r="GV148" s="67">
        <f t="shared" si="922"/>
        <v>0</v>
      </c>
      <c r="GW148" s="63"/>
      <c r="GX148" s="63"/>
      <c r="GY148" s="63"/>
      <c r="GZ148" s="63"/>
      <c r="HA148" s="67">
        <f t="shared" si="923"/>
        <v>0</v>
      </c>
      <c r="HB148" s="63"/>
      <c r="HC148" s="63"/>
      <c r="HD148" s="63"/>
      <c r="HE148" s="63"/>
      <c r="HF148" s="67">
        <f t="shared" si="924"/>
        <v>0</v>
      </c>
      <c r="HG148" s="63"/>
      <c r="HH148" s="63"/>
      <c r="HI148" s="63"/>
      <c r="HJ148" s="63"/>
      <c r="HK148" s="67">
        <f t="shared" si="925"/>
        <v>0</v>
      </c>
      <c r="HL148" s="68">
        <f t="shared" si="926"/>
        <v>0</v>
      </c>
      <c r="HM148" s="68">
        <f t="shared" si="926"/>
        <v>0</v>
      </c>
      <c r="HN148" s="68">
        <f t="shared" si="926"/>
        <v>0</v>
      </c>
      <c r="HO148" s="68">
        <f t="shared" si="926"/>
        <v>0</v>
      </c>
      <c r="HP148" s="67">
        <f t="shared" si="927"/>
        <v>0</v>
      </c>
      <c r="HQ148" s="63"/>
      <c r="HR148" s="63"/>
      <c r="HS148" s="63"/>
      <c r="HT148" s="63"/>
      <c r="HU148" s="67">
        <f t="shared" si="928"/>
        <v>0</v>
      </c>
      <c r="HV148" s="63"/>
      <c r="HW148" s="63"/>
      <c r="HX148" s="63"/>
      <c r="HY148" s="63"/>
      <c r="HZ148" s="67">
        <f t="shared" si="929"/>
        <v>0</v>
      </c>
      <c r="IA148" s="63"/>
      <c r="IB148" s="63"/>
      <c r="IC148" s="63"/>
      <c r="ID148" s="63"/>
      <c r="IE148" s="67">
        <f t="shared" si="930"/>
        <v>0</v>
      </c>
      <c r="IF148" s="68">
        <f t="shared" si="931"/>
        <v>0</v>
      </c>
      <c r="IG148" s="68">
        <f t="shared" si="931"/>
        <v>0</v>
      </c>
      <c r="IH148" s="68">
        <f t="shared" si="931"/>
        <v>0</v>
      </c>
      <c r="II148" s="68">
        <f t="shared" si="931"/>
        <v>0</v>
      </c>
      <c r="IJ148" s="67">
        <f t="shared" si="932"/>
        <v>0</v>
      </c>
      <c r="IK148" s="63"/>
      <c r="IL148" s="63"/>
      <c r="IM148" s="63"/>
      <c r="IN148" s="63"/>
      <c r="IO148" s="67">
        <f t="shared" si="933"/>
        <v>0</v>
      </c>
      <c r="IP148" s="63"/>
      <c r="IQ148" s="63"/>
      <c r="IR148" s="63"/>
      <c r="IS148" s="63"/>
      <c r="IT148" s="67">
        <f t="shared" si="934"/>
        <v>0</v>
      </c>
      <c r="IU148" s="63"/>
      <c r="IV148" s="63"/>
    </row>
    <row r="149" spans="1:256" ht="12.75" customHeight="1" x14ac:dyDescent="0.25">
      <c r="A149" s="117" t="s">
        <v>139</v>
      </c>
      <c r="B149" s="62">
        <v>4</v>
      </c>
      <c r="C149" s="63">
        <v>0</v>
      </c>
      <c r="D149" s="63">
        <v>0</v>
      </c>
      <c r="E149" s="63">
        <v>0</v>
      </c>
      <c r="F149" s="63">
        <v>0</v>
      </c>
      <c r="G149" s="63">
        <v>4</v>
      </c>
      <c r="H149" s="63">
        <v>0</v>
      </c>
      <c r="I149" s="63">
        <v>0</v>
      </c>
      <c r="J149" s="63">
        <v>0</v>
      </c>
      <c r="K149" s="63">
        <v>0</v>
      </c>
      <c r="L149" s="64">
        <f t="shared" si="935"/>
        <v>0</v>
      </c>
      <c r="M149" s="62"/>
      <c r="N149" s="63"/>
      <c r="O149" s="63"/>
      <c r="P149" s="63"/>
      <c r="Q149" s="63"/>
      <c r="R149" s="63"/>
      <c r="S149" s="63"/>
      <c r="T149" s="63"/>
      <c r="U149" s="63"/>
      <c r="V149" s="63"/>
      <c r="W149" s="64">
        <f t="shared" si="901"/>
        <v>0</v>
      </c>
      <c r="X149" s="62"/>
      <c r="Y149" s="63"/>
      <c r="Z149" s="63"/>
      <c r="AA149" s="63"/>
      <c r="AB149" s="63"/>
      <c r="AC149" s="63"/>
      <c r="AD149" s="63"/>
      <c r="AE149" s="63"/>
      <c r="AF149" s="63"/>
      <c r="AG149" s="63"/>
      <c r="AH149" s="64">
        <f t="shared" si="902"/>
        <v>0</v>
      </c>
      <c r="AI149" s="62"/>
      <c r="AJ149" s="63"/>
      <c r="AK149" s="63"/>
      <c r="AL149" s="63"/>
      <c r="AM149" s="63"/>
      <c r="AN149" s="63"/>
      <c r="AO149" s="63"/>
      <c r="AP149" s="63"/>
      <c r="AQ149" s="63"/>
      <c r="AR149" s="63"/>
      <c r="AS149" s="64">
        <f t="shared" si="903"/>
        <v>0</v>
      </c>
      <c r="AT149" s="65">
        <f t="shared" si="904"/>
        <v>0</v>
      </c>
      <c r="AU149" s="65">
        <f t="shared" si="904"/>
        <v>0</v>
      </c>
      <c r="AV149" s="65">
        <f t="shared" si="904"/>
        <v>0</v>
      </c>
      <c r="AW149" s="65">
        <f t="shared" si="904"/>
        <v>0</v>
      </c>
      <c r="AX149" s="65">
        <f t="shared" si="904"/>
        <v>0</v>
      </c>
      <c r="AY149" s="65">
        <f t="shared" si="904"/>
        <v>0</v>
      </c>
      <c r="AZ149" s="65">
        <f t="shared" si="904"/>
        <v>0</v>
      </c>
      <c r="BA149" s="65">
        <f t="shared" si="904"/>
        <v>0</v>
      </c>
      <c r="BB149" s="65">
        <f t="shared" si="904"/>
        <v>0</v>
      </c>
      <c r="BC149" s="65">
        <f t="shared" si="904"/>
        <v>0</v>
      </c>
      <c r="BD149" s="64">
        <f t="shared" si="905"/>
        <v>0</v>
      </c>
      <c r="BE149" s="62"/>
      <c r="BF149" s="63"/>
      <c r="BG149" s="63"/>
      <c r="BH149" s="63"/>
      <c r="BI149" s="63"/>
      <c r="BJ149" s="63"/>
      <c r="BK149" s="63"/>
      <c r="BL149" s="63"/>
      <c r="BM149" s="63"/>
      <c r="BN149" s="63"/>
      <c r="BO149" s="64">
        <f t="shared" si="906"/>
        <v>0</v>
      </c>
      <c r="BP149" s="62"/>
      <c r="BQ149" s="63"/>
      <c r="BR149" s="63"/>
      <c r="BS149" s="63"/>
      <c r="BT149" s="63"/>
      <c r="BU149" s="63"/>
      <c r="BV149" s="63"/>
      <c r="BW149" s="63"/>
      <c r="BX149" s="63"/>
      <c r="BY149" s="63"/>
      <c r="BZ149" s="64">
        <f t="shared" si="907"/>
        <v>0</v>
      </c>
      <c r="CA149" s="62"/>
      <c r="CB149" s="63"/>
      <c r="CC149" s="63"/>
      <c r="CD149" s="63"/>
      <c r="CE149" s="63"/>
      <c r="CF149" s="63"/>
      <c r="CG149" s="63"/>
      <c r="CH149" s="63"/>
      <c r="CI149" s="63"/>
      <c r="CJ149" s="63"/>
      <c r="CK149" s="64">
        <f t="shared" si="908"/>
        <v>0</v>
      </c>
      <c r="CL149" s="65">
        <f t="shared" si="909"/>
        <v>0</v>
      </c>
      <c r="CM149" s="65">
        <f t="shared" si="909"/>
        <v>0</v>
      </c>
      <c r="CN149" s="65">
        <f t="shared" si="909"/>
        <v>0</v>
      </c>
      <c r="CO149" s="65">
        <f t="shared" si="909"/>
        <v>0</v>
      </c>
      <c r="CP149" s="65">
        <f t="shared" si="909"/>
        <v>0</v>
      </c>
      <c r="CQ149" s="65">
        <f t="shared" si="909"/>
        <v>0</v>
      </c>
      <c r="CR149" s="65">
        <f t="shared" si="909"/>
        <v>0</v>
      </c>
      <c r="CS149" s="65">
        <f t="shared" si="909"/>
        <v>0</v>
      </c>
      <c r="CT149" s="65">
        <f t="shared" si="909"/>
        <v>0</v>
      </c>
      <c r="CU149" s="65">
        <f t="shared" si="909"/>
        <v>0</v>
      </c>
      <c r="CV149" s="64">
        <f t="shared" si="910"/>
        <v>0</v>
      </c>
      <c r="CW149" s="62"/>
      <c r="CX149" s="63"/>
      <c r="CY149" s="63"/>
      <c r="CZ149" s="63"/>
      <c r="DA149" s="63"/>
      <c r="DB149" s="63"/>
      <c r="DC149" s="63"/>
      <c r="DD149" s="63"/>
      <c r="DE149" s="63"/>
      <c r="DF149" s="63"/>
      <c r="DG149" s="64">
        <f t="shared" si="911"/>
        <v>0</v>
      </c>
      <c r="DH149" s="62"/>
      <c r="DI149" s="63"/>
      <c r="DJ149" s="63"/>
      <c r="DK149" s="63"/>
      <c r="DL149" s="63"/>
      <c r="DM149" s="63"/>
      <c r="DN149" s="63"/>
      <c r="DO149" s="63"/>
      <c r="DP149" s="63"/>
      <c r="DQ149" s="63"/>
      <c r="DR149" s="64">
        <f t="shared" si="912"/>
        <v>0</v>
      </c>
      <c r="DS149" s="62"/>
      <c r="DT149" s="63"/>
      <c r="DU149" s="63"/>
      <c r="DV149" s="63"/>
      <c r="DW149" s="63"/>
      <c r="DX149" s="63"/>
      <c r="DY149" s="63"/>
      <c r="DZ149" s="63"/>
      <c r="EA149" s="63"/>
      <c r="EB149" s="63"/>
      <c r="EC149" s="63"/>
      <c r="ED149" s="65">
        <f t="shared" si="913"/>
        <v>0</v>
      </c>
      <c r="EE149" s="65">
        <f t="shared" si="913"/>
        <v>0</v>
      </c>
      <c r="EF149" s="65">
        <f t="shared" si="913"/>
        <v>0</v>
      </c>
      <c r="EG149" s="65">
        <f t="shared" si="913"/>
        <v>0</v>
      </c>
      <c r="EH149" s="65">
        <f t="shared" si="913"/>
        <v>0</v>
      </c>
      <c r="EI149" s="65">
        <f t="shared" si="913"/>
        <v>0</v>
      </c>
      <c r="EJ149" s="65">
        <f t="shared" si="913"/>
        <v>0</v>
      </c>
      <c r="EK149" s="65">
        <f t="shared" si="913"/>
        <v>0</v>
      </c>
      <c r="EL149" s="65">
        <f t="shared" si="913"/>
        <v>0</v>
      </c>
      <c r="EM149" s="65">
        <f t="shared" si="913"/>
        <v>0</v>
      </c>
      <c r="EN149" s="64">
        <f t="shared" si="914"/>
        <v>0</v>
      </c>
      <c r="EO149" s="62"/>
      <c r="EP149" s="63"/>
      <c r="EQ149" s="63"/>
      <c r="ER149" s="63"/>
      <c r="ES149" s="63"/>
      <c r="ET149" s="63"/>
      <c r="EU149" s="63"/>
      <c r="EV149" s="63"/>
      <c r="EW149" s="63"/>
      <c r="EX149" s="63"/>
      <c r="EY149" s="64">
        <f t="shared" si="915"/>
        <v>0</v>
      </c>
      <c r="EZ149" s="62"/>
      <c r="FA149" s="63"/>
      <c r="FB149" s="63"/>
      <c r="FC149" s="63"/>
      <c r="FD149" s="63"/>
      <c r="FE149" s="63"/>
      <c r="FF149" s="63"/>
      <c r="FG149" s="63"/>
      <c r="FH149" s="63"/>
      <c r="FI149" s="63"/>
      <c r="FJ149" s="64">
        <f t="shared" si="916"/>
        <v>0</v>
      </c>
      <c r="FK149" s="62"/>
      <c r="FL149" s="63"/>
      <c r="FM149" s="63"/>
      <c r="FN149" s="63"/>
      <c r="FO149" s="63"/>
      <c r="FP149" s="63"/>
      <c r="FQ149" s="63"/>
      <c r="FR149" s="63"/>
      <c r="FS149" s="63"/>
      <c r="FT149" s="63"/>
      <c r="FU149" s="64">
        <f t="shared" si="917"/>
        <v>0</v>
      </c>
      <c r="FV149" s="65">
        <f t="shared" si="918"/>
        <v>0</v>
      </c>
      <c r="FW149" s="65">
        <f t="shared" si="918"/>
        <v>0</v>
      </c>
      <c r="FX149" s="65">
        <f t="shared" si="918"/>
        <v>0</v>
      </c>
      <c r="FY149" s="65">
        <f t="shared" si="918"/>
        <v>0</v>
      </c>
      <c r="FZ149" s="65">
        <f t="shared" si="918"/>
        <v>0</v>
      </c>
      <c r="GA149" s="65">
        <f t="shared" si="918"/>
        <v>0</v>
      </c>
      <c r="GB149" s="65">
        <f t="shared" si="918"/>
        <v>0</v>
      </c>
      <c r="GC149" s="65">
        <f t="shared" si="918"/>
        <v>0</v>
      </c>
      <c r="GD149" s="65">
        <f t="shared" si="918"/>
        <v>0</v>
      </c>
      <c r="GE149" s="65">
        <f t="shared" si="918"/>
        <v>0</v>
      </c>
      <c r="GF149" s="64">
        <f t="shared" si="919"/>
        <v>0</v>
      </c>
      <c r="GG149" s="66">
        <f t="shared" si="920"/>
        <v>0</v>
      </c>
      <c r="GH149" s="66">
        <f t="shared" si="920"/>
        <v>0</v>
      </c>
      <c r="GI149" s="66">
        <f t="shared" si="920"/>
        <v>0</v>
      </c>
      <c r="GJ149" s="66">
        <f t="shared" si="920"/>
        <v>0</v>
      </c>
      <c r="GK149" s="66">
        <f t="shared" si="920"/>
        <v>0</v>
      </c>
      <c r="GL149" s="66">
        <f t="shared" si="920"/>
        <v>0</v>
      </c>
      <c r="GM149" s="66">
        <f t="shared" si="920"/>
        <v>0</v>
      </c>
      <c r="GN149" s="66">
        <f t="shared" si="920"/>
        <v>0</v>
      </c>
      <c r="GO149" s="66">
        <f t="shared" si="920"/>
        <v>0</v>
      </c>
      <c r="GP149" s="66">
        <f t="shared" si="920"/>
        <v>0</v>
      </c>
      <c r="GQ149" s="64">
        <f t="shared" si="921"/>
        <v>0</v>
      </c>
      <c r="GR149" s="63"/>
      <c r="GS149" s="63"/>
      <c r="GT149" s="63">
        <v>0</v>
      </c>
      <c r="GU149" s="63">
        <v>0</v>
      </c>
      <c r="GV149" s="67">
        <f t="shared" si="922"/>
        <v>0</v>
      </c>
      <c r="GW149" s="63"/>
      <c r="GX149" s="63"/>
      <c r="GY149" s="63"/>
      <c r="GZ149" s="63"/>
      <c r="HA149" s="67">
        <f t="shared" si="923"/>
        <v>0</v>
      </c>
      <c r="HB149" s="63"/>
      <c r="HC149" s="63"/>
      <c r="HD149" s="63"/>
      <c r="HE149" s="63"/>
      <c r="HF149" s="67">
        <f t="shared" si="924"/>
        <v>0</v>
      </c>
      <c r="HG149" s="63"/>
      <c r="HH149" s="63"/>
      <c r="HI149" s="63"/>
      <c r="HJ149" s="63"/>
      <c r="HK149" s="67">
        <f t="shared" si="925"/>
        <v>0</v>
      </c>
      <c r="HL149" s="68">
        <f t="shared" si="926"/>
        <v>0</v>
      </c>
      <c r="HM149" s="68">
        <f t="shared" si="926"/>
        <v>0</v>
      </c>
      <c r="HN149" s="68">
        <f t="shared" si="926"/>
        <v>0</v>
      </c>
      <c r="HO149" s="68">
        <f t="shared" si="926"/>
        <v>0</v>
      </c>
      <c r="HP149" s="67">
        <f t="shared" si="927"/>
        <v>0</v>
      </c>
      <c r="HQ149" s="63"/>
      <c r="HR149" s="63"/>
      <c r="HS149" s="63"/>
      <c r="HT149" s="63"/>
      <c r="HU149" s="67">
        <f t="shared" si="928"/>
        <v>0</v>
      </c>
      <c r="HV149" s="63"/>
      <c r="HW149" s="63"/>
      <c r="HX149" s="63"/>
      <c r="HY149" s="63"/>
      <c r="HZ149" s="67">
        <f t="shared" si="929"/>
        <v>0</v>
      </c>
      <c r="IA149" s="63"/>
      <c r="IB149" s="63"/>
      <c r="IC149" s="63"/>
      <c r="ID149" s="63"/>
      <c r="IE149" s="67">
        <f t="shared" si="930"/>
        <v>0</v>
      </c>
      <c r="IF149" s="68">
        <f t="shared" si="931"/>
        <v>0</v>
      </c>
      <c r="IG149" s="68">
        <f t="shared" si="931"/>
        <v>0</v>
      </c>
      <c r="IH149" s="68">
        <f t="shared" si="931"/>
        <v>0</v>
      </c>
      <c r="II149" s="68">
        <f t="shared" si="931"/>
        <v>0</v>
      </c>
      <c r="IJ149" s="67">
        <f t="shared" si="932"/>
        <v>0</v>
      </c>
      <c r="IK149" s="63"/>
      <c r="IL149" s="63"/>
      <c r="IM149" s="63"/>
      <c r="IN149" s="63"/>
      <c r="IO149" s="67">
        <f t="shared" si="933"/>
        <v>0</v>
      </c>
      <c r="IP149" s="63"/>
      <c r="IQ149" s="63"/>
      <c r="IR149" s="63"/>
      <c r="IS149" s="63"/>
      <c r="IT149" s="67">
        <f t="shared" si="934"/>
        <v>0</v>
      </c>
      <c r="IU149" s="63"/>
      <c r="IV149" s="63"/>
    </row>
    <row r="150" spans="1:256" ht="12.75" customHeight="1" x14ac:dyDescent="0.25">
      <c r="A150" s="117" t="s">
        <v>140</v>
      </c>
      <c r="B150" s="62">
        <v>0</v>
      </c>
      <c r="C150" s="63">
        <v>0</v>
      </c>
      <c r="D150" s="63">
        <v>0</v>
      </c>
      <c r="E150" s="63">
        <v>0</v>
      </c>
      <c r="F150" s="63">
        <v>0</v>
      </c>
      <c r="G150" s="63">
        <v>0</v>
      </c>
      <c r="H150" s="63">
        <v>0</v>
      </c>
      <c r="I150" s="63">
        <v>0</v>
      </c>
      <c r="J150" s="63">
        <v>0</v>
      </c>
      <c r="K150" s="63">
        <v>0</v>
      </c>
      <c r="L150" s="64">
        <f t="shared" si="935"/>
        <v>0</v>
      </c>
      <c r="M150" s="62"/>
      <c r="N150" s="63"/>
      <c r="O150" s="63"/>
      <c r="P150" s="63"/>
      <c r="Q150" s="63"/>
      <c r="R150" s="63"/>
      <c r="S150" s="63"/>
      <c r="T150" s="63"/>
      <c r="U150" s="63"/>
      <c r="V150" s="63"/>
      <c r="W150" s="64">
        <f t="shared" si="901"/>
        <v>0</v>
      </c>
      <c r="X150" s="62"/>
      <c r="Y150" s="63"/>
      <c r="Z150" s="63"/>
      <c r="AA150" s="63"/>
      <c r="AB150" s="63"/>
      <c r="AC150" s="63"/>
      <c r="AD150" s="63"/>
      <c r="AE150" s="63"/>
      <c r="AF150" s="63"/>
      <c r="AG150" s="63"/>
      <c r="AH150" s="64">
        <f t="shared" si="902"/>
        <v>0</v>
      </c>
      <c r="AI150" s="62"/>
      <c r="AJ150" s="63"/>
      <c r="AK150" s="63"/>
      <c r="AL150" s="63"/>
      <c r="AM150" s="63"/>
      <c r="AN150" s="63"/>
      <c r="AO150" s="63"/>
      <c r="AP150" s="63"/>
      <c r="AQ150" s="63"/>
      <c r="AR150" s="63"/>
      <c r="AS150" s="64">
        <f t="shared" si="903"/>
        <v>0</v>
      </c>
      <c r="AT150" s="65">
        <f t="shared" si="904"/>
        <v>0</v>
      </c>
      <c r="AU150" s="65">
        <f t="shared" si="904"/>
        <v>0</v>
      </c>
      <c r="AV150" s="65">
        <f t="shared" si="904"/>
        <v>0</v>
      </c>
      <c r="AW150" s="65">
        <f t="shared" si="904"/>
        <v>0</v>
      </c>
      <c r="AX150" s="65">
        <f t="shared" si="904"/>
        <v>0</v>
      </c>
      <c r="AY150" s="65">
        <f t="shared" si="904"/>
        <v>0</v>
      </c>
      <c r="AZ150" s="65">
        <f t="shared" si="904"/>
        <v>0</v>
      </c>
      <c r="BA150" s="65">
        <f t="shared" si="904"/>
        <v>0</v>
      </c>
      <c r="BB150" s="65">
        <f t="shared" si="904"/>
        <v>0</v>
      </c>
      <c r="BC150" s="65">
        <f t="shared" si="904"/>
        <v>0</v>
      </c>
      <c r="BD150" s="64">
        <f t="shared" si="905"/>
        <v>0</v>
      </c>
      <c r="BE150" s="62"/>
      <c r="BF150" s="63"/>
      <c r="BG150" s="63"/>
      <c r="BH150" s="63"/>
      <c r="BI150" s="63"/>
      <c r="BJ150" s="63"/>
      <c r="BK150" s="63"/>
      <c r="BL150" s="63"/>
      <c r="BM150" s="63"/>
      <c r="BN150" s="63"/>
      <c r="BO150" s="64">
        <f t="shared" si="906"/>
        <v>0</v>
      </c>
      <c r="BP150" s="62"/>
      <c r="BQ150" s="63"/>
      <c r="BR150" s="63"/>
      <c r="BS150" s="63"/>
      <c r="BT150" s="63"/>
      <c r="BU150" s="63"/>
      <c r="BV150" s="63"/>
      <c r="BW150" s="63"/>
      <c r="BX150" s="63"/>
      <c r="BY150" s="63"/>
      <c r="BZ150" s="64">
        <f t="shared" si="907"/>
        <v>0</v>
      </c>
      <c r="CA150" s="62"/>
      <c r="CB150" s="63"/>
      <c r="CC150" s="63"/>
      <c r="CD150" s="63"/>
      <c r="CE150" s="63"/>
      <c r="CF150" s="63"/>
      <c r="CG150" s="63"/>
      <c r="CH150" s="63"/>
      <c r="CI150" s="63"/>
      <c r="CJ150" s="63"/>
      <c r="CK150" s="64">
        <f t="shared" si="908"/>
        <v>0</v>
      </c>
      <c r="CL150" s="65">
        <f t="shared" si="909"/>
        <v>0</v>
      </c>
      <c r="CM150" s="65">
        <f t="shared" si="909"/>
        <v>0</v>
      </c>
      <c r="CN150" s="65">
        <f t="shared" si="909"/>
        <v>0</v>
      </c>
      <c r="CO150" s="65">
        <f t="shared" si="909"/>
        <v>0</v>
      </c>
      <c r="CP150" s="65">
        <f t="shared" si="909"/>
        <v>0</v>
      </c>
      <c r="CQ150" s="65">
        <f t="shared" si="909"/>
        <v>0</v>
      </c>
      <c r="CR150" s="65">
        <f t="shared" si="909"/>
        <v>0</v>
      </c>
      <c r="CS150" s="65">
        <f t="shared" si="909"/>
        <v>0</v>
      </c>
      <c r="CT150" s="65">
        <f t="shared" si="909"/>
        <v>0</v>
      </c>
      <c r="CU150" s="65">
        <f t="shared" si="909"/>
        <v>0</v>
      </c>
      <c r="CV150" s="64">
        <f t="shared" si="910"/>
        <v>0</v>
      </c>
      <c r="CW150" s="62"/>
      <c r="CX150" s="63"/>
      <c r="CY150" s="63"/>
      <c r="CZ150" s="63"/>
      <c r="DA150" s="63"/>
      <c r="DB150" s="63"/>
      <c r="DC150" s="63"/>
      <c r="DD150" s="63"/>
      <c r="DE150" s="63"/>
      <c r="DF150" s="63"/>
      <c r="DG150" s="64">
        <f t="shared" si="911"/>
        <v>0</v>
      </c>
      <c r="DH150" s="62"/>
      <c r="DI150" s="63"/>
      <c r="DJ150" s="63"/>
      <c r="DK150" s="63"/>
      <c r="DL150" s="63"/>
      <c r="DM150" s="63"/>
      <c r="DN150" s="63"/>
      <c r="DO150" s="63"/>
      <c r="DP150" s="63"/>
      <c r="DQ150" s="63"/>
      <c r="DR150" s="64">
        <f t="shared" si="912"/>
        <v>0</v>
      </c>
      <c r="DS150" s="62"/>
      <c r="DT150" s="63"/>
      <c r="DU150" s="63"/>
      <c r="DV150" s="63"/>
      <c r="DW150" s="63"/>
      <c r="DX150" s="63"/>
      <c r="DY150" s="63"/>
      <c r="DZ150" s="63"/>
      <c r="EA150" s="63"/>
      <c r="EB150" s="63"/>
      <c r="EC150" s="63"/>
      <c r="ED150" s="65">
        <f t="shared" si="913"/>
        <v>0</v>
      </c>
      <c r="EE150" s="65">
        <f t="shared" si="913"/>
        <v>0</v>
      </c>
      <c r="EF150" s="65">
        <f t="shared" si="913"/>
        <v>0</v>
      </c>
      <c r="EG150" s="65">
        <f t="shared" si="913"/>
        <v>0</v>
      </c>
      <c r="EH150" s="65">
        <f t="shared" si="913"/>
        <v>0</v>
      </c>
      <c r="EI150" s="65">
        <f t="shared" si="913"/>
        <v>0</v>
      </c>
      <c r="EJ150" s="65">
        <f t="shared" si="913"/>
        <v>0</v>
      </c>
      <c r="EK150" s="65">
        <f t="shared" si="913"/>
        <v>0</v>
      </c>
      <c r="EL150" s="65">
        <f t="shared" si="913"/>
        <v>0</v>
      </c>
      <c r="EM150" s="65">
        <f t="shared" si="913"/>
        <v>0</v>
      </c>
      <c r="EN150" s="64">
        <f t="shared" si="914"/>
        <v>0</v>
      </c>
      <c r="EO150" s="62"/>
      <c r="EP150" s="63"/>
      <c r="EQ150" s="63"/>
      <c r="ER150" s="63"/>
      <c r="ES150" s="63"/>
      <c r="ET150" s="63"/>
      <c r="EU150" s="63"/>
      <c r="EV150" s="63"/>
      <c r="EW150" s="63"/>
      <c r="EX150" s="63"/>
      <c r="EY150" s="64">
        <f t="shared" si="915"/>
        <v>0</v>
      </c>
      <c r="EZ150" s="62"/>
      <c r="FA150" s="63"/>
      <c r="FB150" s="63"/>
      <c r="FC150" s="63"/>
      <c r="FD150" s="63"/>
      <c r="FE150" s="63"/>
      <c r="FF150" s="63"/>
      <c r="FG150" s="63"/>
      <c r="FH150" s="63"/>
      <c r="FI150" s="63"/>
      <c r="FJ150" s="64">
        <f t="shared" si="916"/>
        <v>0</v>
      </c>
      <c r="FK150" s="62"/>
      <c r="FL150" s="63"/>
      <c r="FM150" s="63"/>
      <c r="FN150" s="63"/>
      <c r="FO150" s="63"/>
      <c r="FP150" s="63"/>
      <c r="FQ150" s="63"/>
      <c r="FR150" s="63"/>
      <c r="FS150" s="63"/>
      <c r="FT150" s="63"/>
      <c r="FU150" s="64">
        <f t="shared" si="917"/>
        <v>0</v>
      </c>
      <c r="FV150" s="65">
        <f t="shared" si="918"/>
        <v>0</v>
      </c>
      <c r="FW150" s="65">
        <f t="shared" si="918"/>
        <v>0</v>
      </c>
      <c r="FX150" s="65">
        <f t="shared" si="918"/>
        <v>0</v>
      </c>
      <c r="FY150" s="65">
        <f t="shared" si="918"/>
        <v>0</v>
      </c>
      <c r="FZ150" s="65">
        <f t="shared" si="918"/>
        <v>0</v>
      </c>
      <c r="GA150" s="65">
        <f t="shared" si="918"/>
        <v>0</v>
      </c>
      <c r="GB150" s="65">
        <f t="shared" si="918"/>
        <v>0</v>
      </c>
      <c r="GC150" s="65">
        <f t="shared" si="918"/>
        <v>0</v>
      </c>
      <c r="GD150" s="65">
        <f t="shared" si="918"/>
        <v>0</v>
      </c>
      <c r="GE150" s="65">
        <f t="shared" si="918"/>
        <v>0</v>
      </c>
      <c r="GF150" s="64">
        <f t="shared" si="919"/>
        <v>0</v>
      </c>
      <c r="GG150" s="66">
        <f t="shared" si="920"/>
        <v>0</v>
      </c>
      <c r="GH150" s="66">
        <f t="shared" si="920"/>
        <v>0</v>
      </c>
      <c r="GI150" s="66">
        <f t="shared" si="920"/>
        <v>0</v>
      </c>
      <c r="GJ150" s="66">
        <f t="shared" si="920"/>
        <v>0</v>
      </c>
      <c r="GK150" s="66">
        <f t="shared" si="920"/>
        <v>0</v>
      </c>
      <c r="GL150" s="66">
        <f t="shared" si="920"/>
        <v>0</v>
      </c>
      <c r="GM150" s="66">
        <f t="shared" si="920"/>
        <v>0</v>
      </c>
      <c r="GN150" s="66">
        <f t="shared" si="920"/>
        <v>0</v>
      </c>
      <c r="GO150" s="66">
        <f t="shared" si="920"/>
        <v>0</v>
      </c>
      <c r="GP150" s="66">
        <f t="shared" si="920"/>
        <v>0</v>
      </c>
      <c r="GQ150" s="64">
        <f t="shared" si="921"/>
        <v>0</v>
      </c>
      <c r="GR150" s="63"/>
      <c r="GS150" s="63">
        <v>0</v>
      </c>
      <c r="GT150" s="63">
        <v>0</v>
      </c>
      <c r="GU150" s="63"/>
      <c r="GV150" s="67">
        <f t="shared" si="922"/>
        <v>0</v>
      </c>
      <c r="GW150" s="63"/>
      <c r="GX150" s="63"/>
      <c r="GY150" s="63"/>
      <c r="GZ150" s="63"/>
      <c r="HA150" s="67">
        <f t="shared" si="923"/>
        <v>0</v>
      </c>
      <c r="HB150" s="63"/>
      <c r="HC150" s="63"/>
      <c r="HD150" s="63"/>
      <c r="HE150" s="63"/>
      <c r="HF150" s="67">
        <f t="shared" si="924"/>
        <v>0</v>
      </c>
      <c r="HG150" s="63"/>
      <c r="HH150" s="63"/>
      <c r="HI150" s="63"/>
      <c r="HJ150" s="63"/>
      <c r="HK150" s="67">
        <f t="shared" si="925"/>
        <v>0</v>
      </c>
      <c r="HL150" s="68">
        <f t="shared" si="926"/>
        <v>0</v>
      </c>
      <c r="HM150" s="68">
        <f t="shared" si="926"/>
        <v>0</v>
      </c>
      <c r="HN150" s="68">
        <f t="shared" si="926"/>
        <v>0</v>
      </c>
      <c r="HO150" s="68">
        <f t="shared" si="926"/>
        <v>0</v>
      </c>
      <c r="HP150" s="67">
        <f t="shared" si="927"/>
        <v>0</v>
      </c>
      <c r="HQ150" s="63"/>
      <c r="HR150" s="63"/>
      <c r="HS150" s="63"/>
      <c r="HT150" s="63"/>
      <c r="HU150" s="67">
        <f t="shared" si="928"/>
        <v>0</v>
      </c>
      <c r="HV150" s="63"/>
      <c r="HW150" s="63"/>
      <c r="HX150" s="63"/>
      <c r="HY150" s="63"/>
      <c r="HZ150" s="67">
        <f t="shared" si="929"/>
        <v>0</v>
      </c>
      <c r="IA150" s="63"/>
      <c r="IB150" s="63"/>
      <c r="IC150" s="63"/>
      <c r="ID150" s="63"/>
      <c r="IE150" s="67">
        <f t="shared" si="930"/>
        <v>0</v>
      </c>
      <c r="IF150" s="68">
        <f t="shared" si="931"/>
        <v>0</v>
      </c>
      <c r="IG150" s="68">
        <f t="shared" si="931"/>
        <v>0</v>
      </c>
      <c r="IH150" s="68">
        <f t="shared" si="931"/>
        <v>0</v>
      </c>
      <c r="II150" s="68">
        <f t="shared" si="931"/>
        <v>0</v>
      </c>
      <c r="IJ150" s="67">
        <f t="shared" si="932"/>
        <v>0</v>
      </c>
      <c r="IK150" s="63"/>
      <c r="IL150" s="63"/>
      <c r="IM150" s="63"/>
      <c r="IN150" s="63"/>
      <c r="IO150" s="67">
        <f t="shared" si="933"/>
        <v>0</v>
      </c>
      <c r="IP150" s="63"/>
      <c r="IQ150" s="63"/>
      <c r="IR150" s="63"/>
      <c r="IS150" s="63"/>
      <c r="IT150" s="67">
        <f t="shared" si="934"/>
        <v>0</v>
      </c>
      <c r="IU150" s="63"/>
      <c r="IV150" s="63"/>
    </row>
    <row r="151" spans="1:256" ht="12.75" customHeight="1" x14ac:dyDescent="0.25">
      <c r="A151" s="117" t="s">
        <v>141</v>
      </c>
      <c r="B151" s="62">
        <v>0</v>
      </c>
      <c r="C151" s="63">
        <v>0</v>
      </c>
      <c r="D151" s="63">
        <v>0</v>
      </c>
      <c r="E151" s="63">
        <v>0</v>
      </c>
      <c r="F151" s="63">
        <v>0</v>
      </c>
      <c r="G151" s="63">
        <v>0</v>
      </c>
      <c r="H151" s="63">
        <v>0</v>
      </c>
      <c r="I151" s="63">
        <v>0</v>
      </c>
      <c r="J151" s="63">
        <v>0</v>
      </c>
      <c r="K151" s="63">
        <v>0</v>
      </c>
      <c r="L151" s="64">
        <f t="shared" si="935"/>
        <v>0</v>
      </c>
      <c r="M151" s="62"/>
      <c r="N151" s="63"/>
      <c r="O151" s="63"/>
      <c r="P151" s="63"/>
      <c r="Q151" s="63"/>
      <c r="R151" s="63"/>
      <c r="S151" s="63"/>
      <c r="T151" s="63"/>
      <c r="U151" s="63"/>
      <c r="V151" s="63"/>
      <c r="W151" s="64">
        <f t="shared" si="901"/>
        <v>0</v>
      </c>
      <c r="X151" s="62"/>
      <c r="Y151" s="63"/>
      <c r="Z151" s="63"/>
      <c r="AA151" s="63"/>
      <c r="AB151" s="63"/>
      <c r="AC151" s="63"/>
      <c r="AD151" s="63"/>
      <c r="AE151" s="63"/>
      <c r="AF151" s="63"/>
      <c r="AG151" s="63"/>
      <c r="AH151" s="64">
        <f t="shared" si="902"/>
        <v>0</v>
      </c>
      <c r="AI151" s="62"/>
      <c r="AJ151" s="63"/>
      <c r="AK151" s="63"/>
      <c r="AL151" s="63"/>
      <c r="AM151" s="63"/>
      <c r="AN151" s="63"/>
      <c r="AO151" s="63"/>
      <c r="AP151" s="63"/>
      <c r="AQ151" s="63"/>
      <c r="AR151" s="63"/>
      <c r="AS151" s="64">
        <f t="shared" si="903"/>
        <v>0</v>
      </c>
      <c r="AT151" s="65">
        <f t="shared" si="904"/>
        <v>0</v>
      </c>
      <c r="AU151" s="65">
        <f t="shared" si="904"/>
        <v>0</v>
      </c>
      <c r="AV151" s="65">
        <f t="shared" si="904"/>
        <v>0</v>
      </c>
      <c r="AW151" s="65">
        <f t="shared" si="904"/>
        <v>0</v>
      </c>
      <c r="AX151" s="65">
        <f t="shared" si="904"/>
        <v>0</v>
      </c>
      <c r="AY151" s="65">
        <f t="shared" si="904"/>
        <v>0</v>
      </c>
      <c r="AZ151" s="65">
        <f t="shared" si="904"/>
        <v>0</v>
      </c>
      <c r="BA151" s="65">
        <f t="shared" si="904"/>
        <v>0</v>
      </c>
      <c r="BB151" s="65">
        <f t="shared" si="904"/>
        <v>0</v>
      </c>
      <c r="BC151" s="65">
        <f t="shared" si="904"/>
        <v>0</v>
      </c>
      <c r="BD151" s="64">
        <f t="shared" si="905"/>
        <v>0</v>
      </c>
      <c r="BE151" s="62"/>
      <c r="BF151" s="63"/>
      <c r="BG151" s="63"/>
      <c r="BH151" s="63"/>
      <c r="BI151" s="63"/>
      <c r="BJ151" s="63"/>
      <c r="BK151" s="63"/>
      <c r="BL151" s="63"/>
      <c r="BM151" s="63"/>
      <c r="BN151" s="63"/>
      <c r="BO151" s="64">
        <f t="shared" si="906"/>
        <v>0</v>
      </c>
      <c r="BP151" s="62"/>
      <c r="BQ151" s="63"/>
      <c r="BR151" s="63"/>
      <c r="BS151" s="63"/>
      <c r="BT151" s="63"/>
      <c r="BU151" s="63"/>
      <c r="BV151" s="63"/>
      <c r="BW151" s="63"/>
      <c r="BX151" s="63"/>
      <c r="BY151" s="63"/>
      <c r="BZ151" s="64">
        <f t="shared" si="907"/>
        <v>0</v>
      </c>
      <c r="CA151" s="62"/>
      <c r="CB151" s="63"/>
      <c r="CC151" s="63"/>
      <c r="CD151" s="63"/>
      <c r="CE151" s="63"/>
      <c r="CF151" s="63"/>
      <c r="CG151" s="63"/>
      <c r="CH151" s="63"/>
      <c r="CI151" s="63"/>
      <c r="CJ151" s="63"/>
      <c r="CK151" s="64">
        <f t="shared" si="908"/>
        <v>0</v>
      </c>
      <c r="CL151" s="65">
        <f t="shared" si="909"/>
        <v>0</v>
      </c>
      <c r="CM151" s="65">
        <f t="shared" si="909"/>
        <v>0</v>
      </c>
      <c r="CN151" s="65">
        <f t="shared" si="909"/>
        <v>0</v>
      </c>
      <c r="CO151" s="65">
        <f t="shared" si="909"/>
        <v>0</v>
      </c>
      <c r="CP151" s="65">
        <f t="shared" si="909"/>
        <v>0</v>
      </c>
      <c r="CQ151" s="65">
        <f t="shared" si="909"/>
        <v>0</v>
      </c>
      <c r="CR151" s="65">
        <f t="shared" si="909"/>
        <v>0</v>
      </c>
      <c r="CS151" s="65">
        <f t="shared" si="909"/>
        <v>0</v>
      </c>
      <c r="CT151" s="65">
        <f t="shared" si="909"/>
        <v>0</v>
      </c>
      <c r="CU151" s="65">
        <f t="shared" si="909"/>
        <v>0</v>
      </c>
      <c r="CV151" s="64">
        <f t="shared" si="910"/>
        <v>0</v>
      </c>
      <c r="CW151" s="62"/>
      <c r="CX151" s="63"/>
      <c r="CY151" s="63"/>
      <c r="CZ151" s="63"/>
      <c r="DA151" s="63"/>
      <c r="DB151" s="63"/>
      <c r="DC151" s="63"/>
      <c r="DD151" s="63"/>
      <c r="DE151" s="63"/>
      <c r="DF151" s="63"/>
      <c r="DG151" s="64">
        <f t="shared" si="911"/>
        <v>0</v>
      </c>
      <c r="DH151" s="62"/>
      <c r="DI151" s="63"/>
      <c r="DJ151" s="63"/>
      <c r="DK151" s="63"/>
      <c r="DL151" s="63"/>
      <c r="DM151" s="63"/>
      <c r="DN151" s="63"/>
      <c r="DO151" s="63"/>
      <c r="DP151" s="63"/>
      <c r="DQ151" s="63"/>
      <c r="DR151" s="64">
        <f t="shared" si="912"/>
        <v>0</v>
      </c>
      <c r="DS151" s="62"/>
      <c r="DT151" s="63"/>
      <c r="DU151" s="63"/>
      <c r="DV151" s="63"/>
      <c r="DW151" s="63"/>
      <c r="DX151" s="63"/>
      <c r="DY151" s="63"/>
      <c r="DZ151" s="63"/>
      <c r="EA151" s="63"/>
      <c r="EB151" s="63"/>
      <c r="EC151" s="63"/>
      <c r="ED151" s="65">
        <f t="shared" si="913"/>
        <v>0</v>
      </c>
      <c r="EE151" s="65">
        <f t="shared" si="913"/>
        <v>0</v>
      </c>
      <c r="EF151" s="65">
        <f t="shared" si="913"/>
        <v>0</v>
      </c>
      <c r="EG151" s="65">
        <f t="shared" si="913"/>
        <v>0</v>
      </c>
      <c r="EH151" s="65">
        <f t="shared" si="913"/>
        <v>0</v>
      </c>
      <c r="EI151" s="65">
        <f t="shared" si="913"/>
        <v>0</v>
      </c>
      <c r="EJ151" s="65">
        <f t="shared" si="913"/>
        <v>0</v>
      </c>
      <c r="EK151" s="65">
        <f t="shared" si="913"/>
        <v>0</v>
      </c>
      <c r="EL151" s="65">
        <f t="shared" si="913"/>
        <v>0</v>
      </c>
      <c r="EM151" s="65">
        <f t="shared" si="913"/>
        <v>0</v>
      </c>
      <c r="EN151" s="64">
        <f t="shared" si="914"/>
        <v>0</v>
      </c>
      <c r="EO151" s="62"/>
      <c r="EP151" s="63"/>
      <c r="EQ151" s="63"/>
      <c r="ER151" s="63"/>
      <c r="ES151" s="63"/>
      <c r="ET151" s="63"/>
      <c r="EU151" s="63"/>
      <c r="EV151" s="63"/>
      <c r="EW151" s="63"/>
      <c r="EX151" s="63"/>
      <c r="EY151" s="64">
        <f t="shared" si="915"/>
        <v>0</v>
      </c>
      <c r="EZ151" s="62"/>
      <c r="FA151" s="63"/>
      <c r="FB151" s="63"/>
      <c r="FC151" s="63"/>
      <c r="FD151" s="63"/>
      <c r="FE151" s="63"/>
      <c r="FF151" s="63"/>
      <c r="FG151" s="63"/>
      <c r="FH151" s="63"/>
      <c r="FI151" s="63"/>
      <c r="FJ151" s="64">
        <f t="shared" si="916"/>
        <v>0</v>
      </c>
      <c r="FK151" s="62"/>
      <c r="FL151" s="63"/>
      <c r="FM151" s="63"/>
      <c r="FN151" s="63"/>
      <c r="FO151" s="63"/>
      <c r="FP151" s="63"/>
      <c r="FQ151" s="63"/>
      <c r="FR151" s="63"/>
      <c r="FS151" s="63"/>
      <c r="FT151" s="63"/>
      <c r="FU151" s="64">
        <f t="shared" si="917"/>
        <v>0</v>
      </c>
      <c r="FV151" s="65">
        <f t="shared" si="918"/>
        <v>0</v>
      </c>
      <c r="FW151" s="65">
        <f t="shared" si="918"/>
        <v>0</v>
      </c>
      <c r="FX151" s="65">
        <f t="shared" si="918"/>
        <v>0</v>
      </c>
      <c r="FY151" s="65">
        <f t="shared" si="918"/>
        <v>0</v>
      </c>
      <c r="FZ151" s="65">
        <f t="shared" si="918"/>
        <v>0</v>
      </c>
      <c r="GA151" s="65">
        <f t="shared" si="918"/>
        <v>0</v>
      </c>
      <c r="GB151" s="65">
        <f t="shared" si="918"/>
        <v>0</v>
      </c>
      <c r="GC151" s="65">
        <f t="shared" si="918"/>
        <v>0</v>
      </c>
      <c r="GD151" s="65">
        <f t="shared" si="918"/>
        <v>0</v>
      </c>
      <c r="GE151" s="65">
        <f t="shared" si="918"/>
        <v>0</v>
      </c>
      <c r="GF151" s="64">
        <f t="shared" si="919"/>
        <v>0</v>
      </c>
      <c r="GG151" s="66">
        <f t="shared" si="920"/>
        <v>0</v>
      </c>
      <c r="GH151" s="66">
        <f t="shared" si="920"/>
        <v>0</v>
      </c>
      <c r="GI151" s="66">
        <f t="shared" si="920"/>
        <v>0</v>
      </c>
      <c r="GJ151" s="66">
        <f t="shared" si="920"/>
        <v>0</v>
      </c>
      <c r="GK151" s="66">
        <f t="shared" si="920"/>
        <v>0</v>
      </c>
      <c r="GL151" s="66">
        <f t="shared" si="920"/>
        <v>0</v>
      </c>
      <c r="GM151" s="66">
        <f t="shared" si="920"/>
        <v>0</v>
      </c>
      <c r="GN151" s="66">
        <f t="shared" si="920"/>
        <v>0</v>
      </c>
      <c r="GO151" s="66">
        <f t="shared" si="920"/>
        <v>0</v>
      </c>
      <c r="GP151" s="66">
        <f t="shared" si="920"/>
        <v>0</v>
      </c>
      <c r="GQ151" s="64">
        <f t="shared" si="921"/>
        <v>0</v>
      </c>
      <c r="GR151" s="63"/>
      <c r="GS151" s="63"/>
      <c r="GT151" s="63"/>
      <c r="GU151" s="63"/>
      <c r="GV151" s="67">
        <f t="shared" si="922"/>
        <v>0</v>
      </c>
      <c r="GW151" s="63"/>
      <c r="GX151" s="63"/>
      <c r="GY151" s="63"/>
      <c r="GZ151" s="63"/>
      <c r="HA151" s="67">
        <f t="shared" si="923"/>
        <v>0</v>
      </c>
      <c r="HB151" s="63"/>
      <c r="HC151" s="63"/>
      <c r="HD151" s="63"/>
      <c r="HE151" s="63"/>
      <c r="HF151" s="67">
        <f t="shared" si="924"/>
        <v>0</v>
      </c>
      <c r="HG151" s="63"/>
      <c r="HH151" s="63"/>
      <c r="HI151" s="63"/>
      <c r="HJ151" s="63"/>
      <c r="HK151" s="67">
        <f t="shared" si="925"/>
        <v>0</v>
      </c>
      <c r="HL151" s="68">
        <f t="shared" si="926"/>
        <v>0</v>
      </c>
      <c r="HM151" s="68">
        <f t="shared" si="926"/>
        <v>0</v>
      </c>
      <c r="HN151" s="68">
        <f t="shared" si="926"/>
        <v>0</v>
      </c>
      <c r="HO151" s="68">
        <f t="shared" si="926"/>
        <v>0</v>
      </c>
      <c r="HP151" s="67">
        <f t="shared" si="927"/>
        <v>0</v>
      </c>
      <c r="HQ151" s="63"/>
      <c r="HR151" s="63"/>
      <c r="HS151" s="63"/>
      <c r="HT151" s="63"/>
      <c r="HU151" s="67">
        <f t="shared" si="928"/>
        <v>0</v>
      </c>
      <c r="HV151" s="63"/>
      <c r="HW151" s="63"/>
      <c r="HX151" s="63"/>
      <c r="HY151" s="63"/>
      <c r="HZ151" s="67">
        <f t="shared" si="929"/>
        <v>0</v>
      </c>
      <c r="IA151" s="63"/>
      <c r="IB151" s="63"/>
      <c r="IC151" s="63"/>
      <c r="ID151" s="63"/>
      <c r="IE151" s="67">
        <f t="shared" si="930"/>
        <v>0</v>
      </c>
      <c r="IF151" s="68">
        <f t="shared" si="931"/>
        <v>0</v>
      </c>
      <c r="IG151" s="68">
        <f t="shared" si="931"/>
        <v>0</v>
      </c>
      <c r="IH151" s="68">
        <f t="shared" si="931"/>
        <v>0</v>
      </c>
      <c r="II151" s="68">
        <f t="shared" si="931"/>
        <v>0</v>
      </c>
      <c r="IJ151" s="67">
        <f t="shared" si="932"/>
        <v>0</v>
      </c>
      <c r="IK151" s="63"/>
      <c r="IL151" s="63"/>
      <c r="IM151" s="63"/>
      <c r="IN151" s="63"/>
      <c r="IO151" s="67">
        <f t="shared" si="933"/>
        <v>0</v>
      </c>
      <c r="IP151" s="63"/>
      <c r="IQ151" s="63"/>
      <c r="IR151" s="63"/>
      <c r="IS151" s="63"/>
      <c r="IT151" s="67">
        <f t="shared" si="934"/>
        <v>0</v>
      </c>
      <c r="IU151" s="63"/>
      <c r="IV151" s="63"/>
    </row>
    <row r="152" spans="1:256" ht="12.75" customHeight="1" x14ac:dyDescent="0.25">
      <c r="A152" s="117" t="s">
        <v>142</v>
      </c>
      <c r="B152" s="62">
        <v>0</v>
      </c>
      <c r="C152" s="63">
        <v>0</v>
      </c>
      <c r="D152" s="63">
        <v>0</v>
      </c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  <c r="K152" s="63">
        <v>0</v>
      </c>
      <c r="L152" s="64">
        <f t="shared" si="935"/>
        <v>0</v>
      </c>
      <c r="M152" s="62"/>
      <c r="N152" s="63"/>
      <c r="O152" s="63"/>
      <c r="P152" s="63"/>
      <c r="Q152" s="63"/>
      <c r="R152" s="63"/>
      <c r="S152" s="63"/>
      <c r="T152" s="63"/>
      <c r="U152" s="63"/>
      <c r="V152" s="63"/>
      <c r="W152" s="64">
        <f t="shared" si="901"/>
        <v>0</v>
      </c>
      <c r="X152" s="62"/>
      <c r="Y152" s="63"/>
      <c r="Z152" s="63"/>
      <c r="AA152" s="63"/>
      <c r="AB152" s="63"/>
      <c r="AC152" s="63"/>
      <c r="AD152" s="63"/>
      <c r="AE152" s="63"/>
      <c r="AF152" s="63"/>
      <c r="AG152" s="63"/>
      <c r="AH152" s="64">
        <f t="shared" si="902"/>
        <v>0</v>
      </c>
      <c r="AI152" s="62"/>
      <c r="AJ152" s="63"/>
      <c r="AK152" s="63"/>
      <c r="AL152" s="63"/>
      <c r="AM152" s="63"/>
      <c r="AN152" s="63"/>
      <c r="AO152" s="63"/>
      <c r="AP152" s="63"/>
      <c r="AQ152" s="63"/>
      <c r="AR152" s="63"/>
      <c r="AS152" s="64">
        <f t="shared" si="903"/>
        <v>0</v>
      </c>
      <c r="AT152" s="65">
        <f t="shared" si="904"/>
        <v>0</v>
      </c>
      <c r="AU152" s="65">
        <f t="shared" si="904"/>
        <v>0</v>
      </c>
      <c r="AV152" s="65">
        <f t="shared" si="904"/>
        <v>0</v>
      </c>
      <c r="AW152" s="65">
        <f t="shared" si="904"/>
        <v>0</v>
      </c>
      <c r="AX152" s="65">
        <f t="shared" si="904"/>
        <v>0</v>
      </c>
      <c r="AY152" s="65">
        <f t="shared" si="904"/>
        <v>0</v>
      </c>
      <c r="AZ152" s="65">
        <f t="shared" si="904"/>
        <v>0</v>
      </c>
      <c r="BA152" s="65">
        <f t="shared" si="904"/>
        <v>0</v>
      </c>
      <c r="BB152" s="65">
        <f t="shared" si="904"/>
        <v>0</v>
      </c>
      <c r="BC152" s="65">
        <f t="shared" si="904"/>
        <v>0</v>
      </c>
      <c r="BD152" s="64">
        <f t="shared" si="905"/>
        <v>0</v>
      </c>
      <c r="BE152" s="62"/>
      <c r="BF152" s="63"/>
      <c r="BG152" s="63"/>
      <c r="BH152" s="63"/>
      <c r="BI152" s="63"/>
      <c r="BJ152" s="63"/>
      <c r="BK152" s="63"/>
      <c r="BL152" s="63"/>
      <c r="BM152" s="63"/>
      <c r="BN152" s="63"/>
      <c r="BO152" s="64">
        <f t="shared" si="906"/>
        <v>0</v>
      </c>
      <c r="BP152" s="62"/>
      <c r="BQ152" s="63"/>
      <c r="BR152" s="63"/>
      <c r="BS152" s="63"/>
      <c r="BT152" s="63"/>
      <c r="BU152" s="63"/>
      <c r="BV152" s="63"/>
      <c r="BW152" s="63"/>
      <c r="BX152" s="63"/>
      <c r="BY152" s="63"/>
      <c r="BZ152" s="64">
        <f t="shared" si="907"/>
        <v>0</v>
      </c>
      <c r="CA152" s="62"/>
      <c r="CB152" s="63"/>
      <c r="CC152" s="63"/>
      <c r="CD152" s="63"/>
      <c r="CE152" s="63"/>
      <c r="CF152" s="63"/>
      <c r="CG152" s="63"/>
      <c r="CH152" s="63"/>
      <c r="CI152" s="63"/>
      <c r="CJ152" s="63"/>
      <c r="CK152" s="64">
        <f t="shared" si="908"/>
        <v>0</v>
      </c>
      <c r="CL152" s="65">
        <f t="shared" si="909"/>
        <v>0</v>
      </c>
      <c r="CM152" s="65">
        <f t="shared" si="909"/>
        <v>0</v>
      </c>
      <c r="CN152" s="65">
        <f t="shared" si="909"/>
        <v>0</v>
      </c>
      <c r="CO152" s="65">
        <f t="shared" si="909"/>
        <v>0</v>
      </c>
      <c r="CP152" s="65">
        <f t="shared" si="909"/>
        <v>0</v>
      </c>
      <c r="CQ152" s="65">
        <f t="shared" si="909"/>
        <v>0</v>
      </c>
      <c r="CR152" s="65">
        <f t="shared" si="909"/>
        <v>0</v>
      </c>
      <c r="CS152" s="65">
        <f t="shared" si="909"/>
        <v>0</v>
      </c>
      <c r="CT152" s="65">
        <f t="shared" si="909"/>
        <v>0</v>
      </c>
      <c r="CU152" s="65">
        <f t="shared" si="909"/>
        <v>0</v>
      </c>
      <c r="CV152" s="64">
        <f t="shared" si="910"/>
        <v>0</v>
      </c>
      <c r="CW152" s="62"/>
      <c r="CX152" s="63"/>
      <c r="CY152" s="63"/>
      <c r="CZ152" s="63"/>
      <c r="DA152" s="63"/>
      <c r="DB152" s="63"/>
      <c r="DC152" s="63"/>
      <c r="DD152" s="63"/>
      <c r="DE152" s="63"/>
      <c r="DF152" s="63"/>
      <c r="DG152" s="64">
        <f t="shared" si="911"/>
        <v>0</v>
      </c>
      <c r="DH152" s="62"/>
      <c r="DI152" s="63"/>
      <c r="DJ152" s="63"/>
      <c r="DK152" s="63"/>
      <c r="DL152" s="63"/>
      <c r="DM152" s="63"/>
      <c r="DN152" s="63"/>
      <c r="DO152" s="63"/>
      <c r="DP152" s="63"/>
      <c r="DQ152" s="63"/>
      <c r="DR152" s="64">
        <f t="shared" si="912"/>
        <v>0</v>
      </c>
      <c r="DS152" s="62"/>
      <c r="DT152" s="63"/>
      <c r="DU152" s="63"/>
      <c r="DV152" s="63"/>
      <c r="DW152" s="63"/>
      <c r="DX152" s="63"/>
      <c r="DY152" s="63"/>
      <c r="DZ152" s="63"/>
      <c r="EA152" s="63"/>
      <c r="EB152" s="63"/>
      <c r="EC152" s="63"/>
      <c r="ED152" s="65">
        <f t="shared" si="913"/>
        <v>0</v>
      </c>
      <c r="EE152" s="65">
        <f t="shared" si="913"/>
        <v>0</v>
      </c>
      <c r="EF152" s="65">
        <f t="shared" si="913"/>
        <v>0</v>
      </c>
      <c r="EG152" s="65">
        <f t="shared" si="913"/>
        <v>0</v>
      </c>
      <c r="EH152" s="65">
        <f t="shared" si="913"/>
        <v>0</v>
      </c>
      <c r="EI152" s="65">
        <f t="shared" si="913"/>
        <v>0</v>
      </c>
      <c r="EJ152" s="65">
        <f t="shared" si="913"/>
        <v>0</v>
      </c>
      <c r="EK152" s="65">
        <f t="shared" si="913"/>
        <v>0</v>
      </c>
      <c r="EL152" s="65">
        <f t="shared" si="913"/>
        <v>0</v>
      </c>
      <c r="EM152" s="65">
        <f t="shared" si="913"/>
        <v>0</v>
      </c>
      <c r="EN152" s="64">
        <f t="shared" si="914"/>
        <v>0</v>
      </c>
      <c r="EO152" s="62"/>
      <c r="EP152" s="63"/>
      <c r="EQ152" s="63"/>
      <c r="ER152" s="63"/>
      <c r="ES152" s="63"/>
      <c r="ET152" s="63"/>
      <c r="EU152" s="63"/>
      <c r="EV152" s="63"/>
      <c r="EW152" s="63"/>
      <c r="EX152" s="63"/>
      <c r="EY152" s="64">
        <f t="shared" si="915"/>
        <v>0</v>
      </c>
      <c r="EZ152" s="62"/>
      <c r="FA152" s="63"/>
      <c r="FB152" s="63"/>
      <c r="FC152" s="63"/>
      <c r="FD152" s="63"/>
      <c r="FE152" s="63"/>
      <c r="FF152" s="63"/>
      <c r="FG152" s="63"/>
      <c r="FH152" s="63"/>
      <c r="FI152" s="63"/>
      <c r="FJ152" s="64">
        <f t="shared" si="916"/>
        <v>0</v>
      </c>
      <c r="FK152" s="62"/>
      <c r="FL152" s="63"/>
      <c r="FM152" s="63"/>
      <c r="FN152" s="63"/>
      <c r="FO152" s="63"/>
      <c r="FP152" s="63"/>
      <c r="FQ152" s="63"/>
      <c r="FR152" s="63"/>
      <c r="FS152" s="63"/>
      <c r="FT152" s="63"/>
      <c r="FU152" s="64">
        <f t="shared" si="917"/>
        <v>0</v>
      </c>
      <c r="FV152" s="65">
        <f t="shared" si="918"/>
        <v>0</v>
      </c>
      <c r="FW152" s="65">
        <f t="shared" si="918"/>
        <v>0</v>
      </c>
      <c r="FX152" s="65">
        <f t="shared" si="918"/>
        <v>0</v>
      </c>
      <c r="FY152" s="65">
        <f t="shared" si="918"/>
        <v>0</v>
      </c>
      <c r="FZ152" s="65">
        <f t="shared" si="918"/>
        <v>0</v>
      </c>
      <c r="GA152" s="65">
        <f t="shared" si="918"/>
        <v>0</v>
      </c>
      <c r="GB152" s="65">
        <f t="shared" si="918"/>
        <v>0</v>
      </c>
      <c r="GC152" s="65">
        <f t="shared" si="918"/>
        <v>0</v>
      </c>
      <c r="GD152" s="65">
        <f t="shared" si="918"/>
        <v>0</v>
      </c>
      <c r="GE152" s="65">
        <f t="shared" si="918"/>
        <v>0</v>
      </c>
      <c r="GF152" s="64">
        <f t="shared" si="919"/>
        <v>0</v>
      </c>
      <c r="GG152" s="66">
        <f t="shared" si="920"/>
        <v>0</v>
      </c>
      <c r="GH152" s="66">
        <f t="shared" si="920"/>
        <v>0</v>
      </c>
      <c r="GI152" s="66">
        <f t="shared" si="920"/>
        <v>0</v>
      </c>
      <c r="GJ152" s="66">
        <f t="shared" si="920"/>
        <v>0</v>
      </c>
      <c r="GK152" s="66">
        <f t="shared" si="920"/>
        <v>0</v>
      </c>
      <c r="GL152" s="66">
        <f t="shared" si="920"/>
        <v>0</v>
      </c>
      <c r="GM152" s="66">
        <f t="shared" si="920"/>
        <v>0</v>
      </c>
      <c r="GN152" s="66">
        <f t="shared" si="920"/>
        <v>0</v>
      </c>
      <c r="GO152" s="66">
        <f t="shared" si="920"/>
        <v>0</v>
      </c>
      <c r="GP152" s="66">
        <f t="shared" si="920"/>
        <v>0</v>
      </c>
      <c r="GQ152" s="64">
        <f t="shared" si="921"/>
        <v>0</v>
      </c>
      <c r="GR152" s="63"/>
      <c r="GS152" s="63"/>
      <c r="GT152" s="63"/>
      <c r="GU152" s="63"/>
      <c r="GV152" s="67">
        <f t="shared" si="922"/>
        <v>0</v>
      </c>
      <c r="GW152" s="63"/>
      <c r="GX152" s="63"/>
      <c r="GY152" s="63"/>
      <c r="GZ152" s="63"/>
      <c r="HA152" s="67">
        <f t="shared" si="923"/>
        <v>0</v>
      </c>
      <c r="HB152" s="63"/>
      <c r="HC152" s="63"/>
      <c r="HD152" s="63"/>
      <c r="HE152" s="63"/>
      <c r="HF152" s="67">
        <f t="shared" si="924"/>
        <v>0</v>
      </c>
      <c r="HG152" s="63"/>
      <c r="HH152" s="63"/>
      <c r="HI152" s="63"/>
      <c r="HJ152" s="63"/>
      <c r="HK152" s="67">
        <f t="shared" si="925"/>
        <v>0</v>
      </c>
      <c r="HL152" s="68">
        <f t="shared" si="926"/>
        <v>0</v>
      </c>
      <c r="HM152" s="68">
        <f t="shared" si="926"/>
        <v>0</v>
      </c>
      <c r="HN152" s="68">
        <f t="shared" si="926"/>
        <v>0</v>
      </c>
      <c r="HO152" s="68">
        <f t="shared" si="926"/>
        <v>0</v>
      </c>
      <c r="HP152" s="67">
        <f t="shared" si="927"/>
        <v>0</v>
      </c>
      <c r="HQ152" s="63"/>
      <c r="HR152" s="63"/>
      <c r="HS152" s="63"/>
      <c r="HT152" s="63"/>
      <c r="HU152" s="67">
        <f t="shared" si="928"/>
        <v>0</v>
      </c>
      <c r="HV152" s="63"/>
      <c r="HW152" s="63"/>
      <c r="HX152" s="63"/>
      <c r="HY152" s="63"/>
      <c r="HZ152" s="67">
        <f t="shared" si="929"/>
        <v>0</v>
      </c>
      <c r="IA152" s="63"/>
      <c r="IB152" s="63"/>
      <c r="IC152" s="63"/>
      <c r="ID152" s="63"/>
      <c r="IE152" s="67">
        <f t="shared" si="930"/>
        <v>0</v>
      </c>
      <c r="IF152" s="68">
        <f t="shared" si="931"/>
        <v>0</v>
      </c>
      <c r="IG152" s="68">
        <f t="shared" si="931"/>
        <v>0</v>
      </c>
      <c r="IH152" s="68">
        <f t="shared" si="931"/>
        <v>0</v>
      </c>
      <c r="II152" s="68">
        <f t="shared" si="931"/>
        <v>0</v>
      </c>
      <c r="IJ152" s="67">
        <f t="shared" si="932"/>
        <v>0</v>
      </c>
      <c r="IK152" s="63"/>
      <c r="IL152" s="63"/>
      <c r="IM152" s="63"/>
      <c r="IN152" s="63"/>
      <c r="IO152" s="67">
        <f t="shared" si="933"/>
        <v>0</v>
      </c>
      <c r="IP152" s="63"/>
      <c r="IQ152" s="63"/>
      <c r="IR152" s="63"/>
      <c r="IS152" s="63"/>
      <c r="IT152" s="67">
        <f t="shared" si="934"/>
        <v>0</v>
      </c>
      <c r="IU152" s="63"/>
      <c r="IV152" s="63"/>
    </row>
    <row r="153" spans="1:256" ht="12.75" customHeight="1" x14ac:dyDescent="0.25">
      <c r="A153" s="117" t="s">
        <v>143</v>
      </c>
      <c r="B153" s="62">
        <v>0</v>
      </c>
      <c r="C153" s="63">
        <v>0</v>
      </c>
      <c r="D153" s="63">
        <v>0</v>
      </c>
      <c r="E153" s="63">
        <v>0</v>
      </c>
      <c r="F153" s="63">
        <v>0</v>
      </c>
      <c r="G153" s="63">
        <v>0</v>
      </c>
      <c r="H153" s="63">
        <v>0</v>
      </c>
      <c r="I153" s="63">
        <v>0</v>
      </c>
      <c r="J153" s="63">
        <v>0</v>
      </c>
      <c r="K153" s="63">
        <v>0</v>
      </c>
      <c r="L153" s="64">
        <f t="shared" si="935"/>
        <v>0</v>
      </c>
      <c r="M153" s="62"/>
      <c r="N153" s="63"/>
      <c r="O153" s="63"/>
      <c r="P153" s="63"/>
      <c r="Q153" s="63"/>
      <c r="R153" s="63"/>
      <c r="S153" s="63"/>
      <c r="T153" s="63"/>
      <c r="U153" s="63"/>
      <c r="V153" s="63"/>
      <c r="W153" s="64">
        <f t="shared" si="901"/>
        <v>0</v>
      </c>
      <c r="X153" s="62"/>
      <c r="Y153" s="63"/>
      <c r="Z153" s="63"/>
      <c r="AA153" s="63"/>
      <c r="AB153" s="63"/>
      <c r="AC153" s="63"/>
      <c r="AD153" s="63"/>
      <c r="AE153" s="63"/>
      <c r="AF153" s="63"/>
      <c r="AG153" s="63"/>
      <c r="AH153" s="64">
        <f t="shared" si="902"/>
        <v>0</v>
      </c>
      <c r="AI153" s="62"/>
      <c r="AJ153" s="63"/>
      <c r="AK153" s="63"/>
      <c r="AL153" s="63"/>
      <c r="AM153" s="63"/>
      <c r="AN153" s="63"/>
      <c r="AO153" s="63"/>
      <c r="AP153" s="63"/>
      <c r="AQ153" s="63"/>
      <c r="AR153" s="63"/>
      <c r="AS153" s="64">
        <f t="shared" si="903"/>
        <v>0</v>
      </c>
      <c r="AT153" s="65">
        <f t="shared" si="904"/>
        <v>0</v>
      </c>
      <c r="AU153" s="65">
        <f t="shared" si="904"/>
        <v>0</v>
      </c>
      <c r="AV153" s="65">
        <f t="shared" si="904"/>
        <v>0</v>
      </c>
      <c r="AW153" s="65">
        <f t="shared" si="904"/>
        <v>0</v>
      </c>
      <c r="AX153" s="65">
        <f t="shared" si="904"/>
        <v>0</v>
      </c>
      <c r="AY153" s="65">
        <f t="shared" si="904"/>
        <v>0</v>
      </c>
      <c r="AZ153" s="65">
        <f t="shared" si="904"/>
        <v>0</v>
      </c>
      <c r="BA153" s="65">
        <f t="shared" si="904"/>
        <v>0</v>
      </c>
      <c r="BB153" s="65">
        <f t="shared" si="904"/>
        <v>0</v>
      </c>
      <c r="BC153" s="65">
        <f t="shared" si="904"/>
        <v>0</v>
      </c>
      <c r="BD153" s="64">
        <f t="shared" si="905"/>
        <v>0</v>
      </c>
      <c r="BE153" s="62"/>
      <c r="BF153" s="63"/>
      <c r="BG153" s="63"/>
      <c r="BH153" s="63"/>
      <c r="BI153" s="63"/>
      <c r="BJ153" s="63"/>
      <c r="BK153" s="63"/>
      <c r="BL153" s="63"/>
      <c r="BM153" s="63"/>
      <c r="BN153" s="63"/>
      <c r="BO153" s="64">
        <f t="shared" si="906"/>
        <v>0</v>
      </c>
      <c r="BP153" s="62"/>
      <c r="BQ153" s="63"/>
      <c r="BR153" s="63"/>
      <c r="BS153" s="63"/>
      <c r="BT153" s="63"/>
      <c r="BU153" s="63"/>
      <c r="BV153" s="63"/>
      <c r="BW153" s="63"/>
      <c r="BX153" s="63"/>
      <c r="BY153" s="63"/>
      <c r="BZ153" s="64">
        <f t="shared" si="907"/>
        <v>0</v>
      </c>
      <c r="CA153" s="62"/>
      <c r="CB153" s="63"/>
      <c r="CC153" s="63"/>
      <c r="CD153" s="63"/>
      <c r="CE153" s="63"/>
      <c r="CF153" s="63"/>
      <c r="CG153" s="63"/>
      <c r="CH153" s="63"/>
      <c r="CI153" s="63"/>
      <c r="CJ153" s="63"/>
      <c r="CK153" s="64">
        <f t="shared" si="908"/>
        <v>0</v>
      </c>
      <c r="CL153" s="65">
        <f t="shared" si="909"/>
        <v>0</v>
      </c>
      <c r="CM153" s="65">
        <f t="shared" si="909"/>
        <v>0</v>
      </c>
      <c r="CN153" s="65">
        <f t="shared" si="909"/>
        <v>0</v>
      </c>
      <c r="CO153" s="65">
        <f t="shared" si="909"/>
        <v>0</v>
      </c>
      <c r="CP153" s="65">
        <f t="shared" si="909"/>
        <v>0</v>
      </c>
      <c r="CQ153" s="65">
        <f t="shared" si="909"/>
        <v>0</v>
      </c>
      <c r="CR153" s="65">
        <f t="shared" si="909"/>
        <v>0</v>
      </c>
      <c r="CS153" s="65">
        <f t="shared" si="909"/>
        <v>0</v>
      </c>
      <c r="CT153" s="65">
        <f t="shared" si="909"/>
        <v>0</v>
      </c>
      <c r="CU153" s="65">
        <f t="shared" si="909"/>
        <v>0</v>
      </c>
      <c r="CV153" s="64">
        <f t="shared" si="910"/>
        <v>0</v>
      </c>
      <c r="CW153" s="62"/>
      <c r="CX153" s="63"/>
      <c r="CY153" s="63"/>
      <c r="CZ153" s="63"/>
      <c r="DA153" s="63"/>
      <c r="DB153" s="63"/>
      <c r="DC153" s="63"/>
      <c r="DD153" s="63"/>
      <c r="DE153" s="63"/>
      <c r="DF153" s="63"/>
      <c r="DG153" s="64">
        <f t="shared" si="911"/>
        <v>0</v>
      </c>
      <c r="DH153" s="62"/>
      <c r="DI153" s="63"/>
      <c r="DJ153" s="63"/>
      <c r="DK153" s="63"/>
      <c r="DL153" s="63"/>
      <c r="DM153" s="63"/>
      <c r="DN153" s="63"/>
      <c r="DO153" s="63"/>
      <c r="DP153" s="63"/>
      <c r="DQ153" s="63"/>
      <c r="DR153" s="64">
        <f t="shared" si="912"/>
        <v>0</v>
      </c>
      <c r="DS153" s="62"/>
      <c r="DT153" s="63"/>
      <c r="DU153" s="63"/>
      <c r="DV153" s="63"/>
      <c r="DW153" s="63"/>
      <c r="DX153" s="63"/>
      <c r="DY153" s="63"/>
      <c r="DZ153" s="63"/>
      <c r="EA153" s="63"/>
      <c r="EB153" s="63"/>
      <c r="EC153" s="63"/>
      <c r="ED153" s="65">
        <f t="shared" si="913"/>
        <v>0</v>
      </c>
      <c r="EE153" s="65">
        <f t="shared" si="913"/>
        <v>0</v>
      </c>
      <c r="EF153" s="65">
        <f t="shared" si="913"/>
        <v>0</v>
      </c>
      <c r="EG153" s="65">
        <f t="shared" si="913"/>
        <v>0</v>
      </c>
      <c r="EH153" s="65">
        <f t="shared" si="913"/>
        <v>0</v>
      </c>
      <c r="EI153" s="65">
        <f t="shared" si="913"/>
        <v>0</v>
      </c>
      <c r="EJ153" s="65">
        <f t="shared" si="913"/>
        <v>0</v>
      </c>
      <c r="EK153" s="65">
        <f t="shared" si="913"/>
        <v>0</v>
      </c>
      <c r="EL153" s="65">
        <f t="shared" si="913"/>
        <v>0</v>
      </c>
      <c r="EM153" s="65">
        <f t="shared" si="913"/>
        <v>0</v>
      </c>
      <c r="EN153" s="64">
        <f t="shared" si="914"/>
        <v>0</v>
      </c>
      <c r="EO153" s="62"/>
      <c r="EP153" s="63"/>
      <c r="EQ153" s="63"/>
      <c r="ER153" s="63"/>
      <c r="ES153" s="63"/>
      <c r="ET153" s="63"/>
      <c r="EU153" s="63"/>
      <c r="EV153" s="63"/>
      <c r="EW153" s="63"/>
      <c r="EX153" s="63"/>
      <c r="EY153" s="64">
        <f t="shared" si="915"/>
        <v>0</v>
      </c>
      <c r="EZ153" s="62"/>
      <c r="FA153" s="63"/>
      <c r="FB153" s="63"/>
      <c r="FC153" s="63"/>
      <c r="FD153" s="63"/>
      <c r="FE153" s="63"/>
      <c r="FF153" s="63"/>
      <c r="FG153" s="63"/>
      <c r="FH153" s="63"/>
      <c r="FI153" s="63"/>
      <c r="FJ153" s="64">
        <f t="shared" si="916"/>
        <v>0</v>
      </c>
      <c r="FK153" s="62"/>
      <c r="FL153" s="63"/>
      <c r="FM153" s="63"/>
      <c r="FN153" s="63"/>
      <c r="FO153" s="63"/>
      <c r="FP153" s="63"/>
      <c r="FQ153" s="63"/>
      <c r="FR153" s="63"/>
      <c r="FS153" s="63"/>
      <c r="FT153" s="63"/>
      <c r="FU153" s="64">
        <f t="shared" si="917"/>
        <v>0</v>
      </c>
      <c r="FV153" s="65">
        <f t="shared" si="918"/>
        <v>0</v>
      </c>
      <c r="FW153" s="65">
        <f t="shared" si="918"/>
        <v>0</v>
      </c>
      <c r="FX153" s="65">
        <f t="shared" si="918"/>
        <v>0</v>
      </c>
      <c r="FY153" s="65">
        <f t="shared" si="918"/>
        <v>0</v>
      </c>
      <c r="FZ153" s="65">
        <f t="shared" si="918"/>
        <v>0</v>
      </c>
      <c r="GA153" s="65">
        <f t="shared" si="918"/>
        <v>0</v>
      </c>
      <c r="GB153" s="65">
        <f t="shared" si="918"/>
        <v>0</v>
      </c>
      <c r="GC153" s="65">
        <f t="shared" si="918"/>
        <v>0</v>
      </c>
      <c r="GD153" s="65">
        <f t="shared" si="918"/>
        <v>0</v>
      </c>
      <c r="GE153" s="65">
        <f t="shared" si="918"/>
        <v>0</v>
      </c>
      <c r="GF153" s="64">
        <f t="shared" si="919"/>
        <v>0</v>
      </c>
      <c r="GG153" s="66">
        <f t="shared" si="920"/>
        <v>0</v>
      </c>
      <c r="GH153" s="66">
        <f t="shared" si="920"/>
        <v>0</v>
      </c>
      <c r="GI153" s="66">
        <f t="shared" si="920"/>
        <v>0</v>
      </c>
      <c r="GJ153" s="66">
        <f t="shared" si="920"/>
        <v>0</v>
      </c>
      <c r="GK153" s="66">
        <f t="shared" si="920"/>
        <v>0</v>
      </c>
      <c r="GL153" s="66">
        <f t="shared" si="920"/>
        <v>0</v>
      </c>
      <c r="GM153" s="66">
        <f t="shared" si="920"/>
        <v>0</v>
      </c>
      <c r="GN153" s="66">
        <f t="shared" si="920"/>
        <v>0</v>
      </c>
      <c r="GO153" s="66">
        <f t="shared" si="920"/>
        <v>0</v>
      </c>
      <c r="GP153" s="66">
        <f t="shared" si="920"/>
        <v>0</v>
      </c>
      <c r="GQ153" s="64">
        <f t="shared" si="921"/>
        <v>0</v>
      </c>
      <c r="GR153" s="63"/>
      <c r="GS153" s="63"/>
      <c r="GT153" s="63"/>
      <c r="GU153" s="63"/>
      <c r="GV153" s="67">
        <f t="shared" si="922"/>
        <v>0</v>
      </c>
      <c r="GW153" s="63"/>
      <c r="GX153" s="63"/>
      <c r="GY153" s="63"/>
      <c r="GZ153" s="63"/>
      <c r="HA153" s="67">
        <f t="shared" si="923"/>
        <v>0</v>
      </c>
      <c r="HB153" s="63"/>
      <c r="HC153" s="63"/>
      <c r="HD153" s="63"/>
      <c r="HE153" s="63"/>
      <c r="HF153" s="67">
        <f t="shared" si="924"/>
        <v>0</v>
      </c>
      <c r="HG153" s="63"/>
      <c r="HH153" s="63"/>
      <c r="HI153" s="63"/>
      <c r="HJ153" s="63"/>
      <c r="HK153" s="67">
        <f t="shared" si="925"/>
        <v>0</v>
      </c>
      <c r="HL153" s="68">
        <f t="shared" si="926"/>
        <v>0</v>
      </c>
      <c r="HM153" s="68">
        <f t="shared" si="926"/>
        <v>0</v>
      </c>
      <c r="HN153" s="68">
        <f t="shared" si="926"/>
        <v>0</v>
      </c>
      <c r="HO153" s="68">
        <f t="shared" si="926"/>
        <v>0</v>
      </c>
      <c r="HP153" s="67">
        <f t="shared" si="927"/>
        <v>0</v>
      </c>
      <c r="HQ153" s="63"/>
      <c r="HR153" s="63"/>
      <c r="HS153" s="63"/>
      <c r="HT153" s="63"/>
      <c r="HU153" s="67">
        <f t="shared" si="928"/>
        <v>0</v>
      </c>
      <c r="HV153" s="63"/>
      <c r="HW153" s="63"/>
      <c r="HX153" s="63"/>
      <c r="HY153" s="63"/>
      <c r="HZ153" s="67">
        <f t="shared" si="929"/>
        <v>0</v>
      </c>
      <c r="IA153" s="63"/>
      <c r="IB153" s="63"/>
      <c r="IC153" s="63"/>
      <c r="ID153" s="63"/>
      <c r="IE153" s="67">
        <f t="shared" si="930"/>
        <v>0</v>
      </c>
      <c r="IF153" s="68">
        <f t="shared" si="931"/>
        <v>0</v>
      </c>
      <c r="IG153" s="68">
        <f t="shared" si="931"/>
        <v>0</v>
      </c>
      <c r="IH153" s="68">
        <f t="shared" si="931"/>
        <v>0</v>
      </c>
      <c r="II153" s="68">
        <f t="shared" si="931"/>
        <v>0</v>
      </c>
      <c r="IJ153" s="67">
        <f t="shared" si="932"/>
        <v>0</v>
      </c>
      <c r="IK153" s="63"/>
      <c r="IL153" s="63"/>
      <c r="IM153" s="63"/>
      <c r="IN153" s="63"/>
      <c r="IO153" s="67">
        <f t="shared" si="933"/>
        <v>0</v>
      </c>
      <c r="IP153" s="63"/>
      <c r="IQ153" s="63"/>
      <c r="IR153" s="63"/>
      <c r="IS153" s="63"/>
      <c r="IT153" s="67">
        <f t="shared" si="934"/>
        <v>0</v>
      </c>
      <c r="IU153" s="63"/>
      <c r="IV153" s="63"/>
    </row>
    <row r="154" spans="1:256" ht="12.75" customHeight="1" x14ac:dyDescent="0.25">
      <c r="A154" s="117" t="s">
        <v>144</v>
      </c>
      <c r="B154" s="62">
        <v>18</v>
      </c>
      <c r="C154" s="63">
        <v>0</v>
      </c>
      <c r="D154" s="63">
        <v>0</v>
      </c>
      <c r="E154" s="63">
        <v>0</v>
      </c>
      <c r="F154" s="63">
        <v>0</v>
      </c>
      <c r="G154" s="63">
        <v>12</v>
      </c>
      <c r="H154" s="63">
        <v>0</v>
      </c>
      <c r="I154" s="63">
        <v>0</v>
      </c>
      <c r="J154" s="63">
        <v>0</v>
      </c>
      <c r="K154" s="63">
        <v>0</v>
      </c>
      <c r="L154" s="64">
        <f t="shared" si="935"/>
        <v>0</v>
      </c>
      <c r="M154" s="62"/>
      <c r="N154" s="63"/>
      <c r="O154" s="63"/>
      <c r="P154" s="63"/>
      <c r="Q154" s="63"/>
      <c r="R154" s="63"/>
      <c r="S154" s="63"/>
      <c r="T154" s="63"/>
      <c r="U154" s="63"/>
      <c r="V154" s="63"/>
      <c r="W154" s="64">
        <f t="shared" si="901"/>
        <v>0</v>
      </c>
      <c r="X154" s="62"/>
      <c r="Y154" s="63"/>
      <c r="Z154" s="63"/>
      <c r="AA154" s="63"/>
      <c r="AB154" s="63"/>
      <c r="AC154" s="63"/>
      <c r="AD154" s="63"/>
      <c r="AE154" s="63"/>
      <c r="AF154" s="63"/>
      <c r="AG154" s="63"/>
      <c r="AH154" s="64">
        <f t="shared" si="902"/>
        <v>0</v>
      </c>
      <c r="AI154" s="62"/>
      <c r="AJ154" s="63"/>
      <c r="AK154" s="63"/>
      <c r="AL154" s="63"/>
      <c r="AM154" s="63"/>
      <c r="AN154" s="63"/>
      <c r="AO154" s="63"/>
      <c r="AP154" s="63"/>
      <c r="AQ154" s="63"/>
      <c r="AR154" s="63"/>
      <c r="AS154" s="64">
        <f t="shared" si="903"/>
        <v>0</v>
      </c>
      <c r="AT154" s="65">
        <f t="shared" si="904"/>
        <v>0</v>
      </c>
      <c r="AU154" s="65">
        <f t="shared" si="904"/>
        <v>0</v>
      </c>
      <c r="AV154" s="65">
        <f t="shared" si="904"/>
        <v>0</v>
      </c>
      <c r="AW154" s="65">
        <f t="shared" si="904"/>
        <v>0</v>
      </c>
      <c r="AX154" s="65">
        <f t="shared" si="904"/>
        <v>0</v>
      </c>
      <c r="AY154" s="65">
        <f t="shared" si="904"/>
        <v>0</v>
      </c>
      <c r="AZ154" s="65">
        <f t="shared" si="904"/>
        <v>0</v>
      </c>
      <c r="BA154" s="65">
        <f t="shared" si="904"/>
        <v>0</v>
      </c>
      <c r="BB154" s="65">
        <f t="shared" si="904"/>
        <v>0</v>
      </c>
      <c r="BC154" s="65">
        <f t="shared" si="904"/>
        <v>0</v>
      </c>
      <c r="BD154" s="64">
        <f t="shared" si="905"/>
        <v>0</v>
      </c>
      <c r="BE154" s="62"/>
      <c r="BF154" s="63"/>
      <c r="BG154" s="63"/>
      <c r="BH154" s="63"/>
      <c r="BI154" s="63"/>
      <c r="BJ154" s="63"/>
      <c r="BK154" s="63"/>
      <c r="BL154" s="63"/>
      <c r="BM154" s="63"/>
      <c r="BN154" s="63"/>
      <c r="BO154" s="64">
        <f t="shared" si="906"/>
        <v>0</v>
      </c>
      <c r="BP154" s="62"/>
      <c r="BQ154" s="63"/>
      <c r="BR154" s="63"/>
      <c r="BS154" s="63"/>
      <c r="BT154" s="63"/>
      <c r="BU154" s="63"/>
      <c r="BV154" s="63"/>
      <c r="BW154" s="63"/>
      <c r="BX154" s="63"/>
      <c r="BY154" s="63"/>
      <c r="BZ154" s="64">
        <f t="shared" si="907"/>
        <v>0</v>
      </c>
      <c r="CA154" s="62"/>
      <c r="CB154" s="63"/>
      <c r="CC154" s="63"/>
      <c r="CD154" s="63"/>
      <c r="CE154" s="63"/>
      <c r="CF154" s="63"/>
      <c r="CG154" s="63"/>
      <c r="CH154" s="63"/>
      <c r="CI154" s="63"/>
      <c r="CJ154" s="63"/>
      <c r="CK154" s="64">
        <f t="shared" si="908"/>
        <v>0</v>
      </c>
      <c r="CL154" s="65">
        <f t="shared" si="909"/>
        <v>0</v>
      </c>
      <c r="CM154" s="65">
        <f t="shared" si="909"/>
        <v>0</v>
      </c>
      <c r="CN154" s="65">
        <f t="shared" si="909"/>
        <v>0</v>
      </c>
      <c r="CO154" s="65">
        <f t="shared" si="909"/>
        <v>0</v>
      </c>
      <c r="CP154" s="65">
        <f t="shared" si="909"/>
        <v>0</v>
      </c>
      <c r="CQ154" s="65">
        <f t="shared" si="909"/>
        <v>0</v>
      </c>
      <c r="CR154" s="65">
        <f t="shared" si="909"/>
        <v>0</v>
      </c>
      <c r="CS154" s="65">
        <f t="shared" si="909"/>
        <v>0</v>
      </c>
      <c r="CT154" s="65">
        <f t="shared" si="909"/>
        <v>0</v>
      </c>
      <c r="CU154" s="65">
        <f t="shared" si="909"/>
        <v>0</v>
      </c>
      <c r="CV154" s="64">
        <f t="shared" si="910"/>
        <v>0</v>
      </c>
      <c r="CW154" s="62"/>
      <c r="CX154" s="63"/>
      <c r="CY154" s="63"/>
      <c r="CZ154" s="63"/>
      <c r="DA154" s="63"/>
      <c r="DB154" s="63"/>
      <c r="DC154" s="63"/>
      <c r="DD154" s="63"/>
      <c r="DE154" s="63"/>
      <c r="DF154" s="63"/>
      <c r="DG154" s="64">
        <f t="shared" si="911"/>
        <v>0</v>
      </c>
      <c r="DH154" s="62"/>
      <c r="DI154" s="63"/>
      <c r="DJ154" s="63"/>
      <c r="DK154" s="63"/>
      <c r="DL154" s="63"/>
      <c r="DM154" s="63"/>
      <c r="DN154" s="63"/>
      <c r="DO154" s="63"/>
      <c r="DP154" s="63"/>
      <c r="DQ154" s="63"/>
      <c r="DR154" s="64">
        <f t="shared" si="912"/>
        <v>0</v>
      </c>
      <c r="DS154" s="62"/>
      <c r="DT154" s="63"/>
      <c r="DU154" s="63"/>
      <c r="DV154" s="63"/>
      <c r="DW154" s="63"/>
      <c r="DX154" s="63"/>
      <c r="DY154" s="63"/>
      <c r="DZ154" s="63"/>
      <c r="EA154" s="63"/>
      <c r="EB154" s="63"/>
      <c r="EC154" s="63"/>
      <c r="ED154" s="65">
        <f t="shared" si="913"/>
        <v>0</v>
      </c>
      <c r="EE154" s="65">
        <f t="shared" si="913"/>
        <v>0</v>
      </c>
      <c r="EF154" s="65">
        <f t="shared" si="913"/>
        <v>0</v>
      </c>
      <c r="EG154" s="65">
        <f t="shared" si="913"/>
        <v>0</v>
      </c>
      <c r="EH154" s="65">
        <f t="shared" si="913"/>
        <v>0</v>
      </c>
      <c r="EI154" s="65">
        <f t="shared" si="913"/>
        <v>0</v>
      </c>
      <c r="EJ154" s="65">
        <f t="shared" si="913"/>
        <v>0</v>
      </c>
      <c r="EK154" s="65">
        <f t="shared" si="913"/>
        <v>0</v>
      </c>
      <c r="EL154" s="65">
        <f t="shared" si="913"/>
        <v>0</v>
      </c>
      <c r="EM154" s="65">
        <f t="shared" si="913"/>
        <v>0</v>
      </c>
      <c r="EN154" s="64">
        <f t="shared" si="914"/>
        <v>0</v>
      </c>
      <c r="EO154" s="62"/>
      <c r="EP154" s="63"/>
      <c r="EQ154" s="63"/>
      <c r="ER154" s="63"/>
      <c r="ES154" s="63"/>
      <c r="ET154" s="63"/>
      <c r="EU154" s="63"/>
      <c r="EV154" s="63"/>
      <c r="EW154" s="63"/>
      <c r="EX154" s="63"/>
      <c r="EY154" s="64">
        <f t="shared" si="915"/>
        <v>0</v>
      </c>
      <c r="EZ154" s="62"/>
      <c r="FA154" s="63"/>
      <c r="FB154" s="63"/>
      <c r="FC154" s="63"/>
      <c r="FD154" s="63"/>
      <c r="FE154" s="63"/>
      <c r="FF154" s="63"/>
      <c r="FG154" s="63"/>
      <c r="FH154" s="63"/>
      <c r="FI154" s="63"/>
      <c r="FJ154" s="64">
        <f t="shared" si="916"/>
        <v>0</v>
      </c>
      <c r="FK154" s="62"/>
      <c r="FL154" s="63"/>
      <c r="FM154" s="63"/>
      <c r="FN154" s="63"/>
      <c r="FO154" s="63"/>
      <c r="FP154" s="63"/>
      <c r="FQ154" s="63"/>
      <c r="FR154" s="63"/>
      <c r="FS154" s="63"/>
      <c r="FT154" s="63"/>
      <c r="FU154" s="64">
        <f t="shared" si="917"/>
        <v>0</v>
      </c>
      <c r="FV154" s="65">
        <f t="shared" si="918"/>
        <v>0</v>
      </c>
      <c r="FW154" s="65">
        <f t="shared" si="918"/>
        <v>0</v>
      </c>
      <c r="FX154" s="65">
        <f t="shared" si="918"/>
        <v>0</v>
      </c>
      <c r="FY154" s="65">
        <f t="shared" si="918"/>
        <v>0</v>
      </c>
      <c r="FZ154" s="65">
        <f t="shared" si="918"/>
        <v>0</v>
      </c>
      <c r="GA154" s="65">
        <f t="shared" si="918"/>
        <v>0</v>
      </c>
      <c r="GB154" s="65">
        <f t="shared" si="918"/>
        <v>0</v>
      </c>
      <c r="GC154" s="65">
        <f t="shared" si="918"/>
        <v>0</v>
      </c>
      <c r="GD154" s="65">
        <f t="shared" si="918"/>
        <v>0</v>
      </c>
      <c r="GE154" s="65">
        <f t="shared" si="918"/>
        <v>0</v>
      </c>
      <c r="GF154" s="64">
        <f t="shared" si="919"/>
        <v>0</v>
      </c>
      <c r="GG154" s="66">
        <f t="shared" si="920"/>
        <v>0</v>
      </c>
      <c r="GH154" s="66">
        <f t="shared" si="920"/>
        <v>0</v>
      </c>
      <c r="GI154" s="66">
        <f t="shared" si="920"/>
        <v>0</v>
      </c>
      <c r="GJ154" s="66">
        <f t="shared" si="920"/>
        <v>0</v>
      </c>
      <c r="GK154" s="66">
        <f t="shared" si="920"/>
        <v>0</v>
      </c>
      <c r="GL154" s="66">
        <f t="shared" si="920"/>
        <v>0</v>
      </c>
      <c r="GM154" s="66">
        <f t="shared" si="920"/>
        <v>0</v>
      </c>
      <c r="GN154" s="66">
        <f t="shared" si="920"/>
        <v>0</v>
      </c>
      <c r="GO154" s="66">
        <f t="shared" si="920"/>
        <v>0</v>
      </c>
      <c r="GP154" s="66">
        <f t="shared" si="920"/>
        <v>0</v>
      </c>
      <c r="GQ154" s="64">
        <f t="shared" si="921"/>
        <v>0</v>
      </c>
      <c r="GR154" s="63"/>
      <c r="GS154" s="63"/>
      <c r="GT154" s="63"/>
      <c r="GU154" s="63"/>
      <c r="GV154" s="67">
        <f t="shared" si="922"/>
        <v>0</v>
      </c>
      <c r="GW154" s="63"/>
      <c r="GX154" s="63"/>
      <c r="GY154" s="63"/>
      <c r="GZ154" s="63"/>
      <c r="HA154" s="67">
        <f t="shared" si="923"/>
        <v>0</v>
      </c>
      <c r="HB154" s="63"/>
      <c r="HC154" s="63"/>
      <c r="HD154" s="63"/>
      <c r="HE154" s="63"/>
      <c r="HF154" s="67">
        <f t="shared" si="924"/>
        <v>0</v>
      </c>
      <c r="HG154" s="63"/>
      <c r="HH154" s="63"/>
      <c r="HI154" s="63"/>
      <c r="HJ154" s="63"/>
      <c r="HK154" s="67">
        <f t="shared" si="925"/>
        <v>0</v>
      </c>
      <c r="HL154" s="68">
        <f t="shared" si="926"/>
        <v>0</v>
      </c>
      <c r="HM154" s="68">
        <f t="shared" si="926"/>
        <v>0</v>
      </c>
      <c r="HN154" s="68">
        <f t="shared" si="926"/>
        <v>0</v>
      </c>
      <c r="HO154" s="68">
        <f t="shared" si="926"/>
        <v>0</v>
      </c>
      <c r="HP154" s="67">
        <f t="shared" si="927"/>
        <v>0</v>
      </c>
      <c r="HQ154" s="63"/>
      <c r="HR154" s="63"/>
      <c r="HS154" s="63"/>
      <c r="HT154" s="63"/>
      <c r="HU154" s="67">
        <f t="shared" si="928"/>
        <v>0</v>
      </c>
      <c r="HV154" s="63"/>
      <c r="HW154" s="63"/>
      <c r="HX154" s="63"/>
      <c r="HY154" s="63"/>
      <c r="HZ154" s="67">
        <f t="shared" si="929"/>
        <v>0</v>
      </c>
      <c r="IA154" s="63"/>
      <c r="IB154" s="63"/>
      <c r="IC154" s="63"/>
      <c r="ID154" s="63"/>
      <c r="IE154" s="67">
        <f t="shared" si="930"/>
        <v>0</v>
      </c>
      <c r="IF154" s="68">
        <f t="shared" si="931"/>
        <v>0</v>
      </c>
      <c r="IG154" s="68">
        <f t="shared" si="931"/>
        <v>0</v>
      </c>
      <c r="IH154" s="68">
        <f t="shared" si="931"/>
        <v>0</v>
      </c>
      <c r="II154" s="68">
        <f t="shared" si="931"/>
        <v>0</v>
      </c>
      <c r="IJ154" s="67">
        <f t="shared" si="932"/>
        <v>0</v>
      </c>
      <c r="IK154" s="63"/>
      <c r="IL154" s="63"/>
      <c r="IM154" s="63"/>
      <c r="IN154" s="63"/>
      <c r="IO154" s="67">
        <f t="shared" si="933"/>
        <v>0</v>
      </c>
      <c r="IP154" s="63"/>
      <c r="IQ154" s="63"/>
      <c r="IR154" s="63"/>
      <c r="IS154" s="63"/>
      <c r="IT154" s="67">
        <f t="shared" si="934"/>
        <v>0</v>
      </c>
      <c r="IU154" s="63"/>
      <c r="IV154" s="63"/>
    </row>
    <row r="155" spans="1:256" s="78" customFormat="1" ht="25.5" customHeight="1" x14ac:dyDescent="0.25">
      <c r="A155" s="143" t="s">
        <v>145</v>
      </c>
      <c r="B155" s="80"/>
      <c r="C155" s="82">
        <f t="shared" ref="C155:L155" si="936">SUM(C156:C158)</f>
        <v>0</v>
      </c>
      <c r="D155" s="82">
        <f t="shared" si="936"/>
        <v>0</v>
      </c>
      <c r="E155" s="82">
        <f t="shared" si="936"/>
        <v>0</v>
      </c>
      <c r="F155" s="82">
        <f t="shared" si="936"/>
        <v>0</v>
      </c>
      <c r="G155" s="82">
        <f t="shared" si="936"/>
        <v>0</v>
      </c>
      <c r="H155" s="82">
        <f t="shared" si="936"/>
        <v>0</v>
      </c>
      <c r="I155" s="82">
        <f t="shared" si="936"/>
        <v>0</v>
      </c>
      <c r="J155" s="82">
        <f t="shared" si="936"/>
        <v>0</v>
      </c>
      <c r="K155" s="82">
        <f t="shared" si="936"/>
        <v>0</v>
      </c>
      <c r="L155" s="82">
        <f t="shared" si="936"/>
        <v>0</v>
      </c>
      <c r="M155" s="80"/>
      <c r="N155" s="82">
        <f t="shared" ref="N155:V155" si="937">SUM(N156:N158)</f>
        <v>0</v>
      </c>
      <c r="O155" s="82">
        <f t="shared" si="937"/>
        <v>0</v>
      </c>
      <c r="P155" s="82">
        <f t="shared" si="937"/>
        <v>0</v>
      </c>
      <c r="Q155" s="82">
        <f t="shared" si="937"/>
        <v>0</v>
      </c>
      <c r="R155" s="82">
        <f t="shared" si="937"/>
        <v>0</v>
      </c>
      <c r="S155" s="82">
        <f t="shared" si="937"/>
        <v>0</v>
      </c>
      <c r="T155" s="82">
        <f t="shared" si="937"/>
        <v>0</v>
      </c>
      <c r="U155" s="82">
        <f t="shared" si="937"/>
        <v>0</v>
      </c>
      <c r="V155" s="82">
        <f t="shared" si="937"/>
        <v>0</v>
      </c>
      <c r="W155" s="82">
        <f>SUM(W156:W158)</f>
        <v>0</v>
      </c>
      <c r="X155" s="80"/>
      <c r="Y155" s="82">
        <f t="shared" ref="Y155:AG155" si="938">SUM(Y156:Y158)</f>
        <v>0</v>
      </c>
      <c r="Z155" s="82">
        <f t="shared" si="938"/>
        <v>0</v>
      </c>
      <c r="AA155" s="82">
        <f t="shared" si="938"/>
        <v>0</v>
      </c>
      <c r="AB155" s="82">
        <f t="shared" si="938"/>
        <v>0</v>
      </c>
      <c r="AC155" s="82">
        <f t="shared" si="938"/>
        <v>0</v>
      </c>
      <c r="AD155" s="82">
        <f t="shared" si="938"/>
        <v>0</v>
      </c>
      <c r="AE155" s="82">
        <f t="shared" si="938"/>
        <v>0</v>
      </c>
      <c r="AF155" s="82">
        <f t="shared" si="938"/>
        <v>0</v>
      </c>
      <c r="AG155" s="82">
        <f t="shared" si="938"/>
        <v>0</v>
      </c>
      <c r="AH155" s="82">
        <f>SUM(AH156:AH158)</f>
        <v>0</v>
      </c>
      <c r="AI155" s="80"/>
      <c r="AJ155" s="82">
        <f t="shared" ref="AJ155:AR155" si="939">SUM(AJ156:AJ158)</f>
        <v>0</v>
      </c>
      <c r="AK155" s="82">
        <f t="shared" si="939"/>
        <v>0</v>
      </c>
      <c r="AL155" s="82">
        <f t="shared" si="939"/>
        <v>0</v>
      </c>
      <c r="AM155" s="82">
        <f t="shared" si="939"/>
        <v>0</v>
      </c>
      <c r="AN155" s="82">
        <f t="shared" si="939"/>
        <v>0</v>
      </c>
      <c r="AO155" s="82">
        <f t="shared" si="939"/>
        <v>0</v>
      </c>
      <c r="AP155" s="82">
        <f t="shared" si="939"/>
        <v>0</v>
      </c>
      <c r="AQ155" s="82">
        <f t="shared" si="939"/>
        <v>0</v>
      </c>
      <c r="AR155" s="82">
        <f t="shared" si="939"/>
        <v>0</v>
      </c>
      <c r="AS155" s="82">
        <f>SUM(AS156:AS158)</f>
        <v>0</v>
      </c>
      <c r="AT155" s="80"/>
      <c r="AU155" s="82">
        <f t="shared" ref="AU155:BD155" si="940">SUM(AU156:AU158)</f>
        <v>0</v>
      </c>
      <c r="AV155" s="82">
        <f t="shared" si="940"/>
        <v>0</v>
      </c>
      <c r="AW155" s="82">
        <f t="shared" si="940"/>
        <v>0</v>
      </c>
      <c r="AX155" s="82">
        <f t="shared" si="940"/>
        <v>0</v>
      </c>
      <c r="AY155" s="82">
        <f t="shared" si="940"/>
        <v>0</v>
      </c>
      <c r="AZ155" s="82">
        <f t="shared" si="940"/>
        <v>0</v>
      </c>
      <c r="BA155" s="82">
        <f t="shared" si="940"/>
        <v>0</v>
      </c>
      <c r="BB155" s="82">
        <f t="shared" si="940"/>
        <v>0</v>
      </c>
      <c r="BC155" s="82">
        <f t="shared" si="940"/>
        <v>0</v>
      </c>
      <c r="BD155" s="82">
        <f t="shared" si="940"/>
        <v>0</v>
      </c>
      <c r="BE155" s="80"/>
      <c r="BF155" s="82">
        <f t="shared" ref="BF155:BN155" si="941">SUM(BF156:BF158)</f>
        <v>0</v>
      </c>
      <c r="BG155" s="82">
        <f t="shared" si="941"/>
        <v>0</v>
      </c>
      <c r="BH155" s="82">
        <f t="shared" si="941"/>
        <v>0</v>
      </c>
      <c r="BI155" s="82">
        <f t="shared" si="941"/>
        <v>0</v>
      </c>
      <c r="BJ155" s="82">
        <f t="shared" si="941"/>
        <v>0</v>
      </c>
      <c r="BK155" s="82">
        <f t="shared" si="941"/>
        <v>0</v>
      </c>
      <c r="BL155" s="82">
        <f t="shared" si="941"/>
        <v>0</v>
      </c>
      <c r="BM155" s="82">
        <f t="shared" si="941"/>
        <v>0</v>
      </c>
      <c r="BN155" s="82">
        <f t="shared" si="941"/>
        <v>0</v>
      </c>
      <c r="BO155" s="82">
        <f>SUM(BO156:BO158)</f>
        <v>0</v>
      </c>
      <c r="BP155" s="80"/>
      <c r="BQ155" s="82">
        <f t="shared" ref="BQ155:BY155" si="942">SUM(BQ156:BQ158)</f>
        <v>0</v>
      </c>
      <c r="BR155" s="82">
        <f t="shared" si="942"/>
        <v>0</v>
      </c>
      <c r="BS155" s="82">
        <f t="shared" si="942"/>
        <v>0</v>
      </c>
      <c r="BT155" s="82">
        <f t="shared" si="942"/>
        <v>0</v>
      </c>
      <c r="BU155" s="82">
        <f t="shared" si="942"/>
        <v>0</v>
      </c>
      <c r="BV155" s="82">
        <f t="shared" si="942"/>
        <v>0</v>
      </c>
      <c r="BW155" s="82">
        <f t="shared" si="942"/>
        <v>0</v>
      </c>
      <c r="BX155" s="82">
        <f t="shared" si="942"/>
        <v>0</v>
      </c>
      <c r="BY155" s="82">
        <f t="shared" si="942"/>
        <v>0</v>
      </c>
      <c r="BZ155" s="82">
        <f>SUM(BZ156:BZ158)</f>
        <v>0</v>
      </c>
      <c r="CA155" s="80"/>
      <c r="CB155" s="82">
        <f t="shared" ref="CB155:CJ155" si="943">SUM(CB156:CB158)</f>
        <v>0</v>
      </c>
      <c r="CC155" s="82">
        <f t="shared" si="943"/>
        <v>0</v>
      </c>
      <c r="CD155" s="82">
        <f t="shared" si="943"/>
        <v>0</v>
      </c>
      <c r="CE155" s="82">
        <f t="shared" si="943"/>
        <v>0</v>
      </c>
      <c r="CF155" s="82">
        <f t="shared" si="943"/>
        <v>0</v>
      </c>
      <c r="CG155" s="82">
        <f t="shared" si="943"/>
        <v>0</v>
      </c>
      <c r="CH155" s="82">
        <f t="shared" si="943"/>
        <v>0</v>
      </c>
      <c r="CI155" s="82">
        <f t="shared" si="943"/>
        <v>0</v>
      </c>
      <c r="CJ155" s="82">
        <f t="shared" si="943"/>
        <v>0</v>
      </c>
      <c r="CK155" s="82">
        <f>SUM(CK156:CK158)</f>
        <v>0</v>
      </c>
      <c r="CL155" s="80"/>
      <c r="CM155" s="82">
        <f t="shared" ref="CM155:CV155" si="944">SUM(CM156:CM158)</f>
        <v>0</v>
      </c>
      <c r="CN155" s="82">
        <f t="shared" si="944"/>
        <v>0</v>
      </c>
      <c r="CO155" s="82">
        <f t="shared" si="944"/>
        <v>0</v>
      </c>
      <c r="CP155" s="82">
        <f t="shared" si="944"/>
        <v>0</v>
      </c>
      <c r="CQ155" s="82">
        <f t="shared" si="944"/>
        <v>0</v>
      </c>
      <c r="CR155" s="82">
        <f t="shared" si="944"/>
        <v>0</v>
      </c>
      <c r="CS155" s="82">
        <f t="shared" si="944"/>
        <v>0</v>
      </c>
      <c r="CT155" s="82">
        <f t="shared" si="944"/>
        <v>0</v>
      </c>
      <c r="CU155" s="82">
        <f t="shared" si="944"/>
        <v>0</v>
      </c>
      <c r="CV155" s="82">
        <f t="shared" si="944"/>
        <v>0</v>
      </c>
      <c r="CW155" s="80"/>
      <c r="CX155" s="82">
        <f t="shared" ref="CX155:DF155" si="945">SUM(CX156:CX158)</f>
        <v>0</v>
      </c>
      <c r="CY155" s="82">
        <f t="shared" si="945"/>
        <v>0</v>
      </c>
      <c r="CZ155" s="82">
        <f t="shared" si="945"/>
        <v>0</v>
      </c>
      <c r="DA155" s="82">
        <f t="shared" si="945"/>
        <v>0</v>
      </c>
      <c r="DB155" s="82">
        <f t="shared" si="945"/>
        <v>0</v>
      </c>
      <c r="DC155" s="82">
        <f t="shared" si="945"/>
        <v>0</v>
      </c>
      <c r="DD155" s="82">
        <f t="shared" si="945"/>
        <v>0</v>
      </c>
      <c r="DE155" s="82">
        <f t="shared" si="945"/>
        <v>0</v>
      </c>
      <c r="DF155" s="82">
        <f t="shared" si="945"/>
        <v>0</v>
      </c>
      <c r="DG155" s="82">
        <f>SUM(DG156:DG158)</f>
        <v>0</v>
      </c>
      <c r="DH155" s="80"/>
      <c r="DI155" s="82">
        <f t="shared" ref="DI155:DQ155" si="946">SUM(DI156:DI158)</f>
        <v>0</v>
      </c>
      <c r="DJ155" s="82">
        <f t="shared" si="946"/>
        <v>0</v>
      </c>
      <c r="DK155" s="82">
        <f t="shared" si="946"/>
        <v>0</v>
      </c>
      <c r="DL155" s="82">
        <f t="shared" si="946"/>
        <v>0</v>
      </c>
      <c r="DM155" s="82">
        <f t="shared" si="946"/>
        <v>0</v>
      </c>
      <c r="DN155" s="82">
        <f t="shared" si="946"/>
        <v>0</v>
      </c>
      <c r="DO155" s="82">
        <f t="shared" si="946"/>
        <v>0</v>
      </c>
      <c r="DP155" s="82">
        <f t="shared" si="946"/>
        <v>0</v>
      </c>
      <c r="DQ155" s="82">
        <f t="shared" si="946"/>
        <v>0</v>
      </c>
      <c r="DR155" s="82">
        <f>SUM(DR156:DR158)</f>
        <v>0</v>
      </c>
      <c r="DS155" s="80"/>
      <c r="DT155" s="82">
        <f t="shared" ref="DT155:EB155" si="947">SUM(DT156:DT158)</f>
        <v>0</v>
      </c>
      <c r="DU155" s="82">
        <f t="shared" si="947"/>
        <v>0</v>
      </c>
      <c r="DV155" s="82">
        <f t="shared" si="947"/>
        <v>0</v>
      </c>
      <c r="DW155" s="82">
        <f t="shared" si="947"/>
        <v>0</v>
      </c>
      <c r="DX155" s="82">
        <f t="shared" si="947"/>
        <v>0</v>
      </c>
      <c r="DY155" s="82">
        <f t="shared" si="947"/>
        <v>0</v>
      </c>
      <c r="DZ155" s="82">
        <f t="shared" si="947"/>
        <v>0</v>
      </c>
      <c r="EA155" s="82">
        <f t="shared" si="947"/>
        <v>0</v>
      </c>
      <c r="EB155" s="82">
        <f t="shared" si="947"/>
        <v>0</v>
      </c>
      <c r="EC155" s="82">
        <f>SUM(EC156:EC158)</f>
        <v>0</v>
      </c>
      <c r="ED155" s="80"/>
      <c r="EE155" s="82">
        <f t="shared" ref="EE155:EN155" si="948">SUM(EE156:EE158)</f>
        <v>0</v>
      </c>
      <c r="EF155" s="82">
        <f t="shared" si="948"/>
        <v>0</v>
      </c>
      <c r="EG155" s="82">
        <f t="shared" si="948"/>
        <v>0</v>
      </c>
      <c r="EH155" s="82">
        <f t="shared" si="948"/>
        <v>0</v>
      </c>
      <c r="EI155" s="82">
        <f t="shared" si="948"/>
        <v>0</v>
      </c>
      <c r="EJ155" s="82">
        <f t="shared" si="948"/>
        <v>0</v>
      </c>
      <c r="EK155" s="82">
        <f t="shared" si="948"/>
        <v>0</v>
      </c>
      <c r="EL155" s="82">
        <f t="shared" si="948"/>
        <v>0</v>
      </c>
      <c r="EM155" s="82">
        <f t="shared" si="948"/>
        <v>0</v>
      </c>
      <c r="EN155" s="82">
        <f t="shared" si="948"/>
        <v>0</v>
      </c>
      <c r="EO155" s="80"/>
      <c r="EP155" s="82">
        <f t="shared" ref="EP155:EX155" si="949">SUM(EP156:EP158)</f>
        <v>0</v>
      </c>
      <c r="EQ155" s="82">
        <f t="shared" si="949"/>
        <v>0</v>
      </c>
      <c r="ER155" s="82">
        <f t="shared" si="949"/>
        <v>0</v>
      </c>
      <c r="ES155" s="82">
        <f t="shared" si="949"/>
        <v>0</v>
      </c>
      <c r="ET155" s="82">
        <f t="shared" si="949"/>
        <v>0</v>
      </c>
      <c r="EU155" s="82">
        <f t="shared" si="949"/>
        <v>0</v>
      </c>
      <c r="EV155" s="82">
        <f t="shared" si="949"/>
        <v>0</v>
      </c>
      <c r="EW155" s="82">
        <f t="shared" si="949"/>
        <v>0</v>
      </c>
      <c r="EX155" s="82">
        <f t="shared" si="949"/>
        <v>0</v>
      </c>
      <c r="EY155" s="82">
        <f>SUM(EY156:EY158)</f>
        <v>0</v>
      </c>
      <c r="EZ155" s="80"/>
      <c r="FA155" s="82">
        <f t="shared" ref="FA155:FI155" si="950">SUM(FA156:FA158)</f>
        <v>0</v>
      </c>
      <c r="FB155" s="82">
        <f t="shared" si="950"/>
        <v>0</v>
      </c>
      <c r="FC155" s="82">
        <f t="shared" si="950"/>
        <v>0</v>
      </c>
      <c r="FD155" s="82">
        <f t="shared" si="950"/>
        <v>0</v>
      </c>
      <c r="FE155" s="82">
        <f t="shared" si="950"/>
        <v>0</v>
      </c>
      <c r="FF155" s="82">
        <f t="shared" si="950"/>
        <v>0</v>
      </c>
      <c r="FG155" s="82">
        <f t="shared" si="950"/>
        <v>0</v>
      </c>
      <c r="FH155" s="82">
        <f t="shared" si="950"/>
        <v>0</v>
      </c>
      <c r="FI155" s="82">
        <f t="shared" si="950"/>
        <v>0</v>
      </c>
      <c r="FJ155" s="82">
        <f>SUM(FJ156:FJ158)</f>
        <v>0</v>
      </c>
      <c r="FK155" s="80"/>
      <c r="FL155" s="82">
        <f t="shared" ref="FL155:FT155" si="951">SUM(FL156:FL158)</f>
        <v>0</v>
      </c>
      <c r="FM155" s="82">
        <f t="shared" si="951"/>
        <v>0</v>
      </c>
      <c r="FN155" s="82">
        <f t="shared" si="951"/>
        <v>0</v>
      </c>
      <c r="FO155" s="82">
        <f t="shared" si="951"/>
        <v>0</v>
      </c>
      <c r="FP155" s="82">
        <f t="shared" si="951"/>
        <v>0</v>
      </c>
      <c r="FQ155" s="82">
        <f t="shared" si="951"/>
        <v>0</v>
      </c>
      <c r="FR155" s="82">
        <f t="shared" si="951"/>
        <v>0</v>
      </c>
      <c r="FS155" s="82">
        <f t="shared" si="951"/>
        <v>0</v>
      </c>
      <c r="FT155" s="82">
        <f t="shared" si="951"/>
        <v>0</v>
      </c>
      <c r="FU155" s="82">
        <f>SUM(FU156:FU158)</f>
        <v>0</v>
      </c>
      <c r="FV155" s="80"/>
      <c r="FW155" s="82">
        <f t="shared" ref="FW155:GF155" si="952">SUM(FW156:FW158)</f>
        <v>0</v>
      </c>
      <c r="FX155" s="82">
        <f t="shared" si="952"/>
        <v>0</v>
      </c>
      <c r="FY155" s="82">
        <f t="shared" si="952"/>
        <v>0</v>
      </c>
      <c r="FZ155" s="82">
        <f t="shared" si="952"/>
        <v>0</v>
      </c>
      <c r="GA155" s="82">
        <f t="shared" si="952"/>
        <v>0</v>
      </c>
      <c r="GB155" s="82">
        <f t="shared" si="952"/>
        <v>0</v>
      </c>
      <c r="GC155" s="82">
        <f t="shared" si="952"/>
        <v>0</v>
      </c>
      <c r="GD155" s="82">
        <f t="shared" si="952"/>
        <v>0</v>
      </c>
      <c r="GE155" s="82">
        <f t="shared" si="952"/>
        <v>0</v>
      </c>
      <c r="GF155" s="82">
        <f t="shared" si="952"/>
        <v>0</v>
      </c>
      <c r="GG155" s="80"/>
      <c r="GH155" s="82">
        <f t="shared" ref="GH155:IO155" si="953">SUM(GH156:GH158)</f>
        <v>0</v>
      </c>
      <c r="GI155" s="82">
        <f t="shared" si="953"/>
        <v>0</v>
      </c>
      <c r="GJ155" s="82">
        <f t="shared" si="953"/>
        <v>0</v>
      </c>
      <c r="GK155" s="82">
        <f t="shared" si="953"/>
        <v>0</v>
      </c>
      <c r="GL155" s="82">
        <f t="shared" si="953"/>
        <v>0</v>
      </c>
      <c r="GM155" s="82">
        <f t="shared" si="953"/>
        <v>0</v>
      </c>
      <c r="GN155" s="82">
        <f t="shared" si="953"/>
        <v>0</v>
      </c>
      <c r="GO155" s="82">
        <f t="shared" si="953"/>
        <v>0</v>
      </c>
      <c r="GP155" s="82">
        <f t="shared" si="953"/>
        <v>0</v>
      </c>
      <c r="GQ155" s="82">
        <f t="shared" si="953"/>
        <v>0</v>
      </c>
      <c r="GR155" s="82">
        <f t="shared" si="953"/>
        <v>0</v>
      </c>
      <c r="GS155" s="82">
        <f t="shared" si="953"/>
        <v>0</v>
      </c>
      <c r="GT155" s="82">
        <f t="shared" si="953"/>
        <v>0</v>
      </c>
      <c r="GU155" s="82">
        <f t="shared" si="953"/>
        <v>0</v>
      </c>
      <c r="GV155" s="82">
        <f t="shared" si="953"/>
        <v>0</v>
      </c>
      <c r="GW155" s="82">
        <f t="shared" si="953"/>
        <v>0</v>
      </c>
      <c r="GX155" s="82">
        <f t="shared" si="953"/>
        <v>0</v>
      </c>
      <c r="GY155" s="82">
        <f t="shared" si="953"/>
        <v>0</v>
      </c>
      <c r="GZ155" s="82">
        <f t="shared" si="953"/>
        <v>0</v>
      </c>
      <c r="HA155" s="82">
        <f t="shared" si="953"/>
        <v>0</v>
      </c>
      <c r="HB155" s="82">
        <f>SUM(HB156:HB158)</f>
        <v>0</v>
      </c>
      <c r="HC155" s="82">
        <f>SUM(HC156:HC158)</f>
        <v>0</v>
      </c>
      <c r="HD155" s="82">
        <f>SUM(HD156:HD158)</f>
        <v>0</v>
      </c>
      <c r="HE155" s="82">
        <f>SUM(HE156:HE158)</f>
        <v>0</v>
      </c>
      <c r="HF155" s="82">
        <f t="shared" si="953"/>
        <v>0</v>
      </c>
      <c r="HG155" s="82">
        <f t="shared" si="953"/>
        <v>0</v>
      </c>
      <c r="HH155" s="82">
        <f t="shared" si="953"/>
        <v>0</v>
      </c>
      <c r="HI155" s="82">
        <f t="shared" si="953"/>
        <v>0</v>
      </c>
      <c r="HJ155" s="82">
        <f t="shared" si="953"/>
        <v>0</v>
      </c>
      <c r="HK155" s="82">
        <f t="shared" si="953"/>
        <v>0</v>
      </c>
      <c r="HL155" s="82">
        <f t="shared" si="953"/>
        <v>0</v>
      </c>
      <c r="HM155" s="82">
        <f t="shared" si="953"/>
        <v>0</v>
      </c>
      <c r="HN155" s="82">
        <f t="shared" si="953"/>
        <v>0</v>
      </c>
      <c r="HO155" s="82">
        <f t="shared" si="953"/>
        <v>0</v>
      </c>
      <c r="HP155" s="82">
        <f t="shared" si="953"/>
        <v>0</v>
      </c>
      <c r="HQ155" s="82">
        <f>SUM(HQ156:HQ158)</f>
        <v>0</v>
      </c>
      <c r="HR155" s="82">
        <f>SUM(HR156:HR158)</f>
        <v>0</v>
      </c>
      <c r="HS155" s="82">
        <f>SUM(HS156:HS158)</f>
        <v>0</v>
      </c>
      <c r="HT155" s="82">
        <f>SUM(HT156:HT158)</f>
        <v>0</v>
      </c>
      <c r="HU155" s="82">
        <f t="shared" si="953"/>
        <v>0</v>
      </c>
      <c r="HV155" s="82">
        <f t="shared" si="953"/>
        <v>0</v>
      </c>
      <c r="HW155" s="82">
        <f t="shared" si="953"/>
        <v>0</v>
      </c>
      <c r="HX155" s="82">
        <f t="shared" si="953"/>
        <v>0</v>
      </c>
      <c r="HY155" s="82">
        <f t="shared" si="953"/>
        <v>0</v>
      </c>
      <c r="HZ155" s="82">
        <f t="shared" si="953"/>
        <v>0</v>
      </c>
      <c r="IA155" s="82">
        <f>SUM(IA156:IA158)</f>
        <v>0</v>
      </c>
      <c r="IB155" s="82">
        <f>SUM(IB156:IB158)</f>
        <v>0</v>
      </c>
      <c r="IC155" s="82">
        <f>SUM(IC156:IC158)</f>
        <v>0</v>
      </c>
      <c r="ID155" s="82">
        <f>SUM(ID156:ID158)</f>
        <v>0</v>
      </c>
      <c r="IE155" s="82">
        <f t="shared" si="953"/>
        <v>0</v>
      </c>
      <c r="IF155" s="82">
        <f t="shared" si="953"/>
        <v>0</v>
      </c>
      <c r="IG155" s="82">
        <f t="shared" si="953"/>
        <v>0</v>
      </c>
      <c r="IH155" s="82">
        <f t="shared" si="953"/>
        <v>0</v>
      </c>
      <c r="II155" s="82">
        <f t="shared" si="953"/>
        <v>0</v>
      </c>
      <c r="IJ155" s="82">
        <f t="shared" si="953"/>
        <v>0</v>
      </c>
      <c r="IK155" s="82">
        <f t="shared" si="953"/>
        <v>0</v>
      </c>
      <c r="IL155" s="82">
        <f t="shared" si="953"/>
        <v>0</v>
      </c>
      <c r="IM155" s="82">
        <f t="shared" si="953"/>
        <v>0</v>
      </c>
      <c r="IN155" s="82">
        <f t="shared" si="953"/>
        <v>0</v>
      </c>
      <c r="IO155" s="82">
        <f t="shared" si="953"/>
        <v>0</v>
      </c>
      <c r="IP155" s="82">
        <f t="shared" ref="IP155:IV155" si="954">SUM(IP156:IP158)</f>
        <v>0</v>
      </c>
      <c r="IQ155" s="82">
        <f t="shared" si="954"/>
        <v>0</v>
      </c>
      <c r="IR155" s="82">
        <f t="shared" si="954"/>
        <v>0</v>
      </c>
      <c r="IS155" s="82">
        <f t="shared" si="954"/>
        <v>0</v>
      </c>
      <c r="IT155" s="82">
        <f t="shared" si="954"/>
        <v>0</v>
      </c>
      <c r="IU155" s="82">
        <f t="shared" si="954"/>
        <v>0</v>
      </c>
      <c r="IV155" s="82">
        <f t="shared" si="954"/>
        <v>0</v>
      </c>
    </row>
    <row r="156" spans="1:256" ht="12.75" customHeight="1" x14ac:dyDescent="0.25">
      <c r="A156" s="84" t="s">
        <v>146</v>
      </c>
      <c r="B156" s="62"/>
      <c r="C156" s="63"/>
      <c r="D156" s="63"/>
      <c r="E156" s="63"/>
      <c r="F156" s="63"/>
      <c r="G156" s="63"/>
      <c r="H156" s="63"/>
      <c r="I156" s="63"/>
      <c r="J156" s="63"/>
      <c r="K156" s="63"/>
      <c r="L156" s="64">
        <f>SUM(C156:F156,H156:K156)</f>
        <v>0</v>
      </c>
      <c r="M156" s="62"/>
      <c r="N156" s="63"/>
      <c r="O156" s="63"/>
      <c r="P156" s="63"/>
      <c r="Q156" s="63"/>
      <c r="R156" s="63"/>
      <c r="S156" s="63"/>
      <c r="T156" s="63"/>
      <c r="U156" s="63"/>
      <c r="V156" s="63"/>
      <c r="W156" s="64">
        <f>SUM(N156:Q156,S156:V156)</f>
        <v>0</v>
      </c>
      <c r="X156" s="62"/>
      <c r="Y156" s="63"/>
      <c r="Z156" s="63"/>
      <c r="AA156" s="63"/>
      <c r="AB156" s="63"/>
      <c r="AC156" s="63"/>
      <c r="AD156" s="63"/>
      <c r="AE156" s="63"/>
      <c r="AF156" s="63"/>
      <c r="AG156" s="63"/>
      <c r="AH156" s="64">
        <f>SUM(Y156:AB156,AD156:AG156)</f>
        <v>0</v>
      </c>
      <c r="AI156" s="62"/>
      <c r="AJ156" s="63"/>
      <c r="AK156" s="63"/>
      <c r="AL156" s="63"/>
      <c r="AM156" s="63"/>
      <c r="AN156" s="63"/>
      <c r="AO156" s="63"/>
      <c r="AP156" s="63"/>
      <c r="AQ156" s="63"/>
      <c r="AR156" s="63"/>
      <c r="AS156" s="64">
        <f>SUM(AJ156:AM156,AO156:AR156)</f>
        <v>0</v>
      </c>
      <c r="AT156" s="65">
        <f t="shared" ref="AT156:BC158" si="955">SUM(M156,AI156,X156)</f>
        <v>0</v>
      </c>
      <c r="AU156" s="65">
        <f t="shared" si="955"/>
        <v>0</v>
      </c>
      <c r="AV156" s="65">
        <f t="shared" si="955"/>
        <v>0</v>
      </c>
      <c r="AW156" s="65">
        <f t="shared" si="955"/>
        <v>0</v>
      </c>
      <c r="AX156" s="65">
        <f t="shared" si="955"/>
        <v>0</v>
      </c>
      <c r="AY156" s="65">
        <f t="shared" si="955"/>
        <v>0</v>
      </c>
      <c r="AZ156" s="65">
        <f t="shared" si="955"/>
        <v>0</v>
      </c>
      <c r="BA156" s="65">
        <f t="shared" si="955"/>
        <v>0</v>
      </c>
      <c r="BB156" s="65">
        <f t="shared" si="955"/>
        <v>0</v>
      </c>
      <c r="BC156" s="65">
        <f t="shared" si="955"/>
        <v>0</v>
      </c>
      <c r="BD156" s="64">
        <f>SUM(AU156:AX156,AZ156:BC156)</f>
        <v>0</v>
      </c>
      <c r="BE156" s="62"/>
      <c r="BF156" s="63"/>
      <c r="BG156" s="63"/>
      <c r="BH156" s="63"/>
      <c r="BI156" s="63"/>
      <c r="BJ156" s="63"/>
      <c r="BK156" s="63"/>
      <c r="BL156" s="63"/>
      <c r="BM156" s="63"/>
      <c r="BN156" s="63"/>
      <c r="BO156" s="64">
        <f>SUM(BF156:BI156,BK156:BN156)</f>
        <v>0</v>
      </c>
      <c r="BP156" s="62"/>
      <c r="BQ156" s="63"/>
      <c r="BR156" s="63"/>
      <c r="BS156" s="63"/>
      <c r="BT156" s="63"/>
      <c r="BU156" s="63"/>
      <c r="BV156" s="63"/>
      <c r="BW156" s="63"/>
      <c r="BX156" s="63"/>
      <c r="BY156" s="63"/>
      <c r="BZ156" s="64">
        <f>SUM(BQ156:BT156,BV156:BY156)</f>
        <v>0</v>
      </c>
      <c r="CA156" s="62"/>
      <c r="CB156" s="63"/>
      <c r="CC156" s="63"/>
      <c r="CD156" s="63"/>
      <c r="CE156" s="63"/>
      <c r="CF156" s="63"/>
      <c r="CG156" s="63"/>
      <c r="CH156" s="63"/>
      <c r="CI156" s="63"/>
      <c r="CJ156" s="63"/>
      <c r="CK156" s="64">
        <f>SUM(CB156:CE156,CG156:CJ156)</f>
        <v>0</v>
      </c>
      <c r="CL156" s="65">
        <f t="shared" ref="CL156:CU158" si="956">SUM(BE156,CA156,BP156)</f>
        <v>0</v>
      </c>
      <c r="CM156" s="65">
        <f t="shared" si="956"/>
        <v>0</v>
      </c>
      <c r="CN156" s="65">
        <f t="shared" si="956"/>
        <v>0</v>
      </c>
      <c r="CO156" s="65">
        <f t="shared" si="956"/>
        <v>0</v>
      </c>
      <c r="CP156" s="65">
        <f t="shared" si="956"/>
        <v>0</v>
      </c>
      <c r="CQ156" s="65">
        <f t="shared" si="956"/>
        <v>0</v>
      </c>
      <c r="CR156" s="65">
        <f t="shared" si="956"/>
        <v>0</v>
      </c>
      <c r="CS156" s="65">
        <f t="shared" si="956"/>
        <v>0</v>
      </c>
      <c r="CT156" s="65">
        <f t="shared" si="956"/>
        <v>0</v>
      </c>
      <c r="CU156" s="65">
        <f t="shared" si="956"/>
        <v>0</v>
      </c>
      <c r="CV156" s="64">
        <f>SUM(CM156:CP156,CR156:CU156)</f>
        <v>0</v>
      </c>
      <c r="CW156" s="62"/>
      <c r="CX156" s="63"/>
      <c r="CY156" s="63"/>
      <c r="CZ156" s="63"/>
      <c r="DA156" s="63"/>
      <c r="DB156" s="63"/>
      <c r="DC156" s="63"/>
      <c r="DD156" s="63"/>
      <c r="DE156" s="63"/>
      <c r="DF156" s="63"/>
      <c r="DG156" s="64">
        <f>SUM(CX156:DA156,DC156:DF156)</f>
        <v>0</v>
      </c>
      <c r="DH156" s="62"/>
      <c r="DI156" s="63"/>
      <c r="DJ156" s="63"/>
      <c r="DK156" s="63"/>
      <c r="DL156" s="63"/>
      <c r="DM156" s="63"/>
      <c r="DN156" s="63"/>
      <c r="DO156" s="63"/>
      <c r="DP156" s="63"/>
      <c r="DQ156" s="63"/>
      <c r="DR156" s="64">
        <f>SUM(DI156:DL156,DN156:DQ156)</f>
        <v>0</v>
      </c>
      <c r="DS156" s="62"/>
      <c r="DT156" s="63"/>
      <c r="DU156" s="63"/>
      <c r="DV156" s="63"/>
      <c r="DW156" s="63"/>
      <c r="DX156" s="63"/>
      <c r="DY156" s="63"/>
      <c r="DZ156" s="63"/>
      <c r="EA156" s="63"/>
      <c r="EB156" s="63"/>
      <c r="EC156" s="63"/>
      <c r="ED156" s="65">
        <f t="shared" ref="ED156:EM158" si="957">SUM(CW156,DS156,DH156)</f>
        <v>0</v>
      </c>
      <c r="EE156" s="65">
        <f t="shared" si="957"/>
        <v>0</v>
      </c>
      <c r="EF156" s="65">
        <f t="shared" si="957"/>
        <v>0</v>
      </c>
      <c r="EG156" s="65">
        <f t="shared" si="957"/>
        <v>0</v>
      </c>
      <c r="EH156" s="65">
        <f t="shared" si="957"/>
        <v>0</v>
      </c>
      <c r="EI156" s="65">
        <f t="shared" si="957"/>
        <v>0</v>
      </c>
      <c r="EJ156" s="65">
        <f t="shared" si="957"/>
        <v>0</v>
      </c>
      <c r="EK156" s="65">
        <f t="shared" si="957"/>
        <v>0</v>
      </c>
      <c r="EL156" s="65">
        <f t="shared" si="957"/>
        <v>0</v>
      </c>
      <c r="EM156" s="65">
        <f t="shared" si="957"/>
        <v>0</v>
      </c>
      <c r="EN156" s="64">
        <f>SUM(EE156:EH156,EJ156:EM156)</f>
        <v>0</v>
      </c>
      <c r="EO156" s="62"/>
      <c r="EP156" s="63"/>
      <c r="EQ156" s="63"/>
      <c r="ER156" s="63"/>
      <c r="ES156" s="63"/>
      <c r="ET156" s="63"/>
      <c r="EU156" s="63"/>
      <c r="EV156" s="63"/>
      <c r="EW156" s="63"/>
      <c r="EX156" s="63"/>
      <c r="EY156" s="64">
        <f>SUM(EP156:ES156,EU156:EX156)</f>
        <v>0</v>
      </c>
      <c r="EZ156" s="62"/>
      <c r="FA156" s="63"/>
      <c r="FB156" s="63"/>
      <c r="FC156" s="63"/>
      <c r="FD156" s="63"/>
      <c r="FE156" s="63"/>
      <c r="FF156" s="63"/>
      <c r="FG156" s="63"/>
      <c r="FH156" s="63"/>
      <c r="FI156" s="63"/>
      <c r="FJ156" s="64">
        <f>SUM(FA156:FD156,FF156:FI156)</f>
        <v>0</v>
      </c>
      <c r="FK156" s="62"/>
      <c r="FL156" s="63"/>
      <c r="FM156" s="63"/>
      <c r="FN156" s="63"/>
      <c r="FO156" s="63"/>
      <c r="FP156" s="63"/>
      <c r="FQ156" s="63"/>
      <c r="FR156" s="63"/>
      <c r="FS156" s="63"/>
      <c r="FT156" s="63"/>
      <c r="FU156" s="64">
        <f>SUM(FL156:FO156,FQ156:FT156)</f>
        <v>0</v>
      </c>
      <c r="FV156" s="65">
        <f t="shared" ref="FV156:GE158" si="958">SUM(EO156,FK156,EZ156)</f>
        <v>0</v>
      </c>
      <c r="FW156" s="65">
        <f t="shared" si="958"/>
        <v>0</v>
      </c>
      <c r="FX156" s="65">
        <f t="shared" si="958"/>
        <v>0</v>
      </c>
      <c r="FY156" s="65">
        <f t="shared" si="958"/>
        <v>0</v>
      </c>
      <c r="FZ156" s="65">
        <f t="shared" si="958"/>
        <v>0</v>
      </c>
      <c r="GA156" s="65">
        <f t="shared" si="958"/>
        <v>0</v>
      </c>
      <c r="GB156" s="65">
        <f t="shared" si="958"/>
        <v>0</v>
      </c>
      <c r="GC156" s="65">
        <f t="shared" si="958"/>
        <v>0</v>
      </c>
      <c r="GD156" s="65">
        <f t="shared" si="958"/>
        <v>0</v>
      </c>
      <c r="GE156" s="65">
        <f t="shared" si="958"/>
        <v>0</v>
      </c>
      <c r="GF156" s="64">
        <f>SUM(FW156:FZ156,GB156:GE156)</f>
        <v>0</v>
      </c>
      <c r="GG156" s="66">
        <f t="shared" ref="GG156:GP158" si="959">SUM(AT156,CL156,ED156,FV156)</f>
        <v>0</v>
      </c>
      <c r="GH156" s="66">
        <f t="shared" si="959"/>
        <v>0</v>
      </c>
      <c r="GI156" s="66">
        <f t="shared" si="959"/>
        <v>0</v>
      </c>
      <c r="GJ156" s="66">
        <f t="shared" si="959"/>
        <v>0</v>
      </c>
      <c r="GK156" s="66">
        <f t="shared" si="959"/>
        <v>0</v>
      </c>
      <c r="GL156" s="66">
        <f t="shared" si="959"/>
        <v>0</v>
      </c>
      <c r="GM156" s="66">
        <f t="shared" si="959"/>
        <v>0</v>
      </c>
      <c r="GN156" s="66">
        <f t="shared" si="959"/>
        <v>0</v>
      </c>
      <c r="GO156" s="66">
        <f t="shared" si="959"/>
        <v>0</v>
      </c>
      <c r="GP156" s="66">
        <f t="shared" si="959"/>
        <v>0</v>
      </c>
      <c r="GQ156" s="64">
        <f>SUM(GH156:GK156,GM156:GP156)</f>
        <v>0</v>
      </c>
      <c r="GR156" s="63"/>
      <c r="GS156" s="63"/>
      <c r="GT156" s="63"/>
      <c r="GU156" s="63"/>
      <c r="GV156" s="67">
        <f>SUM(GR156:GU156)</f>
        <v>0</v>
      </c>
      <c r="GW156" s="63"/>
      <c r="GX156" s="63"/>
      <c r="GY156" s="63"/>
      <c r="GZ156" s="63"/>
      <c r="HA156" s="67">
        <f>SUM(GW156:GZ156)</f>
        <v>0</v>
      </c>
      <c r="HB156" s="63"/>
      <c r="HC156" s="63"/>
      <c r="HD156" s="63"/>
      <c r="HE156" s="63"/>
      <c r="HF156" s="67">
        <f>SUM(HB156:HE156)</f>
        <v>0</v>
      </c>
      <c r="HG156" s="63"/>
      <c r="HH156" s="63"/>
      <c r="HI156" s="63"/>
      <c r="HJ156" s="63"/>
      <c r="HK156" s="67">
        <f>SUM(HG156:HJ156)</f>
        <v>0</v>
      </c>
      <c r="HL156" s="68">
        <f t="shared" ref="HL156:HO158" si="960">SUM(GW156,HB156,HG156)</f>
        <v>0</v>
      </c>
      <c r="HM156" s="68">
        <f t="shared" si="960"/>
        <v>0</v>
      </c>
      <c r="HN156" s="68">
        <f t="shared" si="960"/>
        <v>0</v>
      </c>
      <c r="HO156" s="68">
        <f t="shared" si="960"/>
        <v>0</v>
      </c>
      <c r="HP156" s="67">
        <f>SUM(HL156:HO156)</f>
        <v>0</v>
      </c>
      <c r="HQ156" s="63"/>
      <c r="HR156" s="63"/>
      <c r="HS156" s="63"/>
      <c r="HT156" s="63"/>
      <c r="HU156" s="67">
        <f>SUM(HQ156:HT156)</f>
        <v>0</v>
      </c>
      <c r="HV156" s="63"/>
      <c r="HW156" s="63"/>
      <c r="HX156" s="63"/>
      <c r="HY156" s="63"/>
      <c r="HZ156" s="67">
        <f>SUM(HV156:HY156)</f>
        <v>0</v>
      </c>
      <c r="IA156" s="63"/>
      <c r="IB156" s="63"/>
      <c r="IC156" s="63"/>
      <c r="ID156" s="63"/>
      <c r="IE156" s="67">
        <f>SUM(IA156:ID156)</f>
        <v>0</v>
      </c>
      <c r="IF156" s="68">
        <f t="shared" ref="IF156:II158" si="961">SUM(HQ156,HV156,IA156)</f>
        <v>0</v>
      </c>
      <c r="IG156" s="68">
        <f t="shared" si="961"/>
        <v>0</v>
      </c>
      <c r="IH156" s="68">
        <f t="shared" si="961"/>
        <v>0</v>
      </c>
      <c r="II156" s="68">
        <f t="shared" si="961"/>
        <v>0</v>
      </c>
      <c r="IJ156" s="67">
        <f>SUM(IF156:II156)</f>
        <v>0</v>
      </c>
      <c r="IK156" s="63"/>
      <c r="IL156" s="63"/>
      <c r="IM156" s="63"/>
      <c r="IN156" s="63"/>
      <c r="IO156" s="67">
        <f>SUM(IK156:IN156)</f>
        <v>0</v>
      </c>
      <c r="IP156" s="63"/>
      <c r="IQ156" s="63"/>
      <c r="IR156" s="63"/>
      <c r="IS156" s="63"/>
      <c r="IT156" s="67">
        <f>SUM(IP156:IS156)</f>
        <v>0</v>
      </c>
      <c r="IU156" s="63"/>
      <c r="IV156" s="63"/>
    </row>
    <row r="157" spans="1:256" ht="12.75" customHeight="1" x14ac:dyDescent="0.25">
      <c r="A157" s="84" t="s">
        <v>147</v>
      </c>
      <c r="B157" s="62"/>
      <c r="C157" s="63"/>
      <c r="D157" s="63"/>
      <c r="E157" s="63"/>
      <c r="F157" s="63"/>
      <c r="G157" s="63"/>
      <c r="H157" s="63"/>
      <c r="I157" s="63"/>
      <c r="J157" s="63"/>
      <c r="K157" s="63"/>
      <c r="L157" s="64">
        <f>SUM(C157:F157,H157:K157)</f>
        <v>0</v>
      </c>
      <c r="M157" s="62"/>
      <c r="N157" s="63"/>
      <c r="O157" s="63"/>
      <c r="P157" s="63"/>
      <c r="Q157" s="63"/>
      <c r="R157" s="63"/>
      <c r="S157" s="63"/>
      <c r="T157" s="63"/>
      <c r="U157" s="63"/>
      <c r="V157" s="63"/>
      <c r="W157" s="64">
        <f>SUM(N157:Q157,S157:V157)</f>
        <v>0</v>
      </c>
      <c r="X157" s="62"/>
      <c r="Y157" s="63"/>
      <c r="Z157" s="63"/>
      <c r="AA157" s="63"/>
      <c r="AB157" s="63"/>
      <c r="AC157" s="63"/>
      <c r="AD157" s="63"/>
      <c r="AE157" s="63"/>
      <c r="AF157" s="63"/>
      <c r="AG157" s="63"/>
      <c r="AH157" s="64">
        <f>SUM(Y157:AB157,AD157:AG157)</f>
        <v>0</v>
      </c>
      <c r="AI157" s="62"/>
      <c r="AJ157" s="63"/>
      <c r="AK157" s="63"/>
      <c r="AL157" s="63"/>
      <c r="AM157" s="63"/>
      <c r="AN157" s="63"/>
      <c r="AO157" s="63"/>
      <c r="AP157" s="63"/>
      <c r="AQ157" s="63"/>
      <c r="AR157" s="63"/>
      <c r="AS157" s="64">
        <f>SUM(AJ157:AM157,AO157:AR157)</f>
        <v>0</v>
      </c>
      <c r="AT157" s="65">
        <f t="shared" si="955"/>
        <v>0</v>
      </c>
      <c r="AU157" s="65">
        <f t="shared" si="955"/>
        <v>0</v>
      </c>
      <c r="AV157" s="65">
        <f t="shared" si="955"/>
        <v>0</v>
      </c>
      <c r="AW157" s="65">
        <f t="shared" si="955"/>
        <v>0</v>
      </c>
      <c r="AX157" s="65">
        <f t="shared" si="955"/>
        <v>0</v>
      </c>
      <c r="AY157" s="65">
        <f t="shared" si="955"/>
        <v>0</v>
      </c>
      <c r="AZ157" s="65">
        <f t="shared" si="955"/>
        <v>0</v>
      </c>
      <c r="BA157" s="65">
        <f t="shared" si="955"/>
        <v>0</v>
      </c>
      <c r="BB157" s="65">
        <f t="shared" si="955"/>
        <v>0</v>
      </c>
      <c r="BC157" s="65">
        <f t="shared" si="955"/>
        <v>0</v>
      </c>
      <c r="BD157" s="64">
        <f>SUM(AU157:AX157,AZ157:BC157)</f>
        <v>0</v>
      </c>
      <c r="BE157" s="62"/>
      <c r="BF157" s="63"/>
      <c r="BG157" s="63"/>
      <c r="BH157" s="63"/>
      <c r="BI157" s="63"/>
      <c r="BJ157" s="63"/>
      <c r="BK157" s="63"/>
      <c r="BL157" s="63"/>
      <c r="BM157" s="63"/>
      <c r="BN157" s="63"/>
      <c r="BO157" s="64">
        <f>SUM(BF157:BI157,BK157:BN157)</f>
        <v>0</v>
      </c>
      <c r="BP157" s="62"/>
      <c r="BQ157" s="63"/>
      <c r="BR157" s="63"/>
      <c r="BS157" s="63"/>
      <c r="BT157" s="63"/>
      <c r="BU157" s="63"/>
      <c r="BV157" s="63"/>
      <c r="BW157" s="63"/>
      <c r="BX157" s="63"/>
      <c r="BY157" s="63"/>
      <c r="BZ157" s="64">
        <f>SUM(BQ157:BT157,BV157:BY157)</f>
        <v>0</v>
      </c>
      <c r="CA157" s="62"/>
      <c r="CB157" s="63"/>
      <c r="CC157" s="63"/>
      <c r="CD157" s="63"/>
      <c r="CE157" s="63"/>
      <c r="CF157" s="63"/>
      <c r="CG157" s="63"/>
      <c r="CH157" s="63"/>
      <c r="CI157" s="63"/>
      <c r="CJ157" s="63"/>
      <c r="CK157" s="64">
        <f>SUM(CB157:CE157,CG157:CJ157)</f>
        <v>0</v>
      </c>
      <c r="CL157" s="65">
        <f t="shared" si="956"/>
        <v>0</v>
      </c>
      <c r="CM157" s="65">
        <f t="shared" si="956"/>
        <v>0</v>
      </c>
      <c r="CN157" s="65">
        <f t="shared" si="956"/>
        <v>0</v>
      </c>
      <c r="CO157" s="65">
        <f t="shared" si="956"/>
        <v>0</v>
      </c>
      <c r="CP157" s="65">
        <f t="shared" si="956"/>
        <v>0</v>
      </c>
      <c r="CQ157" s="65">
        <f t="shared" si="956"/>
        <v>0</v>
      </c>
      <c r="CR157" s="65">
        <f t="shared" si="956"/>
        <v>0</v>
      </c>
      <c r="CS157" s="65">
        <f t="shared" si="956"/>
        <v>0</v>
      </c>
      <c r="CT157" s="65">
        <f t="shared" si="956"/>
        <v>0</v>
      </c>
      <c r="CU157" s="65">
        <f t="shared" si="956"/>
        <v>0</v>
      </c>
      <c r="CV157" s="64">
        <f>SUM(CM157:CP157,CR157:CU157)</f>
        <v>0</v>
      </c>
      <c r="CW157" s="62"/>
      <c r="CX157" s="63"/>
      <c r="CY157" s="63"/>
      <c r="CZ157" s="63"/>
      <c r="DA157" s="63"/>
      <c r="DB157" s="63"/>
      <c r="DC157" s="63"/>
      <c r="DD157" s="63"/>
      <c r="DE157" s="63"/>
      <c r="DF157" s="63"/>
      <c r="DG157" s="64">
        <f>SUM(CX157:DA157,DC157:DF157)</f>
        <v>0</v>
      </c>
      <c r="DH157" s="62"/>
      <c r="DI157" s="63"/>
      <c r="DJ157" s="63"/>
      <c r="DK157" s="63"/>
      <c r="DL157" s="63"/>
      <c r="DM157" s="63"/>
      <c r="DN157" s="63"/>
      <c r="DO157" s="63"/>
      <c r="DP157" s="63"/>
      <c r="DQ157" s="63"/>
      <c r="DR157" s="64">
        <f>SUM(DI157:DL157,DN157:DQ157)</f>
        <v>0</v>
      </c>
      <c r="DS157" s="62"/>
      <c r="DT157" s="63"/>
      <c r="DU157" s="63"/>
      <c r="DV157" s="63"/>
      <c r="DW157" s="63"/>
      <c r="DX157" s="63"/>
      <c r="DY157" s="63"/>
      <c r="DZ157" s="63"/>
      <c r="EA157" s="63"/>
      <c r="EB157" s="63"/>
      <c r="EC157" s="63"/>
      <c r="ED157" s="65">
        <f t="shared" si="957"/>
        <v>0</v>
      </c>
      <c r="EE157" s="65">
        <f t="shared" si="957"/>
        <v>0</v>
      </c>
      <c r="EF157" s="65">
        <f t="shared" si="957"/>
        <v>0</v>
      </c>
      <c r="EG157" s="65">
        <f t="shared" si="957"/>
        <v>0</v>
      </c>
      <c r="EH157" s="65">
        <f t="shared" si="957"/>
        <v>0</v>
      </c>
      <c r="EI157" s="65">
        <f t="shared" si="957"/>
        <v>0</v>
      </c>
      <c r="EJ157" s="65">
        <f t="shared" si="957"/>
        <v>0</v>
      </c>
      <c r="EK157" s="65">
        <f t="shared" si="957"/>
        <v>0</v>
      </c>
      <c r="EL157" s="65">
        <f t="shared" si="957"/>
        <v>0</v>
      </c>
      <c r="EM157" s="65">
        <f t="shared" si="957"/>
        <v>0</v>
      </c>
      <c r="EN157" s="64">
        <f>SUM(EE157:EH157,EJ157:EM157)</f>
        <v>0</v>
      </c>
      <c r="EO157" s="62"/>
      <c r="EP157" s="63"/>
      <c r="EQ157" s="63"/>
      <c r="ER157" s="63"/>
      <c r="ES157" s="63"/>
      <c r="ET157" s="63"/>
      <c r="EU157" s="63"/>
      <c r="EV157" s="63"/>
      <c r="EW157" s="63"/>
      <c r="EX157" s="63"/>
      <c r="EY157" s="64">
        <f>SUM(EP157:ES157,EU157:EX157)</f>
        <v>0</v>
      </c>
      <c r="EZ157" s="62"/>
      <c r="FA157" s="63"/>
      <c r="FB157" s="63"/>
      <c r="FC157" s="63"/>
      <c r="FD157" s="63"/>
      <c r="FE157" s="63"/>
      <c r="FF157" s="63"/>
      <c r="FG157" s="63"/>
      <c r="FH157" s="63"/>
      <c r="FI157" s="63"/>
      <c r="FJ157" s="64">
        <f>SUM(FA157:FD157,FF157:FI157)</f>
        <v>0</v>
      </c>
      <c r="FK157" s="62"/>
      <c r="FL157" s="63"/>
      <c r="FM157" s="63"/>
      <c r="FN157" s="63"/>
      <c r="FO157" s="63"/>
      <c r="FP157" s="63"/>
      <c r="FQ157" s="63"/>
      <c r="FR157" s="63"/>
      <c r="FS157" s="63"/>
      <c r="FT157" s="63"/>
      <c r="FU157" s="64">
        <f>SUM(FL157:FO157,FQ157:FT157)</f>
        <v>0</v>
      </c>
      <c r="FV157" s="65">
        <f t="shared" si="958"/>
        <v>0</v>
      </c>
      <c r="FW157" s="65">
        <f t="shared" si="958"/>
        <v>0</v>
      </c>
      <c r="FX157" s="65">
        <f t="shared" si="958"/>
        <v>0</v>
      </c>
      <c r="FY157" s="65">
        <f t="shared" si="958"/>
        <v>0</v>
      </c>
      <c r="FZ157" s="65">
        <f t="shared" si="958"/>
        <v>0</v>
      </c>
      <c r="GA157" s="65">
        <f t="shared" si="958"/>
        <v>0</v>
      </c>
      <c r="GB157" s="65">
        <f t="shared" si="958"/>
        <v>0</v>
      </c>
      <c r="GC157" s="65">
        <f t="shared" si="958"/>
        <v>0</v>
      </c>
      <c r="GD157" s="65">
        <f t="shared" si="958"/>
        <v>0</v>
      </c>
      <c r="GE157" s="65">
        <f t="shared" si="958"/>
        <v>0</v>
      </c>
      <c r="GF157" s="64">
        <f>SUM(FW157:FZ157,GB157:GE157)</f>
        <v>0</v>
      </c>
      <c r="GG157" s="66">
        <f t="shared" si="959"/>
        <v>0</v>
      </c>
      <c r="GH157" s="66">
        <f t="shared" si="959"/>
        <v>0</v>
      </c>
      <c r="GI157" s="66">
        <f t="shared" si="959"/>
        <v>0</v>
      </c>
      <c r="GJ157" s="66">
        <f t="shared" si="959"/>
        <v>0</v>
      </c>
      <c r="GK157" s="66">
        <f t="shared" si="959"/>
        <v>0</v>
      </c>
      <c r="GL157" s="66">
        <f t="shared" si="959"/>
        <v>0</v>
      </c>
      <c r="GM157" s="66">
        <f t="shared" si="959"/>
        <v>0</v>
      </c>
      <c r="GN157" s="66">
        <f t="shared" si="959"/>
        <v>0</v>
      </c>
      <c r="GO157" s="66">
        <f t="shared" si="959"/>
        <v>0</v>
      </c>
      <c r="GP157" s="66">
        <f t="shared" si="959"/>
        <v>0</v>
      </c>
      <c r="GQ157" s="64">
        <f>SUM(GH157:GK157,GM157:GP157)</f>
        <v>0</v>
      </c>
      <c r="GR157" s="63"/>
      <c r="GS157" s="63"/>
      <c r="GT157" s="63"/>
      <c r="GU157" s="63"/>
      <c r="GV157" s="67">
        <f>SUM(GR157:GU157)</f>
        <v>0</v>
      </c>
      <c r="GW157" s="63"/>
      <c r="GX157" s="63"/>
      <c r="GY157" s="63"/>
      <c r="GZ157" s="63"/>
      <c r="HA157" s="67">
        <f>SUM(GW157:GZ157)</f>
        <v>0</v>
      </c>
      <c r="HB157" s="63"/>
      <c r="HC157" s="63"/>
      <c r="HD157" s="63"/>
      <c r="HE157" s="63"/>
      <c r="HF157" s="67">
        <f>SUM(HB157:HE157)</f>
        <v>0</v>
      </c>
      <c r="HG157" s="63"/>
      <c r="HH157" s="63"/>
      <c r="HI157" s="63"/>
      <c r="HJ157" s="63"/>
      <c r="HK157" s="67">
        <f>SUM(HG157:HJ157)</f>
        <v>0</v>
      </c>
      <c r="HL157" s="68">
        <f t="shared" si="960"/>
        <v>0</v>
      </c>
      <c r="HM157" s="68">
        <f t="shared" si="960"/>
        <v>0</v>
      </c>
      <c r="HN157" s="68">
        <f t="shared" si="960"/>
        <v>0</v>
      </c>
      <c r="HO157" s="68">
        <f t="shared" si="960"/>
        <v>0</v>
      </c>
      <c r="HP157" s="67">
        <f>SUM(HL157:HO157)</f>
        <v>0</v>
      </c>
      <c r="HQ157" s="63"/>
      <c r="HR157" s="63"/>
      <c r="HS157" s="63"/>
      <c r="HT157" s="63"/>
      <c r="HU157" s="67">
        <f>SUM(HQ157:HT157)</f>
        <v>0</v>
      </c>
      <c r="HV157" s="63"/>
      <c r="HW157" s="63"/>
      <c r="HX157" s="63"/>
      <c r="HY157" s="63"/>
      <c r="HZ157" s="67">
        <f>SUM(HV157:HY157)</f>
        <v>0</v>
      </c>
      <c r="IA157" s="63"/>
      <c r="IB157" s="63"/>
      <c r="IC157" s="63"/>
      <c r="ID157" s="63"/>
      <c r="IE157" s="67">
        <f>SUM(IA157:ID157)</f>
        <v>0</v>
      </c>
      <c r="IF157" s="68">
        <f t="shared" si="961"/>
        <v>0</v>
      </c>
      <c r="IG157" s="68">
        <f t="shared" si="961"/>
        <v>0</v>
      </c>
      <c r="IH157" s="68">
        <f t="shared" si="961"/>
        <v>0</v>
      </c>
      <c r="II157" s="68">
        <f t="shared" si="961"/>
        <v>0</v>
      </c>
      <c r="IJ157" s="67">
        <f>SUM(IF157:II157)</f>
        <v>0</v>
      </c>
      <c r="IK157" s="63"/>
      <c r="IL157" s="63"/>
      <c r="IM157" s="63"/>
      <c r="IN157" s="63"/>
      <c r="IO157" s="67">
        <f>SUM(IK157:IN157)</f>
        <v>0</v>
      </c>
      <c r="IP157" s="63"/>
      <c r="IQ157" s="63"/>
      <c r="IR157" s="63"/>
      <c r="IS157" s="63"/>
      <c r="IT157" s="67">
        <f>SUM(IP157:IS157)</f>
        <v>0</v>
      </c>
      <c r="IU157" s="63"/>
      <c r="IV157" s="63"/>
    </row>
    <row r="158" spans="1:256" ht="12.75" customHeight="1" x14ac:dyDescent="0.25">
      <c r="A158" s="84" t="s">
        <v>148</v>
      </c>
      <c r="B158" s="62"/>
      <c r="C158" s="63"/>
      <c r="D158" s="63"/>
      <c r="E158" s="63"/>
      <c r="F158" s="63"/>
      <c r="G158" s="63"/>
      <c r="H158" s="63"/>
      <c r="I158" s="63"/>
      <c r="J158" s="63"/>
      <c r="K158" s="63"/>
      <c r="L158" s="64">
        <f>SUM(C158:F158,H158:K158)</f>
        <v>0</v>
      </c>
      <c r="M158" s="62"/>
      <c r="N158" s="63"/>
      <c r="O158" s="63"/>
      <c r="P158" s="63"/>
      <c r="Q158" s="63"/>
      <c r="R158" s="63"/>
      <c r="S158" s="63"/>
      <c r="T158" s="63"/>
      <c r="U158" s="63"/>
      <c r="V158" s="63"/>
      <c r="W158" s="64">
        <f>SUM(N158:Q158,S158:V158)</f>
        <v>0</v>
      </c>
      <c r="X158" s="62"/>
      <c r="Y158" s="63"/>
      <c r="Z158" s="63"/>
      <c r="AA158" s="63"/>
      <c r="AB158" s="63"/>
      <c r="AC158" s="63"/>
      <c r="AD158" s="63"/>
      <c r="AE158" s="63"/>
      <c r="AF158" s="63"/>
      <c r="AG158" s="63"/>
      <c r="AH158" s="64">
        <f>SUM(Y158:AB158,AD158:AG158)</f>
        <v>0</v>
      </c>
      <c r="AI158" s="62"/>
      <c r="AJ158" s="63"/>
      <c r="AK158" s="63"/>
      <c r="AL158" s="63"/>
      <c r="AM158" s="63"/>
      <c r="AN158" s="63"/>
      <c r="AO158" s="63"/>
      <c r="AP158" s="63"/>
      <c r="AQ158" s="63"/>
      <c r="AR158" s="63"/>
      <c r="AS158" s="64">
        <f>SUM(AJ158:AM158,AO158:AR158)</f>
        <v>0</v>
      </c>
      <c r="AT158" s="65">
        <f t="shared" si="955"/>
        <v>0</v>
      </c>
      <c r="AU158" s="65">
        <f t="shared" si="955"/>
        <v>0</v>
      </c>
      <c r="AV158" s="65">
        <f t="shared" si="955"/>
        <v>0</v>
      </c>
      <c r="AW158" s="65">
        <f t="shared" si="955"/>
        <v>0</v>
      </c>
      <c r="AX158" s="65">
        <f t="shared" si="955"/>
        <v>0</v>
      </c>
      <c r="AY158" s="65">
        <f t="shared" si="955"/>
        <v>0</v>
      </c>
      <c r="AZ158" s="65">
        <f t="shared" si="955"/>
        <v>0</v>
      </c>
      <c r="BA158" s="65">
        <f t="shared" si="955"/>
        <v>0</v>
      </c>
      <c r="BB158" s="65">
        <f t="shared" si="955"/>
        <v>0</v>
      </c>
      <c r="BC158" s="65">
        <f t="shared" si="955"/>
        <v>0</v>
      </c>
      <c r="BD158" s="64">
        <f>SUM(AU158:AX158,AZ158:BC158)</f>
        <v>0</v>
      </c>
      <c r="BE158" s="62"/>
      <c r="BF158" s="63"/>
      <c r="BG158" s="63"/>
      <c r="BH158" s="63"/>
      <c r="BI158" s="63"/>
      <c r="BJ158" s="63"/>
      <c r="BK158" s="63"/>
      <c r="BL158" s="63"/>
      <c r="BM158" s="63"/>
      <c r="BN158" s="63"/>
      <c r="BO158" s="64">
        <f>SUM(BF158:BI158,BK158:BN158)</f>
        <v>0</v>
      </c>
      <c r="BP158" s="62"/>
      <c r="BQ158" s="63"/>
      <c r="BR158" s="63"/>
      <c r="BS158" s="63"/>
      <c r="BT158" s="63"/>
      <c r="BU158" s="63"/>
      <c r="BV158" s="63"/>
      <c r="BW158" s="63"/>
      <c r="BX158" s="63"/>
      <c r="BY158" s="63"/>
      <c r="BZ158" s="64">
        <f>SUM(BQ158:BT158,BV158:BY158)</f>
        <v>0</v>
      </c>
      <c r="CA158" s="62"/>
      <c r="CB158" s="63"/>
      <c r="CC158" s="63"/>
      <c r="CD158" s="63"/>
      <c r="CE158" s="63"/>
      <c r="CF158" s="63"/>
      <c r="CG158" s="63"/>
      <c r="CH158" s="63"/>
      <c r="CI158" s="63"/>
      <c r="CJ158" s="63"/>
      <c r="CK158" s="64">
        <f>SUM(CB158:CE158,CG158:CJ158)</f>
        <v>0</v>
      </c>
      <c r="CL158" s="65">
        <f t="shared" si="956"/>
        <v>0</v>
      </c>
      <c r="CM158" s="65">
        <f t="shared" si="956"/>
        <v>0</v>
      </c>
      <c r="CN158" s="65">
        <f t="shared" si="956"/>
        <v>0</v>
      </c>
      <c r="CO158" s="65">
        <f t="shared" si="956"/>
        <v>0</v>
      </c>
      <c r="CP158" s="65">
        <f t="shared" si="956"/>
        <v>0</v>
      </c>
      <c r="CQ158" s="65">
        <f t="shared" si="956"/>
        <v>0</v>
      </c>
      <c r="CR158" s="65">
        <f t="shared" si="956"/>
        <v>0</v>
      </c>
      <c r="CS158" s="65">
        <f t="shared" si="956"/>
        <v>0</v>
      </c>
      <c r="CT158" s="65">
        <f t="shared" si="956"/>
        <v>0</v>
      </c>
      <c r="CU158" s="65">
        <f t="shared" si="956"/>
        <v>0</v>
      </c>
      <c r="CV158" s="64">
        <f>SUM(CM158:CP158,CR158:CU158)</f>
        <v>0</v>
      </c>
      <c r="CW158" s="62"/>
      <c r="CX158" s="63"/>
      <c r="CY158" s="63"/>
      <c r="CZ158" s="63"/>
      <c r="DA158" s="63"/>
      <c r="DB158" s="63"/>
      <c r="DC158" s="63"/>
      <c r="DD158" s="63"/>
      <c r="DE158" s="63"/>
      <c r="DF158" s="63"/>
      <c r="DG158" s="64">
        <f>SUM(CX158:DA158,DC158:DF158)</f>
        <v>0</v>
      </c>
      <c r="DH158" s="62"/>
      <c r="DI158" s="63"/>
      <c r="DJ158" s="63"/>
      <c r="DK158" s="63"/>
      <c r="DL158" s="63"/>
      <c r="DM158" s="63"/>
      <c r="DN158" s="63"/>
      <c r="DO158" s="63"/>
      <c r="DP158" s="63"/>
      <c r="DQ158" s="63"/>
      <c r="DR158" s="64">
        <f>SUM(DI158:DL158,DN158:DQ158)</f>
        <v>0</v>
      </c>
      <c r="DS158" s="62"/>
      <c r="DT158" s="63"/>
      <c r="DU158" s="63"/>
      <c r="DV158" s="63"/>
      <c r="DW158" s="63"/>
      <c r="DX158" s="63"/>
      <c r="DY158" s="63"/>
      <c r="DZ158" s="63"/>
      <c r="EA158" s="63"/>
      <c r="EB158" s="63"/>
      <c r="EC158" s="63"/>
      <c r="ED158" s="65">
        <f t="shared" si="957"/>
        <v>0</v>
      </c>
      <c r="EE158" s="65">
        <f t="shared" si="957"/>
        <v>0</v>
      </c>
      <c r="EF158" s="65">
        <f t="shared" si="957"/>
        <v>0</v>
      </c>
      <c r="EG158" s="65">
        <f t="shared" si="957"/>
        <v>0</v>
      </c>
      <c r="EH158" s="65">
        <f t="shared" si="957"/>
        <v>0</v>
      </c>
      <c r="EI158" s="65">
        <f t="shared" si="957"/>
        <v>0</v>
      </c>
      <c r="EJ158" s="65">
        <f t="shared" si="957"/>
        <v>0</v>
      </c>
      <c r="EK158" s="65">
        <f t="shared" si="957"/>
        <v>0</v>
      </c>
      <c r="EL158" s="65">
        <f t="shared" si="957"/>
        <v>0</v>
      </c>
      <c r="EM158" s="65">
        <f t="shared" si="957"/>
        <v>0</v>
      </c>
      <c r="EN158" s="64">
        <f>SUM(EE158:EH158,EJ158:EM158)</f>
        <v>0</v>
      </c>
      <c r="EO158" s="62"/>
      <c r="EP158" s="63"/>
      <c r="EQ158" s="63"/>
      <c r="ER158" s="63"/>
      <c r="ES158" s="63"/>
      <c r="ET158" s="63"/>
      <c r="EU158" s="63"/>
      <c r="EV158" s="63"/>
      <c r="EW158" s="63"/>
      <c r="EX158" s="63"/>
      <c r="EY158" s="64">
        <f>SUM(EP158:ES158,EU158:EX158)</f>
        <v>0</v>
      </c>
      <c r="EZ158" s="62"/>
      <c r="FA158" s="63"/>
      <c r="FB158" s="63"/>
      <c r="FC158" s="63"/>
      <c r="FD158" s="63"/>
      <c r="FE158" s="63"/>
      <c r="FF158" s="63"/>
      <c r="FG158" s="63"/>
      <c r="FH158" s="63"/>
      <c r="FI158" s="63"/>
      <c r="FJ158" s="64">
        <f>SUM(FA158:FD158,FF158:FI158)</f>
        <v>0</v>
      </c>
      <c r="FK158" s="62"/>
      <c r="FL158" s="63"/>
      <c r="FM158" s="63"/>
      <c r="FN158" s="63"/>
      <c r="FO158" s="63"/>
      <c r="FP158" s="63"/>
      <c r="FQ158" s="63"/>
      <c r="FR158" s="63"/>
      <c r="FS158" s="63"/>
      <c r="FT158" s="63"/>
      <c r="FU158" s="64">
        <f>SUM(FL158:FO158,FQ158:FT158)</f>
        <v>0</v>
      </c>
      <c r="FV158" s="65">
        <f t="shared" si="958"/>
        <v>0</v>
      </c>
      <c r="FW158" s="65">
        <f t="shared" si="958"/>
        <v>0</v>
      </c>
      <c r="FX158" s="65">
        <f t="shared" si="958"/>
        <v>0</v>
      </c>
      <c r="FY158" s="65">
        <f t="shared" si="958"/>
        <v>0</v>
      </c>
      <c r="FZ158" s="65">
        <f t="shared" si="958"/>
        <v>0</v>
      </c>
      <c r="GA158" s="65">
        <f t="shared" si="958"/>
        <v>0</v>
      </c>
      <c r="GB158" s="65">
        <f t="shared" si="958"/>
        <v>0</v>
      </c>
      <c r="GC158" s="65">
        <f t="shared" si="958"/>
        <v>0</v>
      </c>
      <c r="GD158" s="65">
        <f t="shared" si="958"/>
        <v>0</v>
      </c>
      <c r="GE158" s="65">
        <f t="shared" si="958"/>
        <v>0</v>
      </c>
      <c r="GF158" s="64">
        <f>SUM(FW158:FZ158,GB158:GE158)</f>
        <v>0</v>
      </c>
      <c r="GG158" s="66">
        <f t="shared" si="959"/>
        <v>0</v>
      </c>
      <c r="GH158" s="66">
        <f t="shared" si="959"/>
        <v>0</v>
      </c>
      <c r="GI158" s="66">
        <f t="shared" si="959"/>
        <v>0</v>
      </c>
      <c r="GJ158" s="66">
        <f t="shared" si="959"/>
        <v>0</v>
      </c>
      <c r="GK158" s="66">
        <f t="shared" si="959"/>
        <v>0</v>
      </c>
      <c r="GL158" s="66">
        <f t="shared" si="959"/>
        <v>0</v>
      </c>
      <c r="GM158" s="66">
        <f t="shared" si="959"/>
        <v>0</v>
      </c>
      <c r="GN158" s="66">
        <f t="shared" si="959"/>
        <v>0</v>
      </c>
      <c r="GO158" s="66">
        <f t="shared" si="959"/>
        <v>0</v>
      </c>
      <c r="GP158" s="66">
        <f t="shared" si="959"/>
        <v>0</v>
      </c>
      <c r="GQ158" s="64">
        <f>SUM(GH158:GK158,GM158:GP158)</f>
        <v>0</v>
      </c>
      <c r="GR158" s="63"/>
      <c r="GS158" s="63"/>
      <c r="GT158" s="63"/>
      <c r="GU158" s="63"/>
      <c r="GV158" s="67">
        <f>SUM(GR158:GU158)</f>
        <v>0</v>
      </c>
      <c r="GW158" s="63"/>
      <c r="GX158" s="63"/>
      <c r="GY158" s="63"/>
      <c r="GZ158" s="63"/>
      <c r="HA158" s="67">
        <f>SUM(GW158:GZ158)</f>
        <v>0</v>
      </c>
      <c r="HB158" s="63"/>
      <c r="HC158" s="63"/>
      <c r="HD158" s="63"/>
      <c r="HE158" s="63"/>
      <c r="HF158" s="67">
        <f>SUM(HB158:HE158)</f>
        <v>0</v>
      </c>
      <c r="HG158" s="63"/>
      <c r="HH158" s="63"/>
      <c r="HI158" s="63"/>
      <c r="HJ158" s="63"/>
      <c r="HK158" s="67">
        <f>SUM(HG158:HJ158)</f>
        <v>0</v>
      </c>
      <c r="HL158" s="68">
        <f t="shared" si="960"/>
        <v>0</v>
      </c>
      <c r="HM158" s="68">
        <f t="shared" si="960"/>
        <v>0</v>
      </c>
      <c r="HN158" s="68">
        <f t="shared" si="960"/>
        <v>0</v>
      </c>
      <c r="HO158" s="68">
        <f t="shared" si="960"/>
        <v>0</v>
      </c>
      <c r="HP158" s="67">
        <f>SUM(HL158:HO158)</f>
        <v>0</v>
      </c>
      <c r="HQ158" s="63"/>
      <c r="HR158" s="63"/>
      <c r="HS158" s="63"/>
      <c r="HT158" s="63"/>
      <c r="HU158" s="67">
        <f>SUM(HQ158:HT158)</f>
        <v>0</v>
      </c>
      <c r="HV158" s="63"/>
      <c r="HW158" s="63"/>
      <c r="HX158" s="63"/>
      <c r="HY158" s="63"/>
      <c r="HZ158" s="67">
        <f>SUM(HV158:HY158)</f>
        <v>0</v>
      </c>
      <c r="IA158" s="63"/>
      <c r="IB158" s="63"/>
      <c r="IC158" s="63"/>
      <c r="ID158" s="63"/>
      <c r="IE158" s="67">
        <f>SUM(IA158:ID158)</f>
        <v>0</v>
      </c>
      <c r="IF158" s="68">
        <f t="shared" si="961"/>
        <v>0</v>
      </c>
      <c r="IG158" s="68">
        <f t="shared" si="961"/>
        <v>0</v>
      </c>
      <c r="IH158" s="68">
        <f t="shared" si="961"/>
        <v>0</v>
      </c>
      <c r="II158" s="68">
        <f t="shared" si="961"/>
        <v>0</v>
      </c>
      <c r="IJ158" s="67">
        <f>SUM(IF158:II158)</f>
        <v>0</v>
      </c>
      <c r="IK158" s="63"/>
      <c r="IL158" s="63"/>
      <c r="IM158" s="63"/>
      <c r="IN158" s="63"/>
      <c r="IO158" s="67">
        <f>SUM(IK158:IN158)</f>
        <v>0</v>
      </c>
      <c r="IP158" s="63"/>
      <c r="IQ158" s="63"/>
      <c r="IR158" s="63"/>
      <c r="IS158" s="63"/>
      <c r="IT158" s="67">
        <f>SUM(IP158:IS158)</f>
        <v>0</v>
      </c>
      <c r="IU158" s="63"/>
      <c r="IV158" s="63"/>
    </row>
    <row r="159" spans="1:256" s="110" customFormat="1" ht="12.75" customHeight="1" x14ac:dyDescent="0.25">
      <c r="A159" s="144" t="s">
        <v>149</v>
      </c>
      <c r="B159" s="145"/>
      <c r="C159" s="114">
        <f t="shared" ref="C159:K159" si="962">C160</f>
        <v>0</v>
      </c>
      <c r="D159" s="114">
        <f t="shared" si="962"/>
        <v>0</v>
      </c>
      <c r="E159" s="114">
        <f t="shared" si="962"/>
        <v>0</v>
      </c>
      <c r="F159" s="114">
        <f t="shared" si="962"/>
        <v>0</v>
      </c>
      <c r="G159" s="114">
        <f t="shared" si="962"/>
        <v>0</v>
      </c>
      <c r="H159" s="114">
        <f t="shared" si="962"/>
        <v>0</v>
      </c>
      <c r="I159" s="114">
        <f t="shared" si="962"/>
        <v>0</v>
      </c>
      <c r="J159" s="114">
        <f t="shared" si="962"/>
        <v>0</v>
      </c>
      <c r="K159" s="114">
        <f t="shared" si="962"/>
        <v>0</v>
      </c>
      <c r="L159" s="114">
        <f>L160</f>
        <v>0</v>
      </c>
      <c r="M159" s="145"/>
      <c r="N159" s="114">
        <f t="shared" ref="N159:V159" si="963">N160</f>
        <v>0</v>
      </c>
      <c r="O159" s="114">
        <f t="shared" si="963"/>
        <v>0</v>
      </c>
      <c r="P159" s="114">
        <f t="shared" si="963"/>
        <v>0</v>
      </c>
      <c r="Q159" s="114">
        <f t="shared" si="963"/>
        <v>0</v>
      </c>
      <c r="R159" s="114">
        <f t="shared" si="963"/>
        <v>0</v>
      </c>
      <c r="S159" s="114">
        <f t="shared" si="963"/>
        <v>0</v>
      </c>
      <c r="T159" s="114">
        <f t="shared" si="963"/>
        <v>0</v>
      </c>
      <c r="U159" s="114">
        <f t="shared" si="963"/>
        <v>0</v>
      </c>
      <c r="V159" s="114">
        <f t="shared" si="963"/>
        <v>0</v>
      </c>
      <c r="W159" s="114">
        <f>W160</f>
        <v>0</v>
      </c>
      <c r="X159" s="145"/>
      <c r="Y159" s="114">
        <f t="shared" ref="Y159:AG159" si="964">Y160</f>
        <v>0</v>
      </c>
      <c r="Z159" s="114">
        <f t="shared" si="964"/>
        <v>0</v>
      </c>
      <c r="AA159" s="114">
        <f t="shared" si="964"/>
        <v>0</v>
      </c>
      <c r="AB159" s="114">
        <f t="shared" si="964"/>
        <v>0</v>
      </c>
      <c r="AC159" s="114">
        <f t="shared" si="964"/>
        <v>0</v>
      </c>
      <c r="AD159" s="114">
        <f t="shared" si="964"/>
        <v>0</v>
      </c>
      <c r="AE159" s="114">
        <f t="shared" si="964"/>
        <v>0</v>
      </c>
      <c r="AF159" s="114">
        <f t="shared" si="964"/>
        <v>0</v>
      </c>
      <c r="AG159" s="114">
        <f t="shared" si="964"/>
        <v>0</v>
      </c>
      <c r="AH159" s="114">
        <f>AH160</f>
        <v>0</v>
      </c>
      <c r="AI159" s="145"/>
      <c r="AJ159" s="114">
        <f t="shared" ref="AJ159:AR159" si="965">AJ160</f>
        <v>0</v>
      </c>
      <c r="AK159" s="114">
        <f t="shared" si="965"/>
        <v>0</v>
      </c>
      <c r="AL159" s="114">
        <f t="shared" si="965"/>
        <v>0</v>
      </c>
      <c r="AM159" s="114">
        <f t="shared" si="965"/>
        <v>0</v>
      </c>
      <c r="AN159" s="114">
        <f t="shared" si="965"/>
        <v>0</v>
      </c>
      <c r="AO159" s="114">
        <f t="shared" si="965"/>
        <v>0</v>
      </c>
      <c r="AP159" s="114">
        <f t="shared" si="965"/>
        <v>0</v>
      </c>
      <c r="AQ159" s="114">
        <f t="shared" si="965"/>
        <v>0</v>
      </c>
      <c r="AR159" s="114">
        <f t="shared" si="965"/>
        <v>0</v>
      </c>
      <c r="AS159" s="114">
        <f>AS160</f>
        <v>0</v>
      </c>
      <c r="AT159" s="145"/>
      <c r="AU159" s="114">
        <f>AU160</f>
        <v>0</v>
      </c>
      <c r="AV159" s="114">
        <f t="shared" ref="AV159:BC159" si="966">AV160</f>
        <v>0</v>
      </c>
      <c r="AW159" s="114">
        <f t="shared" si="966"/>
        <v>0</v>
      </c>
      <c r="AX159" s="114">
        <f t="shared" si="966"/>
        <v>0</v>
      </c>
      <c r="AY159" s="114">
        <f t="shared" si="966"/>
        <v>0</v>
      </c>
      <c r="AZ159" s="114">
        <f t="shared" si="966"/>
        <v>0</v>
      </c>
      <c r="BA159" s="114">
        <f t="shared" si="966"/>
        <v>0</v>
      </c>
      <c r="BB159" s="114">
        <f t="shared" si="966"/>
        <v>0</v>
      </c>
      <c r="BC159" s="114">
        <f t="shared" si="966"/>
        <v>0</v>
      </c>
      <c r="BD159" s="114">
        <f>BD160</f>
        <v>0</v>
      </c>
      <c r="BE159" s="145"/>
      <c r="BF159" s="114">
        <f t="shared" ref="BF159:BN159" si="967">BF160</f>
        <v>0</v>
      </c>
      <c r="BG159" s="114">
        <f t="shared" si="967"/>
        <v>0</v>
      </c>
      <c r="BH159" s="114">
        <f t="shared" si="967"/>
        <v>0</v>
      </c>
      <c r="BI159" s="114">
        <f t="shared" si="967"/>
        <v>0</v>
      </c>
      <c r="BJ159" s="114">
        <f t="shared" si="967"/>
        <v>0</v>
      </c>
      <c r="BK159" s="114">
        <f t="shared" si="967"/>
        <v>0</v>
      </c>
      <c r="BL159" s="114">
        <f t="shared" si="967"/>
        <v>0</v>
      </c>
      <c r="BM159" s="114">
        <f t="shared" si="967"/>
        <v>0</v>
      </c>
      <c r="BN159" s="114">
        <f t="shared" si="967"/>
        <v>0</v>
      </c>
      <c r="BO159" s="114">
        <f>BO160</f>
        <v>0</v>
      </c>
      <c r="BP159" s="145"/>
      <c r="BQ159" s="114">
        <f t="shared" ref="BQ159:BY159" si="968">BQ160</f>
        <v>0</v>
      </c>
      <c r="BR159" s="114">
        <f t="shared" si="968"/>
        <v>0</v>
      </c>
      <c r="BS159" s="114">
        <f t="shared" si="968"/>
        <v>0</v>
      </c>
      <c r="BT159" s="114">
        <f t="shared" si="968"/>
        <v>0</v>
      </c>
      <c r="BU159" s="114">
        <f t="shared" si="968"/>
        <v>0</v>
      </c>
      <c r="BV159" s="114">
        <f t="shared" si="968"/>
        <v>0</v>
      </c>
      <c r="BW159" s="114">
        <f t="shared" si="968"/>
        <v>0</v>
      </c>
      <c r="BX159" s="114">
        <f t="shared" si="968"/>
        <v>0</v>
      </c>
      <c r="BY159" s="114">
        <f t="shared" si="968"/>
        <v>0</v>
      </c>
      <c r="BZ159" s="114">
        <f>BZ160</f>
        <v>0</v>
      </c>
      <c r="CA159" s="145"/>
      <c r="CB159" s="114">
        <f t="shared" ref="CB159:CJ159" si="969">CB160</f>
        <v>0</v>
      </c>
      <c r="CC159" s="114">
        <f t="shared" si="969"/>
        <v>0</v>
      </c>
      <c r="CD159" s="114">
        <f t="shared" si="969"/>
        <v>0</v>
      </c>
      <c r="CE159" s="114">
        <f t="shared" si="969"/>
        <v>0</v>
      </c>
      <c r="CF159" s="114">
        <f t="shared" si="969"/>
        <v>0</v>
      </c>
      <c r="CG159" s="114">
        <f t="shared" si="969"/>
        <v>0</v>
      </c>
      <c r="CH159" s="114">
        <f t="shared" si="969"/>
        <v>0</v>
      </c>
      <c r="CI159" s="114">
        <f t="shared" si="969"/>
        <v>0</v>
      </c>
      <c r="CJ159" s="114">
        <f t="shared" si="969"/>
        <v>0</v>
      </c>
      <c r="CK159" s="114">
        <f>CK160</f>
        <v>0</v>
      </c>
      <c r="CL159" s="145"/>
      <c r="CM159" s="114">
        <f>CM160</f>
        <v>0</v>
      </c>
      <c r="CN159" s="114">
        <f t="shared" ref="CN159:CU159" si="970">CN160</f>
        <v>0</v>
      </c>
      <c r="CO159" s="114">
        <f t="shared" si="970"/>
        <v>0</v>
      </c>
      <c r="CP159" s="114">
        <f t="shared" si="970"/>
        <v>0</v>
      </c>
      <c r="CQ159" s="114">
        <f t="shared" si="970"/>
        <v>0</v>
      </c>
      <c r="CR159" s="114">
        <f t="shared" si="970"/>
        <v>0</v>
      </c>
      <c r="CS159" s="114">
        <f t="shared" si="970"/>
        <v>0</v>
      </c>
      <c r="CT159" s="114">
        <f t="shared" si="970"/>
        <v>0</v>
      </c>
      <c r="CU159" s="114">
        <f t="shared" si="970"/>
        <v>0</v>
      </c>
      <c r="CV159" s="114">
        <f>CV160</f>
        <v>0</v>
      </c>
      <c r="CW159" s="145"/>
      <c r="CX159" s="114">
        <f t="shared" ref="CX159:DF159" si="971">CX160</f>
        <v>0</v>
      </c>
      <c r="CY159" s="114">
        <f t="shared" si="971"/>
        <v>0</v>
      </c>
      <c r="CZ159" s="114">
        <f t="shared" si="971"/>
        <v>0</v>
      </c>
      <c r="DA159" s="114">
        <f t="shared" si="971"/>
        <v>0</v>
      </c>
      <c r="DB159" s="114">
        <f t="shared" si="971"/>
        <v>0</v>
      </c>
      <c r="DC159" s="114">
        <f t="shared" si="971"/>
        <v>0</v>
      </c>
      <c r="DD159" s="114">
        <f t="shared" si="971"/>
        <v>0</v>
      </c>
      <c r="DE159" s="114">
        <f t="shared" si="971"/>
        <v>0</v>
      </c>
      <c r="DF159" s="114">
        <f t="shared" si="971"/>
        <v>0</v>
      </c>
      <c r="DG159" s="114">
        <f>DG160</f>
        <v>0</v>
      </c>
      <c r="DH159" s="145"/>
      <c r="DI159" s="114">
        <f t="shared" ref="DI159:DQ159" si="972">DI160</f>
        <v>0</v>
      </c>
      <c r="DJ159" s="114">
        <f t="shared" si="972"/>
        <v>0</v>
      </c>
      <c r="DK159" s="114">
        <f t="shared" si="972"/>
        <v>0</v>
      </c>
      <c r="DL159" s="114">
        <f t="shared" si="972"/>
        <v>0</v>
      </c>
      <c r="DM159" s="114">
        <f t="shared" si="972"/>
        <v>0</v>
      </c>
      <c r="DN159" s="114">
        <f t="shared" si="972"/>
        <v>0</v>
      </c>
      <c r="DO159" s="114">
        <f t="shared" si="972"/>
        <v>0</v>
      </c>
      <c r="DP159" s="114">
        <f t="shared" si="972"/>
        <v>0</v>
      </c>
      <c r="DQ159" s="114">
        <f t="shared" si="972"/>
        <v>0</v>
      </c>
      <c r="DR159" s="114">
        <f>DR160</f>
        <v>0</v>
      </c>
      <c r="DS159" s="145"/>
      <c r="DT159" s="114">
        <f t="shared" ref="DT159:EB159" si="973">DT160</f>
        <v>0</v>
      </c>
      <c r="DU159" s="114">
        <f t="shared" si="973"/>
        <v>0</v>
      </c>
      <c r="DV159" s="114">
        <f t="shared" si="973"/>
        <v>0</v>
      </c>
      <c r="DW159" s="114">
        <f t="shared" si="973"/>
        <v>0</v>
      </c>
      <c r="DX159" s="114">
        <f t="shared" si="973"/>
        <v>0</v>
      </c>
      <c r="DY159" s="114">
        <f t="shared" si="973"/>
        <v>0</v>
      </c>
      <c r="DZ159" s="114">
        <f t="shared" si="973"/>
        <v>0</v>
      </c>
      <c r="EA159" s="114">
        <f t="shared" si="973"/>
        <v>0</v>
      </c>
      <c r="EB159" s="114">
        <f t="shared" si="973"/>
        <v>0</v>
      </c>
      <c r="EC159" s="114">
        <f>EC160</f>
        <v>0</v>
      </c>
      <c r="ED159" s="145"/>
      <c r="EE159" s="114">
        <f>EE160</f>
        <v>0</v>
      </c>
      <c r="EF159" s="114">
        <f t="shared" ref="EF159:EM159" si="974">EF160</f>
        <v>0</v>
      </c>
      <c r="EG159" s="114">
        <f t="shared" si="974"/>
        <v>0</v>
      </c>
      <c r="EH159" s="114">
        <f t="shared" si="974"/>
        <v>0</v>
      </c>
      <c r="EI159" s="114">
        <f t="shared" si="974"/>
        <v>0</v>
      </c>
      <c r="EJ159" s="114">
        <f t="shared" si="974"/>
        <v>0</v>
      </c>
      <c r="EK159" s="114">
        <f t="shared" si="974"/>
        <v>0</v>
      </c>
      <c r="EL159" s="114">
        <f t="shared" si="974"/>
        <v>0</v>
      </c>
      <c r="EM159" s="114">
        <f t="shared" si="974"/>
        <v>0</v>
      </c>
      <c r="EN159" s="114">
        <f>EN160</f>
        <v>0</v>
      </c>
      <c r="EO159" s="145"/>
      <c r="EP159" s="114">
        <f t="shared" ref="EP159:EX159" si="975">EP160</f>
        <v>0</v>
      </c>
      <c r="EQ159" s="114">
        <f t="shared" si="975"/>
        <v>0</v>
      </c>
      <c r="ER159" s="114">
        <f t="shared" si="975"/>
        <v>0</v>
      </c>
      <c r="ES159" s="114">
        <f t="shared" si="975"/>
        <v>0</v>
      </c>
      <c r="ET159" s="114">
        <f t="shared" si="975"/>
        <v>0</v>
      </c>
      <c r="EU159" s="114">
        <f t="shared" si="975"/>
        <v>0</v>
      </c>
      <c r="EV159" s="114">
        <f t="shared" si="975"/>
        <v>0</v>
      </c>
      <c r="EW159" s="114">
        <f t="shared" si="975"/>
        <v>0</v>
      </c>
      <c r="EX159" s="114">
        <f t="shared" si="975"/>
        <v>0</v>
      </c>
      <c r="EY159" s="114">
        <f>EY160</f>
        <v>0</v>
      </c>
      <c r="EZ159" s="145"/>
      <c r="FA159" s="114">
        <f t="shared" ref="FA159:FI159" si="976">FA160</f>
        <v>0</v>
      </c>
      <c r="FB159" s="114">
        <f t="shared" si="976"/>
        <v>0</v>
      </c>
      <c r="FC159" s="114">
        <f t="shared" si="976"/>
        <v>0</v>
      </c>
      <c r="FD159" s="114">
        <f t="shared" si="976"/>
        <v>0</v>
      </c>
      <c r="FE159" s="114">
        <f t="shared" si="976"/>
        <v>0</v>
      </c>
      <c r="FF159" s="114">
        <f t="shared" si="976"/>
        <v>0</v>
      </c>
      <c r="FG159" s="114">
        <f t="shared" si="976"/>
        <v>0</v>
      </c>
      <c r="FH159" s="114">
        <f t="shared" si="976"/>
        <v>0</v>
      </c>
      <c r="FI159" s="114">
        <f t="shared" si="976"/>
        <v>0</v>
      </c>
      <c r="FJ159" s="114">
        <f>FJ160</f>
        <v>0</v>
      </c>
      <c r="FK159" s="145"/>
      <c r="FL159" s="114">
        <f t="shared" ref="FL159:FT159" si="977">FL160</f>
        <v>0</v>
      </c>
      <c r="FM159" s="114">
        <f t="shared" si="977"/>
        <v>0</v>
      </c>
      <c r="FN159" s="114">
        <f t="shared" si="977"/>
        <v>0</v>
      </c>
      <c r="FO159" s="114">
        <f t="shared" si="977"/>
        <v>0</v>
      </c>
      <c r="FP159" s="114">
        <f t="shared" si="977"/>
        <v>0</v>
      </c>
      <c r="FQ159" s="114">
        <f t="shared" si="977"/>
        <v>0</v>
      </c>
      <c r="FR159" s="114">
        <f t="shared" si="977"/>
        <v>0</v>
      </c>
      <c r="FS159" s="114">
        <f t="shared" si="977"/>
        <v>0</v>
      </c>
      <c r="FT159" s="114">
        <f t="shared" si="977"/>
        <v>0</v>
      </c>
      <c r="FU159" s="114">
        <f>FU160</f>
        <v>0</v>
      </c>
      <c r="FV159" s="145"/>
      <c r="FW159" s="114">
        <f>FW160</f>
        <v>0</v>
      </c>
      <c r="FX159" s="114">
        <f t="shared" ref="FX159:GE159" si="978">FX160</f>
        <v>0</v>
      </c>
      <c r="FY159" s="114">
        <f t="shared" si="978"/>
        <v>0</v>
      </c>
      <c r="FZ159" s="114">
        <f t="shared" si="978"/>
        <v>0</v>
      </c>
      <c r="GA159" s="114">
        <f t="shared" si="978"/>
        <v>0</v>
      </c>
      <c r="GB159" s="114">
        <f t="shared" si="978"/>
        <v>0</v>
      </c>
      <c r="GC159" s="114">
        <f t="shared" si="978"/>
        <v>0</v>
      </c>
      <c r="GD159" s="114">
        <f t="shared" si="978"/>
        <v>0</v>
      </c>
      <c r="GE159" s="114">
        <f t="shared" si="978"/>
        <v>0</v>
      </c>
      <c r="GF159" s="114">
        <f>GF160</f>
        <v>0</v>
      </c>
      <c r="GG159" s="145"/>
      <c r="GH159" s="114">
        <f t="shared" ref="GH159:GP159" si="979">GH160</f>
        <v>0</v>
      </c>
      <c r="GI159" s="114">
        <f t="shared" si="979"/>
        <v>0</v>
      </c>
      <c r="GJ159" s="114">
        <f t="shared" si="979"/>
        <v>0</v>
      </c>
      <c r="GK159" s="114">
        <f t="shared" si="979"/>
        <v>0</v>
      </c>
      <c r="GL159" s="114">
        <f t="shared" si="979"/>
        <v>0</v>
      </c>
      <c r="GM159" s="114">
        <f t="shared" si="979"/>
        <v>0</v>
      </c>
      <c r="GN159" s="114">
        <f t="shared" si="979"/>
        <v>0</v>
      </c>
      <c r="GO159" s="114">
        <f t="shared" si="979"/>
        <v>0</v>
      </c>
      <c r="GP159" s="114">
        <f t="shared" si="979"/>
        <v>0</v>
      </c>
      <c r="GQ159" s="114">
        <f t="shared" ref="GQ159:GV159" si="980">GQ160</f>
        <v>0</v>
      </c>
      <c r="GR159" s="114">
        <f t="shared" si="980"/>
        <v>0</v>
      </c>
      <c r="GS159" s="114">
        <f t="shared" si="980"/>
        <v>0</v>
      </c>
      <c r="GT159" s="114">
        <f t="shared" si="980"/>
        <v>0</v>
      </c>
      <c r="GU159" s="114">
        <f t="shared" si="980"/>
        <v>0</v>
      </c>
      <c r="GV159" s="114">
        <f t="shared" si="980"/>
        <v>0</v>
      </c>
      <c r="GW159" s="114">
        <f t="shared" ref="GW159:HJ159" si="981">GW160</f>
        <v>0</v>
      </c>
      <c r="GX159" s="114">
        <f t="shared" si="981"/>
        <v>0</v>
      </c>
      <c r="GY159" s="114">
        <f t="shared" si="981"/>
        <v>0</v>
      </c>
      <c r="GZ159" s="114">
        <f t="shared" si="981"/>
        <v>0</v>
      </c>
      <c r="HA159" s="114">
        <f>HA160</f>
        <v>0</v>
      </c>
      <c r="HB159" s="114">
        <f t="shared" si="981"/>
        <v>0</v>
      </c>
      <c r="HC159" s="114">
        <f t="shared" si="981"/>
        <v>0</v>
      </c>
      <c r="HD159" s="114">
        <f t="shared" si="981"/>
        <v>0</v>
      </c>
      <c r="HE159" s="114">
        <f t="shared" si="981"/>
        <v>0</v>
      </c>
      <c r="HF159" s="114">
        <f>HF160</f>
        <v>0</v>
      </c>
      <c r="HG159" s="114">
        <f t="shared" si="981"/>
        <v>0</v>
      </c>
      <c r="HH159" s="114">
        <f t="shared" si="981"/>
        <v>0</v>
      </c>
      <c r="HI159" s="114">
        <f t="shared" si="981"/>
        <v>0</v>
      </c>
      <c r="HJ159" s="114">
        <f t="shared" si="981"/>
        <v>0</v>
      </c>
      <c r="HK159" s="114">
        <f t="shared" ref="HK159:HP159" si="982">HK160</f>
        <v>0</v>
      </c>
      <c r="HL159" s="114">
        <f t="shared" si="982"/>
        <v>0</v>
      </c>
      <c r="HM159" s="114">
        <f t="shared" si="982"/>
        <v>0</v>
      </c>
      <c r="HN159" s="114">
        <f t="shared" si="982"/>
        <v>0</v>
      </c>
      <c r="HO159" s="114">
        <f t="shared" si="982"/>
        <v>0</v>
      </c>
      <c r="HP159" s="114">
        <f t="shared" si="982"/>
        <v>0</v>
      </c>
      <c r="HQ159" s="114">
        <f t="shared" ref="HQ159:ID159" si="983">HQ160</f>
        <v>0</v>
      </c>
      <c r="HR159" s="114">
        <f t="shared" si="983"/>
        <v>0</v>
      </c>
      <c r="HS159" s="114">
        <f t="shared" si="983"/>
        <v>0</v>
      </c>
      <c r="HT159" s="114">
        <f t="shared" si="983"/>
        <v>0</v>
      </c>
      <c r="HU159" s="114">
        <f>HU160</f>
        <v>0</v>
      </c>
      <c r="HV159" s="114">
        <f t="shared" si="983"/>
        <v>0</v>
      </c>
      <c r="HW159" s="114">
        <f t="shared" si="983"/>
        <v>0</v>
      </c>
      <c r="HX159" s="114">
        <f t="shared" si="983"/>
        <v>0</v>
      </c>
      <c r="HY159" s="114">
        <f t="shared" si="983"/>
        <v>0</v>
      </c>
      <c r="HZ159" s="114">
        <f>HZ160</f>
        <v>0</v>
      </c>
      <c r="IA159" s="114">
        <f t="shared" si="983"/>
        <v>0</v>
      </c>
      <c r="IB159" s="114">
        <f t="shared" si="983"/>
        <v>0</v>
      </c>
      <c r="IC159" s="114">
        <f t="shared" si="983"/>
        <v>0</v>
      </c>
      <c r="ID159" s="114">
        <f t="shared" si="983"/>
        <v>0</v>
      </c>
      <c r="IE159" s="114">
        <f t="shared" ref="IE159:IJ159" si="984">IE160</f>
        <v>0</v>
      </c>
      <c r="IF159" s="114">
        <f t="shared" si="984"/>
        <v>0</v>
      </c>
      <c r="IG159" s="114">
        <f t="shared" si="984"/>
        <v>0</v>
      </c>
      <c r="IH159" s="114">
        <f t="shared" si="984"/>
        <v>0</v>
      </c>
      <c r="II159" s="114">
        <f t="shared" si="984"/>
        <v>0</v>
      </c>
      <c r="IJ159" s="114">
        <f t="shared" si="984"/>
        <v>0</v>
      </c>
      <c r="IK159" s="114">
        <f t="shared" ref="IK159:IV159" si="985">IK160</f>
        <v>0</v>
      </c>
      <c r="IL159" s="114">
        <f t="shared" si="985"/>
        <v>0</v>
      </c>
      <c r="IM159" s="114">
        <f t="shared" si="985"/>
        <v>0</v>
      </c>
      <c r="IN159" s="114">
        <f t="shared" si="985"/>
        <v>0</v>
      </c>
      <c r="IO159" s="114">
        <f>IO160</f>
        <v>0</v>
      </c>
      <c r="IP159" s="114">
        <f t="shared" si="985"/>
        <v>0</v>
      </c>
      <c r="IQ159" s="114">
        <f t="shared" si="985"/>
        <v>0</v>
      </c>
      <c r="IR159" s="114">
        <f t="shared" si="985"/>
        <v>0</v>
      </c>
      <c r="IS159" s="114">
        <f t="shared" si="985"/>
        <v>0</v>
      </c>
      <c r="IT159" s="114">
        <f>IT160</f>
        <v>0</v>
      </c>
      <c r="IU159" s="114">
        <f t="shared" si="985"/>
        <v>0</v>
      </c>
      <c r="IV159" s="114">
        <f t="shared" si="985"/>
        <v>0</v>
      </c>
    </row>
    <row r="160" spans="1:256" s="57" customFormat="1" ht="12.75" customHeight="1" x14ac:dyDescent="0.25">
      <c r="A160" s="146" t="s">
        <v>150</v>
      </c>
      <c r="B160" s="60"/>
      <c r="C160" s="73">
        <f t="shared" ref="C160:K160" si="986">SUM(C162,C166,C161)</f>
        <v>0</v>
      </c>
      <c r="D160" s="73">
        <f t="shared" si="986"/>
        <v>0</v>
      </c>
      <c r="E160" s="73">
        <f t="shared" si="986"/>
        <v>0</v>
      </c>
      <c r="F160" s="73">
        <f t="shared" si="986"/>
        <v>0</v>
      </c>
      <c r="G160" s="73">
        <f t="shared" si="986"/>
        <v>0</v>
      </c>
      <c r="H160" s="73">
        <f t="shared" si="986"/>
        <v>0</v>
      </c>
      <c r="I160" s="73">
        <f t="shared" si="986"/>
        <v>0</v>
      </c>
      <c r="J160" s="73">
        <f t="shared" si="986"/>
        <v>0</v>
      </c>
      <c r="K160" s="73">
        <f t="shared" si="986"/>
        <v>0</v>
      </c>
      <c r="L160" s="73">
        <f>SUM(L162,L166)</f>
        <v>0</v>
      </c>
      <c r="M160" s="60"/>
      <c r="N160" s="73">
        <f t="shared" ref="N160:V160" si="987">SUM(N162,N166,N161)</f>
        <v>0</v>
      </c>
      <c r="O160" s="73">
        <f t="shared" si="987"/>
        <v>0</v>
      </c>
      <c r="P160" s="73">
        <f t="shared" si="987"/>
        <v>0</v>
      </c>
      <c r="Q160" s="73">
        <f t="shared" si="987"/>
        <v>0</v>
      </c>
      <c r="R160" s="73">
        <f t="shared" si="987"/>
        <v>0</v>
      </c>
      <c r="S160" s="73">
        <f t="shared" si="987"/>
        <v>0</v>
      </c>
      <c r="T160" s="73">
        <f t="shared" si="987"/>
        <v>0</v>
      </c>
      <c r="U160" s="73">
        <f t="shared" si="987"/>
        <v>0</v>
      </c>
      <c r="V160" s="73">
        <f t="shared" si="987"/>
        <v>0</v>
      </c>
      <c r="W160" s="73">
        <f>SUM(W162,W166)</f>
        <v>0</v>
      </c>
      <c r="X160" s="60"/>
      <c r="Y160" s="73">
        <f t="shared" ref="Y160:AG160" si="988">SUM(Y162,Y166,Y161)</f>
        <v>0</v>
      </c>
      <c r="Z160" s="73">
        <f t="shared" si="988"/>
        <v>0</v>
      </c>
      <c r="AA160" s="73">
        <f t="shared" si="988"/>
        <v>0</v>
      </c>
      <c r="AB160" s="73">
        <f t="shared" si="988"/>
        <v>0</v>
      </c>
      <c r="AC160" s="73">
        <f t="shared" si="988"/>
        <v>0</v>
      </c>
      <c r="AD160" s="73">
        <f t="shared" si="988"/>
        <v>0</v>
      </c>
      <c r="AE160" s="73">
        <f t="shared" si="988"/>
        <v>0</v>
      </c>
      <c r="AF160" s="73">
        <f t="shared" si="988"/>
        <v>0</v>
      </c>
      <c r="AG160" s="73">
        <f t="shared" si="988"/>
        <v>0</v>
      </c>
      <c r="AH160" s="73">
        <f>SUM(AH162,AH166)</f>
        <v>0</v>
      </c>
      <c r="AI160" s="60"/>
      <c r="AJ160" s="73">
        <f t="shared" ref="AJ160:AR160" si="989">SUM(AJ162,AJ166,AJ161)</f>
        <v>0</v>
      </c>
      <c r="AK160" s="73">
        <f t="shared" si="989"/>
        <v>0</v>
      </c>
      <c r="AL160" s="73">
        <f t="shared" si="989"/>
        <v>0</v>
      </c>
      <c r="AM160" s="73">
        <f t="shared" si="989"/>
        <v>0</v>
      </c>
      <c r="AN160" s="73">
        <f t="shared" si="989"/>
        <v>0</v>
      </c>
      <c r="AO160" s="73">
        <f t="shared" si="989"/>
        <v>0</v>
      </c>
      <c r="AP160" s="73">
        <f t="shared" si="989"/>
        <v>0</v>
      </c>
      <c r="AQ160" s="73">
        <f t="shared" si="989"/>
        <v>0</v>
      </c>
      <c r="AR160" s="73">
        <f t="shared" si="989"/>
        <v>0</v>
      </c>
      <c r="AS160" s="73">
        <f>SUM(AS162,AS166)</f>
        <v>0</v>
      </c>
      <c r="AT160" s="60"/>
      <c r="AU160" s="73">
        <f t="shared" ref="AU160:BD160" si="990">SUM(AU162,AU166)</f>
        <v>0</v>
      </c>
      <c r="AV160" s="73">
        <f t="shared" si="990"/>
        <v>0</v>
      </c>
      <c r="AW160" s="73">
        <f t="shared" si="990"/>
        <v>0</v>
      </c>
      <c r="AX160" s="73">
        <f t="shared" si="990"/>
        <v>0</v>
      </c>
      <c r="AY160" s="73">
        <f t="shared" si="990"/>
        <v>0</v>
      </c>
      <c r="AZ160" s="73">
        <f t="shared" si="990"/>
        <v>0</v>
      </c>
      <c r="BA160" s="73">
        <f t="shared" si="990"/>
        <v>0</v>
      </c>
      <c r="BB160" s="73">
        <f t="shared" si="990"/>
        <v>0</v>
      </c>
      <c r="BC160" s="73">
        <f t="shared" si="990"/>
        <v>0</v>
      </c>
      <c r="BD160" s="73">
        <f t="shared" si="990"/>
        <v>0</v>
      </c>
      <c r="BE160" s="60"/>
      <c r="BF160" s="73">
        <f t="shared" ref="BF160:BN160" si="991">SUM(BF162,BF166,BF161)</f>
        <v>0</v>
      </c>
      <c r="BG160" s="73">
        <f t="shared" si="991"/>
        <v>0</v>
      </c>
      <c r="BH160" s="73">
        <f t="shared" si="991"/>
        <v>0</v>
      </c>
      <c r="BI160" s="73">
        <f t="shared" si="991"/>
        <v>0</v>
      </c>
      <c r="BJ160" s="73">
        <f t="shared" si="991"/>
        <v>0</v>
      </c>
      <c r="BK160" s="73">
        <f t="shared" si="991"/>
        <v>0</v>
      </c>
      <c r="BL160" s="73">
        <f t="shared" si="991"/>
        <v>0</v>
      </c>
      <c r="BM160" s="73">
        <f t="shared" si="991"/>
        <v>0</v>
      </c>
      <c r="BN160" s="73">
        <f t="shared" si="991"/>
        <v>0</v>
      </c>
      <c r="BO160" s="73">
        <f>SUM(BO162,BO166)</f>
        <v>0</v>
      </c>
      <c r="BP160" s="60"/>
      <c r="BQ160" s="73">
        <f t="shared" ref="BQ160:BY160" si="992">SUM(BQ162,BQ166,BQ161)</f>
        <v>0</v>
      </c>
      <c r="BR160" s="73">
        <f t="shared" si="992"/>
        <v>0</v>
      </c>
      <c r="BS160" s="73">
        <f t="shared" si="992"/>
        <v>0</v>
      </c>
      <c r="BT160" s="73">
        <f t="shared" si="992"/>
        <v>0</v>
      </c>
      <c r="BU160" s="73">
        <f t="shared" si="992"/>
        <v>0</v>
      </c>
      <c r="BV160" s="73">
        <f t="shared" si="992"/>
        <v>0</v>
      </c>
      <c r="BW160" s="73">
        <f t="shared" si="992"/>
        <v>0</v>
      </c>
      <c r="BX160" s="73">
        <f t="shared" si="992"/>
        <v>0</v>
      </c>
      <c r="BY160" s="73">
        <f t="shared" si="992"/>
        <v>0</v>
      </c>
      <c r="BZ160" s="73">
        <f>SUM(BZ162,BZ166)</f>
        <v>0</v>
      </c>
      <c r="CA160" s="60"/>
      <c r="CB160" s="73">
        <f t="shared" ref="CB160:CJ160" si="993">SUM(CB162,CB166,CB161)</f>
        <v>0</v>
      </c>
      <c r="CC160" s="73">
        <f t="shared" si="993"/>
        <v>0</v>
      </c>
      <c r="CD160" s="73">
        <f t="shared" si="993"/>
        <v>0</v>
      </c>
      <c r="CE160" s="73">
        <f t="shared" si="993"/>
        <v>0</v>
      </c>
      <c r="CF160" s="73">
        <f t="shared" si="993"/>
        <v>0</v>
      </c>
      <c r="CG160" s="73">
        <f t="shared" si="993"/>
        <v>0</v>
      </c>
      <c r="CH160" s="73">
        <f t="shared" si="993"/>
        <v>0</v>
      </c>
      <c r="CI160" s="73">
        <f t="shared" si="993"/>
        <v>0</v>
      </c>
      <c r="CJ160" s="73">
        <f t="shared" si="993"/>
        <v>0</v>
      </c>
      <c r="CK160" s="73">
        <f>SUM(CK162,CK166)</f>
        <v>0</v>
      </c>
      <c r="CL160" s="60"/>
      <c r="CM160" s="73">
        <f t="shared" ref="CM160:CV160" si="994">SUM(CM162,CM166)</f>
        <v>0</v>
      </c>
      <c r="CN160" s="73">
        <f t="shared" si="994"/>
        <v>0</v>
      </c>
      <c r="CO160" s="73">
        <f t="shared" si="994"/>
        <v>0</v>
      </c>
      <c r="CP160" s="73">
        <f t="shared" si="994"/>
        <v>0</v>
      </c>
      <c r="CQ160" s="73">
        <f t="shared" si="994"/>
        <v>0</v>
      </c>
      <c r="CR160" s="73">
        <f t="shared" si="994"/>
        <v>0</v>
      </c>
      <c r="CS160" s="73">
        <f t="shared" si="994"/>
        <v>0</v>
      </c>
      <c r="CT160" s="73">
        <f t="shared" si="994"/>
        <v>0</v>
      </c>
      <c r="CU160" s="73">
        <f t="shared" si="994"/>
        <v>0</v>
      </c>
      <c r="CV160" s="73">
        <f t="shared" si="994"/>
        <v>0</v>
      </c>
      <c r="CW160" s="60"/>
      <c r="CX160" s="73">
        <f t="shared" ref="CX160:DF160" si="995">SUM(CX162,CX166,CX161)</f>
        <v>0</v>
      </c>
      <c r="CY160" s="73">
        <f t="shared" si="995"/>
        <v>0</v>
      </c>
      <c r="CZ160" s="73">
        <f t="shared" si="995"/>
        <v>0</v>
      </c>
      <c r="DA160" s="73">
        <f t="shared" si="995"/>
        <v>0</v>
      </c>
      <c r="DB160" s="73">
        <f t="shared" si="995"/>
        <v>0</v>
      </c>
      <c r="DC160" s="73">
        <f t="shared" si="995"/>
        <v>0</v>
      </c>
      <c r="DD160" s="73">
        <f t="shared" si="995"/>
        <v>0</v>
      </c>
      <c r="DE160" s="73">
        <f t="shared" si="995"/>
        <v>0</v>
      </c>
      <c r="DF160" s="73">
        <f t="shared" si="995"/>
        <v>0</v>
      </c>
      <c r="DG160" s="73">
        <f>SUM(DG162,DG166)</f>
        <v>0</v>
      </c>
      <c r="DH160" s="60"/>
      <c r="DI160" s="73">
        <f t="shared" ref="DI160:DQ160" si="996">SUM(DI162,DI166,DI161)</f>
        <v>0</v>
      </c>
      <c r="DJ160" s="73">
        <f t="shared" si="996"/>
        <v>0</v>
      </c>
      <c r="DK160" s="73">
        <f t="shared" si="996"/>
        <v>0</v>
      </c>
      <c r="DL160" s="73">
        <f t="shared" si="996"/>
        <v>0</v>
      </c>
      <c r="DM160" s="73">
        <f t="shared" si="996"/>
        <v>0</v>
      </c>
      <c r="DN160" s="73">
        <f t="shared" si="996"/>
        <v>0</v>
      </c>
      <c r="DO160" s="73">
        <f t="shared" si="996"/>
        <v>0</v>
      </c>
      <c r="DP160" s="73">
        <f t="shared" si="996"/>
        <v>0</v>
      </c>
      <c r="DQ160" s="73">
        <f t="shared" si="996"/>
        <v>0</v>
      </c>
      <c r="DR160" s="73">
        <f>SUM(DR162,DR166)</f>
        <v>0</v>
      </c>
      <c r="DS160" s="60"/>
      <c r="DT160" s="73">
        <f t="shared" ref="DT160:EB160" si="997">SUM(DT162,DT166,DT161)</f>
        <v>0</v>
      </c>
      <c r="DU160" s="73">
        <f t="shared" si="997"/>
        <v>0</v>
      </c>
      <c r="DV160" s="73">
        <f t="shared" si="997"/>
        <v>0</v>
      </c>
      <c r="DW160" s="73">
        <f t="shared" si="997"/>
        <v>0</v>
      </c>
      <c r="DX160" s="73">
        <f t="shared" si="997"/>
        <v>0</v>
      </c>
      <c r="DY160" s="73">
        <f t="shared" si="997"/>
        <v>0</v>
      </c>
      <c r="DZ160" s="73">
        <f t="shared" si="997"/>
        <v>0</v>
      </c>
      <c r="EA160" s="73">
        <f t="shared" si="997"/>
        <v>0</v>
      </c>
      <c r="EB160" s="73">
        <f t="shared" si="997"/>
        <v>0</v>
      </c>
      <c r="EC160" s="73">
        <f>SUM(EC162,EC166,EC161)</f>
        <v>0</v>
      </c>
      <c r="ED160" s="60"/>
      <c r="EE160" s="73">
        <f t="shared" ref="EE160:EN160" si="998">SUM(EE162,EE166)</f>
        <v>0</v>
      </c>
      <c r="EF160" s="73">
        <f t="shared" si="998"/>
        <v>0</v>
      </c>
      <c r="EG160" s="73">
        <f t="shared" si="998"/>
        <v>0</v>
      </c>
      <c r="EH160" s="73">
        <f t="shared" si="998"/>
        <v>0</v>
      </c>
      <c r="EI160" s="73">
        <f t="shared" si="998"/>
        <v>0</v>
      </c>
      <c r="EJ160" s="73">
        <f t="shared" si="998"/>
        <v>0</v>
      </c>
      <c r="EK160" s="73">
        <f t="shared" si="998"/>
        <v>0</v>
      </c>
      <c r="EL160" s="73">
        <f t="shared" si="998"/>
        <v>0</v>
      </c>
      <c r="EM160" s="73">
        <f t="shared" si="998"/>
        <v>0</v>
      </c>
      <c r="EN160" s="73">
        <f t="shared" si="998"/>
        <v>0</v>
      </c>
      <c r="EO160" s="60"/>
      <c r="EP160" s="73">
        <f t="shared" ref="EP160:EX160" si="999">SUM(EP162,EP166,EP161)</f>
        <v>0</v>
      </c>
      <c r="EQ160" s="73">
        <f t="shared" si="999"/>
        <v>0</v>
      </c>
      <c r="ER160" s="73">
        <f t="shared" si="999"/>
        <v>0</v>
      </c>
      <c r="ES160" s="73">
        <f t="shared" si="999"/>
        <v>0</v>
      </c>
      <c r="ET160" s="73">
        <f t="shared" si="999"/>
        <v>0</v>
      </c>
      <c r="EU160" s="73">
        <f t="shared" si="999"/>
        <v>0</v>
      </c>
      <c r="EV160" s="73">
        <f t="shared" si="999"/>
        <v>0</v>
      </c>
      <c r="EW160" s="73">
        <f t="shared" si="999"/>
        <v>0</v>
      </c>
      <c r="EX160" s="73">
        <f t="shared" si="999"/>
        <v>0</v>
      </c>
      <c r="EY160" s="73">
        <f>SUM(EY162,EY166)</f>
        <v>0</v>
      </c>
      <c r="EZ160" s="60"/>
      <c r="FA160" s="73">
        <f t="shared" ref="FA160:FI160" si="1000">SUM(FA162,FA166,FA161)</f>
        <v>0</v>
      </c>
      <c r="FB160" s="73">
        <f t="shared" si="1000"/>
        <v>0</v>
      </c>
      <c r="FC160" s="73">
        <f t="shared" si="1000"/>
        <v>0</v>
      </c>
      <c r="FD160" s="73">
        <f t="shared" si="1000"/>
        <v>0</v>
      </c>
      <c r="FE160" s="73">
        <f t="shared" si="1000"/>
        <v>0</v>
      </c>
      <c r="FF160" s="73">
        <f t="shared" si="1000"/>
        <v>0</v>
      </c>
      <c r="FG160" s="73">
        <f t="shared" si="1000"/>
        <v>0</v>
      </c>
      <c r="FH160" s="73">
        <f t="shared" si="1000"/>
        <v>0</v>
      </c>
      <c r="FI160" s="73">
        <f t="shared" si="1000"/>
        <v>0</v>
      </c>
      <c r="FJ160" s="73">
        <f>SUM(FJ162,FJ166)</f>
        <v>0</v>
      </c>
      <c r="FK160" s="60"/>
      <c r="FL160" s="73">
        <f t="shared" ref="FL160:FT160" si="1001">SUM(FL162,FL166,FL161)</f>
        <v>0</v>
      </c>
      <c r="FM160" s="73">
        <f t="shared" si="1001"/>
        <v>0</v>
      </c>
      <c r="FN160" s="73">
        <f t="shared" si="1001"/>
        <v>0</v>
      </c>
      <c r="FO160" s="73">
        <f t="shared" si="1001"/>
        <v>0</v>
      </c>
      <c r="FP160" s="73">
        <f t="shared" si="1001"/>
        <v>0</v>
      </c>
      <c r="FQ160" s="73">
        <f t="shared" si="1001"/>
        <v>0</v>
      </c>
      <c r="FR160" s="73">
        <f t="shared" si="1001"/>
        <v>0</v>
      </c>
      <c r="FS160" s="73">
        <f t="shared" si="1001"/>
        <v>0</v>
      </c>
      <c r="FT160" s="73">
        <f t="shared" si="1001"/>
        <v>0</v>
      </c>
      <c r="FU160" s="73">
        <f>SUM(FU162,FU166)</f>
        <v>0</v>
      </c>
      <c r="FV160" s="60"/>
      <c r="FW160" s="73">
        <f t="shared" ref="FW160:GF160" si="1002">SUM(FW162,FW166)</f>
        <v>0</v>
      </c>
      <c r="FX160" s="73">
        <f t="shared" si="1002"/>
        <v>0</v>
      </c>
      <c r="FY160" s="73">
        <f t="shared" si="1002"/>
        <v>0</v>
      </c>
      <c r="FZ160" s="73">
        <f t="shared" si="1002"/>
        <v>0</v>
      </c>
      <c r="GA160" s="73">
        <f t="shared" si="1002"/>
        <v>0</v>
      </c>
      <c r="GB160" s="73">
        <f t="shared" si="1002"/>
        <v>0</v>
      </c>
      <c r="GC160" s="73">
        <f t="shared" si="1002"/>
        <v>0</v>
      </c>
      <c r="GD160" s="73">
        <f t="shared" si="1002"/>
        <v>0</v>
      </c>
      <c r="GE160" s="73">
        <f t="shared" si="1002"/>
        <v>0</v>
      </c>
      <c r="GF160" s="73">
        <f t="shared" si="1002"/>
        <v>0</v>
      </c>
      <c r="GG160" s="60"/>
      <c r="GH160" s="73">
        <f t="shared" ref="GH160:GP160" si="1003">SUM(GH162,GH166,GH161)</f>
        <v>0</v>
      </c>
      <c r="GI160" s="73">
        <f t="shared" si="1003"/>
        <v>0</v>
      </c>
      <c r="GJ160" s="73">
        <f t="shared" si="1003"/>
        <v>0</v>
      </c>
      <c r="GK160" s="73">
        <f t="shared" si="1003"/>
        <v>0</v>
      </c>
      <c r="GL160" s="73">
        <f t="shared" si="1003"/>
        <v>0</v>
      </c>
      <c r="GM160" s="73">
        <f t="shared" si="1003"/>
        <v>0</v>
      </c>
      <c r="GN160" s="73">
        <f t="shared" si="1003"/>
        <v>0</v>
      </c>
      <c r="GO160" s="73">
        <f t="shared" si="1003"/>
        <v>0</v>
      </c>
      <c r="GP160" s="73">
        <f t="shared" si="1003"/>
        <v>0</v>
      </c>
      <c r="GQ160" s="73">
        <f>SUM(GQ162,GQ166)</f>
        <v>0</v>
      </c>
      <c r="GR160" s="73">
        <f t="shared" ref="GR160:IV160" si="1004">SUM(GR162,GR166,GR161)</f>
        <v>0</v>
      </c>
      <c r="GS160" s="73">
        <f t="shared" si="1004"/>
        <v>0</v>
      </c>
      <c r="GT160" s="73">
        <f t="shared" si="1004"/>
        <v>0</v>
      </c>
      <c r="GU160" s="73">
        <f t="shared" si="1004"/>
        <v>0</v>
      </c>
      <c r="GV160" s="73">
        <f t="shared" si="1004"/>
        <v>0</v>
      </c>
      <c r="GW160" s="73">
        <f t="shared" si="1004"/>
        <v>0</v>
      </c>
      <c r="GX160" s="73">
        <f t="shared" si="1004"/>
        <v>0</v>
      </c>
      <c r="GY160" s="73">
        <f t="shared" si="1004"/>
        <v>0</v>
      </c>
      <c r="GZ160" s="73">
        <f t="shared" si="1004"/>
        <v>0</v>
      </c>
      <c r="HA160" s="73">
        <f t="shared" si="1004"/>
        <v>0</v>
      </c>
      <c r="HB160" s="73">
        <f>SUM(HB162,HB166,HB161)</f>
        <v>0</v>
      </c>
      <c r="HC160" s="73">
        <f>SUM(HC162,HC166,HC161)</f>
        <v>0</v>
      </c>
      <c r="HD160" s="73">
        <f>SUM(HD162,HD166,HD161)</f>
        <v>0</v>
      </c>
      <c r="HE160" s="73">
        <f>SUM(HE162,HE166,HE161)</f>
        <v>0</v>
      </c>
      <c r="HF160" s="73">
        <f t="shared" si="1004"/>
        <v>0</v>
      </c>
      <c r="HG160" s="73">
        <f t="shared" si="1004"/>
        <v>0</v>
      </c>
      <c r="HH160" s="73">
        <f t="shared" si="1004"/>
        <v>0</v>
      </c>
      <c r="HI160" s="73">
        <f t="shared" si="1004"/>
        <v>0</v>
      </c>
      <c r="HJ160" s="73">
        <f t="shared" si="1004"/>
        <v>0</v>
      </c>
      <c r="HK160" s="73">
        <f t="shared" si="1004"/>
        <v>0</v>
      </c>
      <c r="HL160" s="73">
        <f t="shared" si="1004"/>
        <v>0</v>
      </c>
      <c r="HM160" s="73">
        <f t="shared" si="1004"/>
        <v>0</v>
      </c>
      <c r="HN160" s="73">
        <f t="shared" si="1004"/>
        <v>0</v>
      </c>
      <c r="HO160" s="73">
        <f t="shared" si="1004"/>
        <v>0</v>
      </c>
      <c r="HP160" s="73">
        <f t="shared" si="1004"/>
        <v>0</v>
      </c>
      <c r="HQ160" s="73">
        <f>SUM(HQ162,HQ166,HQ161)</f>
        <v>0</v>
      </c>
      <c r="HR160" s="73">
        <f>SUM(HR162,HR166,HR161)</f>
        <v>0</v>
      </c>
      <c r="HS160" s="73">
        <f>SUM(HS162,HS166,HS161)</f>
        <v>0</v>
      </c>
      <c r="HT160" s="73">
        <f>SUM(HT162,HT166,HT161)</f>
        <v>0</v>
      </c>
      <c r="HU160" s="73">
        <f t="shared" si="1004"/>
        <v>0</v>
      </c>
      <c r="HV160" s="73">
        <f t="shared" si="1004"/>
        <v>0</v>
      </c>
      <c r="HW160" s="73">
        <f t="shared" si="1004"/>
        <v>0</v>
      </c>
      <c r="HX160" s="73">
        <f t="shared" si="1004"/>
        <v>0</v>
      </c>
      <c r="HY160" s="73">
        <f t="shared" si="1004"/>
        <v>0</v>
      </c>
      <c r="HZ160" s="73">
        <f t="shared" si="1004"/>
        <v>0</v>
      </c>
      <c r="IA160" s="73">
        <f>SUM(IA162,IA166,IA161)</f>
        <v>0</v>
      </c>
      <c r="IB160" s="73">
        <f>SUM(IB162,IB166,IB161)</f>
        <v>0</v>
      </c>
      <c r="IC160" s="73">
        <f>SUM(IC162,IC166,IC161)</f>
        <v>0</v>
      </c>
      <c r="ID160" s="73">
        <f>SUM(ID162,ID166,ID161)</f>
        <v>0</v>
      </c>
      <c r="IE160" s="73">
        <f t="shared" si="1004"/>
        <v>0</v>
      </c>
      <c r="IF160" s="73">
        <f t="shared" si="1004"/>
        <v>0</v>
      </c>
      <c r="IG160" s="73">
        <f t="shared" si="1004"/>
        <v>0</v>
      </c>
      <c r="IH160" s="73">
        <f t="shared" si="1004"/>
        <v>0</v>
      </c>
      <c r="II160" s="73">
        <f t="shared" si="1004"/>
        <v>0</v>
      </c>
      <c r="IJ160" s="73">
        <f t="shared" si="1004"/>
        <v>0</v>
      </c>
      <c r="IK160" s="73">
        <f t="shared" si="1004"/>
        <v>0</v>
      </c>
      <c r="IL160" s="73">
        <f t="shared" si="1004"/>
        <v>0</v>
      </c>
      <c r="IM160" s="73">
        <f t="shared" si="1004"/>
        <v>0</v>
      </c>
      <c r="IN160" s="73">
        <f t="shared" si="1004"/>
        <v>0</v>
      </c>
      <c r="IO160" s="73">
        <f t="shared" si="1004"/>
        <v>0</v>
      </c>
      <c r="IP160" s="73">
        <f>SUM(IP162,IP166,IP161)</f>
        <v>0</v>
      </c>
      <c r="IQ160" s="73">
        <f>SUM(IQ162,IQ166,IQ161)</f>
        <v>0</v>
      </c>
      <c r="IR160" s="73">
        <f>SUM(IR162,IR166,IR161)</f>
        <v>0</v>
      </c>
      <c r="IS160" s="73">
        <f>SUM(IS162,IS166,IS161)</f>
        <v>0</v>
      </c>
      <c r="IT160" s="73">
        <f t="shared" si="1004"/>
        <v>0</v>
      </c>
      <c r="IU160" s="73">
        <f t="shared" si="1004"/>
        <v>0</v>
      </c>
      <c r="IV160" s="73">
        <f t="shared" si="1004"/>
        <v>0</v>
      </c>
    </row>
    <row r="161" spans="1:256" ht="12.75" customHeight="1" x14ac:dyDescent="0.2">
      <c r="A161" s="61" t="s">
        <v>29</v>
      </c>
      <c r="B161" s="62"/>
      <c r="C161" s="63"/>
      <c r="D161" s="63"/>
      <c r="E161" s="63"/>
      <c r="F161" s="63"/>
      <c r="G161" s="63"/>
      <c r="H161" s="63"/>
      <c r="I161" s="63"/>
      <c r="J161" s="63"/>
      <c r="K161" s="63"/>
      <c r="L161" s="64">
        <f>SUM(C161:F161,H161:K161)</f>
        <v>0</v>
      </c>
      <c r="M161" s="62"/>
      <c r="N161" s="63"/>
      <c r="O161" s="63"/>
      <c r="P161" s="63"/>
      <c r="Q161" s="63"/>
      <c r="R161" s="63"/>
      <c r="S161" s="63"/>
      <c r="T161" s="63"/>
      <c r="U161" s="63"/>
      <c r="V161" s="63"/>
      <c r="W161" s="64">
        <f>SUM(N161:Q161,S161:V161)</f>
        <v>0</v>
      </c>
      <c r="X161" s="62"/>
      <c r="Y161" s="63"/>
      <c r="Z161" s="63"/>
      <c r="AA161" s="63"/>
      <c r="AB161" s="63"/>
      <c r="AC161" s="63"/>
      <c r="AD161" s="63"/>
      <c r="AE161" s="63"/>
      <c r="AF161" s="63"/>
      <c r="AG161" s="63"/>
      <c r="AH161" s="64">
        <f>SUM(Y161:AB161,AD161:AG161)</f>
        <v>0</v>
      </c>
      <c r="AI161" s="62"/>
      <c r="AJ161" s="63"/>
      <c r="AK161" s="63"/>
      <c r="AL161" s="63"/>
      <c r="AM161" s="63"/>
      <c r="AN161" s="63"/>
      <c r="AO161" s="63"/>
      <c r="AP161" s="63"/>
      <c r="AQ161" s="63"/>
      <c r="AR161" s="63"/>
      <c r="AS161" s="64">
        <f>SUM(AJ161:AM161,AO161:AR161)</f>
        <v>0</v>
      </c>
      <c r="AT161" s="65">
        <f t="shared" ref="AT161:BC161" si="1005">SUM(M161,AI161,X161)</f>
        <v>0</v>
      </c>
      <c r="AU161" s="65">
        <f t="shared" si="1005"/>
        <v>0</v>
      </c>
      <c r="AV161" s="65">
        <f t="shared" si="1005"/>
        <v>0</v>
      </c>
      <c r="AW161" s="65">
        <f t="shared" si="1005"/>
        <v>0</v>
      </c>
      <c r="AX161" s="65">
        <f t="shared" si="1005"/>
        <v>0</v>
      </c>
      <c r="AY161" s="65">
        <f t="shared" si="1005"/>
        <v>0</v>
      </c>
      <c r="AZ161" s="65">
        <f t="shared" si="1005"/>
        <v>0</v>
      </c>
      <c r="BA161" s="65">
        <f t="shared" si="1005"/>
        <v>0</v>
      </c>
      <c r="BB161" s="65">
        <f t="shared" si="1005"/>
        <v>0</v>
      </c>
      <c r="BC161" s="65">
        <f t="shared" si="1005"/>
        <v>0</v>
      </c>
      <c r="BD161" s="64">
        <f>SUM(AU161:AX161,AZ161:BC161)</f>
        <v>0</v>
      </c>
      <c r="BE161" s="62"/>
      <c r="BF161" s="63"/>
      <c r="BG161" s="63"/>
      <c r="BH161" s="63"/>
      <c r="BI161" s="63"/>
      <c r="BJ161" s="63"/>
      <c r="BK161" s="63"/>
      <c r="BL161" s="63"/>
      <c r="BM161" s="63"/>
      <c r="BN161" s="63"/>
      <c r="BO161" s="64">
        <f>SUM(BF161:BI161,BK161:BN161)</f>
        <v>0</v>
      </c>
      <c r="BP161" s="62"/>
      <c r="BQ161" s="63"/>
      <c r="BR161" s="63"/>
      <c r="BS161" s="63"/>
      <c r="BT161" s="63"/>
      <c r="BU161" s="63"/>
      <c r="BV161" s="63"/>
      <c r="BW161" s="63"/>
      <c r="BX161" s="63"/>
      <c r="BY161" s="63"/>
      <c r="BZ161" s="64">
        <f>SUM(BQ161:BT161,BV161:BY161)</f>
        <v>0</v>
      </c>
      <c r="CA161" s="62"/>
      <c r="CB161" s="63"/>
      <c r="CC161" s="63"/>
      <c r="CD161" s="63"/>
      <c r="CE161" s="63"/>
      <c r="CF161" s="63"/>
      <c r="CG161" s="63"/>
      <c r="CH161" s="63"/>
      <c r="CI161" s="63"/>
      <c r="CJ161" s="63"/>
      <c r="CK161" s="64">
        <f>SUM(CB161:CE161,CG161:CJ161)</f>
        <v>0</v>
      </c>
      <c r="CL161" s="65">
        <f t="shared" ref="CL161:CU161" si="1006">SUM(BE161,CA161,BP161)</f>
        <v>0</v>
      </c>
      <c r="CM161" s="65">
        <f t="shared" si="1006"/>
        <v>0</v>
      </c>
      <c r="CN161" s="65">
        <f t="shared" si="1006"/>
        <v>0</v>
      </c>
      <c r="CO161" s="65">
        <f t="shared" si="1006"/>
        <v>0</v>
      </c>
      <c r="CP161" s="65">
        <f t="shared" si="1006"/>
        <v>0</v>
      </c>
      <c r="CQ161" s="65">
        <f t="shared" si="1006"/>
        <v>0</v>
      </c>
      <c r="CR161" s="65">
        <f t="shared" si="1006"/>
        <v>0</v>
      </c>
      <c r="CS161" s="65">
        <f t="shared" si="1006"/>
        <v>0</v>
      </c>
      <c r="CT161" s="65">
        <f t="shared" si="1006"/>
        <v>0</v>
      </c>
      <c r="CU161" s="65">
        <f t="shared" si="1006"/>
        <v>0</v>
      </c>
      <c r="CV161" s="64">
        <f>SUM(CM161:CP161,CR161:CU161)</f>
        <v>0</v>
      </c>
      <c r="CW161" s="62"/>
      <c r="CX161" s="63"/>
      <c r="CY161" s="63"/>
      <c r="CZ161" s="63"/>
      <c r="DA161" s="63"/>
      <c r="DB161" s="63"/>
      <c r="DC161" s="63"/>
      <c r="DD161" s="63"/>
      <c r="DE161" s="63"/>
      <c r="DF161" s="63"/>
      <c r="DG161" s="64">
        <f>SUM(CX161:DA161,DC161:DF161)</f>
        <v>0</v>
      </c>
      <c r="DH161" s="62"/>
      <c r="DI161" s="63"/>
      <c r="DJ161" s="63"/>
      <c r="DK161" s="63"/>
      <c r="DL161" s="63"/>
      <c r="DM161" s="63"/>
      <c r="DN161" s="63"/>
      <c r="DO161" s="63"/>
      <c r="DP161" s="63"/>
      <c r="DQ161" s="63"/>
      <c r="DR161" s="64">
        <f>SUM(DI161:DL161,DN161:DQ161)</f>
        <v>0</v>
      </c>
      <c r="DS161" s="62"/>
      <c r="DT161" s="63"/>
      <c r="DU161" s="63"/>
      <c r="DV161" s="63"/>
      <c r="DW161" s="63"/>
      <c r="DX161" s="63"/>
      <c r="DY161" s="63"/>
      <c r="DZ161" s="63"/>
      <c r="EA161" s="63"/>
      <c r="EB161" s="63"/>
      <c r="EC161" s="63"/>
      <c r="ED161" s="65">
        <f t="shared" ref="ED161:EM161" si="1007">SUM(CW161,DS161,DH161)</f>
        <v>0</v>
      </c>
      <c r="EE161" s="65">
        <f t="shared" si="1007"/>
        <v>0</v>
      </c>
      <c r="EF161" s="65">
        <f t="shared" si="1007"/>
        <v>0</v>
      </c>
      <c r="EG161" s="65">
        <f t="shared" si="1007"/>
        <v>0</v>
      </c>
      <c r="EH161" s="65">
        <f t="shared" si="1007"/>
        <v>0</v>
      </c>
      <c r="EI161" s="65">
        <f t="shared" si="1007"/>
        <v>0</v>
      </c>
      <c r="EJ161" s="65">
        <f t="shared" si="1007"/>
        <v>0</v>
      </c>
      <c r="EK161" s="65">
        <f t="shared" si="1007"/>
        <v>0</v>
      </c>
      <c r="EL161" s="65">
        <f t="shared" si="1007"/>
        <v>0</v>
      </c>
      <c r="EM161" s="65">
        <f t="shared" si="1007"/>
        <v>0</v>
      </c>
      <c r="EN161" s="64">
        <f>SUM(EE161:EH161,EJ161:EM161)</f>
        <v>0</v>
      </c>
      <c r="EO161" s="62"/>
      <c r="EP161" s="63"/>
      <c r="EQ161" s="63"/>
      <c r="ER161" s="63"/>
      <c r="ES161" s="63"/>
      <c r="ET161" s="63"/>
      <c r="EU161" s="63"/>
      <c r="EV161" s="63"/>
      <c r="EW161" s="63"/>
      <c r="EX161" s="63"/>
      <c r="EY161" s="64">
        <f>SUM(EP161:ES161,EU161:EX161)</f>
        <v>0</v>
      </c>
      <c r="EZ161" s="62"/>
      <c r="FA161" s="63"/>
      <c r="FB161" s="63"/>
      <c r="FC161" s="63"/>
      <c r="FD161" s="63"/>
      <c r="FE161" s="63"/>
      <c r="FF161" s="63"/>
      <c r="FG161" s="63"/>
      <c r="FH161" s="63"/>
      <c r="FI161" s="63"/>
      <c r="FJ161" s="64">
        <f>SUM(FA161:FD161,FF161:FI161)</f>
        <v>0</v>
      </c>
      <c r="FK161" s="62"/>
      <c r="FL161" s="63"/>
      <c r="FM161" s="63"/>
      <c r="FN161" s="63"/>
      <c r="FO161" s="63"/>
      <c r="FP161" s="63"/>
      <c r="FQ161" s="63"/>
      <c r="FR161" s="63"/>
      <c r="FS161" s="63"/>
      <c r="FT161" s="63"/>
      <c r="FU161" s="64">
        <f>SUM(FL161:FO161,FQ161:FT161)</f>
        <v>0</v>
      </c>
      <c r="FV161" s="65">
        <f t="shared" ref="FV161:GE161" si="1008">SUM(EO161,FK161,EZ161)</f>
        <v>0</v>
      </c>
      <c r="FW161" s="65">
        <f t="shared" si="1008"/>
        <v>0</v>
      </c>
      <c r="FX161" s="65">
        <f t="shared" si="1008"/>
        <v>0</v>
      </c>
      <c r="FY161" s="65">
        <f t="shared" si="1008"/>
        <v>0</v>
      </c>
      <c r="FZ161" s="65">
        <f t="shared" si="1008"/>
        <v>0</v>
      </c>
      <c r="GA161" s="65">
        <f t="shared" si="1008"/>
        <v>0</v>
      </c>
      <c r="GB161" s="65">
        <f t="shared" si="1008"/>
        <v>0</v>
      </c>
      <c r="GC161" s="65">
        <f t="shared" si="1008"/>
        <v>0</v>
      </c>
      <c r="GD161" s="65">
        <f t="shared" si="1008"/>
        <v>0</v>
      </c>
      <c r="GE161" s="65">
        <f t="shared" si="1008"/>
        <v>0</v>
      </c>
      <c r="GF161" s="64">
        <f>SUM(FW161:FZ161,GB161:GE161)</f>
        <v>0</v>
      </c>
      <c r="GG161" s="66">
        <f t="shared" ref="GG161:GP161" si="1009">SUM(AT161,CL161,ED161,FV161)</f>
        <v>0</v>
      </c>
      <c r="GH161" s="66">
        <f t="shared" si="1009"/>
        <v>0</v>
      </c>
      <c r="GI161" s="66">
        <f t="shared" si="1009"/>
        <v>0</v>
      </c>
      <c r="GJ161" s="66">
        <f t="shared" si="1009"/>
        <v>0</v>
      </c>
      <c r="GK161" s="66">
        <f t="shared" si="1009"/>
        <v>0</v>
      </c>
      <c r="GL161" s="66">
        <f t="shared" si="1009"/>
        <v>0</v>
      </c>
      <c r="GM161" s="66">
        <f t="shared" si="1009"/>
        <v>0</v>
      </c>
      <c r="GN161" s="66">
        <f t="shared" si="1009"/>
        <v>0</v>
      </c>
      <c r="GO161" s="66">
        <f t="shared" si="1009"/>
        <v>0</v>
      </c>
      <c r="GP161" s="66">
        <f t="shared" si="1009"/>
        <v>0</v>
      </c>
      <c r="GQ161" s="64">
        <f>SUM(GH161:GK161,GM161:GP161)</f>
        <v>0</v>
      </c>
      <c r="GR161" s="63"/>
      <c r="GS161" s="63"/>
      <c r="GT161" s="63"/>
      <c r="GU161" s="63"/>
      <c r="GV161" s="67">
        <f>SUM(GR161:GU161)</f>
        <v>0</v>
      </c>
      <c r="GW161" s="63"/>
      <c r="GX161" s="63"/>
      <c r="GY161" s="63"/>
      <c r="GZ161" s="63"/>
      <c r="HA161" s="67">
        <f>SUM(GW161:GZ161)</f>
        <v>0</v>
      </c>
      <c r="HB161" s="63"/>
      <c r="HC161" s="63"/>
      <c r="HD161" s="63"/>
      <c r="HE161" s="63"/>
      <c r="HF161" s="67">
        <f>SUM(HB161:HE161)</f>
        <v>0</v>
      </c>
      <c r="HG161" s="63"/>
      <c r="HH161" s="63"/>
      <c r="HI161" s="63"/>
      <c r="HJ161" s="63"/>
      <c r="HK161" s="67">
        <f>SUM(HG161:HJ161)</f>
        <v>0</v>
      </c>
      <c r="HL161" s="68">
        <f>SUM(GW161,HB161,HG161)</f>
        <v>0</v>
      </c>
      <c r="HM161" s="68">
        <f>SUM(GX161,HC161,HH161)</f>
        <v>0</v>
      </c>
      <c r="HN161" s="68">
        <f>SUM(GY161,HD161,HI161)</f>
        <v>0</v>
      </c>
      <c r="HO161" s="68">
        <f>SUM(GZ161,HE161,HJ161)</f>
        <v>0</v>
      </c>
      <c r="HP161" s="67">
        <f>SUM(HL161:HO161)</f>
        <v>0</v>
      </c>
      <c r="HQ161" s="63"/>
      <c r="HR161" s="63"/>
      <c r="HS161" s="63"/>
      <c r="HT161" s="63"/>
      <c r="HU161" s="67">
        <f>SUM(HQ161:HT161)</f>
        <v>0</v>
      </c>
      <c r="HV161" s="63"/>
      <c r="HW161" s="63"/>
      <c r="HX161" s="63"/>
      <c r="HY161" s="63"/>
      <c r="HZ161" s="67">
        <f>SUM(HV161:HY161)</f>
        <v>0</v>
      </c>
      <c r="IA161" s="63"/>
      <c r="IB161" s="63"/>
      <c r="IC161" s="63"/>
      <c r="ID161" s="63"/>
      <c r="IE161" s="67">
        <f>SUM(IA161:ID161)</f>
        <v>0</v>
      </c>
      <c r="IF161" s="68">
        <f>SUM(HQ161,HV161,IA161)</f>
        <v>0</v>
      </c>
      <c r="IG161" s="68">
        <f>SUM(HR161,HW161,IB161)</f>
        <v>0</v>
      </c>
      <c r="IH161" s="68">
        <f>SUM(HS161,HX161,IC161)</f>
        <v>0</v>
      </c>
      <c r="II161" s="68">
        <f>SUM(HT161,HY161,ID161)</f>
        <v>0</v>
      </c>
      <c r="IJ161" s="67">
        <f>SUM(IF161:II161)</f>
        <v>0</v>
      </c>
      <c r="IK161" s="63"/>
      <c r="IL161" s="63"/>
      <c r="IM161" s="63"/>
      <c r="IN161" s="63"/>
      <c r="IO161" s="67">
        <f>SUM(IK161:IN161)</f>
        <v>0</v>
      </c>
      <c r="IP161" s="63"/>
      <c r="IQ161" s="63"/>
      <c r="IR161" s="63"/>
      <c r="IS161" s="63"/>
      <c r="IT161" s="67">
        <f>SUM(IP161:IS161)</f>
        <v>0</v>
      </c>
      <c r="IU161" s="63"/>
      <c r="IV161" s="63"/>
    </row>
    <row r="162" spans="1:256" s="78" customFormat="1" ht="12.75" customHeight="1" x14ac:dyDescent="0.25">
      <c r="A162" s="147" t="s">
        <v>151</v>
      </c>
      <c r="B162" s="91"/>
      <c r="C162" s="82">
        <f t="shared" ref="C162:L162" si="1010">SUM(C163:C165)</f>
        <v>0</v>
      </c>
      <c r="D162" s="82">
        <f t="shared" si="1010"/>
        <v>0</v>
      </c>
      <c r="E162" s="82">
        <f t="shared" si="1010"/>
        <v>0</v>
      </c>
      <c r="F162" s="82">
        <f t="shared" si="1010"/>
        <v>0</v>
      </c>
      <c r="G162" s="82">
        <f t="shared" si="1010"/>
        <v>0</v>
      </c>
      <c r="H162" s="82">
        <f t="shared" si="1010"/>
        <v>0</v>
      </c>
      <c r="I162" s="82">
        <f t="shared" si="1010"/>
        <v>0</v>
      </c>
      <c r="J162" s="82">
        <f t="shared" si="1010"/>
        <v>0</v>
      </c>
      <c r="K162" s="82">
        <f t="shared" si="1010"/>
        <v>0</v>
      </c>
      <c r="L162" s="82">
        <f t="shared" si="1010"/>
        <v>0</v>
      </c>
      <c r="M162" s="91"/>
      <c r="N162" s="82">
        <f t="shared" ref="N162:V162" si="1011">SUM(N163:N165)</f>
        <v>0</v>
      </c>
      <c r="O162" s="82">
        <f t="shared" si="1011"/>
        <v>0</v>
      </c>
      <c r="P162" s="82">
        <f t="shared" si="1011"/>
        <v>0</v>
      </c>
      <c r="Q162" s="82">
        <f t="shared" si="1011"/>
        <v>0</v>
      </c>
      <c r="R162" s="82">
        <f t="shared" si="1011"/>
        <v>0</v>
      </c>
      <c r="S162" s="82">
        <f t="shared" si="1011"/>
        <v>0</v>
      </c>
      <c r="T162" s="82">
        <f t="shared" si="1011"/>
        <v>0</v>
      </c>
      <c r="U162" s="82">
        <f t="shared" si="1011"/>
        <v>0</v>
      </c>
      <c r="V162" s="82">
        <f t="shared" si="1011"/>
        <v>0</v>
      </c>
      <c r="W162" s="82">
        <f>SUM(W163:W165)</f>
        <v>0</v>
      </c>
      <c r="X162" s="91"/>
      <c r="Y162" s="82">
        <f t="shared" ref="Y162:AG162" si="1012">SUM(Y163:Y165)</f>
        <v>0</v>
      </c>
      <c r="Z162" s="82">
        <f t="shared" si="1012"/>
        <v>0</v>
      </c>
      <c r="AA162" s="82">
        <f t="shared" si="1012"/>
        <v>0</v>
      </c>
      <c r="AB162" s="82">
        <f t="shared" si="1012"/>
        <v>0</v>
      </c>
      <c r="AC162" s="82">
        <f t="shared" si="1012"/>
        <v>0</v>
      </c>
      <c r="AD162" s="82">
        <f t="shared" si="1012"/>
        <v>0</v>
      </c>
      <c r="AE162" s="82">
        <f t="shared" si="1012"/>
        <v>0</v>
      </c>
      <c r="AF162" s="82">
        <f t="shared" si="1012"/>
        <v>0</v>
      </c>
      <c r="AG162" s="82">
        <f t="shared" si="1012"/>
        <v>0</v>
      </c>
      <c r="AH162" s="82">
        <f>SUM(AH163:AH165)</f>
        <v>0</v>
      </c>
      <c r="AI162" s="91"/>
      <c r="AJ162" s="82">
        <f t="shared" ref="AJ162:AR162" si="1013">SUM(AJ163:AJ165)</f>
        <v>0</v>
      </c>
      <c r="AK162" s="82">
        <f t="shared" si="1013"/>
        <v>0</v>
      </c>
      <c r="AL162" s="82">
        <f t="shared" si="1013"/>
        <v>0</v>
      </c>
      <c r="AM162" s="82">
        <f t="shared" si="1013"/>
        <v>0</v>
      </c>
      <c r="AN162" s="82">
        <f t="shared" si="1013"/>
        <v>0</v>
      </c>
      <c r="AO162" s="82">
        <f t="shared" si="1013"/>
        <v>0</v>
      </c>
      <c r="AP162" s="82">
        <f t="shared" si="1013"/>
        <v>0</v>
      </c>
      <c r="AQ162" s="82">
        <f t="shared" si="1013"/>
        <v>0</v>
      </c>
      <c r="AR162" s="82">
        <f t="shared" si="1013"/>
        <v>0</v>
      </c>
      <c r="AS162" s="82">
        <f>SUM(AS163:AS165)</f>
        <v>0</v>
      </c>
      <c r="AT162" s="91"/>
      <c r="AU162" s="82">
        <f t="shared" ref="AU162:BD162" si="1014">SUM(AU163:AU165)</f>
        <v>0</v>
      </c>
      <c r="AV162" s="82">
        <f t="shared" si="1014"/>
        <v>0</v>
      </c>
      <c r="AW162" s="82">
        <f t="shared" si="1014"/>
        <v>0</v>
      </c>
      <c r="AX162" s="82">
        <f t="shared" si="1014"/>
        <v>0</v>
      </c>
      <c r="AY162" s="82">
        <f t="shared" si="1014"/>
        <v>0</v>
      </c>
      <c r="AZ162" s="82">
        <f t="shared" si="1014"/>
        <v>0</v>
      </c>
      <c r="BA162" s="82">
        <f t="shared" si="1014"/>
        <v>0</v>
      </c>
      <c r="BB162" s="82">
        <f t="shared" si="1014"/>
        <v>0</v>
      </c>
      <c r="BC162" s="82">
        <f t="shared" si="1014"/>
        <v>0</v>
      </c>
      <c r="BD162" s="82">
        <f t="shared" si="1014"/>
        <v>0</v>
      </c>
      <c r="BE162" s="91"/>
      <c r="BF162" s="82">
        <f t="shared" ref="BF162:BN162" si="1015">SUM(BF163:BF165)</f>
        <v>0</v>
      </c>
      <c r="BG162" s="82">
        <f t="shared" si="1015"/>
        <v>0</v>
      </c>
      <c r="BH162" s="82">
        <f t="shared" si="1015"/>
        <v>0</v>
      </c>
      <c r="BI162" s="82">
        <f t="shared" si="1015"/>
        <v>0</v>
      </c>
      <c r="BJ162" s="82">
        <f t="shared" si="1015"/>
        <v>0</v>
      </c>
      <c r="BK162" s="82">
        <f t="shared" si="1015"/>
        <v>0</v>
      </c>
      <c r="BL162" s="82">
        <f t="shared" si="1015"/>
        <v>0</v>
      </c>
      <c r="BM162" s="82">
        <f t="shared" si="1015"/>
        <v>0</v>
      </c>
      <c r="BN162" s="82">
        <f t="shared" si="1015"/>
        <v>0</v>
      </c>
      <c r="BO162" s="82">
        <f>SUM(BO163:BO165)</f>
        <v>0</v>
      </c>
      <c r="BP162" s="91"/>
      <c r="BQ162" s="82">
        <f t="shared" ref="BQ162:BY162" si="1016">SUM(BQ163:BQ165)</f>
        <v>0</v>
      </c>
      <c r="BR162" s="82">
        <f t="shared" si="1016"/>
        <v>0</v>
      </c>
      <c r="BS162" s="82">
        <f t="shared" si="1016"/>
        <v>0</v>
      </c>
      <c r="BT162" s="82">
        <f t="shared" si="1016"/>
        <v>0</v>
      </c>
      <c r="BU162" s="82">
        <f t="shared" si="1016"/>
        <v>0</v>
      </c>
      <c r="BV162" s="82">
        <f t="shared" si="1016"/>
        <v>0</v>
      </c>
      <c r="BW162" s="82">
        <f t="shared" si="1016"/>
        <v>0</v>
      </c>
      <c r="BX162" s="82">
        <f t="shared" si="1016"/>
        <v>0</v>
      </c>
      <c r="BY162" s="82">
        <f t="shared" si="1016"/>
        <v>0</v>
      </c>
      <c r="BZ162" s="82">
        <f>SUM(BZ163:BZ165)</f>
        <v>0</v>
      </c>
      <c r="CA162" s="91"/>
      <c r="CB162" s="82">
        <f t="shared" ref="CB162:CJ162" si="1017">SUM(CB163:CB165)</f>
        <v>0</v>
      </c>
      <c r="CC162" s="82">
        <f t="shared" si="1017"/>
        <v>0</v>
      </c>
      <c r="CD162" s="82">
        <f t="shared" si="1017"/>
        <v>0</v>
      </c>
      <c r="CE162" s="82">
        <f t="shared" si="1017"/>
        <v>0</v>
      </c>
      <c r="CF162" s="82">
        <f t="shared" si="1017"/>
        <v>0</v>
      </c>
      <c r="CG162" s="82">
        <f t="shared" si="1017"/>
        <v>0</v>
      </c>
      <c r="CH162" s="82">
        <f t="shared" si="1017"/>
        <v>0</v>
      </c>
      <c r="CI162" s="82">
        <f t="shared" si="1017"/>
        <v>0</v>
      </c>
      <c r="CJ162" s="82">
        <f t="shared" si="1017"/>
        <v>0</v>
      </c>
      <c r="CK162" s="82">
        <f>SUM(CK163:CK165)</f>
        <v>0</v>
      </c>
      <c r="CL162" s="91"/>
      <c r="CM162" s="82">
        <f t="shared" ref="CM162:CV162" si="1018">SUM(CM163:CM165)</f>
        <v>0</v>
      </c>
      <c r="CN162" s="82">
        <f t="shared" si="1018"/>
        <v>0</v>
      </c>
      <c r="CO162" s="82">
        <f t="shared" si="1018"/>
        <v>0</v>
      </c>
      <c r="CP162" s="82">
        <f t="shared" si="1018"/>
        <v>0</v>
      </c>
      <c r="CQ162" s="82">
        <f t="shared" si="1018"/>
        <v>0</v>
      </c>
      <c r="CR162" s="82">
        <f t="shared" si="1018"/>
        <v>0</v>
      </c>
      <c r="CS162" s="82">
        <f t="shared" si="1018"/>
        <v>0</v>
      </c>
      <c r="CT162" s="82">
        <f t="shared" si="1018"/>
        <v>0</v>
      </c>
      <c r="CU162" s="82">
        <f t="shared" si="1018"/>
        <v>0</v>
      </c>
      <c r="CV162" s="82">
        <f t="shared" si="1018"/>
        <v>0</v>
      </c>
      <c r="CW162" s="91"/>
      <c r="CX162" s="82">
        <f t="shared" ref="CX162:DF162" si="1019">SUM(CX163:CX165)</f>
        <v>0</v>
      </c>
      <c r="CY162" s="82">
        <f t="shared" si="1019"/>
        <v>0</v>
      </c>
      <c r="CZ162" s="82">
        <f t="shared" si="1019"/>
        <v>0</v>
      </c>
      <c r="DA162" s="82">
        <f t="shared" si="1019"/>
        <v>0</v>
      </c>
      <c r="DB162" s="82">
        <f t="shared" si="1019"/>
        <v>0</v>
      </c>
      <c r="DC162" s="82">
        <f t="shared" si="1019"/>
        <v>0</v>
      </c>
      <c r="DD162" s="82">
        <f t="shared" si="1019"/>
        <v>0</v>
      </c>
      <c r="DE162" s="82">
        <f t="shared" si="1019"/>
        <v>0</v>
      </c>
      <c r="DF162" s="82">
        <f t="shared" si="1019"/>
        <v>0</v>
      </c>
      <c r="DG162" s="82">
        <f>SUM(DG163:DG165)</f>
        <v>0</v>
      </c>
      <c r="DH162" s="91"/>
      <c r="DI162" s="82">
        <f t="shared" ref="DI162:DQ162" si="1020">SUM(DI163:DI165)</f>
        <v>0</v>
      </c>
      <c r="DJ162" s="82">
        <f t="shared" si="1020"/>
        <v>0</v>
      </c>
      <c r="DK162" s="82">
        <f t="shared" si="1020"/>
        <v>0</v>
      </c>
      <c r="DL162" s="82">
        <f t="shared" si="1020"/>
        <v>0</v>
      </c>
      <c r="DM162" s="82">
        <f t="shared" si="1020"/>
        <v>0</v>
      </c>
      <c r="DN162" s="82">
        <f t="shared" si="1020"/>
        <v>0</v>
      </c>
      <c r="DO162" s="82">
        <f t="shared" si="1020"/>
        <v>0</v>
      </c>
      <c r="DP162" s="82">
        <f t="shared" si="1020"/>
        <v>0</v>
      </c>
      <c r="DQ162" s="82">
        <f t="shared" si="1020"/>
        <v>0</v>
      </c>
      <c r="DR162" s="82">
        <f>SUM(DR163:DR165)</f>
        <v>0</v>
      </c>
      <c r="DS162" s="91"/>
      <c r="DT162" s="82">
        <f t="shared" ref="DT162:EB162" si="1021">SUM(DT163:DT165)</f>
        <v>0</v>
      </c>
      <c r="DU162" s="82">
        <f t="shared" si="1021"/>
        <v>0</v>
      </c>
      <c r="DV162" s="82">
        <f t="shared" si="1021"/>
        <v>0</v>
      </c>
      <c r="DW162" s="82">
        <f t="shared" si="1021"/>
        <v>0</v>
      </c>
      <c r="DX162" s="82">
        <f t="shared" si="1021"/>
        <v>0</v>
      </c>
      <c r="DY162" s="82">
        <f t="shared" si="1021"/>
        <v>0</v>
      </c>
      <c r="DZ162" s="82">
        <f t="shared" si="1021"/>
        <v>0</v>
      </c>
      <c r="EA162" s="82">
        <f t="shared" si="1021"/>
        <v>0</v>
      </c>
      <c r="EB162" s="82">
        <f t="shared" si="1021"/>
        <v>0</v>
      </c>
      <c r="EC162" s="82">
        <f>SUM(EC163:EC165)</f>
        <v>0</v>
      </c>
      <c r="ED162" s="91"/>
      <c r="EE162" s="82">
        <f t="shared" ref="EE162:EN162" si="1022">SUM(EE163:EE165)</f>
        <v>0</v>
      </c>
      <c r="EF162" s="82">
        <f t="shared" si="1022"/>
        <v>0</v>
      </c>
      <c r="EG162" s="82">
        <f t="shared" si="1022"/>
        <v>0</v>
      </c>
      <c r="EH162" s="82">
        <f t="shared" si="1022"/>
        <v>0</v>
      </c>
      <c r="EI162" s="82">
        <f t="shared" si="1022"/>
        <v>0</v>
      </c>
      <c r="EJ162" s="82">
        <f t="shared" si="1022"/>
        <v>0</v>
      </c>
      <c r="EK162" s="82">
        <f t="shared" si="1022"/>
        <v>0</v>
      </c>
      <c r="EL162" s="82">
        <f t="shared" si="1022"/>
        <v>0</v>
      </c>
      <c r="EM162" s="82">
        <f t="shared" si="1022"/>
        <v>0</v>
      </c>
      <c r="EN162" s="82">
        <f t="shared" si="1022"/>
        <v>0</v>
      </c>
      <c r="EO162" s="91"/>
      <c r="EP162" s="82">
        <f t="shared" ref="EP162:EX162" si="1023">SUM(EP163:EP165)</f>
        <v>0</v>
      </c>
      <c r="EQ162" s="82">
        <f t="shared" si="1023"/>
        <v>0</v>
      </c>
      <c r="ER162" s="82">
        <f t="shared" si="1023"/>
        <v>0</v>
      </c>
      <c r="ES162" s="82">
        <f t="shared" si="1023"/>
        <v>0</v>
      </c>
      <c r="ET162" s="82">
        <f t="shared" si="1023"/>
        <v>0</v>
      </c>
      <c r="EU162" s="82">
        <f t="shared" si="1023"/>
        <v>0</v>
      </c>
      <c r="EV162" s="82">
        <f t="shared" si="1023"/>
        <v>0</v>
      </c>
      <c r="EW162" s="82">
        <f t="shared" si="1023"/>
        <v>0</v>
      </c>
      <c r="EX162" s="82">
        <f t="shared" si="1023"/>
        <v>0</v>
      </c>
      <c r="EY162" s="82">
        <f>SUM(EY163:EY165)</f>
        <v>0</v>
      </c>
      <c r="EZ162" s="91"/>
      <c r="FA162" s="82">
        <f t="shared" ref="FA162:FI162" si="1024">SUM(FA163:FA165)</f>
        <v>0</v>
      </c>
      <c r="FB162" s="82">
        <f t="shared" si="1024"/>
        <v>0</v>
      </c>
      <c r="FC162" s="82">
        <f t="shared" si="1024"/>
        <v>0</v>
      </c>
      <c r="FD162" s="82">
        <f t="shared" si="1024"/>
        <v>0</v>
      </c>
      <c r="FE162" s="82">
        <f t="shared" si="1024"/>
        <v>0</v>
      </c>
      <c r="FF162" s="82">
        <f t="shared" si="1024"/>
        <v>0</v>
      </c>
      <c r="FG162" s="82">
        <f t="shared" si="1024"/>
        <v>0</v>
      </c>
      <c r="FH162" s="82">
        <f t="shared" si="1024"/>
        <v>0</v>
      </c>
      <c r="FI162" s="82">
        <f t="shared" si="1024"/>
        <v>0</v>
      </c>
      <c r="FJ162" s="82">
        <f>SUM(FJ163:FJ165)</f>
        <v>0</v>
      </c>
      <c r="FK162" s="91"/>
      <c r="FL162" s="82">
        <f t="shared" ref="FL162:FT162" si="1025">SUM(FL163:FL165)</f>
        <v>0</v>
      </c>
      <c r="FM162" s="82">
        <f t="shared" si="1025"/>
        <v>0</v>
      </c>
      <c r="FN162" s="82">
        <f t="shared" si="1025"/>
        <v>0</v>
      </c>
      <c r="FO162" s="82">
        <f t="shared" si="1025"/>
        <v>0</v>
      </c>
      <c r="FP162" s="82">
        <f t="shared" si="1025"/>
        <v>0</v>
      </c>
      <c r="FQ162" s="82">
        <f t="shared" si="1025"/>
        <v>0</v>
      </c>
      <c r="FR162" s="82">
        <f t="shared" si="1025"/>
        <v>0</v>
      </c>
      <c r="FS162" s="82">
        <f t="shared" si="1025"/>
        <v>0</v>
      </c>
      <c r="FT162" s="82">
        <f t="shared" si="1025"/>
        <v>0</v>
      </c>
      <c r="FU162" s="82">
        <f>SUM(FU163:FU165)</f>
        <v>0</v>
      </c>
      <c r="FV162" s="91"/>
      <c r="FW162" s="82">
        <f t="shared" ref="FW162:GF162" si="1026">SUM(FW163:FW165)</f>
        <v>0</v>
      </c>
      <c r="FX162" s="82">
        <f t="shared" si="1026"/>
        <v>0</v>
      </c>
      <c r="FY162" s="82">
        <f t="shared" si="1026"/>
        <v>0</v>
      </c>
      <c r="FZ162" s="82">
        <f t="shared" si="1026"/>
        <v>0</v>
      </c>
      <c r="GA162" s="82">
        <f t="shared" si="1026"/>
        <v>0</v>
      </c>
      <c r="GB162" s="82">
        <f t="shared" si="1026"/>
        <v>0</v>
      </c>
      <c r="GC162" s="82">
        <f t="shared" si="1026"/>
        <v>0</v>
      </c>
      <c r="GD162" s="82">
        <f t="shared" si="1026"/>
        <v>0</v>
      </c>
      <c r="GE162" s="82">
        <f t="shared" si="1026"/>
        <v>0</v>
      </c>
      <c r="GF162" s="82">
        <f t="shared" si="1026"/>
        <v>0</v>
      </c>
      <c r="GG162" s="91"/>
      <c r="GH162" s="82">
        <f t="shared" ref="GH162:HK162" si="1027">SUM(GH163:GH165)</f>
        <v>0</v>
      </c>
      <c r="GI162" s="82">
        <f t="shared" si="1027"/>
        <v>0</v>
      </c>
      <c r="GJ162" s="82">
        <f t="shared" si="1027"/>
        <v>0</v>
      </c>
      <c r="GK162" s="82">
        <f t="shared" si="1027"/>
        <v>0</v>
      </c>
      <c r="GL162" s="82">
        <f t="shared" si="1027"/>
        <v>0</v>
      </c>
      <c r="GM162" s="82">
        <f t="shared" si="1027"/>
        <v>0</v>
      </c>
      <c r="GN162" s="82">
        <f t="shared" si="1027"/>
        <v>0</v>
      </c>
      <c r="GO162" s="82">
        <f t="shared" si="1027"/>
        <v>0</v>
      </c>
      <c r="GP162" s="82">
        <f t="shared" si="1027"/>
        <v>0</v>
      </c>
      <c r="GQ162" s="82">
        <f t="shared" si="1027"/>
        <v>0</v>
      </c>
      <c r="GR162" s="82">
        <f t="shared" si="1027"/>
        <v>0</v>
      </c>
      <c r="GS162" s="82">
        <f t="shared" si="1027"/>
        <v>0</v>
      </c>
      <c r="GT162" s="82">
        <f t="shared" si="1027"/>
        <v>0</v>
      </c>
      <c r="GU162" s="82">
        <f t="shared" si="1027"/>
        <v>0</v>
      </c>
      <c r="GV162" s="82">
        <f t="shared" si="1027"/>
        <v>0</v>
      </c>
      <c r="GW162" s="82">
        <f t="shared" si="1027"/>
        <v>0</v>
      </c>
      <c r="GX162" s="82">
        <f t="shared" si="1027"/>
        <v>0</v>
      </c>
      <c r="GY162" s="82">
        <f t="shared" si="1027"/>
        <v>0</v>
      </c>
      <c r="GZ162" s="82">
        <f t="shared" si="1027"/>
        <v>0</v>
      </c>
      <c r="HA162" s="82">
        <f t="shared" si="1027"/>
        <v>0</v>
      </c>
      <c r="HB162" s="82">
        <f>SUM(HB163:HB165)</f>
        <v>0</v>
      </c>
      <c r="HC162" s="82">
        <f>SUM(HC163:HC165)</f>
        <v>0</v>
      </c>
      <c r="HD162" s="82">
        <f>SUM(HD163:HD165)</f>
        <v>0</v>
      </c>
      <c r="HE162" s="82">
        <f>SUM(HE163:HE165)</f>
        <v>0</v>
      </c>
      <c r="HF162" s="82">
        <f t="shared" si="1027"/>
        <v>0</v>
      </c>
      <c r="HG162" s="82">
        <f t="shared" si="1027"/>
        <v>0</v>
      </c>
      <c r="HH162" s="82">
        <f t="shared" si="1027"/>
        <v>0</v>
      </c>
      <c r="HI162" s="82">
        <f t="shared" si="1027"/>
        <v>0</v>
      </c>
      <c r="HJ162" s="82">
        <f t="shared" si="1027"/>
        <v>0</v>
      </c>
      <c r="HK162" s="82">
        <f t="shared" si="1027"/>
        <v>0</v>
      </c>
      <c r="HL162" s="82">
        <f t="shared" ref="HL162:HT162" si="1028">SUM(HL163:HL165)</f>
        <v>0</v>
      </c>
      <c r="HM162" s="82">
        <f t="shared" si="1028"/>
        <v>0</v>
      </c>
      <c r="HN162" s="82">
        <f t="shared" si="1028"/>
        <v>0</v>
      </c>
      <c r="HO162" s="82">
        <f t="shared" si="1028"/>
        <v>0</v>
      </c>
      <c r="HP162" s="82">
        <f t="shared" si="1028"/>
        <v>0</v>
      </c>
      <c r="HQ162" s="82">
        <f t="shared" si="1028"/>
        <v>0</v>
      </c>
      <c r="HR162" s="82">
        <f t="shared" si="1028"/>
        <v>0</v>
      </c>
      <c r="HS162" s="82">
        <f t="shared" si="1028"/>
        <v>0</v>
      </c>
      <c r="HT162" s="82">
        <f t="shared" si="1028"/>
        <v>0</v>
      </c>
      <c r="HU162" s="82">
        <f t="shared" ref="HU162:IV162" si="1029">SUM(HU163:HU165)</f>
        <v>0</v>
      </c>
      <c r="HV162" s="82">
        <f t="shared" si="1029"/>
        <v>0</v>
      </c>
      <c r="HW162" s="82">
        <f t="shared" si="1029"/>
        <v>0</v>
      </c>
      <c r="HX162" s="82">
        <f t="shared" si="1029"/>
        <v>0</v>
      </c>
      <c r="HY162" s="82">
        <f t="shared" si="1029"/>
        <v>0</v>
      </c>
      <c r="HZ162" s="82">
        <f t="shared" si="1029"/>
        <v>0</v>
      </c>
      <c r="IA162" s="82">
        <f>SUM(IA163:IA165)</f>
        <v>0</v>
      </c>
      <c r="IB162" s="82">
        <f>SUM(IB163:IB165)</f>
        <v>0</v>
      </c>
      <c r="IC162" s="82">
        <f>SUM(IC163:IC165)</f>
        <v>0</v>
      </c>
      <c r="ID162" s="82">
        <f>SUM(ID163:ID165)</f>
        <v>0</v>
      </c>
      <c r="IE162" s="82">
        <f t="shared" si="1029"/>
        <v>0</v>
      </c>
      <c r="IF162" s="82">
        <f t="shared" si="1029"/>
        <v>0</v>
      </c>
      <c r="IG162" s="82">
        <f t="shared" si="1029"/>
        <v>0</v>
      </c>
      <c r="IH162" s="82">
        <f t="shared" si="1029"/>
        <v>0</v>
      </c>
      <c r="II162" s="82">
        <f t="shared" si="1029"/>
        <v>0</v>
      </c>
      <c r="IJ162" s="82">
        <f t="shared" si="1029"/>
        <v>0</v>
      </c>
      <c r="IK162" s="82">
        <f t="shared" si="1029"/>
        <v>0</v>
      </c>
      <c r="IL162" s="82">
        <f t="shared" si="1029"/>
        <v>0</v>
      </c>
      <c r="IM162" s="82">
        <f t="shared" si="1029"/>
        <v>0</v>
      </c>
      <c r="IN162" s="82">
        <f t="shared" si="1029"/>
        <v>0</v>
      </c>
      <c r="IO162" s="82">
        <f t="shared" si="1029"/>
        <v>0</v>
      </c>
      <c r="IP162" s="82">
        <f>SUM(IP163:IP165)</f>
        <v>0</v>
      </c>
      <c r="IQ162" s="82">
        <f>SUM(IQ163:IQ165)</f>
        <v>0</v>
      </c>
      <c r="IR162" s="82">
        <f>SUM(IR163:IR165)</f>
        <v>0</v>
      </c>
      <c r="IS162" s="82">
        <f>SUM(IS163:IS165)</f>
        <v>0</v>
      </c>
      <c r="IT162" s="82">
        <f t="shared" si="1029"/>
        <v>0</v>
      </c>
      <c r="IU162" s="82">
        <f t="shared" si="1029"/>
        <v>0</v>
      </c>
      <c r="IV162" s="82">
        <f t="shared" si="1029"/>
        <v>0</v>
      </c>
    </row>
    <row r="163" spans="1:256" ht="12.75" customHeight="1" x14ac:dyDescent="0.25">
      <c r="A163" s="83" t="s">
        <v>152</v>
      </c>
      <c r="B163" s="62">
        <v>240</v>
      </c>
      <c r="C163" s="63"/>
      <c r="D163" s="63"/>
      <c r="E163" s="63"/>
      <c r="F163" s="63"/>
      <c r="G163" s="63"/>
      <c r="H163" s="63"/>
      <c r="I163" s="63"/>
      <c r="J163" s="63"/>
      <c r="K163" s="63"/>
      <c r="L163" s="64">
        <f>SUM(C163:F163,H163:K163)</f>
        <v>0</v>
      </c>
      <c r="M163" s="62"/>
      <c r="N163" s="63"/>
      <c r="O163" s="63"/>
      <c r="P163" s="63"/>
      <c r="Q163" s="63"/>
      <c r="R163" s="63"/>
      <c r="S163" s="63"/>
      <c r="T163" s="63"/>
      <c r="U163" s="63"/>
      <c r="V163" s="63"/>
      <c r="W163" s="64">
        <f>SUM(N163:Q163,S163:V163)</f>
        <v>0</v>
      </c>
      <c r="X163" s="62"/>
      <c r="Y163" s="63"/>
      <c r="Z163" s="63"/>
      <c r="AA163" s="63"/>
      <c r="AB163" s="63"/>
      <c r="AC163" s="63"/>
      <c r="AD163" s="63"/>
      <c r="AE163" s="63"/>
      <c r="AF163" s="63"/>
      <c r="AG163" s="63"/>
      <c r="AH163" s="64">
        <f>SUM(Y163:AB163,AD163:AG163)</f>
        <v>0</v>
      </c>
      <c r="AI163" s="62"/>
      <c r="AJ163" s="63"/>
      <c r="AK163" s="63"/>
      <c r="AL163" s="63"/>
      <c r="AM163" s="63"/>
      <c r="AN163" s="63"/>
      <c r="AO163" s="63"/>
      <c r="AP163" s="63"/>
      <c r="AQ163" s="63"/>
      <c r="AR163" s="63"/>
      <c r="AS163" s="64">
        <f>SUM(AJ163:AM163,AO163:AR163)</f>
        <v>0</v>
      </c>
      <c r="AT163" s="65">
        <f t="shared" ref="AT163:BC165" si="1030">SUM(M163,AI163,X163)</f>
        <v>0</v>
      </c>
      <c r="AU163" s="65">
        <f t="shared" si="1030"/>
        <v>0</v>
      </c>
      <c r="AV163" s="65">
        <f t="shared" si="1030"/>
        <v>0</v>
      </c>
      <c r="AW163" s="65">
        <f t="shared" si="1030"/>
        <v>0</v>
      </c>
      <c r="AX163" s="65">
        <f t="shared" si="1030"/>
        <v>0</v>
      </c>
      <c r="AY163" s="65">
        <f t="shared" si="1030"/>
        <v>0</v>
      </c>
      <c r="AZ163" s="65">
        <f t="shared" si="1030"/>
        <v>0</v>
      </c>
      <c r="BA163" s="65">
        <f t="shared" si="1030"/>
        <v>0</v>
      </c>
      <c r="BB163" s="65">
        <f t="shared" si="1030"/>
        <v>0</v>
      </c>
      <c r="BC163" s="65">
        <f t="shared" si="1030"/>
        <v>0</v>
      </c>
      <c r="BD163" s="64">
        <f>SUM(AU163:AX163,AZ163:BC163)</f>
        <v>0</v>
      </c>
      <c r="BE163" s="62"/>
      <c r="BF163" s="63"/>
      <c r="BG163" s="63"/>
      <c r="BH163" s="63"/>
      <c r="BI163" s="63"/>
      <c r="BJ163" s="63"/>
      <c r="BK163" s="63"/>
      <c r="BL163" s="63"/>
      <c r="BM163" s="63"/>
      <c r="BN163" s="63"/>
      <c r="BO163" s="64">
        <f>SUM(BF163:BI163,BK163:BN163)</f>
        <v>0</v>
      </c>
      <c r="BP163" s="62"/>
      <c r="BQ163" s="63"/>
      <c r="BR163" s="63"/>
      <c r="BS163" s="63"/>
      <c r="BT163" s="63"/>
      <c r="BU163" s="63"/>
      <c r="BV163" s="63"/>
      <c r="BW163" s="63"/>
      <c r="BX163" s="63"/>
      <c r="BY163" s="63"/>
      <c r="BZ163" s="64">
        <f>SUM(BQ163:BT163,BV163:BY163)</f>
        <v>0</v>
      </c>
      <c r="CA163" s="62"/>
      <c r="CB163" s="63"/>
      <c r="CC163" s="63"/>
      <c r="CD163" s="63"/>
      <c r="CE163" s="63"/>
      <c r="CF163" s="63"/>
      <c r="CG163" s="63"/>
      <c r="CH163" s="63"/>
      <c r="CI163" s="63"/>
      <c r="CJ163" s="63"/>
      <c r="CK163" s="64">
        <f>SUM(CB163:CE163,CG163:CJ163)</f>
        <v>0</v>
      </c>
      <c r="CL163" s="65">
        <f t="shared" ref="CL163:CU165" si="1031">SUM(BE163,CA163,BP163)</f>
        <v>0</v>
      </c>
      <c r="CM163" s="65">
        <f t="shared" si="1031"/>
        <v>0</v>
      </c>
      <c r="CN163" s="65">
        <f t="shared" si="1031"/>
        <v>0</v>
      </c>
      <c r="CO163" s="65">
        <f t="shared" si="1031"/>
        <v>0</v>
      </c>
      <c r="CP163" s="65">
        <f t="shared" si="1031"/>
        <v>0</v>
      </c>
      <c r="CQ163" s="65">
        <f t="shared" si="1031"/>
        <v>0</v>
      </c>
      <c r="CR163" s="65">
        <f t="shared" si="1031"/>
        <v>0</v>
      </c>
      <c r="CS163" s="65">
        <f t="shared" si="1031"/>
        <v>0</v>
      </c>
      <c r="CT163" s="65">
        <f t="shared" si="1031"/>
        <v>0</v>
      </c>
      <c r="CU163" s="65">
        <f t="shared" si="1031"/>
        <v>0</v>
      </c>
      <c r="CV163" s="64">
        <f>SUM(CM163:CP163,CR163:CU163)</f>
        <v>0</v>
      </c>
      <c r="CW163" s="62"/>
      <c r="CX163" s="63"/>
      <c r="CY163" s="63"/>
      <c r="CZ163" s="63"/>
      <c r="DA163" s="63"/>
      <c r="DB163" s="63"/>
      <c r="DC163" s="63"/>
      <c r="DD163" s="63"/>
      <c r="DE163" s="63"/>
      <c r="DF163" s="63"/>
      <c r="DG163" s="64">
        <f>SUM(CX163:DA163,DC163:DF163)</f>
        <v>0</v>
      </c>
      <c r="DH163" s="62"/>
      <c r="DI163" s="63"/>
      <c r="DJ163" s="63"/>
      <c r="DK163" s="63"/>
      <c r="DL163" s="63"/>
      <c r="DM163" s="63"/>
      <c r="DN163" s="63"/>
      <c r="DO163" s="63"/>
      <c r="DP163" s="63"/>
      <c r="DQ163" s="63"/>
      <c r="DR163" s="64">
        <f>SUM(DI163:DL163,DN163:DQ163)</f>
        <v>0</v>
      </c>
      <c r="DS163" s="62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5">
        <f t="shared" ref="ED163:EM165" si="1032">SUM(CW163,DS163,DH163)</f>
        <v>0</v>
      </c>
      <c r="EE163" s="65">
        <f t="shared" si="1032"/>
        <v>0</v>
      </c>
      <c r="EF163" s="65">
        <f t="shared" si="1032"/>
        <v>0</v>
      </c>
      <c r="EG163" s="65">
        <f t="shared" si="1032"/>
        <v>0</v>
      </c>
      <c r="EH163" s="65">
        <f t="shared" si="1032"/>
        <v>0</v>
      </c>
      <c r="EI163" s="65">
        <f t="shared" si="1032"/>
        <v>0</v>
      </c>
      <c r="EJ163" s="65">
        <f t="shared" si="1032"/>
        <v>0</v>
      </c>
      <c r="EK163" s="65">
        <f t="shared" si="1032"/>
        <v>0</v>
      </c>
      <c r="EL163" s="65">
        <f t="shared" si="1032"/>
        <v>0</v>
      </c>
      <c r="EM163" s="65">
        <f t="shared" si="1032"/>
        <v>0</v>
      </c>
      <c r="EN163" s="64">
        <f>SUM(EE163:EH163,EJ163:EM163)</f>
        <v>0</v>
      </c>
      <c r="EO163" s="62"/>
      <c r="EP163" s="63"/>
      <c r="EQ163" s="63"/>
      <c r="ER163" s="63"/>
      <c r="ES163" s="63"/>
      <c r="ET163" s="63"/>
      <c r="EU163" s="63"/>
      <c r="EV163" s="63"/>
      <c r="EW163" s="63"/>
      <c r="EX163" s="63"/>
      <c r="EY163" s="64">
        <f>SUM(EP163:ES163,EU163:EX163)</f>
        <v>0</v>
      </c>
      <c r="EZ163" s="62"/>
      <c r="FA163" s="63"/>
      <c r="FB163" s="63"/>
      <c r="FC163" s="63"/>
      <c r="FD163" s="63"/>
      <c r="FE163" s="63"/>
      <c r="FF163" s="63"/>
      <c r="FG163" s="63"/>
      <c r="FH163" s="63"/>
      <c r="FI163" s="63"/>
      <c r="FJ163" s="64">
        <f>SUM(FA163:FD163,FF163:FI163)</f>
        <v>0</v>
      </c>
      <c r="FK163" s="62"/>
      <c r="FL163" s="63"/>
      <c r="FM163" s="63"/>
      <c r="FN163" s="63"/>
      <c r="FO163" s="63"/>
      <c r="FP163" s="63"/>
      <c r="FQ163" s="63"/>
      <c r="FR163" s="63"/>
      <c r="FS163" s="63"/>
      <c r="FT163" s="63"/>
      <c r="FU163" s="64">
        <f>SUM(FL163:FO163,FQ163:FT163)</f>
        <v>0</v>
      </c>
      <c r="FV163" s="65">
        <f t="shared" ref="FV163:GE165" si="1033">SUM(EO163,FK163,EZ163)</f>
        <v>0</v>
      </c>
      <c r="FW163" s="65">
        <f t="shared" si="1033"/>
        <v>0</v>
      </c>
      <c r="FX163" s="65">
        <f t="shared" si="1033"/>
        <v>0</v>
      </c>
      <c r="FY163" s="65">
        <f t="shared" si="1033"/>
        <v>0</v>
      </c>
      <c r="FZ163" s="65">
        <f t="shared" si="1033"/>
        <v>0</v>
      </c>
      <c r="GA163" s="65">
        <f t="shared" si="1033"/>
        <v>0</v>
      </c>
      <c r="GB163" s="65">
        <f t="shared" si="1033"/>
        <v>0</v>
      </c>
      <c r="GC163" s="65">
        <f t="shared" si="1033"/>
        <v>0</v>
      </c>
      <c r="GD163" s="65">
        <f t="shared" si="1033"/>
        <v>0</v>
      </c>
      <c r="GE163" s="65">
        <f t="shared" si="1033"/>
        <v>0</v>
      </c>
      <c r="GF163" s="64">
        <f>SUM(FW163:FZ163,GB163:GE163)</f>
        <v>0</v>
      </c>
      <c r="GG163" s="66">
        <f t="shared" ref="GG163:GP165" si="1034">SUM(AT163,CL163,ED163,FV163)</f>
        <v>0</v>
      </c>
      <c r="GH163" s="66">
        <f t="shared" si="1034"/>
        <v>0</v>
      </c>
      <c r="GI163" s="66">
        <f t="shared" si="1034"/>
        <v>0</v>
      </c>
      <c r="GJ163" s="66">
        <f t="shared" si="1034"/>
        <v>0</v>
      </c>
      <c r="GK163" s="66">
        <f t="shared" si="1034"/>
        <v>0</v>
      </c>
      <c r="GL163" s="66">
        <f t="shared" si="1034"/>
        <v>0</v>
      </c>
      <c r="GM163" s="66">
        <f t="shared" si="1034"/>
        <v>0</v>
      </c>
      <c r="GN163" s="66">
        <f t="shared" si="1034"/>
        <v>0</v>
      </c>
      <c r="GO163" s="66">
        <f t="shared" si="1034"/>
        <v>0</v>
      </c>
      <c r="GP163" s="66">
        <f t="shared" si="1034"/>
        <v>0</v>
      </c>
      <c r="GQ163" s="64">
        <f>SUM(GH163:GK163,GM163:GP163)</f>
        <v>0</v>
      </c>
      <c r="GR163" s="63"/>
      <c r="GS163" s="63"/>
      <c r="GT163" s="63"/>
      <c r="GU163" s="63"/>
      <c r="GV163" s="67">
        <f>SUM(GR163:GU163)</f>
        <v>0</v>
      </c>
      <c r="GW163" s="63"/>
      <c r="GX163" s="63"/>
      <c r="GY163" s="63"/>
      <c r="GZ163" s="63"/>
      <c r="HA163" s="67">
        <f>SUM(GW163:GZ163)</f>
        <v>0</v>
      </c>
      <c r="HB163" s="63"/>
      <c r="HC163" s="63"/>
      <c r="HD163" s="63"/>
      <c r="HE163" s="63"/>
      <c r="HF163" s="67">
        <f>SUM(HB163:HE163)</f>
        <v>0</v>
      </c>
      <c r="HG163" s="63"/>
      <c r="HH163" s="63"/>
      <c r="HI163" s="63"/>
      <c r="HJ163" s="63"/>
      <c r="HK163" s="67">
        <f>SUM(HG163:HJ163)</f>
        <v>0</v>
      </c>
      <c r="HL163" s="68">
        <f t="shared" ref="HL163:HO165" si="1035">SUM(GW163,HB163,HG163)</f>
        <v>0</v>
      </c>
      <c r="HM163" s="68">
        <f t="shared" si="1035"/>
        <v>0</v>
      </c>
      <c r="HN163" s="68">
        <f t="shared" si="1035"/>
        <v>0</v>
      </c>
      <c r="HO163" s="68">
        <f t="shared" si="1035"/>
        <v>0</v>
      </c>
      <c r="HP163" s="67">
        <f>SUM(HL163:HO163)</f>
        <v>0</v>
      </c>
      <c r="HQ163" s="63"/>
      <c r="HR163" s="63"/>
      <c r="HS163" s="63"/>
      <c r="HT163" s="63"/>
      <c r="HU163" s="67">
        <f>SUM(HQ163:HT163)</f>
        <v>0</v>
      </c>
      <c r="HV163" s="63"/>
      <c r="HW163" s="63"/>
      <c r="HX163" s="63"/>
      <c r="HY163" s="63"/>
      <c r="HZ163" s="67">
        <f>SUM(HV163:HY163)</f>
        <v>0</v>
      </c>
      <c r="IA163" s="63"/>
      <c r="IB163" s="63"/>
      <c r="IC163" s="63"/>
      <c r="ID163" s="63"/>
      <c r="IE163" s="67">
        <f>SUM(IA163:ID163)</f>
        <v>0</v>
      </c>
      <c r="IF163" s="68">
        <f t="shared" ref="IF163:II165" si="1036">SUM(HQ163,HV163,IA163)</f>
        <v>0</v>
      </c>
      <c r="IG163" s="68">
        <f t="shared" si="1036"/>
        <v>0</v>
      </c>
      <c r="IH163" s="68">
        <f t="shared" si="1036"/>
        <v>0</v>
      </c>
      <c r="II163" s="68">
        <f t="shared" si="1036"/>
        <v>0</v>
      </c>
      <c r="IJ163" s="67">
        <f>SUM(IF163:II163)</f>
        <v>0</v>
      </c>
      <c r="IK163" s="63"/>
      <c r="IL163" s="63"/>
      <c r="IM163" s="63"/>
      <c r="IN163" s="63"/>
      <c r="IO163" s="67">
        <f>SUM(IK163:IN163)</f>
        <v>0</v>
      </c>
      <c r="IP163" s="63"/>
      <c r="IQ163" s="63"/>
      <c r="IR163" s="63"/>
      <c r="IS163" s="63"/>
      <c r="IT163" s="67">
        <f>SUM(IP163:IS163)</f>
        <v>0</v>
      </c>
      <c r="IU163" s="63"/>
      <c r="IV163" s="63"/>
    </row>
    <row r="164" spans="1:256" ht="12.75" customHeight="1" x14ac:dyDescent="0.25">
      <c r="A164" s="84" t="s">
        <v>153</v>
      </c>
      <c r="B164" s="62">
        <v>0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4">
        <f>SUM(C164:F164,H164:K164)</f>
        <v>0</v>
      </c>
      <c r="M164" s="62"/>
      <c r="N164" s="63"/>
      <c r="O164" s="63"/>
      <c r="P164" s="63"/>
      <c r="Q164" s="63"/>
      <c r="R164" s="63"/>
      <c r="S164" s="63"/>
      <c r="T164" s="63"/>
      <c r="U164" s="63"/>
      <c r="V164" s="63"/>
      <c r="W164" s="64">
        <f>SUM(N164:Q164,S164:V164)</f>
        <v>0</v>
      </c>
      <c r="X164" s="62"/>
      <c r="Y164" s="63"/>
      <c r="Z164" s="63"/>
      <c r="AA164" s="63"/>
      <c r="AB164" s="63"/>
      <c r="AC164" s="63"/>
      <c r="AD164" s="63"/>
      <c r="AE164" s="63"/>
      <c r="AF164" s="63"/>
      <c r="AG164" s="63"/>
      <c r="AH164" s="64">
        <f>SUM(Y164:AB164,AD164:AG164)</f>
        <v>0</v>
      </c>
      <c r="AI164" s="62"/>
      <c r="AJ164" s="63"/>
      <c r="AK164" s="63"/>
      <c r="AL164" s="63"/>
      <c r="AM164" s="63"/>
      <c r="AN164" s="63"/>
      <c r="AO164" s="63"/>
      <c r="AP164" s="63"/>
      <c r="AQ164" s="63"/>
      <c r="AR164" s="63"/>
      <c r="AS164" s="64">
        <f>SUM(AJ164:AM164,AO164:AR164)</f>
        <v>0</v>
      </c>
      <c r="AT164" s="65">
        <f t="shared" si="1030"/>
        <v>0</v>
      </c>
      <c r="AU164" s="65">
        <f t="shared" si="1030"/>
        <v>0</v>
      </c>
      <c r="AV164" s="65">
        <f t="shared" si="1030"/>
        <v>0</v>
      </c>
      <c r="AW164" s="65">
        <f t="shared" si="1030"/>
        <v>0</v>
      </c>
      <c r="AX164" s="65">
        <f t="shared" si="1030"/>
        <v>0</v>
      </c>
      <c r="AY164" s="65">
        <f t="shared" si="1030"/>
        <v>0</v>
      </c>
      <c r="AZ164" s="65">
        <f t="shared" si="1030"/>
        <v>0</v>
      </c>
      <c r="BA164" s="65">
        <f t="shared" si="1030"/>
        <v>0</v>
      </c>
      <c r="BB164" s="65">
        <f t="shared" si="1030"/>
        <v>0</v>
      </c>
      <c r="BC164" s="65">
        <f t="shared" si="1030"/>
        <v>0</v>
      </c>
      <c r="BD164" s="64">
        <f>SUM(AU164:AX164,AZ164:BC164)</f>
        <v>0</v>
      </c>
      <c r="BE164" s="62"/>
      <c r="BF164" s="63"/>
      <c r="BG164" s="63"/>
      <c r="BH164" s="63"/>
      <c r="BI164" s="63"/>
      <c r="BJ164" s="63"/>
      <c r="BK164" s="63"/>
      <c r="BL164" s="63"/>
      <c r="BM164" s="63"/>
      <c r="BN164" s="63"/>
      <c r="BO164" s="64">
        <f>SUM(BF164:BI164,BK164:BN164)</f>
        <v>0</v>
      </c>
      <c r="BP164" s="62"/>
      <c r="BQ164" s="63"/>
      <c r="BR164" s="63"/>
      <c r="BS164" s="63"/>
      <c r="BT164" s="63"/>
      <c r="BU164" s="63"/>
      <c r="BV164" s="63"/>
      <c r="BW164" s="63"/>
      <c r="BX164" s="63"/>
      <c r="BY164" s="63"/>
      <c r="BZ164" s="64">
        <f>SUM(BQ164:BT164,BV164:BY164)</f>
        <v>0</v>
      </c>
      <c r="CA164" s="62"/>
      <c r="CB164" s="63"/>
      <c r="CC164" s="63"/>
      <c r="CD164" s="63"/>
      <c r="CE164" s="63"/>
      <c r="CF164" s="63"/>
      <c r="CG164" s="63"/>
      <c r="CH164" s="63"/>
      <c r="CI164" s="63"/>
      <c r="CJ164" s="63"/>
      <c r="CK164" s="64">
        <f>SUM(CB164:CE164,CG164:CJ164)</f>
        <v>0</v>
      </c>
      <c r="CL164" s="65">
        <f t="shared" si="1031"/>
        <v>0</v>
      </c>
      <c r="CM164" s="65">
        <f t="shared" si="1031"/>
        <v>0</v>
      </c>
      <c r="CN164" s="65">
        <f t="shared" si="1031"/>
        <v>0</v>
      </c>
      <c r="CO164" s="65">
        <f t="shared" si="1031"/>
        <v>0</v>
      </c>
      <c r="CP164" s="65">
        <f t="shared" si="1031"/>
        <v>0</v>
      </c>
      <c r="CQ164" s="65">
        <f t="shared" si="1031"/>
        <v>0</v>
      </c>
      <c r="CR164" s="65">
        <f t="shared" si="1031"/>
        <v>0</v>
      </c>
      <c r="CS164" s="65">
        <f t="shared" si="1031"/>
        <v>0</v>
      </c>
      <c r="CT164" s="65">
        <f t="shared" si="1031"/>
        <v>0</v>
      </c>
      <c r="CU164" s="65">
        <f t="shared" si="1031"/>
        <v>0</v>
      </c>
      <c r="CV164" s="64">
        <f>SUM(CM164:CP164,CR164:CU164)</f>
        <v>0</v>
      </c>
      <c r="CW164" s="62"/>
      <c r="CX164" s="63"/>
      <c r="CY164" s="63"/>
      <c r="CZ164" s="63"/>
      <c r="DA164" s="63"/>
      <c r="DB164" s="63"/>
      <c r="DC164" s="63"/>
      <c r="DD164" s="63"/>
      <c r="DE164" s="63"/>
      <c r="DF164" s="63"/>
      <c r="DG164" s="64">
        <f>SUM(CX164:DA164,DC164:DF164)</f>
        <v>0</v>
      </c>
      <c r="DH164" s="62"/>
      <c r="DI164" s="63"/>
      <c r="DJ164" s="63"/>
      <c r="DK164" s="63"/>
      <c r="DL164" s="63"/>
      <c r="DM164" s="63"/>
      <c r="DN164" s="63"/>
      <c r="DO164" s="63"/>
      <c r="DP164" s="63"/>
      <c r="DQ164" s="63"/>
      <c r="DR164" s="64">
        <f>SUM(DI164:DL164,DN164:DQ164)</f>
        <v>0</v>
      </c>
      <c r="DS164" s="62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5">
        <f t="shared" si="1032"/>
        <v>0</v>
      </c>
      <c r="EE164" s="65">
        <f t="shared" si="1032"/>
        <v>0</v>
      </c>
      <c r="EF164" s="65">
        <f t="shared" si="1032"/>
        <v>0</v>
      </c>
      <c r="EG164" s="65">
        <f t="shared" si="1032"/>
        <v>0</v>
      </c>
      <c r="EH164" s="65">
        <f t="shared" si="1032"/>
        <v>0</v>
      </c>
      <c r="EI164" s="65">
        <f t="shared" si="1032"/>
        <v>0</v>
      </c>
      <c r="EJ164" s="65">
        <f t="shared" si="1032"/>
        <v>0</v>
      </c>
      <c r="EK164" s="65">
        <f t="shared" si="1032"/>
        <v>0</v>
      </c>
      <c r="EL164" s="65">
        <f t="shared" si="1032"/>
        <v>0</v>
      </c>
      <c r="EM164" s="65">
        <f t="shared" si="1032"/>
        <v>0</v>
      </c>
      <c r="EN164" s="64">
        <f>SUM(EE164:EH164,EJ164:EM164)</f>
        <v>0</v>
      </c>
      <c r="EO164" s="62"/>
      <c r="EP164" s="63"/>
      <c r="EQ164" s="63"/>
      <c r="ER164" s="63"/>
      <c r="ES164" s="63"/>
      <c r="ET164" s="63"/>
      <c r="EU164" s="63"/>
      <c r="EV164" s="63"/>
      <c r="EW164" s="63"/>
      <c r="EX164" s="63"/>
      <c r="EY164" s="64">
        <f>SUM(EP164:ES164,EU164:EX164)</f>
        <v>0</v>
      </c>
      <c r="EZ164" s="62"/>
      <c r="FA164" s="63"/>
      <c r="FB164" s="63"/>
      <c r="FC164" s="63"/>
      <c r="FD164" s="63"/>
      <c r="FE164" s="63"/>
      <c r="FF164" s="63"/>
      <c r="FG164" s="63"/>
      <c r="FH164" s="63"/>
      <c r="FI164" s="63"/>
      <c r="FJ164" s="64">
        <f>SUM(FA164:FD164,FF164:FI164)</f>
        <v>0</v>
      </c>
      <c r="FK164" s="62"/>
      <c r="FL164" s="63"/>
      <c r="FM164" s="63"/>
      <c r="FN164" s="63"/>
      <c r="FO164" s="63"/>
      <c r="FP164" s="63"/>
      <c r="FQ164" s="63"/>
      <c r="FR164" s="63"/>
      <c r="FS164" s="63"/>
      <c r="FT164" s="63"/>
      <c r="FU164" s="64">
        <f>SUM(FL164:FO164,FQ164:FT164)</f>
        <v>0</v>
      </c>
      <c r="FV164" s="65">
        <f t="shared" si="1033"/>
        <v>0</v>
      </c>
      <c r="FW164" s="65">
        <f t="shared" si="1033"/>
        <v>0</v>
      </c>
      <c r="FX164" s="65">
        <f t="shared" si="1033"/>
        <v>0</v>
      </c>
      <c r="FY164" s="65">
        <f t="shared" si="1033"/>
        <v>0</v>
      </c>
      <c r="FZ164" s="65">
        <f t="shared" si="1033"/>
        <v>0</v>
      </c>
      <c r="GA164" s="65">
        <f t="shared" si="1033"/>
        <v>0</v>
      </c>
      <c r="GB164" s="65">
        <f t="shared" si="1033"/>
        <v>0</v>
      </c>
      <c r="GC164" s="65">
        <f t="shared" si="1033"/>
        <v>0</v>
      </c>
      <c r="GD164" s="65">
        <f t="shared" si="1033"/>
        <v>0</v>
      </c>
      <c r="GE164" s="65">
        <f t="shared" si="1033"/>
        <v>0</v>
      </c>
      <c r="GF164" s="64">
        <f>SUM(FW164:FZ164,GB164:GE164)</f>
        <v>0</v>
      </c>
      <c r="GG164" s="66">
        <f t="shared" si="1034"/>
        <v>0</v>
      </c>
      <c r="GH164" s="66">
        <f t="shared" si="1034"/>
        <v>0</v>
      </c>
      <c r="GI164" s="66">
        <f t="shared" si="1034"/>
        <v>0</v>
      </c>
      <c r="GJ164" s="66">
        <f t="shared" si="1034"/>
        <v>0</v>
      </c>
      <c r="GK164" s="66">
        <f t="shared" si="1034"/>
        <v>0</v>
      </c>
      <c r="GL164" s="66">
        <f t="shared" si="1034"/>
        <v>0</v>
      </c>
      <c r="GM164" s="66">
        <f t="shared" si="1034"/>
        <v>0</v>
      </c>
      <c r="GN164" s="66">
        <f t="shared" si="1034"/>
        <v>0</v>
      </c>
      <c r="GO164" s="66">
        <f t="shared" si="1034"/>
        <v>0</v>
      </c>
      <c r="GP164" s="66">
        <f t="shared" si="1034"/>
        <v>0</v>
      </c>
      <c r="GQ164" s="64">
        <f>SUM(GH164:GK164,GM164:GP164)</f>
        <v>0</v>
      </c>
      <c r="GR164" s="63"/>
      <c r="GS164" s="63"/>
      <c r="GT164" s="63"/>
      <c r="GU164" s="63"/>
      <c r="GV164" s="67">
        <f>SUM(GR164:GU164)</f>
        <v>0</v>
      </c>
      <c r="GW164" s="63"/>
      <c r="GX164" s="63"/>
      <c r="GY164" s="63"/>
      <c r="GZ164" s="63"/>
      <c r="HA164" s="67">
        <f>SUM(GW164:GZ164)</f>
        <v>0</v>
      </c>
      <c r="HB164" s="63"/>
      <c r="HC164" s="63"/>
      <c r="HD164" s="63"/>
      <c r="HE164" s="63"/>
      <c r="HF164" s="67">
        <f>SUM(HB164:HE164)</f>
        <v>0</v>
      </c>
      <c r="HG164" s="63"/>
      <c r="HH164" s="63"/>
      <c r="HI164" s="63"/>
      <c r="HJ164" s="63"/>
      <c r="HK164" s="67">
        <f>SUM(HG164:HJ164)</f>
        <v>0</v>
      </c>
      <c r="HL164" s="68">
        <f t="shared" si="1035"/>
        <v>0</v>
      </c>
      <c r="HM164" s="68">
        <f t="shared" si="1035"/>
        <v>0</v>
      </c>
      <c r="HN164" s="68">
        <f t="shared" si="1035"/>
        <v>0</v>
      </c>
      <c r="HO164" s="68">
        <f t="shared" si="1035"/>
        <v>0</v>
      </c>
      <c r="HP164" s="67">
        <f>SUM(HL164:HO164)</f>
        <v>0</v>
      </c>
      <c r="HQ164" s="63"/>
      <c r="HR164" s="63"/>
      <c r="HS164" s="63"/>
      <c r="HT164" s="63"/>
      <c r="HU164" s="67">
        <f>SUM(HQ164:HT164)</f>
        <v>0</v>
      </c>
      <c r="HV164" s="63"/>
      <c r="HW164" s="63"/>
      <c r="HX164" s="63"/>
      <c r="HY164" s="63"/>
      <c r="HZ164" s="67">
        <f>SUM(HV164:HY164)</f>
        <v>0</v>
      </c>
      <c r="IA164" s="63"/>
      <c r="IB164" s="63"/>
      <c r="IC164" s="63"/>
      <c r="ID164" s="63"/>
      <c r="IE164" s="67">
        <f>SUM(IA164:ID164)</f>
        <v>0</v>
      </c>
      <c r="IF164" s="68">
        <f t="shared" si="1036"/>
        <v>0</v>
      </c>
      <c r="IG164" s="68">
        <f t="shared" si="1036"/>
        <v>0</v>
      </c>
      <c r="IH164" s="68">
        <f t="shared" si="1036"/>
        <v>0</v>
      </c>
      <c r="II164" s="68">
        <f t="shared" si="1036"/>
        <v>0</v>
      </c>
      <c r="IJ164" s="67">
        <f>SUM(IF164:II164)</f>
        <v>0</v>
      </c>
      <c r="IK164" s="63"/>
      <c r="IL164" s="63"/>
      <c r="IM164" s="63"/>
      <c r="IN164" s="63"/>
      <c r="IO164" s="67">
        <f>SUM(IK164:IN164)</f>
        <v>0</v>
      </c>
      <c r="IP164" s="63"/>
      <c r="IQ164" s="63"/>
      <c r="IR164" s="63"/>
      <c r="IS164" s="63"/>
      <c r="IT164" s="67">
        <f>SUM(IP164:IS164)</f>
        <v>0</v>
      </c>
      <c r="IU164" s="63"/>
      <c r="IV164" s="63"/>
    </row>
    <row r="165" spans="1:256" ht="12.75" customHeight="1" x14ac:dyDescent="0.25">
      <c r="A165" s="83" t="s">
        <v>154</v>
      </c>
      <c r="B165" s="62">
        <v>6</v>
      </c>
      <c r="C165" s="63"/>
      <c r="D165" s="63"/>
      <c r="E165" s="63"/>
      <c r="F165" s="63"/>
      <c r="G165" s="63"/>
      <c r="H165" s="63"/>
      <c r="I165" s="63"/>
      <c r="J165" s="63"/>
      <c r="K165" s="63"/>
      <c r="L165" s="64">
        <f>SUM(C165:F165,H165:K165)</f>
        <v>0</v>
      </c>
      <c r="M165" s="62"/>
      <c r="N165" s="63"/>
      <c r="O165" s="63"/>
      <c r="P165" s="63"/>
      <c r="Q165" s="63"/>
      <c r="R165" s="63"/>
      <c r="S165" s="63"/>
      <c r="T165" s="63"/>
      <c r="U165" s="63"/>
      <c r="V165" s="63"/>
      <c r="W165" s="64">
        <f>SUM(N165:Q165,S165:V165)</f>
        <v>0</v>
      </c>
      <c r="X165" s="62"/>
      <c r="Y165" s="63"/>
      <c r="Z165" s="63"/>
      <c r="AA165" s="63"/>
      <c r="AB165" s="63"/>
      <c r="AC165" s="63"/>
      <c r="AD165" s="63"/>
      <c r="AE165" s="63"/>
      <c r="AF165" s="63"/>
      <c r="AG165" s="63"/>
      <c r="AH165" s="64">
        <f>SUM(Y165:AB165,AD165:AG165)</f>
        <v>0</v>
      </c>
      <c r="AI165" s="62"/>
      <c r="AJ165" s="63"/>
      <c r="AK165" s="63"/>
      <c r="AL165" s="63"/>
      <c r="AM165" s="63"/>
      <c r="AN165" s="63"/>
      <c r="AO165" s="63"/>
      <c r="AP165" s="63"/>
      <c r="AQ165" s="63"/>
      <c r="AR165" s="63"/>
      <c r="AS165" s="64">
        <f>SUM(AJ165:AM165,AO165:AR165)</f>
        <v>0</v>
      </c>
      <c r="AT165" s="65">
        <f t="shared" si="1030"/>
        <v>0</v>
      </c>
      <c r="AU165" s="65">
        <f t="shared" si="1030"/>
        <v>0</v>
      </c>
      <c r="AV165" s="65">
        <f t="shared" si="1030"/>
        <v>0</v>
      </c>
      <c r="AW165" s="65">
        <f t="shared" si="1030"/>
        <v>0</v>
      </c>
      <c r="AX165" s="65">
        <f t="shared" si="1030"/>
        <v>0</v>
      </c>
      <c r="AY165" s="65">
        <f t="shared" si="1030"/>
        <v>0</v>
      </c>
      <c r="AZ165" s="65">
        <f t="shared" si="1030"/>
        <v>0</v>
      </c>
      <c r="BA165" s="65">
        <f t="shared" si="1030"/>
        <v>0</v>
      </c>
      <c r="BB165" s="65">
        <f t="shared" si="1030"/>
        <v>0</v>
      </c>
      <c r="BC165" s="65">
        <f t="shared" si="1030"/>
        <v>0</v>
      </c>
      <c r="BD165" s="64">
        <f>SUM(AU165:AX165,AZ165:BC165)</f>
        <v>0</v>
      </c>
      <c r="BE165" s="62"/>
      <c r="BF165" s="63"/>
      <c r="BG165" s="63"/>
      <c r="BH165" s="63"/>
      <c r="BI165" s="63"/>
      <c r="BJ165" s="63"/>
      <c r="BK165" s="63"/>
      <c r="BL165" s="63"/>
      <c r="BM165" s="63"/>
      <c r="BN165" s="63"/>
      <c r="BO165" s="64">
        <f>SUM(BF165:BI165,BK165:BN165)</f>
        <v>0</v>
      </c>
      <c r="BP165" s="62"/>
      <c r="BQ165" s="63"/>
      <c r="BR165" s="63"/>
      <c r="BS165" s="63"/>
      <c r="BT165" s="63"/>
      <c r="BU165" s="63"/>
      <c r="BV165" s="63"/>
      <c r="BW165" s="63"/>
      <c r="BX165" s="63"/>
      <c r="BY165" s="63"/>
      <c r="BZ165" s="64">
        <f>SUM(BQ165:BT165,BV165:BY165)</f>
        <v>0</v>
      </c>
      <c r="CA165" s="62"/>
      <c r="CB165" s="63"/>
      <c r="CC165" s="63"/>
      <c r="CD165" s="63"/>
      <c r="CE165" s="63"/>
      <c r="CF165" s="63"/>
      <c r="CG165" s="63"/>
      <c r="CH165" s="63"/>
      <c r="CI165" s="63"/>
      <c r="CJ165" s="63"/>
      <c r="CK165" s="64">
        <f>SUM(CB165:CE165,CG165:CJ165)</f>
        <v>0</v>
      </c>
      <c r="CL165" s="65">
        <f t="shared" si="1031"/>
        <v>0</v>
      </c>
      <c r="CM165" s="65">
        <f t="shared" si="1031"/>
        <v>0</v>
      </c>
      <c r="CN165" s="65">
        <f t="shared" si="1031"/>
        <v>0</v>
      </c>
      <c r="CO165" s="65">
        <f t="shared" si="1031"/>
        <v>0</v>
      </c>
      <c r="CP165" s="65">
        <f t="shared" si="1031"/>
        <v>0</v>
      </c>
      <c r="CQ165" s="65">
        <f t="shared" si="1031"/>
        <v>0</v>
      </c>
      <c r="CR165" s="65">
        <f t="shared" si="1031"/>
        <v>0</v>
      </c>
      <c r="CS165" s="65">
        <f t="shared" si="1031"/>
        <v>0</v>
      </c>
      <c r="CT165" s="65">
        <f t="shared" si="1031"/>
        <v>0</v>
      </c>
      <c r="CU165" s="65">
        <f t="shared" si="1031"/>
        <v>0</v>
      </c>
      <c r="CV165" s="64">
        <f>SUM(CM165:CP165,CR165:CU165)</f>
        <v>0</v>
      </c>
      <c r="CW165" s="62"/>
      <c r="CX165" s="63"/>
      <c r="CY165" s="63"/>
      <c r="CZ165" s="63"/>
      <c r="DA165" s="63"/>
      <c r="DB165" s="63"/>
      <c r="DC165" s="63"/>
      <c r="DD165" s="63"/>
      <c r="DE165" s="63"/>
      <c r="DF165" s="63"/>
      <c r="DG165" s="64">
        <f>SUM(CX165:DA165,DC165:DF165)</f>
        <v>0</v>
      </c>
      <c r="DH165" s="62"/>
      <c r="DI165" s="63"/>
      <c r="DJ165" s="63"/>
      <c r="DK165" s="63"/>
      <c r="DL165" s="63"/>
      <c r="DM165" s="63"/>
      <c r="DN165" s="63"/>
      <c r="DO165" s="63"/>
      <c r="DP165" s="63"/>
      <c r="DQ165" s="63"/>
      <c r="DR165" s="64">
        <f>SUM(DI165:DL165,DN165:DQ165)</f>
        <v>0</v>
      </c>
      <c r="DS165" s="62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5">
        <f t="shared" si="1032"/>
        <v>0</v>
      </c>
      <c r="EE165" s="65">
        <f t="shared" si="1032"/>
        <v>0</v>
      </c>
      <c r="EF165" s="65">
        <f t="shared" si="1032"/>
        <v>0</v>
      </c>
      <c r="EG165" s="65">
        <f t="shared" si="1032"/>
        <v>0</v>
      </c>
      <c r="EH165" s="65">
        <f t="shared" si="1032"/>
        <v>0</v>
      </c>
      <c r="EI165" s="65">
        <f t="shared" si="1032"/>
        <v>0</v>
      </c>
      <c r="EJ165" s="65">
        <f t="shared" si="1032"/>
        <v>0</v>
      </c>
      <c r="EK165" s="65">
        <f t="shared" si="1032"/>
        <v>0</v>
      </c>
      <c r="EL165" s="65">
        <f t="shared" si="1032"/>
        <v>0</v>
      </c>
      <c r="EM165" s="65">
        <f t="shared" si="1032"/>
        <v>0</v>
      </c>
      <c r="EN165" s="64">
        <f>SUM(EE165:EH165,EJ165:EM165)</f>
        <v>0</v>
      </c>
      <c r="EO165" s="62"/>
      <c r="EP165" s="63"/>
      <c r="EQ165" s="63"/>
      <c r="ER165" s="63"/>
      <c r="ES165" s="63"/>
      <c r="ET165" s="63"/>
      <c r="EU165" s="63"/>
      <c r="EV165" s="63"/>
      <c r="EW165" s="63"/>
      <c r="EX165" s="63"/>
      <c r="EY165" s="64">
        <f>SUM(EP165:ES165,EU165:EX165)</f>
        <v>0</v>
      </c>
      <c r="EZ165" s="62"/>
      <c r="FA165" s="63"/>
      <c r="FB165" s="63"/>
      <c r="FC165" s="63"/>
      <c r="FD165" s="63"/>
      <c r="FE165" s="63"/>
      <c r="FF165" s="63"/>
      <c r="FG165" s="63"/>
      <c r="FH165" s="63"/>
      <c r="FI165" s="63"/>
      <c r="FJ165" s="64">
        <f>SUM(FA165:FD165,FF165:FI165)</f>
        <v>0</v>
      </c>
      <c r="FK165" s="62"/>
      <c r="FL165" s="63"/>
      <c r="FM165" s="63"/>
      <c r="FN165" s="63"/>
      <c r="FO165" s="63"/>
      <c r="FP165" s="63"/>
      <c r="FQ165" s="63"/>
      <c r="FR165" s="63"/>
      <c r="FS165" s="63"/>
      <c r="FT165" s="63"/>
      <c r="FU165" s="64">
        <f>SUM(FL165:FO165,FQ165:FT165)</f>
        <v>0</v>
      </c>
      <c r="FV165" s="65">
        <f t="shared" si="1033"/>
        <v>0</v>
      </c>
      <c r="FW165" s="65">
        <f t="shared" si="1033"/>
        <v>0</v>
      </c>
      <c r="FX165" s="65">
        <f t="shared" si="1033"/>
        <v>0</v>
      </c>
      <c r="FY165" s="65">
        <f t="shared" si="1033"/>
        <v>0</v>
      </c>
      <c r="FZ165" s="65">
        <f t="shared" si="1033"/>
        <v>0</v>
      </c>
      <c r="GA165" s="65">
        <f t="shared" si="1033"/>
        <v>0</v>
      </c>
      <c r="GB165" s="65">
        <f t="shared" si="1033"/>
        <v>0</v>
      </c>
      <c r="GC165" s="65">
        <f t="shared" si="1033"/>
        <v>0</v>
      </c>
      <c r="GD165" s="65">
        <f t="shared" si="1033"/>
        <v>0</v>
      </c>
      <c r="GE165" s="65">
        <f t="shared" si="1033"/>
        <v>0</v>
      </c>
      <c r="GF165" s="64">
        <f>SUM(FW165:FZ165,GB165:GE165)</f>
        <v>0</v>
      </c>
      <c r="GG165" s="66">
        <f t="shared" si="1034"/>
        <v>0</v>
      </c>
      <c r="GH165" s="66">
        <f t="shared" si="1034"/>
        <v>0</v>
      </c>
      <c r="GI165" s="66">
        <f t="shared" si="1034"/>
        <v>0</v>
      </c>
      <c r="GJ165" s="66">
        <f t="shared" si="1034"/>
        <v>0</v>
      </c>
      <c r="GK165" s="66">
        <f t="shared" si="1034"/>
        <v>0</v>
      </c>
      <c r="GL165" s="66">
        <f t="shared" si="1034"/>
        <v>0</v>
      </c>
      <c r="GM165" s="66">
        <f t="shared" si="1034"/>
        <v>0</v>
      </c>
      <c r="GN165" s="66">
        <f t="shared" si="1034"/>
        <v>0</v>
      </c>
      <c r="GO165" s="66">
        <f t="shared" si="1034"/>
        <v>0</v>
      </c>
      <c r="GP165" s="66">
        <f t="shared" si="1034"/>
        <v>0</v>
      </c>
      <c r="GQ165" s="64">
        <f>SUM(GH165:GK165,GM165:GP165)</f>
        <v>0</v>
      </c>
      <c r="GR165" s="63"/>
      <c r="GS165" s="63"/>
      <c r="GT165" s="63"/>
      <c r="GU165" s="63"/>
      <c r="GV165" s="67">
        <f>SUM(GR165:GU165)</f>
        <v>0</v>
      </c>
      <c r="GW165" s="63"/>
      <c r="GX165" s="63"/>
      <c r="GY165" s="63"/>
      <c r="GZ165" s="63"/>
      <c r="HA165" s="67">
        <f>SUM(GW165:GZ165)</f>
        <v>0</v>
      </c>
      <c r="HB165" s="63"/>
      <c r="HC165" s="63"/>
      <c r="HD165" s="63"/>
      <c r="HE165" s="63"/>
      <c r="HF165" s="67">
        <f>SUM(HB165:HE165)</f>
        <v>0</v>
      </c>
      <c r="HG165" s="63"/>
      <c r="HH165" s="63"/>
      <c r="HI165" s="63"/>
      <c r="HJ165" s="63"/>
      <c r="HK165" s="67">
        <f>SUM(HG165:HJ165)</f>
        <v>0</v>
      </c>
      <c r="HL165" s="68">
        <f t="shared" si="1035"/>
        <v>0</v>
      </c>
      <c r="HM165" s="68">
        <f t="shared" si="1035"/>
        <v>0</v>
      </c>
      <c r="HN165" s="68">
        <f t="shared" si="1035"/>
        <v>0</v>
      </c>
      <c r="HO165" s="68">
        <f t="shared" si="1035"/>
        <v>0</v>
      </c>
      <c r="HP165" s="67">
        <f>SUM(HL165:HO165)</f>
        <v>0</v>
      </c>
      <c r="HQ165" s="63"/>
      <c r="HR165" s="63"/>
      <c r="HS165" s="63"/>
      <c r="HT165" s="63"/>
      <c r="HU165" s="67">
        <f>SUM(HQ165:HT165)</f>
        <v>0</v>
      </c>
      <c r="HV165" s="63"/>
      <c r="HW165" s="63"/>
      <c r="HX165" s="63"/>
      <c r="HY165" s="63"/>
      <c r="HZ165" s="67">
        <f>SUM(HV165:HY165)</f>
        <v>0</v>
      </c>
      <c r="IA165" s="63"/>
      <c r="IB165" s="63"/>
      <c r="IC165" s="63"/>
      <c r="ID165" s="63"/>
      <c r="IE165" s="67">
        <f>SUM(IA165:ID165)</f>
        <v>0</v>
      </c>
      <c r="IF165" s="68">
        <f t="shared" si="1036"/>
        <v>0</v>
      </c>
      <c r="IG165" s="68">
        <f t="shared" si="1036"/>
        <v>0</v>
      </c>
      <c r="IH165" s="68">
        <f t="shared" si="1036"/>
        <v>0</v>
      </c>
      <c r="II165" s="68">
        <f t="shared" si="1036"/>
        <v>0</v>
      </c>
      <c r="IJ165" s="67">
        <f>SUM(IF165:II165)</f>
        <v>0</v>
      </c>
      <c r="IK165" s="63"/>
      <c r="IL165" s="63"/>
      <c r="IM165" s="63"/>
      <c r="IN165" s="63"/>
      <c r="IO165" s="67">
        <f>SUM(IK165:IN165)</f>
        <v>0</v>
      </c>
      <c r="IP165" s="63"/>
      <c r="IQ165" s="63"/>
      <c r="IR165" s="63"/>
      <c r="IS165" s="63"/>
      <c r="IT165" s="67">
        <f>SUM(IP165:IS165)</f>
        <v>0</v>
      </c>
      <c r="IU165" s="63"/>
      <c r="IV165" s="63"/>
    </row>
    <row r="166" spans="1:256" s="78" customFormat="1" ht="12.75" customHeight="1" x14ac:dyDescent="0.25">
      <c r="A166" s="147" t="s">
        <v>155</v>
      </c>
      <c r="B166" s="148"/>
      <c r="C166" s="82">
        <f t="shared" ref="C166:L166" si="1037">SUM(C167:C169)</f>
        <v>0</v>
      </c>
      <c r="D166" s="82">
        <f t="shared" si="1037"/>
        <v>0</v>
      </c>
      <c r="E166" s="82">
        <f t="shared" si="1037"/>
        <v>0</v>
      </c>
      <c r="F166" s="82">
        <f t="shared" si="1037"/>
        <v>0</v>
      </c>
      <c r="G166" s="82">
        <f t="shared" si="1037"/>
        <v>0</v>
      </c>
      <c r="H166" s="82">
        <f t="shared" si="1037"/>
        <v>0</v>
      </c>
      <c r="I166" s="82">
        <f t="shared" si="1037"/>
        <v>0</v>
      </c>
      <c r="J166" s="82">
        <f t="shared" si="1037"/>
        <v>0</v>
      </c>
      <c r="K166" s="82">
        <f t="shared" si="1037"/>
        <v>0</v>
      </c>
      <c r="L166" s="82">
        <f t="shared" si="1037"/>
        <v>0</v>
      </c>
      <c r="M166" s="148"/>
      <c r="N166" s="82">
        <f t="shared" ref="N166:V166" si="1038">SUM(N167:N169)</f>
        <v>0</v>
      </c>
      <c r="O166" s="82">
        <f t="shared" si="1038"/>
        <v>0</v>
      </c>
      <c r="P166" s="82">
        <f t="shared" si="1038"/>
        <v>0</v>
      </c>
      <c r="Q166" s="82">
        <f t="shared" si="1038"/>
        <v>0</v>
      </c>
      <c r="R166" s="82">
        <f t="shared" si="1038"/>
        <v>0</v>
      </c>
      <c r="S166" s="82">
        <f t="shared" si="1038"/>
        <v>0</v>
      </c>
      <c r="T166" s="82">
        <f t="shared" si="1038"/>
        <v>0</v>
      </c>
      <c r="U166" s="82">
        <f t="shared" si="1038"/>
        <v>0</v>
      </c>
      <c r="V166" s="82">
        <f t="shared" si="1038"/>
        <v>0</v>
      </c>
      <c r="W166" s="82">
        <f>SUM(W167:W169)</f>
        <v>0</v>
      </c>
      <c r="X166" s="148"/>
      <c r="Y166" s="82">
        <f t="shared" ref="Y166:AG166" si="1039">SUM(Y167:Y169)</f>
        <v>0</v>
      </c>
      <c r="Z166" s="82">
        <f t="shared" si="1039"/>
        <v>0</v>
      </c>
      <c r="AA166" s="82">
        <f t="shared" si="1039"/>
        <v>0</v>
      </c>
      <c r="AB166" s="82">
        <f t="shared" si="1039"/>
        <v>0</v>
      </c>
      <c r="AC166" s="82">
        <f t="shared" si="1039"/>
        <v>0</v>
      </c>
      <c r="AD166" s="82">
        <f t="shared" si="1039"/>
        <v>0</v>
      </c>
      <c r="AE166" s="82">
        <f t="shared" si="1039"/>
        <v>0</v>
      </c>
      <c r="AF166" s="82">
        <f t="shared" si="1039"/>
        <v>0</v>
      </c>
      <c r="AG166" s="82">
        <f t="shared" si="1039"/>
        <v>0</v>
      </c>
      <c r="AH166" s="82">
        <f>SUM(AH167:AH169)</f>
        <v>0</v>
      </c>
      <c r="AI166" s="148"/>
      <c r="AJ166" s="82">
        <f t="shared" ref="AJ166:AR166" si="1040">SUM(AJ167:AJ169)</f>
        <v>0</v>
      </c>
      <c r="AK166" s="82">
        <f t="shared" si="1040"/>
        <v>0</v>
      </c>
      <c r="AL166" s="82">
        <f t="shared" si="1040"/>
        <v>0</v>
      </c>
      <c r="AM166" s="82">
        <f t="shared" si="1040"/>
        <v>0</v>
      </c>
      <c r="AN166" s="82">
        <f t="shared" si="1040"/>
        <v>0</v>
      </c>
      <c r="AO166" s="82">
        <f t="shared" si="1040"/>
        <v>0</v>
      </c>
      <c r="AP166" s="82">
        <f t="shared" si="1040"/>
        <v>0</v>
      </c>
      <c r="AQ166" s="82">
        <f t="shared" si="1040"/>
        <v>0</v>
      </c>
      <c r="AR166" s="82">
        <f t="shared" si="1040"/>
        <v>0</v>
      </c>
      <c r="AS166" s="82">
        <f>SUM(AS167:AS169)</f>
        <v>0</v>
      </c>
      <c r="AT166" s="148"/>
      <c r="AU166" s="82">
        <f t="shared" ref="AU166:BD166" si="1041">SUM(AU167:AU169)</f>
        <v>0</v>
      </c>
      <c r="AV166" s="82">
        <f t="shared" si="1041"/>
        <v>0</v>
      </c>
      <c r="AW166" s="82">
        <f t="shared" si="1041"/>
        <v>0</v>
      </c>
      <c r="AX166" s="82">
        <f t="shared" si="1041"/>
        <v>0</v>
      </c>
      <c r="AY166" s="82">
        <f t="shared" si="1041"/>
        <v>0</v>
      </c>
      <c r="AZ166" s="82">
        <f t="shared" si="1041"/>
        <v>0</v>
      </c>
      <c r="BA166" s="82">
        <f t="shared" si="1041"/>
        <v>0</v>
      </c>
      <c r="BB166" s="82">
        <f t="shared" si="1041"/>
        <v>0</v>
      </c>
      <c r="BC166" s="82">
        <f t="shared" si="1041"/>
        <v>0</v>
      </c>
      <c r="BD166" s="82">
        <f t="shared" si="1041"/>
        <v>0</v>
      </c>
      <c r="BE166" s="148"/>
      <c r="BF166" s="82">
        <f t="shared" ref="BF166:BN166" si="1042">SUM(BF167:BF169)</f>
        <v>0</v>
      </c>
      <c r="BG166" s="82">
        <f t="shared" si="1042"/>
        <v>0</v>
      </c>
      <c r="BH166" s="82">
        <f t="shared" si="1042"/>
        <v>0</v>
      </c>
      <c r="BI166" s="82">
        <f t="shared" si="1042"/>
        <v>0</v>
      </c>
      <c r="BJ166" s="82">
        <f t="shared" si="1042"/>
        <v>0</v>
      </c>
      <c r="BK166" s="82">
        <f t="shared" si="1042"/>
        <v>0</v>
      </c>
      <c r="BL166" s="82">
        <f t="shared" si="1042"/>
        <v>0</v>
      </c>
      <c r="BM166" s="82">
        <f t="shared" si="1042"/>
        <v>0</v>
      </c>
      <c r="BN166" s="82">
        <f t="shared" si="1042"/>
        <v>0</v>
      </c>
      <c r="BO166" s="82">
        <f>SUM(BO167:BO169)</f>
        <v>0</v>
      </c>
      <c r="BP166" s="148"/>
      <c r="BQ166" s="82">
        <f t="shared" ref="BQ166:BY166" si="1043">SUM(BQ167:BQ169)</f>
        <v>0</v>
      </c>
      <c r="BR166" s="82">
        <f t="shared" si="1043"/>
        <v>0</v>
      </c>
      <c r="BS166" s="82">
        <f t="shared" si="1043"/>
        <v>0</v>
      </c>
      <c r="BT166" s="82">
        <f t="shared" si="1043"/>
        <v>0</v>
      </c>
      <c r="BU166" s="82">
        <f t="shared" si="1043"/>
        <v>0</v>
      </c>
      <c r="BV166" s="82">
        <f t="shared" si="1043"/>
        <v>0</v>
      </c>
      <c r="BW166" s="82">
        <f t="shared" si="1043"/>
        <v>0</v>
      </c>
      <c r="BX166" s="82">
        <f t="shared" si="1043"/>
        <v>0</v>
      </c>
      <c r="BY166" s="82">
        <f t="shared" si="1043"/>
        <v>0</v>
      </c>
      <c r="BZ166" s="82">
        <f>SUM(BZ167:BZ169)</f>
        <v>0</v>
      </c>
      <c r="CA166" s="148"/>
      <c r="CB166" s="82">
        <f t="shared" ref="CB166:CJ166" si="1044">SUM(CB167:CB169)</f>
        <v>0</v>
      </c>
      <c r="CC166" s="82">
        <f t="shared" si="1044"/>
        <v>0</v>
      </c>
      <c r="CD166" s="82">
        <f t="shared" si="1044"/>
        <v>0</v>
      </c>
      <c r="CE166" s="82">
        <f t="shared" si="1044"/>
        <v>0</v>
      </c>
      <c r="CF166" s="82">
        <f t="shared" si="1044"/>
        <v>0</v>
      </c>
      <c r="CG166" s="82">
        <f t="shared" si="1044"/>
        <v>0</v>
      </c>
      <c r="CH166" s="82">
        <f t="shared" si="1044"/>
        <v>0</v>
      </c>
      <c r="CI166" s="82">
        <f t="shared" si="1044"/>
        <v>0</v>
      </c>
      <c r="CJ166" s="82">
        <f t="shared" si="1044"/>
        <v>0</v>
      </c>
      <c r="CK166" s="82">
        <f>SUM(CK167:CK169)</f>
        <v>0</v>
      </c>
      <c r="CL166" s="148"/>
      <c r="CM166" s="82">
        <f t="shared" ref="CM166:CV166" si="1045">SUM(CM167:CM169)</f>
        <v>0</v>
      </c>
      <c r="CN166" s="82">
        <f t="shared" si="1045"/>
        <v>0</v>
      </c>
      <c r="CO166" s="82">
        <f t="shared" si="1045"/>
        <v>0</v>
      </c>
      <c r="CP166" s="82">
        <f t="shared" si="1045"/>
        <v>0</v>
      </c>
      <c r="CQ166" s="82">
        <f t="shared" si="1045"/>
        <v>0</v>
      </c>
      <c r="CR166" s="82">
        <f t="shared" si="1045"/>
        <v>0</v>
      </c>
      <c r="CS166" s="82">
        <f t="shared" si="1045"/>
        <v>0</v>
      </c>
      <c r="CT166" s="82">
        <f t="shared" si="1045"/>
        <v>0</v>
      </c>
      <c r="CU166" s="82">
        <f t="shared" si="1045"/>
        <v>0</v>
      </c>
      <c r="CV166" s="82">
        <f t="shared" si="1045"/>
        <v>0</v>
      </c>
      <c r="CW166" s="148"/>
      <c r="CX166" s="82">
        <f t="shared" ref="CX166:DF166" si="1046">SUM(CX167:CX169)</f>
        <v>0</v>
      </c>
      <c r="CY166" s="82">
        <f t="shared" si="1046"/>
        <v>0</v>
      </c>
      <c r="CZ166" s="82">
        <f t="shared" si="1046"/>
        <v>0</v>
      </c>
      <c r="DA166" s="82">
        <f t="shared" si="1046"/>
        <v>0</v>
      </c>
      <c r="DB166" s="82">
        <f t="shared" si="1046"/>
        <v>0</v>
      </c>
      <c r="DC166" s="82">
        <f t="shared" si="1046"/>
        <v>0</v>
      </c>
      <c r="DD166" s="82">
        <f t="shared" si="1046"/>
        <v>0</v>
      </c>
      <c r="DE166" s="82">
        <f t="shared" si="1046"/>
        <v>0</v>
      </c>
      <c r="DF166" s="82">
        <f t="shared" si="1046"/>
        <v>0</v>
      </c>
      <c r="DG166" s="82">
        <f>SUM(DG167:DG169)</f>
        <v>0</v>
      </c>
      <c r="DH166" s="148"/>
      <c r="DI166" s="82">
        <f t="shared" ref="DI166:DQ166" si="1047">SUM(DI167:DI169)</f>
        <v>0</v>
      </c>
      <c r="DJ166" s="82">
        <f t="shared" si="1047"/>
        <v>0</v>
      </c>
      <c r="DK166" s="82">
        <f t="shared" si="1047"/>
        <v>0</v>
      </c>
      <c r="DL166" s="82">
        <f t="shared" si="1047"/>
        <v>0</v>
      </c>
      <c r="DM166" s="82">
        <f t="shared" si="1047"/>
        <v>0</v>
      </c>
      <c r="DN166" s="82">
        <f t="shared" si="1047"/>
        <v>0</v>
      </c>
      <c r="DO166" s="82">
        <f t="shared" si="1047"/>
        <v>0</v>
      </c>
      <c r="DP166" s="82">
        <f t="shared" si="1047"/>
        <v>0</v>
      </c>
      <c r="DQ166" s="82">
        <f t="shared" si="1047"/>
        <v>0</v>
      </c>
      <c r="DR166" s="82">
        <f>SUM(DR167:DR169)</f>
        <v>0</v>
      </c>
      <c r="DS166" s="148"/>
      <c r="DT166" s="82">
        <f t="shared" ref="DT166:EB166" si="1048">SUM(DT167:DT169)</f>
        <v>0</v>
      </c>
      <c r="DU166" s="82">
        <f t="shared" si="1048"/>
        <v>0</v>
      </c>
      <c r="DV166" s="82">
        <f t="shared" si="1048"/>
        <v>0</v>
      </c>
      <c r="DW166" s="82">
        <f t="shared" si="1048"/>
        <v>0</v>
      </c>
      <c r="DX166" s="82">
        <f t="shared" si="1048"/>
        <v>0</v>
      </c>
      <c r="DY166" s="82">
        <f t="shared" si="1048"/>
        <v>0</v>
      </c>
      <c r="DZ166" s="82">
        <f t="shared" si="1048"/>
        <v>0</v>
      </c>
      <c r="EA166" s="82">
        <f t="shared" si="1048"/>
        <v>0</v>
      </c>
      <c r="EB166" s="82">
        <f t="shared" si="1048"/>
        <v>0</v>
      </c>
      <c r="EC166" s="82">
        <f>SUM(EC167:EC169)</f>
        <v>0</v>
      </c>
      <c r="ED166" s="148"/>
      <c r="EE166" s="82">
        <f t="shared" ref="EE166:EN166" si="1049">SUM(EE167:EE169)</f>
        <v>0</v>
      </c>
      <c r="EF166" s="82">
        <f t="shared" si="1049"/>
        <v>0</v>
      </c>
      <c r="EG166" s="82">
        <f t="shared" si="1049"/>
        <v>0</v>
      </c>
      <c r="EH166" s="82">
        <f t="shared" si="1049"/>
        <v>0</v>
      </c>
      <c r="EI166" s="82">
        <f t="shared" si="1049"/>
        <v>0</v>
      </c>
      <c r="EJ166" s="82">
        <f t="shared" si="1049"/>
        <v>0</v>
      </c>
      <c r="EK166" s="82">
        <f t="shared" si="1049"/>
        <v>0</v>
      </c>
      <c r="EL166" s="82">
        <f t="shared" si="1049"/>
        <v>0</v>
      </c>
      <c r="EM166" s="82">
        <f t="shared" si="1049"/>
        <v>0</v>
      </c>
      <c r="EN166" s="82">
        <f t="shared" si="1049"/>
        <v>0</v>
      </c>
      <c r="EO166" s="148"/>
      <c r="EP166" s="82">
        <f t="shared" ref="EP166:EX166" si="1050">SUM(EP167:EP169)</f>
        <v>0</v>
      </c>
      <c r="EQ166" s="82">
        <f t="shared" si="1050"/>
        <v>0</v>
      </c>
      <c r="ER166" s="82">
        <f t="shared" si="1050"/>
        <v>0</v>
      </c>
      <c r="ES166" s="82">
        <f t="shared" si="1050"/>
        <v>0</v>
      </c>
      <c r="ET166" s="82">
        <f t="shared" si="1050"/>
        <v>0</v>
      </c>
      <c r="EU166" s="82">
        <f t="shared" si="1050"/>
        <v>0</v>
      </c>
      <c r="EV166" s="82">
        <f t="shared" si="1050"/>
        <v>0</v>
      </c>
      <c r="EW166" s="82">
        <f t="shared" si="1050"/>
        <v>0</v>
      </c>
      <c r="EX166" s="82">
        <f t="shared" si="1050"/>
        <v>0</v>
      </c>
      <c r="EY166" s="82">
        <f>SUM(EY167:EY169)</f>
        <v>0</v>
      </c>
      <c r="EZ166" s="148"/>
      <c r="FA166" s="82">
        <f t="shared" ref="FA166:FI166" si="1051">SUM(FA167:FA169)</f>
        <v>0</v>
      </c>
      <c r="FB166" s="82">
        <f t="shared" si="1051"/>
        <v>0</v>
      </c>
      <c r="FC166" s="82">
        <f t="shared" si="1051"/>
        <v>0</v>
      </c>
      <c r="FD166" s="82">
        <f t="shared" si="1051"/>
        <v>0</v>
      </c>
      <c r="FE166" s="82">
        <f t="shared" si="1051"/>
        <v>0</v>
      </c>
      <c r="FF166" s="82">
        <f t="shared" si="1051"/>
        <v>0</v>
      </c>
      <c r="FG166" s="82">
        <f t="shared" si="1051"/>
        <v>0</v>
      </c>
      <c r="FH166" s="82">
        <f t="shared" si="1051"/>
        <v>0</v>
      </c>
      <c r="FI166" s="82">
        <f t="shared" si="1051"/>
        <v>0</v>
      </c>
      <c r="FJ166" s="82">
        <f>SUM(FJ167:FJ169)</f>
        <v>0</v>
      </c>
      <c r="FK166" s="148"/>
      <c r="FL166" s="82">
        <f t="shared" ref="FL166:FT166" si="1052">SUM(FL167:FL169)</f>
        <v>0</v>
      </c>
      <c r="FM166" s="82">
        <f t="shared" si="1052"/>
        <v>0</v>
      </c>
      <c r="FN166" s="82">
        <f t="shared" si="1052"/>
        <v>0</v>
      </c>
      <c r="FO166" s="82">
        <f t="shared" si="1052"/>
        <v>0</v>
      </c>
      <c r="FP166" s="82">
        <f t="shared" si="1052"/>
        <v>0</v>
      </c>
      <c r="FQ166" s="82">
        <f t="shared" si="1052"/>
        <v>0</v>
      </c>
      <c r="FR166" s="82">
        <f t="shared" si="1052"/>
        <v>0</v>
      </c>
      <c r="FS166" s="82">
        <f t="shared" si="1052"/>
        <v>0</v>
      </c>
      <c r="FT166" s="82">
        <f t="shared" si="1052"/>
        <v>0</v>
      </c>
      <c r="FU166" s="82">
        <f>SUM(FU167:FU169)</f>
        <v>0</v>
      </c>
      <c r="FV166" s="148"/>
      <c r="FW166" s="82">
        <f t="shared" ref="FW166:GF166" si="1053">SUM(FW167:FW169)</f>
        <v>0</v>
      </c>
      <c r="FX166" s="82">
        <f t="shared" si="1053"/>
        <v>0</v>
      </c>
      <c r="FY166" s="82">
        <f t="shared" si="1053"/>
        <v>0</v>
      </c>
      <c r="FZ166" s="82">
        <f t="shared" si="1053"/>
        <v>0</v>
      </c>
      <c r="GA166" s="82">
        <f t="shared" si="1053"/>
        <v>0</v>
      </c>
      <c r="GB166" s="82">
        <f t="shared" si="1053"/>
        <v>0</v>
      </c>
      <c r="GC166" s="82">
        <f t="shared" si="1053"/>
        <v>0</v>
      </c>
      <c r="GD166" s="82">
        <f t="shared" si="1053"/>
        <v>0</v>
      </c>
      <c r="GE166" s="82">
        <f t="shared" si="1053"/>
        <v>0</v>
      </c>
      <c r="GF166" s="82">
        <f t="shared" si="1053"/>
        <v>0</v>
      </c>
      <c r="GG166" s="148"/>
      <c r="GH166" s="82">
        <f t="shared" ref="GH166:HK166" si="1054">SUM(GH167:GH169)</f>
        <v>0</v>
      </c>
      <c r="GI166" s="82">
        <f t="shared" si="1054"/>
        <v>0</v>
      </c>
      <c r="GJ166" s="82">
        <f t="shared" si="1054"/>
        <v>0</v>
      </c>
      <c r="GK166" s="82">
        <f t="shared" si="1054"/>
        <v>0</v>
      </c>
      <c r="GL166" s="82">
        <f t="shared" si="1054"/>
        <v>0</v>
      </c>
      <c r="GM166" s="82">
        <f t="shared" si="1054"/>
        <v>0</v>
      </c>
      <c r="GN166" s="82">
        <f t="shared" si="1054"/>
        <v>0</v>
      </c>
      <c r="GO166" s="82">
        <f t="shared" si="1054"/>
        <v>0</v>
      </c>
      <c r="GP166" s="82">
        <f t="shared" si="1054"/>
        <v>0</v>
      </c>
      <c r="GQ166" s="82">
        <f t="shared" si="1054"/>
        <v>0</v>
      </c>
      <c r="GR166" s="82">
        <f t="shared" si="1054"/>
        <v>0</v>
      </c>
      <c r="GS166" s="82">
        <f t="shared" si="1054"/>
        <v>0</v>
      </c>
      <c r="GT166" s="82">
        <f t="shared" si="1054"/>
        <v>0</v>
      </c>
      <c r="GU166" s="82">
        <f t="shared" si="1054"/>
        <v>0</v>
      </c>
      <c r="GV166" s="82">
        <f t="shared" si="1054"/>
        <v>0</v>
      </c>
      <c r="GW166" s="82">
        <f t="shared" si="1054"/>
        <v>0</v>
      </c>
      <c r="GX166" s="82">
        <f t="shared" si="1054"/>
        <v>0</v>
      </c>
      <c r="GY166" s="82">
        <f t="shared" si="1054"/>
        <v>0</v>
      </c>
      <c r="GZ166" s="82">
        <f t="shared" si="1054"/>
        <v>0</v>
      </c>
      <c r="HA166" s="82">
        <f t="shared" si="1054"/>
        <v>0</v>
      </c>
      <c r="HB166" s="82">
        <f>SUM(HB167:HB169)</f>
        <v>0</v>
      </c>
      <c r="HC166" s="82">
        <f>SUM(HC167:HC169)</f>
        <v>0</v>
      </c>
      <c r="HD166" s="82">
        <f>SUM(HD167:HD169)</f>
        <v>0</v>
      </c>
      <c r="HE166" s="82">
        <f>SUM(HE167:HE169)</f>
        <v>0</v>
      </c>
      <c r="HF166" s="82">
        <f t="shared" si="1054"/>
        <v>0</v>
      </c>
      <c r="HG166" s="82">
        <f t="shared" si="1054"/>
        <v>0</v>
      </c>
      <c r="HH166" s="82">
        <f t="shared" si="1054"/>
        <v>0</v>
      </c>
      <c r="HI166" s="82">
        <f t="shared" si="1054"/>
        <v>0</v>
      </c>
      <c r="HJ166" s="82">
        <f t="shared" si="1054"/>
        <v>0</v>
      </c>
      <c r="HK166" s="82">
        <f t="shared" si="1054"/>
        <v>0</v>
      </c>
      <c r="HL166" s="82">
        <f t="shared" ref="HL166:HT166" si="1055">SUM(HL167:HL169)</f>
        <v>0</v>
      </c>
      <c r="HM166" s="82">
        <f t="shared" si="1055"/>
        <v>0</v>
      </c>
      <c r="HN166" s="82">
        <f t="shared" si="1055"/>
        <v>0</v>
      </c>
      <c r="HO166" s="82">
        <f t="shared" si="1055"/>
        <v>0</v>
      </c>
      <c r="HP166" s="82">
        <f t="shared" si="1055"/>
        <v>0</v>
      </c>
      <c r="HQ166" s="82">
        <f t="shared" si="1055"/>
        <v>0</v>
      </c>
      <c r="HR166" s="82">
        <f t="shared" si="1055"/>
        <v>0</v>
      </c>
      <c r="HS166" s="82">
        <f t="shared" si="1055"/>
        <v>0</v>
      </c>
      <c r="HT166" s="82">
        <f t="shared" si="1055"/>
        <v>0</v>
      </c>
      <c r="HU166" s="82">
        <f t="shared" ref="HU166:IV166" si="1056">SUM(HU167:HU169)</f>
        <v>0</v>
      </c>
      <c r="HV166" s="82">
        <f t="shared" si="1056"/>
        <v>0</v>
      </c>
      <c r="HW166" s="82">
        <f t="shared" si="1056"/>
        <v>0</v>
      </c>
      <c r="HX166" s="82">
        <f t="shared" si="1056"/>
        <v>0</v>
      </c>
      <c r="HY166" s="82">
        <f t="shared" si="1056"/>
        <v>0</v>
      </c>
      <c r="HZ166" s="82">
        <f t="shared" si="1056"/>
        <v>0</v>
      </c>
      <c r="IA166" s="82">
        <f>SUM(IA167:IA169)</f>
        <v>0</v>
      </c>
      <c r="IB166" s="82">
        <f>SUM(IB167:IB169)</f>
        <v>0</v>
      </c>
      <c r="IC166" s="82">
        <f>SUM(IC167:IC169)</f>
        <v>0</v>
      </c>
      <c r="ID166" s="82">
        <f>SUM(ID167:ID169)</f>
        <v>0</v>
      </c>
      <c r="IE166" s="82">
        <f t="shared" si="1056"/>
        <v>0</v>
      </c>
      <c r="IF166" s="82">
        <f t="shared" si="1056"/>
        <v>0</v>
      </c>
      <c r="IG166" s="82">
        <f t="shared" si="1056"/>
        <v>0</v>
      </c>
      <c r="IH166" s="82">
        <f t="shared" si="1056"/>
        <v>0</v>
      </c>
      <c r="II166" s="82">
        <f t="shared" si="1056"/>
        <v>0</v>
      </c>
      <c r="IJ166" s="82">
        <f t="shared" si="1056"/>
        <v>0</v>
      </c>
      <c r="IK166" s="82">
        <f t="shared" si="1056"/>
        <v>0</v>
      </c>
      <c r="IL166" s="82">
        <f t="shared" si="1056"/>
        <v>0</v>
      </c>
      <c r="IM166" s="82">
        <f t="shared" si="1056"/>
        <v>0</v>
      </c>
      <c r="IN166" s="82">
        <f t="shared" si="1056"/>
        <v>0</v>
      </c>
      <c r="IO166" s="82">
        <f t="shared" si="1056"/>
        <v>0</v>
      </c>
      <c r="IP166" s="82">
        <f>SUM(IP167:IP169)</f>
        <v>0</v>
      </c>
      <c r="IQ166" s="82">
        <f>SUM(IQ167:IQ169)</f>
        <v>0</v>
      </c>
      <c r="IR166" s="82">
        <f>SUM(IR167:IR169)</f>
        <v>0</v>
      </c>
      <c r="IS166" s="82">
        <f>SUM(IS167:IS169)</f>
        <v>0</v>
      </c>
      <c r="IT166" s="82">
        <f t="shared" si="1056"/>
        <v>0</v>
      </c>
      <c r="IU166" s="82">
        <f t="shared" si="1056"/>
        <v>0</v>
      </c>
      <c r="IV166" s="82">
        <f t="shared" si="1056"/>
        <v>0</v>
      </c>
    </row>
    <row r="167" spans="1:256" ht="12.75" customHeight="1" x14ac:dyDescent="0.25">
      <c r="A167" s="84" t="s">
        <v>156</v>
      </c>
      <c r="B167" s="62">
        <v>0</v>
      </c>
      <c r="C167" s="63"/>
      <c r="D167" s="63"/>
      <c r="E167" s="63"/>
      <c r="F167" s="63"/>
      <c r="G167" s="63"/>
      <c r="H167" s="63"/>
      <c r="I167" s="63"/>
      <c r="J167" s="63"/>
      <c r="K167" s="63"/>
      <c r="L167" s="64">
        <f>SUM(C167:F167,H167:K167)</f>
        <v>0</v>
      </c>
      <c r="M167" s="62"/>
      <c r="N167" s="63"/>
      <c r="O167" s="63"/>
      <c r="P167" s="63"/>
      <c r="Q167" s="63"/>
      <c r="R167" s="63"/>
      <c r="S167" s="63"/>
      <c r="T167" s="63"/>
      <c r="U167" s="63"/>
      <c r="V167" s="63"/>
      <c r="W167" s="64">
        <f>SUM(N167:Q167,S167:V167)</f>
        <v>0</v>
      </c>
      <c r="X167" s="62"/>
      <c r="Y167" s="63"/>
      <c r="Z167" s="63"/>
      <c r="AA167" s="63"/>
      <c r="AB167" s="63"/>
      <c r="AC167" s="63"/>
      <c r="AD167" s="63"/>
      <c r="AE167" s="63"/>
      <c r="AF167" s="63"/>
      <c r="AG167" s="63"/>
      <c r="AH167" s="64">
        <f>SUM(Y167:AB167,AD167:AG167)</f>
        <v>0</v>
      </c>
      <c r="AI167" s="62"/>
      <c r="AJ167" s="63"/>
      <c r="AK167" s="63"/>
      <c r="AL167" s="63"/>
      <c r="AM167" s="63"/>
      <c r="AN167" s="63"/>
      <c r="AO167" s="63"/>
      <c r="AP167" s="63"/>
      <c r="AQ167" s="63"/>
      <c r="AR167" s="63"/>
      <c r="AS167" s="64">
        <f>SUM(AJ167:AM167,AO167:AR167)</f>
        <v>0</v>
      </c>
      <c r="AT167" s="65">
        <f t="shared" ref="AT167:BC169" si="1057">SUM(M167,AI167,X167)</f>
        <v>0</v>
      </c>
      <c r="AU167" s="65">
        <f t="shared" si="1057"/>
        <v>0</v>
      </c>
      <c r="AV167" s="65">
        <f t="shared" si="1057"/>
        <v>0</v>
      </c>
      <c r="AW167" s="65">
        <f t="shared" si="1057"/>
        <v>0</v>
      </c>
      <c r="AX167" s="65">
        <f t="shared" si="1057"/>
        <v>0</v>
      </c>
      <c r="AY167" s="65">
        <f t="shared" si="1057"/>
        <v>0</v>
      </c>
      <c r="AZ167" s="65">
        <f t="shared" si="1057"/>
        <v>0</v>
      </c>
      <c r="BA167" s="65">
        <f t="shared" si="1057"/>
        <v>0</v>
      </c>
      <c r="BB167" s="65">
        <f t="shared" si="1057"/>
        <v>0</v>
      </c>
      <c r="BC167" s="65">
        <f t="shared" si="1057"/>
        <v>0</v>
      </c>
      <c r="BD167" s="64">
        <f>SUM(AU167:AX167,AZ167:BC167)</f>
        <v>0</v>
      </c>
      <c r="BE167" s="62"/>
      <c r="BF167" s="63"/>
      <c r="BG167" s="63"/>
      <c r="BH167" s="63"/>
      <c r="BI167" s="63"/>
      <c r="BJ167" s="63"/>
      <c r="BK167" s="63"/>
      <c r="BL167" s="63"/>
      <c r="BM167" s="63"/>
      <c r="BN167" s="63"/>
      <c r="BO167" s="64">
        <f>SUM(BF167:BI167,BK167:BN167)</f>
        <v>0</v>
      </c>
      <c r="BP167" s="62"/>
      <c r="BQ167" s="63"/>
      <c r="BR167" s="63"/>
      <c r="BS167" s="63"/>
      <c r="BT167" s="63"/>
      <c r="BU167" s="63"/>
      <c r="BV167" s="63"/>
      <c r="BW167" s="63"/>
      <c r="BX167" s="63"/>
      <c r="BY167" s="63"/>
      <c r="BZ167" s="64">
        <f>SUM(BQ167:BT167,BV167:BY167)</f>
        <v>0</v>
      </c>
      <c r="CA167" s="62"/>
      <c r="CB167" s="63"/>
      <c r="CC167" s="63"/>
      <c r="CD167" s="63"/>
      <c r="CE167" s="63"/>
      <c r="CF167" s="63"/>
      <c r="CG167" s="63"/>
      <c r="CH167" s="63"/>
      <c r="CI167" s="63"/>
      <c r="CJ167" s="63"/>
      <c r="CK167" s="64">
        <f>SUM(CB167:CE167,CG167:CJ167)</f>
        <v>0</v>
      </c>
      <c r="CL167" s="65">
        <f t="shared" ref="CL167:CU169" si="1058">SUM(BE167,CA167,BP167)</f>
        <v>0</v>
      </c>
      <c r="CM167" s="65">
        <f t="shared" si="1058"/>
        <v>0</v>
      </c>
      <c r="CN167" s="65">
        <f t="shared" si="1058"/>
        <v>0</v>
      </c>
      <c r="CO167" s="65">
        <f t="shared" si="1058"/>
        <v>0</v>
      </c>
      <c r="CP167" s="65">
        <f t="shared" si="1058"/>
        <v>0</v>
      </c>
      <c r="CQ167" s="65">
        <f t="shared" si="1058"/>
        <v>0</v>
      </c>
      <c r="CR167" s="65">
        <f t="shared" si="1058"/>
        <v>0</v>
      </c>
      <c r="CS167" s="65">
        <f t="shared" si="1058"/>
        <v>0</v>
      </c>
      <c r="CT167" s="65">
        <f t="shared" si="1058"/>
        <v>0</v>
      </c>
      <c r="CU167" s="65">
        <f t="shared" si="1058"/>
        <v>0</v>
      </c>
      <c r="CV167" s="64">
        <f>SUM(CM167:CP167,CR167:CU167)</f>
        <v>0</v>
      </c>
      <c r="CW167" s="62"/>
      <c r="CX167" s="63"/>
      <c r="CY167" s="63"/>
      <c r="CZ167" s="63"/>
      <c r="DA167" s="63"/>
      <c r="DB167" s="63"/>
      <c r="DC167" s="63"/>
      <c r="DD167" s="63"/>
      <c r="DE167" s="63"/>
      <c r="DF167" s="63"/>
      <c r="DG167" s="64">
        <f>SUM(CX167:DA167,DC167:DF167)</f>
        <v>0</v>
      </c>
      <c r="DH167" s="62"/>
      <c r="DI167" s="63"/>
      <c r="DJ167" s="63"/>
      <c r="DK167" s="63"/>
      <c r="DL167" s="63"/>
      <c r="DM167" s="63"/>
      <c r="DN167" s="63"/>
      <c r="DO167" s="63"/>
      <c r="DP167" s="63"/>
      <c r="DQ167" s="63"/>
      <c r="DR167" s="64">
        <f>SUM(DI167:DL167,DN167:DQ167)</f>
        <v>0</v>
      </c>
      <c r="DS167" s="62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5">
        <f t="shared" ref="ED167:EM169" si="1059">SUM(CW167,DS167,DH167)</f>
        <v>0</v>
      </c>
      <c r="EE167" s="65">
        <f t="shared" si="1059"/>
        <v>0</v>
      </c>
      <c r="EF167" s="65">
        <f t="shared" si="1059"/>
        <v>0</v>
      </c>
      <c r="EG167" s="65">
        <f t="shared" si="1059"/>
        <v>0</v>
      </c>
      <c r="EH167" s="65">
        <f t="shared" si="1059"/>
        <v>0</v>
      </c>
      <c r="EI167" s="65">
        <f t="shared" si="1059"/>
        <v>0</v>
      </c>
      <c r="EJ167" s="65">
        <f t="shared" si="1059"/>
        <v>0</v>
      </c>
      <c r="EK167" s="65">
        <f t="shared" si="1059"/>
        <v>0</v>
      </c>
      <c r="EL167" s="65">
        <f t="shared" si="1059"/>
        <v>0</v>
      </c>
      <c r="EM167" s="65">
        <f t="shared" si="1059"/>
        <v>0</v>
      </c>
      <c r="EN167" s="64">
        <f>SUM(EE167:EH167,EJ167:EM167)</f>
        <v>0</v>
      </c>
      <c r="EO167" s="62"/>
      <c r="EP167" s="63"/>
      <c r="EQ167" s="63"/>
      <c r="ER167" s="63"/>
      <c r="ES167" s="63"/>
      <c r="ET167" s="63"/>
      <c r="EU167" s="63"/>
      <c r="EV167" s="63"/>
      <c r="EW167" s="63"/>
      <c r="EX167" s="63"/>
      <c r="EY167" s="64">
        <f>SUM(EP167:ES167,EU167:EX167)</f>
        <v>0</v>
      </c>
      <c r="EZ167" s="62"/>
      <c r="FA167" s="63"/>
      <c r="FB167" s="63"/>
      <c r="FC167" s="63"/>
      <c r="FD167" s="63"/>
      <c r="FE167" s="63"/>
      <c r="FF167" s="63"/>
      <c r="FG167" s="63"/>
      <c r="FH167" s="63"/>
      <c r="FI167" s="63"/>
      <c r="FJ167" s="64">
        <f>SUM(FA167:FD167,FF167:FI167)</f>
        <v>0</v>
      </c>
      <c r="FK167" s="62"/>
      <c r="FL167" s="63"/>
      <c r="FM167" s="63"/>
      <c r="FN167" s="63"/>
      <c r="FO167" s="63"/>
      <c r="FP167" s="63"/>
      <c r="FQ167" s="63"/>
      <c r="FR167" s="63"/>
      <c r="FS167" s="63"/>
      <c r="FT167" s="63"/>
      <c r="FU167" s="64">
        <f>SUM(FL167:FO167,FQ167:FT167)</f>
        <v>0</v>
      </c>
      <c r="FV167" s="65">
        <f t="shared" ref="FV167:GE169" si="1060">SUM(EO167,FK167,EZ167)</f>
        <v>0</v>
      </c>
      <c r="FW167" s="65">
        <f t="shared" si="1060"/>
        <v>0</v>
      </c>
      <c r="FX167" s="65">
        <f t="shared" si="1060"/>
        <v>0</v>
      </c>
      <c r="FY167" s="65">
        <f t="shared" si="1060"/>
        <v>0</v>
      </c>
      <c r="FZ167" s="65">
        <f t="shared" si="1060"/>
        <v>0</v>
      </c>
      <c r="GA167" s="65">
        <f t="shared" si="1060"/>
        <v>0</v>
      </c>
      <c r="GB167" s="65">
        <f t="shared" si="1060"/>
        <v>0</v>
      </c>
      <c r="GC167" s="65">
        <f t="shared" si="1060"/>
        <v>0</v>
      </c>
      <c r="GD167" s="65">
        <f t="shared" si="1060"/>
        <v>0</v>
      </c>
      <c r="GE167" s="65">
        <f t="shared" si="1060"/>
        <v>0</v>
      </c>
      <c r="GF167" s="64">
        <f>SUM(FW167:FZ167,GB167:GE167)</f>
        <v>0</v>
      </c>
      <c r="GG167" s="66">
        <f t="shared" ref="GG167:GP169" si="1061">SUM(AT167,CL167,ED167,FV167)</f>
        <v>0</v>
      </c>
      <c r="GH167" s="66">
        <f t="shared" si="1061"/>
        <v>0</v>
      </c>
      <c r="GI167" s="66">
        <f t="shared" si="1061"/>
        <v>0</v>
      </c>
      <c r="GJ167" s="66">
        <f t="shared" si="1061"/>
        <v>0</v>
      </c>
      <c r="GK167" s="66">
        <f t="shared" si="1061"/>
        <v>0</v>
      </c>
      <c r="GL167" s="66">
        <f t="shared" si="1061"/>
        <v>0</v>
      </c>
      <c r="GM167" s="66">
        <f t="shared" si="1061"/>
        <v>0</v>
      </c>
      <c r="GN167" s="66">
        <f t="shared" si="1061"/>
        <v>0</v>
      </c>
      <c r="GO167" s="66">
        <f t="shared" si="1061"/>
        <v>0</v>
      </c>
      <c r="GP167" s="66">
        <f t="shared" si="1061"/>
        <v>0</v>
      </c>
      <c r="GQ167" s="64">
        <f>SUM(GH167:GK167,GM167:GP167)</f>
        <v>0</v>
      </c>
      <c r="GR167" s="63"/>
      <c r="GS167" s="63"/>
      <c r="GT167" s="63"/>
      <c r="GU167" s="63"/>
      <c r="GV167" s="67">
        <f>SUM(GR167:GU167)</f>
        <v>0</v>
      </c>
      <c r="GW167" s="63"/>
      <c r="GX167" s="63"/>
      <c r="GY167" s="63"/>
      <c r="GZ167" s="63"/>
      <c r="HA167" s="67">
        <f>SUM(GW167:GZ167)</f>
        <v>0</v>
      </c>
      <c r="HB167" s="63"/>
      <c r="HC167" s="63"/>
      <c r="HD167" s="63"/>
      <c r="HE167" s="63"/>
      <c r="HF167" s="67">
        <f>SUM(HB167:HE167)</f>
        <v>0</v>
      </c>
      <c r="HG167" s="63"/>
      <c r="HH167" s="63"/>
      <c r="HI167" s="63"/>
      <c r="HJ167" s="63"/>
      <c r="HK167" s="67">
        <f>SUM(HG167:HJ167)</f>
        <v>0</v>
      </c>
      <c r="HL167" s="68">
        <f t="shared" ref="HL167:HO169" si="1062">SUM(GW167,HB167,HG167)</f>
        <v>0</v>
      </c>
      <c r="HM167" s="68">
        <f t="shared" si="1062"/>
        <v>0</v>
      </c>
      <c r="HN167" s="68">
        <f t="shared" si="1062"/>
        <v>0</v>
      </c>
      <c r="HO167" s="68">
        <f t="shared" si="1062"/>
        <v>0</v>
      </c>
      <c r="HP167" s="67">
        <f>SUM(HL167:HO167)</f>
        <v>0</v>
      </c>
      <c r="HQ167" s="63"/>
      <c r="HR167" s="63"/>
      <c r="HS167" s="63"/>
      <c r="HT167" s="63"/>
      <c r="HU167" s="67">
        <f>SUM(HQ167:HT167)</f>
        <v>0</v>
      </c>
      <c r="HV167" s="63"/>
      <c r="HW167" s="63"/>
      <c r="HX167" s="63"/>
      <c r="HY167" s="63"/>
      <c r="HZ167" s="67">
        <f>SUM(HV167:HY167)</f>
        <v>0</v>
      </c>
      <c r="IA167" s="63"/>
      <c r="IB167" s="63"/>
      <c r="IC167" s="63"/>
      <c r="ID167" s="63"/>
      <c r="IE167" s="67">
        <f>SUM(IA167:ID167)</f>
        <v>0</v>
      </c>
      <c r="IF167" s="68">
        <f t="shared" ref="IF167:II169" si="1063">SUM(HQ167,HV167,IA167)</f>
        <v>0</v>
      </c>
      <c r="IG167" s="68">
        <f t="shared" si="1063"/>
        <v>0</v>
      </c>
      <c r="IH167" s="68">
        <f t="shared" si="1063"/>
        <v>0</v>
      </c>
      <c r="II167" s="68">
        <f t="shared" si="1063"/>
        <v>0</v>
      </c>
      <c r="IJ167" s="67">
        <f>SUM(IF167:II167)</f>
        <v>0</v>
      </c>
      <c r="IK167" s="63"/>
      <c r="IL167" s="63"/>
      <c r="IM167" s="63"/>
      <c r="IN167" s="63"/>
      <c r="IO167" s="67">
        <f>SUM(IK167:IN167)</f>
        <v>0</v>
      </c>
      <c r="IP167" s="63"/>
      <c r="IQ167" s="63"/>
      <c r="IR167" s="63"/>
      <c r="IS167" s="63"/>
      <c r="IT167" s="67">
        <f>SUM(IP167:IS167)</f>
        <v>0</v>
      </c>
      <c r="IU167" s="63"/>
      <c r="IV167" s="63"/>
    </row>
    <row r="168" spans="1:256" ht="12.75" customHeight="1" x14ac:dyDescent="0.25">
      <c r="A168" s="84" t="s">
        <v>157</v>
      </c>
      <c r="B168" s="62">
        <v>4</v>
      </c>
      <c r="C168" s="63"/>
      <c r="D168" s="63"/>
      <c r="E168" s="63"/>
      <c r="F168" s="63"/>
      <c r="G168" s="63"/>
      <c r="H168" s="63"/>
      <c r="I168" s="63"/>
      <c r="J168" s="63"/>
      <c r="K168" s="63"/>
      <c r="L168" s="64">
        <f>SUM(C168:F168,H168:K168)</f>
        <v>0</v>
      </c>
      <c r="M168" s="62"/>
      <c r="N168" s="63"/>
      <c r="O168" s="63"/>
      <c r="P168" s="63"/>
      <c r="Q168" s="63"/>
      <c r="R168" s="63"/>
      <c r="S168" s="63"/>
      <c r="T168" s="63"/>
      <c r="U168" s="63"/>
      <c r="V168" s="63"/>
      <c r="W168" s="64">
        <f>SUM(N168:Q168,S168:V168)</f>
        <v>0</v>
      </c>
      <c r="X168" s="62"/>
      <c r="Y168" s="63"/>
      <c r="Z168" s="63"/>
      <c r="AA168" s="63"/>
      <c r="AB168" s="63"/>
      <c r="AC168" s="63"/>
      <c r="AD168" s="63"/>
      <c r="AE168" s="63"/>
      <c r="AF168" s="63"/>
      <c r="AG168" s="63"/>
      <c r="AH168" s="64">
        <f>SUM(Y168:AB168,AD168:AG168)</f>
        <v>0</v>
      </c>
      <c r="AI168" s="62"/>
      <c r="AJ168" s="63"/>
      <c r="AK168" s="63"/>
      <c r="AL168" s="63"/>
      <c r="AM168" s="63"/>
      <c r="AN168" s="63"/>
      <c r="AO168" s="63"/>
      <c r="AP168" s="63"/>
      <c r="AQ168" s="63"/>
      <c r="AR168" s="63"/>
      <c r="AS168" s="64">
        <f>SUM(AJ168:AM168,AO168:AR168)</f>
        <v>0</v>
      </c>
      <c r="AT168" s="65">
        <f t="shared" si="1057"/>
        <v>0</v>
      </c>
      <c r="AU168" s="65">
        <f t="shared" si="1057"/>
        <v>0</v>
      </c>
      <c r="AV168" s="65">
        <f t="shared" si="1057"/>
        <v>0</v>
      </c>
      <c r="AW168" s="65">
        <f t="shared" si="1057"/>
        <v>0</v>
      </c>
      <c r="AX168" s="65">
        <f t="shared" si="1057"/>
        <v>0</v>
      </c>
      <c r="AY168" s="65">
        <f t="shared" si="1057"/>
        <v>0</v>
      </c>
      <c r="AZ168" s="65">
        <f t="shared" si="1057"/>
        <v>0</v>
      </c>
      <c r="BA168" s="65">
        <f t="shared" si="1057"/>
        <v>0</v>
      </c>
      <c r="BB168" s="65">
        <f t="shared" si="1057"/>
        <v>0</v>
      </c>
      <c r="BC168" s="65">
        <f t="shared" si="1057"/>
        <v>0</v>
      </c>
      <c r="BD168" s="64">
        <f>SUM(AU168:AX168,AZ168:BC168)</f>
        <v>0</v>
      </c>
      <c r="BE168" s="62"/>
      <c r="BF168" s="63"/>
      <c r="BG168" s="63"/>
      <c r="BH168" s="63"/>
      <c r="BI168" s="63"/>
      <c r="BJ168" s="63"/>
      <c r="BK168" s="63"/>
      <c r="BL168" s="63"/>
      <c r="BM168" s="63"/>
      <c r="BN168" s="63"/>
      <c r="BO168" s="64">
        <f>SUM(BF168:BI168,BK168:BN168)</f>
        <v>0</v>
      </c>
      <c r="BP168" s="62"/>
      <c r="BQ168" s="63"/>
      <c r="BR168" s="63"/>
      <c r="BS168" s="63"/>
      <c r="BT168" s="63"/>
      <c r="BU168" s="63"/>
      <c r="BV168" s="63"/>
      <c r="BW168" s="63"/>
      <c r="BX168" s="63"/>
      <c r="BY168" s="63"/>
      <c r="BZ168" s="64">
        <f>SUM(BQ168:BT168,BV168:BY168)</f>
        <v>0</v>
      </c>
      <c r="CA168" s="62"/>
      <c r="CB168" s="63"/>
      <c r="CC168" s="63"/>
      <c r="CD168" s="63"/>
      <c r="CE168" s="63"/>
      <c r="CF168" s="63"/>
      <c r="CG168" s="63"/>
      <c r="CH168" s="63"/>
      <c r="CI168" s="63"/>
      <c r="CJ168" s="63"/>
      <c r="CK168" s="64">
        <f>SUM(CB168:CE168,CG168:CJ168)</f>
        <v>0</v>
      </c>
      <c r="CL168" s="65">
        <f t="shared" si="1058"/>
        <v>0</v>
      </c>
      <c r="CM168" s="65">
        <f t="shared" si="1058"/>
        <v>0</v>
      </c>
      <c r="CN168" s="65">
        <f t="shared" si="1058"/>
        <v>0</v>
      </c>
      <c r="CO168" s="65">
        <f t="shared" si="1058"/>
        <v>0</v>
      </c>
      <c r="CP168" s="65">
        <f t="shared" si="1058"/>
        <v>0</v>
      </c>
      <c r="CQ168" s="65">
        <f t="shared" si="1058"/>
        <v>0</v>
      </c>
      <c r="CR168" s="65">
        <f t="shared" si="1058"/>
        <v>0</v>
      </c>
      <c r="CS168" s="65">
        <f t="shared" si="1058"/>
        <v>0</v>
      </c>
      <c r="CT168" s="65">
        <f t="shared" si="1058"/>
        <v>0</v>
      </c>
      <c r="CU168" s="65">
        <f t="shared" si="1058"/>
        <v>0</v>
      </c>
      <c r="CV168" s="64">
        <f>SUM(CM168:CP168,CR168:CU168)</f>
        <v>0</v>
      </c>
      <c r="CW168" s="62"/>
      <c r="CX168" s="63"/>
      <c r="CY168" s="63"/>
      <c r="CZ168" s="63"/>
      <c r="DA168" s="63"/>
      <c r="DB168" s="63"/>
      <c r="DC168" s="63"/>
      <c r="DD168" s="63"/>
      <c r="DE168" s="63"/>
      <c r="DF168" s="63"/>
      <c r="DG168" s="64">
        <f>SUM(CX168:DA168,DC168:DF168)</f>
        <v>0</v>
      </c>
      <c r="DH168" s="62"/>
      <c r="DI168" s="63"/>
      <c r="DJ168" s="63"/>
      <c r="DK168" s="63"/>
      <c r="DL168" s="63"/>
      <c r="DM168" s="63"/>
      <c r="DN168" s="63"/>
      <c r="DO168" s="63"/>
      <c r="DP168" s="63"/>
      <c r="DQ168" s="63"/>
      <c r="DR168" s="64">
        <f>SUM(DI168:DL168,DN168:DQ168)</f>
        <v>0</v>
      </c>
      <c r="DS168" s="62"/>
      <c r="DT168" s="63"/>
      <c r="DU168" s="63"/>
      <c r="DV168" s="63"/>
      <c r="DW168" s="63"/>
      <c r="DX168" s="63"/>
      <c r="DY168" s="63"/>
      <c r="DZ168" s="63"/>
      <c r="EA168" s="63"/>
      <c r="EB168" s="63"/>
      <c r="EC168" s="63"/>
      <c r="ED168" s="65">
        <f t="shared" si="1059"/>
        <v>0</v>
      </c>
      <c r="EE168" s="65">
        <f t="shared" si="1059"/>
        <v>0</v>
      </c>
      <c r="EF168" s="65">
        <f t="shared" si="1059"/>
        <v>0</v>
      </c>
      <c r="EG168" s="65">
        <f t="shared" si="1059"/>
        <v>0</v>
      </c>
      <c r="EH168" s="65">
        <f t="shared" si="1059"/>
        <v>0</v>
      </c>
      <c r="EI168" s="65">
        <f t="shared" si="1059"/>
        <v>0</v>
      </c>
      <c r="EJ168" s="65">
        <f t="shared" si="1059"/>
        <v>0</v>
      </c>
      <c r="EK168" s="65">
        <f t="shared" si="1059"/>
        <v>0</v>
      </c>
      <c r="EL168" s="65">
        <f t="shared" si="1059"/>
        <v>0</v>
      </c>
      <c r="EM168" s="65">
        <f t="shared" si="1059"/>
        <v>0</v>
      </c>
      <c r="EN168" s="64">
        <f>SUM(EE168:EH168,EJ168:EM168)</f>
        <v>0</v>
      </c>
      <c r="EO168" s="62"/>
      <c r="EP168" s="63"/>
      <c r="EQ168" s="63"/>
      <c r="ER168" s="63"/>
      <c r="ES168" s="63"/>
      <c r="ET168" s="63"/>
      <c r="EU168" s="63"/>
      <c r="EV168" s="63"/>
      <c r="EW168" s="63"/>
      <c r="EX168" s="63"/>
      <c r="EY168" s="64">
        <f>SUM(EP168:ES168,EU168:EX168)</f>
        <v>0</v>
      </c>
      <c r="EZ168" s="62"/>
      <c r="FA168" s="63"/>
      <c r="FB168" s="63"/>
      <c r="FC168" s="63"/>
      <c r="FD168" s="63"/>
      <c r="FE168" s="63"/>
      <c r="FF168" s="63"/>
      <c r="FG168" s="63"/>
      <c r="FH168" s="63"/>
      <c r="FI168" s="63"/>
      <c r="FJ168" s="64">
        <f>SUM(FA168:FD168,FF168:FI168)</f>
        <v>0</v>
      </c>
      <c r="FK168" s="62"/>
      <c r="FL168" s="63"/>
      <c r="FM168" s="63"/>
      <c r="FN168" s="63"/>
      <c r="FO168" s="63"/>
      <c r="FP168" s="63"/>
      <c r="FQ168" s="63"/>
      <c r="FR168" s="63"/>
      <c r="FS168" s="63"/>
      <c r="FT168" s="63"/>
      <c r="FU168" s="64">
        <f>SUM(FL168:FO168,FQ168:FT168)</f>
        <v>0</v>
      </c>
      <c r="FV168" s="65">
        <f t="shared" si="1060"/>
        <v>0</v>
      </c>
      <c r="FW168" s="65">
        <f t="shared" si="1060"/>
        <v>0</v>
      </c>
      <c r="FX168" s="65">
        <f t="shared" si="1060"/>
        <v>0</v>
      </c>
      <c r="FY168" s="65">
        <f t="shared" si="1060"/>
        <v>0</v>
      </c>
      <c r="FZ168" s="65">
        <f t="shared" si="1060"/>
        <v>0</v>
      </c>
      <c r="GA168" s="65">
        <f t="shared" si="1060"/>
        <v>0</v>
      </c>
      <c r="GB168" s="65">
        <f t="shared" si="1060"/>
        <v>0</v>
      </c>
      <c r="GC168" s="65">
        <f t="shared" si="1060"/>
        <v>0</v>
      </c>
      <c r="GD168" s="65">
        <f t="shared" si="1060"/>
        <v>0</v>
      </c>
      <c r="GE168" s="65">
        <f t="shared" si="1060"/>
        <v>0</v>
      </c>
      <c r="GF168" s="64">
        <f>SUM(FW168:FZ168,GB168:GE168)</f>
        <v>0</v>
      </c>
      <c r="GG168" s="66">
        <f t="shared" si="1061"/>
        <v>0</v>
      </c>
      <c r="GH168" s="66">
        <f t="shared" si="1061"/>
        <v>0</v>
      </c>
      <c r="GI168" s="66">
        <f t="shared" si="1061"/>
        <v>0</v>
      </c>
      <c r="GJ168" s="66">
        <f t="shared" si="1061"/>
        <v>0</v>
      </c>
      <c r="GK168" s="66">
        <f t="shared" si="1061"/>
        <v>0</v>
      </c>
      <c r="GL168" s="66">
        <f t="shared" si="1061"/>
        <v>0</v>
      </c>
      <c r="GM168" s="66">
        <f t="shared" si="1061"/>
        <v>0</v>
      </c>
      <c r="GN168" s="66">
        <f t="shared" si="1061"/>
        <v>0</v>
      </c>
      <c r="GO168" s="66">
        <f t="shared" si="1061"/>
        <v>0</v>
      </c>
      <c r="GP168" s="66">
        <f t="shared" si="1061"/>
        <v>0</v>
      </c>
      <c r="GQ168" s="64">
        <f>SUM(GH168:GK168,GM168:GP168)</f>
        <v>0</v>
      </c>
      <c r="GR168" s="63"/>
      <c r="GS168" s="63"/>
      <c r="GT168" s="63"/>
      <c r="GU168" s="63"/>
      <c r="GV168" s="67">
        <f>SUM(GR168:GU168)</f>
        <v>0</v>
      </c>
      <c r="GW168" s="63"/>
      <c r="GX168" s="63"/>
      <c r="GY168" s="63"/>
      <c r="GZ168" s="63"/>
      <c r="HA168" s="67">
        <f>SUM(GW168:GZ168)</f>
        <v>0</v>
      </c>
      <c r="HB168" s="63"/>
      <c r="HC168" s="63"/>
      <c r="HD168" s="63"/>
      <c r="HE168" s="63"/>
      <c r="HF168" s="67">
        <f>SUM(HB168:HE168)</f>
        <v>0</v>
      </c>
      <c r="HG168" s="63"/>
      <c r="HH168" s="63"/>
      <c r="HI168" s="63"/>
      <c r="HJ168" s="63"/>
      <c r="HK168" s="67">
        <f>SUM(HG168:HJ168)</f>
        <v>0</v>
      </c>
      <c r="HL168" s="68">
        <f t="shared" si="1062"/>
        <v>0</v>
      </c>
      <c r="HM168" s="68">
        <f t="shared" si="1062"/>
        <v>0</v>
      </c>
      <c r="HN168" s="68">
        <f t="shared" si="1062"/>
        <v>0</v>
      </c>
      <c r="HO168" s="68">
        <f t="shared" si="1062"/>
        <v>0</v>
      </c>
      <c r="HP168" s="67">
        <f>SUM(HL168:HO168)</f>
        <v>0</v>
      </c>
      <c r="HQ168" s="63"/>
      <c r="HR168" s="63"/>
      <c r="HS168" s="63"/>
      <c r="HT168" s="63"/>
      <c r="HU168" s="67">
        <f>SUM(HQ168:HT168)</f>
        <v>0</v>
      </c>
      <c r="HV168" s="63"/>
      <c r="HW168" s="63"/>
      <c r="HX168" s="63"/>
      <c r="HY168" s="63"/>
      <c r="HZ168" s="67">
        <f>SUM(HV168:HY168)</f>
        <v>0</v>
      </c>
      <c r="IA168" s="63"/>
      <c r="IB168" s="63"/>
      <c r="IC168" s="63"/>
      <c r="ID168" s="63"/>
      <c r="IE168" s="67">
        <f>SUM(IA168:ID168)</f>
        <v>0</v>
      </c>
      <c r="IF168" s="68">
        <f t="shared" si="1063"/>
        <v>0</v>
      </c>
      <c r="IG168" s="68">
        <f t="shared" si="1063"/>
        <v>0</v>
      </c>
      <c r="IH168" s="68">
        <f t="shared" si="1063"/>
        <v>0</v>
      </c>
      <c r="II168" s="68">
        <f t="shared" si="1063"/>
        <v>0</v>
      </c>
      <c r="IJ168" s="67">
        <f>SUM(IF168:II168)</f>
        <v>0</v>
      </c>
      <c r="IK168" s="63"/>
      <c r="IL168" s="63"/>
      <c r="IM168" s="63"/>
      <c r="IN168" s="63"/>
      <c r="IO168" s="67">
        <f>SUM(IK168:IN168)</f>
        <v>0</v>
      </c>
      <c r="IP168" s="63"/>
      <c r="IQ168" s="63"/>
      <c r="IR168" s="63"/>
      <c r="IS168" s="63"/>
      <c r="IT168" s="67">
        <f>SUM(IP168:IS168)</f>
        <v>0</v>
      </c>
      <c r="IU168" s="63"/>
      <c r="IV168" s="63"/>
    </row>
    <row r="169" spans="1:256" ht="12.75" customHeight="1" x14ac:dyDescent="0.25">
      <c r="A169" s="84" t="s">
        <v>158</v>
      </c>
      <c r="B169" s="62">
        <v>0</v>
      </c>
      <c r="C169" s="63"/>
      <c r="D169" s="63"/>
      <c r="E169" s="63"/>
      <c r="F169" s="63"/>
      <c r="G169" s="63"/>
      <c r="H169" s="63"/>
      <c r="I169" s="63"/>
      <c r="J169" s="63"/>
      <c r="K169" s="63"/>
      <c r="L169" s="64">
        <f>SUM(C169:F169,H169:K169)</f>
        <v>0</v>
      </c>
      <c r="M169" s="62"/>
      <c r="N169" s="63"/>
      <c r="O169" s="63"/>
      <c r="P169" s="63"/>
      <c r="Q169" s="63"/>
      <c r="R169" s="63"/>
      <c r="S169" s="63"/>
      <c r="T169" s="63"/>
      <c r="U169" s="63"/>
      <c r="V169" s="63"/>
      <c r="W169" s="64">
        <f>SUM(N169:Q169,S169:V169)</f>
        <v>0</v>
      </c>
      <c r="X169" s="62"/>
      <c r="Y169" s="63"/>
      <c r="Z169" s="63"/>
      <c r="AA169" s="63"/>
      <c r="AB169" s="63"/>
      <c r="AC169" s="63"/>
      <c r="AD169" s="63"/>
      <c r="AE169" s="63"/>
      <c r="AF169" s="63"/>
      <c r="AG169" s="63"/>
      <c r="AH169" s="64">
        <f>SUM(Y169:AB169,AD169:AG169)</f>
        <v>0</v>
      </c>
      <c r="AI169" s="62"/>
      <c r="AJ169" s="63"/>
      <c r="AK169" s="63"/>
      <c r="AL169" s="63"/>
      <c r="AM169" s="63"/>
      <c r="AN169" s="63"/>
      <c r="AO169" s="63"/>
      <c r="AP169" s="63"/>
      <c r="AQ169" s="63"/>
      <c r="AR169" s="63"/>
      <c r="AS169" s="64">
        <f>SUM(AJ169:AM169,AO169:AR169)</f>
        <v>0</v>
      </c>
      <c r="AT169" s="65">
        <f t="shared" si="1057"/>
        <v>0</v>
      </c>
      <c r="AU169" s="65">
        <f t="shared" si="1057"/>
        <v>0</v>
      </c>
      <c r="AV169" s="65">
        <f t="shared" si="1057"/>
        <v>0</v>
      </c>
      <c r="AW169" s="65">
        <f t="shared" si="1057"/>
        <v>0</v>
      </c>
      <c r="AX169" s="65">
        <f t="shared" si="1057"/>
        <v>0</v>
      </c>
      <c r="AY169" s="65">
        <f t="shared" si="1057"/>
        <v>0</v>
      </c>
      <c r="AZ169" s="65">
        <f t="shared" si="1057"/>
        <v>0</v>
      </c>
      <c r="BA169" s="65">
        <f t="shared" si="1057"/>
        <v>0</v>
      </c>
      <c r="BB169" s="65">
        <f t="shared" si="1057"/>
        <v>0</v>
      </c>
      <c r="BC169" s="65">
        <f t="shared" si="1057"/>
        <v>0</v>
      </c>
      <c r="BD169" s="64">
        <f>SUM(AU169:AX169,AZ169:BC169)</f>
        <v>0</v>
      </c>
      <c r="BE169" s="62"/>
      <c r="BF169" s="63"/>
      <c r="BG169" s="63"/>
      <c r="BH169" s="63"/>
      <c r="BI169" s="63"/>
      <c r="BJ169" s="63"/>
      <c r="BK169" s="63"/>
      <c r="BL169" s="63"/>
      <c r="BM169" s="63"/>
      <c r="BN169" s="63"/>
      <c r="BO169" s="64">
        <f>SUM(BF169:BI169,BK169:BN169)</f>
        <v>0</v>
      </c>
      <c r="BP169" s="62"/>
      <c r="BQ169" s="63"/>
      <c r="BR169" s="63"/>
      <c r="BS169" s="63"/>
      <c r="BT169" s="63"/>
      <c r="BU169" s="63"/>
      <c r="BV169" s="63"/>
      <c r="BW169" s="63"/>
      <c r="BX169" s="63"/>
      <c r="BY169" s="63"/>
      <c r="BZ169" s="64">
        <f>SUM(BQ169:BT169,BV169:BY169)</f>
        <v>0</v>
      </c>
      <c r="CA169" s="62"/>
      <c r="CB169" s="63"/>
      <c r="CC169" s="63"/>
      <c r="CD169" s="63"/>
      <c r="CE169" s="63"/>
      <c r="CF169" s="63"/>
      <c r="CG169" s="63"/>
      <c r="CH169" s="63"/>
      <c r="CI169" s="63"/>
      <c r="CJ169" s="63"/>
      <c r="CK169" s="64">
        <f>SUM(CB169:CE169,CG169:CJ169)</f>
        <v>0</v>
      </c>
      <c r="CL169" s="65">
        <f t="shared" si="1058"/>
        <v>0</v>
      </c>
      <c r="CM169" s="65">
        <f t="shared" si="1058"/>
        <v>0</v>
      </c>
      <c r="CN169" s="65">
        <f t="shared" si="1058"/>
        <v>0</v>
      </c>
      <c r="CO169" s="65">
        <f t="shared" si="1058"/>
        <v>0</v>
      </c>
      <c r="CP169" s="65">
        <f t="shared" si="1058"/>
        <v>0</v>
      </c>
      <c r="CQ169" s="65">
        <f t="shared" si="1058"/>
        <v>0</v>
      </c>
      <c r="CR169" s="65">
        <f t="shared" si="1058"/>
        <v>0</v>
      </c>
      <c r="CS169" s="65">
        <f t="shared" si="1058"/>
        <v>0</v>
      </c>
      <c r="CT169" s="65">
        <f t="shared" si="1058"/>
        <v>0</v>
      </c>
      <c r="CU169" s="65">
        <f t="shared" si="1058"/>
        <v>0</v>
      </c>
      <c r="CV169" s="64">
        <f>SUM(CM169:CP169,CR169:CU169)</f>
        <v>0</v>
      </c>
      <c r="CW169" s="62"/>
      <c r="CX169" s="63"/>
      <c r="CY169" s="63"/>
      <c r="CZ169" s="63"/>
      <c r="DA169" s="63"/>
      <c r="DB169" s="63"/>
      <c r="DC169" s="63"/>
      <c r="DD169" s="63"/>
      <c r="DE169" s="63"/>
      <c r="DF169" s="63"/>
      <c r="DG169" s="64">
        <f>SUM(CX169:DA169,DC169:DF169)</f>
        <v>0</v>
      </c>
      <c r="DH169" s="62"/>
      <c r="DI169" s="63"/>
      <c r="DJ169" s="63"/>
      <c r="DK169" s="63"/>
      <c r="DL169" s="63"/>
      <c r="DM169" s="63"/>
      <c r="DN169" s="63"/>
      <c r="DO169" s="63"/>
      <c r="DP169" s="63"/>
      <c r="DQ169" s="63"/>
      <c r="DR169" s="64">
        <f>SUM(DI169:DL169,DN169:DQ169)</f>
        <v>0</v>
      </c>
      <c r="DS169" s="62"/>
      <c r="DT169" s="63"/>
      <c r="DU169" s="63"/>
      <c r="DV169" s="63"/>
      <c r="DW169" s="63"/>
      <c r="DX169" s="63"/>
      <c r="DY169" s="63"/>
      <c r="DZ169" s="63"/>
      <c r="EA169" s="63"/>
      <c r="EB169" s="63"/>
      <c r="EC169" s="63"/>
      <c r="ED169" s="65">
        <f t="shared" si="1059"/>
        <v>0</v>
      </c>
      <c r="EE169" s="65">
        <f t="shared" si="1059"/>
        <v>0</v>
      </c>
      <c r="EF169" s="65">
        <f t="shared" si="1059"/>
        <v>0</v>
      </c>
      <c r="EG169" s="65">
        <f t="shared" si="1059"/>
        <v>0</v>
      </c>
      <c r="EH169" s="65">
        <f t="shared" si="1059"/>
        <v>0</v>
      </c>
      <c r="EI169" s="65">
        <f t="shared" si="1059"/>
        <v>0</v>
      </c>
      <c r="EJ169" s="65">
        <f t="shared" si="1059"/>
        <v>0</v>
      </c>
      <c r="EK169" s="65">
        <f t="shared" si="1059"/>
        <v>0</v>
      </c>
      <c r="EL169" s="65">
        <f t="shared" si="1059"/>
        <v>0</v>
      </c>
      <c r="EM169" s="65">
        <f t="shared" si="1059"/>
        <v>0</v>
      </c>
      <c r="EN169" s="64">
        <f>SUM(EE169:EH169,EJ169:EM169)</f>
        <v>0</v>
      </c>
      <c r="EO169" s="62"/>
      <c r="EP169" s="63"/>
      <c r="EQ169" s="63"/>
      <c r="ER169" s="63"/>
      <c r="ES169" s="63"/>
      <c r="ET169" s="63"/>
      <c r="EU169" s="63"/>
      <c r="EV169" s="63"/>
      <c r="EW169" s="63"/>
      <c r="EX169" s="63"/>
      <c r="EY169" s="64">
        <f>SUM(EP169:ES169,EU169:EX169)</f>
        <v>0</v>
      </c>
      <c r="EZ169" s="62"/>
      <c r="FA169" s="63"/>
      <c r="FB169" s="63"/>
      <c r="FC169" s="63"/>
      <c r="FD169" s="63"/>
      <c r="FE169" s="63"/>
      <c r="FF169" s="63"/>
      <c r="FG169" s="63"/>
      <c r="FH169" s="63"/>
      <c r="FI169" s="63"/>
      <c r="FJ169" s="64">
        <f>SUM(FA169:FD169,FF169:FI169)</f>
        <v>0</v>
      </c>
      <c r="FK169" s="62"/>
      <c r="FL169" s="63"/>
      <c r="FM169" s="63"/>
      <c r="FN169" s="63"/>
      <c r="FO169" s="63"/>
      <c r="FP169" s="63"/>
      <c r="FQ169" s="63"/>
      <c r="FR169" s="63"/>
      <c r="FS169" s="63"/>
      <c r="FT169" s="63"/>
      <c r="FU169" s="64">
        <f>SUM(FL169:FO169,FQ169:FT169)</f>
        <v>0</v>
      </c>
      <c r="FV169" s="65">
        <f t="shared" si="1060"/>
        <v>0</v>
      </c>
      <c r="FW169" s="65">
        <f t="shared" si="1060"/>
        <v>0</v>
      </c>
      <c r="FX169" s="65">
        <f t="shared" si="1060"/>
        <v>0</v>
      </c>
      <c r="FY169" s="65">
        <f t="shared" si="1060"/>
        <v>0</v>
      </c>
      <c r="FZ169" s="65">
        <f t="shared" si="1060"/>
        <v>0</v>
      </c>
      <c r="GA169" s="65">
        <f t="shared" si="1060"/>
        <v>0</v>
      </c>
      <c r="GB169" s="65">
        <f t="shared" si="1060"/>
        <v>0</v>
      </c>
      <c r="GC169" s="65">
        <f t="shared" si="1060"/>
        <v>0</v>
      </c>
      <c r="GD169" s="65">
        <f t="shared" si="1060"/>
        <v>0</v>
      </c>
      <c r="GE169" s="65">
        <f t="shared" si="1060"/>
        <v>0</v>
      </c>
      <c r="GF169" s="64">
        <f>SUM(FW169:FZ169,GB169:GE169)</f>
        <v>0</v>
      </c>
      <c r="GG169" s="66">
        <f t="shared" si="1061"/>
        <v>0</v>
      </c>
      <c r="GH169" s="66">
        <f t="shared" si="1061"/>
        <v>0</v>
      </c>
      <c r="GI169" s="66">
        <f t="shared" si="1061"/>
        <v>0</v>
      </c>
      <c r="GJ169" s="66">
        <f t="shared" si="1061"/>
        <v>0</v>
      </c>
      <c r="GK169" s="66">
        <f t="shared" si="1061"/>
        <v>0</v>
      </c>
      <c r="GL169" s="66">
        <f t="shared" si="1061"/>
        <v>0</v>
      </c>
      <c r="GM169" s="66">
        <f t="shared" si="1061"/>
        <v>0</v>
      </c>
      <c r="GN169" s="66">
        <f t="shared" si="1061"/>
        <v>0</v>
      </c>
      <c r="GO169" s="66">
        <f t="shared" si="1061"/>
        <v>0</v>
      </c>
      <c r="GP169" s="66">
        <f t="shared" si="1061"/>
        <v>0</v>
      </c>
      <c r="GQ169" s="64">
        <f>SUM(GH169:GK169,GM169:GP169)</f>
        <v>0</v>
      </c>
      <c r="GR169" s="63"/>
      <c r="GS169" s="63"/>
      <c r="GT169" s="63"/>
      <c r="GU169" s="63"/>
      <c r="GV169" s="67">
        <f>SUM(GR169:GU169)</f>
        <v>0</v>
      </c>
      <c r="GW169" s="63"/>
      <c r="GX169" s="63"/>
      <c r="GY169" s="63"/>
      <c r="GZ169" s="63"/>
      <c r="HA169" s="67">
        <f>SUM(GW169:GZ169)</f>
        <v>0</v>
      </c>
      <c r="HB169" s="63"/>
      <c r="HC169" s="63"/>
      <c r="HD169" s="63"/>
      <c r="HE169" s="63"/>
      <c r="HF169" s="67">
        <f>SUM(HB169:HE169)</f>
        <v>0</v>
      </c>
      <c r="HG169" s="63"/>
      <c r="HH169" s="63"/>
      <c r="HI169" s="63"/>
      <c r="HJ169" s="63"/>
      <c r="HK169" s="67">
        <f>SUM(HG169:HJ169)</f>
        <v>0</v>
      </c>
      <c r="HL169" s="68">
        <f t="shared" si="1062"/>
        <v>0</v>
      </c>
      <c r="HM169" s="68">
        <f t="shared" si="1062"/>
        <v>0</v>
      </c>
      <c r="HN169" s="68">
        <f t="shared" si="1062"/>
        <v>0</v>
      </c>
      <c r="HO169" s="68">
        <f t="shared" si="1062"/>
        <v>0</v>
      </c>
      <c r="HP169" s="67">
        <f>SUM(HL169:HO169)</f>
        <v>0</v>
      </c>
      <c r="HQ169" s="63"/>
      <c r="HR169" s="63"/>
      <c r="HS169" s="63"/>
      <c r="HT169" s="63"/>
      <c r="HU169" s="67">
        <f>SUM(HQ169:HT169)</f>
        <v>0</v>
      </c>
      <c r="HV169" s="63"/>
      <c r="HW169" s="63"/>
      <c r="HX169" s="63"/>
      <c r="HY169" s="63"/>
      <c r="HZ169" s="67">
        <f>SUM(HV169:HY169)</f>
        <v>0</v>
      </c>
      <c r="IA169" s="63"/>
      <c r="IB169" s="63"/>
      <c r="IC169" s="63"/>
      <c r="ID169" s="63"/>
      <c r="IE169" s="67">
        <f>SUM(IA169:ID169)</f>
        <v>0</v>
      </c>
      <c r="IF169" s="68">
        <f t="shared" si="1063"/>
        <v>0</v>
      </c>
      <c r="IG169" s="68">
        <f t="shared" si="1063"/>
        <v>0</v>
      </c>
      <c r="IH169" s="68">
        <f t="shared" si="1063"/>
        <v>0</v>
      </c>
      <c r="II169" s="68">
        <f t="shared" si="1063"/>
        <v>0</v>
      </c>
      <c r="IJ169" s="67">
        <f>SUM(IF169:II169)</f>
        <v>0</v>
      </c>
      <c r="IK169" s="63"/>
      <c r="IL169" s="63"/>
      <c r="IM169" s="63"/>
      <c r="IN169" s="63"/>
      <c r="IO169" s="67">
        <f>SUM(IK169:IN169)</f>
        <v>0</v>
      </c>
      <c r="IP169" s="63"/>
      <c r="IQ169" s="63"/>
      <c r="IR169" s="63"/>
      <c r="IS169" s="63"/>
      <c r="IT169" s="67">
        <f>SUM(IP169:IS169)</f>
        <v>0</v>
      </c>
      <c r="IU169" s="63"/>
      <c r="IV169" s="63"/>
    </row>
    <row r="170" spans="1:256" s="110" customFormat="1" ht="12.75" customHeight="1" x14ac:dyDescent="0.25">
      <c r="A170" s="144" t="s">
        <v>159</v>
      </c>
      <c r="B170" s="145"/>
      <c r="C170" s="114">
        <f t="shared" ref="C170:L170" si="1064">SUM(C171,C176)</f>
        <v>415</v>
      </c>
      <c r="D170" s="114">
        <f t="shared" si="1064"/>
        <v>100</v>
      </c>
      <c r="E170" s="114">
        <f t="shared" si="1064"/>
        <v>25</v>
      </c>
      <c r="F170" s="114">
        <f t="shared" si="1064"/>
        <v>0</v>
      </c>
      <c r="G170" s="114">
        <f t="shared" si="1064"/>
        <v>43</v>
      </c>
      <c r="H170" s="114">
        <f t="shared" si="1064"/>
        <v>50</v>
      </c>
      <c r="I170" s="114">
        <f t="shared" si="1064"/>
        <v>0</v>
      </c>
      <c r="J170" s="114">
        <f t="shared" si="1064"/>
        <v>50</v>
      </c>
      <c r="K170" s="114">
        <f t="shared" si="1064"/>
        <v>25</v>
      </c>
      <c r="L170" s="114">
        <f t="shared" si="1064"/>
        <v>665</v>
      </c>
      <c r="M170" s="145"/>
      <c r="N170" s="114">
        <f t="shared" ref="N170:V170" si="1065">SUM(N171,N176)</f>
        <v>0</v>
      </c>
      <c r="O170" s="114">
        <f t="shared" si="1065"/>
        <v>0</v>
      </c>
      <c r="P170" s="114">
        <f t="shared" si="1065"/>
        <v>0</v>
      </c>
      <c r="Q170" s="114">
        <f t="shared" si="1065"/>
        <v>0</v>
      </c>
      <c r="R170" s="114">
        <f t="shared" si="1065"/>
        <v>0</v>
      </c>
      <c r="S170" s="114">
        <f t="shared" si="1065"/>
        <v>0</v>
      </c>
      <c r="T170" s="114">
        <f t="shared" si="1065"/>
        <v>0</v>
      </c>
      <c r="U170" s="114">
        <f t="shared" si="1065"/>
        <v>0</v>
      </c>
      <c r="V170" s="114">
        <f t="shared" si="1065"/>
        <v>0</v>
      </c>
      <c r="W170" s="114">
        <f>SUM(W171,W176)</f>
        <v>0</v>
      </c>
      <c r="X170" s="145"/>
      <c r="Y170" s="114">
        <f t="shared" ref="Y170:AG170" si="1066">SUM(Y171,Y176)</f>
        <v>0</v>
      </c>
      <c r="Z170" s="114">
        <f t="shared" si="1066"/>
        <v>0</v>
      </c>
      <c r="AA170" s="114">
        <f t="shared" si="1066"/>
        <v>0</v>
      </c>
      <c r="AB170" s="114">
        <f t="shared" si="1066"/>
        <v>0</v>
      </c>
      <c r="AC170" s="114">
        <f t="shared" si="1066"/>
        <v>0</v>
      </c>
      <c r="AD170" s="114">
        <f t="shared" si="1066"/>
        <v>0</v>
      </c>
      <c r="AE170" s="114">
        <f t="shared" si="1066"/>
        <v>0</v>
      </c>
      <c r="AF170" s="114">
        <f t="shared" si="1066"/>
        <v>0</v>
      </c>
      <c r="AG170" s="114">
        <f t="shared" si="1066"/>
        <v>0</v>
      </c>
      <c r="AH170" s="114">
        <f>SUM(AH171,AH176)</f>
        <v>0</v>
      </c>
      <c r="AI170" s="145"/>
      <c r="AJ170" s="114">
        <f t="shared" ref="AJ170:AR170" si="1067">SUM(AJ171,AJ176)</f>
        <v>0</v>
      </c>
      <c r="AK170" s="114">
        <f t="shared" si="1067"/>
        <v>0</v>
      </c>
      <c r="AL170" s="114">
        <f t="shared" si="1067"/>
        <v>0</v>
      </c>
      <c r="AM170" s="114">
        <f t="shared" si="1067"/>
        <v>0</v>
      </c>
      <c r="AN170" s="114">
        <f t="shared" si="1067"/>
        <v>0</v>
      </c>
      <c r="AO170" s="114">
        <f t="shared" si="1067"/>
        <v>0</v>
      </c>
      <c r="AP170" s="114">
        <f t="shared" si="1067"/>
        <v>0</v>
      </c>
      <c r="AQ170" s="114">
        <f t="shared" si="1067"/>
        <v>0</v>
      </c>
      <c r="AR170" s="114">
        <f t="shared" si="1067"/>
        <v>0</v>
      </c>
      <c r="AS170" s="114">
        <f>SUM(AS171,AS176)</f>
        <v>0</v>
      </c>
      <c r="AT170" s="145"/>
      <c r="AU170" s="114">
        <f t="shared" ref="AU170:BD170" si="1068">SUM(AU171,AU176)</f>
        <v>0</v>
      </c>
      <c r="AV170" s="114">
        <f t="shared" si="1068"/>
        <v>0</v>
      </c>
      <c r="AW170" s="114">
        <f t="shared" si="1068"/>
        <v>0</v>
      </c>
      <c r="AX170" s="114">
        <f t="shared" si="1068"/>
        <v>0</v>
      </c>
      <c r="AY170" s="114">
        <f t="shared" si="1068"/>
        <v>0</v>
      </c>
      <c r="AZ170" s="114">
        <f t="shared" si="1068"/>
        <v>0</v>
      </c>
      <c r="BA170" s="114">
        <f t="shared" si="1068"/>
        <v>0</v>
      </c>
      <c r="BB170" s="114">
        <f t="shared" si="1068"/>
        <v>0</v>
      </c>
      <c r="BC170" s="114">
        <f t="shared" si="1068"/>
        <v>0</v>
      </c>
      <c r="BD170" s="114">
        <f t="shared" si="1068"/>
        <v>0</v>
      </c>
      <c r="BE170" s="145"/>
      <c r="BF170" s="114">
        <f t="shared" ref="BF170:BN170" si="1069">SUM(BF171,BF176)</f>
        <v>0</v>
      </c>
      <c r="BG170" s="114">
        <f t="shared" si="1069"/>
        <v>0</v>
      </c>
      <c r="BH170" s="114">
        <f t="shared" si="1069"/>
        <v>0</v>
      </c>
      <c r="BI170" s="114">
        <f t="shared" si="1069"/>
        <v>0</v>
      </c>
      <c r="BJ170" s="114">
        <f t="shared" si="1069"/>
        <v>0</v>
      </c>
      <c r="BK170" s="114">
        <f t="shared" si="1069"/>
        <v>0</v>
      </c>
      <c r="BL170" s="114">
        <f t="shared" si="1069"/>
        <v>0</v>
      </c>
      <c r="BM170" s="114">
        <f t="shared" si="1069"/>
        <v>0</v>
      </c>
      <c r="BN170" s="114">
        <f t="shared" si="1069"/>
        <v>0</v>
      </c>
      <c r="BO170" s="114">
        <f>SUM(BO171,BO176)</f>
        <v>0</v>
      </c>
      <c r="BP170" s="145"/>
      <c r="BQ170" s="114">
        <f t="shared" ref="BQ170:BY170" si="1070">SUM(BQ171,BQ176)</f>
        <v>0</v>
      </c>
      <c r="BR170" s="114">
        <f t="shared" si="1070"/>
        <v>0</v>
      </c>
      <c r="BS170" s="114">
        <f t="shared" si="1070"/>
        <v>0</v>
      </c>
      <c r="BT170" s="114">
        <f t="shared" si="1070"/>
        <v>0</v>
      </c>
      <c r="BU170" s="114">
        <f t="shared" si="1070"/>
        <v>0</v>
      </c>
      <c r="BV170" s="114">
        <f t="shared" si="1070"/>
        <v>0</v>
      </c>
      <c r="BW170" s="114">
        <f t="shared" si="1070"/>
        <v>0</v>
      </c>
      <c r="BX170" s="114">
        <f t="shared" si="1070"/>
        <v>0</v>
      </c>
      <c r="BY170" s="114">
        <f t="shared" si="1070"/>
        <v>0</v>
      </c>
      <c r="BZ170" s="114">
        <f>SUM(BZ171,BZ176)</f>
        <v>0</v>
      </c>
      <c r="CA170" s="145"/>
      <c r="CB170" s="114">
        <f t="shared" ref="CB170:CJ170" si="1071">SUM(CB171,CB176)</f>
        <v>0</v>
      </c>
      <c r="CC170" s="114">
        <f t="shared" si="1071"/>
        <v>0</v>
      </c>
      <c r="CD170" s="114">
        <f t="shared" si="1071"/>
        <v>0</v>
      </c>
      <c r="CE170" s="114">
        <f t="shared" si="1071"/>
        <v>0</v>
      </c>
      <c r="CF170" s="114">
        <f t="shared" si="1071"/>
        <v>0</v>
      </c>
      <c r="CG170" s="114">
        <f t="shared" si="1071"/>
        <v>0</v>
      </c>
      <c r="CH170" s="114">
        <f t="shared" si="1071"/>
        <v>0</v>
      </c>
      <c r="CI170" s="114">
        <f t="shared" si="1071"/>
        <v>0</v>
      </c>
      <c r="CJ170" s="114">
        <f t="shared" si="1071"/>
        <v>0</v>
      </c>
      <c r="CK170" s="114">
        <f>SUM(CK171,CK176)</f>
        <v>0</v>
      </c>
      <c r="CL170" s="145"/>
      <c r="CM170" s="114">
        <f t="shared" ref="CM170:CV170" si="1072">SUM(CM171,CM176)</f>
        <v>0</v>
      </c>
      <c r="CN170" s="114">
        <f t="shared" si="1072"/>
        <v>0</v>
      </c>
      <c r="CO170" s="114">
        <f t="shared" si="1072"/>
        <v>0</v>
      </c>
      <c r="CP170" s="114">
        <f t="shared" si="1072"/>
        <v>0</v>
      </c>
      <c r="CQ170" s="114">
        <f t="shared" si="1072"/>
        <v>0</v>
      </c>
      <c r="CR170" s="114">
        <f t="shared" si="1072"/>
        <v>0</v>
      </c>
      <c r="CS170" s="114">
        <f t="shared" si="1072"/>
        <v>0</v>
      </c>
      <c r="CT170" s="114">
        <f t="shared" si="1072"/>
        <v>0</v>
      </c>
      <c r="CU170" s="114">
        <f t="shared" si="1072"/>
        <v>0</v>
      </c>
      <c r="CV170" s="114">
        <f t="shared" si="1072"/>
        <v>0</v>
      </c>
      <c r="CW170" s="145"/>
      <c r="CX170" s="114">
        <f t="shared" ref="CX170:DF170" si="1073">SUM(CX171,CX176)</f>
        <v>0</v>
      </c>
      <c r="CY170" s="114">
        <f t="shared" si="1073"/>
        <v>0</v>
      </c>
      <c r="CZ170" s="114">
        <f t="shared" si="1073"/>
        <v>0</v>
      </c>
      <c r="DA170" s="114">
        <f t="shared" si="1073"/>
        <v>0</v>
      </c>
      <c r="DB170" s="114">
        <f t="shared" si="1073"/>
        <v>0</v>
      </c>
      <c r="DC170" s="114">
        <f t="shared" si="1073"/>
        <v>0</v>
      </c>
      <c r="DD170" s="114">
        <f t="shared" si="1073"/>
        <v>0</v>
      </c>
      <c r="DE170" s="114">
        <f t="shared" si="1073"/>
        <v>0</v>
      </c>
      <c r="DF170" s="114">
        <f t="shared" si="1073"/>
        <v>0</v>
      </c>
      <c r="DG170" s="114">
        <f>SUM(DG171,DG176)</f>
        <v>0</v>
      </c>
      <c r="DH170" s="145"/>
      <c r="DI170" s="114">
        <f t="shared" ref="DI170:DQ170" si="1074">SUM(DI171,DI176)</f>
        <v>0</v>
      </c>
      <c r="DJ170" s="114">
        <f t="shared" si="1074"/>
        <v>0</v>
      </c>
      <c r="DK170" s="114">
        <f t="shared" si="1074"/>
        <v>0</v>
      </c>
      <c r="DL170" s="114">
        <f t="shared" si="1074"/>
        <v>0</v>
      </c>
      <c r="DM170" s="114">
        <f t="shared" si="1074"/>
        <v>0</v>
      </c>
      <c r="DN170" s="114">
        <f t="shared" si="1074"/>
        <v>0</v>
      </c>
      <c r="DO170" s="114">
        <f t="shared" si="1074"/>
        <v>0</v>
      </c>
      <c r="DP170" s="114">
        <f t="shared" si="1074"/>
        <v>0</v>
      </c>
      <c r="DQ170" s="114">
        <f t="shared" si="1074"/>
        <v>0</v>
      </c>
      <c r="DR170" s="114">
        <f>SUM(DR171,DR176)</f>
        <v>0</v>
      </c>
      <c r="DS170" s="145"/>
      <c r="DT170" s="114">
        <f t="shared" ref="DT170:EB170" si="1075">SUM(DT171,DT176)</f>
        <v>0</v>
      </c>
      <c r="DU170" s="114">
        <f t="shared" si="1075"/>
        <v>0</v>
      </c>
      <c r="DV170" s="114">
        <f t="shared" si="1075"/>
        <v>0</v>
      </c>
      <c r="DW170" s="114">
        <f t="shared" si="1075"/>
        <v>0</v>
      </c>
      <c r="DX170" s="114">
        <f t="shared" si="1075"/>
        <v>0</v>
      </c>
      <c r="DY170" s="114">
        <f t="shared" si="1075"/>
        <v>0</v>
      </c>
      <c r="DZ170" s="114">
        <f t="shared" si="1075"/>
        <v>0</v>
      </c>
      <c r="EA170" s="114">
        <f t="shared" si="1075"/>
        <v>0</v>
      </c>
      <c r="EB170" s="114">
        <f t="shared" si="1075"/>
        <v>0</v>
      </c>
      <c r="EC170" s="114">
        <f>SUM(EC171,EC176)</f>
        <v>0</v>
      </c>
      <c r="ED170" s="145"/>
      <c r="EE170" s="114">
        <f t="shared" ref="EE170:EN170" si="1076">SUM(EE171,EE176)</f>
        <v>0</v>
      </c>
      <c r="EF170" s="114">
        <f t="shared" si="1076"/>
        <v>0</v>
      </c>
      <c r="EG170" s="114">
        <f t="shared" si="1076"/>
        <v>0</v>
      </c>
      <c r="EH170" s="114">
        <f t="shared" si="1076"/>
        <v>0</v>
      </c>
      <c r="EI170" s="114">
        <f t="shared" si="1076"/>
        <v>0</v>
      </c>
      <c r="EJ170" s="114">
        <f t="shared" si="1076"/>
        <v>0</v>
      </c>
      <c r="EK170" s="114">
        <f t="shared" si="1076"/>
        <v>0</v>
      </c>
      <c r="EL170" s="114">
        <f t="shared" si="1076"/>
        <v>0</v>
      </c>
      <c r="EM170" s="114">
        <f t="shared" si="1076"/>
        <v>0</v>
      </c>
      <c r="EN170" s="114">
        <f t="shared" si="1076"/>
        <v>0</v>
      </c>
      <c r="EO170" s="145"/>
      <c r="EP170" s="114">
        <f t="shared" ref="EP170:EX170" si="1077">SUM(EP171,EP176)</f>
        <v>0</v>
      </c>
      <c r="EQ170" s="114">
        <f t="shared" si="1077"/>
        <v>0</v>
      </c>
      <c r="ER170" s="114">
        <f t="shared" si="1077"/>
        <v>0</v>
      </c>
      <c r="ES170" s="114">
        <f t="shared" si="1077"/>
        <v>0</v>
      </c>
      <c r="ET170" s="114">
        <f t="shared" si="1077"/>
        <v>0</v>
      </c>
      <c r="EU170" s="114">
        <f t="shared" si="1077"/>
        <v>0</v>
      </c>
      <c r="EV170" s="114">
        <f t="shared" si="1077"/>
        <v>0</v>
      </c>
      <c r="EW170" s="114">
        <f t="shared" si="1077"/>
        <v>0</v>
      </c>
      <c r="EX170" s="114">
        <f t="shared" si="1077"/>
        <v>0</v>
      </c>
      <c r="EY170" s="114">
        <f>SUM(EY171,EY176)</f>
        <v>0</v>
      </c>
      <c r="EZ170" s="145"/>
      <c r="FA170" s="114">
        <f t="shared" ref="FA170:FI170" si="1078">SUM(FA171,FA176)</f>
        <v>0</v>
      </c>
      <c r="FB170" s="114">
        <f t="shared" si="1078"/>
        <v>0</v>
      </c>
      <c r="FC170" s="114">
        <f t="shared" si="1078"/>
        <v>0</v>
      </c>
      <c r="FD170" s="114">
        <f t="shared" si="1078"/>
        <v>0</v>
      </c>
      <c r="FE170" s="114">
        <f t="shared" si="1078"/>
        <v>0</v>
      </c>
      <c r="FF170" s="114">
        <f t="shared" si="1078"/>
        <v>0</v>
      </c>
      <c r="FG170" s="114">
        <f t="shared" si="1078"/>
        <v>0</v>
      </c>
      <c r="FH170" s="114">
        <f t="shared" si="1078"/>
        <v>0</v>
      </c>
      <c r="FI170" s="114">
        <f t="shared" si="1078"/>
        <v>0</v>
      </c>
      <c r="FJ170" s="114">
        <f>SUM(FJ171,FJ176)</f>
        <v>0</v>
      </c>
      <c r="FK170" s="145"/>
      <c r="FL170" s="114">
        <f t="shared" ref="FL170:FT170" si="1079">SUM(FL171,FL176)</f>
        <v>0</v>
      </c>
      <c r="FM170" s="114">
        <f t="shared" si="1079"/>
        <v>0</v>
      </c>
      <c r="FN170" s="114">
        <f t="shared" si="1079"/>
        <v>0</v>
      </c>
      <c r="FO170" s="114">
        <f t="shared" si="1079"/>
        <v>0</v>
      </c>
      <c r="FP170" s="114">
        <f t="shared" si="1079"/>
        <v>0</v>
      </c>
      <c r="FQ170" s="114">
        <f t="shared" si="1079"/>
        <v>0</v>
      </c>
      <c r="FR170" s="114">
        <f t="shared" si="1079"/>
        <v>0</v>
      </c>
      <c r="FS170" s="114">
        <f t="shared" si="1079"/>
        <v>0</v>
      </c>
      <c r="FT170" s="114">
        <f t="shared" si="1079"/>
        <v>0</v>
      </c>
      <c r="FU170" s="114">
        <f>SUM(FU171,FU176)</f>
        <v>0</v>
      </c>
      <c r="FV170" s="145"/>
      <c r="FW170" s="114">
        <f t="shared" ref="FW170:GF170" si="1080">SUM(FW171,FW176)</f>
        <v>0</v>
      </c>
      <c r="FX170" s="114">
        <f t="shared" si="1080"/>
        <v>0</v>
      </c>
      <c r="FY170" s="114">
        <f t="shared" si="1080"/>
        <v>0</v>
      </c>
      <c r="FZ170" s="114">
        <f t="shared" si="1080"/>
        <v>0</v>
      </c>
      <c r="GA170" s="114">
        <f t="shared" si="1080"/>
        <v>0</v>
      </c>
      <c r="GB170" s="114">
        <f t="shared" si="1080"/>
        <v>0</v>
      </c>
      <c r="GC170" s="114">
        <f t="shared" si="1080"/>
        <v>0</v>
      </c>
      <c r="GD170" s="114">
        <f t="shared" si="1080"/>
        <v>0</v>
      </c>
      <c r="GE170" s="114">
        <f t="shared" si="1080"/>
        <v>0</v>
      </c>
      <c r="GF170" s="114">
        <f t="shared" si="1080"/>
        <v>0</v>
      </c>
      <c r="GG170" s="145"/>
      <c r="GH170" s="114">
        <f t="shared" ref="GH170:HK170" si="1081">SUM(GH171,GH176)</f>
        <v>0</v>
      </c>
      <c r="GI170" s="114">
        <f t="shared" si="1081"/>
        <v>0</v>
      </c>
      <c r="GJ170" s="114">
        <f t="shared" si="1081"/>
        <v>0</v>
      </c>
      <c r="GK170" s="114">
        <f t="shared" si="1081"/>
        <v>0</v>
      </c>
      <c r="GL170" s="114">
        <f t="shared" si="1081"/>
        <v>0</v>
      </c>
      <c r="GM170" s="114">
        <f t="shared" si="1081"/>
        <v>0</v>
      </c>
      <c r="GN170" s="114">
        <f t="shared" si="1081"/>
        <v>0</v>
      </c>
      <c r="GO170" s="114">
        <f t="shared" si="1081"/>
        <v>0</v>
      </c>
      <c r="GP170" s="114">
        <f t="shared" si="1081"/>
        <v>0</v>
      </c>
      <c r="GQ170" s="114">
        <f t="shared" si="1081"/>
        <v>0</v>
      </c>
      <c r="GR170" s="114">
        <f t="shared" si="1081"/>
        <v>0</v>
      </c>
      <c r="GS170" s="114">
        <f t="shared" si="1081"/>
        <v>0</v>
      </c>
      <c r="GT170" s="114">
        <f t="shared" si="1081"/>
        <v>0</v>
      </c>
      <c r="GU170" s="114">
        <f t="shared" si="1081"/>
        <v>0</v>
      </c>
      <c r="GV170" s="114">
        <f t="shared" si="1081"/>
        <v>0</v>
      </c>
      <c r="GW170" s="114">
        <f t="shared" si="1081"/>
        <v>0</v>
      </c>
      <c r="GX170" s="114">
        <f t="shared" si="1081"/>
        <v>0</v>
      </c>
      <c r="GY170" s="114">
        <f t="shared" si="1081"/>
        <v>0</v>
      </c>
      <c r="GZ170" s="114">
        <f t="shared" si="1081"/>
        <v>0</v>
      </c>
      <c r="HA170" s="114">
        <f t="shared" si="1081"/>
        <v>0</v>
      </c>
      <c r="HB170" s="114">
        <f>SUM(HB171,HB176)</f>
        <v>0</v>
      </c>
      <c r="HC170" s="114">
        <f>SUM(HC171,HC176)</f>
        <v>0</v>
      </c>
      <c r="HD170" s="114">
        <f>SUM(HD171,HD176)</f>
        <v>0</v>
      </c>
      <c r="HE170" s="114">
        <f>SUM(HE171,HE176)</f>
        <v>0</v>
      </c>
      <c r="HF170" s="114">
        <f t="shared" si="1081"/>
        <v>0</v>
      </c>
      <c r="HG170" s="114">
        <f t="shared" si="1081"/>
        <v>0</v>
      </c>
      <c r="HH170" s="114">
        <f t="shared" si="1081"/>
        <v>0</v>
      </c>
      <c r="HI170" s="114">
        <f t="shared" si="1081"/>
        <v>0</v>
      </c>
      <c r="HJ170" s="114">
        <f t="shared" si="1081"/>
        <v>0</v>
      </c>
      <c r="HK170" s="114">
        <f t="shared" si="1081"/>
        <v>0</v>
      </c>
      <c r="HL170" s="114">
        <f>SUM(HL171,HL176)</f>
        <v>0</v>
      </c>
      <c r="HM170" s="114">
        <f>SUM(HM171,HM176)</f>
        <v>0</v>
      </c>
      <c r="HN170" s="114">
        <f>SUM(HN171,HN176)</f>
        <v>0</v>
      </c>
      <c r="HO170" s="114">
        <f>SUM(HO171,HO176)</f>
        <v>0</v>
      </c>
      <c r="HP170" s="114">
        <f t="shared" ref="HP170:IT170" si="1082">SUM(HP171,HP176)</f>
        <v>0</v>
      </c>
      <c r="HQ170" s="114">
        <f t="shared" si="1082"/>
        <v>0</v>
      </c>
      <c r="HR170" s="114">
        <f t="shared" si="1082"/>
        <v>0</v>
      </c>
      <c r="HS170" s="114">
        <f t="shared" si="1082"/>
        <v>0</v>
      </c>
      <c r="HT170" s="114">
        <f t="shared" si="1082"/>
        <v>0</v>
      </c>
      <c r="HU170" s="114">
        <f t="shared" si="1082"/>
        <v>0</v>
      </c>
      <c r="HV170" s="114">
        <f>SUM(HV171,HV176)</f>
        <v>0</v>
      </c>
      <c r="HW170" s="114">
        <f>SUM(HW171,HW176)</f>
        <v>0</v>
      </c>
      <c r="HX170" s="114">
        <f>SUM(HX171,HX176)</f>
        <v>0</v>
      </c>
      <c r="HY170" s="114">
        <f>SUM(HY171,HY176)</f>
        <v>0</v>
      </c>
      <c r="HZ170" s="114">
        <f t="shared" si="1082"/>
        <v>0</v>
      </c>
      <c r="IA170" s="114">
        <f t="shared" si="1082"/>
        <v>0</v>
      </c>
      <c r="IB170" s="114">
        <f t="shared" si="1082"/>
        <v>0</v>
      </c>
      <c r="IC170" s="114">
        <f t="shared" si="1082"/>
        <v>0</v>
      </c>
      <c r="ID170" s="114">
        <f t="shared" si="1082"/>
        <v>0</v>
      </c>
      <c r="IE170" s="114">
        <f t="shared" si="1082"/>
        <v>0</v>
      </c>
      <c r="IF170" s="114">
        <f t="shared" si="1082"/>
        <v>0</v>
      </c>
      <c r="IG170" s="114">
        <f t="shared" si="1082"/>
        <v>0</v>
      </c>
      <c r="IH170" s="114">
        <f t="shared" si="1082"/>
        <v>0</v>
      </c>
      <c r="II170" s="114">
        <f t="shared" si="1082"/>
        <v>0</v>
      </c>
      <c r="IJ170" s="114">
        <f t="shared" si="1082"/>
        <v>0</v>
      </c>
      <c r="IK170" s="114">
        <f>SUM(IK171,IK176)</f>
        <v>0</v>
      </c>
      <c r="IL170" s="114">
        <f>SUM(IL171,IL176)</f>
        <v>0</v>
      </c>
      <c r="IM170" s="114">
        <f>SUM(IM171,IM176)</f>
        <v>0</v>
      </c>
      <c r="IN170" s="114">
        <f>SUM(IN171,IN176)</f>
        <v>0</v>
      </c>
      <c r="IO170" s="114">
        <f t="shared" si="1082"/>
        <v>0</v>
      </c>
      <c r="IP170" s="114">
        <f t="shared" si="1082"/>
        <v>0</v>
      </c>
      <c r="IQ170" s="114">
        <f t="shared" si="1082"/>
        <v>0</v>
      </c>
      <c r="IR170" s="114">
        <f t="shared" si="1082"/>
        <v>0</v>
      </c>
      <c r="IS170" s="114">
        <f t="shared" si="1082"/>
        <v>0</v>
      </c>
      <c r="IT170" s="114">
        <f t="shared" si="1082"/>
        <v>0</v>
      </c>
      <c r="IU170" s="114">
        <f>SUM(IU171,IU176)</f>
        <v>0</v>
      </c>
      <c r="IV170" s="114">
        <f>SUM(IV171,IV176)</f>
        <v>0</v>
      </c>
    </row>
    <row r="171" spans="1:256" s="57" customFormat="1" ht="12.75" customHeight="1" x14ac:dyDescent="0.25">
      <c r="A171" s="146" t="s">
        <v>160</v>
      </c>
      <c r="B171" s="60"/>
      <c r="C171" s="73">
        <f t="shared" ref="C171:L171" si="1083">C172</f>
        <v>415</v>
      </c>
      <c r="D171" s="73">
        <f t="shared" si="1083"/>
        <v>100</v>
      </c>
      <c r="E171" s="73">
        <f t="shared" si="1083"/>
        <v>25</v>
      </c>
      <c r="F171" s="73">
        <f t="shared" si="1083"/>
        <v>0</v>
      </c>
      <c r="G171" s="73">
        <f t="shared" si="1083"/>
        <v>43</v>
      </c>
      <c r="H171" s="73">
        <f t="shared" si="1083"/>
        <v>50</v>
      </c>
      <c r="I171" s="73">
        <f t="shared" si="1083"/>
        <v>0</v>
      </c>
      <c r="J171" s="73">
        <f t="shared" si="1083"/>
        <v>50</v>
      </c>
      <c r="K171" s="73">
        <f t="shared" si="1083"/>
        <v>25</v>
      </c>
      <c r="L171" s="73">
        <f t="shared" si="1083"/>
        <v>665</v>
      </c>
      <c r="M171" s="60"/>
      <c r="N171" s="73">
        <f t="shared" ref="N171:V171" si="1084">N172</f>
        <v>0</v>
      </c>
      <c r="O171" s="73">
        <f t="shared" si="1084"/>
        <v>0</v>
      </c>
      <c r="P171" s="73">
        <f t="shared" si="1084"/>
        <v>0</v>
      </c>
      <c r="Q171" s="73">
        <f t="shared" si="1084"/>
        <v>0</v>
      </c>
      <c r="R171" s="73">
        <f t="shared" si="1084"/>
        <v>0</v>
      </c>
      <c r="S171" s="73">
        <f t="shared" si="1084"/>
        <v>0</v>
      </c>
      <c r="T171" s="73">
        <f t="shared" si="1084"/>
        <v>0</v>
      </c>
      <c r="U171" s="73">
        <f t="shared" si="1084"/>
        <v>0</v>
      </c>
      <c r="V171" s="73">
        <f t="shared" si="1084"/>
        <v>0</v>
      </c>
      <c r="W171" s="73">
        <f t="shared" ref="W171:AR171" si="1085">W172</f>
        <v>0</v>
      </c>
      <c r="X171" s="60"/>
      <c r="Y171" s="73">
        <f t="shared" si="1085"/>
        <v>0</v>
      </c>
      <c r="Z171" s="73">
        <f t="shared" si="1085"/>
        <v>0</v>
      </c>
      <c r="AA171" s="73">
        <f t="shared" si="1085"/>
        <v>0</v>
      </c>
      <c r="AB171" s="73">
        <f t="shared" si="1085"/>
        <v>0</v>
      </c>
      <c r="AC171" s="73">
        <f t="shared" si="1085"/>
        <v>0</v>
      </c>
      <c r="AD171" s="73">
        <f t="shared" si="1085"/>
        <v>0</v>
      </c>
      <c r="AE171" s="73">
        <f t="shared" si="1085"/>
        <v>0</v>
      </c>
      <c r="AF171" s="73">
        <f t="shared" si="1085"/>
        <v>0</v>
      </c>
      <c r="AG171" s="73">
        <f t="shared" si="1085"/>
        <v>0</v>
      </c>
      <c r="AH171" s="73">
        <f t="shared" si="1085"/>
        <v>0</v>
      </c>
      <c r="AI171" s="60"/>
      <c r="AJ171" s="73">
        <f t="shared" si="1085"/>
        <v>0</v>
      </c>
      <c r="AK171" s="73">
        <f t="shared" si="1085"/>
        <v>0</v>
      </c>
      <c r="AL171" s="73">
        <f t="shared" si="1085"/>
        <v>0</v>
      </c>
      <c r="AM171" s="73">
        <f t="shared" si="1085"/>
        <v>0</v>
      </c>
      <c r="AN171" s="73">
        <f t="shared" si="1085"/>
        <v>0</v>
      </c>
      <c r="AO171" s="73">
        <f t="shared" si="1085"/>
        <v>0</v>
      </c>
      <c r="AP171" s="73">
        <f t="shared" si="1085"/>
        <v>0</v>
      </c>
      <c r="AQ171" s="73">
        <f t="shared" si="1085"/>
        <v>0</v>
      </c>
      <c r="AR171" s="73">
        <f t="shared" si="1085"/>
        <v>0</v>
      </c>
      <c r="AS171" s="73">
        <f>AS172</f>
        <v>0</v>
      </c>
      <c r="AT171" s="60"/>
      <c r="AU171" s="73">
        <f t="shared" ref="AU171:BD171" si="1086">AU172</f>
        <v>0</v>
      </c>
      <c r="AV171" s="73">
        <f t="shared" si="1086"/>
        <v>0</v>
      </c>
      <c r="AW171" s="73">
        <f t="shared" si="1086"/>
        <v>0</v>
      </c>
      <c r="AX171" s="73">
        <f t="shared" si="1086"/>
        <v>0</v>
      </c>
      <c r="AY171" s="73">
        <f t="shared" si="1086"/>
        <v>0</v>
      </c>
      <c r="AZ171" s="73">
        <f t="shared" si="1086"/>
        <v>0</v>
      </c>
      <c r="BA171" s="73">
        <f t="shared" si="1086"/>
        <v>0</v>
      </c>
      <c r="BB171" s="73">
        <f t="shared" si="1086"/>
        <v>0</v>
      </c>
      <c r="BC171" s="73">
        <f t="shared" si="1086"/>
        <v>0</v>
      </c>
      <c r="BD171" s="73">
        <f t="shared" si="1086"/>
        <v>0</v>
      </c>
      <c r="BE171" s="60"/>
      <c r="BF171" s="73">
        <f t="shared" ref="BF171:BN171" si="1087">BF172</f>
        <v>0</v>
      </c>
      <c r="BG171" s="73">
        <f t="shared" si="1087"/>
        <v>0</v>
      </c>
      <c r="BH171" s="73">
        <f t="shared" si="1087"/>
        <v>0</v>
      </c>
      <c r="BI171" s="73">
        <f t="shared" si="1087"/>
        <v>0</v>
      </c>
      <c r="BJ171" s="73">
        <f t="shared" si="1087"/>
        <v>0</v>
      </c>
      <c r="BK171" s="73">
        <f t="shared" si="1087"/>
        <v>0</v>
      </c>
      <c r="BL171" s="73">
        <f t="shared" si="1087"/>
        <v>0</v>
      </c>
      <c r="BM171" s="73">
        <f t="shared" si="1087"/>
        <v>0</v>
      </c>
      <c r="BN171" s="73">
        <f t="shared" si="1087"/>
        <v>0</v>
      </c>
      <c r="BO171" s="73">
        <f>BO172</f>
        <v>0</v>
      </c>
      <c r="BP171" s="60"/>
      <c r="BQ171" s="73">
        <f t="shared" ref="BQ171:BY171" si="1088">BQ172</f>
        <v>0</v>
      </c>
      <c r="BR171" s="73">
        <f t="shared" si="1088"/>
        <v>0</v>
      </c>
      <c r="BS171" s="73">
        <f t="shared" si="1088"/>
        <v>0</v>
      </c>
      <c r="BT171" s="73">
        <f t="shared" si="1088"/>
        <v>0</v>
      </c>
      <c r="BU171" s="73">
        <f t="shared" si="1088"/>
        <v>0</v>
      </c>
      <c r="BV171" s="73">
        <f t="shared" si="1088"/>
        <v>0</v>
      </c>
      <c r="BW171" s="73">
        <f t="shared" si="1088"/>
        <v>0</v>
      </c>
      <c r="BX171" s="73">
        <f t="shared" si="1088"/>
        <v>0</v>
      </c>
      <c r="BY171" s="73">
        <f t="shared" si="1088"/>
        <v>0</v>
      </c>
      <c r="BZ171" s="73">
        <f>BZ172</f>
        <v>0</v>
      </c>
      <c r="CA171" s="60"/>
      <c r="CB171" s="73">
        <f t="shared" ref="CB171:CJ171" si="1089">CB172</f>
        <v>0</v>
      </c>
      <c r="CC171" s="73">
        <f t="shared" si="1089"/>
        <v>0</v>
      </c>
      <c r="CD171" s="73">
        <f t="shared" si="1089"/>
        <v>0</v>
      </c>
      <c r="CE171" s="73">
        <f t="shared" si="1089"/>
        <v>0</v>
      </c>
      <c r="CF171" s="73">
        <f t="shared" si="1089"/>
        <v>0</v>
      </c>
      <c r="CG171" s="73">
        <f t="shared" si="1089"/>
        <v>0</v>
      </c>
      <c r="CH171" s="73">
        <f t="shared" si="1089"/>
        <v>0</v>
      </c>
      <c r="CI171" s="73">
        <f t="shared" si="1089"/>
        <v>0</v>
      </c>
      <c r="CJ171" s="73">
        <f t="shared" si="1089"/>
        <v>0</v>
      </c>
      <c r="CK171" s="73">
        <f>CK172</f>
        <v>0</v>
      </c>
      <c r="CL171" s="60"/>
      <c r="CM171" s="73">
        <f t="shared" ref="CM171:CV171" si="1090">CM172</f>
        <v>0</v>
      </c>
      <c r="CN171" s="73">
        <f t="shared" si="1090"/>
        <v>0</v>
      </c>
      <c r="CO171" s="73">
        <f t="shared" si="1090"/>
        <v>0</v>
      </c>
      <c r="CP171" s="73">
        <f t="shared" si="1090"/>
        <v>0</v>
      </c>
      <c r="CQ171" s="73">
        <f t="shared" si="1090"/>
        <v>0</v>
      </c>
      <c r="CR171" s="73">
        <f t="shared" si="1090"/>
        <v>0</v>
      </c>
      <c r="CS171" s="73">
        <f t="shared" si="1090"/>
        <v>0</v>
      </c>
      <c r="CT171" s="73">
        <f t="shared" si="1090"/>
        <v>0</v>
      </c>
      <c r="CU171" s="73">
        <f t="shared" si="1090"/>
        <v>0</v>
      </c>
      <c r="CV171" s="73">
        <f t="shared" si="1090"/>
        <v>0</v>
      </c>
      <c r="CW171" s="60"/>
      <c r="CX171" s="73">
        <f t="shared" ref="CX171:DF171" si="1091">CX172</f>
        <v>0</v>
      </c>
      <c r="CY171" s="73">
        <f t="shared" si="1091"/>
        <v>0</v>
      </c>
      <c r="CZ171" s="73">
        <f t="shared" si="1091"/>
        <v>0</v>
      </c>
      <c r="DA171" s="73">
        <f t="shared" si="1091"/>
        <v>0</v>
      </c>
      <c r="DB171" s="73">
        <f t="shared" si="1091"/>
        <v>0</v>
      </c>
      <c r="DC171" s="73">
        <f t="shared" si="1091"/>
        <v>0</v>
      </c>
      <c r="DD171" s="73">
        <f t="shared" si="1091"/>
        <v>0</v>
      </c>
      <c r="DE171" s="73">
        <f t="shared" si="1091"/>
        <v>0</v>
      </c>
      <c r="DF171" s="73">
        <f t="shared" si="1091"/>
        <v>0</v>
      </c>
      <c r="DG171" s="73">
        <f>DG172</f>
        <v>0</v>
      </c>
      <c r="DH171" s="60"/>
      <c r="DI171" s="73">
        <f t="shared" ref="DI171:DQ171" si="1092">DI172</f>
        <v>0</v>
      </c>
      <c r="DJ171" s="73">
        <f t="shared" si="1092"/>
        <v>0</v>
      </c>
      <c r="DK171" s="73">
        <f t="shared" si="1092"/>
        <v>0</v>
      </c>
      <c r="DL171" s="73">
        <f t="shared" si="1092"/>
        <v>0</v>
      </c>
      <c r="DM171" s="73">
        <f t="shared" si="1092"/>
        <v>0</v>
      </c>
      <c r="DN171" s="73">
        <f t="shared" si="1092"/>
        <v>0</v>
      </c>
      <c r="DO171" s="73">
        <f t="shared" si="1092"/>
        <v>0</v>
      </c>
      <c r="DP171" s="73">
        <f t="shared" si="1092"/>
        <v>0</v>
      </c>
      <c r="DQ171" s="73">
        <f t="shared" si="1092"/>
        <v>0</v>
      </c>
      <c r="DR171" s="73">
        <f>DR172</f>
        <v>0</v>
      </c>
      <c r="DS171" s="60"/>
      <c r="DT171" s="73">
        <f t="shared" ref="DT171:EB171" si="1093">DT172</f>
        <v>0</v>
      </c>
      <c r="DU171" s="73">
        <f t="shared" si="1093"/>
        <v>0</v>
      </c>
      <c r="DV171" s="73">
        <f t="shared" si="1093"/>
        <v>0</v>
      </c>
      <c r="DW171" s="73">
        <f t="shared" si="1093"/>
        <v>0</v>
      </c>
      <c r="DX171" s="73">
        <f t="shared" si="1093"/>
        <v>0</v>
      </c>
      <c r="DY171" s="73">
        <f t="shared" si="1093"/>
        <v>0</v>
      </c>
      <c r="DZ171" s="73">
        <f t="shared" si="1093"/>
        <v>0</v>
      </c>
      <c r="EA171" s="73">
        <f t="shared" si="1093"/>
        <v>0</v>
      </c>
      <c r="EB171" s="73">
        <f t="shared" si="1093"/>
        <v>0</v>
      </c>
      <c r="EC171" s="73">
        <f>EC172</f>
        <v>0</v>
      </c>
      <c r="ED171" s="60"/>
      <c r="EE171" s="73">
        <f t="shared" ref="EE171:EN171" si="1094">EE172</f>
        <v>0</v>
      </c>
      <c r="EF171" s="73">
        <f t="shared" si="1094"/>
        <v>0</v>
      </c>
      <c r="EG171" s="73">
        <f t="shared" si="1094"/>
        <v>0</v>
      </c>
      <c r="EH171" s="73">
        <f t="shared" si="1094"/>
        <v>0</v>
      </c>
      <c r="EI171" s="73">
        <f t="shared" si="1094"/>
        <v>0</v>
      </c>
      <c r="EJ171" s="73">
        <f t="shared" si="1094"/>
        <v>0</v>
      </c>
      <c r="EK171" s="73">
        <f t="shared" si="1094"/>
        <v>0</v>
      </c>
      <c r="EL171" s="73">
        <f t="shared" si="1094"/>
        <v>0</v>
      </c>
      <c r="EM171" s="73">
        <f t="shared" si="1094"/>
        <v>0</v>
      </c>
      <c r="EN171" s="73">
        <f t="shared" si="1094"/>
        <v>0</v>
      </c>
      <c r="EO171" s="60"/>
      <c r="EP171" s="73">
        <f t="shared" ref="EP171:EX171" si="1095">EP172</f>
        <v>0</v>
      </c>
      <c r="EQ171" s="73">
        <f t="shared" si="1095"/>
        <v>0</v>
      </c>
      <c r="ER171" s="73">
        <f t="shared" si="1095"/>
        <v>0</v>
      </c>
      <c r="ES171" s="73">
        <f t="shared" si="1095"/>
        <v>0</v>
      </c>
      <c r="ET171" s="73">
        <f t="shared" si="1095"/>
        <v>0</v>
      </c>
      <c r="EU171" s="73">
        <f t="shared" si="1095"/>
        <v>0</v>
      </c>
      <c r="EV171" s="73">
        <f t="shared" si="1095"/>
        <v>0</v>
      </c>
      <c r="EW171" s="73">
        <f t="shared" si="1095"/>
        <v>0</v>
      </c>
      <c r="EX171" s="73">
        <f t="shared" si="1095"/>
        <v>0</v>
      </c>
      <c r="EY171" s="73">
        <f>EY172</f>
        <v>0</v>
      </c>
      <c r="EZ171" s="60"/>
      <c r="FA171" s="73">
        <f t="shared" ref="FA171:FI171" si="1096">FA172</f>
        <v>0</v>
      </c>
      <c r="FB171" s="73">
        <f t="shared" si="1096"/>
        <v>0</v>
      </c>
      <c r="FC171" s="73">
        <f t="shared" si="1096"/>
        <v>0</v>
      </c>
      <c r="FD171" s="73">
        <f t="shared" si="1096"/>
        <v>0</v>
      </c>
      <c r="FE171" s="73">
        <f t="shared" si="1096"/>
        <v>0</v>
      </c>
      <c r="FF171" s="73">
        <f t="shared" si="1096"/>
        <v>0</v>
      </c>
      <c r="FG171" s="73">
        <f t="shared" si="1096"/>
        <v>0</v>
      </c>
      <c r="FH171" s="73">
        <f t="shared" si="1096"/>
        <v>0</v>
      </c>
      <c r="FI171" s="73">
        <f t="shared" si="1096"/>
        <v>0</v>
      </c>
      <c r="FJ171" s="73">
        <f>FJ172</f>
        <v>0</v>
      </c>
      <c r="FK171" s="60"/>
      <c r="FL171" s="73">
        <f t="shared" ref="FL171:FT171" si="1097">FL172</f>
        <v>0</v>
      </c>
      <c r="FM171" s="73">
        <f t="shared" si="1097"/>
        <v>0</v>
      </c>
      <c r="FN171" s="73">
        <f t="shared" si="1097"/>
        <v>0</v>
      </c>
      <c r="FO171" s="73">
        <f t="shared" si="1097"/>
        <v>0</v>
      </c>
      <c r="FP171" s="73">
        <f t="shared" si="1097"/>
        <v>0</v>
      </c>
      <c r="FQ171" s="73">
        <f t="shared" si="1097"/>
        <v>0</v>
      </c>
      <c r="FR171" s="73">
        <f t="shared" si="1097"/>
        <v>0</v>
      </c>
      <c r="FS171" s="73">
        <f t="shared" si="1097"/>
        <v>0</v>
      </c>
      <c r="FT171" s="73">
        <f t="shared" si="1097"/>
        <v>0</v>
      </c>
      <c r="FU171" s="73">
        <f>FU172</f>
        <v>0</v>
      </c>
      <c r="FV171" s="60"/>
      <c r="FW171" s="73">
        <f t="shared" ref="FW171:GF171" si="1098">FW172</f>
        <v>0</v>
      </c>
      <c r="FX171" s="73">
        <f t="shared" si="1098"/>
        <v>0</v>
      </c>
      <c r="FY171" s="73">
        <f t="shared" si="1098"/>
        <v>0</v>
      </c>
      <c r="FZ171" s="73">
        <f t="shared" si="1098"/>
        <v>0</v>
      </c>
      <c r="GA171" s="73">
        <f t="shared" si="1098"/>
        <v>0</v>
      </c>
      <c r="GB171" s="73">
        <f t="shared" si="1098"/>
        <v>0</v>
      </c>
      <c r="GC171" s="73">
        <f t="shared" si="1098"/>
        <v>0</v>
      </c>
      <c r="GD171" s="73">
        <f t="shared" si="1098"/>
        <v>0</v>
      </c>
      <c r="GE171" s="73">
        <f t="shared" si="1098"/>
        <v>0</v>
      </c>
      <c r="GF171" s="73">
        <f t="shared" si="1098"/>
        <v>0</v>
      </c>
      <c r="GG171" s="60"/>
      <c r="GH171" s="73">
        <f t="shared" ref="GH171:GQ171" si="1099">GH172</f>
        <v>0</v>
      </c>
      <c r="GI171" s="73">
        <f t="shared" si="1099"/>
        <v>0</v>
      </c>
      <c r="GJ171" s="73">
        <f t="shared" si="1099"/>
        <v>0</v>
      </c>
      <c r="GK171" s="73">
        <f t="shared" si="1099"/>
        <v>0</v>
      </c>
      <c r="GL171" s="73">
        <f t="shared" si="1099"/>
        <v>0</v>
      </c>
      <c r="GM171" s="73">
        <f t="shared" si="1099"/>
        <v>0</v>
      </c>
      <c r="GN171" s="73">
        <f t="shared" si="1099"/>
        <v>0</v>
      </c>
      <c r="GO171" s="73">
        <f t="shared" si="1099"/>
        <v>0</v>
      </c>
      <c r="GP171" s="73">
        <f t="shared" si="1099"/>
        <v>0</v>
      </c>
      <c r="GQ171" s="73">
        <f t="shared" si="1099"/>
        <v>0</v>
      </c>
      <c r="GR171" s="73">
        <f t="shared" ref="GR171:HT171" si="1100">GR172</f>
        <v>0</v>
      </c>
      <c r="GS171" s="73">
        <f t="shared" si="1100"/>
        <v>0</v>
      </c>
      <c r="GT171" s="73">
        <f t="shared" si="1100"/>
        <v>0</v>
      </c>
      <c r="GU171" s="73">
        <f t="shared" si="1100"/>
        <v>0</v>
      </c>
      <c r="GV171" s="73">
        <f t="shared" si="1100"/>
        <v>0</v>
      </c>
      <c r="GW171" s="73">
        <f t="shared" si="1100"/>
        <v>0</v>
      </c>
      <c r="GX171" s="73">
        <f t="shared" si="1100"/>
        <v>0</v>
      </c>
      <c r="GY171" s="73">
        <f t="shared" si="1100"/>
        <v>0</v>
      </c>
      <c r="GZ171" s="73">
        <f t="shared" si="1100"/>
        <v>0</v>
      </c>
      <c r="HA171" s="73">
        <f t="shared" si="1100"/>
        <v>0</v>
      </c>
      <c r="HB171" s="73">
        <f t="shared" si="1100"/>
        <v>0</v>
      </c>
      <c r="HC171" s="73">
        <f t="shared" si="1100"/>
        <v>0</v>
      </c>
      <c r="HD171" s="73">
        <f t="shared" si="1100"/>
        <v>0</v>
      </c>
      <c r="HE171" s="73">
        <f t="shared" si="1100"/>
        <v>0</v>
      </c>
      <c r="HF171" s="73">
        <f t="shared" si="1100"/>
        <v>0</v>
      </c>
      <c r="HG171" s="73">
        <f t="shared" si="1100"/>
        <v>0</v>
      </c>
      <c r="HH171" s="73">
        <f t="shared" si="1100"/>
        <v>0</v>
      </c>
      <c r="HI171" s="73">
        <f t="shared" si="1100"/>
        <v>0</v>
      </c>
      <c r="HJ171" s="73">
        <f t="shared" si="1100"/>
        <v>0</v>
      </c>
      <c r="HK171" s="73">
        <f t="shared" si="1100"/>
        <v>0</v>
      </c>
      <c r="HL171" s="73">
        <f t="shared" si="1100"/>
        <v>0</v>
      </c>
      <c r="HM171" s="73">
        <f t="shared" si="1100"/>
        <v>0</v>
      </c>
      <c r="HN171" s="73">
        <f t="shared" si="1100"/>
        <v>0</v>
      </c>
      <c r="HO171" s="73">
        <f t="shared" si="1100"/>
        <v>0</v>
      </c>
      <c r="HP171" s="73">
        <f t="shared" si="1100"/>
        <v>0</v>
      </c>
      <c r="HQ171" s="73">
        <f t="shared" si="1100"/>
        <v>0</v>
      </c>
      <c r="HR171" s="73">
        <f t="shared" si="1100"/>
        <v>0</v>
      </c>
      <c r="HS171" s="73">
        <f t="shared" si="1100"/>
        <v>0</v>
      </c>
      <c r="HT171" s="73">
        <f t="shared" si="1100"/>
        <v>0</v>
      </c>
      <c r="HU171" s="73">
        <f t="shared" ref="HU171:IV171" si="1101">HU172</f>
        <v>0</v>
      </c>
      <c r="HV171" s="73">
        <f t="shared" si="1101"/>
        <v>0</v>
      </c>
      <c r="HW171" s="73">
        <f t="shared" si="1101"/>
        <v>0</v>
      </c>
      <c r="HX171" s="73">
        <f t="shared" si="1101"/>
        <v>0</v>
      </c>
      <c r="HY171" s="73">
        <f t="shared" si="1101"/>
        <v>0</v>
      </c>
      <c r="HZ171" s="73">
        <f t="shared" si="1101"/>
        <v>0</v>
      </c>
      <c r="IA171" s="73">
        <f t="shared" si="1101"/>
        <v>0</v>
      </c>
      <c r="IB171" s="73">
        <f t="shared" si="1101"/>
        <v>0</v>
      </c>
      <c r="IC171" s="73">
        <f t="shared" si="1101"/>
        <v>0</v>
      </c>
      <c r="ID171" s="73">
        <f t="shared" si="1101"/>
        <v>0</v>
      </c>
      <c r="IE171" s="73">
        <f t="shared" si="1101"/>
        <v>0</v>
      </c>
      <c r="IF171" s="73">
        <f t="shared" si="1101"/>
        <v>0</v>
      </c>
      <c r="IG171" s="73">
        <f t="shared" si="1101"/>
        <v>0</v>
      </c>
      <c r="IH171" s="73">
        <f t="shared" si="1101"/>
        <v>0</v>
      </c>
      <c r="II171" s="73">
        <f t="shared" si="1101"/>
        <v>0</v>
      </c>
      <c r="IJ171" s="73">
        <f t="shared" si="1101"/>
        <v>0</v>
      </c>
      <c r="IK171" s="73">
        <f t="shared" si="1101"/>
        <v>0</v>
      </c>
      <c r="IL171" s="73">
        <f t="shared" si="1101"/>
        <v>0</v>
      </c>
      <c r="IM171" s="73">
        <f t="shared" si="1101"/>
        <v>0</v>
      </c>
      <c r="IN171" s="73">
        <f t="shared" si="1101"/>
        <v>0</v>
      </c>
      <c r="IO171" s="73">
        <f t="shared" si="1101"/>
        <v>0</v>
      </c>
      <c r="IP171" s="73">
        <f t="shared" si="1101"/>
        <v>0</v>
      </c>
      <c r="IQ171" s="73">
        <f t="shared" si="1101"/>
        <v>0</v>
      </c>
      <c r="IR171" s="73">
        <f t="shared" si="1101"/>
        <v>0</v>
      </c>
      <c r="IS171" s="73">
        <f t="shared" si="1101"/>
        <v>0</v>
      </c>
      <c r="IT171" s="73">
        <f t="shared" si="1101"/>
        <v>0</v>
      </c>
      <c r="IU171" s="73">
        <f t="shared" si="1101"/>
        <v>0</v>
      </c>
      <c r="IV171" s="73">
        <f t="shared" si="1101"/>
        <v>0</v>
      </c>
    </row>
    <row r="172" spans="1:256" s="78" customFormat="1" ht="12.75" customHeight="1" x14ac:dyDescent="0.25">
      <c r="A172" s="147" t="s">
        <v>161</v>
      </c>
      <c r="B172" s="148"/>
      <c r="C172" s="82">
        <f t="shared" ref="C172:L172" si="1102">SUM(C173:C175)</f>
        <v>415</v>
      </c>
      <c r="D172" s="82">
        <f t="shared" si="1102"/>
        <v>100</v>
      </c>
      <c r="E172" s="82">
        <f t="shared" si="1102"/>
        <v>25</v>
      </c>
      <c r="F172" s="82">
        <f t="shared" si="1102"/>
        <v>0</v>
      </c>
      <c r="G172" s="82">
        <f t="shared" si="1102"/>
        <v>43</v>
      </c>
      <c r="H172" s="82">
        <f t="shared" si="1102"/>
        <v>50</v>
      </c>
      <c r="I172" s="82">
        <f t="shared" si="1102"/>
        <v>0</v>
      </c>
      <c r="J172" s="82">
        <f t="shared" si="1102"/>
        <v>50</v>
      </c>
      <c r="K172" s="82">
        <f t="shared" si="1102"/>
        <v>25</v>
      </c>
      <c r="L172" s="82">
        <f t="shared" si="1102"/>
        <v>665</v>
      </c>
      <c r="M172" s="148"/>
      <c r="N172" s="82">
        <f t="shared" ref="N172:V172" si="1103">SUM(N173:N175)</f>
        <v>0</v>
      </c>
      <c r="O172" s="82">
        <f t="shared" si="1103"/>
        <v>0</v>
      </c>
      <c r="P172" s="82">
        <f t="shared" si="1103"/>
        <v>0</v>
      </c>
      <c r="Q172" s="82">
        <f t="shared" si="1103"/>
        <v>0</v>
      </c>
      <c r="R172" s="82">
        <f t="shared" si="1103"/>
        <v>0</v>
      </c>
      <c r="S172" s="82">
        <f t="shared" si="1103"/>
        <v>0</v>
      </c>
      <c r="T172" s="82">
        <f t="shared" si="1103"/>
        <v>0</v>
      </c>
      <c r="U172" s="82">
        <f t="shared" si="1103"/>
        <v>0</v>
      </c>
      <c r="V172" s="82">
        <f t="shared" si="1103"/>
        <v>0</v>
      </c>
      <c r="W172" s="82">
        <f>SUM(W173:W175)</f>
        <v>0</v>
      </c>
      <c r="X172" s="148"/>
      <c r="Y172" s="82">
        <f t="shared" ref="Y172:AG172" si="1104">SUM(Y173:Y175)</f>
        <v>0</v>
      </c>
      <c r="Z172" s="82">
        <f t="shared" si="1104"/>
        <v>0</v>
      </c>
      <c r="AA172" s="82">
        <f t="shared" si="1104"/>
        <v>0</v>
      </c>
      <c r="AB172" s="82">
        <f t="shared" si="1104"/>
        <v>0</v>
      </c>
      <c r="AC172" s="82">
        <f t="shared" si="1104"/>
        <v>0</v>
      </c>
      <c r="AD172" s="82">
        <f t="shared" si="1104"/>
        <v>0</v>
      </c>
      <c r="AE172" s="82">
        <f t="shared" si="1104"/>
        <v>0</v>
      </c>
      <c r="AF172" s="82">
        <f t="shared" si="1104"/>
        <v>0</v>
      </c>
      <c r="AG172" s="82">
        <f t="shared" si="1104"/>
        <v>0</v>
      </c>
      <c r="AH172" s="82">
        <f>SUM(AH173:AH175)</f>
        <v>0</v>
      </c>
      <c r="AI172" s="148"/>
      <c r="AJ172" s="82">
        <f t="shared" ref="AJ172:AR172" si="1105">SUM(AJ173:AJ175)</f>
        <v>0</v>
      </c>
      <c r="AK172" s="82">
        <f t="shared" si="1105"/>
        <v>0</v>
      </c>
      <c r="AL172" s="82">
        <f t="shared" si="1105"/>
        <v>0</v>
      </c>
      <c r="AM172" s="82">
        <f t="shared" si="1105"/>
        <v>0</v>
      </c>
      <c r="AN172" s="82">
        <f t="shared" si="1105"/>
        <v>0</v>
      </c>
      <c r="AO172" s="82">
        <f t="shared" si="1105"/>
        <v>0</v>
      </c>
      <c r="AP172" s="82">
        <f t="shared" si="1105"/>
        <v>0</v>
      </c>
      <c r="AQ172" s="82">
        <f t="shared" si="1105"/>
        <v>0</v>
      </c>
      <c r="AR172" s="82">
        <f t="shared" si="1105"/>
        <v>0</v>
      </c>
      <c r="AS172" s="82">
        <f>SUM(AS173:AS175)</f>
        <v>0</v>
      </c>
      <c r="AT172" s="148"/>
      <c r="AU172" s="82">
        <f t="shared" ref="AU172:BD172" si="1106">SUM(AU173:AU175)</f>
        <v>0</v>
      </c>
      <c r="AV172" s="82">
        <f t="shared" si="1106"/>
        <v>0</v>
      </c>
      <c r="AW172" s="82">
        <f t="shared" si="1106"/>
        <v>0</v>
      </c>
      <c r="AX172" s="82">
        <f t="shared" si="1106"/>
        <v>0</v>
      </c>
      <c r="AY172" s="82">
        <f t="shared" si="1106"/>
        <v>0</v>
      </c>
      <c r="AZ172" s="82">
        <f t="shared" si="1106"/>
        <v>0</v>
      </c>
      <c r="BA172" s="82">
        <f t="shared" si="1106"/>
        <v>0</v>
      </c>
      <c r="BB172" s="82">
        <f t="shared" si="1106"/>
        <v>0</v>
      </c>
      <c r="BC172" s="82">
        <f t="shared" si="1106"/>
        <v>0</v>
      </c>
      <c r="BD172" s="82">
        <f t="shared" si="1106"/>
        <v>0</v>
      </c>
      <c r="BE172" s="148"/>
      <c r="BF172" s="82">
        <f t="shared" ref="BF172:BN172" si="1107">SUM(BF173:BF175)</f>
        <v>0</v>
      </c>
      <c r="BG172" s="82">
        <f t="shared" si="1107"/>
        <v>0</v>
      </c>
      <c r="BH172" s="82">
        <f t="shared" si="1107"/>
        <v>0</v>
      </c>
      <c r="BI172" s="82">
        <f t="shared" si="1107"/>
        <v>0</v>
      </c>
      <c r="BJ172" s="82">
        <f t="shared" si="1107"/>
        <v>0</v>
      </c>
      <c r="BK172" s="82">
        <f t="shared" si="1107"/>
        <v>0</v>
      </c>
      <c r="BL172" s="82">
        <f t="shared" si="1107"/>
        <v>0</v>
      </c>
      <c r="BM172" s="82">
        <f t="shared" si="1107"/>
        <v>0</v>
      </c>
      <c r="BN172" s="82">
        <f t="shared" si="1107"/>
        <v>0</v>
      </c>
      <c r="BO172" s="82">
        <f>SUM(BO173:BO175)</f>
        <v>0</v>
      </c>
      <c r="BP172" s="148"/>
      <c r="BQ172" s="82">
        <f t="shared" ref="BQ172:BY172" si="1108">SUM(BQ173:BQ175)</f>
        <v>0</v>
      </c>
      <c r="BR172" s="82">
        <f t="shared" si="1108"/>
        <v>0</v>
      </c>
      <c r="BS172" s="82">
        <f t="shared" si="1108"/>
        <v>0</v>
      </c>
      <c r="BT172" s="82">
        <f t="shared" si="1108"/>
        <v>0</v>
      </c>
      <c r="BU172" s="82">
        <f t="shared" si="1108"/>
        <v>0</v>
      </c>
      <c r="BV172" s="82">
        <f t="shared" si="1108"/>
        <v>0</v>
      </c>
      <c r="BW172" s="82">
        <f t="shared" si="1108"/>
        <v>0</v>
      </c>
      <c r="BX172" s="82">
        <f t="shared" si="1108"/>
        <v>0</v>
      </c>
      <c r="BY172" s="82">
        <f t="shared" si="1108"/>
        <v>0</v>
      </c>
      <c r="BZ172" s="82">
        <f>SUM(BZ173:BZ175)</f>
        <v>0</v>
      </c>
      <c r="CA172" s="148"/>
      <c r="CB172" s="82">
        <f t="shared" ref="CB172:CJ172" si="1109">SUM(CB173:CB175)</f>
        <v>0</v>
      </c>
      <c r="CC172" s="82">
        <f t="shared" si="1109"/>
        <v>0</v>
      </c>
      <c r="CD172" s="82">
        <f t="shared" si="1109"/>
        <v>0</v>
      </c>
      <c r="CE172" s="82">
        <f t="shared" si="1109"/>
        <v>0</v>
      </c>
      <c r="CF172" s="82">
        <f t="shared" si="1109"/>
        <v>0</v>
      </c>
      <c r="CG172" s="82">
        <f t="shared" si="1109"/>
        <v>0</v>
      </c>
      <c r="CH172" s="82">
        <f t="shared" si="1109"/>
        <v>0</v>
      </c>
      <c r="CI172" s="82">
        <f t="shared" si="1109"/>
        <v>0</v>
      </c>
      <c r="CJ172" s="82">
        <f t="shared" si="1109"/>
        <v>0</v>
      </c>
      <c r="CK172" s="82">
        <f>SUM(CK173:CK175)</f>
        <v>0</v>
      </c>
      <c r="CL172" s="148"/>
      <c r="CM172" s="82">
        <f t="shared" ref="CM172:CV172" si="1110">SUM(CM173:CM175)</f>
        <v>0</v>
      </c>
      <c r="CN172" s="82">
        <f t="shared" si="1110"/>
        <v>0</v>
      </c>
      <c r="CO172" s="82">
        <f t="shared" si="1110"/>
        <v>0</v>
      </c>
      <c r="CP172" s="82">
        <f t="shared" si="1110"/>
        <v>0</v>
      </c>
      <c r="CQ172" s="82">
        <f t="shared" si="1110"/>
        <v>0</v>
      </c>
      <c r="CR172" s="82">
        <f t="shared" si="1110"/>
        <v>0</v>
      </c>
      <c r="CS172" s="82">
        <f t="shared" si="1110"/>
        <v>0</v>
      </c>
      <c r="CT172" s="82">
        <f t="shared" si="1110"/>
        <v>0</v>
      </c>
      <c r="CU172" s="82">
        <f t="shared" si="1110"/>
        <v>0</v>
      </c>
      <c r="CV172" s="82">
        <f t="shared" si="1110"/>
        <v>0</v>
      </c>
      <c r="CW172" s="148"/>
      <c r="CX172" s="82">
        <f t="shared" ref="CX172:DF172" si="1111">SUM(CX173:CX175)</f>
        <v>0</v>
      </c>
      <c r="CY172" s="82">
        <f t="shared" si="1111"/>
        <v>0</v>
      </c>
      <c r="CZ172" s="82">
        <f t="shared" si="1111"/>
        <v>0</v>
      </c>
      <c r="DA172" s="82">
        <f t="shared" si="1111"/>
        <v>0</v>
      </c>
      <c r="DB172" s="82">
        <f t="shared" si="1111"/>
        <v>0</v>
      </c>
      <c r="DC172" s="82">
        <f t="shared" si="1111"/>
        <v>0</v>
      </c>
      <c r="DD172" s="82">
        <f t="shared" si="1111"/>
        <v>0</v>
      </c>
      <c r="DE172" s="82">
        <f t="shared" si="1111"/>
        <v>0</v>
      </c>
      <c r="DF172" s="82">
        <f t="shared" si="1111"/>
        <v>0</v>
      </c>
      <c r="DG172" s="82">
        <f>SUM(DG173:DG175)</f>
        <v>0</v>
      </c>
      <c r="DH172" s="148"/>
      <c r="DI172" s="82">
        <f t="shared" ref="DI172:DQ172" si="1112">SUM(DI173:DI175)</f>
        <v>0</v>
      </c>
      <c r="DJ172" s="82">
        <f t="shared" si="1112"/>
        <v>0</v>
      </c>
      <c r="DK172" s="82">
        <f t="shared" si="1112"/>
        <v>0</v>
      </c>
      <c r="DL172" s="82">
        <f t="shared" si="1112"/>
        <v>0</v>
      </c>
      <c r="DM172" s="82">
        <f t="shared" si="1112"/>
        <v>0</v>
      </c>
      <c r="DN172" s="82">
        <f t="shared" si="1112"/>
        <v>0</v>
      </c>
      <c r="DO172" s="82">
        <f t="shared" si="1112"/>
        <v>0</v>
      </c>
      <c r="DP172" s="82">
        <f t="shared" si="1112"/>
        <v>0</v>
      </c>
      <c r="DQ172" s="82">
        <f t="shared" si="1112"/>
        <v>0</v>
      </c>
      <c r="DR172" s="82">
        <f>SUM(DR173:DR175)</f>
        <v>0</v>
      </c>
      <c r="DS172" s="148"/>
      <c r="DT172" s="82">
        <f t="shared" ref="DT172:EB172" si="1113">SUM(DT173:DT175)</f>
        <v>0</v>
      </c>
      <c r="DU172" s="82">
        <f t="shared" si="1113"/>
        <v>0</v>
      </c>
      <c r="DV172" s="82">
        <f t="shared" si="1113"/>
        <v>0</v>
      </c>
      <c r="DW172" s="82">
        <f t="shared" si="1113"/>
        <v>0</v>
      </c>
      <c r="DX172" s="82">
        <f t="shared" si="1113"/>
        <v>0</v>
      </c>
      <c r="DY172" s="82">
        <f t="shared" si="1113"/>
        <v>0</v>
      </c>
      <c r="DZ172" s="82">
        <f t="shared" si="1113"/>
        <v>0</v>
      </c>
      <c r="EA172" s="82">
        <f t="shared" si="1113"/>
        <v>0</v>
      </c>
      <c r="EB172" s="82">
        <f t="shared" si="1113"/>
        <v>0</v>
      </c>
      <c r="EC172" s="82">
        <f>SUM(EC173:EC175)</f>
        <v>0</v>
      </c>
      <c r="ED172" s="148"/>
      <c r="EE172" s="82">
        <f t="shared" ref="EE172:EN172" si="1114">SUM(EE173:EE175)</f>
        <v>0</v>
      </c>
      <c r="EF172" s="82">
        <f t="shared" si="1114"/>
        <v>0</v>
      </c>
      <c r="EG172" s="82">
        <f t="shared" si="1114"/>
        <v>0</v>
      </c>
      <c r="EH172" s="82">
        <f t="shared" si="1114"/>
        <v>0</v>
      </c>
      <c r="EI172" s="82">
        <f t="shared" si="1114"/>
        <v>0</v>
      </c>
      <c r="EJ172" s="82">
        <f t="shared" si="1114"/>
        <v>0</v>
      </c>
      <c r="EK172" s="82">
        <f t="shared" si="1114"/>
        <v>0</v>
      </c>
      <c r="EL172" s="82">
        <f t="shared" si="1114"/>
        <v>0</v>
      </c>
      <c r="EM172" s="82">
        <f t="shared" si="1114"/>
        <v>0</v>
      </c>
      <c r="EN172" s="82">
        <f t="shared" si="1114"/>
        <v>0</v>
      </c>
      <c r="EO172" s="148"/>
      <c r="EP172" s="82">
        <f t="shared" ref="EP172:EX172" si="1115">SUM(EP173:EP175)</f>
        <v>0</v>
      </c>
      <c r="EQ172" s="82">
        <f t="shared" si="1115"/>
        <v>0</v>
      </c>
      <c r="ER172" s="82">
        <f t="shared" si="1115"/>
        <v>0</v>
      </c>
      <c r="ES172" s="82">
        <f t="shared" si="1115"/>
        <v>0</v>
      </c>
      <c r="ET172" s="82">
        <f t="shared" si="1115"/>
        <v>0</v>
      </c>
      <c r="EU172" s="82">
        <f t="shared" si="1115"/>
        <v>0</v>
      </c>
      <c r="EV172" s="82">
        <f t="shared" si="1115"/>
        <v>0</v>
      </c>
      <c r="EW172" s="82">
        <f t="shared" si="1115"/>
        <v>0</v>
      </c>
      <c r="EX172" s="82">
        <f t="shared" si="1115"/>
        <v>0</v>
      </c>
      <c r="EY172" s="82">
        <f>SUM(EY173:EY175)</f>
        <v>0</v>
      </c>
      <c r="EZ172" s="148"/>
      <c r="FA172" s="82">
        <f t="shared" ref="FA172:FI172" si="1116">SUM(FA173:FA175)</f>
        <v>0</v>
      </c>
      <c r="FB172" s="82">
        <f t="shared" si="1116"/>
        <v>0</v>
      </c>
      <c r="FC172" s="82">
        <f t="shared" si="1116"/>
        <v>0</v>
      </c>
      <c r="FD172" s="82">
        <f t="shared" si="1116"/>
        <v>0</v>
      </c>
      <c r="FE172" s="82">
        <f t="shared" si="1116"/>
        <v>0</v>
      </c>
      <c r="FF172" s="82">
        <f t="shared" si="1116"/>
        <v>0</v>
      </c>
      <c r="FG172" s="82">
        <f t="shared" si="1116"/>
        <v>0</v>
      </c>
      <c r="FH172" s="82">
        <f t="shared" si="1116"/>
        <v>0</v>
      </c>
      <c r="FI172" s="82">
        <f t="shared" si="1116"/>
        <v>0</v>
      </c>
      <c r="FJ172" s="82">
        <f>SUM(FJ173:FJ175)</f>
        <v>0</v>
      </c>
      <c r="FK172" s="148"/>
      <c r="FL172" s="82">
        <f t="shared" ref="FL172:FT172" si="1117">SUM(FL173:FL175)</f>
        <v>0</v>
      </c>
      <c r="FM172" s="82">
        <f t="shared" si="1117"/>
        <v>0</v>
      </c>
      <c r="FN172" s="82">
        <f t="shared" si="1117"/>
        <v>0</v>
      </c>
      <c r="FO172" s="82">
        <f t="shared" si="1117"/>
        <v>0</v>
      </c>
      <c r="FP172" s="82">
        <f t="shared" si="1117"/>
        <v>0</v>
      </c>
      <c r="FQ172" s="82">
        <f t="shared" si="1117"/>
        <v>0</v>
      </c>
      <c r="FR172" s="82">
        <f t="shared" si="1117"/>
        <v>0</v>
      </c>
      <c r="FS172" s="82">
        <f t="shared" si="1117"/>
        <v>0</v>
      </c>
      <c r="FT172" s="82">
        <f t="shared" si="1117"/>
        <v>0</v>
      </c>
      <c r="FU172" s="82">
        <f>SUM(FU173:FU175)</f>
        <v>0</v>
      </c>
      <c r="FV172" s="148"/>
      <c r="FW172" s="82">
        <f t="shared" ref="FW172:GF172" si="1118">SUM(FW173:FW175)</f>
        <v>0</v>
      </c>
      <c r="FX172" s="82">
        <f t="shared" si="1118"/>
        <v>0</v>
      </c>
      <c r="FY172" s="82">
        <f t="shared" si="1118"/>
        <v>0</v>
      </c>
      <c r="FZ172" s="82">
        <f t="shared" si="1118"/>
        <v>0</v>
      </c>
      <c r="GA172" s="82">
        <f t="shared" si="1118"/>
        <v>0</v>
      </c>
      <c r="GB172" s="82">
        <f t="shared" si="1118"/>
        <v>0</v>
      </c>
      <c r="GC172" s="82">
        <f t="shared" si="1118"/>
        <v>0</v>
      </c>
      <c r="GD172" s="82">
        <f t="shared" si="1118"/>
        <v>0</v>
      </c>
      <c r="GE172" s="82">
        <f t="shared" si="1118"/>
        <v>0</v>
      </c>
      <c r="GF172" s="82">
        <f t="shared" si="1118"/>
        <v>0</v>
      </c>
      <c r="GG172" s="148"/>
      <c r="GH172" s="82">
        <f t="shared" ref="GH172:HK172" si="1119">SUM(GH173:GH175)</f>
        <v>0</v>
      </c>
      <c r="GI172" s="82">
        <f t="shared" si="1119"/>
        <v>0</v>
      </c>
      <c r="GJ172" s="82">
        <f t="shared" si="1119"/>
        <v>0</v>
      </c>
      <c r="GK172" s="82">
        <f t="shared" si="1119"/>
        <v>0</v>
      </c>
      <c r="GL172" s="82">
        <f t="shared" si="1119"/>
        <v>0</v>
      </c>
      <c r="GM172" s="82">
        <f t="shared" si="1119"/>
        <v>0</v>
      </c>
      <c r="GN172" s="82">
        <f t="shared" si="1119"/>
        <v>0</v>
      </c>
      <c r="GO172" s="82">
        <f t="shared" si="1119"/>
        <v>0</v>
      </c>
      <c r="GP172" s="82">
        <f t="shared" si="1119"/>
        <v>0</v>
      </c>
      <c r="GQ172" s="82">
        <f t="shared" si="1119"/>
        <v>0</v>
      </c>
      <c r="GR172" s="82">
        <f t="shared" si="1119"/>
        <v>0</v>
      </c>
      <c r="GS172" s="82">
        <f t="shared" si="1119"/>
        <v>0</v>
      </c>
      <c r="GT172" s="82">
        <f t="shared" si="1119"/>
        <v>0</v>
      </c>
      <c r="GU172" s="82">
        <f t="shared" si="1119"/>
        <v>0</v>
      </c>
      <c r="GV172" s="82">
        <f t="shared" si="1119"/>
        <v>0</v>
      </c>
      <c r="GW172" s="82">
        <f t="shared" si="1119"/>
        <v>0</v>
      </c>
      <c r="GX172" s="82">
        <f t="shared" si="1119"/>
        <v>0</v>
      </c>
      <c r="GY172" s="82">
        <f t="shared" si="1119"/>
        <v>0</v>
      </c>
      <c r="GZ172" s="82">
        <f t="shared" si="1119"/>
        <v>0</v>
      </c>
      <c r="HA172" s="82">
        <f t="shared" si="1119"/>
        <v>0</v>
      </c>
      <c r="HB172" s="82">
        <f>SUM(HB173:HB175)</f>
        <v>0</v>
      </c>
      <c r="HC172" s="82">
        <f>SUM(HC173:HC175)</f>
        <v>0</v>
      </c>
      <c r="HD172" s="82">
        <f>SUM(HD173:HD175)</f>
        <v>0</v>
      </c>
      <c r="HE172" s="82">
        <f>SUM(HE173:HE175)</f>
        <v>0</v>
      </c>
      <c r="HF172" s="82">
        <f t="shared" si="1119"/>
        <v>0</v>
      </c>
      <c r="HG172" s="82">
        <f t="shared" si="1119"/>
        <v>0</v>
      </c>
      <c r="HH172" s="82">
        <f t="shared" si="1119"/>
        <v>0</v>
      </c>
      <c r="HI172" s="82">
        <f t="shared" si="1119"/>
        <v>0</v>
      </c>
      <c r="HJ172" s="82">
        <f t="shared" si="1119"/>
        <v>0</v>
      </c>
      <c r="HK172" s="82">
        <f t="shared" si="1119"/>
        <v>0</v>
      </c>
      <c r="HL172" s="82">
        <f>SUM(HL173:HL175)</f>
        <v>0</v>
      </c>
      <c r="HM172" s="82">
        <f>SUM(HM173:HM175)</f>
        <v>0</v>
      </c>
      <c r="HN172" s="82">
        <f>SUM(HN173:HN175)</f>
        <v>0</v>
      </c>
      <c r="HO172" s="82">
        <f>SUM(HO173:HO175)</f>
        <v>0</v>
      </c>
      <c r="HP172" s="82">
        <f t="shared" ref="HP172:IT172" si="1120">SUM(HP173:HP175)</f>
        <v>0</v>
      </c>
      <c r="HQ172" s="82">
        <f t="shared" si="1120"/>
        <v>0</v>
      </c>
      <c r="HR172" s="82">
        <f t="shared" si="1120"/>
        <v>0</v>
      </c>
      <c r="HS172" s="82">
        <f t="shared" si="1120"/>
        <v>0</v>
      </c>
      <c r="HT172" s="82">
        <f t="shared" si="1120"/>
        <v>0</v>
      </c>
      <c r="HU172" s="82">
        <f t="shared" si="1120"/>
        <v>0</v>
      </c>
      <c r="HV172" s="82">
        <f>SUM(HV173:HV175)</f>
        <v>0</v>
      </c>
      <c r="HW172" s="82">
        <f>SUM(HW173:HW175)</f>
        <v>0</v>
      </c>
      <c r="HX172" s="82">
        <f>SUM(HX173:HX175)</f>
        <v>0</v>
      </c>
      <c r="HY172" s="82">
        <f>SUM(HY173:HY175)</f>
        <v>0</v>
      </c>
      <c r="HZ172" s="82">
        <f t="shared" si="1120"/>
        <v>0</v>
      </c>
      <c r="IA172" s="82">
        <f t="shared" si="1120"/>
        <v>0</v>
      </c>
      <c r="IB172" s="82">
        <f t="shared" si="1120"/>
        <v>0</v>
      </c>
      <c r="IC172" s="82">
        <f t="shared" si="1120"/>
        <v>0</v>
      </c>
      <c r="ID172" s="82">
        <f t="shared" si="1120"/>
        <v>0</v>
      </c>
      <c r="IE172" s="82">
        <f t="shared" si="1120"/>
        <v>0</v>
      </c>
      <c r="IF172" s="82">
        <f t="shared" si="1120"/>
        <v>0</v>
      </c>
      <c r="IG172" s="82">
        <f t="shared" si="1120"/>
        <v>0</v>
      </c>
      <c r="IH172" s="82">
        <f t="shared" si="1120"/>
        <v>0</v>
      </c>
      <c r="II172" s="82">
        <f t="shared" si="1120"/>
        <v>0</v>
      </c>
      <c r="IJ172" s="82">
        <f t="shared" si="1120"/>
        <v>0</v>
      </c>
      <c r="IK172" s="82">
        <f>SUM(IK173:IK175)</f>
        <v>0</v>
      </c>
      <c r="IL172" s="82">
        <f>SUM(IL173:IL175)</f>
        <v>0</v>
      </c>
      <c r="IM172" s="82">
        <f>SUM(IM173:IM175)</f>
        <v>0</v>
      </c>
      <c r="IN172" s="82">
        <f>SUM(IN173:IN175)</f>
        <v>0</v>
      </c>
      <c r="IO172" s="82">
        <f t="shared" si="1120"/>
        <v>0</v>
      </c>
      <c r="IP172" s="82">
        <f t="shared" si="1120"/>
        <v>0</v>
      </c>
      <c r="IQ172" s="82">
        <f t="shared" si="1120"/>
        <v>0</v>
      </c>
      <c r="IR172" s="82">
        <f t="shared" si="1120"/>
        <v>0</v>
      </c>
      <c r="IS172" s="82">
        <f t="shared" si="1120"/>
        <v>0</v>
      </c>
      <c r="IT172" s="82">
        <f t="shared" si="1120"/>
        <v>0</v>
      </c>
      <c r="IU172" s="82">
        <f>SUM(IU173:IU175)</f>
        <v>0</v>
      </c>
      <c r="IV172" s="82">
        <f>SUM(IV173:IV175)</f>
        <v>0</v>
      </c>
    </row>
    <row r="173" spans="1:256" ht="12.75" customHeight="1" x14ac:dyDescent="0.25">
      <c r="A173" s="83" t="s">
        <v>162</v>
      </c>
      <c r="B173" s="62">
        <v>10</v>
      </c>
      <c r="C173" s="63">
        <v>0</v>
      </c>
      <c r="D173" s="63">
        <v>0</v>
      </c>
      <c r="E173" s="63">
        <v>0</v>
      </c>
      <c r="F173" s="63">
        <v>0</v>
      </c>
      <c r="G173" s="63">
        <v>43</v>
      </c>
      <c r="H173" s="63">
        <v>0</v>
      </c>
      <c r="I173" s="63">
        <v>0</v>
      </c>
      <c r="J173" s="63">
        <v>0</v>
      </c>
      <c r="K173" s="63">
        <v>0</v>
      </c>
      <c r="L173" s="64">
        <f>SUM(C173:F173,H173:K173)</f>
        <v>0</v>
      </c>
      <c r="M173" s="62"/>
      <c r="N173" s="63"/>
      <c r="O173" s="63"/>
      <c r="P173" s="63"/>
      <c r="Q173" s="63"/>
      <c r="R173" s="63"/>
      <c r="S173" s="63"/>
      <c r="T173" s="63"/>
      <c r="U173" s="63"/>
      <c r="V173" s="63"/>
      <c r="W173" s="64">
        <f>SUM(N173:Q173,S173:V173)</f>
        <v>0</v>
      </c>
      <c r="X173" s="62"/>
      <c r="Y173" s="63"/>
      <c r="Z173" s="63"/>
      <c r="AA173" s="63"/>
      <c r="AB173" s="63"/>
      <c r="AC173" s="63"/>
      <c r="AD173" s="63"/>
      <c r="AE173" s="63"/>
      <c r="AF173" s="63"/>
      <c r="AG173" s="63"/>
      <c r="AH173" s="64">
        <f>SUM(Y173:AB173,AD173:AG173)</f>
        <v>0</v>
      </c>
      <c r="AI173" s="62"/>
      <c r="AJ173" s="63"/>
      <c r="AK173" s="63"/>
      <c r="AL173" s="63"/>
      <c r="AM173" s="63"/>
      <c r="AN173" s="63"/>
      <c r="AO173" s="63"/>
      <c r="AP173" s="63"/>
      <c r="AQ173" s="63"/>
      <c r="AR173" s="63"/>
      <c r="AS173" s="64">
        <f>SUM(AJ173:AM173,AO173:AR173)</f>
        <v>0</v>
      </c>
      <c r="AT173" s="65">
        <f t="shared" ref="AT173:BC175" si="1121">SUM(M173,AI173,X173)</f>
        <v>0</v>
      </c>
      <c r="AU173" s="65">
        <f t="shared" si="1121"/>
        <v>0</v>
      </c>
      <c r="AV173" s="65">
        <f t="shared" si="1121"/>
        <v>0</v>
      </c>
      <c r="AW173" s="65">
        <f t="shared" si="1121"/>
        <v>0</v>
      </c>
      <c r="AX173" s="65">
        <f t="shared" si="1121"/>
        <v>0</v>
      </c>
      <c r="AY173" s="65">
        <f t="shared" si="1121"/>
        <v>0</v>
      </c>
      <c r="AZ173" s="65">
        <f t="shared" si="1121"/>
        <v>0</v>
      </c>
      <c r="BA173" s="65">
        <f t="shared" si="1121"/>
        <v>0</v>
      </c>
      <c r="BB173" s="65">
        <f t="shared" si="1121"/>
        <v>0</v>
      </c>
      <c r="BC173" s="65">
        <f t="shared" si="1121"/>
        <v>0</v>
      </c>
      <c r="BD173" s="64">
        <f>SUM(AU173:AX173,AZ173:BC173)</f>
        <v>0</v>
      </c>
      <c r="BE173" s="62"/>
      <c r="BF173" s="63"/>
      <c r="BG173" s="63"/>
      <c r="BH173" s="63"/>
      <c r="BI173" s="63"/>
      <c r="BJ173" s="63"/>
      <c r="BK173" s="63"/>
      <c r="BL173" s="63"/>
      <c r="BM173" s="63"/>
      <c r="BN173" s="63"/>
      <c r="BO173" s="64">
        <f>SUM(BF173:BI173,BK173:BN173)</f>
        <v>0</v>
      </c>
      <c r="BP173" s="62"/>
      <c r="BQ173" s="63"/>
      <c r="BR173" s="63"/>
      <c r="BS173" s="63"/>
      <c r="BT173" s="63"/>
      <c r="BU173" s="63"/>
      <c r="BV173" s="63"/>
      <c r="BW173" s="63"/>
      <c r="BX173" s="63"/>
      <c r="BY173" s="63"/>
      <c r="BZ173" s="64">
        <f>SUM(BQ173:BT173,BV173:BY173)</f>
        <v>0</v>
      </c>
      <c r="CA173" s="62"/>
      <c r="CB173" s="63"/>
      <c r="CC173" s="63"/>
      <c r="CD173" s="63"/>
      <c r="CE173" s="63"/>
      <c r="CF173" s="63"/>
      <c r="CG173" s="63"/>
      <c r="CH173" s="63"/>
      <c r="CI173" s="63"/>
      <c r="CJ173" s="63"/>
      <c r="CK173" s="64">
        <f>SUM(CB173:CE173,CG173:CJ173)</f>
        <v>0</v>
      </c>
      <c r="CL173" s="65">
        <f t="shared" ref="CL173:CU175" si="1122">SUM(BE173,CA173,BP173)</f>
        <v>0</v>
      </c>
      <c r="CM173" s="65">
        <f t="shared" si="1122"/>
        <v>0</v>
      </c>
      <c r="CN173" s="65">
        <f t="shared" si="1122"/>
        <v>0</v>
      </c>
      <c r="CO173" s="65">
        <f t="shared" si="1122"/>
        <v>0</v>
      </c>
      <c r="CP173" s="65">
        <f t="shared" si="1122"/>
        <v>0</v>
      </c>
      <c r="CQ173" s="65">
        <f t="shared" si="1122"/>
        <v>0</v>
      </c>
      <c r="CR173" s="65">
        <f t="shared" si="1122"/>
        <v>0</v>
      </c>
      <c r="CS173" s="65">
        <f t="shared" si="1122"/>
        <v>0</v>
      </c>
      <c r="CT173" s="65">
        <f t="shared" si="1122"/>
        <v>0</v>
      </c>
      <c r="CU173" s="65">
        <f t="shared" si="1122"/>
        <v>0</v>
      </c>
      <c r="CV173" s="64">
        <f>SUM(CM173:CP173,CR173:CU173)</f>
        <v>0</v>
      </c>
      <c r="CW173" s="62"/>
      <c r="CX173" s="63"/>
      <c r="CY173" s="63"/>
      <c r="CZ173" s="63"/>
      <c r="DA173" s="63"/>
      <c r="DB173" s="63"/>
      <c r="DC173" s="63"/>
      <c r="DD173" s="63"/>
      <c r="DE173" s="63"/>
      <c r="DF173" s="63"/>
      <c r="DG173" s="64">
        <f>SUM(CX173:DA173,DC173:DF173)</f>
        <v>0</v>
      </c>
      <c r="DH173" s="62"/>
      <c r="DI173" s="63"/>
      <c r="DJ173" s="63"/>
      <c r="DK173" s="63"/>
      <c r="DL173" s="63"/>
      <c r="DM173" s="63"/>
      <c r="DN173" s="63"/>
      <c r="DO173" s="63"/>
      <c r="DP173" s="63"/>
      <c r="DQ173" s="63"/>
      <c r="DR173" s="64">
        <f>SUM(DI173:DL173,DN173:DQ173)</f>
        <v>0</v>
      </c>
      <c r="DS173" s="62"/>
      <c r="DT173" s="63"/>
      <c r="DU173" s="63"/>
      <c r="DV173" s="63"/>
      <c r="DW173" s="63"/>
      <c r="DX173" s="63"/>
      <c r="DY173" s="63"/>
      <c r="DZ173" s="63"/>
      <c r="EA173" s="63"/>
      <c r="EB173" s="63"/>
      <c r="EC173" s="63"/>
      <c r="ED173" s="65">
        <f t="shared" ref="ED173:EM175" si="1123">SUM(CW173,DS173,DH173)</f>
        <v>0</v>
      </c>
      <c r="EE173" s="65">
        <f t="shared" si="1123"/>
        <v>0</v>
      </c>
      <c r="EF173" s="65">
        <f t="shared" si="1123"/>
        <v>0</v>
      </c>
      <c r="EG173" s="65">
        <f t="shared" si="1123"/>
        <v>0</v>
      </c>
      <c r="EH173" s="65">
        <f t="shared" si="1123"/>
        <v>0</v>
      </c>
      <c r="EI173" s="65">
        <f t="shared" si="1123"/>
        <v>0</v>
      </c>
      <c r="EJ173" s="65">
        <f t="shared" si="1123"/>
        <v>0</v>
      </c>
      <c r="EK173" s="65">
        <f t="shared" si="1123"/>
        <v>0</v>
      </c>
      <c r="EL173" s="65">
        <f t="shared" si="1123"/>
        <v>0</v>
      </c>
      <c r="EM173" s="65">
        <f t="shared" si="1123"/>
        <v>0</v>
      </c>
      <c r="EN173" s="64">
        <f>SUM(EE173:EH173,EJ173:EM173)</f>
        <v>0</v>
      </c>
      <c r="EO173" s="62"/>
      <c r="EP173" s="63"/>
      <c r="EQ173" s="63"/>
      <c r="ER173" s="63"/>
      <c r="ES173" s="63"/>
      <c r="ET173" s="63"/>
      <c r="EU173" s="63"/>
      <c r="EV173" s="63"/>
      <c r="EW173" s="63"/>
      <c r="EX173" s="63"/>
      <c r="EY173" s="64">
        <f>SUM(EP173:ES173,EU173:EX173)</f>
        <v>0</v>
      </c>
      <c r="EZ173" s="62"/>
      <c r="FA173" s="63"/>
      <c r="FB173" s="63"/>
      <c r="FC173" s="63"/>
      <c r="FD173" s="63"/>
      <c r="FE173" s="63"/>
      <c r="FF173" s="63"/>
      <c r="FG173" s="63"/>
      <c r="FH173" s="63"/>
      <c r="FI173" s="63"/>
      <c r="FJ173" s="64">
        <f>SUM(FA173:FD173,FF173:FI173)</f>
        <v>0</v>
      </c>
      <c r="FK173" s="62"/>
      <c r="FL173" s="63"/>
      <c r="FM173" s="63"/>
      <c r="FN173" s="63"/>
      <c r="FO173" s="63"/>
      <c r="FP173" s="63"/>
      <c r="FQ173" s="63"/>
      <c r="FR173" s="63"/>
      <c r="FS173" s="63"/>
      <c r="FT173" s="63"/>
      <c r="FU173" s="64">
        <f>SUM(FL173:FO173,FQ173:FT173)</f>
        <v>0</v>
      </c>
      <c r="FV173" s="65">
        <f t="shared" ref="FV173:GE175" si="1124">SUM(EO173,FK173,EZ173)</f>
        <v>0</v>
      </c>
      <c r="FW173" s="65">
        <f t="shared" si="1124"/>
        <v>0</v>
      </c>
      <c r="FX173" s="65">
        <f t="shared" si="1124"/>
        <v>0</v>
      </c>
      <c r="FY173" s="65">
        <f t="shared" si="1124"/>
        <v>0</v>
      </c>
      <c r="FZ173" s="65">
        <f t="shared" si="1124"/>
        <v>0</v>
      </c>
      <c r="GA173" s="65">
        <f t="shared" si="1124"/>
        <v>0</v>
      </c>
      <c r="GB173" s="65">
        <f t="shared" si="1124"/>
        <v>0</v>
      </c>
      <c r="GC173" s="65">
        <f t="shared" si="1124"/>
        <v>0</v>
      </c>
      <c r="GD173" s="65">
        <f t="shared" si="1124"/>
        <v>0</v>
      </c>
      <c r="GE173" s="65">
        <f t="shared" si="1124"/>
        <v>0</v>
      </c>
      <c r="GF173" s="64">
        <f>SUM(FW173:FZ173,GB173:GE173)</f>
        <v>0</v>
      </c>
      <c r="GG173" s="66">
        <f t="shared" ref="GG173:GP175" si="1125">SUM(AT173,CL173,ED173,FV173)</f>
        <v>0</v>
      </c>
      <c r="GH173" s="66">
        <f t="shared" si="1125"/>
        <v>0</v>
      </c>
      <c r="GI173" s="66">
        <f t="shared" si="1125"/>
        <v>0</v>
      </c>
      <c r="GJ173" s="66">
        <f t="shared" si="1125"/>
        <v>0</v>
      </c>
      <c r="GK173" s="66">
        <f t="shared" si="1125"/>
        <v>0</v>
      </c>
      <c r="GL173" s="66">
        <f t="shared" si="1125"/>
        <v>0</v>
      </c>
      <c r="GM173" s="66">
        <f t="shared" si="1125"/>
        <v>0</v>
      </c>
      <c r="GN173" s="66">
        <f t="shared" si="1125"/>
        <v>0</v>
      </c>
      <c r="GO173" s="66">
        <f t="shared" si="1125"/>
        <v>0</v>
      </c>
      <c r="GP173" s="66">
        <f t="shared" si="1125"/>
        <v>0</v>
      </c>
      <c r="GQ173" s="64">
        <f>SUM(GH173:GK173,GM173:GP173)</f>
        <v>0</v>
      </c>
      <c r="GR173" s="63"/>
      <c r="GS173" s="63"/>
      <c r="GT173" s="63"/>
      <c r="GU173" s="63"/>
      <c r="GV173" s="67">
        <f>SUM(GR173:GU173)</f>
        <v>0</v>
      </c>
      <c r="GW173" s="63"/>
      <c r="GX173" s="63"/>
      <c r="GY173" s="63"/>
      <c r="GZ173" s="63"/>
      <c r="HA173" s="67">
        <f>SUM(GW173:GZ173)</f>
        <v>0</v>
      </c>
      <c r="HB173" s="63"/>
      <c r="HC173" s="63"/>
      <c r="HD173" s="63"/>
      <c r="HE173" s="63"/>
      <c r="HF173" s="67">
        <f>SUM(HB173:HE173)</f>
        <v>0</v>
      </c>
      <c r="HG173" s="63"/>
      <c r="HH173" s="63"/>
      <c r="HI173" s="63"/>
      <c r="HJ173" s="63"/>
      <c r="HK173" s="67">
        <f>SUM(HG173:HJ173)</f>
        <v>0</v>
      </c>
      <c r="HL173" s="68">
        <f t="shared" ref="HL173:HO175" si="1126">SUM(GW173,HB173,HG173)</f>
        <v>0</v>
      </c>
      <c r="HM173" s="68">
        <f t="shared" si="1126"/>
        <v>0</v>
      </c>
      <c r="HN173" s="68">
        <f t="shared" si="1126"/>
        <v>0</v>
      </c>
      <c r="HO173" s="68">
        <f t="shared" si="1126"/>
        <v>0</v>
      </c>
      <c r="HP173" s="67">
        <f>SUM(HL173:HO173)</f>
        <v>0</v>
      </c>
      <c r="HQ173" s="63"/>
      <c r="HR173" s="63"/>
      <c r="HS173" s="63"/>
      <c r="HT173" s="63"/>
      <c r="HU173" s="67">
        <f>SUM(HQ173:HT173)</f>
        <v>0</v>
      </c>
      <c r="HV173" s="63"/>
      <c r="HW173" s="63"/>
      <c r="HX173" s="63"/>
      <c r="HY173" s="63"/>
      <c r="HZ173" s="67">
        <f>SUM(HV173:HY173)</f>
        <v>0</v>
      </c>
      <c r="IA173" s="63"/>
      <c r="IB173" s="63"/>
      <c r="IC173" s="63"/>
      <c r="ID173" s="63"/>
      <c r="IE173" s="67">
        <f>SUM(IA173:ID173)</f>
        <v>0</v>
      </c>
      <c r="IF173" s="68">
        <f t="shared" ref="IF173:II175" si="1127">SUM(HQ173,HV173,IA173)</f>
        <v>0</v>
      </c>
      <c r="IG173" s="68">
        <f t="shared" si="1127"/>
        <v>0</v>
      </c>
      <c r="IH173" s="68">
        <f t="shared" si="1127"/>
        <v>0</v>
      </c>
      <c r="II173" s="68">
        <f t="shared" si="1127"/>
        <v>0</v>
      </c>
      <c r="IJ173" s="67">
        <f>SUM(IF173:II173)</f>
        <v>0</v>
      </c>
      <c r="IK173" s="63"/>
      <c r="IL173" s="63"/>
      <c r="IM173" s="63"/>
      <c r="IN173" s="63"/>
      <c r="IO173" s="67">
        <f>SUM(IK173:IN173)</f>
        <v>0</v>
      </c>
      <c r="IP173" s="63"/>
      <c r="IQ173" s="63"/>
      <c r="IR173" s="63"/>
      <c r="IS173" s="63"/>
      <c r="IT173" s="67">
        <f>SUM(IP173:IS173)</f>
        <v>0</v>
      </c>
      <c r="IU173" s="63"/>
      <c r="IV173" s="63"/>
    </row>
    <row r="174" spans="1:256" ht="12.75" customHeight="1" x14ac:dyDescent="0.25">
      <c r="A174" s="83" t="s">
        <v>163</v>
      </c>
      <c r="B174" s="62">
        <v>10</v>
      </c>
      <c r="C174" s="63">
        <v>215</v>
      </c>
      <c r="D174" s="63">
        <v>50</v>
      </c>
      <c r="E174" s="63">
        <v>0</v>
      </c>
      <c r="F174" s="63">
        <v>0</v>
      </c>
      <c r="G174" s="63">
        <v>0</v>
      </c>
      <c r="H174" s="63">
        <v>25</v>
      </c>
      <c r="I174" s="63">
        <v>0</v>
      </c>
      <c r="J174" s="63">
        <v>25</v>
      </c>
      <c r="K174" s="63">
        <v>0</v>
      </c>
      <c r="L174" s="64">
        <f>SUM(C174:F174,H174:K174)</f>
        <v>315</v>
      </c>
      <c r="M174" s="62"/>
      <c r="N174" s="63"/>
      <c r="O174" s="63"/>
      <c r="P174" s="63"/>
      <c r="Q174" s="63"/>
      <c r="R174" s="63"/>
      <c r="S174" s="63"/>
      <c r="T174" s="63"/>
      <c r="U174" s="63"/>
      <c r="V174" s="63"/>
      <c r="W174" s="64">
        <f>SUM(N174:Q174,S174:V174)</f>
        <v>0</v>
      </c>
      <c r="X174" s="62"/>
      <c r="Y174" s="63"/>
      <c r="Z174" s="63"/>
      <c r="AA174" s="63"/>
      <c r="AB174" s="63"/>
      <c r="AC174" s="63"/>
      <c r="AD174" s="63"/>
      <c r="AE174" s="63"/>
      <c r="AF174" s="63"/>
      <c r="AG174" s="63"/>
      <c r="AH174" s="64">
        <f>SUM(Y174:AB174,AD174:AG174)</f>
        <v>0</v>
      </c>
      <c r="AI174" s="62"/>
      <c r="AJ174" s="63"/>
      <c r="AK174" s="63"/>
      <c r="AL174" s="63"/>
      <c r="AM174" s="63"/>
      <c r="AN174" s="63"/>
      <c r="AO174" s="63"/>
      <c r="AP174" s="63"/>
      <c r="AQ174" s="63"/>
      <c r="AR174" s="63"/>
      <c r="AS174" s="64">
        <f>SUM(AJ174:AM174,AO174:AR174)</f>
        <v>0</v>
      </c>
      <c r="AT174" s="65">
        <f t="shared" si="1121"/>
        <v>0</v>
      </c>
      <c r="AU174" s="65">
        <f t="shared" si="1121"/>
        <v>0</v>
      </c>
      <c r="AV174" s="65">
        <f t="shared" si="1121"/>
        <v>0</v>
      </c>
      <c r="AW174" s="65">
        <f t="shared" si="1121"/>
        <v>0</v>
      </c>
      <c r="AX174" s="65">
        <f t="shared" si="1121"/>
        <v>0</v>
      </c>
      <c r="AY174" s="65">
        <f t="shared" si="1121"/>
        <v>0</v>
      </c>
      <c r="AZ174" s="65">
        <f t="shared" si="1121"/>
        <v>0</v>
      </c>
      <c r="BA174" s="65">
        <f t="shared" si="1121"/>
        <v>0</v>
      </c>
      <c r="BB174" s="65">
        <f t="shared" si="1121"/>
        <v>0</v>
      </c>
      <c r="BC174" s="65">
        <f t="shared" si="1121"/>
        <v>0</v>
      </c>
      <c r="BD174" s="64">
        <f>SUM(AU174:AX174,AZ174:BC174)</f>
        <v>0</v>
      </c>
      <c r="BE174" s="62"/>
      <c r="BF174" s="63"/>
      <c r="BG174" s="63"/>
      <c r="BH174" s="63"/>
      <c r="BI174" s="63"/>
      <c r="BJ174" s="63"/>
      <c r="BK174" s="63"/>
      <c r="BL174" s="63"/>
      <c r="BM174" s="63"/>
      <c r="BN174" s="63"/>
      <c r="BO174" s="64">
        <f>SUM(BF174:BI174,BK174:BN174)</f>
        <v>0</v>
      </c>
      <c r="BP174" s="62"/>
      <c r="BQ174" s="63"/>
      <c r="BR174" s="63"/>
      <c r="BS174" s="63"/>
      <c r="BT174" s="63"/>
      <c r="BU174" s="63"/>
      <c r="BV174" s="63"/>
      <c r="BW174" s="63"/>
      <c r="BX174" s="63"/>
      <c r="BY174" s="63"/>
      <c r="BZ174" s="64">
        <f>SUM(BQ174:BT174,BV174:BY174)</f>
        <v>0</v>
      </c>
      <c r="CA174" s="62"/>
      <c r="CB174" s="63"/>
      <c r="CC174" s="63"/>
      <c r="CD174" s="63"/>
      <c r="CE174" s="63"/>
      <c r="CF174" s="63"/>
      <c r="CG174" s="63"/>
      <c r="CH174" s="63"/>
      <c r="CI174" s="63"/>
      <c r="CJ174" s="63"/>
      <c r="CK174" s="64">
        <f>SUM(CB174:CE174,CG174:CJ174)</f>
        <v>0</v>
      </c>
      <c r="CL174" s="65">
        <f t="shared" si="1122"/>
        <v>0</v>
      </c>
      <c r="CM174" s="65">
        <f t="shared" si="1122"/>
        <v>0</v>
      </c>
      <c r="CN174" s="65">
        <f t="shared" si="1122"/>
        <v>0</v>
      </c>
      <c r="CO174" s="65">
        <f t="shared" si="1122"/>
        <v>0</v>
      </c>
      <c r="CP174" s="65">
        <f t="shared" si="1122"/>
        <v>0</v>
      </c>
      <c r="CQ174" s="65">
        <f t="shared" si="1122"/>
        <v>0</v>
      </c>
      <c r="CR174" s="65">
        <f t="shared" si="1122"/>
        <v>0</v>
      </c>
      <c r="CS174" s="65">
        <f t="shared" si="1122"/>
        <v>0</v>
      </c>
      <c r="CT174" s="65">
        <f t="shared" si="1122"/>
        <v>0</v>
      </c>
      <c r="CU174" s="65">
        <f t="shared" si="1122"/>
        <v>0</v>
      </c>
      <c r="CV174" s="64">
        <f>SUM(CM174:CP174,CR174:CU174)</f>
        <v>0</v>
      </c>
      <c r="CW174" s="62"/>
      <c r="CX174" s="63"/>
      <c r="CY174" s="63"/>
      <c r="CZ174" s="63"/>
      <c r="DA174" s="63"/>
      <c r="DB174" s="63"/>
      <c r="DC174" s="63"/>
      <c r="DD174" s="63"/>
      <c r="DE174" s="63"/>
      <c r="DF174" s="63"/>
      <c r="DG174" s="64">
        <f>SUM(CX174:DA174,DC174:DF174)</f>
        <v>0</v>
      </c>
      <c r="DH174" s="62"/>
      <c r="DI174" s="63"/>
      <c r="DJ174" s="63"/>
      <c r="DK174" s="63"/>
      <c r="DL174" s="63"/>
      <c r="DM174" s="63"/>
      <c r="DN174" s="63"/>
      <c r="DO174" s="63"/>
      <c r="DP174" s="63"/>
      <c r="DQ174" s="63"/>
      <c r="DR174" s="64">
        <f>SUM(DI174:DL174,DN174:DQ174)</f>
        <v>0</v>
      </c>
      <c r="DS174" s="62"/>
      <c r="DT174" s="63"/>
      <c r="DU174" s="63"/>
      <c r="DV174" s="63"/>
      <c r="DW174" s="63"/>
      <c r="DX174" s="63"/>
      <c r="DY174" s="63"/>
      <c r="DZ174" s="63"/>
      <c r="EA174" s="63"/>
      <c r="EB174" s="63"/>
      <c r="EC174" s="63"/>
      <c r="ED174" s="65">
        <f t="shared" si="1123"/>
        <v>0</v>
      </c>
      <c r="EE174" s="65">
        <f t="shared" si="1123"/>
        <v>0</v>
      </c>
      <c r="EF174" s="65">
        <f t="shared" si="1123"/>
        <v>0</v>
      </c>
      <c r="EG174" s="65">
        <f t="shared" si="1123"/>
        <v>0</v>
      </c>
      <c r="EH174" s="65">
        <f t="shared" si="1123"/>
        <v>0</v>
      </c>
      <c r="EI174" s="65">
        <f t="shared" si="1123"/>
        <v>0</v>
      </c>
      <c r="EJ174" s="65">
        <f t="shared" si="1123"/>
        <v>0</v>
      </c>
      <c r="EK174" s="65">
        <f t="shared" si="1123"/>
        <v>0</v>
      </c>
      <c r="EL174" s="65">
        <f t="shared" si="1123"/>
        <v>0</v>
      </c>
      <c r="EM174" s="65">
        <f t="shared" si="1123"/>
        <v>0</v>
      </c>
      <c r="EN174" s="64">
        <f>SUM(EE174:EH174,EJ174:EM174)</f>
        <v>0</v>
      </c>
      <c r="EO174" s="62"/>
      <c r="EP174" s="63"/>
      <c r="EQ174" s="63"/>
      <c r="ER174" s="63"/>
      <c r="ES174" s="63"/>
      <c r="ET174" s="63"/>
      <c r="EU174" s="63"/>
      <c r="EV174" s="63"/>
      <c r="EW174" s="63"/>
      <c r="EX174" s="63"/>
      <c r="EY174" s="64">
        <f>SUM(EP174:ES174,EU174:EX174)</f>
        <v>0</v>
      </c>
      <c r="EZ174" s="62"/>
      <c r="FA174" s="63"/>
      <c r="FB174" s="63"/>
      <c r="FC174" s="63"/>
      <c r="FD174" s="63"/>
      <c r="FE174" s="63"/>
      <c r="FF174" s="63"/>
      <c r="FG174" s="63"/>
      <c r="FH174" s="63"/>
      <c r="FI174" s="63"/>
      <c r="FJ174" s="64">
        <f>SUM(FA174:FD174,FF174:FI174)</f>
        <v>0</v>
      </c>
      <c r="FK174" s="62"/>
      <c r="FL174" s="63"/>
      <c r="FM174" s="63"/>
      <c r="FN174" s="63"/>
      <c r="FO174" s="63"/>
      <c r="FP174" s="63"/>
      <c r="FQ174" s="63"/>
      <c r="FR174" s="63"/>
      <c r="FS174" s="63"/>
      <c r="FT174" s="63"/>
      <c r="FU174" s="64">
        <f>SUM(FL174:FO174,FQ174:FT174)</f>
        <v>0</v>
      </c>
      <c r="FV174" s="65">
        <f t="shared" si="1124"/>
        <v>0</v>
      </c>
      <c r="FW174" s="65">
        <f t="shared" si="1124"/>
        <v>0</v>
      </c>
      <c r="FX174" s="65">
        <f t="shared" si="1124"/>
        <v>0</v>
      </c>
      <c r="FY174" s="65">
        <f t="shared" si="1124"/>
        <v>0</v>
      </c>
      <c r="FZ174" s="65">
        <f t="shared" si="1124"/>
        <v>0</v>
      </c>
      <c r="GA174" s="65">
        <f t="shared" si="1124"/>
        <v>0</v>
      </c>
      <c r="GB174" s="65">
        <f t="shared" si="1124"/>
        <v>0</v>
      </c>
      <c r="GC174" s="65">
        <f t="shared" si="1124"/>
        <v>0</v>
      </c>
      <c r="GD174" s="65">
        <f t="shared" si="1124"/>
        <v>0</v>
      </c>
      <c r="GE174" s="65">
        <f t="shared" si="1124"/>
        <v>0</v>
      </c>
      <c r="GF174" s="64">
        <f>SUM(FW174:FZ174,GB174:GE174)</f>
        <v>0</v>
      </c>
      <c r="GG174" s="66">
        <f t="shared" si="1125"/>
        <v>0</v>
      </c>
      <c r="GH174" s="66">
        <f t="shared" si="1125"/>
        <v>0</v>
      </c>
      <c r="GI174" s="66">
        <f t="shared" si="1125"/>
        <v>0</v>
      </c>
      <c r="GJ174" s="66">
        <f t="shared" si="1125"/>
        <v>0</v>
      </c>
      <c r="GK174" s="66">
        <f t="shared" si="1125"/>
        <v>0</v>
      </c>
      <c r="GL174" s="66">
        <f t="shared" si="1125"/>
        <v>0</v>
      </c>
      <c r="GM174" s="66">
        <f t="shared" si="1125"/>
        <v>0</v>
      </c>
      <c r="GN174" s="66">
        <f t="shared" si="1125"/>
        <v>0</v>
      </c>
      <c r="GO174" s="66">
        <f t="shared" si="1125"/>
        <v>0</v>
      </c>
      <c r="GP174" s="66">
        <f t="shared" si="1125"/>
        <v>0</v>
      </c>
      <c r="GQ174" s="64">
        <f>SUM(GH174:GK174,GM174:GP174)</f>
        <v>0</v>
      </c>
      <c r="GR174" s="63"/>
      <c r="GS174" s="63"/>
      <c r="GT174" s="63"/>
      <c r="GU174" s="63"/>
      <c r="GV174" s="67">
        <f>SUM(GR174:GU174)</f>
        <v>0</v>
      </c>
      <c r="GW174" s="63"/>
      <c r="GX174" s="63"/>
      <c r="GY174" s="63"/>
      <c r="GZ174" s="63"/>
      <c r="HA174" s="67">
        <f>SUM(GW174:GZ174)</f>
        <v>0</v>
      </c>
      <c r="HB174" s="63"/>
      <c r="HC174" s="63"/>
      <c r="HD174" s="63"/>
      <c r="HE174" s="63"/>
      <c r="HF174" s="67">
        <f>SUM(HB174:HE174)</f>
        <v>0</v>
      </c>
      <c r="HG174" s="63"/>
      <c r="HH174" s="63"/>
      <c r="HI174" s="63"/>
      <c r="HJ174" s="63"/>
      <c r="HK174" s="67">
        <f>SUM(HG174:HJ174)</f>
        <v>0</v>
      </c>
      <c r="HL174" s="68">
        <f t="shared" si="1126"/>
        <v>0</v>
      </c>
      <c r="HM174" s="68">
        <f t="shared" si="1126"/>
        <v>0</v>
      </c>
      <c r="HN174" s="68">
        <f t="shared" si="1126"/>
        <v>0</v>
      </c>
      <c r="HO174" s="68">
        <f t="shared" si="1126"/>
        <v>0</v>
      </c>
      <c r="HP174" s="67">
        <f>SUM(HL174:HO174)</f>
        <v>0</v>
      </c>
      <c r="HQ174" s="63"/>
      <c r="HR174" s="63"/>
      <c r="HS174" s="63"/>
      <c r="HT174" s="63"/>
      <c r="HU174" s="67">
        <f>SUM(HQ174:HT174)</f>
        <v>0</v>
      </c>
      <c r="HV174" s="63"/>
      <c r="HW174" s="63"/>
      <c r="HX174" s="63"/>
      <c r="HY174" s="63"/>
      <c r="HZ174" s="67">
        <f>SUM(HV174:HY174)</f>
        <v>0</v>
      </c>
      <c r="IA174" s="63"/>
      <c r="IB174" s="63"/>
      <c r="IC174" s="63"/>
      <c r="ID174" s="63"/>
      <c r="IE174" s="67">
        <f>SUM(IA174:ID174)</f>
        <v>0</v>
      </c>
      <c r="IF174" s="68">
        <f t="shared" si="1127"/>
        <v>0</v>
      </c>
      <c r="IG174" s="68">
        <f t="shared" si="1127"/>
        <v>0</v>
      </c>
      <c r="IH174" s="68">
        <f t="shared" si="1127"/>
        <v>0</v>
      </c>
      <c r="II174" s="68">
        <f t="shared" si="1127"/>
        <v>0</v>
      </c>
      <c r="IJ174" s="67">
        <f>SUM(IF174:II174)</f>
        <v>0</v>
      </c>
      <c r="IK174" s="63"/>
      <c r="IL174" s="63"/>
      <c r="IM174" s="63"/>
      <c r="IN174" s="63"/>
      <c r="IO174" s="67">
        <f>SUM(IK174:IN174)</f>
        <v>0</v>
      </c>
      <c r="IP174" s="63"/>
      <c r="IQ174" s="63"/>
      <c r="IR174" s="63"/>
      <c r="IS174" s="63"/>
      <c r="IT174" s="67">
        <f>SUM(IP174:IS174)</f>
        <v>0</v>
      </c>
      <c r="IU174" s="63"/>
      <c r="IV174" s="63"/>
    </row>
    <row r="175" spans="1:256" ht="12.75" customHeight="1" x14ac:dyDescent="0.25">
      <c r="A175" s="83" t="s">
        <v>294</v>
      </c>
      <c r="B175" s="62">
        <v>350</v>
      </c>
      <c r="C175" s="63">
        <v>200</v>
      </c>
      <c r="D175" s="63">
        <v>50</v>
      </c>
      <c r="E175" s="63">
        <v>25</v>
      </c>
      <c r="F175" s="63">
        <v>0</v>
      </c>
      <c r="G175" s="63">
        <v>0</v>
      </c>
      <c r="H175" s="63">
        <v>25</v>
      </c>
      <c r="I175" s="63">
        <v>0</v>
      </c>
      <c r="J175" s="63">
        <v>25</v>
      </c>
      <c r="K175" s="63">
        <v>25</v>
      </c>
      <c r="L175" s="64">
        <f>SUM(C175:F175,H175:K175)</f>
        <v>350</v>
      </c>
      <c r="M175" s="62"/>
      <c r="N175" s="63"/>
      <c r="O175" s="63"/>
      <c r="P175" s="63"/>
      <c r="Q175" s="63"/>
      <c r="R175" s="63"/>
      <c r="S175" s="63"/>
      <c r="T175" s="63"/>
      <c r="U175" s="63"/>
      <c r="V175" s="63"/>
      <c r="W175" s="64">
        <f>SUM(N175:Q175,S175:V175)</f>
        <v>0</v>
      </c>
      <c r="X175" s="62"/>
      <c r="Y175" s="63"/>
      <c r="Z175" s="63"/>
      <c r="AA175" s="63"/>
      <c r="AB175" s="63"/>
      <c r="AC175" s="63"/>
      <c r="AD175" s="63"/>
      <c r="AE175" s="63"/>
      <c r="AF175" s="63"/>
      <c r="AG175" s="63"/>
      <c r="AH175" s="64">
        <f>SUM(Y175:AB175,AD175:AG175)</f>
        <v>0</v>
      </c>
      <c r="AI175" s="62"/>
      <c r="AJ175" s="63"/>
      <c r="AK175" s="63"/>
      <c r="AL175" s="63"/>
      <c r="AM175" s="63"/>
      <c r="AN175" s="63"/>
      <c r="AO175" s="63"/>
      <c r="AP175" s="63"/>
      <c r="AQ175" s="63"/>
      <c r="AR175" s="63"/>
      <c r="AS175" s="64">
        <f>SUM(AJ175:AM175,AO175:AR175)</f>
        <v>0</v>
      </c>
      <c r="AT175" s="65">
        <f t="shared" si="1121"/>
        <v>0</v>
      </c>
      <c r="AU175" s="65">
        <f t="shared" si="1121"/>
        <v>0</v>
      </c>
      <c r="AV175" s="65">
        <f t="shared" si="1121"/>
        <v>0</v>
      </c>
      <c r="AW175" s="65">
        <f t="shared" si="1121"/>
        <v>0</v>
      </c>
      <c r="AX175" s="65">
        <f t="shared" si="1121"/>
        <v>0</v>
      </c>
      <c r="AY175" s="65">
        <f t="shared" si="1121"/>
        <v>0</v>
      </c>
      <c r="AZ175" s="65">
        <f t="shared" si="1121"/>
        <v>0</v>
      </c>
      <c r="BA175" s="65">
        <f t="shared" si="1121"/>
        <v>0</v>
      </c>
      <c r="BB175" s="65">
        <f t="shared" si="1121"/>
        <v>0</v>
      </c>
      <c r="BC175" s="65">
        <f t="shared" si="1121"/>
        <v>0</v>
      </c>
      <c r="BD175" s="64">
        <f>SUM(AU175:AX175,AZ175:BC175)</f>
        <v>0</v>
      </c>
      <c r="BE175" s="62"/>
      <c r="BF175" s="63"/>
      <c r="BG175" s="63"/>
      <c r="BH175" s="63"/>
      <c r="BI175" s="63"/>
      <c r="BJ175" s="63"/>
      <c r="BK175" s="63"/>
      <c r="BL175" s="63"/>
      <c r="BM175" s="63"/>
      <c r="BN175" s="63"/>
      <c r="BO175" s="64">
        <f>SUM(BF175:BI175,BK175:BN175)</f>
        <v>0</v>
      </c>
      <c r="BP175" s="62"/>
      <c r="BQ175" s="63"/>
      <c r="BR175" s="63"/>
      <c r="BS175" s="63"/>
      <c r="BT175" s="63"/>
      <c r="BU175" s="63"/>
      <c r="BV175" s="63"/>
      <c r="BW175" s="63"/>
      <c r="BX175" s="63"/>
      <c r="BY175" s="63"/>
      <c r="BZ175" s="64">
        <f>SUM(BQ175:BT175,BV175:BY175)</f>
        <v>0</v>
      </c>
      <c r="CA175" s="62"/>
      <c r="CB175" s="63"/>
      <c r="CC175" s="63"/>
      <c r="CD175" s="63"/>
      <c r="CE175" s="63"/>
      <c r="CF175" s="63"/>
      <c r="CG175" s="63"/>
      <c r="CH175" s="63"/>
      <c r="CI175" s="63"/>
      <c r="CJ175" s="63"/>
      <c r="CK175" s="64">
        <f>SUM(CB175:CE175,CG175:CJ175)</f>
        <v>0</v>
      </c>
      <c r="CL175" s="65">
        <f t="shared" si="1122"/>
        <v>0</v>
      </c>
      <c r="CM175" s="65">
        <f t="shared" si="1122"/>
        <v>0</v>
      </c>
      <c r="CN175" s="65">
        <f t="shared" si="1122"/>
        <v>0</v>
      </c>
      <c r="CO175" s="65">
        <f t="shared" si="1122"/>
        <v>0</v>
      </c>
      <c r="CP175" s="65">
        <f t="shared" si="1122"/>
        <v>0</v>
      </c>
      <c r="CQ175" s="65">
        <f t="shared" si="1122"/>
        <v>0</v>
      </c>
      <c r="CR175" s="65">
        <f t="shared" si="1122"/>
        <v>0</v>
      </c>
      <c r="CS175" s="65">
        <f t="shared" si="1122"/>
        <v>0</v>
      </c>
      <c r="CT175" s="65">
        <f t="shared" si="1122"/>
        <v>0</v>
      </c>
      <c r="CU175" s="65">
        <f t="shared" si="1122"/>
        <v>0</v>
      </c>
      <c r="CV175" s="64">
        <f>SUM(CM175:CP175,CR175:CU175)</f>
        <v>0</v>
      </c>
      <c r="CW175" s="62"/>
      <c r="CX175" s="63"/>
      <c r="CY175" s="63"/>
      <c r="CZ175" s="63"/>
      <c r="DA175" s="63"/>
      <c r="DB175" s="63"/>
      <c r="DC175" s="63"/>
      <c r="DD175" s="63"/>
      <c r="DE175" s="63"/>
      <c r="DF175" s="63"/>
      <c r="DG175" s="64">
        <f>SUM(CX175:DA175,DC175:DF175)</f>
        <v>0</v>
      </c>
      <c r="DH175" s="62"/>
      <c r="DI175" s="63"/>
      <c r="DJ175" s="63"/>
      <c r="DK175" s="63"/>
      <c r="DL175" s="63"/>
      <c r="DM175" s="63"/>
      <c r="DN175" s="63"/>
      <c r="DO175" s="63"/>
      <c r="DP175" s="63"/>
      <c r="DQ175" s="63"/>
      <c r="DR175" s="64">
        <f>SUM(DI175:DL175,DN175:DQ175)</f>
        <v>0</v>
      </c>
      <c r="DS175" s="62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  <c r="ED175" s="65">
        <f t="shared" si="1123"/>
        <v>0</v>
      </c>
      <c r="EE175" s="65">
        <f t="shared" si="1123"/>
        <v>0</v>
      </c>
      <c r="EF175" s="65">
        <f t="shared" si="1123"/>
        <v>0</v>
      </c>
      <c r="EG175" s="65">
        <f t="shared" si="1123"/>
        <v>0</v>
      </c>
      <c r="EH175" s="65">
        <f t="shared" si="1123"/>
        <v>0</v>
      </c>
      <c r="EI175" s="65">
        <f t="shared" si="1123"/>
        <v>0</v>
      </c>
      <c r="EJ175" s="65">
        <f t="shared" si="1123"/>
        <v>0</v>
      </c>
      <c r="EK175" s="65">
        <f t="shared" si="1123"/>
        <v>0</v>
      </c>
      <c r="EL175" s="65">
        <f t="shared" si="1123"/>
        <v>0</v>
      </c>
      <c r="EM175" s="65">
        <f t="shared" si="1123"/>
        <v>0</v>
      </c>
      <c r="EN175" s="64">
        <f>SUM(EE175:EH175,EJ175:EM175)</f>
        <v>0</v>
      </c>
      <c r="EO175" s="62"/>
      <c r="EP175" s="63"/>
      <c r="EQ175" s="63"/>
      <c r="ER175" s="63"/>
      <c r="ES175" s="63"/>
      <c r="ET175" s="63"/>
      <c r="EU175" s="63"/>
      <c r="EV175" s="63"/>
      <c r="EW175" s="63"/>
      <c r="EX175" s="63"/>
      <c r="EY175" s="64">
        <f>SUM(EP175:ES175,EU175:EX175)</f>
        <v>0</v>
      </c>
      <c r="EZ175" s="62"/>
      <c r="FA175" s="63"/>
      <c r="FB175" s="63"/>
      <c r="FC175" s="63"/>
      <c r="FD175" s="63"/>
      <c r="FE175" s="63"/>
      <c r="FF175" s="63"/>
      <c r="FG175" s="63"/>
      <c r="FH175" s="63"/>
      <c r="FI175" s="63"/>
      <c r="FJ175" s="64">
        <f>SUM(FA175:FD175,FF175:FI175)</f>
        <v>0</v>
      </c>
      <c r="FK175" s="62"/>
      <c r="FL175" s="63"/>
      <c r="FM175" s="63"/>
      <c r="FN175" s="63"/>
      <c r="FO175" s="63"/>
      <c r="FP175" s="63"/>
      <c r="FQ175" s="63"/>
      <c r="FR175" s="63"/>
      <c r="FS175" s="63"/>
      <c r="FT175" s="63"/>
      <c r="FU175" s="64">
        <f>SUM(FL175:FO175,FQ175:FT175)</f>
        <v>0</v>
      </c>
      <c r="FV175" s="65">
        <f t="shared" si="1124"/>
        <v>0</v>
      </c>
      <c r="FW175" s="65">
        <f t="shared" si="1124"/>
        <v>0</v>
      </c>
      <c r="FX175" s="65">
        <f t="shared" si="1124"/>
        <v>0</v>
      </c>
      <c r="FY175" s="65">
        <f t="shared" si="1124"/>
        <v>0</v>
      </c>
      <c r="FZ175" s="65">
        <f t="shared" si="1124"/>
        <v>0</v>
      </c>
      <c r="GA175" s="65">
        <f t="shared" si="1124"/>
        <v>0</v>
      </c>
      <c r="GB175" s="65">
        <f t="shared" si="1124"/>
        <v>0</v>
      </c>
      <c r="GC175" s="65">
        <f t="shared" si="1124"/>
        <v>0</v>
      </c>
      <c r="GD175" s="65">
        <f t="shared" si="1124"/>
        <v>0</v>
      </c>
      <c r="GE175" s="65">
        <f t="shared" si="1124"/>
        <v>0</v>
      </c>
      <c r="GF175" s="64">
        <f>SUM(FW175:FZ175,GB175:GE175)</f>
        <v>0</v>
      </c>
      <c r="GG175" s="66">
        <f t="shared" si="1125"/>
        <v>0</v>
      </c>
      <c r="GH175" s="66">
        <f t="shared" si="1125"/>
        <v>0</v>
      </c>
      <c r="GI175" s="66">
        <f t="shared" si="1125"/>
        <v>0</v>
      </c>
      <c r="GJ175" s="66">
        <f t="shared" si="1125"/>
        <v>0</v>
      </c>
      <c r="GK175" s="66">
        <f t="shared" si="1125"/>
        <v>0</v>
      </c>
      <c r="GL175" s="66">
        <f t="shared" si="1125"/>
        <v>0</v>
      </c>
      <c r="GM175" s="66">
        <f t="shared" si="1125"/>
        <v>0</v>
      </c>
      <c r="GN175" s="66">
        <f t="shared" si="1125"/>
        <v>0</v>
      </c>
      <c r="GO175" s="66">
        <f t="shared" si="1125"/>
        <v>0</v>
      </c>
      <c r="GP175" s="66">
        <f t="shared" si="1125"/>
        <v>0</v>
      </c>
      <c r="GQ175" s="64">
        <f>SUM(GH175:GK175,GM175:GP175)</f>
        <v>0</v>
      </c>
      <c r="GR175" s="63"/>
      <c r="GS175" s="63"/>
      <c r="GT175" s="63"/>
      <c r="GU175" s="63"/>
      <c r="GV175" s="67">
        <f>SUM(GR175:GU175)</f>
        <v>0</v>
      </c>
      <c r="GW175" s="63"/>
      <c r="GX175" s="63"/>
      <c r="GY175" s="63"/>
      <c r="GZ175" s="63"/>
      <c r="HA175" s="67">
        <f>SUM(GW175:GZ175)</f>
        <v>0</v>
      </c>
      <c r="HB175" s="63"/>
      <c r="HC175" s="63"/>
      <c r="HD175" s="63"/>
      <c r="HE175" s="63"/>
      <c r="HF175" s="67">
        <f>SUM(HB175:HE175)</f>
        <v>0</v>
      </c>
      <c r="HG175" s="63"/>
      <c r="HH175" s="63"/>
      <c r="HI175" s="63"/>
      <c r="HJ175" s="63"/>
      <c r="HK175" s="67">
        <f>SUM(HG175:HJ175)</f>
        <v>0</v>
      </c>
      <c r="HL175" s="68">
        <f t="shared" si="1126"/>
        <v>0</v>
      </c>
      <c r="HM175" s="68">
        <f t="shared" si="1126"/>
        <v>0</v>
      </c>
      <c r="HN175" s="68">
        <f t="shared" si="1126"/>
        <v>0</v>
      </c>
      <c r="HO175" s="68">
        <f t="shared" si="1126"/>
        <v>0</v>
      </c>
      <c r="HP175" s="67">
        <f>SUM(HL175:HO175)</f>
        <v>0</v>
      </c>
      <c r="HQ175" s="63"/>
      <c r="HR175" s="63"/>
      <c r="HS175" s="63"/>
      <c r="HT175" s="63"/>
      <c r="HU175" s="67">
        <f>SUM(HQ175:HT175)</f>
        <v>0</v>
      </c>
      <c r="HV175" s="63"/>
      <c r="HW175" s="63"/>
      <c r="HX175" s="63"/>
      <c r="HY175" s="63"/>
      <c r="HZ175" s="67">
        <f>SUM(HV175:HY175)</f>
        <v>0</v>
      </c>
      <c r="IA175" s="63"/>
      <c r="IB175" s="63"/>
      <c r="IC175" s="63"/>
      <c r="ID175" s="63"/>
      <c r="IE175" s="67">
        <f>SUM(IA175:ID175)</f>
        <v>0</v>
      </c>
      <c r="IF175" s="68">
        <f t="shared" si="1127"/>
        <v>0</v>
      </c>
      <c r="IG175" s="68">
        <f t="shared" si="1127"/>
        <v>0</v>
      </c>
      <c r="IH175" s="68">
        <f t="shared" si="1127"/>
        <v>0</v>
      </c>
      <c r="II175" s="68">
        <f t="shared" si="1127"/>
        <v>0</v>
      </c>
      <c r="IJ175" s="67">
        <f>SUM(IF175:II175)</f>
        <v>0</v>
      </c>
      <c r="IK175" s="63"/>
      <c r="IL175" s="63"/>
      <c r="IM175" s="63"/>
      <c r="IN175" s="63"/>
      <c r="IO175" s="67">
        <f>SUM(IK175:IN175)</f>
        <v>0</v>
      </c>
      <c r="IP175" s="63"/>
      <c r="IQ175" s="63"/>
      <c r="IR175" s="63"/>
      <c r="IS175" s="63"/>
      <c r="IT175" s="67">
        <f>SUM(IP175:IS175)</f>
        <v>0</v>
      </c>
      <c r="IU175" s="63"/>
      <c r="IV175" s="63"/>
    </row>
    <row r="176" spans="1:256" s="57" customFormat="1" ht="12.75" customHeight="1" x14ac:dyDescent="0.25">
      <c r="A176" s="146" t="s">
        <v>164</v>
      </c>
      <c r="B176" s="60"/>
      <c r="C176" s="73">
        <f t="shared" ref="C176:L176" si="1128">C177</f>
        <v>0</v>
      </c>
      <c r="D176" s="73">
        <f t="shared" si="1128"/>
        <v>0</v>
      </c>
      <c r="E176" s="73">
        <f t="shared" si="1128"/>
        <v>0</v>
      </c>
      <c r="F176" s="73">
        <f t="shared" si="1128"/>
        <v>0</v>
      </c>
      <c r="G176" s="73">
        <f t="shared" si="1128"/>
        <v>0</v>
      </c>
      <c r="H176" s="73">
        <f t="shared" si="1128"/>
        <v>0</v>
      </c>
      <c r="I176" s="73">
        <f t="shared" si="1128"/>
        <v>0</v>
      </c>
      <c r="J176" s="73">
        <f t="shared" si="1128"/>
        <v>0</v>
      </c>
      <c r="K176" s="73">
        <f t="shared" si="1128"/>
        <v>0</v>
      </c>
      <c r="L176" s="73">
        <f t="shared" si="1128"/>
        <v>0</v>
      </c>
      <c r="M176" s="60"/>
      <c r="N176" s="73">
        <f t="shared" ref="N176:V176" si="1129">N177</f>
        <v>0</v>
      </c>
      <c r="O176" s="73">
        <f t="shared" si="1129"/>
        <v>0</v>
      </c>
      <c r="P176" s="73">
        <f t="shared" si="1129"/>
        <v>0</v>
      </c>
      <c r="Q176" s="73">
        <f t="shared" si="1129"/>
        <v>0</v>
      </c>
      <c r="R176" s="73">
        <f t="shared" si="1129"/>
        <v>0</v>
      </c>
      <c r="S176" s="73">
        <f t="shared" si="1129"/>
        <v>0</v>
      </c>
      <c r="T176" s="73">
        <f t="shared" si="1129"/>
        <v>0</v>
      </c>
      <c r="U176" s="73">
        <f t="shared" si="1129"/>
        <v>0</v>
      </c>
      <c r="V176" s="73">
        <f t="shared" si="1129"/>
        <v>0</v>
      </c>
      <c r="W176" s="73">
        <f t="shared" ref="W176:AR176" si="1130">W177</f>
        <v>0</v>
      </c>
      <c r="X176" s="60"/>
      <c r="Y176" s="73">
        <f t="shared" si="1130"/>
        <v>0</v>
      </c>
      <c r="Z176" s="73">
        <f t="shared" si="1130"/>
        <v>0</v>
      </c>
      <c r="AA176" s="73">
        <f t="shared" si="1130"/>
        <v>0</v>
      </c>
      <c r="AB176" s="73">
        <f t="shared" si="1130"/>
        <v>0</v>
      </c>
      <c r="AC176" s="73">
        <f t="shared" si="1130"/>
        <v>0</v>
      </c>
      <c r="AD176" s="73">
        <f t="shared" si="1130"/>
        <v>0</v>
      </c>
      <c r="AE176" s="73">
        <f t="shared" si="1130"/>
        <v>0</v>
      </c>
      <c r="AF176" s="73">
        <f t="shared" si="1130"/>
        <v>0</v>
      </c>
      <c r="AG176" s="73">
        <f t="shared" si="1130"/>
        <v>0</v>
      </c>
      <c r="AH176" s="73">
        <f t="shared" si="1130"/>
        <v>0</v>
      </c>
      <c r="AI176" s="60"/>
      <c r="AJ176" s="73">
        <f t="shared" si="1130"/>
        <v>0</v>
      </c>
      <c r="AK176" s="73">
        <f t="shared" si="1130"/>
        <v>0</v>
      </c>
      <c r="AL176" s="73">
        <f t="shared" si="1130"/>
        <v>0</v>
      </c>
      <c r="AM176" s="73">
        <f t="shared" si="1130"/>
        <v>0</v>
      </c>
      <c r="AN176" s="73">
        <f t="shared" si="1130"/>
        <v>0</v>
      </c>
      <c r="AO176" s="73">
        <f t="shared" si="1130"/>
        <v>0</v>
      </c>
      <c r="AP176" s="73">
        <f t="shared" si="1130"/>
        <v>0</v>
      </c>
      <c r="AQ176" s="73">
        <f t="shared" si="1130"/>
        <v>0</v>
      </c>
      <c r="AR176" s="73">
        <f t="shared" si="1130"/>
        <v>0</v>
      </c>
      <c r="AS176" s="73">
        <f>AS177</f>
        <v>0</v>
      </c>
      <c r="AT176" s="60"/>
      <c r="AU176" s="73">
        <f t="shared" ref="AU176:BD176" si="1131">AU177</f>
        <v>0</v>
      </c>
      <c r="AV176" s="73">
        <f t="shared" si="1131"/>
        <v>0</v>
      </c>
      <c r="AW176" s="73">
        <f t="shared" si="1131"/>
        <v>0</v>
      </c>
      <c r="AX176" s="73">
        <f t="shared" si="1131"/>
        <v>0</v>
      </c>
      <c r="AY176" s="73">
        <f t="shared" si="1131"/>
        <v>0</v>
      </c>
      <c r="AZ176" s="73">
        <f t="shared" si="1131"/>
        <v>0</v>
      </c>
      <c r="BA176" s="73">
        <f t="shared" si="1131"/>
        <v>0</v>
      </c>
      <c r="BB176" s="73">
        <f t="shared" si="1131"/>
        <v>0</v>
      </c>
      <c r="BC176" s="73">
        <f t="shared" si="1131"/>
        <v>0</v>
      </c>
      <c r="BD176" s="73">
        <f t="shared" si="1131"/>
        <v>0</v>
      </c>
      <c r="BE176" s="60"/>
      <c r="BF176" s="73">
        <f t="shared" ref="BF176:BN176" si="1132">BF177</f>
        <v>0</v>
      </c>
      <c r="BG176" s="73">
        <f t="shared" si="1132"/>
        <v>0</v>
      </c>
      <c r="BH176" s="73">
        <f t="shared" si="1132"/>
        <v>0</v>
      </c>
      <c r="BI176" s="73">
        <f t="shared" si="1132"/>
        <v>0</v>
      </c>
      <c r="BJ176" s="73">
        <f t="shared" si="1132"/>
        <v>0</v>
      </c>
      <c r="BK176" s="73">
        <f t="shared" si="1132"/>
        <v>0</v>
      </c>
      <c r="BL176" s="73">
        <f t="shared" si="1132"/>
        <v>0</v>
      </c>
      <c r="BM176" s="73">
        <f t="shared" si="1132"/>
        <v>0</v>
      </c>
      <c r="BN176" s="73">
        <f t="shared" si="1132"/>
        <v>0</v>
      </c>
      <c r="BO176" s="73">
        <f>BO177</f>
        <v>0</v>
      </c>
      <c r="BP176" s="60"/>
      <c r="BQ176" s="73">
        <f t="shared" ref="BQ176:BY176" si="1133">BQ177</f>
        <v>0</v>
      </c>
      <c r="BR176" s="73">
        <f t="shared" si="1133"/>
        <v>0</v>
      </c>
      <c r="BS176" s="73">
        <f t="shared" si="1133"/>
        <v>0</v>
      </c>
      <c r="BT176" s="73">
        <f t="shared" si="1133"/>
        <v>0</v>
      </c>
      <c r="BU176" s="73">
        <f t="shared" si="1133"/>
        <v>0</v>
      </c>
      <c r="BV176" s="73">
        <f t="shared" si="1133"/>
        <v>0</v>
      </c>
      <c r="BW176" s="73">
        <f t="shared" si="1133"/>
        <v>0</v>
      </c>
      <c r="BX176" s="73">
        <f t="shared" si="1133"/>
        <v>0</v>
      </c>
      <c r="BY176" s="73">
        <f t="shared" si="1133"/>
        <v>0</v>
      </c>
      <c r="BZ176" s="73">
        <f>BZ177</f>
        <v>0</v>
      </c>
      <c r="CA176" s="60"/>
      <c r="CB176" s="73">
        <f t="shared" ref="CB176:CJ176" si="1134">CB177</f>
        <v>0</v>
      </c>
      <c r="CC176" s="73">
        <f t="shared" si="1134"/>
        <v>0</v>
      </c>
      <c r="CD176" s="73">
        <f t="shared" si="1134"/>
        <v>0</v>
      </c>
      <c r="CE176" s="73">
        <f t="shared" si="1134"/>
        <v>0</v>
      </c>
      <c r="CF176" s="73">
        <f t="shared" si="1134"/>
        <v>0</v>
      </c>
      <c r="CG176" s="73">
        <f t="shared" si="1134"/>
        <v>0</v>
      </c>
      <c r="CH176" s="73">
        <f t="shared" si="1134"/>
        <v>0</v>
      </c>
      <c r="CI176" s="73">
        <f t="shared" si="1134"/>
        <v>0</v>
      </c>
      <c r="CJ176" s="73">
        <f t="shared" si="1134"/>
        <v>0</v>
      </c>
      <c r="CK176" s="73">
        <f>CK177</f>
        <v>0</v>
      </c>
      <c r="CL176" s="60"/>
      <c r="CM176" s="73">
        <f t="shared" ref="CM176:CV176" si="1135">CM177</f>
        <v>0</v>
      </c>
      <c r="CN176" s="73">
        <f t="shared" si="1135"/>
        <v>0</v>
      </c>
      <c r="CO176" s="73">
        <f t="shared" si="1135"/>
        <v>0</v>
      </c>
      <c r="CP176" s="73">
        <f t="shared" si="1135"/>
        <v>0</v>
      </c>
      <c r="CQ176" s="73">
        <f t="shared" si="1135"/>
        <v>0</v>
      </c>
      <c r="CR176" s="73">
        <f t="shared" si="1135"/>
        <v>0</v>
      </c>
      <c r="CS176" s="73">
        <f t="shared" si="1135"/>
        <v>0</v>
      </c>
      <c r="CT176" s="73">
        <f t="shared" si="1135"/>
        <v>0</v>
      </c>
      <c r="CU176" s="73">
        <f t="shared" si="1135"/>
        <v>0</v>
      </c>
      <c r="CV176" s="73">
        <f t="shared" si="1135"/>
        <v>0</v>
      </c>
      <c r="CW176" s="60"/>
      <c r="CX176" s="73">
        <f t="shared" ref="CX176:DF176" si="1136">CX177</f>
        <v>0</v>
      </c>
      <c r="CY176" s="73">
        <f t="shared" si="1136"/>
        <v>0</v>
      </c>
      <c r="CZ176" s="73">
        <f t="shared" si="1136"/>
        <v>0</v>
      </c>
      <c r="DA176" s="73">
        <f t="shared" si="1136"/>
        <v>0</v>
      </c>
      <c r="DB176" s="73">
        <f t="shared" si="1136"/>
        <v>0</v>
      </c>
      <c r="DC176" s="73">
        <f t="shared" si="1136"/>
        <v>0</v>
      </c>
      <c r="DD176" s="73">
        <f t="shared" si="1136"/>
        <v>0</v>
      </c>
      <c r="DE176" s="73">
        <f t="shared" si="1136"/>
        <v>0</v>
      </c>
      <c r="DF176" s="73">
        <f t="shared" si="1136"/>
        <v>0</v>
      </c>
      <c r="DG176" s="73">
        <f>DG177</f>
        <v>0</v>
      </c>
      <c r="DH176" s="60"/>
      <c r="DI176" s="73">
        <f t="shared" ref="DI176:DQ176" si="1137">DI177</f>
        <v>0</v>
      </c>
      <c r="DJ176" s="73">
        <f t="shared" si="1137"/>
        <v>0</v>
      </c>
      <c r="DK176" s="73">
        <f t="shared" si="1137"/>
        <v>0</v>
      </c>
      <c r="DL176" s="73">
        <f t="shared" si="1137"/>
        <v>0</v>
      </c>
      <c r="DM176" s="73">
        <f t="shared" si="1137"/>
        <v>0</v>
      </c>
      <c r="DN176" s="73">
        <f t="shared" si="1137"/>
        <v>0</v>
      </c>
      <c r="DO176" s="73">
        <f t="shared" si="1137"/>
        <v>0</v>
      </c>
      <c r="DP176" s="73">
        <f t="shared" si="1137"/>
        <v>0</v>
      </c>
      <c r="DQ176" s="73">
        <f t="shared" si="1137"/>
        <v>0</v>
      </c>
      <c r="DR176" s="73">
        <f>DR177</f>
        <v>0</v>
      </c>
      <c r="DS176" s="60"/>
      <c r="DT176" s="73">
        <f t="shared" ref="DT176:EB176" si="1138">DT177</f>
        <v>0</v>
      </c>
      <c r="DU176" s="73">
        <f t="shared" si="1138"/>
        <v>0</v>
      </c>
      <c r="DV176" s="73">
        <f t="shared" si="1138"/>
        <v>0</v>
      </c>
      <c r="DW176" s="73">
        <f t="shared" si="1138"/>
        <v>0</v>
      </c>
      <c r="DX176" s="73">
        <f t="shared" si="1138"/>
        <v>0</v>
      </c>
      <c r="DY176" s="73">
        <f t="shared" si="1138"/>
        <v>0</v>
      </c>
      <c r="DZ176" s="73">
        <f t="shared" si="1138"/>
        <v>0</v>
      </c>
      <c r="EA176" s="73">
        <f t="shared" si="1138"/>
        <v>0</v>
      </c>
      <c r="EB176" s="73">
        <f t="shared" si="1138"/>
        <v>0</v>
      </c>
      <c r="EC176" s="73">
        <f>EC177</f>
        <v>0</v>
      </c>
      <c r="ED176" s="60"/>
      <c r="EE176" s="73">
        <f t="shared" ref="EE176:EN176" si="1139">EE177</f>
        <v>0</v>
      </c>
      <c r="EF176" s="73">
        <f t="shared" si="1139"/>
        <v>0</v>
      </c>
      <c r="EG176" s="73">
        <f t="shared" si="1139"/>
        <v>0</v>
      </c>
      <c r="EH176" s="73">
        <f t="shared" si="1139"/>
        <v>0</v>
      </c>
      <c r="EI176" s="73">
        <f t="shared" si="1139"/>
        <v>0</v>
      </c>
      <c r="EJ176" s="73">
        <f t="shared" si="1139"/>
        <v>0</v>
      </c>
      <c r="EK176" s="73">
        <f t="shared" si="1139"/>
        <v>0</v>
      </c>
      <c r="EL176" s="73">
        <f t="shared" si="1139"/>
        <v>0</v>
      </c>
      <c r="EM176" s="73">
        <f t="shared" si="1139"/>
        <v>0</v>
      </c>
      <c r="EN176" s="73">
        <f t="shared" si="1139"/>
        <v>0</v>
      </c>
      <c r="EO176" s="60"/>
      <c r="EP176" s="73">
        <f t="shared" ref="EP176:EX176" si="1140">EP177</f>
        <v>0</v>
      </c>
      <c r="EQ176" s="73">
        <f t="shared" si="1140"/>
        <v>0</v>
      </c>
      <c r="ER176" s="73">
        <f t="shared" si="1140"/>
        <v>0</v>
      </c>
      <c r="ES176" s="73">
        <f t="shared" si="1140"/>
        <v>0</v>
      </c>
      <c r="ET176" s="73">
        <f t="shared" si="1140"/>
        <v>0</v>
      </c>
      <c r="EU176" s="73">
        <f t="shared" si="1140"/>
        <v>0</v>
      </c>
      <c r="EV176" s="73">
        <f t="shared" si="1140"/>
        <v>0</v>
      </c>
      <c r="EW176" s="73">
        <f t="shared" si="1140"/>
        <v>0</v>
      </c>
      <c r="EX176" s="73">
        <f t="shared" si="1140"/>
        <v>0</v>
      </c>
      <c r="EY176" s="73">
        <f>EY177</f>
        <v>0</v>
      </c>
      <c r="EZ176" s="60"/>
      <c r="FA176" s="73">
        <f t="shared" ref="FA176:FI176" si="1141">FA177</f>
        <v>0</v>
      </c>
      <c r="FB176" s="73">
        <f t="shared" si="1141"/>
        <v>0</v>
      </c>
      <c r="FC176" s="73">
        <f t="shared" si="1141"/>
        <v>0</v>
      </c>
      <c r="FD176" s="73">
        <f t="shared" si="1141"/>
        <v>0</v>
      </c>
      <c r="FE176" s="73">
        <f t="shared" si="1141"/>
        <v>0</v>
      </c>
      <c r="FF176" s="73">
        <f t="shared" si="1141"/>
        <v>0</v>
      </c>
      <c r="FG176" s="73">
        <f t="shared" si="1141"/>
        <v>0</v>
      </c>
      <c r="FH176" s="73">
        <f t="shared" si="1141"/>
        <v>0</v>
      </c>
      <c r="FI176" s="73">
        <f t="shared" si="1141"/>
        <v>0</v>
      </c>
      <c r="FJ176" s="73">
        <f>FJ177</f>
        <v>0</v>
      </c>
      <c r="FK176" s="60"/>
      <c r="FL176" s="73">
        <f t="shared" ref="FL176:FT176" si="1142">FL177</f>
        <v>0</v>
      </c>
      <c r="FM176" s="73">
        <f t="shared" si="1142"/>
        <v>0</v>
      </c>
      <c r="FN176" s="73">
        <f t="shared" si="1142"/>
        <v>0</v>
      </c>
      <c r="FO176" s="73">
        <f t="shared" si="1142"/>
        <v>0</v>
      </c>
      <c r="FP176" s="73">
        <f t="shared" si="1142"/>
        <v>0</v>
      </c>
      <c r="FQ176" s="73">
        <f t="shared" si="1142"/>
        <v>0</v>
      </c>
      <c r="FR176" s="73">
        <f t="shared" si="1142"/>
        <v>0</v>
      </c>
      <c r="FS176" s="73">
        <f t="shared" si="1142"/>
        <v>0</v>
      </c>
      <c r="FT176" s="73">
        <f t="shared" si="1142"/>
        <v>0</v>
      </c>
      <c r="FU176" s="73">
        <f>FU177</f>
        <v>0</v>
      </c>
      <c r="FV176" s="60"/>
      <c r="FW176" s="73">
        <f t="shared" ref="FW176:GF176" si="1143">FW177</f>
        <v>0</v>
      </c>
      <c r="FX176" s="73">
        <f t="shared" si="1143"/>
        <v>0</v>
      </c>
      <c r="FY176" s="73">
        <f t="shared" si="1143"/>
        <v>0</v>
      </c>
      <c r="FZ176" s="73">
        <f t="shared" si="1143"/>
        <v>0</v>
      </c>
      <c r="GA176" s="73">
        <f t="shared" si="1143"/>
        <v>0</v>
      </c>
      <c r="GB176" s="73">
        <f t="shared" si="1143"/>
        <v>0</v>
      </c>
      <c r="GC176" s="73">
        <f t="shared" si="1143"/>
        <v>0</v>
      </c>
      <c r="GD176" s="73">
        <f t="shared" si="1143"/>
        <v>0</v>
      </c>
      <c r="GE176" s="73">
        <f t="shared" si="1143"/>
        <v>0</v>
      </c>
      <c r="GF176" s="73">
        <f t="shared" si="1143"/>
        <v>0</v>
      </c>
      <c r="GG176" s="60"/>
      <c r="GH176" s="73">
        <f t="shared" ref="GH176:GQ176" si="1144">GH177</f>
        <v>0</v>
      </c>
      <c r="GI176" s="73">
        <f t="shared" si="1144"/>
        <v>0</v>
      </c>
      <c r="GJ176" s="73">
        <f t="shared" si="1144"/>
        <v>0</v>
      </c>
      <c r="GK176" s="73">
        <f t="shared" si="1144"/>
        <v>0</v>
      </c>
      <c r="GL176" s="73">
        <f t="shared" si="1144"/>
        <v>0</v>
      </c>
      <c r="GM176" s="73">
        <f t="shared" si="1144"/>
        <v>0</v>
      </c>
      <c r="GN176" s="73">
        <f t="shared" si="1144"/>
        <v>0</v>
      </c>
      <c r="GO176" s="73">
        <f t="shared" si="1144"/>
        <v>0</v>
      </c>
      <c r="GP176" s="73">
        <f t="shared" si="1144"/>
        <v>0</v>
      </c>
      <c r="GQ176" s="73">
        <f t="shared" si="1144"/>
        <v>0</v>
      </c>
      <c r="GR176" s="73">
        <f t="shared" ref="GR176:HT176" si="1145">GR177</f>
        <v>0</v>
      </c>
      <c r="GS176" s="73">
        <f t="shared" si="1145"/>
        <v>0</v>
      </c>
      <c r="GT176" s="73">
        <f t="shared" si="1145"/>
        <v>0</v>
      </c>
      <c r="GU176" s="73">
        <f t="shared" si="1145"/>
        <v>0</v>
      </c>
      <c r="GV176" s="73">
        <f t="shared" si="1145"/>
        <v>0</v>
      </c>
      <c r="GW176" s="73">
        <f t="shared" si="1145"/>
        <v>0</v>
      </c>
      <c r="GX176" s="73">
        <f t="shared" si="1145"/>
        <v>0</v>
      </c>
      <c r="GY176" s="73">
        <f t="shared" si="1145"/>
        <v>0</v>
      </c>
      <c r="GZ176" s="73">
        <f t="shared" si="1145"/>
        <v>0</v>
      </c>
      <c r="HA176" s="73">
        <f t="shared" si="1145"/>
        <v>0</v>
      </c>
      <c r="HB176" s="73">
        <f t="shared" si="1145"/>
        <v>0</v>
      </c>
      <c r="HC176" s="73">
        <f t="shared" si="1145"/>
        <v>0</v>
      </c>
      <c r="HD176" s="73">
        <f t="shared" si="1145"/>
        <v>0</v>
      </c>
      <c r="HE176" s="73">
        <f t="shared" si="1145"/>
        <v>0</v>
      </c>
      <c r="HF176" s="73">
        <f t="shared" si="1145"/>
        <v>0</v>
      </c>
      <c r="HG176" s="73">
        <f t="shared" si="1145"/>
        <v>0</v>
      </c>
      <c r="HH176" s="73">
        <f t="shared" si="1145"/>
        <v>0</v>
      </c>
      <c r="HI176" s="73">
        <f t="shared" si="1145"/>
        <v>0</v>
      </c>
      <c r="HJ176" s="73">
        <f t="shared" si="1145"/>
        <v>0</v>
      </c>
      <c r="HK176" s="73">
        <f t="shared" si="1145"/>
        <v>0</v>
      </c>
      <c r="HL176" s="73">
        <f t="shared" si="1145"/>
        <v>0</v>
      </c>
      <c r="HM176" s="73">
        <f t="shared" si="1145"/>
        <v>0</v>
      </c>
      <c r="HN176" s="73">
        <f t="shared" si="1145"/>
        <v>0</v>
      </c>
      <c r="HO176" s="73">
        <f t="shared" si="1145"/>
        <v>0</v>
      </c>
      <c r="HP176" s="73">
        <f t="shared" si="1145"/>
        <v>0</v>
      </c>
      <c r="HQ176" s="73">
        <f t="shared" si="1145"/>
        <v>0</v>
      </c>
      <c r="HR176" s="73">
        <f t="shared" si="1145"/>
        <v>0</v>
      </c>
      <c r="HS176" s="73">
        <f t="shared" si="1145"/>
        <v>0</v>
      </c>
      <c r="HT176" s="73">
        <f t="shared" si="1145"/>
        <v>0</v>
      </c>
      <c r="HU176" s="73">
        <f t="shared" ref="HU176:IV176" si="1146">HU177</f>
        <v>0</v>
      </c>
      <c r="HV176" s="73">
        <f t="shared" si="1146"/>
        <v>0</v>
      </c>
      <c r="HW176" s="73">
        <f t="shared" si="1146"/>
        <v>0</v>
      </c>
      <c r="HX176" s="73">
        <f t="shared" si="1146"/>
        <v>0</v>
      </c>
      <c r="HY176" s="73">
        <f t="shared" si="1146"/>
        <v>0</v>
      </c>
      <c r="HZ176" s="73">
        <f t="shared" si="1146"/>
        <v>0</v>
      </c>
      <c r="IA176" s="73">
        <f t="shared" si="1146"/>
        <v>0</v>
      </c>
      <c r="IB176" s="73">
        <f t="shared" si="1146"/>
        <v>0</v>
      </c>
      <c r="IC176" s="73">
        <f t="shared" si="1146"/>
        <v>0</v>
      </c>
      <c r="ID176" s="73">
        <f t="shared" si="1146"/>
        <v>0</v>
      </c>
      <c r="IE176" s="73">
        <f t="shared" si="1146"/>
        <v>0</v>
      </c>
      <c r="IF176" s="73">
        <f t="shared" si="1146"/>
        <v>0</v>
      </c>
      <c r="IG176" s="73">
        <f t="shared" si="1146"/>
        <v>0</v>
      </c>
      <c r="IH176" s="73">
        <f t="shared" si="1146"/>
        <v>0</v>
      </c>
      <c r="II176" s="73">
        <f t="shared" si="1146"/>
        <v>0</v>
      </c>
      <c r="IJ176" s="73">
        <f t="shared" si="1146"/>
        <v>0</v>
      </c>
      <c r="IK176" s="73">
        <f t="shared" si="1146"/>
        <v>0</v>
      </c>
      <c r="IL176" s="73">
        <f t="shared" si="1146"/>
        <v>0</v>
      </c>
      <c r="IM176" s="73">
        <f t="shared" si="1146"/>
        <v>0</v>
      </c>
      <c r="IN176" s="73">
        <f t="shared" si="1146"/>
        <v>0</v>
      </c>
      <c r="IO176" s="73">
        <f t="shared" si="1146"/>
        <v>0</v>
      </c>
      <c r="IP176" s="73">
        <f t="shared" si="1146"/>
        <v>0</v>
      </c>
      <c r="IQ176" s="73">
        <f t="shared" si="1146"/>
        <v>0</v>
      </c>
      <c r="IR176" s="73">
        <f t="shared" si="1146"/>
        <v>0</v>
      </c>
      <c r="IS176" s="73">
        <f t="shared" si="1146"/>
        <v>0</v>
      </c>
      <c r="IT176" s="73">
        <f t="shared" si="1146"/>
        <v>0</v>
      </c>
      <c r="IU176" s="73">
        <f t="shared" si="1146"/>
        <v>0</v>
      </c>
      <c r="IV176" s="73">
        <f t="shared" si="1146"/>
        <v>0</v>
      </c>
    </row>
    <row r="177" spans="1:256" s="78" customFormat="1" ht="12.95" customHeight="1" x14ac:dyDescent="0.25">
      <c r="A177" s="149" t="s">
        <v>165</v>
      </c>
      <c r="B177" s="80"/>
      <c r="C177" s="82">
        <f>SUM(C178:C186)</f>
        <v>0</v>
      </c>
      <c r="D177" s="82">
        <f t="shared" ref="D177:L177" si="1147">SUM(D178:D186)</f>
        <v>0</v>
      </c>
      <c r="E177" s="82">
        <f t="shared" si="1147"/>
        <v>0</v>
      </c>
      <c r="F177" s="82">
        <f t="shared" si="1147"/>
        <v>0</v>
      </c>
      <c r="G177" s="82">
        <f t="shared" si="1147"/>
        <v>0</v>
      </c>
      <c r="H177" s="82">
        <f t="shared" si="1147"/>
        <v>0</v>
      </c>
      <c r="I177" s="82">
        <f t="shared" si="1147"/>
        <v>0</v>
      </c>
      <c r="J177" s="82">
        <f t="shared" si="1147"/>
        <v>0</v>
      </c>
      <c r="K177" s="82">
        <f t="shared" si="1147"/>
        <v>0</v>
      </c>
      <c r="L177" s="82">
        <f t="shared" si="1147"/>
        <v>0</v>
      </c>
      <c r="M177" s="80"/>
      <c r="N177" s="82">
        <f t="shared" ref="N177:V177" si="1148">SUM(N178:N186)</f>
        <v>0</v>
      </c>
      <c r="O177" s="82">
        <f t="shared" si="1148"/>
        <v>0</v>
      </c>
      <c r="P177" s="82">
        <f t="shared" si="1148"/>
        <v>0</v>
      </c>
      <c r="Q177" s="82">
        <f t="shared" si="1148"/>
        <v>0</v>
      </c>
      <c r="R177" s="82">
        <f t="shared" si="1148"/>
        <v>0</v>
      </c>
      <c r="S177" s="82">
        <f t="shared" si="1148"/>
        <v>0</v>
      </c>
      <c r="T177" s="82">
        <f t="shared" si="1148"/>
        <v>0</v>
      </c>
      <c r="U177" s="82">
        <f t="shared" si="1148"/>
        <v>0</v>
      </c>
      <c r="V177" s="82">
        <f t="shared" si="1148"/>
        <v>0</v>
      </c>
      <c r="W177" s="82">
        <f>SUM(W178:W186)</f>
        <v>0</v>
      </c>
      <c r="X177" s="80"/>
      <c r="Y177" s="82">
        <f t="shared" ref="Y177:AG177" si="1149">SUM(Y178:Y186)</f>
        <v>0</v>
      </c>
      <c r="Z177" s="82">
        <f t="shared" si="1149"/>
        <v>0</v>
      </c>
      <c r="AA177" s="82">
        <f t="shared" si="1149"/>
        <v>0</v>
      </c>
      <c r="AB177" s="82">
        <f t="shared" si="1149"/>
        <v>0</v>
      </c>
      <c r="AC177" s="82">
        <f t="shared" si="1149"/>
        <v>0</v>
      </c>
      <c r="AD177" s="82">
        <f t="shared" si="1149"/>
        <v>0</v>
      </c>
      <c r="AE177" s="82">
        <f t="shared" si="1149"/>
        <v>0</v>
      </c>
      <c r="AF177" s="82">
        <f t="shared" si="1149"/>
        <v>0</v>
      </c>
      <c r="AG177" s="82">
        <f t="shared" si="1149"/>
        <v>0</v>
      </c>
      <c r="AH177" s="82">
        <f>SUM(AH178:AH186)</f>
        <v>0</v>
      </c>
      <c r="AI177" s="80"/>
      <c r="AJ177" s="82">
        <f t="shared" ref="AJ177:AR177" si="1150">SUM(AJ178:AJ186)</f>
        <v>0</v>
      </c>
      <c r="AK177" s="82">
        <f t="shared" si="1150"/>
        <v>0</v>
      </c>
      <c r="AL177" s="82">
        <f t="shared" si="1150"/>
        <v>0</v>
      </c>
      <c r="AM177" s="82">
        <f t="shared" si="1150"/>
        <v>0</v>
      </c>
      <c r="AN177" s="82">
        <f t="shared" si="1150"/>
        <v>0</v>
      </c>
      <c r="AO177" s="82">
        <f t="shared" si="1150"/>
        <v>0</v>
      </c>
      <c r="AP177" s="82">
        <f t="shared" si="1150"/>
        <v>0</v>
      </c>
      <c r="AQ177" s="82">
        <f t="shared" si="1150"/>
        <v>0</v>
      </c>
      <c r="AR177" s="82">
        <f t="shared" si="1150"/>
        <v>0</v>
      </c>
      <c r="AS177" s="82">
        <f>SUM(AS178:AS186)</f>
        <v>0</v>
      </c>
      <c r="AT177" s="80"/>
      <c r="AU177" s="82">
        <f t="shared" ref="AU177:BD177" si="1151">SUM(AU178:AU186)</f>
        <v>0</v>
      </c>
      <c r="AV177" s="82">
        <f t="shared" si="1151"/>
        <v>0</v>
      </c>
      <c r="AW177" s="82">
        <f t="shared" si="1151"/>
        <v>0</v>
      </c>
      <c r="AX177" s="82">
        <f t="shared" si="1151"/>
        <v>0</v>
      </c>
      <c r="AY177" s="82">
        <f t="shared" si="1151"/>
        <v>0</v>
      </c>
      <c r="AZ177" s="82">
        <f t="shared" si="1151"/>
        <v>0</v>
      </c>
      <c r="BA177" s="82">
        <f t="shared" si="1151"/>
        <v>0</v>
      </c>
      <c r="BB177" s="82">
        <f t="shared" si="1151"/>
        <v>0</v>
      </c>
      <c r="BC177" s="82">
        <f t="shared" si="1151"/>
        <v>0</v>
      </c>
      <c r="BD177" s="82">
        <f t="shared" si="1151"/>
        <v>0</v>
      </c>
      <c r="BE177" s="80"/>
      <c r="BF177" s="82">
        <f t="shared" ref="BF177:BN177" si="1152">SUM(BF178:BF186)</f>
        <v>0</v>
      </c>
      <c r="BG177" s="82">
        <f t="shared" si="1152"/>
        <v>0</v>
      </c>
      <c r="BH177" s="82">
        <f t="shared" si="1152"/>
        <v>0</v>
      </c>
      <c r="BI177" s="82">
        <f t="shared" si="1152"/>
        <v>0</v>
      </c>
      <c r="BJ177" s="82">
        <f t="shared" si="1152"/>
        <v>0</v>
      </c>
      <c r="BK177" s="82">
        <f t="shared" si="1152"/>
        <v>0</v>
      </c>
      <c r="BL177" s="82">
        <f t="shared" si="1152"/>
        <v>0</v>
      </c>
      <c r="BM177" s="82">
        <f t="shared" si="1152"/>
        <v>0</v>
      </c>
      <c r="BN177" s="82">
        <f t="shared" si="1152"/>
        <v>0</v>
      </c>
      <c r="BO177" s="82">
        <f>SUM(BO178:BO186)</f>
        <v>0</v>
      </c>
      <c r="BP177" s="80"/>
      <c r="BQ177" s="82">
        <f t="shared" ref="BQ177:BY177" si="1153">SUM(BQ178:BQ186)</f>
        <v>0</v>
      </c>
      <c r="BR177" s="82">
        <f t="shared" si="1153"/>
        <v>0</v>
      </c>
      <c r="BS177" s="82">
        <f t="shared" si="1153"/>
        <v>0</v>
      </c>
      <c r="BT177" s="82">
        <f t="shared" si="1153"/>
        <v>0</v>
      </c>
      <c r="BU177" s="82">
        <f t="shared" si="1153"/>
        <v>0</v>
      </c>
      <c r="BV177" s="82">
        <f t="shared" si="1153"/>
        <v>0</v>
      </c>
      <c r="BW177" s="82">
        <f t="shared" si="1153"/>
        <v>0</v>
      </c>
      <c r="BX177" s="82">
        <f t="shared" si="1153"/>
        <v>0</v>
      </c>
      <c r="BY177" s="82">
        <f t="shared" si="1153"/>
        <v>0</v>
      </c>
      <c r="BZ177" s="82">
        <f>SUM(BZ178:BZ186)</f>
        <v>0</v>
      </c>
      <c r="CA177" s="80"/>
      <c r="CB177" s="82">
        <f t="shared" ref="CB177:CJ177" si="1154">SUM(CB178:CB186)</f>
        <v>0</v>
      </c>
      <c r="CC177" s="82">
        <f t="shared" si="1154"/>
        <v>0</v>
      </c>
      <c r="CD177" s="82">
        <f t="shared" si="1154"/>
        <v>0</v>
      </c>
      <c r="CE177" s="82">
        <f t="shared" si="1154"/>
        <v>0</v>
      </c>
      <c r="CF177" s="82">
        <f t="shared" si="1154"/>
        <v>0</v>
      </c>
      <c r="CG177" s="82">
        <f t="shared" si="1154"/>
        <v>0</v>
      </c>
      <c r="CH177" s="82">
        <f t="shared" si="1154"/>
        <v>0</v>
      </c>
      <c r="CI177" s="82">
        <f t="shared" si="1154"/>
        <v>0</v>
      </c>
      <c r="CJ177" s="82">
        <f t="shared" si="1154"/>
        <v>0</v>
      </c>
      <c r="CK177" s="82">
        <f>SUM(CK178:CK186)</f>
        <v>0</v>
      </c>
      <c r="CL177" s="80"/>
      <c r="CM177" s="82">
        <f t="shared" ref="CM177:CV177" si="1155">SUM(CM178:CM186)</f>
        <v>0</v>
      </c>
      <c r="CN177" s="82">
        <f t="shared" si="1155"/>
        <v>0</v>
      </c>
      <c r="CO177" s="82">
        <f t="shared" si="1155"/>
        <v>0</v>
      </c>
      <c r="CP177" s="82">
        <f t="shared" si="1155"/>
        <v>0</v>
      </c>
      <c r="CQ177" s="82">
        <f t="shared" si="1155"/>
        <v>0</v>
      </c>
      <c r="CR177" s="82">
        <f t="shared" si="1155"/>
        <v>0</v>
      </c>
      <c r="CS177" s="82">
        <f t="shared" si="1155"/>
        <v>0</v>
      </c>
      <c r="CT177" s="82">
        <f t="shared" si="1155"/>
        <v>0</v>
      </c>
      <c r="CU177" s="82">
        <f t="shared" si="1155"/>
        <v>0</v>
      </c>
      <c r="CV177" s="82">
        <f t="shared" si="1155"/>
        <v>0</v>
      </c>
      <c r="CW177" s="80"/>
      <c r="CX177" s="82">
        <f t="shared" ref="CX177:DF177" si="1156">SUM(CX178:CX186)</f>
        <v>0</v>
      </c>
      <c r="CY177" s="82">
        <f t="shared" si="1156"/>
        <v>0</v>
      </c>
      <c r="CZ177" s="82">
        <f t="shared" si="1156"/>
        <v>0</v>
      </c>
      <c r="DA177" s="82">
        <f t="shared" si="1156"/>
        <v>0</v>
      </c>
      <c r="DB177" s="82">
        <f t="shared" si="1156"/>
        <v>0</v>
      </c>
      <c r="DC177" s="82">
        <f t="shared" si="1156"/>
        <v>0</v>
      </c>
      <c r="DD177" s="82">
        <f t="shared" si="1156"/>
        <v>0</v>
      </c>
      <c r="DE177" s="82">
        <f t="shared" si="1156"/>
        <v>0</v>
      </c>
      <c r="DF177" s="82">
        <f t="shared" si="1156"/>
        <v>0</v>
      </c>
      <c r="DG177" s="82">
        <f>SUM(DG178:DG186)</f>
        <v>0</v>
      </c>
      <c r="DH177" s="80"/>
      <c r="DI177" s="82">
        <f t="shared" ref="DI177:DQ177" si="1157">SUM(DI178:DI186)</f>
        <v>0</v>
      </c>
      <c r="DJ177" s="82">
        <f t="shared" si="1157"/>
        <v>0</v>
      </c>
      <c r="DK177" s="82">
        <f t="shared" si="1157"/>
        <v>0</v>
      </c>
      <c r="DL177" s="82">
        <f t="shared" si="1157"/>
        <v>0</v>
      </c>
      <c r="DM177" s="82">
        <f t="shared" si="1157"/>
        <v>0</v>
      </c>
      <c r="DN177" s="82">
        <f t="shared" si="1157"/>
        <v>0</v>
      </c>
      <c r="DO177" s="82">
        <f t="shared" si="1157"/>
        <v>0</v>
      </c>
      <c r="DP177" s="82">
        <f t="shared" si="1157"/>
        <v>0</v>
      </c>
      <c r="DQ177" s="82">
        <f t="shared" si="1157"/>
        <v>0</v>
      </c>
      <c r="DR177" s="82">
        <f>SUM(DR178:DR186)</f>
        <v>0</v>
      </c>
      <c r="DS177" s="80"/>
      <c r="DT177" s="82">
        <f t="shared" ref="DT177:EB177" si="1158">SUM(DT178:DT186)</f>
        <v>0</v>
      </c>
      <c r="DU177" s="82">
        <f t="shared" si="1158"/>
        <v>0</v>
      </c>
      <c r="DV177" s="82">
        <f t="shared" si="1158"/>
        <v>0</v>
      </c>
      <c r="DW177" s="82">
        <f t="shared" si="1158"/>
        <v>0</v>
      </c>
      <c r="DX177" s="82">
        <f t="shared" si="1158"/>
        <v>0</v>
      </c>
      <c r="DY177" s="82">
        <f t="shared" si="1158"/>
        <v>0</v>
      </c>
      <c r="DZ177" s="82">
        <f t="shared" si="1158"/>
        <v>0</v>
      </c>
      <c r="EA177" s="82">
        <f t="shared" si="1158"/>
        <v>0</v>
      </c>
      <c r="EB177" s="82">
        <f t="shared" si="1158"/>
        <v>0</v>
      </c>
      <c r="EC177" s="82">
        <f>SUM(EC178:EC186)</f>
        <v>0</v>
      </c>
      <c r="ED177" s="80"/>
      <c r="EE177" s="82">
        <f t="shared" ref="EE177:EN177" si="1159">SUM(EE178:EE186)</f>
        <v>0</v>
      </c>
      <c r="EF177" s="82">
        <f t="shared" si="1159"/>
        <v>0</v>
      </c>
      <c r="EG177" s="82">
        <f t="shared" si="1159"/>
        <v>0</v>
      </c>
      <c r="EH177" s="82">
        <f t="shared" si="1159"/>
        <v>0</v>
      </c>
      <c r="EI177" s="82">
        <f t="shared" si="1159"/>
        <v>0</v>
      </c>
      <c r="EJ177" s="82">
        <f t="shared" si="1159"/>
        <v>0</v>
      </c>
      <c r="EK177" s="82">
        <f t="shared" si="1159"/>
        <v>0</v>
      </c>
      <c r="EL177" s="82">
        <f t="shared" si="1159"/>
        <v>0</v>
      </c>
      <c r="EM177" s="82">
        <f t="shared" si="1159"/>
        <v>0</v>
      </c>
      <c r="EN177" s="82">
        <f t="shared" si="1159"/>
        <v>0</v>
      </c>
      <c r="EO177" s="80"/>
      <c r="EP177" s="82">
        <f t="shared" ref="EP177:EX177" si="1160">SUM(EP178:EP186)</f>
        <v>0</v>
      </c>
      <c r="EQ177" s="82">
        <f t="shared" si="1160"/>
        <v>0</v>
      </c>
      <c r="ER177" s="82">
        <f t="shared" si="1160"/>
        <v>0</v>
      </c>
      <c r="ES177" s="82">
        <f t="shared" si="1160"/>
        <v>0</v>
      </c>
      <c r="ET177" s="82">
        <f t="shared" si="1160"/>
        <v>0</v>
      </c>
      <c r="EU177" s="82">
        <f t="shared" si="1160"/>
        <v>0</v>
      </c>
      <c r="EV177" s="82">
        <f t="shared" si="1160"/>
        <v>0</v>
      </c>
      <c r="EW177" s="82">
        <f t="shared" si="1160"/>
        <v>0</v>
      </c>
      <c r="EX177" s="82">
        <f t="shared" si="1160"/>
        <v>0</v>
      </c>
      <c r="EY177" s="82">
        <f>SUM(EY178:EY186)</f>
        <v>0</v>
      </c>
      <c r="EZ177" s="80"/>
      <c r="FA177" s="82">
        <f t="shared" ref="FA177:FI177" si="1161">SUM(FA178:FA186)</f>
        <v>0</v>
      </c>
      <c r="FB177" s="82">
        <f t="shared" si="1161"/>
        <v>0</v>
      </c>
      <c r="FC177" s="82">
        <f t="shared" si="1161"/>
        <v>0</v>
      </c>
      <c r="FD177" s="82">
        <f t="shared" si="1161"/>
        <v>0</v>
      </c>
      <c r="FE177" s="82">
        <f t="shared" si="1161"/>
        <v>0</v>
      </c>
      <c r="FF177" s="82">
        <f t="shared" si="1161"/>
        <v>0</v>
      </c>
      <c r="FG177" s="82">
        <f t="shared" si="1161"/>
        <v>0</v>
      </c>
      <c r="FH177" s="82">
        <f t="shared" si="1161"/>
        <v>0</v>
      </c>
      <c r="FI177" s="82">
        <f t="shared" si="1161"/>
        <v>0</v>
      </c>
      <c r="FJ177" s="82">
        <f>SUM(FJ178:FJ186)</f>
        <v>0</v>
      </c>
      <c r="FK177" s="80"/>
      <c r="FL177" s="82">
        <f t="shared" ref="FL177:FT177" si="1162">SUM(FL178:FL186)</f>
        <v>0</v>
      </c>
      <c r="FM177" s="82">
        <f t="shared" si="1162"/>
        <v>0</v>
      </c>
      <c r="FN177" s="82">
        <f t="shared" si="1162"/>
        <v>0</v>
      </c>
      <c r="FO177" s="82">
        <f t="shared" si="1162"/>
        <v>0</v>
      </c>
      <c r="FP177" s="82">
        <f t="shared" si="1162"/>
        <v>0</v>
      </c>
      <c r="FQ177" s="82">
        <f t="shared" si="1162"/>
        <v>0</v>
      </c>
      <c r="FR177" s="82">
        <f t="shared" si="1162"/>
        <v>0</v>
      </c>
      <c r="FS177" s="82">
        <f t="shared" si="1162"/>
        <v>0</v>
      </c>
      <c r="FT177" s="82">
        <f t="shared" si="1162"/>
        <v>0</v>
      </c>
      <c r="FU177" s="82">
        <f>SUM(FU178:FU186)</f>
        <v>0</v>
      </c>
      <c r="FV177" s="80"/>
      <c r="FW177" s="82">
        <f t="shared" ref="FW177:GF177" si="1163">SUM(FW178:FW186)</f>
        <v>0</v>
      </c>
      <c r="FX177" s="82">
        <f t="shared" si="1163"/>
        <v>0</v>
      </c>
      <c r="FY177" s="82">
        <f t="shared" si="1163"/>
        <v>0</v>
      </c>
      <c r="FZ177" s="82">
        <f t="shared" si="1163"/>
        <v>0</v>
      </c>
      <c r="GA177" s="82">
        <f t="shared" si="1163"/>
        <v>0</v>
      </c>
      <c r="GB177" s="82">
        <f t="shared" si="1163"/>
        <v>0</v>
      </c>
      <c r="GC177" s="82">
        <f t="shared" si="1163"/>
        <v>0</v>
      </c>
      <c r="GD177" s="82">
        <f t="shared" si="1163"/>
        <v>0</v>
      </c>
      <c r="GE177" s="82">
        <f t="shared" si="1163"/>
        <v>0</v>
      </c>
      <c r="GF177" s="82">
        <f t="shared" si="1163"/>
        <v>0</v>
      </c>
      <c r="GG177" s="80"/>
      <c r="GH177" s="82">
        <f t="shared" ref="GH177:IO177" si="1164">SUM(GH178:GH186)</f>
        <v>0</v>
      </c>
      <c r="GI177" s="82">
        <f t="shared" si="1164"/>
        <v>0</v>
      </c>
      <c r="GJ177" s="82">
        <f t="shared" si="1164"/>
        <v>0</v>
      </c>
      <c r="GK177" s="82">
        <f t="shared" si="1164"/>
        <v>0</v>
      </c>
      <c r="GL177" s="82">
        <f t="shared" si="1164"/>
        <v>0</v>
      </c>
      <c r="GM177" s="82">
        <f t="shared" si="1164"/>
        <v>0</v>
      </c>
      <c r="GN177" s="82">
        <f t="shared" si="1164"/>
        <v>0</v>
      </c>
      <c r="GO177" s="82">
        <f t="shared" si="1164"/>
        <v>0</v>
      </c>
      <c r="GP177" s="82">
        <f t="shared" si="1164"/>
        <v>0</v>
      </c>
      <c r="GQ177" s="82">
        <f t="shared" si="1164"/>
        <v>0</v>
      </c>
      <c r="GR177" s="82">
        <f t="shared" si="1164"/>
        <v>0</v>
      </c>
      <c r="GS177" s="82">
        <f t="shared" si="1164"/>
        <v>0</v>
      </c>
      <c r="GT177" s="82">
        <f t="shared" si="1164"/>
        <v>0</v>
      </c>
      <c r="GU177" s="82">
        <f t="shared" si="1164"/>
        <v>0</v>
      </c>
      <c r="GV177" s="82">
        <f t="shared" si="1164"/>
        <v>0</v>
      </c>
      <c r="GW177" s="82">
        <f t="shared" si="1164"/>
        <v>0</v>
      </c>
      <c r="GX177" s="82">
        <f t="shared" si="1164"/>
        <v>0</v>
      </c>
      <c r="GY177" s="82">
        <f t="shared" si="1164"/>
        <v>0</v>
      </c>
      <c r="GZ177" s="82">
        <f t="shared" si="1164"/>
        <v>0</v>
      </c>
      <c r="HA177" s="82">
        <f t="shared" si="1164"/>
        <v>0</v>
      </c>
      <c r="HB177" s="82">
        <f>SUM(HB178:HB186)</f>
        <v>0</v>
      </c>
      <c r="HC177" s="82">
        <f>SUM(HC178:HC186)</f>
        <v>0</v>
      </c>
      <c r="HD177" s="82">
        <f>SUM(HD178:HD186)</f>
        <v>0</v>
      </c>
      <c r="HE177" s="82">
        <f>SUM(HE178:HE186)</f>
        <v>0</v>
      </c>
      <c r="HF177" s="82">
        <f t="shared" si="1164"/>
        <v>0</v>
      </c>
      <c r="HG177" s="82">
        <f t="shared" si="1164"/>
        <v>0</v>
      </c>
      <c r="HH177" s="82">
        <f t="shared" si="1164"/>
        <v>0</v>
      </c>
      <c r="HI177" s="82">
        <f t="shared" si="1164"/>
        <v>0</v>
      </c>
      <c r="HJ177" s="82">
        <f t="shared" si="1164"/>
        <v>0</v>
      </c>
      <c r="HK177" s="82">
        <f t="shared" si="1164"/>
        <v>0</v>
      </c>
      <c r="HL177" s="82">
        <f t="shared" si="1164"/>
        <v>0</v>
      </c>
      <c r="HM177" s="82">
        <f t="shared" si="1164"/>
        <v>0</v>
      </c>
      <c r="HN177" s="82">
        <f t="shared" si="1164"/>
        <v>0</v>
      </c>
      <c r="HO177" s="82">
        <f t="shared" si="1164"/>
        <v>0</v>
      </c>
      <c r="HP177" s="82">
        <f t="shared" si="1164"/>
        <v>0</v>
      </c>
      <c r="HQ177" s="82">
        <f>SUM(HQ178:HQ186)</f>
        <v>0</v>
      </c>
      <c r="HR177" s="82">
        <f>SUM(HR178:HR186)</f>
        <v>0</v>
      </c>
      <c r="HS177" s="82">
        <f>SUM(HS178:HS186)</f>
        <v>0</v>
      </c>
      <c r="HT177" s="82">
        <f>SUM(HT178:HT186)</f>
        <v>0</v>
      </c>
      <c r="HU177" s="82">
        <f t="shared" si="1164"/>
        <v>0</v>
      </c>
      <c r="HV177" s="82">
        <f t="shared" si="1164"/>
        <v>0</v>
      </c>
      <c r="HW177" s="82">
        <f t="shared" si="1164"/>
        <v>0</v>
      </c>
      <c r="HX177" s="82">
        <f t="shared" si="1164"/>
        <v>0</v>
      </c>
      <c r="HY177" s="82">
        <f t="shared" si="1164"/>
        <v>0</v>
      </c>
      <c r="HZ177" s="82">
        <f t="shared" si="1164"/>
        <v>0</v>
      </c>
      <c r="IA177" s="82">
        <f>SUM(IA178:IA186)</f>
        <v>0</v>
      </c>
      <c r="IB177" s="82">
        <f>SUM(IB178:IB186)</f>
        <v>0</v>
      </c>
      <c r="IC177" s="82">
        <f>SUM(IC178:IC186)</f>
        <v>0</v>
      </c>
      <c r="ID177" s="82">
        <f>SUM(ID178:ID186)</f>
        <v>0</v>
      </c>
      <c r="IE177" s="82">
        <f t="shared" si="1164"/>
        <v>0</v>
      </c>
      <c r="IF177" s="82">
        <f t="shared" si="1164"/>
        <v>0</v>
      </c>
      <c r="IG177" s="82">
        <f t="shared" si="1164"/>
        <v>0</v>
      </c>
      <c r="IH177" s="82">
        <f t="shared" si="1164"/>
        <v>0</v>
      </c>
      <c r="II177" s="82">
        <f t="shared" si="1164"/>
        <v>0</v>
      </c>
      <c r="IJ177" s="82">
        <f t="shared" si="1164"/>
        <v>0</v>
      </c>
      <c r="IK177" s="82">
        <f t="shared" si="1164"/>
        <v>0</v>
      </c>
      <c r="IL177" s="82">
        <f t="shared" si="1164"/>
        <v>0</v>
      </c>
      <c r="IM177" s="82">
        <f t="shared" si="1164"/>
        <v>0</v>
      </c>
      <c r="IN177" s="82">
        <f t="shared" si="1164"/>
        <v>0</v>
      </c>
      <c r="IO177" s="82">
        <f t="shared" si="1164"/>
        <v>0</v>
      </c>
      <c r="IP177" s="82">
        <f t="shared" ref="IP177:IV177" si="1165">SUM(IP178:IP186)</f>
        <v>0</v>
      </c>
      <c r="IQ177" s="82">
        <f t="shared" si="1165"/>
        <v>0</v>
      </c>
      <c r="IR177" s="82">
        <f t="shared" si="1165"/>
        <v>0</v>
      </c>
      <c r="IS177" s="82">
        <f t="shared" si="1165"/>
        <v>0</v>
      </c>
      <c r="IT177" s="82">
        <f t="shared" si="1165"/>
        <v>0</v>
      </c>
      <c r="IU177" s="82">
        <f t="shared" si="1165"/>
        <v>0</v>
      </c>
      <c r="IV177" s="82">
        <f t="shared" si="1165"/>
        <v>0</v>
      </c>
    </row>
    <row r="178" spans="1:256" s="150" customFormat="1" ht="25.5" customHeight="1" x14ac:dyDescent="0.25">
      <c r="A178" s="151" t="s">
        <v>346</v>
      </c>
      <c r="B178" s="62"/>
      <c r="C178" s="63"/>
      <c r="D178" s="63"/>
      <c r="E178" s="63"/>
      <c r="F178" s="63"/>
      <c r="G178" s="63"/>
      <c r="H178" s="63"/>
      <c r="I178" s="63"/>
      <c r="J178" s="63"/>
      <c r="K178" s="63"/>
      <c r="L178" s="64">
        <f t="shared" ref="L178:L186" si="1166">SUM(C178:F178,H178:K178)</f>
        <v>0</v>
      </c>
      <c r="M178" s="62"/>
      <c r="N178" s="63"/>
      <c r="O178" s="63"/>
      <c r="P178" s="63"/>
      <c r="Q178" s="63"/>
      <c r="R178" s="63"/>
      <c r="S178" s="63"/>
      <c r="T178" s="63"/>
      <c r="U178" s="63"/>
      <c r="V178" s="63"/>
      <c r="W178" s="64">
        <f t="shared" ref="W178:W186" si="1167">SUM(N178:Q178,S178:V178)</f>
        <v>0</v>
      </c>
      <c r="X178" s="62"/>
      <c r="Y178" s="63"/>
      <c r="Z178" s="63"/>
      <c r="AA178" s="63"/>
      <c r="AB178" s="63"/>
      <c r="AC178" s="63"/>
      <c r="AD178" s="63"/>
      <c r="AE178" s="63"/>
      <c r="AF178" s="63"/>
      <c r="AG178" s="63"/>
      <c r="AH178" s="64">
        <f t="shared" ref="AH178:AH186" si="1168">SUM(Y178:AB178,AD178:AG178)</f>
        <v>0</v>
      </c>
      <c r="AI178" s="62"/>
      <c r="AJ178" s="63"/>
      <c r="AK178" s="63"/>
      <c r="AL178" s="63"/>
      <c r="AM178" s="63"/>
      <c r="AN178" s="63"/>
      <c r="AO178" s="63"/>
      <c r="AP178" s="63"/>
      <c r="AQ178" s="63"/>
      <c r="AR178" s="63"/>
      <c r="AS178" s="64">
        <f t="shared" ref="AS178:AS186" si="1169">SUM(AJ178:AM178,AO178:AR178)</f>
        <v>0</v>
      </c>
      <c r="AT178" s="65">
        <f t="shared" ref="AT178:BC186" si="1170">SUM(M178,AI178,X178)</f>
        <v>0</v>
      </c>
      <c r="AU178" s="65">
        <f t="shared" si="1170"/>
        <v>0</v>
      </c>
      <c r="AV178" s="65">
        <f t="shared" si="1170"/>
        <v>0</v>
      </c>
      <c r="AW178" s="65">
        <f t="shared" si="1170"/>
        <v>0</v>
      </c>
      <c r="AX178" s="65">
        <f t="shared" si="1170"/>
        <v>0</v>
      </c>
      <c r="AY178" s="65">
        <f t="shared" si="1170"/>
        <v>0</v>
      </c>
      <c r="AZ178" s="65">
        <f t="shared" si="1170"/>
        <v>0</v>
      </c>
      <c r="BA178" s="65">
        <f t="shared" si="1170"/>
        <v>0</v>
      </c>
      <c r="BB178" s="65">
        <f t="shared" si="1170"/>
        <v>0</v>
      </c>
      <c r="BC178" s="65">
        <f t="shared" si="1170"/>
        <v>0</v>
      </c>
      <c r="BD178" s="64">
        <f t="shared" ref="BD178:BD186" si="1171">SUM(AU178:AX178,AZ178:BC178)</f>
        <v>0</v>
      </c>
      <c r="BE178" s="62"/>
      <c r="BF178" s="63"/>
      <c r="BG178" s="63"/>
      <c r="BH178" s="63"/>
      <c r="BI178" s="63"/>
      <c r="BJ178" s="63"/>
      <c r="BK178" s="63"/>
      <c r="BL178" s="63"/>
      <c r="BM178" s="63"/>
      <c r="BN178" s="63"/>
      <c r="BO178" s="64">
        <f t="shared" ref="BO178:BO186" si="1172">SUM(BF178:BI178,BK178:BN178)</f>
        <v>0</v>
      </c>
      <c r="BP178" s="62"/>
      <c r="BQ178" s="63"/>
      <c r="BR178" s="63"/>
      <c r="BS178" s="63"/>
      <c r="BT178" s="63"/>
      <c r="BU178" s="63"/>
      <c r="BV178" s="63"/>
      <c r="BW178" s="63"/>
      <c r="BX178" s="63"/>
      <c r="BY178" s="63"/>
      <c r="BZ178" s="64">
        <f t="shared" ref="BZ178:BZ186" si="1173">SUM(BQ178:BT178,BV178:BY178)</f>
        <v>0</v>
      </c>
      <c r="CA178" s="62"/>
      <c r="CB178" s="63"/>
      <c r="CC178" s="63"/>
      <c r="CD178" s="63"/>
      <c r="CE178" s="63"/>
      <c r="CF178" s="63"/>
      <c r="CG178" s="63"/>
      <c r="CH178" s="63"/>
      <c r="CI178" s="63"/>
      <c r="CJ178" s="63"/>
      <c r="CK178" s="64">
        <f t="shared" ref="CK178:CK186" si="1174">SUM(CB178:CE178,CG178:CJ178)</f>
        <v>0</v>
      </c>
      <c r="CL178" s="65">
        <f t="shared" ref="CL178:CU186" si="1175">SUM(BE178,CA178,BP178)</f>
        <v>0</v>
      </c>
      <c r="CM178" s="65">
        <f t="shared" si="1175"/>
        <v>0</v>
      </c>
      <c r="CN178" s="65">
        <f t="shared" si="1175"/>
        <v>0</v>
      </c>
      <c r="CO178" s="65">
        <f t="shared" si="1175"/>
        <v>0</v>
      </c>
      <c r="CP178" s="65">
        <f t="shared" si="1175"/>
        <v>0</v>
      </c>
      <c r="CQ178" s="65">
        <f t="shared" si="1175"/>
        <v>0</v>
      </c>
      <c r="CR178" s="65">
        <f t="shared" si="1175"/>
        <v>0</v>
      </c>
      <c r="CS178" s="65">
        <f t="shared" si="1175"/>
        <v>0</v>
      </c>
      <c r="CT178" s="65">
        <f t="shared" si="1175"/>
        <v>0</v>
      </c>
      <c r="CU178" s="65">
        <f t="shared" si="1175"/>
        <v>0</v>
      </c>
      <c r="CV178" s="64">
        <f t="shared" ref="CV178:CV186" si="1176">SUM(CM178:CP178,CR178:CU178)</f>
        <v>0</v>
      </c>
      <c r="CW178" s="62"/>
      <c r="CX178" s="63"/>
      <c r="CY178" s="63"/>
      <c r="CZ178" s="63"/>
      <c r="DA178" s="63"/>
      <c r="DB178" s="63"/>
      <c r="DC178" s="63"/>
      <c r="DD178" s="63"/>
      <c r="DE178" s="63"/>
      <c r="DF178" s="63"/>
      <c r="DG178" s="64">
        <f t="shared" ref="DG178:DG186" si="1177">SUM(CX178:DA178,DC178:DF178)</f>
        <v>0</v>
      </c>
      <c r="DH178" s="62"/>
      <c r="DI178" s="63"/>
      <c r="DJ178" s="63"/>
      <c r="DK178" s="63"/>
      <c r="DL178" s="63"/>
      <c r="DM178" s="63"/>
      <c r="DN178" s="63"/>
      <c r="DO178" s="63"/>
      <c r="DP178" s="63"/>
      <c r="DQ178" s="63"/>
      <c r="DR178" s="64">
        <f t="shared" ref="DR178:DR186" si="1178">SUM(DI178:DL178,DN178:DQ178)</f>
        <v>0</v>
      </c>
      <c r="DS178" s="62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  <c r="ED178" s="65">
        <f t="shared" ref="ED178:EM186" si="1179">SUM(CW178,DS178,DH178)</f>
        <v>0</v>
      </c>
      <c r="EE178" s="65">
        <f t="shared" si="1179"/>
        <v>0</v>
      </c>
      <c r="EF178" s="65">
        <f t="shared" si="1179"/>
        <v>0</v>
      </c>
      <c r="EG178" s="65">
        <f t="shared" si="1179"/>
        <v>0</v>
      </c>
      <c r="EH178" s="65">
        <f t="shared" si="1179"/>
        <v>0</v>
      </c>
      <c r="EI178" s="65">
        <f t="shared" si="1179"/>
        <v>0</v>
      </c>
      <c r="EJ178" s="65">
        <f t="shared" si="1179"/>
        <v>0</v>
      </c>
      <c r="EK178" s="65">
        <f t="shared" si="1179"/>
        <v>0</v>
      </c>
      <c r="EL178" s="65">
        <f t="shared" si="1179"/>
        <v>0</v>
      </c>
      <c r="EM178" s="65">
        <f t="shared" si="1179"/>
        <v>0</v>
      </c>
      <c r="EN178" s="64">
        <f t="shared" ref="EN178:EN186" si="1180">SUM(EE178:EH178,EJ178:EM178)</f>
        <v>0</v>
      </c>
      <c r="EO178" s="62"/>
      <c r="EP178" s="63"/>
      <c r="EQ178" s="63"/>
      <c r="ER178" s="63"/>
      <c r="ES178" s="63"/>
      <c r="ET178" s="63"/>
      <c r="EU178" s="63"/>
      <c r="EV178" s="63"/>
      <c r="EW178" s="63"/>
      <c r="EX178" s="63"/>
      <c r="EY178" s="64">
        <f t="shared" ref="EY178:EY186" si="1181">SUM(EP178:ES178,EU178:EX178)</f>
        <v>0</v>
      </c>
      <c r="EZ178" s="62"/>
      <c r="FA178" s="63"/>
      <c r="FB178" s="63"/>
      <c r="FC178" s="63"/>
      <c r="FD178" s="63"/>
      <c r="FE178" s="63"/>
      <c r="FF178" s="63"/>
      <c r="FG178" s="63"/>
      <c r="FH178" s="63"/>
      <c r="FI178" s="63"/>
      <c r="FJ178" s="64">
        <f t="shared" ref="FJ178:FJ186" si="1182">SUM(FA178:FD178,FF178:FI178)</f>
        <v>0</v>
      </c>
      <c r="FK178" s="62"/>
      <c r="FL178" s="63"/>
      <c r="FM178" s="63"/>
      <c r="FN178" s="63"/>
      <c r="FO178" s="63"/>
      <c r="FP178" s="63"/>
      <c r="FQ178" s="63"/>
      <c r="FR178" s="63"/>
      <c r="FS178" s="63"/>
      <c r="FT178" s="63"/>
      <c r="FU178" s="64">
        <f t="shared" ref="FU178:FU186" si="1183">SUM(FL178:FO178,FQ178:FT178)</f>
        <v>0</v>
      </c>
      <c r="FV178" s="65">
        <f t="shared" ref="FV178:GE187" si="1184">SUM(EO178,FK178,EZ178)</f>
        <v>0</v>
      </c>
      <c r="FW178" s="65">
        <f t="shared" si="1184"/>
        <v>0</v>
      </c>
      <c r="FX178" s="65">
        <f t="shared" si="1184"/>
        <v>0</v>
      </c>
      <c r="FY178" s="65">
        <f t="shared" si="1184"/>
        <v>0</v>
      </c>
      <c r="FZ178" s="65">
        <f t="shared" si="1184"/>
        <v>0</v>
      </c>
      <c r="GA178" s="65">
        <f t="shared" si="1184"/>
        <v>0</v>
      </c>
      <c r="GB178" s="65">
        <f t="shared" si="1184"/>
        <v>0</v>
      </c>
      <c r="GC178" s="65">
        <f t="shared" si="1184"/>
        <v>0</v>
      </c>
      <c r="GD178" s="65">
        <f t="shared" si="1184"/>
        <v>0</v>
      </c>
      <c r="GE178" s="65">
        <f t="shared" si="1184"/>
        <v>0</v>
      </c>
      <c r="GF178" s="64">
        <f t="shared" ref="GF178:GF187" si="1185">SUM(FW178:FZ178,GB178:GE178)</f>
        <v>0</v>
      </c>
      <c r="GG178" s="66">
        <f t="shared" ref="GG178:GP187" si="1186">SUM(AT178,CL178,ED178,FV178)</f>
        <v>0</v>
      </c>
      <c r="GH178" s="66">
        <f t="shared" si="1186"/>
        <v>0</v>
      </c>
      <c r="GI178" s="66">
        <f t="shared" si="1186"/>
        <v>0</v>
      </c>
      <c r="GJ178" s="66">
        <f t="shared" si="1186"/>
        <v>0</v>
      </c>
      <c r="GK178" s="66">
        <f t="shared" si="1186"/>
        <v>0</v>
      </c>
      <c r="GL178" s="66">
        <f t="shared" si="1186"/>
        <v>0</v>
      </c>
      <c r="GM178" s="66">
        <f t="shared" si="1186"/>
        <v>0</v>
      </c>
      <c r="GN178" s="66">
        <f t="shared" si="1186"/>
        <v>0</v>
      </c>
      <c r="GO178" s="66">
        <f t="shared" si="1186"/>
        <v>0</v>
      </c>
      <c r="GP178" s="66">
        <f t="shared" si="1186"/>
        <v>0</v>
      </c>
      <c r="GQ178" s="64">
        <f t="shared" ref="GQ178:GQ187" si="1187">SUM(GH178:GK178,GM178:GP178)</f>
        <v>0</v>
      </c>
      <c r="GR178" s="63"/>
      <c r="GS178" s="63"/>
      <c r="GT178" s="63"/>
      <c r="GU178" s="63"/>
      <c r="GV178" s="67">
        <f t="shared" ref="GV178:GV187" si="1188">SUM(GR178:GU178)</f>
        <v>0</v>
      </c>
      <c r="GW178" s="63"/>
      <c r="GX178" s="63"/>
      <c r="GY178" s="63"/>
      <c r="GZ178" s="63"/>
      <c r="HA178" s="67">
        <f t="shared" ref="HA178:HA187" si="1189">SUM(GW178:GZ178)</f>
        <v>0</v>
      </c>
      <c r="HB178" s="63"/>
      <c r="HC178" s="63"/>
      <c r="HD178" s="63"/>
      <c r="HE178" s="63"/>
      <c r="HF178" s="67">
        <f t="shared" ref="HF178:HF187" si="1190">SUM(HB178:HE178)</f>
        <v>0</v>
      </c>
      <c r="HG178" s="63"/>
      <c r="HH178" s="63"/>
      <c r="HI178" s="63"/>
      <c r="HJ178" s="63"/>
      <c r="HK178" s="67">
        <f t="shared" ref="HK178:HK187" si="1191">SUM(HG178:HJ178)</f>
        <v>0</v>
      </c>
      <c r="HL178" s="68">
        <f t="shared" ref="HL178:HO187" si="1192">SUM(GW178,HB178,HG178)</f>
        <v>0</v>
      </c>
      <c r="HM178" s="68">
        <f t="shared" si="1192"/>
        <v>0</v>
      </c>
      <c r="HN178" s="68">
        <f t="shared" si="1192"/>
        <v>0</v>
      </c>
      <c r="HO178" s="68">
        <f t="shared" si="1192"/>
        <v>0</v>
      </c>
      <c r="HP178" s="67">
        <f t="shared" ref="HP178:HP187" si="1193">SUM(HL178:HO178)</f>
        <v>0</v>
      </c>
      <c r="HQ178" s="63"/>
      <c r="HR178" s="63"/>
      <c r="HS178" s="63"/>
      <c r="HT178" s="63"/>
      <c r="HU178" s="67">
        <f t="shared" ref="HU178:HU187" si="1194">SUM(HQ178:HT178)</f>
        <v>0</v>
      </c>
      <c r="HV178" s="63"/>
      <c r="HW178" s="63"/>
      <c r="HX178" s="63"/>
      <c r="HY178" s="63"/>
      <c r="HZ178" s="67">
        <f t="shared" ref="HZ178:HZ187" si="1195">SUM(HV178:HY178)</f>
        <v>0</v>
      </c>
      <c r="IA178" s="63"/>
      <c r="IB178" s="63"/>
      <c r="IC178" s="63"/>
      <c r="ID178" s="63"/>
      <c r="IE178" s="67">
        <f t="shared" ref="IE178:IE187" si="1196">SUM(IA178:ID178)</f>
        <v>0</v>
      </c>
      <c r="IF178" s="68">
        <f t="shared" ref="IF178:II187" si="1197">SUM(HQ178,HV178,IA178)</f>
        <v>0</v>
      </c>
      <c r="IG178" s="68">
        <f t="shared" si="1197"/>
        <v>0</v>
      </c>
      <c r="IH178" s="68">
        <f t="shared" si="1197"/>
        <v>0</v>
      </c>
      <c r="II178" s="68">
        <f t="shared" si="1197"/>
        <v>0</v>
      </c>
      <c r="IJ178" s="67">
        <f t="shared" ref="IJ178:IJ187" si="1198">SUM(IF178:II178)</f>
        <v>0</v>
      </c>
      <c r="IK178" s="63"/>
      <c r="IL178" s="63"/>
      <c r="IM178" s="63"/>
      <c r="IN178" s="63"/>
      <c r="IO178" s="67">
        <f t="shared" ref="IO178:IO187" si="1199">SUM(IK178:IN178)</f>
        <v>0</v>
      </c>
      <c r="IP178" s="63"/>
      <c r="IQ178" s="63"/>
      <c r="IR178" s="63"/>
      <c r="IS178" s="63"/>
      <c r="IT178" s="67">
        <f t="shared" ref="IT178:IT187" si="1200">SUM(IP178:IS178)</f>
        <v>0</v>
      </c>
      <c r="IU178" s="63"/>
      <c r="IV178" s="63"/>
    </row>
    <row r="179" spans="1:256" s="150" customFormat="1" ht="14.1" customHeight="1" x14ac:dyDescent="0.25">
      <c r="A179" s="151" t="s">
        <v>347</v>
      </c>
      <c r="B179" s="62"/>
      <c r="C179" s="63"/>
      <c r="D179" s="63"/>
      <c r="E179" s="63"/>
      <c r="F179" s="63"/>
      <c r="G179" s="63"/>
      <c r="H179" s="63"/>
      <c r="I179" s="63"/>
      <c r="J179" s="63"/>
      <c r="K179" s="63"/>
      <c r="L179" s="64">
        <f t="shared" si="1166"/>
        <v>0</v>
      </c>
      <c r="M179" s="62"/>
      <c r="N179" s="63"/>
      <c r="O179" s="63"/>
      <c r="P179" s="63"/>
      <c r="Q179" s="63"/>
      <c r="R179" s="63"/>
      <c r="S179" s="63"/>
      <c r="T179" s="63"/>
      <c r="U179" s="63"/>
      <c r="V179" s="63"/>
      <c r="W179" s="64">
        <f t="shared" si="1167"/>
        <v>0</v>
      </c>
      <c r="X179" s="62"/>
      <c r="Y179" s="63"/>
      <c r="Z179" s="63"/>
      <c r="AA179" s="63"/>
      <c r="AB179" s="63"/>
      <c r="AC179" s="63"/>
      <c r="AD179" s="63"/>
      <c r="AE179" s="63"/>
      <c r="AF179" s="63"/>
      <c r="AG179" s="63"/>
      <c r="AH179" s="64">
        <f t="shared" si="1168"/>
        <v>0</v>
      </c>
      <c r="AI179" s="62"/>
      <c r="AJ179" s="63"/>
      <c r="AK179" s="63"/>
      <c r="AL179" s="63"/>
      <c r="AM179" s="63"/>
      <c r="AN179" s="63"/>
      <c r="AO179" s="63"/>
      <c r="AP179" s="63"/>
      <c r="AQ179" s="63"/>
      <c r="AR179" s="63"/>
      <c r="AS179" s="64">
        <f t="shared" si="1169"/>
        <v>0</v>
      </c>
      <c r="AT179" s="65">
        <f t="shared" si="1170"/>
        <v>0</v>
      </c>
      <c r="AU179" s="65">
        <f t="shared" si="1170"/>
        <v>0</v>
      </c>
      <c r="AV179" s="65">
        <f t="shared" si="1170"/>
        <v>0</v>
      </c>
      <c r="AW179" s="65">
        <f t="shared" si="1170"/>
        <v>0</v>
      </c>
      <c r="AX179" s="65">
        <f t="shared" si="1170"/>
        <v>0</v>
      </c>
      <c r="AY179" s="65">
        <f t="shared" si="1170"/>
        <v>0</v>
      </c>
      <c r="AZ179" s="65">
        <f t="shared" si="1170"/>
        <v>0</v>
      </c>
      <c r="BA179" s="65">
        <f t="shared" si="1170"/>
        <v>0</v>
      </c>
      <c r="BB179" s="65">
        <f t="shared" si="1170"/>
        <v>0</v>
      </c>
      <c r="BC179" s="65">
        <f t="shared" si="1170"/>
        <v>0</v>
      </c>
      <c r="BD179" s="64">
        <f t="shared" si="1171"/>
        <v>0</v>
      </c>
      <c r="BE179" s="62"/>
      <c r="BF179" s="63"/>
      <c r="BG179" s="63"/>
      <c r="BH179" s="63"/>
      <c r="BI179" s="63"/>
      <c r="BJ179" s="63"/>
      <c r="BK179" s="63"/>
      <c r="BL179" s="63"/>
      <c r="BM179" s="63"/>
      <c r="BN179" s="63"/>
      <c r="BO179" s="64">
        <f t="shared" si="1172"/>
        <v>0</v>
      </c>
      <c r="BP179" s="62"/>
      <c r="BQ179" s="63"/>
      <c r="BR179" s="63"/>
      <c r="BS179" s="63"/>
      <c r="BT179" s="63"/>
      <c r="BU179" s="63"/>
      <c r="BV179" s="63"/>
      <c r="BW179" s="63"/>
      <c r="BX179" s="63"/>
      <c r="BY179" s="63"/>
      <c r="BZ179" s="64">
        <f t="shared" si="1173"/>
        <v>0</v>
      </c>
      <c r="CA179" s="62"/>
      <c r="CB179" s="63"/>
      <c r="CC179" s="63"/>
      <c r="CD179" s="63"/>
      <c r="CE179" s="63"/>
      <c r="CF179" s="63"/>
      <c r="CG179" s="63"/>
      <c r="CH179" s="63"/>
      <c r="CI179" s="63"/>
      <c r="CJ179" s="63"/>
      <c r="CK179" s="64">
        <f t="shared" si="1174"/>
        <v>0</v>
      </c>
      <c r="CL179" s="65">
        <f t="shared" si="1175"/>
        <v>0</v>
      </c>
      <c r="CM179" s="65">
        <f t="shared" si="1175"/>
        <v>0</v>
      </c>
      <c r="CN179" s="65">
        <f t="shared" si="1175"/>
        <v>0</v>
      </c>
      <c r="CO179" s="65">
        <f t="shared" si="1175"/>
        <v>0</v>
      </c>
      <c r="CP179" s="65">
        <f t="shared" si="1175"/>
        <v>0</v>
      </c>
      <c r="CQ179" s="65">
        <f t="shared" si="1175"/>
        <v>0</v>
      </c>
      <c r="CR179" s="65">
        <f t="shared" si="1175"/>
        <v>0</v>
      </c>
      <c r="CS179" s="65">
        <f t="shared" si="1175"/>
        <v>0</v>
      </c>
      <c r="CT179" s="65">
        <f t="shared" si="1175"/>
        <v>0</v>
      </c>
      <c r="CU179" s="65">
        <f t="shared" si="1175"/>
        <v>0</v>
      </c>
      <c r="CV179" s="64">
        <f t="shared" si="1176"/>
        <v>0</v>
      </c>
      <c r="CW179" s="62"/>
      <c r="CX179" s="63"/>
      <c r="CY179" s="63"/>
      <c r="CZ179" s="63"/>
      <c r="DA179" s="63"/>
      <c r="DB179" s="63"/>
      <c r="DC179" s="63"/>
      <c r="DD179" s="63"/>
      <c r="DE179" s="63"/>
      <c r="DF179" s="63"/>
      <c r="DG179" s="64">
        <f t="shared" si="1177"/>
        <v>0</v>
      </c>
      <c r="DH179" s="62"/>
      <c r="DI179" s="63"/>
      <c r="DJ179" s="63"/>
      <c r="DK179" s="63"/>
      <c r="DL179" s="63"/>
      <c r="DM179" s="63"/>
      <c r="DN179" s="63"/>
      <c r="DO179" s="63"/>
      <c r="DP179" s="63"/>
      <c r="DQ179" s="63"/>
      <c r="DR179" s="64">
        <f t="shared" si="1178"/>
        <v>0</v>
      </c>
      <c r="DS179" s="62"/>
      <c r="DT179" s="63"/>
      <c r="DU179" s="63"/>
      <c r="DV179" s="63"/>
      <c r="DW179" s="63"/>
      <c r="DX179" s="63"/>
      <c r="DY179" s="63"/>
      <c r="DZ179" s="63"/>
      <c r="EA179" s="63"/>
      <c r="EB179" s="63"/>
      <c r="EC179" s="63"/>
      <c r="ED179" s="65">
        <f t="shared" si="1179"/>
        <v>0</v>
      </c>
      <c r="EE179" s="65">
        <f t="shared" si="1179"/>
        <v>0</v>
      </c>
      <c r="EF179" s="65">
        <f t="shared" si="1179"/>
        <v>0</v>
      </c>
      <c r="EG179" s="65">
        <f t="shared" si="1179"/>
        <v>0</v>
      </c>
      <c r="EH179" s="65">
        <f t="shared" si="1179"/>
        <v>0</v>
      </c>
      <c r="EI179" s="65">
        <f t="shared" si="1179"/>
        <v>0</v>
      </c>
      <c r="EJ179" s="65">
        <f t="shared" si="1179"/>
        <v>0</v>
      </c>
      <c r="EK179" s="65">
        <f t="shared" si="1179"/>
        <v>0</v>
      </c>
      <c r="EL179" s="65">
        <f t="shared" si="1179"/>
        <v>0</v>
      </c>
      <c r="EM179" s="65">
        <f t="shared" si="1179"/>
        <v>0</v>
      </c>
      <c r="EN179" s="64">
        <f t="shared" si="1180"/>
        <v>0</v>
      </c>
      <c r="EO179" s="62"/>
      <c r="EP179" s="63"/>
      <c r="EQ179" s="63"/>
      <c r="ER179" s="63"/>
      <c r="ES179" s="63"/>
      <c r="ET179" s="63"/>
      <c r="EU179" s="63"/>
      <c r="EV179" s="63"/>
      <c r="EW179" s="63"/>
      <c r="EX179" s="63"/>
      <c r="EY179" s="64">
        <f t="shared" si="1181"/>
        <v>0</v>
      </c>
      <c r="EZ179" s="62"/>
      <c r="FA179" s="63"/>
      <c r="FB179" s="63"/>
      <c r="FC179" s="63"/>
      <c r="FD179" s="63"/>
      <c r="FE179" s="63"/>
      <c r="FF179" s="63"/>
      <c r="FG179" s="63"/>
      <c r="FH179" s="63"/>
      <c r="FI179" s="63"/>
      <c r="FJ179" s="64">
        <f t="shared" si="1182"/>
        <v>0</v>
      </c>
      <c r="FK179" s="62"/>
      <c r="FL179" s="63"/>
      <c r="FM179" s="63"/>
      <c r="FN179" s="63"/>
      <c r="FO179" s="63"/>
      <c r="FP179" s="63"/>
      <c r="FQ179" s="63"/>
      <c r="FR179" s="63"/>
      <c r="FS179" s="63"/>
      <c r="FT179" s="63"/>
      <c r="FU179" s="64">
        <f t="shared" si="1183"/>
        <v>0</v>
      </c>
      <c r="FV179" s="65">
        <f t="shared" si="1184"/>
        <v>0</v>
      </c>
      <c r="FW179" s="65">
        <f t="shared" si="1184"/>
        <v>0</v>
      </c>
      <c r="FX179" s="65">
        <f t="shared" si="1184"/>
        <v>0</v>
      </c>
      <c r="FY179" s="65">
        <f t="shared" si="1184"/>
        <v>0</v>
      </c>
      <c r="FZ179" s="65">
        <f t="shared" si="1184"/>
        <v>0</v>
      </c>
      <c r="GA179" s="65">
        <f t="shared" si="1184"/>
        <v>0</v>
      </c>
      <c r="GB179" s="65">
        <f t="shared" si="1184"/>
        <v>0</v>
      </c>
      <c r="GC179" s="65">
        <f t="shared" si="1184"/>
        <v>0</v>
      </c>
      <c r="GD179" s="65">
        <f t="shared" si="1184"/>
        <v>0</v>
      </c>
      <c r="GE179" s="65">
        <f t="shared" si="1184"/>
        <v>0</v>
      </c>
      <c r="GF179" s="64">
        <f t="shared" si="1185"/>
        <v>0</v>
      </c>
      <c r="GG179" s="66">
        <f t="shared" si="1186"/>
        <v>0</v>
      </c>
      <c r="GH179" s="66">
        <f t="shared" si="1186"/>
        <v>0</v>
      </c>
      <c r="GI179" s="66">
        <f t="shared" si="1186"/>
        <v>0</v>
      </c>
      <c r="GJ179" s="66">
        <f t="shared" si="1186"/>
        <v>0</v>
      </c>
      <c r="GK179" s="66">
        <f t="shared" si="1186"/>
        <v>0</v>
      </c>
      <c r="GL179" s="66">
        <f t="shared" si="1186"/>
        <v>0</v>
      </c>
      <c r="GM179" s="66">
        <f t="shared" si="1186"/>
        <v>0</v>
      </c>
      <c r="GN179" s="66">
        <f t="shared" si="1186"/>
        <v>0</v>
      </c>
      <c r="GO179" s="66">
        <f t="shared" si="1186"/>
        <v>0</v>
      </c>
      <c r="GP179" s="66">
        <f t="shared" si="1186"/>
        <v>0</v>
      </c>
      <c r="GQ179" s="64">
        <f t="shared" si="1187"/>
        <v>0</v>
      </c>
      <c r="GR179" s="63"/>
      <c r="GS179" s="63"/>
      <c r="GT179" s="63"/>
      <c r="GU179" s="63"/>
      <c r="GV179" s="67">
        <f t="shared" si="1188"/>
        <v>0</v>
      </c>
      <c r="GW179" s="63"/>
      <c r="GX179" s="63"/>
      <c r="GY179" s="63"/>
      <c r="GZ179" s="63"/>
      <c r="HA179" s="67">
        <f t="shared" si="1189"/>
        <v>0</v>
      </c>
      <c r="HB179" s="63"/>
      <c r="HC179" s="63"/>
      <c r="HD179" s="63"/>
      <c r="HE179" s="63"/>
      <c r="HF179" s="67">
        <f t="shared" si="1190"/>
        <v>0</v>
      </c>
      <c r="HG179" s="63"/>
      <c r="HH179" s="63"/>
      <c r="HI179" s="63"/>
      <c r="HJ179" s="63"/>
      <c r="HK179" s="67">
        <f t="shared" si="1191"/>
        <v>0</v>
      </c>
      <c r="HL179" s="68">
        <f t="shared" si="1192"/>
        <v>0</v>
      </c>
      <c r="HM179" s="68">
        <f t="shared" si="1192"/>
        <v>0</v>
      </c>
      <c r="HN179" s="68">
        <f t="shared" si="1192"/>
        <v>0</v>
      </c>
      <c r="HO179" s="68">
        <f t="shared" si="1192"/>
        <v>0</v>
      </c>
      <c r="HP179" s="67">
        <f t="shared" si="1193"/>
        <v>0</v>
      </c>
      <c r="HQ179" s="63"/>
      <c r="HR179" s="63"/>
      <c r="HS179" s="63"/>
      <c r="HT179" s="63"/>
      <c r="HU179" s="67">
        <f t="shared" si="1194"/>
        <v>0</v>
      </c>
      <c r="HV179" s="63"/>
      <c r="HW179" s="63"/>
      <c r="HX179" s="63"/>
      <c r="HY179" s="63"/>
      <c r="HZ179" s="67">
        <f t="shared" si="1195"/>
        <v>0</v>
      </c>
      <c r="IA179" s="63"/>
      <c r="IB179" s="63"/>
      <c r="IC179" s="63"/>
      <c r="ID179" s="63"/>
      <c r="IE179" s="67">
        <f t="shared" si="1196"/>
        <v>0</v>
      </c>
      <c r="IF179" s="68">
        <f t="shared" si="1197"/>
        <v>0</v>
      </c>
      <c r="IG179" s="68">
        <f t="shared" si="1197"/>
        <v>0</v>
      </c>
      <c r="IH179" s="68">
        <f t="shared" si="1197"/>
        <v>0</v>
      </c>
      <c r="II179" s="68">
        <f t="shared" si="1197"/>
        <v>0</v>
      </c>
      <c r="IJ179" s="67">
        <f t="shared" si="1198"/>
        <v>0</v>
      </c>
      <c r="IK179" s="63"/>
      <c r="IL179" s="63"/>
      <c r="IM179" s="63"/>
      <c r="IN179" s="63"/>
      <c r="IO179" s="67">
        <f t="shared" si="1199"/>
        <v>0</v>
      </c>
      <c r="IP179" s="63"/>
      <c r="IQ179" s="63"/>
      <c r="IR179" s="63"/>
      <c r="IS179" s="63"/>
      <c r="IT179" s="67">
        <f t="shared" si="1200"/>
        <v>0</v>
      </c>
      <c r="IU179" s="63"/>
      <c r="IV179" s="63"/>
    </row>
    <row r="180" spans="1:256" s="150" customFormat="1" ht="25.5" customHeight="1" x14ac:dyDescent="0.25">
      <c r="A180" s="151" t="s">
        <v>348</v>
      </c>
      <c r="B180" s="62"/>
      <c r="C180" s="63"/>
      <c r="D180" s="63"/>
      <c r="E180" s="63"/>
      <c r="F180" s="63"/>
      <c r="G180" s="63"/>
      <c r="H180" s="63"/>
      <c r="I180" s="63"/>
      <c r="J180" s="63"/>
      <c r="K180" s="63"/>
      <c r="L180" s="64">
        <f t="shared" si="1166"/>
        <v>0</v>
      </c>
      <c r="M180" s="62"/>
      <c r="N180" s="63"/>
      <c r="O180" s="63"/>
      <c r="P180" s="63"/>
      <c r="Q180" s="63"/>
      <c r="R180" s="63"/>
      <c r="S180" s="63"/>
      <c r="T180" s="63"/>
      <c r="U180" s="63"/>
      <c r="V180" s="63"/>
      <c r="W180" s="64">
        <f t="shared" si="1167"/>
        <v>0</v>
      </c>
      <c r="X180" s="62"/>
      <c r="Y180" s="63"/>
      <c r="Z180" s="63"/>
      <c r="AA180" s="63"/>
      <c r="AB180" s="63"/>
      <c r="AC180" s="63"/>
      <c r="AD180" s="63"/>
      <c r="AE180" s="63"/>
      <c r="AF180" s="63"/>
      <c r="AG180" s="63"/>
      <c r="AH180" s="64">
        <f t="shared" si="1168"/>
        <v>0</v>
      </c>
      <c r="AI180" s="62"/>
      <c r="AJ180" s="63"/>
      <c r="AK180" s="63"/>
      <c r="AL180" s="63"/>
      <c r="AM180" s="63"/>
      <c r="AN180" s="63"/>
      <c r="AO180" s="63"/>
      <c r="AP180" s="63"/>
      <c r="AQ180" s="63"/>
      <c r="AR180" s="63"/>
      <c r="AS180" s="64">
        <f t="shared" si="1169"/>
        <v>0</v>
      </c>
      <c r="AT180" s="65">
        <f t="shared" si="1170"/>
        <v>0</v>
      </c>
      <c r="AU180" s="65">
        <f t="shared" si="1170"/>
        <v>0</v>
      </c>
      <c r="AV180" s="65">
        <f t="shared" si="1170"/>
        <v>0</v>
      </c>
      <c r="AW180" s="65">
        <f t="shared" si="1170"/>
        <v>0</v>
      </c>
      <c r="AX180" s="65">
        <f t="shared" si="1170"/>
        <v>0</v>
      </c>
      <c r="AY180" s="65">
        <f t="shared" si="1170"/>
        <v>0</v>
      </c>
      <c r="AZ180" s="65">
        <f t="shared" si="1170"/>
        <v>0</v>
      </c>
      <c r="BA180" s="65">
        <f t="shared" si="1170"/>
        <v>0</v>
      </c>
      <c r="BB180" s="65">
        <f t="shared" si="1170"/>
        <v>0</v>
      </c>
      <c r="BC180" s="65">
        <f t="shared" si="1170"/>
        <v>0</v>
      </c>
      <c r="BD180" s="64">
        <f t="shared" si="1171"/>
        <v>0</v>
      </c>
      <c r="BE180" s="62"/>
      <c r="BF180" s="63"/>
      <c r="BG180" s="63"/>
      <c r="BH180" s="63"/>
      <c r="BI180" s="63"/>
      <c r="BJ180" s="63"/>
      <c r="BK180" s="63"/>
      <c r="BL180" s="63"/>
      <c r="BM180" s="63"/>
      <c r="BN180" s="63"/>
      <c r="BO180" s="64">
        <f t="shared" si="1172"/>
        <v>0</v>
      </c>
      <c r="BP180" s="62"/>
      <c r="BQ180" s="63"/>
      <c r="BR180" s="63"/>
      <c r="BS180" s="63"/>
      <c r="BT180" s="63"/>
      <c r="BU180" s="63"/>
      <c r="BV180" s="63"/>
      <c r="BW180" s="63"/>
      <c r="BX180" s="63"/>
      <c r="BY180" s="63"/>
      <c r="BZ180" s="64">
        <f t="shared" si="1173"/>
        <v>0</v>
      </c>
      <c r="CA180" s="62"/>
      <c r="CB180" s="63"/>
      <c r="CC180" s="63"/>
      <c r="CD180" s="63"/>
      <c r="CE180" s="63"/>
      <c r="CF180" s="63"/>
      <c r="CG180" s="63"/>
      <c r="CH180" s="63"/>
      <c r="CI180" s="63"/>
      <c r="CJ180" s="63"/>
      <c r="CK180" s="64">
        <f t="shared" si="1174"/>
        <v>0</v>
      </c>
      <c r="CL180" s="65">
        <f t="shared" si="1175"/>
        <v>0</v>
      </c>
      <c r="CM180" s="65">
        <f t="shared" si="1175"/>
        <v>0</v>
      </c>
      <c r="CN180" s="65">
        <f t="shared" si="1175"/>
        <v>0</v>
      </c>
      <c r="CO180" s="65">
        <f t="shared" si="1175"/>
        <v>0</v>
      </c>
      <c r="CP180" s="65">
        <f t="shared" si="1175"/>
        <v>0</v>
      </c>
      <c r="CQ180" s="65">
        <f t="shared" si="1175"/>
        <v>0</v>
      </c>
      <c r="CR180" s="65">
        <f t="shared" si="1175"/>
        <v>0</v>
      </c>
      <c r="CS180" s="65">
        <f t="shared" si="1175"/>
        <v>0</v>
      </c>
      <c r="CT180" s="65">
        <f t="shared" si="1175"/>
        <v>0</v>
      </c>
      <c r="CU180" s="65">
        <f t="shared" si="1175"/>
        <v>0</v>
      </c>
      <c r="CV180" s="64">
        <f t="shared" si="1176"/>
        <v>0</v>
      </c>
      <c r="CW180" s="62"/>
      <c r="CX180" s="63"/>
      <c r="CY180" s="63"/>
      <c r="CZ180" s="63"/>
      <c r="DA180" s="63"/>
      <c r="DB180" s="63"/>
      <c r="DC180" s="63"/>
      <c r="DD180" s="63"/>
      <c r="DE180" s="63"/>
      <c r="DF180" s="63"/>
      <c r="DG180" s="64">
        <f t="shared" si="1177"/>
        <v>0</v>
      </c>
      <c r="DH180" s="62"/>
      <c r="DI180" s="63"/>
      <c r="DJ180" s="63"/>
      <c r="DK180" s="63"/>
      <c r="DL180" s="63"/>
      <c r="DM180" s="63"/>
      <c r="DN180" s="63"/>
      <c r="DO180" s="63"/>
      <c r="DP180" s="63"/>
      <c r="DQ180" s="63"/>
      <c r="DR180" s="64">
        <f t="shared" si="1178"/>
        <v>0</v>
      </c>
      <c r="DS180" s="62"/>
      <c r="DT180" s="63"/>
      <c r="DU180" s="63"/>
      <c r="DV180" s="63"/>
      <c r="DW180" s="63"/>
      <c r="DX180" s="63"/>
      <c r="DY180" s="63"/>
      <c r="DZ180" s="63"/>
      <c r="EA180" s="63"/>
      <c r="EB180" s="63"/>
      <c r="EC180" s="63"/>
      <c r="ED180" s="65">
        <f t="shared" si="1179"/>
        <v>0</v>
      </c>
      <c r="EE180" s="65">
        <f t="shared" si="1179"/>
        <v>0</v>
      </c>
      <c r="EF180" s="65">
        <f t="shared" si="1179"/>
        <v>0</v>
      </c>
      <c r="EG180" s="65">
        <f t="shared" si="1179"/>
        <v>0</v>
      </c>
      <c r="EH180" s="65">
        <f t="shared" si="1179"/>
        <v>0</v>
      </c>
      <c r="EI180" s="65">
        <f t="shared" si="1179"/>
        <v>0</v>
      </c>
      <c r="EJ180" s="65">
        <f t="shared" si="1179"/>
        <v>0</v>
      </c>
      <c r="EK180" s="65">
        <f t="shared" si="1179"/>
        <v>0</v>
      </c>
      <c r="EL180" s="65">
        <f t="shared" si="1179"/>
        <v>0</v>
      </c>
      <c r="EM180" s="65">
        <f t="shared" si="1179"/>
        <v>0</v>
      </c>
      <c r="EN180" s="64">
        <f t="shared" si="1180"/>
        <v>0</v>
      </c>
      <c r="EO180" s="62"/>
      <c r="EP180" s="63"/>
      <c r="EQ180" s="63"/>
      <c r="ER180" s="63"/>
      <c r="ES180" s="63"/>
      <c r="ET180" s="63"/>
      <c r="EU180" s="63"/>
      <c r="EV180" s="63"/>
      <c r="EW180" s="63"/>
      <c r="EX180" s="63"/>
      <c r="EY180" s="64">
        <f t="shared" si="1181"/>
        <v>0</v>
      </c>
      <c r="EZ180" s="62"/>
      <c r="FA180" s="63"/>
      <c r="FB180" s="63"/>
      <c r="FC180" s="63"/>
      <c r="FD180" s="63"/>
      <c r="FE180" s="63"/>
      <c r="FF180" s="63"/>
      <c r="FG180" s="63"/>
      <c r="FH180" s="63"/>
      <c r="FI180" s="63"/>
      <c r="FJ180" s="64">
        <f t="shared" si="1182"/>
        <v>0</v>
      </c>
      <c r="FK180" s="62"/>
      <c r="FL180" s="63"/>
      <c r="FM180" s="63"/>
      <c r="FN180" s="63"/>
      <c r="FO180" s="63"/>
      <c r="FP180" s="63"/>
      <c r="FQ180" s="63"/>
      <c r="FR180" s="63"/>
      <c r="FS180" s="63"/>
      <c r="FT180" s="63"/>
      <c r="FU180" s="64">
        <f t="shared" si="1183"/>
        <v>0</v>
      </c>
      <c r="FV180" s="65">
        <f t="shared" si="1184"/>
        <v>0</v>
      </c>
      <c r="FW180" s="65">
        <f t="shared" si="1184"/>
        <v>0</v>
      </c>
      <c r="FX180" s="65">
        <f t="shared" si="1184"/>
        <v>0</v>
      </c>
      <c r="FY180" s="65">
        <f t="shared" si="1184"/>
        <v>0</v>
      </c>
      <c r="FZ180" s="65">
        <f t="shared" si="1184"/>
        <v>0</v>
      </c>
      <c r="GA180" s="65">
        <f t="shared" si="1184"/>
        <v>0</v>
      </c>
      <c r="GB180" s="65">
        <f t="shared" si="1184"/>
        <v>0</v>
      </c>
      <c r="GC180" s="65">
        <f t="shared" si="1184"/>
        <v>0</v>
      </c>
      <c r="GD180" s="65">
        <f t="shared" si="1184"/>
        <v>0</v>
      </c>
      <c r="GE180" s="65">
        <f t="shared" si="1184"/>
        <v>0</v>
      </c>
      <c r="GF180" s="64">
        <f t="shared" si="1185"/>
        <v>0</v>
      </c>
      <c r="GG180" s="66">
        <f t="shared" si="1186"/>
        <v>0</v>
      </c>
      <c r="GH180" s="66">
        <f t="shared" si="1186"/>
        <v>0</v>
      </c>
      <c r="GI180" s="66">
        <f t="shared" si="1186"/>
        <v>0</v>
      </c>
      <c r="GJ180" s="66">
        <f t="shared" si="1186"/>
        <v>0</v>
      </c>
      <c r="GK180" s="66">
        <f t="shared" si="1186"/>
        <v>0</v>
      </c>
      <c r="GL180" s="66">
        <f t="shared" si="1186"/>
        <v>0</v>
      </c>
      <c r="GM180" s="66">
        <f t="shared" si="1186"/>
        <v>0</v>
      </c>
      <c r="GN180" s="66">
        <f t="shared" si="1186"/>
        <v>0</v>
      </c>
      <c r="GO180" s="66">
        <f t="shared" si="1186"/>
        <v>0</v>
      </c>
      <c r="GP180" s="66">
        <f t="shared" si="1186"/>
        <v>0</v>
      </c>
      <c r="GQ180" s="64">
        <f t="shared" si="1187"/>
        <v>0</v>
      </c>
      <c r="GR180" s="63"/>
      <c r="GS180" s="63"/>
      <c r="GT180" s="63"/>
      <c r="GU180" s="63"/>
      <c r="GV180" s="67">
        <f t="shared" si="1188"/>
        <v>0</v>
      </c>
      <c r="GW180" s="63"/>
      <c r="GX180" s="63"/>
      <c r="GY180" s="63"/>
      <c r="GZ180" s="63"/>
      <c r="HA180" s="67">
        <f t="shared" si="1189"/>
        <v>0</v>
      </c>
      <c r="HB180" s="63"/>
      <c r="HC180" s="63"/>
      <c r="HD180" s="63"/>
      <c r="HE180" s="63"/>
      <c r="HF180" s="67">
        <f t="shared" si="1190"/>
        <v>0</v>
      </c>
      <c r="HG180" s="63"/>
      <c r="HH180" s="63"/>
      <c r="HI180" s="63"/>
      <c r="HJ180" s="63"/>
      <c r="HK180" s="67">
        <f t="shared" si="1191"/>
        <v>0</v>
      </c>
      <c r="HL180" s="68">
        <f t="shared" si="1192"/>
        <v>0</v>
      </c>
      <c r="HM180" s="68">
        <f t="shared" si="1192"/>
        <v>0</v>
      </c>
      <c r="HN180" s="68">
        <f t="shared" si="1192"/>
        <v>0</v>
      </c>
      <c r="HO180" s="68">
        <f t="shared" si="1192"/>
        <v>0</v>
      </c>
      <c r="HP180" s="67">
        <f t="shared" si="1193"/>
        <v>0</v>
      </c>
      <c r="HQ180" s="63"/>
      <c r="HR180" s="63"/>
      <c r="HS180" s="63"/>
      <c r="HT180" s="63"/>
      <c r="HU180" s="67">
        <f t="shared" si="1194"/>
        <v>0</v>
      </c>
      <c r="HV180" s="63"/>
      <c r="HW180" s="63"/>
      <c r="HX180" s="63"/>
      <c r="HY180" s="63"/>
      <c r="HZ180" s="67">
        <f t="shared" si="1195"/>
        <v>0</v>
      </c>
      <c r="IA180" s="63"/>
      <c r="IB180" s="63"/>
      <c r="IC180" s="63"/>
      <c r="ID180" s="63"/>
      <c r="IE180" s="67">
        <f t="shared" si="1196"/>
        <v>0</v>
      </c>
      <c r="IF180" s="68">
        <f t="shared" si="1197"/>
        <v>0</v>
      </c>
      <c r="IG180" s="68">
        <f t="shared" si="1197"/>
        <v>0</v>
      </c>
      <c r="IH180" s="68">
        <f t="shared" si="1197"/>
        <v>0</v>
      </c>
      <c r="II180" s="68">
        <f t="shared" si="1197"/>
        <v>0</v>
      </c>
      <c r="IJ180" s="67">
        <f t="shared" si="1198"/>
        <v>0</v>
      </c>
      <c r="IK180" s="63"/>
      <c r="IL180" s="63"/>
      <c r="IM180" s="63"/>
      <c r="IN180" s="63"/>
      <c r="IO180" s="67">
        <f t="shared" si="1199"/>
        <v>0</v>
      </c>
      <c r="IP180" s="63"/>
      <c r="IQ180" s="63"/>
      <c r="IR180" s="63"/>
      <c r="IS180" s="63"/>
      <c r="IT180" s="67">
        <f t="shared" si="1200"/>
        <v>0</v>
      </c>
      <c r="IU180" s="63"/>
      <c r="IV180" s="63"/>
    </row>
    <row r="181" spans="1:256" s="150" customFormat="1" ht="12.75" customHeight="1" x14ac:dyDescent="0.25">
      <c r="A181" s="151" t="s">
        <v>349</v>
      </c>
      <c r="B181" s="62"/>
      <c r="C181" s="63"/>
      <c r="D181" s="63"/>
      <c r="E181" s="63"/>
      <c r="F181" s="63"/>
      <c r="G181" s="63"/>
      <c r="H181" s="63"/>
      <c r="I181" s="63"/>
      <c r="J181" s="63"/>
      <c r="K181" s="63"/>
      <c r="L181" s="64">
        <f t="shared" si="1166"/>
        <v>0</v>
      </c>
      <c r="M181" s="62"/>
      <c r="N181" s="63"/>
      <c r="O181" s="63"/>
      <c r="P181" s="63"/>
      <c r="Q181" s="63"/>
      <c r="R181" s="63"/>
      <c r="S181" s="63"/>
      <c r="T181" s="63"/>
      <c r="U181" s="63"/>
      <c r="V181" s="63"/>
      <c r="W181" s="64">
        <f t="shared" si="1167"/>
        <v>0</v>
      </c>
      <c r="X181" s="62"/>
      <c r="Y181" s="63"/>
      <c r="Z181" s="63"/>
      <c r="AA181" s="63"/>
      <c r="AB181" s="63"/>
      <c r="AC181" s="63"/>
      <c r="AD181" s="63"/>
      <c r="AE181" s="63"/>
      <c r="AF181" s="63"/>
      <c r="AG181" s="63"/>
      <c r="AH181" s="64">
        <f t="shared" si="1168"/>
        <v>0</v>
      </c>
      <c r="AI181" s="62"/>
      <c r="AJ181" s="63"/>
      <c r="AK181" s="63"/>
      <c r="AL181" s="63"/>
      <c r="AM181" s="63"/>
      <c r="AN181" s="63"/>
      <c r="AO181" s="63"/>
      <c r="AP181" s="63"/>
      <c r="AQ181" s="63"/>
      <c r="AR181" s="63"/>
      <c r="AS181" s="64">
        <f t="shared" si="1169"/>
        <v>0</v>
      </c>
      <c r="AT181" s="65">
        <f t="shared" si="1170"/>
        <v>0</v>
      </c>
      <c r="AU181" s="65">
        <f t="shared" si="1170"/>
        <v>0</v>
      </c>
      <c r="AV181" s="65">
        <f t="shared" si="1170"/>
        <v>0</v>
      </c>
      <c r="AW181" s="65">
        <f t="shared" si="1170"/>
        <v>0</v>
      </c>
      <c r="AX181" s="65">
        <f t="shared" si="1170"/>
        <v>0</v>
      </c>
      <c r="AY181" s="65">
        <f t="shared" si="1170"/>
        <v>0</v>
      </c>
      <c r="AZ181" s="65">
        <f t="shared" si="1170"/>
        <v>0</v>
      </c>
      <c r="BA181" s="65">
        <f t="shared" si="1170"/>
        <v>0</v>
      </c>
      <c r="BB181" s="65">
        <f t="shared" si="1170"/>
        <v>0</v>
      </c>
      <c r="BC181" s="65">
        <f t="shared" si="1170"/>
        <v>0</v>
      </c>
      <c r="BD181" s="64">
        <f t="shared" si="1171"/>
        <v>0</v>
      </c>
      <c r="BE181" s="62"/>
      <c r="BF181" s="63"/>
      <c r="BG181" s="63"/>
      <c r="BH181" s="63"/>
      <c r="BI181" s="63"/>
      <c r="BJ181" s="63"/>
      <c r="BK181" s="63"/>
      <c r="BL181" s="63"/>
      <c r="BM181" s="63"/>
      <c r="BN181" s="63"/>
      <c r="BO181" s="64">
        <f t="shared" si="1172"/>
        <v>0</v>
      </c>
      <c r="BP181" s="62"/>
      <c r="BQ181" s="63"/>
      <c r="BR181" s="63"/>
      <c r="BS181" s="63"/>
      <c r="BT181" s="63"/>
      <c r="BU181" s="63"/>
      <c r="BV181" s="63"/>
      <c r="BW181" s="63"/>
      <c r="BX181" s="63"/>
      <c r="BY181" s="63"/>
      <c r="BZ181" s="64">
        <f t="shared" si="1173"/>
        <v>0</v>
      </c>
      <c r="CA181" s="62"/>
      <c r="CB181" s="63"/>
      <c r="CC181" s="63"/>
      <c r="CD181" s="63"/>
      <c r="CE181" s="63"/>
      <c r="CF181" s="63"/>
      <c r="CG181" s="63"/>
      <c r="CH181" s="63"/>
      <c r="CI181" s="63"/>
      <c r="CJ181" s="63"/>
      <c r="CK181" s="64">
        <f t="shared" si="1174"/>
        <v>0</v>
      </c>
      <c r="CL181" s="65">
        <f t="shared" si="1175"/>
        <v>0</v>
      </c>
      <c r="CM181" s="65">
        <f t="shared" si="1175"/>
        <v>0</v>
      </c>
      <c r="CN181" s="65">
        <f t="shared" si="1175"/>
        <v>0</v>
      </c>
      <c r="CO181" s="65">
        <f t="shared" si="1175"/>
        <v>0</v>
      </c>
      <c r="CP181" s="65">
        <f t="shared" si="1175"/>
        <v>0</v>
      </c>
      <c r="CQ181" s="65">
        <f t="shared" si="1175"/>
        <v>0</v>
      </c>
      <c r="CR181" s="65">
        <f t="shared" si="1175"/>
        <v>0</v>
      </c>
      <c r="CS181" s="65">
        <f t="shared" si="1175"/>
        <v>0</v>
      </c>
      <c r="CT181" s="65">
        <f t="shared" si="1175"/>
        <v>0</v>
      </c>
      <c r="CU181" s="65">
        <f t="shared" si="1175"/>
        <v>0</v>
      </c>
      <c r="CV181" s="64">
        <f t="shared" si="1176"/>
        <v>0</v>
      </c>
      <c r="CW181" s="62"/>
      <c r="CX181" s="63"/>
      <c r="CY181" s="63"/>
      <c r="CZ181" s="63"/>
      <c r="DA181" s="63"/>
      <c r="DB181" s="63"/>
      <c r="DC181" s="63"/>
      <c r="DD181" s="63"/>
      <c r="DE181" s="63"/>
      <c r="DF181" s="63"/>
      <c r="DG181" s="64">
        <f t="shared" si="1177"/>
        <v>0</v>
      </c>
      <c r="DH181" s="62"/>
      <c r="DI181" s="63"/>
      <c r="DJ181" s="63"/>
      <c r="DK181" s="63"/>
      <c r="DL181" s="63"/>
      <c r="DM181" s="63"/>
      <c r="DN181" s="63"/>
      <c r="DO181" s="63"/>
      <c r="DP181" s="63"/>
      <c r="DQ181" s="63"/>
      <c r="DR181" s="64">
        <f t="shared" si="1178"/>
        <v>0</v>
      </c>
      <c r="DS181" s="62"/>
      <c r="DT181" s="63"/>
      <c r="DU181" s="63"/>
      <c r="DV181" s="63"/>
      <c r="DW181" s="63"/>
      <c r="DX181" s="63"/>
      <c r="DY181" s="63"/>
      <c r="DZ181" s="63"/>
      <c r="EA181" s="63"/>
      <c r="EB181" s="63"/>
      <c r="EC181" s="63"/>
      <c r="ED181" s="65">
        <f t="shared" si="1179"/>
        <v>0</v>
      </c>
      <c r="EE181" s="65">
        <f t="shared" si="1179"/>
        <v>0</v>
      </c>
      <c r="EF181" s="65">
        <f t="shared" si="1179"/>
        <v>0</v>
      </c>
      <c r="EG181" s="65">
        <f t="shared" si="1179"/>
        <v>0</v>
      </c>
      <c r="EH181" s="65">
        <f t="shared" si="1179"/>
        <v>0</v>
      </c>
      <c r="EI181" s="65">
        <f t="shared" si="1179"/>
        <v>0</v>
      </c>
      <c r="EJ181" s="65">
        <f t="shared" si="1179"/>
        <v>0</v>
      </c>
      <c r="EK181" s="65">
        <f t="shared" si="1179"/>
        <v>0</v>
      </c>
      <c r="EL181" s="65">
        <f t="shared" si="1179"/>
        <v>0</v>
      </c>
      <c r="EM181" s="65">
        <f t="shared" si="1179"/>
        <v>0</v>
      </c>
      <c r="EN181" s="64">
        <f t="shared" si="1180"/>
        <v>0</v>
      </c>
      <c r="EO181" s="62"/>
      <c r="EP181" s="63"/>
      <c r="EQ181" s="63"/>
      <c r="ER181" s="63"/>
      <c r="ES181" s="63"/>
      <c r="ET181" s="63"/>
      <c r="EU181" s="63"/>
      <c r="EV181" s="63"/>
      <c r="EW181" s="63"/>
      <c r="EX181" s="63"/>
      <c r="EY181" s="64">
        <f t="shared" si="1181"/>
        <v>0</v>
      </c>
      <c r="EZ181" s="62"/>
      <c r="FA181" s="63"/>
      <c r="FB181" s="63"/>
      <c r="FC181" s="63"/>
      <c r="FD181" s="63"/>
      <c r="FE181" s="63"/>
      <c r="FF181" s="63"/>
      <c r="FG181" s="63"/>
      <c r="FH181" s="63"/>
      <c r="FI181" s="63"/>
      <c r="FJ181" s="64">
        <f t="shared" si="1182"/>
        <v>0</v>
      </c>
      <c r="FK181" s="62"/>
      <c r="FL181" s="63"/>
      <c r="FM181" s="63"/>
      <c r="FN181" s="63"/>
      <c r="FO181" s="63"/>
      <c r="FP181" s="63"/>
      <c r="FQ181" s="63"/>
      <c r="FR181" s="63"/>
      <c r="FS181" s="63"/>
      <c r="FT181" s="63"/>
      <c r="FU181" s="64">
        <f t="shared" si="1183"/>
        <v>0</v>
      </c>
      <c r="FV181" s="65">
        <f t="shared" si="1184"/>
        <v>0</v>
      </c>
      <c r="FW181" s="65">
        <f t="shared" si="1184"/>
        <v>0</v>
      </c>
      <c r="FX181" s="65">
        <f t="shared" si="1184"/>
        <v>0</v>
      </c>
      <c r="FY181" s="65">
        <f t="shared" si="1184"/>
        <v>0</v>
      </c>
      <c r="FZ181" s="65">
        <f t="shared" si="1184"/>
        <v>0</v>
      </c>
      <c r="GA181" s="65">
        <f t="shared" si="1184"/>
        <v>0</v>
      </c>
      <c r="GB181" s="65">
        <f t="shared" si="1184"/>
        <v>0</v>
      </c>
      <c r="GC181" s="65">
        <f t="shared" si="1184"/>
        <v>0</v>
      </c>
      <c r="GD181" s="65">
        <f t="shared" si="1184"/>
        <v>0</v>
      </c>
      <c r="GE181" s="65">
        <f t="shared" si="1184"/>
        <v>0</v>
      </c>
      <c r="GF181" s="64">
        <f t="shared" si="1185"/>
        <v>0</v>
      </c>
      <c r="GG181" s="66">
        <f t="shared" si="1186"/>
        <v>0</v>
      </c>
      <c r="GH181" s="66">
        <f t="shared" si="1186"/>
        <v>0</v>
      </c>
      <c r="GI181" s="66">
        <f t="shared" si="1186"/>
        <v>0</v>
      </c>
      <c r="GJ181" s="66">
        <f t="shared" si="1186"/>
        <v>0</v>
      </c>
      <c r="GK181" s="66">
        <f t="shared" si="1186"/>
        <v>0</v>
      </c>
      <c r="GL181" s="66">
        <f t="shared" si="1186"/>
        <v>0</v>
      </c>
      <c r="GM181" s="66">
        <f t="shared" si="1186"/>
        <v>0</v>
      </c>
      <c r="GN181" s="66">
        <f t="shared" si="1186"/>
        <v>0</v>
      </c>
      <c r="GO181" s="66">
        <f t="shared" si="1186"/>
        <v>0</v>
      </c>
      <c r="GP181" s="66">
        <f t="shared" si="1186"/>
        <v>0</v>
      </c>
      <c r="GQ181" s="64">
        <f t="shared" si="1187"/>
        <v>0</v>
      </c>
      <c r="GR181" s="63"/>
      <c r="GS181" s="63"/>
      <c r="GT181" s="63"/>
      <c r="GU181" s="63"/>
      <c r="GV181" s="67">
        <f t="shared" si="1188"/>
        <v>0</v>
      </c>
      <c r="GW181" s="63"/>
      <c r="GX181" s="63"/>
      <c r="GY181" s="63"/>
      <c r="GZ181" s="63"/>
      <c r="HA181" s="67">
        <f t="shared" si="1189"/>
        <v>0</v>
      </c>
      <c r="HB181" s="63"/>
      <c r="HC181" s="63"/>
      <c r="HD181" s="63"/>
      <c r="HE181" s="63"/>
      <c r="HF181" s="67">
        <f t="shared" si="1190"/>
        <v>0</v>
      </c>
      <c r="HG181" s="63"/>
      <c r="HH181" s="63"/>
      <c r="HI181" s="63"/>
      <c r="HJ181" s="63"/>
      <c r="HK181" s="67">
        <f t="shared" si="1191"/>
        <v>0</v>
      </c>
      <c r="HL181" s="68">
        <f t="shared" si="1192"/>
        <v>0</v>
      </c>
      <c r="HM181" s="68">
        <f t="shared" si="1192"/>
        <v>0</v>
      </c>
      <c r="HN181" s="68">
        <f t="shared" si="1192"/>
        <v>0</v>
      </c>
      <c r="HO181" s="68">
        <f t="shared" si="1192"/>
        <v>0</v>
      </c>
      <c r="HP181" s="67">
        <f t="shared" si="1193"/>
        <v>0</v>
      </c>
      <c r="HQ181" s="63"/>
      <c r="HR181" s="63"/>
      <c r="HS181" s="63"/>
      <c r="HT181" s="63"/>
      <c r="HU181" s="67">
        <f t="shared" si="1194"/>
        <v>0</v>
      </c>
      <c r="HV181" s="63"/>
      <c r="HW181" s="63"/>
      <c r="HX181" s="63"/>
      <c r="HY181" s="63"/>
      <c r="HZ181" s="67">
        <f t="shared" si="1195"/>
        <v>0</v>
      </c>
      <c r="IA181" s="63"/>
      <c r="IB181" s="63"/>
      <c r="IC181" s="63"/>
      <c r="ID181" s="63"/>
      <c r="IE181" s="67">
        <f t="shared" si="1196"/>
        <v>0</v>
      </c>
      <c r="IF181" s="68">
        <f t="shared" si="1197"/>
        <v>0</v>
      </c>
      <c r="IG181" s="68">
        <f t="shared" si="1197"/>
        <v>0</v>
      </c>
      <c r="IH181" s="68">
        <f t="shared" si="1197"/>
        <v>0</v>
      </c>
      <c r="II181" s="68">
        <f t="shared" si="1197"/>
        <v>0</v>
      </c>
      <c r="IJ181" s="67">
        <f t="shared" si="1198"/>
        <v>0</v>
      </c>
      <c r="IK181" s="63"/>
      <c r="IL181" s="63"/>
      <c r="IM181" s="63"/>
      <c r="IN181" s="63"/>
      <c r="IO181" s="67">
        <f t="shared" si="1199"/>
        <v>0</v>
      </c>
      <c r="IP181" s="63"/>
      <c r="IQ181" s="63"/>
      <c r="IR181" s="63"/>
      <c r="IS181" s="63"/>
      <c r="IT181" s="67">
        <f t="shared" si="1200"/>
        <v>0</v>
      </c>
      <c r="IU181" s="63"/>
      <c r="IV181" s="63"/>
    </row>
    <row r="182" spans="1:256" s="150" customFormat="1" ht="25.5" x14ac:dyDescent="0.25">
      <c r="A182" s="151" t="s">
        <v>350</v>
      </c>
      <c r="B182" s="62"/>
      <c r="C182" s="63"/>
      <c r="D182" s="63"/>
      <c r="E182" s="63"/>
      <c r="F182" s="63"/>
      <c r="G182" s="63"/>
      <c r="H182" s="63"/>
      <c r="I182" s="63"/>
      <c r="J182" s="63"/>
      <c r="K182" s="63"/>
      <c r="L182" s="64">
        <f t="shared" si="1166"/>
        <v>0</v>
      </c>
      <c r="M182" s="62"/>
      <c r="N182" s="63"/>
      <c r="O182" s="63"/>
      <c r="P182" s="63"/>
      <c r="Q182" s="63"/>
      <c r="R182" s="63"/>
      <c r="S182" s="63"/>
      <c r="T182" s="63"/>
      <c r="U182" s="63"/>
      <c r="V182" s="63"/>
      <c r="W182" s="64">
        <f t="shared" si="1167"/>
        <v>0</v>
      </c>
      <c r="X182" s="62"/>
      <c r="Y182" s="63"/>
      <c r="Z182" s="63"/>
      <c r="AA182" s="63"/>
      <c r="AB182" s="63"/>
      <c r="AC182" s="63"/>
      <c r="AD182" s="63"/>
      <c r="AE182" s="63"/>
      <c r="AF182" s="63"/>
      <c r="AG182" s="63"/>
      <c r="AH182" s="64">
        <f t="shared" si="1168"/>
        <v>0</v>
      </c>
      <c r="AI182" s="62"/>
      <c r="AJ182" s="63"/>
      <c r="AK182" s="63"/>
      <c r="AL182" s="63"/>
      <c r="AM182" s="63"/>
      <c r="AN182" s="63"/>
      <c r="AO182" s="63"/>
      <c r="AP182" s="63"/>
      <c r="AQ182" s="63"/>
      <c r="AR182" s="63"/>
      <c r="AS182" s="64">
        <f t="shared" si="1169"/>
        <v>0</v>
      </c>
      <c r="AT182" s="65">
        <f t="shared" si="1170"/>
        <v>0</v>
      </c>
      <c r="AU182" s="65">
        <f t="shared" si="1170"/>
        <v>0</v>
      </c>
      <c r="AV182" s="65">
        <f t="shared" si="1170"/>
        <v>0</v>
      </c>
      <c r="AW182" s="65">
        <f t="shared" si="1170"/>
        <v>0</v>
      </c>
      <c r="AX182" s="65">
        <f t="shared" si="1170"/>
        <v>0</v>
      </c>
      <c r="AY182" s="65">
        <f t="shared" si="1170"/>
        <v>0</v>
      </c>
      <c r="AZ182" s="65">
        <f t="shared" si="1170"/>
        <v>0</v>
      </c>
      <c r="BA182" s="65">
        <f t="shared" si="1170"/>
        <v>0</v>
      </c>
      <c r="BB182" s="65">
        <f t="shared" si="1170"/>
        <v>0</v>
      </c>
      <c r="BC182" s="65">
        <f t="shared" si="1170"/>
        <v>0</v>
      </c>
      <c r="BD182" s="64">
        <f t="shared" si="1171"/>
        <v>0</v>
      </c>
      <c r="BE182" s="62"/>
      <c r="BF182" s="63"/>
      <c r="BG182" s="63"/>
      <c r="BH182" s="63"/>
      <c r="BI182" s="63"/>
      <c r="BJ182" s="63"/>
      <c r="BK182" s="63"/>
      <c r="BL182" s="63"/>
      <c r="BM182" s="63"/>
      <c r="BN182" s="63"/>
      <c r="BO182" s="64">
        <f t="shared" si="1172"/>
        <v>0</v>
      </c>
      <c r="BP182" s="62"/>
      <c r="BQ182" s="63"/>
      <c r="BR182" s="63"/>
      <c r="BS182" s="63"/>
      <c r="BT182" s="63"/>
      <c r="BU182" s="63"/>
      <c r="BV182" s="63"/>
      <c r="BW182" s="63"/>
      <c r="BX182" s="63"/>
      <c r="BY182" s="63"/>
      <c r="BZ182" s="64">
        <f t="shared" si="1173"/>
        <v>0</v>
      </c>
      <c r="CA182" s="62"/>
      <c r="CB182" s="63"/>
      <c r="CC182" s="63"/>
      <c r="CD182" s="63"/>
      <c r="CE182" s="63"/>
      <c r="CF182" s="63"/>
      <c r="CG182" s="63"/>
      <c r="CH182" s="63"/>
      <c r="CI182" s="63"/>
      <c r="CJ182" s="63"/>
      <c r="CK182" s="64">
        <f t="shared" si="1174"/>
        <v>0</v>
      </c>
      <c r="CL182" s="65">
        <f t="shared" si="1175"/>
        <v>0</v>
      </c>
      <c r="CM182" s="65">
        <f t="shared" si="1175"/>
        <v>0</v>
      </c>
      <c r="CN182" s="65">
        <f t="shared" si="1175"/>
        <v>0</v>
      </c>
      <c r="CO182" s="65">
        <f t="shared" si="1175"/>
        <v>0</v>
      </c>
      <c r="CP182" s="65">
        <f t="shared" si="1175"/>
        <v>0</v>
      </c>
      <c r="CQ182" s="65">
        <f t="shared" si="1175"/>
        <v>0</v>
      </c>
      <c r="CR182" s="65">
        <f t="shared" si="1175"/>
        <v>0</v>
      </c>
      <c r="CS182" s="65">
        <f t="shared" si="1175"/>
        <v>0</v>
      </c>
      <c r="CT182" s="65">
        <f t="shared" si="1175"/>
        <v>0</v>
      </c>
      <c r="CU182" s="65">
        <f t="shared" si="1175"/>
        <v>0</v>
      </c>
      <c r="CV182" s="64">
        <f t="shared" si="1176"/>
        <v>0</v>
      </c>
      <c r="CW182" s="62"/>
      <c r="CX182" s="63"/>
      <c r="CY182" s="63"/>
      <c r="CZ182" s="63"/>
      <c r="DA182" s="63"/>
      <c r="DB182" s="63"/>
      <c r="DC182" s="63"/>
      <c r="DD182" s="63"/>
      <c r="DE182" s="63"/>
      <c r="DF182" s="63"/>
      <c r="DG182" s="64">
        <f t="shared" si="1177"/>
        <v>0</v>
      </c>
      <c r="DH182" s="62"/>
      <c r="DI182" s="63"/>
      <c r="DJ182" s="63"/>
      <c r="DK182" s="63"/>
      <c r="DL182" s="63"/>
      <c r="DM182" s="63"/>
      <c r="DN182" s="63"/>
      <c r="DO182" s="63"/>
      <c r="DP182" s="63"/>
      <c r="DQ182" s="63"/>
      <c r="DR182" s="64">
        <f t="shared" si="1178"/>
        <v>0</v>
      </c>
      <c r="DS182" s="62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  <c r="ED182" s="65">
        <f t="shared" si="1179"/>
        <v>0</v>
      </c>
      <c r="EE182" s="65">
        <f t="shared" si="1179"/>
        <v>0</v>
      </c>
      <c r="EF182" s="65">
        <f t="shared" si="1179"/>
        <v>0</v>
      </c>
      <c r="EG182" s="65">
        <f t="shared" si="1179"/>
        <v>0</v>
      </c>
      <c r="EH182" s="65">
        <f t="shared" si="1179"/>
        <v>0</v>
      </c>
      <c r="EI182" s="65">
        <f t="shared" si="1179"/>
        <v>0</v>
      </c>
      <c r="EJ182" s="65">
        <f t="shared" si="1179"/>
        <v>0</v>
      </c>
      <c r="EK182" s="65">
        <f t="shared" si="1179"/>
        <v>0</v>
      </c>
      <c r="EL182" s="65">
        <f t="shared" si="1179"/>
        <v>0</v>
      </c>
      <c r="EM182" s="65">
        <f t="shared" si="1179"/>
        <v>0</v>
      </c>
      <c r="EN182" s="64">
        <f t="shared" si="1180"/>
        <v>0</v>
      </c>
      <c r="EO182" s="62"/>
      <c r="EP182" s="63"/>
      <c r="EQ182" s="63"/>
      <c r="ER182" s="63"/>
      <c r="ES182" s="63"/>
      <c r="ET182" s="63"/>
      <c r="EU182" s="63"/>
      <c r="EV182" s="63"/>
      <c r="EW182" s="63"/>
      <c r="EX182" s="63"/>
      <c r="EY182" s="64">
        <f t="shared" si="1181"/>
        <v>0</v>
      </c>
      <c r="EZ182" s="62"/>
      <c r="FA182" s="63"/>
      <c r="FB182" s="63"/>
      <c r="FC182" s="63"/>
      <c r="FD182" s="63"/>
      <c r="FE182" s="63"/>
      <c r="FF182" s="63"/>
      <c r="FG182" s="63"/>
      <c r="FH182" s="63"/>
      <c r="FI182" s="63"/>
      <c r="FJ182" s="64">
        <f t="shared" si="1182"/>
        <v>0</v>
      </c>
      <c r="FK182" s="62"/>
      <c r="FL182" s="63"/>
      <c r="FM182" s="63"/>
      <c r="FN182" s="63"/>
      <c r="FO182" s="63"/>
      <c r="FP182" s="63"/>
      <c r="FQ182" s="63"/>
      <c r="FR182" s="63"/>
      <c r="FS182" s="63"/>
      <c r="FT182" s="63"/>
      <c r="FU182" s="64">
        <f t="shared" si="1183"/>
        <v>0</v>
      </c>
      <c r="FV182" s="65">
        <f t="shared" si="1184"/>
        <v>0</v>
      </c>
      <c r="FW182" s="65">
        <f t="shared" si="1184"/>
        <v>0</v>
      </c>
      <c r="FX182" s="65">
        <f t="shared" si="1184"/>
        <v>0</v>
      </c>
      <c r="FY182" s="65">
        <f t="shared" si="1184"/>
        <v>0</v>
      </c>
      <c r="FZ182" s="65">
        <f t="shared" si="1184"/>
        <v>0</v>
      </c>
      <c r="GA182" s="65">
        <f t="shared" si="1184"/>
        <v>0</v>
      </c>
      <c r="GB182" s="65">
        <f t="shared" si="1184"/>
        <v>0</v>
      </c>
      <c r="GC182" s="65">
        <f t="shared" si="1184"/>
        <v>0</v>
      </c>
      <c r="GD182" s="65">
        <f t="shared" si="1184"/>
        <v>0</v>
      </c>
      <c r="GE182" s="65">
        <f t="shared" si="1184"/>
        <v>0</v>
      </c>
      <c r="GF182" s="64">
        <f t="shared" si="1185"/>
        <v>0</v>
      </c>
      <c r="GG182" s="66">
        <f t="shared" si="1186"/>
        <v>0</v>
      </c>
      <c r="GH182" s="66">
        <f t="shared" si="1186"/>
        <v>0</v>
      </c>
      <c r="GI182" s="66">
        <f t="shared" si="1186"/>
        <v>0</v>
      </c>
      <c r="GJ182" s="66">
        <f t="shared" si="1186"/>
        <v>0</v>
      </c>
      <c r="GK182" s="66">
        <f t="shared" si="1186"/>
        <v>0</v>
      </c>
      <c r="GL182" s="66">
        <f t="shared" si="1186"/>
        <v>0</v>
      </c>
      <c r="GM182" s="66">
        <f t="shared" si="1186"/>
        <v>0</v>
      </c>
      <c r="GN182" s="66">
        <f t="shared" si="1186"/>
        <v>0</v>
      </c>
      <c r="GO182" s="66">
        <f t="shared" si="1186"/>
        <v>0</v>
      </c>
      <c r="GP182" s="66">
        <f t="shared" si="1186"/>
        <v>0</v>
      </c>
      <c r="GQ182" s="64">
        <f t="shared" si="1187"/>
        <v>0</v>
      </c>
      <c r="GR182" s="63"/>
      <c r="GS182" s="63"/>
      <c r="GT182" s="63"/>
      <c r="GU182" s="63"/>
      <c r="GV182" s="67">
        <f t="shared" si="1188"/>
        <v>0</v>
      </c>
      <c r="GW182" s="63"/>
      <c r="GX182" s="63"/>
      <c r="GY182" s="63"/>
      <c r="GZ182" s="63"/>
      <c r="HA182" s="67">
        <f t="shared" si="1189"/>
        <v>0</v>
      </c>
      <c r="HB182" s="63"/>
      <c r="HC182" s="63"/>
      <c r="HD182" s="63"/>
      <c r="HE182" s="63"/>
      <c r="HF182" s="67">
        <f t="shared" si="1190"/>
        <v>0</v>
      </c>
      <c r="HG182" s="63"/>
      <c r="HH182" s="63"/>
      <c r="HI182" s="63"/>
      <c r="HJ182" s="63"/>
      <c r="HK182" s="67">
        <f t="shared" si="1191"/>
        <v>0</v>
      </c>
      <c r="HL182" s="68">
        <f t="shared" si="1192"/>
        <v>0</v>
      </c>
      <c r="HM182" s="68">
        <f t="shared" si="1192"/>
        <v>0</v>
      </c>
      <c r="HN182" s="68">
        <f t="shared" si="1192"/>
        <v>0</v>
      </c>
      <c r="HO182" s="68">
        <f t="shared" si="1192"/>
        <v>0</v>
      </c>
      <c r="HP182" s="67">
        <f t="shared" si="1193"/>
        <v>0</v>
      </c>
      <c r="HQ182" s="63"/>
      <c r="HR182" s="63"/>
      <c r="HS182" s="63"/>
      <c r="HT182" s="63"/>
      <c r="HU182" s="67">
        <f t="shared" si="1194"/>
        <v>0</v>
      </c>
      <c r="HV182" s="63"/>
      <c r="HW182" s="63"/>
      <c r="HX182" s="63"/>
      <c r="HY182" s="63"/>
      <c r="HZ182" s="67">
        <f t="shared" si="1195"/>
        <v>0</v>
      </c>
      <c r="IA182" s="63"/>
      <c r="IB182" s="63"/>
      <c r="IC182" s="63"/>
      <c r="ID182" s="63"/>
      <c r="IE182" s="67">
        <f t="shared" si="1196"/>
        <v>0</v>
      </c>
      <c r="IF182" s="68">
        <f t="shared" si="1197"/>
        <v>0</v>
      </c>
      <c r="IG182" s="68">
        <f t="shared" si="1197"/>
        <v>0</v>
      </c>
      <c r="IH182" s="68">
        <f t="shared" si="1197"/>
        <v>0</v>
      </c>
      <c r="II182" s="68">
        <f t="shared" si="1197"/>
        <v>0</v>
      </c>
      <c r="IJ182" s="67">
        <f t="shared" si="1198"/>
        <v>0</v>
      </c>
      <c r="IK182" s="63"/>
      <c r="IL182" s="63"/>
      <c r="IM182" s="63"/>
      <c r="IN182" s="63"/>
      <c r="IO182" s="67">
        <f t="shared" si="1199"/>
        <v>0</v>
      </c>
      <c r="IP182" s="63"/>
      <c r="IQ182" s="63"/>
      <c r="IR182" s="63"/>
      <c r="IS182" s="63"/>
      <c r="IT182" s="67">
        <f t="shared" si="1200"/>
        <v>0</v>
      </c>
      <c r="IU182" s="63"/>
      <c r="IV182" s="63"/>
    </row>
    <row r="183" spans="1:256" s="150" customFormat="1" ht="12.75" customHeight="1" x14ac:dyDescent="0.25">
      <c r="A183" s="151" t="s">
        <v>351</v>
      </c>
      <c r="B183" s="62"/>
      <c r="C183" s="63"/>
      <c r="D183" s="63"/>
      <c r="E183" s="63"/>
      <c r="F183" s="63"/>
      <c r="G183" s="63"/>
      <c r="H183" s="63"/>
      <c r="I183" s="63"/>
      <c r="J183" s="63"/>
      <c r="K183" s="63"/>
      <c r="L183" s="64">
        <f t="shared" si="1166"/>
        <v>0</v>
      </c>
      <c r="M183" s="62"/>
      <c r="N183" s="63"/>
      <c r="O183" s="63"/>
      <c r="P183" s="63"/>
      <c r="Q183" s="63"/>
      <c r="R183" s="63"/>
      <c r="S183" s="63"/>
      <c r="T183" s="63"/>
      <c r="U183" s="63"/>
      <c r="V183" s="63"/>
      <c r="W183" s="64">
        <f t="shared" si="1167"/>
        <v>0</v>
      </c>
      <c r="X183" s="62"/>
      <c r="Y183" s="63"/>
      <c r="Z183" s="63"/>
      <c r="AA183" s="63"/>
      <c r="AB183" s="63"/>
      <c r="AC183" s="63"/>
      <c r="AD183" s="63"/>
      <c r="AE183" s="63"/>
      <c r="AF183" s="63"/>
      <c r="AG183" s="63"/>
      <c r="AH183" s="64">
        <f t="shared" si="1168"/>
        <v>0</v>
      </c>
      <c r="AI183" s="62"/>
      <c r="AJ183" s="63"/>
      <c r="AK183" s="63"/>
      <c r="AL183" s="63"/>
      <c r="AM183" s="63"/>
      <c r="AN183" s="63"/>
      <c r="AO183" s="63"/>
      <c r="AP183" s="63"/>
      <c r="AQ183" s="63"/>
      <c r="AR183" s="63"/>
      <c r="AS183" s="64">
        <f t="shared" si="1169"/>
        <v>0</v>
      </c>
      <c r="AT183" s="65">
        <f t="shared" si="1170"/>
        <v>0</v>
      </c>
      <c r="AU183" s="65">
        <f t="shared" si="1170"/>
        <v>0</v>
      </c>
      <c r="AV183" s="65">
        <f t="shared" si="1170"/>
        <v>0</v>
      </c>
      <c r="AW183" s="65">
        <f t="shared" si="1170"/>
        <v>0</v>
      </c>
      <c r="AX183" s="65">
        <f t="shared" si="1170"/>
        <v>0</v>
      </c>
      <c r="AY183" s="65">
        <f t="shared" si="1170"/>
        <v>0</v>
      </c>
      <c r="AZ183" s="65">
        <f t="shared" si="1170"/>
        <v>0</v>
      </c>
      <c r="BA183" s="65">
        <f t="shared" si="1170"/>
        <v>0</v>
      </c>
      <c r="BB183" s="65">
        <f t="shared" si="1170"/>
        <v>0</v>
      </c>
      <c r="BC183" s="65">
        <f t="shared" si="1170"/>
        <v>0</v>
      </c>
      <c r="BD183" s="64">
        <f t="shared" si="1171"/>
        <v>0</v>
      </c>
      <c r="BE183" s="62"/>
      <c r="BF183" s="63"/>
      <c r="BG183" s="63"/>
      <c r="BH183" s="63"/>
      <c r="BI183" s="63"/>
      <c r="BJ183" s="63"/>
      <c r="BK183" s="63"/>
      <c r="BL183" s="63"/>
      <c r="BM183" s="63"/>
      <c r="BN183" s="63"/>
      <c r="BO183" s="64">
        <f t="shared" si="1172"/>
        <v>0</v>
      </c>
      <c r="BP183" s="62"/>
      <c r="BQ183" s="63"/>
      <c r="BR183" s="63"/>
      <c r="BS183" s="63"/>
      <c r="BT183" s="63"/>
      <c r="BU183" s="63"/>
      <c r="BV183" s="63"/>
      <c r="BW183" s="63"/>
      <c r="BX183" s="63"/>
      <c r="BY183" s="63"/>
      <c r="BZ183" s="64">
        <f t="shared" si="1173"/>
        <v>0</v>
      </c>
      <c r="CA183" s="62"/>
      <c r="CB183" s="63"/>
      <c r="CC183" s="63"/>
      <c r="CD183" s="63"/>
      <c r="CE183" s="63"/>
      <c r="CF183" s="63"/>
      <c r="CG183" s="63"/>
      <c r="CH183" s="63"/>
      <c r="CI183" s="63"/>
      <c r="CJ183" s="63"/>
      <c r="CK183" s="64">
        <f t="shared" si="1174"/>
        <v>0</v>
      </c>
      <c r="CL183" s="65">
        <f t="shared" si="1175"/>
        <v>0</v>
      </c>
      <c r="CM183" s="65">
        <f t="shared" si="1175"/>
        <v>0</v>
      </c>
      <c r="CN183" s="65">
        <f t="shared" si="1175"/>
        <v>0</v>
      </c>
      <c r="CO183" s="65">
        <f t="shared" si="1175"/>
        <v>0</v>
      </c>
      <c r="CP183" s="65">
        <f t="shared" si="1175"/>
        <v>0</v>
      </c>
      <c r="CQ183" s="65">
        <f t="shared" si="1175"/>
        <v>0</v>
      </c>
      <c r="CR183" s="65">
        <f t="shared" si="1175"/>
        <v>0</v>
      </c>
      <c r="CS183" s="65">
        <f t="shared" si="1175"/>
        <v>0</v>
      </c>
      <c r="CT183" s="65">
        <f t="shared" si="1175"/>
        <v>0</v>
      </c>
      <c r="CU183" s="65">
        <f t="shared" si="1175"/>
        <v>0</v>
      </c>
      <c r="CV183" s="64">
        <f t="shared" si="1176"/>
        <v>0</v>
      </c>
      <c r="CW183" s="62"/>
      <c r="CX183" s="63"/>
      <c r="CY183" s="63"/>
      <c r="CZ183" s="63"/>
      <c r="DA183" s="63"/>
      <c r="DB183" s="63"/>
      <c r="DC183" s="63"/>
      <c r="DD183" s="63"/>
      <c r="DE183" s="63"/>
      <c r="DF183" s="63"/>
      <c r="DG183" s="64">
        <f t="shared" si="1177"/>
        <v>0</v>
      </c>
      <c r="DH183" s="62"/>
      <c r="DI183" s="63"/>
      <c r="DJ183" s="63"/>
      <c r="DK183" s="63"/>
      <c r="DL183" s="63"/>
      <c r="DM183" s="63"/>
      <c r="DN183" s="63"/>
      <c r="DO183" s="63"/>
      <c r="DP183" s="63"/>
      <c r="DQ183" s="63"/>
      <c r="DR183" s="64">
        <f t="shared" si="1178"/>
        <v>0</v>
      </c>
      <c r="DS183" s="62"/>
      <c r="DT183" s="63"/>
      <c r="DU183" s="63"/>
      <c r="DV183" s="63"/>
      <c r="DW183" s="63"/>
      <c r="DX183" s="63"/>
      <c r="DY183" s="63"/>
      <c r="DZ183" s="63"/>
      <c r="EA183" s="63"/>
      <c r="EB183" s="63"/>
      <c r="EC183" s="63"/>
      <c r="ED183" s="65">
        <f t="shared" si="1179"/>
        <v>0</v>
      </c>
      <c r="EE183" s="65">
        <f t="shared" si="1179"/>
        <v>0</v>
      </c>
      <c r="EF183" s="65">
        <f t="shared" si="1179"/>
        <v>0</v>
      </c>
      <c r="EG183" s="65">
        <f t="shared" si="1179"/>
        <v>0</v>
      </c>
      <c r="EH183" s="65">
        <f t="shared" si="1179"/>
        <v>0</v>
      </c>
      <c r="EI183" s="65">
        <f t="shared" si="1179"/>
        <v>0</v>
      </c>
      <c r="EJ183" s="65">
        <f t="shared" si="1179"/>
        <v>0</v>
      </c>
      <c r="EK183" s="65">
        <f t="shared" si="1179"/>
        <v>0</v>
      </c>
      <c r="EL183" s="65">
        <f t="shared" si="1179"/>
        <v>0</v>
      </c>
      <c r="EM183" s="65">
        <f t="shared" si="1179"/>
        <v>0</v>
      </c>
      <c r="EN183" s="64">
        <f t="shared" si="1180"/>
        <v>0</v>
      </c>
      <c r="EO183" s="62"/>
      <c r="EP183" s="63"/>
      <c r="EQ183" s="63"/>
      <c r="ER183" s="63"/>
      <c r="ES183" s="63"/>
      <c r="ET183" s="63"/>
      <c r="EU183" s="63"/>
      <c r="EV183" s="63"/>
      <c r="EW183" s="63"/>
      <c r="EX183" s="63"/>
      <c r="EY183" s="64">
        <f t="shared" si="1181"/>
        <v>0</v>
      </c>
      <c r="EZ183" s="62"/>
      <c r="FA183" s="63"/>
      <c r="FB183" s="63"/>
      <c r="FC183" s="63"/>
      <c r="FD183" s="63"/>
      <c r="FE183" s="63"/>
      <c r="FF183" s="63"/>
      <c r="FG183" s="63"/>
      <c r="FH183" s="63"/>
      <c r="FI183" s="63"/>
      <c r="FJ183" s="64">
        <f t="shared" si="1182"/>
        <v>0</v>
      </c>
      <c r="FK183" s="62"/>
      <c r="FL183" s="63"/>
      <c r="FM183" s="63"/>
      <c r="FN183" s="63"/>
      <c r="FO183" s="63"/>
      <c r="FP183" s="63"/>
      <c r="FQ183" s="63"/>
      <c r="FR183" s="63"/>
      <c r="FS183" s="63"/>
      <c r="FT183" s="63"/>
      <c r="FU183" s="64">
        <f t="shared" si="1183"/>
        <v>0</v>
      </c>
      <c r="FV183" s="65">
        <f t="shared" si="1184"/>
        <v>0</v>
      </c>
      <c r="FW183" s="65">
        <f t="shared" si="1184"/>
        <v>0</v>
      </c>
      <c r="FX183" s="65">
        <f t="shared" si="1184"/>
        <v>0</v>
      </c>
      <c r="FY183" s="65">
        <f t="shared" si="1184"/>
        <v>0</v>
      </c>
      <c r="FZ183" s="65">
        <f t="shared" si="1184"/>
        <v>0</v>
      </c>
      <c r="GA183" s="65">
        <f t="shared" si="1184"/>
        <v>0</v>
      </c>
      <c r="GB183" s="65">
        <f t="shared" si="1184"/>
        <v>0</v>
      </c>
      <c r="GC183" s="65">
        <f t="shared" si="1184"/>
        <v>0</v>
      </c>
      <c r="GD183" s="65">
        <f t="shared" si="1184"/>
        <v>0</v>
      </c>
      <c r="GE183" s="65">
        <f t="shared" si="1184"/>
        <v>0</v>
      </c>
      <c r="GF183" s="64">
        <f t="shared" si="1185"/>
        <v>0</v>
      </c>
      <c r="GG183" s="66">
        <f t="shared" si="1186"/>
        <v>0</v>
      </c>
      <c r="GH183" s="66">
        <f t="shared" si="1186"/>
        <v>0</v>
      </c>
      <c r="GI183" s="66">
        <f t="shared" si="1186"/>
        <v>0</v>
      </c>
      <c r="GJ183" s="66">
        <f t="shared" si="1186"/>
        <v>0</v>
      </c>
      <c r="GK183" s="66">
        <f t="shared" si="1186"/>
        <v>0</v>
      </c>
      <c r="GL183" s="66">
        <f t="shared" si="1186"/>
        <v>0</v>
      </c>
      <c r="GM183" s="66">
        <f t="shared" si="1186"/>
        <v>0</v>
      </c>
      <c r="GN183" s="66">
        <f t="shared" si="1186"/>
        <v>0</v>
      </c>
      <c r="GO183" s="66">
        <f t="shared" si="1186"/>
        <v>0</v>
      </c>
      <c r="GP183" s="66">
        <f t="shared" si="1186"/>
        <v>0</v>
      </c>
      <c r="GQ183" s="64">
        <f t="shared" si="1187"/>
        <v>0</v>
      </c>
      <c r="GR183" s="63"/>
      <c r="GS183" s="63"/>
      <c r="GT183" s="63"/>
      <c r="GU183" s="63"/>
      <c r="GV183" s="67">
        <f t="shared" si="1188"/>
        <v>0</v>
      </c>
      <c r="GW183" s="63"/>
      <c r="GX183" s="63"/>
      <c r="GY183" s="63"/>
      <c r="GZ183" s="63"/>
      <c r="HA183" s="67">
        <f t="shared" si="1189"/>
        <v>0</v>
      </c>
      <c r="HB183" s="63"/>
      <c r="HC183" s="63"/>
      <c r="HD183" s="63"/>
      <c r="HE183" s="63"/>
      <c r="HF183" s="67">
        <f t="shared" si="1190"/>
        <v>0</v>
      </c>
      <c r="HG183" s="63"/>
      <c r="HH183" s="63"/>
      <c r="HI183" s="63"/>
      <c r="HJ183" s="63"/>
      <c r="HK183" s="67">
        <f t="shared" si="1191"/>
        <v>0</v>
      </c>
      <c r="HL183" s="68">
        <f t="shared" si="1192"/>
        <v>0</v>
      </c>
      <c r="HM183" s="68">
        <f t="shared" si="1192"/>
        <v>0</v>
      </c>
      <c r="HN183" s="68">
        <f t="shared" si="1192"/>
        <v>0</v>
      </c>
      <c r="HO183" s="68">
        <f t="shared" si="1192"/>
        <v>0</v>
      </c>
      <c r="HP183" s="67">
        <f t="shared" si="1193"/>
        <v>0</v>
      </c>
      <c r="HQ183" s="63"/>
      <c r="HR183" s="63"/>
      <c r="HS183" s="63"/>
      <c r="HT183" s="63"/>
      <c r="HU183" s="67">
        <f t="shared" si="1194"/>
        <v>0</v>
      </c>
      <c r="HV183" s="63"/>
      <c r="HW183" s="63"/>
      <c r="HX183" s="63"/>
      <c r="HY183" s="63"/>
      <c r="HZ183" s="67">
        <f t="shared" si="1195"/>
        <v>0</v>
      </c>
      <c r="IA183" s="63"/>
      <c r="IB183" s="63"/>
      <c r="IC183" s="63"/>
      <c r="ID183" s="63"/>
      <c r="IE183" s="67">
        <f t="shared" si="1196"/>
        <v>0</v>
      </c>
      <c r="IF183" s="68">
        <f t="shared" si="1197"/>
        <v>0</v>
      </c>
      <c r="IG183" s="68">
        <f t="shared" si="1197"/>
        <v>0</v>
      </c>
      <c r="IH183" s="68">
        <f t="shared" si="1197"/>
        <v>0</v>
      </c>
      <c r="II183" s="68">
        <f t="shared" si="1197"/>
        <v>0</v>
      </c>
      <c r="IJ183" s="67">
        <f t="shared" si="1198"/>
        <v>0</v>
      </c>
      <c r="IK183" s="63"/>
      <c r="IL183" s="63"/>
      <c r="IM183" s="63"/>
      <c r="IN183" s="63"/>
      <c r="IO183" s="67">
        <f t="shared" si="1199"/>
        <v>0</v>
      </c>
      <c r="IP183" s="63"/>
      <c r="IQ183" s="63"/>
      <c r="IR183" s="63"/>
      <c r="IS183" s="63"/>
      <c r="IT183" s="67">
        <f t="shared" si="1200"/>
        <v>0</v>
      </c>
      <c r="IU183" s="63"/>
      <c r="IV183" s="63"/>
    </row>
    <row r="184" spans="1:256" s="150" customFormat="1" ht="14.1" customHeight="1" x14ac:dyDescent="0.25">
      <c r="A184" s="151" t="s">
        <v>352</v>
      </c>
      <c r="B184" s="62"/>
      <c r="C184" s="63"/>
      <c r="D184" s="63"/>
      <c r="E184" s="63"/>
      <c r="F184" s="63"/>
      <c r="G184" s="63"/>
      <c r="H184" s="63"/>
      <c r="I184" s="63"/>
      <c r="J184" s="63"/>
      <c r="K184" s="63"/>
      <c r="L184" s="64">
        <f t="shared" si="1166"/>
        <v>0</v>
      </c>
      <c r="M184" s="62"/>
      <c r="N184" s="63"/>
      <c r="O184" s="63"/>
      <c r="P184" s="63"/>
      <c r="Q184" s="63"/>
      <c r="R184" s="63"/>
      <c r="S184" s="63"/>
      <c r="T184" s="63"/>
      <c r="U184" s="63"/>
      <c r="V184" s="63"/>
      <c r="W184" s="64">
        <f t="shared" si="1167"/>
        <v>0</v>
      </c>
      <c r="X184" s="62"/>
      <c r="Y184" s="63"/>
      <c r="Z184" s="63"/>
      <c r="AA184" s="63"/>
      <c r="AB184" s="63"/>
      <c r="AC184" s="63"/>
      <c r="AD184" s="63"/>
      <c r="AE184" s="63"/>
      <c r="AF184" s="63"/>
      <c r="AG184" s="63"/>
      <c r="AH184" s="64">
        <f t="shared" si="1168"/>
        <v>0</v>
      </c>
      <c r="AI184" s="62"/>
      <c r="AJ184" s="63"/>
      <c r="AK184" s="63"/>
      <c r="AL184" s="63"/>
      <c r="AM184" s="63"/>
      <c r="AN184" s="63"/>
      <c r="AO184" s="63"/>
      <c r="AP184" s="63"/>
      <c r="AQ184" s="63"/>
      <c r="AR184" s="63"/>
      <c r="AS184" s="64">
        <f t="shared" si="1169"/>
        <v>0</v>
      </c>
      <c r="AT184" s="65">
        <f t="shared" si="1170"/>
        <v>0</v>
      </c>
      <c r="AU184" s="65">
        <f t="shared" si="1170"/>
        <v>0</v>
      </c>
      <c r="AV184" s="65">
        <f t="shared" si="1170"/>
        <v>0</v>
      </c>
      <c r="AW184" s="65">
        <f t="shared" si="1170"/>
        <v>0</v>
      </c>
      <c r="AX184" s="65">
        <f t="shared" si="1170"/>
        <v>0</v>
      </c>
      <c r="AY184" s="65">
        <f t="shared" si="1170"/>
        <v>0</v>
      </c>
      <c r="AZ184" s="65">
        <f t="shared" si="1170"/>
        <v>0</v>
      </c>
      <c r="BA184" s="65">
        <f t="shared" si="1170"/>
        <v>0</v>
      </c>
      <c r="BB184" s="65">
        <f t="shared" si="1170"/>
        <v>0</v>
      </c>
      <c r="BC184" s="65">
        <f t="shared" si="1170"/>
        <v>0</v>
      </c>
      <c r="BD184" s="64">
        <f t="shared" si="1171"/>
        <v>0</v>
      </c>
      <c r="BE184" s="62"/>
      <c r="BF184" s="63"/>
      <c r="BG184" s="63"/>
      <c r="BH184" s="63"/>
      <c r="BI184" s="63"/>
      <c r="BJ184" s="63"/>
      <c r="BK184" s="63"/>
      <c r="BL184" s="63"/>
      <c r="BM184" s="63"/>
      <c r="BN184" s="63"/>
      <c r="BO184" s="64">
        <f t="shared" si="1172"/>
        <v>0</v>
      </c>
      <c r="BP184" s="62"/>
      <c r="BQ184" s="63"/>
      <c r="BR184" s="63"/>
      <c r="BS184" s="63"/>
      <c r="BT184" s="63"/>
      <c r="BU184" s="63"/>
      <c r="BV184" s="63"/>
      <c r="BW184" s="63"/>
      <c r="BX184" s="63"/>
      <c r="BY184" s="63"/>
      <c r="BZ184" s="64">
        <f t="shared" si="1173"/>
        <v>0</v>
      </c>
      <c r="CA184" s="62"/>
      <c r="CB184" s="63"/>
      <c r="CC184" s="63"/>
      <c r="CD184" s="63"/>
      <c r="CE184" s="63"/>
      <c r="CF184" s="63"/>
      <c r="CG184" s="63"/>
      <c r="CH184" s="63"/>
      <c r="CI184" s="63"/>
      <c r="CJ184" s="63"/>
      <c r="CK184" s="64">
        <f t="shared" si="1174"/>
        <v>0</v>
      </c>
      <c r="CL184" s="65">
        <f t="shared" si="1175"/>
        <v>0</v>
      </c>
      <c r="CM184" s="65">
        <f t="shared" si="1175"/>
        <v>0</v>
      </c>
      <c r="CN184" s="65">
        <f t="shared" si="1175"/>
        <v>0</v>
      </c>
      <c r="CO184" s="65">
        <f t="shared" si="1175"/>
        <v>0</v>
      </c>
      <c r="CP184" s="65">
        <f t="shared" si="1175"/>
        <v>0</v>
      </c>
      <c r="CQ184" s="65">
        <f t="shared" si="1175"/>
        <v>0</v>
      </c>
      <c r="CR184" s="65">
        <f t="shared" si="1175"/>
        <v>0</v>
      </c>
      <c r="CS184" s="65">
        <f t="shared" si="1175"/>
        <v>0</v>
      </c>
      <c r="CT184" s="65">
        <f t="shared" si="1175"/>
        <v>0</v>
      </c>
      <c r="CU184" s="65">
        <f t="shared" si="1175"/>
        <v>0</v>
      </c>
      <c r="CV184" s="64">
        <f t="shared" si="1176"/>
        <v>0</v>
      </c>
      <c r="CW184" s="62"/>
      <c r="CX184" s="63"/>
      <c r="CY184" s="63"/>
      <c r="CZ184" s="63"/>
      <c r="DA184" s="63"/>
      <c r="DB184" s="63"/>
      <c r="DC184" s="63"/>
      <c r="DD184" s="63"/>
      <c r="DE184" s="63"/>
      <c r="DF184" s="63"/>
      <c r="DG184" s="64">
        <f t="shared" si="1177"/>
        <v>0</v>
      </c>
      <c r="DH184" s="62"/>
      <c r="DI184" s="63"/>
      <c r="DJ184" s="63"/>
      <c r="DK184" s="63"/>
      <c r="DL184" s="63"/>
      <c r="DM184" s="63"/>
      <c r="DN184" s="63"/>
      <c r="DO184" s="63"/>
      <c r="DP184" s="63"/>
      <c r="DQ184" s="63"/>
      <c r="DR184" s="64">
        <f t="shared" si="1178"/>
        <v>0</v>
      </c>
      <c r="DS184" s="62"/>
      <c r="DT184" s="63"/>
      <c r="DU184" s="63"/>
      <c r="DV184" s="63"/>
      <c r="DW184" s="63"/>
      <c r="DX184" s="63"/>
      <c r="DY184" s="63"/>
      <c r="DZ184" s="63"/>
      <c r="EA184" s="63"/>
      <c r="EB184" s="63"/>
      <c r="EC184" s="63"/>
      <c r="ED184" s="65">
        <f t="shared" si="1179"/>
        <v>0</v>
      </c>
      <c r="EE184" s="65">
        <f t="shared" si="1179"/>
        <v>0</v>
      </c>
      <c r="EF184" s="65">
        <f t="shared" si="1179"/>
        <v>0</v>
      </c>
      <c r="EG184" s="65">
        <f t="shared" si="1179"/>
        <v>0</v>
      </c>
      <c r="EH184" s="65">
        <f t="shared" si="1179"/>
        <v>0</v>
      </c>
      <c r="EI184" s="65">
        <f t="shared" si="1179"/>
        <v>0</v>
      </c>
      <c r="EJ184" s="65">
        <f t="shared" si="1179"/>
        <v>0</v>
      </c>
      <c r="EK184" s="65">
        <f t="shared" si="1179"/>
        <v>0</v>
      </c>
      <c r="EL184" s="65">
        <f t="shared" si="1179"/>
        <v>0</v>
      </c>
      <c r="EM184" s="65">
        <f t="shared" si="1179"/>
        <v>0</v>
      </c>
      <c r="EN184" s="64">
        <f t="shared" si="1180"/>
        <v>0</v>
      </c>
      <c r="EO184" s="62"/>
      <c r="EP184" s="63"/>
      <c r="EQ184" s="63"/>
      <c r="ER184" s="63"/>
      <c r="ES184" s="63"/>
      <c r="ET184" s="63"/>
      <c r="EU184" s="63"/>
      <c r="EV184" s="63"/>
      <c r="EW184" s="63"/>
      <c r="EX184" s="63"/>
      <c r="EY184" s="64">
        <f t="shared" si="1181"/>
        <v>0</v>
      </c>
      <c r="EZ184" s="62"/>
      <c r="FA184" s="63"/>
      <c r="FB184" s="63"/>
      <c r="FC184" s="63"/>
      <c r="FD184" s="63"/>
      <c r="FE184" s="63"/>
      <c r="FF184" s="63"/>
      <c r="FG184" s="63"/>
      <c r="FH184" s="63"/>
      <c r="FI184" s="63"/>
      <c r="FJ184" s="64">
        <f t="shared" si="1182"/>
        <v>0</v>
      </c>
      <c r="FK184" s="62"/>
      <c r="FL184" s="63"/>
      <c r="FM184" s="63"/>
      <c r="FN184" s="63"/>
      <c r="FO184" s="63"/>
      <c r="FP184" s="63"/>
      <c r="FQ184" s="63"/>
      <c r="FR184" s="63"/>
      <c r="FS184" s="63"/>
      <c r="FT184" s="63"/>
      <c r="FU184" s="64">
        <f t="shared" si="1183"/>
        <v>0</v>
      </c>
      <c r="FV184" s="65">
        <f t="shared" si="1184"/>
        <v>0</v>
      </c>
      <c r="FW184" s="65">
        <f t="shared" si="1184"/>
        <v>0</v>
      </c>
      <c r="FX184" s="65">
        <f t="shared" si="1184"/>
        <v>0</v>
      </c>
      <c r="FY184" s="65">
        <f t="shared" si="1184"/>
        <v>0</v>
      </c>
      <c r="FZ184" s="65">
        <f t="shared" si="1184"/>
        <v>0</v>
      </c>
      <c r="GA184" s="65">
        <f t="shared" si="1184"/>
        <v>0</v>
      </c>
      <c r="GB184" s="65">
        <f t="shared" si="1184"/>
        <v>0</v>
      </c>
      <c r="GC184" s="65">
        <f t="shared" si="1184"/>
        <v>0</v>
      </c>
      <c r="GD184" s="65">
        <f t="shared" si="1184"/>
        <v>0</v>
      </c>
      <c r="GE184" s="65">
        <f t="shared" si="1184"/>
        <v>0</v>
      </c>
      <c r="GF184" s="64">
        <f t="shared" si="1185"/>
        <v>0</v>
      </c>
      <c r="GG184" s="66">
        <f t="shared" si="1186"/>
        <v>0</v>
      </c>
      <c r="GH184" s="66">
        <f t="shared" si="1186"/>
        <v>0</v>
      </c>
      <c r="GI184" s="66">
        <f t="shared" si="1186"/>
        <v>0</v>
      </c>
      <c r="GJ184" s="66">
        <f t="shared" si="1186"/>
        <v>0</v>
      </c>
      <c r="GK184" s="66">
        <f t="shared" si="1186"/>
        <v>0</v>
      </c>
      <c r="GL184" s="66">
        <f t="shared" si="1186"/>
        <v>0</v>
      </c>
      <c r="GM184" s="66">
        <f t="shared" si="1186"/>
        <v>0</v>
      </c>
      <c r="GN184" s="66">
        <f t="shared" si="1186"/>
        <v>0</v>
      </c>
      <c r="GO184" s="66">
        <f t="shared" si="1186"/>
        <v>0</v>
      </c>
      <c r="GP184" s="66">
        <f t="shared" si="1186"/>
        <v>0</v>
      </c>
      <c r="GQ184" s="64">
        <f t="shared" si="1187"/>
        <v>0</v>
      </c>
      <c r="GR184" s="63"/>
      <c r="GS184" s="63"/>
      <c r="GT184" s="63"/>
      <c r="GU184" s="63"/>
      <c r="GV184" s="67">
        <f t="shared" si="1188"/>
        <v>0</v>
      </c>
      <c r="GW184" s="63"/>
      <c r="GX184" s="63"/>
      <c r="GY184" s="63"/>
      <c r="GZ184" s="63"/>
      <c r="HA184" s="67">
        <f t="shared" si="1189"/>
        <v>0</v>
      </c>
      <c r="HB184" s="63"/>
      <c r="HC184" s="63"/>
      <c r="HD184" s="63"/>
      <c r="HE184" s="63"/>
      <c r="HF184" s="67">
        <f t="shared" si="1190"/>
        <v>0</v>
      </c>
      <c r="HG184" s="63"/>
      <c r="HH184" s="63"/>
      <c r="HI184" s="63"/>
      <c r="HJ184" s="63"/>
      <c r="HK184" s="67">
        <f t="shared" si="1191"/>
        <v>0</v>
      </c>
      <c r="HL184" s="68">
        <f t="shared" si="1192"/>
        <v>0</v>
      </c>
      <c r="HM184" s="68">
        <f t="shared" si="1192"/>
        <v>0</v>
      </c>
      <c r="HN184" s="68">
        <f t="shared" si="1192"/>
        <v>0</v>
      </c>
      <c r="HO184" s="68">
        <f t="shared" si="1192"/>
        <v>0</v>
      </c>
      <c r="HP184" s="67">
        <f t="shared" si="1193"/>
        <v>0</v>
      </c>
      <c r="HQ184" s="63"/>
      <c r="HR184" s="63"/>
      <c r="HS184" s="63"/>
      <c r="HT184" s="63"/>
      <c r="HU184" s="67">
        <f t="shared" si="1194"/>
        <v>0</v>
      </c>
      <c r="HV184" s="63"/>
      <c r="HW184" s="63"/>
      <c r="HX184" s="63"/>
      <c r="HY184" s="63"/>
      <c r="HZ184" s="67">
        <f t="shared" si="1195"/>
        <v>0</v>
      </c>
      <c r="IA184" s="63"/>
      <c r="IB184" s="63"/>
      <c r="IC184" s="63"/>
      <c r="ID184" s="63"/>
      <c r="IE184" s="67">
        <f t="shared" si="1196"/>
        <v>0</v>
      </c>
      <c r="IF184" s="68">
        <f t="shared" si="1197"/>
        <v>0</v>
      </c>
      <c r="IG184" s="68">
        <f t="shared" si="1197"/>
        <v>0</v>
      </c>
      <c r="IH184" s="68">
        <f t="shared" si="1197"/>
        <v>0</v>
      </c>
      <c r="II184" s="68">
        <f t="shared" si="1197"/>
        <v>0</v>
      </c>
      <c r="IJ184" s="67">
        <f t="shared" si="1198"/>
        <v>0</v>
      </c>
      <c r="IK184" s="63"/>
      <c r="IL184" s="63"/>
      <c r="IM184" s="63"/>
      <c r="IN184" s="63"/>
      <c r="IO184" s="67">
        <f t="shared" si="1199"/>
        <v>0</v>
      </c>
      <c r="IP184" s="63"/>
      <c r="IQ184" s="63"/>
      <c r="IR184" s="63"/>
      <c r="IS184" s="63"/>
      <c r="IT184" s="67">
        <f t="shared" si="1200"/>
        <v>0</v>
      </c>
      <c r="IU184" s="63"/>
      <c r="IV184" s="63"/>
    </row>
    <row r="185" spans="1:256" s="150" customFormat="1" ht="14.1" customHeight="1" x14ac:dyDescent="0.25">
      <c r="A185" s="151" t="s">
        <v>353</v>
      </c>
      <c r="B185" s="62"/>
      <c r="C185" s="63"/>
      <c r="D185" s="63"/>
      <c r="E185" s="63"/>
      <c r="F185" s="63"/>
      <c r="G185" s="63"/>
      <c r="H185" s="63"/>
      <c r="I185" s="63"/>
      <c r="J185" s="63"/>
      <c r="K185" s="63"/>
      <c r="L185" s="64">
        <f t="shared" si="1166"/>
        <v>0</v>
      </c>
      <c r="M185" s="62"/>
      <c r="N185" s="63"/>
      <c r="O185" s="63"/>
      <c r="P185" s="63"/>
      <c r="Q185" s="63"/>
      <c r="R185" s="63"/>
      <c r="S185" s="63"/>
      <c r="T185" s="63"/>
      <c r="U185" s="63"/>
      <c r="V185" s="63"/>
      <c r="W185" s="64">
        <f t="shared" si="1167"/>
        <v>0</v>
      </c>
      <c r="X185" s="62"/>
      <c r="Y185" s="63"/>
      <c r="Z185" s="63"/>
      <c r="AA185" s="63"/>
      <c r="AB185" s="63"/>
      <c r="AC185" s="63"/>
      <c r="AD185" s="63"/>
      <c r="AE185" s="63"/>
      <c r="AF185" s="63"/>
      <c r="AG185" s="63"/>
      <c r="AH185" s="64">
        <f t="shared" si="1168"/>
        <v>0</v>
      </c>
      <c r="AI185" s="62"/>
      <c r="AJ185" s="63"/>
      <c r="AK185" s="63"/>
      <c r="AL185" s="63"/>
      <c r="AM185" s="63"/>
      <c r="AN185" s="63"/>
      <c r="AO185" s="63"/>
      <c r="AP185" s="63"/>
      <c r="AQ185" s="63"/>
      <c r="AR185" s="63"/>
      <c r="AS185" s="64">
        <f t="shared" si="1169"/>
        <v>0</v>
      </c>
      <c r="AT185" s="65">
        <f t="shared" si="1170"/>
        <v>0</v>
      </c>
      <c r="AU185" s="65">
        <f t="shared" si="1170"/>
        <v>0</v>
      </c>
      <c r="AV185" s="65">
        <f t="shared" si="1170"/>
        <v>0</v>
      </c>
      <c r="AW185" s="65">
        <f t="shared" si="1170"/>
        <v>0</v>
      </c>
      <c r="AX185" s="65">
        <f t="shared" si="1170"/>
        <v>0</v>
      </c>
      <c r="AY185" s="65">
        <f t="shared" si="1170"/>
        <v>0</v>
      </c>
      <c r="AZ185" s="65">
        <f t="shared" si="1170"/>
        <v>0</v>
      </c>
      <c r="BA185" s="65">
        <f t="shared" si="1170"/>
        <v>0</v>
      </c>
      <c r="BB185" s="65">
        <f t="shared" si="1170"/>
        <v>0</v>
      </c>
      <c r="BC185" s="65">
        <f t="shared" si="1170"/>
        <v>0</v>
      </c>
      <c r="BD185" s="64">
        <f t="shared" si="1171"/>
        <v>0</v>
      </c>
      <c r="BE185" s="62"/>
      <c r="BF185" s="63"/>
      <c r="BG185" s="63"/>
      <c r="BH185" s="63"/>
      <c r="BI185" s="63"/>
      <c r="BJ185" s="63"/>
      <c r="BK185" s="63"/>
      <c r="BL185" s="63"/>
      <c r="BM185" s="63"/>
      <c r="BN185" s="63"/>
      <c r="BO185" s="64">
        <f t="shared" si="1172"/>
        <v>0</v>
      </c>
      <c r="BP185" s="62"/>
      <c r="BQ185" s="63"/>
      <c r="BR185" s="63"/>
      <c r="BS185" s="63"/>
      <c r="BT185" s="63"/>
      <c r="BU185" s="63"/>
      <c r="BV185" s="63"/>
      <c r="BW185" s="63"/>
      <c r="BX185" s="63"/>
      <c r="BY185" s="63"/>
      <c r="BZ185" s="64">
        <f t="shared" si="1173"/>
        <v>0</v>
      </c>
      <c r="CA185" s="62"/>
      <c r="CB185" s="63"/>
      <c r="CC185" s="63"/>
      <c r="CD185" s="63"/>
      <c r="CE185" s="63"/>
      <c r="CF185" s="63"/>
      <c r="CG185" s="63"/>
      <c r="CH185" s="63"/>
      <c r="CI185" s="63"/>
      <c r="CJ185" s="63"/>
      <c r="CK185" s="64">
        <f t="shared" si="1174"/>
        <v>0</v>
      </c>
      <c r="CL185" s="65">
        <f t="shared" si="1175"/>
        <v>0</v>
      </c>
      <c r="CM185" s="65">
        <f t="shared" si="1175"/>
        <v>0</v>
      </c>
      <c r="CN185" s="65">
        <f t="shared" si="1175"/>
        <v>0</v>
      </c>
      <c r="CO185" s="65">
        <f t="shared" si="1175"/>
        <v>0</v>
      </c>
      <c r="CP185" s="65">
        <f t="shared" si="1175"/>
        <v>0</v>
      </c>
      <c r="CQ185" s="65">
        <f t="shared" si="1175"/>
        <v>0</v>
      </c>
      <c r="CR185" s="65">
        <f t="shared" si="1175"/>
        <v>0</v>
      </c>
      <c r="CS185" s="65">
        <f t="shared" si="1175"/>
        <v>0</v>
      </c>
      <c r="CT185" s="65">
        <f t="shared" si="1175"/>
        <v>0</v>
      </c>
      <c r="CU185" s="65">
        <f t="shared" si="1175"/>
        <v>0</v>
      </c>
      <c r="CV185" s="64">
        <f t="shared" si="1176"/>
        <v>0</v>
      </c>
      <c r="CW185" s="62"/>
      <c r="CX185" s="63"/>
      <c r="CY185" s="63"/>
      <c r="CZ185" s="63"/>
      <c r="DA185" s="63"/>
      <c r="DB185" s="63"/>
      <c r="DC185" s="63"/>
      <c r="DD185" s="63"/>
      <c r="DE185" s="63"/>
      <c r="DF185" s="63"/>
      <c r="DG185" s="64">
        <f t="shared" si="1177"/>
        <v>0</v>
      </c>
      <c r="DH185" s="62"/>
      <c r="DI185" s="63"/>
      <c r="DJ185" s="63"/>
      <c r="DK185" s="63"/>
      <c r="DL185" s="63"/>
      <c r="DM185" s="63"/>
      <c r="DN185" s="63"/>
      <c r="DO185" s="63"/>
      <c r="DP185" s="63"/>
      <c r="DQ185" s="63"/>
      <c r="DR185" s="64">
        <f t="shared" si="1178"/>
        <v>0</v>
      </c>
      <c r="DS185" s="62"/>
      <c r="DT185" s="63"/>
      <c r="DU185" s="63"/>
      <c r="DV185" s="63"/>
      <c r="DW185" s="63"/>
      <c r="DX185" s="63"/>
      <c r="DY185" s="63"/>
      <c r="DZ185" s="63"/>
      <c r="EA185" s="63"/>
      <c r="EB185" s="63"/>
      <c r="EC185" s="63"/>
      <c r="ED185" s="65">
        <f t="shared" si="1179"/>
        <v>0</v>
      </c>
      <c r="EE185" s="65">
        <f t="shared" si="1179"/>
        <v>0</v>
      </c>
      <c r="EF185" s="65">
        <f t="shared" si="1179"/>
        <v>0</v>
      </c>
      <c r="EG185" s="65">
        <f t="shared" si="1179"/>
        <v>0</v>
      </c>
      <c r="EH185" s="65">
        <f t="shared" si="1179"/>
        <v>0</v>
      </c>
      <c r="EI185" s="65">
        <f t="shared" si="1179"/>
        <v>0</v>
      </c>
      <c r="EJ185" s="65">
        <f t="shared" si="1179"/>
        <v>0</v>
      </c>
      <c r="EK185" s="65">
        <f t="shared" si="1179"/>
        <v>0</v>
      </c>
      <c r="EL185" s="65">
        <f t="shared" si="1179"/>
        <v>0</v>
      </c>
      <c r="EM185" s="65">
        <f t="shared" si="1179"/>
        <v>0</v>
      </c>
      <c r="EN185" s="64">
        <f t="shared" si="1180"/>
        <v>0</v>
      </c>
      <c r="EO185" s="62"/>
      <c r="EP185" s="63"/>
      <c r="EQ185" s="63"/>
      <c r="ER185" s="63"/>
      <c r="ES185" s="63"/>
      <c r="ET185" s="63"/>
      <c r="EU185" s="63"/>
      <c r="EV185" s="63"/>
      <c r="EW185" s="63"/>
      <c r="EX185" s="63"/>
      <c r="EY185" s="64">
        <f t="shared" si="1181"/>
        <v>0</v>
      </c>
      <c r="EZ185" s="62"/>
      <c r="FA185" s="63"/>
      <c r="FB185" s="63"/>
      <c r="FC185" s="63"/>
      <c r="FD185" s="63"/>
      <c r="FE185" s="63"/>
      <c r="FF185" s="63"/>
      <c r="FG185" s="63"/>
      <c r="FH185" s="63"/>
      <c r="FI185" s="63"/>
      <c r="FJ185" s="64">
        <f t="shared" si="1182"/>
        <v>0</v>
      </c>
      <c r="FK185" s="62"/>
      <c r="FL185" s="63"/>
      <c r="FM185" s="63"/>
      <c r="FN185" s="63"/>
      <c r="FO185" s="63"/>
      <c r="FP185" s="63"/>
      <c r="FQ185" s="63"/>
      <c r="FR185" s="63"/>
      <c r="FS185" s="63"/>
      <c r="FT185" s="63"/>
      <c r="FU185" s="64">
        <f t="shared" si="1183"/>
        <v>0</v>
      </c>
      <c r="FV185" s="65">
        <f t="shared" si="1184"/>
        <v>0</v>
      </c>
      <c r="FW185" s="65">
        <f t="shared" si="1184"/>
        <v>0</v>
      </c>
      <c r="FX185" s="65">
        <f t="shared" si="1184"/>
        <v>0</v>
      </c>
      <c r="FY185" s="65">
        <f t="shared" si="1184"/>
        <v>0</v>
      </c>
      <c r="FZ185" s="65">
        <f t="shared" si="1184"/>
        <v>0</v>
      </c>
      <c r="GA185" s="65">
        <f t="shared" si="1184"/>
        <v>0</v>
      </c>
      <c r="GB185" s="65">
        <f t="shared" si="1184"/>
        <v>0</v>
      </c>
      <c r="GC185" s="65">
        <f t="shared" si="1184"/>
        <v>0</v>
      </c>
      <c r="GD185" s="65">
        <f t="shared" si="1184"/>
        <v>0</v>
      </c>
      <c r="GE185" s="65">
        <f t="shared" si="1184"/>
        <v>0</v>
      </c>
      <c r="GF185" s="64">
        <f t="shared" si="1185"/>
        <v>0</v>
      </c>
      <c r="GG185" s="66">
        <f t="shared" si="1186"/>
        <v>0</v>
      </c>
      <c r="GH185" s="66">
        <f t="shared" si="1186"/>
        <v>0</v>
      </c>
      <c r="GI185" s="66">
        <f t="shared" si="1186"/>
        <v>0</v>
      </c>
      <c r="GJ185" s="66">
        <f t="shared" si="1186"/>
        <v>0</v>
      </c>
      <c r="GK185" s="66">
        <f t="shared" si="1186"/>
        <v>0</v>
      </c>
      <c r="GL185" s="66">
        <f t="shared" si="1186"/>
        <v>0</v>
      </c>
      <c r="GM185" s="66">
        <f t="shared" si="1186"/>
        <v>0</v>
      </c>
      <c r="GN185" s="66">
        <f t="shared" si="1186"/>
        <v>0</v>
      </c>
      <c r="GO185" s="66">
        <f t="shared" si="1186"/>
        <v>0</v>
      </c>
      <c r="GP185" s="66">
        <f t="shared" si="1186"/>
        <v>0</v>
      </c>
      <c r="GQ185" s="64">
        <f t="shared" si="1187"/>
        <v>0</v>
      </c>
      <c r="GR185" s="63"/>
      <c r="GS185" s="63"/>
      <c r="GT185" s="63"/>
      <c r="GU185" s="63"/>
      <c r="GV185" s="67">
        <f t="shared" si="1188"/>
        <v>0</v>
      </c>
      <c r="GW185" s="63"/>
      <c r="GX185" s="63"/>
      <c r="GY185" s="63"/>
      <c r="GZ185" s="63"/>
      <c r="HA185" s="67">
        <f t="shared" si="1189"/>
        <v>0</v>
      </c>
      <c r="HB185" s="63"/>
      <c r="HC185" s="63"/>
      <c r="HD185" s="63"/>
      <c r="HE185" s="63"/>
      <c r="HF185" s="67">
        <f t="shared" si="1190"/>
        <v>0</v>
      </c>
      <c r="HG185" s="63"/>
      <c r="HH185" s="63"/>
      <c r="HI185" s="63"/>
      <c r="HJ185" s="63"/>
      <c r="HK185" s="67">
        <f t="shared" si="1191"/>
        <v>0</v>
      </c>
      <c r="HL185" s="68">
        <f t="shared" si="1192"/>
        <v>0</v>
      </c>
      <c r="HM185" s="68">
        <f t="shared" si="1192"/>
        <v>0</v>
      </c>
      <c r="HN185" s="68">
        <f t="shared" si="1192"/>
        <v>0</v>
      </c>
      <c r="HO185" s="68">
        <f t="shared" si="1192"/>
        <v>0</v>
      </c>
      <c r="HP185" s="67">
        <f t="shared" si="1193"/>
        <v>0</v>
      </c>
      <c r="HQ185" s="63"/>
      <c r="HR185" s="63"/>
      <c r="HS185" s="63"/>
      <c r="HT185" s="63"/>
      <c r="HU185" s="67">
        <f t="shared" si="1194"/>
        <v>0</v>
      </c>
      <c r="HV185" s="63"/>
      <c r="HW185" s="63"/>
      <c r="HX185" s="63"/>
      <c r="HY185" s="63"/>
      <c r="HZ185" s="67">
        <f t="shared" si="1195"/>
        <v>0</v>
      </c>
      <c r="IA185" s="63"/>
      <c r="IB185" s="63"/>
      <c r="IC185" s="63"/>
      <c r="ID185" s="63"/>
      <c r="IE185" s="67">
        <f t="shared" si="1196"/>
        <v>0</v>
      </c>
      <c r="IF185" s="68">
        <f t="shared" si="1197"/>
        <v>0</v>
      </c>
      <c r="IG185" s="68">
        <f t="shared" si="1197"/>
        <v>0</v>
      </c>
      <c r="IH185" s="68">
        <f t="shared" si="1197"/>
        <v>0</v>
      </c>
      <c r="II185" s="68">
        <f t="shared" si="1197"/>
        <v>0</v>
      </c>
      <c r="IJ185" s="67">
        <f t="shared" si="1198"/>
        <v>0</v>
      </c>
      <c r="IK185" s="63"/>
      <c r="IL185" s="63"/>
      <c r="IM185" s="63"/>
      <c r="IN185" s="63"/>
      <c r="IO185" s="67">
        <f t="shared" si="1199"/>
        <v>0</v>
      </c>
      <c r="IP185" s="63"/>
      <c r="IQ185" s="63"/>
      <c r="IR185" s="63"/>
      <c r="IS185" s="63"/>
      <c r="IT185" s="67">
        <f t="shared" si="1200"/>
        <v>0</v>
      </c>
      <c r="IU185" s="63"/>
      <c r="IV185" s="63"/>
    </row>
    <row r="186" spans="1:256" s="150" customFormat="1" ht="14.1" customHeight="1" x14ac:dyDescent="0.25">
      <c r="A186" s="151" t="s">
        <v>354</v>
      </c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>
        <f t="shared" si="1166"/>
        <v>0</v>
      </c>
      <c r="M186" s="62"/>
      <c r="N186" s="63"/>
      <c r="O186" s="63"/>
      <c r="P186" s="63"/>
      <c r="Q186" s="63"/>
      <c r="R186" s="63"/>
      <c r="S186" s="63"/>
      <c r="T186" s="63"/>
      <c r="U186" s="63"/>
      <c r="V186" s="63"/>
      <c r="W186" s="64">
        <f t="shared" si="1167"/>
        <v>0</v>
      </c>
      <c r="X186" s="62"/>
      <c r="Y186" s="63"/>
      <c r="Z186" s="63"/>
      <c r="AA186" s="63"/>
      <c r="AB186" s="63"/>
      <c r="AC186" s="63"/>
      <c r="AD186" s="63"/>
      <c r="AE186" s="63"/>
      <c r="AF186" s="63"/>
      <c r="AG186" s="63"/>
      <c r="AH186" s="64">
        <f t="shared" si="1168"/>
        <v>0</v>
      </c>
      <c r="AI186" s="62"/>
      <c r="AJ186" s="63"/>
      <c r="AK186" s="63"/>
      <c r="AL186" s="63"/>
      <c r="AM186" s="63"/>
      <c r="AN186" s="63"/>
      <c r="AO186" s="63"/>
      <c r="AP186" s="63"/>
      <c r="AQ186" s="63"/>
      <c r="AR186" s="63"/>
      <c r="AS186" s="64">
        <f t="shared" si="1169"/>
        <v>0</v>
      </c>
      <c r="AT186" s="65">
        <f t="shared" si="1170"/>
        <v>0</v>
      </c>
      <c r="AU186" s="65">
        <f t="shared" si="1170"/>
        <v>0</v>
      </c>
      <c r="AV186" s="65">
        <f t="shared" si="1170"/>
        <v>0</v>
      </c>
      <c r="AW186" s="65">
        <f t="shared" si="1170"/>
        <v>0</v>
      </c>
      <c r="AX186" s="65">
        <f t="shared" si="1170"/>
        <v>0</v>
      </c>
      <c r="AY186" s="65">
        <f t="shared" si="1170"/>
        <v>0</v>
      </c>
      <c r="AZ186" s="65">
        <f t="shared" si="1170"/>
        <v>0</v>
      </c>
      <c r="BA186" s="65">
        <f t="shared" si="1170"/>
        <v>0</v>
      </c>
      <c r="BB186" s="65">
        <f t="shared" si="1170"/>
        <v>0</v>
      </c>
      <c r="BC186" s="65">
        <f t="shared" si="1170"/>
        <v>0</v>
      </c>
      <c r="BD186" s="64">
        <f t="shared" si="1171"/>
        <v>0</v>
      </c>
      <c r="BE186" s="62"/>
      <c r="BF186" s="63"/>
      <c r="BG186" s="63"/>
      <c r="BH186" s="63"/>
      <c r="BI186" s="63"/>
      <c r="BJ186" s="63"/>
      <c r="BK186" s="63"/>
      <c r="BL186" s="63"/>
      <c r="BM186" s="63"/>
      <c r="BN186" s="63"/>
      <c r="BO186" s="64">
        <f t="shared" si="1172"/>
        <v>0</v>
      </c>
      <c r="BP186" s="62"/>
      <c r="BQ186" s="63"/>
      <c r="BR186" s="63"/>
      <c r="BS186" s="63"/>
      <c r="BT186" s="63"/>
      <c r="BU186" s="63"/>
      <c r="BV186" s="63"/>
      <c r="BW186" s="63"/>
      <c r="BX186" s="63"/>
      <c r="BY186" s="63"/>
      <c r="BZ186" s="64">
        <f t="shared" si="1173"/>
        <v>0</v>
      </c>
      <c r="CA186" s="62"/>
      <c r="CB186" s="63"/>
      <c r="CC186" s="63"/>
      <c r="CD186" s="63"/>
      <c r="CE186" s="63"/>
      <c r="CF186" s="63"/>
      <c r="CG186" s="63"/>
      <c r="CH186" s="63"/>
      <c r="CI186" s="63"/>
      <c r="CJ186" s="63"/>
      <c r="CK186" s="64">
        <f t="shared" si="1174"/>
        <v>0</v>
      </c>
      <c r="CL186" s="65">
        <f t="shared" si="1175"/>
        <v>0</v>
      </c>
      <c r="CM186" s="65">
        <f t="shared" si="1175"/>
        <v>0</v>
      </c>
      <c r="CN186" s="65">
        <f t="shared" si="1175"/>
        <v>0</v>
      </c>
      <c r="CO186" s="65">
        <f t="shared" si="1175"/>
        <v>0</v>
      </c>
      <c r="CP186" s="65">
        <f t="shared" si="1175"/>
        <v>0</v>
      </c>
      <c r="CQ186" s="65">
        <f t="shared" si="1175"/>
        <v>0</v>
      </c>
      <c r="CR186" s="65">
        <f t="shared" si="1175"/>
        <v>0</v>
      </c>
      <c r="CS186" s="65">
        <f t="shared" si="1175"/>
        <v>0</v>
      </c>
      <c r="CT186" s="65">
        <f t="shared" si="1175"/>
        <v>0</v>
      </c>
      <c r="CU186" s="65">
        <f t="shared" si="1175"/>
        <v>0</v>
      </c>
      <c r="CV186" s="64">
        <f t="shared" si="1176"/>
        <v>0</v>
      </c>
      <c r="CW186" s="62"/>
      <c r="CX186" s="63"/>
      <c r="CY186" s="63"/>
      <c r="CZ186" s="63"/>
      <c r="DA186" s="63"/>
      <c r="DB186" s="63"/>
      <c r="DC186" s="63"/>
      <c r="DD186" s="63"/>
      <c r="DE186" s="63"/>
      <c r="DF186" s="63"/>
      <c r="DG186" s="64">
        <f t="shared" si="1177"/>
        <v>0</v>
      </c>
      <c r="DH186" s="62"/>
      <c r="DI186" s="63"/>
      <c r="DJ186" s="63"/>
      <c r="DK186" s="63"/>
      <c r="DL186" s="63"/>
      <c r="DM186" s="63"/>
      <c r="DN186" s="63"/>
      <c r="DO186" s="63"/>
      <c r="DP186" s="63"/>
      <c r="DQ186" s="63"/>
      <c r="DR186" s="64">
        <f t="shared" si="1178"/>
        <v>0</v>
      </c>
      <c r="DS186" s="62"/>
      <c r="DT186" s="63"/>
      <c r="DU186" s="63"/>
      <c r="DV186" s="63"/>
      <c r="DW186" s="63"/>
      <c r="DX186" s="63"/>
      <c r="DY186" s="63"/>
      <c r="DZ186" s="63"/>
      <c r="EA186" s="63"/>
      <c r="EB186" s="63"/>
      <c r="EC186" s="63"/>
      <c r="ED186" s="65">
        <f t="shared" si="1179"/>
        <v>0</v>
      </c>
      <c r="EE186" s="65">
        <f t="shared" si="1179"/>
        <v>0</v>
      </c>
      <c r="EF186" s="65">
        <f t="shared" si="1179"/>
        <v>0</v>
      </c>
      <c r="EG186" s="65">
        <f t="shared" si="1179"/>
        <v>0</v>
      </c>
      <c r="EH186" s="65">
        <f t="shared" si="1179"/>
        <v>0</v>
      </c>
      <c r="EI186" s="65">
        <f t="shared" si="1179"/>
        <v>0</v>
      </c>
      <c r="EJ186" s="65">
        <f t="shared" si="1179"/>
        <v>0</v>
      </c>
      <c r="EK186" s="65">
        <f t="shared" si="1179"/>
        <v>0</v>
      </c>
      <c r="EL186" s="65">
        <f t="shared" si="1179"/>
        <v>0</v>
      </c>
      <c r="EM186" s="65">
        <f t="shared" si="1179"/>
        <v>0</v>
      </c>
      <c r="EN186" s="64">
        <f t="shared" si="1180"/>
        <v>0</v>
      </c>
      <c r="EO186" s="62"/>
      <c r="EP186" s="63"/>
      <c r="EQ186" s="63"/>
      <c r="ER186" s="63"/>
      <c r="ES186" s="63"/>
      <c r="ET186" s="63"/>
      <c r="EU186" s="63"/>
      <c r="EV186" s="63"/>
      <c r="EW186" s="63"/>
      <c r="EX186" s="63"/>
      <c r="EY186" s="64">
        <f t="shared" si="1181"/>
        <v>0</v>
      </c>
      <c r="EZ186" s="62"/>
      <c r="FA186" s="63"/>
      <c r="FB186" s="63"/>
      <c r="FC186" s="63"/>
      <c r="FD186" s="63"/>
      <c r="FE186" s="63"/>
      <c r="FF186" s="63"/>
      <c r="FG186" s="63"/>
      <c r="FH186" s="63"/>
      <c r="FI186" s="63"/>
      <c r="FJ186" s="64">
        <f t="shared" si="1182"/>
        <v>0</v>
      </c>
      <c r="FK186" s="62"/>
      <c r="FL186" s="63"/>
      <c r="FM186" s="63"/>
      <c r="FN186" s="63"/>
      <c r="FO186" s="63"/>
      <c r="FP186" s="63"/>
      <c r="FQ186" s="63"/>
      <c r="FR186" s="63"/>
      <c r="FS186" s="63"/>
      <c r="FT186" s="63"/>
      <c r="FU186" s="64">
        <f t="shared" si="1183"/>
        <v>0</v>
      </c>
      <c r="FV186" s="65">
        <f t="shared" si="1184"/>
        <v>0</v>
      </c>
      <c r="FW186" s="65">
        <f t="shared" si="1184"/>
        <v>0</v>
      </c>
      <c r="FX186" s="65">
        <f t="shared" si="1184"/>
        <v>0</v>
      </c>
      <c r="FY186" s="65">
        <f t="shared" si="1184"/>
        <v>0</v>
      </c>
      <c r="FZ186" s="65">
        <f t="shared" si="1184"/>
        <v>0</v>
      </c>
      <c r="GA186" s="65">
        <f t="shared" si="1184"/>
        <v>0</v>
      </c>
      <c r="GB186" s="65">
        <f t="shared" si="1184"/>
        <v>0</v>
      </c>
      <c r="GC186" s="65">
        <f t="shared" si="1184"/>
        <v>0</v>
      </c>
      <c r="GD186" s="65">
        <f t="shared" si="1184"/>
        <v>0</v>
      </c>
      <c r="GE186" s="65">
        <f t="shared" si="1184"/>
        <v>0</v>
      </c>
      <c r="GF186" s="64">
        <f t="shared" si="1185"/>
        <v>0</v>
      </c>
      <c r="GG186" s="66">
        <f t="shared" si="1186"/>
        <v>0</v>
      </c>
      <c r="GH186" s="66">
        <f t="shared" si="1186"/>
        <v>0</v>
      </c>
      <c r="GI186" s="66">
        <f t="shared" si="1186"/>
        <v>0</v>
      </c>
      <c r="GJ186" s="66">
        <f t="shared" si="1186"/>
        <v>0</v>
      </c>
      <c r="GK186" s="66">
        <f t="shared" si="1186"/>
        <v>0</v>
      </c>
      <c r="GL186" s="66">
        <f t="shared" si="1186"/>
        <v>0</v>
      </c>
      <c r="GM186" s="66">
        <f t="shared" si="1186"/>
        <v>0</v>
      </c>
      <c r="GN186" s="66">
        <f t="shared" si="1186"/>
        <v>0</v>
      </c>
      <c r="GO186" s="66">
        <f t="shared" si="1186"/>
        <v>0</v>
      </c>
      <c r="GP186" s="66">
        <f t="shared" si="1186"/>
        <v>0</v>
      </c>
      <c r="GQ186" s="64">
        <f t="shared" si="1187"/>
        <v>0</v>
      </c>
      <c r="GR186" s="63"/>
      <c r="GS186" s="63"/>
      <c r="GT186" s="63"/>
      <c r="GU186" s="63"/>
      <c r="GV186" s="67">
        <f t="shared" si="1188"/>
        <v>0</v>
      </c>
      <c r="GW186" s="63"/>
      <c r="GX186" s="63"/>
      <c r="GY186" s="63"/>
      <c r="GZ186" s="63"/>
      <c r="HA186" s="67">
        <f t="shared" si="1189"/>
        <v>0</v>
      </c>
      <c r="HB186" s="63"/>
      <c r="HC186" s="63"/>
      <c r="HD186" s="63"/>
      <c r="HE186" s="63"/>
      <c r="HF186" s="67">
        <f t="shared" si="1190"/>
        <v>0</v>
      </c>
      <c r="HG186" s="63"/>
      <c r="HH186" s="63"/>
      <c r="HI186" s="63"/>
      <c r="HJ186" s="63"/>
      <c r="HK186" s="67">
        <f t="shared" si="1191"/>
        <v>0</v>
      </c>
      <c r="HL186" s="68">
        <f t="shared" si="1192"/>
        <v>0</v>
      </c>
      <c r="HM186" s="68">
        <f t="shared" si="1192"/>
        <v>0</v>
      </c>
      <c r="HN186" s="68">
        <f t="shared" si="1192"/>
        <v>0</v>
      </c>
      <c r="HO186" s="68">
        <f t="shared" si="1192"/>
        <v>0</v>
      </c>
      <c r="HP186" s="67">
        <f t="shared" si="1193"/>
        <v>0</v>
      </c>
      <c r="HQ186" s="63"/>
      <c r="HR186" s="63"/>
      <c r="HS186" s="63"/>
      <c r="HT186" s="63"/>
      <c r="HU186" s="67">
        <f t="shared" si="1194"/>
        <v>0</v>
      </c>
      <c r="HV186" s="63"/>
      <c r="HW186" s="63"/>
      <c r="HX186" s="63"/>
      <c r="HY186" s="63"/>
      <c r="HZ186" s="67">
        <f t="shared" si="1195"/>
        <v>0</v>
      </c>
      <c r="IA186" s="63"/>
      <c r="IB186" s="63"/>
      <c r="IC186" s="63"/>
      <c r="ID186" s="63"/>
      <c r="IE186" s="67">
        <f t="shared" si="1196"/>
        <v>0</v>
      </c>
      <c r="IF186" s="68">
        <f t="shared" si="1197"/>
        <v>0</v>
      </c>
      <c r="IG186" s="68">
        <f t="shared" si="1197"/>
        <v>0</v>
      </c>
      <c r="IH186" s="68">
        <f t="shared" si="1197"/>
        <v>0</v>
      </c>
      <c r="II186" s="68">
        <f t="shared" si="1197"/>
        <v>0</v>
      </c>
      <c r="IJ186" s="67">
        <f t="shared" si="1198"/>
        <v>0</v>
      </c>
      <c r="IK186" s="63"/>
      <c r="IL186" s="63"/>
      <c r="IM186" s="63"/>
      <c r="IN186" s="63"/>
      <c r="IO186" s="67">
        <f t="shared" si="1199"/>
        <v>0</v>
      </c>
      <c r="IP186" s="63"/>
      <c r="IQ186" s="63"/>
      <c r="IR186" s="63"/>
      <c r="IS186" s="63"/>
      <c r="IT186" s="67">
        <f t="shared" si="1200"/>
        <v>0</v>
      </c>
      <c r="IU186" s="63"/>
      <c r="IV186" s="63"/>
    </row>
    <row r="187" spans="1:256" s="150" customFormat="1" ht="14.1" customHeight="1" x14ac:dyDescent="0.25">
      <c r="A187" s="152" t="s">
        <v>374</v>
      </c>
      <c r="B187" s="62"/>
      <c r="C187" s="63"/>
      <c r="D187" s="63"/>
      <c r="E187" s="63"/>
      <c r="F187" s="63"/>
      <c r="G187" s="63"/>
      <c r="H187" s="63"/>
      <c r="I187" s="63"/>
      <c r="J187" s="63"/>
      <c r="K187" s="63"/>
      <c r="L187" s="64"/>
      <c r="M187" s="62"/>
      <c r="N187" s="63"/>
      <c r="O187" s="63"/>
      <c r="P187" s="63"/>
      <c r="Q187" s="63"/>
      <c r="R187" s="63"/>
      <c r="S187" s="63"/>
      <c r="T187" s="63"/>
      <c r="U187" s="63"/>
      <c r="V187" s="63"/>
      <c r="W187" s="64"/>
      <c r="X187" s="62"/>
      <c r="Y187" s="63"/>
      <c r="Z187" s="63"/>
      <c r="AA187" s="63"/>
      <c r="AB187" s="63"/>
      <c r="AC187" s="63"/>
      <c r="AD187" s="63"/>
      <c r="AE187" s="63"/>
      <c r="AF187" s="63"/>
      <c r="AG187" s="63"/>
      <c r="AH187" s="64"/>
      <c r="AI187" s="62"/>
      <c r="AJ187" s="63"/>
      <c r="AK187" s="63"/>
      <c r="AL187" s="63"/>
      <c r="AM187" s="63"/>
      <c r="AN187" s="63"/>
      <c r="AO187" s="63"/>
      <c r="AP187" s="63"/>
      <c r="AQ187" s="63"/>
      <c r="AR187" s="63"/>
      <c r="AS187" s="64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4"/>
      <c r="BE187" s="62"/>
      <c r="BF187" s="63"/>
      <c r="BG187" s="63"/>
      <c r="BH187" s="63"/>
      <c r="BI187" s="63"/>
      <c r="BJ187" s="63"/>
      <c r="BK187" s="63"/>
      <c r="BL187" s="63"/>
      <c r="BM187" s="63"/>
      <c r="BN187" s="63"/>
      <c r="BO187" s="64"/>
      <c r="BP187" s="62"/>
      <c r="BQ187" s="63"/>
      <c r="BR187" s="63"/>
      <c r="BS187" s="63"/>
      <c r="BT187" s="63"/>
      <c r="BU187" s="63"/>
      <c r="BV187" s="63"/>
      <c r="BW187" s="63"/>
      <c r="BX187" s="63"/>
      <c r="BY187" s="63"/>
      <c r="BZ187" s="64"/>
      <c r="CA187" s="62"/>
      <c r="CB187" s="63"/>
      <c r="CC187" s="63"/>
      <c r="CD187" s="63"/>
      <c r="CE187" s="63"/>
      <c r="CF187" s="63"/>
      <c r="CG187" s="63"/>
      <c r="CH187" s="63"/>
      <c r="CI187" s="63"/>
      <c r="CJ187" s="63"/>
      <c r="CK187" s="64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4"/>
      <c r="CW187" s="62"/>
      <c r="CX187" s="63"/>
      <c r="CY187" s="63"/>
      <c r="CZ187" s="63"/>
      <c r="DA187" s="63"/>
      <c r="DB187" s="63"/>
      <c r="DC187" s="63"/>
      <c r="DD187" s="63"/>
      <c r="DE187" s="63"/>
      <c r="DF187" s="63"/>
      <c r="DG187" s="64"/>
      <c r="DH187" s="62"/>
      <c r="DI187" s="63"/>
      <c r="DJ187" s="63"/>
      <c r="DK187" s="63"/>
      <c r="DL187" s="63"/>
      <c r="DM187" s="63"/>
      <c r="DN187" s="63"/>
      <c r="DO187" s="63"/>
      <c r="DP187" s="63"/>
      <c r="DQ187" s="63"/>
      <c r="DR187" s="64"/>
      <c r="DS187" s="62"/>
      <c r="DT187" s="63"/>
      <c r="DU187" s="63"/>
      <c r="DV187" s="63"/>
      <c r="DW187" s="63"/>
      <c r="DX187" s="63"/>
      <c r="DY187" s="63"/>
      <c r="DZ187" s="63"/>
      <c r="EA187" s="63"/>
      <c r="EB187" s="63"/>
      <c r="EC187" s="63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4"/>
      <c r="EO187" s="62"/>
      <c r="EP187" s="63"/>
      <c r="EQ187" s="63"/>
      <c r="ER187" s="63"/>
      <c r="ES187" s="63"/>
      <c r="ET187" s="63"/>
      <c r="EU187" s="63"/>
      <c r="EV187" s="63"/>
      <c r="EW187" s="63"/>
      <c r="EX187" s="63"/>
      <c r="EY187" s="64"/>
      <c r="EZ187" s="62"/>
      <c r="FA187" s="63"/>
      <c r="FB187" s="63"/>
      <c r="FC187" s="63"/>
      <c r="FD187" s="63"/>
      <c r="FE187" s="63"/>
      <c r="FF187" s="63"/>
      <c r="FG187" s="63"/>
      <c r="FH187" s="63"/>
      <c r="FI187" s="63"/>
      <c r="FJ187" s="64"/>
      <c r="FK187" s="62"/>
      <c r="FL187" s="63"/>
      <c r="FM187" s="63"/>
      <c r="FN187" s="63"/>
      <c r="FO187" s="63"/>
      <c r="FP187" s="63"/>
      <c r="FQ187" s="63"/>
      <c r="FR187" s="63"/>
      <c r="FS187" s="63"/>
      <c r="FT187" s="63"/>
      <c r="FU187" s="64"/>
      <c r="FV187" s="65">
        <f t="shared" si="1184"/>
        <v>0</v>
      </c>
      <c r="FW187" s="65">
        <f t="shared" si="1184"/>
        <v>0</v>
      </c>
      <c r="FX187" s="65">
        <f t="shared" si="1184"/>
        <v>0</v>
      </c>
      <c r="FY187" s="65">
        <f t="shared" si="1184"/>
        <v>0</v>
      </c>
      <c r="FZ187" s="65">
        <f t="shared" si="1184"/>
        <v>0</v>
      </c>
      <c r="GA187" s="65">
        <f t="shared" si="1184"/>
        <v>0</v>
      </c>
      <c r="GB187" s="65">
        <f t="shared" si="1184"/>
        <v>0</v>
      </c>
      <c r="GC187" s="65">
        <f t="shared" si="1184"/>
        <v>0</v>
      </c>
      <c r="GD187" s="65">
        <f t="shared" si="1184"/>
        <v>0</v>
      </c>
      <c r="GE187" s="65">
        <f t="shared" si="1184"/>
        <v>0</v>
      </c>
      <c r="GF187" s="64">
        <f t="shared" si="1185"/>
        <v>0</v>
      </c>
      <c r="GG187" s="66">
        <f t="shared" si="1186"/>
        <v>0</v>
      </c>
      <c r="GH187" s="66">
        <f t="shared" si="1186"/>
        <v>0</v>
      </c>
      <c r="GI187" s="66">
        <f t="shared" si="1186"/>
        <v>0</v>
      </c>
      <c r="GJ187" s="66">
        <f t="shared" si="1186"/>
        <v>0</v>
      </c>
      <c r="GK187" s="66">
        <f t="shared" si="1186"/>
        <v>0</v>
      </c>
      <c r="GL187" s="66">
        <f t="shared" si="1186"/>
        <v>0</v>
      </c>
      <c r="GM187" s="66">
        <f t="shared" si="1186"/>
        <v>0</v>
      </c>
      <c r="GN187" s="66">
        <f t="shared" si="1186"/>
        <v>0</v>
      </c>
      <c r="GO187" s="66">
        <f t="shared" si="1186"/>
        <v>0</v>
      </c>
      <c r="GP187" s="66">
        <f t="shared" si="1186"/>
        <v>0</v>
      </c>
      <c r="GQ187" s="64">
        <f t="shared" si="1187"/>
        <v>0</v>
      </c>
      <c r="GR187" s="63"/>
      <c r="GS187" s="63"/>
      <c r="GT187" s="63"/>
      <c r="GU187" s="63"/>
      <c r="GV187" s="67">
        <f t="shared" si="1188"/>
        <v>0</v>
      </c>
      <c r="GW187" s="63"/>
      <c r="GX187" s="63"/>
      <c r="GY187" s="63"/>
      <c r="GZ187" s="63"/>
      <c r="HA187" s="67">
        <f t="shared" si="1189"/>
        <v>0</v>
      </c>
      <c r="HB187" s="63"/>
      <c r="HC187" s="63"/>
      <c r="HD187" s="63"/>
      <c r="HE187" s="63"/>
      <c r="HF187" s="67">
        <f t="shared" si="1190"/>
        <v>0</v>
      </c>
      <c r="HG187" s="63"/>
      <c r="HH187" s="63"/>
      <c r="HI187" s="63"/>
      <c r="HJ187" s="63"/>
      <c r="HK187" s="67">
        <f t="shared" si="1191"/>
        <v>0</v>
      </c>
      <c r="HL187" s="68">
        <f t="shared" si="1192"/>
        <v>0</v>
      </c>
      <c r="HM187" s="68">
        <f t="shared" si="1192"/>
        <v>0</v>
      </c>
      <c r="HN187" s="68">
        <f t="shared" si="1192"/>
        <v>0</v>
      </c>
      <c r="HO187" s="68">
        <f t="shared" si="1192"/>
        <v>0</v>
      </c>
      <c r="HP187" s="67">
        <f t="shared" si="1193"/>
        <v>0</v>
      </c>
      <c r="HQ187" s="63"/>
      <c r="HR187" s="63"/>
      <c r="HS187" s="63"/>
      <c r="HT187" s="63"/>
      <c r="HU187" s="67">
        <f t="shared" si="1194"/>
        <v>0</v>
      </c>
      <c r="HV187" s="63"/>
      <c r="HW187" s="63"/>
      <c r="HX187" s="63"/>
      <c r="HY187" s="63"/>
      <c r="HZ187" s="67">
        <f t="shared" si="1195"/>
        <v>0</v>
      </c>
      <c r="IA187" s="63"/>
      <c r="IB187" s="63"/>
      <c r="IC187" s="63"/>
      <c r="ID187" s="63"/>
      <c r="IE187" s="67">
        <f t="shared" si="1196"/>
        <v>0</v>
      </c>
      <c r="IF187" s="68">
        <f t="shared" si="1197"/>
        <v>0</v>
      </c>
      <c r="IG187" s="68">
        <f t="shared" si="1197"/>
        <v>0</v>
      </c>
      <c r="IH187" s="68">
        <f t="shared" si="1197"/>
        <v>0</v>
      </c>
      <c r="II187" s="68">
        <f t="shared" si="1197"/>
        <v>0</v>
      </c>
      <c r="IJ187" s="67">
        <f t="shared" si="1198"/>
        <v>0</v>
      </c>
      <c r="IK187" s="63"/>
      <c r="IL187" s="63"/>
      <c r="IM187" s="63"/>
      <c r="IN187" s="63"/>
      <c r="IO187" s="67">
        <f t="shared" si="1199"/>
        <v>0</v>
      </c>
      <c r="IP187" s="63"/>
      <c r="IQ187" s="63"/>
      <c r="IR187" s="63"/>
      <c r="IS187" s="63"/>
      <c r="IT187" s="67">
        <f t="shared" si="1200"/>
        <v>0</v>
      </c>
      <c r="IU187" s="63"/>
      <c r="IV187" s="63"/>
    </row>
    <row r="188" spans="1:256" s="48" customFormat="1" x14ac:dyDescent="0.2">
      <c r="A188" s="109" t="s">
        <v>166</v>
      </c>
      <c r="B188" s="153"/>
      <c r="C188" s="153">
        <f t="shared" ref="C188:L188" si="1201">SUM(C189,C205,C215,C228,C241)</f>
        <v>3361</v>
      </c>
      <c r="D188" s="153">
        <f t="shared" si="1201"/>
        <v>0</v>
      </c>
      <c r="E188" s="153">
        <f t="shared" si="1201"/>
        <v>0</v>
      </c>
      <c r="F188" s="153">
        <f t="shared" si="1201"/>
        <v>0</v>
      </c>
      <c r="G188" s="153">
        <f t="shared" si="1201"/>
        <v>26</v>
      </c>
      <c r="H188" s="153">
        <f t="shared" si="1201"/>
        <v>0</v>
      </c>
      <c r="I188" s="153">
        <f t="shared" si="1201"/>
        <v>0</v>
      </c>
      <c r="J188" s="153">
        <f t="shared" si="1201"/>
        <v>0</v>
      </c>
      <c r="K188" s="153">
        <f t="shared" si="1201"/>
        <v>0</v>
      </c>
      <c r="L188" s="153">
        <f t="shared" si="1201"/>
        <v>3361</v>
      </c>
      <c r="M188" s="153"/>
      <c r="N188" s="153">
        <f t="shared" ref="N188:V188" si="1202">SUM(N189,N205,N215,N228,N241)</f>
        <v>0</v>
      </c>
      <c r="O188" s="153">
        <f t="shared" si="1202"/>
        <v>0</v>
      </c>
      <c r="P188" s="153">
        <f t="shared" si="1202"/>
        <v>0</v>
      </c>
      <c r="Q188" s="153">
        <f t="shared" si="1202"/>
        <v>0</v>
      </c>
      <c r="R188" s="153">
        <f t="shared" si="1202"/>
        <v>0</v>
      </c>
      <c r="S188" s="153">
        <f t="shared" si="1202"/>
        <v>0</v>
      </c>
      <c r="T188" s="153">
        <f t="shared" si="1202"/>
        <v>0</v>
      </c>
      <c r="U188" s="153">
        <f t="shared" si="1202"/>
        <v>0</v>
      </c>
      <c r="V188" s="153">
        <f t="shared" si="1202"/>
        <v>0</v>
      </c>
      <c r="W188" s="153">
        <f>SUM(W189,W205,W215,W228,W241)</f>
        <v>0</v>
      </c>
      <c r="X188" s="153"/>
      <c r="Y188" s="153">
        <f t="shared" ref="Y188:AG188" si="1203">SUM(Y189,Y205,Y215,Y228,Y241)</f>
        <v>0</v>
      </c>
      <c r="Z188" s="153">
        <f t="shared" si="1203"/>
        <v>0</v>
      </c>
      <c r="AA188" s="153">
        <f t="shared" si="1203"/>
        <v>0</v>
      </c>
      <c r="AB188" s="153">
        <f t="shared" si="1203"/>
        <v>0</v>
      </c>
      <c r="AC188" s="153">
        <f t="shared" si="1203"/>
        <v>0</v>
      </c>
      <c r="AD188" s="153">
        <f t="shared" si="1203"/>
        <v>0</v>
      </c>
      <c r="AE188" s="153">
        <f t="shared" si="1203"/>
        <v>0</v>
      </c>
      <c r="AF188" s="153">
        <f t="shared" si="1203"/>
        <v>0</v>
      </c>
      <c r="AG188" s="153">
        <f t="shared" si="1203"/>
        <v>0</v>
      </c>
      <c r="AH188" s="153">
        <f>SUM(AH189,AH205,AH215,AH228,AH241)</f>
        <v>0</v>
      </c>
      <c r="AI188" s="153"/>
      <c r="AJ188" s="153">
        <f t="shared" ref="AJ188:AR188" si="1204">SUM(AJ189,AJ205,AJ215,AJ228,AJ241)</f>
        <v>0</v>
      </c>
      <c r="AK188" s="153">
        <f t="shared" si="1204"/>
        <v>0</v>
      </c>
      <c r="AL188" s="153">
        <f t="shared" si="1204"/>
        <v>0</v>
      </c>
      <c r="AM188" s="153">
        <f t="shared" si="1204"/>
        <v>0</v>
      </c>
      <c r="AN188" s="153">
        <f t="shared" si="1204"/>
        <v>0</v>
      </c>
      <c r="AO188" s="153">
        <f t="shared" si="1204"/>
        <v>0</v>
      </c>
      <c r="AP188" s="153">
        <f t="shared" si="1204"/>
        <v>0</v>
      </c>
      <c r="AQ188" s="153">
        <f t="shared" si="1204"/>
        <v>0</v>
      </c>
      <c r="AR188" s="153">
        <f t="shared" si="1204"/>
        <v>0</v>
      </c>
      <c r="AS188" s="153">
        <f t="shared" ref="AS188:BD188" si="1205">SUM(AS189,AS205,AS215,AS228,AS241)</f>
        <v>0</v>
      </c>
      <c r="AT188" s="153">
        <f t="shared" si="1205"/>
        <v>0</v>
      </c>
      <c r="AU188" s="153">
        <f t="shared" si="1205"/>
        <v>0</v>
      </c>
      <c r="AV188" s="153">
        <f t="shared" si="1205"/>
        <v>0</v>
      </c>
      <c r="AW188" s="153">
        <f t="shared" si="1205"/>
        <v>0</v>
      </c>
      <c r="AX188" s="153">
        <f t="shared" si="1205"/>
        <v>0</v>
      </c>
      <c r="AY188" s="153">
        <f t="shared" si="1205"/>
        <v>0</v>
      </c>
      <c r="AZ188" s="153">
        <f t="shared" si="1205"/>
        <v>0</v>
      </c>
      <c r="BA188" s="153">
        <f t="shared" si="1205"/>
        <v>0</v>
      </c>
      <c r="BB188" s="153">
        <f t="shared" si="1205"/>
        <v>0</v>
      </c>
      <c r="BC188" s="153">
        <f t="shared" si="1205"/>
        <v>0</v>
      </c>
      <c r="BD188" s="153">
        <f t="shared" si="1205"/>
        <v>0</v>
      </c>
      <c r="BE188" s="153"/>
      <c r="BF188" s="153">
        <f t="shared" ref="BF188:BN188" si="1206">SUM(BF189,BF205,BF215,BF228,BF241)</f>
        <v>0</v>
      </c>
      <c r="BG188" s="153">
        <f t="shared" si="1206"/>
        <v>0</v>
      </c>
      <c r="BH188" s="153">
        <f t="shared" si="1206"/>
        <v>0</v>
      </c>
      <c r="BI188" s="153">
        <f t="shared" si="1206"/>
        <v>0</v>
      </c>
      <c r="BJ188" s="153">
        <f t="shared" si="1206"/>
        <v>0</v>
      </c>
      <c r="BK188" s="153">
        <f t="shared" si="1206"/>
        <v>0</v>
      </c>
      <c r="BL188" s="153">
        <f t="shared" si="1206"/>
        <v>0</v>
      </c>
      <c r="BM188" s="153">
        <f t="shared" si="1206"/>
        <v>0</v>
      </c>
      <c r="BN188" s="153">
        <f t="shared" si="1206"/>
        <v>0</v>
      </c>
      <c r="BO188" s="153">
        <f>SUM(BO189,BO205,BO215,BO228,BO241)</f>
        <v>0</v>
      </c>
      <c r="BP188" s="153"/>
      <c r="BQ188" s="153">
        <f t="shared" ref="BQ188:BY188" si="1207">SUM(BQ189,BQ205,BQ215,BQ228,BQ241)</f>
        <v>0</v>
      </c>
      <c r="BR188" s="153">
        <f t="shared" si="1207"/>
        <v>0</v>
      </c>
      <c r="BS188" s="153">
        <f t="shared" si="1207"/>
        <v>0</v>
      </c>
      <c r="BT188" s="153">
        <f t="shared" si="1207"/>
        <v>0</v>
      </c>
      <c r="BU188" s="153">
        <f t="shared" si="1207"/>
        <v>0</v>
      </c>
      <c r="BV188" s="153">
        <f t="shared" si="1207"/>
        <v>0</v>
      </c>
      <c r="BW188" s="153">
        <f t="shared" si="1207"/>
        <v>0</v>
      </c>
      <c r="BX188" s="153">
        <f t="shared" si="1207"/>
        <v>0</v>
      </c>
      <c r="BY188" s="153">
        <f t="shared" si="1207"/>
        <v>0</v>
      </c>
      <c r="BZ188" s="153">
        <f>SUM(BZ189,BZ205,BZ215,BZ228,BZ241)</f>
        <v>0</v>
      </c>
      <c r="CA188" s="153"/>
      <c r="CB188" s="153">
        <f t="shared" ref="CB188:CJ188" si="1208">SUM(CB189,CB205,CB215,CB228,CB241)</f>
        <v>0</v>
      </c>
      <c r="CC188" s="153">
        <f t="shared" si="1208"/>
        <v>0</v>
      </c>
      <c r="CD188" s="153">
        <f t="shared" si="1208"/>
        <v>0</v>
      </c>
      <c r="CE188" s="153">
        <f t="shared" si="1208"/>
        <v>0</v>
      </c>
      <c r="CF188" s="153">
        <f t="shared" si="1208"/>
        <v>0</v>
      </c>
      <c r="CG188" s="153">
        <f t="shared" si="1208"/>
        <v>0</v>
      </c>
      <c r="CH188" s="153">
        <f t="shared" si="1208"/>
        <v>0</v>
      </c>
      <c r="CI188" s="153">
        <f t="shared" si="1208"/>
        <v>0</v>
      </c>
      <c r="CJ188" s="153">
        <f t="shared" si="1208"/>
        <v>0</v>
      </c>
      <c r="CK188" s="153">
        <f t="shared" ref="CK188:CV188" si="1209">SUM(CK189,CK205,CK215,CK228,CK241)</f>
        <v>0</v>
      </c>
      <c r="CL188" s="153">
        <f t="shared" si="1209"/>
        <v>0</v>
      </c>
      <c r="CM188" s="153">
        <f t="shared" si="1209"/>
        <v>0</v>
      </c>
      <c r="CN188" s="153">
        <f t="shared" si="1209"/>
        <v>0</v>
      </c>
      <c r="CO188" s="153">
        <f t="shared" si="1209"/>
        <v>0</v>
      </c>
      <c r="CP188" s="153">
        <f t="shared" si="1209"/>
        <v>0</v>
      </c>
      <c r="CQ188" s="153">
        <f t="shared" si="1209"/>
        <v>0</v>
      </c>
      <c r="CR188" s="153">
        <f t="shared" si="1209"/>
        <v>0</v>
      </c>
      <c r="CS188" s="153">
        <f t="shared" si="1209"/>
        <v>0</v>
      </c>
      <c r="CT188" s="153">
        <f t="shared" si="1209"/>
        <v>0</v>
      </c>
      <c r="CU188" s="153">
        <f t="shared" si="1209"/>
        <v>0</v>
      </c>
      <c r="CV188" s="153">
        <f t="shared" si="1209"/>
        <v>0</v>
      </c>
      <c r="CW188" s="153"/>
      <c r="CX188" s="153">
        <f t="shared" ref="CX188:DF188" si="1210">SUM(CX189,CX205,CX215,CX228,CX241)</f>
        <v>0</v>
      </c>
      <c r="CY188" s="153">
        <f t="shared" si="1210"/>
        <v>0</v>
      </c>
      <c r="CZ188" s="153">
        <f t="shared" si="1210"/>
        <v>0</v>
      </c>
      <c r="DA188" s="153">
        <f t="shared" si="1210"/>
        <v>0</v>
      </c>
      <c r="DB188" s="153">
        <f t="shared" si="1210"/>
        <v>0</v>
      </c>
      <c r="DC188" s="153">
        <f t="shared" si="1210"/>
        <v>0</v>
      </c>
      <c r="DD188" s="153">
        <f t="shared" si="1210"/>
        <v>0</v>
      </c>
      <c r="DE188" s="153">
        <f t="shared" si="1210"/>
        <v>0</v>
      </c>
      <c r="DF188" s="153">
        <f t="shared" si="1210"/>
        <v>0</v>
      </c>
      <c r="DG188" s="153">
        <f>SUM(DG189,DG205,DG215,DG228,DG241)</f>
        <v>0</v>
      </c>
      <c r="DH188" s="153"/>
      <c r="DI188" s="153">
        <f t="shared" ref="DI188:DQ188" si="1211">SUM(DI189,DI205,DI215,DI228,DI241)</f>
        <v>0</v>
      </c>
      <c r="DJ188" s="153">
        <f t="shared" si="1211"/>
        <v>0</v>
      </c>
      <c r="DK188" s="153">
        <f t="shared" si="1211"/>
        <v>0</v>
      </c>
      <c r="DL188" s="153">
        <f t="shared" si="1211"/>
        <v>0</v>
      </c>
      <c r="DM188" s="153">
        <f t="shared" si="1211"/>
        <v>0</v>
      </c>
      <c r="DN188" s="153">
        <f t="shared" si="1211"/>
        <v>0</v>
      </c>
      <c r="DO188" s="153">
        <f t="shared" si="1211"/>
        <v>0</v>
      </c>
      <c r="DP188" s="153">
        <f t="shared" si="1211"/>
        <v>0</v>
      </c>
      <c r="DQ188" s="153">
        <f t="shared" si="1211"/>
        <v>0</v>
      </c>
      <c r="DR188" s="153">
        <f>SUM(DR189,DR205,DR215,DR228,DR241)</f>
        <v>0</v>
      </c>
      <c r="DS188" s="153"/>
      <c r="DT188" s="153">
        <f t="shared" ref="DT188:EB188" si="1212">SUM(DT189,DT205,DT215,DT228,DT241)</f>
        <v>0</v>
      </c>
      <c r="DU188" s="153">
        <f t="shared" si="1212"/>
        <v>0</v>
      </c>
      <c r="DV188" s="153">
        <f t="shared" si="1212"/>
        <v>0</v>
      </c>
      <c r="DW188" s="153">
        <f t="shared" si="1212"/>
        <v>0</v>
      </c>
      <c r="DX188" s="153">
        <f t="shared" si="1212"/>
        <v>0</v>
      </c>
      <c r="DY188" s="153">
        <f t="shared" si="1212"/>
        <v>0</v>
      </c>
      <c r="DZ188" s="153">
        <f t="shared" si="1212"/>
        <v>0</v>
      </c>
      <c r="EA188" s="153">
        <f t="shared" si="1212"/>
        <v>0</v>
      </c>
      <c r="EB188" s="153">
        <f t="shared" si="1212"/>
        <v>0</v>
      </c>
      <c r="EC188" s="153">
        <f t="shared" ref="EC188:EK188" si="1213">SUM(EC189,EC205,EC215,EC228,EC241)</f>
        <v>0</v>
      </c>
      <c r="ED188" s="153">
        <f t="shared" si="1213"/>
        <v>0</v>
      </c>
      <c r="EE188" s="153">
        <f t="shared" si="1213"/>
        <v>0</v>
      </c>
      <c r="EF188" s="153">
        <f t="shared" si="1213"/>
        <v>0</v>
      </c>
      <c r="EG188" s="153">
        <f t="shared" si="1213"/>
        <v>0</v>
      </c>
      <c r="EH188" s="153">
        <f t="shared" si="1213"/>
        <v>0</v>
      </c>
      <c r="EI188" s="153">
        <f t="shared" si="1213"/>
        <v>0</v>
      </c>
      <c r="EJ188" s="153">
        <f t="shared" si="1213"/>
        <v>0</v>
      </c>
      <c r="EK188" s="153">
        <f t="shared" si="1213"/>
        <v>0</v>
      </c>
      <c r="EL188" s="153">
        <f t="shared" ref="EL188:GW188" si="1214">SUM(EL189,EL205,EL215,EL228,EL241)</f>
        <v>0</v>
      </c>
      <c r="EM188" s="153">
        <f t="shared" si="1214"/>
        <v>0</v>
      </c>
      <c r="EN188" s="153">
        <f t="shared" si="1214"/>
        <v>0</v>
      </c>
      <c r="EO188" s="153"/>
      <c r="EP188" s="153">
        <f t="shared" ref="EP188:EX188" si="1215">SUM(EP189,EP205,EP215,EP228,EP241)</f>
        <v>0</v>
      </c>
      <c r="EQ188" s="153">
        <f t="shared" si="1215"/>
        <v>0</v>
      </c>
      <c r="ER188" s="153">
        <f t="shared" si="1215"/>
        <v>0</v>
      </c>
      <c r="ES188" s="153">
        <f t="shared" si="1215"/>
        <v>0</v>
      </c>
      <c r="ET188" s="153">
        <f t="shared" si="1215"/>
        <v>0</v>
      </c>
      <c r="EU188" s="153">
        <f t="shared" si="1215"/>
        <v>0</v>
      </c>
      <c r="EV188" s="153">
        <f t="shared" si="1215"/>
        <v>0</v>
      </c>
      <c r="EW188" s="153">
        <f t="shared" si="1215"/>
        <v>0</v>
      </c>
      <c r="EX188" s="153">
        <f t="shared" si="1215"/>
        <v>0</v>
      </c>
      <c r="EY188" s="153">
        <f t="shared" si="1214"/>
        <v>0</v>
      </c>
      <c r="EZ188" s="153"/>
      <c r="FA188" s="153">
        <f t="shared" ref="FA188:FI188" si="1216">SUM(FA189,FA205,FA215,FA228,FA241)</f>
        <v>0</v>
      </c>
      <c r="FB188" s="153">
        <f t="shared" si="1216"/>
        <v>0</v>
      </c>
      <c r="FC188" s="153">
        <f t="shared" si="1216"/>
        <v>0</v>
      </c>
      <c r="FD188" s="153">
        <f t="shared" si="1216"/>
        <v>0</v>
      </c>
      <c r="FE188" s="153">
        <f t="shared" si="1216"/>
        <v>0</v>
      </c>
      <c r="FF188" s="153">
        <f t="shared" si="1216"/>
        <v>0</v>
      </c>
      <c r="FG188" s="153">
        <f t="shared" si="1216"/>
        <v>0</v>
      </c>
      <c r="FH188" s="153">
        <f t="shared" si="1216"/>
        <v>0</v>
      </c>
      <c r="FI188" s="153">
        <f t="shared" si="1216"/>
        <v>0</v>
      </c>
      <c r="FJ188" s="153">
        <f t="shared" si="1214"/>
        <v>0</v>
      </c>
      <c r="FK188" s="153"/>
      <c r="FL188" s="153">
        <f t="shared" ref="FL188:FT188" si="1217">SUM(FL189,FL205,FL215,FL228,FL241)</f>
        <v>0</v>
      </c>
      <c r="FM188" s="153">
        <f t="shared" si="1217"/>
        <v>0</v>
      </c>
      <c r="FN188" s="153">
        <f t="shared" si="1217"/>
        <v>0</v>
      </c>
      <c r="FO188" s="153">
        <f t="shared" si="1217"/>
        <v>0</v>
      </c>
      <c r="FP188" s="153">
        <f t="shared" si="1217"/>
        <v>0</v>
      </c>
      <c r="FQ188" s="153">
        <f t="shared" si="1217"/>
        <v>0</v>
      </c>
      <c r="FR188" s="153">
        <f t="shared" si="1217"/>
        <v>0</v>
      </c>
      <c r="FS188" s="153">
        <f t="shared" si="1217"/>
        <v>0</v>
      </c>
      <c r="FT188" s="153">
        <f t="shared" si="1217"/>
        <v>0</v>
      </c>
      <c r="FU188" s="153">
        <f t="shared" si="1214"/>
        <v>0</v>
      </c>
      <c r="FV188" s="153">
        <f t="shared" si="1214"/>
        <v>0</v>
      </c>
      <c r="FW188" s="153">
        <f t="shared" si="1214"/>
        <v>0</v>
      </c>
      <c r="FX188" s="153">
        <f t="shared" si="1214"/>
        <v>0</v>
      </c>
      <c r="FY188" s="153">
        <f t="shared" si="1214"/>
        <v>0</v>
      </c>
      <c r="FZ188" s="153">
        <f t="shared" si="1214"/>
        <v>0</v>
      </c>
      <c r="GA188" s="153">
        <f t="shared" si="1214"/>
        <v>0</v>
      </c>
      <c r="GB188" s="153">
        <f t="shared" si="1214"/>
        <v>0</v>
      </c>
      <c r="GC188" s="153">
        <f t="shared" si="1214"/>
        <v>0</v>
      </c>
      <c r="GD188" s="153">
        <f t="shared" si="1214"/>
        <v>0</v>
      </c>
      <c r="GE188" s="153">
        <f t="shared" si="1214"/>
        <v>0</v>
      </c>
      <c r="GF188" s="153">
        <f t="shared" si="1214"/>
        <v>0</v>
      </c>
      <c r="GG188" s="153">
        <f t="shared" si="1214"/>
        <v>0</v>
      </c>
      <c r="GH188" s="153">
        <f t="shared" si="1214"/>
        <v>0</v>
      </c>
      <c r="GI188" s="153">
        <f t="shared" si="1214"/>
        <v>0</v>
      </c>
      <c r="GJ188" s="153">
        <f t="shared" si="1214"/>
        <v>0</v>
      </c>
      <c r="GK188" s="153">
        <f t="shared" si="1214"/>
        <v>0</v>
      </c>
      <c r="GL188" s="153">
        <f t="shared" si="1214"/>
        <v>0</v>
      </c>
      <c r="GM188" s="153">
        <f t="shared" si="1214"/>
        <v>0</v>
      </c>
      <c r="GN188" s="153">
        <f t="shared" si="1214"/>
        <v>0</v>
      </c>
      <c r="GO188" s="153">
        <f t="shared" si="1214"/>
        <v>0</v>
      </c>
      <c r="GP188" s="153">
        <f t="shared" si="1214"/>
        <v>0</v>
      </c>
      <c r="GQ188" s="153">
        <f t="shared" si="1214"/>
        <v>0</v>
      </c>
      <c r="GR188" s="153">
        <f t="shared" si="1214"/>
        <v>0</v>
      </c>
      <c r="GS188" s="153">
        <f t="shared" si="1214"/>
        <v>0</v>
      </c>
      <c r="GT188" s="153">
        <f t="shared" si="1214"/>
        <v>0</v>
      </c>
      <c r="GU188" s="153">
        <f t="shared" si="1214"/>
        <v>0</v>
      </c>
      <c r="GV188" s="153">
        <f t="shared" si="1214"/>
        <v>0</v>
      </c>
      <c r="GW188" s="153">
        <f t="shared" si="1214"/>
        <v>0</v>
      </c>
      <c r="GX188" s="153">
        <f t="shared" ref="GX188:IT188" si="1218">SUM(GX189,GX205,GX215,GX228,GX241)</f>
        <v>0</v>
      </c>
      <c r="GY188" s="153">
        <f t="shared" si="1218"/>
        <v>0</v>
      </c>
      <c r="GZ188" s="153">
        <f t="shared" si="1218"/>
        <v>0</v>
      </c>
      <c r="HA188" s="153">
        <f t="shared" si="1218"/>
        <v>0</v>
      </c>
      <c r="HB188" s="153">
        <f t="shared" si="1218"/>
        <v>0</v>
      </c>
      <c r="HC188" s="153">
        <f>SUM(HC189,HC205,HC215,HC228,HC241)</f>
        <v>0</v>
      </c>
      <c r="HD188" s="153">
        <f>SUM(HD189,HD205,HD215,HD228,HD241)</f>
        <v>0</v>
      </c>
      <c r="HE188" s="153">
        <f>SUM(HE189,HE205,HE215,HE228,HE241)</f>
        <v>0</v>
      </c>
      <c r="HF188" s="153">
        <f t="shared" si="1218"/>
        <v>0</v>
      </c>
      <c r="HG188" s="153">
        <f>SUM(HG189,HG205,HG215,HG228,HG241)</f>
        <v>0</v>
      </c>
      <c r="HH188" s="153">
        <f>SUM(HH189,HH205,HH215,HH228,HH241)</f>
        <v>0</v>
      </c>
      <c r="HI188" s="153">
        <f>SUM(HI189,HI205,HI215,HI228,HI241)</f>
        <v>0</v>
      </c>
      <c r="HJ188" s="153">
        <f>SUM(HJ189,HJ205,HJ215,HJ228,HJ241)</f>
        <v>0</v>
      </c>
      <c r="HK188" s="153">
        <f t="shared" si="1218"/>
        <v>0</v>
      </c>
      <c r="HL188" s="153">
        <f t="shared" si="1218"/>
        <v>0</v>
      </c>
      <c r="HM188" s="153">
        <f t="shared" si="1218"/>
        <v>0</v>
      </c>
      <c r="HN188" s="153">
        <f t="shared" si="1218"/>
        <v>0</v>
      </c>
      <c r="HO188" s="153">
        <f t="shared" si="1218"/>
        <v>0</v>
      </c>
      <c r="HP188" s="153">
        <f t="shared" si="1218"/>
        <v>0</v>
      </c>
      <c r="HQ188" s="153">
        <f t="shared" si="1218"/>
        <v>0</v>
      </c>
      <c r="HR188" s="153">
        <f t="shared" si="1218"/>
        <v>0</v>
      </c>
      <c r="HS188" s="153">
        <f t="shared" si="1218"/>
        <v>0</v>
      </c>
      <c r="HT188" s="153">
        <f t="shared" si="1218"/>
        <v>0</v>
      </c>
      <c r="HU188" s="153">
        <f t="shared" si="1218"/>
        <v>0</v>
      </c>
      <c r="HV188" s="153">
        <f>SUM(HV189,HV205,HV215,HV228,HV241)</f>
        <v>0</v>
      </c>
      <c r="HW188" s="153">
        <f>SUM(HW189,HW205,HW215,HW228,HW241)</f>
        <v>0</v>
      </c>
      <c r="HX188" s="153">
        <f>SUM(HX189,HX205,HX215,HX228,HX241)</f>
        <v>0</v>
      </c>
      <c r="HY188" s="153">
        <f>SUM(HY189,HY205,HY215,HY228,HY241)</f>
        <v>0</v>
      </c>
      <c r="HZ188" s="153">
        <f t="shared" si="1218"/>
        <v>0</v>
      </c>
      <c r="IA188" s="153">
        <f t="shared" si="1218"/>
        <v>0</v>
      </c>
      <c r="IB188" s="153">
        <f t="shared" si="1218"/>
        <v>0</v>
      </c>
      <c r="IC188" s="153">
        <f t="shared" si="1218"/>
        <v>0</v>
      </c>
      <c r="ID188" s="153">
        <f t="shared" si="1218"/>
        <v>0</v>
      </c>
      <c r="IE188" s="153">
        <f t="shared" si="1218"/>
        <v>0</v>
      </c>
      <c r="IF188" s="153">
        <f t="shared" si="1218"/>
        <v>0</v>
      </c>
      <c r="IG188" s="153">
        <f t="shared" si="1218"/>
        <v>0</v>
      </c>
      <c r="IH188" s="153">
        <f t="shared" si="1218"/>
        <v>0</v>
      </c>
      <c r="II188" s="153">
        <f t="shared" si="1218"/>
        <v>0</v>
      </c>
      <c r="IJ188" s="153">
        <f t="shared" si="1218"/>
        <v>0</v>
      </c>
      <c r="IK188" s="153">
        <f>SUM(IK189,IK205,IK215,IK228,IK241)</f>
        <v>0</v>
      </c>
      <c r="IL188" s="153">
        <f>SUM(IL189,IL205,IL215,IL228,IL241)</f>
        <v>0</v>
      </c>
      <c r="IM188" s="153">
        <f>SUM(IM189,IM205,IM215,IM228,IM241)</f>
        <v>0</v>
      </c>
      <c r="IN188" s="153">
        <f>SUM(IN189,IN205,IN215,IN228,IN241)</f>
        <v>0</v>
      </c>
      <c r="IO188" s="153">
        <f t="shared" si="1218"/>
        <v>0</v>
      </c>
      <c r="IP188" s="153">
        <f t="shared" si="1218"/>
        <v>0</v>
      </c>
      <c r="IQ188" s="153">
        <f t="shared" si="1218"/>
        <v>0</v>
      </c>
      <c r="IR188" s="153">
        <f t="shared" si="1218"/>
        <v>0</v>
      </c>
      <c r="IS188" s="153">
        <f t="shared" si="1218"/>
        <v>0</v>
      </c>
      <c r="IT188" s="153">
        <f t="shared" si="1218"/>
        <v>0</v>
      </c>
      <c r="IU188" s="153">
        <f>SUM(IU189,IU205,IU215,IU228,IU241)</f>
        <v>0</v>
      </c>
      <c r="IV188" s="153">
        <f>SUM(IV189,IV205,IV215,IV228,IV241)</f>
        <v>0</v>
      </c>
    </row>
    <row r="189" spans="1:256" s="57" customFormat="1" x14ac:dyDescent="0.25">
      <c r="A189" s="58" t="s">
        <v>167</v>
      </c>
      <c r="B189" s="60"/>
      <c r="C189" s="59">
        <f t="shared" ref="C189:K189" si="1219">SUM(C191,C202,C190)</f>
        <v>0</v>
      </c>
      <c r="D189" s="59">
        <f t="shared" si="1219"/>
        <v>0</v>
      </c>
      <c r="E189" s="59">
        <f t="shared" si="1219"/>
        <v>0</v>
      </c>
      <c r="F189" s="59">
        <f t="shared" si="1219"/>
        <v>0</v>
      </c>
      <c r="G189" s="59">
        <f t="shared" si="1219"/>
        <v>0</v>
      </c>
      <c r="H189" s="59">
        <f t="shared" si="1219"/>
        <v>0</v>
      </c>
      <c r="I189" s="59">
        <f t="shared" si="1219"/>
        <v>0</v>
      </c>
      <c r="J189" s="59">
        <f t="shared" si="1219"/>
        <v>0</v>
      </c>
      <c r="K189" s="59">
        <f t="shared" si="1219"/>
        <v>0</v>
      </c>
      <c r="L189" s="73">
        <f>SUM(L191,L202)</f>
        <v>0</v>
      </c>
      <c r="M189" s="60"/>
      <c r="N189" s="59">
        <f t="shared" ref="N189:V189" si="1220">SUM(N191,N202,N190)</f>
        <v>0</v>
      </c>
      <c r="O189" s="59">
        <f t="shared" si="1220"/>
        <v>0</v>
      </c>
      <c r="P189" s="59">
        <f t="shared" si="1220"/>
        <v>0</v>
      </c>
      <c r="Q189" s="59">
        <f t="shared" si="1220"/>
        <v>0</v>
      </c>
      <c r="R189" s="59">
        <f t="shared" si="1220"/>
        <v>0</v>
      </c>
      <c r="S189" s="59">
        <f t="shared" si="1220"/>
        <v>0</v>
      </c>
      <c r="T189" s="59">
        <f t="shared" si="1220"/>
        <v>0</v>
      </c>
      <c r="U189" s="59">
        <f t="shared" si="1220"/>
        <v>0</v>
      </c>
      <c r="V189" s="59">
        <f t="shared" si="1220"/>
        <v>0</v>
      </c>
      <c r="W189" s="73">
        <f>SUM(W191,W202)</f>
        <v>0</v>
      </c>
      <c r="X189" s="60"/>
      <c r="Y189" s="59">
        <f t="shared" ref="Y189:AG189" si="1221">SUM(Y191,Y202,Y190)</f>
        <v>0</v>
      </c>
      <c r="Z189" s="59">
        <f t="shared" si="1221"/>
        <v>0</v>
      </c>
      <c r="AA189" s="59">
        <f t="shared" si="1221"/>
        <v>0</v>
      </c>
      <c r="AB189" s="59">
        <f t="shared" si="1221"/>
        <v>0</v>
      </c>
      <c r="AC189" s="59">
        <f t="shared" si="1221"/>
        <v>0</v>
      </c>
      <c r="AD189" s="59">
        <f t="shared" si="1221"/>
        <v>0</v>
      </c>
      <c r="AE189" s="59">
        <f t="shared" si="1221"/>
        <v>0</v>
      </c>
      <c r="AF189" s="59">
        <f t="shared" si="1221"/>
        <v>0</v>
      </c>
      <c r="AG189" s="59">
        <f t="shared" si="1221"/>
        <v>0</v>
      </c>
      <c r="AH189" s="73">
        <f>SUM(AH191,AH202)</f>
        <v>0</v>
      </c>
      <c r="AI189" s="60"/>
      <c r="AJ189" s="59">
        <f t="shared" ref="AJ189:AR189" si="1222">SUM(AJ191,AJ202,AJ190)</f>
        <v>0</v>
      </c>
      <c r="AK189" s="59">
        <f t="shared" si="1222"/>
        <v>0</v>
      </c>
      <c r="AL189" s="59">
        <f t="shared" si="1222"/>
        <v>0</v>
      </c>
      <c r="AM189" s="59">
        <f t="shared" si="1222"/>
        <v>0</v>
      </c>
      <c r="AN189" s="59">
        <f t="shared" si="1222"/>
        <v>0</v>
      </c>
      <c r="AO189" s="59">
        <f t="shared" si="1222"/>
        <v>0</v>
      </c>
      <c r="AP189" s="59">
        <f t="shared" si="1222"/>
        <v>0</v>
      </c>
      <c r="AQ189" s="59">
        <f t="shared" si="1222"/>
        <v>0</v>
      </c>
      <c r="AR189" s="59">
        <f t="shared" si="1222"/>
        <v>0</v>
      </c>
      <c r="AS189" s="73">
        <f>SUM(AS191,AS202)</f>
        <v>0</v>
      </c>
      <c r="AT189" s="60"/>
      <c r="AU189" s="59">
        <f t="shared" ref="AU189:BD189" si="1223">SUM(AU191,AU202)</f>
        <v>0</v>
      </c>
      <c r="AV189" s="59">
        <f t="shared" si="1223"/>
        <v>0</v>
      </c>
      <c r="AW189" s="59">
        <f t="shared" si="1223"/>
        <v>0</v>
      </c>
      <c r="AX189" s="59">
        <f t="shared" si="1223"/>
        <v>0</v>
      </c>
      <c r="AY189" s="59">
        <f t="shared" si="1223"/>
        <v>0</v>
      </c>
      <c r="AZ189" s="59">
        <f t="shared" si="1223"/>
        <v>0</v>
      </c>
      <c r="BA189" s="59">
        <f t="shared" si="1223"/>
        <v>0</v>
      </c>
      <c r="BB189" s="59">
        <f t="shared" si="1223"/>
        <v>0</v>
      </c>
      <c r="BC189" s="59">
        <f t="shared" si="1223"/>
        <v>0</v>
      </c>
      <c r="BD189" s="73">
        <f t="shared" si="1223"/>
        <v>0</v>
      </c>
      <c r="BE189" s="60"/>
      <c r="BF189" s="59">
        <f t="shared" ref="BF189:BN189" si="1224">SUM(BF191,BF202,BF190)</f>
        <v>0</v>
      </c>
      <c r="BG189" s="59">
        <f t="shared" si="1224"/>
        <v>0</v>
      </c>
      <c r="BH189" s="59">
        <f t="shared" si="1224"/>
        <v>0</v>
      </c>
      <c r="BI189" s="59">
        <f t="shared" si="1224"/>
        <v>0</v>
      </c>
      <c r="BJ189" s="59">
        <f t="shared" si="1224"/>
        <v>0</v>
      </c>
      <c r="BK189" s="59">
        <f t="shared" si="1224"/>
        <v>0</v>
      </c>
      <c r="BL189" s="59">
        <f t="shared" si="1224"/>
        <v>0</v>
      </c>
      <c r="BM189" s="59">
        <f t="shared" si="1224"/>
        <v>0</v>
      </c>
      <c r="BN189" s="59">
        <f t="shared" si="1224"/>
        <v>0</v>
      </c>
      <c r="BO189" s="73">
        <f>SUM(BO191,BO202)</f>
        <v>0</v>
      </c>
      <c r="BP189" s="60"/>
      <c r="BQ189" s="59">
        <f t="shared" ref="BQ189:BY189" si="1225">SUM(BQ191,BQ202,BQ190)</f>
        <v>0</v>
      </c>
      <c r="BR189" s="59">
        <f t="shared" si="1225"/>
        <v>0</v>
      </c>
      <c r="BS189" s="59">
        <f t="shared" si="1225"/>
        <v>0</v>
      </c>
      <c r="BT189" s="59">
        <f t="shared" si="1225"/>
        <v>0</v>
      </c>
      <c r="BU189" s="59">
        <f t="shared" si="1225"/>
        <v>0</v>
      </c>
      <c r="BV189" s="59">
        <f t="shared" si="1225"/>
        <v>0</v>
      </c>
      <c r="BW189" s="59">
        <f t="shared" si="1225"/>
        <v>0</v>
      </c>
      <c r="BX189" s="59">
        <f t="shared" si="1225"/>
        <v>0</v>
      </c>
      <c r="BY189" s="59">
        <f t="shared" si="1225"/>
        <v>0</v>
      </c>
      <c r="BZ189" s="73">
        <f>SUM(BZ191,BZ202)</f>
        <v>0</v>
      </c>
      <c r="CA189" s="60"/>
      <c r="CB189" s="59">
        <f t="shared" ref="CB189:CJ189" si="1226">SUM(CB191,CB202,CB190)</f>
        <v>0</v>
      </c>
      <c r="CC189" s="59">
        <f t="shared" si="1226"/>
        <v>0</v>
      </c>
      <c r="CD189" s="59">
        <f t="shared" si="1226"/>
        <v>0</v>
      </c>
      <c r="CE189" s="59">
        <f t="shared" si="1226"/>
        <v>0</v>
      </c>
      <c r="CF189" s="59">
        <f t="shared" si="1226"/>
        <v>0</v>
      </c>
      <c r="CG189" s="59">
        <f t="shared" si="1226"/>
        <v>0</v>
      </c>
      <c r="CH189" s="59">
        <f t="shared" si="1226"/>
        <v>0</v>
      </c>
      <c r="CI189" s="59">
        <f t="shared" si="1226"/>
        <v>0</v>
      </c>
      <c r="CJ189" s="59">
        <f t="shared" si="1226"/>
        <v>0</v>
      </c>
      <c r="CK189" s="73">
        <f>SUM(CK191,CK202)</f>
        <v>0</v>
      </c>
      <c r="CL189" s="60"/>
      <c r="CM189" s="59">
        <f t="shared" ref="CM189:CV189" si="1227">SUM(CM191,CM202)</f>
        <v>0</v>
      </c>
      <c r="CN189" s="59">
        <f t="shared" si="1227"/>
        <v>0</v>
      </c>
      <c r="CO189" s="59">
        <f t="shared" si="1227"/>
        <v>0</v>
      </c>
      <c r="CP189" s="59">
        <f t="shared" si="1227"/>
        <v>0</v>
      </c>
      <c r="CQ189" s="59">
        <f t="shared" si="1227"/>
        <v>0</v>
      </c>
      <c r="CR189" s="59">
        <f t="shared" si="1227"/>
        <v>0</v>
      </c>
      <c r="CS189" s="59">
        <f t="shared" si="1227"/>
        <v>0</v>
      </c>
      <c r="CT189" s="59">
        <f t="shared" si="1227"/>
        <v>0</v>
      </c>
      <c r="CU189" s="59">
        <f t="shared" si="1227"/>
        <v>0</v>
      </c>
      <c r="CV189" s="73">
        <f t="shared" si="1227"/>
        <v>0</v>
      </c>
      <c r="CW189" s="60"/>
      <c r="CX189" s="59">
        <f t="shared" ref="CX189:DF189" si="1228">SUM(CX191,CX202,CX190)</f>
        <v>0</v>
      </c>
      <c r="CY189" s="59">
        <f t="shared" si="1228"/>
        <v>0</v>
      </c>
      <c r="CZ189" s="59">
        <f t="shared" si="1228"/>
        <v>0</v>
      </c>
      <c r="DA189" s="59">
        <f t="shared" si="1228"/>
        <v>0</v>
      </c>
      <c r="DB189" s="59">
        <f t="shared" si="1228"/>
        <v>0</v>
      </c>
      <c r="DC189" s="59">
        <f t="shared" si="1228"/>
        <v>0</v>
      </c>
      <c r="DD189" s="59">
        <f t="shared" si="1228"/>
        <v>0</v>
      </c>
      <c r="DE189" s="59">
        <f t="shared" si="1228"/>
        <v>0</v>
      </c>
      <c r="DF189" s="59">
        <f t="shared" si="1228"/>
        <v>0</v>
      </c>
      <c r="DG189" s="73">
        <f>SUM(DG191,DG202)</f>
        <v>0</v>
      </c>
      <c r="DH189" s="60"/>
      <c r="DI189" s="59">
        <f t="shared" ref="DI189:DQ189" si="1229">SUM(DI191,DI202,DI190)</f>
        <v>0</v>
      </c>
      <c r="DJ189" s="59">
        <f t="shared" si="1229"/>
        <v>0</v>
      </c>
      <c r="DK189" s="59">
        <f t="shared" si="1229"/>
        <v>0</v>
      </c>
      <c r="DL189" s="59">
        <f t="shared" si="1229"/>
        <v>0</v>
      </c>
      <c r="DM189" s="59">
        <f t="shared" si="1229"/>
        <v>0</v>
      </c>
      <c r="DN189" s="59">
        <f t="shared" si="1229"/>
        <v>0</v>
      </c>
      <c r="DO189" s="59">
        <f t="shared" si="1229"/>
        <v>0</v>
      </c>
      <c r="DP189" s="59">
        <f t="shared" si="1229"/>
        <v>0</v>
      </c>
      <c r="DQ189" s="59">
        <f t="shared" si="1229"/>
        <v>0</v>
      </c>
      <c r="DR189" s="73">
        <f>SUM(DR191,DR202)</f>
        <v>0</v>
      </c>
      <c r="DS189" s="60"/>
      <c r="DT189" s="59">
        <f t="shared" ref="DT189:EB189" si="1230">SUM(DT191,DT202,DT190)</f>
        <v>0</v>
      </c>
      <c r="DU189" s="59">
        <f t="shared" si="1230"/>
        <v>0</v>
      </c>
      <c r="DV189" s="59">
        <f t="shared" si="1230"/>
        <v>0</v>
      </c>
      <c r="DW189" s="59">
        <f t="shared" si="1230"/>
        <v>0</v>
      </c>
      <c r="DX189" s="59">
        <f t="shared" si="1230"/>
        <v>0</v>
      </c>
      <c r="DY189" s="59">
        <f t="shared" si="1230"/>
        <v>0</v>
      </c>
      <c r="DZ189" s="59">
        <f t="shared" si="1230"/>
        <v>0</v>
      </c>
      <c r="EA189" s="59">
        <f t="shared" si="1230"/>
        <v>0</v>
      </c>
      <c r="EB189" s="59">
        <f t="shared" si="1230"/>
        <v>0</v>
      </c>
      <c r="EC189" s="59">
        <f>SUM(EC191,EC202,EC190)</f>
        <v>0</v>
      </c>
      <c r="ED189" s="60"/>
      <c r="EE189" s="59">
        <f t="shared" ref="EE189:EN189" si="1231">SUM(EE191,EE202)</f>
        <v>0</v>
      </c>
      <c r="EF189" s="59">
        <f t="shared" si="1231"/>
        <v>0</v>
      </c>
      <c r="EG189" s="59">
        <f t="shared" si="1231"/>
        <v>0</v>
      </c>
      <c r="EH189" s="59">
        <f t="shared" si="1231"/>
        <v>0</v>
      </c>
      <c r="EI189" s="59">
        <f t="shared" si="1231"/>
        <v>0</v>
      </c>
      <c r="EJ189" s="59">
        <f t="shared" si="1231"/>
        <v>0</v>
      </c>
      <c r="EK189" s="59">
        <f t="shared" si="1231"/>
        <v>0</v>
      </c>
      <c r="EL189" s="59">
        <f t="shared" si="1231"/>
        <v>0</v>
      </c>
      <c r="EM189" s="59">
        <f t="shared" si="1231"/>
        <v>0</v>
      </c>
      <c r="EN189" s="73">
        <f t="shared" si="1231"/>
        <v>0</v>
      </c>
      <c r="EO189" s="60"/>
      <c r="EP189" s="59">
        <f t="shared" ref="EP189:EX189" si="1232">SUM(EP191,EP202,EP190)</f>
        <v>0</v>
      </c>
      <c r="EQ189" s="59">
        <f t="shared" si="1232"/>
        <v>0</v>
      </c>
      <c r="ER189" s="59">
        <f t="shared" si="1232"/>
        <v>0</v>
      </c>
      <c r="ES189" s="59">
        <f t="shared" si="1232"/>
        <v>0</v>
      </c>
      <c r="ET189" s="59">
        <f t="shared" si="1232"/>
        <v>0</v>
      </c>
      <c r="EU189" s="59">
        <f t="shared" si="1232"/>
        <v>0</v>
      </c>
      <c r="EV189" s="59">
        <f t="shared" si="1232"/>
        <v>0</v>
      </c>
      <c r="EW189" s="59">
        <f t="shared" si="1232"/>
        <v>0</v>
      </c>
      <c r="EX189" s="59">
        <f t="shared" si="1232"/>
        <v>0</v>
      </c>
      <c r="EY189" s="73">
        <f>SUM(EY191,EY202)</f>
        <v>0</v>
      </c>
      <c r="EZ189" s="60"/>
      <c r="FA189" s="59">
        <f t="shared" ref="FA189:FI189" si="1233">SUM(FA191,FA202,FA190)</f>
        <v>0</v>
      </c>
      <c r="FB189" s="59">
        <f t="shared" si="1233"/>
        <v>0</v>
      </c>
      <c r="FC189" s="59">
        <f t="shared" si="1233"/>
        <v>0</v>
      </c>
      <c r="FD189" s="59">
        <f t="shared" si="1233"/>
        <v>0</v>
      </c>
      <c r="FE189" s="59">
        <f t="shared" si="1233"/>
        <v>0</v>
      </c>
      <c r="FF189" s="59">
        <f t="shared" si="1233"/>
        <v>0</v>
      </c>
      <c r="FG189" s="59">
        <f t="shared" si="1233"/>
        <v>0</v>
      </c>
      <c r="FH189" s="59">
        <f t="shared" si="1233"/>
        <v>0</v>
      </c>
      <c r="FI189" s="59">
        <f t="shared" si="1233"/>
        <v>0</v>
      </c>
      <c r="FJ189" s="73">
        <f>SUM(FJ191,FJ202)</f>
        <v>0</v>
      </c>
      <c r="FK189" s="60"/>
      <c r="FL189" s="59">
        <f t="shared" ref="FL189:FT189" si="1234">SUM(FL191,FL202,FL190)</f>
        <v>0</v>
      </c>
      <c r="FM189" s="59">
        <f t="shared" si="1234"/>
        <v>0</v>
      </c>
      <c r="FN189" s="59">
        <f t="shared" si="1234"/>
        <v>0</v>
      </c>
      <c r="FO189" s="59">
        <f t="shared" si="1234"/>
        <v>0</v>
      </c>
      <c r="FP189" s="59">
        <f t="shared" si="1234"/>
        <v>0</v>
      </c>
      <c r="FQ189" s="59">
        <f t="shared" si="1234"/>
        <v>0</v>
      </c>
      <c r="FR189" s="59">
        <f t="shared" si="1234"/>
        <v>0</v>
      </c>
      <c r="FS189" s="59">
        <f t="shared" si="1234"/>
        <v>0</v>
      </c>
      <c r="FT189" s="59">
        <f t="shared" si="1234"/>
        <v>0</v>
      </c>
      <c r="FU189" s="73">
        <f>SUM(FU191,FU202)</f>
        <v>0</v>
      </c>
      <c r="FV189" s="60"/>
      <c r="FW189" s="59">
        <f t="shared" ref="FW189:GF189" si="1235">SUM(FW191,FW202)</f>
        <v>0</v>
      </c>
      <c r="FX189" s="59">
        <f t="shared" si="1235"/>
        <v>0</v>
      </c>
      <c r="FY189" s="59">
        <f t="shared" si="1235"/>
        <v>0</v>
      </c>
      <c r="FZ189" s="59">
        <f t="shared" si="1235"/>
        <v>0</v>
      </c>
      <c r="GA189" s="59">
        <f t="shared" si="1235"/>
        <v>0</v>
      </c>
      <c r="GB189" s="59">
        <f t="shared" si="1235"/>
        <v>0</v>
      </c>
      <c r="GC189" s="59">
        <f t="shared" si="1235"/>
        <v>0</v>
      </c>
      <c r="GD189" s="59">
        <f t="shared" si="1235"/>
        <v>0</v>
      </c>
      <c r="GE189" s="59">
        <f t="shared" si="1235"/>
        <v>0</v>
      </c>
      <c r="GF189" s="73">
        <f t="shared" si="1235"/>
        <v>0</v>
      </c>
      <c r="GG189" s="60"/>
      <c r="GH189" s="59">
        <f t="shared" ref="GH189:GP189" si="1236">SUM(GH191,GH202,GH190)</f>
        <v>0</v>
      </c>
      <c r="GI189" s="59">
        <f t="shared" si="1236"/>
        <v>0</v>
      </c>
      <c r="GJ189" s="59">
        <f t="shared" si="1236"/>
        <v>0</v>
      </c>
      <c r="GK189" s="59">
        <f t="shared" si="1236"/>
        <v>0</v>
      </c>
      <c r="GL189" s="59">
        <f t="shared" si="1236"/>
        <v>0</v>
      </c>
      <c r="GM189" s="59">
        <f t="shared" si="1236"/>
        <v>0</v>
      </c>
      <c r="GN189" s="59">
        <f t="shared" si="1236"/>
        <v>0</v>
      </c>
      <c r="GO189" s="59">
        <f t="shared" si="1236"/>
        <v>0</v>
      </c>
      <c r="GP189" s="59">
        <f t="shared" si="1236"/>
        <v>0</v>
      </c>
      <c r="GQ189" s="73">
        <f>SUM(GQ191,GQ202)</f>
        <v>0</v>
      </c>
      <c r="GR189" s="59">
        <f>SUM(GR191,GR202,GR190)</f>
        <v>0</v>
      </c>
      <c r="GS189" s="59">
        <f>SUM(GS191,GS202,GS190)</f>
        <v>0</v>
      </c>
      <c r="GT189" s="59">
        <f>SUM(GT191,GT202,GT190)</f>
        <v>0</v>
      </c>
      <c r="GU189" s="59">
        <f>SUM(GU191,GU202,GU190)</f>
        <v>0</v>
      </c>
      <c r="GV189" s="59">
        <f>SUM(GV190:GV191,GV202)</f>
        <v>0</v>
      </c>
      <c r="GW189" s="59">
        <f>SUM(GW191,GW202,GW190)</f>
        <v>0</v>
      </c>
      <c r="GX189" s="59">
        <f>SUM(GX191,GX202,GX190)</f>
        <v>0</v>
      </c>
      <c r="GY189" s="59">
        <f>SUM(GY191,GY202,GY190)</f>
        <v>0</v>
      </c>
      <c r="GZ189" s="59">
        <f>SUM(GZ191,GZ202,GZ190)</f>
        <v>0</v>
      </c>
      <c r="HA189" s="59">
        <f>SUM(HA190:HA191,HA202)</f>
        <v>0</v>
      </c>
      <c r="HB189" s="59">
        <f>SUM(HB191,HB202,HB190)</f>
        <v>0</v>
      </c>
      <c r="HC189" s="59">
        <f>SUM(HC191,HC202,HC190)</f>
        <v>0</v>
      </c>
      <c r="HD189" s="59">
        <f>SUM(HD191,HD202,HD190)</f>
        <v>0</v>
      </c>
      <c r="HE189" s="59">
        <f>SUM(HE191,HE202,HE190)</f>
        <v>0</v>
      </c>
      <c r="HF189" s="59">
        <f>SUM(HF190:HF191,HF202)</f>
        <v>0</v>
      </c>
      <c r="HG189" s="59">
        <f>SUM(HG191,HG202,HG190)</f>
        <v>0</v>
      </c>
      <c r="HH189" s="59">
        <f>SUM(HH191,HH202,HH190)</f>
        <v>0</v>
      </c>
      <c r="HI189" s="59">
        <f>SUM(HI191,HI202,HI190)</f>
        <v>0</v>
      </c>
      <c r="HJ189" s="59">
        <f>SUM(HJ191,HJ202,HJ190)</f>
        <v>0</v>
      </c>
      <c r="HK189" s="59">
        <f>SUM(HK190:HK191,HK202)</f>
        <v>0</v>
      </c>
      <c r="HL189" s="59">
        <f>SUM(HL191,HL202,HL190)</f>
        <v>0</v>
      </c>
      <c r="HM189" s="59">
        <f>SUM(HM191,HM202,HM190)</f>
        <v>0</v>
      </c>
      <c r="HN189" s="59">
        <f>SUM(HN191,HN202,HN190)</f>
        <v>0</v>
      </c>
      <c r="HO189" s="59">
        <f>SUM(HO191,HO202,HO190)</f>
        <v>0</v>
      </c>
      <c r="HP189" s="59">
        <f>SUM(HP190:HP191,HP202)</f>
        <v>0</v>
      </c>
      <c r="HQ189" s="59">
        <f>SUM(HQ191,HQ202,HQ190)</f>
        <v>0</v>
      </c>
      <c r="HR189" s="59">
        <f>SUM(HR191,HR202,HR190)</f>
        <v>0</v>
      </c>
      <c r="HS189" s="59">
        <f>SUM(HS191,HS202,HS190)</f>
        <v>0</v>
      </c>
      <c r="HT189" s="59">
        <f>SUM(HT191,HT202,HT190)</f>
        <v>0</v>
      </c>
      <c r="HU189" s="59">
        <f>SUM(HU190:HU191,HU202)</f>
        <v>0</v>
      </c>
      <c r="HV189" s="59">
        <f>SUM(HV191,HV202,HV190)</f>
        <v>0</v>
      </c>
      <c r="HW189" s="59">
        <f>SUM(HW191,HW202,HW190)</f>
        <v>0</v>
      </c>
      <c r="HX189" s="59">
        <f>SUM(HX191,HX202,HX190)</f>
        <v>0</v>
      </c>
      <c r="HY189" s="59">
        <f>SUM(HY191,HY202,HY190)</f>
        <v>0</v>
      </c>
      <c r="HZ189" s="59">
        <f>SUM(HZ190:HZ191,HZ202)</f>
        <v>0</v>
      </c>
      <c r="IA189" s="59">
        <f>SUM(IA191,IA202,IA190)</f>
        <v>0</v>
      </c>
      <c r="IB189" s="59">
        <f>SUM(IB191,IB202,IB190)</f>
        <v>0</v>
      </c>
      <c r="IC189" s="59">
        <f>SUM(IC191,IC202,IC190)</f>
        <v>0</v>
      </c>
      <c r="ID189" s="59">
        <f>SUM(ID191,ID202,ID190)</f>
        <v>0</v>
      </c>
      <c r="IE189" s="59">
        <f>SUM(IE190:IE191,IE202)</f>
        <v>0</v>
      </c>
      <c r="IF189" s="59">
        <f>SUM(IF191,IF202,IF190)</f>
        <v>0</v>
      </c>
      <c r="IG189" s="59">
        <f>SUM(IG191,IG202,IG190)</f>
        <v>0</v>
      </c>
      <c r="IH189" s="59">
        <f>SUM(IH191,IH202,IH190)</f>
        <v>0</v>
      </c>
      <c r="II189" s="59">
        <f>SUM(II191,II202,II190)</f>
        <v>0</v>
      </c>
      <c r="IJ189" s="59">
        <f>SUM(IJ190:IJ191,IJ202)</f>
        <v>0</v>
      </c>
      <c r="IK189" s="59">
        <f>SUM(IK191,IK202,IK190)</f>
        <v>0</v>
      </c>
      <c r="IL189" s="59">
        <f>SUM(IL191,IL202,IL190)</f>
        <v>0</v>
      </c>
      <c r="IM189" s="59">
        <f>SUM(IM191,IM202,IM190)</f>
        <v>0</v>
      </c>
      <c r="IN189" s="59">
        <f>SUM(IN191,IN202,IN190)</f>
        <v>0</v>
      </c>
      <c r="IO189" s="59">
        <f>SUM(IO190:IO191,IO202)</f>
        <v>0</v>
      </c>
      <c r="IP189" s="59">
        <f>SUM(IP191,IP202,IP190)</f>
        <v>0</v>
      </c>
      <c r="IQ189" s="59">
        <f>SUM(IQ191,IQ202,IQ190)</f>
        <v>0</v>
      </c>
      <c r="IR189" s="59">
        <f>SUM(IR191,IR202,IR190)</f>
        <v>0</v>
      </c>
      <c r="IS189" s="59">
        <f>SUM(IS191,IS202,IS190)</f>
        <v>0</v>
      </c>
      <c r="IT189" s="59">
        <f>SUM(IT190:IT191,IT202)</f>
        <v>0</v>
      </c>
      <c r="IU189" s="59">
        <f>SUM(IU191,IU202,IU190)</f>
        <v>0</v>
      </c>
      <c r="IV189" s="59">
        <f>SUM(IV191,IV202,IV190)</f>
        <v>0</v>
      </c>
    </row>
    <row r="190" spans="1:256" x14ac:dyDescent="0.2">
      <c r="A190" s="61" t="s">
        <v>29</v>
      </c>
      <c r="B190" s="62"/>
      <c r="C190" s="63"/>
      <c r="D190" s="63"/>
      <c r="E190" s="63"/>
      <c r="F190" s="63"/>
      <c r="G190" s="63"/>
      <c r="H190" s="63"/>
      <c r="I190" s="63"/>
      <c r="J190" s="63"/>
      <c r="K190" s="63"/>
      <c r="L190" s="64">
        <f>SUM(C190:F190,H190:K190)</f>
        <v>0</v>
      </c>
      <c r="M190" s="62"/>
      <c r="N190" s="63"/>
      <c r="O190" s="63"/>
      <c r="P190" s="63"/>
      <c r="Q190" s="63"/>
      <c r="R190" s="63"/>
      <c r="S190" s="63"/>
      <c r="T190" s="63"/>
      <c r="U190" s="63"/>
      <c r="V190" s="63"/>
      <c r="W190" s="64">
        <f>SUM(N190:Q190,S190:V190)</f>
        <v>0</v>
      </c>
      <c r="X190" s="62"/>
      <c r="Y190" s="63"/>
      <c r="Z190" s="63"/>
      <c r="AA190" s="63"/>
      <c r="AB190" s="63"/>
      <c r="AC190" s="63"/>
      <c r="AD190" s="63"/>
      <c r="AE190" s="63"/>
      <c r="AF190" s="63"/>
      <c r="AG190" s="63"/>
      <c r="AH190" s="64">
        <f>SUM(Y190:AB190,AD190:AG190)</f>
        <v>0</v>
      </c>
      <c r="AI190" s="62"/>
      <c r="AJ190" s="63"/>
      <c r="AK190" s="63"/>
      <c r="AL190" s="63"/>
      <c r="AM190" s="63"/>
      <c r="AN190" s="63"/>
      <c r="AO190" s="63"/>
      <c r="AP190" s="63"/>
      <c r="AQ190" s="63"/>
      <c r="AR190" s="63"/>
      <c r="AS190" s="64">
        <f>SUM(AJ190:AM190,AO190:AR190)</f>
        <v>0</v>
      </c>
      <c r="AT190" s="65">
        <f t="shared" ref="AT190:BC190" si="1237">SUM(M190,AI190,X190)</f>
        <v>0</v>
      </c>
      <c r="AU190" s="65">
        <f t="shared" si="1237"/>
        <v>0</v>
      </c>
      <c r="AV190" s="65">
        <f t="shared" si="1237"/>
        <v>0</v>
      </c>
      <c r="AW190" s="65">
        <f t="shared" si="1237"/>
        <v>0</v>
      </c>
      <c r="AX190" s="65">
        <f t="shared" si="1237"/>
        <v>0</v>
      </c>
      <c r="AY190" s="65">
        <f t="shared" si="1237"/>
        <v>0</v>
      </c>
      <c r="AZ190" s="65">
        <f t="shared" si="1237"/>
        <v>0</v>
      </c>
      <c r="BA190" s="65">
        <f t="shared" si="1237"/>
        <v>0</v>
      </c>
      <c r="BB190" s="65">
        <f t="shared" si="1237"/>
        <v>0</v>
      </c>
      <c r="BC190" s="65">
        <f t="shared" si="1237"/>
        <v>0</v>
      </c>
      <c r="BD190" s="64">
        <f>SUM(AU190:AX190,AZ190:BC190)</f>
        <v>0</v>
      </c>
      <c r="BE190" s="62"/>
      <c r="BF190" s="63"/>
      <c r="BG190" s="63"/>
      <c r="BH190" s="63"/>
      <c r="BI190" s="63"/>
      <c r="BJ190" s="63"/>
      <c r="BK190" s="63"/>
      <c r="BL190" s="63"/>
      <c r="BM190" s="63"/>
      <c r="BN190" s="63"/>
      <c r="BO190" s="64">
        <f>SUM(BF190:BI190,BK190:BN190)</f>
        <v>0</v>
      </c>
      <c r="BP190" s="62"/>
      <c r="BQ190" s="63"/>
      <c r="BR190" s="63"/>
      <c r="BS190" s="63"/>
      <c r="BT190" s="63"/>
      <c r="BU190" s="63"/>
      <c r="BV190" s="63"/>
      <c r="BW190" s="63"/>
      <c r="BX190" s="63"/>
      <c r="BY190" s="63"/>
      <c r="BZ190" s="64">
        <f>SUM(BQ190:BT190,BV190:BY190)</f>
        <v>0</v>
      </c>
      <c r="CA190" s="62"/>
      <c r="CB190" s="63"/>
      <c r="CC190" s="63"/>
      <c r="CD190" s="63"/>
      <c r="CE190" s="63"/>
      <c r="CF190" s="63"/>
      <c r="CG190" s="63"/>
      <c r="CH190" s="63"/>
      <c r="CI190" s="63"/>
      <c r="CJ190" s="63"/>
      <c r="CK190" s="64">
        <f>SUM(CB190:CE190,CG190:CJ190)</f>
        <v>0</v>
      </c>
      <c r="CL190" s="65">
        <f t="shared" ref="CL190:CU190" si="1238">SUM(BE190,CA190,BP190)</f>
        <v>0</v>
      </c>
      <c r="CM190" s="65">
        <f t="shared" si="1238"/>
        <v>0</v>
      </c>
      <c r="CN190" s="65">
        <f t="shared" si="1238"/>
        <v>0</v>
      </c>
      <c r="CO190" s="65">
        <f t="shared" si="1238"/>
        <v>0</v>
      </c>
      <c r="CP190" s="65">
        <f t="shared" si="1238"/>
        <v>0</v>
      </c>
      <c r="CQ190" s="65">
        <f t="shared" si="1238"/>
        <v>0</v>
      </c>
      <c r="CR190" s="65">
        <f t="shared" si="1238"/>
        <v>0</v>
      </c>
      <c r="CS190" s="65">
        <f t="shared" si="1238"/>
        <v>0</v>
      </c>
      <c r="CT190" s="65">
        <f t="shared" si="1238"/>
        <v>0</v>
      </c>
      <c r="CU190" s="65">
        <f t="shared" si="1238"/>
        <v>0</v>
      </c>
      <c r="CV190" s="64">
        <f>SUM(CM190:CP190,CR190:CU190)</f>
        <v>0</v>
      </c>
      <c r="CW190" s="62"/>
      <c r="CX190" s="63"/>
      <c r="CY190" s="63"/>
      <c r="CZ190" s="63"/>
      <c r="DA190" s="63"/>
      <c r="DB190" s="63"/>
      <c r="DC190" s="63"/>
      <c r="DD190" s="63"/>
      <c r="DE190" s="63"/>
      <c r="DF190" s="63"/>
      <c r="DG190" s="64">
        <f>SUM(CX190:DA190,DC190:DF190)</f>
        <v>0</v>
      </c>
      <c r="DH190" s="62"/>
      <c r="DI190" s="63"/>
      <c r="DJ190" s="63"/>
      <c r="DK190" s="63"/>
      <c r="DL190" s="63"/>
      <c r="DM190" s="63"/>
      <c r="DN190" s="63"/>
      <c r="DO190" s="63"/>
      <c r="DP190" s="63"/>
      <c r="DQ190" s="63"/>
      <c r="DR190" s="64">
        <f>SUM(DI190:DL190,DN190:DQ190)</f>
        <v>0</v>
      </c>
      <c r="DS190" s="62"/>
      <c r="DT190" s="63"/>
      <c r="DU190" s="63"/>
      <c r="DV190" s="63"/>
      <c r="DW190" s="63"/>
      <c r="DX190" s="63"/>
      <c r="DY190" s="63"/>
      <c r="DZ190" s="63"/>
      <c r="EA190" s="63"/>
      <c r="EB190" s="63"/>
      <c r="EC190" s="63"/>
      <c r="ED190" s="65">
        <f t="shared" ref="ED190:EM190" si="1239">SUM(CW190,DS190,DH190)</f>
        <v>0</v>
      </c>
      <c r="EE190" s="65">
        <f t="shared" si="1239"/>
        <v>0</v>
      </c>
      <c r="EF190" s="65">
        <f t="shared" si="1239"/>
        <v>0</v>
      </c>
      <c r="EG190" s="65">
        <f t="shared" si="1239"/>
        <v>0</v>
      </c>
      <c r="EH190" s="65">
        <f t="shared" si="1239"/>
        <v>0</v>
      </c>
      <c r="EI190" s="65">
        <f t="shared" si="1239"/>
        <v>0</v>
      </c>
      <c r="EJ190" s="65">
        <f t="shared" si="1239"/>
        <v>0</v>
      </c>
      <c r="EK190" s="65">
        <f t="shared" si="1239"/>
        <v>0</v>
      </c>
      <c r="EL190" s="65">
        <f t="shared" si="1239"/>
        <v>0</v>
      </c>
      <c r="EM190" s="65">
        <f t="shared" si="1239"/>
        <v>0</v>
      </c>
      <c r="EN190" s="64">
        <f>SUM(EE190:EH190,EJ190:EM190)</f>
        <v>0</v>
      </c>
      <c r="EO190" s="62"/>
      <c r="EP190" s="63"/>
      <c r="EQ190" s="63"/>
      <c r="ER190" s="63"/>
      <c r="ES190" s="63"/>
      <c r="ET190" s="63"/>
      <c r="EU190" s="63"/>
      <c r="EV190" s="63"/>
      <c r="EW190" s="63"/>
      <c r="EX190" s="63"/>
      <c r="EY190" s="64">
        <f>SUM(EP190:ES190,EU190:EX190)</f>
        <v>0</v>
      </c>
      <c r="EZ190" s="62"/>
      <c r="FA190" s="63"/>
      <c r="FB190" s="63"/>
      <c r="FC190" s="63"/>
      <c r="FD190" s="63"/>
      <c r="FE190" s="63"/>
      <c r="FF190" s="63"/>
      <c r="FG190" s="63"/>
      <c r="FH190" s="63"/>
      <c r="FI190" s="63"/>
      <c r="FJ190" s="64">
        <f>SUM(FA190:FD190,FF190:FI190)</f>
        <v>0</v>
      </c>
      <c r="FK190" s="62"/>
      <c r="FL190" s="63"/>
      <c r="FM190" s="63"/>
      <c r="FN190" s="63"/>
      <c r="FO190" s="63"/>
      <c r="FP190" s="63"/>
      <c r="FQ190" s="63"/>
      <c r="FR190" s="63"/>
      <c r="FS190" s="63"/>
      <c r="FT190" s="63"/>
      <c r="FU190" s="64">
        <f>SUM(FL190:FO190,FQ190:FT190)</f>
        <v>0</v>
      </c>
      <c r="FV190" s="65">
        <f t="shared" ref="FV190:GE190" si="1240">SUM(EO190,FK190,EZ190)</f>
        <v>0</v>
      </c>
      <c r="FW190" s="65">
        <f t="shared" si="1240"/>
        <v>0</v>
      </c>
      <c r="FX190" s="65">
        <f t="shared" si="1240"/>
        <v>0</v>
      </c>
      <c r="FY190" s="65">
        <f t="shared" si="1240"/>
        <v>0</v>
      </c>
      <c r="FZ190" s="65">
        <f t="shared" si="1240"/>
        <v>0</v>
      </c>
      <c r="GA190" s="65">
        <f t="shared" si="1240"/>
        <v>0</v>
      </c>
      <c r="GB190" s="65">
        <f t="shared" si="1240"/>
        <v>0</v>
      </c>
      <c r="GC190" s="65">
        <f t="shared" si="1240"/>
        <v>0</v>
      </c>
      <c r="GD190" s="65">
        <f t="shared" si="1240"/>
        <v>0</v>
      </c>
      <c r="GE190" s="65">
        <f t="shared" si="1240"/>
        <v>0</v>
      </c>
      <c r="GF190" s="64">
        <f>SUM(FW190:FZ190,GB190:GE190)</f>
        <v>0</v>
      </c>
      <c r="GG190" s="66">
        <f t="shared" ref="GG190:GP190" si="1241">SUM(AT190,CL190,ED190,FV190)</f>
        <v>0</v>
      </c>
      <c r="GH190" s="66">
        <f t="shared" si="1241"/>
        <v>0</v>
      </c>
      <c r="GI190" s="66">
        <f t="shared" si="1241"/>
        <v>0</v>
      </c>
      <c r="GJ190" s="66">
        <f t="shared" si="1241"/>
        <v>0</v>
      </c>
      <c r="GK190" s="66">
        <f t="shared" si="1241"/>
        <v>0</v>
      </c>
      <c r="GL190" s="66">
        <f t="shared" si="1241"/>
        <v>0</v>
      </c>
      <c r="GM190" s="66">
        <f t="shared" si="1241"/>
        <v>0</v>
      </c>
      <c r="GN190" s="66">
        <f t="shared" si="1241"/>
        <v>0</v>
      </c>
      <c r="GO190" s="66">
        <f t="shared" si="1241"/>
        <v>0</v>
      </c>
      <c r="GP190" s="66">
        <f t="shared" si="1241"/>
        <v>0</v>
      </c>
      <c r="GQ190" s="64">
        <f>SUM(GH190:GK190,GM190:GP190)</f>
        <v>0</v>
      </c>
      <c r="GR190" s="63"/>
      <c r="GS190" s="63"/>
      <c r="GT190" s="63"/>
      <c r="GU190" s="63"/>
      <c r="GV190" s="67">
        <f>SUM(GR190:GU190)</f>
        <v>0</v>
      </c>
      <c r="GW190" s="63"/>
      <c r="GX190" s="63"/>
      <c r="GY190" s="63"/>
      <c r="GZ190" s="63"/>
      <c r="HA190" s="67">
        <f>SUM(GW190:GZ190)</f>
        <v>0</v>
      </c>
      <c r="HB190" s="63"/>
      <c r="HC190" s="63"/>
      <c r="HD190" s="63"/>
      <c r="HE190" s="63"/>
      <c r="HF190" s="67">
        <f>SUM(HB190:HE190)</f>
        <v>0</v>
      </c>
      <c r="HG190" s="63"/>
      <c r="HH190" s="63"/>
      <c r="HI190" s="63"/>
      <c r="HJ190" s="63"/>
      <c r="HK190" s="67">
        <f>SUM(HG190:HJ190)</f>
        <v>0</v>
      </c>
      <c r="HL190" s="68">
        <f>SUM(GW190,HB190,HG190)</f>
        <v>0</v>
      </c>
      <c r="HM190" s="68">
        <f>SUM(GX190,HC190,HH190)</f>
        <v>0</v>
      </c>
      <c r="HN190" s="68">
        <f>SUM(GY190,HD190,HI190)</f>
        <v>0</v>
      </c>
      <c r="HO190" s="68">
        <f>SUM(GZ190,HE190,HJ190)</f>
        <v>0</v>
      </c>
      <c r="HP190" s="67">
        <f>SUM(HL190:HO190)</f>
        <v>0</v>
      </c>
      <c r="HQ190" s="63"/>
      <c r="HR190" s="63"/>
      <c r="HS190" s="63"/>
      <c r="HT190" s="63"/>
      <c r="HU190" s="67">
        <f>SUM(HQ190:HT190)</f>
        <v>0</v>
      </c>
      <c r="HV190" s="63"/>
      <c r="HW190" s="63"/>
      <c r="HX190" s="63"/>
      <c r="HY190" s="63"/>
      <c r="HZ190" s="67">
        <f>SUM(HV190:HY190)</f>
        <v>0</v>
      </c>
      <c r="IA190" s="63"/>
      <c r="IB190" s="63"/>
      <c r="IC190" s="63"/>
      <c r="ID190" s="63"/>
      <c r="IE190" s="67">
        <f>SUM(IA190:ID190)</f>
        <v>0</v>
      </c>
      <c r="IF190" s="68">
        <f>SUM(HQ190,HV190,IA190)</f>
        <v>0</v>
      </c>
      <c r="IG190" s="68">
        <f>SUM(HR190,HW190,IB190)</f>
        <v>0</v>
      </c>
      <c r="IH190" s="68">
        <f>SUM(HS190,HX190,IC190)</f>
        <v>0</v>
      </c>
      <c r="II190" s="68">
        <f>SUM(HT190,HY190,ID190)</f>
        <v>0</v>
      </c>
      <c r="IJ190" s="67">
        <f>SUM(IF190:II190)</f>
        <v>0</v>
      </c>
      <c r="IK190" s="63"/>
      <c r="IL190" s="63"/>
      <c r="IM190" s="63"/>
      <c r="IN190" s="63"/>
      <c r="IO190" s="67">
        <f>SUM(IK190:IN190)</f>
        <v>0</v>
      </c>
      <c r="IP190" s="63"/>
      <c r="IQ190" s="63"/>
      <c r="IR190" s="63"/>
      <c r="IS190" s="63"/>
      <c r="IT190" s="67">
        <f>SUM(IP190:IS190)</f>
        <v>0</v>
      </c>
      <c r="IU190" s="63"/>
      <c r="IV190" s="63"/>
    </row>
    <row r="191" spans="1:256" s="154" customFormat="1" x14ac:dyDescent="0.25">
      <c r="A191" s="155" t="s">
        <v>168</v>
      </c>
      <c r="B191" s="80"/>
      <c r="C191" s="81">
        <f t="shared" ref="C191:K191" si="1242">SUM(C192:C201)</f>
        <v>0</v>
      </c>
      <c r="D191" s="81">
        <f t="shared" si="1242"/>
        <v>0</v>
      </c>
      <c r="E191" s="81">
        <f t="shared" si="1242"/>
        <v>0</v>
      </c>
      <c r="F191" s="81">
        <f t="shared" si="1242"/>
        <v>0</v>
      </c>
      <c r="G191" s="81">
        <f t="shared" si="1242"/>
        <v>0</v>
      </c>
      <c r="H191" s="81">
        <f t="shared" si="1242"/>
        <v>0</v>
      </c>
      <c r="I191" s="81">
        <f t="shared" si="1242"/>
        <v>0</v>
      </c>
      <c r="J191" s="81">
        <f t="shared" si="1242"/>
        <v>0</v>
      </c>
      <c r="K191" s="81">
        <f t="shared" si="1242"/>
        <v>0</v>
      </c>
      <c r="L191" s="82">
        <f>SUM(L192:L201)</f>
        <v>0</v>
      </c>
      <c r="M191" s="80"/>
      <c r="N191" s="81">
        <f t="shared" ref="N191:V191" si="1243">SUM(N192:N201)</f>
        <v>0</v>
      </c>
      <c r="O191" s="81">
        <f t="shared" si="1243"/>
        <v>0</v>
      </c>
      <c r="P191" s="81">
        <f t="shared" si="1243"/>
        <v>0</v>
      </c>
      <c r="Q191" s="81">
        <f t="shared" si="1243"/>
        <v>0</v>
      </c>
      <c r="R191" s="81">
        <f t="shared" si="1243"/>
        <v>0</v>
      </c>
      <c r="S191" s="81">
        <f t="shared" si="1243"/>
        <v>0</v>
      </c>
      <c r="T191" s="81">
        <f t="shared" si="1243"/>
        <v>0</v>
      </c>
      <c r="U191" s="81">
        <f t="shared" si="1243"/>
        <v>0</v>
      </c>
      <c r="V191" s="81">
        <f t="shared" si="1243"/>
        <v>0</v>
      </c>
      <c r="W191" s="82">
        <f>SUM(W192:W201)</f>
        <v>0</v>
      </c>
      <c r="X191" s="80"/>
      <c r="Y191" s="81">
        <f t="shared" ref="Y191:AG191" si="1244">SUM(Y192:Y201)</f>
        <v>0</v>
      </c>
      <c r="Z191" s="81">
        <f t="shared" si="1244"/>
        <v>0</v>
      </c>
      <c r="AA191" s="81">
        <f t="shared" si="1244"/>
        <v>0</v>
      </c>
      <c r="AB191" s="81">
        <f t="shared" si="1244"/>
        <v>0</v>
      </c>
      <c r="AC191" s="81">
        <f t="shared" si="1244"/>
        <v>0</v>
      </c>
      <c r="AD191" s="81">
        <f t="shared" si="1244"/>
        <v>0</v>
      </c>
      <c r="AE191" s="81">
        <f t="shared" si="1244"/>
        <v>0</v>
      </c>
      <c r="AF191" s="81">
        <f t="shared" si="1244"/>
        <v>0</v>
      </c>
      <c r="AG191" s="81">
        <f t="shared" si="1244"/>
        <v>0</v>
      </c>
      <c r="AH191" s="82">
        <f>SUM(AH192:AH201)</f>
        <v>0</v>
      </c>
      <c r="AI191" s="80"/>
      <c r="AJ191" s="81">
        <f t="shared" ref="AJ191:AR191" si="1245">SUM(AJ192:AJ201)</f>
        <v>0</v>
      </c>
      <c r="AK191" s="81">
        <f t="shared" si="1245"/>
        <v>0</v>
      </c>
      <c r="AL191" s="81">
        <f t="shared" si="1245"/>
        <v>0</v>
      </c>
      <c r="AM191" s="81">
        <f t="shared" si="1245"/>
        <v>0</v>
      </c>
      <c r="AN191" s="81">
        <f t="shared" si="1245"/>
        <v>0</v>
      </c>
      <c r="AO191" s="81">
        <f t="shared" si="1245"/>
        <v>0</v>
      </c>
      <c r="AP191" s="81">
        <f t="shared" si="1245"/>
        <v>0</v>
      </c>
      <c r="AQ191" s="81">
        <f t="shared" si="1245"/>
        <v>0</v>
      </c>
      <c r="AR191" s="81">
        <f t="shared" si="1245"/>
        <v>0</v>
      </c>
      <c r="AS191" s="82">
        <f>SUM(AS192:AS201)</f>
        <v>0</v>
      </c>
      <c r="AT191" s="80"/>
      <c r="AU191" s="81">
        <f>SUM(AU192:AU201)</f>
        <v>0</v>
      </c>
      <c r="AV191" s="81">
        <f t="shared" ref="AV191:BC191" si="1246">SUM(AV192:AV201)</f>
        <v>0</v>
      </c>
      <c r="AW191" s="81">
        <f t="shared" si="1246"/>
        <v>0</v>
      </c>
      <c r="AX191" s="81">
        <f t="shared" si="1246"/>
        <v>0</v>
      </c>
      <c r="AY191" s="81">
        <f t="shared" si="1246"/>
        <v>0</v>
      </c>
      <c r="AZ191" s="81">
        <f t="shared" si="1246"/>
        <v>0</v>
      </c>
      <c r="BA191" s="81">
        <f t="shared" si="1246"/>
        <v>0</v>
      </c>
      <c r="BB191" s="81">
        <f t="shared" si="1246"/>
        <v>0</v>
      </c>
      <c r="BC191" s="81">
        <f t="shared" si="1246"/>
        <v>0</v>
      </c>
      <c r="BD191" s="82">
        <f>SUM(BD192:BD201)</f>
        <v>0</v>
      </c>
      <c r="BE191" s="80"/>
      <c r="BF191" s="81">
        <f t="shared" ref="BF191:BN191" si="1247">SUM(BF192:BF201)</f>
        <v>0</v>
      </c>
      <c r="BG191" s="81">
        <f t="shared" si="1247"/>
        <v>0</v>
      </c>
      <c r="BH191" s="81">
        <f t="shared" si="1247"/>
        <v>0</v>
      </c>
      <c r="BI191" s="81">
        <f t="shared" si="1247"/>
        <v>0</v>
      </c>
      <c r="BJ191" s="81">
        <f t="shared" si="1247"/>
        <v>0</v>
      </c>
      <c r="BK191" s="81">
        <f t="shared" si="1247"/>
        <v>0</v>
      </c>
      <c r="BL191" s="81">
        <f t="shared" si="1247"/>
        <v>0</v>
      </c>
      <c r="BM191" s="81">
        <f t="shared" si="1247"/>
        <v>0</v>
      </c>
      <c r="BN191" s="81">
        <f t="shared" si="1247"/>
        <v>0</v>
      </c>
      <c r="BO191" s="82">
        <f>SUM(BO192:BO201)</f>
        <v>0</v>
      </c>
      <c r="BP191" s="80"/>
      <c r="BQ191" s="81">
        <f t="shared" ref="BQ191:BY191" si="1248">SUM(BQ192:BQ201)</f>
        <v>0</v>
      </c>
      <c r="BR191" s="81">
        <f t="shared" si="1248"/>
        <v>0</v>
      </c>
      <c r="BS191" s="81">
        <f t="shared" si="1248"/>
        <v>0</v>
      </c>
      <c r="BT191" s="81">
        <f t="shared" si="1248"/>
        <v>0</v>
      </c>
      <c r="BU191" s="81">
        <f t="shared" si="1248"/>
        <v>0</v>
      </c>
      <c r="BV191" s="81">
        <f t="shared" si="1248"/>
        <v>0</v>
      </c>
      <c r="BW191" s="81">
        <f t="shared" si="1248"/>
        <v>0</v>
      </c>
      <c r="BX191" s="81">
        <f t="shared" si="1248"/>
        <v>0</v>
      </c>
      <c r="BY191" s="81">
        <f t="shared" si="1248"/>
        <v>0</v>
      </c>
      <c r="BZ191" s="82">
        <f>SUM(BZ192:BZ201)</f>
        <v>0</v>
      </c>
      <c r="CA191" s="80"/>
      <c r="CB191" s="81">
        <f t="shared" ref="CB191:CJ191" si="1249">SUM(CB192:CB201)</f>
        <v>0</v>
      </c>
      <c r="CC191" s="81">
        <f t="shared" si="1249"/>
        <v>0</v>
      </c>
      <c r="CD191" s="81">
        <f t="shared" si="1249"/>
        <v>0</v>
      </c>
      <c r="CE191" s="81">
        <f t="shared" si="1249"/>
        <v>0</v>
      </c>
      <c r="CF191" s="81">
        <f t="shared" si="1249"/>
        <v>0</v>
      </c>
      <c r="CG191" s="81">
        <f t="shared" si="1249"/>
        <v>0</v>
      </c>
      <c r="CH191" s="81">
        <f t="shared" si="1249"/>
        <v>0</v>
      </c>
      <c r="CI191" s="81">
        <f t="shared" si="1249"/>
        <v>0</v>
      </c>
      <c r="CJ191" s="81">
        <f t="shared" si="1249"/>
        <v>0</v>
      </c>
      <c r="CK191" s="82">
        <f>SUM(CK192:CK201)</f>
        <v>0</v>
      </c>
      <c r="CL191" s="80"/>
      <c r="CM191" s="81">
        <f>SUM(CM192:CM201)</f>
        <v>0</v>
      </c>
      <c r="CN191" s="81">
        <f t="shared" ref="CN191:CU191" si="1250">SUM(CN192:CN201)</f>
        <v>0</v>
      </c>
      <c r="CO191" s="81">
        <f t="shared" si="1250"/>
        <v>0</v>
      </c>
      <c r="CP191" s="81">
        <f t="shared" si="1250"/>
        <v>0</v>
      </c>
      <c r="CQ191" s="81">
        <f t="shared" si="1250"/>
        <v>0</v>
      </c>
      <c r="CR191" s="81">
        <f t="shared" si="1250"/>
        <v>0</v>
      </c>
      <c r="CS191" s="81">
        <f t="shared" si="1250"/>
        <v>0</v>
      </c>
      <c r="CT191" s="81">
        <f t="shared" si="1250"/>
        <v>0</v>
      </c>
      <c r="CU191" s="81">
        <f t="shared" si="1250"/>
        <v>0</v>
      </c>
      <c r="CV191" s="82">
        <f>SUM(CV192:CV201)</f>
        <v>0</v>
      </c>
      <c r="CW191" s="80"/>
      <c r="CX191" s="81">
        <f t="shared" ref="CX191:DF191" si="1251">SUM(CX192:CX201)</f>
        <v>0</v>
      </c>
      <c r="CY191" s="81">
        <f t="shared" si="1251"/>
        <v>0</v>
      </c>
      <c r="CZ191" s="81">
        <f t="shared" si="1251"/>
        <v>0</v>
      </c>
      <c r="DA191" s="81">
        <f t="shared" si="1251"/>
        <v>0</v>
      </c>
      <c r="DB191" s="81">
        <f t="shared" si="1251"/>
        <v>0</v>
      </c>
      <c r="DC191" s="81">
        <f t="shared" si="1251"/>
        <v>0</v>
      </c>
      <c r="DD191" s="81">
        <f t="shared" si="1251"/>
        <v>0</v>
      </c>
      <c r="DE191" s="81">
        <f t="shared" si="1251"/>
        <v>0</v>
      </c>
      <c r="DF191" s="81">
        <f t="shared" si="1251"/>
        <v>0</v>
      </c>
      <c r="DG191" s="82">
        <f>SUM(DG192:DG201)</f>
        <v>0</v>
      </c>
      <c r="DH191" s="80"/>
      <c r="DI191" s="81">
        <f t="shared" ref="DI191:DQ191" si="1252">SUM(DI192:DI201)</f>
        <v>0</v>
      </c>
      <c r="DJ191" s="81">
        <f t="shared" si="1252"/>
        <v>0</v>
      </c>
      <c r="DK191" s="81">
        <f t="shared" si="1252"/>
        <v>0</v>
      </c>
      <c r="DL191" s="81">
        <f t="shared" si="1252"/>
        <v>0</v>
      </c>
      <c r="DM191" s="81">
        <f t="shared" si="1252"/>
        <v>0</v>
      </c>
      <c r="DN191" s="81">
        <f t="shared" si="1252"/>
        <v>0</v>
      </c>
      <c r="DO191" s="81">
        <f t="shared" si="1252"/>
        <v>0</v>
      </c>
      <c r="DP191" s="81">
        <f t="shared" si="1252"/>
        <v>0</v>
      </c>
      <c r="DQ191" s="81">
        <f t="shared" si="1252"/>
        <v>0</v>
      </c>
      <c r="DR191" s="82">
        <f>SUM(DR192:DR201)</f>
        <v>0</v>
      </c>
      <c r="DS191" s="80"/>
      <c r="DT191" s="81">
        <f t="shared" ref="DT191:EB191" si="1253">SUM(DT192:DT201)</f>
        <v>0</v>
      </c>
      <c r="DU191" s="81">
        <f t="shared" si="1253"/>
        <v>0</v>
      </c>
      <c r="DV191" s="81">
        <f t="shared" si="1253"/>
        <v>0</v>
      </c>
      <c r="DW191" s="81">
        <f t="shared" si="1253"/>
        <v>0</v>
      </c>
      <c r="DX191" s="81">
        <f t="shared" si="1253"/>
        <v>0</v>
      </c>
      <c r="DY191" s="81">
        <f t="shared" si="1253"/>
        <v>0</v>
      </c>
      <c r="DZ191" s="81">
        <f t="shared" si="1253"/>
        <v>0</v>
      </c>
      <c r="EA191" s="81">
        <f t="shared" si="1253"/>
        <v>0</v>
      </c>
      <c r="EB191" s="81">
        <f t="shared" si="1253"/>
        <v>0</v>
      </c>
      <c r="EC191" s="81">
        <f>SUM(EC192:EC201)</f>
        <v>0</v>
      </c>
      <c r="ED191" s="80"/>
      <c r="EE191" s="81">
        <f>SUM(EE192:EE201)</f>
        <v>0</v>
      </c>
      <c r="EF191" s="81">
        <f t="shared" ref="EF191:EM191" si="1254">SUM(EF192:EF201)</f>
        <v>0</v>
      </c>
      <c r="EG191" s="81">
        <f t="shared" si="1254"/>
        <v>0</v>
      </c>
      <c r="EH191" s="81">
        <f t="shared" si="1254"/>
        <v>0</v>
      </c>
      <c r="EI191" s="81">
        <f t="shared" si="1254"/>
        <v>0</v>
      </c>
      <c r="EJ191" s="81">
        <f t="shared" si="1254"/>
        <v>0</v>
      </c>
      <c r="EK191" s="81">
        <f t="shared" si="1254"/>
        <v>0</v>
      </c>
      <c r="EL191" s="81">
        <f t="shared" si="1254"/>
        <v>0</v>
      </c>
      <c r="EM191" s="81">
        <f t="shared" si="1254"/>
        <v>0</v>
      </c>
      <c r="EN191" s="82">
        <f>SUM(EN192:EN201)</f>
        <v>0</v>
      </c>
      <c r="EO191" s="80"/>
      <c r="EP191" s="81">
        <f t="shared" ref="EP191:EX191" si="1255">SUM(EP192:EP201)</f>
        <v>0</v>
      </c>
      <c r="EQ191" s="81">
        <f t="shared" si="1255"/>
        <v>0</v>
      </c>
      <c r="ER191" s="81">
        <f t="shared" si="1255"/>
        <v>0</v>
      </c>
      <c r="ES191" s="81">
        <f t="shared" si="1255"/>
        <v>0</v>
      </c>
      <c r="ET191" s="81">
        <f t="shared" si="1255"/>
        <v>0</v>
      </c>
      <c r="EU191" s="81">
        <f t="shared" si="1255"/>
        <v>0</v>
      </c>
      <c r="EV191" s="81">
        <f t="shared" si="1255"/>
        <v>0</v>
      </c>
      <c r="EW191" s="81">
        <f t="shared" si="1255"/>
        <v>0</v>
      </c>
      <c r="EX191" s="81">
        <f t="shared" si="1255"/>
        <v>0</v>
      </c>
      <c r="EY191" s="82">
        <f>SUM(EY192:EY201)</f>
        <v>0</v>
      </c>
      <c r="EZ191" s="80"/>
      <c r="FA191" s="81">
        <f t="shared" ref="FA191:FI191" si="1256">SUM(FA192:FA201)</f>
        <v>0</v>
      </c>
      <c r="FB191" s="81">
        <f t="shared" si="1256"/>
        <v>0</v>
      </c>
      <c r="FC191" s="81">
        <f t="shared" si="1256"/>
        <v>0</v>
      </c>
      <c r="FD191" s="81">
        <f t="shared" si="1256"/>
        <v>0</v>
      </c>
      <c r="FE191" s="81">
        <f t="shared" si="1256"/>
        <v>0</v>
      </c>
      <c r="FF191" s="81">
        <f t="shared" si="1256"/>
        <v>0</v>
      </c>
      <c r="FG191" s="81">
        <f t="shared" si="1256"/>
        <v>0</v>
      </c>
      <c r="FH191" s="81">
        <f t="shared" si="1256"/>
        <v>0</v>
      </c>
      <c r="FI191" s="81">
        <f t="shared" si="1256"/>
        <v>0</v>
      </c>
      <c r="FJ191" s="82">
        <f>SUM(FJ192:FJ201)</f>
        <v>0</v>
      </c>
      <c r="FK191" s="80"/>
      <c r="FL191" s="81">
        <f t="shared" ref="FL191:FT191" si="1257">SUM(FL192:FL201)</f>
        <v>0</v>
      </c>
      <c r="FM191" s="81">
        <f t="shared" si="1257"/>
        <v>0</v>
      </c>
      <c r="FN191" s="81">
        <f t="shared" si="1257"/>
        <v>0</v>
      </c>
      <c r="FO191" s="81">
        <f t="shared" si="1257"/>
        <v>0</v>
      </c>
      <c r="FP191" s="81">
        <f t="shared" si="1257"/>
        <v>0</v>
      </c>
      <c r="FQ191" s="81">
        <f t="shared" si="1257"/>
        <v>0</v>
      </c>
      <c r="FR191" s="81">
        <f t="shared" si="1257"/>
        <v>0</v>
      </c>
      <c r="FS191" s="81">
        <f t="shared" si="1257"/>
        <v>0</v>
      </c>
      <c r="FT191" s="81">
        <f t="shared" si="1257"/>
        <v>0</v>
      </c>
      <c r="FU191" s="82">
        <f>SUM(FU192:FU201)</f>
        <v>0</v>
      </c>
      <c r="FV191" s="80"/>
      <c r="FW191" s="81">
        <f>SUM(FW192:FW201)</f>
        <v>0</v>
      </c>
      <c r="FX191" s="81">
        <f t="shared" ref="FX191:GE191" si="1258">SUM(FX192:FX201)</f>
        <v>0</v>
      </c>
      <c r="FY191" s="81">
        <f t="shared" si="1258"/>
        <v>0</v>
      </c>
      <c r="FZ191" s="81">
        <f t="shared" si="1258"/>
        <v>0</v>
      </c>
      <c r="GA191" s="81">
        <f t="shared" si="1258"/>
        <v>0</v>
      </c>
      <c r="GB191" s="81">
        <f t="shared" si="1258"/>
        <v>0</v>
      </c>
      <c r="GC191" s="81">
        <f t="shared" si="1258"/>
        <v>0</v>
      </c>
      <c r="GD191" s="81">
        <f t="shared" si="1258"/>
        <v>0</v>
      </c>
      <c r="GE191" s="81">
        <f t="shared" si="1258"/>
        <v>0</v>
      </c>
      <c r="GF191" s="82">
        <f>SUM(GF192:GF201)</f>
        <v>0</v>
      </c>
      <c r="GG191" s="80"/>
      <c r="GH191" s="81">
        <f t="shared" ref="GH191:GP191" si="1259">SUM(GH192:GH201)</f>
        <v>0</v>
      </c>
      <c r="GI191" s="81">
        <f t="shared" si="1259"/>
        <v>0</v>
      </c>
      <c r="GJ191" s="81">
        <f t="shared" si="1259"/>
        <v>0</v>
      </c>
      <c r="GK191" s="81">
        <f t="shared" si="1259"/>
        <v>0</v>
      </c>
      <c r="GL191" s="81">
        <f t="shared" si="1259"/>
        <v>0</v>
      </c>
      <c r="GM191" s="81">
        <f t="shared" si="1259"/>
        <v>0</v>
      </c>
      <c r="GN191" s="81">
        <f t="shared" si="1259"/>
        <v>0</v>
      </c>
      <c r="GO191" s="81">
        <f t="shared" si="1259"/>
        <v>0</v>
      </c>
      <c r="GP191" s="81">
        <f t="shared" si="1259"/>
        <v>0</v>
      </c>
      <c r="GQ191" s="82">
        <f t="shared" ref="GQ191:HV191" si="1260">SUM(GQ192:GQ201)</f>
        <v>0</v>
      </c>
      <c r="GR191" s="81">
        <f t="shared" si="1260"/>
        <v>0</v>
      </c>
      <c r="GS191" s="81">
        <f t="shared" si="1260"/>
        <v>0</v>
      </c>
      <c r="GT191" s="81">
        <f t="shared" si="1260"/>
        <v>0</v>
      </c>
      <c r="GU191" s="81">
        <f t="shared" si="1260"/>
        <v>0</v>
      </c>
      <c r="GV191" s="81">
        <f t="shared" si="1260"/>
        <v>0</v>
      </c>
      <c r="GW191" s="81">
        <f t="shared" si="1260"/>
        <v>0</v>
      </c>
      <c r="GX191" s="81">
        <f t="shared" si="1260"/>
        <v>0</v>
      </c>
      <c r="GY191" s="81">
        <f t="shared" si="1260"/>
        <v>0</v>
      </c>
      <c r="GZ191" s="81">
        <f t="shared" si="1260"/>
        <v>0</v>
      </c>
      <c r="HA191" s="81">
        <f t="shared" si="1260"/>
        <v>0</v>
      </c>
      <c r="HB191" s="81">
        <f t="shared" si="1260"/>
        <v>0</v>
      </c>
      <c r="HC191" s="81">
        <f t="shared" si="1260"/>
        <v>0</v>
      </c>
      <c r="HD191" s="81">
        <f t="shared" si="1260"/>
        <v>0</v>
      </c>
      <c r="HE191" s="81">
        <f t="shared" si="1260"/>
        <v>0</v>
      </c>
      <c r="HF191" s="81">
        <f t="shared" si="1260"/>
        <v>0</v>
      </c>
      <c r="HG191" s="81">
        <f t="shared" si="1260"/>
        <v>0</v>
      </c>
      <c r="HH191" s="81">
        <f t="shared" si="1260"/>
        <v>0</v>
      </c>
      <c r="HI191" s="81">
        <f t="shared" si="1260"/>
        <v>0</v>
      </c>
      <c r="HJ191" s="81">
        <f t="shared" si="1260"/>
        <v>0</v>
      </c>
      <c r="HK191" s="81">
        <f t="shared" si="1260"/>
        <v>0</v>
      </c>
      <c r="HL191" s="81">
        <f t="shared" si="1260"/>
        <v>0</v>
      </c>
      <c r="HM191" s="81">
        <f t="shared" si="1260"/>
        <v>0</v>
      </c>
      <c r="HN191" s="81">
        <f t="shared" si="1260"/>
        <v>0</v>
      </c>
      <c r="HO191" s="81">
        <f t="shared" si="1260"/>
        <v>0</v>
      </c>
      <c r="HP191" s="81">
        <f t="shared" si="1260"/>
        <v>0</v>
      </c>
      <c r="HQ191" s="81">
        <f t="shared" si="1260"/>
        <v>0</v>
      </c>
      <c r="HR191" s="81">
        <f t="shared" si="1260"/>
        <v>0</v>
      </c>
      <c r="HS191" s="81">
        <f t="shared" si="1260"/>
        <v>0</v>
      </c>
      <c r="HT191" s="81">
        <f t="shared" si="1260"/>
        <v>0</v>
      </c>
      <c r="HU191" s="81">
        <f t="shared" si="1260"/>
        <v>0</v>
      </c>
      <c r="HV191" s="81">
        <f t="shared" si="1260"/>
        <v>0</v>
      </c>
      <c r="HW191" s="81">
        <f t="shared" ref="HW191:IV191" si="1261">SUM(HW192:HW201)</f>
        <v>0</v>
      </c>
      <c r="HX191" s="81">
        <f t="shared" si="1261"/>
        <v>0</v>
      </c>
      <c r="HY191" s="81">
        <f t="shared" si="1261"/>
        <v>0</v>
      </c>
      <c r="HZ191" s="81">
        <f t="shared" si="1261"/>
        <v>0</v>
      </c>
      <c r="IA191" s="81">
        <f t="shared" si="1261"/>
        <v>0</v>
      </c>
      <c r="IB191" s="81">
        <f t="shared" si="1261"/>
        <v>0</v>
      </c>
      <c r="IC191" s="81">
        <f t="shared" si="1261"/>
        <v>0</v>
      </c>
      <c r="ID191" s="81">
        <f t="shared" si="1261"/>
        <v>0</v>
      </c>
      <c r="IE191" s="81">
        <f t="shared" si="1261"/>
        <v>0</v>
      </c>
      <c r="IF191" s="81">
        <f t="shared" si="1261"/>
        <v>0</v>
      </c>
      <c r="IG191" s="81">
        <f t="shared" si="1261"/>
        <v>0</v>
      </c>
      <c r="IH191" s="81">
        <f t="shared" si="1261"/>
        <v>0</v>
      </c>
      <c r="II191" s="81">
        <f t="shared" si="1261"/>
        <v>0</v>
      </c>
      <c r="IJ191" s="81">
        <f t="shared" si="1261"/>
        <v>0</v>
      </c>
      <c r="IK191" s="81">
        <f t="shared" si="1261"/>
        <v>0</v>
      </c>
      <c r="IL191" s="81">
        <f t="shared" si="1261"/>
        <v>0</v>
      </c>
      <c r="IM191" s="81">
        <f t="shared" si="1261"/>
        <v>0</v>
      </c>
      <c r="IN191" s="81">
        <f t="shared" si="1261"/>
        <v>0</v>
      </c>
      <c r="IO191" s="81">
        <f t="shared" si="1261"/>
        <v>0</v>
      </c>
      <c r="IP191" s="81">
        <f t="shared" si="1261"/>
        <v>0</v>
      </c>
      <c r="IQ191" s="81">
        <f t="shared" si="1261"/>
        <v>0</v>
      </c>
      <c r="IR191" s="81">
        <f t="shared" si="1261"/>
        <v>0</v>
      </c>
      <c r="IS191" s="81">
        <f t="shared" si="1261"/>
        <v>0</v>
      </c>
      <c r="IT191" s="81">
        <f t="shared" si="1261"/>
        <v>0</v>
      </c>
      <c r="IU191" s="81">
        <f t="shared" si="1261"/>
        <v>0</v>
      </c>
      <c r="IV191" s="81">
        <f t="shared" si="1261"/>
        <v>0</v>
      </c>
    </row>
    <row r="192" spans="1:256" x14ac:dyDescent="0.25">
      <c r="A192" s="83" t="s">
        <v>169</v>
      </c>
      <c r="B192" s="62">
        <v>0</v>
      </c>
      <c r="C192" s="63"/>
      <c r="D192" s="63"/>
      <c r="E192" s="63"/>
      <c r="F192" s="63"/>
      <c r="G192" s="63"/>
      <c r="H192" s="63"/>
      <c r="I192" s="63"/>
      <c r="J192" s="63"/>
      <c r="K192" s="63"/>
      <c r="L192" s="64">
        <f t="shared" ref="L192:L201" si="1262">SUM(C192:F192,H192:K192)</f>
        <v>0</v>
      </c>
      <c r="M192" s="62"/>
      <c r="N192" s="63"/>
      <c r="O192" s="63"/>
      <c r="P192" s="63"/>
      <c r="Q192" s="63"/>
      <c r="R192" s="63"/>
      <c r="S192" s="63"/>
      <c r="T192" s="63"/>
      <c r="U192" s="63"/>
      <c r="V192" s="63"/>
      <c r="W192" s="64">
        <f t="shared" ref="W192:W201" si="1263">SUM(N192:Q192,S192:V192)</f>
        <v>0</v>
      </c>
      <c r="X192" s="62"/>
      <c r="Y192" s="63"/>
      <c r="Z192" s="63"/>
      <c r="AA192" s="63"/>
      <c r="AB192" s="63"/>
      <c r="AC192" s="63"/>
      <c r="AD192" s="63"/>
      <c r="AE192" s="63"/>
      <c r="AF192" s="63"/>
      <c r="AG192" s="63"/>
      <c r="AH192" s="64">
        <f t="shared" ref="AH192:AH201" si="1264">SUM(Y192:AB192,AD192:AG192)</f>
        <v>0</v>
      </c>
      <c r="AI192" s="62"/>
      <c r="AJ192" s="63"/>
      <c r="AK192" s="63"/>
      <c r="AL192" s="63"/>
      <c r="AM192" s="63"/>
      <c r="AN192" s="63"/>
      <c r="AO192" s="63"/>
      <c r="AP192" s="63"/>
      <c r="AQ192" s="63"/>
      <c r="AR192" s="63"/>
      <c r="AS192" s="64">
        <f t="shared" ref="AS192:AS201" si="1265">SUM(AJ192:AM192,AO192:AR192)</f>
        <v>0</v>
      </c>
      <c r="AT192" s="65">
        <f t="shared" ref="AT192:BC201" si="1266">SUM(M192,AI192,X192)</f>
        <v>0</v>
      </c>
      <c r="AU192" s="65">
        <f t="shared" si="1266"/>
        <v>0</v>
      </c>
      <c r="AV192" s="65">
        <f t="shared" si="1266"/>
        <v>0</v>
      </c>
      <c r="AW192" s="65">
        <f t="shared" si="1266"/>
        <v>0</v>
      </c>
      <c r="AX192" s="65">
        <f t="shared" si="1266"/>
        <v>0</v>
      </c>
      <c r="AY192" s="65">
        <f t="shared" si="1266"/>
        <v>0</v>
      </c>
      <c r="AZ192" s="65">
        <f t="shared" si="1266"/>
        <v>0</v>
      </c>
      <c r="BA192" s="65">
        <f t="shared" si="1266"/>
        <v>0</v>
      </c>
      <c r="BB192" s="65">
        <f t="shared" si="1266"/>
        <v>0</v>
      </c>
      <c r="BC192" s="65">
        <f t="shared" si="1266"/>
        <v>0</v>
      </c>
      <c r="BD192" s="64">
        <f t="shared" ref="BD192:BD201" si="1267">SUM(AU192:AX192,AZ192:BC192)</f>
        <v>0</v>
      </c>
      <c r="BE192" s="62"/>
      <c r="BF192" s="63"/>
      <c r="BG192" s="63"/>
      <c r="BH192" s="63"/>
      <c r="BI192" s="63"/>
      <c r="BJ192" s="63"/>
      <c r="BK192" s="63"/>
      <c r="BL192" s="63"/>
      <c r="BM192" s="63"/>
      <c r="BN192" s="63"/>
      <c r="BO192" s="64">
        <f t="shared" ref="BO192:BO201" si="1268">SUM(BF192:BI192,BK192:BN192)</f>
        <v>0</v>
      </c>
      <c r="BP192" s="62"/>
      <c r="BQ192" s="63"/>
      <c r="BR192" s="63"/>
      <c r="BS192" s="63"/>
      <c r="BT192" s="63"/>
      <c r="BU192" s="63"/>
      <c r="BV192" s="63"/>
      <c r="BW192" s="63"/>
      <c r="BX192" s="63"/>
      <c r="BY192" s="63"/>
      <c r="BZ192" s="64">
        <f t="shared" ref="BZ192:BZ201" si="1269">SUM(BQ192:BT192,BV192:BY192)</f>
        <v>0</v>
      </c>
      <c r="CA192" s="62"/>
      <c r="CB192" s="63"/>
      <c r="CC192" s="63"/>
      <c r="CD192" s="63"/>
      <c r="CE192" s="63"/>
      <c r="CF192" s="63"/>
      <c r="CG192" s="63"/>
      <c r="CH192" s="63"/>
      <c r="CI192" s="63"/>
      <c r="CJ192" s="63"/>
      <c r="CK192" s="64">
        <f t="shared" ref="CK192:CK201" si="1270">SUM(CB192:CE192,CG192:CJ192)</f>
        <v>0</v>
      </c>
      <c r="CL192" s="65">
        <f t="shared" ref="CL192:CU201" si="1271">SUM(BE192,CA192,BP192)</f>
        <v>0</v>
      </c>
      <c r="CM192" s="65">
        <f t="shared" si="1271"/>
        <v>0</v>
      </c>
      <c r="CN192" s="65">
        <f t="shared" si="1271"/>
        <v>0</v>
      </c>
      <c r="CO192" s="65">
        <f t="shared" si="1271"/>
        <v>0</v>
      </c>
      <c r="CP192" s="65">
        <f t="shared" si="1271"/>
        <v>0</v>
      </c>
      <c r="CQ192" s="65">
        <f t="shared" si="1271"/>
        <v>0</v>
      </c>
      <c r="CR192" s="65">
        <f t="shared" si="1271"/>
        <v>0</v>
      </c>
      <c r="CS192" s="65">
        <f t="shared" si="1271"/>
        <v>0</v>
      </c>
      <c r="CT192" s="65">
        <f t="shared" si="1271"/>
        <v>0</v>
      </c>
      <c r="CU192" s="65">
        <f t="shared" si="1271"/>
        <v>0</v>
      </c>
      <c r="CV192" s="64">
        <f t="shared" ref="CV192:CV201" si="1272">SUM(CM192:CP192,CR192:CU192)</f>
        <v>0</v>
      </c>
      <c r="CW192" s="62"/>
      <c r="CX192" s="63"/>
      <c r="CY192" s="63"/>
      <c r="CZ192" s="63"/>
      <c r="DA192" s="63"/>
      <c r="DB192" s="63"/>
      <c r="DC192" s="63"/>
      <c r="DD192" s="63"/>
      <c r="DE192" s="63"/>
      <c r="DF192" s="63"/>
      <c r="DG192" s="64">
        <f t="shared" ref="DG192:DG201" si="1273">SUM(CX192:DA192,DC192:DF192)</f>
        <v>0</v>
      </c>
      <c r="DH192" s="62"/>
      <c r="DI192" s="63"/>
      <c r="DJ192" s="63"/>
      <c r="DK192" s="63"/>
      <c r="DL192" s="63"/>
      <c r="DM192" s="63"/>
      <c r="DN192" s="63"/>
      <c r="DO192" s="63"/>
      <c r="DP192" s="63"/>
      <c r="DQ192" s="63"/>
      <c r="DR192" s="64">
        <f t="shared" ref="DR192:DR201" si="1274">SUM(DI192:DL192,DN192:DQ192)</f>
        <v>0</v>
      </c>
      <c r="DS192" s="62"/>
      <c r="DT192" s="63"/>
      <c r="DU192" s="63"/>
      <c r="DV192" s="63"/>
      <c r="DW192" s="63"/>
      <c r="DX192" s="63"/>
      <c r="DY192" s="63"/>
      <c r="DZ192" s="63"/>
      <c r="EA192" s="63"/>
      <c r="EB192" s="63"/>
      <c r="EC192" s="63"/>
      <c r="ED192" s="65">
        <f t="shared" ref="ED192:EM201" si="1275">SUM(CW192,DS192,DH192)</f>
        <v>0</v>
      </c>
      <c r="EE192" s="65">
        <f t="shared" si="1275"/>
        <v>0</v>
      </c>
      <c r="EF192" s="65">
        <f t="shared" si="1275"/>
        <v>0</v>
      </c>
      <c r="EG192" s="65">
        <f t="shared" si="1275"/>
        <v>0</v>
      </c>
      <c r="EH192" s="65">
        <f t="shared" si="1275"/>
        <v>0</v>
      </c>
      <c r="EI192" s="65">
        <f t="shared" si="1275"/>
        <v>0</v>
      </c>
      <c r="EJ192" s="65">
        <f t="shared" si="1275"/>
        <v>0</v>
      </c>
      <c r="EK192" s="65">
        <f t="shared" si="1275"/>
        <v>0</v>
      </c>
      <c r="EL192" s="65">
        <f t="shared" si="1275"/>
        <v>0</v>
      </c>
      <c r="EM192" s="65">
        <f t="shared" si="1275"/>
        <v>0</v>
      </c>
      <c r="EN192" s="64">
        <f t="shared" ref="EN192:EN201" si="1276">SUM(EE192:EH192,EJ192:EM192)</f>
        <v>0</v>
      </c>
      <c r="EO192" s="62"/>
      <c r="EP192" s="63"/>
      <c r="EQ192" s="63"/>
      <c r="ER192" s="63"/>
      <c r="ES192" s="63"/>
      <c r="ET192" s="63"/>
      <c r="EU192" s="63"/>
      <c r="EV192" s="63"/>
      <c r="EW192" s="63"/>
      <c r="EX192" s="63"/>
      <c r="EY192" s="64">
        <f t="shared" ref="EY192:EY201" si="1277">SUM(EP192:ES192,EU192:EX192)</f>
        <v>0</v>
      </c>
      <c r="EZ192" s="62"/>
      <c r="FA192" s="63"/>
      <c r="FB192" s="63"/>
      <c r="FC192" s="63"/>
      <c r="FD192" s="63"/>
      <c r="FE192" s="63"/>
      <c r="FF192" s="63"/>
      <c r="FG192" s="63"/>
      <c r="FH192" s="63"/>
      <c r="FI192" s="63"/>
      <c r="FJ192" s="64">
        <f t="shared" ref="FJ192:FJ201" si="1278">SUM(FA192:FD192,FF192:FI192)</f>
        <v>0</v>
      </c>
      <c r="FK192" s="62"/>
      <c r="FL192" s="63"/>
      <c r="FM192" s="63"/>
      <c r="FN192" s="63"/>
      <c r="FO192" s="63"/>
      <c r="FP192" s="63"/>
      <c r="FQ192" s="63"/>
      <c r="FR192" s="63"/>
      <c r="FS192" s="63"/>
      <c r="FT192" s="63"/>
      <c r="FU192" s="64">
        <f t="shared" ref="FU192:FU201" si="1279">SUM(FL192:FO192,FQ192:FT192)</f>
        <v>0</v>
      </c>
      <c r="FV192" s="65">
        <f t="shared" ref="FV192:GE201" si="1280">SUM(EO192,FK192,EZ192)</f>
        <v>0</v>
      </c>
      <c r="FW192" s="65">
        <f t="shared" si="1280"/>
        <v>0</v>
      </c>
      <c r="FX192" s="65">
        <f t="shared" si="1280"/>
        <v>0</v>
      </c>
      <c r="FY192" s="65">
        <f t="shared" si="1280"/>
        <v>0</v>
      </c>
      <c r="FZ192" s="65">
        <f t="shared" si="1280"/>
        <v>0</v>
      </c>
      <c r="GA192" s="65">
        <f t="shared" si="1280"/>
        <v>0</v>
      </c>
      <c r="GB192" s="65">
        <f t="shared" si="1280"/>
        <v>0</v>
      </c>
      <c r="GC192" s="65">
        <f t="shared" si="1280"/>
        <v>0</v>
      </c>
      <c r="GD192" s="65">
        <f t="shared" si="1280"/>
        <v>0</v>
      </c>
      <c r="GE192" s="65">
        <f t="shared" si="1280"/>
        <v>0</v>
      </c>
      <c r="GF192" s="64">
        <f t="shared" ref="GF192:GF201" si="1281">SUM(FW192:FZ192,GB192:GE192)</f>
        <v>0</v>
      </c>
      <c r="GG192" s="66">
        <f t="shared" ref="GG192:GP201" si="1282">SUM(AT192,CL192,ED192,FV192)</f>
        <v>0</v>
      </c>
      <c r="GH192" s="66">
        <f t="shared" si="1282"/>
        <v>0</v>
      </c>
      <c r="GI192" s="66">
        <f t="shared" si="1282"/>
        <v>0</v>
      </c>
      <c r="GJ192" s="66">
        <f t="shared" si="1282"/>
        <v>0</v>
      </c>
      <c r="GK192" s="66">
        <f t="shared" si="1282"/>
        <v>0</v>
      </c>
      <c r="GL192" s="66">
        <f t="shared" si="1282"/>
        <v>0</v>
      </c>
      <c r="GM192" s="66">
        <f t="shared" si="1282"/>
        <v>0</v>
      </c>
      <c r="GN192" s="66">
        <f t="shared" si="1282"/>
        <v>0</v>
      </c>
      <c r="GO192" s="66">
        <f t="shared" si="1282"/>
        <v>0</v>
      </c>
      <c r="GP192" s="66">
        <f t="shared" si="1282"/>
        <v>0</v>
      </c>
      <c r="GQ192" s="64">
        <f t="shared" ref="GQ192:GQ201" si="1283">SUM(GH192:GK192,GM192:GP192)</f>
        <v>0</v>
      </c>
      <c r="GR192" s="63"/>
      <c r="GS192" s="63"/>
      <c r="GT192" s="63"/>
      <c r="GU192" s="63"/>
      <c r="GV192" s="67">
        <f t="shared" ref="GV192:GV201" si="1284">SUM(GR192:GU192)</f>
        <v>0</v>
      </c>
      <c r="GW192" s="63"/>
      <c r="GX192" s="63"/>
      <c r="GY192" s="63"/>
      <c r="GZ192" s="63"/>
      <c r="HA192" s="67">
        <f t="shared" ref="HA192:HA201" si="1285">SUM(GW192:GZ192)</f>
        <v>0</v>
      </c>
      <c r="HB192" s="63"/>
      <c r="HC192" s="63"/>
      <c r="HD192" s="63"/>
      <c r="HE192" s="63"/>
      <c r="HF192" s="67">
        <f t="shared" ref="HF192:HF201" si="1286">SUM(HB192:HE192)</f>
        <v>0</v>
      </c>
      <c r="HG192" s="63"/>
      <c r="HH192" s="63"/>
      <c r="HI192" s="63"/>
      <c r="HJ192" s="63"/>
      <c r="HK192" s="67">
        <f t="shared" ref="HK192:HK201" si="1287">SUM(HG192:HJ192)</f>
        <v>0</v>
      </c>
      <c r="HL192" s="68">
        <f t="shared" ref="HL192:HO201" si="1288">SUM(GW192,HB192,HG192)</f>
        <v>0</v>
      </c>
      <c r="HM192" s="68">
        <f t="shared" si="1288"/>
        <v>0</v>
      </c>
      <c r="HN192" s="68">
        <f t="shared" si="1288"/>
        <v>0</v>
      </c>
      <c r="HO192" s="68">
        <f t="shared" si="1288"/>
        <v>0</v>
      </c>
      <c r="HP192" s="67">
        <f t="shared" ref="HP192:HP201" si="1289">SUM(HL192:HO192)</f>
        <v>0</v>
      </c>
      <c r="HQ192" s="63"/>
      <c r="HR192" s="63"/>
      <c r="HS192" s="63"/>
      <c r="HT192" s="63"/>
      <c r="HU192" s="67">
        <f t="shared" ref="HU192:HU201" si="1290">SUM(HQ192:HT192)</f>
        <v>0</v>
      </c>
      <c r="HV192" s="63"/>
      <c r="HW192" s="63"/>
      <c r="HX192" s="63"/>
      <c r="HY192" s="63"/>
      <c r="HZ192" s="67">
        <f t="shared" ref="HZ192:HZ201" si="1291">SUM(HV192:HY192)</f>
        <v>0</v>
      </c>
      <c r="IA192" s="63"/>
      <c r="IB192" s="63"/>
      <c r="IC192" s="63"/>
      <c r="ID192" s="63"/>
      <c r="IE192" s="67">
        <f t="shared" ref="IE192:IE201" si="1292">SUM(IA192:ID192)</f>
        <v>0</v>
      </c>
      <c r="IF192" s="68">
        <f t="shared" ref="IF192:II201" si="1293">SUM(HQ192,HV192,IA192)</f>
        <v>0</v>
      </c>
      <c r="IG192" s="68">
        <f t="shared" si="1293"/>
        <v>0</v>
      </c>
      <c r="IH192" s="68">
        <f t="shared" si="1293"/>
        <v>0</v>
      </c>
      <c r="II192" s="68">
        <f t="shared" si="1293"/>
        <v>0</v>
      </c>
      <c r="IJ192" s="67">
        <f t="shared" ref="IJ192:IJ201" si="1294">SUM(IF192:II192)</f>
        <v>0</v>
      </c>
      <c r="IK192" s="63"/>
      <c r="IL192" s="63"/>
      <c r="IM192" s="63"/>
      <c r="IN192" s="63"/>
      <c r="IO192" s="67">
        <f t="shared" ref="IO192:IO201" si="1295">SUM(IK192:IN192)</f>
        <v>0</v>
      </c>
      <c r="IP192" s="63"/>
      <c r="IQ192" s="63"/>
      <c r="IR192" s="63"/>
      <c r="IS192" s="63"/>
      <c r="IT192" s="67">
        <f t="shared" ref="IT192:IT201" si="1296">SUM(IP192:IS192)</f>
        <v>0</v>
      </c>
      <c r="IU192" s="63"/>
      <c r="IV192" s="63"/>
    </row>
    <row r="193" spans="1:256" x14ac:dyDescent="0.25">
      <c r="A193" s="156" t="s">
        <v>170</v>
      </c>
      <c r="B193" s="62">
        <v>0</v>
      </c>
      <c r="C193" s="63"/>
      <c r="D193" s="63"/>
      <c r="E193" s="63"/>
      <c r="F193" s="63"/>
      <c r="G193" s="63"/>
      <c r="H193" s="63"/>
      <c r="I193" s="63"/>
      <c r="J193" s="63"/>
      <c r="K193" s="63"/>
      <c r="L193" s="64">
        <f t="shared" si="1262"/>
        <v>0</v>
      </c>
      <c r="M193" s="62"/>
      <c r="N193" s="63"/>
      <c r="O193" s="63"/>
      <c r="P193" s="63"/>
      <c r="Q193" s="63"/>
      <c r="R193" s="63"/>
      <c r="S193" s="63"/>
      <c r="T193" s="63"/>
      <c r="U193" s="63"/>
      <c r="V193" s="63"/>
      <c r="W193" s="64">
        <f t="shared" si="1263"/>
        <v>0</v>
      </c>
      <c r="X193" s="62"/>
      <c r="Y193" s="63"/>
      <c r="Z193" s="63"/>
      <c r="AA193" s="63"/>
      <c r="AB193" s="63"/>
      <c r="AC193" s="63"/>
      <c r="AD193" s="63"/>
      <c r="AE193" s="63"/>
      <c r="AF193" s="63"/>
      <c r="AG193" s="63"/>
      <c r="AH193" s="64">
        <f t="shared" si="1264"/>
        <v>0</v>
      </c>
      <c r="AI193" s="62"/>
      <c r="AJ193" s="63"/>
      <c r="AK193" s="63"/>
      <c r="AL193" s="63"/>
      <c r="AM193" s="63"/>
      <c r="AN193" s="63"/>
      <c r="AO193" s="63"/>
      <c r="AP193" s="63"/>
      <c r="AQ193" s="63"/>
      <c r="AR193" s="63"/>
      <c r="AS193" s="64">
        <f t="shared" si="1265"/>
        <v>0</v>
      </c>
      <c r="AT193" s="65">
        <f t="shared" si="1266"/>
        <v>0</v>
      </c>
      <c r="AU193" s="65">
        <f t="shared" si="1266"/>
        <v>0</v>
      </c>
      <c r="AV193" s="65">
        <f t="shared" si="1266"/>
        <v>0</v>
      </c>
      <c r="AW193" s="65">
        <f t="shared" si="1266"/>
        <v>0</v>
      </c>
      <c r="AX193" s="65">
        <f t="shared" si="1266"/>
        <v>0</v>
      </c>
      <c r="AY193" s="65">
        <f t="shared" si="1266"/>
        <v>0</v>
      </c>
      <c r="AZ193" s="65">
        <f t="shared" si="1266"/>
        <v>0</v>
      </c>
      <c r="BA193" s="65">
        <f t="shared" si="1266"/>
        <v>0</v>
      </c>
      <c r="BB193" s="65">
        <f t="shared" si="1266"/>
        <v>0</v>
      </c>
      <c r="BC193" s="65">
        <f t="shared" si="1266"/>
        <v>0</v>
      </c>
      <c r="BD193" s="64">
        <f t="shared" si="1267"/>
        <v>0</v>
      </c>
      <c r="BE193" s="62"/>
      <c r="BF193" s="63"/>
      <c r="BG193" s="63"/>
      <c r="BH193" s="63"/>
      <c r="BI193" s="63"/>
      <c r="BJ193" s="63"/>
      <c r="BK193" s="63"/>
      <c r="BL193" s="63"/>
      <c r="BM193" s="63"/>
      <c r="BN193" s="63"/>
      <c r="BO193" s="64">
        <f t="shared" si="1268"/>
        <v>0</v>
      </c>
      <c r="BP193" s="62"/>
      <c r="BQ193" s="63"/>
      <c r="BR193" s="63"/>
      <c r="BS193" s="63"/>
      <c r="BT193" s="63"/>
      <c r="BU193" s="63"/>
      <c r="BV193" s="63"/>
      <c r="BW193" s="63"/>
      <c r="BX193" s="63"/>
      <c r="BY193" s="63"/>
      <c r="BZ193" s="64">
        <f t="shared" si="1269"/>
        <v>0</v>
      </c>
      <c r="CA193" s="62"/>
      <c r="CB193" s="63"/>
      <c r="CC193" s="63"/>
      <c r="CD193" s="63"/>
      <c r="CE193" s="63"/>
      <c r="CF193" s="63"/>
      <c r="CG193" s="63"/>
      <c r="CH193" s="63"/>
      <c r="CI193" s="63"/>
      <c r="CJ193" s="63"/>
      <c r="CK193" s="64">
        <f t="shared" si="1270"/>
        <v>0</v>
      </c>
      <c r="CL193" s="65">
        <f t="shared" si="1271"/>
        <v>0</v>
      </c>
      <c r="CM193" s="65">
        <f t="shared" si="1271"/>
        <v>0</v>
      </c>
      <c r="CN193" s="65">
        <f t="shared" si="1271"/>
        <v>0</v>
      </c>
      <c r="CO193" s="65">
        <f t="shared" si="1271"/>
        <v>0</v>
      </c>
      <c r="CP193" s="65">
        <f t="shared" si="1271"/>
        <v>0</v>
      </c>
      <c r="CQ193" s="65">
        <f t="shared" si="1271"/>
        <v>0</v>
      </c>
      <c r="CR193" s="65">
        <f t="shared" si="1271"/>
        <v>0</v>
      </c>
      <c r="CS193" s="65">
        <f t="shared" si="1271"/>
        <v>0</v>
      </c>
      <c r="CT193" s="65">
        <f t="shared" si="1271"/>
        <v>0</v>
      </c>
      <c r="CU193" s="65">
        <f t="shared" si="1271"/>
        <v>0</v>
      </c>
      <c r="CV193" s="64">
        <f t="shared" si="1272"/>
        <v>0</v>
      </c>
      <c r="CW193" s="62"/>
      <c r="CX193" s="63"/>
      <c r="CY193" s="63"/>
      <c r="CZ193" s="63"/>
      <c r="DA193" s="63"/>
      <c r="DB193" s="63"/>
      <c r="DC193" s="63"/>
      <c r="DD193" s="63"/>
      <c r="DE193" s="63"/>
      <c r="DF193" s="63"/>
      <c r="DG193" s="64">
        <f t="shared" si="1273"/>
        <v>0</v>
      </c>
      <c r="DH193" s="62"/>
      <c r="DI193" s="63"/>
      <c r="DJ193" s="63"/>
      <c r="DK193" s="63"/>
      <c r="DL193" s="63"/>
      <c r="DM193" s="63"/>
      <c r="DN193" s="63"/>
      <c r="DO193" s="63"/>
      <c r="DP193" s="63"/>
      <c r="DQ193" s="63"/>
      <c r="DR193" s="64">
        <f t="shared" si="1274"/>
        <v>0</v>
      </c>
      <c r="DS193" s="62"/>
      <c r="DT193" s="63"/>
      <c r="DU193" s="63"/>
      <c r="DV193" s="63"/>
      <c r="DW193" s="63"/>
      <c r="DX193" s="63"/>
      <c r="DY193" s="63"/>
      <c r="DZ193" s="63"/>
      <c r="EA193" s="63"/>
      <c r="EB193" s="63"/>
      <c r="EC193" s="63"/>
      <c r="ED193" s="65">
        <f t="shared" si="1275"/>
        <v>0</v>
      </c>
      <c r="EE193" s="65">
        <f t="shared" si="1275"/>
        <v>0</v>
      </c>
      <c r="EF193" s="65">
        <f t="shared" si="1275"/>
        <v>0</v>
      </c>
      <c r="EG193" s="65">
        <f t="shared" si="1275"/>
        <v>0</v>
      </c>
      <c r="EH193" s="65">
        <f t="shared" si="1275"/>
        <v>0</v>
      </c>
      <c r="EI193" s="65">
        <f t="shared" si="1275"/>
        <v>0</v>
      </c>
      <c r="EJ193" s="65">
        <f t="shared" si="1275"/>
        <v>0</v>
      </c>
      <c r="EK193" s="65">
        <f t="shared" si="1275"/>
        <v>0</v>
      </c>
      <c r="EL193" s="65">
        <f t="shared" si="1275"/>
        <v>0</v>
      </c>
      <c r="EM193" s="65">
        <f t="shared" si="1275"/>
        <v>0</v>
      </c>
      <c r="EN193" s="64">
        <f t="shared" si="1276"/>
        <v>0</v>
      </c>
      <c r="EO193" s="62"/>
      <c r="EP193" s="63"/>
      <c r="EQ193" s="63"/>
      <c r="ER193" s="63"/>
      <c r="ES193" s="63"/>
      <c r="ET193" s="63"/>
      <c r="EU193" s="63"/>
      <c r="EV193" s="63"/>
      <c r="EW193" s="63"/>
      <c r="EX193" s="63"/>
      <c r="EY193" s="64">
        <f t="shared" si="1277"/>
        <v>0</v>
      </c>
      <c r="EZ193" s="62"/>
      <c r="FA193" s="63"/>
      <c r="FB193" s="63"/>
      <c r="FC193" s="63"/>
      <c r="FD193" s="63"/>
      <c r="FE193" s="63"/>
      <c r="FF193" s="63"/>
      <c r="FG193" s="63"/>
      <c r="FH193" s="63"/>
      <c r="FI193" s="63"/>
      <c r="FJ193" s="64">
        <f t="shared" si="1278"/>
        <v>0</v>
      </c>
      <c r="FK193" s="62"/>
      <c r="FL193" s="63"/>
      <c r="FM193" s="63"/>
      <c r="FN193" s="63"/>
      <c r="FO193" s="63"/>
      <c r="FP193" s="63"/>
      <c r="FQ193" s="63"/>
      <c r="FR193" s="63"/>
      <c r="FS193" s="63"/>
      <c r="FT193" s="63"/>
      <c r="FU193" s="64">
        <f t="shared" si="1279"/>
        <v>0</v>
      </c>
      <c r="FV193" s="65">
        <f t="shared" si="1280"/>
        <v>0</v>
      </c>
      <c r="FW193" s="65">
        <f t="shared" si="1280"/>
        <v>0</v>
      </c>
      <c r="FX193" s="65">
        <f t="shared" si="1280"/>
        <v>0</v>
      </c>
      <c r="FY193" s="65">
        <f t="shared" si="1280"/>
        <v>0</v>
      </c>
      <c r="FZ193" s="65">
        <f t="shared" si="1280"/>
        <v>0</v>
      </c>
      <c r="GA193" s="65">
        <f t="shared" si="1280"/>
        <v>0</v>
      </c>
      <c r="GB193" s="65">
        <f t="shared" si="1280"/>
        <v>0</v>
      </c>
      <c r="GC193" s="65">
        <f t="shared" si="1280"/>
        <v>0</v>
      </c>
      <c r="GD193" s="65">
        <f t="shared" si="1280"/>
        <v>0</v>
      </c>
      <c r="GE193" s="65">
        <f t="shared" si="1280"/>
        <v>0</v>
      </c>
      <c r="GF193" s="64">
        <f t="shared" si="1281"/>
        <v>0</v>
      </c>
      <c r="GG193" s="66">
        <f t="shared" si="1282"/>
        <v>0</v>
      </c>
      <c r="GH193" s="66">
        <f t="shared" si="1282"/>
        <v>0</v>
      </c>
      <c r="GI193" s="66">
        <f t="shared" si="1282"/>
        <v>0</v>
      </c>
      <c r="GJ193" s="66">
        <f t="shared" si="1282"/>
        <v>0</v>
      </c>
      <c r="GK193" s="66">
        <f t="shared" si="1282"/>
        <v>0</v>
      </c>
      <c r="GL193" s="66">
        <f t="shared" si="1282"/>
        <v>0</v>
      </c>
      <c r="GM193" s="66">
        <f t="shared" si="1282"/>
        <v>0</v>
      </c>
      <c r="GN193" s="66">
        <f t="shared" si="1282"/>
        <v>0</v>
      </c>
      <c r="GO193" s="66">
        <f t="shared" si="1282"/>
        <v>0</v>
      </c>
      <c r="GP193" s="66">
        <f t="shared" si="1282"/>
        <v>0</v>
      </c>
      <c r="GQ193" s="64">
        <f t="shared" si="1283"/>
        <v>0</v>
      </c>
      <c r="GR193" s="63"/>
      <c r="GS193" s="63"/>
      <c r="GT193" s="63"/>
      <c r="GU193" s="63"/>
      <c r="GV193" s="67">
        <f t="shared" si="1284"/>
        <v>0</v>
      </c>
      <c r="GW193" s="63"/>
      <c r="GX193" s="63"/>
      <c r="GY193" s="63"/>
      <c r="GZ193" s="63"/>
      <c r="HA193" s="67">
        <f t="shared" si="1285"/>
        <v>0</v>
      </c>
      <c r="HB193" s="63"/>
      <c r="HC193" s="63"/>
      <c r="HD193" s="63"/>
      <c r="HE193" s="63"/>
      <c r="HF193" s="67">
        <f t="shared" si="1286"/>
        <v>0</v>
      </c>
      <c r="HG193" s="63"/>
      <c r="HH193" s="63"/>
      <c r="HI193" s="63"/>
      <c r="HJ193" s="63"/>
      <c r="HK193" s="67">
        <f t="shared" si="1287"/>
        <v>0</v>
      </c>
      <c r="HL193" s="68">
        <f t="shared" si="1288"/>
        <v>0</v>
      </c>
      <c r="HM193" s="68">
        <f t="shared" si="1288"/>
        <v>0</v>
      </c>
      <c r="HN193" s="68">
        <f t="shared" si="1288"/>
        <v>0</v>
      </c>
      <c r="HO193" s="68">
        <f t="shared" si="1288"/>
        <v>0</v>
      </c>
      <c r="HP193" s="67">
        <f t="shared" si="1289"/>
        <v>0</v>
      </c>
      <c r="HQ193" s="63"/>
      <c r="HR193" s="63"/>
      <c r="HS193" s="63"/>
      <c r="HT193" s="63"/>
      <c r="HU193" s="67">
        <f t="shared" si="1290"/>
        <v>0</v>
      </c>
      <c r="HV193" s="63"/>
      <c r="HW193" s="63"/>
      <c r="HX193" s="63"/>
      <c r="HY193" s="63"/>
      <c r="HZ193" s="67">
        <f t="shared" si="1291"/>
        <v>0</v>
      </c>
      <c r="IA193" s="63"/>
      <c r="IB193" s="63"/>
      <c r="IC193" s="63"/>
      <c r="ID193" s="63"/>
      <c r="IE193" s="67">
        <f t="shared" si="1292"/>
        <v>0</v>
      </c>
      <c r="IF193" s="68">
        <f t="shared" si="1293"/>
        <v>0</v>
      </c>
      <c r="IG193" s="68">
        <f t="shared" si="1293"/>
        <v>0</v>
      </c>
      <c r="IH193" s="68">
        <f t="shared" si="1293"/>
        <v>0</v>
      </c>
      <c r="II193" s="68">
        <f t="shared" si="1293"/>
        <v>0</v>
      </c>
      <c r="IJ193" s="67">
        <f t="shared" si="1294"/>
        <v>0</v>
      </c>
      <c r="IK193" s="63"/>
      <c r="IL193" s="63"/>
      <c r="IM193" s="63"/>
      <c r="IN193" s="63"/>
      <c r="IO193" s="67">
        <f t="shared" si="1295"/>
        <v>0</v>
      </c>
      <c r="IP193" s="63"/>
      <c r="IQ193" s="63"/>
      <c r="IR193" s="63"/>
      <c r="IS193" s="63"/>
      <c r="IT193" s="67">
        <f t="shared" si="1296"/>
        <v>0</v>
      </c>
      <c r="IU193" s="63"/>
      <c r="IV193" s="63"/>
    </row>
    <row r="194" spans="1:256" x14ac:dyDescent="0.25">
      <c r="A194" s="83" t="s">
        <v>171</v>
      </c>
      <c r="B194" s="62">
        <v>0</v>
      </c>
      <c r="C194" s="63"/>
      <c r="D194" s="63"/>
      <c r="E194" s="63"/>
      <c r="F194" s="63"/>
      <c r="G194" s="63"/>
      <c r="H194" s="63"/>
      <c r="I194" s="63"/>
      <c r="J194" s="63"/>
      <c r="K194" s="63"/>
      <c r="L194" s="64">
        <f t="shared" si="1262"/>
        <v>0</v>
      </c>
      <c r="M194" s="62"/>
      <c r="N194" s="63"/>
      <c r="O194" s="63"/>
      <c r="P194" s="63"/>
      <c r="Q194" s="63"/>
      <c r="R194" s="63"/>
      <c r="S194" s="63"/>
      <c r="T194" s="63"/>
      <c r="U194" s="63"/>
      <c r="V194" s="63"/>
      <c r="W194" s="64">
        <f t="shared" si="1263"/>
        <v>0</v>
      </c>
      <c r="X194" s="62"/>
      <c r="Y194" s="63"/>
      <c r="Z194" s="63"/>
      <c r="AA194" s="63"/>
      <c r="AB194" s="63"/>
      <c r="AC194" s="63"/>
      <c r="AD194" s="63"/>
      <c r="AE194" s="63"/>
      <c r="AF194" s="63"/>
      <c r="AG194" s="63"/>
      <c r="AH194" s="64">
        <f t="shared" si="1264"/>
        <v>0</v>
      </c>
      <c r="AI194" s="62"/>
      <c r="AJ194" s="63"/>
      <c r="AK194" s="63"/>
      <c r="AL194" s="63"/>
      <c r="AM194" s="63"/>
      <c r="AN194" s="63"/>
      <c r="AO194" s="63"/>
      <c r="AP194" s="63"/>
      <c r="AQ194" s="63"/>
      <c r="AR194" s="63"/>
      <c r="AS194" s="64">
        <f t="shared" si="1265"/>
        <v>0</v>
      </c>
      <c r="AT194" s="65">
        <f t="shared" si="1266"/>
        <v>0</v>
      </c>
      <c r="AU194" s="65">
        <f t="shared" si="1266"/>
        <v>0</v>
      </c>
      <c r="AV194" s="65">
        <f t="shared" si="1266"/>
        <v>0</v>
      </c>
      <c r="AW194" s="65">
        <f t="shared" si="1266"/>
        <v>0</v>
      </c>
      <c r="AX194" s="65">
        <f t="shared" si="1266"/>
        <v>0</v>
      </c>
      <c r="AY194" s="65">
        <f t="shared" si="1266"/>
        <v>0</v>
      </c>
      <c r="AZ194" s="65">
        <f t="shared" si="1266"/>
        <v>0</v>
      </c>
      <c r="BA194" s="65">
        <f t="shared" si="1266"/>
        <v>0</v>
      </c>
      <c r="BB194" s="65">
        <f t="shared" si="1266"/>
        <v>0</v>
      </c>
      <c r="BC194" s="65">
        <f t="shared" si="1266"/>
        <v>0</v>
      </c>
      <c r="BD194" s="64">
        <f t="shared" si="1267"/>
        <v>0</v>
      </c>
      <c r="BE194" s="62"/>
      <c r="BF194" s="63"/>
      <c r="BG194" s="63"/>
      <c r="BH194" s="63"/>
      <c r="BI194" s="63"/>
      <c r="BJ194" s="63"/>
      <c r="BK194" s="63"/>
      <c r="BL194" s="63"/>
      <c r="BM194" s="63"/>
      <c r="BN194" s="63"/>
      <c r="BO194" s="64">
        <f t="shared" si="1268"/>
        <v>0</v>
      </c>
      <c r="BP194" s="62"/>
      <c r="BQ194" s="63"/>
      <c r="BR194" s="63"/>
      <c r="BS194" s="63"/>
      <c r="BT194" s="63"/>
      <c r="BU194" s="63"/>
      <c r="BV194" s="63"/>
      <c r="BW194" s="63"/>
      <c r="BX194" s="63"/>
      <c r="BY194" s="63"/>
      <c r="BZ194" s="64">
        <f t="shared" si="1269"/>
        <v>0</v>
      </c>
      <c r="CA194" s="62"/>
      <c r="CB194" s="63"/>
      <c r="CC194" s="63"/>
      <c r="CD194" s="63"/>
      <c r="CE194" s="63"/>
      <c r="CF194" s="63"/>
      <c r="CG194" s="63"/>
      <c r="CH194" s="63"/>
      <c r="CI194" s="63"/>
      <c r="CJ194" s="63"/>
      <c r="CK194" s="64">
        <f t="shared" si="1270"/>
        <v>0</v>
      </c>
      <c r="CL194" s="65">
        <f t="shared" si="1271"/>
        <v>0</v>
      </c>
      <c r="CM194" s="65">
        <f t="shared" si="1271"/>
        <v>0</v>
      </c>
      <c r="CN194" s="65">
        <f t="shared" si="1271"/>
        <v>0</v>
      </c>
      <c r="CO194" s="65">
        <f t="shared" si="1271"/>
        <v>0</v>
      </c>
      <c r="CP194" s="65">
        <f t="shared" si="1271"/>
        <v>0</v>
      </c>
      <c r="CQ194" s="65">
        <f t="shared" si="1271"/>
        <v>0</v>
      </c>
      <c r="CR194" s="65">
        <f t="shared" si="1271"/>
        <v>0</v>
      </c>
      <c r="CS194" s="65">
        <f t="shared" si="1271"/>
        <v>0</v>
      </c>
      <c r="CT194" s="65">
        <f t="shared" si="1271"/>
        <v>0</v>
      </c>
      <c r="CU194" s="65">
        <f t="shared" si="1271"/>
        <v>0</v>
      </c>
      <c r="CV194" s="64">
        <f t="shared" si="1272"/>
        <v>0</v>
      </c>
      <c r="CW194" s="62"/>
      <c r="CX194" s="63"/>
      <c r="CY194" s="63"/>
      <c r="CZ194" s="63"/>
      <c r="DA194" s="63"/>
      <c r="DB194" s="63"/>
      <c r="DC194" s="63"/>
      <c r="DD194" s="63"/>
      <c r="DE194" s="63"/>
      <c r="DF194" s="63"/>
      <c r="DG194" s="64">
        <f t="shared" si="1273"/>
        <v>0</v>
      </c>
      <c r="DH194" s="62"/>
      <c r="DI194" s="63"/>
      <c r="DJ194" s="63"/>
      <c r="DK194" s="63"/>
      <c r="DL194" s="63"/>
      <c r="DM194" s="63"/>
      <c r="DN194" s="63"/>
      <c r="DO194" s="63"/>
      <c r="DP194" s="63"/>
      <c r="DQ194" s="63"/>
      <c r="DR194" s="64">
        <f t="shared" si="1274"/>
        <v>0</v>
      </c>
      <c r="DS194" s="62"/>
      <c r="DT194" s="63"/>
      <c r="DU194" s="63"/>
      <c r="DV194" s="63"/>
      <c r="DW194" s="63"/>
      <c r="DX194" s="63"/>
      <c r="DY194" s="63"/>
      <c r="DZ194" s="63"/>
      <c r="EA194" s="63"/>
      <c r="EB194" s="63"/>
      <c r="EC194" s="63"/>
      <c r="ED194" s="65">
        <f t="shared" si="1275"/>
        <v>0</v>
      </c>
      <c r="EE194" s="65">
        <f t="shared" si="1275"/>
        <v>0</v>
      </c>
      <c r="EF194" s="65">
        <f t="shared" si="1275"/>
        <v>0</v>
      </c>
      <c r="EG194" s="65">
        <f t="shared" si="1275"/>
        <v>0</v>
      </c>
      <c r="EH194" s="65">
        <f t="shared" si="1275"/>
        <v>0</v>
      </c>
      <c r="EI194" s="65">
        <f t="shared" si="1275"/>
        <v>0</v>
      </c>
      <c r="EJ194" s="65">
        <f t="shared" si="1275"/>
        <v>0</v>
      </c>
      <c r="EK194" s="65">
        <f t="shared" si="1275"/>
        <v>0</v>
      </c>
      <c r="EL194" s="65">
        <f t="shared" si="1275"/>
        <v>0</v>
      </c>
      <c r="EM194" s="65">
        <f t="shared" si="1275"/>
        <v>0</v>
      </c>
      <c r="EN194" s="64">
        <f t="shared" si="1276"/>
        <v>0</v>
      </c>
      <c r="EO194" s="62"/>
      <c r="EP194" s="63"/>
      <c r="EQ194" s="63"/>
      <c r="ER194" s="63"/>
      <c r="ES194" s="63"/>
      <c r="ET194" s="63"/>
      <c r="EU194" s="63"/>
      <c r="EV194" s="63"/>
      <c r="EW194" s="63"/>
      <c r="EX194" s="63"/>
      <c r="EY194" s="64">
        <f t="shared" si="1277"/>
        <v>0</v>
      </c>
      <c r="EZ194" s="62"/>
      <c r="FA194" s="63"/>
      <c r="FB194" s="63"/>
      <c r="FC194" s="63"/>
      <c r="FD194" s="63"/>
      <c r="FE194" s="63"/>
      <c r="FF194" s="63"/>
      <c r="FG194" s="63"/>
      <c r="FH194" s="63"/>
      <c r="FI194" s="63"/>
      <c r="FJ194" s="64">
        <f t="shared" si="1278"/>
        <v>0</v>
      </c>
      <c r="FK194" s="62"/>
      <c r="FL194" s="63"/>
      <c r="FM194" s="63"/>
      <c r="FN194" s="63"/>
      <c r="FO194" s="63"/>
      <c r="FP194" s="63"/>
      <c r="FQ194" s="63"/>
      <c r="FR194" s="63"/>
      <c r="FS194" s="63"/>
      <c r="FT194" s="63"/>
      <c r="FU194" s="64">
        <f t="shared" si="1279"/>
        <v>0</v>
      </c>
      <c r="FV194" s="65">
        <f t="shared" si="1280"/>
        <v>0</v>
      </c>
      <c r="FW194" s="65">
        <f t="shared" si="1280"/>
        <v>0</v>
      </c>
      <c r="FX194" s="65">
        <f t="shared" si="1280"/>
        <v>0</v>
      </c>
      <c r="FY194" s="65">
        <f t="shared" si="1280"/>
        <v>0</v>
      </c>
      <c r="FZ194" s="65">
        <f t="shared" si="1280"/>
        <v>0</v>
      </c>
      <c r="GA194" s="65">
        <f t="shared" si="1280"/>
        <v>0</v>
      </c>
      <c r="GB194" s="65">
        <f t="shared" si="1280"/>
        <v>0</v>
      </c>
      <c r="GC194" s="65">
        <f t="shared" si="1280"/>
        <v>0</v>
      </c>
      <c r="GD194" s="65">
        <f t="shared" si="1280"/>
        <v>0</v>
      </c>
      <c r="GE194" s="65">
        <f t="shared" si="1280"/>
        <v>0</v>
      </c>
      <c r="GF194" s="64">
        <f t="shared" si="1281"/>
        <v>0</v>
      </c>
      <c r="GG194" s="66">
        <f t="shared" si="1282"/>
        <v>0</v>
      </c>
      <c r="GH194" s="66">
        <f t="shared" si="1282"/>
        <v>0</v>
      </c>
      <c r="GI194" s="66">
        <f t="shared" si="1282"/>
        <v>0</v>
      </c>
      <c r="GJ194" s="66">
        <f t="shared" si="1282"/>
        <v>0</v>
      </c>
      <c r="GK194" s="66">
        <f t="shared" si="1282"/>
        <v>0</v>
      </c>
      <c r="GL194" s="66">
        <f t="shared" si="1282"/>
        <v>0</v>
      </c>
      <c r="GM194" s="66">
        <f t="shared" si="1282"/>
        <v>0</v>
      </c>
      <c r="GN194" s="66">
        <f t="shared" si="1282"/>
        <v>0</v>
      </c>
      <c r="GO194" s="66">
        <f t="shared" si="1282"/>
        <v>0</v>
      </c>
      <c r="GP194" s="66">
        <f t="shared" si="1282"/>
        <v>0</v>
      </c>
      <c r="GQ194" s="64">
        <f t="shared" si="1283"/>
        <v>0</v>
      </c>
      <c r="GR194" s="63"/>
      <c r="GS194" s="63"/>
      <c r="GT194" s="63"/>
      <c r="GU194" s="63"/>
      <c r="GV194" s="67">
        <f t="shared" si="1284"/>
        <v>0</v>
      </c>
      <c r="GW194" s="63"/>
      <c r="GX194" s="63"/>
      <c r="GY194" s="63"/>
      <c r="GZ194" s="63"/>
      <c r="HA194" s="67">
        <f t="shared" si="1285"/>
        <v>0</v>
      </c>
      <c r="HB194" s="63"/>
      <c r="HC194" s="63"/>
      <c r="HD194" s="63"/>
      <c r="HE194" s="63"/>
      <c r="HF194" s="67">
        <f t="shared" si="1286"/>
        <v>0</v>
      </c>
      <c r="HG194" s="63"/>
      <c r="HH194" s="63"/>
      <c r="HI194" s="63"/>
      <c r="HJ194" s="63"/>
      <c r="HK194" s="67">
        <f t="shared" si="1287"/>
        <v>0</v>
      </c>
      <c r="HL194" s="68">
        <f t="shared" si="1288"/>
        <v>0</v>
      </c>
      <c r="HM194" s="68">
        <f t="shared" si="1288"/>
        <v>0</v>
      </c>
      <c r="HN194" s="68">
        <f t="shared" si="1288"/>
        <v>0</v>
      </c>
      <c r="HO194" s="68">
        <f t="shared" si="1288"/>
        <v>0</v>
      </c>
      <c r="HP194" s="67">
        <f t="shared" si="1289"/>
        <v>0</v>
      </c>
      <c r="HQ194" s="63"/>
      <c r="HR194" s="63"/>
      <c r="HS194" s="63"/>
      <c r="HT194" s="63"/>
      <c r="HU194" s="67">
        <f t="shared" si="1290"/>
        <v>0</v>
      </c>
      <c r="HV194" s="63"/>
      <c r="HW194" s="63"/>
      <c r="HX194" s="63"/>
      <c r="HY194" s="63"/>
      <c r="HZ194" s="67">
        <f t="shared" si="1291"/>
        <v>0</v>
      </c>
      <c r="IA194" s="63"/>
      <c r="IB194" s="63"/>
      <c r="IC194" s="63"/>
      <c r="ID194" s="63"/>
      <c r="IE194" s="67">
        <f t="shared" si="1292"/>
        <v>0</v>
      </c>
      <c r="IF194" s="68">
        <f t="shared" si="1293"/>
        <v>0</v>
      </c>
      <c r="IG194" s="68">
        <f t="shared" si="1293"/>
        <v>0</v>
      </c>
      <c r="IH194" s="68">
        <f t="shared" si="1293"/>
        <v>0</v>
      </c>
      <c r="II194" s="68">
        <f t="shared" si="1293"/>
        <v>0</v>
      </c>
      <c r="IJ194" s="67">
        <f t="shared" si="1294"/>
        <v>0</v>
      </c>
      <c r="IK194" s="63"/>
      <c r="IL194" s="63"/>
      <c r="IM194" s="63"/>
      <c r="IN194" s="63"/>
      <c r="IO194" s="67">
        <f t="shared" si="1295"/>
        <v>0</v>
      </c>
      <c r="IP194" s="63"/>
      <c r="IQ194" s="63"/>
      <c r="IR194" s="63"/>
      <c r="IS194" s="63"/>
      <c r="IT194" s="67">
        <f t="shared" si="1296"/>
        <v>0</v>
      </c>
      <c r="IU194" s="63"/>
      <c r="IV194" s="63"/>
    </row>
    <row r="195" spans="1:256" x14ac:dyDescent="0.25">
      <c r="A195" s="83" t="s">
        <v>172</v>
      </c>
      <c r="B195" s="62">
        <v>18</v>
      </c>
      <c r="C195" s="63"/>
      <c r="D195" s="63"/>
      <c r="E195" s="63"/>
      <c r="F195" s="63"/>
      <c r="G195" s="63"/>
      <c r="H195" s="63"/>
      <c r="I195" s="63"/>
      <c r="J195" s="63"/>
      <c r="K195" s="63"/>
      <c r="L195" s="64">
        <f t="shared" si="1262"/>
        <v>0</v>
      </c>
      <c r="M195" s="62"/>
      <c r="N195" s="63"/>
      <c r="O195" s="63"/>
      <c r="P195" s="63"/>
      <c r="Q195" s="63"/>
      <c r="R195" s="63"/>
      <c r="S195" s="63"/>
      <c r="T195" s="63"/>
      <c r="U195" s="63"/>
      <c r="V195" s="63"/>
      <c r="W195" s="64">
        <f t="shared" si="1263"/>
        <v>0</v>
      </c>
      <c r="X195" s="62"/>
      <c r="Y195" s="63"/>
      <c r="Z195" s="63"/>
      <c r="AA195" s="63"/>
      <c r="AB195" s="63"/>
      <c r="AC195" s="63"/>
      <c r="AD195" s="63"/>
      <c r="AE195" s="63"/>
      <c r="AF195" s="63"/>
      <c r="AG195" s="63"/>
      <c r="AH195" s="64">
        <f t="shared" si="1264"/>
        <v>0</v>
      </c>
      <c r="AI195" s="62"/>
      <c r="AJ195" s="63"/>
      <c r="AK195" s="63"/>
      <c r="AL195" s="63"/>
      <c r="AM195" s="63"/>
      <c r="AN195" s="63"/>
      <c r="AO195" s="63"/>
      <c r="AP195" s="63"/>
      <c r="AQ195" s="63"/>
      <c r="AR195" s="63"/>
      <c r="AS195" s="64">
        <f t="shared" si="1265"/>
        <v>0</v>
      </c>
      <c r="AT195" s="65">
        <f t="shared" si="1266"/>
        <v>0</v>
      </c>
      <c r="AU195" s="65">
        <f t="shared" si="1266"/>
        <v>0</v>
      </c>
      <c r="AV195" s="65">
        <f t="shared" si="1266"/>
        <v>0</v>
      </c>
      <c r="AW195" s="65">
        <f t="shared" si="1266"/>
        <v>0</v>
      </c>
      <c r="AX195" s="65">
        <f t="shared" si="1266"/>
        <v>0</v>
      </c>
      <c r="AY195" s="65">
        <f t="shared" si="1266"/>
        <v>0</v>
      </c>
      <c r="AZ195" s="65">
        <f t="shared" si="1266"/>
        <v>0</v>
      </c>
      <c r="BA195" s="65">
        <f t="shared" si="1266"/>
        <v>0</v>
      </c>
      <c r="BB195" s="65">
        <f t="shared" si="1266"/>
        <v>0</v>
      </c>
      <c r="BC195" s="65">
        <f t="shared" si="1266"/>
        <v>0</v>
      </c>
      <c r="BD195" s="64">
        <f t="shared" si="1267"/>
        <v>0</v>
      </c>
      <c r="BE195" s="62"/>
      <c r="BF195" s="63"/>
      <c r="BG195" s="63"/>
      <c r="BH195" s="63"/>
      <c r="BI195" s="63"/>
      <c r="BJ195" s="63"/>
      <c r="BK195" s="63"/>
      <c r="BL195" s="63"/>
      <c r="BM195" s="63"/>
      <c r="BN195" s="63"/>
      <c r="BO195" s="64">
        <f t="shared" si="1268"/>
        <v>0</v>
      </c>
      <c r="BP195" s="62"/>
      <c r="BQ195" s="63"/>
      <c r="BR195" s="63"/>
      <c r="BS195" s="63"/>
      <c r="BT195" s="63"/>
      <c r="BU195" s="63"/>
      <c r="BV195" s="63"/>
      <c r="BW195" s="63"/>
      <c r="BX195" s="63"/>
      <c r="BY195" s="63"/>
      <c r="BZ195" s="64">
        <f t="shared" si="1269"/>
        <v>0</v>
      </c>
      <c r="CA195" s="62"/>
      <c r="CB195" s="63"/>
      <c r="CC195" s="63"/>
      <c r="CD195" s="63"/>
      <c r="CE195" s="63"/>
      <c r="CF195" s="63"/>
      <c r="CG195" s="63"/>
      <c r="CH195" s="63"/>
      <c r="CI195" s="63"/>
      <c r="CJ195" s="63"/>
      <c r="CK195" s="64">
        <f t="shared" si="1270"/>
        <v>0</v>
      </c>
      <c r="CL195" s="65">
        <f t="shared" si="1271"/>
        <v>0</v>
      </c>
      <c r="CM195" s="65">
        <f t="shared" si="1271"/>
        <v>0</v>
      </c>
      <c r="CN195" s="65">
        <f t="shared" si="1271"/>
        <v>0</v>
      </c>
      <c r="CO195" s="65">
        <f t="shared" si="1271"/>
        <v>0</v>
      </c>
      <c r="CP195" s="65">
        <f t="shared" si="1271"/>
        <v>0</v>
      </c>
      <c r="CQ195" s="65">
        <f t="shared" si="1271"/>
        <v>0</v>
      </c>
      <c r="CR195" s="65">
        <f t="shared" si="1271"/>
        <v>0</v>
      </c>
      <c r="CS195" s="65">
        <f t="shared" si="1271"/>
        <v>0</v>
      </c>
      <c r="CT195" s="65">
        <f t="shared" si="1271"/>
        <v>0</v>
      </c>
      <c r="CU195" s="65">
        <f t="shared" si="1271"/>
        <v>0</v>
      </c>
      <c r="CV195" s="64">
        <f t="shared" si="1272"/>
        <v>0</v>
      </c>
      <c r="CW195" s="62"/>
      <c r="CX195" s="63"/>
      <c r="CY195" s="63"/>
      <c r="CZ195" s="63"/>
      <c r="DA195" s="63"/>
      <c r="DB195" s="63"/>
      <c r="DC195" s="63"/>
      <c r="DD195" s="63"/>
      <c r="DE195" s="63"/>
      <c r="DF195" s="63"/>
      <c r="DG195" s="64">
        <f t="shared" si="1273"/>
        <v>0</v>
      </c>
      <c r="DH195" s="62"/>
      <c r="DI195" s="63"/>
      <c r="DJ195" s="63"/>
      <c r="DK195" s="63"/>
      <c r="DL195" s="63"/>
      <c r="DM195" s="63"/>
      <c r="DN195" s="63"/>
      <c r="DO195" s="63"/>
      <c r="DP195" s="63"/>
      <c r="DQ195" s="63"/>
      <c r="DR195" s="64">
        <f t="shared" si="1274"/>
        <v>0</v>
      </c>
      <c r="DS195" s="62"/>
      <c r="DT195" s="63"/>
      <c r="DU195" s="63"/>
      <c r="DV195" s="63"/>
      <c r="DW195" s="63"/>
      <c r="DX195" s="63"/>
      <c r="DY195" s="63"/>
      <c r="DZ195" s="63"/>
      <c r="EA195" s="63"/>
      <c r="EB195" s="63"/>
      <c r="EC195" s="63"/>
      <c r="ED195" s="65">
        <f t="shared" si="1275"/>
        <v>0</v>
      </c>
      <c r="EE195" s="65">
        <f t="shared" si="1275"/>
        <v>0</v>
      </c>
      <c r="EF195" s="65">
        <f t="shared" si="1275"/>
        <v>0</v>
      </c>
      <c r="EG195" s="65">
        <f t="shared" si="1275"/>
        <v>0</v>
      </c>
      <c r="EH195" s="65">
        <f t="shared" si="1275"/>
        <v>0</v>
      </c>
      <c r="EI195" s="65">
        <f t="shared" si="1275"/>
        <v>0</v>
      </c>
      <c r="EJ195" s="65">
        <f t="shared" si="1275"/>
        <v>0</v>
      </c>
      <c r="EK195" s="65">
        <f t="shared" si="1275"/>
        <v>0</v>
      </c>
      <c r="EL195" s="65">
        <f t="shared" si="1275"/>
        <v>0</v>
      </c>
      <c r="EM195" s="65">
        <f t="shared" si="1275"/>
        <v>0</v>
      </c>
      <c r="EN195" s="64">
        <f t="shared" si="1276"/>
        <v>0</v>
      </c>
      <c r="EO195" s="62"/>
      <c r="EP195" s="63"/>
      <c r="EQ195" s="63"/>
      <c r="ER195" s="63"/>
      <c r="ES195" s="63"/>
      <c r="ET195" s="63"/>
      <c r="EU195" s="63"/>
      <c r="EV195" s="63"/>
      <c r="EW195" s="63"/>
      <c r="EX195" s="63"/>
      <c r="EY195" s="64">
        <f t="shared" si="1277"/>
        <v>0</v>
      </c>
      <c r="EZ195" s="62"/>
      <c r="FA195" s="63"/>
      <c r="FB195" s="63"/>
      <c r="FC195" s="63"/>
      <c r="FD195" s="63"/>
      <c r="FE195" s="63"/>
      <c r="FF195" s="63"/>
      <c r="FG195" s="63"/>
      <c r="FH195" s="63"/>
      <c r="FI195" s="63"/>
      <c r="FJ195" s="64">
        <f t="shared" si="1278"/>
        <v>0</v>
      </c>
      <c r="FK195" s="62"/>
      <c r="FL195" s="63"/>
      <c r="FM195" s="63"/>
      <c r="FN195" s="63"/>
      <c r="FO195" s="63"/>
      <c r="FP195" s="63"/>
      <c r="FQ195" s="63"/>
      <c r="FR195" s="63"/>
      <c r="FS195" s="63"/>
      <c r="FT195" s="63"/>
      <c r="FU195" s="64">
        <f t="shared" si="1279"/>
        <v>0</v>
      </c>
      <c r="FV195" s="65">
        <f t="shared" si="1280"/>
        <v>0</v>
      </c>
      <c r="FW195" s="65">
        <f t="shared" si="1280"/>
        <v>0</v>
      </c>
      <c r="FX195" s="65">
        <f t="shared" si="1280"/>
        <v>0</v>
      </c>
      <c r="FY195" s="65">
        <f t="shared" si="1280"/>
        <v>0</v>
      </c>
      <c r="FZ195" s="65">
        <f t="shared" si="1280"/>
        <v>0</v>
      </c>
      <c r="GA195" s="65">
        <f t="shared" si="1280"/>
        <v>0</v>
      </c>
      <c r="GB195" s="65">
        <f t="shared" si="1280"/>
        <v>0</v>
      </c>
      <c r="GC195" s="65">
        <f t="shared" si="1280"/>
        <v>0</v>
      </c>
      <c r="GD195" s="65">
        <f t="shared" si="1280"/>
        <v>0</v>
      </c>
      <c r="GE195" s="65">
        <f t="shared" si="1280"/>
        <v>0</v>
      </c>
      <c r="GF195" s="64">
        <f t="shared" si="1281"/>
        <v>0</v>
      </c>
      <c r="GG195" s="66">
        <f t="shared" si="1282"/>
        <v>0</v>
      </c>
      <c r="GH195" s="66">
        <f t="shared" si="1282"/>
        <v>0</v>
      </c>
      <c r="GI195" s="66">
        <f t="shared" si="1282"/>
        <v>0</v>
      </c>
      <c r="GJ195" s="66">
        <f t="shared" si="1282"/>
        <v>0</v>
      </c>
      <c r="GK195" s="66">
        <f t="shared" si="1282"/>
        <v>0</v>
      </c>
      <c r="GL195" s="66">
        <f t="shared" si="1282"/>
        <v>0</v>
      </c>
      <c r="GM195" s="66">
        <f t="shared" si="1282"/>
        <v>0</v>
      </c>
      <c r="GN195" s="66">
        <f t="shared" si="1282"/>
        <v>0</v>
      </c>
      <c r="GO195" s="66">
        <f t="shared" si="1282"/>
        <v>0</v>
      </c>
      <c r="GP195" s="66">
        <f t="shared" si="1282"/>
        <v>0</v>
      </c>
      <c r="GQ195" s="64">
        <f t="shared" si="1283"/>
        <v>0</v>
      </c>
      <c r="GR195" s="63"/>
      <c r="GS195" s="63"/>
      <c r="GT195" s="63"/>
      <c r="GU195" s="63"/>
      <c r="GV195" s="67">
        <f t="shared" si="1284"/>
        <v>0</v>
      </c>
      <c r="GW195" s="63"/>
      <c r="GX195" s="63"/>
      <c r="GY195" s="63"/>
      <c r="GZ195" s="63"/>
      <c r="HA195" s="67">
        <f t="shared" si="1285"/>
        <v>0</v>
      </c>
      <c r="HB195" s="63"/>
      <c r="HC195" s="63"/>
      <c r="HD195" s="63"/>
      <c r="HE195" s="63"/>
      <c r="HF195" s="67">
        <f t="shared" si="1286"/>
        <v>0</v>
      </c>
      <c r="HG195" s="63"/>
      <c r="HH195" s="63"/>
      <c r="HI195" s="63"/>
      <c r="HJ195" s="63"/>
      <c r="HK195" s="67">
        <f t="shared" si="1287"/>
        <v>0</v>
      </c>
      <c r="HL195" s="68">
        <f t="shared" si="1288"/>
        <v>0</v>
      </c>
      <c r="HM195" s="68">
        <f t="shared" si="1288"/>
        <v>0</v>
      </c>
      <c r="HN195" s="68">
        <f t="shared" si="1288"/>
        <v>0</v>
      </c>
      <c r="HO195" s="68">
        <f t="shared" si="1288"/>
        <v>0</v>
      </c>
      <c r="HP195" s="67">
        <f t="shared" si="1289"/>
        <v>0</v>
      </c>
      <c r="HQ195" s="63"/>
      <c r="HR195" s="63"/>
      <c r="HS195" s="63"/>
      <c r="HT195" s="63"/>
      <c r="HU195" s="67">
        <f t="shared" si="1290"/>
        <v>0</v>
      </c>
      <c r="HV195" s="63"/>
      <c r="HW195" s="63"/>
      <c r="HX195" s="63"/>
      <c r="HY195" s="63"/>
      <c r="HZ195" s="67">
        <f t="shared" si="1291"/>
        <v>0</v>
      </c>
      <c r="IA195" s="63"/>
      <c r="IB195" s="63"/>
      <c r="IC195" s="63"/>
      <c r="ID195" s="63"/>
      <c r="IE195" s="67">
        <f t="shared" si="1292"/>
        <v>0</v>
      </c>
      <c r="IF195" s="68">
        <f t="shared" si="1293"/>
        <v>0</v>
      </c>
      <c r="IG195" s="68">
        <f t="shared" si="1293"/>
        <v>0</v>
      </c>
      <c r="IH195" s="68">
        <f t="shared" si="1293"/>
        <v>0</v>
      </c>
      <c r="II195" s="68">
        <f t="shared" si="1293"/>
        <v>0</v>
      </c>
      <c r="IJ195" s="67">
        <f t="shared" si="1294"/>
        <v>0</v>
      </c>
      <c r="IK195" s="63"/>
      <c r="IL195" s="63"/>
      <c r="IM195" s="63"/>
      <c r="IN195" s="63"/>
      <c r="IO195" s="67">
        <f t="shared" si="1295"/>
        <v>0</v>
      </c>
      <c r="IP195" s="63"/>
      <c r="IQ195" s="63"/>
      <c r="IR195" s="63"/>
      <c r="IS195" s="63"/>
      <c r="IT195" s="67">
        <f t="shared" si="1296"/>
        <v>0</v>
      </c>
      <c r="IU195" s="63"/>
      <c r="IV195" s="63"/>
    </row>
    <row r="196" spans="1:256" x14ac:dyDescent="0.25">
      <c r="A196" s="83" t="s">
        <v>173</v>
      </c>
      <c r="B196" s="62">
        <v>0</v>
      </c>
      <c r="C196" s="63"/>
      <c r="D196" s="63"/>
      <c r="E196" s="63"/>
      <c r="F196" s="63"/>
      <c r="G196" s="63"/>
      <c r="H196" s="63"/>
      <c r="I196" s="63"/>
      <c r="J196" s="63"/>
      <c r="K196" s="63"/>
      <c r="L196" s="64">
        <f t="shared" si="1262"/>
        <v>0</v>
      </c>
      <c r="M196" s="62"/>
      <c r="N196" s="63"/>
      <c r="O196" s="63"/>
      <c r="P196" s="63"/>
      <c r="Q196" s="63"/>
      <c r="R196" s="63"/>
      <c r="S196" s="63"/>
      <c r="T196" s="63"/>
      <c r="U196" s="63"/>
      <c r="V196" s="63"/>
      <c r="W196" s="64">
        <f t="shared" si="1263"/>
        <v>0</v>
      </c>
      <c r="X196" s="62"/>
      <c r="Y196" s="63"/>
      <c r="Z196" s="63"/>
      <c r="AA196" s="63"/>
      <c r="AB196" s="63"/>
      <c r="AC196" s="63"/>
      <c r="AD196" s="63"/>
      <c r="AE196" s="63"/>
      <c r="AF196" s="63"/>
      <c r="AG196" s="63"/>
      <c r="AH196" s="64">
        <f t="shared" si="1264"/>
        <v>0</v>
      </c>
      <c r="AI196" s="62"/>
      <c r="AJ196" s="63"/>
      <c r="AK196" s="63"/>
      <c r="AL196" s="63"/>
      <c r="AM196" s="63"/>
      <c r="AN196" s="63"/>
      <c r="AO196" s="63"/>
      <c r="AP196" s="63"/>
      <c r="AQ196" s="63"/>
      <c r="AR196" s="63"/>
      <c r="AS196" s="64">
        <f t="shared" si="1265"/>
        <v>0</v>
      </c>
      <c r="AT196" s="65">
        <f t="shared" si="1266"/>
        <v>0</v>
      </c>
      <c r="AU196" s="65">
        <f t="shared" si="1266"/>
        <v>0</v>
      </c>
      <c r="AV196" s="65">
        <f t="shared" si="1266"/>
        <v>0</v>
      </c>
      <c r="AW196" s="65">
        <f t="shared" si="1266"/>
        <v>0</v>
      </c>
      <c r="AX196" s="65">
        <f t="shared" si="1266"/>
        <v>0</v>
      </c>
      <c r="AY196" s="65">
        <f t="shared" si="1266"/>
        <v>0</v>
      </c>
      <c r="AZ196" s="65">
        <f t="shared" si="1266"/>
        <v>0</v>
      </c>
      <c r="BA196" s="65">
        <f t="shared" si="1266"/>
        <v>0</v>
      </c>
      <c r="BB196" s="65">
        <f t="shared" si="1266"/>
        <v>0</v>
      </c>
      <c r="BC196" s="65">
        <f t="shared" si="1266"/>
        <v>0</v>
      </c>
      <c r="BD196" s="64">
        <f t="shared" si="1267"/>
        <v>0</v>
      </c>
      <c r="BE196" s="62"/>
      <c r="BF196" s="63"/>
      <c r="BG196" s="63"/>
      <c r="BH196" s="63"/>
      <c r="BI196" s="63"/>
      <c r="BJ196" s="63"/>
      <c r="BK196" s="63"/>
      <c r="BL196" s="63"/>
      <c r="BM196" s="63"/>
      <c r="BN196" s="63"/>
      <c r="BO196" s="64">
        <f t="shared" si="1268"/>
        <v>0</v>
      </c>
      <c r="BP196" s="62"/>
      <c r="BQ196" s="63"/>
      <c r="BR196" s="63"/>
      <c r="BS196" s="63"/>
      <c r="BT196" s="63"/>
      <c r="BU196" s="63"/>
      <c r="BV196" s="63"/>
      <c r="BW196" s="63"/>
      <c r="BX196" s="63"/>
      <c r="BY196" s="63"/>
      <c r="BZ196" s="64">
        <f t="shared" si="1269"/>
        <v>0</v>
      </c>
      <c r="CA196" s="62"/>
      <c r="CB196" s="63"/>
      <c r="CC196" s="63"/>
      <c r="CD196" s="63"/>
      <c r="CE196" s="63"/>
      <c r="CF196" s="63"/>
      <c r="CG196" s="63"/>
      <c r="CH196" s="63"/>
      <c r="CI196" s="63"/>
      <c r="CJ196" s="63"/>
      <c r="CK196" s="64">
        <f t="shared" si="1270"/>
        <v>0</v>
      </c>
      <c r="CL196" s="65">
        <f t="shared" si="1271"/>
        <v>0</v>
      </c>
      <c r="CM196" s="65">
        <f t="shared" si="1271"/>
        <v>0</v>
      </c>
      <c r="CN196" s="65">
        <f t="shared" si="1271"/>
        <v>0</v>
      </c>
      <c r="CO196" s="65">
        <f t="shared" si="1271"/>
        <v>0</v>
      </c>
      <c r="CP196" s="65">
        <f t="shared" si="1271"/>
        <v>0</v>
      </c>
      <c r="CQ196" s="65">
        <f t="shared" si="1271"/>
        <v>0</v>
      </c>
      <c r="CR196" s="65">
        <f t="shared" si="1271"/>
        <v>0</v>
      </c>
      <c r="CS196" s="65">
        <f t="shared" si="1271"/>
        <v>0</v>
      </c>
      <c r="CT196" s="65">
        <f t="shared" si="1271"/>
        <v>0</v>
      </c>
      <c r="CU196" s="65">
        <f t="shared" si="1271"/>
        <v>0</v>
      </c>
      <c r="CV196" s="64">
        <f t="shared" si="1272"/>
        <v>0</v>
      </c>
      <c r="CW196" s="62"/>
      <c r="CX196" s="63"/>
      <c r="CY196" s="63"/>
      <c r="CZ196" s="63"/>
      <c r="DA196" s="63"/>
      <c r="DB196" s="63"/>
      <c r="DC196" s="63"/>
      <c r="DD196" s="63"/>
      <c r="DE196" s="63"/>
      <c r="DF196" s="63"/>
      <c r="DG196" s="64">
        <f t="shared" si="1273"/>
        <v>0</v>
      </c>
      <c r="DH196" s="62"/>
      <c r="DI196" s="63"/>
      <c r="DJ196" s="63"/>
      <c r="DK196" s="63"/>
      <c r="DL196" s="63"/>
      <c r="DM196" s="63"/>
      <c r="DN196" s="63"/>
      <c r="DO196" s="63"/>
      <c r="DP196" s="63"/>
      <c r="DQ196" s="63"/>
      <c r="DR196" s="64">
        <f t="shared" si="1274"/>
        <v>0</v>
      </c>
      <c r="DS196" s="62"/>
      <c r="DT196" s="63"/>
      <c r="DU196" s="63"/>
      <c r="DV196" s="63"/>
      <c r="DW196" s="63"/>
      <c r="DX196" s="63"/>
      <c r="DY196" s="63"/>
      <c r="DZ196" s="63"/>
      <c r="EA196" s="63"/>
      <c r="EB196" s="63"/>
      <c r="EC196" s="63"/>
      <c r="ED196" s="65">
        <f t="shared" si="1275"/>
        <v>0</v>
      </c>
      <c r="EE196" s="65">
        <f t="shared" si="1275"/>
        <v>0</v>
      </c>
      <c r="EF196" s="65">
        <f t="shared" si="1275"/>
        <v>0</v>
      </c>
      <c r="EG196" s="65">
        <f t="shared" si="1275"/>
        <v>0</v>
      </c>
      <c r="EH196" s="65">
        <f t="shared" si="1275"/>
        <v>0</v>
      </c>
      <c r="EI196" s="65">
        <f t="shared" si="1275"/>
        <v>0</v>
      </c>
      <c r="EJ196" s="65">
        <f t="shared" si="1275"/>
        <v>0</v>
      </c>
      <c r="EK196" s="65">
        <f t="shared" si="1275"/>
        <v>0</v>
      </c>
      <c r="EL196" s="65">
        <f t="shared" si="1275"/>
        <v>0</v>
      </c>
      <c r="EM196" s="65">
        <f t="shared" si="1275"/>
        <v>0</v>
      </c>
      <c r="EN196" s="64">
        <f t="shared" si="1276"/>
        <v>0</v>
      </c>
      <c r="EO196" s="62"/>
      <c r="EP196" s="63"/>
      <c r="EQ196" s="63"/>
      <c r="ER196" s="63"/>
      <c r="ES196" s="63"/>
      <c r="ET196" s="63"/>
      <c r="EU196" s="63"/>
      <c r="EV196" s="63"/>
      <c r="EW196" s="63"/>
      <c r="EX196" s="63"/>
      <c r="EY196" s="64">
        <f t="shared" si="1277"/>
        <v>0</v>
      </c>
      <c r="EZ196" s="62"/>
      <c r="FA196" s="63"/>
      <c r="FB196" s="63"/>
      <c r="FC196" s="63"/>
      <c r="FD196" s="63"/>
      <c r="FE196" s="63"/>
      <c r="FF196" s="63"/>
      <c r="FG196" s="63"/>
      <c r="FH196" s="63"/>
      <c r="FI196" s="63"/>
      <c r="FJ196" s="64">
        <f t="shared" si="1278"/>
        <v>0</v>
      </c>
      <c r="FK196" s="62"/>
      <c r="FL196" s="63"/>
      <c r="FM196" s="63"/>
      <c r="FN196" s="63"/>
      <c r="FO196" s="63"/>
      <c r="FP196" s="63"/>
      <c r="FQ196" s="63"/>
      <c r="FR196" s="63"/>
      <c r="FS196" s="63"/>
      <c r="FT196" s="63"/>
      <c r="FU196" s="64">
        <f t="shared" si="1279"/>
        <v>0</v>
      </c>
      <c r="FV196" s="65">
        <f t="shared" si="1280"/>
        <v>0</v>
      </c>
      <c r="FW196" s="65">
        <f t="shared" si="1280"/>
        <v>0</v>
      </c>
      <c r="FX196" s="65">
        <f t="shared" si="1280"/>
        <v>0</v>
      </c>
      <c r="FY196" s="65">
        <f t="shared" si="1280"/>
        <v>0</v>
      </c>
      <c r="FZ196" s="65">
        <f t="shared" si="1280"/>
        <v>0</v>
      </c>
      <c r="GA196" s="65">
        <f t="shared" si="1280"/>
        <v>0</v>
      </c>
      <c r="GB196" s="65">
        <f t="shared" si="1280"/>
        <v>0</v>
      </c>
      <c r="GC196" s="65">
        <f t="shared" si="1280"/>
        <v>0</v>
      </c>
      <c r="GD196" s="65">
        <f t="shared" si="1280"/>
        <v>0</v>
      </c>
      <c r="GE196" s="65">
        <f t="shared" si="1280"/>
        <v>0</v>
      </c>
      <c r="GF196" s="64">
        <f t="shared" si="1281"/>
        <v>0</v>
      </c>
      <c r="GG196" s="66">
        <f t="shared" si="1282"/>
        <v>0</v>
      </c>
      <c r="GH196" s="66">
        <f t="shared" si="1282"/>
        <v>0</v>
      </c>
      <c r="GI196" s="66">
        <f t="shared" si="1282"/>
        <v>0</v>
      </c>
      <c r="GJ196" s="66">
        <f t="shared" si="1282"/>
        <v>0</v>
      </c>
      <c r="GK196" s="66">
        <f t="shared" si="1282"/>
        <v>0</v>
      </c>
      <c r="GL196" s="66">
        <f t="shared" si="1282"/>
        <v>0</v>
      </c>
      <c r="GM196" s="66">
        <f t="shared" si="1282"/>
        <v>0</v>
      </c>
      <c r="GN196" s="66">
        <f t="shared" si="1282"/>
        <v>0</v>
      </c>
      <c r="GO196" s="66">
        <f t="shared" si="1282"/>
        <v>0</v>
      </c>
      <c r="GP196" s="66">
        <f t="shared" si="1282"/>
        <v>0</v>
      </c>
      <c r="GQ196" s="64">
        <f t="shared" si="1283"/>
        <v>0</v>
      </c>
      <c r="GR196" s="63"/>
      <c r="GS196" s="63">
        <v>0</v>
      </c>
      <c r="GT196" s="63"/>
      <c r="GU196" s="63"/>
      <c r="GV196" s="67">
        <f t="shared" si="1284"/>
        <v>0</v>
      </c>
      <c r="GW196" s="63"/>
      <c r="GX196" s="63"/>
      <c r="GY196" s="63"/>
      <c r="GZ196" s="63"/>
      <c r="HA196" s="67">
        <f t="shared" si="1285"/>
        <v>0</v>
      </c>
      <c r="HB196" s="63"/>
      <c r="HC196" s="63"/>
      <c r="HD196" s="63"/>
      <c r="HE196" s="63"/>
      <c r="HF196" s="67">
        <f t="shared" si="1286"/>
        <v>0</v>
      </c>
      <c r="HG196" s="63"/>
      <c r="HH196" s="63"/>
      <c r="HI196" s="63"/>
      <c r="HJ196" s="63"/>
      <c r="HK196" s="67">
        <f t="shared" si="1287"/>
        <v>0</v>
      </c>
      <c r="HL196" s="68">
        <f t="shared" si="1288"/>
        <v>0</v>
      </c>
      <c r="HM196" s="68">
        <f t="shared" si="1288"/>
        <v>0</v>
      </c>
      <c r="HN196" s="68">
        <f t="shared" si="1288"/>
        <v>0</v>
      </c>
      <c r="HO196" s="68">
        <f t="shared" si="1288"/>
        <v>0</v>
      </c>
      <c r="HP196" s="67">
        <f t="shared" si="1289"/>
        <v>0</v>
      </c>
      <c r="HQ196" s="63"/>
      <c r="HR196" s="63"/>
      <c r="HS196" s="63"/>
      <c r="HT196" s="63"/>
      <c r="HU196" s="67">
        <f t="shared" si="1290"/>
        <v>0</v>
      </c>
      <c r="HV196" s="63"/>
      <c r="HW196" s="63"/>
      <c r="HX196" s="63"/>
      <c r="HY196" s="63"/>
      <c r="HZ196" s="67">
        <f t="shared" si="1291"/>
        <v>0</v>
      </c>
      <c r="IA196" s="63"/>
      <c r="IB196" s="63"/>
      <c r="IC196" s="63"/>
      <c r="ID196" s="63"/>
      <c r="IE196" s="67">
        <f t="shared" si="1292"/>
        <v>0</v>
      </c>
      <c r="IF196" s="68">
        <f t="shared" si="1293"/>
        <v>0</v>
      </c>
      <c r="IG196" s="68">
        <f t="shared" si="1293"/>
        <v>0</v>
      </c>
      <c r="IH196" s="68">
        <f t="shared" si="1293"/>
        <v>0</v>
      </c>
      <c r="II196" s="68">
        <f t="shared" si="1293"/>
        <v>0</v>
      </c>
      <c r="IJ196" s="67">
        <f t="shared" si="1294"/>
        <v>0</v>
      </c>
      <c r="IK196" s="63"/>
      <c r="IL196" s="63"/>
      <c r="IM196" s="63"/>
      <c r="IN196" s="63"/>
      <c r="IO196" s="67">
        <f t="shared" si="1295"/>
        <v>0</v>
      </c>
      <c r="IP196" s="63"/>
      <c r="IQ196" s="63"/>
      <c r="IR196" s="63"/>
      <c r="IS196" s="63"/>
      <c r="IT196" s="67">
        <f t="shared" si="1296"/>
        <v>0</v>
      </c>
      <c r="IU196" s="63"/>
      <c r="IV196" s="63"/>
    </row>
    <row r="197" spans="1:256" x14ac:dyDescent="0.25">
      <c r="A197" s="83" t="s">
        <v>174</v>
      </c>
      <c r="B197" s="62">
        <v>0</v>
      </c>
      <c r="C197" s="63"/>
      <c r="D197" s="63"/>
      <c r="E197" s="63"/>
      <c r="F197" s="63"/>
      <c r="G197" s="63"/>
      <c r="H197" s="63"/>
      <c r="I197" s="63"/>
      <c r="J197" s="63"/>
      <c r="K197" s="63"/>
      <c r="L197" s="64">
        <f t="shared" si="1262"/>
        <v>0</v>
      </c>
      <c r="M197" s="62"/>
      <c r="N197" s="63"/>
      <c r="O197" s="63"/>
      <c r="P197" s="63"/>
      <c r="Q197" s="63"/>
      <c r="R197" s="63"/>
      <c r="S197" s="63"/>
      <c r="T197" s="63"/>
      <c r="U197" s="63"/>
      <c r="V197" s="63"/>
      <c r="W197" s="64">
        <f t="shared" si="1263"/>
        <v>0</v>
      </c>
      <c r="X197" s="62"/>
      <c r="Y197" s="63"/>
      <c r="Z197" s="63"/>
      <c r="AA197" s="63"/>
      <c r="AB197" s="63"/>
      <c r="AC197" s="63"/>
      <c r="AD197" s="63"/>
      <c r="AE197" s="63"/>
      <c r="AF197" s="63"/>
      <c r="AG197" s="63"/>
      <c r="AH197" s="64">
        <f t="shared" si="1264"/>
        <v>0</v>
      </c>
      <c r="AI197" s="62"/>
      <c r="AJ197" s="63"/>
      <c r="AK197" s="63"/>
      <c r="AL197" s="63"/>
      <c r="AM197" s="63"/>
      <c r="AN197" s="63"/>
      <c r="AO197" s="63"/>
      <c r="AP197" s="63"/>
      <c r="AQ197" s="63"/>
      <c r="AR197" s="63"/>
      <c r="AS197" s="64">
        <f t="shared" si="1265"/>
        <v>0</v>
      </c>
      <c r="AT197" s="65">
        <f t="shared" si="1266"/>
        <v>0</v>
      </c>
      <c r="AU197" s="65">
        <f t="shared" si="1266"/>
        <v>0</v>
      </c>
      <c r="AV197" s="65">
        <f t="shared" si="1266"/>
        <v>0</v>
      </c>
      <c r="AW197" s="65">
        <f t="shared" si="1266"/>
        <v>0</v>
      </c>
      <c r="AX197" s="65">
        <f t="shared" si="1266"/>
        <v>0</v>
      </c>
      <c r="AY197" s="65">
        <f t="shared" si="1266"/>
        <v>0</v>
      </c>
      <c r="AZ197" s="65">
        <f t="shared" si="1266"/>
        <v>0</v>
      </c>
      <c r="BA197" s="65">
        <f t="shared" si="1266"/>
        <v>0</v>
      </c>
      <c r="BB197" s="65">
        <f t="shared" si="1266"/>
        <v>0</v>
      </c>
      <c r="BC197" s="65">
        <f t="shared" si="1266"/>
        <v>0</v>
      </c>
      <c r="BD197" s="64">
        <f t="shared" si="1267"/>
        <v>0</v>
      </c>
      <c r="BE197" s="62"/>
      <c r="BF197" s="63"/>
      <c r="BG197" s="63"/>
      <c r="BH197" s="63"/>
      <c r="BI197" s="63"/>
      <c r="BJ197" s="63"/>
      <c r="BK197" s="63"/>
      <c r="BL197" s="63"/>
      <c r="BM197" s="63"/>
      <c r="BN197" s="63"/>
      <c r="BO197" s="64">
        <f t="shared" si="1268"/>
        <v>0</v>
      </c>
      <c r="BP197" s="62"/>
      <c r="BQ197" s="63"/>
      <c r="BR197" s="63"/>
      <c r="BS197" s="63"/>
      <c r="BT197" s="63"/>
      <c r="BU197" s="63"/>
      <c r="BV197" s="63"/>
      <c r="BW197" s="63"/>
      <c r="BX197" s="63"/>
      <c r="BY197" s="63"/>
      <c r="BZ197" s="64">
        <f t="shared" si="1269"/>
        <v>0</v>
      </c>
      <c r="CA197" s="62"/>
      <c r="CB197" s="63"/>
      <c r="CC197" s="63"/>
      <c r="CD197" s="63"/>
      <c r="CE197" s="63"/>
      <c r="CF197" s="63"/>
      <c r="CG197" s="63"/>
      <c r="CH197" s="63"/>
      <c r="CI197" s="63"/>
      <c r="CJ197" s="63"/>
      <c r="CK197" s="64">
        <f t="shared" si="1270"/>
        <v>0</v>
      </c>
      <c r="CL197" s="65">
        <f t="shared" si="1271"/>
        <v>0</v>
      </c>
      <c r="CM197" s="65">
        <f t="shared" si="1271"/>
        <v>0</v>
      </c>
      <c r="CN197" s="65">
        <f t="shared" si="1271"/>
        <v>0</v>
      </c>
      <c r="CO197" s="65">
        <f t="shared" si="1271"/>
        <v>0</v>
      </c>
      <c r="CP197" s="65">
        <f t="shared" si="1271"/>
        <v>0</v>
      </c>
      <c r="CQ197" s="65">
        <f t="shared" si="1271"/>
        <v>0</v>
      </c>
      <c r="CR197" s="65">
        <f t="shared" si="1271"/>
        <v>0</v>
      </c>
      <c r="CS197" s="65">
        <f t="shared" si="1271"/>
        <v>0</v>
      </c>
      <c r="CT197" s="65">
        <f t="shared" si="1271"/>
        <v>0</v>
      </c>
      <c r="CU197" s="65">
        <f t="shared" si="1271"/>
        <v>0</v>
      </c>
      <c r="CV197" s="64">
        <f t="shared" si="1272"/>
        <v>0</v>
      </c>
      <c r="CW197" s="62"/>
      <c r="CX197" s="63"/>
      <c r="CY197" s="63"/>
      <c r="CZ197" s="63"/>
      <c r="DA197" s="63"/>
      <c r="DB197" s="63"/>
      <c r="DC197" s="63"/>
      <c r="DD197" s="63"/>
      <c r="DE197" s="63"/>
      <c r="DF197" s="63"/>
      <c r="DG197" s="64">
        <f t="shared" si="1273"/>
        <v>0</v>
      </c>
      <c r="DH197" s="62"/>
      <c r="DI197" s="63"/>
      <c r="DJ197" s="63"/>
      <c r="DK197" s="63"/>
      <c r="DL197" s="63"/>
      <c r="DM197" s="63"/>
      <c r="DN197" s="63"/>
      <c r="DO197" s="63"/>
      <c r="DP197" s="63"/>
      <c r="DQ197" s="63"/>
      <c r="DR197" s="64">
        <f t="shared" si="1274"/>
        <v>0</v>
      </c>
      <c r="DS197" s="62"/>
      <c r="DT197" s="63"/>
      <c r="DU197" s="63"/>
      <c r="DV197" s="63"/>
      <c r="DW197" s="63"/>
      <c r="DX197" s="63"/>
      <c r="DY197" s="63"/>
      <c r="DZ197" s="63"/>
      <c r="EA197" s="63"/>
      <c r="EB197" s="63"/>
      <c r="EC197" s="63"/>
      <c r="ED197" s="65">
        <f t="shared" si="1275"/>
        <v>0</v>
      </c>
      <c r="EE197" s="65">
        <f t="shared" si="1275"/>
        <v>0</v>
      </c>
      <c r="EF197" s="65">
        <f t="shared" si="1275"/>
        <v>0</v>
      </c>
      <c r="EG197" s="65">
        <f t="shared" si="1275"/>
        <v>0</v>
      </c>
      <c r="EH197" s="65">
        <f t="shared" si="1275"/>
        <v>0</v>
      </c>
      <c r="EI197" s="65">
        <f t="shared" si="1275"/>
        <v>0</v>
      </c>
      <c r="EJ197" s="65">
        <f t="shared" si="1275"/>
        <v>0</v>
      </c>
      <c r="EK197" s="65">
        <f t="shared" si="1275"/>
        <v>0</v>
      </c>
      <c r="EL197" s="65">
        <f t="shared" si="1275"/>
        <v>0</v>
      </c>
      <c r="EM197" s="65">
        <f t="shared" si="1275"/>
        <v>0</v>
      </c>
      <c r="EN197" s="64">
        <f t="shared" si="1276"/>
        <v>0</v>
      </c>
      <c r="EO197" s="62"/>
      <c r="EP197" s="63"/>
      <c r="EQ197" s="63"/>
      <c r="ER197" s="63"/>
      <c r="ES197" s="63"/>
      <c r="ET197" s="63"/>
      <c r="EU197" s="63"/>
      <c r="EV197" s="63"/>
      <c r="EW197" s="63"/>
      <c r="EX197" s="63"/>
      <c r="EY197" s="64">
        <f t="shared" si="1277"/>
        <v>0</v>
      </c>
      <c r="EZ197" s="62"/>
      <c r="FA197" s="63"/>
      <c r="FB197" s="63"/>
      <c r="FC197" s="63"/>
      <c r="FD197" s="63"/>
      <c r="FE197" s="63"/>
      <c r="FF197" s="63"/>
      <c r="FG197" s="63"/>
      <c r="FH197" s="63"/>
      <c r="FI197" s="63"/>
      <c r="FJ197" s="64">
        <f t="shared" si="1278"/>
        <v>0</v>
      </c>
      <c r="FK197" s="62"/>
      <c r="FL197" s="63"/>
      <c r="FM197" s="63"/>
      <c r="FN197" s="63"/>
      <c r="FO197" s="63"/>
      <c r="FP197" s="63"/>
      <c r="FQ197" s="63"/>
      <c r="FR197" s="63"/>
      <c r="FS197" s="63"/>
      <c r="FT197" s="63"/>
      <c r="FU197" s="64">
        <f t="shared" si="1279"/>
        <v>0</v>
      </c>
      <c r="FV197" s="65">
        <f t="shared" si="1280"/>
        <v>0</v>
      </c>
      <c r="FW197" s="65">
        <f t="shared" si="1280"/>
        <v>0</v>
      </c>
      <c r="FX197" s="65">
        <f t="shared" si="1280"/>
        <v>0</v>
      </c>
      <c r="FY197" s="65">
        <f t="shared" si="1280"/>
        <v>0</v>
      </c>
      <c r="FZ197" s="65">
        <f t="shared" si="1280"/>
        <v>0</v>
      </c>
      <c r="GA197" s="65">
        <f t="shared" si="1280"/>
        <v>0</v>
      </c>
      <c r="GB197" s="65">
        <f t="shared" si="1280"/>
        <v>0</v>
      </c>
      <c r="GC197" s="65">
        <f t="shared" si="1280"/>
        <v>0</v>
      </c>
      <c r="GD197" s="65">
        <f t="shared" si="1280"/>
        <v>0</v>
      </c>
      <c r="GE197" s="65">
        <f t="shared" si="1280"/>
        <v>0</v>
      </c>
      <c r="GF197" s="64">
        <f t="shared" si="1281"/>
        <v>0</v>
      </c>
      <c r="GG197" s="66">
        <f t="shared" si="1282"/>
        <v>0</v>
      </c>
      <c r="GH197" s="66">
        <f t="shared" si="1282"/>
        <v>0</v>
      </c>
      <c r="GI197" s="66">
        <f t="shared" si="1282"/>
        <v>0</v>
      </c>
      <c r="GJ197" s="66">
        <f t="shared" si="1282"/>
        <v>0</v>
      </c>
      <c r="GK197" s="66">
        <f t="shared" si="1282"/>
        <v>0</v>
      </c>
      <c r="GL197" s="66">
        <f t="shared" si="1282"/>
        <v>0</v>
      </c>
      <c r="GM197" s="66">
        <f t="shared" si="1282"/>
        <v>0</v>
      </c>
      <c r="GN197" s="66">
        <f t="shared" si="1282"/>
        <v>0</v>
      </c>
      <c r="GO197" s="66">
        <f t="shared" si="1282"/>
        <v>0</v>
      </c>
      <c r="GP197" s="66">
        <f t="shared" si="1282"/>
        <v>0</v>
      </c>
      <c r="GQ197" s="64">
        <f t="shared" si="1283"/>
        <v>0</v>
      </c>
      <c r="GR197" s="63"/>
      <c r="GS197" s="63">
        <v>0</v>
      </c>
      <c r="GT197" s="63"/>
      <c r="GU197" s="63"/>
      <c r="GV197" s="67">
        <f t="shared" si="1284"/>
        <v>0</v>
      </c>
      <c r="GW197" s="63"/>
      <c r="GX197" s="63"/>
      <c r="GY197" s="63"/>
      <c r="GZ197" s="63"/>
      <c r="HA197" s="67">
        <f t="shared" si="1285"/>
        <v>0</v>
      </c>
      <c r="HB197" s="63"/>
      <c r="HC197" s="63"/>
      <c r="HD197" s="63"/>
      <c r="HE197" s="63"/>
      <c r="HF197" s="67">
        <f t="shared" si="1286"/>
        <v>0</v>
      </c>
      <c r="HG197" s="63"/>
      <c r="HH197" s="63"/>
      <c r="HI197" s="63"/>
      <c r="HJ197" s="63"/>
      <c r="HK197" s="67">
        <f t="shared" si="1287"/>
        <v>0</v>
      </c>
      <c r="HL197" s="68">
        <f t="shared" si="1288"/>
        <v>0</v>
      </c>
      <c r="HM197" s="68">
        <f t="shared" si="1288"/>
        <v>0</v>
      </c>
      <c r="HN197" s="68">
        <f t="shared" si="1288"/>
        <v>0</v>
      </c>
      <c r="HO197" s="68">
        <f t="shared" si="1288"/>
        <v>0</v>
      </c>
      <c r="HP197" s="67">
        <f t="shared" si="1289"/>
        <v>0</v>
      </c>
      <c r="HQ197" s="63"/>
      <c r="HR197" s="63"/>
      <c r="HS197" s="63"/>
      <c r="HT197" s="63"/>
      <c r="HU197" s="67">
        <f t="shared" si="1290"/>
        <v>0</v>
      </c>
      <c r="HV197" s="63"/>
      <c r="HW197" s="63"/>
      <c r="HX197" s="63"/>
      <c r="HY197" s="63"/>
      <c r="HZ197" s="67">
        <f t="shared" si="1291"/>
        <v>0</v>
      </c>
      <c r="IA197" s="63"/>
      <c r="IB197" s="63"/>
      <c r="IC197" s="63"/>
      <c r="ID197" s="63"/>
      <c r="IE197" s="67">
        <f t="shared" si="1292"/>
        <v>0</v>
      </c>
      <c r="IF197" s="68">
        <f t="shared" si="1293"/>
        <v>0</v>
      </c>
      <c r="IG197" s="68">
        <f t="shared" si="1293"/>
        <v>0</v>
      </c>
      <c r="IH197" s="68">
        <f t="shared" si="1293"/>
        <v>0</v>
      </c>
      <c r="II197" s="68">
        <f t="shared" si="1293"/>
        <v>0</v>
      </c>
      <c r="IJ197" s="67">
        <f t="shared" si="1294"/>
        <v>0</v>
      </c>
      <c r="IK197" s="63"/>
      <c r="IL197" s="63"/>
      <c r="IM197" s="63"/>
      <c r="IN197" s="63"/>
      <c r="IO197" s="67">
        <f t="shared" si="1295"/>
        <v>0</v>
      </c>
      <c r="IP197" s="63"/>
      <c r="IQ197" s="63"/>
      <c r="IR197" s="63"/>
      <c r="IS197" s="63"/>
      <c r="IT197" s="67">
        <f t="shared" si="1296"/>
        <v>0</v>
      </c>
      <c r="IU197" s="63"/>
      <c r="IV197" s="63"/>
    </row>
    <row r="198" spans="1:256" x14ac:dyDescent="0.25">
      <c r="A198" s="83" t="s">
        <v>175</v>
      </c>
      <c r="B198" s="62">
        <v>0</v>
      </c>
      <c r="C198" s="63"/>
      <c r="D198" s="63"/>
      <c r="E198" s="63"/>
      <c r="F198" s="63"/>
      <c r="G198" s="63"/>
      <c r="H198" s="63"/>
      <c r="I198" s="63"/>
      <c r="J198" s="63"/>
      <c r="K198" s="63"/>
      <c r="L198" s="64">
        <f t="shared" si="1262"/>
        <v>0</v>
      </c>
      <c r="M198" s="62"/>
      <c r="N198" s="63"/>
      <c r="O198" s="63"/>
      <c r="P198" s="63"/>
      <c r="Q198" s="63"/>
      <c r="R198" s="63"/>
      <c r="S198" s="63"/>
      <c r="T198" s="63"/>
      <c r="U198" s="63"/>
      <c r="V198" s="63"/>
      <c r="W198" s="64">
        <f t="shared" si="1263"/>
        <v>0</v>
      </c>
      <c r="X198" s="62"/>
      <c r="Y198" s="63"/>
      <c r="Z198" s="63"/>
      <c r="AA198" s="63"/>
      <c r="AB198" s="63"/>
      <c r="AC198" s="63"/>
      <c r="AD198" s="63"/>
      <c r="AE198" s="63"/>
      <c r="AF198" s="63"/>
      <c r="AG198" s="63"/>
      <c r="AH198" s="64">
        <f t="shared" si="1264"/>
        <v>0</v>
      </c>
      <c r="AI198" s="62"/>
      <c r="AJ198" s="63"/>
      <c r="AK198" s="63"/>
      <c r="AL198" s="63"/>
      <c r="AM198" s="63"/>
      <c r="AN198" s="63"/>
      <c r="AO198" s="63"/>
      <c r="AP198" s="63"/>
      <c r="AQ198" s="63"/>
      <c r="AR198" s="63"/>
      <c r="AS198" s="64">
        <f t="shared" si="1265"/>
        <v>0</v>
      </c>
      <c r="AT198" s="65">
        <f t="shared" si="1266"/>
        <v>0</v>
      </c>
      <c r="AU198" s="65">
        <f t="shared" si="1266"/>
        <v>0</v>
      </c>
      <c r="AV198" s="65">
        <f t="shared" si="1266"/>
        <v>0</v>
      </c>
      <c r="AW198" s="65">
        <f t="shared" si="1266"/>
        <v>0</v>
      </c>
      <c r="AX198" s="65">
        <f t="shared" si="1266"/>
        <v>0</v>
      </c>
      <c r="AY198" s="65">
        <f t="shared" si="1266"/>
        <v>0</v>
      </c>
      <c r="AZ198" s="65">
        <f t="shared" si="1266"/>
        <v>0</v>
      </c>
      <c r="BA198" s="65">
        <f t="shared" si="1266"/>
        <v>0</v>
      </c>
      <c r="BB198" s="65">
        <f t="shared" si="1266"/>
        <v>0</v>
      </c>
      <c r="BC198" s="65">
        <f t="shared" si="1266"/>
        <v>0</v>
      </c>
      <c r="BD198" s="64">
        <f t="shared" si="1267"/>
        <v>0</v>
      </c>
      <c r="BE198" s="62"/>
      <c r="BF198" s="63"/>
      <c r="BG198" s="63"/>
      <c r="BH198" s="63"/>
      <c r="BI198" s="63"/>
      <c r="BJ198" s="63"/>
      <c r="BK198" s="63"/>
      <c r="BL198" s="63"/>
      <c r="BM198" s="63"/>
      <c r="BN198" s="63"/>
      <c r="BO198" s="64">
        <f t="shared" si="1268"/>
        <v>0</v>
      </c>
      <c r="BP198" s="62"/>
      <c r="BQ198" s="63"/>
      <c r="BR198" s="63"/>
      <c r="BS198" s="63"/>
      <c r="BT198" s="63"/>
      <c r="BU198" s="63"/>
      <c r="BV198" s="63"/>
      <c r="BW198" s="63"/>
      <c r="BX198" s="63"/>
      <c r="BY198" s="63"/>
      <c r="BZ198" s="64">
        <f t="shared" si="1269"/>
        <v>0</v>
      </c>
      <c r="CA198" s="62"/>
      <c r="CB198" s="63"/>
      <c r="CC198" s="63"/>
      <c r="CD198" s="63"/>
      <c r="CE198" s="63"/>
      <c r="CF198" s="63"/>
      <c r="CG198" s="63"/>
      <c r="CH198" s="63"/>
      <c r="CI198" s="63"/>
      <c r="CJ198" s="63"/>
      <c r="CK198" s="64">
        <f t="shared" si="1270"/>
        <v>0</v>
      </c>
      <c r="CL198" s="65">
        <f t="shared" si="1271"/>
        <v>0</v>
      </c>
      <c r="CM198" s="65">
        <f t="shared" si="1271"/>
        <v>0</v>
      </c>
      <c r="CN198" s="65">
        <f t="shared" si="1271"/>
        <v>0</v>
      </c>
      <c r="CO198" s="65">
        <f t="shared" si="1271"/>
        <v>0</v>
      </c>
      <c r="CP198" s="65">
        <f t="shared" si="1271"/>
        <v>0</v>
      </c>
      <c r="CQ198" s="65">
        <f t="shared" si="1271"/>
        <v>0</v>
      </c>
      <c r="CR198" s="65">
        <f t="shared" si="1271"/>
        <v>0</v>
      </c>
      <c r="CS198" s="65">
        <f t="shared" si="1271"/>
        <v>0</v>
      </c>
      <c r="CT198" s="65">
        <f t="shared" si="1271"/>
        <v>0</v>
      </c>
      <c r="CU198" s="65">
        <f t="shared" si="1271"/>
        <v>0</v>
      </c>
      <c r="CV198" s="64">
        <f t="shared" si="1272"/>
        <v>0</v>
      </c>
      <c r="CW198" s="62"/>
      <c r="CX198" s="63"/>
      <c r="CY198" s="63"/>
      <c r="CZ198" s="63"/>
      <c r="DA198" s="63"/>
      <c r="DB198" s="63"/>
      <c r="DC198" s="63"/>
      <c r="DD198" s="63"/>
      <c r="DE198" s="63"/>
      <c r="DF198" s="63"/>
      <c r="DG198" s="64">
        <f t="shared" si="1273"/>
        <v>0</v>
      </c>
      <c r="DH198" s="62"/>
      <c r="DI198" s="63"/>
      <c r="DJ198" s="63"/>
      <c r="DK198" s="63"/>
      <c r="DL198" s="63"/>
      <c r="DM198" s="63"/>
      <c r="DN198" s="63"/>
      <c r="DO198" s="63"/>
      <c r="DP198" s="63"/>
      <c r="DQ198" s="63"/>
      <c r="DR198" s="64">
        <f t="shared" si="1274"/>
        <v>0</v>
      </c>
      <c r="DS198" s="62"/>
      <c r="DT198" s="63"/>
      <c r="DU198" s="63"/>
      <c r="DV198" s="63"/>
      <c r="DW198" s="63"/>
      <c r="DX198" s="63"/>
      <c r="DY198" s="63"/>
      <c r="DZ198" s="63"/>
      <c r="EA198" s="63"/>
      <c r="EB198" s="63"/>
      <c r="EC198" s="63"/>
      <c r="ED198" s="65">
        <f t="shared" si="1275"/>
        <v>0</v>
      </c>
      <c r="EE198" s="65">
        <f t="shared" si="1275"/>
        <v>0</v>
      </c>
      <c r="EF198" s="65">
        <f t="shared" si="1275"/>
        <v>0</v>
      </c>
      <c r="EG198" s="65">
        <f t="shared" si="1275"/>
        <v>0</v>
      </c>
      <c r="EH198" s="65">
        <f t="shared" si="1275"/>
        <v>0</v>
      </c>
      <c r="EI198" s="65">
        <f t="shared" si="1275"/>
        <v>0</v>
      </c>
      <c r="EJ198" s="65">
        <f t="shared" si="1275"/>
        <v>0</v>
      </c>
      <c r="EK198" s="65">
        <f t="shared" si="1275"/>
        <v>0</v>
      </c>
      <c r="EL198" s="65">
        <f t="shared" si="1275"/>
        <v>0</v>
      </c>
      <c r="EM198" s="65">
        <f t="shared" si="1275"/>
        <v>0</v>
      </c>
      <c r="EN198" s="64">
        <f t="shared" si="1276"/>
        <v>0</v>
      </c>
      <c r="EO198" s="62"/>
      <c r="EP198" s="63"/>
      <c r="EQ198" s="63"/>
      <c r="ER198" s="63"/>
      <c r="ES198" s="63"/>
      <c r="ET198" s="63"/>
      <c r="EU198" s="63"/>
      <c r="EV198" s="63"/>
      <c r="EW198" s="63"/>
      <c r="EX198" s="63"/>
      <c r="EY198" s="64">
        <f t="shared" si="1277"/>
        <v>0</v>
      </c>
      <c r="EZ198" s="62"/>
      <c r="FA198" s="63"/>
      <c r="FB198" s="63"/>
      <c r="FC198" s="63"/>
      <c r="FD198" s="63"/>
      <c r="FE198" s="63"/>
      <c r="FF198" s="63"/>
      <c r="FG198" s="63"/>
      <c r="FH198" s="63"/>
      <c r="FI198" s="63"/>
      <c r="FJ198" s="64">
        <f t="shared" si="1278"/>
        <v>0</v>
      </c>
      <c r="FK198" s="62"/>
      <c r="FL198" s="63"/>
      <c r="FM198" s="63"/>
      <c r="FN198" s="63"/>
      <c r="FO198" s="63"/>
      <c r="FP198" s="63"/>
      <c r="FQ198" s="63"/>
      <c r="FR198" s="63"/>
      <c r="FS198" s="63"/>
      <c r="FT198" s="63"/>
      <c r="FU198" s="64">
        <f t="shared" si="1279"/>
        <v>0</v>
      </c>
      <c r="FV198" s="65">
        <f t="shared" si="1280"/>
        <v>0</v>
      </c>
      <c r="FW198" s="65">
        <f t="shared" si="1280"/>
        <v>0</v>
      </c>
      <c r="FX198" s="65">
        <f t="shared" si="1280"/>
        <v>0</v>
      </c>
      <c r="FY198" s="65">
        <f t="shared" si="1280"/>
        <v>0</v>
      </c>
      <c r="FZ198" s="65">
        <f t="shared" si="1280"/>
        <v>0</v>
      </c>
      <c r="GA198" s="65">
        <f t="shared" si="1280"/>
        <v>0</v>
      </c>
      <c r="GB198" s="65">
        <f t="shared" si="1280"/>
        <v>0</v>
      </c>
      <c r="GC198" s="65">
        <f t="shared" si="1280"/>
        <v>0</v>
      </c>
      <c r="GD198" s="65">
        <f t="shared" si="1280"/>
        <v>0</v>
      </c>
      <c r="GE198" s="65">
        <f t="shared" si="1280"/>
        <v>0</v>
      </c>
      <c r="GF198" s="64">
        <f t="shared" si="1281"/>
        <v>0</v>
      </c>
      <c r="GG198" s="66">
        <f t="shared" si="1282"/>
        <v>0</v>
      </c>
      <c r="GH198" s="66">
        <f t="shared" si="1282"/>
        <v>0</v>
      </c>
      <c r="GI198" s="66">
        <f t="shared" si="1282"/>
        <v>0</v>
      </c>
      <c r="GJ198" s="66">
        <f t="shared" si="1282"/>
        <v>0</v>
      </c>
      <c r="GK198" s="66">
        <f t="shared" si="1282"/>
        <v>0</v>
      </c>
      <c r="GL198" s="66">
        <f t="shared" si="1282"/>
        <v>0</v>
      </c>
      <c r="GM198" s="66">
        <f t="shared" si="1282"/>
        <v>0</v>
      </c>
      <c r="GN198" s="66">
        <f t="shared" si="1282"/>
        <v>0</v>
      </c>
      <c r="GO198" s="66">
        <f t="shared" si="1282"/>
        <v>0</v>
      </c>
      <c r="GP198" s="66">
        <f t="shared" si="1282"/>
        <v>0</v>
      </c>
      <c r="GQ198" s="64">
        <f t="shared" si="1283"/>
        <v>0</v>
      </c>
      <c r="GR198" s="63"/>
      <c r="GS198" s="63">
        <v>0</v>
      </c>
      <c r="GT198" s="63"/>
      <c r="GU198" s="63"/>
      <c r="GV198" s="67">
        <f t="shared" si="1284"/>
        <v>0</v>
      </c>
      <c r="GW198" s="63"/>
      <c r="GX198" s="63"/>
      <c r="GY198" s="63"/>
      <c r="GZ198" s="63"/>
      <c r="HA198" s="67">
        <f t="shared" si="1285"/>
        <v>0</v>
      </c>
      <c r="HB198" s="63"/>
      <c r="HC198" s="63"/>
      <c r="HD198" s="63"/>
      <c r="HE198" s="63"/>
      <c r="HF198" s="67">
        <f t="shared" si="1286"/>
        <v>0</v>
      </c>
      <c r="HG198" s="63"/>
      <c r="HH198" s="63"/>
      <c r="HI198" s="63"/>
      <c r="HJ198" s="63"/>
      <c r="HK198" s="67">
        <f t="shared" si="1287"/>
        <v>0</v>
      </c>
      <c r="HL198" s="68">
        <f t="shared" si="1288"/>
        <v>0</v>
      </c>
      <c r="HM198" s="68">
        <f t="shared" si="1288"/>
        <v>0</v>
      </c>
      <c r="HN198" s="68">
        <f t="shared" si="1288"/>
        <v>0</v>
      </c>
      <c r="HO198" s="68">
        <f t="shared" si="1288"/>
        <v>0</v>
      </c>
      <c r="HP198" s="67">
        <f t="shared" si="1289"/>
        <v>0</v>
      </c>
      <c r="HQ198" s="63"/>
      <c r="HR198" s="63"/>
      <c r="HS198" s="63"/>
      <c r="HT198" s="63"/>
      <c r="HU198" s="67">
        <f t="shared" si="1290"/>
        <v>0</v>
      </c>
      <c r="HV198" s="63"/>
      <c r="HW198" s="63"/>
      <c r="HX198" s="63"/>
      <c r="HY198" s="63"/>
      <c r="HZ198" s="67">
        <f t="shared" si="1291"/>
        <v>0</v>
      </c>
      <c r="IA198" s="63"/>
      <c r="IB198" s="63"/>
      <c r="IC198" s="63"/>
      <c r="ID198" s="63"/>
      <c r="IE198" s="67">
        <f t="shared" si="1292"/>
        <v>0</v>
      </c>
      <c r="IF198" s="68">
        <f t="shared" si="1293"/>
        <v>0</v>
      </c>
      <c r="IG198" s="68">
        <f t="shared" si="1293"/>
        <v>0</v>
      </c>
      <c r="IH198" s="68">
        <f t="shared" si="1293"/>
        <v>0</v>
      </c>
      <c r="II198" s="68">
        <f t="shared" si="1293"/>
        <v>0</v>
      </c>
      <c r="IJ198" s="67">
        <f t="shared" si="1294"/>
        <v>0</v>
      </c>
      <c r="IK198" s="63"/>
      <c r="IL198" s="63"/>
      <c r="IM198" s="63"/>
      <c r="IN198" s="63"/>
      <c r="IO198" s="67">
        <f t="shared" si="1295"/>
        <v>0</v>
      </c>
      <c r="IP198" s="63"/>
      <c r="IQ198" s="63"/>
      <c r="IR198" s="63"/>
      <c r="IS198" s="63"/>
      <c r="IT198" s="67">
        <f t="shared" si="1296"/>
        <v>0</v>
      </c>
      <c r="IU198" s="63"/>
      <c r="IV198" s="63"/>
    </row>
    <row r="199" spans="1:256" x14ac:dyDescent="0.25">
      <c r="A199" s="84" t="s">
        <v>176</v>
      </c>
      <c r="B199" s="62">
        <v>0</v>
      </c>
      <c r="C199" s="63"/>
      <c r="D199" s="63"/>
      <c r="E199" s="63"/>
      <c r="F199" s="63"/>
      <c r="G199" s="63"/>
      <c r="H199" s="63"/>
      <c r="I199" s="63"/>
      <c r="J199" s="63"/>
      <c r="K199" s="63"/>
      <c r="L199" s="64">
        <f t="shared" si="1262"/>
        <v>0</v>
      </c>
      <c r="M199" s="62"/>
      <c r="N199" s="63"/>
      <c r="O199" s="63"/>
      <c r="P199" s="63"/>
      <c r="Q199" s="63"/>
      <c r="R199" s="63"/>
      <c r="S199" s="63"/>
      <c r="T199" s="63"/>
      <c r="U199" s="63"/>
      <c r="V199" s="63"/>
      <c r="W199" s="64">
        <f t="shared" si="1263"/>
        <v>0</v>
      </c>
      <c r="X199" s="62"/>
      <c r="Y199" s="63"/>
      <c r="Z199" s="63"/>
      <c r="AA199" s="63"/>
      <c r="AB199" s="63"/>
      <c r="AC199" s="63"/>
      <c r="AD199" s="63"/>
      <c r="AE199" s="63"/>
      <c r="AF199" s="63"/>
      <c r="AG199" s="63"/>
      <c r="AH199" s="64">
        <f t="shared" si="1264"/>
        <v>0</v>
      </c>
      <c r="AI199" s="62"/>
      <c r="AJ199" s="63"/>
      <c r="AK199" s="63"/>
      <c r="AL199" s="63"/>
      <c r="AM199" s="63"/>
      <c r="AN199" s="63"/>
      <c r="AO199" s="63"/>
      <c r="AP199" s="63"/>
      <c r="AQ199" s="63"/>
      <c r="AR199" s="63"/>
      <c r="AS199" s="64">
        <f t="shared" si="1265"/>
        <v>0</v>
      </c>
      <c r="AT199" s="65">
        <f t="shared" si="1266"/>
        <v>0</v>
      </c>
      <c r="AU199" s="65">
        <f t="shared" si="1266"/>
        <v>0</v>
      </c>
      <c r="AV199" s="65">
        <f t="shared" si="1266"/>
        <v>0</v>
      </c>
      <c r="AW199" s="65">
        <f t="shared" si="1266"/>
        <v>0</v>
      </c>
      <c r="AX199" s="65">
        <f t="shared" si="1266"/>
        <v>0</v>
      </c>
      <c r="AY199" s="65">
        <f t="shared" si="1266"/>
        <v>0</v>
      </c>
      <c r="AZ199" s="65">
        <f t="shared" si="1266"/>
        <v>0</v>
      </c>
      <c r="BA199" s="65">
        <f t="shared" si="1266"/>
        <v>0</v>
      </c>
      <c r="BB199" s="65">
        <f t="shared" si="1266"/>
        <v>0</v>
      </c>
      <c r="BC199" s="65">
        <f t="shared" si="1266"/>
        <v>0</v>
      </c>
      <c r="BD199" s="64">
        <f t="shared" si="1267"/>
        <v>0</v>
      </c>
      <c r="BE199" s="62"/>
      <c r="BF199" s="63"/>
      <c r="BG199" s="63"/>
      <c r="BH199" s="63"/>
      <c r="BI199" s="63"/>
      <c r="BJ199" s="63"/>
      <c r="BK199" s="63"/>
      <c r="BL199" s="63"/>
      <c r="BM199" s="63"/>
      <c r="BN199" s="63"/>
      <c r="BO199" s="64">
        <f t="shared" si="1268"/>
        <v>0</v>
      </c>
      <c r="BP199" s="62"/>
      <c r="BQ199" s="63"/>
      <c r="BR199" s="63"/>
      <c r="BS199" s="63"/>
      <c r="BT199" s="63"/>
      <c r="BU199" s="63"/>
      <c r="BV199" s="63"/>
      <c r="BW199" s="63"/>
      <c r="BX199" s="63"/>
      <c r="BY199" s="63"/>
      <c r="BZ199" s="64">
        <f t="shared" si="1269"/>
        <v>0</v>
      </c>
      <c r="CA199" s="62"/>
      <c r="CB199" s="63"/>
      <c r="CC199" s="63"/>
      <c r="CD199" s="63"/>
      <c r="CE199" s="63"/>
      <c r="CF199" s="63"/>
      <c r="CG199" s="63"/>
      <c r="CH199" s="63"/>
      <c r="CI199" s="63"/>
      <c r="CJ199" s="63"/>
      <c r="CK199" s="64">
        <f t="shared" si="1270"/>
        <v>0</v>
      </c>
      <c r="CL199" s="65">
        <f t="shared" si="1271"/>
        <v>0</v>
      </c>
      <c r="CM199" s="65">
        <f t="shared" si="1271"/>
        <v>0</v>
      </c>
      <c r="CN199" s="65">
        <f t="shared" si="1271"/>
        <v>0</v>
      </c>
      <c r="CO199" s="65">
        <f t="shared" si="1271"/>
        <v>0</v>
      </c>
      <c r="CP199" s="65">
        <f t="shared" si="1271"/>
        <v>0</v>
      </c>
      <c r="CQ199" s="65">
        <f t="shared" si="1271"/>
        <v>0</v>
      </c>
      <c r="CR199" s="65">
        <f t="shared" si="1271"/>
        <v>0</v>
      </c>
      <c r="CS199" s="65">
        <f t="shared" si="1271"/>
        <v>0</v>
      </c>
      <c r="CT199" s="65">
        <f t="shared" si="1271"/>
        <v>0</v>
      </c>
      <c r="CU199" s="65">
        <f t="shared" si="1271"/>
        <v>0</v>
      </c>
      <c r="CV199" s="64">
        <f t="shared" si="1272"/>
        <v>0</v>
      </c>
      <c r="CW199" s="62"/>
      <c r="CX199" s="63"/>
      <c r="CY199" s="63"/>
      <c r="CZ199" s="63"/>
      <c r="DA199" s="63"/>
      <c r="DB199" s="63"/>
      <c r="DC199" s="63"/>
      <c r="DD199" s="63"/>
      <c r="DE199" s="63"/>
      <c r="DF199" s="63"/>
      <c r="DG199" s="64">
        <f t="shared" si="1273"/>
        <v>0</v>
      </c>
      <c r="DH199" s="62"/>
      <c r="DI199" s="63"/>
      <c r="DJ199" s="63"/>
      <c r="DK199" s="63"/>
      <c r="DL199" s="63"/>
      <c r="DM199" s="63"/>
      <c r="DN199" s="63"/>
      <c r="DO199" s="63"/>
      <c r="DP199" s="63"/>
      <c r="DQ199" s="63"/>
      <c r="DR199" s="64">
        <f t="shared" si="1274"/>
        <v>0</v>
      </c>
      <c r="DS199" s="62"/>
      <c r="DT199" s="63"/>
      <c r="DU199" s="63"/>
      <c r="DV199" s="63"/>
      <c r="DW199" s="63"/>
      <c r="DX199" s="63"/>
      <c r="DY199" s="63"/>
      <c r="DZ199" s="63"/>
      <c r="EA199" s="63"/>
      <c r="EB199" s="63"/>
      <c r="EC199" s="63"/>
      <c r="ED199" s="65">
        <f t="shared" si="1275"/>
        <v>0</v>
      </c>
      <c r="EE199" s="65">
        <f t="shared" si="1275"/>
        <v>0</v>
      </c>
      <c r="EF199" s="65">
        <f t="shared" si="1275"/>
        <v>0</v>
      </c>
      <c r="EG199" s="65">
        <f t="shared" si="1275"/>
        <v>0</v>
      </c>
      <c r="EH199" s="65">
        <f t="shared" si="1275"/>
        <v>0</v>
      </c>
      <c r="EI199" s="65">
        <f t="shared" si="1275"/>
        <v>0</v>
      </c>
      <c r="EJ199" s="65">
        <f t="shared" si="1275"/>
        <v>0</v>
      </c>
      <c r="EK199" s="65">
        <f t="shared" si="1275"/>
        <v>0</v>
      </c>
      <c r="EL199" s="65">
        <f t="shared" si="1275"/>
        <v>0</v>
      </c>
      <c r="EM199" s="65">
        <f t="shared" si="1275"/>
        <v>0</v>
      </c>
      <c r="EN199" s="64">
        <f t="shared" si="1276"/>
        <v>0</v>
      </c>
      <c r="EO199" s="62"/>
      <c r="EP199" s="63"/>
      <c r="EQ199" s="63"/>
      <c r="ER199" s="63"/>
      <c r="ES199" s="63"/>
      <c r="ET199" s="63"/>
      <c r="EU199" s="63"/>
      <c r="EV199" s="63"/>
      <c r="EW199" s="63"/>
      <c r="EX199" s="63"/>
      <c r="EY199" s="64">
        <f t="shared" si="1277"/>
        <v>0</v>
      </c>
      <c r="EZ199" s="62"/>
      <c r="FA199" s="63"/>
      <c r="FB199" s="63"/>
      <c r="FC199" s="63"/>
      <c r="FD199" s="63"/>
      <c r="FE199" s="63"/>
      <c r="FF199" s="63"/>
      <c r="FG199" s="63"/>
      <c r="FH199" s="63"/>
      <c r="FI199" s="63"/>
      <c r="FJ199" s="64">
        <f t="shared" si="1278"/>
        <v>0</v>
      </c>
      <c r="FK199" s="62"/>
      <c r="FL199" s="63"/>
      <c r="FM199" s="63"/>
      <c r="FN199" s="63"/>
      <c r="FO199" s="63"/>
      <c r="FP199" s="63"/>
      <c r="FQ199" s="63"/>
      <c r="FR199" s="63"/>
      <c r="FS199" s="63"/>
      <c r="FT199" s="63"/>
      <c r="FU199" s="64">
        <f t="shared" si="1279"/>
        <v>0</v>
      </c>
      <c r="FV199" s="65">
        <f t="shared" si="1280"/>
        <v>0</v>
      </c>
      <c r="FW199" s="65">
        <f t="shared" si="1280"/>
        <v>0</v>
      </c>
      <c r="FX199" s="65">
        <f t="shared" si="1280"/>
        <v>0</v>
      </c>
      <c r="FY199" s="65">
        <f t="shared" si="1280"/>
        <v>0</v>
      </c>
      <c r="FZ199" s="65">
        <f t="shared" si="1280"/>
        <v>0</v>
      </c>
      <c r="GA199" s="65">
        <f t="shared" si="1280"/>
        <v>0</v>
      </c>
      <c r="GB199" s="65">
        <f t="shared" si="1280"/>
        <v>0</v>
      </c>
      <c r="GC199" s="65">
        <f t="shared" si="1280"/>
        <v>0</v>
      </c>
      <c r="GD199" s="65">
        <f t="shared" si="1280"/>
        <v>0</v>
      </c>
      <c r="GE199" s="65">
        <f t="shared" si="1280"/>
        <v>0</v>
      </c>
      <c r="GF199" s="64">
        <f t="shared" si="1281"/>
        <v>0</v>
      </c>
      <c r="GG199" s="66">
        <f t="shared" si="1282"/>
        <v>0</v>
      </c>
      <c r="GH199" s="66">
        <f t="shared" si="1282"/>
        <v>0</v>
      </c>
      <c r="GI199" s="66">
        <f t="shared" si="1282"/>
        <v>0</v>
      </c>
      <c r="GJ199" s="66">
        <f t="shared" si="1282"/>
        <v>0</v>
      </c>
      <c r="GK199" s="66">
        <f t="shared" si="1282"/>
        <v>0</v>
      </c>
      <c r="GL199" s="66">
        <f t="shared" si="1282"/>
        <v>0</v>
      </c>
      <c r="GM199" s="66">
        <f t="shared" si="1282"/>
        <v>0</v>
      </c>
      <c r="GN199" s="66">
        <f t="shared" si="1282"/>
        <v>0</v>
      </c>
      <c r="GO199" s="66">
        <f t="shared" si="1282"/>
        <v>0</v>
      </c>
      <c r="GP199" s="66">
        <f t="shared" si="1282"/>
        <v>0</v>
      </c>
      <c r="GQ199" s="64">
        <f t="shared" si="1283"/>
        <v>0</v>
      </c>
      <c r="GR199" s="63"/>
      <c r="GS199" s="63">
        <v>0</v>
      </c>
      <c r="GT199" s="63"/>
      <c r="GU199" s="63"/>
      <c r="GV199" s="67">
        <f t="shared" si="1284"/>
        <v>0</v>
      </c>
      <c r="GW199" s="63"/>
      <c r="GX199" s="63"/>
      <c r="GY199" s="63"/>
      <c r="GZ199" s="63"/>
      <c r="HA199" s="67">
        <f t="shared" si="1285"/>
        <v>0</v>
      </c>
      <c r="HB199" s="63"/>
      <c r="HC199" s="63"/>
      <c r="HD199" s="63"/>
      <c r="HE199" s="63"/>
      <c r="HF199" s="67">
        <f t="shared" si="1286"/>
        <v>0</v>
      </c>
      <c r="HG199" s="63"/>
      <c r="HH199" s="63"/>
      <c r="HI199" s="63"/>
      <c r="HJ199" s="63"/>
      <c r="HK199" s="67">
        <f t="shared" si="1287"/>
        <v>0</v>
      </c>
      <c r="HL199" s="68">
        <f t="shared" si="1288"/>
        <v>0</v>
      </c>
      <c r="HM199" s="68">
        <f t="shared" si="1288"/>
        <v>0</v>
      </c>
      <c r="HN199" s="68">
        <f t="shared" si="1288"/>
        <v>0</v>
      </c>
      <c r="HO199" s="68">
        <f t="shared" si="1288"/>
        <v>0</v>
      </c>
      <c r="HP199" s="67">
        <f t="shared" si="1289"/>
        <v>0</v>
      </c>
      <c r="HQ199" s="63"/>
      <c r="HR199" s="63"/>
      <c r="HS199" s="63"/>
      <c r="HT199" s="63"/>
      <c r="HU199" s="67">
        <f t="shared" si="1290"/>
        <v>0</v>
      </c>
      <c r="HV199" s="63"/>
      <c r="HW199" s="63"/>
      <c r="HX199" s="63"/>
      <c r="HY199" s="63"/>
      <c r="HZ199" s="67">
        <f t="shared" si="1291"/>
        <v>0</v>
      </c>
      <c r="IA199" s="63"/>
      <c r="IB199" s="63"/>
      <c r="IC199" s="63"/>
      <c r="ID199" s="63"/>
      <c r="IE199" s="67">
        <f t="shared" si="1292"/>
        <v>0</v>
      </c>
      <c r="IF199" s="68">
        <f t="shared" si="1293"/>
        <v>0</v>
      </c>
      <c r="IG199" s="68">
        <f t="shared" si="1293"/>
        <v>0</v>
      </c>
      <c r="IH199" s="68">
        <f t="shared" si="1293"/>
        <v>0</v>
      </c>
      <c r="II199" s="68">
        <f t="shared" si="1293"/>
        <v>0</v>
      </c>
      <c r="IJ199" s="67">
        <f t="shared" si="1294"/>
        <v>0</v>
      </c>
      <c r="IK199" s="63"/>
      <c r="IL199" s="63"/>
      <c r="IM199" s="63"/>
      <c r="IN199" s="63"/>
      <c r="IO199" s="67">
        <f t="shared" si="1295"/>
        <v>0</v>
      </c>
      <c r="IP199" s="63"/>
      <c r="IQ199" s="63"/>
      <c r="IR199" s="63"/>
      <c r="IS199" s="63"/>
      <c r="IT199" s="67">
        <f t="shared" si="1296"/>
        <v>0</v>
      </c>
      <c r="IU199" s="63"/>
      <c r="IV199" s="63"/>
    </row>
    <row r="200" spans="1:256" x14ac:dyDescent="0.25">
      <c r="A200" s="83" t="s">
        <v>177</v>
      </c>
      <c r="B200" s="62">
        <v>14</v>
      </c>
      <c r="C200" s="63"/>
      <c r="D200" s="63"/>
      <c r="E200" s="63"/>
      <c r="F200" s="63"/>
      <c r="G200" s="63"/>
      <c r="H200" s="63"/>
      <c r="I200" s="63"/>
      <c r="J200" s="63"/>
      <c r="K200" s="63"/>
      <c r="L200" s="64">
        <f t="shared" si="1262"/>
        <v>0</v>
      </c>
      <c r="M200" s="62"/>
      <c r="N200" s="63"/>
      <c r="O200" s="63"/>
      <c r="P200" s="63"/>
      <c r="Q200" s="63"/>
      <c r="R200" s="63"/>
      <c r="S200" s="63"/>
      <c r="T200" s="63"/>
      <c r="U200" s="63"/>
      <c r="V200" s="63"/>
      <c r="W200" s="64">
        <f t="shared" si="1263"/>
        <v>0</v>
      </c>
      <c r="X200" s="62"/>
      <c r="Y200" s="63"/>
      <c r="Z200" s="63"/>
      <c r="AA200" s="63"/>
      <c r="AB200" s="63"/>
      <c r="AC200" s="63"/>
      <c r="AD200" s="63"/>
      <c r="AE200" s="63"/>
      <c r="AF200" s="63"/>
      <c r="AG200" s="63"/>
      <c r="AH200" s="64">
        <f t="shared" si="1264"/>
        <v>0</v>
      </c>
      <c r="AI200" s="62"/>
      <c r="AJ200" s="63"/>
      <c r="AK200" s="63"/>
      <c r="AL200" s="63"/>
      <c r="AM200" s="63"/>
      <c r="AN200" s="63"/>
      <c r="AO200" s="63"/>
      <c r="AP200" s="63"/>
      <c r="AQ200" s="63"/>
      <c r="AR200" s="63"/>
      <c r="AS200" s="64">
        <f t="shared" si="1265"/>
        <v>0</v>
      </c>
      <c r="AT200" s="65">
        <f t="shared" si="1266"/>
        <v>0</v>
      </c>
      <c r="AU200" s="65">
        <f t="shared" si="1266"/>
        <v>0</v>
      </c>
      <c r="AV200" s="65">
        <f t="shared" si="1266"/>
        <v>0</v>
      </c>
      <c r="AW200" s="65">
        <f t="shared" si="1266"/>
        <v>0</v>
      </c>
      <c r="AX200" s="65">
        <f t="shared" si="1266"/>
        <v>0</v>
      </c>
      <c r="AY200" s="65">
        <f t="shared" si="1266"/>
        <v>0</v>
      </c>
      <c r="AZ200" s="65">
        <f t="shared" si="1266"/>
        <v>0</v>
      </c>
      <c r="BA200" s="65">
        <f t="shared" si="1266"/>
        <v>0</v>
      </c>
      <c r="BB200" s="65">
        <f t="shared" si="1266"/>
        <v>0</v>
      </c>
      <c r="BC200" s="65">
        <f t="shared" si="1266"/>
        <v>0</v>
      </c>
      <c r="BD200" s="64">
        <f t="shared" si="1267"/>
        <v>0</v>
      </c>
      <c r="BE200" s="62"/>
      <c r="BF200" s="63"/>
      <c r="BG200" s="63"/>
      <c r="BH200" s="63"/>
      <c r="BI200" s="63"/>
      <c r="BJ200" s="63"/>
      <c r="BK200" s="63"/>
      <c r="BL200" s="63"/>
      <c r="BM200" s="63"/>
      <c r="BN200" s="63"/>
      <c r="BO200" s="64">
        <f t="shared" si="1268"/>
        <v>0</v>
      </c>
      <c r="BP200" s="62"/>
      <c r="BQ200" s="63"/>
      <c r="BR200" s="63"/>
      <c r="BS200" s="63"/>
      <c r="BT200" s="63"/>
      <c r="BU200" s="63"/>
      <c r="BV200" s="63"/>
      <c r="BW200" s="63"/>
      <c r="BX200" s="63"/>
      <c r="BY200" s="63"/>
      <c r="BZ200" s="64">
        <f t="shared" si="1269"/>
        <v>0</v>
      </c>
      <c r="CA200" s="62"/>
      <c r="CB200" s="63"/>
      <c r="CC200" s="63"/>
      <c r="CD200" s="63"/>
      <c r="CE200" s="63"/>
      <c r="CF200" s="63"/>
      <c r="CG200" s="63"/>
      <c r="CH200" s="63"/>
      <c r="CI200" s="63"/>
      <c r="CJ200" s="63"/>
      <c r="CK200" s="64">
        <f t="shared" si="1270"/>
        <v>0</v>
      </c>
      <c r="CL200" s="65">
        <f t="shared" si="1271"/>
        <v>0</v>
      </c>
      <c r="CM200" s="65">
        <f t="shared" si="1271"/>
        <v>0</v>
      </c>
      <c r="CN200" s="65">
        <f t="shared" si="1271"/>
        <v>0</v>
      </c>
      <c r="CO200" s="65">
        <f t="shared" si="1271"/>
        <v>0</v>
      </c>
      <c r="CP200" s="65">
        <f t="shared" si="1271"/>
        <v>0</v>
      </c>
      <c r="CQ200" s="65">
        <f t="shared" si="1271"/>
        <v>0</v>
      </c>
      <c r="CR200" s="65">
        <f t="shared" si="1271"/>
        <v>0</v>
      </c>
      <c r="CS200" s="65">
        <f t="shared" si="1271"/>
        <v>0</v>
      </c>
      <c r="CT200" s="65">
        <f t="shared" si="1271"/>
        <v>0</v>
      </c>
      <c r="CU200" s="65">
        <f t="shared" si="1271"/>
        <v>0</v>
      </c>
      <c r="CV200" s="64">
        <f t="shared" si="1272"/>
        <v>0</v>
      </c>
      <c r="CW200" s="62"/>
      <c r="CX200" s="63"/>
      <c r="CY200" s="63"/>
      <c r="CZ200" s="63"/>
      <c r="DA200" s="63"/>
      <c r="DB200" s="63"/>
      <c r="DC200" s="63"/>
      <c r="DD200" s="63"/>
      <c r="DE200" s="63"/>
      <c r="DF200" s="63"/>
      <c r="DG200" s="64">
        <f t="shared" si="1273"/>
        <v>0</v>
      </c>
      <c r="DH200" s="62"/>
      <c r="DI200" s="63"/>
      <c r="DJ200" s="63"/>
      <c r="DK200" s="63"/>
      <c r="DL200" s="63"/>
      <c r="DM200" s="63"/>
      <c r="DN200" s="63"/>
      <c r="DO200" s="63"/>
      <c r="DP200" s="63"/>
      <c r="DQ200" s="63"/>
      <c r="DR200" s="64">
        <f t="shared" si="1274"/>
        <v>0</v>
      </c>
      <c r="DS200" s="62"/>
      <c r="DT200" s="63"/>
      <c r="DU200" s="63"/>
      <c r="DV200" s="63"/>
      <c r="DW200" s="63"/>
      <c r="DX200" s="63"/>
      <c r="DY200" s="63"/>
      <c r="DZ200" s="63"/>
      <c r="EA200" s="63"/>
      <c r="EB200" s="63"/>
      <c r="EC200" s="63"/>
      <c r="ED200" s="65">
        <f t="shared" si="1275"/>
        <v>0</v>
      </c>
      <c r="EE200" s="65">
        <f t="shared" si="1275"/>
        <v>0</v>
      </c>
      <c r="EF200" s="65">
        <f t="shared" si="1275"/>
        <v>0</v>
      </c>
      <c r="EG200" s="65">
        <f t="shared" si="1275"/>
        <v>0</v>
      </c>
      <c r="EH200" s="65">
        <f t="shared" si="1275"/>
        <v>0</v>
      </c>
      <c r="EI200" s="65">
        <f t="shared" si="1275"/>
        <v>0</v>
      </c>
      <c r="EJ200" s="65">
        <f t="shared" si="1275"/>
        <v>0</v>
      </c>
      <c r="EK200" s="65">
        <f t="shared" si="1275"/>
        <v>0</v>
      </c>
      <c r="EL200" s="65">
        <f t="shared" si="1275"/>
        <v>0</v>
      </c>
      <c r="EM200" s="65">
        <f t="shared" si="1275"/>
        <v>0</v>
      </c>
      <c r="EN200" s="64">
        <f t="shared" si="1276"/>
        <v>0</v>
      </c>
      <c r="EO200" s="62"/>
      <c r="EP200" s="63"/>
      <c r="EQ200" s="63"/>
      <c r="ER200" s="63"/>
      <c r="ES200" s="63"/>
      <c r="ET200" s="63"/>
      <c r="EU200" s="63"/>
      <c r="EV200" s="63"/>
      <c r="EW200" s="63"/>
      <c r="EX200" s="63"/>
      <c r="EY200" s="64">
        <f t="shared" si="1277"/>
        <v>0</v>
      </c>
      <c r="EZ200" s="62"/>
      <c r="FA200" s="63"/>
      <c r="FB200" s="63"/>
      <c r="FC200" s="63"/>
      <c r="FD200" s="63"/>
      <c r="FE200" s="63"/>
      <c r="FF200" s="63"/>
      <c r="FG200" s="63"/>
      <c r="FH200" s="63"/>
      <c r="FI200" s="63"/>
      <c r="FJ200" s="64">
        <f t="shared" si="1278"/>
        <v>0</v>
      </c>
      <c r="FK200" s="62"/>
      <c r="FL200" s="63"/>
      <c r="FM200" s="63"/>
      <c r="FN200" s="63"/>
      <c r="FO200" s="63"/>
      <c r="FP200" s="63"/>
      <c r="FQ200" s="63"/>
      <c r="FR200" s="63"/>
      <c r="FS200" s="63"/>
      <c r="FT200" s="63"/>
      <c r="FU200" s="64">
        <f t="shared" si="1279"/>
        <v>0</v>
      </c>
      <c r="FV200" s="65">
        <f t="shared" si="1280"/>
        <v>0</v>
      </c>
      <c r="FW200" s="65">
        <f t="shared" si="1280"/>
        <v>0</v>
      </c>
      <c r="FX200" s="65">
        <f t="shared" si="1280"/>
        <v>0</v>
      </c>
      <c r="FY200" s="65">
        <f t="shared" si="1280"/>
        <v>0</v>
      </c>
      <c r="FZ200" s="65">
        <f t="shared" si="1280"/>
        <v>0</v>
      </c>
      <c r="GA200" s="65">
        <f t="shared" si="1280"/>
        <v>0</v>
      </c>
      <c r="GB200" s="65">
        <f t="shared" si="1280"/>
        <v>0</v>
      </c>
      <c r="GC200" s="65">
        <f t="shared" si="1280"/>
        <v>0</v>
      </c>
      <c r="GD200" s="65">
        <f t="shared" si="1280"/>
        <v>0</v>
      </c>
      <c r="GE200" s="65">
        <f t="shared" si="1280"/>
        <v>0</v>
      </c>
      <c r="GF200" s="64">
        <f t="shared" si="1281"/>
        <v>0</v>
      </c>
      <c r="GG200" s="66">
        <f t="shared" si="1282"/>
        <v>0</v>
      </c>
      <c r="GH200" s="66">
        <f t="shared" si="1282"/>
        <v>0</v>
      </c>
      <c r="GI200" s="66">
        <f t="shared" si="1282"/>
        <v>0</v>
      </c>
      <c r="GJ200" s="66">
        <f t="shared" si="1282"/>
        <v>0</v>
      </c>
      <c r="GK200" s="66">
        <f t="shared" si="1282"/>
        <v>0</v>
      </c>
      <c r="GL200" s="66">
        <f t="shared" si="1282"/>
        <v>0</v>
      </c>
      <c r="GM200" s="66">
        <f t="shared" si="1282"/>
        <v>0</v>
      </c>
      <c r="GN200" s="66">
        <f t="shared" si="1282"/>
        <v>0</v>
      </c>
      <c r="GO200" s="66">
        <f t="shared" si="1282"/>
        <v>0</v>
      </c>
      <c r="GP200" s="66">
        <f t="shared" si="1282"/>
        <v>0</v>
      </c>
      <c r="GQ200" s="64">
        <f t="shared" si="1283"/>
        <v>0</v>
      </c>
      <c r="GR200" s="63"/>
      <c r="GS200" s="63"/>
      <c r="GT200" s="63"/>
      <c r="GU200" s="63"/>
      <c r="GV200" s="67">
        <f t="shared" si="1284"/>
        <v>0</v>
      </c>
      <c r="GW200" s="63"/>
      <c r="GX200" s="63"/>
      <c r="GY200" s="63"/>
      <c r="GZ200" s="63"/>
      <c r="HA200" s="67">
        <f t="shared" si="1285"/>
        <v>0</v>
      </c>
      <c r="HB200" s="63"/>
      <c r="HC200" s="63"/>
      <c r="HD200" s="63"/>
      <c r="HE200" s="63"/>
      <c r="HF200" s="67">
        <f t="shared" si="1286"/>
        <v>0</v>
      </c>
      <c r="HG200" s="63"/>
      <c r="HH200" s="63"/>
      <c r="HI200" s="63"/>
      <c r="HJ200" s="63"/>
      <c r="HK200" s="67">
        <f t="shared" si="1287"/>
        <v>0</v>
      </c>
      <c r="HL200" s="68">
        <f t="shared" si="1288"/>
        <v>0</v>
      </c>
      <c r="HM200" s="68">
        <f t="shared" si="1288"/>
        <v>0</v>
      </c>
      <c r="HN200" s="68">
        <f t="shared" si="1288"/>
        <v>0</v>
      </c>
      <c r="HO200" s="68">
        <f t="shared" si="1288"/>
        <v>0</v>
      </c>
      <c r="HP200" s="67">
        <f t="shared" si="1289"/>
        <v>0</v>
      </c>
      <c r="HQ200" s="63"/>
      <c r="HR200" s="63"/>
      <c r="HS200" s="63"/>
      <c r="HT200" s="63"/>
      <c r="HU200" s="67">
        <f t="shared" si="1290"/>
        <v>0</v>
      </c>
      <c r="HV200" s="63"/>
      <c r="HW200" s="63"/>
      <c r="HX200" s="63"/>
      <c r="HY200" s="63"/>
      <c r="HZ200" s="67">
        <f t="shared" si="1291"/>
        <v>0</v>
      </c>
      <c r="IA200" s="63"/>
      <c r="IB200" s="63"/>
      <c r="IC200" s="63"/>
      <c r="ID200" s="63"/>
      <c r="IE200" s="67">
        <f t="shared" si="1292"/>
        <v>0</v>
      </c>
      <c r="IF200" s="68">
        <f t="shared" si="1293"/>
        <v>0</v>
      </c>
      <c r="IG200" s="68">
        <f t="shared" si="1293"/>
        <v>0</v>
      </c>
      <c r="IH200" s="68">
        <f t="shared" si="1293"/>
        <v>0</v>
      </c>
      <c r="II200" s="68">
        <f t="shared" si="1293"/>
        <v>0</v>
      </c>
      <c r="IJ200" s="67">
        <f t="shared" si="1294"/>
        <v>0</v>
      </c>
      <c r="IK200" s="63"/>
      <c r="IL200" s="63"/>
      <c r="IM200" s="63"/>
      <c r="IN200" s="63"/>
      <c r="IO200" s="67">
        <f t="shared" si="1295"/>
        <v>0</v>
      </c>
      <c r="IP200" s="63"/>
      <c r="IQ200" s="63"/>
      <c r="IR200" s="63"/>
      <c r="IS200" s="63"/>
      <c r="IT200" s="67">
        <f t="shared" si="1296"/>
        <v>0</v>
      </c>
      <c r="IU200" s="63"/>
      <c r="IV200" s="63"/>
    </row>
    <row r="201" spans="1:256" x14ac:dyDescent="0.25">
      <c r="A201" s="84" t="s">
        <v>178</v>
      </c>
      <c r="B201" s="62">
        <v>276</v>
      </c>
      <c r="C201" s="63"/>
      <c r="D201" s="63"/>
      <c r="E201" s="63"/>
      <c r="F201" s="63"/>
      <c r="G201" s="63"/>
      <c r="H201" s="63"/>
      <c r="I201" s="63"/>
      <c r="J201" s="63"/>
      <c r="K201" s="63"/>
      <c r="L201" s="64">
        <f t="shared" si="1262"/>
        <v>0</v>
      </c>
      <c r="M201" s="62"/>
      <c r="N201" s="63"/>
      <c r="O201" s="63"/>
      <c r="P201" s="63"/>
      <c r="Q201" s="63"/>
      <c r="R201" s="63"/>
      <c r="S201" s="63"/>
      <c r="T201" s="63"/>
      <c r="U201" s="63"/>
      <c r="V201" s="63"/>
      <c r="W201" s="64">
        <f t="shared" si="1263"/>
        <v>0</v>
      </c>
      <c r="X201" s="62"/>
      <c r="Y201" s="63"/>
      <c r="Z201" s="63"/>
      <c r="AA201" s="63"/>
      <c r="AB201" s="63"/>
      <c r="AC201" s="63"/>
      <c r="AD201" s="63"/>
      <c r="AE201" s="63"/>
      <c r="AF201" s="63"/>
      <c r="AG201" s="63"/>
      <c r="AH201" s="64">
        <f t="shared" si="1264"/>
        <v>0</v>
      </c>
      <c r="AI201" s="62"/>
      <c r="AJ201" s="63"/>
      <c r="AK201" s="63"/>
      <c r="AL201" s="63"/>
      <c r="AM201" s="63"/>
      <c r="AN201" s="63"/>
      <c r="AO201" s="63"/>
      <c r="AP201" s="63"/>
      <c r="AQ201" s="63"/>
      <c r="AR201" s="63"/>
      <c r="AS201" s="64">
        <f t="shared" si="1265"/>
        <v>0</v>
      </c>
      <c r="AT201" s="65">
        <f t="shared" si="1266"/>
        <v>0</v>
      </c>
      <c r="AU201" s="65">
        <f t="shared" si="1266"/>
        <v>0</v>
      </c>
      <c r="AV201" s="65">
        <f t="shared" si="1266"/>
        <v>0</v>
      </c>
      <c r="AW201" s="65">
        <f t="shared" si="1266"/>
        <v>0</v>
      </c>
      <c r="AX201" s="65">
        <f t="shared" si="1266"/>
        <v>0</v>
      </c>
      <c r="AY201" s="65">
        <f t="shared" si="1266"/>
        <v>0</v>
      </c>
      <c r="AZ201" s="65">
        <f t="shared" si="1266"/>
        <v>0</v>
      </c>
      <c r="BA201" s="65">
        <f t="shared" si="1266"/>
        <v>0</v>
      </c>
      <c r="BB201" s="65">
        <f t="shared" si="1266"/>
        <v>0</v>
      </c>
      <c r="BC201" s="65">
        <f t="shared" si="1266"/>
        <v>0</v>
      </c>
      <c r="BD201" s="64">
        <f t="shared" si="1267"/>
        <v>0</v>
      </c>
      <c r="BE201" s="62"/>
      <c r="BF201" s="63"/>
      <c r="BG201" s="63"/>
      <c r="BH201" s="63"/>
      <c r="BI201" s="63"/>
      <c r="BJ201" s="63"/>
      <c r="BK201" s="63"/>
      <c r="BL201" s="63"/>
      <c r="BM201" s="63"/>
      <c r="BN201" s="63"/>
      <c r="BO201" s="64">
        <f t="shared" si="1268"/>
        <v>0</v>
      </c>
      <c r="BP201" s="62"/>
      <c r="BQ201" s="63"/>
      <c r="BR201" s="63"/>
      <c r="BS201" s="63"/>
      <c r="BT201" s="63"/>
      <c r="BU201" s="63"/>
      <c r="BV201" s="63"/>
      <c r="BW201" s="63"/>
      <c r="BX201" s="63"/>
      <c r="BY201" s="63"/>
      <c r="BZ201" s="64">
        <f t="shared" si="1269"/>
        <v>0</v>
      </c>
      <c r="CA201" s="62"/>
      <c r="CB201" s="63"/>
      <c r="CC201" s="63"/>
      <c r="CD201" s="63"/>
      <c r="CE201" s="63"/>
      <c r="CF201" s="63"/>
      <c r="CG201" s="63"/>
      <c r="CH201" s="63"/>
      <c r="CI201" s="63"/>
      <c r="CJ201" s="63"/>
      <c r="CK201" s="64">
        <f t="shared" si="1270"/>
        <v>0</v>
      </c>
      <c r="CL201" s="65">
        <f t="shared" si="1271"/>
        <v>0</v>
      </c>
      <c r="CM201" s="65">
        <f t="shared" si="1271"/>
        <v>0</v>
      </c>
      <c r="CN201" s="65">
        <f t="shared" si="1271"/>
        <v>0</v>
      </c>
      <c r="CO201" s="65">
        <f t="shared" si="1271"/>
        <v>0</v>
      </c>
      <c r="CP201" s="65">
        <f t="shared" si="1271"/>
        <v>0</v>
      </c>
      <c r="CQ201" s="65">
        <f t="shared" si="1271"/>
        <v>0</v>
      </c>
      <c r="CR201" s="65">
        <f t="shared" si="1271"/>
        <v>0</v>
      </c>
      <c r="CS201" s="65">
        <f t="shared" si="1271"/>
        <v>0</v>
      </c>
      <c r="CT201" s="65">
        <f t="shared" si="1271"/>
        <v>0</v>
      </c>
      <c r="CU201" s="65">
        <f t="shared" si="1271"/>
        <v>0</v>
      </c>
      <c r="CV201" s="64">
        <f t="shared" si="1272"/>
        <v>0</v>
      </c>
      <c r="CW201" s="62"/>
      <c r="CX201" s="63"/>
      <c r="CY201" s="63"/>
      <c r="CZ201" s="63"/>
      <c r="DA201" s="63"/>
      <c r="DB201" s="63"/>
      <c r="DC201" s="63"/>
      <c r="DD201" s="63"/>
      <c r="DE201" s="63"/>
      <c r="DF201" s="63"/>
      <c r="DG201" s="64">
        <f t="shared" si="1273"/>
        <v>0</v>
      </c>
      <c r="DH201" s="62"/>
      <c r="DI201" s="63"/>
      <c r="DJ201" s="63"/>
      <c r="DK201" s="63"/>
      <c r="DL201" s="63"/>
      <c r="DM201" s="63"/>
      <c r="DN201" s="63"/>
      <c r="DO201" s="63"/>
      <c r="DP201" s="63"/>
      <c r="DQ201" s="63"/>
      <c r="DR201" s="64">
        <f t="shared" si="1274"/>
        <v>0</v>
      </c>
      <c r="DS201" s="62"/>
      <c r="DT201" s="63"/>
      <c r="DU201" s="63"/>
      <c r="DV201" s="63"/>
      <c r="DW201" s="63"/>
      <c r="DX201" s="63"/>
      <c r="DY201" s="63"/>
      <c r="DZ201" s="63"/>
      <c r="EA201" s="63"/>
      <c r="EB201" s="63"/>
      <c r="EC201" s="63"/>
      <c r="ED201" s="65">
        <f t="shared" si="1275"/>
        <v>0</v>
      </c>
      <c r="EE201" s="65">
        <f t="shared" si="1275"/>
        <v>0</v>
      </c>
      <c r="EF201" s="65">
        <f t="shared" si="1275"/>
        <v>0</v>
      </c>
      <c r="EG201" s="65">
        <f t="shared" si="1275"/>
        <v>0</v>
      </c>
      <c r="EH201" s="65">
        <f t="shared" si="1275"/>
        <v>0</v>
      </c>
      <c r="EI201" s="65">
        <f t="shared" si="1275"/>
        <v>0</v>
      </c>
      <c r="EJ201" s="65">
        <f t="shared" si="1275"/>
        <v>0</v>
      </c>
      <c r="EK201" s="65">
        <f t="shared" si="1275"/>
        <v>0</v>
      </c>
      <c r="EL201" s="65">
        <f t="shared" si="1275"/>
        <v>0</v>
      </c>
      <c r="EM201" s="65">
        <f t="shared" si="1275"/>
        <v>0</v>
      </c>
      <c r="EN201" s="64">
        <f t="shared" si="1276"/>
        <v>0</v>
      </c>
      <c r="EO201" s="62"/>
      <c r="EP201" s="63"/>
      <c r="EQ201" s="63"/>
      <c r="ER201" s="63"/>
      <c r="ES201" s="63"/>
      <c r="ET201" s="63"/>
      <c r="EU201" s="63"/>
      <c r="EV201" s="63"/>
      <c r="EW201" s="63"/>
      <c r="EX201" s="63"/>
      <c r="EY201" s="64">
        <f t="shared" si="1277"/>
        <v>0</v>
      </c>
      <c r="EZ201" s="62"/>
      <c r="FA201" s="63"/>
      <c r="FB201" s="63"/>
      <c r="FC201" s="63"/>
      <c r="FD201" s="63"/>
      <c r="FE201" s="63"/>
      <c r="FF201" s="63"/>
      <c r="FG201" s="63"/>
      <c r="FH201" s="63"/>
      <c r="FI201" s="63"/>
      <c r="FJ201" s="64">
        <f t="shared" si="1278"/>
        <v>0</v>
      </c>
      <c r="FK201" s="62"/>
      <c r="FL201" s="63"/>
      <c r="FM201" s="63"/>
      <c r="FN201" s="63"/>
      <c r="FO201" s="63"/>
      <c r="FP201" s="63"/>
      <c r="FQ201" s="63"/>
      <c r="FR201" s="63"/>
      <c r="FS201" s="63"/>
      <c r="FT201" s="63"/>
      <c r="FU201" s="64">
        <f t="shared" si="1279"/>
        <v>0</v>
      </c>
      <c r="FV201" s="65">
        <f t="shared" si="1280"/>
        <v>0</v>
      </c>
      <c r="FW201" s="65">
        <f t="shared" si="1280"/>
        <v>0</v>
      </c>
      <c r="FX201" s="65">
        <f t="shared" si="1280"/>
        <v>0</v>
      </c>
      <c r="FY201" s="65">
        <f t="shared" si="1280"/>
        <v>0</v>
      </c>
      <c r="FZ201" s="65">
        <f t="shared" si="1280"/>
        <v>0</v>
      </c>
      <c r="GA201" s="65">
        <f t="shared" si="1280"/>
        <v>0</v>
      </c>
      <c r="GB201" s="65">
        <f t="shared" si="1280"/>
        <v>0</v>
      </c>
      <c r="GC201" s="65">
        <f t="shared" si="1280"/>
        <v>0</v>
      </c>
      <c r="GD201" s="65">
        <f t="shared" si="1280"/>
        <v>0</v>
      </c>
      <c r="GE201" s="65">
        <f t="shared" si="1280"/>
        <v>0</v>
      </c>
      <c r="GF201" s="64">
        <f t="shared" si="1281"/>
        <v>0</v>
      </c>
      <c r="GG201" s="66">
        <f t="shared" si="1282"/>
        <v>0</v>
      </c>
      <c r="GH201" s="66">
        <f t="shared" si="1282"/>
        <v>0</v>
      </c>
      <c r="GI201" s="66">
        <f t="shared" si="1282"/>
        <v>0</v>
      </c>
      <c r="GJ201" s="66">
        <f t="shared" si="1282"/>
        <v>0</v>
      </c>
      <c r="GK201" s="66">
        <f t="shared" si="1282"/>
        <v>0</v>
      </c>
      <c r="GL201" s="66">
        <f t="shared" si="1282"/>
        <v>0</v>
      </c>
      <c r="GM201" s="66">
        <f t="shared" si="1282"/>
        <v>0</v>
      </c>
      <c r="GN201" s="66">
        <f t="shared" si="1282"/>
        <v>0</v>
      </c>
      <c r="GO201" s="66">
        <f t="shared" si="1282"/>
        <v>0</v>
      </c>
      <c r="GP201" s="66">
        <f t="shared" si="1282"/>
        <v>0</v>
      </c>
      <c r="GQ201" s="64">
        <f t="shared" si="1283"/>
        <v>0</v>
      </c>
      <c r="GR201" s="63"/>
      <c r="GS201" s="63"/>
      <c r="GT201" s="63"/>
      <c r="GU201" s="63"/>
      <c r="GV201" s="67">
        <f t="shared" si="1284"/>
        <v>0</v>
      </c>
      <c r="GW201" s="63"/>
      <c r="GX201" s="63"/>
      <c r="GY201" s="63"/>
      <c r="GZ201" s="63"/>
      <c r="HA201" s="67">
        <f t="shared" si="1285"/>
        <v>0</v>
      </c>
      <c r="HB201" s="63"/>
      <c r="HC201" s="63"/>
      <c r="HD201" s="63"/>
      <c r="HE201" s="63"/>
      <c r="HF201" s="67">
        <f t="shared" si="1286"/>
        <v>0</v>
      </c>
      <c r="HG201" s="63"/>
      <c r="HH201" s="63"/>
      <c r="HI201" s="63"/>
      <c r="HJ201" s="63"/>
      <c r="HK201" s="67">
        <f t="shared" si="1287"/>
        <v>0</v>
      </c>
      <c r="HL201" s="68">
        <f t="shared" si="1288"/>
        <v>0</v>
      </c>
      <c r="HM201" s="68">
        <f t="shared" si="1288"/>
        <v>0</v>
      </c>
      <c r="HN201" s="68">
        <f t="shared" si="1288"/>
        <v>0</v>
      </c>
      <c r="HO201" s="68">
        <f t="shared" si="1288"/>
        <v>0</v>
      </c>
      <c r="HP201" s="67">
        <f t="shared" si="1289"/>
        <v>0</v>
      </c>
      <c r="HQ201" s="63"/>
      <c r="HR201" s="63"/>
      <c r="HS201" s="63"/>
      <c r="HT201" s="63"/>
      <c r="HU201" s="67">
        <f t="shared" si="1290"/>
        <v>0</v>
      </c>
      <c r="HV201" s="63"/>
      <c r="HW201" s="63"/>
      <c r="HX201" s="63"/>
      <c r="HY201" s="63"/>
      <c r="HZ201" s="67">
        <f t="shared" si="1291"/>
        <v>0</v>
      </c>
      <c r="IA201" s="63"/>
      <c r="IB201" s="63"/>
      <c r="IC201" s="63"/>
      <c r="ID201" s="63"/>
      <c r="IE201" s="67">
        <f t="shared" si="1292"/>
        <v>0</v>
      </c>
      <c r="IF201" s="68">
        <f t="shared" si="1293"/>
        <v>0</v>
      </c>
      <c r="IG201" s="68">
        <f t="shared" si="1293"/>
        <v>0</v>
      </c>
      <c r="IH201" s="68">
        <f t="shared" si="1293"/>
        <v>0</v>
      </c>
      <c r="II201" s="68">
        <f t="shared" si="1293"/>
        <v>0</v>
      </c>
      <c r="IJ201" s="67">
        <f t="shared" si="1294"/>
        <v>0</v>
      </c>
      <c r="IK201" s="63"/>
      <c r="IL201" s="63"/>
      <c r="IM201" s="63"/>
      <c r="IN201" s="63"/>
      <c r="IO201" s="67">
        <f t="shared" si="1295"/>
        <v>0</v>
      </c>
      <c r="IP201" s="63"/>
      <c r="IQ201" s="63"/>
      <c r="IR201" s="63"/>
      <c r="IS201" s="63"/>
      <c r="IT201" s="67">
        <f t="shared" si="1296"/>
        <v>0</v>
      </c>
      <c r="IU201" s="63"/>
      <c r="IV201" s="63"/>
    </row>
    <row r="202" spans="1:256" s="78" customFormat="1" x14ac:dyDescent="0.25">
      <c r="A202" s="79" t="s">
        <v>179</v>
      </c>
      <c r="B202" s="80"/>
      <c r="C202" s="81">
        <f t="shared" ref="C202:K202" si="1297">SUM(C203:C204)</f>
        <v>0</v>
      </c>
      <c r="D202" s="81">
        <f t="shared" si="1297"/>
        <v>0</v>
      </c>
      <c r="E202" s="81">
        <f t="shared" si="1297"/>
        <v>0</v>
      </c>
      <c r="F202" s="81">
        <f t="shared" si="1297"/>
        <v>0</v>
      </c>
      <c r="G202" s="81">
        <f t="shared" si="1297"/>
        <v>0</v>
      </c>
      <c r="H202" s="81">
        <f t="shared" si="1297"/>
        <v>0</v>
      </c>
      <c r="I202" s="81">
        <f t="shared" si="1297"/>
        <v>0</v>
      </c>
      <c r="J202" s="81">
        <f t="shared" si="1297"/>
        <v>0</v>
      </c>
      <c r="K202" s="81">
        <f t="shared" si="1297"/>
        <v>0</v>
      </c>
      <c r="L202" s="82">
        <f>SUM(L203:L204)</f>
        <v>0</v>
      </c>
      <c r="M202" s="80"/>
      <c r="N202" s="81">
        <f t="shared" ref="N202:V202" si="1298">SUM(N203:N204)</f>
        <v>0</v>
      </c>
      <c r="O202" s="81">
        <f t="shared" si="1298"/>
        <v>0</v>
      </c>
      <c r="P202" s="81">
        <f t="shared" si="1298"/>
        <v>0</v>
      </c>
      <c r="Q202" s="81">
        <f t="shared" si="1298"/>
        <v>0</v>
      </c>
      <c r="R202" s="81">
        <f t="shared" si="1298"/>
        <v>0</v>
      </c>
      <c r="S202" s="81">
        <f t="shared" si="1298"/>
        <v>0</v>
      </c>
      <c r="T202" s="81">
        <f t="shared" si="1298"/>
        <v>0</v>
      </c>
      <c r="U202" s="81">
        <f t="shared" si="1298"/>
        <v>0</v>
      </c>
      <c r="V202" s="81">
        <f t="shared" si="1298"/>
        <v>0</v>
      </c>
      <c r="W202" s="82">
        <f>SUM(W203:W204)</f>
        <v>0</v>
      </c>
      <c r="X202" s="80"/>
      <c r="Y202" s="81">
        <f t="shared" ref="Y202:AG202" si="1299">SUM(Y203:Y204)</f>
        <v>0</v>
      </c>
      <c r="Z202" s="81">
        <f t="shared" si="1299"/>
        <v>0</v>
      </c>
      <c r="AA202" s="81">
        <f t="shared" si="1299"/>
        <v>0</v>
      </c>
      <c r="AB202" s="81">
        <f t="shared" si="1299"/>
        <v>0</v>
      </c>
      <c r="AC202" s="81">
        <f t="shared" si="1299"/>
        <v>0</v>
      </c>
      <c r="AD202" s="81">
        <f t="shared" si="1299"/>
        <v>0</v>
      </c>
      <c r="AE202" s="81">
        <f t="shared" si="1299"/>
        <v>0</v>
      </c>
      <c r="AF202" s="81">
        <f t="shared" si="1299"/>
        <v>0</v>
      </c>
      <c r="AG202" s="81">
        <f t="shared" si="1299"/>
        <v>0</v>
      </c>
      <c r="AH202" s="82">
        <f>SUM(AH203:AH204)</f>
        <v>0</v>
      </c>
      <c r="AI202" s="80"/>
      <c r="AJ202" s="81">
        <f t="shared" ref="AJ202:AR202" si="1300">SUM(AJ203:AJ204)</f>
        <v>0</v>
      </c>
      <c r="AK202" s="81">
        <f t="shared" si="1300"/>
        <v>0</v>
      </c>
      <c r="AL202" s="81">
        <f t="shared" si="1300"/>
        <v>0</v>
      </c>
      <c r="AM202" s="81">
        <f t="shared" si="1300"/>
        <v>0</v>
      </c>
      <c r="AN202" s="81">
        <f t="shared" si="1300"/>
        <v>0</v>
      </c>
      <c r="AO202" s="81">
        <f t="shared" si="1300"/>
        <v>0</v>
      </c>
      <c r="AP202" s="81">
        <f t="shared" si="1300"/>
        <v>0</v>
      </c>
      <c r="AQ202" s="81">
        <f t="shared" si="1300"/>
        <v>0</v>
      </c>
      <c r="AR202" s="81">
        <f t="shared" si="1300"/>
        <v>0</v>
      </c>
      <c r="AS202" s="82">
        <f>SUM(AS203:AS204)</f>
        <v>0</v>
      </c>
      <c r="AT202" s="80"/>
      <c r="AU202" s="81">
        <f>SUM(AU203:AU204)</f>
        <v>0</v>
      </c>
      <c r="AV202" s="81">
        <f t="shared" ref="AV202:BC202" si="1301">SUM(AV203:AV204)</f>
        <v>0</v>
      </c>
      <c r="AW202" s="81">
        <f t="shared" si="1301"/>
        <v>0</v>
      </c>
      <c r="AX202" s="81">
        <f t="shared" si="1301"/>
        <v>0</v>
      </c>
      <c r="AY202" s="81">
        <f t="shared" si="1301"/>
        <v>0</v>
      </c>
      <c r="AZ202" s="81">
        <f t="shared" si="1301"/>
        <v>0</v>
      </c>
      <c r="BA202" s="81">
        <f t="shared" si="1301"/>
        <v>0</v>
      </c>
      <c r="BB202" s="81">
        <f t="shared" si="1301"/>
        <v>0</v>
      </c>
      <c r="BC202" s="81">
        <f t="shared" si="1301"/>
        <v>0</v>
      </c>
      <c r="BD202" s="82">
        <f>SUM(BD203:BD204)</f>
        <v>0</v>
      </c>
      <c r="BE202" s="80"/>
      <c r="BF202" s="81">
        <f t="shared" ref="BF202:BN202" si="1302">SUM(BF203:BF204)</f>
        <v>0</v>
      </c>
      <c r="BG202" s="81">
        <f t="shared" si="1302"/>
        <v>0</v>
      </c>
      <c r="BH202" s="81">
        <f t="shared" si="1302"/>
        <v>0</v>
      </c>
      <c r="BI202" s="81">
        <f t="shared" si="1302"/>
        <v>0</v>
      </c>
      <c r="BJ202" s="81">
        <f t="shared" si="1302"/>
        <v>0</v>
      </c>
      <c r="BK202" s="81">
        <f t="shared" si="1302"/>
        <v>0</v>
      </c>
      <c r="BL202" s="81">
        <f t="shared" si="1302"/>
        <v>0</v>
      </c>
      <c r="BM202" s="81">
        <f t="shared" si="1302"/>
        <v>0</v>
      </c>
      <c r="BN202" s="81">
        <f t="shared" si="1302"/>
        <v>0</v>
      </c>
      <c r="BO202" s="82">
        <f>SUM(BO203:BO204)</f>
        <v>0</v>
      </c>
      <c r="BP202" s="80"/>
      <c r="BQ202" s="81">
        <f t="shared" ref="BQ202:BY202" si="1303">SUM(BQ203:BQ204)</f>
        <v>0</v>
      </c>
      <c r="BR202" s="81">
        <f t="shared" si="1303"/>
        <v>0</v>
      </c>
      <c r="BS202" s="81">
        <f t="shared" si="1303"/>
        <v>0</v>
      </c>
      <c r="BT202" s="81">
        <f t="shared" si="1303"/>
        <v>0</v>
      </c>
      <c r="BU202" s="81">
        <f t="shared" si="1303"/>
        <v>0</v>
      </c>
      <c r="BV202" s="81">
        <f t="shared" si="1303"/>
        <v>0</v>
      </c>
      <c r="BW202" s="81">
        <f t="shared" si="1303"/>
        <v>0</v>
      </c>
      <c r="BX202" s="81">
        <f t="shared" si="1303"/>
        <v>0</v>
      </c>
      <c r="BY202" s="81">
        <f t="shared" si="1303"/>
        <v>0</v>
      </c>
      <c r="BZ202" s="82">
        <f>SUM(BZ203:BZ204)</f>
        <v>0</v>
      </c>
      <c r="CA202" s="80"/>
      <c r="CB202" s="81">
        <f t="shared" ref="CB202:CJ202" si="1304">SUM(CB203:CB204)</f>
        <v>0</v>
      </c>
      <c r="CC202" s="81">
        <f t="shared" si="1304"/>
        <v>0</v>
      </c>
      <c r="CD202" s="81">
        <f t="shared" si="1304"/>
        <v>0</v>
      </c>
      <c r="CE202" s="81">
        <f t="shared" si="1304"/>
        <v>0</v>
      </c>
      <c r="CF202" s="81">
        <f t="shared" si="1304"/>
        <v>0</v>
      </c>
      <c r="CG202" s="81">
        <f t="shared" si="1304"/>
        <v>0</v>
      </c>
      <c r="CH202" s="81">
        <f t="shared" si="1304"/>
        <v>0</v>
      </c>
      <c r="CI202" s="81">
        <f t="shared" si="1304"/>
        <v>0</v>
      </c>
      <c r="CJ202" s="81">
        <f t="shared" si="1304"/>
        <v>0</v>
      </c>
      <c r="CK202" s="82">
        <f>SUM(CK203:CK204)</f>
        <v>0</v>
      </c>
      <c r="CL202" s="80"/>
      <c r="CM202" s="81">
        <f>SUM(CM203:CM204)</f>
        <v>0</v>
      </c>
      <c r="CN202" s="81">
        <f t="shared" ref="CN202:CU202" si="1305">SUM(CN203:CN204)</f>
        <v>0</v>
      </c>
      <c r="CO202" s="81">
        <f t="shared" si="1305"/>
        <v>0</v>
      </c>
      <c r="CP202" s="81">
        <f t="shared" si="1305"/>
        <v>0</v>
      </c>
      <c r="CQ202" s="81">
        <f t="shared" si="1305"/>
        <v>0</v>
      </c>
      <c r="CR202" s="81">
        <f t="shared" si="1305"/>
        <v>0</v>
      </c>
      <c r="CS202" s="81">
        <f t="shared" si="1305"/>
        <v>0</v>
      </c>
      <c r="CT202" s="81">
        <f t="shared" si="1305"/>
        <v>0</v>
      </c>
      <c r="CU202" s="81">
        <f t="shared" si="1305"/>
        <v>0</v>
      </c>
      <c r="CV202" s="82">
        <f>SUM(CV203:CV204)</f>
        <v>0</v>
      </c>
      <c r="CW202" s="80"/>
      <c r="CX202" s="81">
        <f t="shared" ref="CX202:DF202" si="1306">SUM(CX203:CX204)</f>
        <v>0</v>
      </c>
      <c r="CY202" s="81">
        <f t="shared" si="1306"/>
        <v>0</v>
      </c>
      <c r="CZ202" s="81">
        <f t="shared" si="1306"/>
        <v>0</v>
      </c>
      <c r="DA202" s="81">
        <f t="shared" si="1306"/>
        <v>0</v>
      </c>
      <c r="DB202" s="81">
        <f t="shared" si="1306"/>
        <v>0</v>
      </c>
      <c r="DC202" s="81">
        <f t="shared" si="1306"/>
        <v>0</v>
      </c>
      <c r="DD202" s="81">
        <f t="shared" si="1306"/>
        <v>0</v>
      </c>
      <c r="DE202" s="81">
        <f t="shared" si="1306"/>
        <v>0</v>
      </c>
      <c r="DF202" s="81">
        <f t="shared" si="1306"/>
        <v>0</v>
      </c>
      <c r="DG202" s="82">
        <f>SUM(DG203:DG204)</f>
        <v>0</v>
      </c>
      <c r="DH202" s="80"/>
      <c r="DI202" s="81">
        <f t="shared" ref="DI202:DQ202" si="1307">SUM(DI203:DI204)</f>
        <v>0</v>
      </c>
      <c r="DJ202" s="81">
        <f t="shared" si="1307"/>
        <v>0</v>
      </c>
      <c r="DK202" s="81">
        <f t="shared" si="1307"/>
        <v>0</v>
      </c>
      <c r="DL202" s="81">
        <f t="shared" si="1307"/>
        <v>0</v>
      </c>
      <c r="DM202" s="81">
        <f t="shared" si="1307"/>
        <v>0</v>
      </c>
      <c r="DN202" s="81">
        <f t="shared" si="1307"/>
        <v>0</v>
      </c>
      <c r="DO202" s="81">
        <f t="shared" si="1307"/>
        <v>0</v>
      </c>
      <c r="DP202" s="81">
        <f t="shared" si="1307"/>
        <v>0</v>
      </c>
      <c r="DQ202" s="81">
        <f t="shared" si="1307"/>
        <v>0</v>
      </c>
      <c r="DR202" s="82">
        <f>SUM(DR203:DR204)</f>
        <v>0</v>
      </c>
      <c r="DS202" s="80"/>
      <c r="DT202" s="81">
        <f t="shared" ref="DT202:EB202" si="1308">SUM(DT203:DT204)</f>
        <v>0</v>
      </c>
      <c r="DU202" s="81">
        <f t="shared" si="1308"/>
        <v>0</v>
      </c>
      <c r="DV202" s="81">
        <f t="shared" si="1308"/>
        <v>0</v>
      </c>
      <c r="DW202" s="81">
        <f t="shared" si="1308"/>
        <v>0</v>
      </c>
      <c r="DX202" s="81">
        <f t="shared" si="1308"/>
        <v>0</v>
      </c>
      <c r="DY202" s="81">
        <f t="shared" si="1308"/>
        <v>0</v>
      </c>
      <c r="DZ202" s="81">
        <f t="shared" si="1308"/>
        <v>0</v>
      </c>
      <c r="EA202" s="81">
        <f t="shared" si="1308"/>
        <v>0</v>
      </c>
      <c r="EB202" s="81">
        <f t="shared" si="1308"/>
        <v>0</v>
      </c>
      <c r="EC202" s="81">
        <f>SUM(EC203:EC204)</f>
        <v>0</v>
      </c>
      <c r="ED202" s="80"/>
      <c r="EE202" s="81">
        <f>SUM(EE203:EE204)</f>
        <v>0</v>
      </c>
      <c r="EF202" s="81">
        <f t="shared" ref="EF202:EM202" si="1309">SUM(EF203:EF204)</f>
        <v>0</v>
      </c>
      <c r="EG202" s="81">
        <f t="shared" si="1309"/>
        <v>0</v>
      </c>
      <c r="EH202" s="81">
        <f t="shared" si="1309"/>
        <v>0</v>
      </c>
      <c r="EI202" s="81">
        <f t="shared" si="1309"/>
        <v>0</v>
      </c>
      <c r="EJ202" s="81">
        <f t="shared" si="1309"/>
        <v>0</v>
      </c>
      <c r="EK202" s="81">
        <f t="shared" si="1309"/>
        <v>0</v>
      </c>
      <c r="EL202" s="81">
        <f t="shared" si="1309"/>
        <v>0</v>
      </c>
      <c r="EM202" s="81">
        <f t="shared" si="1309"/>
        <v>0</v>
      </c>
      <c r="EN202" s="82">
        <f>SUM(EN203:EN204)</f>
        <v>0</v>
      </c>
      <c r="EO202" s="80"/>
      <c r="EP202" s="81">
        <f t="shared" ref="EP202:EX202" si="1310">SUM(EP203:EP204)</f>
        <v>0</v>
      </c>
      <c r="EQ202" s="81">
        <f t="shared" si="1310"/>
        <v>0</v>
      </c>
      <c r="ER202" s="81">
        <f t="shared" si="1310"/>
        <v>0</v>
      </c>
      <c r="ES202" s="81">
        <f t="shared" si="1310"/>
        <v>0</v>
      </c>
      <c r="ET202" s="81">
        <f t="shared" si="1310"/>
        <v>0</v>
      </c>
      <c r="EU202" s="81">
        <f t="shared" si="1310"/>
        <v>0</v>
      </c>
      <c r="EV202" s="81">
        <f t="shared" si="1310"/>
        <v>0</v>
      </c>
      <c r="EW202" s="81">
        <f t="shared" si="1310"/>
        <v>0</v>
      </c>
      <c r="EX202" s="81">
        <f t="shared" si="1310"/>
        <v>0</v>
      </c>
      <c r="EY202" s="82">
        <f>SUM(EY203:EY204)</f>
        <v>0</v>
      </c>
      <c r="EZ202" s="80"/>
      <c r="FA202" s="81">
        <f t="shared" ref="FA202:FI202" si="1311">SUM(FA203:FA204)</f>
        <v>0</v>
      </c>
      <c r="FB202" s="81">
        <f t="shared" si="1311"/>
        <v>0</v>
      </c>
      <c r="FC202" s="81">
        <f t="shared" si="1311"/>
        <v>0</v>
      </c>
      <c r="FD202" s="81">
        <f t="shared" si="1311"/>
        <v>0</v>
      </c>
      <c r="FE202" s="81">
        <f t="shared" si="1311"/>
        <v>0</v>
      </c>
      <c r="FF202" s="81">
        <f t="shared" si="1311"/>
        <v>0</v>
      </c>
      <c r="FG202" s="81">
        <f t="shared" si="1311"/>
        <v>0</v>
      </c>
      <c r="FH202" s="81">
        <f t="shared" si="1311"/>
        <v>0</v>
      </c>
      <c r="FI202" s="81">
        <f t="shared" si="1311"/>
        <v>0</v>
      </c>
      <c r="FJ202" s="82">
        <f>SUM(FJ203:FJ204)</f>
        <v>0</v>
      </c>
      <c r="FK202" s="80"/>
      <c r="FL202" s="81">
        <f t="shared" ref="FL202:FT202" si="1312">SUM(FL203:FL204)</f>
        <v>0</v>
      </c>
      <c r="FM202" s="81">
        <f t="shared" si="1312"/>
        <v>0</v>
      </c>
      <c r="FN202" s="81">
        <f t="shared" si="1312"/>
        <v>0</v>
      </c>
      <c r="FO202" s="81">
        <f t="shared" si="1312"/>
        <v>0</v>
      </c>
      <c r="FP202" s="81">
        <f t="shared" si="1312"/>
        <v>0</v>
      </c>
      <c r="FQ202" s="81">
        <f t="shared" si="1312"/>
        <v>0</v>
      </c>
      <c r="FR202" s="81">
        <f t="shared" si="1312"/>
        <v>0</v>
      </c>
      <c r="FS202" s="81">
        <f t="shared" si="1312"/>
        <v>0</v>
      </c>
      <c r="FT202" s="81">
        <f t="shared" si="1312"/>
        <v>0</v>
      </c>
      <c r="FU202" s="82">
        <f>SUM(FU203:FU204)</f>
        <v>0</v>
      </c>
      <c r="FV202" s="80"/>
      <c r="FW202" s="81">
        <f>SUM(FW203:FW204)</f>
        <v>0</v>
      </c>
      <c r="FX202" s="81">
        <f t="shared" ref="FX202:GE202" si="1313">SUM(FX203:FX204)</f>
        <v>0</v>
      </c>
      <c r="FY202" s="81">
        <f t="shared" si="1313"/>
        <v>0</v>
      </c>
      <c r="FZ202" s="81">
        <f t="shared" si="1313"/>
        <v>0</v>
      </c>
      <c r="GA202" s="81">
        <f t="shared" si="1313"/>
        <v>0</v>
      </c>
      <c r="GB202" s="81">
        <f t="shared" si="1313"/>
        <v>0</v>
      </c>
      <c r="GC202" s="81">
        <f t="shared" si="1313"/>
        <v>0</v>
      </c>
      <c r="GD202" s="81">
        <f t="shared" si="1313"/>
        <v>0</v>
      </c>
      <c r="GE202" s="81">
        <f t="shared" si="1313"/>
        <v>0</v>
      </c>
      <c r="GF202" s="82">
        <f>SUM(GF203:GF204)</f>
        <v>0</v>
      </c>
      <c r="GG202" s="80"/>
      <c r="GH202" s="81">
        <f t="shared" ref="GH202:GP202" si="1314">SUM(GH203:GH204)</f>
        <v>0</v>
      </c>
      <c r="GI202" s="81">
        <f t="shared" si="1314"/>
        <v>0</v>
      </c>
      <c r="GJ202" s="81">
        <f t="shared" si="1314"/>
        <v>0</v>
      </c>
      <c r="GK202" s="81">
        <f t="shared" si="1314"/>
        <v>0</v>
      </c>
      <c r="GL202" s="81">
        <f t="shared" si="1314"/>
        <v>0</v>
      </c>
      <c r="GM202" s="81">
        <f t="shared" si="1314"/>
        <v>0</v>
      </c>
      <c r="GN202" s="81">
        <f t="shared" si="1314"/>
        <v>0</v>
      </c>
      <c r="GO202" s="81">
        <f t="shared" si="1314"/>
        <v>0</v>
      </c>
      <c r="GP202" s="81">
        <f t="shared" si="1314"/>
        <v>0</v>
      </c>
      <c r="GQ202" s="82">
        <f t="shared" ref="GQ202:HV202" si="1315">SUM(GQ203:GQ204)</f>
        <v>0</v>
      </c>
      <c r="GR202" s="81">
        <f t="shared" si="1315"/>
        <v>0</v>
      </c>
      <c r="GS202" s="81">
        <f t="shared" si="1315"/>
        <v>0</v>
      </c>
      <c r="GT202" s="81">
        <f t="shared" si="1315"/>
        <v>0</v>
      </c>
      <c r="GU202" s="81">
        <f t="shared" si="1315"/>
        <v>0</v>
      </c>
      <c r="GV202" s="81">
        <f t="shared" si="1315"/>
        <v>0</v>
      </c>
      <c r="GW202" s="81">
        <f t="shared" si="1315"/>
        <v>0</v>
      </c>
      <c r="GX202" s="81">
        <f t="shared" si="1315"/>
        <v>0</v>
      </c>
      <c r="GY202" s="81">
        <f t="shared" si="1315"/>
        <v>0</v>
      </c>
      <c r="GZ202" s="81">
        <f t="shared" si="1315"/>
        <v>0</v>
      </c>
      <c r="HA202" s="81">
        <f t="shared" si="1315"/>
        <v>0</v>
      </c>
      <c r="HB202" s="81">
        <f t="shared" si="1315"/>
        <v>0</v>
      </c>
      <c r="HC202" s="81">
        <f t="shared" si="1315"/>
        <v>0</v>
      </c>
      <c r="HD202" s="81">
        <f t="shared" si="1315"/>
        <v>0</v>
      </c>
      <c r="HE202" s="81">
        <f t="shared" si="1315"/>
        <v>0</v>
      </c>
      <c r="HF202" s="81">
        <f t="shared" si="1315"/>
        <v>0</v>
      </c>
      <c r="HG202" s="81">
        <f t="shared" si="1315"/>
        <v>0</v>
      </c>
      <c r="HH202" s="81">
        <f t="shared" si="1315"/>
        <v>0</v>
      </c>
      <c r="HI202" s="81">
        <f t="shared" si="1315"/>
        <v>0</v>
      </c>
      <c r="HJ202" s="81">
        <f t="shared" si="1315"/>
        <v>0</v>
      </c>
      <c r="HK202" s="81">
        <f t="shared" si="1315"/>
        <v>0</v>
      </c>
      <c r="HL202" s="81">
        <f t="shared" si="1315"/>
        <v>0</v>
      </c>
      <c r="HM202" s="81">
        <f t="shared" si="1315"/>
        <v>0</v>
      </c>
      <c r="HN202" s="81">
        <f t="shared" si="1315"/>
        <v>0</v>
      </c>
      <c r="HO202" s="81">
        <f t="shared" si="1315"/>
        <v>0</v>
      </c>
      <c r="HP202" s="81">
        <f t="shared" si="1315"/>
        <v>0</v>
      </c>
      <c r="HQ202" s="81">
        <f t="shared" si="1315"/>
        <v>0</v>
      </c>
      <c r="HR202" s="81">
        <f t="shared" si="1315"/>
        <v>0</v>
      </c>
      <c r="HS202" s="81">
        <f t="shared" si="1315"/>
        <v>0</v>
      </c>
      <c r="HT202" s="81">
        <f t="shared" si="1315"/>
        <v>0</v>
      </c>
      <c r="HU202" s="81">
        <f t="shared" si="1315"/>
        <v>0</v>
      </c>
      <c r="HV202" s="81">
        <f t="shared" si="1315"/>
        <v>0</v>
      </c>
      <c r="HW202" s="81">
        <f t="shared" ref="HW202:IV202" si="1316">SUM(HW203:HW204)</f>
        <v>0</v>
      </c>
      <c r="HX202" s="81">
        <f t="shared" si="1316"/>
        <v>0</v>
      </c>
      <c r="HY202" s="81">
        <f t="shared" si="1316"/>
        <v>0</v>
      </c>
      <c r="HZ202" s="81">
        <f t="shared" si="1316"/>
        <v>0</v>
      </c>
      <c r="IA202" s="81">
        <f t="shared" si="1316"/>
        <v>0</v>
      </c>
      <c r="IB202" s="81">
        <f t="shared" si="1316"/>
        <v>0</v>
      </c>
      <c r="IC202" s="81">
        <f t="shared" si="1316"/>
        <v>0</v>
      </c>
      <c r="ID202" s="81">
        <f t="shared" si="1316"/>
        <v>0</v>
      </c>
      <c r="IE202" s="81">
        <f t="shared" si="1316"/>
        <v>0</v>
      </c>
      <c r="IF202" s="81">
        <f t="shared" si="1316"/>
        <v>0</v>
      </c>
      <c r="IG202" s="81">
        <f t="shared" si="1316"/>
        <v>0</v>
      </c>
      <c r="IH202" s="81">
        <f t="shared" si="1316"/>
        <v>0</v>
      </c>
      <c r="II202" s="81">
        <f t="shared" si="1316"/>
        <v>0</v>
      </c>
      <c r="IJ202" s="81">
        <f t="shared" si="1316"/>
        <v>0</v>
      </c>
      <c r="IK202" s="81">
        <f t="shared" si="1316"/>
        <v>0</v>
      </c>
      <c r="IL202" s="81">
        <f t="shared" si="1316"/>
        <v>0</v>
      </c>
      <c r="IM202" s="81">
        <f t="shared" si="1316"/>
        <v>0</v>
      </c>
      <c r="IN202" s="81">
        <f t="shared" si="1316"/>
        <v>0</v>
      </c>
      <c r="IO202" s="81">
        <f t="shared" si="1316"/>
        <v>0</v>
      </c>
      <c r="IP202" s="81">
        <f t="shared" si="1316"/>
        <v>0</v>
      </c>
      <c r="IQ202" s="81">
        <f t="shared" si="1316"/>
        <v>0</v>
      </c>
      <c r="IR202" s="81">
        <f t="shared" si="1316"/>
        <v>0</v>
      </c>
      <c r="IS202" s="81">
        <f t="shared" si="1316"/>
        <v>0</v>
      </c>
      <c r="IT202" s="81">
        <f t="shared" si="1316"/>
        <v>0</v>
      </c>
      <c r="IU202" s="81">
        <f t="shared" si="1316"/>
        <v>0</v>
      </c>
      <c r="IV202" s="81">
        <f t="shared" si="1316"/>
        <v>0</v>
      </c>
    </row>
    <row r="203" spans="1:256" x14ac:dyDescent="0.25">
      <c r="A203" s="84" t="s">
        <v>180</v>
      </c>
      <c r="B203" s="62"/>
      <c r="C203" s="63"/>
      <c r="D203" s="63"/>
      <c r="E203" s="63"/>
      <c r="F203" s="63"/>
      <c r="G203" s="63"/>
      <c r="H203" s="63"/>
      <c r="I203" s="63"/>
      <c r="J203" s="63"/>
      <c r="K203" s="63"/>
      <c r="L203" s="64">
        <f>SUM(C203:F203,H203:K203)</f>
        <v>0</v>
      </c>
      <c r="M203" s="62"/>
      <c r="N203" s="63"/>
      <c r="O203" s="63"/>
      <c r="P203" s="63"/>
      <c r="Q203" s="63"/>
      <c r="R203" s="63"/>
      <c r="S203" s="63"/>
      <c r="T203" s="63"/>
      <c r="U203" s="63"/>
      <c r="V203" s="63"/>
      <c r="W203" s="64">
        <f>SUM(N203:Q203,S203:V203)</f>
        <v>0</v>
      </c>
      <c r="X203" s="62"/>
      <c r="Y203" s="63"/>
      <c r="Z203" s="63"/>
      <c r="AA203" s="63"/>
      <c r="AB203" s="63"/>
      <c r="AC203" s="63"/>
      <c r="AD203" s="63"/>
      <c r="AE203" s="63"/>
      <c r="AF203" s="63"/>
      <c r="AG203" s="63"/>
      <c r="AH203" s="64">
        <f>SUM(Y203:AB203,AD203:AG203)</f>
        <v>0</v>
      </c>
      <c r="AI203" s="62"/>
      <c r="AJ203" s="63"/>
      <c r="AK203" s="63"/>
      <c r="AL203" s="63"/>
      <c r="AM203" s="63"/>
      <c r="AN203" s="63"/>
      <c r="AO203" s="63"/>
      <c r="AP203" s="63"/>
      <c r="AQ203" s="63"/>
      <c r="AR203" s="63"/>
      <c r="AS203" s="64">
        <f>SUM(AJ203:AM203,AO203:AR203)</f>
        <v>0</v>
      </c>
      <c r="AT203" s="65">
        <f t="shared" ref="AT203:BC204" si="1317">SUM(M203,AI203,X203)</f>
        <v>0</v>
      </c>
      <c r="AU203" s="65">
        <f t="shared" si="1317"/>
        <v>0</v>
      </c>
      <c r="AV203" s="65">
        <f t="shared" si="1317"/>
        <v>0</v>
      </c>
      <c r="AW203" s="65">
        <f t="shared" si="1317"/>
        <v>0</v>
      </c>
      <c r="AX203" s="65">
        <f t="shared" si="1317"/>
        <v>0</v>
      </c>
      <c r="AY203" s="65">
        <f t="shared" si="1317"/>
        <v>0</v>
      </c>
      <c r="AZ203" s="65">
        <f t="shared" si="1317"/>
        <v>0</v>
      </c>
      <c r="BA203" s="65">
        <f t="shared" si="1317"/>
        <v>0</v>
      </c>
      <c r="BB203" s="65">
        <f t="shared" si="1317"/>
        <v>0</v>
      </c>
      <c r="BC203" s="65">
        <f t="shared" si="1317"/>
        <v>0</v>
      </c>
      <c r="BD203" s="64">
        <f>SUM(AU203:AX203,AZ203:BC203)</f>
        <v>0</v>
      </c>
      <c r="BE203" s="62"/>
      <c r="BF203" s="63"/>
      <c r="BG203" s="63"/>
      <c r="BH203" s="63"/>
      <c r="BI203" s="63"/>
      <c r="BJ203" s="63"/>
      <c r="BK203" s="63"/>
      <c r="BL203" s="63"/>
      <c r="BM203" s="63"/>
      <c r="BN203" s="63"/>
      <c r="BO203" s="64">
        <f>SUM(BF203:BI203,BK203:BN203)</f>
        <v>0</v>
      </c>
      <c r="BP203" s="62"/>
      <c r="BQ203" s="63"/>
      <c r="BR203" s="63"/>
      <c r="BS203" s="63"/>
      <c r="BT203" s="63"/>
      <c r="BU203" s="63"/>
      <c r="BV203" s="63"/>
      <c r="BW203" s="63"/>
      <c r="BX203" s="63"/>
      <c r="BY203" s="63"/>
      <c r="BZ203" s="64">
        <f>SUM(BQ203:BT203,BV203:BY203)</f>
        <v>0</v>
      </c>
      <c r="CA203" s="62"/>
      <c r="CB203" s="63"/>
      <c r="CC203" s="63"/>
      <c r="CD203" s="63"/>
      <c r="CE203" s="63"/>
      <c r="CF203" s="63"/>
      <c r="CG203" s="63"/>
      <c r="CH203" s="63"/>
      <c r="CI203" s="63"/>
      <c r="CJ203" s="63"/>
      <c r="CK203" s="64">
        <f>SUM(CB203:CE203,CG203:CJ203)</f>
        <v>0</v>
      </c>
      <c r="CL203" s="65">
        <f t="shared" ref="CL203:CU204" si="1318">SUM(BE203,CA203,BP203)</f>
        <v>0</v>
      </c>
      <c r="CM203" s="65">
        <f t="shared" si="1318"/>
        <v>0</v>
      </c>
      <c r="CN203" s="65">
        <f t="shared" si="1318"/>
        <v>0</v>
      </c>
      <c r="CO203" s="65">
        <f t="shared" si="1318"/>
        <v>0</v>
      </c>
      <c r="CP203" s="65">
        <f t="shared" si="1318"/>
        <v>0</v>
      </c>
      <c r="CQ203" s="65">
        <f t="shared" si="1318"/>
        <v>0</v>
      </c>
      <c r="CR203" s="65">
        <f t="shared" si="1318"/>
        <v>0</v>
      </c>
      <c r="CS203" s="65">
        <f t="shared" si="1318"/>
        <v>0</v>
      </c>
      <c r="CT203" s="65">
        <f t="shared" si="1318"/>
        <v>0</v>
      </c>
      <c r="CU203" s="65">
        <f t="shared" si="1318"/>
        <v>0</v>
      </c>
      <c r="CV203" s="64">
        <f>SUM(CM203:CP203,CR203:CU203)</f>
        <v>0</v>
      </c>
      <c r="CW203" s="62"/>
      <c r="CX203" s="63"/>
      <c r="CY203" s="63"/>
      <c r="CZ203" s="63"/>
      <c r="DA203" s="63"/>
      <c r="DB203" s="63"/>
      <c r="DC203" s="63"/>
      <c r="DD203" s="63"/>
      <c r="DE203" s="63"/>
      <c r="DF203" s="63"/>
      <c r="DG203" s="64">
        <f>SUM(CX203:DA203,DC203:DF203)</f>
        <v>0</v>
      </c>
      <c r="DH203" s="62"/>
      <c r="DI203" s="63"/>
      <c r="DJ203" s="63"/>
      <c r="DK203" s="63"/>
      <c r="DL203" s="63"/>
      <c r="DM203" s="63"/>
      <c r="DN203" s="63"/>
      <c r="DO203" s="63"/>
      <c r="DP203" s="63"/>
      <c r="DQ203" s="63"/>
      <c r="DR203" s="64">
        <f>SUM(DI203:DL203,DN203:DQ203)</f>
        <v>0</v>
      </c>
      <c r="DS203" s="62"/>
      <c r="DT203" s="63"/>
      <c r="DU203" s="63"/>
      <c r="DV203" s="63"/>
      <c r="DW203" s="63"/>
      <c r="DX203" s="63"/>
      <c r="DY203" s="63"/>
      <c r="DZ203" s="63"/>
      <c r="EA203" s="63"/>
      <c r="EB203" s="63"/>
      <c r="EC203" s="63"/>
      <c r="ED203" s="65">
        <f t="shared" ref="ED203:EM204" si="1319">SUM(CW203,DS203,DH203)</f>
        <v>0</v>
      </c>
      <c r="EE203" s="65">
        <f t="shared" si="1319"/>
        <v>0</v>
      </c>
      <c r="EF203" s="65">
        <f t="shared" si="1319"/>
        <v>0</v>
      </c>
      <c r="EG203" s="65">
        <f t="shared" si="1319"/>
        <v>0</v>
      </c>
      <c r="EH203" s="65">
        <f t="shared" si="1319"/>
        <v>0</v>
      </c>
      <c r="EI203" s="65">
        <f t="shared" si="1319"/>
        <v>0</v>
      </c>
      <c r="EJ203" s="65">
        <f t="shared" si="1319"/>
        <v>0</v>
      </c>
      <c r="EK203" s="65">
        <f t="shared" si="1319"/>
        <v>0</v>
      </c>
      <c r="EL203" s="65">
        <f t="shared" si="1319"/>
        <v>0</v>
      </c>
      <c r="EM203" s="65">
        <f t="shared" si="1319"/>
        <v>0</v>
      </c>
      <c r="EN203" s="64">
        <f>SUM(EE203:EH203,EJ203:EM203)</f>
        <v>0</v>
      </c>
      <c r="EO203" s="62"/>
      <c r="EP203" s="63"/>
      <c r="EQ203" s="63"/>
      <c r="ER203" s="63"/>
      <c r="ES203" s="63"/>
      <c r="ET203" s="63"/>
      <c r="EU203" s="63"/>
      <c r="EV203" s="63"/>
      <c r="EW203" s="63"/>
      <c r="EX203" s="63"/>
      <c r="EY203" s="64">
        <f>SUM(EP203:ES203,EU203:EX203)</f>
        <v>0</v>
      </c>
      <c r="EZ203" s="62"/>
      <c r="FA203" s="63"/>
      <c r="FB203" s="63"/>
      <c r="FC203" s="63"/>
      <c r="FD203" s="63"/>
      <c r="FE203" s="63"/>
      <c r="FF203" s="63"/>
      <c r="FG203" s="63"/>
      <c r="FH203" s="63"/>
      <c r="FI203" s="63"/>
      <c r="FJ203" s="64">
        <f>SUM(FA203:FD203,FF203:FI203)</f>
        <v>0</v>
      </c>
      <c r="FK203" s="62"/>
      <c r="FL203" s="63"/>
      <c r="FM203" s="63"/>
      <c r="FN203" s="63"/>
      <c r="FO203" s="63"/>
      <c r="FP203" s="63"/>
      <c r="FQ203" s="63"/>
      <c r="FR203" s="63"/>
      <c r="FS203" s="63"/>
      <c r="FT203" s="63"/>
      <c r="FU203" s="64">
        <f>SUM(FL203:FO203,FQ203:FT203)</f>
        <v>0</v>
      </c>
      <c r="FV203" s="65">
        <f t="shared" ref="FV203:GE204" si="1320">SUM(EO203,FK203,EZ203)</f>
        <v>0</v>
      </c>
      <c r="FW203" s="65">
        <f t="shared" si="1320"/>
        <v>0</v>
      </c>
      <c r="FX203" s="65">
        <f t="shared" si="1320"/>
        <v>0</v>
      </c>
      <c r="FY203" s="65">
        <f t="shared" si="1320"/>
        <v>0</v>
      </c>
      <c r="FZ203" s="65">
        <f t="shared" si="1320"/>
        <v>0</v>
      </c>
      <c r="GA203" s="65">
        <f t="shared" si="1320"/>
        <v>0</v>
      </c>
      <c r="GB203" s="65">
        <f t="shared" si="1320"/>
        <v>0</v>
      </c>
      <c r="GC203" s="65">
        <f t="shared" si="1320"/>
        <v>0</v>
      </c>
      <c r="GD203" s="65">
        <f t="shared" si="1320"/>
        <v>0</v>
      </c>
      <c r="GE203" s="65">
        <f t="shared" si="1320"/>
        <v>0</v>
      </c>
      <c r="GF203" s="64">
        <f>SUM(FW203:FZ203,GB203:GE203)</f>
        <v>0</v>
      </c>
      <c r="GG203" s="66">
        <f t="shared" ref="GG203:GP204" si="1321">SUM(AT203,CL203,ED203,FV203)</f>
        <v>0</v>
      </c>
      <c r="GH203" s="66">
        <f t="shared" si="1321"/>
        <v>0</v>
      </c>
      <c r="GI203" s="66">
        <f t="shared" si="1321"/>
        <v>0</v>
      </c>
      <c r="GJ203" s="66">
        <f t="shared" si="1321"/>
        <v>0</v>
      </c>
      <c r="GK203" s="66">
        <f t="shared" si="1321"/>
        <v>0</v>
      </c>
      <c r="GL203" s="66">
        <f t="shared" si="1321"/>
        <v>0</v>
      </c>
      <c r="GM203" s="66">
        <f t="shared" si="1321"/>
        <v>0</v>
      </c>
      <c r="GN203" s="66">
        <f t="shared" si="1321"/>
        <v>0</v>
      </c>
      <c r="GO203" s="66">
        <f t="shared" si="1321"/>
        <v>0</v>
      </c>
      <c r="GP203" s="66">
        <f t="shared" si="1321"/>
        <v>0</v>
      </c>
      <c r="GQ203" s="64">
        <f>SUM(GH203:GK203,GM203:GP203)</f>
        <v>0</v>
      </c>
      <c r="GR203" s="63"/>
      <c r="GS203" s="63"/>
      <c r="GT203" s="63"/>
      <c r="GU203" s="63"/>
      <c r="GV203" s="67">
        <f>SUM(GR203:GU203)</f>
        <v>0</v>
      </c>
      <c r="GW203" s="63"/>
      <c r="GX203" s="63"/>
      <c r="GY203" s="63"/>
      <c r="GZ203" s="63"/>
      <c r="HA203" s="67">
        <f>SUM(GW203:GZ203)</f>
        <v>0</v>
      </c>
      <c r="HB203" s="63"/>
      <c r="HC203" s="63"/>
      <c r="HD203" s="63"/>
      <c r="HE203" s="63"/>
      <c r="HF203" s="67">
        <f>SUM(HB203:HE203)</f>
        <v>0</v>
      </c>
      <c r="HG203" s="63"/>
      <c r="HH203" s="63"/>
      <c r="HI203" s="63"/>
      <c r="HJ203" s="63"/>
      <c r="HK203" s="67">
        <f>SUM(HG203:HJ203)</f>
        <v>0</v>
      </c>
      <c r="HL203" s="68">
        <f t="shared" ref="HL203:HO204" si="1322">SUM(GW203,HB203,HG203)</f>
        <v>0</v>
      </c>
      <c r="HM203" s="68">
        <f t="shared" si="1322"/>
        <v>0</v>
      </c>
      <c r="HN203" s="68">
        <f t="shared" si="1322"/>
        <v>0</v>
      </c>
      <c r="HO203" s="68">
        <f t="shared" si="1322"/>
        <v>0</v>
      </c>
      <c r="HP203" s="67">
        <f>SUM(HL203:HO203)</f>
        <v>0</v>
      </c>
      <c r="HQ203" s="63"/>
      <c r="HR203" s="63"/>
      <c r="HS203" s="63"/>
      <c r="HT203" s="63"/>
      <c r="HU203" s="67">
        <f>SUM(HQ203:HT203)</f>
        <v>0</v>
      </c>
      <c r="HV203" s="63"/>
      <c r="HW203" s="63"/>
      <c r="HX203" s="63"/>
      <c r="HY203" s="63"/>
      <c r="HZ203" s="67">
        <f>SUM(HV203:HY203)</f>
        <v>0</v>
      </c>
      <c r="IA203" s="63"/>
      <c r="IB203" s="63"/>
      <c r="IC203" s="63"/>
      <c r="ID203" s="63"/>
      <c r="IE203" s="67">
        <f>SUM(IA203:ID203)</f>
        <v>0</v>
      </c>
      <c r="IF203" s="68">
        <f t="shared" ref="IF203:II204" si="1323">SUM(HQ203,HV203,IA203)</f>
        <v>0</v>
      </c>
      <c r="IG203" s="68">
        <f t="shared" si="1323"/>
        <v>0</v>
      </c>
      <c r="IH203" s="68">
        <f t="shared" si="1323"/>
        <v>0</v>
      </c>
      <c r="II203" s="68">
        <f t="shared" si="1323"/>
        <v>0</v>
      </c>
      <c r="IJ203" s="67">
        <f>SUM(IF203:II203)</f>
        <v>0</v>
      </c>
      <c r="IK203" s="63"/>
      <c r="IL203" s="63"/>
      <c r="IM203" s="63"/>
      <c r="IN203" s="63"/>
      <c r="IO203" s="67">
        <f>SUM(IK203:IN203)</f>
        <v>0</v>
      </c>
      <c r="IP203" s="63"/>
      <c r="IQ203" s="63"/>
      <c r="IR203" s="63"/>
      <c r="IS203" s="63"/>
      <c r="IT203" s="67">
        <f>SUM(IP203:IS203)</f>
        <v>0</v>
      </c>
      <c r="IU203" s="63"/>
      <c r="IV203" s="63"/>
    </row>
    <row r="204" spans="1:256" x14ac:dyDescent="0.25">
      <c r="A204" s="84" t="s">
        <v>181</v>
      </c>
      <c r="B204" s="62"/>
      <c r="C204" s="63"/>
      <c r="D204" s="63"/>
      <c r="E204" s="63"/>
      <c r="F204" s="63"/>
      <c r="G204" s="63"/>
      <c r="H204" s="63"/>
      <c r="I204" s="63"/>
      <c r="J204" s="63"/>
      <c r="K204" s="63"/>
      <c r="L204" s="64">
        <f>SUM(C204:F204,H204:K204)</f>
        <v>0</v>
      </c>
      <c r="M204" s="62"/>
      <c r="N204" s="63"/>
      <c r="O204" s="63"/>
      <c r="P204" s="63"/>
      <c r="Q204" s="63"/>
      <c r="R204" s="63"/>
      <c r="S204" s="63"/>
      <c r="T204" s="63"/>
      <c r="U204" s="63"/>
      <c r="V204" s="63"/>
      <c r="W204" s="64">
        <f>SUM(N204:Q204,S204:V204)</f>
        <v>0</v>
      </c>
      <c r="X204" s="62"/>
      <c r="Y204" s="63"/>
      <c r="Z204" s="63"/>
      <c r="AA204" s="63"/>
      <c r="AB204" s="63"/>
      <c r="AC204" s="63"/>
      <c r="AD204" s="63"/>
      <c r="AE204" s="63"/>
      <c r="AF204" s="63"/>
      <c r="AG204" s="63"/>
      <c r="AH204" s="64">
        <f>SUM(Y204:AB204,AD204:AG204)</f>
        <v>0</v>
      </c>
      <c r="AI204" s="62"/>
      <c r="AJ204" s="63"/>
      <c r="AK204" s="63"/>
      <c r="AL204" s="63"/>
      <c r="AM204" s="63"/>
      <c r="AN204" s="63"/>
      <c r="AO204" s="63"/>
      <c r="AP204" s="63"/>
      <c r="AQ204" s="63"/>
      <c r="AR204" s="63"/>
      <c r="AS204" s="64">
        <f>SUM(AJ204:AM204,AO204:AR204)</f>
        <v>0</v>
      </c>
      <c r="AT204" s="65">
        <f t="shared" si="1317"/>
        <v>0</v>
      </c>
      <c r="AU204" s="65">
        <f t="shared" si="1317"/>
        <v>0</v>
      </c>
      <c r="AV204" s="65">
        <f t="shared" si="1317"/>
        <v>0</v>
      </c>
      <c r="AW204" s="65">
        <f t="shared" si="1317"/>
        <v>0</v>
      </c>
      <c r="AX204" s="65">
        <f t="shared" si="1317"/>
        <v>0</v>
      </c>
      <c r="AY204" s="65">
        <f t="shared" si="1317"/>
        <v>0</v>
      </c>
      <c r="AZ204" s="65">
        <f t="shared" si="1317"/>
        <v>0</v>
      </c>
      <c r="BA204" s="65">
        <f t="shared" si="1317"/>
        <v>0</v>
      </c>
      <c r="BB204" s="65">
        <f t="shared" si="1317"/>
        <v>0</v>
      </c>
      <c r="BC204" s="65">
        <f t="shared" si="1317"/>
        <v>0</v>
      </c>
      <c r="BD204" s="64">
        <f>SUM(AU204:AX204,AZ204:BC204)</f>
        <v>0</v>
      </c>
      <c r="BE204" s="62"/>
      <c r="BF204" s="63"/>
      <c r="BG204" s="63"/>
      <c r="BH204" s="63"/>
      <c r="BI204" s="63"/>
      <c r="BJ204" s="63"/>
      <c r="BK204" s="63"/>
      <c r="BL204" s="63"/>
      <c r="BM204" s="63"/>
      <c r="BN204" s="63"/>
      <c r="BO204" s="64">
        <f>SUM(BF204:BI204,BK204:BN204)</f>
        <v>0</v>
      </c>
      <c r="BP204" s="62"/>
      <c r="BQ204" s="63"/>
      <c r="BR204" s="63"/>
      <c r="BS204" s="63"/>
      <c r="BT204" s="63"/>
      <c r="BU204" s="63"/>
      <c r="BV204" s="63"/>
      <c r="BW204" s="63"/>
      <c r="BX204" s="63"/>
      <c r="BY204" s="63"/>
      <c r="BZ204" s="64">
        <f>SUM(BQ204:BT204,BV204:BY204)</f>
        <v>0</v>
      </c>
      <c r="CA204" s="62"/>
      <c r="CB204" s="63"/>
      <c r="CC204" s="63"/>
      <c r="CD204" s="63"/>
      <c r="CE204" s="63"/>
      <c r="CF204" s="63"/>
      <c r="CG204" s="63"/>
      <c r="CH204" s="63"/>
      <c r="CI204" s="63"/>
      <c r="CJ204" s="63"/>
      <c r="CK204" s="64">
        <f>SUM(CB204:CE204,CG204:CJ204)</f>
        <v>0</v>
      </c>
      <c r="CL204" s="65">
        <f t="shared" si="1318"/>
        <v>0</v>
      </c>
      <c r="CM204" s="65">
        <f t="shared" si="1318"/>
        <v>0</v>
      </c>
      <c r="CN204" s="65">
        <f t="shared" si="1318"/>
        <v>0</v>
      </c>
      <c r="CO204" s="65">
        <f t="shared" si="1318"/>
        <v>0</v>
      </c>
      <c r="CP204" s="65">
        <f t="shared" si="1318"/>
        <v>0</v>
      </c>
      <c r="CQ204" s="65">
        <f t="shared" si="1318"/>
        <v>0</v>
      </c>
      <c r="CR204" s="65">
        <f t="shared" si="1318"/>
        <v>0</v>
      </c>
      <c r="CS204" s="65">
        <f t="shared" si="1318"/>
        <v>0</v>
      </c>
      <c r="CT204" s="65">
        <f t="shared" si="1318"/>
        <v>0</v>
      </c>
      <c r="CU204" s="65">
        <f t="shared" si="1318"/>
        <v>0</v>
      </c>
      <c r="CV204" s="64">
        <f>SUM(CM204:CP204,CR204:CU204)</f>
        <v>0</v>
      </c>
      <c r="CW204" s="62"/>
      <c r="CX204" s="63"/>
      <c r="CY204" s="63"/>
      <c r="CZ204" s="63"/>
      <c r="DA204" s="63"/>
      <c r="DB204" s="63"/>
      <c r="DC204" s="63"/>
      <c r="DD204" s="63"/>
      <c r="DE204" s="63"/>
      <c r="DF204" s="63"/>
      <c r="DG204" s="64">
        <f>SUM(CX204:DA204,DC204:DF204)</f>
        <v>0</v>
      </c>
      <c r="DH204" s="62"/>
      <c r="DI204" s="63"/>
      <c r="DJ204" s="63"/>
      <c r="DK204" s="63"/>
      <c r="DL204" s="63"/>
      <c r="DM204" s="63"/>
      <c r="DN204" s="63"/>
      <c r="DO204" s="63"/>
      <c r="DP204" s="63"/>
      <c r="DQ204" s="63"/>
      <c r="DR204" s="64">
        <f>SUM(DI204:DL204,DN204:DQ204)</f>
        <v>0</v>
      </c>
      <c r="DS204" s="62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  <c r="ED204" s="65">
        <f t="shared" si="1319"/>
        <v>0</v>
      </c>
      <c r="EE204" s="65">
        <f t="shared" si="1319"/>
        <v>0</v>
      </c>
      <c r="EF204" s="65">
        <f t="shared" si="1319"/>
        <v>0</v>
      </c>
      <c r="EG204" s="65">
        <f t="shared" si="1319"/>
        <v>0</v>
      </c>
      <c r="EH204" s="65">
        <f t="shared" si="1319"/>
        <v>0</v>
      </c>
      <c r="EI204" s="65">
        <f t="shared" si="1319"/>
        <v>0</v>
      </c>
      <c r="EJ204" s="65">
        <f t="shared" si="1319"/>
        <v>0</v>
      </c>
      <c r="EK204" s="65">
        <f t="shared" si="1319"/>
        <v>0</v>
      </c>
      <c r="EL204" s="65">
        <f t="shared" si="1319"/>
        <v>0</v>
      </c>
      <c r="EM204" s="65">
        <f t="shared" si="1319"/>
        <v>0</v>
      </c>
      <c r="EN204" s="64">
        <f>SUM(EE204:EH204,EJ204:EM204)</f>
        <v>0</v>
      </c>
      <c r="EO204" s="62"/>
      <c r="EP204" s="63"/>
      <c r="EQ204" s="63"/>
      <c r="ER204" s="63"/>
      <c r="ES204" s="63"/>
      <c r="ET204" s="63"/>
      <c r="EU204" s="63"/>
      <c r="EV204" s="63"/>
      <c r="EW204" s="63"/>
      <c r="EX204" s="63"/>
      <c r="EY204" s="64">
        <f>SUM(EP204:ES204,EU204:EX204)</f>
        <v>0</v>
      </c>
      <c r="EZ204" s="62"/>
      <c r="FA204" s="63"/>
      <c r="FB204" s="63"/>
      <c r="FC204" s="63"/>
      <c r="FD204" s="63"/>
      <c r="FE204" s="63"/>
      <c r="FF204" s="63"/>
      <c r="FG204" s="63"/>
      <c r="FH204" s="63"/>
      <c r="FI204" s="63"/>
      <c r="FJ204" s="64">
        <f>SUM(FA204:FD204,FF204:FI204)</f>
        <v>0</v>
      </c>
      <c r="FK204" s="62"/>
      <c r="FL204" s="63"/>
      <c r="FM204" s="63"/>
      <c r="FN204" s="63"/>
      <c r="FO204" s="63"/>
      <c r="FP204" s="63"/>
      <c r="FQ204" s="63"/>
      <c r="FR204" s="63"/>
      <c r="FS204" s="63"/>
      <c r="FT204" s="63"/>
      <c r="FU204" s="64">
        <f>SUM(FL204:FO204,FQ204:FT204)</f>
        <v>0</v>
      </c>
      <c r="FV204" s="65">
        <f t="shared" si="1320"/>
        <v>0</v>
      </c>
      <c r="FW204" s="65">
        <f t="shared" si="1320"/>
        <v>0</v>
      </c>
      <c r="FX204" s="65">
        <f t="shared" si="1320"/>
        <v>0</v>
      </c>
      <c r="FY204" s="65">
        <f t="shared" si="1320"/>
        <v>0</v>
      </c>
      <c r="FZ204" s="65">
        <f t="shared" si="1320"/>
        <v>0</v>
      </c>
      <c r="GA204" s="65">
        <f t="shared" si="1320"/>
        <v>0</v>
      </c>
      <c r="GB204" s="65">
        <f t="shared" si="1320"/>
        <v>0</v>
      </c>
      <c r="GC204" s="65">
        <f t="shared" si="1320"/>
        <v>0</v>
      </c>
      <c r="GD204" s="65">
        <f t="shared" si="1320"/>
        <v>0</v>
      </c>
      <c r="GE204" s="65">
        <f t="shared" si="1320"/>
        <v>0</v>
      </c>
      <c r="GF204" s="64">
        <f>SUM(FW204:FZ204,GB204:GE204)</f>
        <v>0</v>
      </c>
      <c r="GG204" s="66">
        <f t="shared" si="1321"/>
        <v>0</v>
      </c>
      <c r="GH204" s="66">
        <f t="shared" si="1321"/>
        <v>0</v>
      </c>
      <c r="GI204" s="66">
        <f t="shared" si="1321"/>
        <v>0</v>
      </c>
      <c r="GJ204" s="66">
        <f t="shared" si="1321"/>
        <v>0</v>
      </c>
      <c r="GK204" s="66">
        <f t="shared" si="1321"/>
        <v>0</v>
      </c>
      <c r="GL204" s="66">
        <f t="shared" si="1321"/>
        <v>0</v>
      </c>
      <c r="GM204" s="66">
        <f t="shared" si="1321"/>
        <v>0</v>
      </c>
      <c r="GN204" s="66">
        <f t="shared" si="1321"/>
        <v>0</v>
      </c>
      <c r="GO204" s="66">
        <f t="shared" si="1321"/>
        <v>0</v>
      </c>
      <c r="GP204" s="66">
        <f t="shared" si="1321"/>
        <v>0</v>
      </c>
      <c r="GQ204" s="64">
        <f>SUM(GH204:GK204,GM204:GP204)</f>
        <v>0</v>
      </c>
      <c r="GR204" s="63"/>
      <c r="GS204" s="63"/>
      <c r="GT204" s="63"/>
      <c r="GU204" s="63"/>
      <c r="GV204" s="67">
        <f>SUM(GR204:GU204)</f>
        <v>0</v>
      </c>
      <c r="GW204" s="63"/>
      <c r="GX204" s="63"/>
      <c r="GY204" s="63"/>
      <c r="GZ204" s="63"/>
      <c r="HA204" s="67">
        <f>SUM(GW204:GZ204)</f>
        <v>0</v>
      </c>
      <c r="HB204" s="63"/>
      <c r="HC204" s="63"/>
      <c r="HD204" s="63"/>
      <c r="HE204" s="63"/>
      <c r="HF204" s="67">
        <f>SUM(HB204:HE204)</f>
        <v>0</v>
      </c>
      <c r="HG204" s="63"/>
      <c r="HH204" s="63"/>
      <c r="HI204" s="63"/>
      <c r="HJ204" s="63"/>
      <c r="HK204" s="67">
        <f>SUM(HG204:HJ204)</f>
        <v>0</v>
      </c>
      <c r="HL204" s="68">
        <f t="shared" si="1322"/>
        <v>0</v>
      </c>
      <c r="HM204" s="68">
        <f t="shared" si="1322"/>
        <v>0</v>
      </c>
      <c r="HN204" s="68">
        <f t="shared" si="1322"/>
        <v>0</v>
      </c>
      <c r="HO204" s="68">
        <f t="shared" si="1322"/>
        <v>0</v>
      </c>
      <c r="HP204" s="67">
        <f>SUM(HL204:HO204)</f>
        <v>0</v>
      </c>
      <c r="HQ204" s="63"/>
      <c r="HR204" s="63"/>
      <c r="HS204" s="63"/>
      <c r="HT204" s="63"/>
      <c r="HU204" s="67">
        <f>SUM(HQ204:HT204)</f>
        <v>0</v>
      </c>
      <c r="HV204" s="63"/>
      <c r="HW204" s="63"/>
      <c r="HX204" s="63"/>
      <c r="HY204" s="63"/>
      <c r="HZ204" s="67">
        <f>SUM(HV204:HY204)</f>
        <v>0</v>
      </c>
      <c r="IA204" s="63"/>
      <c r="IB204" s="63"/>
      <c r="IC204" s="63"/>
      <c r="ID204" s="63"/>
      <c r="IE204" s="67">
        <f>SUM(IA204:ID204)</f>
        <v>0</v>
      </c>
      <c r="IF204" s="68">
        <f t="shared" si="1323"/>
        <v>0</v>
      </c>
      <c r="IG204" s="68">
        <f t="shared" si="1323"/>
        <v>0</v>
      </c>
      <c r="IH204" s="68">
        <f t="shared" si="1323"/>
        <v>0</v>
      </c>
      <c r="II204" s="68">
        <f t="shared" si="1323"/>
        <v>0</v>
      </c>
      <c r="IJ204" s="67">
        <f>SUM(IF204:II204)</f>
        <v>0</v>
      </c>
      <c r="IK204" s="63"/>
      <c r="IL204" s="63"/>
      <c r="IM204" s="63"/>
      <c r="IN204" s="63"/>
      <c r="IO204" s="67">
        <f>SUM(IK204:IN204)</f>
        <v>0</v>
      </c>
      <c r="IP204" s="63"/>
      <c r="IQ204" s="63"/>
      <c r="IR204" s="63"/>
      <c r="IS204" s="63"/>
      <c r="IT204" s="67">
        <f>SUM(IP204:IS204)</f>
        <v>0</v>
      </c>
      <c r="IU204" s="63"/>
      <c r="IV204" s="63"/>
    </row>
    <row r="205" spans="1:256" s="57" customFormat="1" x14ac:dyDescent="0.25">
      <c r="A205" s="58" t="s">
        <v>182</v>
      </c>
      <c r="B205" s="60"/>
      <c r="C205" s="59">
        <f t="shared" ref="C205:K205" si="1324">SUM(C207,C211,C206)</f>
        <v>0</v>
      </c>
      <c r="D205" s="59">
        <f t="shared" si="1324"/>
        <v>0</v>
      </c>
      <c r="E205" s="59">
        <f t="shared" si="1324"/>
        <v>0</v>
      </c>
      <c r="F205" s="59">
        <f t="shared" si="1324"/>
        <v>0</v>
      </c>
      <c r="G205" s="59">
        <f t="shared" si="1324"/>
        <v>0</v>
      </c>
      <c r="H205" s="59">
        <f t="shared" si="1324"/>
        <v>0</v>
      </c>
      <c r="I205" s="59">
        <f t="shared" si="1324"/>
        <v>0</v>
      </c>
      <c r="J205" s="59">
        <f t="shared" si="1324"/>
        <v>0</v>
      </c>
      <c r="K205" s="59">
        <f t="shared" si="1324"/>
        <v>0</v>
      </c>
      <c r="L205" s="73">
        <f>SUM(L207,L211)</f>
        <v>0</v>
      </c>
      <c r="M205" s="60"/>
      <c r="N205" s="59">
        <f t="shared" ref="N205:V205" si="1325">SUM(N207,N211,N206)</f>
        <v>0</v>
      </c>
      <c r="O205" s="59">
        <f t="shared" si="1325"/>
        <v>0</v>
      </c>
      <c r="P205" s="59">
        <f t="shared" si="1325"/>
        <v>0</v>
      </c>
      <c r="Q205" s="59">
        <f t="shared" si="1325"/>
        <v>0</v>
      </c>
      <c r="R205" s="59">
        <f t="shared" si="1325"/>
        <v>0</v>
      </c>
      <c r="S205" s="59">
        <f t="shared" si="1325"/>
        <v>0</v>
      </c>
      <c r="T205" s="59">
        <f t="shared" si="1325"/>
        <v>0</v>
      </c>
      <c r="U205" s="59">
        <f t="shared" si="1325"/>
        <v>0</v>
      </c>
      <c r="V205" s="59">
        <f t="shared" si="1325"/>
        <v>0</v>
      </c>
      <c r="W205" s="73">
        <f>SUM(W207,W211)</f>
        <v>0</v>
      </c>
      <c r="X205" s="60"/>
      <c r="Y205" s="59">
        <f t="shared" ref="Y205:AG205" si="1326">SUM(Y207,Y211,Y206)</f>
        <v>0</v>
      </c>
      <c r="Z205" s="59">
        <f t="shared" si="1326"/>
        <v>0</v>
      </c>
      <c r="AA205" s="59">
        <f t="shared" si="1326"/>
        <v>0</v>
      </c>
      <c r="AB205" s="59">
        <f t="shared" si="1326"/>
        <v>0</v>
      </c>
      <c r="AC205" s="59">
        <f t="shared" si="1326"/>
        <v>0</v>
      </c>
      <c r="AD205" s="59">
        <f t="shared" si="1326"/>
        <v>0</v>
      </c>
      <c r="AE205" s="59">
        <f t="shared" si="1326"/>
        <v>0</v>
      </c>
      <c r="AF205" s="59">
        <f t="shared" si="1326"/>
        <v>0</v>
      </c>
      <c r="AG205" s="59">
        <f t="shared" si="1326"/>
        <v>0</v>
      </c>
      <c r="AH205" s="73">
        <f>SUM(AH207,AH211)</f>
        <v>0</v>
      </c>
      <c r="AI205" s="60"/>
      <c r="AJ205" s="59">
        <f t="shared" ref="AJ205:AR205" si="1327">SUM(AJ207,AJ211,AJ206)</f>
        <v>0</v>
      </c>
      <c r="AK205" s="59">
        <f t="shared" si="1327"/>
        <v>0</v>
      </c>
      <c r="AL205" s="59">
        <f t="shared" si="1327"/>
        <v>0</v>
      </c>
      <c r="AM205" s="59">
        <f t="shared" si="1327"/>
        <v>0</v>
      </c>
      <c r="AN205" s="59">
        <f t="shared" si="1327"/>
        <v>0</v>
      </c>
      <c r="AO205" s="59">
        <f t="shared" si="1327"/>
        <v>0</v>
      </c>
      <c r="AP205" s="59">
        <f t="shared" si="1327"/>
        <v>0</v>
      </c>
      <c r="AQ205" s="59">
        <f t="shared" si="1327"/>
        <v>0</v>
      </c>
      <c r="AR205" s="59">
        <f t="shared" si="1327"/>
        <v>0</v>
      </c>
      <c r="AS205" s="73">
        <f t="shared" ref="AS205:BD205" si="1328">SUM(AS207,AS211)</f>
        <v>0</v>
      </c>
      <c r="AT205" s="59">
        <f t="shared" si="1328"/>
        <v>0</v>
      </c>
      <c r="AU205" s="59">
        <f t="shared" si="1328"/>
        <v>0</v>
      </c>
      <c r="AV205" s="59">
        <f t="shared" si="1328"/>
        <v>0</v>
      </c>
      <c r="AW205" s="59">
        <f t="shared" si="1328"/>
        <v>0</v>
      </c>
      <c r="AX205" s="59">
        <f t="shared" si="1328"/>
        <v>0</v>
      </c>
      <c r="AY205" s="59">
        <f t="shared" si="1328"/>
        <v>0</v>
      </c>
      <c r="AZ205" s="59">
        <f t="shared" si="1328"/>
        <v>0</v>
      </c>
      <c r="BA205" s="59">
        <f t="shared" si="1328"/>
        <v>0</v>
      </c>
      <c r="BB205" s="59">
        <f t="shared" si="1328"/>
        <v>0</v>
      </c>
      <c r="BC205" s="59">
        <f t="shared" si="1328"/>
        <v>0</v>
      </c>
      <c r="BD205" s="73">
        <f t="shared" si="1328"/>
        <v>0</v>
      </c>
      <c r="BE205" s="60"/>
      <c r="BF205" s="59">
        <f t="shared" ref="BF205:BN205" si="1329">SUM(BF207,BF211,BF206)</f>
        <v>0</v>
      </c>
      <c r="BG205" s="59">
        <f t="shared" si="1329"/>
        <v>0</v>
      </c>
      <c r="BH205" s="59">
        <f t="shared" si="1329"/>
        <v>0</v>
      </c>
      <c r="BI205" s="59">
        <f t="shared" si="1329"/>
        <v>0</v>
      </c>
      <c r="BJ205" s="59">
        <f t="shared" si="1329"/>
        <v>0</v>
      </c>
      <c r="BK205" s="59">
        <f t="shared" si="1329"/>
        <v>0</v>
      </c>
      <c r="BL205" s="59">
        <f t="shared" si="1329"/>
        <v>0</v>
      </c>
      <c r="BM205" s="59">
        <f t="shared" si="1329"/>
        <v>0</v>
      </c>
      <c r="BN205" s="59">
        <f t="shared" si="1329"/>
        <v>0</v>
      </c>
      <c r="BO205" s="73">
        <f>SUM(BO207,BO211)</f>
        <v>0</v>
      </c>
      <c r="BP205" s="60"/>
      <c r="BQ205" s="59">
        <f t="shared" ref="BQ205:BY205" si="1330">SUM(BQ207,BQ211,BQ206)</f>
        <v>0</v>
      </c>
      <c r="BR205" s="59">
        <f t="shared" si="1330"/>
        <v>0</v>
      </c>
      <c r="BS205" s="59">
        <f t="shared" si="1330"/>
        <v>0</v>
      </c>
      <c r="BT205" s="59">
        <f t="shared" si="1330"/>
        <v>0</v>
      </c>
      <c r="BU205" s="59">
        <f t="shared" si="1330"/>
        <v>0</v>
      </c>
      <c r="BV205" s="59">
        <f t="shared" si="1330"/>
        <v>0</v>
      </c>
      <c r="BW205" s="59">
        <f t="shared" si="1330"/>
        <v>0</v>
      </c>
      <c r="BX205" s="59">
        <f t="shared" si="1330"/>
        <v>0</v>
      </c>
      <c r="BY205" s="59">
        <f t="shared" si="1330"/>
        <v>0</v>
      </c>
      <c r="BZ205" s="73">
        <f>SUM(BZ207,BZ211)</f>
        <v>0</v>
      </c>
      <c r="CA205" s="60"/>
      <c r="CB205" s="59">
        <f t="shared" ref="CB205:CJ205" si="1331">SUM(CB207,CB211,CB206)</f>
        <v>0</v>
      </c>
      <c r="CC205" s="59">
        <f t="shared" si="1331"/>
        <v>0</v>
      </c>
      <c r="CD205" s="59">
        <f t="shared" si="1331"/>
        <v>0</v>
      </c>
      <c r="CE205" s="59">
        <f t="shared" si="1331"/>
        <v>0</v>
      </c>
      <c r="CF205" s="59">
        <f t="shared" si="1331"/>
        <v>0</v>
      </c>
      <c r="CG205" s="59">
        <f t="shared" si="1331"/>
        <v>0</v>
      </c>
      <c r="CH205" s="59">
        <f t="shared" si="1331"/>
        <v>0</v>
      </c>
      <c r="CI205" s="59">
        <f t="shared" si="1331"/>
        <v>0</v>
      </c>
      <c r="CJ205" s="59">
        <f t="shared" si="1331"/>
        <v>0</v>
      </c>
      <c r="CK205" s="73">
        <f t="shared" ref="CK205:CV205" si="1332">SUM(CK207,CK211)</f>
        <v>0</v>
      </c>
      <c r="CL205" s="59">
        <f t="shared" si="1332"/>
        <v>0</v>
      </c>
      <c r="CM205" s="59">
        <f t="shared" si="1332"/>
        <v>0</v>
      </c>
      <c r="CN205" s="59">
        <f t="shared" si="1332"/>
        <v>0</v>
      </c>
      <c r="CO205" s="59">
        <f t="shared" si="1332"/>
        <v>0</v>
      </c>
      <c r="CP205" s="59">
        <f t="shared" si="1332"/>
        <v>0</v>
      </c>
      <c r="CQ205" s="59">
        <f t="shared" si="1332"/>
        <v>0</v>
      </c>
      <c r="CR205" s="59">
        <f t="shared" si="1332"/>
        <v>0</v>
      </c>
      <c r="CS205" s="59">
        <f t="shared" si="1332"/>
        <v>0</v>
      </c>
      <c r="CT205" s="59">
        <f t="shared" si="1332"/>
        <v>0</v>
      </c>
      <c r="CU205" s="59">
        <f t="shared" si="1332"/>
        <v>0</v>
      </c>
      <c r="CV205" s="73">
        <f t="shared" si="1332"/>
        <v>0</v>
      </c>
      <c r="CW205" s="60"/>
      <c r="CX205" s="59">
        <f t="shared" ref="CX205:DF205" si="1333">SUM(CX207,CX211,CX206)</f>
        <v>0</v>
      </c>
      <c r="CY205" s="59">
        <f t="shared" si="1333"/>
        <v>0</v>
      </c>
      <c r="CZ205" s="59">
        <f t="shared" si="1333"/>
        <v>0</v>
      </c>
      <c r="DA205" s="59">
        <f t="shared" si="1333"/>
        <v>0</v>
      </c>
      <c r="DB205" s="59">
        <f t="shared" si="1333"/>
        <v>0</v>
      </c>
      <c r="DC205" s="59">
        <f t="shared" si="1333"/>
        <v>0</v>
      </c>
      <c r="DD205" s="59">
        <f t="shared" si="1333"/>
        <v>0</v>
      </c>
      <c r="DE205" s="59">
        <f t="shared" si="1333"/>
        <v>0</v>
      </c>
      <c r="DF205" s="59">
        <f t="shared" si="1333"/>
        <v>0</v>
      </c>
      <c r="DG205" s="73">
        <f>SUM(DG207,DG211)</f>
        <v>0</v>
      </c>
      <c r="DH205" s="60"/>
      <c r="DI205" s="59">
        <f t="shared" ref="DI205:DQ205" si="1334">SUM(DI207,DI211,DI206)</f>
        <v>0</v>
      </c>
      <c r="DJ205" s="59">
        <f t="shared" si="1334"/>
        <v>0</v>
      </c>
      <c r="DK205" s="59">
        <f t="shared" si="1334"/>
        <v>0</v>
      </c>
      <c r="DL205" s="59">
        <f t="shared" si="1334"/>
        <v>0</v>
      </c>
      <c r="DM205" s="59">
        <f t="shared" si="1334"/>
        <v>0</v>
      </c>
      <c r="DN205" s="59">
        <f t="shared" si="1334"/>
        <v>0</v>
      </c>
      <c r="DO205" s="59">
        <f t="shared" si="1334"/>
        <v>0</v>
      </c>
      <c r="DP205" s="59">
        <f t="shared" si="1334"/>
        <v>0</v>
      </c>
      <c r="DQ205" s="59">
        <f t="shared" si="1334"/>
        <v>0</v>
      </c>
      <c r="DR205" s="73">
        <f>SUM(DR207,DR211)</f>
        <v>0</v>
      </c>
      <c r="DS205" s="60"/>
      <c r="DT205" s="59">
        <f t="shared" ref="DT205:EB205" si="1335">SUM(DT207,DT211,DT206)</f>
        <v>0</v>
      </c>
      <c r="DU205" s="59">
        <f t="shared" si="1335"/>
        <v>0</v>
      </c>
      <c r="DV205" s="59">
        <f t="shared" si="1335"/>
        <v>0</v>
      </c>
      <c r="DW205" s="59">
        <f t="shared" si="1335"/>
        <v>0</v>
      </c>
      <c r="DX205" s="59">
        <f t="shared" si="1335"/>
        <v>0</v>
      </c>
      <c r="DY205" s="59">
        <f t="shared" si="1335"/>
        <v>0</v>
      </c>
      <c r="DZ205" s="59">
        <f t="shared" si="1335"/>
        <v>0</v>
      </c>
      <c r="EA205" s="59">
        <f t="shared" si="1335"/>
        <v>0</v>
      </c>
      <c r="EB205" s="59">
        <f t="shared" si="1335"/>
        <v>0</v>
      </c>
      <c r="EC205" s="59">
        <f>SUM(EC207,EC211,EC206)</f>
        <v>0</v>
      </c>
      <c r="ED205" s="59">
        <f t="shared" ref="ED205:EN205" si="1336">SUM(ED207,ED211)</f>
        <v>0</v>
      </c>
      <c r="EE205" s="59">
        <f t="shared" si="1336"/>
        <v>0</v>
      </c>
      <c r="EF205" s="59">
        <f t="shared" si="1336"/>
        <v>0</v>
      </c>
      <c r="EG205" s="59">
        <f t="shared" si="1336"/>
        <v>0</v>
      </c>
      <c r="EH205" s="59">
        <f t="shared" si="1336"/>
        <v>0</v>
      </c>
      <c r="EI205" s="59">
        <f t="shared" si="1336"/>
        <v>0</v>
      </c>
      <c r="EJ205" s="59">
        <f t="shared" si="1336"/>
        <v>0</v>
      </c>
      <c r="EK205" s="59">
        <f t="shared" si="1336"/>
        <v>0</v>
      </c>
      <c r="EL205" s="59">
        <f t="shared" si="1336"/>
        <v>0</v>
      </c>
      <c r="EM205" s="59">
        <f t="shared" si="1336"/>
        <v>0</v>
      </c>
      <c r="EN205" s="73">
        <f t="shared" si="1336"/>
        <v>0</v>
      </c>
      <c r="EO205" s="60"/>
      <c r="EP205" s="59">
        <f t="shared" ref="EP205:EX205" si="1337">SUM(EP207,EP211,EP206)</f>
        <v>0</v>
      </c>
      <c r="EQ205" s="59">
        <f t="shared" si="1337"/>
        <v>0</v>
      </c>
      <c r="ER205" s="59">
        <f t="shared" si="1337"/>
        <v>0</v>
      </c>
      <c r="ES205" s="59">
        <f t="shared" si="1337"/>
        <v>0</v>
      </c>
      <c r="ET205" s="59">
        <f t="shared" si="1337"/>
        <v>0</v>
      </c>
      <c r="EU205" s="59">
        <f t="shared" si="1337"/>
        <v>0</v>
      </c>
      <c r="EV205" s="59">
        <f t="shared" si="1337"/>
        <v>0</v>
      </c>
      <c r="EW205" s="59">
        <f t="shared" si="1337"/>
        <v>0</v>
      </c>
      <c r="EX205" s="59">
        <f t="shared" si="1337"/>
        <v>0</v>
      </c>
      <c r="EY205" s="73">
        <f>SUM(EY207,EY211)</f>
        <v>0</v>
      </c>
      <c r="EZ205" s="60"/>
      <c r="FA205" s="59">
        <f t="shared" ref="FA205:FI205" si="1338">SUM(FA207,FA211,FA206)</f>
        <v>0</v>
      </c>
      <c r="FB205" s="59">
        <f t="shared" si="1338"/>
        <v>0</v>
      </c>
      <c r="FC205" s="59">
        <f t="shared" si="1338"/>
        <v>0</v>
      </c>
      <c r="FD205" s="59">
        <f t="shared" si="1338"/>
        <v>0</v>
      </c>
      <c r="FE205" s="59">
        <f t="shared" si="1338"/>
        <v>0</v>
      </c>
      <c r="FF205" s="59">
        <f t="shared" si="1338"/>
        <v>0</v>
      </c>
      <c r="FG205" s="59">
        <f t="shared" si="1338"/>
        <v>0</v>
      </c>
      <c r="FH205" s="59">
        <f t="shared" si="1338"/>
        <v>0</v>
      </c>
      <c r="FI205" s="59">
        <f t="shared" si="1338"/>
        <v>0</v>
      </c>
      <c r="FJ205" s="73">
        <f>SUM(FJ207,FJ211)</f>
        <v>0</v>
      </c>
      <c r="FK205" s="60"/>
      <c r="FL205" s="59">
        <f t="shared" ref="FL205:FT205" si="1339">SUM(FL207,FL211,FL206)</f>
        <v>0</v>
      </c>
      <c r="FM205" s="59">
        <f t="shared" si="1339"/>
        <v>0</v>
      </c>
      <c r="FN205" s="59">
        <f t="shared" si="1339"/>
        <v>0</v>
      </c>
      <c r="FO205" s="59">
        <f t="shared" si="1339"/>
        <v>0</v>
      </c>
      <c r="FP205" s="59">
        <f t="shared" si="1339"/>
        <v>0</v>
      </c>
      <c r="FQ205" s="59">
        <f t="shared" si="1339"/>
        <v>0</v>
      </c>
      <c r="FR205" s="59">
        <f t="shared" si="1339"/>
        <v>0</v>
      </c>
      <c r="FS205" s="59">
        <f t="shared" si="1339"/>
        <v>0</v>
      </c>
      <c r="FT205" s="59">
        <f t="shared" si="1339"/>
        <v>0</v>
      </c>
      <c r="FU205" s="73">
        <f t="shared" ref="FU205:GF205" si="1340">SUM(FU207,FU211)</f>
        <v>0</v>
      </c>
      <c r="FV205" s="59">
        <f t="shared" si="1340"/>
        <v>0</v>
      </c>
      <c r="FW205" s="59">
        <f t="shared" si="1340"/>
        <v>0</v>
      </c>
      <c r="FX205" s="59">
        <f t="shared" si="1340"/>
        <v>0</v>
      </c>
      <c r="FY205" s="59">
        <f t="shared" si="1340"/>
        <v>0</v>
      </c>
      <c r="FZ205" s="59">
        <f t="shared" si="1340"/>
        <v>0</v>
      </c>
      <c r="GA205" s="59">
        <f t="shared" si="1340"/>
        <v>0</v>
      </c>
      <c r="GB205" s="59">
        <f t="shared" si="1340"/>
        <v>0</v>
      </c>
      <c r="GC205" s="59">
        <f t="shared" si="1340"/>
        <v>0</v>
      </c>
      <c r="GD205" s="59">
        <f t="shared" si="1340"/>
        <v>0</v>
      </c>
      <c r="GE205" s="59">
        <f t="shared" si="1340"/>
        <v>0</v>
      </c>
      <c r="GF205" s="73">
        <f t="shared" si="1340"/>
        <v>0</v>
      </c>
      <c r="GG205" s="60"/>
      <c r="GH205" s="59">
        <f t="shared" ref="GH205:GP205" si="1341">SUM(GH207,GH211,GH206)</f>
        <v>0</v>
      </c>
      <c r="GI205" s="59">
        <f t="shared" si="1341"/>
        <v>0</v>
      </c>
      <c r="GJ205" s="59">
        <f t="shared" si="1341"/>
        <v>0</v>
      </c>
      <c r="GK205" s="59">
        <f t="shared" si="1341"/>
        <v>0</v>
      </c>
      <c r="GL205" s="59">
        <f t="shared" si="1341"/>
        <v>0</v>
      </c>
      <c r="GM205" s="59">
        <f t="shared" si="1341"/>
        <v>0</v>
      </c>
      <c r="GN205" s="59">
        <f t="shared" si="1341"/>
        <v>0</v>
      </c>
      <c r="GO205" s="59">
        <f t="shared" si="1341"/>
        <v>0</v>
      </c>
      <c r="GP205" s="59">
        <f t="shared" si="1341"/>
        <v>0</v>
      </c>
      <c r="GQ205" s="73">
        <f>SUM(GQ207,GQ211)</f>
        <v>0</v>
      </c>
      <c r="GR205" s="59">
        <f t="shared" ref="GR205:IV205" si="1342">SUM(GR207,GR211,GR206)</f>
        <v>0</v>
      </c>
      <c r="GS205" s="59">
        <f t="shared" si="1342"/>
        <v>0</v>
      </c>
      <c r="GT205" s="59">
        <f t="shared" si="1342"/>
        <v>0</v>
      </c>
      <c r="GU205" s="59">
        <f t="shared" si="1342"/>
        <v>0</v>
      </c>
      <c r="GV205" s="59">
        <f t="shared" si="1342"/>
        <v>0</v>
      </c>
      <c r="GW205" s="59">
        <f t="shared" si="1342"/>
        <v>0</v>
      </c>
      <c r="GX205" s="59">
        <f t="shared" si="1342"/>
        <v>0</v>
      </c>
      <c r="GY205" s="59">
        <f t="shared" si="1342"/>
        <v>0</v>
      </c>
      <c r="GZ205" s="59">
        <f t="shared" si="1342"/>
        <v>0</v>
      </c>
      <c r="HA205" s="59">
        <f t="shared" si="1342"/>
        <v>0</v>
      </c>
      <c r="HB205" s="59">
        <f>SUM(HB207,HB211,HB206)</f>
        <v>0</v>
      </c>
      <c r="HC205" s="59">
        <f>SUM(HC207,HC211,HC206)</f>
        <v>0</v>
      </c>
      <c r="HD205" s="59">
        <f>SUM(HD207,HD211,HD206)</f>
        <v>0</v>
      </c>
      <c r="HE205" s="59">
        <f>SUM(HE207,HE211,HE206)</f>
        <v>0</v>
      </c>
      <c r="HF205" s="59">
        <f t="shared" si="1342"/>
        <v>0</v>
      </c>
      <c r="HG205" s="59">
        <f t="shared" si="1342"/>
        <v>0</v>
      </c>
      <c r="HH205" s="59">
        <f t="shared" si="1342"/>
        <v>0</v>
      </c>
      <c r="HI205" s="59">
        <f t="shared" si="1342"/>
        <v>0</v>
      </c>
      <c r="HJ205" s="59">
        <f t="shared" si="1342"/>
        <v>0</v>
      </c>
      <c r="HK205" s="59">
        <f t="shared" si="1342"/>
        <v>0</v>
      </c>
      <c r="HL205" s="59">
        <f t="shared" si="1342"/>
        <v>0</v>
      </c>
      <c r="HM205" s="59">
        <f t="shared" si="1342"/>
        <v>0</v>
      </c>
      <c r="HN205" s="59">
        <f t="shared" si="1342"/>
        <v>0</v>
      </c>
      <c r="HO205" s="59">
        <f t="shared" si="1342"/>
        <v>0</v>
      </c>
      <c r="HP205" s="59">
        <f t="shared" si="1342"/>
        <v>0</v>
      </c>
      <c r="HQ205" s="59">
        <f>SUM(HQ207,HQ211,HQ206)</f>
        <v>0</v>
      </c>
      <c r="HR205" s="59">
        <f>SUM(HR207,HR211,HR206)</f>
        <v>0</v>
      </c>
      <c r="HS205" s="59">
        <f>SUM(HS207,HS211,HS206)</f>
        <v>0</v>
      </c>
      <c r="HT205" s="59">
        <f>SUM(HT207,HT211,HT206)</f>
        <v>0</v>
      </c>
      <c r="HU205" s="59">
        <f t="shared" si="1342"/>
        <v>0</v>
      </c>
      <c r="HV205" s="59">
        <f t="shared" si="1342"/>
        <v>0</v>
      </c>
      <c r="HW205" s="59">
        <f t="shared" si="1342"/>
        <v>0</v>
      </c>
      <c r="HX205" s="59">
        <f t="shared" si="1342"/>
        <v>0</v>
      </c>
      <c r="HY205" s="59">
        <f t="shared" si="1342"/>
        <v>0</v>
      </c>
      <c r="HZ205" s="59">
        <f t="shared" si="1342"/>
        <v>0</v>
      </c>
      <c r="IA205" s="59">
        <f>SUM(IA207,IA211,IA206)</f>
        <v>0</v>
      </c>
      <c r="IB205" s="59">
        <f>SUM(IB207,IB211,IB206)</f>
        <v>0</v>
      </c>
      <c r="IC205" s="59">
        <f>SUM(IC207,IC211,IC206)</f>
        <v>0</v>
      </c>
      <c r="ID205" s="59">
        <f>SUM(ID207,ID211,ID206)</f>
        <v>0</v>
      </c>
      <c r="IE205" s="59">
        <f t="shared" si="1342"/>
        <v>0</v>
      </c>
      <c r="IF205" s="59">
        <f t="shared" si="1342"/>
        <v>0</v>
      </c>
      <c r="IG205" s="59">
        <f t="shared" si="1342"/>
        <v>0</v>
      </c>
      <c r="IH205" s="59">
        <f t="shared" si="1342"/>
        <v>0</v>
      </c>
      <c r="II205" s="59">
        <f t="shared" si="1342"/>
        <v>0</v>
      </c>
      <c r="IJ205" s="59">
        <f t="shared" si="1342"/>
        <v>0</v>
      </c>
      <c r="IK205" s="59">
        <f t="shared" si="1342"/>
        <v>0</v>
      </c>
      <c r="IL205" s="59">
        <f t="shared" si="1342"/>
        <v>0</v>
      </c>
      <c r="IM205" s="59">
        <f t="shared" si="1342"/>
        <v>0</v>
      </c>
      <c r="IN205" s="59">
        <f t="shared" si="1342"/>
        <v>0</v>
      </c>
      <c r="IO205" s="59">
        <f t="shared" si="1342"/>
        <v>0</v>
      </c>
      <c r="IP205" s="59">
        <f>SUM(IP207,IP211,IP206)</f>
        <v>0</v>
      </c>
      <c r="IQ205" s="59">
        <f>SUM(IQ207,IQ211,IQ206)</f>
        <v>0</v>
      </c>
      <c r="IR205" s="59">
        <f>SUM(IR207,IR211,IR206)</f>
        <v>0</v>
      </c>
      <c r="IS205" s="59">
        <f>SUM(IS207,IS211,IS206)</f>
        <v>0</v>
      </c>
      <c r="IT205" s="59">
        <f t="shared" si="1342"/>
        <v>0</v>
      </c>
      <c r="IU205" s="59">
        <f t="shared" si="1342"/>
        <v>0</v>
      </c>
      <c r="IV205" s="59">
        <f t="shared" si="1342"/>
        <v>0</v>
      </c>
    </row>
    <row r="206" spans="1:256" x14ac:dyDescent="0.2">
      <c r="A206" s="61" t="s">
        <v>29</v>
      </c>
      <c r="B206" s="62"/>
      <c r="C206" s="63"/>
      <c r="D206" s="63"/>
      <c r="E206" s="63"/>
      <c r="F206" s="63"/>
      <c r="G206" s="63"/>
      <c r="H206" s="63"/>
      <c r="I206" s="63"/>
      <c r="J206" s="63"/>
      <c r="K206" s="63"/>
      <c r="L206" s="64">
        <f>SUM(C206:F206,H206:K206)</f>
        <v>0</v>
      </c>
      <c r="M206" s="62"/>
      <c r="N206" s="63"/>
      <c r="O206" s="63"/>
      <c r="P206" s="63"/>
      <c r="Q206" s="63"/>
      <c r="R206" s="63"/>
      <c r="S206" s="63"/>
      <c r="T206" s="63"/>
      <c r="U206" s="63"/>
      <c r="V206" s="63"/>
      <c r="W206" s="64">
        <f>SUM(N206:Q206,S206:V206)</f>
        <v>0</v>
      </c>
      <c r="X206" s="62"/>
      <c r="Y206" s="63"/>
      <c r="Z206" s="63"/>
      <c r="AA206" s="63"/>
      <c r="AB206" s="63"/>
      <c r="AC206" s="63"/>
      <c r="AD206" s="63"/>
      <c r="AE206" s="63"/>
      <c r="AF206" s="63"/>
      <c r="AG206" s="63"/>
      <c r="AH206" s="64">
        <f>SUM(Y206:AB206,AD206:AG206)</f>
        <v>0</v>
      </c>
      <c r="AI206" s="62"/>
      <c r="AJ206" s="63"/>
      <c r="AK206" s="63"/>
      <c r="AL206" s="63"/>
      <c r="AM206" s="63"/>
      <c r="AN206" s="63"/>
      <c r="AO206" s="63"/>
      <c r="AP206" s="63"/>
      <c r="AQ206" s="63"/>
      <c r="AR206" s="63"/>
      <c r="AS206" s="64">
        <f>SUM(AJ206:AM206,AO206:AR206)</f>
        <v>0</v>
      </c>
      <c r="AT206" s="65">
        <f t="shared" ref="AT206:BC206" si="1343">SUM(M206,AI206,X206)</f>
        <v>0</v>
      </c>
      <c r="AU206" s="65">
        <f t="shared" si="1343"/>
        <v>0</v>
      </c>
      <c r="AV206" s="65">
        <f t="shared" si="1343"/>
        <v>0</v>
      </c>
      <c r="AW206" s="65">
        <f t="shared" si="1343"/>
        <v>0</v>
      </c>
      <c r="AX206" s="65">
        <f t="shared" si="1343"/>
        <v>0</v>
      </c>
      <c r="AY206" s="65">
        <f t="shared" si="1343"/>
        <v>0</v>
      </c>
      <c r="AZ206" s="65">
        <f t="shared" si="1343"/>
        <v>0</v>
      </c>
      <c r="BA206" s="65">
        <f t="shared" si="1343"/>
        <v>0</v>
      </c>
      <c r="BB206" s="65">
        <f t="shared" si="1343"/>
        <v>0</v>
      </c>
      <c r="BC206" s="65">
        <f t="shared" si="1343"/>
        <v>0</v>
      </c>
      <c r="BD206" s="64">
        <f>SUM(AU206:AX206,AZ206:BC206)</f>
        <v>0</v>
      </c>
      <c r="BE206" s="62"/>
      <c r="BF206" s="63"/>
      <c r="BG206" s="63"/>
      <c r="BH206" s="63"/>
      <c r="BI206" s="63"/>
      <c r="BJ206" s="63"/>
      <c r="BK206" s="63"/>
      <c r="BL206" s="63"/>
      <c r="BM206" s="63"/>
      <c r="BN206" s="63"/>
      <c r="BO206" s="64">
        <f>SUM(BF206:BI206,BK206:BN206)</f>
        <v>0</v>
      </c>
      <c r="BP206" s="62"/>
      <c r="BQ206" s="63"/>
      <c r="BR206" s="63"/>
      <c r="BS206" s="63"/>
      <c r="BT206" s="63"/>
      <c r="BU206" s="63"/>
      <c r="BV206" s="63"/>
      <c r="BW206" s="63"/>
      <c r="BX206" s="63"/>
      <c r="BY206" s="63"/>
      <c r="BZ206" s="64">
        <f>SUM(BQ206:BT206,BV206:BY206)</f>
        <v>0</v>
      </c>
      <c r="CA206" s="62"/>
      <c r="CB206" s="63"/>
      <c r="CC206" s="63"/>
      <c r="CD206" s="63"/>
      <c r="CE206" s="63"/>
      <c r="CF206" s="63"/>
      <c r="CG206" s="63"/>
      <c r="CH206" s="63"/>
      <c r="CI206" s="63"/>
      <c r="CJ206" s="63"/>
      <c r="CK206" s="64">
        <f>SUM(CB206:CE206,CG206:CJ206)</f>
        <v>0</v>
      </c>
      <c r="CL206" s="65">
        <f t="shared" ref="CL206:CU206" si="1344">SUM(BE206,CA206,BP206)</f>
        <v>0</v>
      </c>
      <c r="CM206" s="65">
        <f t="shared" si="1344"/>
        <v>0</v>
      </c>
      <c r="CN206" s="65">
        <f t="shared" si="1344"/>
        <v>0</v>
      </c>
      <c r="CO206" s="65">
        <f t="shared" si="1344"/>
        <v>0</v>
      </c>
      <c r="CP206" s="65">
        <f t="shared" si="1344"/>
        <v>0</v>
      </c>
      <c r="CQ206" s="65">
        <f t="shared" si="1344"/>
        <v>0</v>
      </c>
      <c r="CR206" s="65">
        <f t="shared" si="1344"/>
        <v>0</v>
      </c>
      <c r="CS206" s="65">
        <f t="shared" si="1344"/>
        <v>0</v>
      </c>
      <c r="CT206" s="65">
        <f t="shared" si="1344"/>
        <v>0</v>
      </c>
      <c r="CU206" s="65">
        <f t="shared" si="1344"/>
        <v>0</v>
      </c>
      <c r="CV206" s="64">
        <f>SUM(CM206:CP206,CR206:CU206)</f>
        <v>0</v>
      </c>
      <c r="CW206" s="62"/>
      <c r="CX206" s="63"/>
      <c r="CY206" s="63"/>
      <c r="CZ206" s="63"/>
      <c r="DA206" s="63"/>
      <c r="DB206" s="63"/>
      <c r="DC206" s="63"/>
      <c r="DD206" s="63"/>
      <c r="DE206" s="63"/>
      <c r="DF206" s="63"/>
      <c r="DG206" s="64">
        <f>SUM(CX206:DA206,DC206:DF206)</f>
        <v>0</v>
      </c>
      <c r="DH206" s="62"/>
      <c r="DI206" s="63"/>
      <c r="DJ206" s="63"/>
      <c r="DK206" s="63"/>
      <c r="DL206" s="63"/>
      <c r="DM206" s="63"/>
      <c r="DN206" s="63"/>
      <c r="DO206" s="63"/>
      <c r="DP206" s="63"/>
      <c r="DQ206" s="63"/>
      <c r="DR206" s="64">
        <f>SUM(DI206:DL206,DN206:DQ206)</f>
        <v>0</v>
      </c>
      <c r="DS206" s="62"/>
      <c r="DT206" s="63"/>
      <c r="DU206" s="63"/>
      <c r="DV206" s="63"/>
      <c r="DW206" s="63"/>
      <c r="DX206" s="63"/>
      <c r="DY206" s="63"/>
      <c r="DZ206" s="63"/>
      <c r="EA206" s="63"/>
      <c r="EB206" s="63"/>
      <c r="EC206" s="63"/>
      <c r="ED206" s="65">
        <f t="shared" ref="ED206:EM206" si="1345">SUM(CW206,DS206,DH206)</f>
        <v>0</v>
      </c>
      <c r="EE206" s="65">
        <f t="shared" si="1345"/>
        <v>0</v>
      </c>
      <c r="EF206" s="65">
        <f t="shared" si="1345"/>
        <v>0</v>
      </c>
      <c r="EG206" s="65">
        <f t="shared" si="1345"/>
        <v>0</v>
      </c>
      <c r="EH206" s="65">
        <f t="shared" si="1345"/>
        <v>0</v>
      </c>
      <c r="EI206" s="65">
        <f t="shared" si="1345"/>
        <v>0</v>
      </c>
      <c r="EJ206" s="65">
        <f t="shared" si="1345"/>
        <v>0</v>
      </c>
      <c r="EK206" s="65">
        <f t="shared" si="1345"/>
        <v>0</v>
      </c>
      <c r="EL206" s="65">
        <f t="shared" si="1345"/>
        <v>0</v>
      </c>
      <c r="EM206" s="65">
        <f t="shared" si="1345"/>
        <v>0</v>
      </c>
      <c r="EN206" s="64">
        <f>SUM(EE206:EH206,EJ206:EM206)</f>
        <v>0</v>
      </c>
      <c r="EO206" s="62"/>
      <c r="EP206" s="63"/>
      <c r="EQ206" s="63"/>
      <c r="ER206" s="63"/>
      <c r="ES206" s="63"/>
      <c r="ET206" s="63"/>
      <c r="EU206" s="63"/>
      <c r="EV206" s="63"/>
      <c r="EW206" s="63"/>
      <c r="EX206" s="63"/>
      <c r="EY206" s="64">
        <f>SUM(EP206:ES206,EU206:EX206)</f>
        <v>0</v>
      </c>
      <c r="EZ206" s="62"/>
      <c r="FA206" s="63"/>
      <c r="FB206" s="63"/>
      <c r="FC206" s="63"/>
      <c r="FD206" s="63"/>
      <c r="FE206" s="63"/>
      <c r="FF206" s="63"/>
      <c r="FG206" s="63"/>
      <c r="FH206" s="63"/>
      <c r="FI206" s="63"/>
      <c r="FJ206" s="64">
        <f>SUM(FA206:FD206,FF206:FI206)</f>
        <v>0</v>
      </c>
      <c r="FK206" s="62"/>
      <c r="FL206" s="63"/>
      <c r="FM206" s="63"/>
      <c r="FN206" s="63"/>
      <c r="FO206" s="63"/>
      <c r="FP206" s="63"/>
      <c r="FQ206" s="63"/>
      <c r="FR206" s="63"/>
      <c r="FS206" s="63"/>
      <c r="FT206" s="63"/>
      <c r="FU206" s="64">
        <f>SUM(FL206:FO206,FQ206:FT206)</f>
        <v>0</v>
      </c>
      <c r="FV206" s="65">
        <f t="shared" ref="FV206:GE206" si="1346">SUM(EO206,FK206,EZ206)</f>
        <v>0</v>
      </c>
      <c r="FW206" s="65">
        <f t="shared" si="1346"/>
        <v>0</v>
      </c>
      <c r="FX206" s="65">
        <f t="shared" si="1346"/>
        <v>0</v>
      </c>
      <c r="FY206" s="65">
        <f t="shared" si="1346"/>
        <v>0</v>
      </c>
      <c r="FZ206" s="65">
        <f t="shared" si="1346"/>
        <v>0</v>
      </c>
      <c r="GA206" s="65">
        <f t="shared" si="1346"/>
        <v>0</v>
      </c>
      <c r="GB206" s="65">
        <f t="shared" si="1346"/>
        <v>0</v>
      </c>
      <c r="GC206" s="65">
        <f t="shared" si="1346"/>
        <v>0</v>
      </c>
      <c r="GD206" s="65">
        <f t="shared" si="1346"/>
        <v>0</v>
      </c>
      <c r="GE206" s="65">
        <f t="shared" si="1346"/>
        <v>0</v>
      </c>
      <c r="GF206" s="64">
        <f>SUM(FW206:FZ206,GB206:GE206)</f>
        <v>0</v>
      </c>
      <c r="GG206" s="66">
        <f t="shared" ref="GG206:GP206" si="1347">SUM(AT206,CL206,ED206,FV206)</f>
        <v>0</v>
      </c>
      <c r="GH206" s="66">
        <f t="shared" si="1347"/>
        <v>0</v>
      </c>
      <c r="GI206" s="66">
        <f t="shared" si="1347"/>
        <v>0</v>
      </c>
      <c r="GJ206" s="66">
        <f t="shared" si="1347"/>
        <v>0</v>
      </c>
      <c r="GK206" s="66">
        <f t="shared" si="1347"/>
        <v>0</v>
      </c>
      <c r="GL206" s="66">
        <f t="shared" si="1347"/>
        <v>0</v>
      </c>
      <c r="GM206" s="66">
        <f t="shared" si="1347"/>
        <v>0</v>
      </c>
      <c r="GN206" s="66">
        <f t="shared" si="1347"/>
        <v>0</v>
      </c>
      <c r="GO206" s="66">
        <f t="shared" si="1347"/>
        <v>0</v>
      </c>
      <c r="GP206" s="66">
        <f t="shared" si="1347"/>
        <v>0</v>
      </c>
      <c r="GQ206" s="64">
        <f>SUM(GH206:GK206,GM206:GP206)</f>
        <v>0</v>
      </c>
      <c r="GR206" s="63"/>
      <c r="GS206" s="63"/>
      <c r="GT206" s="63"/>
      <c r="GU206" s="63"/>
      <c r="GV206" s="67">
        <f>SUM(GR206:GU206)</f>
        <v>0</v>
      </c>
      <c r="GW206" s="63"/>
      <c r="GX206" s="63"/>
      <c r="GY206" s="63"/>
      <c r="GZ206" s="63"/>
      <c r="HA206" s="67">
        <f>SUM(GW206:GZ206)</f>
        <v>0</v>
      </c>
      <c r="HB206" s="63"/>
      <c r="HC206" s="63"/>
      <c r="HD206" s="63"/>
      <c r="HE206" s="63"/>
      <c r="HF206" s="67">
        <f>SUM(HB206:HE206)</f>
        <v>0</v>
      </c>
      <c r="HG206" s="63"/>
      <c r="HH206" s="63"/>
      <c r="HI206" s="63"/>
      <c r="HJ206" s="63"/>
      <c r="HK206" s="67">
        <f>SUM(HG206:HJ206)</f>
        <v>0</v>
      </c>
      <c r="HL206" s="68">
        <f>SUM(GW206,HB206,HG206)</f>
        <v>0</v>
      </c>
      <c r="HM206" s="68">
        <f>SUM(GX206,HC206,HH206)</f>
        <v>0</v>
      </c>
      <c r="HN206" s="68">
        <f>SUM(GY206,HD206,HI206)</f>
        <v>0</v>
      </c>
      <c r="HO206" s="68">
        <f>SUM(GZ206,HE206,HJ206)</f>
        <v>0</v>
      </c>
      <c r="HP206" s="67">
        <f>SUM(HL206:HO206)</f>
        <v>0</v>
      </c>
      <c r="HQ206" s="63"/>
      <c r="HR206" s="63"/>
      <c r="HS206" s="63"/>
      <c r="HT206" s="63"/>
      <c r="HU206" s="67">
        <f>SUM(HQ206:HT206)</f>
        <v>0</v>
      </c>
      <c r="HV206" s="63"/>
      <c r="HW206" s="63"/>
      <c r="HX206" s="63"/>
      <c r="HY206" s="63"/>
      <c r="HZ206" s="67">
        <f>SUM(HV206:HY206)</f>
        <v>0</v>
      </c>
      <c r="IA206" s="63"/>
      <c r="IB206" s="63"/>
      <c r="IC206" s="63"/>
      <c r="ID206" s="63"/>
      <c r="IE206" s="67">
        <f>SUM(IA206:ID206)</f>
        <v>0</v>
      </c>
      <c r="IF206" s="68">
        <f>SUM(HQ206,HV206,IA206)</f>
        <v>0</v>
      </c>
      <c r="IG206" s="68">
        <f>SUM(HR206,HW206,IB206)</f>
        <v>0</v>
      </c>
      <c r="IH206" s="68">
        <f>SUM(HS206,HX206,IC206)</f>
        <v>0</v>
      </c>
      <c r="II206" s="68">
        <f>SUM(HT206,HY206,ID206)</f>
        <v>0</v>
      </c>
      <c r="IJ206" s="67">
        <f>SUM(IF206:II206)</f>
        <v>0</v>
      </c>
      <c r="IK206" s="63"/>
      <c r="IL206" s="63"/>
      <c r="IM206" s="63"/>
      <c r="IN206" s="63"/>
      <c r="IO206" s="67">
        <f>SUM(IK206:IN206)</f>
        <v>0</v>
      </c>
      <c r="IP206" s="63"/>
      <c r="IQ206" s="63"/>
      <c r="IR206" s="63"/>
      <c r="IS206" s="63"/>
      <c r="IT206" s="67">
        <f>SUM(IP206:IS206)</f>
        <v>0</v>
      </c>
      <c r="IU206" s="63"/>
      <c r="IV206" s="63"/>
    </row>
    <row r="207" spans="1:256" s="154" customFormat="1" x14ac:dyDescent="0.25">
      <c r="A207" s="155" t="s">
        <v>183</v>
      </c>
      <c r="B207" s="80"/>
      <c r="C207" s="81">
        <f t="shared" ref="C207:K207" si="1348">SUM(C208:C210)</f>
        <v>0</v>
      </c>
      <c r="D207" s="81">
        <f t="shared" si="1348"/>
        <v>0</v>
      </c>
      <c r="E207" s="81">
        <f t="shared" si="1348"/>
        <v>0</v>
      </c>
      <c r="F207" s="81">
        <f t="shared" si="1348"/>
        <v>0</v>
      </c>
      <c r="G207" s="81">
        <f t="shared" si="1348"/>
        <v>0</v>
      </c>
      <c r="H207" s="81">
        <f t="shared" si="1348"/>
        <v>0</v>
      </c>
      <c r="I207" s="81">
        <f t="shared" si="1348"/>
        <v>0</v>
      </c>
      <c r="J207" s="81">
        <f t="shared" si="1348"/>
        <v>0</v>
      </c>
      <c r="K207" s="81">
        <f t="shared" si="1348"/>
        <v>0</v>
      </c>
      <c r="L207" s="82">
        <f>SUM(L208:L210)</f>
        <v>0</v>
      </c>
      <c r="M207" s="80"/>
      <c r="N207" s="81">
        <f t="shared" ref="N207:V207" si="1349">SUM(N208:N210)</f>
        <v>0</v>
      </c>
      <c r="O207" s="81">
        <f t="shared" si="1349"/>
        <v>0</v>
      </c>
      <c r="P207" s="81">
        <f t="shared" si="1349"/>
        <v>0</v>
      </c>
      <c r="Q207" s="81">
        <f t="shared" si="1349"/>
        <v>0</v>
      </c>
      <c r="R207" s="81">
        <f t="shared" si="1349"/>
        <v>0</v>
      </c>
      <c r="S207" s="81">
        <f t="shared" si="1349"/>
        <v>0</v>
      </c>
      <c r="T207" s="81">
        <f t="shared" si="1349"/>
        <v>0</v>
      </c>
      <c r="U207" s="81">
        <f t="shared" si="1349"/>
        <v>0</v>
      </c>
      <c r="V207" s="81">
        <f t="shared" si="1349"/>
        <v>0</v>
      </c>
      <c r="W207" s="82">
        <f>SUM(W208:W210)</f>
        <v>0</v>
      </c>
      <c r="X207" s="80"/>
      <c r="Y207" s="81">
        <f t="shared" ref="Y207:AG207" si="1350">SUM(Y208:Y210)</f>
        <v>0</v>
      </c>
      <c r="Z207" s="81">
        <f t="shared" si="1350"/>
        <v>0</v>
      </c>
      <c r="AA207" s="81">
        <f t="shared" si="1350"/>
        <v>0</v>
      </c>
      <c r="AB207" s="81">
        <f t="shared" si="1350"/>
        <v>0</v>
      </c>
      <c r="AC207" s="81">
        <f t="shared" si="1350"/>
        <v>0</v>
      </c>
      <c r="AD207" s="81">
        <f t="shared" si="1350"/>
        <v>0</v>
      </c>
      <c r="AE207" s="81">
        <f t="shared" si="1350"/>
        <v>0</v>
      </c>
      <c r="AF207" s="81">
        <f t="shared" si="1350"/>
        <v>0</v>
      </c>
      <c r="AG207" s="81">
        <f t="shared" si="1350"/>
        <v>0</v>
      </c>
      <c r="AH207" s="82">
        <f>SUM(AH208:AH210)</f>
        <v>0</v>
      </c>
      <c r="AI207" s="80"/>
      <c r="AJ207" s="81">
        <f t="shared" ref="AJ207:AR207" si="1351">SUM(AJ208:AJ210)</f>
        <v>0</v>
      </c>
      <c r="AK207" s="81">
        <f t="shared" si="1351"/>
        <v>0</v>
      </c>
      <c r="AL207" s="81">
        <f t="shared" si="1351"/>
        <v>0</v>
      </c>
      <c r="AM207" s="81">
        <f t="shared" si="1351"/>
        <v>0</v>
      </c>
      <c r="AN207" s="81">
        <f t="shared" si="1351"/>
        <v>0</v>
      </c>
      <c r="AO207" s="81">
        <f t="shared" si="1351"/>
        <v>0</v>
      </c>
      <c r="AP207" s="81">
        <f t="shared" si="1351"/>
        <v>0</v>
      </c>
      <c r="AQ207" s="81">
        <f t="shared" si="1351"/>
        <v>0</v>
      </c>
      <c r="AR207" s="81">
        <f t="shared" si="1351"/>
        <v>0</v>
      </c>
      <c r="AS207" s="82">
        <f>SUM(AS208:AS210)</f>
        <v>0</v>
      </c>
      <c r="AT207" s="80"/>
      <c r="AU207" s="81">
        <f>SUM(AU208:AU210)</f>
        <v>0</v>
      </c>
      <c r="AV207" s="81">
        <f t="shared" ref="AV207:BC207" si="1352">SUM(AV208:AV210)</f>
        <v>0</v>
      </c>
      <c r="AW207" s="81">
        <f t="shared" si="1352"/>
        <v>0</v>
      </c>
      <c r="AX207" s="81">
        <f t="shared" si="1352"/>
        <v>0</v>
      </c>
      <c r="AY207" s="81">
        <f t="shared" si="1352"/>
        <v>0</v>
      </c>
      <c r="AZ207" s="81">
        <f t="shared" si="1352"/>
        <v>0</v>
      </c>
      <c r="BA207" s="81">
        <f t="shared" si="1352"/>
        <v>0</v>
      </c>
      <c r="BB207" s="81">
        <f t="shared" si="1352"/>
        <v>0</v>
      </c>
      <c r="BC207" s="81">
        <f t="shared" si="1352"/>
        <v>0</v>
      </c>
      <c r="BD207" s="82">
        <f>SUM(BD208:BD210)</f>
        <v>0</v>
      </c>
      <c r="BE207" s="80"/>
      <c r="BF207" s="81">
        <f t="shared" ref="BF207:BN207" si="1353">SUM(BF208:BF210)</f>
        <v>0</v>
      </c>
      <c r="BG207" s="81">
        <f t="shared" si="1353"/>
        <v>0</v>
      </c>
      <c r="BH207" s="81">
        <f t="shared" si="1353"/>
        <v>0</v>
      </c>
      <c r="BI207" s="81">
        <f t="shared" si="1353"/>
        <v>0</v>
      </c>
      <c r="BJ207" s="81">
        <f t="shared" si="1353"/>
        <v>0</v>
      </c>
      <c r="BK207" s="81">
        <f t="shared" si="1353"/>
        <v>0</v>
      </c>
      <c r="BL207" s="81">
        <f t="shared" si="1353"/>
        <v>0</v>
      </c>
      <c r="BM207" s="81">
        <f t="shared" si="1353"/>
        <v>0</v>
      </c>
      <c r="BN207" s="81">
        <f t="shared" si="1353"/>
        <v>0</v>
      </c>
      <c r="BO207" s="82">
        <f>SUM(BO208:BO210)</f>
        <v>0</v>
      </c>
      <c r="BP207" s="80"/>
      <c r="BQ207" s="81">
        <f t="shared" ref="BQ207:BY207" si="1354">SUM(BQ208:BQ210)</f>
        <v>0</v>
      </c>
      <c r="BR207" s="81">
        <f t="shared" si="1354"/>
        <v>0</v>
      </c>
      <c r="BS207" s="81">
        <f t="shared" si="1354"/>
        <v>0</v>
      </c>
      <c r="BT207" s="81">
        <f t="shared" si="1354"/>
        <v>0</v>
      </c>
      <c r="BU207" s="81">
        <f t="shared" si="1354"/>
        <v>0</v>
      </c>
      <c r="BV207" s="81">
        <f t="shared" si="1354"/>
        <v>0</v>
      </c>
      <c r="BW207" s="81">
        <f t="shared" si="1354"/>
        <v>0</v>
      </c>
      <c r="BX207" s="81">
        <f t="shared" si="1354"/>
        <v>0</v>
      </c>
      <c r="BY207" s="81">
        <f t="shared" si="1354"/>
        <v>0</v>
      </c>
      <c r="BZ207" s="82">
        <f>SUM(BZ208:BZ210)</f>
        <v>0</v>
      </c>
      <c r="CA207" s="80"/>
      <c r="CB207" s="81">
        <f t="shared" ref="CB207:CJ207" si="1355">SUM(CB208:CB210)</f>
        <v>0</v>
      </c>
      <c r="CC207" s="81">
        <f t="shared" si="1355"/>
        <v>0</v>
      </c>
      <c r="CD207" s="81">
        <f t="shared" si="1355"/>
        <v>0</v>
      </c>
      <c r="CE207" s="81">
        <f t="shared" si="1355"/>
        <v>0</v>
      </c>
      <c r="CF207" s="81">
        <f t="shared" si="1355"/>
        <v>0</v>
      </c>
      <c r="CG207" s="81">
        <f t="shared" si="1355"/>
        <v>0</v>
      </c>
      <c r="CH207" s="81">
        <f t="shared" si="1355"/>
        <v>0</v>
      </c>
      <c r="CI207" s="81">
        <f t="shared" si="1355"/>
        <v>0</v>
      </c>
      <c r="CJ207" s="81">
        <f t="shared" si="1355"/>
        <v>0</v>
      </c>
      <c r="CK207" s="82">
        <f>SUM(CK208:CK210)</f>
        <v>0</v>
      </c>
      <c r="CL207" s="80"/>
      <c r="CM207" s="81">
        <f>SUM(CM208:CM210)</f>
        <v>0</v>
      </c>
      <c r="CN207" s="81">
        <f t="shared" ref="CN207:CU207" si="1356">SUM(CN208:CN210)</f>
        <v>0</v>
      </c>
      <c r="CO207" s="81">
        <f t="shared" si="1356"/>
        <v>0</v>
      </c>
      <c r="CP207" s="81">
        <f t="shared" si="1356"/>
        <v>0</v>
      </c>
      <c r="CQ207" s="81">
        <f t="shared" si="1356"/>
        <v>0</v>
      </c>
      <c r="CR207" s="81">
        <f t="shared" si="1356"/>
        <v>0</v>
      </c>
      <c r="CS207" s="81">
        <f t="shared" si="1356"/>
        <v>0</v>
      </c>
      <c r="CT207" s="81">
        <f t="shared" si="1356"/>
        <v>0</v>
      </c>
      <c r="CU207" s="81">
        <f t="shared" si="1356"/>
        <v>0</v>
      </c>
      <c r="CV207" s="82">
        <f>SUM(CV208:CV210)</f>
        <v>0</v>
      </c>
      <c r="CW207" s="80"/>
      <c r="CX207" s="81">
        <f t="shared" ref="CX207:DF207" si="1357">SUM(CX208:CX210)</f>
        <v>0</v>
      </c>
      <c r="CY207" s="81">
        <f t="shared" si="1357"/>
        <v>0</v>
      </c>
      <c r="CZ207" s="81">
        <f t="shared" si="1357"/>
        <v>0</v>
      </c>
      <c r="DA207" s="81">
        <f t="shared" si="1357"/>
        <v>0</v>
      </c>
      <c r="DB207" s="81">
        <f t="shared" si="1357"/>
        <v>0</v>
      </c>
      <c r="DC207" s="81">
        <f t="shared" si="1357"/>
        <v>0</v>
      </c>
      <c r="DD207" s="81">
        <f t="shared" si="1357"/>
        <v>0</v>
      </c>
      <c r="DE207" s="81">
        <f t="shared" si="1357"/>
        <v>0</v>
      </c>
      <c r="DF207" s="81">
        <f t="shared" si="1357"/>
        <v>0</v>
      </c>
      <c r="DG207" s="82">
        <f>SUM(DG208:DG210)</f>
        <v>0</v>
      </c>
      <c r="DH207" s="80"/>
      <c r="DI207" s="81">
        <f t="shared" ref="DI207:DQ207" si="1358">SUM(DI208:DI210)</f>
        <v>0</v>
      </c>
      <c r="DJ207" s="81">
        <f t="shared" si="1358"/>
        <v>0</v>
      </c>
      <c r="DK207" s="81">
        <f t="shared" si="1358"/>
        <v>0</v>
      </c>
      <c r="DL207" s="81">
        <f t="shared" si="1358"/>
        <v>0</v>
      </c>
      <c r="DM207" s="81">
        <f t="shared" si="1358"/>
        <v>0</v>
      </c>
      <c r="DN207" s="81">
        <f t="shared" si="1358"/>
        <v>0</v>
      </c>
      <c r="DO207" s="81">
        <f t="shared" si="1358"/>
        <v>0</v>
      </c>
      <c r="DP207" s="81">
        <f t="shared" si="1358"/>
        <v>0</v>
      </c>
      <c r="DQ207" s="81">
        <f t="shared" si="1358"/>
        <v>0</v>
      </c>
      <c r="DR207" s="82">
        <f>SUM(DR208:DR210)</f>
        <v>0</v>
      </c>
      <c r="DS207" s="80"/>
      <c r="DT207" s="81">
        <f t="shared" ref="DT207:EB207" si="1359">SUM(DT208:DT210)</f>
        <v>0</v>
      </c>
      <c r="DU207" s="81">
        <f t="shared" si="1359"/>
        <v>0</v>
      </c>
      <c r="DV207" s="81">
        <f t="shared" si="1359"/>
        <v>0</v>
      </c>
      <c r="DW207" s="81">
        <f t="shared" si="1359"/>
        <v>0</v>
      </c>
      <c r="DX207" s="81">
        <f t="shared" si="1359"/>
        <v>0</v>
      </c>
      <c r="DY207" s="81">
        <f t="shared" si="1359"/>
        <v>0</v>
      </c>
      <c r="DZ207" s="81">
        <f t="shared" si="1359"/>
        <v>0</v>
      </c>
      <c r="EA207" s="81">
        <f t="shared" si="1359"/>
        <v>0</v>
      </c>
      <c r="EB207" s="81">
        <f t="shared" si="1359"/>
        <v>0</v>
      </c>
      <c r="EC207" s="81">
        <f>SUM(EC208:EC210)</f>
        <v>0</v>
      </c>
      <c r="ED207" s="80"/>
      <c r="EE207" s="81">
        <f>SUM(EE208:EE210)</f>
        <v>0</v>
      </c>
      <c r="EF207" s="81">
        <f t="shared" ref="EF207:EM207" si="1360">SUM(EF208:EF210)</f>
        <v>0</v>
      </c>
      <c r="EG207" s="81">
        <f t="shared" si="1360"/>
        <v>0</v>
      </c>
      <c r="EH207" s="81">
        <f t="shared" si="1360"/>
        <v>0</v>
      </c>
      <c r="EI207" s="81">
        <f t="shared" si="1360"/>
        <v>0</v>
      </c>
      <c r="EJ207" s="81">
        <f t="shared" si="1360"/>
        <v>0</v>
      </c>
      <c r="EK207" s="81">
        <f t="shared" si="1360"/>
        <v>0</v>
      </c>
      <c r="EL207" s="81">
        <f t="shared" si="1360"/>
        <v>0</v>
      </c>
      <c r="EM207" s="81">
        <f t="shared" si="1360"/>
        <v>0</v>
      </c>
      <c r="EN207" s="82">
        <f>SUM(EN208:EN210)</f>
        <v>0</v>
      </c>
      <c r="EO207" s="80"/>
      <c r="EP207" s="81">
        <f t="shared" ref="EP207:EX207" si="1361">SUM(EP208:EP210)</f>
        <v>0</v>
      </c>
      <c r="EQ207" s="81">
        <f t="shared" si="1361"/>
        <v>0</v>
      </c>
      <c r="ER207" s="81">
        <f t="shared" si="1361"/>
        <v>0</v>
      </c>
      <c r="ES207" s="81">
        <f t="shared" si="1361"/>
        <v>0</v>
      </c>
      <c r="ET207" s="81">
        <f t="shared" si="1361"/>
        <v>0</v>
      </c>
      <c r="EU207" s="81">
        <f t="shared" si="1361"/>
        <v>0</v>
      </c>
      <c r="EV207" s="81">
        <f t="shared" si="1361"/>
        <v>0</v>
      </c>
      <c r="EW207" s="81">
        <f t="shared" si="1361"/>
        <v>0</v>
      </c>
      <c r="EX207" s="81">
        <f t="shared" si="1361"/>
        <v>0</v>
      </c>
      <c r="EY207" s="82">
        <f>SUM(EY208:EY210)</f>
        <v>0</v>
      </c>
      <c r="EZ207" s="80"/>
      <c r="FA207" s="81">
        <f t="shared" ref="FA207:FI207" si="1362">SUM(FA208:FA210)</f>
        <v>0</v>
      </c>
      <c r="FB207" s="81">
        <f t="shared" si="1362"/>
        <v>0</v>
      </c>
      <c r="FC207" s="81">
        <f t="shared" si="1362"/>
        <v>0</v>
      </c>
      <c r="FD207" s="81">
        <f t="shared" si="1362"/>
        <v>0</v>
      </c>
      <c r="FE207" s="81">
        <f t="shared" si="1362"/>
        <v>0</v>
      </c>
      <c r="FF207" s="81">
        <f t="shared" si="1362"/>
        <v>0</v>
      </c>
      <c r="FG207" s="81">
        <f t="shared" si="1362"/>
        <v>0</v>
      </c>
      <c r="FH207" s="81">
        <f t="shared" si="1362"/>
        <v>0</v>
      </c>
      <c r="FI207" s="81">
        <f t="shared" si="1362"/>
        <v>0</v>
      </c>
      <c r="FJ207" s="82">
        <f>SUM(FJ208:FJ210)</f>
        <v>0</v>
      </c>
      <c r="FK207" s="80"/>
      <c r="FL207" s="81">
        <f t="shared" ref="FL207:FT207" si="1363">SUM(FL208:FL210)</f>
        <v>0</v>
      </c>
      <c r="FM207" s="81">
        <f t="shared" si="1363"/>
        <v>0</v>
      </c>
      <c r="FN207" s="81">
        <f t="shared" si="1363"/>
        <v>0</v>
      </c>
      <c r="FO207" s="81">
        <f t="shared" si="1363"/>
        <v>0</v>
      </c>
      <c r="FP207" s="81">
        <f t="shared" si="1363"/>
        <v>0</v>
      </c>
      <c r="FQ207" s="81">
        <f t="shared" si="1363"/>
        <v>0</v>
      </c>
      <c r="FR207" s="81">
        <f t="shared" si="1363"/>
        <v>0</v>
      </c>
      <c r="FS207" s="81">
        <f t="shared" si="1363"/>
        <v>0</v>
      </c>
      <c r="FT207" s="81">
        <f t="shared" si="1363"/>
        <v>0</v>
      </c>
      <c r="FU207" s="82">
        <f>SUM(FU208:FU210)</f>
        <v>0</v>
      </c>
      <c r="FV207" s="80"/>
      <c r="FW207" s="81">
        <f>SUM(FW208:FW210)</f>
        <v>0</v>
      </c>
      <c r="FX207" s="81">
        <f t="shared" ref="FX207:GE207" si="1364">SUM(FX208:FX210)</f>
        <v>0</v>
      </c>
      <c r="FY207" s="81">
        <f t="shared" si="1364"/>
        <v>0</v>
      </c>
      <c r="FZ207" s="81">
        <f t="shared" si="1364"/>
        <v>0</v>
      </c>
      <c r="GA207" s="81">
        <f t="shared" si="1364"/>
        <v>0</v>
      </c>
      <c r="GB207" s="81">
        <f t="shared" si="1364"/>
        <v>0</v>
      </c>
      <c r="GC207" s="81">
        <f t="shared" si="1364"/>
        <v>0</v>
      </c>
      <c r="GD207" s="81">
        <f t="shared" si="1364"/>
        <v>0</v>
      </c>
      <c r="GE207" s="81">
        <f t="shared" si="1364"/>
        <v>0</v>
      </c>
      <c r="GF207" s="82">
        <f>SUM(GF208:GF210)</f>
        <v>0</v>
      </c>
      <c r="GG207" s="80"/>
      <c r="GH207" s="81">
        <f t="shared" ref="GH207:GP207" si="1365">SUM(GH208:GH210)</f>
        <v>0</v>
      </c>
      <c r="GI207" s="81">
        <f t="shared" si="1365"/>
        <v>0</v>
      </c>
      <c r="GJ207" s="81">
        <f t="shared" si="1365"/>
        <v>0</v>
      </c>
      <c r="GK207" s="81">
        <f t="shared" si="1365"/>
        <v>0</v>
      </c>
      <c r="GL207" s="81">
        <f t="shared" si="1365"/>
        <v>0</v>
      </c>
      <c r="GM207" s="81">
        <f t="shared" si="1365"/>
        <v>0</v>
      </c>
      <c r="GN207" s="81">
        <f t="shared" si="1365"/>
        <v>0</v>
      </c>
      <c r="GO207" s="81">
        <f t="shared" si="1365"/>
        <v>0</v>
      </c>
      <c r="GP207" s="81">
        <f t="shared" si="1365"/>
        <v>0</v>
      </c>
      <c r="GQ207" s="82">
        <f t="shared" ref="GQ207:HV207" si="1366">SUM(GQ208:GQ210)</f>
        <v>0</v>
      </c>
      <c r="GR207" s="81">
        <f t="shared" si="1366"/>
        <v>0</v>
      </c>
      <c r="GS207" s="81">
        <f t="shared" si="1366"/>
        <v>0</v>
      </c>
      <c r="GT207" s="81">
        <f t="shared" si="1366"/>
        <v>0</v>
      </c>
      <c r="GU207" s="81">
        <f t="shared" si="1366"/>
        <v>0</v>
      </c>
      <c r="GV207" s="81">
        <f t="shared" si="1366"/>
        <v>0</v>
      </c>
      <c r="GW207" s="81">
        <f t="shared" si="1366"/>
        <v>0</v>
      </c>
      <c r="GX207" s="81">
        <f t="shared" si="1366"/>
        <v>0</v>
      </c>
      <c r="GY207" s="81">
        <f t="shared" si="1366"/>
        <v>0</v>
      </c>
      <c r="GZ207" s="81">
        <f t="shared" si="1366"/>
        <v>0</v>
      </c>
      <c r="HA207" s="81">
        <f t="shared" si="1366"/>
        <v>0</v>
      </c>
      <c r="HB207" s="81">
        <f t="shared" si="1366"/>
        <v>0</v>
      </c>
      <c r="HC207" s="81">
        <f t="shared" si="1366"/>
        <v>0</v>
      </c>
      <c r="HD207" s="81">
        <f t="shared" si="1366"/>
        <v>0</v>
      </c>
      <c r="HE207" s="81">
        <f t="shared" si="1366"/>
        <v>0</v>
      </c>
      <c r="HF207" s="81">
        <f t="shared" si="1366"/>
        <v>0</v>
      </c>
      <c r="HG207" s="81">
        <f t="shared" si="1366"/>
        <v>0</v>
      </c>
      <c r="HH207" s="81">
        <f t="shared" si="1366"/>
        <v>0</v>
      </c>
      <c r="HI207" s="81">
        <f t="shared" si="1366"/>
        <v>0</v>
      </c>
      <c r="HJ207" s="81">
        <f t="shared" si="1366"/>
        <v>0</v>
      </c>
      <c r="HK207" s="81">
        <f t="shared" si="1366"/>
        <v>0</v>
      </c>
      <c r="HL207" s="81">
        <f t="shared" si="1366"/>
        <v>0</v>
      </c>
      <c r="HM207" s="81">
        <f t="shared" si="1366"/>
        <v>0</v>
      </c>
      <c r="HN207" s="81">
        <f t="shared" si="1366"/>
        <v>0</v>
      </c>
      <c r="HO207" s="81">
        <f t="shared" si="1366"/>
        <v>0</v>
      </c>
      <c r="HP207" s="81">
        <f t="shared" si="1366"/>
        <v>0</v>
      </c>
      <c r="HQ207" s="81">
        <f t="shared" si="1366"/>
        <v>0</v>
      </c>
      <c r="HR207" s="81">
        <f t="shared" si="1366"/>
        <v>0</v>
      </c>
      <c r="HS207" s="81">
        <f t="shared" si="1366"/>
        <v>0</v>
      </c>
      <c r="HT207" s="81">
        <f t="shared" si="1366"/>
        <v>0</v>
      </c>
      <c r="HU207" s="81">
        <f t="shared" si="1366"/>
        <v>0</v>
      </c>
      <c r="HV207" s="81">
        <f t="shared" si="1366"/>
        <v>0</v>
      </c>
      <c r="HW207" s="81">
        <f t="shared" ref="HW207:IV207" si="1367">SUM(HW208:HW210)</f>
        <v>0</v>
      </c>
      <c r="HX207" s="81">
        <f t="shared" si="1367"/>
        <v>0</v>
      </c>
      <c r="HY207" s="81">
        <f t="shared" si="1367"/>
        <v>0</v>
      </c>
      <c r="HZ207" s="81">
        <f t="shared" si="1367"/>
        <v>0</v>
      </c>
      <c r="IA207" s="81">
        <f t="shared" si="1367"/>
        <v>0</v>
      </c>
      <c r="IB207" s="81">
        <f t="shared" si="1367"/>
        <v>0</v>
      </c>
      <c r="IC207" s="81">
        <f t="shared" si="1367"/>
        <v>0</v>
      </c>
      <c r="ID207" s="81">
        <f t="shared" si="1367"/>
        <v>0</v>
      </c>
      <c r="IE207" s="81">
        <f t="shared" si="1367"/>
        <v>0</v>
      </c>
      <c r="IF207" s="81">
        <f t="shared" si="1367"/>
        <v>0</v>
      </c>
      <c r="IG207" s="81">
        <f t="shared" si="1367"/>
        <v>0</v>
      </c>
      <c r="IH207" s="81">
        <f t="shared" si="1367"/>
        <v>0</v>
      </c>
      <c r="II207" s="81">
        <f t="shared" si="1367"/>
        <v>0</v>
      </c>
      <c r="IJ207" s="81">
        <f t="shared" si="1367"/>
        <v>0</v>
      </c>
      <c r="IK207" s="81">
        <f t="shared" si="1367"/>
        <v>0</v>
      </c>
      <c r="IL207" s="81">
        <f t="shared" si="1367"/>
        <v>0</v>
      </c>
      <c r="IM207" s="81">
        <f t="shared" si="1367"/>
        <v>0</v>
      </c>
      <c r="IN207" s="81">
        <f t="shared" si="1367"/>
        <v>0</v>
      </c>
      <c r="IO207" s="81">
        <f t="shared" si="1367"/>
        <v>0</v>
      </c>
      <c r="IP207" s="81">
        <f t="shared" si="1367"/>
        <v>0</v>
      </c>
      <c r="IQ207" s="81">
        <f t="shared" si="1367"/>
        <v>0</v>
      </c>
      <c r="IR207" s="81">
        <f t="shared" si="1367"/>
        <v>0</v>
      </c>
      <c r="IS207" s="81">
        <f t="shared" si="1367"/>
        <v>0</v>
      </c>
      <c r="IT207" s="81">
        <f t="shared" si="1367"/>
        <v>0</v>
      </c>
      <c r="IU207" s="81">
        <f t="shared" si="1367"/>
        <v>0</v>
      </c>
      <c r="IV207" s="81">
        <f t="shared" si="1367"/>
        <v>0</v>
      </c>
    </row>
    <row r="208" spans="1:256" x14ac:dyDescent="0.25">
      <c r="A208" s="84" t="s">
        <v>184</v>
      </c>
      <c r="B208" s="62">
        <v>252</v>
      </c>
      <c r="C208" s="63">
        <v>0</v>
      </c>
      <c r="D208" s="63">
        <v>0</v>
      </c>
      <c r="E208" s="63">
        <v>0</v>
      </c>
      <c r="F208" s="63">
        <v>0</v>
      </c>
      <c r="G208" s="63">
        <v>0</v>
      </c>
      <c r="H208" s="63">
        <v>0</v>
      </c>
      <c r="I208" s="63">
        <v>0</v>
      </c>
      <c r="J208" s="63">
        <v>0</v>
      </c>
      <c r="K208" s="63"/>
      <c r="L208" s="64">
        <f>SUM(C208:F208,H208:K208)</f>
        <v>0</v>
      </c>
      <c r="M208" s="62"/>
      <c r="N208" s="63"/>
      <c r="O208" s="63"/>
      <c r="P208" s="63"/>
      <c r="Q208" s="63"/>
      <c r="R208" s="63"/>
      <c r="S208" s="63"/>
      <c r="T208" s="63"/>
      <c r="U208" s="63"/>
      <c r="V208" s="63"/>
      <c r="W208" s="64">
        <f>SUM(N208:Q208,S208:V208)</f>
        <v>0</v>
      </c>
      <c r="X208" s="62"/>
      <c r="Y208" s="63"/>
      <c r="Z208" s="63"/>
      <c r="AA208" s="63"/>
      <c r="AB208" s="63"/>
      <c r="AC208" s="63"/>
      <c r="AD208" s="63"/>
      <c r="AE208" s="63"/>
      <c r="AF208" s="63"/>
      <c r="AG208" s="63"/>
      <c r="AH208" s="64">
        <f>SUM(Y208:AB208,AD208:AG208)</f>
        <v>0</v>
      </c>
      <c r="AI208" s="62"/>
      <c r="AJ208" s="63"/>
      <c r="AK208" s="63"/>
      <c r="AL208" s="63"/>
      <c r="AM208" s="63"/>
      <c r="AN208" s="63"/>
      <c r="AO208" s="63"/>
      <c r="AP208" s="63"/>
      <c r="AQ208" s="63"/>
      <c r="AR208" s="63"/>
      <c r="AS208" s="64">
        <f>SUM(AJ208:AM208,AO208:AR208)</f>
        <v>0</v>
      </c>
      <c r="AT208" s="65">
        <f t="shared" ref="AT208:BC210" si="1368">SUM(M208,AI208,X208)</f>
        <v>0</v>
      </c>
      <c r="AU208" s="65">
        <f t="shared" si="1368"/>
        <v>0</v>
      </c>
      <c r="AV208" s="65">
        <f t="shared" si="1368"/>
        <v>0</v>
      </c>
      <c r="AW208" s="65">
        <f t="shared" si="1368"/>
        <v>0</v>
      </c>
      <c r="AX208" s="65">
        <f t="shared" si="1368"/>
        <v>0</v>
      </c>
      <c r="AY208" s="65">
        <f t="shared" si="1368"/>
        <v>0</v>
      </c>
      <c r="AZ208" s="65">
        <f t="shared" si="1368"/>
        <v>0</v>
      </c>
      <c r="BA208" s="65">
        <f t="shared" si="1368"/>
        <v>0</v>
      </c>
      <c r="BB208" s="65">
        <f t="shared" si="1368"/>
        <v>0</v>
      </c>
      <c r="BC208" s="65">
        <f t="shared" si="1368"/>
        <v>0</v>
      </c>
      <c r="BD208" s="64">
        <f>SUM(AU208:AX208,AZ208:BC208)</f>
        <v>0</v>
      </c>
      <c r="BE208" s="62"/>
      <c r="BF208" s="63"/>
      <c r="BG208" s="63"/>
      <c r="BH208" s="63"/>
      <c r="BI208" s="63"/>
      <c r="BJ208" s="63"/>
      <c r="BK208" s="63"/>
      <c r="BL208" s="63"/>
      <c r="BM208" s="63"/>
      <c r="BN208" s="63"/>
      <c r="BO208" s="64">
        <f>SUM(BF208:BI208,BK208:BN208)</f>
        <v>0</v>
      </c>
      <c r="BP208" s="62"/>
      <c r="BQ208" s="63"/>
      <c r="BR208" s="63"/>
      <c r="BS208" s="63"/>
      <c r="BT208" s="63"/>
      <c r="BU208" s="63"/>
      <c r="BV208" s="63"/>
      <c r="BW208" s="63"/>
      <c r="BX208" s="63"/>
      <c r="BY208" s="63"/>
      <c r="BZ208" s="64">
        <f>SUM(BQ208:BT208,BV208:BY208)</f>
        <v>0</v>
      </c>
      <c r="CA208" s="62"/>
      <c r="CB208" s="63"/>
      <c r="CC208" s="63"/>
      <c r="CD208" s="63"/>
      <c r="CE208" s="63"/>
      <c r="CF208" s="63"/>
      <c r="CG208" s="63"/>
      <c r="CH208" s="63"/>
      <c r="CI208" s="63"/>
      <c r="CJ208" s="63"/>
      <c r="CK208" s="64">
        <f>SUM(CB208:CE208,CG208:CJ208)</f>
        <v>0</v>
      </c>
      <c r="CL208" s="65">
        <f t="shared" ref="CL208:CU210" si="1369">SUM(BE208,CA208,BP208)</f>
        <v>0</v>
      </c>
      <c r="CM208" s="65">
        <f t="shared" si="1369"/>
        <v>0</v>
      </c>
      <c r="CN208" s="65">
        <f t="shared" si="1369"/>
        <v>0</v>
      </c>
      <c r="CO208" s="65">
        <f t="shared" si="1369"/>
        <v>0</v>
      </c>
      <c r="CP208" s="65">
        <f t="shared" si="1369"/>
        <v>0</v>
      </c>
      <c r="CQ208" s="65">
        <f t="shared" si="1369"/>
        <v>0</v>
      </c>
      <c r="CR208" s="65">
        <f t="shared" si="1369"/>
        <v>0</v>
      </c>
      <c r="CS208" s="65">
        <f t="shared" si="1369"/>
        <v>0</v>
      </c>
      <c r="CT208" s="65">
        <f t="shared" si="1369"/>
        <v>0</v>
      </c>
      <c r="CU208" s="65">
        <f t="shared" si="1369"/>
        <v>0</v>
      </c>
      <c r="CV208" s="64">
        <f>SUM(CM208:CP208,CR208:CU208)</f>
        <v>0</v>
      </c>
      <c r="CW208" s="62"/>
      <c r="CX208" s="63"/>
      <c r="CY208" s="63"/>
      <c r="CZ208" s="63"/>
      <c r="DA208" s="63"/>
      <c r="DB208" s="63"/>
      <c r="DC208" s="63"/>
      <c r="DD208" s="63"/>
      <c r="DE208" s="63"/>
      <c r="DF208" s="63"/>
      <c r="DG208" s="64">
        <f>SUM(CX208:DA208,DC208:DF208)</f>
        <v>0</v>
      </c>
      <c r="DH208" s="62"/>
      <c r="DI208" s="63"/>
      <c r="DJ208" s="63"/>
      <c r="DK208" s="63"/>
      <c r="DL208" s="63"/>
      <c r="DM208" s="63"/>
      <c r="DN208" s="63"/>
      <c r="DO208" s="63"/>
      <c r="DP208" s="63"/>
      <c r="DQ208" s="63"/>
      <c r="DR208" s="64">
        <f>SUM(DI208:DL208,DN208:DQ208)</f>
        <v>0</v>
      </c>
      <c r="DS208" s="62"/>
      <c r="DT208" s="63"/>
      <c r="DU208" s="63"/>
      <c r="DV208" s="63"/>
      <c r="DW208" s="63"/>
      <c r="DX208" s="63"/>
      <c r="DY208" s="63"/>
      <c r="DZ208" s="63"/>
      <c r="EA208" s="63"/>
      <c r="EB208" s="63"/>
      <c r="EC208" s="63"/>
      <c r="ED208" s="65">
        <f t="shared" ref="ED208:EM210" si="1370">SUM(CW208,DS208,DH208)</f>
        <v>0</v>
      </c>
      <c r="EE208" s="65">
        <f t="shared" si="1370"/>
        <v>0</v>
      </c>
      <c r="EF208" s="65">
        <f t="shared" si="1370"/>
        <v>0</v>
      </c>
      <c r="EG208" s="65">
        <f t="shared" si="1370"/>
        <v>0</v>
      </c>
      <c r="EH208" s="65">
        <f t="shared" si="1370"/>
        <v>0</v>
      </c>
      <c r="EI208" s="65">
        <f t="shared" si="1370"/>
        <v>0</v>
      </c>
      <c r="EJ208" s="65">
        <f t="shared" si="1370"/>
        <v>0</v>
      </c>
      <c r="EK208" s="65">
        <f t="shared" si="1370"/>
        <v>0</v>
      </c>
      <c r="EL208" s="65">
        <f t="shared" si="1370"/>
        <v>0</v>
      </c>
      <c r="EM208" s="65">
        <f t="shared" si="1370"/>
        <v>0</v>
      </c>
      <c r="EN208" s="64">
        <f>SUM(EE208:EH208,EJ208:EM208)</f>
        <v>0</v>
      </c>
      <c r="EO208" s="62"/>
      <c r="EP208" s="63"/>
      <c r="EQ208" s="63"/>
      <c r="ER208" s="63"/>
      <c r="ES208" s="63"/>
      <c r="ET208" s="63"/>
      <c r="EU208" s="63"/>
      <c r="EV208" s="63"/>
      <c r="EW208" s="63"/>
      <c r="EX208" s="63"/>
      <c r="EY208" s="64">
        <f>SUM(EP208:ES208,EU208:EX208)</f>
        <v>0</v>
      </c>
      <c r="EZ208" s="62"/>
      <c r="FA208" s="63"/>
      <c r="FB208" s="63"/>
      <c r="FC208" s="63"/>
      <c r="FD208" s="63"/>
      <c r="FE208" s="63"/>
      <c r="FF208" s="63"/>
      <c r="FG208" s="63"/>
      <c r="FH208" s="63"/>
      <c r="FI208" s="63"/>
      <c r="FJ208" s="64">
        <f>SUM(FA208:FD208,FF208:FI208)</f>
        <v>0</v>
      </c>
      <c r="FK208" s="62"/>
      <c r="FL208" s="63"/>
      <c r="FM208" s="63"/>
      <c r="FN208" s="63"/>
      <c r="FO208" s="63"/>
      <c r="FP208" s="63"/>
      <c r="FQ208" s="63"/>
      <c r="FR208" s="63"/>
      <c r="FS208" s="63"/>
      <c r="FT208" s="63"/>
      <c r="FU208" s="64">
        <f>SUM(FL208:FO208,FQ208:FT208)</f>
        <v>0</v>
      </c>
      <c r="FV208" s="65">
        <f t="shared" ref="FV208:GE210" si="1371">SUM(EO208,FK208,EZ208)</f>
        <v>0</v>
      </c>
      <c r="FW208" s="65">
        <f t="shared" si="1371"/>
        <v>0</v>
      </c>
      <c r="FX208" s="65">
        <f t="shared" si="1371"/>
        <v>0</v>
      </c>
      <c r="FY208" s="65">
        <f t="shared" si="1371"/>
        <v>0</v>
      </c>
      <c r="FZ208" s="65">
        <f t="shared" si="1371"/>
        <v>0</v>
      </c>
      <c r="GA208" s="65">
        <f t="shared" si="1371"/>
        <v>0</v>
      </c>
      <c r="GB208" s="65">
        <f t="shared" si="1371"/>
        <v>0</v>
      </c>
      <c r="GC208" s="65">
        <f t="shared" si="1371"/>
        <v>0</v>
      </c>
      <c r="GD208" s="65">
        <f t="shared" si="1371"/>
        <v>0</v>
      </c>
      <c r="GE208" s="65">
        <f t="shared" si="1371"/>
        <v>0</v>
      </c>
      <c r="GF208" s="64">
        <f>SUM(FW208:FZ208,GB208:GE208)</f>
        <v>0</v>
      </c>
      <c r="GG208" s="66">
        <f t="shared" ref="GG208:GP210" si="1372">SUM(AT208,CL208,ED208,FV208)</f>
        <v>0</v>
      </c>
      <c r="GH208" s="66">
        <f t="shared" si="1372"/>
        <v>0</v>
      </c>
      <c r="GI208" s="66">
        <f t="shared" si="1372"/>
        <v>0</v>
      </c>
      <c r="GJ208" s="66">
        <f t="shared" si="1372"/>
        <v>0</v>
      </c>
      <c r="GK208" s="66">
        <f t="shared" si="1372"/>
        <v>0</v>
      </c>
      <c r="GL208" s="66">
        <f t="shared" si="1372"/>
        <v>0</v>
      </c>
      <c r="GM208" s="66">
        <f t="shared" si="1372"/>
        <v>0</v>
      </c>
      <c r="GN208" s="66">
        <f t="shared" si="1372"/>
        <v>0</v>
      </c>
      <c r="GO208" s="66">
        <f t="shared" si="1372"/>
        <v>0</v>
      </c>
      <c r="GP208" s="66">
        <f t="shared" si="1372"/>
        <v>0</v>
      </c>
      <c r="GQ208" s="64">
        <f>SUM(GH208:GK208,GM208:GP208)</f>
        <v>0</v>
      </c>
      <c r="GR208" s="63"/>
      <c r="GS208" s="63"/>
      <c r="GT208" s="63"/>
      <c r="GU208" s="63"/>
      <c r="GV208" s="67">
        <f>SUM(GR208:GU208)</f>
        <v>0</v>
      </c>
      <c r="GW208" s="63"/>
      <c r="GX208" s="63"/>
      <c r="GY208" s="63"/>
      <c r="GZ208" s="63"/>
      <c r="HA208" s="67">
        <f>SUM(GW208:GZ208)</f>
        <v>0</v>
      </c>
      <c r="HB208" s="63"/>
      <c r="HC208" s="63"/>
      <c r="HD208" s="63"/>
      <c r="HE208" s="63"/>
      <c r="HF208" s="67">
        <f>SUM(HB208:HE208)</f>
        <v>0</v>
      </c>
      <c r="HG208" s="63"/>
      <c r="HH208" s="63"/>
      <c r="HI208" s="63"/>
      <c r="HJ208" s="63"/>
      <c r="HK208" s="67">
        <f>SUM(HG208:HJ208)</f>
        <v>0</v>
      </c>
      <c r="HL208" s="68">
        <f t="shared" ref="HL208:HO210" si="1373">SUM(GW208,HB208,HG208)</f>
        <v>0</v>
      </c>
      <c r="HM208" s="68">
        <f t="shared" si="1373"/>
        <v>0</v>
      </c>
      <c r="HN208" s="68">
        <f t="shared" si="1373"/>
        <v>0</v>
      </c>
      <c r="HO208" s="68">
        <f t="shared" si="1373"/>
        <v>0</v>
      </c>
      <c r="HP208" s="67">
        <f>SUM(HL208:HO208)</f>
        <v>0</v>
      </c>
      <c r="HQ208" s="63"/>
      <c r="HR208" s="63"/>
      <c r="HS208" s="63"/>
      <c r="HT208" s="63"/>
      <c r="HU208" s="67">
        <f>SUM(HQ208:HT208)</f>
        <v>0</v>
      </c>
      <c r="HV208" s="63"/>
      <c r="HW208" s="63"/>
      <c r="HX208" s="63"/>
      <c r="HY208" s="63"/>
      <c r="HZ208" s="67">
        <f>SUM(HV208:HY208)</f>
        <v>0</v>
      </c>
      <c r="IA208" s="63"/>
      <c r="IB208" s="63"/>
      <c r="IC208" s="63"/>
      <c r="ID208" s="63"/>
      <c r="IE208" s="67">
        <f>SUM(IA208:ID208)</f>
        <v>0</v>
      </c>
      <c r="IF208" s="68">
        <f t="shared" ref="IF208:II210" si="1374">SUM(HQ208,HV208,IA208)</f>
        <v>0</v>
      </c>
      <c r="IG208" s="68">
        <f t="shared" si="1374"/>
        <v>0</v>
      </c>
      <c r="IH208" s="68">
        <f t="shared" si="1374"/>
        <v>0</v>
      </c>
      <c r="II208" s="68">
        <f t="shared" si="1374"/>
        <v>0</v>
      </c>
      <c r="IJ208" s="67">
        <f>SUM(IF208:II208)</f>
        <v>0</v>
      </c>
      <c r="IK208" s="63"/>
      <c r="IL208" s="63"/>
      <c r="IM208" s="63"/>
      <c r="IN208" s="63"/>
      <c r="IO208" s="67">
        <f>SUM(IK208:IN208)</f>
        <v>0</v>
      </c>
      <c r="IP208" s="63"/>
      <c r="IQ208" s="63"/>
      <c r="IR208" s="63"/>
      <c r="IS208" s="63"/>
      <c r="IT208" s="67">
        <f>SUM(IP208:IS208)</f>
        <v>0</v>
      </c>
      <c r="IU208" s="63"/>
      <c r="IV208" s="63"/>
    </row>
    <row r="209" spans="1:256" x14ac:dyDescent="0.25">
      <c r="A209" s="84" t="s">
        <v>185</v>
      </c>
      <c r="B209" s="62">
        <v>3240</v>
      </c>
      <c r="C209" s="63">
        <v>0</v>
      </c>
      <c r="D209" s="63">
        <v>0</v>
      </c>
      <c r="E209" s="63">
        <v>0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/>
      <c r="L209" s="64">
        <f>SUM(C209:F209,H209:K209)</f>
        <v>0</v>
      </c>
      <c r="M209" s="62"/>
      <c r="N209" s="63"/>
      <c r="O209" s="63"/>
      <c r="P209" s="63"/>
      <c r="Q209" s="63"/>
      <c r="R209" s="63"/>
      <c r="S209" s="63"/>
      <c r="T209" s="63"/>
      <c r="U209" s="63"/>
      <c r="V209" s="63"/>
      <c r="W209" s="64">
        <f>SUM(N209:Q209,S209:V209)</f>
        <v>0</v>
      </c>
      <c r="X209" s="62"/>
      <c r="Y209" s="63"/>
      <c r="Z209" s="63"/>
      <c r="AA209" s="63"/>
      <c r="AB209" s="63"/>
      <c r="AC209" s="63"/>
      <c r="AD209" s="63"/>
      <c r="AE209" s="63"/>
      <c r="AF209" s="63"/>
      <c r="AG209" s="63"/>
      <c r="AH209" s="64">
        <f>SUM(Y209:AB209,AD209:AG209)</f>
        <v>0</v>
      </c>
      <c r="AI209" s="62"/>
      <c r="AJ209" s="63"/>
      <c r="AK209" s="63"/>
      <c r="AL209" s="63"/>
      <c r="AM209" s="63"/>
      <c r="AN209" s="63"/>
      <c r="AO209" s="63"/>
      <c r="AP209" s="63"/>
      <c r="AQ209" s="63"/>
      <c r="AR209" s="63"/>
      <c r="AS209" s="64">
        <f>SUM(AJ209:AM209,AO209:AR209)</f>
        <v>0</v>
      </c>
      <c r="AT209" s="65">
        <f t="shared" si="1368"/>
        <v>0</v>
      </c>
      <c r="AU209" s="65">
        <f t="shared" si="1368"/>
        <v>0</v>
      </c>
      <c r="AV209" s="65">
        <f t="shared" si="1368"/>
        <v>0</v>
      </c>
      <c r="AW209" s="65">
        <f t="shared" si="1368"/>
        <v>0</v>
      </c>
      <c r="AX209" s="65">
        <f t="shared" si="1368"/>
        <v>0</v>
      </c>
      <c r="AY209" s="65">
        <f t="shared" si="1368"/>
        <v>0</v>
      </c>
      <c r="AZ209" s="65">
        <f t="shared" si="1368"/>
        <v>0</v>
      </c>
      <c r="BA209" s="65">
        <f t="shared" si="1368"/>
        <v>0</v>
      </c>
      <c r="BB209" s="65">
        <f t="shared" si="1368"/>
        <v>0</v>
      </c>
      <c r="BC209" s="65">
        <f t="shared" si="1368"/>
        <v>0</v>
      </c>
      <c r="BD209" s="64">
        <f>SUM(AU209:AX209,AZ209:BC209)</f>
        <v>0</v>
      </c>
      <c r="BE209" s="62"/>
      <c r="BF209" s="63"/>
      <c r="BG209" s="63"/>
      <c r="BH209" s="63"/>
      <c r="BI209" s="63"/>
      <c r="BJ209" s="63"/>
      <c r="BK209" s="63"/>
      <c r="BL209" s="63"/>
      <c r="BM209" s="63"/>
      <c r="BN209" s="63"/>
      <c r="BO209" s="64">
        <f>SUM(BF209:BI209,BK209:BN209)</f>
        <v>0</v>
      </c>
      <c r="BP209" s="62"/>
      <c r="BQ209" s="63"/>
      <c r="BR209" s="63"/>
      <c r="BS209" s="63"/>
      <c r="BT209" s="63"/>
      <c r="BU209" s="63"/>
      <c r="BV209" s="63"/>
      <c r="BW209" s="63"/>
      <c r="BX209" s="63"/>
      <c r="BY209" s="63"/>
      <c r="BZ209" s="64">
        <f>SUM(BQ209:BT209,BV209:BY209)</f>
        <v>0</v>
      </c>
      <c r="CA209" s="62"/>
      <c r="CB209" s="63"/>
      <c r="CC209" s="63"/>
      <c r="CD209" s="63"/>
      <c r="CE209" s="63"/>
      <c r="CF209" s="63"/>
      <c r="CG209" s="63"/>
      <c r="CH209" s="63"/>
      <c r="CI209" s="63"/>
      <c r="CJ209" s="63"/>
      <c r="CK209" s="64">
        <f>SUM(CB209:CE209,CG209:CJ209)</f>
        <v>0</v>
      </c>
      <c r="CL209" s="65">
        <f t="shared" si="1369"/>
        <v>0</v>
      </c>
      <c r="CM209" s="65">
        <f t="shared" si="1369"/>
        <v>0</v>
      </c>
      <c r="CN209" s="65">
        <f t="shared" si="1369"/>
        <v>0</v>
      </c>
      <c r="CO209" s="65">
        <f t="shared" si="1369"/>
        <v>0</v>
      </c>
      <c r="CP209" s="65">
        <f t="shared" si="1369"/>
        <v>0</v>
      </c>
      <c r="CQ209" s="65">
        <f t="shared" si="1369"/>
        <v>0</v>
      </c>
      <c r="CR209" s="65">
        <f t="shared" si="1369"/>
        <v>0</v>
      </c>
      <c r="CS209" s="65">
        <f t="shared" si="1369"/>
        <v>0</v>
      </c>
      <c r="CT209" s="65">
        <f t="shared" si="1369"/>
        <v>0</v>
      </c>
      <c r="CU209" s="65">
        <f t="shared" si="1369"/>
        <v>0</v>
      </c>
      <c r="CV209" s="64">
        <f>SUM(CM209:CP209,CR209:CU209)</f>
        <v>0</v>
      </c>
      <c r="CW209" s="62"/>
      <c r="CX209" s="63"/>
      <c r="CY209" s="63"/>
      <c r="CZ209" s="63"/>
      <c r="DA209" s="63"/>
      <c r="DB209" s="63"/>
      <c r="DC209" s="63"/>
      <c r="DD209" s="63"/>
      <c r="DE209" s="63"/>
      <c r="DF209" s="63"/>
      <c r="DG209" s="64">
        <f>SUM(CX209:DA209,DC209:DF209)</f>
        <v>0</v>
      </c>
      <c r="DH209" s="62"/>
      <c r="DI209" s="63"/>
      <c r="DJ209" s="63"/>
      <c r="DK209" s="63"/>
      <c r="DL209" s="63"/>
      <c r="DM209" s="63"/>
      <c r="DN209" s="63"/>
      <c r="DO209" s="63"/>
      <c r="DP209" s="63"/>
      <c r="DQ209" s="63"/>
      <c r="DR209" s="64">
        <f>SUM(DI209:DL209,DN209:DQ209)</f>
        <v>0</v>
      </c>
      <c r="DS209" s="62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  <c r="ED209" s="65">
        <f t="shared" si="1370"/>
        <v>0</v>
      </c>
      <c r="EE209" s="65">
        <f t="shared" si="1370"/>
        <v>0</v>
      </c>
      <c r="EF209" s="65">
        <f t="shared" si="1370"/>
        <v>0</v>
      </c>
      <c r="EG209" s="65">
        <f t="shared" si="1370"/>
        <v>0</v>
      </c>
      <c r="EH209" s="65">
        <f t="shared" si="1370"/>
        <v>0</v>
      </c>
      <c r="EI209" s="65">
        <f t="shared" si="1370"/>
        <v>0</v>
      </c>
      <c r="EJ209" s="65">
        <f t="shared" si="1370"/>
        <v>0</v>
      </c>
      <c r="EK209" s="65">
        <f t="shared" si="1370"/>
        <v>0</v>
      </c>
      <c r="EL209" s="65">
        <f t="shared" si="1370"/>
        <v>0</v>
      </c>
      <c r="EM209" s="65">
        <f t="shared" si="1370"/>
        <v>0</v>
      </c>
      <c r="EN209" s="64">
        <f>SUM(EE209:EH209,EJ209:EM209)</f>
        <v>0</v>
      </c>
      <c r="EO209" s="62"/>
      <c r="EP209" s="63"/>
      <c r="EQ209" s="63"/>
      <c r="ER209" s="63"/>
      <c r="ES209" s="63"/>
      <c r="ET209" s="63"/>
      <c r="EU209" s="63"/>
      <c r="EV209" s="63"/>
      <c r="EW209" s="63"/>
      <c r="EX209" s="63"/>
      <c r="EY209" s="64">
        <f>SUM(EP209:ES209,EU209:EX209)</f>
        <v>0</v>
      </c>
      <c r="EZ209" s="62"/>
      <c r="FA209" s="63"/>
      <c r="FB209" s="63"/>
      <c r="FC209" s="63"/>
      <c r="FD209" s="63"/>
      <c r="FE209" s="63"/>
      <c r="FF209" s="63"/>
      <c r="FG209" s="63"/>
      <c r="FH209" s="63"/>
      <c r="FI209" s="63"/>
      <c r="FJ209" s="64">
        <f>SUM(FA209:FD209,FF209:FI209)</f>
        <v>0</v>
      </c>
      <c r="FK209" s="62"/>
      <c r="FL209" s="63"/>
      <c r="FM209" s="63"/>
      <c r="FN209" s="63"/>
      <c r="FO209" s="63"/>
      <c r="FP209" s="63"/>
      <c r="FQ209" s="63"/>
      <c r="FR209" s="63"/>
      <c r="FS209" s="63"/>
      <c r="FT209" s="63"/>
      <c r="FU209" s="64">
        <f>SUM(FL209:FO209,FQ209:FT209)</f>
        <v>0</v>
      </c>
      <c r="FV209" s="65">
        <f t="shared" si="1371"/>
        <v>0</v>
      </c>
      <c r="FW209" s="65">
        <f t="shared" si="1371"/>
        <v>0</v>
      </c>
      <c r="FX209" s="65">
        <f t="shared" si="1371"/>
        <v>0</v>
      </c>
      <c r="FY209" s="65">
        <f t="shared" si="1371"/>
        <v>0</v>
      </c>
      <c r="FZ209" s="65">
        <f t="shared" si="1371"/>
        <v>0</v>
      </c>
      <c r="GA209" s="65">
        <f t="shared" si="1371"/>
        <v>0</v>
      </c>
      <c r="GB209" s="65">
        <f t="shared" si="1371"/>
        <v>0</v>
      </c>
      <c r="GC209" s="65">
        <f t="shared" si="1371"/>
        <v>0</v>
      </c>
      <c r="GD209" s="65">
        <f t="shared" si="1371"/>
        <v>0</v>
      </c>
      <c r="GE209" s="65">
        <f t="shared" si="1371"/>
        <v>0</v>
      </c>
      <c r="GF209" s="64">
        <f>SUM(FW209:FZ209,GB209:GE209)</f>
        <v>0</v>
      </c>
      <c r="GG209" s="66">
        <f t="shared" si="1372"/>
        <v>0</v>
      </c>
      <c r="GH209" s="66">
        <f t="shared" si="1372"/>
        <v>0</v>
      </c>
      <c r="GI209" s="66">
        <f t="shared" si="1372"/>
        <v>0</v>
      </c>
      <c r="GJ209" s="66">
        <f t="shared" si="1372"/>
        <v>0</v>
      </c>
      <c r="GK209" s="66">
        <f t="shared" si="1372"/>
        <v>0</v>
      </c>
      <c r="GL209" s="66">
        <f t="shared" si="1372"/>
        <v>0</v>
      </c>
      <c r="GM209" s="66">
        <f t="shared" si="1372"/>
        <v>0</v>
      </c>
      <c r="GN209" s="66">
        <f t="shared" si="1372"/>
        <v>0</v>
      </c>
      <c r="GO209" s="66">
        <f t="shared" si="1372"/>
        <v>0</v>
      </c>
      <c r="GP209" s="66">
        <f t="shared" si="1372"/>
        <v>0</v>
      </c>
      <c r="GQ209" s="64">
        <f>SUM(GH209:GK209,GM209:GP209)</f>
        <v>0</v>
      </c>
      <c r="GR209" s="63"/>
      <c r="GS209" s="63"/>
      <c r="GT209" s="63"/>
      <c r="GU209" s="63"/>
      <c r="GV209" s="67">
        <f>SUM(GR209:GU209)</f>
        <v>0</v>
      </c>
      <c r="GW209" s="63"/>
      <c r="GX209" s="63"/>
      <c r="GY209" s="63"/>
      <c r="GZ209" s="63"/>
      <c r="HA209" s="67">
        <f>SUM(GW209:GZ209)</f>
        <v>0</v>
      </c>
      <c r="HB209" s="63"/>
      <c r="HC209" s="63"/>
      <c r="HD209" s="63"/>
      <c r="HE209" s="63"/>
      <c r="HF209" s="67">
        <f>SUM(HB209:HE209)</f>
        <v>0</v>
      </c>
      <c r="HG209" s="63"/>
      <c r="HH209" s="63"/>
      <c r="HI209" s="63"/>
      <c r="HJ209" s="63"/>
      <c r="HK209" s="67">
        <f>SUM(HG209:HJ209)</f>
        <v>0</v>
      </c>
      <c r="HL209" s="68">
        <f t="shared" si="1373"/>
        <v>0</v>
      </c>
      <c r="HM209" s="68">
        <f t="shared" si="1373"/>
        <v>0</v>
      </c>
      <c r="HN209" s="68">
        <f t="shared" si="1373"/>
        <v>0</v>
      </c>
      <c r="HO209" s="68">
        <f t="shared" si="1373"/>
        <v>0</v>
      </c>
      <c r="HP209" s="67">
        <f>SUM(HL209:HO209)</f>
        <v>0</v>
      </c>
      <c r="HQ209" s="63"/>
      <c r="HR209" s="63"/>
      <c r="HS209" s="63"/>
      <c r="HT209" s="63"/>
      <c r="HU209" s="67">
        <f>SUM(HQ209:HT209)</f>
        <v>0</v>
      </c>
      <c r="HV209" s="63"/>
      <c r="HW209" s="63"/>
      <c r="HX209" s="63"/>
      <c r="HY209" s="63"/>
      <c r="HZ209" s="67">
        <f>SUM(HV209:HY209)</f>
        <v>0</v>
      </c>
      <c r="IA209" s="63"/>
      <c r="IB209" s="63"/>
      <c r="IC209" s="63"/>
      <c r="ID209" s="63"/>
      <c r="IE209" s="67">
        <f>SUM(IA209:ID209)</f>
        <v>0</v>
      </c>
      <c r="IF209" s="68">
        <f t="shared" si="1374"/>
        <v>0</v>
      </c>
      <c r="IG209" s="68">
        <f t="shared" si="1374"/>
        <v>0</v>
      </c>
      <c r="IH209" s="68">
        <f t="shared" si="1374"/>
        <v>0</v>
      </c>
      <c r="II209" s="68">
        <f t="shared" si="1374"/>
        <v>0</v>
      </c>
      <c r="IJ209" s="67">
        <f>SUM(IF209:II209)</f>
        <v>0</v>
      </c>
      <c r="IK209" s="63"/>
      <c r="IL209" s="63"/>
      <c r="IM209" s="63"/>
      <c r="IN209" s="63"/>
      <c r="IO209" s="67">
        <f>SUM(IK209:IN209)</f>
        <v>0</v>
      </c>
      <c r="IP209" s="63"/>
      <c r="IQ209" s="63"/>
      <c r="IR209" s="63"/>
      <c r="IS209" s="63"/>
      <c r="IT209" s="67">
        <f>SUM(IP209:IS209)</f>
        <v>0</v>
      </c>
      <c r="IU209" s="63"/>
      <c r="IV209" s="63"/>
    </row>
    <row r="210" spans="1:256" x14ac:dyDescent="0.25">
      <c r="A210" s="84" t="s">
        <v>186</v>
      </c>
      <c r="B210" s="62">
        <v>1</v>
      </c>
      <c r="C210" s="63">
        <v>0</v>
      </c>
      <c r="D210" s="63">
        <v>0</v>
      </c>
      <c r="E210" s="63">
        <v>0</v>
      </c>
      <c r="F210" s="63">
        <v>0</v>
      </c>
      <c r="G210" s="63">
        <v>0</v>
      </c>
      <c r="H210" s="63">
        <v>0</v>
      </c>
      <c r="I210" s="63">
        <v>0</v>
      </c>
      <c r="J210" s="63">
        <v>0</v>
      </c>
      <c r="K210" s="63"/>
      <c r="L210" s="64">
        <f>SUM(C210:F210,H210:K210)</f>
        <v>0</v>
      </c>
      <c r="M210" s="62"/>
      <c r="N210" s="63"/>
      <c r="O210" s="63"/>
      <c r="P210" s="63"/>
      <c r="Q210" s="63"/>
      <c r="R210" s="63"/>
      <c r="S210" s="63"/>
      <c r="T210" s="63"/>
      <c r="U210" s="63"/>
      <c r="V210" s="63"/>
      <c r="W210" s="64">
        <f>SUM(N210:Q210,S210:V210)</f>
        <v>0</v>
      </c>
      <c r="X210" s="62"/>
      <c r="Y210" s="63"/>
      <c r="Z210" s="63"/>
      <c r="AA210" s="63"/>
      <c r="AB210" s="63"/>
      <c r="AC210" s="63"/>
      <c r="AD210" s="63"/>
      <c r="AE210" s="63"/>
      <c r="AF210" s="63"/>
      <c r="AG210" s="63"/>
      <c r="AH210" s="64">
        <f>SUM(Y210:AB210,AD210:AG210)</f>
        <v>0</v>
      </c>
      <c r="AI210" s="62"/>
      <c r="AJ210" s="63"/>
      <c r="AK210" s="63"/>
      <c r="AL210" s="63"/>
      <c r="AM210" s="63"/>
      <c r="AN210" s="63"/>
      <c r="AO210" s="63"/>
      <c r="AP210" s="63"/>
      <c r="AQ210" s="63"/>
      <c r="AR210" s="63"/>
      <c r="AS210" s="64">
        <f>SUM(AJ210:AM210,AO210:AR210)</f>
        <v>0</v>
      </c>
      <c r="AT210" s="65">
        <f t="shared" si="1368"/>
        <v>0</v>
      </c>
      <c r="AU210" s="65">
        <f t="shared" si="1368"/>
        <v>0</v>
      </c>
      <c r="AV210" s="65">
        <f t="shared" si="1368"/>
        <v>0</v>
      </c>
      <c r="AW210" s="65">
        <f t="shared" si="1368"/>
        <v>0</v>
      </c>
      <c r="AX210" s="65">
        <f t="shared" si="1368"/>
        <v>0</v>
      </c>
      <c r="AY210" s="65">
        <f t="shared" si="1368"/>
        <v>0</v>
      </c>
      <c r="AZ210" s="65">
        <f t="shared" si="1368"/>
        <v>0</v>
      </c>
      <c r="BA210" s="65">
        <f t="shared" si="1368"/>
        <v>0</v>
      </c>
      <c r="BB210" s="65">
        <f t="shared" si="1368"/>
        <v>0</v>
      </c>
      <c r="BC210" s="65">
        <f t="shared" si="1368"/>
        <v>0</v>
      </c>
      <c r="BD210" s="64">
        <f>SUM(AU210:AX210,AZ210:BC210)</f>
        <v>0</v>
      </c>
      <c r="BE210" s="62"/>
      <c r="BF210" s="63"/>
      <c r="BG210" s="63"/>
      <c r="BH210" s="63"/>
      <c r="BI210" s="63"/>
      <c r="BJ210" s="63"/>
      <c r="BK210" s="63"/>
      <c r="BL210" s="63"/>
      <c r="BM210" s="63"/>
      <c r="BN210" s="63"/>
      <c r="BO210" s="64">
        <f>SUM(BF210:BI210,BK210:BN210)</f>
        <v>0</v>
      </c>
      <c r="BP210" s="62"/>
      <c r="BQ210" s="63"/>
      <c r="BR210" s="63"/>
      <c r="BS210" s="63"/>
      <c r="BT210" s="63"/>
      <c r="BU210" s="63"/>
      <c r="BV210" s="63"/>
      <c r="BW210" s="63"/>
      <c r="BX210" s="63"/>
      <c r="BY210" s="63"/>
      <c r="BZ210" s="64">
        <f>SUM(BQ210:BT210,BV210:BY210)</f>
        <v>0</v>
      </c>
      <c r="CA210" s="62"/>
      <c r="CB210" s="63"/>
      <c r="CC210" s="63"/>
      <c r="CD210" s="63"/>
      <c r="CE210" s="63"/>
      <c r="CF210" s="63"/>
      <c r="CG210" s="63"/>
      <c r="CH210" s="63"/>
      <c r="CI210" s="63"/>
      <c r="CJ210" s="63"/>
      <c r="CK210" s="64">
        <f>SUM(CB210:CE210,CG210:CJ210)</f>
        <v>0</v>
      </c>
      <c r="CL210" s="65">
        <f t="shared" si="1369"/>
        <v>0</v>
      </c>
      <c r="CM210" s="65">
        <f t="shared" si="1369"/>
        <v>0</v>
      </c>
      <c r="CN210" s="65">
        <f t="shared" si="1369"/>
        <v>0</v>
      </c>
      <c r="CO210" s="65">
        <f t="shared" si="1369"/>
        <v>0</v>
      </c>
      <c r="CP210" s="65">
        <f t="shared" si="1369"/>
        <v>0</v>
      </c>
      <c r="CQ210" s="65">
        <f t="shared" si="1369"/>
        <v>0</v>
      </c>
      <c r="CR210" s="65">
        <f t="shared" si="1369"/>
        <v>0</v>
      </c>
      <c r="CS210" s="65">
        <f t="shared" si="1369"/>
        <v>0</v>
      </c>
      <c r="CT210" s="65">
        <f t="shared" si="1369"/>
        <v>0</v>
      </c>
      <c r="CU210" s="65">
        <f t="shared" si="1369"/>
        <v>0</v>
      </c>
      <c r="CV210" s="64">
        <f>SUM(CM210:CP210,CR210:CU210)</f>
        <v>0</v>
      </c>
      <c r="CW210" s="62"/>
      <c r="CX210" s="63"/>
      <c r="CY210" s="63"/>
      <c r="CZ210" s="63"/>
      <c r="DA210" s="63"/>
      <c r="DB210" s="63"/>
      <c r="DC210" s="63"/>
      <c r="DD210" s="63"/>
      <c r="DE210" s="63"/>
      <c r="DF210" s="63"/>
      <c r="DG210" s="64">
        <f>SUM(CX210:DA210,DC210:DF210)</f>
        <v>0</v>
      </c>
      <c r="DH210" s="62"/>
      <c r="DI210" s="63"/>
      <c r="DJ210" s="63"/>
      <c r="DK210" s="63"/>
      <c r="DL210" s="63"/>
      <c r="DM210" s="63"/>
      <c r="DN210" s="63"/>
      <c r="DO210" s="63"/>
      <c r="DP210" s="63"/>
      <c r="DQ210" s="63"/>
      <c r="DR210" s="64">
        <f>SUM(DI210:DL210,DN210:DQ210)</f>
        <v>0</v>
      </c>
      <c r="DS210" s="62"/>
      <c r="DT210" s="63"/>
      <c r="DU210" s="63"/>
      <c r="DV210" s="63"/>
      <c r="DW210" s="63"/>
      <c r="DX210" s="63"/>
      <c r="DY210" s="63"/>
      <c r="DZ210" s="63"/>
      <c r="EA210" s="63"/>
      <c r="EB210" s="63"/>
      <c r="EC210" s="63"/>
      <c r="ED210" s="65">
        <f t="shared" si="1370"/>
        <v>0</v>
      </c>
      <c r="EE210" s="65">
        <f t="shared" si="1370"/>
        <v>0</v>
      </c>
      <c r="EF210" s="65">
        <f t="shared" si="1370"/>
        <v>0</v>
      </c>
      <c r="EG210" s="65">
        <f t="shared" si="1370"/>
        <v>0</v>
      </c>
      <c r="EH210" s="65">
        <f t="shared" si="1370"/>
        <v>0</v>
      </c>
      <c r="EI210" s="65">
        <f t="shared" si="1370"/>
        <v>0</v>
      </c>
      <c r="EJ210" s="65">
        <f t="shared" si="1370"/>
        <v>0</v>
      </c>
      <c r="EK210" s="65">
        <f t="shared" si="1370"/>
        <v>0</v>
      </c>
      <c r="EL210" s="65">
        <f t="shared" si="1370"/>
        <v>0</v>
      </c>
      <c r="EM210" s="65">
        <f t="shared" si="1370"/>
        <v>0</v>
      </c>
      <c r="EN210" s="64">
        <f>SUM(EE210:EH210,EJ210:EM210)</f>
        <v>0</v>
      </c>
      <c r="EO210" s="62"/>
      <c r="EP210" s="63"/>
      <c r="EQ210" s="63"/>
      <c r="ER210" s="63"/>
      <c r="ES210" s="63"/>
      <c r="ET210" s="63"/>
      <c r="EU210" s="63"/>
      <c r="EV210" s="63"/>
      <c r="EW210" s="63"/>
      <c r="EX210" s="63"/>
      <c r="EY210" s="64">
        <f>SUM(EP210:ES210,EU210:EX210)</f>
        <v>0</v>
      </c>
      <c r="EZ210" s="62"/>
      <c r="FA210" s="63"/>
      <c r="FB210" s="63"/>
      <c r="FC210" s="63"/>
      <c r="FD210" s="63"/>
      <c r="FE210" s="63"/>
      <c r="FF210" s="63"/>
      <c r="FG210" s="63"/>
      <c r="FH210" s="63"/>
      <c r="FI210" s="63"/>
      <c r="FJ210" s="64">
        <f>SUM(FA210:FD210,FF210:FI210)</f>
        <v>0</v>
      </c>
      <c r="FK210" s="62"/>
      <c r="FL210" s="63"/>
      <c r="FM210" s="63"/>
      <c r="FN210" s="63"/>
      <c r="FO210" s="63"/>
      <c r="FP210" s="63"/>
      <c r="FQ210" s="63"/>
      <c r="FR210" s="63"/>
      <c r="FS210" s="63"/>
      <c r="FT210" s="63"/>
      <c r="FU210" s="64">
        <f>SUM(FL210:FO210,FQ210:FT210)</f>
        <v>0</v>
      </c>
      <c r="FV210" s="65">
        <f t="shared" si="1371"/>
        <v>0</v>
      </c>
      <c r="FW210" s="65">
        <f t="shared" si="1371"/>
        <v>0</v>
      </c>
      <c r="FX210" s="65">
        <f t="shared" si="1371"/>
        <v>0</v>
      </c>
      <c r="FY210" s="65">
        <f t="shared" si="1371"/>
        <v>0</v>
      </c>
      <c r="FZ210" s="65">
        <f t="shared" si="1371"/>
        <v>0</v>
      </c>
      <c r="GA210" s="65">
        <f t="shared" si="1371"/>
        <v>0</v>
      </c>
      <c r="GB210" s="65">
        <f t="shared" si="1371"/>
        <v>0</v>
      </c>
      <c r="GC210" s="65">
        <f t="shared" si="1371"/>
        <v>0</v>
      </c>
      <c r="GD210" s="65">
        <f t="shared" si="1371"/>
        <v>0</v>
      </c>
      <c r="GE210" s="65">
        <f t="shared" si="1371"/>
        <v>0</v>
      </c>
      <c r="GF210" s="64">
        <f>SUM(FW210:FZ210,GB210:GE210)</f>
        <v>0</v>
      </c>
      <c r="GG210" s="66">
        <f t="shared" si="1372"/>
        <v>0</v>
      </c>
      <c r="GH210" s="66">
        <f t="shared" si="1372"/>
        <v>0</v>
      </c>
      <c r="GI210" s="66">
        <f t="shared" si="1372"/>
        <v>0</v>
      </c>
      <c r="GJ210" s="66">
        <f t="shared" si="1372"/>
        <v>0</v>
      </c>
      <c r="GK210" s="66">
        <f t="shared" si="1372"/>
        <v>0</v>
      </c>
      <c r="GL210" s="66">
        <f t="shared" si="1372"/>
        <v>0</v>
      </c>
      <c r="GM210" s="66">
        <f t="shared" si="1372"/>
        <v>0</v>
      </c>
      <c r="GN210" s="66">
        <f t="shared" si="1372"/>
        <v>0</v>
      </c>
      <c r="GO210" s="66">
        <f t="shared" si="1372"/>
        <v>0</v>
      </c>
      <c r="GP210" s="66">
        <f t="shared" si="1372"/>
        <v>0</v>
      </c>
      <c r="GQ210" s="64">
        <f>SUM(GH210:GK210,GM210:GP210)</f>
        <v>0</v>
      </c>
      <c r="GR210" s="63"/>
      <c r="GS210" s="63"/>
      <c r="GT210" s="63"/>
      <c r="GU210" s="63"/>
      <c r="GV210" s="67">
        <f>SUM(GR210:GU210)</f>
        <v>0</v>
      </c>
      <c r="GW210" s="63"/>
      <c r="GX210" s="63"/>
      <c r="GY210" s="63"/>
      <c r="GZ210" s="63"/>
      <c r="HA210" s="67">
        <f>SUM(GW210:GZ210)</f>
        <v>0</v>
      </c>
      <c r="HB210" s="63"/>
      <c r="HC210" s="63"/>
      <c r="HD210" s="63"/>
      <c r="HE210" s="63"/>
      <c r="HF210" s="67">
        <f>SUM(HB210:HE210)</f>
        <v>0</v>
      </c>
      <c r="HG210" s="63"/>
      <c r="HH210" s="63"/>
      <c r="HI210" s="63"/>
      <c r="HJ210" s="63"/>
      <c r="HK210" s="67">
        <f>SUM(HG210:HJ210)</f>
        <v>0</v>
      </c>
      <c r="HL210" s="68">
        <f t="shared" si="1373"/>
        <v>0</v>
      </c>
      <c r="HM210" s="68">
        <f t="shared" si="1373"/>
        <v>0</v>
      </c>
      <c r="HN210" s="68">
        <f t="shared" si="1373"/>
        <v>0</v>
      </c>
      <c r="HO210" s="68">
        <f t="shared" si="1373"/>
        <v>0</v>
      </c>
      <c r="HP210" s="67">
        <f>SUM(HL210:HO210)</f>
        <v>0</v>
      </c>
      <c r="HQ210" s="63"/>
      <c r="HR210" s="63"/>
      <c r="HS210" s="63"/>
      <c r="HT210" s="63"/>
      <c r="HU210" s="67">
        <f>SUM(HQ210:HT210)</f>
        <v>0</v>
      </c>
      <c r="HV210" s="63"/>
      <c r="HW210" s="63"/>
      <c r="HX210" s="63"/>
      <c r="HY210" s="63"/>
      <c r="HZ210" s="67">
        <f>SUM(HV210:HY210)</f>
        <v>0</v>
      </c>
      <c r="IA210" s="63"/>
      <c r="IB210" s="63"/>
      <c r="IC210" s="63"/>
      <c r="ID210" s="63"/>
      <c r="IE210" s="67">
        <f>SUM(IA210:ID210)</f>
        <v>0</v>
      </c>
      <c r="IF210" s="68">
        <f t="shared" si="1374"/>
        <v>0</v>
      </c>
      <c r="IG210" s="68">
        <f t="shared" si="1374"/>
        <v>0</v>
      </c>
      <c r="IH210" s="68">
        <f t="shared" si="1374"/>
        <v>0</v>
      </c>
      <c r="II210" s="68">
        <f t="shared" si="1374"/>
        <v>0</v>
      </c>
      <c r="IJ210" s="67">
        <f>SUM(IF210:II210)</f>
        <v>0</v>
      </c>
      <c r="IK210" s="63"/>
      <c r="IL210" s="63"/>
      <c r="IM210" s="63"/>
      <c r="IN210" s="63"/>
      <c r="IO210" s="67">
        <f>SUM(IK210:IN210)</f>
        <v>0</v>
      </c>
      <c r="IP210" s="63"/>
      <c r="IQ210" s="63"/>
      <c r="IR210" s="63"/>
      <c r="IS210" s="63"/>
      <c r="IT210" s="67">
        <f>SUM(IP210:IS210)</f>
        <v>0</v>
      </c>
      <c r="IU210" s="63"/>
      <c r="IV210" s="63"/>
    </row>
    <row r="211" spans="1:256" s="78" customFormat="1" x14ac:dyDescent="0.25">
      <c r="A211" s="79" t="s">
        <v>187</v>
      </c>
      <c r="B211" s="80"/>
      <c r="C211" s="81">
        <f t="shared" ref="C211:K211" si="1375">SUM(C212:C214)</f>
        <v>0</v>
      </c>
      <c r="D211" s="81">
        <f t="shared" si="1375"/>
        <v>0</v>
      </c>
      <c r="E211" s="81">
        <f t="shared" si="1375"/>
        <v>0</v>
      </c>
      <c r="F211" s="81">
        <f t="shared" si="1375"/>
        <v>0</v>
      </c>
      <c r="G211" s="81">
        <f t="shared" si="1375"/>
        <v>0</v>
      </c>
      <c r="H211" s="81">
        <f t="shared" si="1375"/>
        <v>0</v>
      </c>
      <c r="I211" s="81">
        <f t="shared" si="1375"/>
        <v>0</v>
      </c>
      <c r="J211" s="81">
        <f t="shared" si="1375"/>
        <v>0</v>
      </c>
      <c r="K211" s="81">
        <f t="shared" si="1375"/>
        <v>0</v>
      </c>
      <c r="L211" s="82">
        <f>SUM(L212:L214)</f>
        <v>0</v>
      </c>
      <c r="M211" s="80"/>
      <c r="N211" s="81">
        <f t="shared" ref="N211:V211" si="1376">SUM(N212:N214)</f>
        <v>0</v>
      </c>
      <c r="O211" s="81">
        <f t="shared" si="1376"/>
        <v>0</v>
      </c>
      <c r="P211" s="81">
        <f t="shared" si="1376"/>
        <v>0</v>
      </c>
      <c r="Q211" s="81">
        <f t="shared" si="1376"/>
        <v>0</v>
      </c>
      <c r="R211" s="81">
        <f t="shared" si="1376"/>
        <v>0</v>
      </c>
      <c r="S211" s="81">
        <f t="shared" si="1376"/>
        <v>0</v>
      </c>
      <c r="T211" s="81">
        <f t="shared" si="1376"/>
        <v>0</v>
      </c>
      <c r="U211" s="81">
        <f t="shared" si="1376"/>
        <v>0</v>
      </c>
      <c r="V211" s="81">
        <f t="shared" si="1376"/>
        <v>0</v>
      </c>
      <c r="W211" s="82">
        <f>SUM(W212:W214)</f>
        <v>0</v>
      </c>
      <c r="X211" s="80"/>
      <c r="Y211" s="81">
        <f t="shared" ref="Y211:AG211" si="1377">SUM(Y212:Y214)</f>
        <v>0</v>
      </c>
      <c r="Z211" s="81">
        <f t="shared" si="1377"/>
        <v>0</v>
      </c>
      <c r="AA211" s="81">
        <f t="shared" si="1377"/>
        <v>0</v>
      </c>
      <c r="AB211" s="81">
        <f t="shared" si="1377"/>
        <v>0</v>
      </c>
      <c r="AC211" s="81">
        <f t="shared" si="1377"/>
        <v>0</v>
      </c>
      <c r="AD211" s="81">
        <f t="shared" si="1377"/>
        <v>0</v>
      </c>
      <c r="AE211" s="81">
        <f t="shared" si="1377"/>
        <v>0</v>
      </c>
      <c r="AF211" s="81">
        <f t="shared" si="1377"/>
        <v>0</v>
      </c>
      <c r="AG211" s="81">
        <f t="shared" si="1377"/>
        <v>0</v>
      </c>
      <c r="AH211" s="82">
        <f>SUM(AH212:AH214)</f>
        <v>0</v>
      </c>
      <c r="AI211" s="80"/>
      <c r="AJ211" s="81">
        <f t="shared" ref="AJ211:AR211" si="1378">SUM(AJ212:AJ214)</f>
        <v>0</v>
      </c>
      <c r="AK211" s="81">
        <f t="shared" si="1378"/>
        <v>0</v>
      </c>
      <c r="AL211" s="81">
        <f t="shared" si="1378"/>
        <v>0</v>
      </c>
      <c r="AM211" s="81">
        <f t="shared" si="1378"/>
        <v>0</v>
      </c>
      <c r="AN211" s="81">
        <f t="shared" si="1378"/>
        <v>0</v>
      </c>
      <c r="AO211" s="81">
        <f t="shared" si="1378"/>
        <v>0</v>
      </c>
      <c r="AP211" s="81">
        <f t="shared" si="1378"/>
        <v>0</v>
      </c>
      <c r="AQ211" s="81">
        <f t="shared" si="1378"/>
        <v>0</v>
      </c>
      <c r="AR211" s="81">
        <f t="shared" si="1378"/>
        <v>0</v>
      </c>
      <c r="AS211" s="82">
        <f>SUM(AS212:AS214)</f>
        <v>0</v>
      </c>
      <c r="AT211" s="80"/>
      <c r="AU211" s="81">
        <f>SUM(AU212:AU214)</f>
        <v>0</v>
      </c>
      <c r="AV211" s="81">
        <f t="shared" ref="AV211:BC211" si="1379">SUM(AV212:AV214)</f>
        <v>0</v>
      </c>
      <c r="AW211" s="81">
        <f t="shared" si="1379"/>
        <v>0</v>
      </c>
      <c r="AX211" s="81">
        <f t="shared" si="1379"/>
        <v>0</v>
      </c>
      <c r="AY211" s="81">
        <f t="shared" si="1379"/>
        <v>0</v>
      </c>
      <c r="AZ211" s="81">
        <f t="shared" si="1379"/>
        <v>0</v>
      </c>
      <c r="BA211" s="81">
        <f t="shared" si="1379"/>
        <v>0</v>
      </c>
      <c r="BB211" s="81">
        <f t="shared" si="1379"/>
        <v>0</v>
      </c>
      <c r="BC211" s="81">
        <f t="shared" si="1379"/>
        <v>0</v>
      </c>
      <c r="BD211" s="82">
        <f>SUM(BD212:BD214)</f>
        <v>0</v>
      </c>
      <c r="BE211" s="80"/>
      <c r="BF211" s="81">
        <f t="shared" ref="BF211:BN211" si="1380">SUM(BF212:BF214)</f>
        <v>0</v>
      </c>
      <c r="BG211" s="81">
        <f t="shared" si="1380"/>
        <v>0</v>
      </c>
      <c r="BH211" s="81">
        <f t="shared" si="1380"/>
        <v>0</v>
      </c>
      <c r="BI211" s="81">
        <f t="shared" si="1380"/>
        <v>0</v>
      </c>
      <c r="BJ211" s="81">
        <f t="shared" si="1380"/>
        <v>0</v>
      </c>
      <c r="BK211" s="81">
        <f t="shared" si="1380"/>
        <v>0</v>
      </c>
      <c r="BL211" s="81">
        <f t="shared" si="1380"/>
        <v>0</v>
      </c>
      <c r="BM211" s="81">
        <f t="shared" si="1380"/>
        <v>0</v>
      </c>
      <c r="BN211" s="81">
        <f t="shared" si="1380"/>
        <v>0</v>
      </c>
      <c r="BO211" s="82">
        <f>SUM(BO212:BO214)</f>
        <v>0</v>
      </c>
      <c r="BP211" s="80"/>
      <c r="BQ211" s="81">
        <f t="shared" ref="BQ211:BY211" si="1381">SUM(BQ212:BQ214)</f>
        <v>0</v>
      </c>
      <c r="BR211" s="81">
        <f t="shared" si="1381"/>
        <v>0</v>
      </c>
      <c r="BS211" s="81">
        <f t="shared" si="1381"/>
        <v>0</v>
      </c>
      <c r="BT211" s="81">
        <f t="shared" si="1381"/>
        <v>0</v>
      </c>
      <c r="BU211" s="81">
        <f t="shared" si="1381"/>
        <v>0</v>
      </c>
      <c r="BV211" s="81">
        <f t="shared" si="1381"/>
        <v>0</v>
      </c>
      <c r="BW211" s="81">
        <f t="shared" si="1381"/>
        <v>0</v>
      </c>
      <c r="BX211" s="81">
        <f t="shared" si="1381"/>
        <v>0</v>
      </c>
      <c r="BY211" s="81">
        <f t="shared" si="1381"/>
        <v>0</v>
      </c>
      <c r="BZ211" s="82">
        <f>SUM(BZ212:BZ214)</f>
        <v>0</v>
      </c>
      <c r="CA211" s="80"/>
      <c r="CB211" s="81">
        <f t="shared" ref="CB211:CJ211" si="1382">SUM(CB212:CB214)</f>
        <v>0</v>
      </c>
      <c r="CC211" s="81">
        <f t="shared" si="1382"/>
        <v>0</v>
      </c>
      <c r="CD211" s="81">
        <f t="shared" si="1382"/>
        <v>0</v>
      </c>
      <c r="CE211" s="81">
        <f t="shared" si="1382"/>
        <v>0</v>
      </c>
      <c r="CF211" s="81">
        <f t="shared" si="1382"/>
        <v>0</v>
      </c>
      <c r="CG211" s="81">
        <f t="shared" si="1382"/>
        <v>0</v>
      </c>
      <c r="CH211" s="81">
        <f t="shared" si="1382"/>
        <v>0</v>
      </c>
      <c r="CI211" s="81">
        <f t="shared" si="1382"/>
        <v>0</v>
      </c>
      <c r="CJ211" s="81">
        <f t="shared" si="1382"/>
        <v>0</v>
      </c>
      <c r="CK211" s="82">
        <f>SUM(CK212:CK214)</f>
        <v>0</v>
      </c>
      <c r="CL211" s="80"/>
      <c r="CM211" s="81">
        <f>SUM(CM212:CM214)</f>
        <v>0</v>
      </c>
      <c r="CN211" s="81">
        <f t="shared" ref="CN211:CU211" si="1383">SUM(CN212:CN214)</f>
        <v>0</v>
      </c>
      <c r="CO211" s="81">
        <f t="shared" si="1383"/>
        <v>0</v>
      </c>
      <c r="CP211" s="81">
        <f t="shared" si="1383"/>
        <v>0</v>
      </c>
      <c r="CQ211" s="81">
        <f t="shared" si="1383"/>
        <v>0</v>
      </c>
      <c r="CR211" s="81">
        <f t="shared" si="1383"/>
        <v>0</v>
      </c>
      <c r="CS211" s="81">
        <f t="shared" si="1383"/>
        <v>0</v>
      </c>
      <c r="CT211" s="81">
        <f t="shared" si="1383"/>
        <v>0</v>
      </c>
      <c r="CU211" s="81">
        <f t="shared" si="1383"/>
        <v>0</v>
      </c>
      <c r="CV211" s="82">
        <f>SUM(CV212:CV214)</f>
        <v>0</v>
      </c>
      <c r="CW211" s="80"/>
      <c r="CX211" s="81">
        <f t="shared" ref="CX211:DF211" si="1384">SUM(CX212:CX214)</f>
        <v>0</v>
      </c>
      <c r="CY211" s="81">
        <f t="shared" si="1384"/>
        <v>0</v>
      </c>
      <c r="CZ211" s="81">
        <f t="shared" si="1384"/>
        <v>0</v>
      </c>
      <c r="DA211" s="81">
        <f t="shared" si="1384"/>
        <v>0</v>
      </c>
      <c r="DB211" s="81">
        <f t="shared" si="1384"/>
        <v>0</v>
      </c>
      <c r="DC211" s="81">
        <f t="shared" si="1384"/>
        <v>0</v>
      </c>
      <c r="DD211" s="81">
        <f t="shared" si="1384"/>
        <v>0</v>
      </c>
      <c r="DE211" s="81">
        <f t="shared" si="1384"/>
        <v>0</v>
      </c>
      <c r="DF211" s="81">
        <f t="shared" si="1384"/>
        <v>0</v>
      </c>
      <c r="DG211" s="82">
        <f>SUM(DG212:DG214)</f>
        <v>0</v>
      </c>
      <c r="DH211" s="80"/>
      <c r="DI211" s="81">
        <f t="shared" ref="DI211:DQ211" si="1385">SUM(DI212:DI214)</f>
        <v>0</v>
      </c>
      <c r="DJ211" s="81">
        <f t="shared" si="1385"/>
        <v>0</v>
      </c>
      <c r="DK211" s="81">
        <f t="shared" si="1385"/>
        <v>0</v>
      </c>
      <c r="DL211" s="81">
        <f t="shared" si="1385"/>
        <v>0</v>
      </c>
      <c r="DM211" s="81">
        <f t="shared" si="1385"/>
        <v>0</v>
      </c>
      <c r="DN211" s="81">
        <f t="shared" si="1385"/>
        <v>0</v>
      </c>
      <c r="DO211" s="81">
        <f t="shared" si="1385"/>
        <v>0</v>
      </c>
      <c r="DP211" s="81">
        <f t="shared" si="1385"/>
        <v>0</v>
      </c>
      <c r="DQ211" s="81">
        <f t="shared" si="1385"/>
        <v>0</v>
      </c>
      <c r="DR211" s="82">
        <f>SUM(DR212:DR214)</f>
        <v>0</v>
      </c>
      <c r="DS211" s="80"/>
      <c r="DT211" s="81">
        <f t="shared" ref="DT211:EB211" si="1386">SUM(DT212:DT214)</f>
        <v>0</v>
      </c>
      <c r="DU211" s="81">
        <f t="shared" si="1386"/>
        <v>0</v>
      </c>
      <c r="DV211" s="81">
        <f t="shared" si="1386"/>
        <v>0</v>
      </c>
      <c r="DW211" s="81">
        <f t="shared" si="1386"/>
        <v>0</v>
      </c>
      <c r="DX211" s="81">
        <f t="shared" si="1386"/>
        <v>0</v>
      </c>
      <c r="DY211" s="81">
        <f t="shared" si="1386"/>
        <v>0</v>
      </c>
      <c r="DZ211" s="81">
        <f t="shared" si="1386"/>
        <v>0</v>
      </c>
      <c r="EA211" s="81">
        <f t="shared" si="1386"/>
        <v>0</v>
      </c>
      <c r="EB211" s="81">
        <f t="shared" si="1386"/>
        <v>0</v>
      </c>
      <c r="EC211" s="81">
        <f>SUM(EC212:EC214)</f>
        <v>0</v>
      </c>
      <c r="ED211" s="80"/>
      <c r="EE211" s="81">
        <f>SUM(EE212:EE214)</f>
        <v>0</v>
      </c>
      <c r="EF211" s="81">
        <f t="shared" ref="EF211:EM211" si="1387">SUM(EF212:EF214)</f>
        <v>0</v>
      </c>
      <c r="EG211" s="81">
        <f t="shared" si="1387"/>
        <v>0</v>
      </c>
      <c r="EH211" s="81">
        <f t="shared" si="1387"/>
        <v>0</v>
      </c>
      <c r="EI211" s="81">
        <f t="shared" si="1387"/>
        <v>0</v>
      </c>
      <c r="EJ211" s="81">
        <f t="shared" si="1387"/>
        <v>0</v>
      </c>
      <c r="EK211" s="81">
        <f t="shared" si="1387"/>
        <v>0</v>
      </c>
      <c r="EL211" s="81">
        <f t="shared" si="1387"/>
        <v>0</v>
      </c>
      <c r="EM211" s="81">
        <f t="shared" si="1387"/>
        <v>0</v>
      </c>
      <c r="EN211" s="82">
        <f>SUM(EN212:EN214)</f>
        <v>0</v>
      </c>
      <c r="EO211" s="80"/>
      <c r="EP211" s="81">
        <f t="shared" ref="EP211:EX211" si="1388">SUM(EP212:EP214)</f>
        <v>0</v>
      </c>
      <c r="EQ211" s="81">
        <f t="shared" si="1388"/>
        <v>0</v>
      </c>
      <c r="ER211" s="81">
        <f t="shared" si="1388"/>
        <v>0</v>
      </c>
      <c r="ES211" s="81">
        <f t="shared" si="1388"/>
        <v>0</v>
      </c>
      <c r="ET211" s="81">
        <f t="shared" si="1388"/>
        <v>0</v>
      </c>
      <c r="EU211" s="81">
        <f t="shared" si="1388"/>
        <v>0</v>
      </c>
      <c r="EV211" s="81">
        <f t="shared" si="1388"/>
        <v>0</v>
      </c>
      <c r="EW211" s="81">
        <f t="shared" si="1388"/>
        <v>0</v>
      </c>
      <c r="EX211" s="81">
        <f t="shared" si="1388"/>
        <v>0</v>
      </c>
      <c r="EY211" s="82">
        <f>SUM(EY212:EY214)</f>
        <v>0</v>
      </c>
      <c r="EZ211" s="80"/>
      <c r="FA211" s="81">
        <f t="shared" ref="FA211:FI211" si="1389">SUM(FA212:FA214)</f>
        <v>0</v>
      </c>
      <c r="FB211" s="81">
        <f t="shared" si="1389"/>
        <v>0</v>
      </c>
      <c r="FC211" s="81">
        <f t="shared" si="1389"/>
        <v>0</v>
      </c>
      <c r="FD211" s="81">
        <f t="shared" si="1389"/>
        <v>0</v>
      </c>
      <c r="FE211" s="81">
        <f t="shared" si="1389"/>
        <v>0</v>
      </c>
      <c r="FF211" s="81">
        <f t="shared" si="1389"/>
        <v>0</v>
      </c>
      <c r="FG211" s="81">
        <f t="shared" si="1389"/>
        <v>0</v>
      </c>
      <c r="FH211" s="81">
        <f t="shared" si="1389"/>
        <v>0</v>
      </c>
      <c r="FI211" s="81">
        <f t="shared" si="1389"/>
        <v>0</v>
      </c>
      <c r="FJ211" s="82">
        <f>SUM(FJ212:FJ214)</f>
        <v>0</v>
      </c>
      <c r="FK211" s="80"/>
      <c r="FL211" s="81">
        <f t="shared" ref="FL211:FT211" si="1390">SUM(FL212:FL214)</f>
        <v>0</v>
      </c>
      <c r="FM211" s="81">
        <f t="shared" si="1390"/>
        <v>0</v>
      </c>
      <c r="FN211" s="81">
        <f t="shared" si="1390"/>
        <v>0</v>
      </c>
      <c r="FO211" s="81">
        <f t="shared" si="1390"/>
        <v>0</v>
      </c>
      <c r="FP211" s="81">
        <f t="shared" si="1390"/>
        <v>0</v>
      </c>
      <c r="FQ211" s="81">
        <f t="shared" si="1390"/>
        <v>0</v>
      </c>
      <c r="FR211" s="81">
        <f t="shared" si="1390"/>
        <v>0</v>
      </c>
      <c r="FS211" s="81">
        <f t="shared" si="1390"/>
        <v>0</v>
      </c>
      <c r="FT211" s="81">
        <f t="shared" si="1390"/>
        <v>0</v>
      </c>
      <c r="FU211" s="82">
        <f>SUM(FU212:FU214)</f>
        <v>0</v>
      </c>
      <c r="FV211" s="80"/>
      <c r="FW211" s="81">
        <f>SUM(FW212:FW214)</f>
        <v>0</v>
      </c>
      <c r="FX211" s="81">
        <f t="shared" ref="FX211:GE211" si="1391">SUM(FX212:FX214)</f>
        <v>0</v>
      </c>
      <c r="FY211" s="81">
        <f t="shared" si="1391"/>
        <v>0</v>
      </c>
      <c r="FZ211" s="81">
        <f t="shared" si="1391"/>
        <v>0</v>
      </c>
      <c r="GA211" s="81">
        <f t="shared" si="1391"/>
        <v>0</v>
      </c>
      <c r="GB211" s="81">
        <f t="shared" si="1391"/>
        <v>0</v>
      </c>
      <c r="GC211" s="81">
        <f t="shared" si="1391"/>
        <v>0</v>
      </c>
      <c r="GD211" s="81">
        <f t="shared" si="1391"/>
        <v>0</v>
      </c>
      <c r="GE211" s="81">
        <f t="shared" si="1391"/>
        <v>0</v>
      </c>
      <c r="GF211" s="82">
        <f>SUM(GF212:GF214)</f>
        <v>0</v>
      </c>
      <c r="GG211" s="80"/>
      <c r="GH211" s="81">
        <f t="shared" ref="GH211:GP211" si="1392">SUM(GH212:GH214)</f>
        <v>0</v>
      </c>
      <c r="GI211" s="81">
        <f t="shared" si="1392"/>
        <v>0</v>
      </c>
      <c r="GJ211" s="81">
        <f t="shared" si="1392"/>
        <v>0</v>
      </c>
      <c r="GK211" s="81">
        <f t="shared" si="1392"/>
        <v>0</v>
      </c>
      <c r="GL211" s="81">
        <f t="shared" si="1392"/>
        <v>0</v>
      </c>
      <c r="GM211" s="81">
        <f t="shared" si="1392"/>
        <v>0</v>
      </c>
      <c r="GN211" s="81">
        <f t="shared" si="1392"/>
        <v>0</v>
      </c>
      <c r="GO211" s="81">
        <f t="shared" si="1392"/>
        <v>0</v>
      </c>
      <c r="GP211" s="81">
        <f t="shared" si="1392"/>
        <v>0</v>
      </c>
      <c r="GQ211" s="82">
        <f t="shared" ref="GQ211:HV211" si="1393">SUM(GQ212:GQ214)</f>
        <v>0</v>
      </c>
      <c r="GR211" s="81">
        <f t="shared" si="1393"/>
        <v>0</v>
      </c>
      <c r="GS211" s="81">
        <f t="shared" si="1393"/>
        <v>0</v>
      </c>
      <c r="GT211" s="81">
        <f t="shared" si="1393"/>
        <v>0</v>
      </c>
      <c r="GU211" s="81">
        <f t="shared" si="1393"/>
        <v>0</v>
      </c>
      <c r="GV211" s="81">
        <f t="shared" si="1393"/>
        <v>0</v>
      </c>
      <c r="GW211" s="81">
        <f t="shared" si="1393"/>
        <v>0</v>
      </c>
      <c r="GX211" s="81">
        <f t="shared" si="1393"/>
        <v>0</v>
      </c>
      <c r="GY211" s="81">
        <f t="shared" si="1393"/>
        <v>0</v>
      </c>
      <c r="GZ211" s="81">
        <f t="shared" si="1393"/>
        <v>0</v>
      </c>
      <c r="HA211" s="81">
        <f t="shared" si="1393"/>
        <v>0</v>
      </c>
      <c r="HB211" s="81">
        <f t="shared" si="1393"/>
        <v>0</v>
      </c>
      <c r="HC211" s="81">
        <f t="shared" si="1393"/>
        <v>0</v>
      </c>
      <c r="HD211" s="81">
        <f t="shared" si="1393"/>
        <v>0</v>
      </c>
      <c r="HE211" s="81">
        <f t="shared" si="1393"/>
        <v>0</v>
      </c>
      <c r="HF211" s="81">
        <f t="shared" si="1393"/>
        <v>0</v>
      </c>
      <c r="HG211" s="81">
        <f t="shared" si="1393"/>
        <v>0</v>
      </c>
      <c r="HH211" s="81">
        <f t="shared" si="1393"/>
        <v>0</v>
      </c>
      <c r="HI211" s="81">
        <f t="shared" si="1393"/>
        <v>0</v>
      </c>
      <c r="HJ211" s="81">
        <f t="shared" si="1393"/>
        <v>0</v>
      </c>
      <c r="HK211" s="81">
        <f t="shared" si="1393"/>
        <v>0</v>
      </c>
      <c r="HL211" s="81">
        <f t="shared" si="1393"/>
        <v>0</v>
      </c>
      <c r="HM211" s="81">
        <f t="shared" si="1393"/>
        <v>0</v>
      </c>
      <c r="HN211" s="81">
        <f t="shared" si="1393"/>
        <v>0</v>
      </c>
      <c r="HO211" s="81">
        <f t="shared" si="1393"/>
        <v>0</v>
      </c>
      <c r="HP211" s="81">
        <f t="shared" si="1393"/>
        <v>0</v>
      </c>
      <c r="HQ211" s="81">
        <f t="shared" si="1393"/>
        <v>0</v>
      </c>
      <c r="HR211" s="81">
        <f t="shared" si="1393"/>
        <v>0</v>
      </c>
      <c r="HS211" s="81">
        <f t="shared" si="1393"/>
        <v>0</v>
      </c>
      <c r="HT211" s="81">
        <f t="shared" si="1393"/>
        <v>0</v>
      </c>
      <c r="HU211" s="81">
        <f t="shared" si="1393"/>
        <v>0</v>
      </c>
      <c r="HV211" s="81">
        <f t="shared" si="1393"/>
        <v>0</v>
      </c>
      <c r="HW211" s="81">
        <f t="shared" ref="HW211:IV211" si="1394">SUM(HW212:HW214)</f>
        <v>0</v>
      </c>
      <c r="HX211" s="81">
        <f t="shared" si="1394"/>
        <v>0</v>
      </c>
      <c r="HY211" s="81">
        <f t="shared" si="1394"/>
        <v>0</v>
      </c>
      <c r="HZ211" s="81">
        <f t="shared" si="1394"/>
        <v>0</v>
      </c>
      <c r="IA211" s="81">
        <f t="shared" si="1394"/>
        <v>0</v>
      </c>
      <c r="IB211" s="81">
        <f t="shared" si="1394"/>
        <v>0</v>
      </c>
      <c r="IC211" s="81">
        <f t="shared" si="1394"/>
        <v>0</v>
      </c>
      <c r="ID211" s="81">
        <f t="shared" si="1394"/>
        <v>0</v>
      </c>
      <c r="IE211" s="81">
        <f t="shared" si="1394"/>
        <v>0</v>
      </c>
      <c r="IF211" s="81">
        <f t="shared" si="1394"/>
        <v>0</v>
      </c>
      <c r="IG211" s="81">
        <f t="shared" si="1394"/>
        <v>0</v>
      </c>
      <c r="IH211" s="81">
        <f t="shared" si="1394"/>
        <v>0</v>
      </c>
      <c r="II211" s="81">
        <f t="shared" si="1394"/>
        <v>0</v>
      </c>
      <c r="IJ211" s="81">
        <f t="shared" si="1394"/>
        <v>0</v>
      </c>
      <c r="IK211" s="81">
        <f t="shared" si="1394"/>
        <v>0</v>
      </c>
      <c r="IL211" s="81">
        <f t="shared" si="1394"/>
        <v>0</v>
      </c>
      <c r="IM211" s="81">
        <f t="shared" si="1394"/>
        <v>0</v>
      </c>
      <c r="IN211" s="81">
        <f t="shared" si="1394"/>
        <v>0</v>
      </c>
      <c r="IO211" s="81">
        <f t="shared" si="1394"/>
        <v>0</v>
      </c>
      <c r="IP211" s="81">
        <f t="shared" si="1394"/>
        <v>0</v>
      </c>
      <c r="IQ211" s="81">
        <f t="shared" si="1394"/>
        <v>0</v>
      </c>
      <c r="IR211" s="81">
        <f t="shared" si="1394"/>
        <v>0</v>
      </c>
      <c r="IS211" s="81">
        <f t="shared" si="1394"/>
        <v>0</v>
      </c>
      <c r="IT211" s="81">
        <f t="shared" si="1394"/>
        <v>0</v>
      </c>
      <c r="IU211" s="81">
        <f t="shared" si="1394"/>
        <v>0</v>
      </c>
      <c r="IV211" s="81">
        <f t="shared" si="1394"/>
        <v>0</v>
      </c>
    </row>
    <row r="212" spans="1:256" x14ac:dyDescent="0.25">
      <c r="A212" s="84" t="s">
        <v>188</v>
      </c>
      <c r="B212" s="62">
        <v>1620</v>
      </c>
      <c r="C212" s="63">
        <v>0</v>
      </c>
      <c r="D212" s="63">
        <v>0</v>
      </c>
      <c r="E212" s="63">
        <v>0</v>
      </c>
      <c r="F212" s="63">
        <v>0</v>
      </c>
      <c r="G212" s="63">
        <v>0</v>
      </c>
      <c r="H212" s="63">
        <v>0</v>
      </c>
      <c r="I212" s="63">
        <v>0</v>
      </c>
      <c r="J212" s="63">
        <v>0</v>
      </c>
      <c r="K212" s="63"/>
      <c r="L212" s="64">
        <f>SUM(C212:F212,H212:K212)</f>
        <v>0</v>
      </c>
      <c r="M212" s="62"/>
      <c r="N212" s="63"/>
      <c r="O212" s="63"/>
      <c r="P212" s="63"/>
      <c r="Q212" s="63"/>
      <c r="R212" s="63"/>
      <c r="S212" s="63"/>
      <c r="T212" s="63"/>
      <c r="U212" s="63"/>
      <c r="V212" s="63"/>
      <c r="W212" s="64">
        <f>SUM(N212:Q212,S212:V212)</f>
        <v>0</v>
      </c>
      <c r="X212" s="62"/>
      <c r="Y212" s="63"/>
      <c r="Z212" s="63"/>
      <c r="AA212" s="63"/>
      <c r="AB212" s="63"/>
      <c r="AC212" s="63"/>
      <c r="AD212" s="63"/>
      <c r="AE212" s="63"/>
      <c r="AF212" s="63"/>
      <c r="AG212" s="63"/>
      <c r="AH212" s="64">
        <f>SUM(Y212:AB212,AD212:AG212)</f>
        <v>0</v>
      </c>
      <c r="AI212" s="62"/>
      <c r="AJ212" s="63"/>
      <c r="AK212" s="63"/>
      <c r="AL212" s="63"/>
      <c r="AM212" s="63"/>
      <c r="AN212" s="63"/>
      <c r="AO212" s="63"/>
      <c r="AP212" s="63"/>
      <c r="AQ212" s="63"/>
      <c r="AR212" s="63"/>
      <c r="AS212" s="64">
        <f>SUM(AJ212:AM212,AO212:AR212)</f>
        <v>0</v>
      </c>
      <c r="AT212" s="65">
        <f t="shared" ref="AT212:BC214" si="1395">SUM(M212,AI212,X212)</f>
        <v>0</v>
      </c>
      <c r="AU212" s="65">
        <f t="shared" si="1395"/>
        <v>0</v>
      </c>
      <c r="AV212" s="65">
        <f t="shared" si="1395"/>
        <v>0</v>
      </c>
      <c r="AW212" s="65">
        <f t="shared" si="1395"/>
        <v>0</v>
      </c>
      <c r="AX212" s="65">
        <f t="shared" si="1395"/>
        <v>0</v>
      </c>
      <c r="AY212" s="65">
        <f t="shared" si="1395"/>
        <v>0</v>
      </c>
      <c r="AZ212" s="65">
        <f t="shared" si="1395"/>
        <v>0</v>
      </c>
      <c r="BA212" s="65">
        <f t="shared" si="1395"/>
        <v>0</v>
      </c>
      <c r="BB212" s="65">
        <f t="shared" si="1395"/>
        <v>0</v>
      </c>
      <c r="BC212" s="65">
        <f t="shared" si="1395"/>
        <v>0</v>
      </c>
      <c r="BD212" s="64">
        <f>SUM(AU212:AX212,AZ212:BC212)</f>
        <v>0</v>
      </c>
      <c r="BE212" s="62"/>
      <c r="BF212" s="63"/>
      <c r="BG212" s="63"/>
      <c r="BH212" s="63"/>
      <c r="BI212" s="63"/>
      <c r="BJ212" s="63"/>
      <c r="BK212" s="63"/>
      <c r="BL212" s="63"/>
      <c r="BM212" s="63"/>
      <c r="BN212" s="63"/>
      <c r="BO212" s="64">
        <f>SUM(BF212:BI212,BK212:BN212)</f>
        <v>0</v>
      </c>
      <c r="BP212" s="62"/>
      <c r="BQ212" s="63"/>
      <c r="BR212" s="63"/>
      <c r="BS212" s="63"/>
      <c r="BT212" s="63"/>
      <c r="BU212" s="63"/>
      <c r="BV212" s="63"/>
      <c r="BW212" s="63"/>
      <c r="BX212" s="63"/>
      <c r="BY212" s="63"/>
      <c r="BZ212" s="64">
        <f>SUM(BQ212:BT212,BV212:BY212)</f>
        <v>0</v>
      </c>
      <c r="CA212" s="62"/>
      <c r="CB212" s="63"/>
      <c r="CC212" s="63"/>
      <c r="CD212" s="63"/>
      <c r="CE212" s="63"/>
      <c r="CF212" s="63"/>
      <c r="CG212" s="63"/>
      <c r="CH212" s="63"/>
      <c r="CI212" s="63"/>
      <c r="CJ212" s="63"/>
      <c r="CK212" s="64">
        <f>SUM(CB212:CE212,CG212:CJ212)</f>
        <v>0</v>
      </c>
      <c r="CL212" s="65">
        <f t="shared" ref="CL212:CU214" si="1396">SUM(BE212,CA212,BP212)</f>
        <v>0</v>
      </c>
      <c r="CM212" s="65">
        <f t="shared" si="1396"/>
        <v>0</v>
      </c>
      <c r="CN212" s="65">
        <f t="shared" si="1396"/>
        <v>0</v>
      </c>
      <c r="CO212" s="65">
        <f t="shared" si="1396"/>
        <v>0</v>
      </c>
      <c r="CP212" s="65">
        <f t="shared" si="1396"/>
        <v>0</v>
      </c>
      <c r="CQ212" s="65">
        <f t="shared" si="1396"/>
        <v>0</v>
      </c>
      <c r="CR212" s="65">
        <f t="shared" si="1396"/>
        <v>0</v>
      </c>
      <c r="CS212" s="65">
        <f t="shared" si="1396"/>
        <v>0</v>
      </c>
      <c r="CT212" s="65">
        <f t="shared" si="1396"/>
        <v>0</v>
      </c>
      <c r="CU212" s="65">
        <f t="shared" si="1396"/>
        <v>0</v>
      </c>
      <c r="CV212" s="64">
        <f>SUM(CM212:CP212,CR212:CU212)</f>
        <v>0</v>
      </c>
      <c r="CW212" s="62"/>
      <c r="CX212" s="63"/>
      <c r="CY212" s="63"/>
      <c r="CZ212" s="63"/>
      <c r="DA212" s="63"/>
      <c r="DB212" s="63"/>
      <c r="DC212" s="63"/>
      <c r="DD212" s="63"/>
      <c r="DE212" s="63"/>
      <c r="DF212" s="63"/>
      <c r="DG212" s="64">
        <f>SUM(CX212:DA212,DC212:DF212)</f>
        <v>0</v>
      </c>
      <c r="DH212" s="62"/>
      <c r="DI212" s="63"/>
      <c r="DJ212" s="63"/>
      <c r="DK212" s="63"/>
      <c r="DL212" s="63"/>
      <c r="DM212" s="63"/>
      <c r="DN212" s="63"/>
      <c r="DO212" s="63"/>
      <c r="DP212" s="63"/>
      <c r="DQ212" s="63"/>
      <c r="DR212" s="64">
        <f>SUM(DI212:DL212,DN212:DQ212)</f>
        <v>0</v>
      </c>
      <c r="DS212" s="62"/>
      <c r="DT212" s="63"/>
      <c r="DU212" s="63"/>
      <c r="DV212" s="63"/>
      <c r="DW212" s="63"/>
      <c r="DX212" s="63"/>
      <c r="DY212" s="63"/>
      <c r="DZ212" s="63"/>
      <c r="EA212" s="63"/>
      <c r="EB212" s="63"/>
      <c r="EC212" s="63"/>
      <c r="ED212" s="65">
        <f t="shared" ref="ED212:EM214" si="1397">SUM(CW212,DS212,DH212)</f>
        <v>0</v>
      </c>
      <c r="EE212" s="65">
        <f t="shared" si="1397"/>
        <v>0</v>
      </c>
      <c r="EF212" s="65">
        <f t="shared" si="1397"/>
        <v>0</v>
      </c>
      <c r="EG212" s="65">
        <f t="shared" si="1397"/>
        <v>0</v>
      </c>
      <c r="EH212" s="65">
        <f t="shared" si="1397"/>
        <v>0</v>
      </c>
      <c r="EI212" s="65">
        <f t="shared" si="1397"/>
        <v>0</v>
      </c>
      <c r="EJ212" s="65">
        <f t="shared" si="1397"/>
        <v>0</v>
      </c>
      <c r="EK212" s="65">
        <f t="shared" si="1397"/>
        <v>0</v>
      </c>
      <c r="EL212" s="65">
        <f t="shared" si="1397"/>
        <v>0</v>
      </c>
      <c r="EM212" s="65">
        <f t="shared" si="1397"/>
        <v>0</v>
      </c>
      <c r="EN212" s="64">
        <f>SUM(EE212:EH212,EJ212:EM212)</f>
        <v>0</v>
      </c>
      <c r="EO212" s="62"/>
      <c r="EP212" s="63"/>
      <c r="EQ212" s="63"/>
      <c r="ER212" s="63"/>
      <c r="ES212" s="63"/>
      <c r="ET212" s="63"/>
      <c r="EU212" s="63"/>
      <c r="EV212" s="63"/>
      <c r="EW212" s="63"/>
      <c r="EX212" s="63"/>
      <c r="EY212" s="64">
        <f>SUM(EP212:ES212,EU212:EX212)</f>
        <v>0</v>
      </c>
      <c r="EZ212" s="62"/>
      <c r="FA212" s="63"/>
      <c r="FB212" s="63"/>
      <c r="FC212" s="63"/>
      <c r="FD212" s="63"/>
      <c r="FE212" s="63"/>
      <c r="FF212" s="63"/>
      <c r="FG212" s="63"/>
      <c r="FH212" s="63"/>
      <c r="FI212" s="63"/>
      <c r="FJ212" s="64">
        <f>SUM(FA212:FD212,FF212:FI212)</f>
        <v>0</v>
      </c>
      <c r="FK212" s="62"/>
      <c r="FL212" s="63"/>
      <c r="FM212" s="63"/>
      <c r="FN212" s="63"/>
      <c r="FO212" s="63"/>
      <c r="FP212" s="63"/>
      <c r="FQ212" s="63"/>
      <c r="FR212" s="63"/>
      <c r="FS212" s="63"/>
      <c r="FT212" s="63"/>
      <c r="FU212" s="64">
        <f>SUM(FL212:FO212,FQ212:FT212)</f>
        <v>0</v>
      </c>
      <c r="FV212" s="65">
        <f t="shared" ref="FV212:GE214" si="1398">SUM(EO212,FK212,EZ212)</f>
        <v>0</v>
      </c>
      <c r="FW212" s="65">
        <f t="shared" si="1398"/>
        <v>0</v>
      </c>
      <c r="FX212" s="65">
        <f t="shared" si="1398"/>
        <v>0</v>
      </c>
      <c r="FY212" s="65">
        <f t="shared" si="1398"/>
        <v>0</v>
      </c>
      <c r="FZ212" s="65">
        <f t="shared" si="1398"/>
        <v>0</v>
      </c>
      <c r="GA212" s="65">
        <f t="shared" si="1398"/>
        <v>0</v>
      </c>
      <c r="GB212" s="65">
        <f t="shared" si="1398"/>
        <v>0</v>
      </c>
      <c r="GC212" s="65">
        <f t="shared" si="1398"/>
        <v>0</v>
      </c>
      <c r="GD212" s="65">
        <f t="shared" si="1398"/>
        <v>0</v>
      </c>
      <c r="GE212" s="65">
        <f t="shared" si="1398"/>
        <v>0</v>
      </c>
      <c r="GF212" s="64">
        <f>SUM(FW212:FZ212,GB212:GE212)</f>
        <v>0</v>
      </c>
      <c r="GG212" s="66">
        <f t="shared" ref="GG212:GP214" si="1399">SUM(AT212,CL212,ED212,FV212)</f>
        <v>0</v>
      </c>
      <c r="GH212" s="66">
        <f t="shared" si="1399"/>
        <v>0</v>
      </c>
      <c r="GI212" s="66">
        <f t="shared" si="1399"/>
        <v>0</v>
      </c>
      <c r="GJ212" s="66">
        <f t="shared" si="1399"/>
        <v>0</v>
      </c>
      <c r="GK212" s="66">
        <f t="shared" si="1399"/>
        <v>0</v>
      </c>
      <c r="GL212" s="66">
        <f t="shared" si="1399"/>
        <v>0</v>
      </c>
      <c r="GM212" s="66">
        <f t="shared" si="1399"/>
        <v>0</v>
      </c>
      <c r="GN212" s="66">
        <f t="shared" si="1399"/>
        <v>0</v>
      </c>
      <c r="GO212" s="66">
        <f t="shared" si="1399"/>
        <v>0</v>
      </c>
      <c r="GP212" s="66">
        <f t="shared" si="1399"/>
        <v>0</v>
      </c>
      <c r="GQ212" s="64">
        <f>SUM(GH212:GK212,GM212:GP212)</f>
        <v>0</v>
      </c>
      <c r="GR212" s="63"/>
      <c r="GS212" s="63"/>
      <c r="GT212" s="63"/>
      <c r="GU212" s="63"/>
      <c r="GV212" s="67">
        <f>SUM(GR212:GU212)</f>
        <v>0</v>
      </c>
      <c r="GW212" s="63"/>
      <c r="GX212" s="63"/>
      <c r="GY212" s="63"/>
      <c r="GZ212" s="63"/>
      <c r="HA212" s="67">
        <f>SUM(GW212:GZ212)</f>
        <v>0</v>
      </c>
      <c r="HB212" s="63"/>
      <c r="HC212" s="63"/>
      <c r="HD212" s="63"/>
      <c r="HE212" s="63"/>
      <c r="HF212" s="67">
        <f>SUM(HB212:HE212)</f>
        <v>0</v>
      </c>
      <c r="HG212" s="63"/>
      <c r="HH212" s="63"/>
      <c r="HI212" s="63"/>
      <c r="HJ212" s="63"/>
      <c r="HK212" s="67">
        <f>SUM(HG212:HJ212)</f>
        <v>0</v>
      </c>
      <c r="HL212" s="68">
        <f t="shared" ref="HL212:HO214" si="1400">SUM(GW212,HB212,HG212)</f>
        <v>0</v>
      </c>
      <c r="HM212" s="68">
        <f t="shared" si="1400"/>
        <v>0</v>
      </c>
      <c r="HN212" s="68">
        <f t="shared" si="1400"/>
        <v>0</v>
      </c>
      <c r="HO212" s="68">
        <f t="shared" si="1400"/>
        <v>0</v>
      </c>
      <c r="HP212" s="67">
        <f>SUM(HL212:HO212)</f>
        <v>0</v>
      </c>
      <c r="HQ212" s="63"/>
      <c r="HR212" s="63"/>
      <c r="HS212" s="63"/>
      <c r="HT212" s="63"/>
      <c r="HU212" s="67">
        <f>SUM(HQ212:HT212)</f>
        <v>0</v>
      </c>
      <c r="HV212" s="63"/>
      <c r="HW212" s="63"/>
      <c r="HX212" s="63"/>
      <c r="HY212" s="63"/>
      <c r="HZ212" s="67">
        <f>SUM(HV212:HY212)</f>
        <v>0</v>
      </c>
      <c r="IA212" s="63"/>
      <c r="IB212" s="63"/>
      <c r="IC212" s="63"/>
      <c r="ID212" s="63"/>
      <c r="IE212" s="67">
        <f>SUM(IA212:ID212)</f>
        <v>0</v>
      </c>
      <c r="IF212" s="68">
        <f t="shared" ref="IF212:II214" si="1401">SUM(HQ212,HV212,IA212)</f>
        <v>0</v>
      </c>
      <c r="IG212" s="68">
        <f t="shared" si="1401"/>
        <v>0</v>
      </c>
      <c r="IH212" s="68">
        <f t="shared" si="1401"/>
        <v>0</v>
      </c>
      <c r="II212" s="68">
        <f t="shared" si="1401"/>
        <v>0</v>
      </c>
      <c r="IJ212" s="67">
        <f>SUM(IF212:II212)</f>
        <v>0</v>
      </c>
      <c r="IK212" s="63"/>
      <c r="IL212" s="63"/>
      <c r="IM212" s="63"/>
      <c r="IN212" s="63"/>
      <c r="IO212" s="67">
        <f>SUM(IK212:IN212)</f>
        <v>0</v>
      </c>
      <c r="IP212" s="63"/>
      <c r="IQ212" s="63"/>
      <c r="IR212" s="63"/>
      <c r="IS212" s="63"/>
      <c r="IT212" s="67">
        <f>SUM(IP212:IS212)</f>
        <v>0</v>
      </c>
      <c r="IU212" s="63"/>
      <c r="IV212" s="63"/>
    </row>
    <row r="213" spans="1:256" x14ac:dyDescent="0.25">
      <c r="A213" s="84" t="s">
        <v>185</v>
      </c>
      <c r="B213" s="62">
        <v>1620</v>
      </c>
      <c r="C213" s="63">
        <v>0</v>
      </c>
      <c r="D213" s="63">
        <v>0</v>
      </c>
      <c r="E213" s="63">
        <v>0</v>
      </c>
      <c r="F213" s="63">
        <v>0</v>
      </c>
      <c r="G213" s="63">
        <v>0</v>
      </c>
      <c r="H213" s="63">
        <v>0</v>
      </c>
      <c r="I213" s="63">
        <v>0</v>
      </c>
      <c r="J213" s="63">
        <v>0</v>
      </c>
      <c r="K213" s="63"/>
      <c r="L213" s="64">
        <f>SUM(C213:F213,H213:K213)</f>
        <v>0</v>
      </c>
      <c r="M213" s="62"/>
      <c r="N213" s="63"/>
      <c r="O213" s="63"/>
      <c r="P213" s="63"/>
      <c r="Q213" s="63"/>
      <c r="R213" s="63"/>
      <c r="S213" s="63"/>
      <c r="T213" s="63"/>
      <c r="U213" s="63"/>
      <c r="V213" s="63"/>
      <c r="W213" s="64">
        <f>SUM(N213:Q213,S213:V213)</f>
        <v>0</v>
      </c>
      <c r="X213" s="62"/>
      <c r="Y213" s="63"/>
      <c r="Z213" s="63"/>
      <c r="AA213" s="63"/>
      <c r="AB213" s="63"/>
      <c r="AC213" s="63"/>
      <c r="AD213" s="63"/>
      <c r="AE213" s="63"/>
      <c r="AF213" s="63"/>
      <c r="AG213" s="63"/>
      <c r="AH213" s="64">
        <f>SUM(Y213:AB213,AD213:AG213)</f>
        <v>0</v>
      </c>
      <c r="AI213" s="62"/>
      <c r="AJ213" s="63"/>
      <c r="AK213" s="63"/>
      <c r="AL213" s="63"/>
      <c r="AM213" s="63"/>
      <c r="AN213" s="63"/>
      <c r="AO213" s="63"/>
      <c r="AP213" s="63"/>
      <c r="AQ213" s="63"/>
      <c r="AR213" s="63"/>
      <c r="AS213" s="64">
        <f>SUM(AJ213:AM213,AO213:AR213)</f>
        <v>0</v>
      </c>
      <c r="AT213" s="65">
        <f t="shared" si="1395"/>
        <v>0</v>
      </c>
      <c r="AU213" s="65">
        <f t="shared" si="1395"/>
        <v>0</v>
      </c>
      <c r="AV213" s="65">
        <f t="shared" si="1395"/>
        <v>0</v>
      </c>
      <c r="AW213" s="65">
        <f t="shared" si="1395"/>
        <v>0</v>
      </c>
      <c r="AX213" s="65">
        <f t="shared" si="1395"/>
        <v>0</v>
      </c>
      <c r="AY213" s="65">
        <f t="shared" si="1395"/>
        <v>0</v>
      </c>
      <c r="AZ213" s="65">
        <f t="shared" si="1395"/>
        <v>0</v>
      </c>
      <c r="BA213" s="65">
        <f t="shared" si="1395"/>
        <v>0</v>
      </c>
      <c r="BB213" s="65">
        <f t="shared" si="1395"/>
        <v>0</v>
      </c>
      <c r="BC213" s="65">
        <f t="shared" si="1395"/>
        <v>0</v>
      </c>
      <c r="BD213" s="64">
        <f>SUM(AU213:AX213,AZ213:BC213)</f>
        <v>0</v>
      </c>
      <c r="BE213" s="62"/>
      <c r="BF213" s="63"/>
      <c r="BG213" s="63"/>
      <c r="BH213" s="63"/>
      <c r="BI213" s="63"/>
      <c r="BJ213" s="63"/>
      <c r="BK213" s="63"/>
      <c r="BL213" s="63"/>
      <c r="BM213" s="63"/>
      <c r="BN213" s="63"/>
      <c r="BO213" s="64">
        <f>SUM(BF213:BI213,BK213:BN213)</f>
        <v>0</v>
      </c>
      <c r="BP213" s="62"/>
      <c r="BQ213" s="63"/>
      <c r="BR213" s="63"/>
      <c r="BS213" s="63"/>
      <c r="BT213" s="63"/>
      <c r="BU213" s="63"/>
      <c r="BV213" s="63"/>
      <c r="BW213" s="63"/>
      <c r="BX213" s="63"/>
      <c r="BY213" s="63"/>
      <c r="BZ213" s="64">
        <f>SUM(BQ213:BT213,BV213:BY213)</f>
        <v>0</v>
      </c>
      <c r="CA213" s="62"/>
      <c r="CB213" s="63"/>
      <c r="CC213" s="63"/>
      <c r="CD213" s="63"/>
      <c r="CE213" s="63"/>
      <c r="CF213" s="63"/>
      <c r="CG213" s="63"/>
      <c r="CH213" s="63"/>
      <c r="CI213" s="63"/>
      <c r="CJ213" s="63"/>
      <c r="CK213" s="64">
        <f>SUM(CB213:CE213,CG213:CJ213)</f>
        <v>0</v>
      </c>
      <c r="CL213" s="65">
        <f t="shared" si="1396"/>
        <v>0</v>
      </c>
      <c r="CM213" s="65">
        <f t="shared" si="1396"/>
        <v>0</v>
      </c>
      <c r="CN213" s="65">
        <f t="shared" si="1396"/>
        <v>0</v>
      </c>
      <c r="CO213" s="65">
        <f t="shared" si="1396"/>
        <v>0</v>
      </c>
      <c r="CP213" s="65">
        <f t="shared" si="1396"/>
        <v>0</v>
      </c>
      <c r="CQ213" s="65">
        <f t="shared" si="1396"/>
        <v>0</v>
      </c>
      <c r="CR213" s="65">
        <f t="shared" si="1396"/>
        <v>0</v>
      </c>
      <c r="CS213" s="65">
        <f t="shared" si="1396"/>
        <v>0</v>
      </c>
      <c r="CT213" s="65">
        <f t="shared" si="1396"/>
        <v>0</v>
      </c>
      <c r="CU213" s="65">
        <f t="shared" si="1396"/>
        <v>0</v>
      </c>
      <c r="CV213" s="64">
        <f>SUM(CM213:CP213,CR213:CU213)</f>
        <v>0</v>
      </c>
      <c r="CW213" s="62"/>
      <c r="CX213" s="63"/>
      <c r="CY213" s="63"/>
      <c r="CZ213" s="63"/>
      <c r="DA213" s="63"/>
      <c r="DB213" s="63"/>
      <c r="DC213" s="63"/>
      <c r="DD213" s="63"/>
      <c r="DE213" s="63"/>
      <c r="DF213" s="63"/>
      <c r="DG213" s="64">
        <f>SUM(CX213:DA213,DC213:DF213)</f>
        <v>0</v>
      </c>
      <c r="DH213" s="62"/>
      <c r="DI213" s="63"/>
      <c r="DJ213" s="63"/>
      <c r="DK213" s="63"/>
      <c r="DL213" s="63"/>
      <c r="DM213" s="63"/>
      <c r="DN213" s="63"/>
      <c r="DO213" s="63"/>
      <c r="DP213" s="63"/>
      <c r="DQ213" s="63"/>
      <c r="DR213" s="64">
        <f>SUM(DI213:DL213,DN213:DQ213)</f>
        <v>0</v>
      </c>
      <c r="DS213" s="62"/>
      <c r="DT213" s="63"/>
      <c r="DU213" s="63"/>
      <c r="DV213" s="63"/>
      <c r="DW213" s="63"/>
      <c r="DX213" s="63"/>
      <c r="DY213" s="63"/>
      <c r="DZ213" s="63"/>
      <c r="EA213" s="63"/>
      <c r="EB213" s="63"/>
      <c r="EC213" s="63"/>
      <c r="ED213" s="65">
        <f t="shared" si="1397"/>
        <v>0</v>
      </c>
      <c r="EE213" s="65">
        <f t="shared" si="1397"/>
        <v>0</v>
      </c>
      <c r="EF213" s="65">
        <f t="shared" si="1397"/>
        <v>0</v>
      </c>
      <c r="EG213" s="65">
        <f t="shared" si="1397"/>
        <v>0</v>
      </c>
      <c r="EH213" s="65">
        <f t="shared" si="1397"/>
        <v>0</v>
      </c>
      <c r="EI213" s="65">
        <f t="shared" si="1397"/>
        <v>0</v>
      </c>
      <c r="EJ213" s="65">
        <f t="shared" si="1397"/>
        <v>0</v>
      </c>
      <c r="EK213" s="65">
        <f t="shared" si="1397"/>
        <v>0</v>
      </c>
      <c r="EL213" s="65">
        <f t="shared" si="1397"/>
        <v>0</v>
      </c>
      <c r="EM213" s="65">
        <f t="shared" si="1397"/>
        <v>0</v>
      </c>
      <c r="EN213" s="64">
        <f>SUM(EE213:EH213,EJ213:EM213)</f>
        <v>0</v>
      </c>
      <c r="EO213" s="62"/>
      <c r="EP213" s="63"/>
      <c r="EQ213" s="63"/>
      <c r="ER213" s="63"/>
      <c r="ES213" s="63"/>
      <c r="ET213" s="63"/>
      <c r="EU213" s="63"/>
      <c r="EV213" s="63"/>
      <c r="EW213" s="63"/>
      <c r="EX213" s="63"/>
      <c r="EY213" s="64">
        <f>SUM(EP213:ES213,EU213:EX213)</f>
        <v>0</v>
      </c>
      <c r="EZ213" s="62"/>
      <c r="FA213" s="63"/>
      <c r="FB213" s="63"/>
      <c r="FC213" s="63"/>
      <c r="FD213" s="63"/>
      <c r="FE213" s="63"/>
      <c r="FF213" s="63"/>
      <c r="FG213" s="63"/>
      <c r="FH213" s="63"/>
      <c r="FI213" s="63"/>
      <c r="FJ213" s="64">
        <f>SUM(FA213:FD213,FF213:FI213)</f>
        <v>0</v>
      </c>
      <c r="FK213" s="62"/>
      <c r="FL213" s="63"/>
      <c r="FM213" s="63"/>
      <c r="FN213" s="63"/>
      <c r="FO213" s="63"/>
      <c r="FP213" s="63"/>
      <c r="FQ213" s="63"/>
      <c r="FR213" s="63"/>
      <c r="FS213" s="63"/>
      <c r="FT213" s="63"/>
      <c r="FU213" s="64">
        <f>SUM(FL213:FO213,FQ213:FT213)</f>
        <v>0</v>
      </c>
      <c r="FV213" s="65">
        <f t="shared" si="1398"/>
        <v>0</v>
      </c>
      <c r="FW213" s="65">
        <f t="shared" si="1398"/>
        <v>0</v>
      </c>
      <c r="FX213" s="65">
        <f t="shared" si="1398"/>
        <v>0</v>
      </c>
      <c r="FY213" s="65">
        <f t="shared" si="1398"/>
        <v>0</v>
      </c>
      <c r="FZ213" s="65">
        <f t="shared" si="1398"/>
        <v>0</v>
      </c>
      <c r="GA213" s="65">
        <f t="shared" si="1398"/>
        <v>0</v>
      </c>
      <c r="GB213" s="65">
        <f t="shared" si="1398"/>
        <v>0</v>
      </c>
      <c r="GC213" s="65">
        <f t="shared" si="1398"/>
        <v>0</v>
      </c>
      <c r="GD213" s="65">
        <f t="shared" si="1398"/>
        <v>0</v>
      </c>
      <c r="GE213" s="65">
        <f t="shared" si="1398"/>
        <v>0</v>
      </c>
      <c r="GF213" s="64">
        <f>SUM(FW213:FZ213,GB213:GE213)</f>
        <v>0</v>
      </c>
      <c r="GG213" s="66">
        <f t="shared" si="1399"/>
        <v>0</v>
      </c>
      <c r="GH213" s="66">
        <f t="shared" si="1399"/>
        <v>0</v>
      </c>
      <c r="GI213" s="66">
        <f t="shared" si="1399"/>
        <v>0</v>
      </c>
      <c r="GJ213" s="66">
        <f t="shared" si="1399"/>
        <v>0</v>
      </c>
      <c r="GK213" s="66">
        <f t="shared" si="1399"/>
        <v>0</v>
      </c>
      <c r="GL213" s="66">
        <f t="shared" si="1399"/>
        <v>0</v>
      </c>
      <c r="GM213" s="66">
        <f t="shared" si="1399"/>
        <v>0</v>
      </c>
      <c r="GN213" s="66">
        <f t="shared" si="1399"/>
        <v>0</v>
      </c>
      <c r="GO213" s="66">
        <f t="shared" si="1399"/>
        <v>0</v>
      </c>
      <c r="GP213" s="66">
        <f t="shared" si="1399"/>
        <v>0</v>
      </c>
      <c r="GQ213" s="64">
        <f>SUM(GH213:GK213,GM213:GP213)</f>
        <v>0</v>
      </c>
      <c r="GR213" s="63"/>
      <c r="GS213" s="63"/>
      <c r="GT213" s="63"/>
      <c r="GU213" s="63"/>
      <c r="GV213" s="67">
        <f>SUM(GR213:GU213)</f>
        <v>0</v>
      </c>
      <c r="GW213" s="63"/>
      <c r="GX213" s="63"/>
      <c r="GY213" s="63"/>
      <c r="GZ213" s="63"/>
      <c r="HA213" s="67">
        <f>SUM(GW213:GZ213)</f>
        <v>0</v>
      </c>
      <c r="HB213" s="63"/>
      <c r="HC213" s="63"/>
      <c r="HD213" s="63"/>
      <c r="HE213" s="63"/>
      <c r="HF213" s="67">
        <f>SUM(HB213:HE213)</f>
        <v>0</v>
      </c>
      <c r="HG213" s="63"/>
      <c r="HH213" s="63"/>
      <c r="HI213" s="63"/>
      <c r="HJ213" s="63"/>
      <c r="HK213" s="67">
        <f>SUM(HG213:HJ213)</f>
        <v>0</v>
      </c>
      <c r="HL213" s="68">
        <f t="shared" si="1400"/>
        <v>0</v>
      </c>
      <c r="HM213" s="68">
        <f t="shared" si="1400"/>
        <v>0</v>
      </c>
      <c r="HN213" s="68">
        <f t="shared" si="1400"/>
        <v>0</v>
      </c>
      <c r="HO213" s="68">
        <f t="shared" si="1400"/>
        <v>0</v>
      </c>
      <c r="HP213" s="67">
        <f>SUM(HL213:HO213)</f>
        <v>0</v>
      </c>
      <c r="HQ213" s="63"/>
      <c r="HR213" s="63"/>
      <c r="HS213" s="63"/>
      <c r="HT213" s="63"/>
      <c r="HU213" s="67">
        <f>SUM(HQ213:HT213)</f>
        <v>0</v>
      </c>
      <c r="HV213" s="63"/>
      <c r="HW213" s="63"/>
      <c r="HX213" s="63"/>
      <c r="HY213" s="63"/>
      <c r="HZ213" s="67">
        <f>SUM(HV213:HY213)</f>
        <v>0</v>
      </c>
      <c r="IA213" s="63"/>
      <c r="IB213" s="63"/>
      <c r="IC213" s="63"/>
      <c r="ID213" s="63"/>
      <c r="IE213" s="67">
        <f>SUM(IA213:ID213)</f>
        <v>0</v>
      </c>
      <c r="IF213" s="68">
        <f t="shared" si="1401"/>
        <v>0</v>
      </c>
      <c r="IG213" s="68">
        <f t="shared" si="1401"/>
        <v>0</v>
      </c>
      <c r="IH213" s="68">
        <f t="shared" si="1401"/>
        <v>0</v>
      </c>
      <c r="II213" s="68">
        <f t="shared" si="1401"/>
        <v>0</v>
      </c>
      <c r="IJ213" s="67">
        <f>SUM(IF213:II213)</f>
        <v>0</v>
      </c>
      <c r="IK213" s="63"/>
      <c r="IL213" s="63"/>
      <c r="IM213" s="63"/>
      <c r="IN213" s="63"/>
      <c r="IO213" s="67">
        <f>SUM(IK213:IN213)</f>
        <v>0</v>
      </c>
      <c r="IP213" s="63"/>
      <c r="IQ213" s="63"/>
      <c r="IR213" s="63"/>
      <c r="IS213" s="63"/>
      <c r="IT213" s="67">
        <f>SUM(IP213:IS213)</f>
        <v>0</v>
      </c>
      <c r="IU213" s="63"/>
      <c r="IV213" s="63"/>
    </row>
    <row r="214" spans="1:256" x14ac:dyDescent="0.25">
      <c r="A214" s="84" t="s">
        <v>186</v>
      </c>
      <c r="B214" s="62">
        <v>1</v>
      </c>
      <c r="C214" s="63">
        <v>0</v>
      </c>
      <c r="D214" s="63">
        <v>0</v>
      </c>
      <c r="E214" s="63">
        <v>0</v>
      </c>
      <c r="F214" s="63">
        <v>0</v>
      </c>
      <c r="G214" s="63">
        <v>0</v>
      </c>
      <c r="H214" s="63">
        <v>0</v>
      </c>
      <c r="I214" s="63">
        <v>0</v>
      </c>
      <c r="J214" s="63">
        <v>0</v>
      </c>
      <c r="K214" s="63"/>
      <c r="L214" s="64">
        <f>SUM(C214:F214,H214:K214)</f>
        <v>0</v>
      </c>
      <c r="M214" s="62"/>
      <c r="N214" s="63"/>
      <c r="O214" s="63"/>
      <c r="P214" s="63"/>
      <c r="Q214" s="63"/>
      <c r="R214" s="63"/>
      <c r="S214" s="63"/>
      <c r="T214" s="63"/>
      <c r="U214" s="63"/>
      <c r="V214" s="63"/>
      <c r="W214" s="64">
        <f>SUM(N214:Q214,S214:V214)</f>
        <v>0</v>
      </c>
      <c r="X214" s="62"/>
      <c r="Y214" s="63"/>
      <c r="Z214" s="63"/>
      <c r="AA214" s="63"/>
      <c r="AB214" s="63"/>
      <c r="AC214" s="63"/>
      <c r="AD214" s="63"/>
      <c r="AE214" s="63"/>
      <c r="AF214" s="63"/>
      <c r="AG214" s="63"/>
      <c r="AH214" s="64">
        <f>SUM(Y214:AB214,AD214:AG214)</f>
        <v>0</v>
      </c>
      <c r="AI214" s="62"/>
      <c r="AJ214" s="63"/>
      <c r="AK214" s="63"/>
      <c r="AL214" s="63"/>
      <c r="AM214" s="63"/>
      <c r="AN214" s="63"/>
      <c r="AO214" s="63"/>
      <c r="AP214" s="63"/>
      <c r="AQ214" s="63"/>
      <c r="AR214" s="63"/>
      <c r="AS214" s="64">
        <f>SUM(AJ214:AM214,AO214:AR214)</f>
        <v>0</v>
      </c>
      <c r="AT214" s="65">
        <f t="shared" si="1395"/>
        <v>0</v>
      </c>
      <c r="AU214" s="65">
        <f t="shared" si="1395"/>
        <v>0</v>
      </c>
      <c r="AV214" s="65">
        <f t="shared" si="1395"/>
        <v>0</v>
      </c>
      <c r="AW214" s="65">
        <f t="shared" si="1395"/>
        <v>0</v>
      </c>
      <c r="AX214" s="65">
        <f t="shared" si="1395"/>
        <v>0</v>
      </c>
      <c r="AY214" s="65">
        <f t="shared" si="1395"/>
        <v>0</v>
      </c>
      <c r="AZ214" s="65">
        <f t="shared" si="1395"/>
        <v>0</v>
      </c>
      <c r="BA214" s="65">
        <f t="shared" si="1395"/>
        <v>0</v>
      </c>
      <c r="BB214" s="65">
        <f t="shared" si="1395"/>
        <v>0</v>
      </c>
      <c r="BC214" s="65">
        <f t="shared" si="1395"/>
        <v>0</v>
      </c>
      <c r="BD214" s="64">
        <f>SUM(AU214:AX214,AZ214:BC214)</f>
        <v>0</v>
      </c>
      <c r="BE214" s="62"/>
      <c r="BF214" s="63"/>
      <c r="BG214" s="63"/>
      <c r="BH214" s="63"/>
      <c r="BI214" s="63"/>
      <c r="BJ214" s="63"/>
      <c r="BK214" s="63"/>
      <c r="BL214" s="63"/>
      <c r="BM214" s="63"/>
      <c r="BN214" s="63"/>
      <c r="BO214" s="64">
        <f>SUM(BF214:BI214,BK214:BN214)</f>
        <v>0</v>
      </c>
      <c r="BP214" s="62"/>
      <c r="BQ214" s="63"/>
      <c r="BR214" s="63"/>
      <c r="BS214" s="63"/>
      <c r="BT214" s="63"/>
      <c r="BU214" s="63"/>
      <c r="BV214" s="63"/>
      <c r="BW214" s="63"/>
      <c r="BX214" s="63"/>
      <c r="BY214" s="63"/>
      <c r="BZ214" s="64">
        <f>SUM(BQ214:BT214,BV214:BY214)</f>
        <v>0</v>
      </c>
      <c r="CA214" s="62"/>
      <c r="CB214" s="63"/>
      <c r="CC214" s="63"/>
      <c r="CD214" s="63"/>
      <c r="CE214" s="63"/>
      <c r="CF214" s="63"/>
      <c r="CG214" s="63"/>
      <c r="CH214" s="63"/>
      <c r="CI214" s="63"/>
      <c r="CJ214" s="63"/>
      <c r="CK214" s="64">
        <f>SUM(CB214:CE214,CG214:CJ214)</f>
        <v>0</v>
      </c>
      <c r="CL214" s="65">
        <f t="shared" si="1396"/>
        <v>0</v>
      </c>
      <c r="CM214" s="65">
        <f t="shared" si="1396"/>
        <v>0</v>
      </c>
      <c r="CN214" s="65">
        <f t="shared" si="1396"/>
        <v>0</v>
      </c>
      <c r="CO214" s="65">
        <f t="shared" si="1396"/>
        <v>0</v>
      </c>
      <c r="CP214" s="65">
        <f t="shared" si="1396"/>
        <v>0</v>
      </c>
      <c r="CQ214" s="65">
        <f t="shared" si="1396"/>
        <v>0</v>
      </c>
      <c r="CR214" s="65">
        <f t="shared" si="1396"/>
        <v>0</v>
      </c>
      <c r="CS214" s="65">
        <f t="shared" si="1396"/>
        <v>0</v>
      </c>
      <c r="CT214" s="65">
        <f t="shared" si="1396"/>
        <v>0</v>
      </c>
      <c r="CU214" s="65">
        <f t="shared" si="1396"/>
        <v>0</v>
      </c>
      <c r="CV214" s="64">
        <f>SUM(CM214:CP214,CR214:CU214)</f>
        <v>0</v>
      </c>
      <c r="CW214" s="62"/>
      <c r="CX214" s="63"/>
      <c r="CY214" s="63"/>
      <c r="CZ214" s="63"/>
      <c r="DA214" s="63"/>
      <c r="DB214" s="63"/>
      <c r="DC214" s="63"/>
      <c r="DD214" s="63"/>
      <c r="DE214" s="63"/>
      <c r="DF214" s="63"/>
      <c r="DG214" s="64">
        <f>SUM(CX214:DA214,DC214:DF214)</f>
        <v>0</v>
      </c>
      <c r="DH214" s="62"/>
      <c r="DI214" s="63"/>
      <c r="DJ214" s="63"/>
      <c r="DK214" s="63"/>
      <c r="DL214" s="63"/>
      <c r="DM214" s="63"/>
      <c r="DN214" s="63"/>
      <c r="DO214" s="63"/>
      <c r="DP214" s="63"/>
      <c r="DQ214" s="63"/>
      <c r="DR214" s="64">
        <f>SUM(DI214:DL214,DN214:DQ214)</f>
        <v>0</v>
      </c>
      <c r="DS214" s="62"/>
      <c r="DT214" s="63"/>
      <c r="DU214" s="63"/>
      <c r="DV214" s="63"/>
      <c r="DW214" s="63"/>
      <c r="DX214" s="63"/>
      <c r="DY214" s="63"/>
      <c r="DZ214" s="63"/>
      <c r="EA214" s="63"/>
      <c r="EB214" s="63"/>
      <c r="EC214" s="63"/>
      <c r="ED214" s="65">
        <f t="shared" si="1397"/>
        <v>0</v>
      </c>
      <c r="EE214" s="65">
        <f t="shared" si="1397"/>
        <v>0</v>
      </c>
      <c r="EF214" s="65">
        <f t="shared" si="1397"/>
        <v>0</v>
      </c>
      <c r="EG214" s="65">
        <f t="shared" si="1397"/>
        <v>0</v>
      </c>
      <c r="EH214" s="65">
        <f t="shared" si="1397"/>
        <v>0</v>
      </c>
      <c r="EI214" s="65">
        <f t="shared" si="1397"/>
        <v>0</v>
      </c>
      <c r="EJ214" s="65">
        <f t="shared" si="1397"/>
        <v>0</v>
      </c>
      <c r="EK214" s="65">
        <f t="shared" si="1397"/>
        <v>0</v>
      </c>
      <c r="EL214" s="65">
        <f t="shared" si="1397"/>
        <v>0</v>
      </c>
      <c r="EM214" s="65">
        <f t="shared" si="1397"/>
        <v>0</v>
      </c>
      <c r="EN214" s="64">
        <f>SUM(EE214:EH214,EJ214:EM214)</f>
        <v>0</v>
      </c>
      <c r="EO214" s="62"/>
      <c r="EP214" s="63"/>
      <c r="EQ214" s="63"/>
      <c r="ER214" s="63"/>
      <c r="ES214" s="63"/>
      <c r="ET214" s="63"/>
      <c r="EU214" s="63"/>
      <c r="EV214" s="63"/>
      <c r="EW214" s="63"/>
      <c r="EX214" s="63"/>
      <c r="EY214" s="64">
        <f>SUM(EP214:ES214,EU214:EX214)</f>
        <v>0</v>
      </c>
      <c r="EZ214" s="62"/>
      <c r="FA214" s="63"/>
      <c r="FB214" s="63"/>
      <c r="FC214" s="63"/>
      <c r="FD214" s="63"/>
      <c r="FE214" s="63"/>
      <c r="FF214" s="63"/>
      <c r="FG214" s="63"/>
      <c r="FH214" s="63"/>
      <c r="FI214" s="63"/>
      <c r="FJ214" s="64">
        <f>SUM(FA214:FD214,FF214:FI214)</f>
        <v>0</v>
      </c>
      <c r="FK214" s="62"/>
      <c r="FL214" s="63"/>
      <c r="FM214" s="63"/>
      <c r="FN214" s="63"/>
      <c r="FO214" s="63"/>
      <c r="FP214" s="63"/>
      <c r="FQ214" s="63"/>
      <c r="FR214" s="63"/>
      <c r="FS214" s="63"/>
      <c r="FT214" s="63"/>
      <c r="FU214" s="64">
        <f>SUM(FL214:FO214,FQ214:FT214)</f>
        <v>0</v>
      </c>
      <c r="FV214" s="65">
        <f t="shared" si="1398"/>
        <v>0</v>
      </c>
      <c r="FW214" s="65">
        <f t="shared" si="1398"/>
        <v>0</v>
      </c>
      <c r="FX214" s="65">
        <f t="shared" si="1398"/>
        <v>0</v>
      </c>
      <c r="FY214" s="65">
        <f t="shared" si="1398"/>
        <v>0</v>
      </c>
      <c r="FZ214" s="65">
        <f t="shared" si="1398"/>
        <v>0</v>
      </c>
      <c r="GA214" s="65">
        <f t="shared" si="1398"/>
        <v>0</v>
      </c>
      <c r="GB214" s="65">
        <f t="shared" si="1398"/>
        <v>0</v>
      </c>
      <c r="GC214" s="65">
        <f t="shared" si="1398"/>
        <v>0</v>
      </c>
      <c r="GD214" s="65">
        <f t="shared" si="1398"/>
        <v>0</v>
      </c>
      <c r="GE214" s="65">
        <f t="shared" si="1398"/>
        <v>0</v>
      </c>
      <c r="GF214" s="64">
        <f>SUM(FW214:FZ214,GB214:GE214)</f>
        <v>0</v>
      </c>
      <c r="GG214" s="66">
        <f t="shared" si="1399"/>
        <v>0</v>
      </c>
      <c r="GH214" s="66">
        <f t="shared" si="1399"/>
        <v>0</v>
      </c>
      <c r="GI214" s="66">
        <f t="shared" si="1399"/>
        <v>0</v>
      </c>
      <c r="GJ214" s="66">
        <f t="shared" si="1399"/>
        <v>0</v>
      </c>
      <c r="GK214" s="66">
        <f t="shared" si="1399"/>
        <v>0</v>
      </c>
      <c r="GL214" s="66">
        <f t="shared" si="1399"/>
        <v>0</v>
      </c>
      <c r="GM214" s="66">
        <f t="shared" si="1399"/>
        <v>0</v>
      </c>
      <c r="GN214" s="66">
        <f t="shared" si="1399"/>
        <v>0</v>
      </c>
      <c r="GO214" s="66">
        <f t="shared" si="1399"/>
        <v>0</v>
      </c>
      <c r="GP214" s="66">
        <f t="shared" si="1399"/>
        <v>0</v>
      </c>
      <c r="GQ214" s="64">
        <f>SUM(GH214:GK214,GM214:GP214)</f>
        <v>0</v>
      </c>
      <c r="GR214" s="63"/>
      <c r="GS214" s="63"/>
      <c r="GT214" s="63"/>
      <c r="GU214" s="63"/>
      <c r="GV214" s="67">
        <f>SUM(GR214:GU214)</f>
        <v>0</v>
      </c>
      <c r="GW214" s="63"/>
      <c r="GX214" s="63"/>
      <c r="GY214" s="63"/>
      <c r="GZ214" s="63"/>
      <c r="HA214" s="67">
        <f>SUM(GW214:GZ214)</f>
        <v>0</v>
      </c>
      <c r="HB214" s="63"/>
      <c r="HC214" s="63"/>
      <c r="HD214" s="63"/>
      <c r="HE214" s="63"/>
      <c r="HF214" s="67">
        <f>SUM(HB214:HE214)</f>
        <v>0</v>
      </c>
      <c r="HG214" s="63"/>
      <c r="HH214" s="63"/>
      <c r="HI214" s="63"/>
      <c r="HJ214" s="63"/>
      <c r="HK214" s="67">
        <f>SUM(HG214:HJ214)</f>
        <v>0</v>
      </c>
      <c r="HL214" s="68">
        <f t="shared" si="1400"/>
        <v>0</v>
      </c>
      <c r="HM214" s="68">
        <f t="shared" si="1400"/>
        <v>0</v>
      </c>
      <c r="HN214" s="68">
        <f t="shared" si="1400"/>
        <v>0</v>
      </c>
      <c r="HO214" s="68">
        <f t="shared" si="1400"/>
        <v>0</v>
      </c>
      <c r="HP214" s="67">
        <f>SUM(HL214:HO214)</f>
        <v>0</v>
      </c>
      <c r="HQ214" s="63"/>
      <c r="HR214" s="63"/>
      <c r="HS214" s="63"/>
      <c r="HT214" s="63"/>
      <c r="HU214" s="67">
        <f>SUM(HQ214:HT214)</f>
        <v>0</v>
      </c>
      <c r="HV214" s="63"/>
      <c r="HW214" s="63"/>
      <c r="HX214" s="63"/>
      <c r="HY214" s="63"/>
      <c r="HZ214" s="67">
        <f>SUM(HV214:HY214)</f>
        <v>0</v>
      </c>
      <c r="IA214" s="63"/>
      <c r="IB214" s="63"/>
      <c r="IC214" s="63"/>
      <c r="ID214" s="63"/>
      <c r="IE214" s="67">
        <f>SUM(IA214:ID214)</f>
        <v>0</v>
      </c>
      <c r="IF214" s="68">
        <f t="shared" si="1401"/>
        <v>0</v>
      </c>
      <c r="IG214" s="68">
        <f t="shared" si="1401"/>
        <v>0</v>
      </c>
      <c r="IH214" s="68">
        <f t="shared" si="1401"/>
        <v>0</v>
      </c>
      <c r="II214" s="68">
        <f t="shared" si="1401"/>
        <v>0</v>
      </c>
      <c r="IJ214" s="67">
        <f>SUM(IF214:II214)</f>
        <v>0</v>
      </c>
      <c r="IK214" s="63"/>
      <c r="IL214" s="63"/>
      <c r="IM214" s="63"/>
      <c r="IN214" s="63"/>
      <c r="IO214" s="67">
        <f>SUM(IK214:IN214)</f>
        <v>0</v>
      </c>
      <c r="IP214" s="63"/>
      <c r="IQ214" s="63"/>
      <c r="IR214" s="63"/>
      <c r="IS214" s="63"/>
      <c r="IT214" s="67">
        <f>SUM(IP214:IS214)</f>
        <v>0</v>
      </c>
      <c r="IU214" s="63"/>
      <c r="IV214" s="63"/>
    </row>
    <row r="215" spans="1:256" s="57" customFormat="1" x14ac:dyDescent="0.25">
      <c r="A215" s="58" t="s">
        <v>189</v>
      </c>
      <c r="B215" s="60"/>
      <c r="C215" s="59">
        <f t="shared" ref="C215:K215" si="1402">SUM(C217,C216)</f>
        <v>3361</v>
      </c>
      <c r="D215" s="59">
        <f t="shared" si="1402"/>
        <v>0</v>
      </c>
      <c r="E215" s="59">
        <f t="shared" si="1402"/>
        <v>0</v>
      </c>
      <c r="F215" s="59">
        <f t="shared" si="1402"/>
        <v>0</v>
      </c>
      <c r="G215" s="59">
        <f t="shared" si="1402"/>
        <v>0</v>
      </c>
      <c r="H215" s="59">
        <f t="shared" si="1402"/>
        <v>0</v>
      </c>
      <c r="I215" s="59">
        <f t="shared" si="1402"/>
        <v>0</v>
      </c>
      <c r="J215" s="59">
        <f t="shared" si="1402"/>
        <v>0</v>
      </c>
      <c r="K215" s="59">
        <f t="shared" si="1402"/>
        <v>0</v>
      </c>
      <c r="L215" s="73">
        <f>SUM(L217)</f>
        <v>3361</v>
      </c>
      <c r="M215" s="60"/>
      <c r="N215" s="59">
        <f t="shared" ref="N215:V215" si="1403">SUM(N217,N216)</f>
        <v>0</v>
      </c>
      <c r="O215" s="59">
        <f t="shared" si="1403"/>
        <v>0</v>
      </c>
      <c r="P215" s="59">
        <f t="shared" si="1403"/>
        <v>0</v>
      </c>
      <c r="Q215" s="59">
        <f t="shared" si="1403"/>
        <v>0</v>
      </c>
      <c r="R215" s="59">
        <f t="shared" si="1403"/>
        <v>0</v>
      </c>
      <c r="S215" s="59">
        <f t="shared" si="1403"/>
        <v>0</v>
      </c>
      <c r="T215" s="59">
        <f t="shared" si="1403"/>
        <v>0</v>
      </c>
      <c r="U215" s="59">
        <f t="shared" si="1403"/>
        <v>0</v>
      </c>
      <c r="V215" s="59">
        <f t="shared" si="1403"/>
        <v>0</v>
      </c>
      <c r="W215" s="73">
        <f>SUM(W217)</f>
        <v>0</v>
      </c>
      <c r="X215" s="60"/>
      <c r="Y215" s="59">
        <f t="shared" ref="Y215:AG215" si="1404">SUM(Y217,Y216)</f>
        <v>0</v>
      </c>
      <c r="Z215" s="59">
        <f t="shared" si="1404"/>
        <v>0</v>
      </c>
      <c r="AA215" s="59">
        <f t="shared" si="1404"/>
        <v>0</v>
      </c>
      <c r="AB215" s="59">
        <f t="shared" si="1404"/>
        <v>0</v>
      </c>
      <c r="AC215" s="59">
        <f t="shared" si="1404"/>
        <v>0</v>
      </c>
      <c r="AD215" s="59">
        <f t="shared" si="1404"/>
        <v>0</v>
      </c>
      <c r="AE215" s="59">
        <f t="shared" si="1404"/>
        <v>0</v>
      </c>
      <c r="AF215" s="59">
        <f t="shared" si="1404"/>
        <v>0</v>
      </c>
      <c r="AG215" s="59">
        <f t="shared" si="1404"/>
        <v>0</v>
      </c>
      <c r="AH215" s="73">
        <f>SUM(AH217)</f>
        <v>0</v>
      </c>
      <c r="AI215" s="60"/>
      <c r="AJ215" s="59">
        <f t="shared" ref="AJ215:AR215" si="1405">SUM(AJ217,AJ216)</f>
        <v>0</v>
      </c>
      <c r="AK215" s="59">
        <f t="shared" si="1405"/>
        <v>0</v>
      </c>
      <c r="AL215" s="59">
        <f t="shared" si="1405"/>
        <v>0</v>
      </c>
      <c r="AM215" s="59">
        <f t="shared" si="1405"/>
        <v>0</v>
      </c>
      <c r="AN215" s="59">
        <f t="shared" si="1405"/>
        <v>0</v>
      </c>
      <c r="AO215" s="59">
        <f t="shared" si="1405"/>
        <v>0</v>
      </c>
      <c r="AP215" s="59">
        <f t="shared" si="1405"/>
        <v>0</v>
      </c>
      <c r="AQ215" s="59">
        <f t="shared" si="1405"/>
        <v>0</v>
      </c>
      <c r="AR215" s="59">
        <f t="shared" si="1405"/>
        <v>0</v>
      </c>
      <c r="AS215" s="73">
        <f>SUM(AS217)</f>
        <v>0</v>
      </c>
      <c r="AT215" s="60"/>
      <c r="AU215" s="59">
        <f>SUM(AU217)</f>
        <v>0</v>
      </c>
      <c r="AV215" s="59">
        <f t="shared" ref="AV215:BC215" si="1406">SUM(AV217)</f>
        <v>0</v>
      </c>
      <c r="AW215" s="59">
        <f t="shared" si="1406"/>
        <v>0</v>
      </c>
      <c r="AX215" s="59">
        <f t="shared" si="1406"/>
        <v>0</v>
      </c>
      <c r="AY215" s="59">
        <f t="shared" si="1406"/>
        <v>0</v>
      </c>
      <c r="AZ215" s="59">
        <f t="shared" si="1406"/>
        <v>0</v>
      </c>
      <c r="BA215" s="59">
        <f t="shared" si="1406"/>
        <v>0</v>
      </c>
      <c r="BB215" s="59">
        <f t="shared" si="1406"/>
        <v>0</v>
      </c>
      <c r="BC215" s="59">
        <f t="shared" si="1406"/>
        <v>0</v>
      </c>
      <c r="BD215" s="73">
        <f>SUM(BD217)</f>
        <v>0</v>
      </c>
      <c r="BE215" s="60"/>
      <c r="BF215" s="59">
        <f t="shared" ref="BF215:BN215" si="1407">SUM(BF217,BF216)</f>
        <v>0</v>
      </c>
      <c r="BG215" s="59">
        <f t="shared" si="1407"/>
        <v>0</v>
      </c>
      <c r="BH215" s="59">
        <f t="shared" si="1407"/>
        <v>0</v>
      </c>
      <c r="BI215" s="59">
        <f t="shared" si="1407"/>
        <v>0</v>
      </c>
      <c r="BJ215" s="59">
        <f t="shared" si="1407"/>
        <v>0</v>
      </c>
      <c r="BK215" s="59">
        <f t="shared" si="1407"/>
        <v>0</v>
      </c>
      <c r="BL215" s="59">
        <f t="shared" si="1407"/>
        <v>0</v>
      </c>
      <c r="BM215" s="59">
        <f t="shared" si="1407"/>
        <v>0</v>
      </c>
      <c r="BN215" s="59">
        <f t="shared" si="1407"/>
        <v>0</v>
      </c>
      <c r="BO215" s="73">
        <f>SUM(BO217)</f>
        <v>0</v>
      </c>
      <c r="BP215" s="60"/>
      <c r="BQ215" s="59">
        <f t="shared" ref="BQ215:BY215" si="1408">SUM(BQ217,BQ216)</f>
        <v>0</v>
      </c>
      <c r="BR215" s="59">
        <f t="shared" si="1408"/>
        <v>0</v>
      </c>
      <c r="BS215" s="59">
        <f t="shared" si="1408"/>
        <v>0</v>
      </c>
      <c r="BT215" s="59">
        <f t="shared" si="1408"/>
        <v>0</v>
      </c>
      <c r="BU215" s="59">
        <f t="shared" si="1408"/>
        <v>0</v>
      </c>
      <c r="BV215" s="59">
        <f t="shared" si="1408"/>
        <v>0</v>
      </c>
      <c r="BW215" s="59">
        <f t="shared" si="1408"/>
        <v>0</v>
      </c>
      <c r="BX215" s="59">
        <f t="shared" si="1408"/>
        <v>0</v>
      </c>
      <c r="BY215" s="59">
        <f t="shared" si="1408"/>
        <v>0</v>
      </c>
      <c r="BZ215" s="73">
        <f>SUM(BZ217)</f>
        <v>0</v>
      </c>
      <c r="CA215" s="60"/>
      <c r="CB215" s="59">
        <f t="shared" ref="CB215:CJ215" si="1409">SUM(CB217,CB216)</f>
        <v>0</v>
      </c>
      <c r="CC215" s="59">
        <f t="shared" si="1409"/>
        <v>0</v>
      </c>
      <c r="CD215" s="59">
        <f t="shared" si="1409"/>
        <v>0</v>
      </c>
      <c r="CE215" s="59">
        <f t="shared" si="1409"/>
        <v>0</v>
      </c>
      <c r="CF215" s="59">
        <f t="shared" si="1409"/>
        <v>0</v>
      </c>
      <c r="CG215" s="59">
        <f t="shared" si="1409"/>
        <v>0</v>
      </c>
      <c r="CH215" s="59">
        <f t="shared" si="1409"/>
        <v>0</v>
      </c>
      <c r="CI215" s="59">
        <f t="shared" si="1409"/>
        <v>0</v>
      </c>
      <c r="CJ215" s="59">
        <f t="shared" si="1409"/>
        <v>0</v>
      </c>
      <c r="CK215" s="73">
        <f>SUM(CK217)</f>
        <v>0</v>
      </c>
      <c r="CL215" s="60"/>
      <c r="CM215" s="59">
        <f>SUM(CM217)</f>
        <v>0</v>
      </c>
      <c r="CN215" s="59">
        <f t="shared" ref="CN215:CU215" si="1410">SUM(CN217)</f>
        <v>0</v>
      </c>
      <c r="CO215" s="59">
        <f t="shared" si="1410"/>
        <v>0</v>
      </c>
      <c r="CP215" s="59">
        <f t="shared" si="1410"/>
        <v>0</v>
      </c>
      <c r="CQ215" s="59">
        <f t="shared" si="1410"/>
        <v>0</v>
      </c>
      <c r="CR215" s="59">
        <f t="shared" si="1410"/>
        <v>0</v>
      </c>
      <c r="CS215" s="59">
        <f t="shared" si="1410"/>
        <v>0</v>
      </c>
      <c r="CT215" s="59">
        <f t="shared" si="1410"/>
        <v>0</v>
      </c>
      <c r="CU215" s="59">
        <f t="shared" si="1410"/>
        <v>0</v>
      </c>
      <c r="CV215" s="73">
        <f>SUM(CV217)</f>
        <v>0</v>
      </c>
      <c r="CW215" s="60"/>
      <c r="CX215" s="59">
        <f t="shared" ref="CX215:DF215" si="1411">SUM(CX217,CX216)</f>
        <v>0</v>
      </c>
      <c r="CY215" s="59">
        <f t="shared" si="1411"/>
        <v>0</v>
      </c>
      <c r="CZ215" s="59">
        <f t="shared" si="1411"/>
        <v>0</v>
      </c>
      <c r="DA215" s="59">
        <f t="shared" si="1411"/>
        <v>0</v>
      </c>
      <c r="DB215" s="59">
        <f t="shared" si="1411"/>
        <v>0</v>
      </c>
      <c r="DC215" s="59">
        <f t="shared" si="1411"/>
        <v>0</v>
      </c>
      <c r="DD215" s="59">
        <f t="shared" si="1411"/>
        <v>0</v>
      </c>
      <c r="DE215" s="59">
        <f t="shared" si="1411"/>
        <v>0</v>
      </c>
      <c r="DF215" s="59">
        <f t="shared" si="1411"/>
        <v>0</v>
      </c>
      <c r="DG215" s="73">
        <f>SUM(DG217)</f>
        <v>0</v>
      </c>
      <c r="DH215" s="60"/>
      <c r="DI215" s="59">
        <f t="shared" ref="DI215:DQ215" si="1412">SUM(DI217,DI216)</f>
        <v>0</v>
      </c>
      <c r="DJ215" s="59">
        <f t="shared" si="1412"/>
        <v>0</v>
      </c>
      <c r="DK215" s="59">
        <f t="shared" si="1412"/>
        <v>0</v>
      </c>
      <c r="DL215" s="59">
        <f t="shared" si="1412"/>
        <v>0</v>
      </c>
      <c r="DM215" s="59">
        <f t="shared" si="1412"/>
        <v>0</v>
      </c>
      <c r="DN215" s="59">
        <f t="shared" si="1412"/>
        <v>0</v>
      </c>
      <c r="DO215" s="59">
        <f t="shared" si="1412"/>
        <v>0</v>
      </c>
      <c r="DP215" s="59">
        <f t="shared" si="1412"/>
        <v>0</v>
      </c>
      <c r="DQ215" s="59">
        <f t="shared" si="1412"/>
        <v>0</v>
      </c>
      <c r="DR215" s="73">
        <f>SUM(DR217)</f>
        <v>0</v>
      </c>
      <c r="DS215" s="60"/>
      <c r="DT215" s="59">
        <f t="shared" ref="DT215:EB215" si="1413">SUM(DT217,DT216)</f>
        <v>0</v>
      </c>
      <c r="DU215" s="59">
        <f t="shared" si="1413"/>
        <v>0</v>
      </c>
      <c r="DV215" s="59">
        <f t="shared" si="1413"/>
        <v>0</v>
      </c>
      <c r="DW215" s="59">
        <f t="shared" si="1413"/>
        <v>0</v>
      </c>
      <c r="DX215" s="59">
        <f t="shared" si="1413"/>
        <v>0</v>
      </c>
      <c r="DY215" s="59">
        <f t="shared" si="1413"/>
        <v>0</v>
      </c>
      <c r="DZ215" s="59">
        <f t="shared" si="1413"/>
        <v>0</v>
      </c>
      <c r="EA215" s="59">
        <f t="shared" si="1413"/>
        <v>0</v>
      </c>
      <c r="EB215" s="59">
        <f t="shared" si="1413"/>
        <v>0</v>
      </c>
      <c r="EC215" s="59">
        <f>SUM(EC217,EC216)</f>
        <v>0</v>
      </c>
      <c r="ED215" s="60"/>
      <c r="EE215" s="59">
        <f>SUM(EE217)</f>
        <v>0</v>
      </c>
      <c r="EF215" s="59">
        <f t="shared" ref="EF215:EM215" si="1414">SUM(EF217)</f>
        <v>0</v>
      </c>
      <c r="EG215" s="59">
        <f t="shared" si="1414"/>
        <v>0</v>
      </c>
      <c r="EH215" s="59">
        <f t="shared" si="1414"/>
        <v>0</v>
      </c>
      <c r="EI215" s="59">
        <f t="shared" si="1414"/>
        <v>0</v>
      </c>
      <c r="EJ215" s="59">
        <f t="shared" si="1414"/>
        <v>0</v>
      </c>
      <c r="EK215" s="59">
        <f t="shared" si="1414"/>
        <v>0</v>
      </c>
      <c r="EL215" s="59">
        <f t="shared" si="1414"/>
        <v>0</v>
      </c>
      <c r="EM215" s="59">
        <f t="shared" si="1414"/>
        <v>0</v>
      </c>
      <c r="EN215" s="73">
        <f>SUM(EN217)</f>
        <v>0</v>
      </c>
      <c r="EO215" s="60"/>
      <c r="EP215" s="59">
        <f t="shared" ref="EP215:EX215" si="1415">SUM(EP217,EP216)</f>
        <v>0</v>
      </c>
      <c r="EQ215" s="59">
        <f t="shared" si="1415"/>
        <v>0</v>
      </c>
      <c r="ER215" s="59">
        <f t="shared" si="1415"/>
        <v>0</v>
      </c>
      <c r="ES215" s="59">
        <f t="shared" si="1415"/>
        <v>0</v>
      </c>
      <c r="ET215" s="59">
        <f t="shared" si="1415"/>
        <v>0</v>
      </c>
      <c r="EU215" s="59">
        <f t="shared" si="1415"/>
        <v>0</v>
      </c>
      <c r="EV215" s="59">
        <f t="shared" si="1415"/>
        <v>0</v>
      </c>
      <c r="EW215" s="59">
        <f t="shared" si="1415"/>
        <v>0</v>
      </c>
      <c r="EX215" s="59">
        <f t="shared" si="1415"/>
        <v>0</v>
      </c>
      <c r="EY215" s="73">
        <f>SUM(EY217)</f>
        <v>0</v>
      </c>
      <c r="EZ215" s="60"/>
      <c r="FA215" s="59">
        <f t="shared" ref="FA215:FI215" si="1416">SUM(FA217,FA216)</f>
        <v>0</v>
      </c>
      <c r="FB215" s="59">
        <f t="shared" si="1416"/>
        <v>0</v>
      </c>
      <c r="FC215" s="59">
        <f t="shared" si="1416"/>
        <v>0</v>
      </c>
      <c r="FD215" s="59">
        <f t="shared" si="1416"/>
        <v>0</v>
      </c>
      <c r="FE215" s="59">
        <f t="shared" si="1416"/>
        <v>0</v>
      </c>
      <c r="FF215" s="59">
        <f t="shared" si="1416"/>
        <v>0</v>
      </c>
      <c r="FG215" s="59">
        <f t="shared" si="1416"/>
        <v>0</v>
      </c>
      <c r="FH215" s="59">
        <f t="shared" si="1416"/>
        <v>0</v>
      </c>
      <c r="FI215" s="59">
        <f t="shared" si="1416"/>
        <v>0</v>
      </c>
      <c r="FJ215" s="73">
        <f>SUM(FJ217)</f>
        <v>0</v>
      </c>
      <c r="FK215" s="60"/>
      <c r="FL215" s="59">
        <f t="shared" ref="FL215:FT215" si="1417">SUM(FL217,FL216)</f>
        <v>0</v>
      </c>
      <c r="FM215" s="59">
        <f t="shared" si="1417"/>
        <v>0</v>
      </c>
      <c r="FN215" s="59">
        <f t="shared" si="1417"/>
        <v>0</v>
      </c>
      <c r="FO215" s="59">
        <f t="shared" si="1417"/>
        <v>0</v>
      </c>
      <c r="FP215" s="59">
        <f t="shared" si="1417"/>
        <v>0</v>
      </c>
      <c r="FQ215" s="59">
        <f t="shared" si="1417"/>
        <v>0</v>
      </c>
      <c r="FR215" s="59">
        <f t="shared" si="1417"/>
        <v>0</v>
      </c>
      <c r="FS215" s="59">
        <f t="shared" si="1417"/>
        <v>0</v>
      </c>
      <c r="FT215" s="59">
        <f t="shared" si="1417"/>
        <v>0</v>
      </c>
      <c r="FU215" s="73">
        <f>SUM(FU217)</f>
        <v>0</v>
      </c>
      <c r="FV215" s="60"/>
      <c r="FW215" s="59">
        <f>SUM(FW217)</f>
        <v>0</v>
      </c>
      <c r="FX215" s="59">
        <f t="shared" ref="FX215:GE215" si="1418">SUM(FX217)</f>
        <v>0</v>
      </c>
      <c r="FY215" s="59">
        <f t="shared" si="1418"/>
        <v>0</v>
      </c>
      <c r="FZ215" s="59">
        <f t="shared" si="1418"/>
        <v>0</v>
      </c>
      <c r="GA215" s="59">
        <f t="shared" si="1418"/>
        <v>0</v>
      </c>
      <c r="GB215" s="59">
        <f t="shared" si="1418"/>
        <v>0</v>
      </c>
      <c r="GC215" s="59">
        <f t="shared" si="1418"/>
        <v>0</v>
      </c>
      <c r="GD215" s="59">
        <f t="shared" si="1418"/>
        <v>0</v>
      </c>
      <c r="GE215" s="59">
        <f t="shared" si="1418"/>
        <v>0</v>
      </c>
      <c r="GF215" s="73">
        <f>SUM(GF217)</f>
        <v>0</v>
      </c>
      <c r="GG215" s="60"/>
      <c r="GH215" s="59">
        <f t="shared" ref="GH215:GP215" si="1419">SUM(GH217,GH216)</f>
        <v>0</v>
      </c>
      <c r="GI215" s="59">
        <f t="shared" si="1419"/>
        <v>0</v>
      </c>
      <c r="GJ215" s="59">
        <f t="shared" si="1419"/>
        <v>0</v>
      </c>
      <c r="GK215" s="59">
        <f t="shared" si="1419"/>
        <v>0</v>
      </c>
      <c r="GL215" s="59">
        <f t="shared" si="1419"/>
        <v>0</v>
      </c>
      <c r="GM215" s="59">
        <f t="shared" si="1419"/>
        <v>0</v>
      </c>
      <c r="GN215" s="59">
        <f t="shared" si="1419"/>
        <v>0</v>
      </c>
      <c r="GO215" s="59">
        <f t="shared" si="1419"/>
        <v>0</v>
      </c>
      <c r="GP215" s="59">
        <f t="shared" si="1419"/>
        <v>0</v>
      </c>
      <c r="GQ215" s="73">
        <f>SUM(GQ217)</f>
        <v>0</v>
      </c>
      <c r="GR215" s="59">
        <f t="shared" ref="GR215:HW215" si="1420">SUM(GR217,GR216)</f>
        <v>0</v>
      </c>
      <c r="GS215" s="59">
        <f t="shared" si="1420"/>
        <v>0</v>
      </c>
      <c r="GT215" s="59">
        <f t="shared" si="1420"/>
        <v>0</v>
      </c>
      <c r="GU215" s="59">
        <f t="shared" si="1420"/>
        <v>0</v>
      </c>
      <c r="GV215" s="59">
        <f t="shared" si="1420"/>
        <v>0</v>
      </c>
      <c r="GW215" s="59">
        <f t="shared" si="1420"/>
        <v>0</v>
      </c>
      <c r="GX215" s="59">
        <f t="shared" si="1420"/>
        <v>0</v>
      </c>
      <c r="GY215" s="59">
        <f t="shared" si="1420"/>
        <v>0</v>
      </c>
      <c r="GZ215" s="59">
        <f t="shared" si="1420"/>
        <v>0</v>
      </c>
      <c r="HA215" s="59">
        <f t="shared" si="1420"/>
        <v>0</v>
      </c>
      <c r="HB215" s="59">
        <f t="shared" si="1420"/>
        <v>0</v>
      </c>
      <c r="HC215" s="59">
        <f t="shared" si="1420"/>
        <v>0</v>
      </c>
      <c r="HD215" s="59">
        <f t="shared" si="1420"/>
        <v>0</v>
      </c>
      <c r="HE215" s="59">
        <f t="shared" si="1420"/>
        <v>0</v>
      </c>
      <c r="HF215" s="59">
        <f t="shared" si="1420"/>
        <v>0</v>
      </c>
      <c r="HG215" s="59">
        <f t="shared" si="1420"/>
        <v>0</v>
      </c>
      <c r="HH215" s="59">
        <f t="shared" si="1420"/>
        <v>0</v>
      </c>
      <c r="HI215" s="59">
        <f t="shared" si="1420"/>
        <v>0</v>
      </c>
      <c r="HJ215" s="59">
        <f t="shared" si="1420"/>
        <v>0</v>
      </c>
      <c r="HK215" s="59">
        <f t="shared" si="1420"/>
        <v>0</v>
      </c>
      <c r="HL215" s="59">
        <f t="shared" si="1420"/>
        <v>0</v>
      </c>
      <c r="HM215" s="59">
        <f t="shared" si="1420"/>
        <v>0</v>
      </c>
      <c r="HN215" s="59">
        <f t="shared" si="1420"/>
        <v>0</v>
      </c>
      <c r="HO215" s="59">
        <f t="shared" si="1420"/>
        <v>0</v>
      </c>
      <c r="HP215" s="59">
        <f t="shared" si="1420"/>
        <v>0</v>
      </c>
      <c r="HQ215" s="59">
        <f t="shared" si="1420"/>
        <v>0</v>
      </c>
      <c r="HR215" s="59">
        <f t="shared" si="1420"/>
        <v>0</v>
      </c>
      <c r="HS215" s="59">
        <f t="shared" si="1420"/>
        <v>0</v>
      </c>
      <c r="HT215" s="59">
        <f t="shared" si="1420"/>
        <v>0</v>
      </c>
      <c r="HU215" s="59">
        <f t="shared" si="1420"/>
        <v>0</v>
      </c>
      <c r="HV215" s="59">
        <f t="shared" si="1420"/>
        <v>0</v>
      </c>
      <c r="HW215" s="59">
        <f t="shared" si="1420"/>
        <v>0</v>
      </c>
      <c r="HX215" s="59">
        <f t="shared" ref="HX215:IV215" si="1421">SUM(HX217,HX216)</f>
        <v>0</v>
      </c>
      <c r="HY215" s="59">
        <f t="shared" si="1421"/>
        <v>0</v>
      </c>
      <c r="HZ215" s="59">
        <f t="shared" si="1421"/>
        <v>0</v>
      </c>
      <c r="IA215" s="59">
        <f t="shared" si="1421"/>
        <v>0</v>
      </c>
      <c r="IB215" s="59">
        <f t="shared" si="1421"/>
        <v>0</v>
      </c>
      <c r="IC215" s="59">
        <f t="shared" si="1421"/>
        <v>0</v>
      </c>
      <c r="ID215" s="59">
        <f t="shared" si="1421"/>
        <v>0</v>
      </c>
      <c r="IE215" s="59">
        <f t="shared" si="1421"/>
        <v>0</v>
      </c>
      <c r="IF215" s="59">
        <f t="shared" si="1421"/>
        <v>0</v>
      </c>
      <c r="IG215" s="59">
        <f t="shared" si="1421"/>
        <v>0</v>
      </c>
      <c r="IH215" s="59">
        <f t="shared" si="1421"/>
        <v>0</v>
      </c>
      <c r="II215" s="59">
        <f t="shared" si="1421"/>
        <v>0</v>
      </c>
      <c r="IJ215" s="59">
        <f t="shared" si="1421"/>
        <v>0</v>
      </c>
      <c r="IK215" s="59">
        <f t="shared" si="1421"/>
        <v>0</v>
      </c>
      <c r="IL215" s="59">
        <f t="shared" si="1421"/>
        <v>0</v>
      </c>
      <c r="IM215" s="59">
        <f t="shared" si="1421"/>
        <v>0</v>
      </c>
      <c r="IN215" s="59">
        <f t="shared" si="1421"/>
        <v>0</v>
      </c>
      <c r="IO215" s="59">
        <f t="shared" si="1421"/>
        <v>0</v>
      </c>
      <c r="IP215" s="59">
        <f t="shared" si="1421"/>
        <v>0</v>
      </c>
      <c r="IQ215" s="59">
        <f t="shared" si="1421"/>
        <v>0</v>
      </c>
      <c r="IR215" s="59">
        <f t="shared" si="1421"/>
        <v>0</v>
      </c>
      <c r="IS215" s="59">
        <f t="shared" si="1421"/>
        <v>0</v>
      </c>
      <c r="IT215" s="59">
        <f t="shared" si="1421"/>
        <v>0</v>
      </c>
      <c r="IU215" s="59">
        <f t="shared" si="1421"/>
        <v>0</v>
      </c>
      <c r="IV215" s="59">
        <f t="shared" si="1421"/>
        <v>0</v>
      </c>
    </row>
    <row r="216" spans="1:256" x14ac:dyDescent="0.2">
      <c r="A216" s="61" t="s">
        <v>29</v>
      </c>
      <c r="B216" s="62"/>
      <c r="C216" s="63"/>
      <c r="D216" s="63"/>
      <c r="E216" s="63"/>
      <c r="F216" s="63"/>
      <c r="G216" s="63"/>
      <c r="H216" s="63"/>
      <c r="I216" s="63"/>
      <c r="J216" s="63"/>
      <c r="K216" s="63"/>
      <c r="L216" s="64">
        <f>SUM(C216:F216,H216:K216)</f>
        <v>0</v>
      </c>
      <c r="M216" s="62"/>
      <c r="N216" s="63"/>
      <c r="O216" s="63"/>
      <c r="P216" s="63"/>
      <c r="Q216" s="63"/>
      <c r="R216" s="63"/>
      <c r="S216" s="63"/>
      <c r="T216" s="63"/>
      <c r="U216" s="63"/>
      <c r="V216" s="63"/>
      <c r="W216" s="64">
        <f>SUM(N216:Q216,S216:V216)</f>
        <v>0</v>
      </c>
      <c r="X216" s="62"/>
      <c r="Y216" s="63"/>
      <c r="Z216" s="63"/>
      <c r="AA216" s="63"/>
      <c r="AB216" s="63"/>
      <c r="AC216" s="63"/>
      <c r="AD216" s="63"/>
      <c r="AE216" s="63"/>
      <c r="AF216" s="63"/>
      <c r="AG216" s="63"/>
      <c r="AH216" s="64">
        <f>SUM(Y216:AB216,AD216:AG216)</f>
        <v>0</v>
      </c>
      <c r="AI216" s="62"/>
      <c r="AJ216" s="63"/>
      <c r="AK216" s="63"/>
      <c r="AL216" s="63"/>
      <c r="AM216" s="63"/>
      <c r="AN216" s="63"/>
      <c r="AO216" s="63"/>
      <c r="AP216" s="63"/>
      <c r="AQ216" s="63"/>
      <c r="AR216" s="63"/>
      <c r="AS216" s="64">
        <f>SUM(AJ216:AM216,AO216:AR216)</f>
        <v>0</v>
      </c>
      <c r="AT216" s="65">
        <f t="shared" ref="AT216:BC216" si="1422">SUM(M216,AI216,X216)</f>
        <v>0</v>
      </c>
      <c r="AU216" s="65">
        <f t="shared" si="1422"/>
        <v>0</v>
      </c>
      <c r="AV216" s="65">
        <f t="shared" si="1422"/>
        <v>0</v>
      </c>
      <c r="AW216" s="65">
        <f t="shared" si="1422"/>
        <v>0</v>
      </c>
      <c r="AX216" s="65">
        <f t="shared" si="1422"/>
        <v>0</v>
      </c>
      <c r="AY216" s="65">
        <f t="shared" si="1422"/>
        <v>0</v>
      </c>
      <c r="AZ216" s="65">
        <f t="shared" si="1422"/>
        <v>0</v>
      </c>
      <c r="BA216" s="65">
        <f t="shared" si="1422"/>
        <v>0</v>
      </c>
      <c r="BB216" s="65">
        <f t="shared" si="1422"/>
        <v>0</v>
      </c>
      <c r="BC216" s="65">
        <f t="shared" si="1422"/>
        <v>0</v>
      </c>
      <c r="BD216" s="64">
        <f>SUM(AU216:AX216,AZ216:BC216)</f>
        <v>0</v>
      </c>
      <c r="BE216" s="62"/>
      <c r="BF216" s="63"/>
      <c r="BG216" s="63"/>
      <c r="BH216" s="63"/>
      <c r="BI216" s="63"/>
      <c r="BJ216" s="63"/>
      <c r="BK216" s="63"/>
      <c r="BL216" s="63"/>
      <c r="BM216" s="63"/>
      <c r="BN216" s="63"/>
      <c r="BO216" s="64">
        <f>SUM(BF216:BI216,BK216:BN216)</f>
        <v>0</v>
      </c>
      <c r="BP216" s="62"/>
      <c r="BQ216" s="63"/>
      <c r="BR216" s="63"/>
      <c r="BS216" s="63"/>
      <c r="BT216" s="63"/>
      <c r="BU216" s="63"/>
      <c r="BV216" s="63"/>
      <c r="BW216" s="63"/>
      <c r="BX216" s="63"/>
      <c r="BY216" s="63"/>
      <c r="BZ216" s="64">
        <f>SUM(BQ216:BT216,BV216:BY216)</f>
        <v>0</v>
      </c>
      <c r="CA216" s="62"/>
      <c r="CB216" s="63"/>
      <c r="CC216" s="63"/>
      <c r="CD216" s="63"/>
      <c r="CE216" s="63"/>
      <c r="CF216" s="63"/>
      <c r="CG216" s="63"/>
      <c r="CH216" s="63"/>
      <c r="CI216" s="63"/>
      <c r="CJ216" s="63"/>
      <c r="CK216" s="64">
        <f>SUM(CB216:CE216,CG216:CJ216)</f>
        <v>0</v>
      </c>
      <c r="CL216" s="65">
        <f t="shared" ref="CL216:CU216" si="1423">SUM(BE216,CA216,BP216)</f>
        <v>0</v>
      </c>
      <c r="CM216" s="65">
        <f t="shared" si="1423"/>
        <v>0</v>
      </c>
      <c r="CN216" s="65">
        <f t="shared" si="1423"/>
        <v>0</v>
      </c>
      <c r="CO216" s="65">
        <f t="shared" si="1423"/>
        <v>0</v>
      </c>
      <c r="CP216" s="65">
        <f t="shared" si="1423"/>
        <v>0</v>
      </c>
      <c r="CQ216" s="65">
        <f t="shared" si="1423"/>
        <v>0</v>
      </c>
      <c r="CR216" s="65">
        <f t="shared" si="1423"/>
        <v>0</v>
      </c>
      <c r="CS216" s="65">
        <f t="shared" si="1423"/>
        <v>0</v>
      </c>
      <c r="CT216" s="65">
        <f t="shared" si="1423"/>
        <v>0</v>
      </c>
      <c r="CU216" s="65">
        <f t="shared" si="1423"/>
        <v>0</v>
      </c>
      <c r="CV216" s="64">
        <f>SUM(CM216:CP216,CR216:CU216)</f>
        <v>0</v>
      </c>
      <c r="CW216" s="62"/>
      <c r="CX216" s="63"/>
      <c r="CY216" s="63"/>
      <c r="CZ216" s="63"/>
      <c r="DA216" s="63"/>
      <c r="DB216" s="63"/>
      <c r="DC216" s="63"/>
      <c r="DD216" s="63"/>
      <c r="DE216" s="63"/>
      <c r="DF216" s="63"/>
      <c r="DG216" s="64">
        <f>SUM(CX216:DA216,DC216:DF216)</f>
        <v>0</v>
      </c>
      <c r="DH216" s="62"/>
      <c r="DI216" s="63"/>
      <c r="DJ216" s="63"/>
      <c r="DK216" s="63"/>
      <c r="DL216" s="63"/>
      <c r="DM216" s="63"/>
      <c r="DN216" s="63"/>
      <c r="DO216" s="63"/>
      <c r="DP216" s="63"/>
      <c r="DQ216" s="63"/>
      <c r="DR216" s="64">
        <f>SUM(DI216:DL216,DN216:DQ216)</f>
        <v>0</v>
      </c>
      <c r="DS216" s="62"/>
      <c r="DT216" s="63"/>
      <c r="DU216" s="63"/>
      <c r="DV216" s="63"/>
      <c r="DW216" s="63"/>
      <c r="DX216" s="63"/>
      <c r="DY216" s="63"/>
      <c r="DZ216" s="63"/>
      <c r="EA216" s="63"/>
      <c r="EB216" s="63"/>
      <c r="EC216" s="63"/>
      <c r="ED216" s="65">
        <f t="shared" ref="ED216:EM216" si="1424">SUM(CW216,DS216,DH216)</f>
        <v>0</v>
      </c>
      <c r="EE216" s="65">
        <f t="shared" si="1424"/>
        <v>0</v>
      </c>
      <c r="EF216" s="65">
        <f t="shared" si="1424"/>
        <v>0</v>
      </c>
      <c r="EG216" s="65">
        <f t="shared" si="1424"/>
        <v>0</v>
      </c>
      <c r="EH216" s="65">
        <f t="shared" si="1424"/>
        <v>0</v>
      </c>
      <c r="EI216" s="65">
        <f t="shared" si="1424"/>
        <v>0</v>
      </c>
      <c r="EJ216" s="65">
        <f t="shared" si="1424"/>
        <v>0</v>
      </c>
      <c r="EK216" s="65">
        <f t="shared" si="1424"/>
        <v>0</v>
      </c>
      <c r="EL216" s="65">
        <f t="shared" si="1424"/>
        <v>0</v>
      </c>
      <c r="EM216" s="65">
        <f t="shared" si="1424"/>
        <v>0</v>
      </c>
      <c r="EN216" s="64">
        <f>SUM(EE216:EH216,EJ216:EM216)</f>
        <v>0</v>
      </c>
      <c r="EO216" s="62"/>
      <c r="EP216" s="63"/>
      <c r="EQ216" s="63"/>
      <c r="ER216" s="63"/>
      <c r="ES216" s="63"/>
      <c r="ET216" s="63"/>
      <c r="EU216" s="63"/>
      <c r="EV216" s="63"/>
      <c r="EW216" s="63"/>
      <c r="EX216" s="63"/>
      <c r="EY216" s="64">
        <f>SUM(EP216:ES216,EU216:EX216)</f>
        <v>0</v>
      </c>
      <c r="EZ216" s="62"/>
      <c r="FA216" s="63"/>
      <c r="FB216" s="63"/>
      <c r="FC216" s="63"/>
      <c r="FD216" s="63"/>
      <c r="FE216" s="63"/>
      <c r="FF216" s="63"/>
      <c r="FG216" s="63"/>
      <c r="FH216" s="63"/>
      <c r="FI216" s="63"/>
      <c r="FJ216" s="64">
        <f>SUM(FA216:FD216,FF216:FI216)</f>
        <v>0</v>
      </c>
      <c r="FK216" s="62"/>
      <c r="FL216" s="63"/>
      <c r="FM216" s="63"/>
      <c r="FN216" s="63"/>
      <c r="FO216" s="63"/>
      <c r="FP216" s="63"/>
      <c r="FQ216" s="63"/>
      <c r="FR216" s="63"/>
      <c r="FS216" s="63"/>
      <c r="FT216" s="63"/>
      <c r="FU216" s="64">
        <f>SUM(FL216:FO216,FQ216:FT216)</f>
        <v>0</v>
      </c>
      <c r="FV216" s="65">
        <f t="shared" ref="FV216:GE216" si="1425">SUM(EO216,FK216,EZ216)</f>
        <v>0</v>
      </c>
      <c r="FW216" s="65">
        <f t="shared" si="1425"/>
        <v>0</v>
      </c>
      <c r="FX216" s="65">
        <f t="shared" si="1425"/>
        <v>0</v>
      </c>
      <c r="FY216" s="65">
        <f t="shared" si="1425"/>
        <v>0</v>
      </c>
      <c r="FZ216" s="65">
        <f t="shared" si="1425"/>
        <v>0</v>
      </c>
      <c r="GA216" s="65">
        <f t="shared" si="1425"/>
        <v>0</v>
      </c>
      <c r="GB216" s="65">
        <f t="shared" si="1425"/>
        <v>0</v>
      </c>
      <c r="GC216" s="65">
        <f t="shared" si="1425"/>
        <v>0</v>
      </c>
      <c r="GD216" s="65">
        <f t="shared" si="1425"/>
        <v>0</v>
      </c>
      <c r="GE216" s="65">
        <f t="shared" si="1425"/>
        <v>0</v>
      </c>
      <c r="GF216" s="64">
        <f>SUM(FW216:FZ216,GB216:GE216)</f>
        <v>0</v>
      </c>
      <c r="GG216" s="66">
        <f t="shared" ref="GG216:GP216" si="1426">SUM(AT216,CL216,ED216,FV216)</f>
        <v>0</v>
      </c>
      <c r="GH216" s="66">
        <f t="shared" si="1426"/>
        <v>0</v>
      </c>
      <c r="GI216" s="66">
        <f t="shared" si="1426"/>
        <v>0</v>
      </c>
      <c r="GJ216" s="66">
        <f t="shared" si="1426"/>
        <v>0</v>
      </c>
      <c r="GK216" s="66">
        <f t="shared" si="1426"/>
        <v>0</v>
      </c>
      <c r="GL216" s="66">
        <f t="shared" si="1426"/>
        <v>0</v>
      </c>
      <c r="GM216" s="66">
        <f t="shared" si="1426"/>
        <v>0</v>
      </c>
      <c r="GN216" s="66">
        <f t="shared" si="1426"/>
        <v>0</v>
      </c>
      <c r="GO216" s="66">
        <f t="shared" si="1426"/>
        <v>0</v>
      </c>
      <c r="GP216" s="66">
        <f t="shared" si="1426"/>
        <v>0</v>
      </c>
      <c r="GQ216" s="64">
        <f>SUM(GH216:GK216,GM216:GP216)</f>
        <v>0</v>
      </c>
      <c r="GR216" s="63"/>
      <c r="GS216" s="63"/>
      <c r="GT216" s="63"/>
      <c r="GU216" s="63"/>
      <c r="GV216" s="67">
        <f>SUM(GR216:GU216)</f>
        <v>0</v>
      </c>
      <c r="GW216" s="63"/>
      <c r="GX216" s="63"/>
      <c r="GY216" s="63"/>
      <c r="GZ216" s="63"/>
      <c r="HA216" s="67">
        <f>SUM(GW216:GZ216)</f>
        <v>0</v>
      </c>
      <c r="HB216" s="63"/>
      <c r="HC216" s="63"/>
      <c r="HD216" s="63"/>
      <c r="HE216" s="63"/>
      <c r="HF216" s="67">
        <f>SUM(HB216:HE216)</f>
        <v>0</v>
      </c>
      <c r="HG216" s="63"/>
      <c r="HH216" s="63"/>
      <c r="HI216" s="63"/>
      <c r="HJ216" s="63"/>
      <c r="HK216" s="67">
        <f>SUM(HG216:HJ216)</f>
        <v>0</v>
      </c>
      <c r="HL216" s="68">
        <f>SUM(GW216,HB216,HG216)</f>
        <v>0</v>
      </c>
      <c r="HM216" s="68">
        <f>SUM(GX216,HC216,HH216)</f>
        <v>0</v>
      </c>
      <c r="HN216" s="68">
        <f>SUM(GY216,HD216,HI216)</f>
        <v>0</v>
      </c>
      <c r="HO216" s="68">
        <f>SUM(GZ216,HE216,HJ216)</f>
        <v>0</v>
      </c>
      <c r="HP216" s="67">
        <f>SUM(HL216:HO216)</f>
        <v>0</v>
      </c>
      <c r="HQ216" s="63"/>
      <c r="HR216" s="63"/>
      <c r="HS216" s="63"/>
      <c r="HT216" s="63"/>
      <c r="HU216" s="67">
        <f>SUM(HQ216:HT216)</f>
        <v>0</v>
      </c>
      <c r="HV216" s="63"/>
      <c r="HW216" s="63"/>
      <c r="HX216" s="63"/>
      <c r="HY216" s="63"/>
      <c r="HZ216" s="67">
        <f>SUM(HV216:HY216)</f>
        <v>0</v>
      </c>
      <c r="IA216" s="63"/>
      <c r="IB216" s="63"/>
      <c r="IC216" s="63"/>
      <c r="ID216" s="63"/>
      <c r="IE216" s="67">
        <f>SUM(IA216:ID216)</f>
        <v>0</v>
      </c>
      <c r="IF216" s="68">
        <f>SUM(HQ216,HV216,IA216)</f>
        <v>0</v>
      </c>
      <c r="IG216" s="68">
        <f>SUM(HR216,HW216,IB216)</f>
        <v>0</v>
      </c>
      <c r="IH216" s="68">
        <f>SUM(HS216,HX216,IC216)</f>
        <v>0</v>
      </c>
      <c r="II216" s="68">
        <f>SUM(HT216,HY216,ID216)</f>
        <v>0</v>
      </c>
      <c r="IJ216" s="67">
        <f>SUM(IF216:II216)</f>
        <v>0</v>
      </c>
      <c r="IK216" s="63"/>
      <c r="IL216" s="63"/>
      <c r="IM216" s="63"/>
      <c r="IN216" s="63"/>
      <c r="IO216" s="67">
        <f>SUM(IK216:IN216)</f>
        <v>0</v>
      </c>
      <c r="IP216" s="63"/>
      <c r="IQ216" s="63"/>
      <c r="IR216" s="63"/>
      <c r="IS216" s="63"/>
      <c r="IT216" s="67">
        <f>SUM(IP216:IS216)</f>
        <v>0</v>
      </c>
      <c r="IU216" s="63"/>
      <c r="IV216" s="63"/>
    </row>
    <row r="217" spans="1:256" s="78" customFormat="1" x14ac:dyDescent="0.25">
      <c r="A217" s="79" t="s">
        <v>190</v>
      </c>
      <c r="B217" s="80"/>
      <c r="C217" s="81">
        <f t="shared" ref="C217:K217" si="1427">SUM(C218,C223)</f>
        <v>3361</v>
      </c>
      <c r="D217" s="81">
        <f t="shared" si="1427"/>
        <v>0</v>
      </c>
      <c r="E217" s="81">
        <f t="shared" si="1427"/>
        <v>0</v>
      </c>
      <c r="F217" s="81">
        <f t="shared" si="1427"/>
        <v>0</v>
      </c>
      <c r="G217" s="81">
        <f t="shared" si="1427"/>
        <v>0</v>
      </c>
      <c r="H217" s="81">
        <f t="shared" si="1427"/>
        <v>0</v>
      </c>
      <c r="I217" s="81">
        <f t="shared" si="1427"/>
        <v>0</v>
      </c>
      <c r="J217" s="81">
        <f t="shared" si="1427"/>
        <v>0</v>
      </c>
      <c r="K217" s="81">
        <f t="shared" si="1427"/>
        <v>0</v>
      </c>
      <c r="L217" s="82">
        <f>SUM(L218,L223)</f>
        <v>3361</v>
      </c>
      <c r="M217" s="80"/>
      <c r="N217" s="81">
        <f t="shared" ref="N217:V217" si="1428">SUM(N218,N223)</f>
        <v>0</v>
      </c>
      <c r="O217" s="81">
        <f t="shared" si="1428"/>
        <v>0</v>
      </c>
      <c r="P217" s="81">
        <f t="shared" si="1428"/>
        <v>0</v>
      </c>
      <c r="Q217" s="81">
        <f t="shared" si="1428"/>
        <v>0</v>
      </c>
      <c r="R217" s="81">
        <f t="shared" si="1428"/>
        <v>0</v>
      </c>
      <c r="S217" s="81">
        <f t="shared" si="1428"/>
        <v>0</v>
      </c>
      <c r="T217" s="81">
        <f t="shared" si="1428"/>
        <v>0</v>
      </c>
      <c r="U217" s="81">
        <f t="shared" si="1428"/>
        <v>0</v>
      </c>
      <c r="V217" s="81">
        <f t="shared" si="1428"/>
        <v>0</v>
      </c>
      <c r="W217" s="82">
        <f>SUM(W218,W223)</f>
        <v>0</v>
      </c>
      <c r="X217" s="80"/>
      <c r="Y217" s="81">
        <f t="shared" ref="Y217:AG217" si="1429">SUM(Y218,Y223)</f>
        <v>0</v>
      </c>
      <c r="Z217" s="81">
        <f t="shared" si="1429"/>
        <v>0</v>
      </c>
      <c r="AA217" s="81">
        <f t="shared" si="1429"/>
        <v>0</v>
      </c>
      <c r="AB217" s="81">
        <f t="shared" si="1429"/>
        <v>0</v>
      </c>
      <c r="AC217" s="81">
        <f t="shared" si="1429"/>
        <v>0</v>
      </c>
      <c r="AD217" s="81">
        <f t="shared" si="1429"/>
        <v>0</v>
      </c>
      <c r="AE217" s="81">
        <f t="shared" si="1429"/>
        <v>0</v>
      </c>
      <c r="AF217" s="81">
        <f t="shared" si="1429"/>
        <v>0</v>
      </c>
      <c r="AG217" s="81">
        <f t="shared" si="1429"/>
        <v>0</v>
      </c>
      <c r="AH217" s="82">
        <f>SUM(AH218,AH223)</f>
        <v>0</v>
      </c>
      <c r="AI217" s="80"/>
      <c r="AJ217" s="81">
        <f t="shared" ref="AJ217:AR217" si="1430">SUM(AJ218,AJ223)</f>
        <v>0</v>
      </c>
      <c r="AK217" s="81">
        <f t="shared" si="1430"/>
        <v>0</v>
      </c>
      <c r="AL217" s="81">
        <f t="shared" si="1430"/>
        <v>0</v>
      </c>
      <c r="AM217" s="81">
        <f t="shared" si="1430"/>
        <v>0</v>
      </c>
      <c r="AN217" s="81">
        <f t="shared" si="1430"/>
        <v>0</v>
      </c>
      <c r="AO217" s="81">
        <f t="shared" si="1430"/>
        <v>0</v>
      </c>
      <c r="AP217" s="81">
        <f t="shared" si="1430"/>
        <v>0</v>
      </c>
      <c r="AQ217" s="81">
        <f t="shared" si="1430"/>
        <v>0</v>
      </c>
      <c r="AR217" s="81">
        <f t="shared" si="1430"/>
        <v>0</v>
      </c>
      <c r="AS217" s="82">
        <f>SUM(AS218,AS223)</f>
        <v>0</v>
      </c>
      <c r="AT217" s="80"/>
      <c r="AU217" s="81">
        <f>SUM(AU218,AU223)</f>
        <v>0</v>
      </c>
      <c r="AV217" s="81">
        <f t="shared" ref="AV217:BC217" si="1431">SUM(AV218,AV223)</f>
        <v>0</v>
      </c>
      <c r="AW217" s="81">
        <f t="shared" si="1431"/>
        <v>0</v>
      </c>
      <c r="AX217" s="81">
        <f t="shared" si="1431"/>
        <v>0</v>
      </c>
      <c r="AY217" s="81">
        <f t="shared" si="1431"/>
        <v>0</v>
      </c>
      <c r="AZ217" s="81">
        <f t="shared" si="1431"/>
        <v>0</v>
      </c>
      <c r="BA217" s="81">
        <f t="shared" si="1431"/>
        <v>0</v>
      </c>
      <c r="BB217" s="81">
        <f t="shared" si="1431"/>
        <v>0</v>
      </c>
      <c r="BC217" s="81">
        <f t="shared" si="1431"/>
        <v>0</v>
      </c>
      <c r="BD217" s="82">
        <f>SUM(BD218,BD223)</f>
        <v>0</v>
      </c>
      <c r="BE217" s="80"/>
      <c r="BF217" s="81">
        <f t="shared" ref="BF217:BN217" si="1432">SUM(BF218,BF223)</f>
        <v>0</v>
      </c>
      <c r="BG217" s="81">
        <f t="shared" si="1432"/>
        <v>0</v>
      </c>
      <c r="BH217" s="81">
        <f t="shared" si="1432"/>
        <v>0</v>
      </c>
      <c r="BI217" s="81">
        <f t="shared" si="1432"/>
        <v>0</v>
      </c>
      <c r="BJ217" s="81">
        <f t="shared" si="1432"/>
        <v>0</v>
      </c>
      <c r="BK217" s="81">
        <f t="shared" si="1432"/>
        <v>0</v>
      </c>
      <c r="BL217" s="81">
        <f t="shared" si="1432"/>
        <v>0</v>
      </c>
      <c r="BM217" s="81">
        <f t="shared" si="1432"/>
        <v>0</v>
      </c>
      <c r="BN217" s="81">
        <f t="shared" si="1432"/>
        <v>0</v>
      </c>
      <c r="BO217" s="82">
        <f>SUM(BO218,BO223)</f>
        <v>0</v>
      </c>
      <c r="BP217" s="80"/>
      <c r="BQ217" s="81">
        <f t="shared" ref="BQ217:BY217" si="1433">SUM(BQ218,BQ223)</f>
        <v>0</v>
      </c>
      <c r="BR217" s="81">
        <f t="shared" si="1433"/>
        <v>0</v>
      </c>
      <c r="BS217" s="81">
        <f t="shared" si="1433"/>
        <v>0</v>
      </c>
      <c r="BT217" s="81">
        <f t="shared" si="1433"/>
        <v>0</v>
      </c>
      <c r="BU217" s="81">
        <f t="shared" si="1433"/>
        <v>0</v>
      </c>
      <c r="BV217" s="81">
        <f t="shared" si="1433"/>
        <v>0</v>
      </c>
      <c r="BW217" s="81">
        <f t="shared" si="1433"/>
        <v>0</v>
      </c>
      <c r="BX217" s="81">
        <f t="shared" si="1433"/>
        <v>0</v>
      </c>
      <c r="BY217" s="81">
        <f t="shared" si="1433"/>
        <v>0</v>
      </c>
      <c r="BZ217" s="82">
        <f>SUM(BZ218,BZ223)</f>
        <v>0</v>
      </c>
      <c r="CA217" s="80"/>
      <c r="CB217" s="81">
        <f t="shared" ref="CB217:CJ217" si="1434">SUM(CB218,CB223)</f>
        <v>0</v>
      </c>
      <c r="CC217" s="81">
        <f t="shared" si="1434"/>
        <v>0</v>
      </c>
      <c r="CD217" s="81">
        <f t="shared" si="1434"/>
        <v>0</v>
      </c>
      <c r="CE217" s="81">
        <f t="shared" si="1434"/>
        <v>0</v>
      </c>
      <c r="CF217" s="81">
        <f t="shared" si="1434"/>
        <v>0</v>
      </c>
      <c r="CG217" s="81">
        <f t="shared" si="1434"/>
        <v>0</v>
      </c>
      <c r="CH217" s="81">
        <f t="shared" si="1434"/>
        <v>0</v>
      </c>
      <c r="CI217" s="81">
        <f t="shared" si="1434"/>
        <v>0</v>
      </c>
      <c r="CJ217" s="81">
        <f t="shared" si="1434"/>
        <v>0</v>
      </c>
      <c r="CK217" s="82">
        <f>SUM(CK218,CK223)</f>
        <v>0</v>
      </c>
      <c r="CL217" s="80"/>
      <c r="CM217" s="81">
        <f>SUM(CM218,CM223)</f>
        <v>0</v>
      </c>
      <c r="CN217" s="81">
        <f t="shared" ref="CN217:CU217" si="1435">SUM(CN218,CN223)</f>
        <v>0</v>
      </c>
      <c r="CO217" s="81">
        <f t="shared" si="1435"/>
        <v>0</v>
      </c>
      <c r="CP217" s="81">
        <f t="shared" si="1435"/>
        <v>0</v>
      </c>
      <c r="CQ217" s="81">
        <f t="shared" si="1435"/>
        <v>0</v>
      </c>
      <c r="CR217" s="81">
        <f t="shared" si="1435"/>
        <v>0</v>
      </c>
      <c r="CS217" s="81">
        <f t="shared" si="1435"/>
        <v>0</v>
      </c>
      <c r="CT217" s="81">
        <f t="shared" si="1435"/>
        <v>0</v>
      </c>
      <c r="CU217" s="81">
        <f t="shared" si="1435"/>
        <v>0</v>
      </c>
      <c r="CV217" s="82">
        <f>SUM(CV218,CV223)</f>
        <v>0</v>
      </c>
      <c r="CW217" s="80"/>
      <c r="CX217" s="81">
        <f t="shared" ref="CX217:DF217" si="1436">SUM(CX218,CX223)</f>
        <v>0</v>
      </c>
      <c r="CY217" s="81">
        <f t="shared" si="1436"/>
        <v>0</v>
      </c>
      <c r="CZ217" s="81">
        <f t="shared" si="1436"/>
        <v>0</v>
      </c>
      <c r="DA217" s="81">
        <f t="shared" si="1436"/>
        <v>0</v>
      </c>
      <c r="DB217" s="81">
        <f t="shared" si="1436"/>
        <v>0</v>
      </c>
      <c r="DC217" s="81">
        <f t="shared" si="1436"/>
        <v>0</v>
      </c>
      <c r="DD217" s="81">
        <f t="shared" si="1436"/>
        <v>0</v>
      </c>
      <c r="DE217" s="81">
        <f t="shared" si="1436"/>
        <v>0</v>
      </c>
      <c r="DF217" s="81">
        <f t="shared" si="1436"/>
        <v>0</v>
      </c>
      <c r="DG217" s="82">
        <f>SUM(DG218,DG223)</f>
        <v>0</v>
      </c>
      <c r="DH217" s="80"/>
      <c r="DI217" s="81">
        <f t="shared" ref="DI217:DQ217" si="1437">SUM(DI218,DI223)</f>
        <v>0</v>
      </c>
      <c r="DJ217" s="81">
        <f t="shared" si="1437"/>
        <v>0</v>
      </c>
      <c r="DK217" s="81">
        <f t="shared" si="1437"/>
        <v>0</v>
      </c>
      <c r="DL217" s="81">
        <f t="shared" si="1437"/>
        <v>0</v>
      </c>
      <c r="DM217" s="81">
        <f t="shared" si="1437"/>
        <v>0</v>
      </c>
      <c r="DN217" s="81">
        <f t="shared" si="1437"/>
        <v>0</v>
      </c>
      <c r="DO217" s="81">
        <f t="shared" si="1437"/>
        <v>0</v>
      </c>
      <c r="DP217" s="81">
        <f t="shared" si="1437"/>
        <v>0</v>
      </c>
      <c r="DQ217" s="81">
        <f t="shared" si="1437"/>
        <v>0</v>
      </c>
      <c r="DR217" s="82">
        <f>SUM(DR218,DR223)</f>
        <v>0</v>
      </c>
      <c r="DS217" s="80"/>
      <c r="DT217" s="81">
        <f t="shared" ref="DT217:EB217" si="1438">SUM(DT218,DT223)</f>
        <v>0</v>
      </c>
      <c r="DU217" s="81">
        <f t="shared" si="1438"/>
        <v>0</v>
      </c>
      <c r="DV217" s="81">
        <f t="shared" si="1438"/>
        <v>0</v>
      </c>
      <c r="DW217" s="81">
        <f t="shared" si="1438"/>
        <v>0</v>
      </c>
      <c r="DX217" s="81">
        <f t="shared" si="1438"/>
        <v>0</v>
      </c>
      <c r="DY217" s="81">
        <f t="shared" si="1438"/>
        <v>0</v>
      </c>
      <c r="DZ217" s="81">
        <f t="shared" si="1438"/>
        <v>0</v>
      </c>
      <c r="EA217" s="81">
        <f t="shared" si="1438"/>
        <v>0</v>
      </c>
      <c r="EB217" s="81">
        <f t="shared" si="1438"/>
        <v>0</v>
      </c>
      <c r="EC217" s="81">
        <f>SUM(EC218,EC223)</f>
        <v>0</v>
      </c>
      <c r="ED217" s="80"/>
      <c r="EE217" s="81">
        <f>SUM(EE218,EE223)</f>
        <v>0</v>
      </c>
      <c r="EF217" s="81">
        <f t="shared" ref="EF217:EM217" si="1439">SUM(EF218,EF223)</f>
        <v>0</v>
      </c>
      <c r="EG217" s="81">
        <f t="shared" si="1439"/>
        <v>0</v>
      </c>
      <c r="EH217" s="81">
        <f t="shared" si="1439"/>
        <v>0</v>
      </c>
      <c r="EI217" s="81">
        <f t="shared" si="1439"/>
        <v>0</v>
      </c>
      <c r="EJ217" s="81">
        <f t="shared" si="1439"/>
        <v>0</v>
      </c>
      <c r="EK217" s="81">
        <f t="shared" si="1439"/>
        <v>0</v>
      </c>
      <c r="EL217" s="81">
        <f t="shared" si="1439"/>
        <v>0</v>
      </c>
      <c r="EM217" s="81">
        <f t="shared" si="1439"/>
        <v>0</v>
      </c>
      <c r="EN217" s="82">
        <f>SUM(EN218,EN223)</f>
        <v>0</v>
      </c>
      <c r="EO217" s="80"/>
      <c r="EP217" s="81">
        <f t="shared" ref="EP217:EX217" si="1440">SUM(EP218,EP223)</f>
        <v>0</v>
      </c>
      <c r="EQ217" s="81">
        <f t="shared" si="1440"/>
        <v>0</v>
      </c>
      <c r="ER217" s="81">
        <f t="shared" si="1440"/>
        <v>0</v>
      </c>
      <c r="ES217" s="81">
        <f t="shared" si="1440"/>
        <v>0</v>
      </c>
      <c r="ET217" s="81">
        <f t="shared" si="1440"/>
        <v>0</v>
      </c>
      <c r="EU217" s="81">
        <f t="shared" si="1440"/>
        <v>0</v>
      </c>
      <c r="EV217" s="81">
        <f t="shared" si="1440"/>
        <v>0</v>
      </c>
      <c r="EW217" s="81">
        <f t="shared" si="1440"/>
        <v>0</v>
      </c>
      <c r="EX217" s="81">
        <f t="shared" si="1440"/>
        <v>0</v>
      </c>
      <c r="EY217" s="82">
        <f>SUM(EY218,EY223)</f>
        <v>0</v>
      </c>
      <c r="EZ217" s="80"/>
      <c r="FA217" s="81">
        <f t="shared" ref="FA217:FI217" si="1441">SUM(FA218,FA223)</f>
        <v>0</v>
      </c>
      <c r="FB217" s="81">
        <f t="shared" si="1441"/>
        <v>0</v>
      </c>
      <c r="FC217" s="81">
        <f t="shared" si="1441"/>
        <v>0</v>
      </c>
      <c r="FD217" s="81">
        <f t="shared" si="1441"/>
        <v>0</v>
      </c>
      <c r="FE217" s="81">
        <f t="shared" si="1441"/>
        <v>0</v>
      </c>
      <c r="FF217" s="81">
        <f t="shared" si="1441"/>
        <v>0</v>
      </c>
      <c r="FG217" s="81">
        <f t="shared" si="1441"/>
        <v>0</v>
      </c>
      <c r="FH217" s="81">
        <f t="shared" si="1441"/>
        <v>0</v>
      </c>
      <c r="FI217" s="81">
        <f t="shared" si="1441"/>
        <v>0</v>
      </c>
      <c r="FJ217" s="82">
        <f>SUM(FJ218,FJ223)</f>
        <v>0</v>
      </c>
      <c r="FK217" s="80"/>
      <c r="FL217" s="81">
        <f t="shared" ref="FL217:FT217" si="1442">SUM(FL218,FL223)</f>
        <v>0</v>
      </c>
      <c r="FM217" s="81">
        <f t="shared" si="1442"/>
        <v>0</v>
      </c>
      <c r="FN217" s="81">
        <f t="shared" si="1442"/>
        <v>0</v>
      </c>
      <c r="FO217" s="81">
        <f t="shared" si="1442"/>
        <v>0</v>
      </c>
      <c r="FP217" s="81">
        <f t="shared" si="1442"/>
        <v>0</v>
      </c>
      <c r="FQ217" s="81">
        <f t="shared" si="1442"/>
        <v>0</v>
      </c>
      <c r="FR217" s="81">
        <f t="shared" si="1442"/>
        <v>0</v>
      </c>
      <c r="FS217" s="81">
        <f t="shared" si="1442"/>
        <v>0</v>
      </c>
      <c r="FT217" s="81">
        <f t="shared" si="1442"/>
        <v>0</v>
      </c>
      <c r="FU217" s="82">
        <f>SUM(FU218,FU223)</f>
        <v>0</v>
      </c>
      <c r="FV217" s="80"/>
      <c r="FW217" s="81">
        <f>SUM(FW218,FW223)</f>
        <v>0</v>
      </c>
      <c r="FX217" s="81">
        <f t="shared" ref="FX217:GE217" si="1443">SUM(FX218,FX223)</f>
        <v>0</v>
      </c>
      <c r="FY217" s="81">
        <f t="shared" si="1443"/>
        <v>0</v>
      </c>
      <c r="FZ217" s="81">
        <f t="shared" si="1443"/>
        <v>0</v>
      </c>
      <c r="GA217" s="81">
        <f t="shared" si="1443"/>
        <v>0</v>
      </c>
      <c r="GB217" s="81">
        <f t="shared" si="1443"/>
        <v>0</v>
      </c>
      <c r="GC217" s="81">
        <f t="shared" si="1443"/>
        <v>0</v>
      </c>
      <c r="GD217" s="81">
        <f t="shared" si="1443"/>
        <v>0</v>
      </c>
      <c r="GE217" s="81">
        <f t="shared" si="1443"/>
        <v>0</v>
      </c>
      <c r="GF217" s="82">
        <f>SUM(GF218,GF223)</f>
        <v>0</v>
      </c>
      <c r="GG217" s="80"/>
      <c r="GH217" s="81">
        <f t="shared" ref="GH217:GP217" si="1444">SUM(GH218,GH223)</f>
        <v>0</v>
      </c>
      <c r="GI217" s="81">
        <f t="shared" si="1444"/>
        <v>0</v>
      </c>
      <c r="GJ217" s="81">
        <f t="shared" si="1444"/>
        <v>0</v>
      </c>
      <c r="GK217" s="81">
        <f t="shared" si="1444"/>
        <v>0</v>
      </c>
      <c r="GL217" s="81">
        <f t="shared" si="1444"/>
        <v>0</v>
      </c>
      <c r="GM217" s="81">
        <f t="shared" si="1444"/>
        <v>0</v>
      </c>
      <c r="GN217" s="81">
        <f t="shared" si="1444"/>
        <v>0</v>
      </c>
      <c r="GO217" s="81">
        <f t="shared" si="1444"/>
        <v>0</v>
      </c>
      <c r="GP217" s="81">
        <f t="shared" si="1444"/>
        <v>0</v>
      </c>
      <c r="GQ217" s="82">
        <f t="shared" ref="GQ217:HV217" si="1445">SUM(GQ218,GQ223)</f>
        <v>0</v>
      </c>
      <c r="GR217" s="81">
        <f t="shared" si="1445"/>
        <v>0</v>
      </c>
      <c r="GS217" s="81">
        <f t="shared" si="1445"/>
        <v>0</v>
      </c>
      <c r="GT217" s="81">
        <f t="shared" si="1445"/>
        <v>0</v>
      </c>
      <c r="GU217" s="81">
        <f t="shared" si="1445"/>
        <v>0</v>
      </c>
      <c r="GV217" s="81">
        <f t="shared" si="1445"/>
        <v>0</v>
      </c>
      <c r="GW217" s="81">
        <f t="shared" si="1445"/>
        <v>0</v>
      </c>
      <c r="GX217" s="81">
        <f t="shared" si="1445"/>
        <v>0</v>
      </c>
      <c r="GY217" s="81">
        <f t="shared" si="1445"/>
        <v>0</v>
      </c>
      <c r="GZ217" s="81">
        <f t="shared" si="1445"/>
        <v>0</v>
      </c>
      <c r="HA217" s="81">
        <f t="shared" si="1445"/>
        <v>0</v>
      </c>
      <c r="HB217" s="81">
        <f t="shared" si="1445"/>
        <v>0</v>
      </c>
      <c r="HC217" s="81">
        <f t="shared" si="1445"/>
        <v>0</v>
      </c>
      <c r="HD217" s="81">
        <f t="shared" si="1445"/>
        <v>0</v>
      </c>
      <c r="HE217" s="81">
        <f t="shared" si="1445"/>
        <v>0</v>
      </c>
      <c r="HF217" s="81">
        <f t="shared" si="1445"/>
        <v>0</v>
      </c>
      <c r="HG217" s="81">
        <f t="shared" si="1445"/>
        <v>0</v>
      </c>
      <c r="HH217" s="81">
        <f t="shared" si="1445"/>
        <v>0</v>
      </c>
      <c r="HI217" s="81">
        <f t="shared" si="1445"/>
        <v>0</v>
      </c>
      <c r="HJ217" s="81">
        <f t="shared" si="1445"/>
        <v>0</v>
      </c>
      <c r="HK217" s="81">
        <f t="shared" si="1445"/>
        <v>0</v>
      </c>
      <c r="HL217" s="81">
        <f t="shared" si="1445"/>
        <v>0</v>
      </c>
      <c r="HM217" s="81">
        <f t="shared" si="1445"/>
        <v>0</v>
      </c>
      <c r="HN217" s="81">
        <f t="shared" si="1445"/>
        <v>0</v>
      </c>
      <c r="HO217" s="81">
        <f t="shared" si="1445"/>
        <v>0</v>
      </c>
      <c r="HP217" s="81">
        <f t="shared" si="1445"/>
        <v>0</v>
      </c>
      <c r="HQ217" s="81">
        <f t="shared" si="1445"/>
        <v>0</v>
      </c>
      <c r="HR217" s="81">
        <f t="shared" si="1445"/>
        <v>0</v>
      </c>
      <c r="HS217" s="81">
        <f t="shared" si="1445"/>
        <v>0</v>
      </c>
      <c r="HT217" s="81">
        <f t="shared" si="1445"/>
        <v>0</v>
      </c>
      <c r="HU217" s="81">
        <f t="shared" si="1445"/>
        <v>0</v>
      </c>
      <c r="HV217" s="81">
        <f t="shared" si="1445"/>
        <v>0</v>
      </c>
      <c r="HW217" s="81">
        <f t="shared" ref="HW217:IV217" si="1446">SUM(HW218,HW223)</f>
        <v>0</v>
      </c>
      <c r="HX217" s="81">
        <f t="shared" si="1446"/>
        <v>0</v>
      </c>
      <c r="HY217" s="81">
        <f t="shared" si="1446"/>
        <v>0</v>
      </c>
      <c r="HZ217" s="81">
        <f t="shared" si="1446"/>
        <v>0</v>
      </c>
      <c r="IA217" s="81">
        <f t="shared" si="1446"/>
        <v>0</v>
      </c>
      <c r="IB217" s="81">
        <f t="shared" si="1446"/>
        <v>0</v>
      </c>
      <c r="IC217" s="81">
        <f t="shared" si="1446"/>
        <v>0</v>
      </c>
      <c r="ID217" s="81">
        <f t="shared" si="1446"/>
        <v>0</v>
      </c>
      <c r="IE217" s="81">
        <f t="shared" si="1446"/>
        <v>0</v>
      </c>
      <c r="IF217" s="81">
        <f t="shared" si="1446"/>
        <v>0</v>
      </c>
      <c r="IG217" s="81">
        <f t="shared" si="1446"/>
        <v>0</v>
      </c>
      <c r="IH217" s="81">
        <f t="shared" si="1446"/>
        <v>0</v>
      </c>
      <c r="II217" s="81">
        <f t="shared" si="1446"/>
        <v>0</v>
      </c>
      <c r="IJ217" s="81">
        <f t="shared" si="1446"/>
        <v>0</v>
      </c>
      <c r="IK217" s="81">
        <f t="shared" si="1446"/>
        <v>0</v>
      </c>
      <c r="IL217" s="81">
        <f t="shared" si="1446"/>
        <v>0</v>
      </c>
      <c r="IM217" s="81">
        <f t="shared" si="1446"/>
        <v>0</v>
      </c>
      <c r="IN217" s="81">
        <f t="shared" si="1446"/>
        <v>0</v>
      </c>
      <c r="IO217" s="81">
        <f t="shared" si="1446"/>
        <v>0</v>
      </c>
      <c r="IP217" s="81">
        <f t="shared" si="1446"/>
        <v>0</v>
      </c>
      <c r="IQ217" s="81">
        <f t="shared" si="1446"/>
        <v>0</v>
      </c>
      <c r="IR217" s="81">
        <f t="shared" si="1446"/>
        <v>0</v>
      </c>
      <c r="IS217" s="81">
        <f t="shared" si="1446"/>
        <v>0</v>
      </c>
      <c r="IT217" s="81">
        <f t="shared" si="1446"/>
        <v>0</v>
      </c>
      <c r="IU217" s="81">
        <f t="shared" si="1446"/>
        <v>0</v>
      </c>
      <c r="IV217" s="81">
        <f t="shared" si="1446"/>
        <v>0</v>
      </c>
    </row>
    <row r="218" spans="1:256" x14ac:dyDescent="0.25">
      <c r="A218" s="84" t="s">
        <v>191</v>
      </c>
      <c r="B218" s="62"/>
      <c r="C218" s="116">
        <f t="shared" ref="C218:K218" si="1447">SUM(C219:C222)</f>
        <v>1741</v>
      </c>
      <c r="D218" s="116">
        <f t="shared" si="1447"/>
        <v>0</v>
      </c>
      <c r="E218" s="116">
        <f t="shared" si="1447"/>
        <v>0</v>
      </c>
      <c r="F218" s="116">
        <f t="shared" si="1447"/>
        <v>0</v>
      </c>
      <c r="G218" s="116">
        <f t="shared" si="1447"/>
        <v>0</v>
      </c>
      <c r="H218" s="116">
        <f t="shared" si="1447"/>
        <v>0</v>
      </c>
      <c r="I218" s="116">
        <f t="shared" si="1447"/>
        <v>0</v>
      </c>
      <c r="J218" s="116">
        <f t="shared" si="1447"/>
        <v>0</v>
      </c>
      <c r="K218" s="116">
        <f t="shared" si="1447"/>
        <v>0</v>
      </c>
      <c r="L218" s="96">
        <f>SUM(L219:L222)</f>
        <v>1741</v>
      </c>
      <c r="M218" s="62"/>
      <c r="N218" s="116">
        <f t="shared" ref="N218:V218" si="1448">SUM(N219:N222)</f>
        <v>0</v>
      </c>
      <c r="O218" s="116">
        <f t="shared" si="1448"/>
        <v>0</v>
      </c>
      <c r="P218" s="116">
        <f t="shared" si="1448"/>
        <v>0</v>
      </c>
      <c r="Q218" s="116">
        <f t="shared" si="1448"/>
        <v>0</v>
      </c>
      <c r="R218" s="116">
        <f t="shared" si="1448"/>
        <v>0</v>
      </c>
      <c r="S218" s="116">
        <f t="shared" si="1448"/>
        <v>0</v>
      </c>
      <c r="T218" s="116">
        <f t="shared" si="1448"/>
        <v>0</v>
      </c>
      <c r="U218" s="116">
        <f t="shared" si="1448"/>
        <v>0</v>
      </c>
      <c r="V218" s="116">
        <f t="shared" si="1448"/>
        <v>0</v>
      </c>
      <c r="W218" s="96">
        <f>SUM(W219:W222)</f>
        <v>0</v>
      </c>
      <c r="X218" s="62"/>
      <c r="Y218" s="116">
        <f t="shared" ref="Y218:AG218" si="1449">SUM(Y219:Y222)</f>
        <v>0</v>
      </c>
      <c r="Z218" s="116">
        <f t="shared" si="1449"/>
        <v>0</v>
      </c>
      <c r="AA218" s="116">
        <f t="shared" si="1449"/>
        <v>0</v>
      </c>
      <c r="AB218" s="116">
        <f t="shared" si="1449"/>
        <v>0</v>
      </c>
      <c r="AC218" s="116">
        <f t="shared" si="1449"/>
        <v>0</v>
      </c>
      <c r="AD218" s="116">
        <f t="shared" si="1449"/>
        <v>0</v>
      </c>
      <c r="AE218" s="116">
        <f t="shared" si="1449"/>
        <v>0</v>
      </c>
      <c r="AF218" s="116">
        <f t="shared" si="1449"/>
        <v>0</v>
      </c>
      <c r="AG218" s="116">
        <f t="shared" si="1449"/>
        <v>0</v>
      </c>
      <c r="AH218" s="96">
        <f>SUM(AH219:AH222)</f>
        <v>0</v>
      </c>
      <c r="AI218" s="62"/>
      <c r="AJ218" s="116">
        <f t="shared" ref="AJ218:AR218" si="1450">SUM(AJ219:AJ222)</f>
        <v>0</v>
      </c>
      <c r="AK218" s="116">
        <f t="shared" si="1450"/>
        <v>0</v>
      </c>
      <c r="AL218" s="116">
        <f t="shared" si="1450"/>
        <v>0</v>
      </c>
      <c r="AM218" s="116">
        <f t="shared" si="1450"/>
        <v>0</v>
      </c>
      <c r="AN218" s="116">
        <f t="shared" si="1450"/>
        <v>0</v>
      </c>
      <c r="AO218" s="116">
        <f t="shared" si="1450"/>
        <v>0</v>
      </c>
      <c r="AP218" s="116">
        <f t="shared" si="1450"/>
        <v>0</v>
      </c>
      <c r="AQ218" s="116">
        <f t="shared" si="1450"/>
        <v>0</v>
      </c>
      <c r="AR218" s="116">
        <f t="shared" si="1450"/>
        <v>0</v>
      </c>
      <c r="AS218" s="96">
        <f>SUM(AS219:AS222)</f>
        <v>0</v>
      </c>
      <c r="AT218" s="142"/>
      <c r="AU218" s="116">
        <f t="shared" ref="AU218:BC218" si="1451">SUM(AU219:AU222)</f>
        <v>0</v>
      </c>
      <c r="AV218" s="116">
        <f t="shared" si="1451"/>
        <v>0</v>
      </c>
      <c r="AW218" s="116">
        <f t="shared" si="1451"/>
        <v>0</v>
      </c>
      <c r="AX218" s="116">
        <f t="shared" si="1451"/>
        <v>0</v>
      </c>
      <c r="AY218" s="116">
        <f t="shared" si="1451"/>
        <v>0</v>
      </c>
      <c r="AZ218" s="116">
        <f t="shared" si="1451"/>
        <v>0</v>
      </c>
      <c r="BA218" s="116">
        <f t="shared" si="1451"/>
        <v>0</v>
      </c>
      <c r="BB218" s="116">
        <f t="shared" si="1451"/>
        <v>0</v>
      </c>
      <c r="BC218" s="116">
        <f t="shared" si="1451"/>
        <v>0</v>
      </c>
      <c r="BD218" s="96">
        <f>SUM(BD219:BD222)</f>
        <v>0</v>
      </c>
      <c r="BE218" s="62"/>
      <c r="BF218" s="116">
        <f t="shared" ref="BF218:BN218" si="1452">SUM(BF219:BF222)</f>
        <v>0</v>
      </c>
      <c r="BG218" s="116">
        <f t="shared" si="1452"/>
        <v>0</v>
      </c>
      <c r="BH218" s="116">
        <f t="shared" si="1452"/>
        <v>0</v>
      </c>
      <c r="BI218" s="116">
        <f t="shared" si="1452"/>
        <v>0</v>
      </c>
      <c r="BJ218" s="116">
        <f t="shared" si="1452"/>
        <v>0</v>
      </c>
      <c r="BK218" s="116">
        <f t="shared" si="1452"/>
        <v>0</v>
      </c>
      <c r="BL218" s="116">
        <f t="shared" si="1452"/>
        <v>0</v>
      </c>
      <c r="BM218" s="116">
        <f t="shared" si="1452"/>
        <v>0</v>
      </c>
      <c r="BN218" s="116">
        <f t="shared" si="1452"/>
        <v>0</v>
      </c>
      <c r="BO218" s="96">
        <f>SUM(BO219:BO222)</f>
        <v>0</v>
      </c>
      <c r="BP218" s="62"/>
      <c r="BQ218" s="116">
        <f t="shared" ref="BQ218:BY218" si="1453">SUM(BQ219:BQ222)</f>
        <v>0</v>
      </c>
      <c r="BR218" s="116">
        <f t="shared" si="1453"/>
        <v>0</v>
      </c>
      <c r="BS218" s="116">
        <f t="shared" si="1453"/>
        <v>0</v>
      </c>
      <c r="BT218" s="116">
        <f t="shared" si="1453"/>
        <v>0</v>
      </c>
      <c r="BU218" s="116">
        <f t="shared" si="1453"/>
        <v>0</v>
      </c>
      <c r="BV218" s="116">
        <f t="shared" si="1453"/>
        <v>0</v>
      </c>
      <c r="BW218" s="116">
        <f t="shared" si="1453"/>
        <v>0</v>
      </c>
      <c r="BX218" s="116">
        <f t="shared" si="1453"/>
        <v>0</v>
      </c>
      <c r="BY218" s="116">
        <f t="shared" si="1453"/>
        <v>0</v>
      </c>
      <c r="BZ218" s="96">
        <f>SUM(BZ219:BZ222)</f>
        <v>0</v>
      </c>
      <c r="CA218" s="62"/>
      <c r="CB218" s="116">
        <f t="shared" ref="CB218:CJ218" si="1454">SUM(CB219:CB222)</f>
        <v>0</v>
      </c>
      <c r="CC218" s="116">
        <f t="shared" si="1454"/>
        <v>0</v>
      </c>
      <c r="CD218" s="116">
        <f t="shared" si="1454"/>
        <v>0</v>
      </c>
      <c r="CE218" s="116">
        <f t="shared" si="1454"/>
        <v>0</v>
      </c>
      <c r="CF218" s="116">
        <f t="shared" si="1454"/>
        <v>0</v>
      </c>
      <c r="CG218" s="116">
        <f t="shared" si="1454"/>
        <v>0</v>
      </c>
      <c r="CH218" s="116">
        <f t="shared" si="1454"/>
        <v>0</v>
      </c>
      <c r="CI218" s="116">
        <f t="shared" si="1454"/>
        <v>0</v>
      </c>
      <c r="CJ218" s="116">
        <f t="shared" si="1454"/>
        <v>0</v>
      </c>
      <c r="CK218" s="96">
        <f>SUM(CK219:CK222)</f>
        <v>0</v>
      </c>
      <c r="CL218" s="142"/>
      <c r="CM218" s="116">
        <f t="shared" ref="CM218:CU218" si="1455">SUM(CM219:CM222)</f>
        <v>0</v>
      </c>
      <c r="CN218" s="116">
        <f t="shared" si="1455"/>
        <v>0</v>
      </c>
      <c r="CO218" s="116">
        <f t="shared" si="1455"/>
        <v>0</v>
      </c>
      <c r="CP218" s="116">
        <f t="shared" si="1455"/>
        <v>0</v>
      </c>
      <c r="CQ218" s="116">
        <f t="shared" si="1455"/>
        <v>0</v>
      </c>
      <c r="CR218" s="116">
        <f t="shared" si="1455"/>
        <v>0</v>
      </c>
      <c r="CS218" s="116">
        <f t="shared" si="1455"/>
        <v>0</v>
      </c>
      <c r="CT218" s="116">
        <f t="shared" si="1455"/>
        <v>0</v>
      </c>
      <c r="CU218" s="116">
        <f t="shared" si="1455"/>
        <v>0</v>
      </c>
      <c r="CV218" s="96">
        <f>SUM(CV219:CV222)</f>
        <v>0</v>
      </c>
      <c r="CW218" s="62"/>
      <c r="CX218" s="116">
        <f t="shared" ref="CX218:DF218" si="1456">SUM(CX219:CX222)</f>
        <v>0</v>
      </c>
      <c r="CY218" s="116">
        <f t="shared" si="1456"/>
        <v>0</v>
      </c>
      <c r="CZ218" s="116">
        <f t="shared" si="1456"/>
        <v>0</v>
      </c>
      <c r="DA218" s="116">
        <f t="shared" si="1456"/>
        <v>0</v>
      </c>
      <c r="DB218" s="116">
        <f t="shared" si="1456"/>
        <v>0</v>
      </c>
      <c r="DC218" s="116">
        <f t="shared" si="1456"/>
        <v>0</v>
      </c>
      <c r="DD218" s="116">
        <f t="shared" si="1456"/>
        <v>0</v>
      </c>
      <c r="DE218" s="116">
        <f t="shared" si="1456"/>
        <v>0</v>
      </c>
      <c r="DF218" s="116">
        <f t="shared" si="1456"/>
        <v>0</v>
      </c>
      <c r="DG218" s="96">
        <f>SUM(DG219:DG222)</f>
        <v>0</v>
      </c>
      <c r="DH218" s="62"/>
      <c r="DI218" s="116">
        <f t="shared" ref="DI218:DQ218" si="1457">SUM(DI219:DI222)</f>
        <v>0</v>
      </c>
      <c r="DJ218" s="116">
        <f t="shared" si="1457"/>
        <v>0</v>
      </c>
      <c r="DK218" s="116">
        <f t="shared" si="1457"/>
        <v>0</v>
      </c>
      <c r="DL218" s="116">
        <f t="shared" si="1457"/>
        <v>0</v>
      </c>
      <c r="DM218" s="116">
        <f t="shared" si="1457"/>
        <v>0</v>
      </c>
      <c r="DN218" s="116">
        <f t="shared" si="1457"/>
        <v>0</v>
      </c>
      <c r="DO218" s="116">
        <f t="shared" si="1457"/>
        <v>0</v>
      </c>
      <c r="DP218" s="116">
        <f t="shared" si="1457"/>
        <v>0</v>
      </c>
      <c r="DQ218" s="116">
        <f t="shared" si="1457"/>
        <v>0</v>
      </c>
      <c r="DR218" s="96">
        <f>SUM(DR219:DR222)</f>
        <v>0</v>
      </c>
      <c r="DS218" s="62"/>
      <c r="DT218" s="116">
        <f t="shared" ref="DT218:EB218" si="1458">SUM(DT219:DT222)</f>
        <v>0</v>
      </c>
      <c r="DU218" s="116">
        <f t="shared" si="1458"/>
        <v>0</v>
      </c>
      <c r="DV218" s="116">
        <f t="shared" si="1458"/>
        <v>0</v>
      </c>
      <c r="DW218" s="116">
        <f t="shared" si="1458"/>
        <v>0</v>
      </c>
      <c r="DX218" s="116">
        <f t="shared" si="1458"/>
        <v>0</v>
      </c>
      <c r="DY218" s="116">
        <f t="shared" si="1458"/>
        <v>0</v>
      </c>
      <c r="DZ218" s="116">
        <f t="shared" si="1458"/>
        <v>0</v>
      </c>
      <c r="EA218" s="116">
        <f t="shared" si="1458"/>
        <v>0</v>
      </c>
      <c r="EB218" s="116">
        <f t="shared" si="1458"/>
        <v>0</v>
      </c>
      <c r="EC218" s="116">
        <f>SUM(EC219:EC222)</f>
        <v>0</v>
      </c>
      <c r="ED218" s="142"/>
      <c r="EE218" s="116">
        <f t="shared" ref="EE218:EM218" si="1459">SUM(EE219:EE222)</f>
        <v>0</v>
      </c>
      <c r="EF218" s="116">
        <f t="shared" si="1459"/>
        <v>0</v>
      </c>
      <c r="EG218" s="116">
        <f t="shared" si="1459"/>
        <v>0</v>
      </c>
      <c r="EH218" s="116">
        <f t="shared" si="1459"/>
        <v>0</v>
      </c>
      <c r="EI218" s="116">
        <f t="shared" si="1459"/>
        <v>0</v>
      </c>
      <c r="EJ218" s="116">
        <f t="shared" si="1459"/>
        <v>0</v>
      </c>
      <c r="EK218" s="116">
        <f t="shared" si="1459"/>
        <v>0</v>
      </c>
      <c r="EL218" s="116">
        <f t="shared" si="1459"/>
        <v>0</v>
      </c>
      <c r="EM218" s="116">
        <f t="shared" si="1459"/>
        <v>0</v>
      </c>
      <c r="EN218" s="96">
        <f>SUM(EN219:EN222)</f>
        <v>0</v>
      </c>
      <c r="EO218" s="62"/>
      <c r="EP218" s="116">
        <f t="shared" ref="EP218:EX218" si="1460">SUM(EP219:EP222)</f>
        <v>0</v>
      </c>
      <c r="EQ218" s="116">
        <f t="shared" si="1460"/>
        <v>0</v>
      </c>
      <c r="ER218" s="116">
        <f t="shared" si="1460"/>
        <v>0</v>
      </c>
      <c r="ES218" s="116">
        <f t="shared" si="1460"/>
        <v>0</v>
      </c>
      <c r="ET218" s="116">
        <f t="shared" si="1460"/>
        <v>0</v>
      </c>
      <c r="EU218" s="116">
        <f t="shared" si="1460"/>
        <v>0</v>
      </c>
      <c r="EV218" s="116">
        <f t="shared" si="1460"/>
        <v>0</v>
      </c>
      <c r="EW218" s="116">
        <f t="shared" si="1460"/>
        <v>0</v>
      </c>
      <c r="EX218" s="116">
        <f t="shared" si="1460"/>
        <v>0</v>
      </c>
      <c r="EY218" s="96">
        <f>SUM(EY219:EY222)</f>
        <v>0</v>
      </c>
      <c r="EZ218" s="62"/>
      <c r="FA218" s="116">
        <f t="shared" ref="FA218:FI218" si="1461">SUM(FA219:FA222)</f>
        <v>0</v>
      </c>
      <c r="FB218" s="116">
        <f t="shared" si="1461"/>
        <v>0</v>
      </c>
      <c r="FC218" s="116">
        <f t="shared" si="1461"/>
        <v>0</v>
      </c>
      <c r="FD218" s="116">
        <f t="shared" si="1461"/>
        <v>0</v>
      </c>
      <c r="FE218" s="116">
        <f t="shared" si="1461"/>
        <v>0</v>
      </c>
      <c r="FF218" s="116">
        <f t="shared" si="1461"/>
        <v>0</v>
      </c>
      <c r="FG218" s="116">
        <f t="shared" si="1461"/>
        <v>0</v>
      </c>
      <c r="FH218" s="116">
        <f t="shared" si="1461"/>
        <v>0</v>
      </c>
      <c r="FI218" s="116">
        <f t="shared" si="1461"/>
        <v>0</v>
      </c>
      <c r="FJ218" s="96">
        <f>SUM(FJ219:FJ222)</f>
        <v>0</v>
      </c>
      <c r="FK218" s="62"/>
      <c r="FL218" s="116">
        <f t="shared" ref="FL218:FT218" si="1462">SUM(FL219:FL222)</f>
        <v>0</v>
      </c>
      <c r="FM218" s="116">
        <f t="shared" si="1462"/>
        <v>0</v>
      </c>
      <c r="FN218" s="116">
        <f t="shared" si="1462"/>
        <v>0</v>
      </c>
      <c r="FO218" s="116">
        <f t="shared" si="1462"/>
        <v>0</v>
      </c>
      <c r="FP218" s="116">
        <f t="shared" si="1462"/>
        <v>0</v>
      </c>
      <c r="FQ218" s="116">
        <f t="shared" si="1462"/>
        <v>0</v>
      </c>
      <c r="FR218" s="116">
        <f t="shared" si="1462"/>
        <v>0</v>
      </c>
      <c r="FS218" s="116">
        <f t="shared" si="1462"/>
        <v>0</v>
      </c>
      <c r="FT218" s="116">
        <f t="shared" si="1462"/>
        <v>0</v>
      </c>
      <c r="FU218" s="96">
        <f>SUM(FU219:FU222)</f>
        <v>0</v>
      </c>
      <c r="FV218" s="142"/>
      <c r="FW218" s="116">
        <f t="shared" ref="FW218:GE218" si="1463">SUM(FW219:FW222)</f>
        <v>0</v>
      </c>
      <c r="FX218" s="116">
        <f t="shared" si="1463"/>
        <v>0</v>
      </c>
      <c r="FY218" s="116">
        <f t="shared" si="1463"/>
        <v>0</v>
      </c>
      <c r="FZ218" s="116">
        <f t="shared" si="1463"/>
        <v>0</v>
      </c>
      <c r="GA218" s="116">
        <f t="shared" si="1463"/>
        <v>0</v>
      </c>
      <c r="GB218" s="116">
        <f t="shared" si="1463"/>
        <v>0</v>
      </c>
      <c r="GC218" s="116">
        <f t="shared" si="1463"/>
        <v>0</v>
      </c>
      <c r="GD218" s="116">
        <f t="shared" si="1463"/>
        <v>0</v>
      </c>
      <c r="GE218" s="116">
        <f t="shared" si="1463"/>
        <v>0</v>
      </c>
      <c r="GF218" s="96">
        <f>SUM(GF219:GF222)</f>
        <v>0</v>
      </c>
      <c r="GG218" s="62"/>
      <c r="GH218" s="116">
        <f t="shared" ref="GH218:GP218" si="1464">SUM(GH219:GH222)</f>
        <v>0</v>
      </c>
      <c r="GI218" s="116">
        <f t="shared" si="1464"/>
        <v>0</v>
      </c>
      <c r="GJ218" s="116">
        <f t="shared" si="1464"/>
        <v>0</v>
      </c>
      <c r="GK218" s="116">
        <f t="shared" si="1464"/>
        <v>0</v>
      </c>
      <c r="GL218" s="116">
        <f t="shared" si="1464"/>
        <v>0</v>
      </c>
      <c r="GM218" s="116">
        <f t="shared" si="1464"/>
        <v>0</v>
      </c>
      <c r="GN218" s="116">
        <f t="shared" si="1464"/>
        <v>0</v>
      </c>
      <c r="GO218" s="116">
        <f t="shared" si="1464"/>
        <v>0</v>
      </c>
      <c r="GP218" s="116">
        <f t="shared" si="1464"/>
        <v>0</v>
      </c>
      <c r="GQ218" s="96">
        <f t="shared" ref="GQ218:HV218" si="1465">SUM(GQ219:GQ222)</f>
        <v>0</v>
      </c>
      <c r="GR218" s="116">
        <f t="shared" si="1465"/>
        <v>0</v>
      </c>
      <c r="GS218" s="116">
        <f t="shared" si="1465"/>
        <v>0</v>
      </c>
      <c r="GT218" s="116">
        <f t="shared" si="1465"/>
        <v>0</v>
      </c>
      <c r="GU218" s="116">
        <f t="shared" si="1465"/>
        <v>0</v>
      </c>
      <c r="GV218" s="116">
        <f t="shared" si="1465"/>
        <v>0</v>
      </c>
      <c r="GW218" s="116">
        <f t="shared" si="1465"/>
        <v>0</v>
      </c>
      <c r="GX218" s="116">
        <f t="shared" si="1465"/>
        <v>0</v>
      </c>
      <c r="GY218" s="116">
        <f t="shared" si="1465"/>
        <v>0</v>
      </c>
      <c r="GZ218" s="116">
        <f t="shared" si="1465"/>
        <v>0</v>
      </c>
      <c r="HA218" s="116">
        <f t="shared" si="1465"/>
        <v>0</v>
      </c>
      <c r="HB218" s="116">
        <f t="shared" si="1465"/>
        <v>0</v>
      </c>
      <c r="HC218" s="116">
        <f t="shared" si="1465"/>
        <v>0</v>
      </c>
      <c r="HD218" s="116">
        <f t="shared" si="1465"/>
        <v>0</v>
      </c>
      <c r="HE218" s="116">
        <f t="shared" si="1465"/>
        <v>0</v>
      </c>
      <c r="HF218" s="116">
        <f t="shared" si="1465"/>
        <v>0</v>
      </c>
      <c r="HG218" s="116">
        <f t="shared" si="1465"/>
        <v>0</v>
      </c>
      <c r="HH218" s="116">
        <f t="shared" si="1465"/>
        <v>0</v>
      </c>
      <c r="HI218" s="116">
        <f t="shared" si="1465"/>
        <v>0</v>
      </c>
      <c r="HJ218" s="116">
        <f t="shared" si="1465"/>
        <v>0</v>
      </c>
      <c r="HK218" s="116">
        <f t="shared" si="1465"/>
        <v>0</v>
      </c>
      <c r="HL218" s="116">
        <f t="shared" si="1465"/>
        <v>0</v>
      </c>
      <c r="HM218" s="116">
        <f t="shared" si="1465"/>
        <v>0</v>
      </c>
      <c r="HN218" s="116">
        <f t="shared" si="1465"/>
        <v>0</v>
      </c>
      <c r="HO218" s="116">
        <f t="shared" si="1465"/>
        <v>0</v>
      </c>
      <c r="HP218" s="116">
        <f t="shared" si="1465"/>
        <v>0</v>
      </c>
      <c r="HQ218" s="116">
        <f t="shared" si="1465"/>
        <v>0</v>
      </c>
      <c r="HR218" s="116">
        <f t="shared" si="1465"/>
        <v>0</v>
      </c>
      <c r="HS218" s="116">
        <f t="shared" si="1465"/>
        <v>0</v>
      </c>
      <c r="HT218" s="116">
        <f t="shared" si="1465"/>
        <v>0</v>
      </c>
      <c r="HU218" s="116">
        <f t="shared" si="1465"/>
        <v>0</v>
      </c>
      <c r="HV218" s="116">
        <f t="shared" si="1465"/>
        <v>0</v>
      </c>
      <c r="HW218" s="116">
        <f t="shared" ref="HW218:IV218" si="1466">SUM(HW219:HW222)</f>
        <v>0</v>
      </c>
      <c r="HX218" s="116">
        <f t="shared" si="1466"/>
        <v>0</v>
      </c>
      <c r="HY218" s="116">
        <f t="shared" si="1466"/>
        <v>0</v>
      </c>
      <c r="HZ218" s="116">
        <f t="shared" si="1466"/>
        <v>0</v>
      </c>
      <c r="IA218" s="116">
        <f t="shared" si="1466"/>
        <v>0</v>
      </c>
      <c r="IB218" s="116">
        <f t="shared" si="1466"/>
        <v>0</v>
      </c>
      <c r="IC218" s="116">
        <f t="shared" si="1466"/>
        <v>0</v>
      </c>
      <c r="ID218" s="116">
        <f t="shared" si="1466"/>
        <v>0</v>
      </c>
      <c r="IE218" s="116">
        <f t="shared" si="1466"/>
        <v>0</v>
      </c>
      <c r="IF218" s="116">
        <f t="shared" si="1466"/>
        <v>0</v>
      </c>
      <c r="IG218" s="116">
        <f t="shared" si="1466"/>
        <v>0</v>
      </c>
      <c r="IH218" s="116">
        <f t="shared" si="1466"/>
        <v>0</v>
      </c>
      <c r="II218" s="116">
        <f t="shared" si="1466"/>
        <v>0</v>
      </c>
      <c r="IJ218" s="116">
        <f t="shared" si="1466"/>
        <v>0</v>
      </c>
      <c r="IK218" s="116">
        <f t="shared" si="1466"/>
        <v>0</v>
      </c>
      <c r="IL218" s="116">
        <f t="shared" si="1466"/>
        <v>0</v>
      </c>
      <c r="IM218" s="116">
        <f t="shared" si="1466"/>
        <v>0</v>
      </c>
      <c r="IN218" s="116">
        <f t="shared" si="1466"/>
        <v>0</v>
      </c>
      <c r="IO218" s="116">
        <f t="shared" si="1466"/>
        <v>0</v>
      </c>
      <c r="IP218" s="116">
        <f t="shared" si="1466"/>
        <v>0</v>
      </c>
      <c r="IQ218" s="116">
        <f t="shared" si="1466"/>
        <v>0</v>
      </c>
      <c r="IR218" s="116">
        <f t="shared" si="1466"/>
        <v>0</v>
      </c>
      <c r="IS218" s="116">
        <f t="shared" si="1466"/>
        <v>0</v>
      </c>
      <c r="IT218" s="116">
        <f t="shared" si="1466"/>
        <v>0</v>
      </c>
      <c r="IU218" s="116">
        <f t="shared" si="1466"/>
        <v>0</v>
      </c>
      <c r="IV218" s="116">
        <f t="shared" si="1466"/>
        <v>0</v>
      </c>
    </row>
    <row r="219" spans="1:256" x14ac:dyDescent="0.25">
      <c r="A219" s="117" t="s">
        <v>192</v>
      </c>
      <c r="B219" s="62">
        <v>6504</v>
      </c>
      <c r="C219" s="63">
        <v>0</v>
      </c>
      <c r="D219" s="63">
        <v>0</v>
      </c>
      <c r="E219" s="63">
        <v>0</v>
      </c>
      <c r="F219" s="63">
        <v>0</v>
      </c>
      <c r="G219" s="63">
        <v>0</v>
      </c>
      <c r="H219" s="63">
        <v>0</v>
      </c>
      <c r="I219" s="63">
        <v>0</v>
      </c>
      <c r="J219" s="63">
        <v>0</v>
      </c>
      <c r="K219" s="63">
        <v>0</v>
      </c>
      <c r="L219" s="64">
        <f>SUM(C219:F219,H219:K219)</f>
        <v>0</v>
      </c>
      <c r="M219" s="62"/>
      <c r="N219" s="63"/>
      <c r="O219" s="63"/>
      <c r="P219" s="63"/>
      <c r="Q219" s="63"/>
      <c r="R219" s="63"/>
      <c r="S219" s="63"/>
      <c r="T219" s="63"/>
      <c r="U219" s="63"/>
      <c r="V219" s="63"/>
      <c r="W219" s="64">
        <f>SUM(N219:Q219,S219:V219)</f>
        <v>0</v>
      </c>
      <c r="X219" s="62"/>
      <c r="Y219" s="63"/>
      <c r="Z219" s="63"/>
      <c r="AA219" s="63"/>
      <c r="AB219" s="63"/>
      <c r="AC219" s="63"/>
      <c r="AD219" s="63"/>
      <c r="AE219" s="63"/>
      <c r="AF219" s="63"/>
      <c r="AG219" s="63"/>
      <c r="AH219" s="64">
        <f>SUM(Y219:AB219,AD219:AG219)</f>
        <v>0</v>
      </c>
      <c r="AI219" s="62"/>
      <c r="AJ219" s="63"/>
      <c r="AK219" s="63"/>
      <c r="AL219" s="63"/>
      <c r="AM219" s="63"/>
      <c r="AN219" s="63"/>
      <c r="AO219" s="63"/>
      <c r="AP219" s="63"/>
      <c r="AQ219" s="63"/>
      <c r="AR219" s="63"/>
      <c r="AS219" s="64">
        <f>SUM(AJ219:AM219,AO219:AR219)</f>
        <v>0</v>
      </c>
      <c r="AT219" s="65">
        <f t="shared" ref="AT219:BC222" si="1467">SUM(M219,AI219,X219)</f>
        <v>0</v>
      </c>
      <c r="AU219" s="65">
        <f t="shared" si="1467"/>
        <v>0</v>
      </c>
      <c r="AV219" s="65">
        <f t="shared" si="1467"/>
        <v>0</v>
      </c>
      <c r="AW219" s="65">
        <f t="shared" si="1467"/>
        <v>0</v>
      </c>
      <c r="AX219" s="65">
        <f t="shared" si="1467"/>
        <v>0</v>
      </c>
      <c r="AY219" s="65">
        <f t="shared" si="1467"/>
        <v>0</v>
      </c>
      <c r="AZ219" s="65">
        <f t="shared" si="1467"/>
        <v>0</v>
      </c>
      <c r="BA219" s="65">
        <f t="shared" si="1467"/>
        <v>0</v>
      </c>
      <c r="BB219" s="65">
        <f t="shared" si="1467"/>
        <v>0</v>
      </c>
      <c r="BC219" s="65">
        <f t="shared" si="1467"/>
        <v>0</v>
      </c>
      <c r="BD219" s="64">
        <f>SUM(AU219:AX219,AZ219:BC219)</f>
        <v>0</v>
      </c>
      <c r="BE219" s="62"/>
      <c r="BF219" s="63"/>
      <c r="BG219" s="63"/>
      <c r="BH219" s="63"/>
      <c r="BI219" s="63"/>
      <c r="BJ219" s="63"/>
      <c r="BK219" s="63"/>
      <c r="BL219" s="63"/>
      <c r="BM219" s="63"/>
      <c r="BN219" s="63"/>
      <c r="BO219" s="64">
        <f>SUM(BF219:BI219,BK219:BN219)</f>
        <v>0</v>
      </c>
      <c r="BP219" s="62"/>
      <c r="BQ219" s="63"/>
      <c r="BR219" s="63"/>
      <c r="BS219" s="63"/>
      <c r="BT219" s="63"/>
      <c r="BU219" s="63"/>
      <c r="BV219" s="63"/>
      <c r="BW219" s="63"/>
      <c r="BX219" s="63"/>
      <c r="BY219" s="63"/>
      <c r="BZ219" s="64">
        <f>SUM(BQ219:BT219,BV219:BY219)</f>
        <v>0</v>
      </c>
      <c r="CA219" s="62"/>
      <c r="CB219" s="63"/>
      <c r="CC219" s="63"/>
      <c r="CD219" s="63"/>
      <c r="CE219" s="63"/>
      <c r="CF219" s="63"/>
      <c r="CG219" s="63"/>
      <c r="CH219" s="63"/>
      <c r="CI219" s="63"/>
      <c r="CJ219" s="63"/>
      <c r="CK219" s="64">
        <f>SUM(CB219:CE219,CG219:CJ219)</f>
        <v>0</v>
      </c>
      <c r="CL219" s="65">
        <f t="shared" ref="CL219:CU222" si="1468">SUM(BE219,CA219,BP219)</f>
        <v>0</v>
      </c>
      <c r="CM219" s="65">
        <f t="shared" si="1468"/>
        <v>0</v>
      </c>
      <c r="CN219" s="65">
        <f t="shared" si="1468"/>
        <v>0</v>
      </c>
      <c r="CO219" s="65">
        <f t="shared" si="1468"/>
        <v>0</v>
      </c>
      <c r="CP219" s="65">
        <f t="shared" si="1468"/>
        <v>0</v>
      </c>
      <c r="CQ219" s="65">
        <f t="shared" si="1468"/>
        <v>0</v>
      </c>
      <c r="CR219" s="65">
        <f t="shared" si="1468"/>
        <v>0</v>
      </c>
      <c r="CS219" s="65">
        <f t="shared" si="1468"/>
        <v>0</v>
      </c>
      <c r="CT219" s="65">
        <f t="shared" si="1468"/>
        <v>0</v>
      </c>
      <c r="CU219" s="65">
        <f t="shared" si="1468"/>
        <v>0</v>
      </c>
      <c r="CV219" s="64">
        <f>SUM(CM219:CP219,CR219:CU219)</f>
        <v>0</v>
      </c>
      <c r="CW219" s="62"/>
      <c r="CX219" s="63"/>
      <c r="CY219" s="63"/>
      <c r="CZ219" s="63"/>
      <c r="DA219" s="63"/>
      <c r="DB219" s="63"/>
      <c r="DC219" s="63"/>
      <c r="DD219" s="63"/>
      <c r="DE219" s="63"/>
      <c r="DF219" s="63"/>
      <c r="DG219" s="64">
        <f>SUM(CX219:DA219,DC219:DF219)</f>
        <v>0</v>
      </c>
      <c r="DH219" s="62"/>
      <c r="DI219" s="63"/>
      <c r="DJ219" s="63"/>
      <c r="DK219" s="63"/>
      <c r="DL219" s="63"/>
      <c r="DM219" s="63"/>
      <c r="DN219" s="63"/>
      <c r="DO219" s="63"/>
      <c r="DP219" s="63"/>
      <c r="DQ219" s="63"/>
      <c r="DR219" s="64">
        <f>SUM(DI219:DL219,DN219:DQ219)</f>
        <v>0</v>
      </c>
      <c r="DS219" s="62"/>
      <c r="DT219" s="63"/>
      <c r="DU219" s="63"/>
      <c r="DV219" s="63"/>
      <c r="DW219" s="63"/>
      <c r="DX219" s="63"/>
      <c r="DY219" s="63"/>
      <c r="DZ219" s="63"/>
      <c r="EA219" s="63"/>
      <c r="EB219" s="63"/>
      <c r="EC219" s="63"/>
      <c r="ED219" s="65">
        <f t="shared" ref="ED219:EM222" si="1469">SUM(CW219,DS219,DH219)</f>
        <v>0</v>
      </c>
      <c r="EE219" s="65">
        <f t="shared" si="1469"/>
        <v>0</v>
      </c>
      <c r="EF219" s="65">
        <f t="shared" si="1469"/>
        <v>0</v>
      </c>
      <c r="EG219" s="65">
        <f t="shared" si="1469"/>
        <v>0</v>
      </c>
      <c r="EH219" s="65">
        <f t="shared" si="1469"/>
        <v>0</v>
      </c>
      <c r="EI219" s="65">
        <f t="shared" si="1469"/>
        <v>0</v>
      </c>
      <c r="EJ219" s="65">
        <f t="shared" si="1469"/>
        <v>0</v>
      </c>
      <c r="EK219" s="65">
        <f t="shared" si="1469"/>
        <v>0</v>
      </c>
      <c r="EL219" s="65">
        <f t="shared" si="1469"/>
        <v>0</v>
      </c>
      <c r="EM219" s="65">
        <f t="shared" si="1469"/>
        <v>0</v>
      </c>
      <c r="EN219" s="64">
        <f>SUM(EE219:EH219,EJ219:EM219)</f>
        <v>0</v>
      </c>
      <c r="EO219" s="62"/>
      <c r="EP219" s="63"/>
      <c r="EQ219" s="63"/>
      <c r="ER219" s="63"/>
      <c r="ES219" s="63"/>
      <c r="ET219" s="63"/>
      <c r="EU219" s="63"/>
      <c r="EV219" s="63"/>
      <c r="EW219" s="63"/>
      <c r="EX219" s="63"/>
      <c r="EY219" s="64">
        <f>SUM(EP219:ES219,EU219:EX219)</f>
        <v>0</v>
      </c>
      <c r="EZ219" s="62"/>
      <c r="FA219" s="63"/>
      <c r="FB219" s="63"/>
      <c r="FC219" s="63"/>
      <c r="FD219" s="63"/>
      <c r="FE219" s="63"/>
      <c r="FF219" s="63"/>
      <c r="FG219" s="63"/>
      <c r="FH219" s="63"/>
      <c r="FI219" s="63"/>
      <c r="FJ219" s="64">
        <f>SUM(FA219:FD219,FF219:FI219)</f>
        <v>0</v>
      </c>
      <c r="FK219" s="62"/>
      <c r="FL219" s="63"/>
      <c r="FM219" s="63"/>
      <c r="FN219" s="63"/>
      <c r="FO219" s="63"/>
      <c r="FP219" s="63"/>
      <c r="FQ219" s="63"/>
      <c r="FR219" s="63"/>
      <c r="FS219" s="63"/>
      <c r="FT219" s="63"/>
      <c r="FU219" s="64">
        <f>SUM(FL219:FO219,FQ219:FT219)</f>
        <v>0</v>
      </c>
      <c r="FV219" s="65">
        <f t="shared" ref="FV219:GE222" si="1470">SUM(EO219,FK219,EZ219)</f>
        <v>0</v>
      </c>
      <c r="FW219" s="65">
        <f t="shared" si="1470"/>
        <v>0</v>
      </c>
      <c r="FX219" s="65">
        <f t="shared" si="1470"/>
        <v>0</v>
      </c>
      <c r="FY219" s="65">
        <f t="shared" si="1470"/>
        <v>0</v>
      </c>
      <c r="FZ219" s="65">
        <f t="shared" si="1470"/>
        <v>0</v>
      </c>
      <c r="GA219" s="65">
        <f t="shared" si="1470"/>
        <v>0</v>
      </c>
      <c r="GB219" s="65">
        <f t="shared" si="1470"/>
        <v>0</v>
      </c>
      <c r="GC219" s="65">
        <f t="shared" si="1470"/>
        <v>0</v>
      </c>
      <c r="GD219" s="65">
        <f t="shared" si="1470"/>
        <v>0</v>
      </c>
      <c r="GE219" s="65">
        <f t="shared" si="1470"/>
        <v>0</v>
      </c>
      <c r="GF219" s="64">
        <f>SUM(FW219:FZ219,GB219:GE219)</f>
        <v>0</v>
      </c>
      <c r="GG219" s="66">
        <f t="shared" ref="GG219:GP222" si="1471">SUM(AT219,CL219,ED219,FV219)</f>
        <v>0</v>
      </c>
      <c r="GH219" s="66">
        <f t="shared" si="1471"/>
        <v>0</v>
      </c>
      <c r="GI219" s="66">
        <f t="shared" si="1471"/>
        <v>0</v>
      </c>
      <c r="GJ219" s="66">
        <f t="shared" si="1471"/>
        <v>0</v>
      </c>
      <c r="GK219" s="66">
        <f t="shared" si="1471"/>
        <v>0</v>
      </c>
      <c r="GL219" s="66">
        <f t="shared" si="1471"/>
        <v>0</v>
      </c>
      <c r="GM219" s="66">
        <f t="shared" si="1471"/>
        <v>0</v>
      </c>
      <c r="GN219" s="66">
        <f t="shared" si="1471"/>
        <v>0</v>
      </c>
      <c r="GO219" s="66">
        <f t="shared" si="1471"/>
        <v>0</v>
      </c>
      <c r="GP219" s="66">
        <f t="shared" si="1471"/>
        <v>0</v>
      </c>
      <c r="GQ219" s="64">
        <f>SUM(GH219:GK219,GM219:GP219)</f>
        <v>0</v>
      </c>
      <c r="GR219" s="63"/>
      <c r="GS219" s="63"/>
      <c r="GT219" s="63"/>
      <c r="GU219" s="63"/>
      <c r="GV219" s="67">
        <f>SUM(GR219:GU219)</f>
        <v>0</v>
      </c>
      <c r="GW219" s="63"/>
      <c r="GX219" s="63"/>
      <c r="GY219" s="63"/>
      <c r="GZ219" s="63"/>
      <c r="HA219" s="67">
        <f>SUM(GW219:GZ219)</f>
        <v>0</v>
      </c>
      <c r="HB219" s="63"/>
      <c r="HC219" s="63"/>
      <c r="HD219" s="63"/>
      <c r="HE219" s="63"/>
      <c r="HF219" s="67">
        <f>SUM(HB219:HE219)</f>
        <v>0</v>
      </c>
      <c r="HG219" s="63"/>
      <c r="HH219" s="63"/>
      <c r="HI219" s="63"/>
      <c r="HJ219" s="63"/>
      <c r="HK219" s="67">
        <f>SUM(HG219:HJ219)</f>
        <v>0</v>
      </c>
      <c r="HL219" s="68">
        <f t="shared" ref="HL219:HO222" si="1472">SUM(GW219,HB219,HG219)</f>
        <v>0</v>
      </c>
      <c r="HM219" s="68">
        <f t="shared" si="1472"/>
        <v>0</v>
      </c>
      <c r="HN219" s="68">
        <f t="shared" si="1472"/>
        <v>0</v>
      </c>
      <c r="HO219" s="68">
        <f t="shared" si="1472"/>
        <v>0</v>
      </c>
      <c r="HP219" s="67">
        <f>SUM(HL219:HO219)</f>
        <v>0</v>
      </c>
      <c r="HQ219" s="63"/>
      <c r="HR219" s="63"/>
      <c r="HS219" s="63"/>
      <c r="HT219" s="63"/>
      <c r="HU219" s="67">
        <f>SUM(HQ219:HT219)</f>
        <v>0</v>
      </c>
      <c r="HV219" s="63"/>
      <c r="HW219" s="63"/>
      <c r="HX219" s="63"/>
      <c r="HY219" s="63"/>
      <c r="HZ219" s="67">
        <f>SUM(HV219:HY219)</f>
        <v>0</v>
      </c>
      <c r="IA219" s="63"/>
      <c r="IB219" s="63"/>
      <c r="IC219" s="63"/>
      <c r="ID219" s="63"/>
      <c r="IE219" s="67">
        <f>SUM(IA219:ID219)</f>
        <v>0</v>
      </c>
      <c r="IF219" s="68">
        <f t="shared" ref="IF219:II222" si="1473">SUM(HQ219,HV219,IA219)</f>
        <v>0</v>
      </c>
      <c r="IG219" s="68">
        <f t="shared" si="1473"/>
        <v>0</v>
      </c>
      <c r="IH219" s="68">
        <f t="shared" si="1473"/>
        <v>0</v>
      </c>
      <c r="II219" s="68">
        <f t="shared" si="1473"/>
        <v>0</v>
      </c>
      <c r="IJ219" s="67">
        <f>SUM(IF219:II219)</f>
        <v>0</v>
      </c>
      <c r="IK219" s="63"/>
      <c r="IL219" s="63"/>
      <c r="IM219" s="63"/>
      <c r="IN219" s="63"/>
      <c r="IO219" s="67">
        <f>SUM(IK219:IN219)</f>
        <v>0</v>
      </c>
      <c r="IP219" s="63"/>
      <c r="IQ219" s="63"/>
      <c r="IR219" s="63"/>
      <c r="IS219" s="63"/>
      <c r="IT219" s="67">
        <f>SUM(IP219:IS219)</f>
        <v>0</v>
      </c>
      <c r="IU219" s="63"/>
      <c r="IV219" s="63"/>
    </row>
    <row r="220" spans="1:256" x14ac:dyDescent="0.25">
      <c r="A220" s="117" t="s">
        <v>193</v>
      </c>
      <c r="B220" s="62">
        <v>14</v>
      </c>
      <c r="C220" s="63">
        <v>0</v>
      </c>
      <c r="D220" s="63">
        <v>0</v>
      </c>
      <c r="E220" s="63">
        <v>0</v>
      </c>
      <c r="F220" s="63">
        <v>0</v>
      </c>
      <c r="G220" s="63">
        <v>0</v>
      </c>
      <c r="H220" s="63">
        <v>0</v>
      </c>
      <c r="I220" s="63">
        <v>0</v>
      </c>
      <c r="J220" s="63">
        <v>0</v>
      </c>
      <c r="K220" s="63">
        <v>0</v>
      </c>
      <c r="L220" s="64">
        <f>SUM(C220:F220,H220:K220)</f>
        <v>0</v>
      </c>
      <c r="M220" s="62"/>
      <c r="N220" s="63"/>
      <c r="O220" s="63"/>
      <c r="P220" s="63"/>
      <c r="Q220" s="63"/>
      <c r="R220" s="63"/>
      <c r="S220" s="63"/>
      <c r="T220" s="63"/>
      <c r="U220" s="63"/>
      <c r="V220" s="63"/>
      <c r="W220" s="64">
        <f>SUM(N220:Q220,S220:V220)</f>
        <v>0</v>
      </c>
      <c r="X220" s="62"/>
      <c r="Y220" s="63"/>
      <c r="Z220" s="63"/>
      <c r="AA220" s="63"/>
      <c r="AB220" s="63"/>
      <c r="AC220" s="63"/>
      <c r="AD220" s="63"/>
      <c r="AE220" s="63"/>
      <c r="AF220" s="63"/>
      <c r="AG220" s="63"/>
      <c r="AH220" s="64">
        <f>SUM(Y220:AB220,AD220:AG220)</f>
        <v>0</v>
      </c>
      <c r="AI220" s="62"/>
      <c r="AJ220" s="63"/>
      <c r="AK220" s="63"/>
      <c r="AL220" s="63"/>
      <c r="AM220" s="63"/>
      <c r="AN220" s="63"/>
      <c r="AO220" s="63"/>
      <c r="AP220" s="63"/>
      <c r="AQ220" s="63"/>
      <c r="AR220" s="63"/>
      <c r="AS220" s="64">
        <f>SUM(AJ220:AM220,AO220:AR220)</f>
        <v>0</v>
      </c>
      <c r="AT220" s="65">
        <f t="shared" si="1467"/>
        <v>0</v>
      </c>
      <c r="AU220" s="65">
        <f t="shared" si="1467"/>
        <v>0</v>
      </c>
      <c r="AV220" s="65">
        <f t="shared" si="1467"/>
        <v>0</v>
      </c>
      <c r="AW220" s="65">
        <f t="shared" si="1467"/>
        <v>0</v>
      </c>
      <c r="AX220" s="65">
        <f t="shared" si="1467"/>
        <v>0</v>
      </c>
      <c r="AY220" s="65">
        <f t="shared" si="1467"/>
        <v>0</v>
      </c>
      <c r="AZ220" s="65">
        <f t="shared" si="1467"/>
        <v>0</v>
      </c>
      <c r="BA220" s="65">
        <f t="shared" si="1467"/>
        <v>0</v>
      </c>
      <c r="BB220" s="65">
        <f t="shared" si="1467"/>
        <v>0</v>
      </c>
      <c r="BC220" s="65">
        <f t="shared" si="1467"/>
        <v>0</v>
      </c>
      <c r="BD220" s="64">
        <f>SUM(AU220:AX220,AZ220:BC220)</f>
        <v>0</v>
      </c>
      <c r="BE220" s="62"/>
      <c r="BF220" s="63"/>
      <c r="BG220" s="63"/>
      <c r="BH220" s="63"/>
      <c r="BI220" s="63"/>
      <c r="BJ220" s="63"/>
      <c r="BK220" s="63"/>
      <c r="BL220" s="63"/>
      <c r="BM220" s="63"/>
      <c r="BN220" s="63"/>
      <c r="BO220" s="64">
        <f>SUM(BF220:BI220,BK220:BN220)</f>
        <v>0</v>
      </c>
      <c r="BP220" s="62"/>
      <c r="BQ220" s="63"/>
      <c r="BR220" s="63"/>
      <c r="BS220" s="63"/>
      <c r="BT220" s="63"/>
      <c r="BU220" s="63"/>
      <c r="BV220" s="63"/>
      <c r="BW220" s="63"/>
      <c r="BX220" s="63"/>
      <c r="BY220" s="63"/>
      <c r="BZ220" s="64">
        <f>SUM(BQ220:BT220,BV220:BY220)</f>
        <v>0</v>
      </c>
      <c r="CA220" s="62"/>
      <c r="CB220" s="63"/>
      <c r="CC220" s="63"/>
      <c r="CD220" s="63"/>
      <c r="CE220" s="63"/>
      <c r="CF220" s="63"/>
      <c r="CG220" s="63"/>
      <c r="CH220" s="63"/>
      <c r="CI220" s="63"/>
      <c r="CJ220" s="63"/>
      <c r="CK220" s="64">
        <f>SUM(CB220:CE220,CG220:CJ220)</f>
        <v>0</v>
      </c>
      <c r="CL220" s="65">
        <f t="shared" si="1468"/>
        <v>0</v>
      </c>
      <c r="CM220" s="65">
        <f t="shared" si="1468"/>
        <v>0</v>
      </c>
      <c r="CN220" s="65">
        <f t="shared" si="1468"/>
        <v>0</v>
      </c>
      <c r="CO220" s="65">
        <f t="shared" si="1468"/>
        <v>0</v>
      </c>
      <c r="CP220" s="65">
        <f t="shared" si="1468"/>
        <v>0</v>
      </c>
      <c r="CQ220" s="65">
        <f t="shared" si="1468"/>
        <v>0</v>
      </c>
      <c r="CR220" s="65">
        <f t="shared" si="1468"/>
        <v>0</v>
      </c>
      <c r="CS220" s="65">
        <f t="shared" si="1468"/>
        <v>0</v>
      </c>
      <c r="CT220" s="65">
        <f t="shared" si="1468"/>
        <v>0</v>
      </c>
      <c r="CU220" s="65">
        <f t="shared" si="1468"/>
        <v>0</v>
      </c>
      <c r="CV220" s="64">
        <f>SUM(CM220:CP220,CR220:CU220)</f>
        <v>0</v>
      </c>
      <c r="CW220" s="62"/>
      <c r="CX220" s="63"/>
      <c r="CY220" s="63"/>
      <c r="CZ220" s="63"/>
      <c r="DA220" s="63"/>
      <c r="DB220" s="63"/>
      <c r="DC220" s="63"/>
      <c r="DD220" s="63"/>
      <c r="DE220" s="63"/>
      <c r="DF220" s="63"/>
      <c r="DG220" s="64">
        <f>SUM(CX220:DA220,DC220:DF220)</f>
        <v>0</v>
      </c>
      <c r="DH220" s="62"/>
      <c r="DI220" s="63"/>
      <c r="DJ220" s="63"/>
      <c r="DK220" s="63"/>
      <c r="DL220" s="63"/>
      <c r="DM220" s="63"/>
      <c r="DN220" s="63"/>
      <c r="DO220" s="63"/>
      <c r="DP220" s="63"/>
      <c r="DQ220" s="63"/>
      <c r="DR220" s="64">
        <f>SUM(DI220:DL220,DN220:DQ220)</f>
        <v>0</v>
      </c>
      <c r="DS220" s="62"/>
      <c r="DT220" s="63"/>
      <c r="DU220" s="63"/>
      <c r="DV220" s="63"/>
      <c r="DW220" s="63"/>
      <c r="DX220" s="63"/>
      <c r="DY220" s="63"/>
      <c r="DZ220" s="63"/>
      <c r="EA220" s="63"/>
      <c r="EB220" s="63"/>
      <c r="EC220" s="63"/>
      <c r="ED220" s="65">
        <f t="shared" si="1469"/>
        <v>0</v>
      </c>
      <c r="EE220" s="65">
        <f t="shared" si="1469"/>
        <v>0</v>
      </c>
      <c r="EF220" s="65">
        <f t="shared" si="1469"/>
        <v>0</v>
      </c>
      <c r="EG220" s="65">
        <f t="shared" si="1469"/>
        <v>0</v>
      </c>
      <c r="EH220" s="65">
        <f t="shared" si="1469"/>
        <v>0</v>
      </c>
      <c r="EI220" s="65">
        <f t="shared" si="1469"/>
        <v>0</v>
      </c>
      <c r="EJ220" s="65">
        <f t="shared" si="1469"/>
        <v>0</v>
      </c>
      <c r="EK220" s="65">
        <f t="shared" si="1469"/>
        <v>0</v>
      </c>
      <c r="EL220" s="65">
        <f t="shared" si="1469"/>
        <v>0</v>
      </c>
      <c r="EM220" s="65">
        <f t="shared" si="1469"/>
        <v>0</v>
      </c>
      <c r="EN220" s="64">
        <f>SUM(EE220:EH220,EJ220:EM220)</f>
        <v>0</v>
      </c>
      <c r="EO220" s="62"/>
      <c r="EP220" s="63"/>
      <c r="EQ220" s="63"/>
      <c r="ER220" s="63"/>
      <c r="ES220" s="63"/>
      <c r="ET220" s="63"/>
      <c r="EU220" s="63"/>
      <c r="EV220" s="63"/>
      <c r="EW220" s="63"/>
      <c r="EX220" s="63"/>
      <c r="EY220" s="64">
        <f>SUM(EP220:ES220,EU220:EX220)</f>
        <v>0</v>
      </c>
      <c r="EZ220" s="62"/>
      <c r="FA220" s="63"/>
      <c r="FB220" s="63"/>
      <c r="FC220" s="63"/>
      <c r="FD220" s="63"/>
      <c r="FE220" s="63"/>
      <c r="FF220" s="63"/>
      <c r="FG220" s="63"/>
      <c r="FH220" s="63"/>
      <c r="FI220" s="63"/>
      <c r="FJ220" s="64">
        <f>SUM(FA220:FD220,FF220:FI220)</f>
        <v>0</v>
      </c>
      <c r="FK220" s="62"/>
      <c r="FL220" s="63"/>
      <c r="FM220" s="63"/>
      <c r="FN220" s="63"/>
      <c r="FO220" s="63"/>
      <c r="FP220" s="63"/>
      <c r="FQ220" s="63"/>
      <c r="FR220" s="63"/>
      <c r="FS220" s="63"/>
      <c r="FT220" s="63"/>
      <c r="FU220" s="64">
        <f>SUM(FL220:FO220,FQ220:FT220)</f>
        <v>0</v>
      </c>
      <c r="FV220" s="65">
        <f t="shared" si="1470"/>
        <v>0</v>
      </c>
      <c r="FW220" s="65">
        <f t="shared" si="1470"/>
        <v>0</v>
      </c>
      <c r="FX220" s="65">
        <f t="shared" si="1470"/>
        <v>0</v>
      </c>
      <c r="FY220" s="65">
        <f t="shared" si="1470"/>
        <v>0</v>
      </c>
      <c r="FZ220" s="65">
        <f t="shared" si="1470"/>
        <v>0</v>
      </c>
      <c r="GA220" s="65">
        <f t="shared" si="1470"/>
        <v>0</v>
      </c>
      <c r="GB220" s="65">
        <f t="shared" si="1470"/>
        <v>0</v>
      </c>
      <c r="GC220" s="65">
        <f t="shared" si="1470"/>
        <v>0</v>
      </c>
      <c r="GD220" s="65">
        <f t="shared" si="1470"/>
        <v>0</v>
      </c>
      <c r="GE220" s="65">
        <f t="shared" si="1470"/>
        <v>0</v>
      </c>
      <c r="GF220" s="64">
        <f>SUM(FW220:FZ220,GB220:GE220)</f>
        <v>0</v>
      </c>
      <c r="GG220" s="66">
        <f t="shared" si="1471"/>
        <v>0</v>
      </c>
      <c r="GH220" s="66">
        <f t="shared" si="1471"/>
        <v>0</v>
      </c>
      <c r="GI220" s="66">
        <f t="shared" si="1471"/>
        <v>0</v>
      </c>
      <c r="GJ220" s="66">
        <f t="shared" si="1471"/>
        <v>0</v>
      </c>
      <c r="GK220" s="66">
        <f t="shared" si="1471"/>
        <v>0</v>
      </c>
      <c r="GL220" s="66">
        <f t="shared" si="1471"/>
        <v>0</v>
      </c>
      <c r="GM220" s="66">
        <f t="shared" si="1471"/>
        <v>0</v>
      </c>
      <c r="GN220" s="66">
        <f t="shared" si="1471"/>
        <v>0</v>
      </c>
      <c r="GO220" s="66">
        <f t="shared" si="1471"/>
        <v>0</v>
      </c>
      <c r="GP220" s="66">
        <f t="shared" si="1471"/>
        <v>0</v>
      </c>
      <c r="GQ220" s="64">
        <f>SUM(GH220:GK220,GM220:GP220)</f>
        <v>0</v>
      </c>
      <c r="GR220" s="63"/>
      <c r="GS220" s="63"/>
      <c r="GT220" s="63"/>
      <c r="GU220" s="63"/>
      <c r="GV220" s="67">
        <f>SUM(GR220:GU220)</f>
        <v>0</v>
      </c>
      <c r="GW220" s="63"/>
      <c r="GX220" s="63"/>
      <c r="GY220" s="63"/>
      <c r="GZ220" s="63"/>
      <c r="HA220" s="67">
        <f>SUM(GW220:GZ220)</f>
        <v>0</v>
      </c>
      <c r="HB220" s="63"/>
      <c r="HC220" s="63"/>
      <c r="HD220" s="63"/>
      <c r="HE220" s="63"/>
      <c r="HF220" s="67">
        <f>SUM(HB220:HE220)</f>
        <v>0</v>
      </c>
      <c r="HG220" s="63"/>
      <c r="HH220" s="63"/>
      <c r="HI220" s="63"/>
      <c r="HJ220" s="63"/>
      <c r="HK220" s="67">
        <f>SUM(HG220:HJ220)</f>
        <v>0</v>
      </c>
      <c r="HL220" s="68">
        <f t="shared" si="1472"/>
        <v>0</v>
      </c>
      <c r="HM220" s="68">
        <f t="shared" si="1472"/>
        <v>0</v>
      </c>
      <c r="HN220" s="68">
        <f t="shared" si="1472"/>
        <v>0</v>
      </c>
      <c r="HO220" s="68">
        <f t="shared" si="1472"/>
        <v>0</v>
      </c>
      <c r="HP220" s="67">
        <f>SUM(HL220:HO220)</f>
        <v>0</v>
      </c>
      <c r="HQ220" s="63"/>
      <c r="HR220" s="63"/>
      <c r="HS220" s="63"/>
      <c r="HT220" s="63"/>
      <c r="HU220" s="67">
        <f>SUM(HQ220:HT220)</f>
        <v>0</v>
      </c>
      <c r="HV220" s="63"/>
      <c r="HW220" s="63"/>
      <c r="HX220" s="63"/>
      <c r="HY220" s="63"/>
      <c r="HZ220" s="67">
        <f>SUM(HV220:HY220)</f>
        <v>0</v>
      </c>
      <c r="IA220" s="63"/>
      <c r="IB220" s="63"/>
      <c r="IC220" s="63"/>
      <c r="ID220" s="63"/>
      <c r="IE220" s="67">
        <f>SUM(IA220:ID220)</f>
        <v>0</v>
      </c>
      <c r="IF220" s="68">
        <f t="shared" si="1473"/>
        <v>0</v>
      </c>
      <c r="IG220" s="68">
        <f t="shared" si="1473"/>
        <v>0</v>
      </c>
      <c r="IH220" s="68">
        <f t="shared" si="1473"/>
        <v>0</v>
      </c>
      <c r="II220" s="68">
        <f t="shared" si="1473"/>
        <v>0</v>
      </c>
      <c r="IJ220" s="67">
        <f>SUM(IF220:II220)</f>
        <v>0</v>
      </c>
      <c r="IK220" s="63"/>
      <c r="IL220" s="63"/>
      <c r="IM220" s="63"/>
      <c r="IN220" s="63"/>
      <c r="IO220" s="67">
        <f>SUM(IK220:IN220)</f>
        <v>0</v>
      </c>
      <c r="IP220" s="63"/>
      <c r="IQ220" s="63"/>
      <c r="IR220" s="63"/>
      <c r="IS220" s="63"/>
      <c r="IT220" s="67">
        <f>SUM(IP220:IS220)</f>
        <v>0</v>
      </c>
      <c r="IU220" s="63"/>
      <c r="IV220" s="63"/>
    </row>
    <row r="221" spans="1:256" x14ac:dyDescent="0.25">
      <c r="A221" s="117" t="s">
        <v>194</v>
      </c>
      <c r="B221" s="62">
        <v>1741</v>
      </c>
      <c r="C221" s="63">
        <v>1741</v>
      </c>
      <c r="D221" s="63">
        <v>0</v>
      </c>
      <c r="E221" s="63">
        <v>0</v>
      </c>
      <c r="F221" s="63">
        <v>0</v>
      </c>
      <c r="G221" s="63">
        <v>0</v>
      </c>
      <c r="H221" s="63">
        <v>0</v>
      </c>
      <c r="I221" s="63">
        <v>0</v>
      </c>
      <c r="J221" s="63">
        <v>0</v>
      </c>
      <c r="K221" s="63">
        <v>0</v>
      </c>
      <c r="L221" s="64">
        <f>SUM(C221:F221,H221:K221)</f>
        <v>1741</v>
      </c>
      <c r="M221" s="62"/>
      <c r="N221" s="63"/>
      <c r="O221" s="63"/>
      <c r="P221" s="63"/>
      <c r="Q221" s="63"/>
      <c r="R221" s="63"/>
      <c r="S221" s="63"/>
      <c r="T221" s="63"/>
      <c r="U221" s="63"/>
      <c r="V221" s="63"/>
      <c r="W221" s="64">
        <f>SUM(N221:Q221,S221:V221)</f>
        <v>0</v>
      </c>
      <c r="X221" s="62"/>
      <c r="Y221" s="63"/>
      <c r="Z221" s="63"/>
      <c r="AA221" s="63"/>
      <c r="AB221" s="63"/>
      <c r="AC221" s="63"/>
      <c r="AD221" s="63"/>
      <c r="AE221" s="63"/>
      <c r="AF221" s="63"/>
      <c r="AG221" s="63"/>
      <c r="AH221" s="64">
        <f>SUM(Y221:AB221,AD221:AG221)</f>
        <v>0</v>
      </c>
      <c r="AI221" s="62"/>
      <c r="AJ221" s="63"/>
      <c r="AK221" s="63"/>
      <c r="AL221" s="63"/>
      <c r="AM221" s="63"/>
      <c r="AN221" s="63"/>
      <c r="AO221" s="63"/>
      <c r="AP221" s="63"/>
      <c r="AQ221" s="63"/>
      <c r="AR221" s="63"/>
      <c r="AS221" s="64">
        <f>SUM(AJ221:AM221,AO221:AR221)</f>
        <v>0</v>
      </c>
      <c r="AT221" s="65">
        <f t="shared" si="1467"/>
        <v>0</v>
      </c>
      <c r="AU221" s="65">
        <f t="shared" si="1467"/>
        <v>0</v>
      </c>
      <c r="AV221" s="65">
        <f t="shared" si="1467"/>
        <v>0</v>
      </c>
      <c r="AW221" s="65">
        <f t="shared" si="1467"/>
        <v>0</v>
      </c>
      <c r="AX221" s="65">
        <f t="shared" si="1467"/>
        <v>0</v>
      </c>
      <c r="AY221" s="65">
        <f t="shared" si="1467"/>
        <v>0</v>
      </c>
      <c r="AZ221" s="65">
        <f t="shared" si="1467"/>
        <v>0</v>
      </c>
      <c r="BA221" s="65">
        <f t="shared" si="1467"/>
        <v>0</v>
      </c>
      <c r="BB221" s="65">
        <f t="shared" si="1467"/>
        <v>0</v>
      </c>
      <c r="BC221" s="65">
        <f t="shared" si="1467"/>
        <v>0</v>
      </c>
      <c r="BD221" s="64">
        <f>SUM(AU221:AX221,AZ221:BC221)</f>
        <v>0</v>
      </c>
      <c r="BE221" s="62"/>
      <c r="BF221" s="63"/>
      <c r="BG221" s="63"/>
      <c r="BH221" s="63"/>
      <c r="BI221" s="63"/>
      <c r="BJ221" s="63"/>
      <c r="BK221" s="63"/>
      <c r="BL221" s="63"/>
      <c r="BM221" s="63"/>
      <c r="BN221" s="63"/>
      <c r="BO221" s="64">
        <f>SUM(BF221:BI221,BK221:BN221)</f>
        <v>0</v>
      </c>
      <c r="BP221" s="62"/>
      <c r="BQ221" s="63"/>
      <c r="BR221" s="63"/>
      <c r="BS221" s="63"/>
      <c r="BT221" s="63"/>
      <c r="BU221" s="63"/>
      <c r="BV221" s="63"/>
      <c r="BW221" s="63"/>
      <c r="BX221" s="63"/>
      <c r="BY221" s="63"/>
      <c r="BZ221" s="64">
        <f>SUM(BQ221:BT221,BV221:BY221)</f>
        <v>0</v>
      </c>
      <c r="CA221" s="62"/>
      <c r="CB221" s="63"/>
      <c r="CC221" s="63"/>
      <c r="CD221" s="63"/>
      <c r="CE221" s="63"/>
      <c r="CF221" s="63"/>
      <c r="CG221" s="63"/>
      <c r="CH221" s="63"/>
      <c r="CI221" s="63"/>
      <c r="CJ221" s="63"/>
      <c r="CK221" s="64">
        <f>SUM(CB221:CE221,CG221:CJ221)</f>
        <v>0</v>
      </c>
      <c r="CL221" s="65">
        <f t="shared" si="1468"/>
        <v>0</v>
      </c>
      <c r="CM221" s="65">
        <f t="shared" si="1468"/>
        <v>0</v>
      </c>
      <c r="CN221" s="65">
        <f t="shared" si="1468"/>
        <v>0</v>
      </c>
      <c r="CO221" s="65">
        <f t="shared" si="1468"/>
        <v>0</v>
      </c>
      <c r="CP221" s="65">
        <f t="shared" si="1468"/>
        <v>0</v>
      </c>
      <c r="CQ221" s="65">
        <f t="shared" si="1468"/>
        <v>0</v>
      </c>
      <c r="CR221" s="65">
        <f t="shared" si="1468"/>
        <v>0</v>
      </c>
      <c r="CS221" s="65">
        <f t="shared" si="1468"/>
        <v>0</v>
      </c>
      <c r="CT221" s="65">
        <f t="shared" si="1468"/>
        <v>0</v>
      </c>
      <c r="CU221" s="65">
        <f t="shared" si="1468"/>
        <v>0</v>
      </c>
      <c r="CV221" s="64">
        <f>SUM(CM221:CP221,CR221:CU221)</f>
        <v>0</v>
      </c>
      <c r="CW221" s="62"/>
      <c r="CX221" s="63"/>
      <c r="CY221" s="63"/>
      <c r="CZ221" s="63"/>
      <c r="DA221" s="63"/>
      <c r="DB221" s="63"/>
      <c r="DC221" s="63"/>
      <c r="DD221" s="63"/>
      <c r="DE221" s="63"/>
      <c r="DF221" s="63"/>
      <c r="DG221" s="64">
        <f>SUM(CX221:DA221,DC221:DF221)</f>
        <v>0</v>
      </c>
      <c r="DH221" s="62"/>
      <c r="DI221" s="63"/>
      <c r="DJ221" s="63"/>
      <c r="DK221" s="63"/>
      <c r="DL221" s="63"/>
      <c r="DM221" s="63"/>
      <c r="DN221" s="63"/>
      <c r="DO221" s="63"/>
      <c r="DP221" s="63"/>
      <c r="DQ221" s="63"/>
      <c r="DR221" s="64">
        <f>SUM(DI221:DL221,DN221:DQ221)</f>
        <v>0</v>
      </c>
      <c r="DS221" s="62"/>
      <c r="DT221" s="63"/>
      <c r="DU221" s="63"/>
      <c r="DV221" s="63"/>
      <c r="DW221" s="63"/>
      <c r="DX221" s="63"/>
      <c r="DY221" s="63"/>
      <c r="DZ221" s="63"/>
      <c r="EA221" s="63"/>
      <c r="EB221" s="63"/>
      <c r="EC221" s="63"/>
      <c r="ED221" s="65">
        <f t="shared" si="1469"/>
        <v>0</v>
      </c>
      <c r="EE221" s="65">
        <f t="shared" si="1469"/>
        <v>0</v>
      </c>
      <c r="EF221" s="65">
        <f t="shared" si="1469"/>
        <v>0</v>
      </c>
      <c r="EG221" s="65">
        <f t="shared" si="1469"/>
        <v>0</v>
      </c>
      <c r="EH221" s="65">
        <f t="shared" si="1469"/>
        <v>0</v>
      </c>
      <c r="EI221" s="65">
        <f t="shared" si="1469"/>
        <v>0</v>
      </c>
      <c r="EJ221" s="65">
        <f t="shared" si="1469"/>
        <v>0</v>
      </c>
      <c r="EK221" s="65">
        <f t="shared" si="1469"/>
        <v>0</v>
      </c>
      <c r="EL221" s="65">
        <f t="shared" si="1469"/>
        <v>0</v>
      </c>
      <c r="EM221" s="65">
        <f t="shared" si="1469"/>
        <v>0</v>
      </c>
      <c r="EN221" s="64">
        <f>SUM(EE221:EH221,EJ221:EM221)</f>
        <v>0</v>
      </c>
      <c r="EO221" s="62"/>
      <c r="EP221" s="63"/>
      <c r="EQ221" s="63"/>
      <c r="ER221" s="63"/>
      <c r="ES221" s="63"/>
      <c r="ET221" s="63"/>
      <c r="EU221" s="63"/>
      <c r="EV221" s="63"/>
      <c r="EW221" s="63"/>
      <c r="EX221" s="63"/>
      <c r="EY221" s="64">
        <f>SUM(EP221:ES221,EU221:EX221)</f>
        <v>0</v>
      </c>
      <c r="EZ221" s="62"/>
      <c r="FA221" s="63"/>
      <c r="FB221" s="63"/>
      <c r="FC221" s="63"/>
      <c r="FD221" s="63"/>
      <c r="FE221" s="63"/>
      <c r="FF221" s="63"/>
      <c r="FG221" s="63"/>
      <c r="FH221" s="63"/>
      <c r="FI221" s="63"/>
      <c r="FJ221" s="64">
        <f>SUM(FA221:FD221,FF221:FI221)</f>
        <v>0</v>
      </c>
      <c r="FK221" s="62"/>
      <c r="FL221" s="63"/>
      <c r="FM221" s="63"/>
      <c r="FN221" s="63"/>
      <c r="FO221" s="63"/>
      <c r="FP221" s="63"/>
      <c r="FQ221" s="63"/>
      <c r="FR221" s="63"/>
      <c r="FS221" s="63"/>
      <c r="FT221" s="63"/>
      <c r="FU221" s="64">
        <f>SUM(FL221:FO221,FQ221:FT221)</f>
        <v>0</v>
      </c>
      <c r="FV221" s="65">
        <f t="shared" si="1470"/>
        <v>0</v>
      </c>
      <c r="FW221" s="65">
        <f t="shared" si="1470"/>
        <v>0</v>
      </c>
      <c r="FX221" s="65">
        <f t="shared" si="1470"/>
        <v>0</v>
      </c>
      <c r="FY221" s="65">
        <f t="shared" si="1470"/>
        <v>0</v>
      </c>
      <c r="FZ221" s="65">
        <f t="shared" si="1470"/>
        <v>0</v>
      </c>
      <c r="GA221" s="65">
        <f t="shared" si="1470"/>
        <v>0</v>
      </c>
      <c r="GB221" s="65">
        <f t="shared" si="1470"/>
        <v>0</v>
      </c>
      <c r="GC221" s="65">
        <f t="shared" si="1470"/>
        <v>0</v>
      </c>
      <c r="GD221" s="65">
        <f t="shared" si="1470"/>
        <v>0</v>
      </c>
      <c r="GE221" s="65">
        <f t="shared" si="1470"/>
        <v>0</v>
      </c>
      <c r="GF221" s="64">
        <f>SUM(FW221:FZ221,GB221:GE221)</f>
        <v>0</v>
      </c>
      <c r="GG221" s="66">
        <f t="shared" si="1471"/>
        <v>0</v>
      </c>
      <c r="GH221" s="66">
        <f t="shared" si="1471"/>
        <v>0</v>
      </c>
      <c r="GI221" s="66">
        <f t="shared" si="1471"/>
        <v>0</v>
      </c>
      <c r="GJ221" s="66">
        <f t="shared" si="1471"/>
        <v>0</v>
      </c>
      <c r="GK221" s="66">
        <f t="shared" si="1471"/>
        <v>0</v>
      </c>
      <c r="GL221" s="66">
        <f t="shared" si="1471"/>
        <v>0</v>
      </c>
      <c r="GM221" s="66">
        <f t="shared" si="1471"/>
        <v>0</v>
      </c>
      <c r="GN221" s="66">
        <f t="shared" si="1471"/>
        <v>0</v>
      </c>
      <c r="GO221" s="66">
        <f t="shared" si="1471"/>
        <v>0</v>
      </c>
      <c r="GP221" s="66">
        <f t="shared" si="1471"/>
        <v>0</v>
      </c>
      <c r="GQ221" s="64">
        <f>SUM(GH221:GK221,GM221:GP221)</f>
        <v>0</v>
      </c>
      <c r="GR221" s="63"/>
      <c r="GS221" s="63"/>
      <c r="GT221" s="63"/>
      <c r="GU221" s="63"/>
      <c r="GV221" s="67">
        <f>SUM(GR221:GU221)</f>
        <v>0</v>
      </c>
      <c r="GW221" s="63"/>
      <c r="GX221" s="63"/>
      <c r="GY221" s="63"/>
      <c r="GZ221" s="63"/>
      <c r="HA221" s="67">
        <f>SUM(GW221:GZ221)</f>
        <v>0</v>
      </c>
      <c r="HB221" s="63"/>
      <c r="HC221" s="63"/>
      <c r="HD221" s="63"/>
      <c r="HE221" s="63"/>
      <c r="HF221" s="67">
        <f>SUM(HB221:HE221)</f>
        <v>0</v>
      </c>
      <c r="HG221" s="63"/>
      <c r="HH221" s="63"/>
      <c r="HI221" s="63"/>
      <c r="HJ221" s="63"/>
      <c r="HK221" s="67">
        <f>SUM(HG221:HJ221)</f>
        <v>0</v>
      </c>
      <c r="HL221" s="68">
        <f t="shared" si="1472"/>
        <v>0</v>
      </c>
      <c r="HM221" s="68">
        <f t="shared" si="1472"/>
        <v>0</v>
      </c>
      <c r="HN221" s="68">
        <f t="shared" si="1472"/>
        <v>0</v>
      </c>
      <c r="HO221" s="68">
        <f t="shared" si="1472"/>
        <v>0</v>
      </c>
      <c r="HP221" s="67">
        <f>SUM(HL221:HO221)</f>
        <v>0</v>
      </c>
      <c r="HQ221" s="63"/>
      <c r="HR221" s="63"/>
      <c r="HS221" s="63"/>
      <c r="HT221" s="63"/>
      <c r="HU221" s="67">
        <f>SUM(HQ221:HT221)</f>
        <v>0</v>
      </c>
      <c r="HV221" s="63"/>
      <c r="HW221" s="63"/>
      <c r="HX221" s="63"/>
      <c r="HY221" s="63"/>
      <c r="HZ221" s="67">
        <f>SUM(HV221:HY221)</f>
        <v>0</v>
      </c>
      <c r="IA221" s="63"/>
      <c r="IB221" s="63"/>
      <c r="IC221" s="63"/>
      <c r="ID221" s="63"/>
      <c r="IE221" s="67">
        <f>SUM(IA221:ID221)</f>
        <v>0</v>
      </c>
      <c r="IF221" s="68">
        <f t="shared" si="1473"/>
        <v>0</v>
      </c>
      <c r="IG221" s="68">
        <f t="shared" si="1473"/>
        <v>0</v>
      </c>
      <c r="IH221" s="68">
        <f t="shared" si="1473"/>
        <v>0</v>
      </c>
      <c r="II221" s="68">
        <f t="shared" si="1473"/>
        <v>0</v>
      </c>
      <c r="IJ221" s="67">
        <f>SUM(IF221:II221)</f>
        <v>0</v>
      </c>
      <c r="IK221" s="63"/>
      <c r="IL221" s="63"/>
      <c r="IM221" s="63"/>
      <c r="IN221" s="63"/>
      <c r="IO221" s="67">
        <f>SUM(IK221:IN221)</f>
        <v>0</v>
      </c>
      <c r="IP221" s="63"/>
      <c r="IQ221" s="63"/>
      <c r="IR221" s="63"/>
      <c r="IS221" s="63"/>
      <c r="IT221" s="67">
        <f>SUM(IP221:IS221)</f>
        <v>0</v>
      </c>
      <c r="IU221" s="63"/>
      <c r="IV221" s="63"/>
    </row>
    <row r="222" spans="1:256" x14ac:dyDescent="0.25">
      <c r="A222" s="117" t="s">
        <v>195</v>
      </c>
      <c r="B222" s="62">
        <v>33000</v>
      </c>
      <c r="C222" s="63">
        <v>0</v>
      </c>
      <c r="D222" s="63">
        <v>0</v>
      </c>
      <c r="E222" s="63">
        <v>0</v>
      </c>
      <c r="F222" s="63">
        <v>0</v>
      </c>
      <c r="G222" s="63">
        <v>0</v>
      </c>
      <c r="H222" s="63">
        <v>0</v>
      </c>
      <c r="I222" s="63">
        <v>0</v>
      </c>
      <c r="J222" s="63">
        <v>0</v>
      </c>
      <c r="K222" s="63">
        <v>0</v>
      </c>
      <c r="L222" s="64">
        <f>SUM(C222:F222,H222:K222)</f>
        <v>0</v>
      </c>
      <c r="M222" s="62"/>
      <c r="N222" s="63"/>
      <c r="O222" s="63"/>
      <c r="P222" s="63"/>
      <c r="Q222" s="63"/>
      <c r="R222" s="63"/>
      <c r="S222" s="63"/>
      <c r="T222" s="63"/>
      <c r="U222" s="63"/>
      <c r="V222" s="63"/>
      <c r="W222" s="64">
        <f>SUM(N222:Q222,S222:V222)</f>
        <v>0</v>
      </c>
      <c r="X222" s="62"/>
      <c r="Y222" s="63"/>
      <c r="Z222" s="63"/>
      <c r="AA222" s="63"/>
      <c r="AB222" s="63"/>
      <c r="AC222" s="63"/>
      <c r="AD222" s="63"/>
      <c r="AE222" s="63"/>
      <c r="AF222" s="63"/>
      <c r="AG222" s="63"/>
      <c r="AH222" s="64">
        <f>SUM(Y222:AB222,AD222:AG222)</f>
        <v>0</v>
      </c>
      <c r="AI222" s="62"/>
      <c r="AJ222" s="63"/>
      <c r="AK222" s="63"/>
      <c r="AL222" s="63"/>
      <c r="AM222" s="63"/>
      <c r="AN222" s="63"/>
      <c r="AO222" s="63"/>
      <c r="AP222" s="63"/>
      <c r="AQ222" s="63"/>
      <c r="AR222" s="63"/>
      <c r="AS222" s="64">
        <f>SUM(AJ222:AM222,AO222:AR222)</f>
        <v>0</v>
      </c>
      <c r="AT222" s="65">
        <f t="shared" si="1467"/>
        <v>0</v>
      </c>
      <c r="AU222" s="65">
        <f t="shared" si="1467"/>
        <v>0</v>
      </c>
      <c r="AV222" s="65">
        <f t="shared" si="1467"/>
        <v>0</v>
      </c>
      <c r="AW222" s="65">
        <f t="shared" si="1467"/>
        <v>0</v>
      </c>
      <c r="AX222" s="65">
        <f t="shared" si="1467"/>
        <v>0</v>
      </c>
      <c r="AY222" s="65">
        <f t="shared" si="1467"/>
        <v>0</v>
      </c>
      <c r="AZ222" s="65">
        <f t="shared" si="1467"/>
        <v>0</v>
      </c>
      <c r="BA222" s="65">
        <f t="shared" si="1467"/>
        <v>0</v>
      </c>
      <c r="BB222" s="65">
        <f t="shared" si="1467"/>
        <v>0</v>
      </c>
      <c r="BC222" s="65">
        <f t="shared" si="1467"/>
        <v>0</v>
      </c>
      <c r="BD222" s="64">
        <f>SUM(AU222:AX222,AZ222:BC222)</f>
        <v>0</v>
      </c>
      <c r="BE222" s="62"/>
      <c r="BF222" s="63"/>
      <c r="BG222" s="63"/>
      <c r="BH222" s="63"/>
      <c r="BI222" s="63"/>
      <c r="BJ222" s="63"/>
      <c r="BK222" s="63"/>
      <c r="BL222" s="63"/>
      <c r="BM222" s="63"/>
      <c r="BN222" s="63"/>
      <c r="BO222" s="64">
        <f>SUM(BF222:BI222,BK222:BN222)</f>
        <v>0</v>
      </c>
      <c r="BP222" s="62"/>
      <c r="BQ222" s="63"/>
      <c r="BR222" s="63"/>
      <c r="BS222" s="63"/>
      <c r="BT222" s="63"/>
      <c r="BU222" s="63"/>
      <c r="BV222" s="63"/>
      <c r="BW222" s="63"/>
      <c r="BX222" s="63"/>
      <c r="BY222" s="63"/>
      <c r="BZ222" s="64">
        <f>SUM(BQ222:BT222,BV222:BY222)</f>
        <v>0</v>
      </c>
      <c r="CA222" s="62"/>
      <c r="CB222" s="63"/>
      <c r="CC222" s="63"/>
      <c r="CD222" s="63"/>
      <c r="CE222" s="63"/>
      <c r="CF222" s="63"/>
      <c r="CG222" s="63"/>
      <c r="CH222" s="63"/>
      <c r="CI222" s="63"/>
      <c r="CJ222" s="63"/>
      <c r="CK222" s="64">
        <f>SUM(CB222:CE222,CG222:CJ222)</f>
        <v>0</v>
      </c>
      <c r="CL222" s="65">
        <f t="shared" si="1468"/>
        <v>0</v>
      </c>
      <c r="CM222" s="65">
        <f t="shared" si="1468"/>
        <v>0</v>
      </c>
      <c r="CN222" s="65">
        <f t="shared" si="1468"/>
        <v>0</v>
      </c>
      <c r="CO222" s="65">
        <f t="shared" si="1468"/>
        <v>0</v>
      </c>
      <c r="CP222" s="65">
        <f t="shared" si="1468"/>
        <v>0</v>
      </c>
      <c r="CQ222" s="65">
        <f t="shared" si="1468"/>
        <v>0</v>
      </c>
      <c r="CR222" s="65">
        <f t="shared" si="1468"/>
        <v>0</v>
      </c>
      <c r="CS222" s="65">
        <f t="shared" si="1468"/>
        <v>0</v>
      </c>
      <c r="CT222" s="65">
        <f t="shared" si="1468"/>
        <v>0</v>
      </c>
      <c r="CU222" s="65">
        <f t="shared" si="1468"/>
        <v>0</v>
      </c>
      <c r="CV222" s="64">
        <f>SUM(CM222:CP222,CR222:CU222)</f>
        <v>0</v>
      </c>
      <c r="CW222" s="62"/>
      <c r="CX222" s="63"/>
      <c r="CY222" s="63"/>
      <c r="CZ222" s="63"/>
      <c r="DA222" s="63"/>
      <c r="DB222" s="63"/>
      <c r="DC222" s="63"/>
      <c r="DD222" s="63"/>
      <c r="DE222" s="63"/>
      <c r="DF222" s="63"/>
      <c r="DG222" s="64">
        <f>SUM(CX222:DA222,DC222:DF222)</f>
        <v>0</v>
      </c>
      <c r="DH222" s="62"/>
      <c r="DI222" s="63"/>
      <c r="DJ222" s="63"/>
      <c r="DK222" s="63"/>
      <c r="DL222" s="63"/>
      <c r="DM222" s="63"/>
      <c r="DN222" s="63"/>
      <c r="DO222" s="63"/>
      <c r="DP222" s="63"/>
      <c r="DQ222" s="63"/>
      <c r="DR222" s="64">
        <f>SUM(DI222:DL222,DN222:DQ222)</f>
        <v>0</v>
      </c>
      <c r="DS222" s="62"/>
      <c r="DT222" s="63"/>
      <c r="DU222" s="63"/>
      <c r="DV222" s="63"/>
      <c r="DW222" s="63"/>
      <c r="DX222" s="63"/>
      <c r="DY222" s="63"/>
      <c r="DZ222" s="63"/>
      <c r="EA222" s="63"/>
      <c r="EB222" s="63"/>
      <c r="EC222" s="63"/>
      <c r="ED222" s="65">
        <f t="shared" si="1469"/>
        <v>0</v>
      </c>
      <c r="EE222" s="65">
        <f t="shared" si="1469"/>
        <v>0</v>
      </c>
      <c r="EF222" s="65">
        <f t="shared" si="1469"/>
        <v>0</v>
      </c>
      <c r="EG222" s="65">
        <f t="shared" si="1469"/>
        <v>0</v>
      </c>
      <c r="EH222" s="65">
        <f t="shared" si="1469"/>
        <v>0</v>
      </c>
      <c r="EI222" s="65">
        <f t="shared" si="1469"/>
        <v>0</v>
      </c>
      <c r="EJ222" s="65">
        <f t="shared" si="1469"/>
        <v>0</v>
      </c>
      <c r="EK222" s="65">
        <f t="shared" si="1469"/>
        <v>0</v>
      </c>
      <c r="EL222" s="65">
        <f t="shared" si="1469"/>
        <v>0</v>
      </c>
      <c r="EM222" s="65">
        <f t="shared" si="1469"/>
        <v>0</v>
      </c>
      <c r="EN222" s="64">
        <f>SUM(EE222:EH222,EJ222:EM222)</f>
        <v>0</v>
      </c>
      <c r="EO222" s="62"/>
      <c r="EP222" s="63"/>
      <c r="EQ222" s="63"/>
      <c r="ER222" s="63"/>
      <c r="ES222" s="63"/>
      <c r="ET222" s="63"/>
      <c r="EU222" s="63"/>
      <c r="EV222" s="63"/>
      <c r="EW222" s="63"/>
      <c r="EX222" s="63"/>
      <c r="EY222" s="64">
        <f>SUM(EP222:ES222,EU222:EX222)</f>
        <v>0</v>
      </c>
      <c r="EZ222" s="62"/>
      <c r="FA222" s="63"/>
      <c r="FB222" s="63"/>
      <c r="FC222" s="63"/>
      <c r="FD222" s="63"/>
      <c r="FE222" s="63"/>
      <c r="FF222" s="63"/>
      <c r="FG222" s="63"/>
      <c r="FH222" s="63"/>
      <c r="FI222" s="63"/>
      <c r="FJ222" s="64">
        <f>SUM(FA222:FD222,FF222:FI222)</f>
        <v>0</v>
      </c>
      <c r="FK222" s="62"/>
      <c r="FL222" s="63"/>
      <c r="FM222" s="63"/>
      <c r="FN222" s="63"/>
      <c r="FO222" s="63"/>
      <c r="FP222" s="63"/>
      <c r="FQ222" s="63"/>
      <c r="FR222" s="63"/>
      <c r="FS222" s="63"/>
      <c r="FT222" s="63"/>
      <c r="FU222" s="64">
        <f>SUM(FL222:FO222,FQ222:FT222)</f>
        <v>0</v>
      </c>
      <c r="FV222" s="65">
        <f t="shared" si="1470"/>
        <v>0</v>
      </c>
      <c r="FW222" s="65">
        <f t="shared" si="1470"/>
        <v>0</v>
      </c>
      <c r="FX222" s="65">
        <f t="shared" si="1470"/>
        <v>0</v>
      </c>
      <c r="FY222" s="65">
        <f t="shared" si="1470"/>
        <v>0</v>
      </c>
      <c r="FZ222" s="65">
        <f t="shared" si="1470"/>
        <v>0</v>
      </c>
      <c r="GA222" s="65">
        <f t="shared" si="1470"/>
        <v>0</v>
      </c>
      <c r="GB222" s="65">
        <f t="shared" si="1470"/>
        <v>0</v>
      </c>
      <c r="GC222" s="65">
        <f t="shared" si="1470"/>
        <v>0</v>
      </c>
      <c r="GD222" s="65">
        <f t="shared" si="1470"/>
        <v>0</v>
      </c>
      <c r="GE222" s="65">
        <f t="shared" si="1470"/>
        <v>0</v>
      </c>
      <c r="GF222" s="64">
        <f>SUM(FW222:FZ222,GB222:GE222)</f>
        <v>0</v>
      </c>
      <c r="GG222" s="66">
        <f t="shared" si="1471"/>
        <v>0</v>
      </c>
      <c r="GH222" s="66">
        <f t="shared" si="1471"/>
        <v>0</v>
      </c>
      <c r="GI222" s="66">
        <f t="shared" si="1471"/>
        <v>0</v>
      </c>
      <c r="GJ222" s="66">
        <f t="shared" si="1471"/>
        <v>0</v>
      </c>
      <c r="GK222" s="66">
        <f t="shared" si="1471"/>
        <v>0</v>
      </c>
      <c r="GL222" s="66">
        <f t="shared" si="1471"/>
        <v>0</v>
      </c>
      <c r="GM222" s="66">
        <f t="shared" si="1471"/>
        <v>0</v>
      </c>
      <c r="GN222" s="66">
        <f t="shared" si="1471"/>
        <v>0</v>
      </c>
      <c r="GO222" s="66">
        <f t="shared" si="1471"/>
        <v>0</v>
      </c>
      <c r="GP222" s="66">
        <f t="shared" si="1471"/>
        <v>0</v>
      </c>
      <c r="GQ222" s="64">
        <f>SUM(GH222:GK222,GM222:GP222)</f>
        <v>0</v>
      </c>
      <c r="GR222" s="63"/>
      <c r="GS222" s="63"/>
      <c r="GT222" s="63"/>
      <c r="GU222" s="63"/>
      <c r="GV222" s="67">
        <f>SUM(GR222:GU222)</f>
        <v>0</v>
      </c>
      <c r="GW222" s="63"/>
      <c r="GX222" s="63"/>
      <c r="GY222" s="63"/>
      <c r="GZ222" s="63"/>
      <c r="HA222" s="67">
        <f>SUM(GW222:GZ222)</f>
        <v>0</v>
      </c>
      <c r="HB222" s="63"/>
      <c r="HC222" s="63"/>
      <c r="HD222" s="63"/>
      <c r="HE222" s="63"/>
      <c r="HF222" s="67">
        <f>SUM(HB222:HE222)</f>
        <v>0</v>
      </c>
      <c r="HG222" s="63"/>
      <c r="HH222" s="63"/>
      <c r="HI222" s="63"/>
      <c r="HJ222" s="63"/>
      <c r="HK222" s="67">
        <f>SUM(HG222:HJ222)</f>
        <v>0</v>
      </c>
      <c r="HL222" s="68">
        <f t="shared" si="1472"/>
        <v>0</v>
      </c>
      <c r="HM222" s="68">
        <f t="shared" si="1472"/>
        <v>0</v>
      </c>
      <c r="HN222" s="68">
        <f t="shared" si="1472"/>
        <v>0</v>
      </c>
      <c r="HO222" s="68">
        <f t="shared" si="1472"/>
        <v>0</v>
      </c>
      <c r="HP222" s="67">
        <f>SUM(HL222:HO222)</f>
        <v>0</v>
      </c>
      <c r="HQ222" s="63"/>
      <c r="HR222" s="63"/>
      <c r="HS222" s="63"/>
      <c r="HT222" s="63"/>
      <c r="HU222" s="67">
        <f>SUM(HQ222:HT222)</f>
        <v>0</v>
      </c>
      <c r="HV222" s="63"/>
      <c r="HW222" s="63"/>
      <c r="HX222" s="63"/>
      <c r="HY222" s="63"/>
      <c r="HZ222" s="67">
        <f>SUM(HV222:HY222)</f>
        <v>0</v>
      </c>
      <c r="IA222" s="63"/>
      <c r="IB222" s="63"/>
      <c r="IC222" s="63"/>
      <c r="ID222" s="63"/>
      <c r="IE222" s="67">
        <f>SUM(IA222:ID222)</f>
        <v>0</v>
      </c>
      <c r="IF222" s="68">
        <f t="shared" si="1473"/>
        <v>0</v>
      </c>
      <c r="IG222" s="68">
        <f t="shared" si="1473"/>
        <v>0</v>
      </c>
      <c r="IH222" s="68">
        <f t="shared" si="1473"/>
        <v>0</v>
      </c>
      <c r="II222" s="68">
        <f t="shared" si="1473"/>
        <v>0</v>
      </c>
      <c r="IJ222" s="67">
        <f>SUM(IF222:II222)</f>
        <v>0</v>
      </c>
      <c r="IK222" s="63"/>
      <c r="IL222" s="63"/>
      <c r="IM222" s="63"/>
      <c r="IN222" s="63"/>
      <c r="IO222" s="67">
        <f>SUM(IK222:IN222)</f>
        <v>0</v>
      </c>
      <c r="IP222" s="63"/>
      <c r="IQ222" s="63"/>
      <c r="IR222" s="63"/>
      <c r="IS222" s="63"/>
      <c r="IT222" s="67">
        <f>SUM(IP222:IS222)</f>
        <v>0</v>
      </c>
      <c r="IU222" s="63"/>
      <c r="IV222" s="63"/>
    </row>
    <row r="223" spans="1:256" x14ac:dyDescent="0.25">
      <c r="A223" s="84" t="s">
        <v>196</v>
      </c>
      <c r="B223" s="62"/>
      <c r="C223" s="116">
        <f t="shared" ref="C223:L223" si="1474">SUM(C224:C227)</f>
        <v>1620</v>
      </c>
      <c r="D223" s="116">
        <f t="shared" si="1474"/>
        <v>0</v>
      </c>
      <c r="E223" s="116">
        <f t="shared" si="1474"/>
        <v>0</v>
      </c>
      <c r="F223" s="116">
        <f t="shared" si="1474"/>
        <v>0</v>
      </c>
      <c r="G223" s="116">
        <f t="shared" si="1474"/>
        <v>0</v>
      </c>
      <c r="H223" s="116">
        <f t="shared" si="1474"/>
        <v>0</v>
      </c>
      <c r="I223" s="116">
        <f t="shared" si="1474"/>
        <v>0</v>
      </c>
      <c r="J223" s="116">
        <f t="shared" si="1474"/>
        <v>0</v>
      </c>
      <c r="K223" s="116">
        <f t="shared" si="1474"/>
        <v>0</v>
      </c>
      <c r="L223" s="96">
        <f t="shared" si="1474"/>
        <v>1620</v>
      </c>
      <c r="M223" s="62"/>
      <c r="N223" s="116">
        <f t="shared" ref="N223:V223" si="1475">SUM(N224:N227)</f>
        <v>0</v>
      </c>
      <c r="O223" s="116">
        <f t="shared" si="1475"/>
        <v>0</v>
      </c>
      <c r="P223" s="116">
        <f t="shared" si="1475"/>
        <v>0</v>
      </c>
      <c r="Q223" s="116">
        <f t="shared" si="1475"/>
        <v>0</v>
      </c>
      <c r="R223" s="116">
        <f t="shared" si="1475"/>
        <v>0</v>
      </c>
      <c r="S223" s="116">
        <f t="shared" si="1475"/>
        <v>0</v>
      </c>
      <c r="T223" s="116">
        <f t="shared" si="1475"/>
        <v>0</v>
      </c>
      <c r="U223" s="116">
        <f t="shared" si="1475"/>
        <v>0</v>
      </c>
      <c r="V223" s="116">
        <f t="shared" si="1475"/>
        <v>0</v>
      </c>
      <c r="W223" s="96">
        <f>SUM(W224:W227)</f>
        <v>0</v>
      </c>
      <c r="X223" s="62"/>
      <c r="Y223" s="116">
        <f t="shared" ref="Y223:AG223" si="1476">SUM(Y224:Y227)</f>
        <v>0</v>
      </c>
      <c r="Z223" s="116">
        <f t="shared" si="1476"/>
        <v>0</v>
      </c>
      <c r="AA223" s="116">
        <f t="shared" si="1476"/>
        <v>0</v>
      </c>
      <c r="AB223" s="116">
        <f t="shared" si="1476"/>
        <v>0</v>
      </c>
      <c r="AC223" s="116">
        <f t="shared" si="1476"/>
        <v>0</v>
      </c>
      <c r="AD223" s="116">
        <f t="shared" si="1476"/>
        <v>0</v>
      </c>
      <c r="AE223" s="116">
        <f t="shared" si="1476"/>
        <v>0</v>
      </c>
      <c r="AF223" s="116">
        <f t="shared" si="1476"/>
        <v>0</v>
      </c>
      <c r="AG223" s="116">
        <f t="shared" si="1476"/>
        <v>0</v>
      </c>
      <c r="AH223" s="96">
        <f>SUM(AH224:AH227)</f>
        <v>0</v>
      </c>
      <c r="AI223" s="62"/>
      <c r="AJ223" s="116">
        <f t="shared" ref="AJ223:AR223" si="1477">SUM(AJ224:AJ227)</f>
        <v>0</v>
      </c>
      <c r="AK223" s="116">
        <f t="shared" si="1477"/>
        <v>0</v>
      </c>
      <c r="AL223" s="116">
        <f t="shared" si="1477"/>
        <v>0</v>
      </c>
      <c r="AM223" s="116">
        <f t="shared" si="1477"/>
        <v>0</v>
      </c>
      <c r="AN223" s="116">
        <f t="shared" si="1477"/>
        <v>0</v>
      </c>
      <c r="AO223" s="116">
        <f t="shared" si="1477"/>
        <v>0</v>
      </c>
      <c r="AP223" s="116">
        <f t="shared" si="1477"/>
        <v>0</v>
      </c>
      <c r="AQ223" s="116">
        <f t="shared" si="1477"/>
        <v>0</v>
      </c>
      <c r="AR223" s="116">
        <f t="shared" si="1477"/>
        <v>0</v>
      </c>
      <c r="AS223" s="96">
        <f>SUM(AS224:AS227)</f>
        <v>0</v>
      </c>
      <c r="AT223" s="62"/>
      <c r="AU223" s="116">
        <f t="shared" ref="AU223:BD223" si="1478">SUM(AU224:AU227)</f>
        <v>0</v>
      </c>
      <c r="AV223" s="116">
        <f t="shared" si="1478"/>
        <v>0</v>
      </c>
      <c r="AW223" s="116">
        <f t="shared" si="1478"/>
        <v>0</v>
      </c>
      <c r="AX223" s="116">
        <f t="shared" si="1478"/>
        <v>0</v>
      </c>
      <c r="AY223" s="116">
        <f t="shared" si="1478"/>
        <v>0</v>
      </c>
      <c r="AZ223" s="116">
        <f t="shared" si="1478"/>
        <v>0</v>
      </c>
      <c r="BA223" s="116">
        <f t="shared" si="1478"/>
        <v>0</v>
      </c>
      <c r="BB223" s="116">
        <f t="shared" si="1478"/>
        <v>0</v>
      </c>
      <c r="BC223" s="116">
        <f t="shared" si="1478"/>
        <v>0</v>
      </c>
      <c r="BD223" s="96">
        <f t="shared" si="1478"/>
        <v>0</v>
      </c>
      <c r="BE223" s="62"/>
      <c r="BF223" s="116">
        <f t="shared" ref="BF223:BN223" si="1479">SUM(BF224:BF227)</f>
        <v>0</v>
      </c>
      <c r="BG223" s="116">
        <f t="shared" si="1479"/>
        <v>0</v>
      </c>
      <c r="BH223" s="116">
        <f t="shared" si="1479"/>
        <v>0</v>
      </c>
      <c r="BI223" s="116">
        <f t="shared" si="1479"/>
        <v>0</v>
      </c>
      <c r="BJ223" s="116">
        <f t="shared" si="1479"/>
        <v>0</v>
      </c>
      <c r="BK223" s="116">
        <f t="shared" si="1479"/>
        <v>0</v>
      </c>
      <c r="BL223" s="116">
        <f t="shared" si="1479"/>
        <v>0</v>
      </c>
      <c r="BM223" s="116">
        <f t="shared" si="1479"/>
        <v>0</v>
      </c>
      <c r="BN223" s="116">
        <f t="shared" si="1479"/>
        <v>0</v>
      </c>
      <c r="BO223" s="96">
        <f>SUM(BO224:BO227)</f>
        <v>0</v>
      </c>
      <c r="BP223" s="62"/>
      <c r="BQ223" s="116">
        <f t="shared" ref="BQ223:BY223" si="1480">SUM(BQ224:BQ227)</f>
        <v>0</v>
      </c>
      <c r="BR223" s="116">
        <f t="shared" si="1480"/>
        <v>0</v>
      </c>
      <c r="BS223" s="116">
        <f t="shared" si="1480"/>
        <v>0</v>
      </c>
      <c r="BT223" s="116">
        <f t="shared" si="1480"/>
        <v>0</v>
      </c>
      <c r="BU223" s="116">
        <f t="shared" si="1480"/>
        <v>0</v>
      </c>
      <c r="BV223" s="116">
        <f t="shared" si="1480"/>
        <v>0</v>
      </c>
      <c r="BW223" s="116">
        <f t="shared" si="1480"/>
        <v>0</v>
      </c>
      <c r="BX223" s="116">
        <f t="shared" si="1480"/>
        <v>0</v>
      </c>
      <c r="BY223" s="116">
        <f t="shared" si="1480"/>
        <v>0</v>
      </c>
      <c r="BZ223" s="96">
        <f>SUM(BZ224:BZ227)</f>
        <v>0</v>
      </c>
      <c r="CA223" s="62"/>
      <c r="CB223" s="116">
        <f t="shared" ref="CB223:CJ223" si="1481">SUM(CB224:CB227)</f>
        <v>0</v>
      </c>
      <c r="CC223" s="116">
        <f t="shared" si="1481"/>
        <v>0</v>
      </c>
      <c r="CD223" s="116">
        <f t="shared" si="1481"/>
        <v>0</v>
      </c>
      <c r="CE223" s="116">
        <f t="shared" si="1481"/>
        <v>0</v>
      </c>
      <c r="CF223" s="116">
        <f t="shared" si="1481"/>
        <v>0</v>
      </c>
      <c r="CG223" s="116">
        <f t="shared" si="1481"/>
        <v>0</v>
      </c>
      <c r="CH223" s="116">
        <f t="shared" si="1481"/>
        <v>0</v>
      </c>
      <c r="CI223" s="116">
        <f t="shared" si="1481"/>
        <v>0</v>
      </c>
      <c r="CJ223" s="116">
        <f t="shared" si="1481"/>
        <v>0</v>
      </c>
      <c r="CK223" s="96">
        <f>SUM(CK224:CK227)</f>
        <v>0</v>
      </c>
      <c r="CL223" s="62"/>
      <c r="CM223" s="116">
        <f t="shared" ref="CM223:CV223" si="1482">SUM(CM224:CM227)</f>
        <v>0</v>
      </c>
      <c r="CN223" s="116">
        <f t="shared" si="1482"/>
        <v>0</v>
      </c>
      <c r="CO223" s="116">
        <f t="shared" si="1482"/>
        <v>0</v>
      </c>
      <c r="CP223" s="116">
        <f t="shared" si="1482"/>
        <v>0</v>
      </c>
      <c r="CQ223" s="116">
        <f t="shared" si="1482"/>
        <v>0</v>
      </c>
      <c r="CR223" s="116">
        <f t="shared" si="1482"/>
        <v>0</v>
      </c>
      <c r="CS223" s="116">
        <f t="shared" si="1482"/>
        <v>0</v>
      </c>
      <c r="CT223" s="116">
        <f t="shared" si="1482"/>
        <v>0</v>
      </c>
      <c r="CU223" s="116">
        <f t="shared" si="1482"/>
        <v>0</v>
      </c>
      <c r="CV223" s="96">
        <f t="shared" si="1482"/>
        <v>0</v>
      </c>
      <c r="CW223" s="62"/>
      <c r="CX223" s="116">
        <f t="shared" ref="CX223:DF223" si="1483">SUM(CX224:CX227)</f>
        <v>0</v>
      </c>
      <c r="CY223" s="116">
        <f t="shared" si="1483"/>
        <v>0</v>
      </c>
      <c r="CZ223" s="116">
        <f t="shared" si="1483"/>
        <v>0</v>
      </c>
      <c r="DA223" s="116">
        <f t="shared" si="1483"/>
        <v>0</v>
      </c>
      <c r="DB223" s="116">
        <f t="shared" si="1483"/>
        <v>0</v>
      </c>
      <c r="DC223" s="116">
        <f t="shared" si="1483"/>
        <v>0</v>
      </c>
      <c r="DD223" s="116">
        <f t="shared" si="1483"/>
        <v>0</v>
      </c>
      <c r="DE223" s="116">
        <f t="shared" si="1483"/>
        <v>0</v>
      </c>
      <c r="DF223" s="116">
        <f t="shared" si="1483"/>
        <v>0</v>
      </c>
      <c r="DG223" s="96">
        <f>SUM(DG224:DG227)</f>
        <v>0</v>
      </c>
      <c r="DH223" s="62"/>
      <c r="DI223" s="116">
        <f t="shared" ref="DI223:DQ223" si="1484">SUM(DI224:DI227)</f>
        <v>0</v>
      </c>
      <c r="DJ223" s="116">
        <f t="shared" si="1484"/>
        <v>0</v>
      </c>
      <c r="DK223" s="116">
        <f t="shared" si="1484"/>
        <v>0</v>
      </c>
      <c r="DL223" s="116">
        <f t="shared" si="1484"/>
        <v>0</v>
      </c>
      <c r="DM223" s="116">
        <f t="shared" si="1484"/>
        <v>0</v>
      </c>
      <c r="DN223" s="116">
        <f t="shared" si="1484"/>
        <v>0</v>
      </c>
      <c r="DO223" s="116">
        <f t="shared" si="1484"/>
        <v>0</v>
      </c>
      <c r="DP223" s="116">
        <f t="shared" si="1484"/>
        <v>0</v>
      </c>
      <c r="DQ223" s="116">
        <f t="shared" si="1484"/>
        <v>0</v>
      </c>
      <c r="DR223" s="96">
        <f>SUM(DR224:DR227)</f>
        <v>0</v>
      </c>
      <c r="DS223" s="62"/>
      <c r="DT223" s="116">
        <f t="shared" ref="DT223:EB223" si="1485">SUM(DT224:DT227)</f>
        <v>0</v>
      </c>
      <c r="DU223" s="116">
        <f t="shared" si="1485"/>
        <v>0</v>
      </c>
      <c r="DV223" s="116">
        <f t="shared" si="1485"/>
        <v>0</v>
      </c>
      <c r="DW223" s="116">
        <f t="shared" si="1485"/>
        <v>0</v>
      </c>
      <c r="DX223" s="116">
        <f t="shared" si="1485"/>
        <v>0</v>
      </c>
      <c r="DY223" s="116">
        <f t="shared" si="1485"/>
        <v>0</v>
      </c>
      <c r="DZ223" s="116">
        <f t="shared" si="1485"/>
        <v>0</v>
      </c>
      <c r="EA223" s="116">
        <f t="shared" si="1485"/>
        <v>0</v>
      </c>
      <c r="EB223" s="116">
        <f t="shared" si="1485"/>
        <v>0</v>
      </c>
      <c r="EC223" s="116">
        <f>SUM(EC224:EC227)</f>
        <v>0</v>
      </c>
      <c r="ED223" s="62"/>
      <c r="EE223" s="116">
        <f t="shared" ref="EE223:EN223" si="1486">SUM(EE224:EE227)</f>
        <v>0</v>
      </c>
      <c r="EF223" s="116">
        <f t="shared" si="1486"/>
        <v>0</v>
      </c>
      <c r="EG223" s="116">
        <f t="shared" si="1486"/>
        <v>0</v>
      </c>
      <c r="EH223" s="116">
        <f t="shared" si="1486"/>
        <v>0</v>
      </c>
      <c r="EI223" s="116">
        <f t="shared" si="1486"/>
        <v>0</v>
      </c>
      <c r="EJ223" s="116">
        <f t="shared" si="1486"/>
        <v>0</v>
      </c>
      <c r="EK223" s="116">
        <f t="shared" si="1486"/>
        <v>0</v>
      </c>
      <c r="EL223" s="116">
        <f t="shared" si="1486"/>
        <v>0</v>
      </c>
      <c r="EM223" s="116">
        <f t="shared" si="1486"/>
        <v>0</v>
      </c>
      <c r="EN223" s="96">
        <f t="shared" si="1486"/>
        <v>0</v>
      </c>
      <c r="EO223" s="62"/>
      <c r="EP223" s="116">
        <f t="shared" ref="EP223:EX223" si="1487">SUM(EP224:EP227)</f>
        <v>0</v>
      </c>
      <c r="EQ223" s="116">
        <f t="shared" si="1487"/>
        <v>0</v>
      </c>
      <c r="ER223" s="116">
        <f t="shared" si="1487"/>
        <v>0</v>
      </c>
      <c r="ES223" s="116">
        <f t="shared" si="1487"/>
        <v>0</v>
      </c>
      <c r="ET223" s="116">
        <f t="shared" si="1487"/>
        <v>0</v>
      </c>
      <c r="EU223" s="116">
        <f t="shared" si="1487"/>
        <v>0</v>
      </c>
      <c r="EV223" s="116">
        <f t="shared" si="1487"/>
        <v>0</v>
      </c>
      <c r="EW223" s="116">
        <f t="shared" si="1487"/>
        <v>0</v>
      </c>
      <c r="EX223" s="116">
        <f t="shared" si="1487"/>
        <v>0</v>
      </c>
      <c r="EY223" s="96">
        <f>SUM(EY224:EY227)</f>
        <v>0</v>
      </c>
      <c r="EZ223" s="62"/>
      <c r="FA223" s="116">
        <f t="shared" ref="FA223:FI223" si="1488">SUM(FA224:FA227)</f>
        <v>0</v>
      </c>
      <c r="FB223" s="116">
        <f t="shared" si="1488"/>
        <v>0</v>
      </c>
      <c r="FC223" s="116">
        <f t="shared" si="1488"/>
        <v>0</v>
      </c>
      <c r="FD223" s="116">
        <f t="shared" si="1488"/>
        <v>0</v>
      </c>
      <c r="FE223" s="116">
        <f t="shared" si="1488"/>
        <v>0</v>
      </c>
      <c r="FF223" s="116">
        <f t="shared" si="1488"/>
        <v>0</v>
      </c>
      <c r="FG223" s="116">
        <f t="shared" si="1488"/>
        <v>0</v>
      </c>
      <c r="FH223" s="116">
        <f t="shared" si="1488"/>
        <v>0</v>
      </c>
      <c r="FI223" s="116">
        <f t="shared" si="1488"/>
        <v>0</v>
      </c>
      <c r="FJ223" s="96">
        <f>SUM(FJ224:FJ227)</f>
        <v>0</v>
      </c>
      <c r="FK223" s="62"/>
      <c r="FL223" s="116">
        <f t="shared" ref="FL223:FT223" si="1489">SUM(FL224:FL227)</f>
        <v>0</v>
      </c>
      <c r="FM223" s="116">
        <f t="shared" si="1489"/>
        <v>0</v>
      </c>
      <c r="FN223" s="116">
        <f t="shared" si="1489"/>
        <v>0</v>
      </c>
      <c r="FO223" s="116">
        <f t="shared" si="1489"/>
        <v>0</v>
      </c>
      <c r="FP223" s="116">
        <f t="shared" si="1489"/>
        <v>0</v>
      </c>
      <c r="FQ223" s="116">
        <f t="shared" si="1489"/>
        <v>0</v>
      </c>
      <c r="FR223" s="116">
        <f t="shared" si="1489"/>
        <v>0</v>
      </c>
      <c r="FS223" s="116">
        <f t="shared" si="1489"/>
        <v>0</v>
      </c>
      <c r="FT223" s="116">
        <f t="shared" si="1489"/>
        <v>0</v>
      </c>
      <c r="FU223" s="96">
        <f>SUM(FU224:FU227)</f>
        <v>0</v>
      </c>
      <c r="FV223" s="62"/>
      <c r="FW223" s="116">
        <f t="shared" ref="FW223:GF223" si="1490">SUM(FW224:FW227)</f>
        <v>0</v>
      </c>
      <c r="FX223" s="116">
        <f t="shared" si="1490"/>
        <v>0</v>
      </c>
      <c r="FY223" s="116">
        <f t="shared" si="1490"/>
        <v>0</v>
      </c>
      <c r="FZ223" s="116">
        <f t="shared" si="1490"/>
        <v>0</v>
      </c>
      <c r="GA223" s="116">
        <f t="shared" si="1490"/>
        <v>0</v>
      </c>
      <c r="GB223" s="116">
        <f t="shared" si="1490"/>
        <v>0</v>
      </c>
      <c r="GC223" s="116">
        <f t="shared" si="1490"/>
        <v>0</v>
      </c>
      <c r="GD223" s="116">
        <f t="shared" si="1490"/>
        <v>0</v>
      </c>
      <c r="GE223" s="116">
        <f t="shared" si="1490"/>
        <v>0</v>
      </c>
      <c r="GF223" s="96">
        <f t="shared" si="1490"/>
        <v>0</v>
      </c>
      <c r="GG223" s="62"/>
      <c r="GH223" s="116">
        <f t="shared" ref="GH223:HK223" si="1491">SUM(GH224:GH227)</f>
        <v>0</v>
      </c>
      <c r="GI223" s="116">
        <f t="shared" si="1491"/>
        <v>0</v>
      </c>
      <c r="GJ223" s="116">
        <f t="shared" si="1491"/>
        <v>0</v>
      </c>
      <c r="GK223" s="116">
        <f t="shared" si="1491"/>
        <v>0</v>
      </c>
      <c r="GL223" s="116">
        <f t="shared" si="1491"/>
        <v>0</v>
      </c>
      <c r="GM223" s="116">
        <f t="shared" si="1491"/>
        <v>0</v>
      </c>
      <c r="GN223" s="116">
        <f t="shared" si="1491"/>
        <v>0</v>
      </c>
      <c r="GO223" s="116">
        <f t="shared" si="1491"/>
        <v>0</v>
      </c>
      <c r="GP223" s="116">
        <f t="shared" si="1491"/>
        <v>0</v>
      </c>
      <c r="GQ223" s="96">
        <f t="shared" si="1491"/>
        <v>0</v>
      </c>
      <c r="GR223" s="116">
        <f t="shared" si="1491"/>
        <v>0</v>
      </c>
      <c r="GS223" s="116">
        <f t="shared" si="1491"/>
        <v>0</v>
      </c>
      <c r="GT223" s="116">
        <f t="shared" si="1491"/>
        <v>0</v>
      </c>
      <c r="GU223" s="116">
        <f t="shared" si="1491"/>
        <v>0</v>
      </c>
      <c r="GV223" s="116">
        <f t="shared" si="1491"/>
        <v>0</v>
      </c>
      <c r="GW223" s="116">
        <f t="shared" si="1491"/>
        <v>0</v>
      </c>
      <c r="GX223" s="116">
        <f t="shared" si="1491"/>
        <v>0</v>
      </c>
      <c r="GY223" s="116">
        <f t="shared" si="1491"/>
        <v>0</v>
      </c>
      <c r="GZ223" s="116">
        <f t="shared" si="1491"/>
        <v>0</v>
      </c>
      <c r="HA223" s="116">
        <f t="shared" si="1491"/>
        <v>0</v>
      </c>
      <c r="HB223" s="116">
        <f>SUM(HB224:HB227)</f>
        <v>0</v>
      </c>
      <c r="HC223" s="116">
        <f>SUM(HC224:HC227)</f>
        <v>0</v>
      </c>
      <c r="HD223" s="116">
        <f>SUM(HD224:HD227)</f>
        <v>0</v>
      </c>
      <c r="HE223" s="116">
        <f>SUM(HE224:HE227)</f>
        <v>0</v>
      </c>
      <c r="HF223" s="116">
        <f t="shared" si="1491"/>
        <v>0</v>
      </c>
      <c r="HG223" s="116">
        <f t="shared" si="1491"/>
        <v>0</v>
      </c>
      <c r="HH223" s="116">
        <f t="shared" si="1491"/>
        <v>0</v>
      </c>
      <c r="HI223" s="116">
        <f t="shared" si="1491"/>
        <v>0</v>
      </c>
      <c r="HJ223" s="116">
        <f t="shared" si="1491"/>
        <v>0</v>
      </c>
      <c r="HK223" s="116">
        <f t="shared" si="1491"/>
        <v>0</v>
      </c>
      <c r="HL223" s="116">
        <f t="shared" ref="HL223:HT223" si="1492">SUM(HL224:HL227)</f>
        <v>0</v>
      </c>
      <c r="HM223" s="116">
        <f t="shared" si="1492"/>
        <v>0</v>
      </c>
      <c r="HN223" s="116">
        <f t="shared" si="1492"/>
        <v>0</v>
      </c>
      <c r="HO223" s="116">
        <f t="shared" si="1492"/>
        <v>0</v>
      </c>
      <c r="HP223" s="116">
        <f t="shared" si="1492"/>
        <v>0</v>
      </c>
      <c r="HQ223" s="116">
        <f t="shared" si="1492"/>
        <v>0</v>
      </c>
      <c r="HR223" s="116">
        <f t="shared" si="1492"/>
        <v>0</v>
      </c>
      <c r="HS223" s="116">
        <f t="shared" si="1492"/>
        <v>0</v>
      </c>
      <c r="HT223" s="116">
        <f t="shared" si="1492"/>
        <v>0</v>
      </c>
      <c r="HU223" s="116">
        <f t="shared" ref="HU223:IV223" si="1493">SUM(HU224:HU227)</f>
        <v>0</v>
      </c>
      <c r="HV223" s="116">
        <f t="shared" si="1493"/>
        <v>0</v>
      </c>
      <c r="HW223" s="116">
        <f t="shared" si="1493"/>
        <v>0</v>
      </c>
      <c r="HX223" s="116">
        <f t="shared" si="1493"/>
        <v>0</v>
      </c>
      <c r="HY223" s="116">
        <f t="shared" si="1493"/>
        <v>0</v>
      </c>
      <c r="HZ223" s="116">
        <f t="shared" si="1493"/>
        <v>0</v>
      </c>
      <c r="IA223" s="116">
        <f>SUM(IA224:IA227)</f>
        <v>0</v>
      </c>
      <c r="IB223" s="116">
        <f>SUM(IB224:IB227)</f>
        <v>0</v>
      </c>
      <c r="IC223" s="116">
        <f>SUM(IC224:IC227)</f>
        <v>0</v>
      </c>
      <c r="ID223" s="116">
        <f>SUM(ID224:ID227)</f>
        <v>0</v>
      </c>
      <c r="IE223" s="116">
        <f t="shared" si="1493"/>
        <v>0</v>
      </c>
      <c r="IF223" s="116">
        <f t="shared" si="1493"/>
        <v>0</v>
      </c>
      <c r="IG223" s="116">
        <f t="shared" si="1493"/>
        <v>0</v>
      </c>
      <c r="IH223" s="116">
        <f t="shared" si="1493"/>
        <v>0</v>
      </c>
      <c r="II223" s="116">
        <f t="shared" si="1493"/>
        <v>0</v>
      </c>
      <c r="IJ223" s="116">
        <f t="shared" si="1493"/>
        <v>0</v>
      </c>
      <c r="IK223" s="116">
        <f t="shared" si="1493"/>
        <v>0</v>
      </c>
      <c r="IL223" s="116">
        <f t="shared" si="1493"/>
        <v>0</v>
      </c>
      <c r="IM223" s="116">
        <f t="shared" si="1493"/>
        <v>0</v>
      </c>
      <c r="IN223" s="116">
        <f t="shared" si="1493"/>
        <v>0</v>
      </c>
      <c r="IO223" s="116">
        <f t="shared" si="1493"/>
        <v>0</v>
      </c>
      <c r="IP223" s="116">
        <f>SUM(IP224:IP227)</f>
        <v>0</v>
      </c>
      <c r="IQ223" s="116">
        <f>SUM(IQ224:IQ227)</f>
        <v>0</v>
      </c>
      <c r="IR223" s="116">
        <f>SUM(IR224:IR227)</f>
        <v>0</v>
      </c>
      <c r="IS223" s="116">
        <f>SUM(IS224:IS227)</f>
        <v>0</v>
      </c>
      <c r="IT223" s="116">
        <f t="shared" si="1493"/>
        <v>0</v>
      </c>
      <c r="IU223" s="116">
        <f t="shared" si="1493"/>
        <v>0</v>
      </c>
      <c r="IV223" s="116">
        <f t="shared" si="1493"/>
        <v>0</v>
      </c>
    </row>
    <row r="224" spans="1:256" x14ac:dyDescent="0.25">
      <c r="A224" s="117" t="s">
        <v>192</v>
      </c>
      <c r="B224" s="62">
        <v>6504</v>
      </c>
      <c r="C224" s="63">
        <v>0</v>
      </c>
      <c r="D224" s="63">
        <v>0</v>
      </c>
      <c r="E224" s="63">
        <v>0</v>
      </c>
      <c r="F224" s="63">
        <v>0</v>
      </c>
      <c r="G224" s="63">
        <v>0</v>
      </c>
      <c r="H224" s="63">
        <v>0</v>
      </c>
      <c r="I224" s="63">
        <v>0</v>
      </c>
      <c r="J224" s="63">
        <v>0</v>
      </c>
      <c r="K224" s="63">
        <v>0</v>
      </c>
      <c r="L224" s="64">
        <f>SUM(C224:F224,H224:K224)</f>
        <v>0</v>
      </c>
      <c r="M224" s="62"/>
      <c r="N224" s="63"/>
      <c r="O224" s="63"/>
      <c r="P224" s="63"/>
      <c r="Q224" s="63"/>
      <c r="R224" s="63"/>
      <c r="S224" s="63"/>
      <c r="T224" s="63"/>
      <c r="U224" s="63"/>
      <c r="V224" s="63"/>
      <c r="W224" s="64">
        <f>SUM(N224:Q224,S224:V224)</f>
        <v>0</v>
      </c>
      <c r="X224" s="62"/>
      <c r="Y224" s="63"/>
      <c r="Z224" s="63"/>
      <c r="AA224" s="63"/>
      <c r="AB224" s="63"/>
      <c r="AC224" s="63"/>
      <c r="AD224" s="63"/>
      <c r="AE224" s="63"/>
      <c r="AF224" s="63"/>
      <c r="AG224" s="63"/>
      <c r="AH224" s="64">
        <f>SUM(Y224:AB224,AD224:AG224)</f>
        <v>0</v>
      </c>
      <c r="AI224" s="62"/>
      <c r="AJ224" s="63"/>
      <c r="AK224" s="63"/>
      <c r="AL224" s="63"/>
      <c r="AM224" s="63"/>
      <c r="AN224" s="63"/>
      <c r="AO224" s="63"/>
      <c r="AP224" s="63"/>
      <c r="AQ224" s="63"/>
      <c r="AR224" s="63"/>
      <c r="AS224" s="64">
        <f>SUM(AJ224:AM224,AO224:AR224)</f>
        <v>0</v>
      </c>
      <c r="AT224" s="65">
        <f t="shared" ref="AT224:BC227" si="1494">SUM(M224,AI224,X224)</f>
        <v>0</v>
      </c>
      <c r="AU224" s="65">
        <f t="shared" si="1494"/>
        <v>0</v>
      </c>
      <c r="AV224" s="65">
        <f t="shared" si="1494"/>
        <v>0</v>
      </c>
      <c r="AW224" s="65">
        <f t="shared" si="1494"/>
        <v>0</v>
      </c>
      <c r="AX224" s="65">
        <f t="shared" si="1494"/>
        <v>0</v>
      </c>
      <c r="AY224" s="65">
        <f t="shared" si="1494"/>
        <v>0</v>
      </c>
      <c r="AZ224" s="65">
        <f t="shared" si="1494"/>
        <v>0</v>
      </c>
      <c r="BA224" s="65">
        <f t="shared" si="1494"/>
        <v>0</v>
      </c>
      <c r="BB224" s="65">
        <f t="shared" si="1494"/>
        <v>0</v>
      </c>
      <c r="BC224" s="65">
        <f t="shared" si="1494"/>
        <v>0</v>
      </c>
      <c r="BD224" s="64">
        <f>SUM(AU224:AX224,AZ224:BC224)</f>
        <v>0</v>
      </c>
      <c r="BE224" s="62"/>
      <c r="BF224" s="63"/>
      <c r="BG224" s="63"/>
      <c r="BH224" s="63"/>
      <c r="BI224" s="63"/>
      <c r="BJ224" s="63"/>
      <c r="BK224" s="63"/>
      <c r="BL224" s="63"/>
      <c r="BM224" s="63"/>
      <c r="BN224" s="63"/>
      <c r="BO224" s="64">
        <f>SUM(BF224:BI224,BK224:BN224)</f>
        <v>0</v>
      </c>
      <c r="BP224" s="62"/>
      <c r="BQ224" s="63"/>
      <c r="BR224" s="63"/>
      <c r="BS224" s="63"/>
      <c r="BT224" s="63"/>
      <c r="BU224" s="63"/>
      <c r="BV224" s="63"/>
      <c r="BW224" s="63"/>
      <c r="BX224" s="63"/>
      <c r="BY224" s="63"/>
      <c r="BZ224" s="64">
        <f>SUM(BQ224:BT224,BV224:BY224)</f>
        <v>0</v>
      </c>
      <c r="CA224" s="62"/>
      <c r="CB224" s="63"/>
      <c r="CC224" s="63"/>
      <c r="CD224" s="63"/>
      <c r="CE224" s="63"/>
      <c r="CF224" s="63"/>
      <c r="CG224" s="63"/>
      <c r="CH224" s="63"/>
      <c r="CI224" s="63"/>
      <c r="CJ224" s="63"/>
      <c r="CK224" s="64">
        <f>SUM(CB224:CE224,CG224:CJ224)</f>
        <v>0</v>
      </c>
      <c r="CL224" s="65">
        <f t="shared" ref="CL224:CU227" si="1495">SUM(BE224,CA224,BP224)</f>
        <v>0</v>
      </c>
      <c r="CM224" s="65">
        <f t="shared" si="1495"/>
        <v>0</v>
      </c>
      <c r="CN224" s="65">
        <f t="shared" si="1495"/>
        <v>0</v>
      </c>
      <c r="CO224" s="65">
        <f t="shared" si="1495"/>
        <v>0</v>
      </c>
      <c r="CP224" s="65">
        <f t="shared" si="1495"/>
        <v>0</v>
      </c>
      <c r="CQ224" s="65">
        <f t="shared" si="1495"/>
        <v>0</v>
      </c>
      <c r="CR224" s="65">
        <f t="shared" si="1495"/>
        <v>0</v>
      </c>
      <c r="CS224" s="65">
        <f t="shared" si="1495"/>
        <v>0</v>
      </c>
      <c r="CT224" s="65">
        <f t="shared" si="1495"/>
        <v>0</v>
      </c>
      <c r="CU224" s="65">
        <f t="shared" si="1495"/>
        <v>0</v>
      </c>
      <c r="CV224" s="64">
        <f>SUM(CM224:CP224,CR224:CU224)</f>
        <v>0</v>
      </c>
      <c r="CW224" s="62"/>
      <c r="CX224" s="63"/>
      <c r="CY224" s="63"/>
      <c r="CZ224" s="63"/>
      <c r="DA224" s="63"/>
      <c r="DB224" s="63"/>
      <c r="DC224" s="63"/>
      <c r="DD224" s="63"/>
      <c r="DE224" s="63"/>
      <c r="DF224" s="63"/>
      <c r="DG224" s="64">
        <f>SUM(CX224:DA224,DC224:DF224)</f>
        <v>0</v>
      </c>
      <c r="DH224" s="62"/>
      <c r="DI224" s="63"/>
      <c r="DJ224" s="63"/>
      <c r="DK224" s="63"/>
      <c r="DL224" s="63"/>
      <c r="DM224" s="63"/>
      <c r="DN224" s="63"/>
      <c r="DO224" s="63"/>
      <c r="DP224" s="63"/>
      <c r="DQ224" s="63"/>
      <c r="DR224" s="64">
        <f>SUM(DI224:DL224,DN224:DQ224)</f>
        <v>0</v>
      </c>
      <c r="DS224" s="62"/>
      <c r="DT224" s="63"/>
      <c r="DU224" s="63"/>
      <c r="DV224" s="63"/>
      <c r="DW224" s="63"/>
      <c r="DX224" s="63"/>
      <c r="DY224" s="63"/>
      <c r="DZ224" s="63"/>
      <c r="EA224" s="63"/>
      <c r="EB224" s="63"/>
      <c r="EC224" s="63"/>
      <c r="ED224" s="65">
        <f t="shared" ref="ED224:EM227" si="1496">SUM(CW224,DS224,DH224)</f>
        <v>0</v>
      </c>
      <c r="EE224" s="65">
        <f t="shared" si="1496"/>
        <v>0</v>
      </c>
      <c r="EF224" s="65">
        <f t="shared" si="1496"/>
        <v>0</v>
      </c>
      <c r="EG224" s="65">
        <f t="shared" si="1496"/>
        <v>0</v>
      </c>
      <c r="EH224" s="65">
        <f t="shared" si="1496"/>
        <v>0</v>
      </c>
      <c r="EI224" s="65">
        <f t="shared" si="1496"/>
        <v>0</v>
      </c>
      <c r="EJ224" s="65">
        <f t="shared" si="1496"/>
        <v>0</v>
      </c>
      <c r="EK224" s="65">
        <f t="shared" si="1496"/>
        <v>0</v>
      </c>
      <c r="EL224" s="65">
        <f t="shared" si="1496"/>
        <v>0</v>
      </c>
      <c r="EM224" s="65">
        <f t="shared" si="1496"/>
        <v>0</v>
      </c>
      <c r="EN224" s="64">
        <f>SUM(EE224:EH224,EJ224:EM224)</f>
        <v>0</v>
      </c>
      <c r="EO224" s="62"/>
      <c r="EP224" s="63"/>
      <c r="EQ224" s="63"/>
      <c r="ER224" s="63"/>
      <c r="ES224" s="63"/>
      <c r="ET224" s="63"/>
      <c r="EU224" s="63"/>
      <c r="EV224" s="63"/>
      <c r="EW224" s="63"/>
      <c r="EX224" s="63"/>
      <c r="EY224" s="64">
        <f>SUM(EP224:ES224,EU224:EX224)</f>
        <v>0</v>
      </c>
      <c r="EZ224" s="62"/>
      <c r="FA224" s="63"/>
      <c r="FB224" s="63"/>
      <c r="FC224" s="63"/>
      <c r="FD224" s="63"/>
      <c r="FE224" s="63"/>
      <c r="FF224" s="63"/>
      <c r="FG224" s="63"/>
      <c r="FH224" s="63"/>
      <c r="FI224" s="63"/>
      <c r="FJ224" s="64">
        <f>SUM(FA224:FD224,FF224:FI224)</f>
        <v>0</v>
      </c>
      <c r="FK224" s="62"/>
      <c r="FL224" s="63"/>
      <c r="FM224" s="63"/>
      <c r="FN224" s="63"/>
      <c r="FO224" s="63"/>
      <c r="FP224" s="63"/>
      <c r="FQ224" s="63"/>
      <c r="FR224" s="63"/>
      <c r="FS224" s="63"/>
      <c r="FT224" s="63"/>
      <c r="FU224" s="64">
        <f>SUM(FL224:FO224,FQ224:FT224)</f>
        <v>0</v>
      </c>
      <c r="FV224" s="65">
        <f t="shared" ref="FV224:GE227" si="1497">SUM(EO224,FK224,EZ224)</f>
        <v>0</v>
      </c>
      <c r="FW224" s="65">
        <f t="shared" si="1497"/>
        <v>0</v>
      </c>
      <c r="FX224" s="65">
        <f t="shared" si="1497"/>
        <v>0</v>
      </c>
      <c r="FY224" s="65">
        <f t="shared" si="1497"/>
        <v>0</v>
      </c>
      <c r="FZ224" s="65">
        <f t="shared" si="1497"/>
        <v>0</v>
      </c>
      <c r="GA224" s="65">
        <f t="shared" si="1497"/>
        <v>0</v>
      </c>
      <c r="GB224" s="65">
        <f t="shared" si="1497"/>
        <v>0</v>
      </c>
      <c r="GC224" s="65">
        <f t="shared" si="1497"/>
        <v>0</v>
      </c>
      <c r="GD224" s="65">
        <f t="shared" si="1497"/>
        <v>0</v>
      </c>
      <c r="GE224" s="65">
        <f t="shared" si="1497"/>
        <v>0</v>
      </c>
      <c r="GF224" s="64">
        <f>SUM(FW224:FZ224,GB224:GE224)</f>
        <v>0</v>
      </c>
      <c r="GG224" s="66">
        <f t="shared" ref="GG224:GP227" si="1498">SUM(AT224,CL224,ED224,FV224)</f>
        <v>0</v>
      </c>
      <c r="GH224" s="66">
        <f t="shared" si="1498"/>
        <v>0</v>
      </c>
      <c r="GI224" s="66">
        <f t="shared" si="1498"/>
        <v>0</v>
      </c>
      <c r="GJ224" s="66">
        <f t="shared" si="1498"/>
        <v>0</v>
      </c>
      <c r="GK224" s="66">
        <f t="shared" si="1498"/>
        <v>0</v>
      </c>
      <c r="GL224" s="66">
        <f t="shared" si="1498"/>
        <v>0</v>
      </c>
      <c r="GM224" s="66">
        <f t="shared" si="1498"/>
        <v>0</v>
      </c>
      <c r="GN224" s="66">
        <f t="shared" si="1498"/>
        <v>0</v>
      </c>
      <c r="GO224" s="66">
        <f t="shared" si="1498"/>
        <v>0</v>
      </c>
      <c r="GP224" s="66">
        <f t="shared" si="1498"/>
        <v>0</v>
      </c>
      <c r="GQ224" s="64">
        <f>SUM(GH224:GK224,GM224:GP224)</f>
        <v>0</v>
      </c>
      <c r="GR224" s="63"/>
      <c r="GS224" s="63"/>
      <c r="GT224" s="63"/>
      <c r="GU224" s="63"/>
      <c r="GV224" s="67">
        <f>SUM(GR224:GU224)</f>
        <v>0</v>
      </c>
      <c r="GW224" s="63"/>
      <c r="GX224" s="63"/>
      <c r="GY224" s="63"/>
      <c r="GZ224" s="63"/>
      <c r="HA224" s="67">
        <f>SUM(GW224:GZ224)</f>
        <v>0</v>
      </c>
      <c r="HB224" s="63"/>
      <c r="HC224" s="63"/>
      <c r="HD224" s="63"/>
      <c r="HE224" s="63"/>
      <c r="HF224" s="67">
        <f>SUM(HB224:HE224)</f>
        <v>0</v>
      </c>
      <c r="HG224" s="63"/>
      <c r="HH224" s="63"/>
      <c r="HI224" s="63"/>
      <c r="HJ224" s="63"/>
      <c r="HK224" s="67">
        <f>SUM(HG224:HJ224)</f>
        <v>0</v>
      </c>
      <c r="HL224" s="68">
        <f t="shared" ref="HL224:HO227" si="1499">SUM(GW224,HB224,HG224)</f>
        <v>0</v>
      </c>
      <c r="HM224" s="68">
        <f t="shared" si="1499"/>
        <v>0</v>
      </c>
      <c r="HN224" s="68">
        <f t="shared" si="1499"/>
        <v>0</v>
      </c>
      <c r="HO224" s="68">
        <f t="shared" si="1499"/>
        <v>0</v>
      </c>
      <c r="HP224" s="67">
        <f>SUM(HL224:HO224)</f>
        <v>0</v>
      </c>
      <c r="HQ224" s="63"/>
      <c r="HR224" s="63"/>
      <c r="HS224" s="63"/>
      <c r="HT224" s="63"/>
      <c r="HU224" s="67">
        <f>SUM(HQ224:HT224)</f>
        <v>0</v>
      </c>
      <c r="HV224" s="63"/>
      <c r="HW224" s="63"/>
      <c r="HX224" s="63"/>
      <c r="HY224" s="63"/>
      <c r="HZ224" s="67">
        <f>SUM(HV224:HY224)</f>
        <v>0</v>
      </c>
      <c r="IA224" s="63"/>
      <c r="IB224" s="63"/>
      <c r="IC224" s="63"/>
      <c r="ID224" s="63"/>
      <c r="IE224" s="67">
        <f>SUM(IA224:ID224)</f>
        <v>0</v>
      </c>
      <c r="IF224" s="68">
        <f t="shared" ref="IF224:II227" si="1500">SUM(HQ224,HV224,IA224)</f>
        <v>0</v>
      </c>
      <c r="IG224" s="68">
        <f t="shared" si="1500"/>
        <v>0</v>
      </c>
      <c r="IH224" s="68">
        <f t="shared" si="1500"/>
        <v>0</v>
      </c>
      <c r="II224" s="68">
        <f t="shared" si="1500"/>
        <v>0</v>
      </c>
      <c r="IJ224" s="67">
        <f>SUM(IF224:II224)</f>
        <v>0</v>
      </c>
      <c r="IK224" s="63"/>
      <c r="IL224" s="63"/>
      <c r="IM224" s="63"/>
      <c r="IN224" s="63"/>
      <c r="IO224" s="67">
        <f>SUM(IK224:IN224)</f>
        <v>0</v>
      </c>
      <c r="IP224" s="63"/>
      <c r="IQ224" s="63"/>
      <c r="IR224" s="63"/>
      <c r="IS224" s="63"/>
      <c r="IT224" s="67">
        <f>SUM(IP224:IS224)</f>
        <v>0</v>
      </c>
      <c r="IU224" s="63"/>
      <c r="IV224" s="63"/>
    </row>
    <row r="225" spans="1:256" x14ac:dyDescent="0.25">
      <c r="A225" s="117" t="s">
        <v>193</v>
      </c>
      <c r="B225" s="62">
        <v>180</v>
      </c>
      <c r="C225" s="63">
        <v>0</v>
      </c>
      <c r="D225" s="63">
        <v>0</v>
      </c>
      <c r="E225" s="63">
        <v>0</v>
      </c>
      <c r="F225" s="63">
        <v>0</v>
      </c>
      <c r="G225" s="63">
        <v>0</v>
      </c>
      <c r="H225" s="63">
        <v>0</v>
      </c>
      <c r="I225" s="63">
        <v>0</v>
      </c>
      <c r="J225" s="63">
        <v>0</v>
      </c>
      <c r="K225" s="63">
        <v>0</v>
      </c>
      <c r="L225" s="64">
        <f>SUM(C225:F225,H225:K225)</f>
        <v>0</v>
      </c>
      <c r="M225" s="62"/>
      <c r="N225" s="63"/>
      <c r="O225" s="63"/>
      <c r="P225" s="63"/>
      <c r="Q225" s="63"/>
      <c r="R225" s="63"/>
      <c r="S225" s="63"/>
      <c r="T225" s="63"/>
      <c r="U225" s="63"/>
      <c r="V225" s="63"/>
      <c r="W225" s="64">
        <f>SUM(N225:Q225,S225:V225)</f>
        <v>0</v>
      </c>
      <c r="X225" s="62"/>
      <c r="Y225" s="63"/>
      <c r="Z225" s="63"/>
      <c r="AA225" s="63"/>
      <c r="AB225" s="63"/>
      <c r="AC225" s="63"/>
      <c r="AD225" s="63"/>
      <c r="AE225" s="63"/>
      <c r="AF225" s="63"/>
      <c r="AG225" s="63"/>
      <c r="AH225" s="64">
        <f>SUM(Y225:AB225,AD225:AG225)</f>
        <v>0</v>
      </c>
      <c r="AI225" s="62"/>
      <c r="AJ225" s="63"/>
      <c r="AK225" s="63"/>
      <c r="AL225" s="63"/>
      <c r="AM225" s="63"/>
      <c r="AN225" s="63"/>
      <c r="AO225" s="63"/>
      <c r="AP225" s="63"/>
      <c r="AQ225" s="63"/>
      <c r="AR225" s="63"/>
      <c r="AS225" s="64">
        <f>SUM(AJ225:AM225,AO225:AR225)</f>
        <v>0</v>
      </c>
      <c r="AT225" s="65">
        <f t="shared" si="1494"/>
        <v>0</v>
      </c>
      <c r="AU225" s="65">
        <f t="shared" si="1494"/>
        <v>0</v>
      </c>
      <c r="AV225" s="65">
        <f t="shared" si="1494"/>
        <v>0</v>
      </c>
      <c r="AW225" s="65">
        <f t="shared" si="1494"/>
        <v>0</v>
      </c>
      <c r="AX225" s="65">
        <f t="shared" si="1494"/>
        <v>0</v>
      </c>
      <c r="AY225" s="65">
        <f t="shared" si="1494"/>
        <v>0</v>
      </c>
      <c r="AZ225" s="65">
        <f t="shared" si="1494"/>
        <v>0</v>
      </c>
      <c r="BA225" s="65">
        <f t="shared" si="1494"/>
        <v>0</v>
      </c>
      <c r="BB225" s="65">
        <f t="shared" si="1494"/>
        <v>0</v>
      </c>
      <c r="BC225" s="65">
        <f t="shared" si="1494"/>
        <v>0</v>
      </c>
      <c r="BD225" s="64">
        <f>SUM(AU225:AX225,AZ225:BC225)</f>
        <v>0</v>
      </c>
      <c r="BE225" s="62"/>
      <c r="BF225" s="63"/>
      <c r="BG225" s="63"/>
      <c r="BH225" s="63"/>
      <c r="BI225" s="63"/>
      <c r="BJ225" s="63"/>
      <c r="BK225" s="63"/>
      <c r="BL225" s="63"/>
      <c r="BM225" s="63"/>
      <c r="BN225" s="63"/>
      <c r="BO225" s="64">
        <f>SUM(BF225:BI225,BK225:BN225)</f>
        <v>0</v>
      </c>
      <c r="BP225" s="62"/>
      <c r="BQ225" s="63"/>
      <c r="BR225" s="63"/>
      <c r="BS225" s="63"/>
      <c r="BT225" s="63"/>
      <c r="BU225" s="63"/>
      <c r="BV225" s="63"/>
      <c r="BW225" s="63"/>
      <c r="BX225" s="63"/>
      <c r="BY225" s="63"/>
      <c r="BZ225" s="64">
        <f>SUM(BQ225:BT225,BV225:BY225)</f>
        <v>0</v>
      </c>
      <c r="CA225" s="62"/>
      <c r="CB225" s="63"/>
      <c r="CC225" s="63"/>
      <c r="CD225" s="63"/>
      <c r="CE225" s="63"/>
      <c r="CF225" s="63"/>
      <c r="CG225" s="63"/>
      <c r="CH225" s="63"/>
      <c r="CI225" s="63"/>
      <c r="CJ225" s="63"/>
      <c r="CK225" s="64">
        <f>SUM(CB225:CE225,CG225:CJ225)</f>
        <v>0</v>
      </c>
      <c r="CL225" s="65">
        <f t="shared" si="1495"/>
        <v>0</v>
      </c>
      <c r="CM225" s="65">
        <f t="shared" si="1495"/>
        <v>0</v>
      </c>
      <c r="CN225" s="65">
        <f t="shared" si="1495"/>
        <v>0</v>
      </c>
      <c r="CO225" s="65">
        <f t="shared" si="1495"/>
        <v>0</v>
      </c>
      <c r="CP225" s="65">
        <f t="shared" si="1495"/>
        <v>0</v>
      </c>
      <c r="CQ225" s="65">
        <f t="shared" si="1495"/>
        <v>0</v>
      </c>
      <c r="CR225" s="65">
        <f t="shared" si="1495"/>
        <v>0</v>
      </c>
      <c r="CS225" s="65">
        <f t="shared" si="1495"/>
        <v>0</v>
      </c>
      <c r="CT225" s="65">
        <f t="shared" si="1495"/>
        <v>0</v>
      </c>
      <c r="CU225" s="65">
        <f t="shared" si="1495"/>
        <v>0</v>
      </c>
      <c r="CV225" s="64">
        <f>SUM(CM225:CP225,CR225:CU225)</f>
        <v>0</v>
      </c>
      <c r="CW225" s="62"/>
      <c r="CX225" s="63"/>
      <c r="CY225" s="63"/>
      <c r="CZ225" s="63"/>
      <c r="DA225" s="63"/>
      <c r="DB225" s="63"/>
      <c r="DC225" s="63"/>
      <c r="DD225" s="63"/>
      <c r="DE225" s="63"/>
      <c r="DF225" s="63"/>
      <c r="DG225" s="64">
        <f>SUM(CX225:DA225,DC225:DF225)</f>
        <v>0</v>
      </c>
      <c r="DH225" s="62"/>
      <c r="DI225" s="63"/>
      <c r="DJ225" s="63"/>
      <c r="DK225" s="63"/>
      <c r="DL225" s="63"/>
      <c r="DM225" s="63"/>
      <c r="DN225" s="63"/>
      <c r="DO225" s="63"/>
      <c r="DP225" s="63"/>
      <c r="DQ225" s="63"/>
      <c r="DR225" s="64">
        <f>SUM(DI225:DL225,DN225:DQ225)</f>
        <v>0</v>
      </c>
      <c r="DS225" s="62"/>
      <c r="DT225" s="63"/>
      <c r="DU225" s="63"/>
      <c r="DV225" s="63"/>
      <c r="DW225" s="63"/>
      <c r="DX225" s="63"/>
      <c r="DY225" s="63"/>
      <c r="DZ225" s="63"/>
      <c r="EA225" s="63"/>
      <c r="EB225" s="63"/>
      <c r="EC225" s="63"/>
      <c r="ED225" s="65">
        <f t="shared" si="1496"/>
        <v>0</v>
      </c>
      <c r="EE225" s="65">
        <f t="shared" si="1496"/>
        <v>0</v>
      </c>
      <c r="EF225" s="65">
        <f t="shared" si="1496"/>
        <v>0</v>
      </c>
      <c r="EG225" s="65">
        <f t="shared" si="1496"/>
        <v>0</v>
      </c>
      <c r="EH225" s="65">
        <f t="shared" si="1496"/>
        <v>0</v>
      </c>
      <c r="EI225" s="65">
        <f t="shared" si="1496"/>
        <v>0</v>
      </c>
      <c r="EJ225" s="65">
        <f t="shared" si="1496"/>
        <v>0</v>
      </c>
      <c r="EK225" s="65">
        <f t="shared" si="1496"/>
        <v>0</v>
      </c>
      <c r="EL225" s="65">
        <f t="shared" si="1496"/>
        <v>0</v>
      </c>
      <c r="EM225" s="65">
        <f t="shared" si="1496"/>
        <v>0</v>
      </c>
      <c r="EN225" s="64">
        <f>SUM(EE225:EH225,EJ225:EM225)</f>
        <v>0</v>
      </c>
      <c r="EO225" s="62"/>
      <c r="EP225" s="63"/>
      <c r="EQ225" s="63"/>
      <c r="ER225" s="63"/>
      <c r="ES225" s="63"/>
      <c r="ET225" s="63"/>
      <c r="EU225" s="63"/>
      <c r="EV225" s="63"/>
      <c r="EW225" s="63"/>
      <c r="EX225" s="63"/>
      <c r="EY225" s="64">
        <f>SUM(EP225:ES225,EU225:EX225)</f>
        <v>0</v>
      </c>
      <c r="EZ225" s="62"/>
      <c r="FA225" s="63"/>
      <c r="FB225" s="63"/>
      <c r="FC225" s="63"/>
      <c r="FD225" s="63"/>
      <c r="FE225" s="63"/>
      <c r="FF225" s="63"/>
      <c r="FG225" s="63"/>
      <c r="FH225" s="63"/>
      <c r="FI225" s="63"/>
      <c r="FJ225" s="64">
        <f>SUM(FA225:FD225,FF225:FI225)</f>
        <v>0</v>
      </c>
      <c r="FK225" s="62"/>
      <c r="FL225" s="63"/>
      <c r="FM225" s="63"/>
      <c r="FN225" s="63"/>
      <c r="FO225" s="63"/>
      <c r="FP225" s="63"/>
      <c r="FQ225" s="63"/>
      <c r="FR225" s="63"/>
      <c r="FS225" s="63"/>
      <c r="FT225" s="63"/>
      <c r="FU225" s="64">
        <f>SUM(FL225:FO225,FQ225:FT225)</f>
        <v>0</v>
      </c>
      <c r="FV225" s="65">
        <f t="shared" si="1497"/>
        <v>0</v>
      </c>
      <c r="FW225" s="65">
        <f t="shared" si="1497"/>
        <v>0</v>
      </c>
      <c r="FX225" s="65">
        <f t="shared" si="1497"/>
        <v>0</v>
      </c>
      <c r="FY225" s="65">
        <f t="shared" si="1497"/>
        <v>0</v>
      </c>
      <c r="FZ225" s="65">
        <f t="shared" si="1497"/>
        <v>0</v>
      </c>
      <c r="GA225" s="65">
        <f t="shared" si="1497"/>
        <v>0</v>
      </c>
      <c r="GB225" s="65">
        <f t="shared" si="1497"/>
        <v>0</v>
      </c>
      <c r="GC225" s="65">
        <f t="shared" si="1497"/>
        <v>0</v>
      </c>
      <c r="GD225" s="65">
        <f t="shared" si="1497"/>
        <v>0</v>
      </c>
      <c r="GE225" s="65">
        <f t="shared" si="1497"/>
        <v>0</v>
      </c>
      <c r="GF225" s="64">
        <f>SUM(FW225:FZ225,GB225:GE225)</f>
        <v>0</v>
      </c>
      <c r="GG225" s="66">
        <f t="shared" si="1498"/>
        <v>0</v>
      </c>
      <c r="GH225" s="66">
        <f t="shared" si="1498"/>
        <v>0</v>
      </c>
      <c r="GI225" s="66">
        <f t="shared" si="1498"/>
        <v>0</v>
      </c>
      <c r="GJ225" s="66">
        <f t="shared" si="1498"/>
        <v>0</v>
      </c>
      <c r="GK225" s="66">
        <f t="shared" si="1498"/>
        <v>0</v>
      </c>
      <c r="GL225" s="66">
        <f t="shared" si="1498"/>
        <v>0</v>
      </c>
      <c r="GM225" s="66">
        <f t="shared" si="1498"/>
        <v>0</v>
      </c>
      <c r="GN225" s="66">
        <f t="shared" si="1498"/>
        <v>0</v>
      </c>
      <c r="GO225" s="66">
        <f t="shared" si="1498"/>
        <v>0</v>
      </c>
      <c r="GP225" s="66">
        <f t="shared" si="1498"/>
        <v>0</v>
      </c>
      <c r="GQ225" s="64">
        <f>SUM(GH225:GK225,GM225:GP225)</f>
        <v>0</v>
      </c>
      <c r="GR225" s="63"/>
      <c r="GS225" s="63"/>
      <c r="GT225" s="63"/>
      <c r="GU225" s="63"/>
      <c r="GV225" s="67">
        <f>SUM(GR225:GU225)</f>
        <v>0</v>
      </c>
      <c r="GW225" s="63"/>
      <c r="GX225" s="63"/>
      <c r="GY225" s="63"/>
      <c r="GZ225" s="63"/>
      <c r="HA225" s="67">
        <f>SUM(GW225:GZ225)</f>
        <v>0</v>
      </c>
      <c r="HB225" s="63"/>
      <c r="HC225" s="63"/>
      <c r="HD225" s="63"/>
      <c r="HE225" s="63"/>
      <c r="HF225" s="67">
        <f>SUM(HB225:HE225)</f>
        <v>0</v>
      </c>
      <c r="HG225" s="63"/>
      <c r="HH225" s="63"/>
      <c r="HI225" s="63"/>
      <c r="HJ225" s="63"/>
      <c r="HK225" s="67">
        <f>SUM(HG225:HJ225)</f>
        <v>0</v>
      </c>
      <c r="HL225" s="68">
        <f t="shared" si="1499"/>
        <v>0</v>
      </c>
      <c r="HM225" s="68">
        <f t="shared" si="1499"/>
        <v>0</v>
      </c>
      <c r="HN225" s="68">
        <f t="shared" si="1499"/>
        <v>0</v>
      </c>
      <c r="HO225" s="68">
        <f t="shared" si="1499"/>
        <v>0</v>
      </c>
      <c r="HP225" s="67">
        <f>SUM(HL225:HO225)</f>
        <v>0</v>
      </c>
      <c r="HQ225" s="63"/>
      <c r="HR225" s="63"/>
      <c r="HS225" s="63"/>
      <c r="HT225" s="63"/>
      <c r="HU225" s="67">
        <f>SUM(HQ225:HT225)</f>
        <v>0</v>
      </c>
      <c r="HV225" s="63"/>
      <c r="HW225" s="63"/>
      <c r="HX225" s="63"/>
      <c r="HY225" s="63"/>
      <c r="HZ225" s="67">
        <f>SUM(HV225:HY225)</f>
        <v>0</v>
      </c>
      <c r="IA225" s="63"/>
      <c r="IB225" s="63"/>
      <c r="IC225" s="63"/>
      <c r="ID225" s="63"/>
      <c r="IE225" s="67">
        <f>SUM(IA225:ID225)</f>
        <v>0</v>
      </c>
      <c r="IF225" s="68">
        <f t="shared" si="1500"/>
        <v>0</v>
      </c>
      <c r="IG225" s="68">
        <f t="shared" si="1500"/>
        <v>0</v>
      </c>
      <c r="IH225" s="68">
        <f t="shared" si="1500"/>
        <v>0</v>
      </c>
      <c r="II225" s="68">
        <f t="shared" si="1500"/>
        <v>0</v>
      </c>
      <c r="IJ225" s="67">
        <f>SUM(IF225:II225)</f>
        <v>0</v>
      </c>
      <c r="IK225" s="63"/>
      <c r="IL225" s="63"/>
      <c r="IM225" s="63"/>
      <c r="IN225" s="63"/>
      <c r="IO225" s="67">
        <f>SUM(IK225:IN225)</f>
        <v>0</v>
      </c>
      <c r="IP225" s="63"/>
      <c r="IQ225" s="63"/>
      <c r="IR225" s="63"/>
      <c r="IS225" s="63"/>
      <c r="IT225" s="67">
        <f>SUM(IP225:IS225)</f>
        <v>0</v>
      </c>
      <c r="IU225" s="63"/>
      <c r="IV225" s="63"/>
    </row>
    <row r="226" spans="1:256" x14ac:dyDescent="0.25">
      <c r="A226" s="117" t="s">
        <v>194</v>
      </c>
      <c r="B226" s="62">
        <v>1620</v>
      </c>
      <c r="C226" s="63">
        <v>1620</v>
      </c>
      <c r="D226" s="63">
        <v>0</v>
      </c>
      <c r="E226" s="63">
        <v>0</v>
      </c>
      <c r="F226" s="63">
        <v>0</v>
      </c>
      <c r="G226" s="63">
        <v>0</v>
      </c>
      <c r="H226" s="63">
        <v>0</v>
      </c>
      <c r="I226" s="63">
        <v>0</v>
      </c>
      <c r="J226" s="63">
        <v>0</v>
      </c>
      <c r="K226" s="63">
        <v>0</v>
      </c>
      <c r="L226" s="64">
        <f>SUM(C226:F226,H226:K226)</f>
        <v>1620</v>
      </c>
      <c r="M226" s="62"/>
      <c r="N226" s="63"/>
      <c r="O226" s="63"/>
      <c r="P226" s="63"/>
      <c r="Q226" s="63"/>
      <c r="R226" s="63"/>
      <c r="S226" s="63"/>
      <c r="T226" s="63"/>
      <c r="U226" s="63"/>
      <c r="V226" s="63"/>
      <c r="W226" s="64">
        <f>SUM(N226:Q226,S226:V226)</f>
        <v>0</v>
      </c>
      <c r="X226" s="62"/>
      <c r="Y226" s="63"/>
      <c r="Z226" s="63"/>
      <c r="AA226" s="63"/>
      <c r="AB226" s="63"/>
      <c r="AC226" s="63"/>
      <c r="AD226" s="63"/>
      <c r="AE226" s="63"/>
      <c r="AF226" s="63"/>
      <c r="AG226" s="63"/>
      <c r="AH226" s="64">
        <f>SUM(Y226:AB226,AD226:AG226)</f>
        <v>0</v>
      </c>
      <c r="AI226" s="62"/>
      <c r="AJ226" s="63"/>
      <c r="AK226" s="63"/>
      <c r="AL226" s="63"/>
      <c r="AM226" s="63"/>
      <c r="AN226" s="63"/>
      <c r="AO226" s="63"/>
      <c r="AP226" s="63"/>
      <c r="AQ226" s="63"/>
      <c r="AR226" s="63"/>
      <c r="AS226" s="64">
        <f>SUM(AJ226:AM226,AO226:AR226)</f>
        <v>0</v>
      </c>
      <c r="AT226" s="65">
        <f t="shared" si="1494"/>
        <v>0</v>
      </c>
      <c r="AU226" s="65">
        <f t="shared" si="1494"/>
        <v>0</v>
      </c>
      <c r="AV226" s="65">
        <f t="shared" si="1494"/>
        <v>0</v>
      </c>
      <c r="AW226" s="65">
        <f t="shared" si="1494"/>
        <v>0</v>
      </c>
      <c r="AX226" s="65">
        <f t="shared" si="1494"/>
        <v>0</v>
      </c>
      <c r="AY226" s="65">
        <f t="shared" si="1494"/>
        <v>0</v>
      </c>
      <c r="AZ226" s="65">
        <f t="shared" si="1494"/>
        <v>0</v>
      </c>
      <c r="BA226" s="65">
        <f t="shared" si="1494"/>
        <v>0</v>
      </c>
      <c r="BB226" s="65">
        <f t="shared" si="1494"/>
        <v>0</v>
      </c>
      <c r="BC226" s="65">
        <f t="shared" si="1494"/>
        <v>0</v>
      </c>
      <c r="BD226" s="64">
        <f>SUM(AU226:AX226,AZ226:BC226)</f>
        <v>0</v>
      </c>
      <c r="BE226" s="62"/>
      <c r="BF226" s="63"/>
      <c r="BG226" s="63"/>
      <c r="BH226" s="63"/>
      <c r="BI226" s="63"/>
      <c r="BJ226" s="63"/>
      <c r="BK226" s="63"/>
      <c r="BL226" s="63"/>
      <c r="BM226" s="63"/>
      <c r="BN226" s="63"/>
      <c r="BO226" s="64">
        <f>SUM(BF226:BI226,BK226:BN226)</f>
        <v>0</v>
      </c>
      <c r="BP226" s="62"/>
      <c r="BQ226" s="63"/>
      <c r="BR226" s="63"/>
      <c r="BS226" s="63"/>
      <c r="BT226" s="63"/>
      <c r="BU226" s="63"/>
      <c r="BV226" s="63"/>
      <c r="BW226" s="63"/>
      <c r="BX226" s="63"/>
      <c r="BY226" s="63"/>
      <c r="BZ226" s="64">
        <f>SUM(BQ226:BT226,BV226:BY226)</f>
        <v>0</v>
      </c>
      <c r="CA226" s="62"/>
      <c r="CB226" s="63"/>
      <c r="CC226" s="63"/>
      <c r="CD226" s="63"/>
      <c r="CE226" s="63"/>
      <c r="CF226" s="63"/>
      <c r="CG226" s="63"/>
      <c r="CH226" s="63"/>
      <c r="CI226" s="63"/>
      <c r="CJ226" s="63"/>
      <c r="CK226" s="64">
        <f>SUM(CB226:CE226,CG226:CJ226)</f>
        <v>0</v>
      </c>
      <c r="CL226" s="65">
        <f t="shared" si="1495"/>
        <v>0</v>
      </c>
      <c r="CM226" s="65">
        <f t="shared" si="1495"/>
        <v>0</v>
      </c>
      <c r="CN226" s="65">
        <f t="shared" si="1495"/>
        <v>0</v>
      </c>
      <c r="CO226" s="65">
        <f t="shared" si="1495"/>
        <v>0</v>
      </c>
      <c r="CP226" s="65">
        <f t="shared" si="1495"/>
        <v>0</v>
      </c>
      <c r="CQ226" s="65">
        <f t="shared" si="1495"/>
        <v>0</v>
      </c>
      <c r="CR226" s="65">
        <f t="shared" si="1495"/>
        <v>0</v>
      </c>
      <c r="CS226" s="65">
        <f t="shared" si="1495"/>
        <v>0</v>
      </c>
      <c r="CT226" s="65">
        <f t="shared" si="1495"/>
        <v>0</v>
      </c>
      <c r="CU226" s="65">
        <f t="shared" si="1495"/>
        <v>0</v>
      </c>
      <c r="CV226" s="64">
        <f>SUM(CM226:CP226,CR226:CU226)</f>
        <v>0</v>
      </c>
      <c r="CW226" s="62"/>
      <c r="CX226" s="63"/>
      <c r="CY226" s="63"/>
      <c r="CZ226" s="63"/>
      <c r="DA226" s="63"/>
      <c r="DB226" s="63"/>
      <c r="DC226" s="63"/>
      <c r="DD226" s="63"/>
      <c r="DE226" s="63"/>
      <c r="DF226" s="63"/>
      <c r="DG226" s="64">
        <f>SUM(CX226:DA226,DC226:DF226)</f>
        <v>0</v>
      </c>
      <c r="DH226" s="62"/>
      <c r="DI226" s="63"/>
      <c r="DJ226" s="63"/>
      <c r="DK226" s="63"/>
      <c r="DL226" s="63"/>
      <c r="DM226" s="63"/>
      <c r="DN226" s="63"/>
      <c r="DO226" s="63"/>
      <c r="DP226" s="63"/>
      <c r="DQ226" s="63"/>
      <c r="DR226" s="64">
        <f>SUM(DI226:DL226,DN226:DQ226)</f>
        <v>0</v>
      </c>
      <c r="DS226" s="62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  <c r="ED226" s="65">
        <f t="shared" si="1496"/>
        <v>0</v>
      </c>
      <c r="EE226" s="65">
        <f t="shared" si="1496"/>
        <v>0</v>
      </c>
      <c r="EF226" s="65">
        <f t="shared" si="1496"/>
        <v>0</v>
      </c>
      <c r="EG226" s="65">
        <f t="shared" si="1496"/>
        <v>0</v>
      </c>
      <c r="EH226" s="65">
        <f t="shared" si="1496"/>
        <v>0</v>
      </c>
      <c r="EI226" s="65">
        <f t="shared" si="1496"/>
        <v>0</v>
      </c>
      <c r="EJ226" s="65">
        <f t="shared" si="1496"/>
        <v>0</v>
      </c>
      <c r="EK226" s="65">
        <f t="shared" si="1496"/>
        <v>0</v>
      </c>
      <c r="EL226" s="65">
        <f t="shared" si="1496"/>
        <v>0</v>
      </c>
      <c r="EM226" s="65">
        <f t="shared" si="1496"/>
        <v>0</v>
      </c>
      <c r="EN226" s="64">
        <f>SUM(EE226:EH226,EJ226:EM226)</f>
        <v>0</v>
      </c>
      <c r="EO226" s="62"/>
      <c r="EP226" s="63"/>
      <c r="EQ226" s="63"/>
      <c r="ER226" s="63"/>
      <c r="ES226" s="63"/>
      <c r="ET226" s="63"/>
      <c r="EU226" s="63"/>
      <c r="EV226" s="63"/>
      <c r="EW226" s="63"/>
      <c r="EX226" s="63"/>
      <c r="EY226" s="64">
        <f>SUM(EP226:ES226,EU226:EX226)</f>
        <v>0</v>
      </c>
      <c r="EZ226" s="62"/>
      <c r="FA226" s="63"/>
      <c r="FB226" s="63"/>
      <c r="FC226" s="63"/>
      <c r="FD226" s="63"/>
      <c r="FE226" s="63"/>
      <c r="FF226" s="63"/>
      <c r="FG226" s="63"/>
      <c r="FH226" s="63"/>
      <c r="FI226" s="63"/>
      <c r="FJ226" s="64">
        <f>SUM(FA226:FD226,FF226:FI226)</f>
        <v>0</v>
      </c>
      <c r="FK226" s="62"/>
      <c r="FL226" s="63"/>
      <c r="FM226" s="63"/>
      <c r="FN226" s="63"/>
      <c r="FO226" s="63"/>
      <c r="FP226" s="63"/>
      <c r="FQ226" s="63"/>
      <c r="FR226" s="63"/>
      <c r="FS226" s="63"/>
      <c r="FT226" s="63"/>
      <c r="FU226" s="64">
        <f>SUM(FL226:FO226,FQ226:FT226)</f>
        <v>0</v>
      </c>
      <c r="FV226" s="65">
        <f t="shared" si="1497"/>
        <v>0</v>
      </c>
      <c r="FW226" s="65">
        <f t="shared" si="1497"/>
        <v>0</v>
      </c>
      <c r="FX226" s="65">
        <f t="shared" si="1497"/>
        <v>0</v>
      </c>
      <c r="FY226" s="65">
        <f t="shared" si="1497"/>
        <v>0</v>
      </c>
      <c r="FZ226" s="65">
        <f t="shared" si="1497"/>
        <v>0</v>
      </c>
      <c r="GA226" s="65">
        <f t="shared" si="1497"/>
        <v>0</v>
      </c>
      <c r="GB226" s="65">
        <f t="shared" si="1497"/>
        <v>0</v>
      </c>
      <c r="GC226" s="65">
        <f t="shared" si="1497"/>
        <v>0</v>
      </c>
      <c r="GD226" s="65">
        <f t="shared" si="1497"/>
        <v>0</v>
      </c>
      <c r="GE226" s="65">
        <f t="shared" si="1497"/>
        <v>0</v>
      </c>
      <c r="GF226" s="64">
        <f>SUM(FW226:FZ226,GB226:GE226)</f>
        <v>0</v>
      </c>
      <c r="GG226" s="66">
        <f t="shared" si="1498"/>
        <v>0</v>
      </c>
      <c r="GH226" s="66">
        <f t="shared" si="1498"/>
        <v>0</v>
      </c>
      <c r="GI226" s="66">
        <f t="shared" si="1498"/>
        <v>0</v>
      </c>
      <c r="GJ226" s="66">
        <f t="shared" si="1498"/>
        <v>0</v>
      </c>
      <c r="GK226" s="66">
        <f t="shared" si="1498"/>
        <v>0</v>
      </c>
      <c r="GL226" s="66">
        <f t="shared" si="1498"/>
        <v>0</v>
      </c>
      <c r="GM226" s="66">
        <f t="shared" si="1498"/>
        <v>0</v>
      </c>
      <c r="GN226" s="66">
        <f t="shared" si="1498"/>
        <v>0</v>
      </c>
      <c r="GO226" s="66">
        <f t="shared" si="1498"/>
        <v>0</v>
      </c>
      <c r="GP226" s="66">
        <f t="shared" si="1498"/>
        <v>0</v>
      </c>
      <c r="GQ226" s="64">
        <f>SUM(GH226:GK226,GM226:GP226)</f>
        <v>0</v>
      </c>
      <c r="GR226" s="63"/>
      <c r="GS226" s="63"/>
      <c r="GT226" s="63"/>
      <c r="GU226" s="63"/>
      <c r="GV226" s="67">
        <f>SUM(GR226:GU226)</f>
        <v>0</v>
      </c>
      <c r="GW226" s="63"/>
      <c r="GX226" s="63"/>
      <c r="GY226" s="63"/>
      <c r="GZ226" s="63"/>
      <c r="HA226" s="67">
        <f>SUM(GW226:GZ226)</f>
        <v>0</v>
      </c>
      <c r="HB226" s="63"/>
      <c r="HC226" s="63"/>
      <c r="HD226" s="63"/>
      <c r="HE226" s="63"/>
      <c r="HF226" s="67">
        <f>SUM(HB226:HE226)</f>
        <v>0</v>
      </c>
      <c r="HG226" s="63"/>
      <c r="HH226" s="63"/>
      <c r="HI226" s="63"/>
      <c r="HJ226" s="63"/>
      <c r="HK226" s="67">
        <f>SUM(HG226:HJ226)</f>
        <v>0</v>
      </c>
      <c r="HL226" s="68">
        <f t="shared" si="1499"/>
        <v>0</v>
      </c>
      <c r="HM226" s="68">
        <f t="shared" si="1499"/>
        <v>0</v>
      </c>
      <c r="HN226" s="68">
        <f t="shared" si="1499"/>
        <v>0</v>
      </c>
      <c r="HO226" s="68">
        <f t="shared" si="1499"/>
        <v>0</v>
      </c>
      <c r="HP226" s="67">
        <f>SUM(HL226:HO226)</f>
        <v>0</v>
      </c>
      <c r="HQ226" s="63"/>
      <c r="HR226" s="63"/>
      <c r="HS226" s="63"/>
      <c r="HT226" s="63"/>
      <c r="HU226" s="67">
        <f>SUM(HQ226:HT226)</f>
        <v>0</v>
      </c>
      <c r="HV226" s="63"/>
      <c r="HW226" s="63"/>
      <c r="HX226" s="63"/>
      <c r="HY226" s="63"/>
      <c r="HZ226" s="67">
        <f>SUM(HV226:HY226)</f>
        <v>0</v>
      </c>
      <c r="IA226" s="63"/>
      <c r="IB226" s="63"/>
      <c r="IC226" s="63"/>
      <c r="ID226" s="63"/>
      <c r="IE226" s="67">
        <f>SUM(IA226:ID226)</f>
        <v>0</v>
      </c>
      <c r="IF226" s="68">
        <f t="shared" si="1500"/>
        <v>0</v>
      </c>
      <c r="IG226" s="68">
        <f t="shared" si="1500"/>
        <v>0</v>
      </c>
      <c r="IH226" s="68">
        <f t="shared" si="1500"/>
        <v>0</v>
      </c>
      <c r="II226" s="68">
        <f t="shared" si="1500"/>
        <v>0</v>
      </c>
      <c r="IJ226" s="67">
        <f>SUM(IF226:II226)</f>
        <v>0</v>
      </c>
      <c r="IK226" s="63"/>
      <c r="IL226" s="63"/>
      <c r="IM226" s="63"/>
      <c r="IN226" s="63"/>
      <c r="IO226" s="67">
        <f>SUM(IK226:IN226)</f>
        <v>0</v>
      </c>
      <c r="IP226" s="63"/>
      <c r="IQ226" s="63"/>
      <c r="IR226" s="63"/>
      <c r="IS226" s="63"/>
      <c r="IT226" s="67">
        <f>SUM(IP226:IS226)</f>
        <v>0</v>
      </c>
      <c r="IU226" s="63"/>
      <c r="IV226" s="63"/>
    </row>
    <row r="227" spans="1:256" x14ac:dyDescent="0.25">
      <c r="A227" s="117" t="s">
        <v>195</v>
      </c>
      <c r="B227" s="62">
        <v>27504</v>
      </c>
      <c r="C227" s="63">
        <v>0</v>
      </c>
      <c r="D227" s="63">
        <v>0</v>
      </c>
      <c r="E227" s="63">
        <v>0</v>
      </c>
      <c r="F227" s="63">
        <v>0</v>
      </c>
      <c r="G227" s="63">
        <v>0</v>
      </c>
      <c r="H227" s="63">
        <v>0</v>
      </c>
      <c r="I227" s="63">
        <v>0</v>
      </c>
      <c r="J227" s="63">
        <v>0</v>
      </c>
      <c r="K227" s="63">
        <v>0</v>
      </c>
      <c r="L227" s="64">
        <f>SUM(C227:F227,H227:K227)</f>
        <v>0</v>
      </c>
      <c r="M227" s="62"/>
      <c r="N227" s="63"/>
      <c r="O227" s="63"/>
      <c r="P227" s="63"/>
      <c r="Q227" s="63"/>
      <c r="R227" s="63"/>
      <c r="S227" s="63"/>
      <c r="T227" s="63"/>
      <c r="U227" s="63"/>
      <c r="V227" s="63"/>
      <c r="W227" s="64">
        <f>SUM(N227:Q227,S227:V227)</f>
        <v>0</v>
      </c>
      <c r="X227" s="62"/>
      <c r="Y227" s="63"/>
      <c r="Z227" s="63"/>
      <c r="AA227" s="63"/>
      <c r="AB227" s="63"/>
      <c r="AC227" s="63"/>
      <c r="AD227" s="63"/>
      <c r="AE227" s="63"/>
      <c r="AF227" s="63"/>
      <c r="AG227" s="63"/>
      <c r="AH227" s="64">
        <f>SUM(Y227:AB227,AD227:AG227)</f>
        <v>0</v>
      </c>
      <c r="AI227" s="62"/>
      <c r="AJ227" s="63"/>
      <c r="AK227" s="63"/>
      <c r="AL227" s="63"/>
      <c r="AM227" s="63"/>
      <c r="AN227" s="63"/>
      <c r="AO227" s="63"/>
      <c r="AP227" s="63"/>
      <c r="AQ227" s="63"/>
      <c r="AR227" s="63"/>
      <c r="AS227" s="64">
        <f>SUM(AJ227:AM227,AO227:AR227)</f>
        <v>0</v>
      </c>
      <c r="AT227" s="65">
        <f t="shared" si="1494"/>
        <v>0</v>
      </c>
      <c r="AU227" s="65">
        <f t="shared" si="1494"/>
        <v>0</v>
      </c>
      <c r="AV227" s="65">
        <f t="shared" si="1494"/>
        <v>0</v>
      </c>
      <c r="AW227" s="65">
        <f t="shared" si="1494"/>
        <v>0</v>
      </c>
      <c r="AX227" s="65">
        <f t="shared" si="1494"/>
        <v>0</v>
      </c>
      <c r="AY227" s="65">
        <f t="shared" si="1494"/>
        <v>0</v>
      </c>
      <c r="AZ227" s="65">
        <f t="shared" si="1494"/>
        <v>0</v>
      </c>
      <c r="BA227" s="65">
        <f t="shared" si="1494"/>
        <v>0</v>
      </c>
      <c r="BB227" s="65">
        <f t="shared" si="1494"/>
        <v>0</v>
      </c>
      <c r="BC227" s="65">
        <f t="shared" si="1494"/>
        <v>0</v>
      </c>
      <c r="BD227" s="64">
        <f>SUM(AU227:AX227,AZ227:BC227)</f>
        <v>0</v>
      </c>
      <c r="BE227" s="62"/>
      <c r="BF227" s="63"/>
      <c r="BG227" s="63"/>
      <c r="BH227" s="63"/>
      <c r="BI227" s="63"/>
      <c r="BJ227" s="63"/>
      <c r="BK227" s="63"/>
      <c r="BL227" s="63"/>
      <c r="BM227" s="63"/>
      <c r="BN227" s="63"/>
      <c r="BO227" s="64">
        <f>SUM(BF227:BI227,BK227:BN227)</f>
        <v>0</v>
      </c>
      <c r="BP227" s="62"/>
      <c r="BQ227" s="63"/>
      <c r="BR227" s="63"/>
      <c r="BS227" s="63"/>
      <c r="BT227" s="63"/>
      <c r="BU227" s="63"/>
      <c r="BV227" s="63"/>
      <c r="BW227" s="63"/>
      <c r="BX227" s="63"/>
      <c r="BY227" s="63"/>
      <c r="BZ227" s="64">
        <f>SUM(BQ227:BT227,BV227:BY227)</f>
        <v>0</v>
      </c>
      <c r="CA227" s="62"/>
      <c r="CB227" s="63"/>
      <c r="CC227" s="63"/>
      <c r="CD227" s="63"/>
      <c r="CE227" s="63"/>
      <c r="CF227" s="63"/>
      <c r="CG227" s="63"/>
      <c r="CH227" s="63"/>
      <c r="CI227" s="63"/>
      <c r="CJ227" s="63"/>
      <c r="CK227" s="64">
        <f>SUM(CB227:CE227,CG227:CJ227)</f>
        <v>0</v>
      </c>
      <c r="CL227" s="65">
        <f t="shared" si="1495"/>
        <v>0</v>
      </c>
      <c r="CM227" s="65">
        <f t="shared" si="1495"/>
        <v>0</v>
      </c>
      <c r="CN227" s="65">
        <f t="shared" si="1495"/>
        <v>0</v>
      </c>
      <c r="CO227" s="65">
        <f t="shared" si="1495"/>
        <v>0</v>
      </c>
      <c r="CP227" s="65">
        <f t="shared" si="1495"/>
        <v>0</v>
      </c>
      <c r="CQ227" s="65">
        <f t="shared" si="1495"/>
        <v>0</v>
      </c>
      <c r="CR227" s="65">
        <f t="shared" si="1495"/>
        <v>0</v>
      </c>
      <c r="CS227" s="65">
        <f t="shared" si="1495"/>
        <v>0</v>
      </c>
      <c r="CT227" s="65">
        <f t="shared" si="1495"/>
        <v>0</v>
      </c>
      <c r="CU227" s="65">
        <f t="shared" si="1495"/>
        <v>0</v>
      </c>
      <c r="CV227" s="64">
        <f>SUM(CM227:CP227,CR227:CU227)</f>
        <v>0</v>
      </c>
      <c r="CW227" s="62"/>
      <c r="CX227" s="63"/>
      <c r="CY227" s="63"/>
      <c r="CZ227" s="63"/>
      <c r="DA227" s="63"/>
      <c r="DB227" s="63"/>
      <c r="DC227" s="63"/>
      <c r="DD227" s="63"/>
      <c r="DE227" s="63"/>
      <c r="DF227" s="63"/>
      <c r="DG227" s="64">
        <f>SUM(CX227:DA227,DC227:DF227)</f>
        <v>0</v>
      </c>
      <c r="DH227" s="62"/>
      <c r="DI227" s="63"/>
      <c r="DJ227" s="63"/>
      <c r="DK227" s="63"/>
      <c r="DL227" s="63"/>
      <c r="DM227" s="63"/>
      <c r="DN227" s="63"/>
      <c r="DO227" s="63"/>
      <c r="DP227" s="63"/>
      <c r="DQ227" s="63"/>
      <c r="DR227" s="64">
        <f>SUM(DI227:DL227,DN227:DQ227)</f>
        <v>0</v>
      </c>
      <c r="DS227" s="62"/>
      <c r="DT227" s="63"/>
      <c r="DU227" s="63"/>
      <c r="DV227" s="63"/>
      <c r="DW227" s="63"/>
      <c r="DX227" s="63"/>
      <c r="DY227" s="63"/>
      <c r="DZ227" s="63"/>
      <c r="EA227" s="63"/>
      <c r="EB227" s="63"/>
      <c r="EC227" s="63"/>
      <c r="ED227" s="65">
        <f t="shared" si="1496"/>
        <v>0</v>
      </c>
      <c r="EE227" s="65">
        <f t="shared" si="1496"/>
        <v>0</v>
      </c>
      <c r="EF227" s="65">
        <f t="shared" si="1496"/>
        <v>0</v>
      </c>
      <c r="EG227" s="65">
        <f t="shared" si="1496"/>
        <v>0</v>
      </c>
      <c r="EH227" s="65">
        <f t="shared" si="1496"/>
        <v>0</v>
      </c>
      <c r="EI227" s="65">
        <f t="shared" si="1496"/>
        <v>0</v>
      </c>
      <c r="EJ227" s="65">
        <f t="shared" si="1496"/>
        <v>0</v>
      </c>
      <c r="EK227" s="65">
        <f t="shared" si="1496"/>
        <v>0</v>
      </c>
      <c r="EL227" s="65">
        <f t="shared" si="1496"/>
        <v>0</v>
      </c>
      <c r="EM227" s="65">
        <f t="shared" si="1496"/>
        <v>0</v>
      </c>
      <c r="EN227" s="64">
        <f>SUM(EE227:EH227,EJ227:EM227)</f>
        <v>0</v>
      </c>
      <c r="EO227" s="62"/>
      <c r="EP227" s="63"/>
      <c r="EQ227" s="63"/>
      <c r="ER227" s="63"/>
      <c r="ES227" s="63"/>
      <c r="ET227" s="63"/>
      <c r="EU227" s="63"/>
      <c r="EV227" s="63"/>
      <c r="EW227" s="63"/>
      <c r="EX227" s="63"/>
      <c r="EY227" s="64">
        <f>SUM(EP227:ES227,EU227:EX227)</f>
        <v>0</v>
      </c>
      <c r="EZ227" s="62"/>
      <c r="FA227" s="63"/>
      <c r="FB227" s="63"/>
      <c r="FC227" s="63"/>
      <c r="FD227" s="63"/>
      <c r="FE227" s="63"/>
      <c r="FF227" s="63"/>
      <c r="FG227" s="63"/>
      <c r="FH227" s="63"/>
      <c r="FI227" s="63"/>
      <c r="FJ227" s="64">
        <f>SUM(FA227:FD227,FF227:FI227)</f>
        <v>0</v>
      </c>
      <c r="FK227" s="62"/>
      <c r="FL227" s="63"/>
      <c r="FM227" s="63"/>
      <c r="FN227" s="63"/>
      <c r="FO227" s="63"/>
      <c r="FP227" s="63"/>
      <c r="FQ227" s="63"/>
      <c r="FR227" s="63"/>
      <c r="FS227" s="63"/>
      <c r="FT227" s="63"/>
      <c r="FU227" s="64">
        <f>SUM(FL227:FO227,FQ227:FT227)</f>
        <v>0</v>
      </c>
      <c r="FV227" s="65">
        <f t="shared" si="1497"/>
        <v>0</v>
      </c>
      <c r="FW227" s="65">
        <f t="shared" si="1497"/>
        <v>0</v>
      </c>
      <c r="FX227" s="65">
        <f t="shared" si="1497"/>
        <v>0</v>
      </c>
      <c r="FY227" s="65">
        <f t="shared" si="1497"/>
        <v>0</v>
      </c>
      <c r="FZ227" s="65">
        <f t="shared" si="1497"/>
        <v>0</v>
      </c>
      <c r="GA227" s="65">
        <f t="shared" si="1497"/>
        <v>0</v>
      </c>
      <c r="GB227" s="65">
        <f t="shared" si="1497"/>
        <v>0</v>
      </c>
      <c r="GC227" s="65">
        <f t="shared" si="1497"/>
        <v>0</v>
      </c>
      <c r="GD227" s="65">
        <f t="shared" si="1497"/>
        <v>0</v>
      </c>
      <c r="GE227" s="65">
        <f t="shared" si="1497"/>
        <v>0</v>
      </c>
      <c r="GF227" s="64">
        <f>SUM(FW227:FZ227,GB227:GE227)</f>
        <v>0</v>
      </c>
      <c r="GG227" s="66">
        <f t="shared" si="1498"/>
        <v>0</v>
      </c>
      <c r="GH227" s="66">
        <f t="shared" si="1498"/>
        <v>0</v>
      </c>
      <c r="GI227" s="66">
        <f t="shared" si="1498"/>
        <v>0</v>
      </c>
      <c r="GJ227" s="66">
        <f t="shared" si="1498"/>
        <v>0</v>
      </c>
      <c r="GK227" s="66">
        <f t="shared" si="1498"/>
        <v>0</v>
      </c>
      <c r="GL227" s="66">
        <f t="shared" si="1498"/>
        <v>0</v>
      </c>
      <c r="GM227" s="66">
        <f t="shared" si="1498"/>
        <v>0</v>
      </c>
      <c r="GN227" s="66">
        <f t="shared" si="1498"/>
        <v>0</v>
      </c>
      <c r="GO227" s="66">
        <f t="shared" si="1498"/>
        <v>0</v>
      </c>
      <c r="GP227" s="66">
        <f t="shared" si="1498"/>
        <v>0</v>
      </c>
      <c r="GQ227" s="64">
        <f>SUM(GH227:GK227,GM227:GP227)</f>
        <v>0</v>
      </c>
      <c r="GR227" s="63"/>
      <c r="GS227" s="63"/>
      <c r="GT227" s="63"/>
      <c r="GU227" s="63"/>
      <c r="GV227" s="67">
        <f>SUM(GR227:GU227)</f>
        <v>0</v>
      </c>
      <c r="GW227" s="63"/>
      <c r="GX227" s="63"/>
      <c r="GY227" s="63"/>
      <c r="GZ227" s="63"/>
      <c r="HA227" s="67">
        <f>SUM(GW227:GZ227)</f>
        <v>0</v>
      </c>
      <c r="HB227" s="63"/>
      <c r="HC227" s="63"/>
      <c r="HD227" s="63"/>
      <c r="HE227" s="63"/>
      <c r="HF227" s="67">
        <f>SUM(HB227:HE227)</f>
        <v>0</v>
      </c>
      <c r="HG227" s="63"/>
      <c r="HH227" s="63"/>
      <c r="HI227" s="63"/>
      <c r="HJ227" s="63"/>
      <c r="HK227" s="67">
        <f>SUM(HG227:HJ227)</f>
        <v>0</v>
      </c>
      <c r="HL227" s="68">
        <f t="shared" si="1499"/>
        <v>0</v>
      </c>
      <c r="HM227" s="68">
        <f t="shared" si="1499"/>
        <v>0</v>
      </c>
      <c r="HN227" s="68">
        <f t="shared" si="1499"/>
        <v>0</v>
      </c>
      <c r="HO227" s="68">
        <f t="shared" si="1499"/>
        <v>0</v>
      </c>
      <c r="HP227" s="67">
        <f>SUM(HL227:HO227)</f>
        <v>0</v>
      </c>
      <c r="HQ227" s="63"/>
      <c r="HR227" s="63"/>
      <c r="HS227" s="63"/>
      <c r="HT227" s="63"/>
      <c r="HU227" s="67">
        <f>SUM(HQ227:HT227)</f>
        <v>0</v>
      </c>
      <c r="HV227" s="63"/>
      <c r="HW227" s="63"/>
      <c r="HX227" s="63"/>
      <c r="HY227" s="63"/>
      <c r="HZ227" s="67">
        <f>SUM(HV227:HY227)</f>
        <v>0</v>
      </c>
      <c r="IA227" s="63"/>
      <c r="IB227" s="63"/>
      <c r="IC227" s="63"/>
      <c r="ID227" s="63"/>
      <c r="IE227" s="67">
        <f>SUM(IA227:ID227)</f>
        <v>0</v>
      </c>
      <c r="IF227" s="68">
        <f t="shared" si="1500"/>
        <v>0</v>
      </c>
      <c r="IG227" s="68">
        <f t="shared" si="1500"/>
        <v>0</v>
      </c>
      <c r="IH227" s="68">
        <f t="shared" si="1500"/>
        <v>0</v>
      </c>
      <c r="II227" s="68">
        <f t="shared" si="1500"/>
        <v>0</v>
      </c>
      <c r="IJ227" s="67">
        <f>SUM(IF227:II227)</f>
        <v>0</v>
      </c>
      <c r="IK227" s="63"/>
      <c r="IL227" s="63"/>
      <c r="IM227" s="63"/>
      <c r="IN227" s="63"/>
      <c r="IO227" s="67">
        <f>SUM(IK227:IN227)</f>
        <v>0</v>
      </c>
      <c r="IP227" s="63"/>
      <c r="IQ227" s="63"/>
      <c r="IR227" s="63"/>
      <c r="IS227" s="63"/>
      <c r="IT227" s="67">
        <f>SUM(IP227:IS227)</f>
        <v>0</v>
      </c>
      <c r="IU227" s="63"/>
      <c r="IV227" s="63"/>
    </row>
    <row r="228" spans="1:256" s="57" customFormat="1" ht="25.5" x14ac:dyDescent="0.25">
      <c r="A228" s="77" t="s">
        <v>197</v>
      </c>
      <c r="B228" s="94"/>
      <c r="C228" s="59">
        <f t="shared" ref="C228:K228" si="1501">SUM(C229:C237)</f>
        <v>0</v>
      </c>
      <c r="D228" s="59">
        <f t="shared" si="1501"/>
        <v>0</v>
      </c>
      <c r="E228" s="59">
        <f t="shared" si="1501"/>
        <v>0</v>
      </c>
      <c r="F228" s="59">
        <f t="shared" si="1501"/>
        <v>0</v>
      </c>
      <c r="G228" s="59">
        <f t="shared" si="1501"/>
        <v>26</v>
      </c>
      <c r="H228" s="59">
        <f t="shared" si="1501"/>
        <v>0</v>
      </c>
      <c r="I228" s="59">
        <f t="shared" si="1501"/>
        <v>0</v>
      </c>
      <c r="J228" s="59">
        <f t="shared" si="1501"/>
        <v>0</v>
      </c>
      <c r="K228" s="59">
        <f t="shared" si="1501"/>
        <v>0</v>
      </c>
      <c r="L228" s="73">
        <f>SUM(L230:L237)</f>
        <v>0</v>
      </c>
      <c r="M228" s="94"/>
      <c r="N228" s="59">
        <f t="shared" ref="N228:V228" si="1502">SUM(N229:N237)</f>
        <v>0</v>
      </c>
      <c r="O228" s="59">
        <f t="shared" si="1502"/>
        <v>0</v>
      </c>
      <c r="P228" s="59">
        <f t="shared" si="1502"/>
        <v>0</v>
      </c>
      <c r="Q228" s="59">
        <f t="shared" si="1502"/>
        <v>0</v>
      </c>
      <c r="R228" s="59">
        <f t="shared" si="1502"/>
        <v>0</v>
      </c>
      <c r="S228" s="59">
        <f t="shared" si="1502"/>
        <v>0</v>
      </c>
      <c r="T228" s="59">
        <f t="shared" si="1502"/>
        <v>0</v>
      </c>
      <c r="U228" s="59">
        <f t="shared" si="1502"/>
        <v>0</v>
      </c>
      <c r="V228" s="59">
        <f t="shared" si="1502"/>
        <v>0</v>
      </c>
      <c r="W228" s="73">
        <f>SUM(W230:W237)</f>
        <v>0</v>
      </c>
      <c r="X228" s="94"/>
      <c r="Y228" s="59">
        <f t="shared" ref="Y228:AG228" si="1503">SUM(Y229:Y237)</f>
        <v>0</v>
      </c>
      <c r="Z228" s="59">
        <f t="shared" si="1503"/>
        <v>0</v>
      </c>
      <c r="AA228" s="59">
        <f t="shared" si="1503"/>
        <v>0</v>
      </c>
      <c r="AB228" s="59">
        <f t="shared" si="1503"/>
        <v>0</v>
      </c>
      <c r="AC228" s="59">
        <f t="shared" si="1503"/>
        <v>0</v>
      </c>
      <c r="AD228" s="59">
        <f t="shared" si="1503"/>
        <v>0</v>
      </c>
      <c r="AE228" s="59">
        <f t="shared" si="1503"/>
        <v>0</v>
      </c>
      <c r="AF228" s="59">
        <f t="shared" si="1503"/>
        <v>0</v>
      </c>
      <c r="AG228" s="59">
        <f t="shared" si="1503"/>
        <v>0</v>
      </c>
      <c r="AH228" s="73">
        <f>SUM(AH230:AH237)</f>
        <v>0</v>
      </c>
      <c r="AI228" s="94"/>
      <c r="AJ228" s="59">
        <f t="shared" ref="AJ228:AR228" si="1504">SUM(AJ229:AJ237)</f>
        <v>0</v>
      </c>
      <c r="AK228" s="59">
        <f t="shared" si="1504"/>
        <v>0</v>
      </c>
      <c r="AL228" s="59">
        <f t="shared" si="1504"/>
        <v>0</v>
      </c>
      <c r="AM228" s="59">
        <f t="shared" si="1504"/>
        <v>0</v>
      </c>
      <c r="AN228" s="59">
        <f t="shared" si="1504"/>
        <v>0</v>
      </c>
      <c r="AO228" s="59">
        <f t="shared" si="1504"/>
        <v>0</v>
      </c>
      <c r="AP228" s="59">
        <f t="shared" si="1504"/>
        <v>0</v>
      </c>
      <c r="AQ228" s="59">
        <f t="shared" si="1504"/>
        <v>0</v>
      </c>
      <c r="AR228" s="59">
        <f t="shared" si="1504"/>
        <v>0</v>
      </c>
      <c r="AS228" s="73">
        <f>SUM(AS230:AS237)</f>
        <v>0</v>
      </c>
      <c r="AT228" s="94"/>
      <c r="AU228" s="59">
        <f t="shared" ref="AU228:BD228" si="1505">SUM(AU230:AU237)</f>
        <v>0</v>
      </c>
      <c r="AV228" s="59">
        <f t="shared" si="1505"/>
        <v>0</v>
      </c>
      <c r="AW228" s="59">
        <f t="shared" si="1505"/>
        <v>0</v>
      </c>
      <c r="AX228" s="59">
        <f t="shared" si="1505"/>
        <v>0</v>
      </c>
      <c r="AY228" s="59">
        <f t="shared" si="1505"/>
        <v>0</v>
      </c>
      <c r="AZ228" s="59">
        <f t="shared" si="1505"/>
        <v>0</v>
      </c>
      <c r="BA228" s="59">
        <f t="shared" si="1505"/>
        <v>0</v>
      </c>
      <c r="BB228" s="59">
        <f t="shared" si="1505"/>
        <v>0</v>
      </c>
      <c r="BC228" s="59">
        <f t="shared" si="1505"/>
        <v>0</v>
      </c>
      <c r="BD228" s="73">
        <f t="shared" si="1505"/>
        <v>0</v>
      </c>
      <c r="BE228" s="94"/>
      <c r="BF228" s="59">
        <f t="shared" ref="BF228:BN228" si="1506">SUM(BF229:BF237)</f>
        <v>0</v>
      </c>
      <c r="BG228" s="59">
        <f t="shared" si="1506"/>
        <v>0</v>
      </c>
      <c r="BH228" s="59">
        <f t="shared" si="1506"/>
        <v>0</v>
      </c>
      <c r="BI228" s="59">
        <f t="shared" si="1506"/>
        <v>0</v>
      </c>
      <c r="BJ228" s="59">
        <f t="shared" si="1506"/>
        <v>0</v>
      </c>
      <c r="BK228" s="59">
        <f t="shared" si="1506"/>
        <v>0</v>
      </c>
      <c r="BL228" s="59">
        <f t="shared" si="1506"/>
        <v>0</v>
      </c>
      <c r="BM228" s="59">
        <f t="shared" si="1506"/>
        <v>0</v>
      </c>
      <c r="BN228" s="59">
        <f t="shared" si="1506"/>
        <v>0</v>
      </c>
      <c r="BO228" s="73">
        <f>SUM(BO230:BO237)</f>
        <v>0</v>
      </c>
      <c r="BP228" s="94"/>
      <c r="BQ228" s="59">
        <f t="shared" ref="BQ228:BY228" si="1507">SUM(BQ229:BQ237)</f>
        <v>0</v>
      </c>
      <c r="BR228" s="59">
        <f t="shared" si="1507"/>
        <v>0</v>
      </c>
      <c r="BS228" s="59">
        <f t="shared" si="1507"/>
        <v>0</v>
      </c>
      <c r="BT228" s="59">
        <f t="shared" si="1507"/>
        <v>0</v>
      </c>
      <c r="BU228" s="59">
        <f t="shared" si="1507"/>
        <v>0</v>
      </c>
      <c r="BV228" s="59">
        <f t="shared" si="1507"/>
        <v>0</v>
      </c>
      <c r="BW228" s="59">
        <f t="shared" si="1507"/>
        <v>0</v>
      </c>
      <c r="BX228" s="59">
        <f t="shared" si="1507"/>
        <v>0</v>
      </c>
      <c r="BY228" s="59">
        <f t="shared" si="1507"/>
        <v>0</v>
      </c>
      <c r="BZ228" s="73">
        <f>SUM(BZ230:BZ237)</f>
        <v>0</v>
      </c>
      <c r="CA228" s="94"/>
      <c r="CB228" s="59">
        <f t="shared" ref="CB228:CJ228" si="1508">SUM(CB229:CB237)</f>
        <v>0</v>
      </c>
      <c r="CC228" s="59">
        <f t="shared" si="1508"/>
        <v>0</v>
      </c>
      <c r="CD228" s="59">
        <f t="shared" si="1508"/>
        <v>0</v>
      </c>
      <c r="CE228" s="59">
        <f t="shared" si="1508"/>
        <v>0</v>
      </c>
      <c r="CF228" s="59">
        <f t="shared" si="1508"/>
        <v>0</v>
      </c>
      <c r="CG228" s="59">
        <f t="shared" si="1508"/>
        <v>0</v>
      </c>
      <c r="CH228" s="59">
        <f t="shared" si="1508"/>
        <v>0</v>
      </c>
      <c r="CI228" s="59">
        <f t="shared" si="1508"/>
        <v>0</v>
      </c>
      <c r="CJ228" s="59">
        <f t="shared" si="1508"/>
        <v>0</v>
      </c>
      <c r="CK228" s="73">
        <f>SUM(CK230:CK237)</f>
        <v>0</v>
      </c>
      <c r="CL228" s="94"/>
      <c r="CM228" s="59">
        <f t="shared" ref="CM228:CV228" si="1509">SUM(CM230:CM237)</f>
        <v>0</v>
      </c>
      <c r="CN228" s="59">
        <f t="shared" si="1509"/>
        <v>0</v>
      </c>
      <c r="CO228" s="59">
        <f t="shared" si="1509"/>
        <v>0</v>
      </c>
      <c r="CP228" s="59">
        <f t="shared" si="1509"/>
        <v>0</v>
      </c>
      <c r="CQ228" s="59">
        <f t="shared" si="1509"/>
        <v>0</v>
      </c>
      <c r="CR228" s="59">
        <f t="shared" si="1509"/>
        <v>0</v>
      </c>
      <c r="CS228" s="59">
        <f t="shared" si="1509"/>
        <v>0</v>
      </c>
      <c r="CT228" s="59">
        <f t="shared" si="1509"/>
        <v>0</v>
      </c>
      <c r="CU228" s="59">
        <f t="shared" si="1509"/>
        <v>0</v>
      </c>
      <c r="CV228" s="73">
        <f t="shared" si="1509"/>
        <v>0</v>
      </c>
      <c r="CW228" s="94"/>
      <c r="CX228" s="59">
        <f t="shared" ref="CX228:DF228" si="1510">SUM(CX229:CX237)</f>
        <v>0</v>
      </c>
      <c r="CY228" s="59">
        <f t="shared" si="1510"/>
        <v>0</v>
      </c>
      <c r="CZ228" s="59">
        <f t="shared" si="1510"/>
        <v>0</v>
      </c>
      <c r="DA228" s="59">
        <f t="shared" si="1510"/>
        <v>0</v>
      </c>
      <c r="DB228" s="59">
        <f t="shared" si="1510"/>
        <v>0</v>
      </c>
      <c r="DC228" s="59">
        <f t="shared" si="1510"/>
        <v>0</v>
      </c>
      <c r="DD228" s="59">
        <f t="shared" si="1510"/>
        <v>0</v>
      </c>
      <c r="DE228" s="59">
        <f t="shared" si="1510"/>
        <v>0</v>
      </c>
      <c r="DF228" s="59">
        <f t="shared" si="1510"/>
        <v>0</v>
      </c>
      <c r="DG228" s="73">
        <f>SUM(DG230:DG237)</f>
        <v>0</v>
      </c>
      <c r="DH228" s="94"/>
      <c r="DI228" s="59">
        <f t="shared" ref="DI228:DQ228" si="1511">SUM(DI229:DI237)</f>
        <v>0</v>
      </c>
      <c r="DJ228" s="59">
        <f t="shared" si="1511"/>
        <v>0</v>
      </c>
      <c r="DK228" s="59">
        <f t="shared" si="1511"/>
        <v>0</v>
      </c>
      <c r="DL228" s="59">
        <f t="shared" si="1511"/>
        <v>0</v>
      </c>
      <c r="DM228" s="59">
        <f t="shared" si="1511"/>
        <v>0</v>
      </c>
      <c r="DN228" s="59">
        <f t="shared" si="1511"/>
        <v>0</v>
      </c>
      <c r="DO228" s="59">
        <f t="shared" si="1511"/>
        <v>0</v>
      </c>
      <c r="DP228" s="59">
        <f t="shared" si="1511"/>
        <v>0</v>
      </c>
      <c r="DQ228" s="59">
        <f t="shared" si="1511"/>
        <v>0</v>
      </c>
      <c r="DR228" s="73">
        <f>SUM(DR230:DR237)</f>
        <v>0</v>
      </c>
      <c r="DS228" s="94"/>
      <c r="DT228" s="59">
        <f t="shared" ref="DT228:EB228" si="1512">SUM(DT229:DT237)</f>
        <v>0</v>
      </c>
      <c r="DU228" s="59">
        <f t="shared" si="1512"/>
        <v>0</v>
      </c>
      <c r="DV228" s="59">
        <f t="shared" si="1512"/>
        <v>0</v>
      </c>
      <c r="DW228" s="59">
        <f t="shared" si="1512"/>
        <v>0</v>
      </c>
      <c r="DX228" s="59">
        <f t="shared" si="1512"/>
        <v>0</v>
      </c>
      <c r="DY228" s="59">
        <f t="shared" si="1512"/>
        <v>0</v>
      </c>
      <c r="DZ228" s="59">
        <f t="shared" si="1512"/>
        <v>0</v>
      </c>
      <c r="EA228" s="59">
        <f t="shared" si="1512"/>
        <v>0</v>
      </c>
      <c r="EB228" s="59">
        <f t="shared" si="1512"/>
        <v>0</v>
      </c>
      <c r="EC228" s="59">
        <f>SUM(EC229:EC237)</f>
        <v>0</v>
      </c>
      <c r="ED228" s="94"/>
      <c r="EE228" s="59">
        <f t="shared" ref="EE228:EN228" si="1513">SUM(EE230:EE237)</f>
        <v>0</v>
      </c>
      <c r="EF228" s="59">
        <f t="shared" si="1513"/>
        <v>0</v>
      </c>
      <c r="EG228" s="59">
        <f t="shared" si="1513"/>
        <v>0</v>
      </c>
      <c r="EH228" s="59">
        <f t="shared" si="1513"/>
        <v>0</v>
      </c>
      <c r="EI228" s="59">
        <f t="shared" si="1513"/>
        <v>0</v>
      </c>
      <c r="EJ228" s="59">
        <f t="shared" si="1513"/>
        <v>0</v>
      </c>
      <c r="EK228" s="59">
        <f t="shared" si="1513"/>
        <v>0</v>
      </c>
      <c r="EL228" s="59">
        <f t="shared" si="1513"/>
        <v>0</v>
      </c>
      <c r="EM228" s="59">
        <f t="shared" si="1513"/>
        <v>0</v>
      </c>
      <c r="EN228" s="73">
        <f t="shared" si="1513"/>
        <v>0</v>
      </c>
      <c r="EO228" s="94"/>
      <c r="EP228" s="59">
        <f t="shared" ref="EP228:EX228" si="1514">SUM(EP229:EP237)</f>
        <v>0</v>
      </c>
      <c r="EQ228" s="59">
        <f t="shared" si="1514"/>
        <v>0</v>
      </c>
      <c r="ER228" s="59">
        <f t="shared" si="1514"/>
        <v>0</v>
      </c>
      <c r="ES228" s="59">
        <f t="shared" si="1514"/>
        <v>0</v>
      </c>
      <c r="ET228" s="59">
        <f t="shared" si="1514"/>
        <v>0</v>
      </c>
      <c r="EU228" s="59">
        <f t="shared" si="1514"/>
        <v>0</v>
      </c>
      <c r="EV228" s="59">
        <f t="shared" si="1514"/>
        <v>0</v>
      </c>
      <c r="EW228" s="59">
        <f t="shared" si="1514"/>
        <v>0</v>
      </c>
      <c r="EX228" s="59">
        <f t="shared" si="1514"/>
        <v>0</v>
      </c>
      <c r="EY228" s="73">
        <f>SUM(EY230:EY237)</f>
        <v>0</v>
      </c>
      <c r="EZ228" s="94"/>
      <c r="FA228" s="59">
        <f t="shared" ref="FA228:FI228" si="1515">SUM(FA229:FA237)</f>
        <v>0</v>
      </c>
      <c r="FB228" s="59">
        <f t="shared" si="1515"/>
        <v>0</v>
      </c>
      <c r="FC228" s="59">
        <f t="shared" si="1515"/>
        <v>0</v>
      </c>
      <c r="FD228" s="59">
        <f t="shared" si="1515"/>
        <v>0</v>
      </c>
      <c r="FE228" s="59">
        <f t="shared" si="1515"/>
        <v>0</v>
      </c>
      <c r="FF228" s="59">
        <f t="shared" si="1515"/>
        <v>0</v>
      </c>
      <c r="FG228" s="59">
        <f t="shared" si="1515"/>
        <v>0</v>
      </c>
      <c r="FH228" s="59">
        <f t="shared" si="1515"/>
        <v>0</v>
      </c>
      <c r="FI228" s="59">
        <f t="shared" si="1515"/>
        <v>0</v>
      </c>
      <c r="FJ228" s="73">
        <f>SUM(FJ230:FJ237)</f>
        <v>0</v>
      </c>
      <c r="FK228" s="94"/>
      <c r="FL228" s="59">
        <f t="shared" ref="FL228:FT228" si="1516">SUM(FL229:FL237)</f>
        <v>0</v>
      </c>
      <c r="FM228" s="59">
        <f t="shared" si="1516"/>
        <v>0</v>
      </c>
      <c r="FN228" s="59">
        <f t="shared" si="1516"/>
        <v>0</v>
      </c>
      <c r="FO228" s="59">
        <f t="shared" si="1516"/>
        <v>0</v>
      </c>
      <c r="FP228" s="59">
        <f t="shared" si="1516"/>
        <v>0</v>
      </c>
      <c r="FQ228" s="59">
        <f t="shared" si="1516"/>
        <v>0</v>
      </c>
      <c r="FR228" s="59">
        <f t="shared" si="1516"/>
        <v>0</v>
      </c>
      <c r="FS228" s="59">
        <f t="shared" si="1516"/>
        <v>0</v>
      </c>
      <c r="FT228" s="59">
        <f t="shared" si="1516"/>
        <v>0</v>
      </c>
      <c r="FU228" s="73">
        <f>SUM(FU230:FU237)</f>
        <v>0</v>
      </c>
      <c r="FV228" s="94"/>
      <c r="FW228" s="59">
        <f t="shared" ref="FW228:GF228" si="1517">SUM(FW230:FW237)</f>
        <v>0</v>
      </c>
      <c r="FX228" s="59">
        <f t="shared" si="1517"/>
        <v>0</v>
      </c>
      <c r="FY228" s="59">
        <f t="shared" si="1517"/>
        <v>0</v>
      </c>
      <c r="FZ228" s="59">
        <f t="shared" si="1517"/>
        <v>0</v>
      </c>
      <c r="GA228" s="59">
        <f t="shared" si="1517"/>
        <v>0</v>
      </c>
      <c r="GB228" s="59">
        <f t="shared" si="1517"/>
        <v>0</v>
      </c>
      <c r="GC228" s="59">
        <f t="shared" si="1517"/>
        <v>0</v>
      </c>
      <c r="GD228" s="59">
        <f t="shared" si="1517"/>
        <v>0</v>
      </c>
      <c r="GE228" s="59">
        <f t="shared" si="1517"/>
        <v>0</v>
      </c>
      <c r="GF228" s="73">
        <f t="shared" si="1517"/>
        <v>0</v>
      </c>
      <c r="GG228" s="94"/>
      <c r="GH228" s="59">
        <f t="shared" ref="GH228:GP228" si="1518">SUM(GH229:GH237)</f>
        <v>0</v>
      </c>
      <c r="GI228" s="59">
        <f t="shared" si="1518"/>
        <v>0</v>
      </c>
      <c r="GJ228" s="59">
        <f t="shared" si="1518"/>
        <v>0</v>
      </c>
      <c r="GK228" s="59">
        <f t="shared" si="1518"/>
        <v>0</v>
      </c>
      <c r="GL228" s="59">
        <f t="shared" si="1518"/>
        <v>0</v>
      </c>
      <c r="GM228" s="59">
        <f t="shared" si="1518"/>
        <v>0</v>
      </c>
      <c r="GN228" s="59">
        <f t="shared" si="1518"/>
        <v>0</v>
      </c>
      <c r="GO228" s="59">
        <f t="shared" si="1518"/>
        <v>0</v>
      </c>
      <c r="GP228" s="59">
        <f t="shared" si="1518"/>
        <v>0</v>
      </c>
      <c r="GQ228" s="73">
        <f>SUM(GQ230:GQ237)</f>
        <v>0</v>
      </c>
      <c r="GR228" s="59">
        <f t="shared" ref="GR228:IV228" si="1519">SUM(GR229:GR237)</f>
        <v>0</v>
      </c>
      <c r="GS228" s="59">
        <f t="shared" si="1519"/>
        <v>0</v>
      </c>
      <c r="GT228" s="59">
        <f t="shared" si="1519"/>
        <v>0</v>
      </c>
      <c r="GU228" s="59">
        <f t="shared" si="1519"/>
        <v>0</v>
      </c>
      <c r="GV228" s="59">
        <f t="shared" si="1519"/>
        <v>0</v>
      </c>
      <c r="GW228" s="59">
        <f t="shared" si="1519"/>
        <v>0</v>
      </c>
      <c r="GX228" s="59">
        <f t="shared" si="1519"/>
        <v>0</v>
      </c>
      <c r="GY228" s="59">
        <f t="shared" si="1519"/>
        <v>0</v>
      </c>
      <c r="GZ228" s="59">
        <f t="shared" si="1519"/>
        <v>0</v>
      </c>
      <c r="HA228" s="59">
        <f t="shared" si="1519"/>
        <v>0</v>
      </c>
      <c r="HB228" s="59">
        <f>SUM(HB229:HB237)</f>
        <v>0</v>
      </c>
      <c r="HC228" s="59">
        <f>SUM(HC229:HC237)</f>
        <v>0</v>
      </c>
      <c r="HD228" s="59">
        <f>SUM(HD229:HD237)</f>
        <v>0</v>
      </c>
      <c r="HE228" s="59">
        <f>SUM(HE229:HE237)</f>
        <v>0</v>
      </c>
      <c r="HF228" s="59">
        <f t="shared" si="1519"/>
        <v>0</v>
      </c>
      <c r="HG228" s="59">
        <f t="shared" si="1519"/>
        <v>0</v>
      </c>
      <c r="HH228" s="59">
        <f t="shared" si="1519"/>
        <v>0</v>
      </c>
      <c r="HI228" s="59">
        <f t="shared" si="1519"/>
        <v>0</v>
      </c>
      <c r="HJ228" s="59">
        <f t="shared" si="1519"/>
        <v>0</v>
      </c>
      <c r="HK228" s="59">
        <f t="shared" si="1519"/>
        <v>0</v>
      </c>
      <c r="HL228" s="59">
        <f t="shared" si="1519"/>
        <v>0</v>
      </c>
      <c r="HM228" s="59">
        <f t="shared" si="1519"/>
        <v>0</v>
      </c>
      <c r="HN228" s="59">
        <f t="shared" si="1519"/>
        <v>0</v>
      </c>
      <c r="HO228" s="59">
        <f t="shared" si="1519"/>
        <v>0</v>
      </c>
      <c r="HP228" s="59">
        <f t="shared" si="1519"/>
        <v>0</v>
      </c>
      <c r="HQ228" s="59">
        <f>SUM(HQ229:HQ237)</f>
        <v>0</v>
      </c>
      <c r="HR228" s="59">
        <f>SUM(HR229:HR237)</f>
        <v>0</v>
      </c>
      <c r="HS228" s="59">
        <f>SUM(HS229:HS237)</f>
        <v>0</v>
      </c>
      <c r="HT228" s="59">
        <f>SUM(HT229:HT237)</f>
        <v>0</v>
      </c>
      <c r="HU228" s="59">
        <f t="shared" si="1519"/>
        <v>0</v>
      </c>
      <c r="HV228" s="59">
        <f t="shared" si="1519"/>
        <v>0</v>
      </c>
      <c r="HW228" s="59">
        <f t="shared" si="1519"/>
        <v>0</v>
      </c>
      <c r="HX228" s="59">
        <f t="shared" si="1519"/>
        <v>0</v>
      </c>
      <c r="HY228" s="59">
        <f t="shared" si="1519"/>
        <v>0</v>
      </c>
      <c r="HZ228" s="59">
        <f t="shared" si="1519"/>
        <v>0</v>
      </c>
      <c r="IA228" s="59">
        <f>SUM(IA229:IA237)</f>
        <v>0</v>
      </c>
      <c r="IB228" s="59">
        <f>SUM(IB229:IB237)</f>
        <v>0</v>
      </c>
      <c r="IC228" s="59">
        <f>SUM(IC229:IC237)</f>
        <v>0</v>
      </c>
      <c r="ID228" s="59">
        <f>SUM(ID229:ID237)</f>
        <v>0</v>
      </c>
      <c r="IE228" s="59">
        <f t="shared" si="1519"/>
        <v>0</v>
      </c>
      <c r="IF228" s="59">
        <f t="shared" si="1519"/>
        <v>0</v>
      </c>
      <c r="IG228" s="59">
        <f t="shared" si="1519"/>
        <v>0</v>
      </c>
      <c r="IH228" s="59">
        <f t="shared" si="1519"/>
        <v>0</v>
      </c>
      <c r="II228" s="59">
        <f t="shared" si="1519"/>
        <v>0</v>
      </c>
      <c r="IJ228" s="59">
        <f t="shared" si="1519"/>
        <v>0</v>
      </c>
      <c r="IK228" s="59">
        <f t="shared" si="1519"/>
        <v>0</v>
      </c>
      <c r="IL228" s="59">
        <f t="shared" si="1519"/>
        <v>0</v>
      </c>
      <c r="IM228" s="59">
        <f t="shared" si="1519"/>
        <v>0</v>
      </c>
      <c r="IN228" s="59">
        <f t="shared" si="1519"/>
        <v>0</v>
      </c>
      <c r="IO228" s="59">
        <f t="shared" si="1519"/>
        <v>0</v>
      </c>
      <c r="IP228" s="59">
        <f>SUM(IP229:IP237)</f>
        <v>0</v>
      </c>
      <c r="IQ228" s="59">
        <f>SUM(IQ229:IQ237)</f>
        <v>0</v>
      </c>
      <c r="IR228" s="59">
        <f>SUM(IR229:IR237)</f>
        <v>0</v>
      </c>
      <c r="IS228" s="59">
        <f>SUM(IS229:IS237)</f>
        <v>0</v>
      </c>
      <c r="IT228" s="59">
        <f t="shared" si="1519"/>
        <v>0</v>
      </c>
      <c r="IU228" s="59">
        <f t="shared" si="1519"/>
        <v>0</v>
      </c>
      <c r="IV228" s="59">
        <f t="shared" si="1519"/>
        <v>0</v>
      </c>
    </row>
    <row r="229" spans="1:256" x14ac:dyDescent="0.2">
      <c r="A229" s="157" t="s">
        <v>29</v>
      </c>
      <c r="B229" s="62"/>
      <c r="C229" s="63"/>
      <c r="D229" s="63"/>
      <c r="E229" s="63"/>
      <c r="F229" s="63"/>
      <c r="G229" s="63"/>
      <c r="H229" s="63"/>
      <c r="I229" s="63"/>
      <c r="J229" s="63"/>
      <c r="K229" s="63"/>
      <c r="L229" s="64">
        <f t="shared" ref="L229:L240" si="1520">SUM(C229:F229,H229:K229)</f>
        <v>0</v>
      </c>
      <c r="M229" s="62"/>
      <c r="N229" s="63"/>
      <c r="O229" s="63"/>
      <c r="P229" s="63"/>
      <c r="Q229" s="63"/>
      <c r="R229" s="63"/>
      <c r="S229" s="63"/>
      <c r="T229" s="63"/>
      <c r="U229" s="63"/>
      <c r="V229" s="63"/>
      <c r="W229" s="64">
        <f t="shared" ref="W229:W240" si="1521">SUM(N229:Q229,S229:V229)</f>
        <v>0</v>
      </c>
      <c r="X229" s="62"/>
      <c r="Y229" s="63"/>
      <c r="Z229" s="63"/>
      <c r="AA229" s="63"/>
      <c r="AB229" s="63"/>
      <c r="AC229" s="63"/>
      <c r="AD229" s="63"/>
      <c r="AE229" s="63"/>
      <c r="AF229" s="63"/>
      <c r="AG229" s="63"/>
      <c r="AH229" s="64">
        <f t="shared" ref="AH229:AH240" si="1522">SUM(Y229:AB229,AD229:AG229)</f>
        <v>0</v>
      </c>
      <c r="AI229" s="62"/>
      <c r="AJ229" s="63"/>
      <c r="AK229" s="63"/>
      <c r="AL229" s="63"/>
      <c r="AM229" s="63"/>
      <c r="AN229" s="63"/>
      <c r="AO229" s="63"/>
      <c r="AP229" s="63"/>
      <c r="AQ229" s="63"/>
      <c r="AR229" s="63"/>
      <c r="AS229" s="64">
        <f t="shared" ref="AS229:AS240" si="1523">SUM(AJ229:AM229,AO229:AR229)</f>
        <v>0</v>
      </c>
      <c r="AT229" s="65">
        <f t="shared" ref="AT229:BC240" si="1524">SUM(M229,AI229,X229)</f>
        <v>0</v>
      </c>
      <c r="AU229" s="65">
        <f t="shared" si="1524"/>
        <v>0</v>
      </c>
      <c r="AV229" s="65">
        <f t="shared" si="1524"/>
        <v>0</v>
      </c>
      <c r="AW229" s="65">
        <f t="shared" si="1524"/>
        <v>0</v>
      </c>
      <c r="AX229" s="65">
        <f t="shared" si="1524"/>
        <v>0</v>
      </c>
      <c r="AY229" s="65">
        <f t="shared" si="1524"/>
        <v>0</v>
      </c>
      <c r="AZ229" s="65">
        <f t="shared" si="1524"/>
        <v>0</v>
      </c>
      <c r="BA229" s="65">
        <f t="shared" si="1524"/>
        <v>0</v>
      </c>
      <c r="BB229" s="65">
        <f t="shared" si="1524"/>
        <v>0</v>
      </c>
      <c r="BC229" s="65">
        <f t="shared" si="1524"/>
        <v>0</v>
      </c>
      <c r="BD229" s="64">
        <f t="shared" ref="BD229:BD240" si="1525">SUM(AU229:AX229,AZ229:BC229)</f>
        <v>0</v>
      </c>
      <c r="BE229" s="62"/>
      <c r="BF229" s="63"/>
      <c r="BG229" s="63"/>
      <c r="BH229" s="63"/>
      <c r="BI229" s="63"/>
      <c r="BJ229" s="63"/>
      <c r="BK229" s="63"/>
      <c r="BL229" s="63"/>
      <c r="BM229" s="63"/>
      <c r="BN229" s="63"/>
      <c r="BO229" s="64">
        <f t="shared" ref="BO229:BO240" si="1526">SUM(BF229:BI229,BK229:BN229)</f>
        <v>0</v>
      </c>
      <c r="BP229" s="62"/>
      <c r="BQ229" s="63"/>
      <c r="BR229" s="63"/>
      <c r="BS229" s="63"/>
      <c r="BT229" s="63"/>
      <c r="BU229" s="63"/>
      <c r="BV229" s="63"/>
      <c r="BW229" s="63"/>
      <c r="BX229" s="63"/>
      <c r="BY229" s="63"/>
      <c r="BZ229" s="64">
        <f t="shared" ref="BZ229:BZ240" si="1527">SUM(BQ229:BT229,BV229:BY229)</f>
        <v>0</v>
      </c>
      <c r="CA229" s="62"/>
      <c r="CB229" s="63"/>
      <c r="CC229" s="63"/>
      <c r="CD229" s="63"/>
      <c r="CE229" s="63"/>
      <c r="CF229" s="63"/>
      <c r="CG229" s="63"/>
      <c r="CH229" s="63"/>
      <c r="CI229" s="63"/>
      <c r="CJ229" s="63"/>
      <c r="CK229" s="64">
        <f t="shared" ref="CK229:CK240" si="1528">SUM(CB229:CE229,CG229:CJ229)</f>
        <v>0</v>
      </c>
      <c r="CL229" s="65">
        <f t="shared" ref="CL229:CU240" si="1529">SUM(BE229,CA229,BP229)</f>
        <v>0</v>
      </c>
      <c r="CM229" s="65">
        <f t="shared" si="1529"/>
        <v>0</v>
      </c>
      <c r="CN229" s="65">
        <f t="shared" si="1529"/>
        <v>0</v>
      </c>
      <c r="CO229" s="65">
        <f t="shared" si="1529"/>
        <v>0</v>
      </c>
      <c r="CP229" s="65">
        <f t="shared" si="1529"/>
        <v>0</v>
      </c>
      <c r="CQ229" s="65">
        <f t="shared" si="1529"/>
        <v>0</v>
      </c>
      <c r="CR229" s="65">
        <f t="shared" si="1529"/>
        <v>0</v>
      </c>
      <c r="CS229" s="65">
        <f t="shared" si="1529"/>
        <v>0</v>
      </c>
      <c r="CT229" s="65">
        <f t="shared" si="1529"/>
        <v>0</v>
      </c>
      <c r="CU229" s="65">
        <f t="shared" si="1529"/>
        <v>0</v>
      </c>
      <c r="CV229" s="64">
        <f t="shared" ref="CV229:CV240" si="1530">SUM(CM229:CP229,CR229:CU229)</f>
        <v>0</v>
      </c>
      <c r="CW229" s="62"/>
      <c r="CX229" s="63"/>
      <c r="CY229" s="63"/>
      <c r="CZ229" s="63"/>
      <c r="DA229" s="63"/>
      <c r="DB229" s="63"/>
      <c r="DC229" s="63"/>
      <c r="DD229" s="63"/>
      <c r="DE229" s="63"/>
      <c r="DF229" s="63"/>
      <c r="DG229" s="64">
        <f t="shared" ref="DG229:DG240" si="1531">SUM(CX229:DA229,DC229:DF229)</f>
        <v>0</v>
      </c>
      <c r="DH229" s="62"/>
      <c r="DI229" s="63"/>
      <c r="DJ229" s="63"/>
      <c r="DK229" s="63"/>
      <c r="DL229" s="63"/>
      <c r="DM229" s="63"/>
      <c r="DN229" s="63"/>
      <c r="DO229" s="63"/>
      <c r="DP229" s="63"/>
      <c r="DQ229" s="63"/>
      <c r="DR229" s="64">
        <f t="shared" ref="DR229:DR240" si="1532">SUM(DI229:DL229,DN229:DQ229)</f>
        <v>0</v>
      </c>
      <c r="DS229" s="62"/>
      <c r="DT229" s="63"/>
      <c r="DU229" s="63"/>
      <c r="DV229" s="63"/>
      <c r="DW229" s="63"/>
      <c r="DX229" s="63"/>
      <c r="DY229" s="63"/>
      <c r="DZ229" s="63"/>
      <c r="EA229" s="63"/>
      <c r="EB229" s="63"/>
      <c r="EC229" s="63"/>
      <c r="ED229" s="65">
        <f t="shared" ref="ED229:EM240" si="1533">SUM(CW229,DS229,DH229)</f>
        <v>0</v>
      </c>
      <c r="EE229" s="65">
        <f t="shared" si="1533"/>
        <v>0</v>
      </c>
      <c r="EF229" s="65">
        <f t="shared" si="1533"/>
        <v>0</v>
      </c>
      <c r="EG229" s="65">
        <f t="shared" si="1533"/>
        <v>0</v>
      </c>
      <c r="EH229" s="65">
        <f t="shared" si="1533"/>
        <v>0</v>
      </c>
      <c r="EI229" s="65">
        <f t="shared" si="1533"/>
        <v>0</v>
      </c>
      <c r="EJ229" s="65">
        <f t="shared" si="1533"/>
        <v>0</v>
      </c>
      <c r="EK229" s="65">
        <f t="shared" si="1533"/>
        <v>0</v>
      </c>
      <c r="EL229" s="65">
        <f t="shared" si="1533"/>
        <v>0</v>
      </c>
      <c r="EM229" s="65">
        <f t="shared" si="1533"/>
        <v>0</v>
      </c>
      <c r="EN229" s="64">
        <f t="shared" ref="EN229:EN240" si="1534">SUM(EE229:EH229,EJ229:EM229)</f>
        <v>0</v>
      </c>
      <c r="EO229" s="62"/>
      <c r="EP229" s="63"/>
      <c r="EQ229" s="63"/>
      <c r="ER229" s="63"/>
      <c r="ES229" s="63"/>
      <c r="ET229" s="63"/>
      <c r="EU229" s="63"/>
      <c r="EV229" s="63"/>
      <c r="EW229" s="63"/>
      <c r="EX229" s="63"/>
      <c r="EY229" s="64">
        <f t="shared" ref="EY229:EY240" si="1535">SUM(EP229:ES229,EU229:EX229)</f>
        <v>0</v>
      </c>
      <c r="EZ229" s="62"/>
      <c r="FA229" s="63"/>
      <c r="FB229" s="63"/>
      <c r="FC229" s="63"/>
      <c r="FD229" s="63"/>
      <c r="FE229" s="63"/>
      <c r="FF229" s="63"/>
      <c r="FG229" s="63"/>
      <c r="FH229" s="63"/>
      <c r="FI229" s="63"/>
      <c r="FJ229" s="64">
        <f t="shared" ref="FJ229:FJ240" si="1536">SUM(FA229:FD229,FF229:FI229)</f>
        <v>0</v>
      </c>
      <c r="FK229" s="62"/>
      <c r="FL229" s="63"/>
      <c r="FM229" s="63"/>
      <c r="FN229" s="63"/>
      <c r="FO229" s="63"/>
      <c r="FP229" s="63"/>
      <c r="FQ229" s="63"/>
      <c r="FR229" s="63"/>
      <c r="FS229" s="63"/>
      <c r="FT229" s="63"/>
      <c r="FU229" s="64">
        <f t="shared" ref="FU229:FU240" si="1537">SUM(FL229:FO229,FQ229:FT229)</f>
        <v>0</v>
      </c>
      <c r="FV229" s="65">
        <f t="shared" ref="FV229:GE240" si="1538">SUM(EO229,FK229,EZ229)</f>
        <v>0</v>
      </c>
      <c r="FW229" s="65">
        <f t="shared" si="1538"/>
        <v>0</v>
      </c>
      <c r="FX229" s="65">
        <f t="shared" si="1538"/>
        <v>0</v>
      </c>
      <c r="FY229" s="65">
        <f t="shared" si="1538"/>
        <v>0</v>
      </c>
      <c r="FZ229" s="65">
        <f t="shared" si="1538"/>
        <v>0</v>
      </c>
      <c r="GA229" s="65">
        <f t="shared" si="1538"/>
        <v>0</v>
      </c>
      <c r="GB229" s="65">
        <f t="shared" si="1538"/>
        <v>0</v>
      </c>
      <c r="GC229" s="65">
        <f t="shared" si="1538"/>
        <v>0</v>
      </c>
      <c r="GD229" s="65">
        <f t="shared" si="1538"/>
        <v>0</v>
      </c>
      <c r="GE229" s="65">
        <f t="shared" si="1538"/>
        <v>0</v>
      </c>
      <c r="GF229" s="64">
        <f t="shared" ref="GF229:GF240" si="1539">SUM(FW229:FZ229,GB229:GE229)</f>
        <v>0</v>
      </c>
      <c r="GG229" s="66">
        <f t="shared" ref="GG229:GP240" si="1540">SUM(AT229,CL229,ED229,FV229)</f>
        <v>0</v>
      </c>
      <c r="GH229" s="66">
        <f t="shared" si="1540"/>
        <v>0</v>
      </c>
      <c r="GI229" s="66">
        <f t="shared" si="1540"/>
        <v>0</v>
      </c>
      <c r="GJ229" s="66">
        <f t="shared" si="1540"/>
        <v>0</v>
      </c>
      <c r="GK229" s="66">
        <f t="shared" si="1540"/>
        <v>0</v>
      </c>
      <c r="GL229" s="66">
        <f t="shared" si="1540"/>
        <v>0</v>
      </c>
      <c r="GM229" s="66">
        <f t="shared" si="1540"/>
        <v>0</v>
      </c>
      <c r="GN229" s="66">
        <f t="shared" si="1540"/>
        <v>0</v>
      </c>
      <c r="GO229" s="66">
        <f t="shared" si="1540"/>
        <v>0</v>
      </c>
      <c r="GP229" s="66">
        <f t="shared" si="1540"/>
        <v>0</v>
      </c>
      <c r="GQ229" s="64">
        <f t="shared" ref="GQ229:GQ240" si="1541">SUM(GH229:GK229,GM229:GP229)</f>
        <v>0</v>
      </c>
      <c r="GR229" s="63"/>
      <c r="GS229" s="63">
        <v>0</v>
      </c>
      <c r="GT229" s="63"/>
      <c r="GU229" s="63"/>
      <c r="GV229" s="67">
        <f t="shared" ref="GV229:GV240" si="1542">SUM(GR229:GU229)</f>
        <v>0</v>
      </c>
      <c r="GW229" s="63"/>
      <c r="GX229" s="63"/>
      <c r="GY229" s="63"/>
      <c r="GZ229" s="63"/>
      <c r="HA229" s="67">
        <f t="shared" ref="HA229:HA240" si="1543">SUM(GW229:GZ229)</f>
        <v>0</v>
      </c>
      <c r="HB229" s="63"/>
      <c r="HC229" s="63"/>
      <c r="HD229" s="63"/>
      <c r="HE229" s="63"/>
      <c r="HF229" s="67">
        <f t="shared" ref="HF229:HF240" si="1544">SUM(HB229:HE229)</f>
        <v>0</v>
      </c>
      <c r="HG229" s="63"/>
      <c r="HH229" s="63"/>
      <c r="HI229" s="63"/>
      <c r="HJ229" s="63"/>
      <c r="HK229" s="67">
        <f t="shared" ref="HK229:HK240" si="1545">SUM(HG229:HJ229)</f>
        <v>0</v>
      </c>
      <c r="HL229" s="68">
        <f t="shared" ref="HL229:HO240" si="1546">SUM(GW229,HB229,HG229)</f>
        <v>0</v>
      </c>
      <c r="HM229" s="68">
        <f t="shared" si="1546"/>
        <v>0</v>
      </c>
      <c r="HN229" s="68">
        <f t="shared" si="1546"/>
        <v>0</v>
      </c>
      <c r="HO229" s="68">
        <f t="shared" si="1546"/>
        <v>0</v>
      </c>
      <c r="HP229" s="67">
        <f t="shared" ref="HP229:HP240" si="1547">SUM(HL229:HO229)</f>
        <v>0</v>
      </c>
      <c r="HQ229" s="63"/>
      <c r="HR229" s="63"/>
      <c r="HS229" s="63"/>
      <c r="HT229" s="63"/>
      <c r="HU229" s="67">
        <f t="shared" ref="HU229:HU240" si="1548">SUM(HQ229:HT229)</f>
        <v>0</v>
      </c>
      <c r="HV229" s="63"/>
      <c r="HW229" s="63"/>
      <c r="HX229" s="63"/>
      <c r="HY229" s="63"/>
      <c r="HZ229" s="67">
        <f t="shared" ref="HZ229:HZ240" si="1549">SUM(HV229:HY229)</f>
        <v>0</v>
      </c>
      <c r="IA229" s="63"/>
      <c r="IB229" s="63"/>
      <c r="IC229" s="63"/>
      <c r="ID229" s="63"/>
      <c r="IE229" s="67">
        <f t="shared" ref="IE229:IE240" si="1550">SUM(IA229:ID229)</f>
        <v>0</v>
      </c>
      <c r="IF229" s="68">
        <f t="shared" ref="IF229:II240" si="1551">SUM(HQ229,HV229,IA229)</f>
        <v>0</v>
      </c>
      <c r="IG229" s="68">
        <f t="shared" si="1551"/>
        <v>0</v>
      </c>
      <c r="IH229" s="68">
        <f t="shared" si="1551"/>
        <v>0</v>
      </c>
      <c r="II229" s="68">
        <f t="shared" si="1551"/>
        <v>0</v>
      </c>
      <c r="IJ229" s="67">
        <f t="shared" ref="IJ229:IJ240" si="1552">SUM(IF229:II229)</f>
        <v>0</v>
      </c>
      <c r="IK229" s="63"/>
      <c r="IL229" s="63"/>
      <c r="IM229" s="63"/>
      <c r="IN229" s="63"/>
      <c r="IO229" s="67">
        <f t="shared" ref="IO229:IO240" si="1553">SUM(IK229:IN229)</f>
        <v>0</v>
      </c>
      <c r="IP229" s="63"/>
      <c r="IQ229" s="63"/>
      <c r="IR229" s="63"/>
      <c r="IS229" s="63"/>
      <c r="IT229" s="67">
        <f t="shared" ref="IT229:IT240" si="1554">SUM(IP229:IS229)</f>
        <v>0</v>
      </c>
      <c r="IU229" s="63"/>
      <c r="IV229" s="63"/>
    </row>
    <row r="230" spans="1:256" x14ac:dyDescent="0.25">
      <c r="A230" s="83" t="s">
        <v>198</v>
      </c>
      <c r="B230" s="62">
        <v>16</v>
      </c>
      <c r="C230" s="63">
        <v>0</v>
      </c>
      <c r="D230" s="63">
        <v>0</v>
      </c>
      <c r="E230" s="63">
        <v>0</v>
      </c>
      <c r="F230" s="63">
        <v>0</v>
      </c>
      <c r="G230" s="63">
        <v>16</v>
      </c>
      <c r="H230" s="63"/>
      <c r="I230" s="63"/>
      <c r="J230" s="63"/>
      <c r="K230" s="63"/>
      <c r="L230" s="64">
        <f t="shared" si="1520"/>
        <v>0</v>
      </c>
      <c r="M230" s="62"/>
      <c r="N230" s="63"/>
      <c r="O230" s="63"/>
      <c r="P230" s="63"/>
      <c r="Q230" s="63"/>
      <c r="R230" s="63"/>
      <c r="S230" s="63"/>
      <c r="T230" s="63"/>
      <c r="U230" s="63"/>
      <c r="V230" s="63"/>
      <c r="W230" s="64">
        <f t="shared" si="1521"/>
        <v>0</v>
      </c>
      <c r="X230" s="62"/>
      <c r="Y230" s="63"/>
      <c r="Z230" s="63"/>
      <c r="AA230" s="63"/>
      <c r="AB230" s="63"/>
      <c r="AC230" s="63"/>
      <c r="AD230" s="63"/>
      <c r="AE230" s="63"/>
      <c r="AF230" s="63"/>
      <c r="AG230" s="63"/>
      <c r="AH230" s="64">
        <f t="shared" si="1522"/>
        <v>0</v>
      </c>
      <c r="AI230" s="62"/>
      <c r="AJ230" s="63"/>
      <c r="AK230" s="63"/>
      <c r="AL230" s="63"/>
      <c r="AM230" s="63"/>
      <c r="AN230" s="63"/>
      <c r="AO230" s="63"/>
      <c r="AP230" s="63"/>
      <c r="AQ230" s="63"/>
      <c r="AR230" s="63"/>
      <c r="AS230" s="64">
        <f t="shared" si="1523"/>
        <v>0</v>
      </c>
      <c r="AT230" s="65">
        <f t="shared" si="1524"/>
        <v>0</v>
      </c>
      <c r="AU230" s="65">
        <f t="shared" si="1524"/>
        <v>0</v>
      </c>
      <c r="AV230" s="65">
        <f t="shared" si="1524"/>
        <v>0</v>
      </c>
      <c r="AW230" s="65">
        <f t="shared" si="1524"/>
        <v>0</v>
      </c>
      <c r="AX230" s="65">
        <f t="shared" si="1524"/>
        <v>0</v>
      </c>
      <c r="AY230" s="65">
        <f t="shared" si="1524"/>
        <v>0</v>
      </c>
      <c r="AZ230" s="65">
        <f t="shared" si="1524"/>
        <v>0</v>
      </c>
      <c r="BA230" s="65">
        <f t="shared" si="1524"/>
        <v>0</v>
      </c>
      <c r="BB230" s="65">
        <f t="shared" si="1524"/>
        <v>0</v>
      </c>
      <c r="BC230" s="65">
        <f t="shared" si="1524"/>
        <v>0</v>
      </c>
      <c r="BD230" s="64">
        <f t="shared" si="1525"/>
        <v>0</v>
      </c>
      <c r="BE230" s="62"/>
      <c r="BF230" s="63"/>
      <c r="BG230" s="63"/>
      <c r="BH230" s="63"/>
      <c r="BI230" s="63"/>
      <c r="BJ230" s="63"/>
      <c r="BK230" s="63"/>
      <c r="BL230" s="63"/>
      <c r="BM230" s="63"/>
      <c r="BN230" s="63"/>
      <c r="BO230" s="64">
        <f t="shared" si="1526"/>
        <v>0</v>
      </c>
      <c r="BP230" s="62"/>
      <c r="BQ230" s="63"/>
      <c r="BR230" s="63"/>
      <c r="BS230" s="63"/>
      <c r="BT230" s="63"/>
      <c r="BU230" s="63"/>
      <c r="BV230" s="63"/>
      <c r="BW230" s="63"/>
      <c r="BX230" s="63"/>
      <c r="BY230" s="63"/>
      <c r="BZ230" s="64">
        <f t="shared" si="1527"/>
        <v>0</v>
      </c>
      <c r="CA230" s="62"/>
      <c r="CB230" s="63"/>
      <c r="CC230" s="63"/>
      <c r="CD230" s="63"/>
      <c r="CE230" s="63"/>
      <c r="CF230" s="63"/>
      <c r="CG230" s="63"/>
      <c r="CH230" s="63"/>
      <c r="CI230" s="63"/>
      <c r="CJ230" s="63"/>
      <c r="CK230" s="64">
        <f t="shared" si="1528"/>
        <v>0</v>
      </c>
      <c r="CL230" s="65">
        <f t="shared" si="1529"/>
        <v>0</v>
      </c>
      <c r="CM230" s="65">
        <f t="shared" si="1529"/>
        <v>0</v>
      </c>
      <c r="CN230" s="65">
        <f t="shared" si="1529"/>
        <v>0</v>
      </c>
      <c r="CO230" s="65">
        <f t="shared" si="1529"/>
        <v>0</v>
      </c>
      <c r="CP230" s="65">
        <f t="shared" si="1529"/>
        <v>0</v>
      </c>
      <c r="CQ230" s="65">
        <f t="shared" si="1529"/>
        <v>0</v>
      </c>
      <c r="CR230" s="65">
        <f t="shared" si="1529"/>
        <v>0</v>
      </c>
      <c r="CS230" s="65">
        <f t="shared" si="1529"/>
        <v>0</v>
      </c>
      <c r="CT230" s="65">
        <f t="shared" si="1529"/>
        <v>0</v>
      </c>
      <c r="CU230" s="65">
        <f t="shared" si="1529"/>
        <v>0</v>
      </c>
      <c r="CV230" s="64">
        <f t="shared" si="1530"/>
        <v>0</v>
      </c>
      <c r="CW230" s="62"/>
      <c r="CX230" s="63"/>
      <c r="CY230" s="63"/>
      <c r="CZ230" s="63"/>
      <c r="DA230" s="63"/>
      <c r="DB230" s="63"/>
      <c r="DC230" s="63"/>
      <c r="DD230" s="63"/>
      <c r="DE230" s="63"/>
      <c r="DF230" s="63"/>
      <c r="DG230" s="64">
        <f t="shared" si="1531"/>
        <v>0</v>
      </c>
      <c r="DH230" s="62"/>
      <c r="DI230" s="63"/>
      <c r="DJ230" s="63"/>
      <c r="DK230" s="63"/>
      <c r="DL230" s="63"/>
      <c r="DM230" s="63"/>
      <c r="DN230" s="63"/>
      <c r="DO230" s="63"/>
      <c r="DP230" s="63"/>
      <c r="DQ230" s="63"/>
      <c r="DR230" s="64">
        <f t="shared" si="1532"/>
        <v>0</v>
      </c>
      <c r="DS230" s="62"/>
      <c r="DT230" s="63"/>
      <c r="DU230" s="63"/>
      <c r="DV230" s="63"/>
      <c r="DW230" s="63"/>
      <c r="DX230" s="63"/>
      <c r="DY230" s="63"/>
      <c r="DZ230" s="63"/>
      <c r="EA230" s="63"/>
      <c r="EB230" s="63"/>
      <c r="EC230" s="63"/>
      <c r="ED230" s="65">
        <f t="shared" si="1533"/>
        <v>0</v>
      </c>
      <c r="EE230" s="65">
        <f t="shared" si="1533"/>
        <v>0</v>
      </c>
      <c r="EF230" s="65">
        <f t="shared" si="1533"/>
        <v>0</v>
      </c>
      <c r="EG230" s="65">
        <f t="shared" si="1533"/>
        <v>0</v>
      </c>
      <c r="EH230" s="65">
        <f t="shared" si="1533"/>
        <v>0</v>
      </c>
      <c r="EI230" s="65">
        <f t="shared" si="1533"/>
        <v>0</v>
      </c>
      <c r="EJ230" s="65">
        <f t="shared" si="1533"/>
        <v>0</v>
      </c>
      <c r="EK230" s="65">
        <f t="shared" si="1533"/>
        <v>0</v>
      </c>
      <c r="EL230" s="65">
        <f t="shared" si="1533"/>
        <v>0</v>
      </c>
      <c r="EM230" s="65">
        <f t="shared" si="1533"/>
        <v>0</v>
      </c>
      <c r="EN230" s="64">
        <f t="shared" si="1534"/>
        <v>0</v>
      </c>
      <c r="EO230" s="62"/>
      <c r="EP230" s="63"/>
      <c r="EQ230" s="63"/>
      <c r="ER230" s="63"/>
      <c r="ES230" s="63"/>
      <c r="ET230" s="63"/>
      <c r="EU230" s="63"/>
      <c r="EV230" s="63"/>
      <c r="EW230" s="63"/>
      <c r="EX230" s="63"/>
      <c r="EY230" s="64">
        <f t="shared" si="1535"/>
        <v>0</v>
      </c>
      <c r="EZ230" s="62"/>
      <c r="FA230" s="63"/>
      <c r="FB230" s="63"/>
      <c r="FC230" s="63"/>
      <c r="FD230" s="63"/>
      <c r="FE230" s="63"/>
      <c r="FF230" s="63"/>
      <c r="FG230" s="63"/>
      <c r="FH230" s="63"/>
      <c r="FI230" s="63"/>
      <c r="FJ230" s="64">
        <f t="shared" si="1536"/>
        <v>0</v>
      </c>
      <c r="FK230" s="62"/>
      <c r="FL230" s="63"/>
      <c r="FM230" s="63"/>
      <c r="FN230" s="63"/>
      <c r="FO230" s="63"/>
      <c r="FP230" s="63"/>
      <c r="FQ230" s="63"/>
      <c r="FR230" s="63"/>
      <c r="FS230" s="63"/>
      <c r="FT230" s="63"/>
      <c r="FU230" s="64">
        <f t="shared" si="1537"/>
        <v>0</v>
      </c>
      <c r="FV230" s="65">
        <f t="shared" si="1538"/>
        <v>0</v>
      </c>
      <c r="FW230" s="65">
        <f t="shared" si="1538"/>
        <v>0</v>
      </c>
      <c r="FX230" s="65">
        <f t="shared" si="1538"/>
        <v>0</v>
      </c>
      <c r="FY230" s="65">
        <f t="shared" si="1538"/>
        <v>0</v>
      </c>
      <c r="FZ230" s="65">
        <f t="shared" si="1538"/>
        <v>0</v>
      </c>
      <c r="GA230" s="65">
        <f t="shared" si="1538"/>
        <v>0</v>
      </c>
      <c r="GB230" s="65">
        <f t="shared" si="1538"/>
        <v>0</v>
      </c>
      <c r="GC230" s="65">
        <f t="shared" si="1538"/>
        <v>0</v>
      </c>
      <c r="GD230" s="65">
        <f t="shared" si="1538"/>
        <v>0</v>
      </c>
      <c r="GE230" s="65">
        <f t="shared" si="1538"/>
        <v>0</v>
      </c>
      <c r="GF230" s="64">
        <f t="shared" si="1539"/>
        <v>0</v>
      </c>
      <c r="GG230" s="66">
        <f t="shared" si="1540"/>
        <v>0</v>
      </c>
      <c r="GH230" s="66">
        <f t="shared" si="1540"/>
        <v>0</v>
      </c>
      <c r="GI230" s="66">
        <f t="shared" si="1540"/>
        <v>0</v>
      </c>
      <c r="GJ230" s="66">
        <f t="shared" si="1540"/>
        <v>0</v>
      </c>
      <c r="GK230" s="66">
        <f t="shared" si="1540"/>
        <v>0</v>
      </c>
      <c r="GL230" s="66">
        <f t="shared" si="1540"/>
        <v>0</v>
      </c>
      <c r="GM230" s="66">
        <f t="shared" si="1540"/>
        <v>0</v>
      </c>
      <c r="GN230" s="66">
        <f t="shared" si="1540"/>
        <v>0</v>
      </c>
      <c r="GO230" s="66">
        <f t="shared" si="1540"/>
        <v>0</v>
      </c>
      <c r="GP230" s="66">
        <f t="shared" si="1540"/>
        <v>0</v>
      </c>
      <c r="GQ230" s="64">
        <f t="shared" si="1541"/>
        <v>0</v>
      </c>
      <c r="GR230" s="63">
        <v>0</v>
      </c>
      <c r="GS230" s="63"/>
      <c r="GT230" s="63"/>
      <c r="GU230" s="63"/>
      <c r="GV230" s="67">
        <f t="shared" si="1542"/>
        <v>0</v>
      </c>
      <c r="GW230" s="63"/>
      <c r="GX230" s="63"/>
      <c r="GY230" s="63"/>
      <c r="GZ230" s="63"/>
      <c r="HA230" s="67">
        <f t="shared" si="1543"/>
        <v>0</v>
      </c>
      <c r="HB230" s="63"/>
      <c r="HC230" s="63"/>
      <c r="HD230" s="63"/>
      <c r="HE230" s="63"/>
      <c r="HF230" s="67">
        <f t="shared" si="1544"/>
        <v>0</v>
      </c>
      <c r="HG230" s="63"/>
      <c r="HH230" s="63"/>
      <c r="HI230" s="63"/>
      <c r="HJ230" s="63"/>
      <c r="HK230" s="67">
        <f t="shared" si="1545"/>
        <v>0</v>
      </c>
      <c r="HL230" s="68">
        <f t="shared" si="1546"/>
        <v>0</v>
      </c>
      <c r="HM230" s="68">
        <f t="shared" si="1546"/>
        <v>0</v>
      </c>
      <c r="HN230" s="68">
        <f t="shared" si="1546"/>
        <v>0</v>
      </c>
      <c r="HO230" s="68">
        <f t="shared" si="1546"/>
        <v>0</v>
      </c>
      <c r="HP230" s="67">
        <f t="shared" si="1547"/>
        <v>0</v>
      </c>
      <c r="HQ230" s="63"/>
      <c r="HR230" s="63"/>
      <c r="HS230" s="63"/>
      <c r="HT230" s="63"/>
      <c r="HU230" s="67">
        <f t="shared" si="1548"/>
        <v>0</v>
      </c>
      <c r="HV230" s="63"/>
      <c r="HW230" s="63"/>
      <c r="HX230" s="63"/>
      <c r="HY230" s="63"/>
      <c r="HZ230" s="67">
        <f t="shared" si="1549"/>
        <v>0</v>
      </c>
      <c r="IA230" s="63"/>
      <c r="IB230" s="63"/>
      <c r="IC230" s="63"/>
      <c r="ID230" s="63"/>
      <c r="IE230" s="67">
        <f t="shared" si="1550"/>
        <v>0</v>
      </c>
      <c r="IF230" s="68">
        <f t="shared" si="1551"/>
        <v>0</v>
      </c>
      <c r="IG230" s="68">
        <f t="shared" si="1551"/>
        <v>0</v>
      </c>
      <c r="IH230" s="68">
        <f t="shared" si="1551"/>
        <v>0</v>
      </c>
      <c r="II230" s="68">
        <f t="shared" si="1551"/>
        <v>0</v>
      </c>
      <c r="IJ230" s="67">
        <f t="shared" si="1552"/>
        <v>0</v>
      </c>
      <c r="IK230" s="63"/>
      <c r="IL230" s="63"/>
      <c r="IM230" s="63"/>
      <c r="IN230" s="63"/>
      <c r="IO230" s="67">
        <f t="shared" si="1553"/>
        <v>0</v>
      </c>
      <c r="IP230" s="63"/>
      <c r="IQ230" s="63"/>
      <c r="IR230" s="63"/>
      <c r="IS230" s="63"/>
      <c r="IT230" s="67">
        <f t="shared" si="1554"/>
        <v>0</v>
      </c>
      <c r="IU230" s="63"/>
      <c r="IV230" s="63"/>
    </row>
    <row r="231" spans="1:256" x14ac:dyDescent="0.25">
      <c r="A231" s="84" t="s">
        <v>199</v>
      </c>
      <c r="B231" s="62">
        <v>0</v>
      </c>
      <c r="C231" s="63">
        <v>0</v>
      </c>
      <c r="D231" s="63">
        <v>0</v>
      </c>
      <c r="E231" s="63">
        <v>0</v>
      </c>
      <c r="F231" s="63">
        <v>0</v>
      </c>
      <c r="G231" s="63">
        <v>0</v>
      </c>
      <c r="H231" s="63"/>
      <c r="I231" s="63"/>
      <c r="J231" s="63"/>
      <c r="K231" s="63"/>
      <c r="L231" s="64">
        <f t="shared" si="1520"/>
        <v>0</v>
      </c>
      <c r="M231" s="62"/>
      <c r="N231" s="63"/>
      <c r="O231" s="63"/>
      <c r="P231" s="63"/>
      <c r="Q231" s="63"/>
      <c r="R231" s="63"/>
      <c r="S231" s="63"/>
      <c r="T231" s="63"/>
      <c r="U231" s="63"/>
      <c r="V231" s="63"/>
      <c r="W231" s="64">
        <f t="shared" si="1521"/>
        <v>0</v>
      </c>
      <c r="X231" s="62"/>
      <c r="Y231" s="63"/>
      <c r="Z231" s="63"/>
      <c r="AA231" s="63"/>
      <c r="AB231" s="63"/>
      <c r="AC231" s="63"/>
      <c r="AD231" s="63"/>
      <c r="AE231" s="63"/>
      <c r="AF231" s="63"/>
      <c r="AG231" s="63"/>
      <c r="AH231" s="64">
        <f t="shared" si="1522"/>
        <v>0</v>
      </c>
      <c r="AI231" s="62"/>
      <c r="AJ231" s="63"/>
      <c r="AK231" s="63"/>
      <c r="AL231" s="63"/>
      <c r="AM231" s="63"/>
      <c r="AN231" s="63"/>
      <c r="AO231" s="63"/>
      <c r="AP231" s="63"/>
      <c r="AQ231" s="63"/>
      <c r="AR231" s="63"/>
      <c r="AS231" s="64">
        <f t="shared" si="1523"/>
        <v>0</v>
      </c>
      <c r="AT231" s="65">
        <f t="shared" si="1524"/>
        <v>0</v>
      </c>
      <c r="AU231" s="65">
        <f t="shared" si="1524"/>
        <v>0</v>
      </c>
      <c r="AV231" s="65">
        <f t="shared" si="1524"/>
        <v>0</v>
      </c>
      <c r="AW231" s="65">
        <f t="shared" si="1524"/>
        <v>0</v>
      </c>
      <c r="AX231" s="65">
        <f t="shared" si="1524"/>
        <v>0</v>
      </c>
      <c r="AY231" s="65">
        <f t="shared" si="1524"/>
        <v>0</v>
      </c>
      <c r="AZ231" s="65">
        <f t="shared" si="1524"/>
        <v>0</v>
      </c>
      <c r="BA231" s="65">
        <f t="shared" si="1524"/>
        <v>0</v>
      </c>
      <c r="BB231" s="65">
        <f t="shared" si="1524"/>
        <v>0</v>
      </c>
      <c r="BC231" s="65">
        <f t="shared" si="1524"/>
        <v>0</v>
      </c>
      <c r="BD231" s="64">
        <f t="shared" si="1525"/>
        <v>0</v>
      </c>
      <c r="BE231" s="62"/>
      <c r="BF231" s="63"/>
      <c r="BG231" s="63"/>
      <c r="BH231" s="63"/>
      <c r="BI231" s="63"/>
      <c r="BJ231" s="63"/>
      <c r="BK231" s="63"/>
      <c r="BL231" s="63"/>
      <c r="BM231" s="63"/>
      <c r="BN231" s="63"/>
      <c r="BO231" s="64">
        <f t="shared" si="1526"/>
        <v>0</v>
      </c>
      <c r="BP231" s="62"/>
      <c r="BQ231" s="63"/>
      <c r="BR231" s="63"/>
      <c r="BS231" s="63"/>
      <c r="BT231" s="63"/>
      <c r="BU231" s="63"/>
      <c r="BV231" s="63"/>
      <c r="BW231" s="63"/>
      <c r="BX231" s="63"/>
      <c r="BY231" s="63"/>
      <c r="BZ231" s="64">
        <f t="shared" si="1527"/>
        <v>0</v>
      </c>
      <c r="CA231" s="62"/>
      <c r="CB231" s="63"/>
      <c r="CC231" s="63"/>
      <c r="CD231" s="63"/>
      <c r="CE231" s="63"/>
      <c r="CF231" s="63"/>
      <c r="CG231" s="63"/>
      <c r="CH231" s="63"/>
      <c r="CI231" s="63"/>
      <c r="CJ231" s="63"/>
      <c r="CK231" s="64">
        <f t="shared" si="1528"/>
        <v>0</v>
      </c>
      <c r="CL231" s="65">
        <f t="shared" si="1529"/>
        <v>0</v>
      </c>
      <c r="CM231" s="65">
        <f t="shared" si="1529"/>
        <v>0</v>
      </c>
      <c r="CN231" s="65">
        <f t="shared" si="1529"/>
        <v>0</v>
      </c>
      <c r="CO231" s="65">
        <f t="shared" si="1529"/>
        <v>0</v>
      </c>
      <c r="CP231" s="65">
        <f t="shared" si="1529"/>
        <v>0</v>
      </c>
      <c r="CQ231" s="65">
        <f t="shared" si="1529"/>
        <v>0</v>
      </c>
      <c r="CR231" s="65">
        <f t="shared" si="1529"/>
        <v>0</v>
      </c>
      <c r="CS231" s="65">
        <f t="shared" si="1529"/>
        <v>0</v>
      </c>
      <c r="CT231" s="65">
        <f t="shared" si="1529"/>
        <v>0</v>
      </c>
      <c r="CU231" s="65">
        <f t="shared" si="1529"/>
        <v>0</v>
      </c>
      <c r="CV231" s="64">
        <f t="shared" si="1530"/>
        <v>0</v>
      </c>
      <c r="CW231" s="62"/>
      <c r="CX231" s="63"/>
      <c r="CY231" s="63"/>
      <c r="CZ231" s="63"/>
      <c r="DA231" s="63"/>
      <c r="DB231" s="63"/>
      <c r="DC231" s="63"/>
      <c r="DD231" s="63"/>
      <c r="DE231" s="63"/>
      <c r="DF231" s="63"/>
      <c r="DG231" s="64">
        <f t="shared" si="1531"/>
        <v>0</v>
      </c>
      <c r="DH231" s="62"/>
      <c r="DI231" s="63"/>
      <c r="DJ231" s="63"/>
      <c r="DK231" s="63"/>
      <c r="DL231" s="63"/>
      <c r="DM231" s="63"/>
      <c r="DN231" s="63"/>
      <c r="DO231" s="63"/>
      <c r="DP231" s="63"/>
      <c r="DQ231" s="63"/>
      <c r="DR231" s="64">
        <f t="shared" si="1532"/>
        <v>0</v>
      </c>
      <c r="DS231" s="62"/>
      <c r="DT231" s="63"/>
      <c r="DU231" s="63"/>
      <c r="DV231" s="63"/>
      <c r="DW231" s="63"/>
      <c r="DX231" s="63"/>
      <c r="DY231" s="63"/>
      <c r="DZ231" s="63"/>
      <c r="EA231" s="63"/>
      <c r="EB231" s="63"/>
      <c r="EC231" s="63"/>
      <c r="ED231" s="65">
        <f t="shared" si="1533"/>
        <v>0</v>
      </c>
      <c r="EE231" s="65">
        <f t="shared" si="1533"/>
        <v>0</v>
      </c>
      <c r="EF231" s="65">
        <f t="shared" si="1533"/>
        <v>0</v>
      </c>
      <c r="EG231" s="65">
        <f t="shared" si="1533"/>
        <v>0</v>
      </c>
      <c r="EH231" s="65">
        <f t="shared" si="1533"/>
        <v>0</v>
      </c>
      <c r="EI231" s="65">
        <f t="shared" si="1533"/>
        <v>0</v>
      </c>
      <c r="EJ231" s="65">
        <f t="shared" si="1533"/>
        <v>0</v>
      </c>
      <c r="EK231" s="65">
        <f t="shared" si="1533"/>
        <v>0</v>
      </c>
      <c r="EL231" s="65">
        <f t="shared" si="1533"/>
        <v>0</v>
      </c>
      <c r="EM231" s="65">
        <f t="shared" si="1533"/>
        <v>0</v>
      </c>
      <c r="EN231" s="64">
        <f t="shared" si="1534"/>
        <v>0</v>
      </c>
      <c r="EO231" s="62"/>
      <c r="EP231" s="63"/>
      <c r="EQ231" s="63"/>
      <c r="ER231" s="63"/>
      <c r="ES231" s="63"/>
      <c r="ET231" s="63"/>
      <c r="EU231" s="63"/>
      <c r="EV231" s="63"/>
      <c r="EW231" s="63"/>
      <c r="EX231" s="63"/>
      <c r="EY231" s="64">
        <f t="shared" si="1535"/>
        <v>0</v>
      </c>
      <c r="EZ231" s="62"/>
      <c r="FA231" s="63"/>
      <c r="FB231" s="63"/>
      <c r="FC231" s="63"/>
      <c r="FD231" s="63"/>
      <c r="FE231" s="63"/>
      <c r="FF231" s="63"/>
      <c r="FG231" s="63"/>
      <c r="FH231" s="63"/>
      <c r="FI231" s="63"/>
      <c r="FJ231" s="64">
        <f t="shared" si="1536"/>
        <v>0</v>
      </c>
      <c r="FK231" s="62"/>
      <c r="FL231" s="63"/>
      <c r="FM231" s="63"/>
      <c r="FN231" s="63"/>
      <c r="FO231" s="63"/>
      <c r="FP231" s="63"/>
      <c r="FQ231" s="63"/>
      <c r="FR231" s="63"/>
      <c r="FS231" s="63"/>
      <c r="FT231" s="63"/>
      <c r="FU231" s="64">
        <f t="shared" si="1537"/>
        <v>0</v>
      </c>
      <c r="FV231" s="65">
        <f t="shared" si="1538"/>
        <v>0</v>
      </c>
      <c r="FW231" s="65">
        <f t="shared" si="1538"/>
        <v>0</v>
      </c>
      <c r="FX231" s="65">
        <f t="shared" si="1538"/>
        <v>0</v>
      </c>
      <c r="FY231" s="65">
        <f t="shared" si="1538"/>
        <v>0</v>
      </c>
      <c r="FZ231" s="65">
        <f t="shared" si="1538"/>
        <v>0</v>
      </c>
      <c r="GA231" s="65">
        <f t="shared" si="1538"/>
        <v>0</v>
      </c>
      <c r="GB231" s="65">
        <f t="shared" si="1538"/>
        <v>0</v>
      </c>
      <c r="GC231" s="65">
        <f t="shared" si="1538"/>
        <v>0</v>
      </c>
      <c r="GD231" s="65">
        <f t="shared" si="1538"/>
        <v>0</v>
      </c>
      <c r="GE231" s="65">
        <f t="shared" si="1538"/>
        <v>0</v>
      </c>
      <c r="GF231" s="64">
        <f t="shared" si="1539"/>
        <v>0</v>
      </c>
      <c r="GG231" s="66">
        <f t="shared" si="1540"/>
        <v>0</v>
      </c>
      <c r="GH231" s="66">
        <f t="shared" si="1540"/>
        <v>0</v>
      </c>
      <c r="GI231" s="66">
        <f t="shared" si="1540"/>
        <v>0</v>
      </c>
      <c r="GJ231" s="66">
        <f t="shared" si="1540"/>
        <v>0</v>
      </c>
      <c r="GK231" s="66">
        <f t="shared" si="1540"/>
        <v>0</v>
      </c>
      <c r="GL231" s="66">
        <f t="shared" si="1540"/>
        <v>0</v>
      </c>
      <c r="GM231" s="66">
        <f t="shared" si="1540"/>
        <v>0</v>
      </c>
      <c r="GN231" s="66">
        <f t="shared" si="1540"/>
        <v>0</v>
      </c>
      <c r="GO231" s="66">
        <f t="shared" si="1540"/>
        <v>0</v>
      </c>
      <c r="GP231" s="66">
        <f t="shared" si="1540"/>
        <v>0</v>
      </c>
      <c r="GQ231" s="64">
        <f t="shared" si="1541"/>
        <v>0</v>
      </c>
      <c r="GR231" s="63">
        <v>0</v>
      </c>
      <c r="GS231" s="63">
        <v>0</v>
      </c>
      <c r="GT231" s="63"/>
      <c r="GU231" s="63"/>
      <c r="GV231" s="67">
        <f t="shared" si="1542"/>
        <v>0</v>
      </c>
      <c r="GW231" s="63"/>
      <c r="GX231" s="63"/>
      <c r="GY231" s="63"/>
      <c r="GZ231" s="63"/>
      <c r="HA231" s="67">
        <f t="shared" si="1543"/>
        <v>0</v>
      </c>
      <c r="HB231" s="63"/>
      <c r="HC231" s="63"/>
      <c r="HD231" s="63"/>
      <c r="HE231" s="63"/>
      <c r="HF231" s="67">
        <f t="shared" si="1544"/>
        <v>0</v>
      </c>
      <c r="HG231" s="63"/>
      <c r="HH231" s="63"/>
      <c r="HI231" s="63"/>
      <c r="HJ231" s="63"/>
      <c r="HK231" s="67">
        <f t="shared" si="1545"/>
        <v>0</v>
      </c>
      <c r="HL231" s="68">
        <f t="shared" si="1546"/>
        <v>0</v>
      </c>
      <c r="HM231" s="68">
        <f t="shared" si="1546"/>
        <v>0</v>
      </c>
      <c r="HN231" s="68">
        <f t="shared" si="1546"/>
        <v>0</v>
      </c>
      <c r="HO231" s="68">
        <f t="shared" si="1546"/>
        <v>0</v>
      </c>
      <c r="HP231" s="67">
        <f t="shared" si="1547"/>
        <v>0</v>
      </c>
      <c r="HQ231" s="63"/>
      <c r="HR231" s="63"/>
      <c r="HS231" s="63"/>
      <c r="HT231" s="63"/>
      <c r="HU231" s="67">
        <f t="shared" si="1548"/>
        <v>0</v>
      </c>
      <c r="HV231" s="63"/>
      <c r="HW231" s="63"/>
      <c r="HX231" s="63"/>
      <c r="HY231" s="63"/>
      <c r="HZ231" s="67">
        <f t="shared" si="1549"/>
        <v>0</v>
      </c>
      <c r="IA231" s="63"/>
      <c r="IB231" s="63"/>
      <c r="IC231" s="63"/>
      <c r="ID231" s="63"/>
      <c r="IE231" s="67">
        <f t="shared" si="1550"/>
        <v>0</v>
      </c>
      <c r="IF231" s="68">
        <f t="shared" si="1551"/>
        <v>0</v>
      </c>
      <c r="IG231" s="68">
        <f t="shared" si="1551"/>
        <v>0</v>
      </c>
      <c r="IH231" s="68">
        <f t="shared" si="1551"/>
        <v>0</v>
      </c>
      <c r="II231" s="68">
        <f t="shared" si="1551"/>
        <v>0</v>
      </c>
      <c r="IJ231" s="67">
        <f t="shared" si="1552"/>
        <v>0</v>
      </c>
      <c r="IK231" s="63"/>
      <c r="IL231" s="63"/>
      <c r="IM231" s="63"/>
      <c r="IN231" s="63"/>
      <c r="IO231" s="67">
        <f t="shared" si="1553"/>
        <v>0</v>
      </c>
      <c r="IP231" s="63"/>
      <c r="IQ231" s="63"/>
      <c r="IR231" s="63"/>
      <c r="IS231" s="63"/>
      <c r="IT231" s="67">
        <f t="shared" si="1554"/>
        <v>0</v>
      </c>
      <c r="IU231" s="63"/>
      <c r="IV231" s="63"/>
    </row>
    <row r="232" spans="1:256" x14ac:dyDescent="0.25">
      <c r="A232" s="83" t="s">
        <v>200</v>
      </c>
      <c r="B232" s="62">
        <v>0</v>
      </c>
      <c r="C232" s="63">
        <v>0</v>
      </c>
      <c r="D232" s="63">
        <v>0</v>
      </c>
      <c r="E232" s="63">
        <v>0</v>
      </c>
      <c r="F232" s="63">
        <v>0</v>
      </c>
      <c r="G232" s="63">
        <v>0</v>
      </c>
      <c r="H232" s="63"/>
      <c r="I232" s="63"/>
      <c r="J232" s="63"/>
      <c r="K232" s="63"/>
      <c r="L232" s="64">
        <f t="shared" si="1520"/>
        <v>0</v>
      </c>
      <c r="M232" s="62"/>
      <c r="N232" s="63"/>
      <c r="O232" s="63"/>
      <c r="P232" s="63"/>
      <c r="Q232" s="63"/>
      <c r="R232" s="63"/>
      <c r="S232" s="63"/>
      <c r="T232" s="63"/>
      <c r="U232" s="63"/>
      <c r="V232" s="63"/>
      <c r="W232" s="64">
        <f t="shared" si="1521"/>
        <v>0</v>
      </c>
      <c r="X232" s="62"/>
      <c r="Y232" s="63"/>
      <c r="Z232" s="63"/>
      <c r="AA232" s="63"/>
      <c r="AB232" s="63"/>
      <c r="AC232" s="63"/>
      <c r="AD232" s="63"/>
      <c r="AE232" s="63"/>
      <c r="AF232" s="63"/>
      <c r="AG232" s="63"/>
      <c r="AH232" s="64">
        <f t="shared" si="1522"/>
        <v>0</v>
      </c>
      <c r="AI232" s="62"/>
      <c r="AJ232" s="63"/>
      <c r="AK232" s="63"/>
      <c r="AL232" s="63"/>
      <c r="AM232" s="63"/>
      <c r="AN232" s="63"/>
      <c r="AO232" s="63"/>
      <c r="AP232" s="63"/>
      <c r="AQ232" s="63"/>
      <c r="AR232" s="63"/>
      <c r="AS232" s="64">
        <f t="shared" si="1523"/>
        <v>0</v>
      </c>
      <c r="AT232" s="65">
        <f t="shared" si="1524"/>
        <v>0</v>
      </c>
      <c r="AU232" s="65">
        <f t="shared" si="1524"/>
        <v>0</v>
      </c>
      <c r="AV232" s="65">
        <f t="shared" si="1524"/>
        <v>0</v>
      </c>
      <c r="AW232" s="65">
        <f t="shared" si="1524"/>
        <v>0</v>
      </c>
      <c r="AX232" s="65">
        <f t="shared" si="1524"/>
        <v>0</v>
      </c>
      <c r="AY232" s="65">
        <f t="shared" si="1524"/>
        <v>0</v>
      </c>
      <c r="AZ232" s="65">
        <f t="shared" si="1524"/>
        <v>0</v>
      </c>
      <c r="BA232" s="65">
        <f t="shared" si="1524"/>
        <v>0</v>
      </c>
      <c r="BB232" s="65">
        <f t="shared" si="1524"/>
        <v>0</v>
      </c>
      <c r="BC232" s="65">
        <f t="shared" si="1524"/>
        <v>0</v>
      </c>
      <c r="BD232" s="64">
        <f t="shared" si="1525"/>
        <v>0</v>
      </c>
      <c r="BE232" s="62"/>
      <c r="BF232" s="63"/>
      <c r="BG232" s="63"/>
      <c r="BH232" s="63"/>
      <c r="BI232" s="63"/>
      <c r="BJ232" s="63"/>
      <c r="BK232" s="63"/>
      <c r="BL232" s="63"/>
      <c r="BM232" s="63"/>
      <c r="BN232" s="63"/>
      <c r="BO232" s="64">
        <f t="shared" si="1526"/>
        <v>0</v>
      </c>
      <c r="BP232" s="62"/>
      <c r="BQ232" s="63"/>
      <c r="BR232" s="63"/>
      <c r="BS232" s="63"/>
      <c r="BT232" s="63"/>
      <c r="BU232" s="63"/>
      <c r="BV232" s="63"/>
      <c r="BW232" s="63"/>
      <c r="BX232" s="63"/>
      <c r="BY232" s="63"/>
      <c r="BZ232" s="64">
        <f t="shared" si="1527"/>
        <v>0</v>
      </c>
      <c r="CA232" s="62"/>
      <c r="CB232" s="63"/>
      <c r="CC232" s="63"/>
      <c r="CD232" s="63"/>
      <c r="CE232" s="63"/>
      <c r="CF232" s="63"/>
      <c r="CG232" s="63"/>
      <c r="CH232" s="63"/>
      <c r="CI232" s="63"/>
      <c r="CJ232" s="63"/>
      <c r="CK232" s="64">
        <f t="shared" si="1528"/>
        <v>0</v>
      </c>
      <c r="CL232" s="65">
        <f t="shared" si="1529"/>
        <v>0</v>
      </c>
      <c r="CM232" s="65">
        <f t="shared" si="1529"/>
        <v>0</v>
      </c>
      <c r="CN232" s="65">
        <f t="shared" si="1529"/>
        <v>0</v>
      </c>
      <c r="CO232" s="65">
        <f t="shared" si="1529"/>
        <v>0</v>
      </c>
      <c r="CP232" s="65">
        <f t="shared" si="1529"/>
        <v>0</v>
      </c>
      <c r="CQ232" s="65">
        <f t="shared" si="1529"/>
        <v>0</v>
      </c>
      <c r="CR232" s="65">
        <f t="shared" si="1529"/>
        <v>0</v>
      </c>
      <c r="CS232" s="65">
        <f t="shared" si="1529"/>
        <v>0</v>
      </c>
      <c r="CT232" s="65">
        <f t="shared" si="1529"/>
        <v>0</v>
      </c>
      <c r="CU232" s="65">
        <f t="shared" si="1529"/>
        <v>0</v>
      </c>
      <c r="CV232" s="64">
        <f t="shared" si="1530"/>
        <v>0</v>
      </c>
      <c r="CW232" s="62"/>
      <c r="CX232" s="63"/>
      <c r="CY232" s="63"/>
      <c r="CZ232" s="63"/>
      <c r="DA232" s="63"/>
      <c r="DB232" s="63"/>
      <c r="DC232" s="63"/>
      <c r="DD232" s="63"/>
      <c r="DE232" s="63"/>
      <c r="DF232" s="63"/>
      <c r="DG232" s="64">
        <f t="shared" si="1531"/>
        <v>0</v>
      </c>
      <c r="DH232" s="62"/>
      <c r="DI232" s="63"/>
      <c r="DJ232" s="63"/>
      <c r="DK232" s="63"/>
      <c r="DL232" s="63"/>
      <c r="DM232" s="63"/>
      <c r="DN232" s="63"/>
      <c r="DO232" s="63"/>
      <c r="DP232" s="63"/>
      <c r="DQ232" s="63"/>
      <c r="DR232" s="64">
        <f t="shared" si="1532"/>
        <v>0</v>
      </c>
      <c r="DS232" s="62"/>
      <c r="DT232" s="63"/>
      <c r="DU232" s="63"/>
      <c r="DV232" s="63"/>
      <c r="DW232" s="63"/>
      <c r="DX232" s="63"/>
      <c r="DY232" s="63"/>
      <c r="DZ232" s="63"/>
      <c r="EA232" s="63"/>
      <c r="EB232" s="63"/>
      <c r="EC232" s="63"/>
      <c r="ED232" s="65">
        <f t="shared" si="1533"/>
        <v>0</v>
      </c>
      <c r="EE232" s="65">
        <f t="shared" si="1533"/>
        <v>0</v>
      </c>
      <c r="EF232" s="65">
        <f t="shared" si="1533"/>
        <v>0</v>
      </c>
      <c r="EG232" s="65">
        <f t="shared" si="1533"/>
        <v>0</v>
      </c>
      <c r="EH232" s="65">
        <f t="shared" si="1533"/>
        <v>0</v>
      </c>
      <c r="EI232" s="65">
        <f t="shared" si="1533"/>
        <v>0</v>
      </c>
      <c r="EJ232" s="65">
        <f t="shared" si="1533"/>
        <v>0</v>
      </c>
      <c r="EK232" s="65">
        <f t="shared" si="1533"/>
        <v>0</v>
      </c>
      <c r="EL232" s="65">
        <f t="shared" si="1533"/>
        <v>0</v>
      </c>
      <c r="EM232" s="65">
        <f t="shared" si="1533"/>
        <v>0</v>
      </c>
      <c r="EN232" s="64">
        <f t="shared" si="1534"/>
        <v>0</v>
      </c>
      <c r="EO232" s="62"/>
      <c r="EP232" s="63"/>
      <c r="EQ232" s="63"/>
      <c r="ER232" s="63"/>
      <c r="ES232" s="63"/>
      <c r="ET232" s="63"/>
      <c r="EU232" s="63"/>
      <c r="EV232" s="63"/>
      <c r="EW232" s="63"/>
      <c r="EX232" s="63"/>
      <c r="EY232" s="64">
        <f t="shared" si="1535"/>
        <v>0</v>
      </c>
      <c r="EZ232" s="62"/>
      <c r="FA232" s="63"/>
      <c r="FB232" s="63"/>
      <c r="FC232" s="63"/>
      <c r="FD232" s="63"/>
      <c r="FE232" s="63"/>
      <c r="FF232" s="63"/>
      <c r="FG232" s="63"/>
      <c r="FH232" s="63"/>
      <c r="FI232" s="63"/>
      <c r="FJ232" s="64">
        <f t="shared" si="1536"/>
        <v>0</v>
      </c>
      <c r="FK232" s="62"/>
      <c r="FL232" s="63"/>
      <c r="FM232" s="63"/>
      <c r="FN232" s="63"/>
      <c r="FO232" s="63"/>
      <c r="FP232" s="63"/>
      <c r="FQ232" s="63"/>
      <c r="FR232" s="63"/>
      <c r="FS232" s="63"/>
      <c r="FT232" s="63"/>
      <c r="FU232" s="64">
        <f t="shared" si="1537"/>
        <v>0</v>
      </c>
      <c r="FV232" s="65">
        <f t="shared" si="1538"/>
        <v>0</v>
      </c>
      <c r="FW232" s="65">
        <f t="shared" si="1538"/>
        <v>0</v>
      </c>
      <c r="FX232" s="65">
        <f t="shared" si="1538"/>
        <v>0</v>
      </c>
      <c r="FY232" s="65">
        <f t="shared" si="1538"/>
        <v>0</v>
      </c>
      <c r="FZ232" s="65">
        <f t="shared" si="1538"/>
        <v>0</v>
      </c>
      <c r="GA232" s="65">
        <f t="shared" si="1538"/>
        <v>0</v>
      </c>
      <c r="GB232" s="65">
        <f t="shared" si="1538"/>
        <v>0</v>
      </c>
      <c r="GC232" s="65">
        <f t="shared" si="1538"/>
        <v>0</v>
      </c>
      <c r="GD232" s="65">
        <f t="shared" si="1538"/>
        <v>0</v>
      </c>
      <c r="GE232" s="65">
        <f t="shared" si="1538"/>
        <v>0</v>
      </c>
      <c r="GF232" s="64">
        <f t="shared" si="1539"/>
        <v>0</v>
      </c>
      <c r="GG232" s="66">
        <f t="shared" si="1540"/>
        <v>0</v>
      </c>
      <c r="GH232" s="66">
        <f t="shared" si="1540"/>
        <v>0</v>
      </c>
      <c r="GI232" s="66">
        <f t="shared" si="1540"/>
        <v>0</v>
      </c>
      <c r="GJ232" s="66">
        <f t="shared" si="1540"/>
        <v>0</v>
      </c>
      <c r="GK232" s="66">
        <f t="shared" si="1540"/>
        <v>0</v>
      </c>
      <c r="GL232" s="66">
        <f t="shared" si="1540"/>
        <v>0</v>
      </c>
      <c r="GM232" s="66">
        <f t="shared" si="1540"/>
        <v>0</v>
      </c>
      <c r="GN232" s="66">
        <f t="shared" si="1540"/>
        <v>0</v>
      </c>
      <c r="GO232" s="66">
        <f t="shared" si="1540"/>
        <v>0</v>
      </c>
      <c r="GP232" s="66">
        <f t="shared" si="1540"/>
        <v>0</v>
      </c>
      <c r="GQ232" s="64">
        <f t="shared" si="1541"/>
        <v>0</v>
      </c>
      <c r="GR232" s="63">
        <v>0</v>
      </c>
      <c r="GS232" s="63">
        <v>0</v>
      </c>
      <c r="GT232" s="63"/>
      <c r="GU232" s="63"/>
      <c r="GV232" s="67">
        <f t="shared" si="1542"/>
        <v>0</v>
      </c>
      <c r="GW232" s="63"/>
      <c r="GX232" s="63"/>
      <c r="GY232" s="63"/>
      <c r="GZ232" s="63"/>
      <c r="HA232" s="67">
        <f t="shared" si="1543"/>
        <v>0</v>
      </c>
      <c r="HB232" s="63"/>
      <c r="HC232" s="63"/>
      <c r="HD232" s="63"/>
      <c r="HE232" s="63"/>
      <c r="HF232" s="67">
        <f t="shared" si="1544"/>
        <v>0</v>
      </c>
      <c r="HG232" s="63"/>
      <c r="HH232" s="63"/>
      <c r="HI232" s="63"/>
      <c r="HJ232" s="63"/>
      <c r="HK232" s="67">
        <f t="shared" si="1545"/>
        <v>0</v>
      </c>
      <c r="HL232" s="68">
        <f t="shared" si="1546"/>
        <v>0</v>
      </c>
      <c r="HM232" s="68">
        <f t="shared" si="1546"/>
        <v>0</v>
      </c>
      <c r="HN232" s="68">
        <f t="shared" si="1546"/>
        <v>0</v>
      </c>
      <c r="HO232" s="68">
        <f t="shared" si="1546"/>
        <v>0</v>
      </c>
      <c r="HP232" s="67">
        <f t="shared" si="1547"/>
        <v>0</v>
      </c>
      <c r="HQ232" s="63"/>
      <c r="HR232" s="63"/>
      <c r="HS232" s="63"/>
      <c r="HT232" s="63"/>
      <c r="HU232" s="67">
        <f t="shared" si="1548"/>
        <v>0</v>
      </c>
      <c r="HV232" s="63"/>
      <c r="HW232" s="63"/>
      <c r="HX232" s="63"/>
      <c r="HY232" s="63"/>
      <c r="HZ232" s="67">
        <f t="shared" si="1549"/>
        <v>0</v>
      </c>
      <c r="IA232" s="63"/>
      <c r="IB232" s="63"/>
      <c r="IC232" s="63"/>
      <c r="ID232" s="63"/>
      <c r="IE232" s="67">
        <f t="shared" si="1550"/>
        <v>0</v>
      </c>
      <c r="IF232" s="68">
        <f t="shared" si="1551"/>
        <v>0</v>
      </c>
      <c r="IG232" s="68">
        <f t="shared" si="1551"/>
        <v>0</v>
      </c>
      <c r="IH232" s="68">
        <f t="shared" si="1551"/>
        <v>0</v>
      </c>
      <c r="II232" s="68">
        <f t="shared" si="1551"/>
        <v>0</v>
      </c>
      <c r="IJ232" s="67">
        <f t="shared" si="1552"/>
        <v>0</v>
      </c>
      <c r="IK232" s="63"/>
      <c r="IL232" s="63"/>
      <c r="IM232" s="63"/>
      <c r="IN232" s="63"/>
      <c r="IO232" s="67">
        <f t="shared" si="1553"/>
        <v>0</v>
      </c>
      <c r="IP232" s="63"/>
      <c r="IQ232" s="63"/>
      <c r="IR232" s="63"/>
      <c r="IS232" s="63"/>
      <c r="IT232" s="67">
        <f t="shared" si="1554"/>
        <v>0</v>
      </c>
      <c r="IU232" s="63"/>
      <c r="IV232" s="63"/>
    </row>
    <row r="233" spans="1:256" x14ac:dyDescent="0.25">
      <c r="A233" s="84" t="s">
        <v>201</v>
      </c>
      <c r="B233" s="62">
        <v>10</v>
      </c>
      <c r="C233" s="63">
        <v>0</v>
      </c>
      <c r="D233" s="63">
        <v>0</v>
      </c>
      <c r="E233" s="63">
        <v>0</v>
      </c>
      <c r="F233" s="63">
        <v>0</v>
      </c>
      <c r="G233" s="63">
        <v>10</v>
      </c>
      <c r="H233" s="63"/>
      <c r="I233" s="63"/>
      <c r="J233" s="63"/>
      <c r="K233" s="63"/>
      <c r="L233" s="64">
        <f t="shared" si="1520"/>
        <v>0</v>
      </c>
      <c r="M233" s="62"/>
      <c r="N233" s="63"/>
      <c r="O233" s="63"/>
      <c r="P233" s="63"/>
      <c r="Q233" s="63"/>
      <c r="R233" s="63"/>
      <c r="S233" s="63"/>
      <c r="T233" s="63"/>
      <c r="U233" s="63"/>
      <c r="V233" s="63"/>
      <c r="W233" s="64">
        <f t="shared" si="1521"/>
        <v>0</v>
      </c>
      <c r="X233" s="62"/>
      <c r="Y233" s="63"/>
      <c r="Z233" s="63"/>
      <c r="AA233" s="63"/>
      <c r="AB233" s="63"/>
      <c r="AC233" s="63"/>
      <c r="AD233" s="63"/>
      <c r="AE233" s="63"/>
      <c r="AF233" s="63"/>
      <c r="AG233" s="63"/>
      <c r="AH233" s="64">
        <f t="shared" si="1522"/>
        <v>0</v>
      </c>
      <c r="AI233" s="62"/>
      <c r="AJ233" s="63"/>
      <c r="AK233" s="63"/>
      <c r="AL233" s="63"/>
      <c r="AM233" s="63"/>
      <c r="AN233" s="63"/>
      <c r="AO233" s="63"/>
      <c r="AP233" s="63"/>
      <c r="AQ233" s="63"/>
      <c r="AR233" s="63"/>
      <c r="AS233" s="64">
        <f t="shared" si="1523"/>
        <v>0</v>
      </c>
      <c r="AT233" s="65">
        <f t="shared" si="1524"/>
        <v>0</v>
      </c>
      <c r="AU233" s="65">
        <f t="shared" si="1524"/>
        <v>0</v>
      </c>
      <c r="AV233" s="65">
        <f t="shared" si="1524"/>
        <v>0</v>
      </c>
      <c r="AW233" s="65">
        <f t="shared" si="1524"/>
        <v>0</v>
      </c>
      <c r="AX233" s="65">
        <f t="shared" si="1524"/>
        <v>0</v>
      </c>
      <c r="AY233" s="65">
        <f t="shared" si="1524"/>
        <v>0</v>
      </c>
      <c r="AZ233" s="65">
        <f t="shared" si="1524"/>
        <v>0</v>
      </c>
      <c r="BA233" s="65">
        <f t="shared" si="1524"/>
        <v>0</v>
      </c>
      <c r="BB233" s="65">
        <f t="shared" si="1524"/>
        <v>0</v>
      </c>
      <c r="BC233" s="65">
        <f t="shared" si="1524"/>
        <v>0</v>
      </c>
      <c r="BD233" s="64">
        <f t="shared" si="1525"/>
        <v>0</v>
      </c>
      <c r="BE233" s="62"/>
      <c r="BF233" s="63"/>
      <c r="BG233" s="63"/>
      <c r="BH233" s="63"/>
      <c r="BI233" s="63"/>
      <c r="BJ233" s="63"/>
      <c r="BK233" s="63"/>
      <c r="BL233" s="63"/>
      <c r="BM233" s="63"/>
      <c r="BN233" s="63"/>
      <c r="BO233" s="64">
        <f t="shared" si="1526"/>
        <v>0</v>
      </c>
      <c r="BP233" s="62"/>
      <c r="BQ233" s="63"/>
      <c r="BR233" s="63"/>
      <c r="BS233" s="63"/>
      <c r="BT233" s="63"/>
      <c r="BU233" s="63"/>
      <c r="BV233" s="63"/>
      <c r="BW233" s="63"/>
      <c r="BX233" s="63"/>
      <c r="BY233" s="63"/>
      <c r="BZ233" s="64">
        <f t="shared" si="1527"/>
        <v>0</v>
      </c>
      <c r="CA233" s="62"/>
      <c r="CB233" s="63"/>
      <c r="CC233" s="63"/>
      <c r="CD233" s="63"/>
      <c r="CE233" s="63"/>
      <c r="CF233" s="63"/>
      <c r="CG233" s="63"/>
      <c r="CH233" s="63"/>
      <c r="CI233" s="63"/>
      <c r="CJ233" s="63"/>
      <c r="CK233" s="64">
        <f t="shared" si="1528"/>
        <v>0</v>
      </c>
      <c r="CL233" s="65">
        <f t="shared" si="1529"/>
        <v>0</v>
      </c>
      <c r="CM233" s="65">
        <f t="shared" si="1529"/>
        <v>0</v>
      </c>
      <c r="CN233" s="65">
        <f t="shared" si="1529"/>
        <v>0</v>
      </c>
      <c r="CO233" s="65">
        <f t="shared" si="1529"/>
        <v>0</v>
      </c>
      <c r="CP233" s="65">
        <f t="shared" si="1529"/>
        <v>0</v>
      </c>
      <c r="CQ233" s="65">
        <f t="shared" si="1529"/>
        <v>0</v>
      </c>
      <c r="CR233" s="65">
        <f t="shared" si="1529"/>
        <v>0</v>
      </c>
      <c r="CS233" s="65">
        <f t="shared" si="1529"/>
        <v>0</v>
      </c>
      <c r="CT233" s="65">
        <f t="shared" si="1529"/>
        <v>0</v>
      </c>
      <c r="CU233" s="65">
        <f t="shared" si="1529"/>
        <v>0</v>
      </c>
      <c r="CV233" s="64">
        <f t="shared" si="1530"/>
        <v>0</v>
      </c>
      <c r="CW233" s="62"/>
      <c r="CX233" s="63"/>
      <c r="CY233" s="63"/>
      <c r="CZ233" s="63"/>
      <c r="DA233" s="63"/>
      <c r="DB233" s="63"/>
      <c r="DC233" s="63"/>
      <c r="DD233" s="63"/>
      <c r="DE233" s="63"/>
      <c r="DF233" s="63"/>
      <c r="DG233" s="64">
        <f t="shared" si="1531"/>
        <v>0</v>
      </c>
      <c r="DH233" s="62"/>
      <c r="DI233" s="63"/>
      <c r="DJ233" s="63"/>
      <c r="DK233" s="63"/>
      <c r="DL233" s="63"/>
      <c r="DM233" s="63"/>
      <c r="DN233" s="63"/>
      <c r="DO233" s="63"/>
      <c r="DP233" s="63"/>
      <c r="DQ233" s="63"/>
      <c r="DR233" s="64">
        <f t="shared" si="1532"/>
        <v>0</v>
      </c>
      <c r="DS233" s="62"/>
      <c r="DT233" s="63"/>
      <c r="DU233" s="63"/>
      <c r="DV233" s="63"/>
      <c r="DW233" s="63"/>
      <c r="DX233" s="63"/>
      <c r="DY233" s="63"/>
      <c r="DZ233" s="63"/>
      <c r="EA233" s="63"/>
      <c r="EB233" s="63"/>
      <c r="EC233" s="63"/>
      <c r="ED233" s="65">
        <f t="shared" si="1533"/>
        <v>0</v>
      </c>
      <c r="EE233" s="65">
        <f t="shared" si="1533"/>
        <v>0</v>
      </c>
      <c r="EF233" s="65">
        <f t="shared" si="1533"/>
        <v>0</v>
      </c>
      <c r="EG233" s="65">
        <f t="shared" si="1533"/>
        <v>0</v>
      </c>
      <c r="EH233" s="65">
        <f t="shared" si="1533"/>
        <v>0</v>
      </c>
      <c r="EI233" s="65">
        <f t="shared" si="1533"/>
        <v>0</v>
      </c>
      <c r="EJ233" s="65">
        <f t="shared" si="1533"/>
        <v>0</v>
      </c>
      <c r="EK233" s="65">
        <f t="shared" si="1533"/>
        <v>0</v>
      </c>
      <c r="EL233" s="65">
        <f t="shared" si="1533"/>
        <v>0</v>
      </c>
      <c r="EM233" s="65">
        <f t="shared" si="1533"/>
        <v>0</v>
      </c>
      <c r="EN233" s="64">
        <f t="shared" si="1534"/>
        <v>0</v>
      </c>
      <c r="EO233" s="62"/>
      <c r="EP233" s="63"/>
      <c r="EQ233" s="63"/>
      <c r="ER233" s="63"/>
      <c r="ES233" s="63"/>
      <c r="ET233" s="63"/>
      <c r="EU233" s="63"/>
      <c r="EV233" s="63"/>
      <c r="EW233" s="63"/>
      <c r="EX233" s="63"/>
      <c r="EY233" s="64">
        <f t="shared" si="1535"/>
        <v>0</v>
      </c>
      <c r="EZ233" s="62"/>
      <c r="FA233" s="63"/>
      <c r="FB233" s="63"/>
      <c r="FC233" s="63"/>
      <c r="FD233" s="63"/>
      <c r="FE233" s="63"/>
      <c r="FF233" s="63"/>
      <c r="FG233" s="63"/>
      <c r="FH233" s="63"/>
      <c r="FI233" s="63"/>
      <c r="FJ233" s="64">
        <f t="shared" si="1536"/>
        <v>0</v>
      </c>
      <c r="FK233" s="62"/>
      <c r="FL233" s="63"/>
      <c r="FM233" s="63"/>
      <c r="FN233" s="63"/>
      <c r="FO233" s="63"/>
      <c r="FP233" s="63"/>
      <c r="FQ233" s="63"/>
      <c r="FR233" s="63"/>
      <c r="FS233" s="63"/>
      <c r="FT233" s="63"/>
      <c r="FU233" s="64">
        <f t="shared" si="1537"/>
        <v>0</v>
      </c>
      <c r="FV233" s="65">
        <f t="shared" si="1538"/>
        <v>0</v>
      </c>
      <c r="FW233" s="65">
        <f t="shared" si="1538"/>
        <v>0</v>
      </c>
      <c r="FX233" s="65">
        <f t="shared" si="1538"/>
        <v>0</v>
      </c>
      <c r="FY233" s="65">
        <f t="shared" si="1538"/>
        <v>0</v>
      </c>
      <c r="FZ233" s="65">
        <f t="shared" si="1538"/>
        <v>0</v>
      </c>
      <c r="GA233" s="65">
        <f t="shared" si="1538"/>
        <v>0</v>
      </c>
      <c r="GB233" s="65">
        <f t="shared" si="1538"/>
        <v>0</v>
      </c>
      <c r="GC233" s="65">
        <f t="shared" si="1538"/>
        <v>0</v>
      </c>
      <c r="GD233" s="65">
        <f t="shared" si="1538"/>
        <v>0</v>
      </c>
      <c r="GE233" s="65">
        <f t="shared" si="1538"/>
        <v>0</v>
      </c>
      <c r="GF233" s="64">
        <f t="shared" si="1539"/>
        <v>0</v>
      </c>
      <c r="GG233" s="66">
        <f t="shared" si="1540"/>
        <v>0</v>
      </c>
      <c r="GH233" s="66">
        <f t="shared" si="1540"/>
        <v>0</v>
      </c>
      <c r="GI233" s="66">
        <f t="shared" si="1540"/>
        <v>0</v>
      </c>
      <c r="GJ233" s="66">
        <f t="shared" si="1540"/>
        <v>0</v>
      </c>
      <c r="GK233" s="66">
        <f t="shared" si="1540"/>
        <v>0</v>
      </c>
      <c r="GL233" s="66">
        <f t="shared" si="1540"/>
        <v>0</v>
      </c>
      <c r="GM233" s="66">
        <f t="shared" si="1540"/>
        <v>0</v>
      </c>
      <c r="GN233" s="66">
        <f t="shared" si="1540"/>
        <v>0</v>
      </c>
      <c r="GO233" s="66">
        <f t="shared" si="1540"/>
        <v>0</v>
      </c>
      <c r="GP233" s="66">
        <f t="shared" si="1540"/>
        <v>0</v>
      </c>
      <c r="GQ233" s="64">
        <f t="shared" si="1541"/>
        <v>0</v>
      </c>
      <c r="GR233" s="63">
        <v>0</v>
      </c>
      <c r="GS233" s="63"/>
      <c r="GT233" s="63"/>
      <c r="GU233" s="63"/>
      <c r="GV233" s="67">
        <f t="shared" si="1542"/>
        <v>0</v>
      </c>
      <c r="GW233" s="63"/>
      <c r="GX233" s="63"/>
      <c r="GY233" s="63"/>
      <c r="GZ233" s="63"/>
      <c r="HA233" s="67">
        <f t="shared" si="1543"/>
        <v>0</v>
      </c>
      <c r="HB233" s="63"/>
      <c r="HC233" s="63"/>
      <c r="HD233" s="63"/>
      <c r="HE233" s="63"/>
      <c r="HF233" s="67">
        <f t="shared" si="1544"/>
        <v>0</v>
      </c>
      <c r="HG233" s="63"/>
      <c r="HH233" s="63"/>
      <c r="HI233" s="63"/>
      <c r="HJ233" s="63"/>
      <c r="HK233" s="67">
        <f t="shared" si="1545"/>
        <v>0</v>
      </c>
      <c r="HL233" s="68">
        <f t="shared" si="1546"/>
        <v>0</v>
      </c>
      <c r="HM233" s="68">
        <f t="shared" si="1546"/>
        <v>0</v>
      </c>
      <c r="HN233" s="68">
        <f t="shared" si="1546"/>
        <v>0</v>
      </c>
      <c r="HO233" s="68">
        <f t="shared" si="1546"/>
        <v>0</v>
      </c>
      <c r="HP233" s="67">
        <f t="shared" si="1547"/>
        <v>0</v>
      </c>
      <c r="HQ233" s="63"/>
      <c r="HR233" s="63"/>
      <c r="HS233" s="63"/>
      <c r="HT233" s="63"/>
      <c r="HU233" s="67">
        <f t="shared" si="1548"/>
        <v>0</v>
      </c>
      <c r="HV233" s="63"/>
      <c r="HW233" s="63"/>
      <c r="HX233" s="63"/>
      <c r="HY233" s="63"/>
      <c r="HZ233" s="67">
        <f t="shared" si="1549"/>
        <v>0</v>
      </c>
      <c r="IA233" s="63"/>
      <c r="IB233" s="63"/>
      <c r="IC233" s="63"/>
      <c r="ID233" s="63"/>
      <c r="IE233" s="67">
        <f t="shared" si="1550"/>
        <v>0</v>
      </c>
      <c r="IF233" s="68">
        <f t="shared" si="1551"/>
        <v>0</v>
      </c>
      <c r="IG233" s="68">
        <f t="shared" si="1551"/>
        <v>0</v>
      </c>
      <c r="IH233" s="68">
        <f t="shared" si="1551"/>
        <v>0</v>
      </c>
      <c r="II233" s="68">
        <f t="shared" si="1551"/>
        <v>0</v>
      </c>
      <c r="IJ233" s="67">
        <f t="shared" si="1552"/>
        <v>0</v>
      </c>
      <c r="IK233" s="63"/>
      <c r="IL233" s="63"/>
      <c r="IM233" s="63"/>
      <c r="IN233" s="63"/>
      <c r="IO233" s="67">
        <f t="shared" si="1553"/>
        <v>0</v>
      </c>
      <c r="IP233" s="63"/>
      <c r="IQ233" s="63"/>
      <c r="IR233" s="63"/>
      <c r="IS233" s="63"/>
      <c r="IT233" s="67">
        <f t="shared" si="1554"/>
        <v>0</v>
      </c>
      <c r="IU233" s="63"/>
      <c r="IV233" s="63"/>
    </row>
    <row r="234" spans="1:256" x14ac:dyDescent="0.25">
      <c r="A234" s="84" t="s">
        <v>202</v>
      </c>
      <c r="B234" s="62">
        <v>0</v>
      </c>
      <c r="C234" s="63">
        <v>0</v>
      </c>
      <c r="D234" s="63">
        <v>0</v>
      </c>
      <c r="E234" s="63">
        <v>0</v>
      </c>
      <c r="F234" s="63">
        <v>0</v>
      </c>
      <c r="G234" s="63">
        <v>0</v>
      </c>
      <c r="H234" s="63"/>
      <c r="I234" s="63"/>
      <c r="J234" s="63"/>
      <c r="K234" s="63"/>
      <c r="L234" s="64">
        <f t="shared" si="1520"/>
        <v>0</v>
      </c>
      <c r="M234" s="62"/>
      <c r="N234" s="63"/>
      <c r="O234" s="63"/>
      <c r="P234" s="63"/>
      <c r="Q234" s="63"/>
      <c r="R234" s="63"/>
      <c r="S234" s="63"/>
      <c r="T234" s="63"/>
      <c r="U234" s="63"/>
      <c r="V234" s="63"/>
      <c r="W234" s="64">
        <f t="shared" si="1521"/>
        <v>0</v>
      </c>
      <c r="X234" s="62"/>
      <c r="Y234" s="63"/>
      <c r="Z234" s="63"/>
      <c r="AA234" s="63"/>
      <c r="AB234" s="63"/>
      <c r="AC234" s="63"/>
      <c r="AD234" s="63"/>
      <c r="AE234" s="63"/>
      <c r="AF234" s="63"/>
      <c r="AG234" s="63"/>
      <c r="AH234" s="64">
        <f t="shared" si="1522"/>
        <v>0</v>
      </c>
      <c r="AI234" s="62"/>
      <c r="AJ234" s="63"/>
      <c r="AK234" s="63"/>
      <c r="AL234" s="63"/>
      <c r="AM234" s="63"/>
      <c r="AN234" s="63"/>
      <c r="AO234" s="63"/>
      <c r="AP234" s="63"/>
      <c r="AQ234" s="63"/>
      <c r="AR234" s="63"/>
      <c r="AS234" s="64">
        <f t="shared" si="1523"/>
        <v>0</v>
      </c>
      <c r="AT234" s="65">
        <f t="shared" si="1524"/>
        <v>0</v>
      </c>
      <c r="AU234" s="65">
        <f t="shared" si="1524"/>
        <v>0</v>
      </c>
      <c r="AV234" s="65">
        <f t="shared" si="1524"/>
        <v>0</v>
      </c>
      <c r="AW234" s="65">
        <f t="shared" si="1524"/>
        <v>0</v>
      </c>
      <c r="AX234" s="65">
        <f t="shared" si="1524"/>
        <v>0</v>
      </c>
      <c r="AY234" s="65">
        <f t="shared" si="1524"/>
        <v>0</v>
      </c>
      <c r="AZ234" s="65">
        <f t="shared" si="1524"/>
        <v>0</v>
      </c>
      <c r="BA234" s="65">
        <f t="shared" si="1524"/>
        <v>0</v>
      </c>
      <c r="BB234" s="65">
        <f t="shared" si="1524"/>
        <v>0</v>
      </c>
      <c r="BC234" s="65">
        <f t="shared" si="1524"/>
        <v>0</v>
      </c>
      <c r="BD234" s="64">
        <f t="shared" si="1525"/>
        <v>0</v>
      </c>
      <c r="BE234" s="62"/>
      <c r="BF234" s="63"/>
      <c r="BG234" s="63"/>
      <c r="BH234" s="63"/>
      <c r="BI234" s="63"/>
      <c r="BJ234" s="63"/>
      <c r="BK234" s="63"/>
      <c r="BL234" s="63"/>
      <c r="BM234" s="63"/>
      <c r="BN234" s="63"/>
      <c r="BO234" s="64">
        <f t="shared" si="1526"/>
        <v>0</v>
      </c>
      <c r="BP234" s="62"/>
      <c r="BQ234" s="63"/>
      <c r="BR234" s="63"/>
      <c r="BS234" s="63"/>
      <c r="BT234" s="63"/>
      <c r="BU234" s="63"/>
      <c r="BV234" s="63"/>
      <c r="BW234" s="63"/>
      <c r="BX234" s="63"/>
      <c r="BY234" s="63"/>
      <c r="BZ234" s="64">
        <f t="shared" si="1527"/>
        <v>0</v>
      </c>
      <c r="CA234" s="62"/>
      <c r="CB234" s="63"/>
      <c r="CC234" s="63"/>
      <c r="CD234" s="63"/>
      <c r="CE234" s="63"/>
      <c r="CF234" s="63"/>
      <c r="CG234" s="63"/>
      <c r="CH234" s="63"/>
      <c r="CI234" s="63"/>
      <c r="CJ234" s="63"/>
      <c r="CK234" s="64">
        <f t="shared" si="1528"/>
        <v>0</v>
      </c>
      <c r="CL234" s="65">
        <f t="shared" si="1529"/>
        <v>0</v>
      </c>
      <c r="CM234" s="65">
        <f t="shared" si="1529"/>
        <v>0</v>
      </c>
      <c r="CN234" s="65">
        <f t="shared" si="1529"/>
        <v>0</v>
      </c>
      <c r="CO234" s="65">
        <f t="shared" si="1529"/>
        <v>0</v>
      </c>
      <c r="CP234" s="65">
        <f t="shared" si="1529"/>
        <v>0</v>
      </c>
      <c r="CQ234" s="65">
        <f t="shared" si="1529"/>
        <v>0</v>
      </c>
      <c r="CR234" s="65">
        <f t="shared" si="1529"/>
        <v>0</v>
      </c>
      <c r="CS234" s="65">
        <f t="shared" si="1529"/>
        <v>0</v>
      </c>
      <c r="CT234" s="65">
        <f t="shared" si="1529"/>
        <v>0</v>
      </c>
      <c r="CU234" s="65">
        <f t="shared" si="1529"/>
        <v>0</v>
      </c>
      <c r="CV234" s="64">
        <f t="shared" si="1530"/>
        <v>0</v>
      </c>
      <c r="CW234" s="62"/>
      <c r="CX234" s="63"/>
      <c r="CY234" s="63"/>
      <c r="CZ234" s="63"/>
      <c r="DA234" s="63"/>
      <c r="DB234" s="63"/>
      <c r="DC234" s="63"/>
      <c r="DD234" s="63"/>
      <c r="DE234" s="63"/>
      <c r="DF234" s="63"/>
      <c r="DG234" s="64">
        <f t="shared" si="1531"/>
        <v>0</v>
      </c>
      <c r="DH234" s="62"/>
      <c r="DI234" s="63"/>
      <c r="DJ234" s="63"/>
      <c r="DK234" s="63"/>
      <c r="DL234" s="63"/>
      <c r="DM234" s="63"/>
      <c r="DN234" s="63"/>
      <c r="DO234" s="63"/>
      <c r="DP234" s="63"/>
      <c r="DQ234" s="63"/>
      <c r="DR234" s="64">
        <f t="shared" si="1532"/>
        <v>0</v>
      </c>
      <c r="DS234" s="62"/>
      <c r="DT234" s="63"/>
      <c r="DU234" s="63"/>
      <c r="DV234" s="63"/>
      <c r="DW234" s="63"/>
      <c r="DX234" s="63"/>
      <c r="DY234" s="63"/>
      <c r="DZ234" s="63"/>
      <c r="EA234" s="63"/>
      <c r="EB234" s="63"/>
      <c r="EC234" s="63"/>
      <c r="ED234" s="65">
        <f t="shared" si="1533"/>
        <v>0</v>
      </c>
      <c r="EE234" s="65">
        <f t="shared" si="1533"/>
        <v>0</v>
      </c>
      <c r="EF234" s="65">
        <f t="shared" si="1533"/>
        <v>0</v>
      </c>
      <c r="EG234" s="65">
        <f t="shared" si="1533"/>
        <v>0</v>
      </c>
      <c r="EH234" s="65">
        <f t="shared" si="1533"/>
        <v>0</v>
      </c>
      <c r="EI234" s="65">
        <f t="shared" si="1533"/>
        <v>0</v>
      </c>
      <c r="EJ234" s="65">
        <f t="shared" si="1533"/>
        <v>0</v>
      </c>
      <c r="EK234" s="65">
        <f t="shared" si="1533"/>
        <v>0</v>
      </c>
      <c r="EL234" s="65">
        <f t="shared" si="1533"/>
        <v>0</v>
      </c>
      <c r="EM234" s="65">
        <f t="shared" si="1533"/>
        <v>0</v>
      </c>
      <c r="EN234" s="64">
        <f t="shared" si="1534"/>
        <v>0</v>
      </c>
      <c r="EO234" s="62"/>
      <c r="EP234" s="63"/>
      <c r="EQ234" s="63"/>
      <c r="ER234" s="63"/>
      <c r="ES234" s="63"/>
      <c r="ET234" s="63"/>
      <c r="EU234" s="63"/>
      <c r="EV234" s="63"/>
      <c r="EW234" s="63"/>
      <c r="EX234" s="63"/>
      <c r="EY234" s="64">
        <f t="shared" si="1535"/>
        <v>0</v>
      </c>
      <c r="EZ234" s="62"/>
      <c r="FA234" s="63"/>
      <c r="FB234" s="63"/>
      <c r="FC234" s="63"/>
      <c r="FD234" s="63"/>
      <c r="FE234" s="63"/>
      <c r="FF234" s="63"/>
      <c r="FG234" s="63"/>
      <c r="FH234" s="63"/>
      <c r="FI234" s="63"/>
      <c r="FJ234" s="64">
        <f t="shared" si="1536"/>
        <v>0</v>
      </c>
      <c r="FK234" s="62"/>
      <c r="FL234" s="63"/>
      <c r="FM234" s="63"/>
      <c r="FN234" s="63"/>
      <c r="FO234" s="63"/>
      <c r="FP234" s="63"/>
      <c r="FQ234" s="63"/>
      <c r="FR234" s="63"/>
      <c r="FS234" s="63"/>
      <c r="FT234" s="63"/>
      <c r="FU234" s="64">
        <f t="shared" si="1537"/>
        <v>0</v>
      </c>
      <c r="FV234" s="65">
        <f t="shared" si="1538"/>
        <v>0</v>
      </c>
      <c r="FW234" s="65">
        <f t="shared" si="1538"/>
        <v>0</v>
      </c>
      <c r="FX234" s="65">
        <f t="shared" si="1538"/>
        <v>0</v>
      </c>
      <c r="FY234" s="65">
        <f t="shared" si="1538"/>
        <v>0</v>
      </c>
      <c r="FZ234" s="65">
        <f t="shared" si="1538"/>
        <v>0</v>
      </c>
      <c r="GA234" s="65">
        <f t="shared" si="1538"/>
        <v>0</v>
      </c>
      <c r="GB234" s="65">
        <f t="shared" si="1538"/>
        <v>0</v>
      </c>
      <c r="GC234" s="65">
        <f t="shared" si="1538"/>
        <v>0</v>
      </c>
      <c r="GD234" s="65">
        <f t="shared" si="1538"/>
        <v>0</v>
      </c>
      <c r="GE234" s="65">
        <f t="shared" si="1538"/>
        <v>0</v>
      </c>
      <c r="GF234" s="64">
        <f t="shared" si="1539"/>
        <v>0</v>
      </c>
      <c r="GG234" s="66">
        <f t="shared" si="1540"/>
        <v>0</v>
      </c>
      <c r="GH234" s="66">
        <f t="shared" si="1540"/>
        <v>0</v>
      </c>
      <c r="GI234" s="66">
        <f t="shared" si="1540"/>
        <v>0</v>
      </c>
      <c r="GJ234" s="66">
        <f t="shared" si="1540"/>
        <v>0</v>
      </c>
      <c r="GK234" s="66">
        <f t="shared" si="1540"/>
        <v>0</v>
      </c>
      <c r="GL234" s="66">
        <f t="shared" si="1540"/>
        <v>0</v>
      </c>
      <c r="GM234" s="66">
        <f t="shared" si="1540"/>
        <v>0</v>
      </c>
      <c r="GN234" s="66">
        <f t="shared" si="1540"/>
        <v>0</v>
      </c>
      <c r="GO234" s="66">
        <f t="shared" si="1540"/>
        <v>0</v>
      </c>
      <c r="GP234" s="66">
        <f t="shared" si="1540"/>
        <v>0</v>
      </c>
      <c r="GQ234" s="64">
        <f t="shared" si="1541"/>
        <v>0</v>
      </c>
      <c r="GR234" s="63">
        <v>0</v>
      </c>
      <c r="GS234" s="63">
        <v>0</v>
      </c>
      <c r="GT234" s="63"/>
      <c r="GU234" s="63"/>
      <c r="GV234" s="67">
        <f t="shared" si="1542"/>
        <v>0</v>
      </c>
      <c r="GW234" s="63"/>
      <c r="GX234" s="63"/>
      <c r="GY234" s="63"/>
      <c r="GZ234" s="63"/>
      <c r="HA234" s="67">
        <f t="shared" si="1543"/>
        <v>0</v>
      </c>
      <c r="HB234" s="63"/>
      <c r="HC234" s="63"/>
      <c r="HD234" s="63"/>
      <c r="HE234" s="63"/>
      <c r="HF234" s="67">
        <f t="shared" si="1544"/>
        <v>0</v>
      </c>
      <c r="HG234" s="63"/>
      <c r="HH234" s="63"/>
      <c r="HI234" s="63"/>
      <c r="HJ234" s="63"/>
      <c r="HK234" s="67">
        <f t="shared" si="1545"/>
        <v>0</v>
      </c>
      <c r="HL234" s="68">
        <f t="shared" si="1546"/>
        <v>0</v>
      </c>
      <c r="HM234" s="68">
        <f t="shared" si="1546"/>
        <v>0</v>
      </c>
      <c r="HN234" s="68">
        <f t="shared" si="1546"/>
        <v>0</v>
      </c>
      <c r="HO234" s="68">
        <f t="shared" si="1546"/>
        <v>0</v>
      </c>
      <c r="HP234" s="67">
        <f t="shared" si="1547"/>
        <v>0</v>
      </c>
      <c r="HQ234" s="63"/>
      <c r="HR234" s="63"/>
      <c r="HS234" s="63"/>
      <c r="HT234" s="63"/>
      <c r="HU234" s="67">
        <f t="shared" si="1548"/>
        <v>0</v>
      </c>
      <c r="HV234" s="63"/>
      <c r="HW234" s="63"/>
      <c r="HX234" s="63"/>
      <c r="HY234" s="63"/>
      <c r="HZ234" s="67">
        <f t="shared" si="1549"/>
        <v>0</v>
      </c>
      <c r="IA234" s="63"/>
      <c r="IB234" s="63"/>
      <c r="IC234" s="63"/>
      <c r="ID234" s="63"/>
      <c r="IE234" s="67">
        <f t="shared" si="1550"/>
        <v>0</v>
      </c>
      <c r="IF234" s="68">
        <f t="shared" si="1551"/>
        <v>0</v>
      </c>
      <c r="IG234" s="68">
        <f t="shared" si="1551"/>
        <v>0</v>
      </c>
      <c r="IH234" s="68">
        <f t="shared" si="1551"/>
        <v>0</v>
      </c>
      <c r="II234" s="68">
        <f t="shared" si="1551"/>
        <v>0</v>
      </c>
      <c r="IJ234" s="67">
        <f t="shared" si="1552"/>
        <v>0</v>
      </c>
      <c r="IK234" s="63"/>
      <c r="IL234" s="63"/>
      <c r="IM234" s="63"/>
      <c r="IN234" s="63"/>
      <c r="IO234" s="67">
        <f t="shared" si="1553"/>
        <v>0</v>
      </c>
      <c r="IP234" s="63"/>
      <c r="IQ234" s="63"/>
      <c r="IR234" s="63"/>
      <c r="IS234" s="63"/>
      <c r="IT234" s="67">
        <f t="shared" si="1554"/>
        <v>0</v>
      </c>
      <c r="IU234" s="63"/>
      <c r="IV234" s="63"/>
    </row>
    <row r="235" spans="1:256" x14ac:dyDescent="0.25">
      <c r="A235" s="83" t="s">
        <v>203</v>
      </c>
      <c r="B235" s="62">
        <v>0</v>
      </c>
      <c r="C235" s="63">
        <v>0</v>
      </c>
      <c r="D235" s="63">
        <v>0</v>
      </c>
      <c r="E235" s="63">
        <v>0</v>
      </c>
      <c r="F235" s="63">
        <v>0</v>
      </c>
      <c r="G235" s="63">
        <v>0</v>
      </c>
      <c r="H235" s="63"/>
      <c r="I235" s="63"/>
      <c r="J235" s="63"/>
      <c r="K235" s="63"/>
      <c r="L235" s="64">
        <f t="shared" si="1520"/>
        <v>0</v>
      </c>
      <c r="M235" s="62"/>
      <c r="N235" s="63"/>
      <c r="O235" s="63"/>
      <c r="P235" s="63"/>
      <c r="Q235" s="63"/>
      <c r="R235" s="63"/>
      <c r="S235" s="63"/>
      <c r="T235" s="63"/>
      <c r="U235" s="63"/>
      <c r="V235" s="63"/>
      <c r="W235" s="64">
        <f t="shared" si="1521"/>
        <v>0</v>
      </c>
      <c r="X235" s="62"/>
      <c r="Y235" s="63"/>
      <c r="Z235" s="63"/>
      <c r="AA235" s="63"/>
      <c r="AB235" s="63"/>
      <c r="AC235" s="63"/>
      <c r="AD235" s="63"/>
      <c r="AE235" s="63"/>
      <c r="AF235" s="63"/>
      <c r="AG235" s="63"/>
      <c r="AH235" s="64">
        <f t="shared" si="1522"/>
        <v>0</v>
      </c>
      <c r="AI235" s="62"/>
      <c r="AJ235" s="63"/>
      <c r="AK235" s="63"/>
      <c r="AL235" s="63"/>
      <c r="AM235" s="63"/>
      <c r="AN235" s="63"/>
      <c r="AO235" s="63"/>
      <c r="AP235" s="63"/>
      <c r="AQ235" s="63"/>
      <c r="AR235" s="63"/>
      <c r="AS235" s="64">
        <f t="shared" si="1523"/>
        <v>0</v>
      </c>
      <c r="AT235" s="65">
        <f t="shared" si="1524"/>
        <v>0</v>
      </c>
      <c r="AU235" s="65">
        <f t="shared" si="1524"/>
        <v>0</v>
      </c>
      <c r="AV235" s="65">
        <f t="shared" si="1524"/>
        <v>0</v>
      </c>
      <c r="AW235" s="65">
        <f t="shared" si="1524"/>
        <v>0</v>
      </c>
      <c r="AX235" s="65">
        <f t="shared" si="1524"/>
        <v>0</v>
      </c>
      <c r="AY235" s="65">
        <f t="shared" si="1524"/>
        <v>0</v>
      </c>
      <c r="AZ235" s="65">
        <f t="shared" si="1524"/>
        <v>0</v>
      </c>
      <c r="BA235" s="65">
        <f t="shared" si="1524"/>
        <v>0</v>
      </c>
      <c r="BB235" s="65">
        <f t="shared" si="1524"/>
        <v>0</v>
      </c>
      <c r="BC235" s="65">
        <f t="shared" si="1524"/>
        <v>0</v>
      </c>
      <c r="BD235" s="64">
        <f t="shared" si="1525"/>
        <v>0</v>
      </c>
      <c r="BE235" s="62"/>
      <c r="BF235" s="63"/>
      <c r="BG235" s="63"/>
      <c r="BH235" s="63"/>
      <c r="BI235" s="63"/>
      <c r="BJ235" s="63"/>
      <c r="BK235" s="63"/>
      <c r="BL235" s="63"/>
      <c r="BM235" s="63"/>
      <c r="BN235" s="63"/>
      <c r="BO235" s="64">
        <f t="shared" si="1526"/>
        <v>0</v>
      </c>
      <c r="BP235" s="62"/>
      <c r="BQ235" s="63"/>
      <c r="BR235" s="63"/>
      <c r="BS235" s="63"/>
      <c r="BT235" s="63"/>
      <c r="BU235" s="63"/>
      <c r="BV235" s="63"/>
      <c r="BW235" s="63"/>
      <c r="BX235" s="63"/>
      <c r="BY235" s="63"/>
      <c r="BZ235" s="64">
        <f t="shared" si="1527"/>
        <v>0</v>
      </c>
      <c r="CA235" s="62"/>
      <c r="CB235" s="63"/>
      <c r="CC235" s="63"/>
      <c r="CD235" s="63"/>
      <c r="CE235" s="63"/>
      <c r="CF235" s="63"/>
      <c r="CG235" s="63"/>
      <c r="CH235" s="63"/>
      <c r="CI235" s="63"/>
      <c r="CJ235" s="63"/>
      <c r="CK235" s="64">
        <f t="shared" si="1528"/>
        <v>0</v>
      </c>
      <c r="CL235" s="65">
        <f t="shared" si="1529"/>
        <v>0</v>
      </c>
      <c r="CM235" s="65">
        <f t="shared" si="1529"/>
        <v>0</v>
      </c>
      <c r="CN235" s="65">
        <f t="shared" si="1529"/>
        <v>0</v>
      </c>
      <c r="CO235" s="65">
        <f t="shared" si="1529"/>
        <v>0</v>
      </c>
      <c r="CP235" s="65">
        <f t="shared" si="1529"/>
        <v>0</v>
      </c>
      <c r="CQ235" s="65">
        <f t="shared" si="1529"/>
        <v>0</v>
      </c>
      <c r="CR235" s="65">
        <f t="shared" si="1529"/>
        <v>0</v>
      </c>
      <c r="CS235" s="65">
        <f t="shared" si="1529"/>
        <v>0</v>
      </c>
      <c r="CT235" s="65">
        <f t="shared" si="1529"/>
        <v>0</v>
      </c>
      <c r="CU235" s="65">
        <f t="shared" si="1529"/>
        <v>0</v>
      </c>
      <c r="CV235" s="64">
        <f t="shared" si="1530"/>
        <v>0</v>
      </c>
      <c r="CW235" s="62"/>
      <c r="CX235" s="63"/>
      <c r="CY235" s="63"/>
      <c r="CZ235" s="63"/>
      <c r="DA235" s="63"/>
      <c r="DB235" s="63"/>
      <c r="DC235" s="63"/>
      <c r="DD235" s="63"/>
      <c r="DE235" s="63"/>
      <c r="DF235" s="63"/>
      <c r="DG235" s="64">
        <f t="shared" si="1531"/>
        <v>0</v>
      </c>
      <c r="DH235" s="62"/>
      <c r="DI235" s="63"/>
      <c r="DJ235" s="63"/>
      <c r="DK235" s="63"/>
      <c r="DL235" s="63"/>
      <c r="DM235" s="63"/>
      <c r="DN235" s="63"/>
      <c r="DO235" s="63"/>
      <c r="DP235" s="63"/>
      <c r="DQ235" s="63"/>
      <c r="DR235" s="64">
        <f t="shared" si="1532"/>
        <v>0</v>
      </c>
      <c r="DS235" s="62"/>
      <c r="DT235" s="63"/>
      <c r="DU235" s="63"/>
      <c r="DV235" s="63"/>
      <c r="DW235" s="63"/>
      <c r="DX235" s="63"/>
      <c r="DY235" s="63"/>
      <c r="DZ235" s="63"/>
      <c r="EA235" s="63"/>
      <c r="EB235" s="63"/>
      <c r="EC235" s="63"/>
      <c r="ED235" s="65">
        <f t="shared" si="1533"/>
        <v>0</v>
      </c>
      <c r="EE235" s="65">
        <f t="shared" si="1533"/>
        <v>0</v>
      </c>
      <c r="EF235" s="65">
        <f t="shared" si="1533"/>
        <v>0</v>
      </c>
      <c r="EG235" s="65">
        <f t="shared" si="1533"/>
        <v>0</v>
      </c>
      <c r="EH235" s="65">
        <f t="shared" si="1533"/>
        <v>0</v>
      </c>
      <c r="EI235" s="65">
        <f t="shared" si="1533"/>
        <v>0</v>
      </c>
      <c r="EJ235" s="65">
        <f t="shared" si="1533"/>
        <v>0</v>
      </c>
      <c r="EK235" s="65">
        <f t="shared" si="1533"/>
        <v>0</v>
      </c>
      <c r="EL235" s="65">
        <f t="shared" si="1533"/>
        <v>0</v>
      </c>
      <c r="EM235" s="65">
        <f t="shared" si="1533"/>
        <v>0</v>
      </c>
      <c r="EN235" s="64">
        <f t="shared" si="1534"/>
        <v>0</v>
      </c>
      <c r="EO235" s="62"/>
      <c r="EP235" s="63"/>
      <c r="EQ235" s="63"/>
      <c r="ER235" s="63"/>
      <c r="ES235" s="63"/>
      <c r="ET235" s="63"/>
      <c r="EU235" s="63"/>
      <c r="EV235" s="63"/>
      <c r="EW235" s="63"/>
      <c r="EX235" s="63"/>
      <c r="EY235" s="64">
        <f t="shared" si="1535"/>
        <v>0</v>
      </c>
      <c r="EZ235" s="62"/>
      <c r="FA235" s="63"/>
      <c r="FB235" s="63"/>
      <c r="FC235" s="63"/>
      <c r="FD235" s="63"/>
      <c r="FE235" s="63"/>
      <c r="FF235" s="63"/>
      <c r="FG235" s="63"/>
      <c r="FH235" s="63"/>
      <c r="FI235" s="63"/>
      <c r="FJ235" s="64">
        <f t="shared" si="1536"/>
        <v>0</v>
      </c>
      <c r="FK235" s="62"/>
      <c r="FL235" s="63"/>
      <c r="FM235" s="63"/>
      <c r="FN235" s="63"/>
      <c r="FO235" s="63"/>
      <c r="FP235" s="63"/>
      <c r="FQ235" s="63"/>
      <c r="FR235" s="63"/>
      <c r="FS235" s="63"/>
      <c r="FT235" s="63"/>
      <c r="FU235" s="64">
        <f t="shared" si="1537"/>
        <v>0</v>
      </c>
      <c r="FV235" s="65">
        <f t="shared" si="1538"/>
        <v>0</v>
      </c>
      <c r="FW235" s="65">
        <f t="shared" si="1538"/>
        <v>0</v>
      </c>
      <c r="FX235" s="65">
        <f t="shared" si="1538"/>
        <v>0</v>
      </c>
      <c r="FY235" s="65">
        <f t="shared" si="1538"/>
        <v>0</v>
      </c>
      <c r="FZ235" s="65">
        <f t="shared" si="1538"/>
        <v>0</v>
      </c>
      <c r="GA235" s="65">
        <f t="shared" si="1538"/>
        <v>0</v>
      </c>
      <c r="GB235" s="65">
        <f t="shared" si="1538"/>
        <v>0</v>
      </c>
      <c r="GC235" s="65">
        <f t="shared" si="1538"/>
        <v>0</v>
      </c>
      <c r="GD235" s="65">
        <f t="shared" si="1538"/>
        <v>0</v>
      </c>
      <c r="GE235" s="65">
        <f t="shared" si="1538"/>
        <v>0</v>
      </c>
      <c r="GF235" s="64">
        <f t="shared" si="1539"/>
        <v>0</v>
      </c>
      <c r="GG235" s="66">
        <f t="shared" si="1540"/>
        <v>0</v>
      </c>
      <c r="GH235" s="66">
        <f t="shared" si="1540"/>
        <v>0</v>
      </c>
      <c r="GI235" s="66">
        <f t="shared" si="1540"/>
        <v>0</v>
      </c>
      <c r="GJ235" s="66">
        <f t="shared" si="1540"/>
        <v>0</v>
      </c>
      <c r="GK235" s="66">
        <f t="shared" si="1540"/>
        <v>0</v>
      </c>
      <c r="GL235" s="66">
        <f t="shared" si="1540"/>
        <v>0</v>
      </c>
      <c r="GM235" s="66">
        <f t="shared" si="1540"/>
        <v>0</v>
      </c>
      <c r="GN235" s="66">
        <f t="shared" si="1540"/>
        <v>0</v>
      </c>
      <c r="GO235" s="66">
        <f t="shared" si="1540"/>
        <v>0</v>
      </c>
      <c r="GP235" s="66">
        <f t="shared" si="1540"/>
        <v>0</v>
      </c>
      <c r="GQ235" s="64">
        <f t="shared" si="1541"/>
        <v>0</v>
      </c>
      <c r="GR235" s="63">
        <v>0</v>
      </c>
      <c r="GS235" s="63"/>
      <c r="GT235" s="63"/>
      <c r="GU235" s="63"/>
      <c r="GV235" s="67">
        <f t="shared" si="1542"/>
        <v>0</v>
      </c>
      <c r="GW235" s="63"/>
      <c r="GX235" s="63"/>
      <c r="GY235" s="63"/>
      <c r="GZ235" s="63"/>
      <c r="HA235" s="67">
        <f t="shared" si="1543"/>
        <v>0</v>
      </c>
      <c r="HB235" s="63"/>
      <c r="HC235" s="63"/>
      <c r="HD235" s="63"/>
      <c r="HE235" s="63"/>
      <c r="HF235" s="67">
        <f t="shared" si="1544"/>
        <v>0</v>
      </c>
      <c r="HG235" s="63"/>
      <c r="HH235" s="63"/>
      <c r="HI235" s="63"/>
      <c r="HJ235" s="63"/>
      <c r="HK235" s="67">
        <f t="shared" si="1545"/>
        <v>0</v>
      </c>
      <c r="HL235" s="68">
        <f t="shared" si="1546"/>
        <v>0</v>
      </c>
      <c r="HM235" s="68">
        <f t="shared" si="1546"/>
        <v>0</v>
      </c>
      <c r="HN235" s="68">
        <f t="shared" si="1546"/>
        <v>0</v>
      </c>
      <c r="HO235" s="68">
        <f t="shared" si="1546"/>
        <v>0</v>
      </c>
      <c r="HP235" s="67">
        <f t="shared" si="1547"/>
        <v>0</v>
      </c>
      <c r="HQ235" s="63"/>
      <c r="HR235" s="63"/>
      <c r="HS235" s="63"/>
      <c r="HT235" s="63"/>
      <c r="HU235" s="67">
        <f t="shared" si="1548"/>
        <v>0</v>
      </c>
      <c r="HV235" s="63"/>
      <c r="HW235" s="63"/>
      <c r="HX235" s="63"/>
      <c r="HY235" s="63"/>
      <c r="HZ235" s="67">
        <f t="shared" si="1549"/>
        <v>0</v>
      </c>
      <c r="IA235" s="63"/>
      <c r="IB235" s="63"/>
      <c r="IC235" s="63"/>
      <c r="ID235" s="63"/>
      <c r="IE235" s="67">
        <f t="shared" si="1550"/>
        <v>0</v>
      </c>
      <c r="IF235" s="68">
        <f t="shared" si="1551"/>
        <v>0</v>
      </c>
      <c r="IG235" s="68">
        <f t="shared" si="1551"/>
        <v>0</v>
      </c>
      <c r="IH235" s="68">
        <f t="shared" si="1551"/>
        <v>0</v>
      </c>
      <c r="II235" s="68">
        <f t="shared" si="1551"/>
        <v>0</v>
      </c>
      <c r="IJ235" s="67">
        <f t="shared" si="1552"/>
        <v>0</v>
      </c>
      <c r="IK235" s="63"/>
      <c r="IL235" s="63"/>
      <c r="IM235" s="63"/>
      <c r="IN235" s="63"/>
      <c r="IO235" s="67">
        <f t="shared" si="1553"/>
        <v>0</v>
      </c>
      <c r="IP235" s="63"/>
      <c r="IQ235" s="63"/>
      <c r="IR235" s="63"/>
      <c r="IS235" s="63"/>
      <c r="IT235" s="67">
        <f t="shared" si="1554"/>
        <v>0</v>
      </c>
      <c r="IU235" s="63"/>
      <c r="IV235" s="63"/>
    </row>
    <row r="236" spans="1:256" x14ac:dyDescent="0.25">
      <c r="A236" s="158" t="s">
        <v>375</v>
      </c>
      <c r="B236" s="62"/>
      <c r="C236" s="159">
        <v>0</v>
      </c>
      <c r="D236" s="159">
        <v>0</v>
      </c>
      <c r="E236" s="159">
        <v>0</v>
      </c>
      <c r="F236" s="159">
        <v>0</v>
      </c>
      <c r="G236" s="159">
        <v>0</v>
      </c>
      <c r="H236" s="159">
        <f>SUM(H237:H240)</f>
        <v>0</v>
      </c>
      <c r="I236" s="159">
        <f>SUM(I237:I240)</f>
        <v>0</v>
      </c>
      <c r="J236" s="159">
        <f>SUM(J237:J240)</f>
        <v>0</v>
      </c>
      <c r="K236" s="159">
        <f>SUM(K237:K240)</f>
        <v>0</v>
      </c>
      <c r="L236" s="64">
        <f t="shared" si="1520"/>
        <v>0</v>
      </c>
      <c r="M236" s="62"/>
      <c r="N236" s="159">
        <f>SUM(N237:N240)</f>
        <v>0</v>
      </c>
      <c r="O236" s="159">
        <f t="shared" ref="O236:V236" si="1555">SUM(O237:O240)</f>
        <v>0</v>
      </c>
      <c r="P236" s="159">
        <f t="shared" si="1555"/>
        <v>0</v>
      </c>
      <c r="Q236" s="159">
        <f t="shared" si="1555"/>
        <v>0</v>
      </c>
      <c r="R236" s="159">
        <f t="shared" si="1555"/>
        <v>0</v>
      </c>
      <c r="S236" s="159">
        <f t="shared" si="1555"/>
        <v>0</v>
      </c>
      <c r="T236" s="159">
        <f t="shared" si="1555"/>
        <v>0</v>
      </c>
      <c r="U236" s="159">
        <f t="shared" si="1555"/>
        <v>0</v>
      </c>
      <c r="V236" s="159">
        <f t="shared" si="1555"/>
        <v>0</v>
      </c>
      <c r="W236" s="64">
        <f t="shared" si="1521"/>
        <v>0</v>
      </c>
      <c r="X236" s="62"/>
      <c r="Y236" s="159">
        <f>SUM(Y237:Y240)</f>
        <v>0</v>
      </c>
      <c r="Z236" s="159">
        <f t="shared" ref="Z236:AG236" si="1556">SUM(Z237:Z240)</f>
        <v>0</v>
      </c>
      <c r="AA236" s="159">
        <f t="shared" si="1556"/>
        <v>0</v>
      </c>
      <c r="AB236" s="159">
        <f t="shared" si="1556"/>
        <v>0</v>
      </c>
      <c r="AC236" s="159">
        <f t="shared" si="1556"/>
        <v>0</v>
      </c>
      <c r="AD236" s="159">
        <f t="shared" si="1556"/>
        <v>0</v>
      </c>
      <c r="AE236" s="159">
        <f t="shared" si="1556"/>
        <v>0</v>
      </c>
      <c r="AF236" s="159">
        <f t="shared" si="1556"/>
        <v>0</v>
      </c>
      <c r="AG236" s="159">
        <f t="shared" si="1556"/>
        <v>0</v>
      </c>
      <c r="AH236" s="64">
        <f t="shared" si="1522"/>
        <v>0</v>
      </c>
      <c r="AI236" s="62"/>
      <c r="AJ236" s="159">
        <f>SUM(AJ237:AJ240)</f>
        <v>0</v>
      </c>
      <c r="AK236" s="159">
        <f t="shared" ref="AK236:AR236" si="1557">SUM(AK237:AK240)</f>
        <v>0</v>
      </c>
      <c r="AL236" s="159">
        <f t="shared" si="1557"/>
        <v>0</v>
      </c>
      <c r="AM236" s="159">
        <f t="shared" si="1557"/>
        <v>0</v>
      </c>
      <c r="AN236" s="159">
        <f t="shared" si="1557"/>
        <v>0</v>
      </c>
      <c r="AO236" s="159">
        <f t="shared" si="1557"/>
        <v>0</v>
      </c>
      <c r="AP236" s="159">
        <f t="shared" si="1557"/>
        <v>0</v>
      </c>
      <c r="AQ236" s="159">
        <f t="shared" si="1557"/>
        <v>0</v>
      </c>
      <c r="AR236" s="159">
        <f t="shared" si="1557"/>
        <v>0</v>
      </c>
      <c r="AS236" s="64">
        <f t="shared" si="1523"/>
        <v>0</v>
      </c>
      <c r="AT236" s="65">
        <f t="shared" si="1524"/>
        <v>0</v>
      </c>
      <c r="AU236" s="65">
        <f t="shared" si="1524"/>
        <v>0</v>
      </c>
      <c r="AV236" s="65">
        <f t="shared" si="1524"/>
        <v>0</v>
      </c>
      <c r="AW236" s="65">
        <f t="shared" si="1524"/>
        <v>0</v>
      </c>
      <c r="AX236" s="65">
        <f t="shared" si="1524"/>
        <v>0</v>
      </c>
      <c r="AY236" s="65">
        <f t="shared" si="1524"/>
        <v>0</v>
      </c>
      <c r="AZ236" s="65">
        <f t="shared" si="1524"/>
        <v>0</v>
      </c>
      <c r="BA236" s="65">
        <f t="shared" si="1524"/>
        <v>0</v>
      </c>
      <c r="BB236" s="65">
        <f t="shared" si="1524"/>
        <v>0</v>
      </c>
      <c r="BC236" s="65">
        <f t="shared" si="1524"/>
        <v>0</v>
      </c>
      <c r="BD236" s="64">
        <f t="shared" si="1525"/>
        <v>0</v>
      </c>
      <c r="BE236" s="62"/>
      <c r="BF236" s="159">
        <f>SUM(BF237:BF240)</f>
        <v>0</v>
      </c>
      <c r="BG236" s="159">
        <f t="shared" ref="BG236:BN236" si="1558">SUM(BG237:BG240)</f>
        <v>0</v>
      </c>
      <c r="BH236" s="159">
        <f t="shared" si="1558"/>
        <v>0</v>
      </c>
      <c r="BI236" s="159">
        <f t="shared" si="1558"/>
        <v>0</v>
      </c>
      <c r="BJ236" s="159">
        <f t="shared" si="1558"/>
        <v>0</v>
      </c>
      <c r="BK236" s="159">
        <f t="shared" si="1558"/>
        <v>0</v>
      </c>
      <c r="BL236" s="159">
        <f t="shared" si="1558"/>
        <v>0</v>
      </c>
      <c r="BM236" s="159">
        <f t="shared" si="1558"/>
        <v>0</v>
      </c>
      <c r="BN236" s="159">
        <f t="shared" si="1558"/>
        <v>0</v>
      </c>
      <c r="BO236" s="64">
        <f t="shared" si="1526"/>
        <v>0</v>
      </c>
      <c r="BP236" s="62"/>
      <c r="BQ236" s="159">
        <f>SUM(BQ237:BQ240)</f>
        <v>0</v>
      </c>
      <c r="BR236" s="159">
        <f t="shared" ref="BR236:BY236" si="1559">SUM(BR237:BR240)</f>
        <v>0</v>
      </c>
      <c r="BS236" s="159">
        <f t="shared" si="1559"/>
        <v>0</v>
      </c>
      <c r="BT236" s="159">
        <f t="shared" si="1559"/>
        <v>0</v>
      </c>
      <c r="BU236" s="159">
        <f t="shared" si="1559"/>
        <v>0</v>
      </c>
      <c r="BV236" s="159">
        <f t="shared" si="1559"/>
        <v>0</v>
      </c>
      <c r="BW236" s="159">
        <f t="shared" si="1559"/>
        <v>0</v>
      </c>
      <c r="BX236" s="159">
        <f t="shared" si="1559"/>
        <v>0</v>
      </c>
      <c r="BY236" s="159">
        <f t="shared" si="1559"/>
        <v>0</v>
      </c>
      <c r="BZ236" s="64">
        <f t="shared" si="1527"/>
        <v>0</v>
      </c>
      <c r="CA236" s="62"/>
      <c r="CB236" s="159">
        <f>SUM(CB237:CB240)</f>
        <v>0</v>
      </c>
      <c r="CC236" s="159">
        <f t="shared" ref="CC236:CJ236" si="1560">SUM(CC237:CC240)</f>
        <v>0</v>
      </c>
      <c r="CD236" s="159">
        <f t="shared" si="1560"/>
        <v>0</v>
      </c>
      <c r="CE236" s="159">
        <f t="shared" si="1560"/>
        <v>0</v>
      </c>
      <c r="CF236" s="159">
        <f t="shared" si="1560"/>
        <v>0</v>
      </c>
      <c r="CG236" s="159">
        <f t="shared" si="1560"/>
        <v>0</v>
      </c>
      <c r="CH236" s="159">
        <f t="shared" si="1560"/>
        <v>0</v>
      </c>
      <c r="CI236" s="159">
        <f t="shared" si="1560"/>
        <v>0</v>
      </c>
      <c r="CJ236" s="159">
        <f t="shared" si="1560"/>
        <v>0</v>
      </c>
      <c r="CK236" s="64">
        <f t="shared" si="1528"/>
        <v>0</v>
      </c>
      <c r="CL236" s="65">
        <f t="shared" si="1529"/>
        <v>0</v>
      </c>
      <c r="CM236" s="65">
        <f t="shared" si="1529"/>
        <v>0</v>
      </c>
      <c r="CN236" s="65">
        <f t="shared" si="1529"/>
        <v>0</v>
      </c>
      <c r="CO236" s="65">
        <f t="shared" si="1529"/>
        <v>0</v>
      </c>
      <c r="CP236" s="65">
        <f t="shared" si="1529"/>
        <v>0</v>
      </c>
      <c r="CQ236" s="65">
        <f t="shared" si="1529"/>
        <v>0</v>
      </c>
      <c r="CR236" s="65">
        <f t="shared" si="1529"/>
        <v>0</v>
      </c>
      <c r="CS236" s="65">
        <f t="shared" si="1529"/>
        <v>0</v>
      </c>
      <c r="CT236" s="65">
        <f t="shared" si="1529"/>
        <v>0</v>
      </c>
      <c r="CU236" s="65">
        <f t="shared" si="1529"/>
        <v>0</v>
      </c>
      <c r="CV236" s="64">
        <f t="shared" si="1530"/>
        <v>0</v>
      </c>
      <c r="CW236" s="62"/>
      <c r="CX236" s="159">
        <f>SUM(CX237:CX240)</f>
        <v>0</v>
      </c>
      <c r="CY236" s="159">
        <f t="shared" ref="CY236:DF236" si="1561">SUM(CY237:CY240)</f>
        <v>0</v>
      </c>
      <c r="CZ236" s="159">
        <f t="shared" si="1561"/>
        <v>0</v>
      </c>
      <c r="DA236" s="159">
        <f t="shared" si="1561"/>
        <v>0</v>
      </c>
      <c r="DB236" s="159">
        <f t="shared" si="1561"/>
        <v>0</v>
      </c>
      <c r="DC236" s="159">
        <f t="shared" si="1561"/>
        <v>0</v>
      </c>
      <c r="DD236" s="159">
        <f t="shared" si="1561"/>
        <v>0</v>
      </c>
      <c r="DE236" s="159">
        <f t="shared" si="1561"/>
        <v>0</v>
      </c>
      <c r="DF236" s="159">
        <f t="shared" si="1561"/>
        <v>0</v>
      </c>
      <c r="DG236" s="64">
        <f t="shared" si="1531"/>
        <v>0</v>
      </c>
      <c r="DH236" s="62"/>
      <c r="DI236" s="159">
        <f>SUM(DI237:DI240)</f>
        <v>0</v>
      </c>
      <c r="DJ236" s="159">
        <f t="shared" ref="DJ236:DQ236" si="1562">SUM(DJ237:DJ240)</f>
        <v>0</v>
      </c>
      <c r="DK236" s="159">
        <f t="shared" si="1562"/>
        <v>0</v>
      </c>
      <c r="DL236" s="159">
        <f t="shared" si="1562"/>
        <v>0</v>
      </c>
      <c r="DM236" s="159">
        <f t="shared" si="1562"/>
        <v>0</v>
      </c>
      <c r="DN236" s="159">
        <f t="shared" si="1562"/>
        <v>0</v>
      </c>
      <c r="DO236" s="159">
        <f t="shared" si="1562"/>
        <v>0</v>
      </c>
      <c r="DP236" s="159">
        <f t="shared" si="1562"/>
        <v>0</v>
      </c>
      <c r="DQ236" s="159">
        <f t="shared" si="1562"/>
        <v>0</v>
      </c>
      <c r="DR236" s="64">
        <f t="shared" si="1532"/>
        <v>0</v>
      </c>
      <c r="DS236" s="62"/>
      <c r="DT236" s="159">
        <f>SUM(DT237:DT240)</f>
        <v>0</v>
      </c>
      <c r="DU236" s="159">
        <f t="shared" ref="DU236:EB236" si="1563">SUM(DU237:DU240)</f>
        <v>0</v>
      </c>
      <c r="DV236" s="159">
        <f t="shared" si="1563"/>
        <v>0</v>
      </c>
      <c r="DW236" s="159">
        <f t="shared" si="1563"/>
        <v>0</v>
      </c>
      <c r="DX236" s="159">
        <f t="shared" si="1563"/>
        <v>0</v>
      </c>
      <c r="DY236" s="159">
        <f t="shared" si="1563"/>
        <v>0</v>
      </c>
      <c r="DZ236" s="159">
        <f t="shared" si="1563"/>
        <v>0</v>
      </c>
      <c r="EA236" s="159">
        <f t="shared" si="1563"/>
        <v>0</v>
      </c>
      <c r="EB236" s="159">
        <f t="shared" si="1563"/>
        <v>0</v>
      </c>
      <c r="EC236" s="159">
        <f>SUM(EC237:EC240)</f>
        <v>0</v>
      </c>
      <c r="ED236" s="65">
        <f t="shared" si="1533"/>
        <v>0</v>
      </c>
      <c r="EE236" s="65">
        <f t="shared" si="1533"/>
        <v>0</v>
      </c>
      <c r="EF236" s="65">
        <f t="shared" si="1533"/>
        <v>0</v>
      </c>
      <c r="EG236" s="65">
        <f t="shared" si="1533"/>
        <v>0</v>
      </c>
      <c r="EH236" s="65">
        <f t="shared" si="1533"/>
        <v>0</v>
      </c>
      <c r="EI236" s="65">
        <f t="shared" si="1533"/>
        <v>0</v>
      </c>
      <c r="EJ236" s="65">
        <f t="shared" si="1533"/>
        <v>0</v>
      </c>
      <c r="EK236" s="65">
        <f t="shared" si="1533"/>
        <v>0</v>
      </c>
      <c r="EL236" s="65">
        <f t="shared" si="1533"/>
        <v>0</v>
      </c>
      <c r="EM236" s="65">
        <f t="shared" si="1533"/>
        <v>0</v>
      </c>
      <c r="EN236" s="64">
        <f t="shared" si="1534"/>
        <v>0</v>
      </c>
      <c r="EO236" s="62"/>
      <c r="EP236" s="159">
        <f>SUM(EP237:EP240)</f>
        <v>0</v>
      </c>
      <c r="EQ236" s="159">
        <f t="shared" ref="EQ236:EX236" si="1564">SUM(EQ237:EQ240)</f>
        <v>0</v>
      </c>
      <c r="ER236" s="159">
        <f t="shared" si="1564"/>
        <v>0</v>
      </c>
      <c r="ES236" s="159">
        <f t="shared" si="1564"/>
        <v>0</v>
      </c>
      <c r="ET236" s="159">
        <f t="shared" si="1564"/>
        <v>0</v>
      </c>
      <c r="EU236" s="159">
        <f t="shared" si="1564"/>
        <v>0</v>
      </c>
      <c r="EV236" s="159">
        <f t="shared" si="1564"/>
        <v>0</v>
      </c>
      <c r="EW236" s="159">
        <f t="shared" si="1564"/>
        <v>0</v>
      </c>
      <c r="EX236" s="159">
        <f t="shared" si="1564"/>
        <v>0</v>
      </c>
      <c r="EY236" s="64">
        <f t="shared" si="1535"/>
        <v>0</v>
      </c>
      <c r="EZ236" s="62"/>
      <c r="FA236" s="159">
        <f>SUM(FA237:FA240)</f>
        <v>0</v>
      </c>
      <c r="FB236" s="159">
        <f t="shared" ref="FB236:FI236" si="1565">SUM(FB237:FB240)</f>
        <v>0</v>
      </c>
      <c r="FC236" s="159">
        <f t="shared" si="1565"/>
        <v>0</v>
      </c>
      <c r="FD236" s="159">
        <f t="shared" si="1565"/>
        <v>0</v>
      </c>
      <c r="FE236" s="159">
        <f t="shared" si="1565"/>
        <v>0</v>
      </c>
      <c r="FF236" s="159">
        <f t="shared" si="1565"/>
        <v>0</v>
      </c>
      <c r="FG236" s="159">
        <f t="shared" si="1565"/>
        <v>0</v>
      </c>
      <c r="FH236" s="159">
        <f t="shared" si="1565"/>
        <v>0</v>
      </c>
      <c r="FI236" s="159">
        <f t="shared" si="1565"/>
        <v>0</v>
      </c>
      <c r="FJ236" s="64">
        <f t="shared" si="1536"/>
        <v>0</v>
      </c>
      <c r="FK236" s="62"/>
      <c r="FL236" s="159">
        <f>SUM(FL237:FL240)</f>
        <v>0</v>
      </c>
      <c r="FM236" s="159">
        <f t="shared" ref="FM236:FT236" si="1566">SUM(FM237:FM240)</f>
        <v>0</v>
      </c>
      <c r="FN236" s="159">
        <f t="shared" si="1566"/>
        <v>0</v>
      </c>
      <c r="FO236" s="159">
        <f t="shared" si="1566"/>
        <v>0</v>
      </c>
      <c r="FP236" s="159">
        <f t="shared" si="1566"/>
        <v>0</v>
      </c>
      <c r="FQ236" s="159">
        <f t="shared" si="1566"/>
        <v>0</v>
      </c>
      <c r="FR236" s="159">
        <f t="shared" si="1566"/>
        <v>0</v>
      </c>
      <c r="FS236" s="159">
        <f t="shared" si="1566"/>
        <v>0</v>
      </c>
      <c r="FT236" s="159">
        <f t="shared" si="1566"/>
        <v>0</v>
      </c>
      <c r="FU236" s="64">
        <f t="shared" si="1537"/>
        <v>0</v>
      </c>
      <c r="FV236" s="65">
        <f t="shared" si="1538"/>
        <v>0</v>
      </c>
      <c r="FW236" s="65">
        <f t="shared" si="1538"/>
        <v>0</v>
      </c>
      <c r="FX236" s="65">
        <f t="shared" si="1538"/>
        <v>0</v>
      </c>
      <c r="FY236" s="65">
        <f t="shared" si="1538"/>
        <v>0</v>
      </c>
      <c r="FZ236" s="65">
        <f t="shared" si="1538"/>
        <v>0</v>
      </c>
      <c r="GA236" s="65">
        <f t="shared" si="1538"/>
        <v>0</v>
      </c>
      <c r="GB236" s="65">
        <f t="shared" si="1538"/>
        <v>0</v>
      </c>
      <c r="GC236" s="65">
        <f t="shared" si="1538"/>
        <v>0</v>
      </c>
      <c r="GD236" s="65">
        <f t="shared" si="1538"/>
        <v>0</v>
      </c>
      <c r="GE236" s="65">
        <f t="shared" si="1538"/>
        <v>0</v>
      </c>
      <c r="GF236" s="64">
        <f t="shared" si="1539"/>
        <v>0</v>
      </c>
      <c r="GG236" s="66">
        <f t="shared" si="1540"/>
        <v>0</v>
      </c>
      <c r="GH236" s="66">
        <f t="shared" si="1540"/>
        <v>0</v>
      </c>
      <c r="GI236" s="66">
        <f t="shared" si="1540"/>
        <v>0</v>
      </c>
      <c r="GJ236" s="66">
        <f t="shared" si="1540"/>
        <v>0</v>
      </c>
      <c r="GK236" s="66">
        <f t="shared" si="1540"/>
        <v>0</v>
      </c>
      <c r="GL236" s="66">
        <f t="shared" si="1540"/>
        <v>0</v>
      </c>
      <c r="GM236" s="66">
        <f t="shared" si="1540"/>
        <v>0</v>
      </c>
      <c r="GN236" s="66">
        <f t="shared" si="1540"/>
        <v>0</v>
      </c>
      <c r="GO236" s="66">
        <f t="shared" si="1540"/>
        <v>0</v>
      </c>
      <c r="GP236" s="66">
        <f t="shared" si="1540"/>
        <v>0</v>
      </c>
      <c r="GQ236" s="64">
        <f t="shared" si="1541"/>
        <v>0</v>
      </c>
      <c r="GR236" s="159">
        <f>SUM(GR237:GR240)</f>
        <v>0</v>
      </c>
      <c r="GS236" s="159">
        <f>SUM(GS237:GS240)</f>
        <v>0</v>
      </c>
      <c r="GT236" s="159">
        <f>SUM(GT237:GT240)</f>
        <v>0</v>
      </c>
      <c r="GU236" s="159">
        <f>SUM(GU237:GU240)</f>
        <v>0</v>
      </c>
      <c r="GV236" s="67">
        <f t="shared" si="1542"/>
        <v>0</v>
      </c>
      <c r="GW236" s="159">
        <f>SUM(GW237:GW240)</f>
        <v>0</v>
      </c>
      <c r="GX236" s="159">
        <f>SUM(GX237:GX240)</f>
        <v>0</v>
      </c>
      <c r="GY236" s="159">
        <f>SUM(GY237:GY240)</f>
        <v>0</v>
      </c>
      <c r="GZ236" s="159">
        <f>SUM(GZ237:GZ240)</f>
        <v>0</v>
      </c>
      <c r="HA236" s="67">
        <f t="shared" si="1543"/>
        <v>0</v>
      </c>
      <c r="HB236" s="159">
        <f>SUM(HB237:HB240)</f>
        <v>0</v>
      </c>
      <c r="HC236" s="159">
        <f>SUM(HC237:HC240)</f>
        <v>0</v>
      </c>
      <c r="HD236" s="159">
        <f>SUM(HD237:HD240)</f>
        <v>0</v>
      </c>
      <c r="HE236" s="159">
        <f>SUM(HE237:HE240)</f>
        <v>0</v>
      </c>
      <c r="HF236" s="67">
        <f t="shared" si="1544"/>
        <v>0</v>
      </c>
      <c r="HG236" s="159">
        <f>SUM(HG237:HG240)</f>
        <v>0</v>
      </c>
      <c r="HH236" s="159">
        <f>SUM(HH237:HH240)</f>
        <v>0</v>
      </c>
      <c r="HI236" s="159">
        <f>SUM(HI237:HI240)</f>
        <v>0</v>
      </c>
      <c r="HJ236" s="159">
        <f>SUM(HJ237:HJ240)</f>
        <v>0</v>
      </c>
      <c r="HK236" s="67">
        <f t="shared" si="1545"/>
        <v>0</v>
      </c>
      <c r="HL236" s="68">
        <f t="shared" si="1546"/>
        <v>0</v>
      </c>
      <c r="HM236" s="68">
        <f t="shared" si="1546"/>
        <v>0</v>
      </c>
      <c r="HN236" s="68">
        <f t="shared" si="1546"/>
        <v>0</v>
      </c>
      <c r="HO236" s="68">
        <f t="shared" si="1546"/>
        <v>0</v>
      </c>
      <c r="HP236" s="67">
        <f t="shared" si="1547"/>
        <v>0</v>
      </c>
      <c r="HQ236" s="159">
        <f>SUM(HQ237:HQ240)</f>
        <v>0</v>
      </c>
      <c r="HR236" s="159">
        <f>SUM(HR237:HR240)</f>
        <v>0</v>
      </c>
      <c r="HS236" s="159">
        <f>SUM(HS237:HS240)</f>
        <v>0</v>
      </c>
      <c r="HT236" s="159">
        <f>SUM(HT237:HT240)</f>
        <v>0</v>
      </c>
      <c r="HU236" s="67">
        <f t="shared" si="1548"/>
        <v>0</v>
      </c>
      <c r="HV236" s="159">
        <f>SUM(HV237:HV240)</f>
        <v>0</v>
      </c>
      <c r="HW236" s="159">
        <f>SUM(HW237:HW240)</f>
        <v>0</v>
      </c>
      <c r="HX236" s="159">
        <f>SUM(HX237:HX240)</f>
        <v>0</v>
      </c>
      <c r="HY236" s="159">
        <f>SUM(HY237:HY240)</f>
        <v>0</v>
      </c>
      <c r="HZ236" s="67">
        <f t="shared" si="1549"/>
        <v>0</v>
      </c>
      <c r="IA236" s="159">
        <f>SUM(IA237:IA240)</f>
        <v>0</v>
      </c>
      <c r="IB236" s="159">
        <f>SUM(IB237:IB240)</f>
        <v>0</v>
      </c>
      <c r="IC236" s="159">
        <f>SUM(IC237:IC240)</f>
        <v>0</v>
      </c>
      <c r="ID236" s="159">
        <f>SUM(ID237:ID240)</f>
        <v>0</v>
      </c>
      <c r="IE236" s="67">
        <f t="shared" si="1550"/>
        <v>0</v>
      </c>
      <c r="IF236" s="68">
        <f t="shared" si="1551"/>
        <v>0</v>
      </c>
      <c r="IG236" s="68">
        <f t="shared" si="1551"/>
        <v>0</v>
      </c>
      <c r="IH236" s="68">
        <f t="shared" si="1551"/>
        <v>0</v>
      </c>
      <c r="II236" s="68">
        <f t="shared" si="1551"/>
        <v>0</v>
      </c>
      <c r="IJ236" s="67">
        <f t="shared" si="1552"/>
        <v>0</v>
      </c>
      <c r="IK236" s="159">
        <f>SUM(IK237:IK240)</f>
        <v>0</v>
      </c>
      <c r="IL236" s="159">
        <f>SUM(IL237:IL240)</f>
        <v>0</v>
      </c>
      <c r="IM236" s="159">
        <f>SUM(IM237:IM240)</f>
        <v>0</v>
      </c>
      <c r="IN236" s="159">
        <f>SUM(IN237:IN240)</f>
        <v>0</v>
      </c>
      <c r="IO236" s="67">
        <f t="shared" si="1553"/>
        <v>0</v>
      </c>
      <c r="IP236" s="159">
        <f>SUM(IP237:IP240)</f>
        <v>0</v>
      </c>
      <c r="IQ236" s="159">
        <f>SUM(IQ237:IQ240)</f>
        <v>0</v>
      </c>
      <c r="IR236" s="159">
        <f>SUM(IR237:IR240)</f>
        <v>0</v>
      </c>
      <c r="IS236" s="159">
        <f>SUM(IS237:IS240)</f>
        <v>0</v>
      </c>
      <c r="IT236" s="67">
        <f t="shared" si="1554"/>
        <v>0</v>
      </c>
      <c r="IU236" s="159">
        <f>SUM(IU237:IU240)</f>
        <v>0</v>
      </c>
      <c r="IV236" s="159">
        <f>SUM(IV237:IV240)</f>
        <v>0</v>
      </c>
    </row>
    <row r="237" spans="1:256" x14ac:dyDescent="0.25">
      <c r="A237" s="160" t="s">
        <v>376</v>
      </c>
      <c r="B237" s="62">
        <v>6</v>
      </c>
      <c r="C237" s="63">
        <v>0</v>
      </c>
      <c r="D237" s="63">
        <v>0</v>
      </c>
      <c r="E237" s="63">
        <v>0</v>
      </c>
      <c r="F237" s="63">
        <v>0</v>
      </c>
      <c r="G237" s="63">
        <v>0</v>
      </c>
      <c r="H237" s="63"/>
      <c r="I237" s="63"/>
      <c r="J237" s="63"/>
      <c r="K237" s="63"/>
      <c r="L237" s="64">
        <f t="shared" si="1520"/>
        <v>0</v>
      </c>
      <c r="M237" s="62"/>
      <c r="N237" s="63"/>
      <c r="O237" s="63"/>
      <c r="P237" s="63"/>
      <c r="Q237" s="63"/>
      <c r="R237" s="63"/>
      <c r="S237" s="63"/>
      <c r="T237" s="63"/>
      <c r="U237" s="63"/>
      <c r="V237" s="63"/>
      <c r="W237" s="64">
        <f t="shared" si="1521"/>
        <v>0</v>
      </c>
      <c r="X237" s="62"/>
      <c r="Y237" s="63"/>
      <c r="Z237" s="63"/>
      <c r="AA237" s="63"/>
      <c r="AB237" s="63"/>
      <c r="AC237" s="63"/>
      <c r="AD237" s="63"/>
      <c r="AE237" s="63"/>
      <c r="AF237" s="63"/>
      <c r="AG237" s="63"/>
      <c r="AH237" s="64">
        <f t="shared" si="1522"/>
        <v>0</v>
      </c>
      <c r="AI237" s="62"/>
      <c r="AJ237" s="63"/>
      <c r="AK237" s="63"/>
      <c r="AL237" s="63"/>
      <c r="AM237" s="63"/>
      <c r="AN237" s="63"/>
      <c r="AO237" s="63"/>
      <c r="AP237" s="63"/>
      <c r="AQ237" s="63"/>
      <c r="AR237" s="63"/>
      <c r="AS237" s="64">
        <f t="shared" si="1523"/>
        <v>0</v>
      </c>
      <c r="AT237" s="65">
        <f t="shared" si="1524"/>
        <v>0</v>
      </c>
      <c r="AU237" s="65">
        <f t="shared" si="1524"/>
        <v>0</v>
      </c>
      <c r="AV237" s="65">
        <f t="shared" si="1524"/>
        <v>0</v>
      </c>
      <c r="AW237" s="65">
        <f t="shared" si="1524"/>
        <v>0</v>
      </c>
      <c r="AX237" s="65">
        <f t="shared" si="1524"/>
        <v>0</v>
      </c>
      <c r="AY237" s="65">
        <f t="shared" si="1524"/>
        <v>0</v>
      </c>
      <c r="AZ237" s="65">
        <f t="shared" si="1524"/>
        <v>0</v>
      </c>
      <c r="BA237" s="65">
        <f t="shared" si="1524"/>
        <v>0</v>
      </c>
      <c r="BB237" s="65">
        <f t="shared" si="1524"/>
        <v>0</v>
      </c>
      <c r="BC237" s="65">
        <f t="shared" si="1524"/>
        <v>0</v>
      </c>
      <c r="BD237" s="64">
        <f t="shared" si="1525"/>
        <v>0</v>
      </c>
      <c r="BE237" s="62"/>
      <c r="BF237" s="63"/>
      <c r="BG237" s="63"/>
      <c r="BH237" s="63"/>
      <c r="BI237" s="63"/>
      <c r="BJ237" s="63"/>
      <c r="BK237" s="63"/>
      <c r="BL237" s="63"/>
      <c r="BM237" s="63"/>
      <c r="BN237" s="63"/>
      <c r="BO237" s="64">
        <f t="shared" si="1526"/>
        <v>0</v>
      </c>
      <c r="BP237" s="62"/>
      <c r="BQ237" s="63"/>
      <c r="BR237" s="63"/>
      <c r="BS237" s="63"/>
      <c r="BT237" s="63"/>
      <c r="BU237" s="63"/>
      <c r="BV237" s="63"/>
      <c r="BW237" s="63"/>
      <c r="BX237" s="63"/>
      <c r="BY237" s="63"/>
      <c r="BZ237" s="64">
        <f t="shared" si="1527"/>
        <v>0</v>
      </c>
      <c r="CA237" s="62"/>
      <c r="CB237" s="63"/>
      <c r="CC237" s="63"/>
      <c r="CD237" s="63"/>
      <c r="CE237" s="63"/>
      <c r="CF237" s="63"/>
      <c r="CG237" s="63"/>
      <c r="CH237" s="63"/>
      <c r="CI237" s="63"/>
      <c r="CJ237" s="63"/>
      <c r="CK237" s="64">
        <f t="shared" si="1528"/>
        <v>0</v>
      </c>
      <c r="CL237" s="65">
        <f t="shared" si="1529"/>
        <v>0</v>
      </c>
      <c r="CM237" s="65">
        <f t="shared" si="1529"/>
        <v>0</v>
      </c>
      <c r="CN237" s="65">
        <f t="shared" si="1529"/>
        <v>0</v>
      </c>
      <c r="CO237" s="65">
        <f t="shared" si="1529"/>
        <v>0</v>
      </c>
      <c r="CP237" s="65">
        <f t="shared" si="1529"/>
        <v>0</v>
      </c>
      <c r="CQ237" s="65">
        <f t="shared" si="1529"/>
        <v>0</v>
      </c>
      <c r="CR237" s="65">
        <f t="shared" si="1529"/>
        <v>0</v>
      </c>
      <c r="CS237" s="65">
        <f t="shared" si="1529"/>
        <v>0</v>
      </c>
      <c r="CT237" s="65">
        <f t="shared" si="1529"/>
        <v>0</v>
      </c>
      <c r="CU237" s="65">
        <f t="shared" si="1529"/>
        <v>0</v>
      </c>
      <c r="CV237" s="64">
        <f t="shared" si="1530"/>
        <v>0</v>
      </c>
      <c r="CW237" s="62"/>
      <c r="CX237" s="63"/>
      <c r="CY237" s="63"/>
      <c r="CZ237" s="63"/>
      <c r="DA237" s="63"/>
      <c r="DB237" s="63"/>
      <c r="DC237" s="63"/>
      <c r="DD237" s="63"/>
      <c r="DE237" s="63"/>
      <c r="DF237" s="63"/>
      <c r="DG237" s="64">
        <f t="shared" si="1531"/>
        <v>0</v>
      </c>
      <c r="DH237" s="62"/>
      <c r="DI237" s="63"/>
      <c r="DJ237" s="63"/>
      <c r="DK237" s="63"/>
      <c r="DL237" s="63"/>
      <c r="DM237" s="63"/>
      <c r="DN237" s="63"/>
      <c r="DO237" s="63"/>
      <c r="DP237" s="63"/>
      <c r="DQ237" s="63"/>
      <c r="DR237" s="64">
        <f t="shared" si="1532"/>
        <v>0</v>
      </c>
      <c r="DS237" s="62"/>
      <c r="DT237" s="63"/>
      <c r="DU237" s="63"/>
      <c r="DV237" s="63"/>
      <c r="DW237" s="63"/>
      <c r="DX237" s="63"/>
      <c r="DY237" s="63"/>
      <c r="DZ237" s="63"/>
      <c r="EA237" s="63"/>
      <c r="EB237" s="63"/>
      <c r="EC237" s="63"/>
      <c r="ED237" s="65">
        <f t="shared" si="1533"/>
        <v>0</v>
      </c>
      <c r="EE237" s="65">
        <f t="shared" si="1533"/>
        <v>0</v>
      </c>
      <c r="EF237" s="65">
        <f t="shared" si="1533"/>
        <v>0</v>
      </c>
      <c r="EG237" s="65">
        <f t="shared" si="1533"/>
        <v>0</v>
      </c>
      <c r="EH237" s="65">
        <f t="shared" si="1533"/>
        <v>0</v>
      </c>
      <c r="EI237" s="65">
        <f t="shared" si="1533"/>
        <v>0</v>
      </c>
      <c r="EJ237" s="65">
        <f t="shared" si="1533"/>
        <v>0</v>
      </c>
      <c r="EK237" s="65">
        <f t="shared" si="1533"/>
        <v>0</v>
      </c>
      <c r="EL237" s="65">
        <f t="shared" si="1533"/>
        <v>0</v>
      </c>
      <c r="EM237" s="65">
        <f t="shared" si="1533"/>
        <v>0</v>
      </c>
      <c r="EN237" s="64">
        <f t="shared" si="1534"/>
        <v>0</v>
      </c>
      <c r="EO237" s="62"/>
      <c r="EP237" s="63"/>
      <c r="EQ237" s="63"/>
      <c r="ER237" s="63"/>
      <c r="ES237" s="63"/>
      <c r="ET237" s="63"/>
      <c r="EU237" s="63"/>
      <c r="EV237" s="63"/>
      <c r="EW237" s="63"/>
      <c r="EX237" s="63"/>
      <c r="EY237" s="64">
        <f t="shared" si="1535"/>
        <v>0</v>
      </c>
      <c r="EZ237" s="62"/>
      <c r="FA237" s="63"/>
      <c r="FB237" s="63"/>
      <c r="FC237" s="63"/>
      <c r="FD237" s="63"/>
      <c r="FE237" s="63"/>
      <c r="FF237" s="63"/>
      <c r="FG237" s="63"/>
      <c r="FH237" s="63"/>
      <c r="FI237" s="63"/>
      <c r="FJ237" s="64">
        <f t="shared" si="1536"/>
        <v>0</v>
      </c>
      <c r="FK237" s="62"/>
      <c r="FL237" s="63"/>
      <c r="FM237" s="63"/>
      <c r="FN237" s="63"/>
      <c r="FO237" s="63"/>
      <c r="FP237" s="63"/>
      <c r="FQ237" s="63"/>
      <c r="FR237" s="63"/>
      <c r="FS237" s="63"/>
      <c r="FT237" s="63"/>
      <c r="FU237" s="64">
        <f t="shared" si="1537"/>
        <v>0</v>
      </c>
      <c r="FV237" s="65">
        <f t="shared" si="1538"/>
        <v>0</v>
      </c>
      <c r="FW237" s="65">
        <f t="shared" si="1538"/>
        <v>0</v>
      </c>
      <c r="FX237" s="65">
        <f t="shared" si="1538"/>
        <v>0</v>
      </c>
      <c r="FY237" s="65">
        <f t="shared" si="1538"/>
        <v>0</v>
      </c>
      <c r="FZ237" s="65">
        <f t="shared" si="1538"/>
        <v>0</v>
      </c>
      <c r="GA237" s="65">
        <f t="shared" si="1538"/>
        <v>0</v>
      </c>
      <c r="GB237" s="65">
        <f t="shared" si="1538"/>
        <v>0</v>
      </c>
      <c r="GC237" s="65">
        <f t="shared" si="1538"/>
        <v>0</v>
      </c>
      <c r="GD237" s="65">
        <f t="shared" si="1538"/>
        <v>0</v>
      </c>
      <c r="GE237" s="65">
        <f t="shared" si="1538"/>
        <v>0</v>
      </c>
      <c r="GF237" s="64">
        <f t="shared" si="1539"/>
        <v>0</v>
      </c>
      <c r="GG237" s="66">
        <f t="shared" si="1540"/>
        <v>0</v>
      </c>
      <c r="GH237" s="66">
        <f t="shared" si="1540"/>
        <v>0</v>
      </c>
      <c r="GI237" s="66">
        <f t="shared" si="1540"/>
        <v>0</v>
      </c>
      <c r="GJ237" s="66">
        <f t="shared" si="1540"/>
        <v>0</v>
      </c>
      <c r="GK237" s="66">
        <f t="shared" si="1540"/>
        <v>0</v>
      </c>
      <c r="GL237" s="66">
        <f t="shared" si="1540"/>
        <v>0</v>
      </c>
      <c r="GM237" s="66">
        <f t="shared" si="1540"/>
        <v>0</v>
      </c>
      <c r="GN237" s="66">
        <f t="shared" si="1540"/>
        <v>0</v>
      </c>
      <c r="GO237" s="66">
        <f t="shared" si="1540"/>
        <v>0</v>
      </c>
      <c r="GP237" s="66">
        <f t="shared" si="1540"/>
        <v>0</v>
      </c>
      <c r="GQ237" s="64">
        <f t="shared" si="1541"/>
        <v>0</v>
      </c>
      <c r="GR237" s="63"/>
      <c r="GS237" s="63"/>
      <c r="GT237" s="63"/>
      <c r="GU237" s="63"/>
      <c r="GV237" s="67">
        <f t="shared" si="1542"/>
        <v>0</v>
      </c>
      <c r="GW237" s="63"/>
      <c r="GX237" s="63"/>
      <c r="GY237" s="63"/>
      <c r="GZ237" s="63"/>
      <c r="HA237" s="67">
        <f t="shared" si="1543"/>
        <v>0</v>
      </c>
      <c r="HB237" s="63"/>
      <c r="HC237" s="63"/>
      <c r="HD237" s="63"/>
      <c r="HE237" s="63"/>
      <c r="HF237" s="67">
        <f t="shared" si="1544"/>
        <v>0</v>
      </c>
      <c r="HG237" s="63"/>
      <c r="HH237" s="63"/>
      <c r="HI237" s="63"/>
      <c r="HJ237" s="63"/>
      <c r="HK237" s="67">
        <f t="shared" si="1545"/>
        <v>0</v>
      </c>
      <c r="HL237" s="68">
        <f t="shared" si="1546"/>
        <v>0</v>
      </c>
      <c r="HM237" s="68">
        <f t="shared" si="1546"/>
        <v>0</v>
      </c>
      <c r="HN237" s="68">
        <f t="shared" si="1546"/>
        <v>0</v>
      </c>
      <c r="HO237" s="68">
        <f t="shared" si="1546"/>
        <v>0</v>
      </c>
      <c r="HP237" s="67">
        <f t="shared" si="1547"/>
        <v>0</v>
      </c>
      <c r="HQ237" s="63"/>
      <c r="HR237" s="63"/>
      <c r="HS237" s="63"/>
      <c r="HT237" s="63"/>
      <c r="HU237" s="67">
        <f t="shared" si="1548"/>
        <v>0</v>
      </c>
      <c r="HV237" s="63"/>
      <c r="HW237" s="63"/>
      <c r="HX237" s="63"/>
      <c r="HY237" s="63"/>
      <c r="HZ237" s="67">
        <f t="shared" si="1549"/>
        <v>0</v>
      </c>
      <c r="IA237" s="63"/>
      <c r="IB237" s="63"/>
      <c r="IC237" s="63"/>
      <c r="ID237" s="63"/>
      <c r="IE237" s="67">
        <f t="shared" si="1550"/>
        <v>0</v>
      </c>
      <c r="IF237" s="68">
        <f t="shared" si="1551"/>
        <v>0</v>
      </c>
      <c r="IG237" s="68">
        <f t="shared" si="1551"/>
        <v>0</v>
      </c>
      <c r="IH237" s="68">
        <f t="shared" si="1551"/>
        <v>0</v>
      </c>
      <c r="II237" s="68">
        <f t="shared" si="1551"/>
        <v>0</v>
      </c>
      <c r="IJ237" s="67">
        <f t="shared" si="1552"/>
        <v>0</v>
      </c>
      <c r="IK237" s="63"/>
      <c r="IL237" s="63"/>
      <c r="IM237" s="63"/>
      <c r="IN237" s="63"/>
      <c r="IO237" s="67">
        <f t="shared" si="1553"/>
        <v>0</v>
      </c>
      <c r="IP237" s="63"/>
      <c r="IQ237" s="63"/>
      <c r="IR237" s="63"/>
      <c r="IS237" s="63"/>
      <c r="IT237" s="67">
        <f t="shared" si="1554"/>
        <v>0</v>
      </c>
      <c r="IU237" s="63"/>
      <c r="IV237" s="63"/>
    </row>
    <row r="238" spans="1:256" x14ac:dyDescent="0.25">
      <c r="A238" s="161" t="s">
        <v>204</v>
      </c>
      <c r="B238" s="62">
        <v>6</v>
      </c>
      <c r="C238" s="63"/>
      <c r="D238" s="63"/>
      <c r="E238" s="63"/>
      <c r="F238" s="63"/>
      <c r="G238" s="63"/>
      <c r="H238" s="63"/>
      <c r="I238" s="63"/>
      <c r="J238" s="63"/>
      <c r="K238" s="63"/>
      <c r="L238" s="64">
        <f t="shared" si="1520"/>
        <v>0</v>
      </c>
      <c r="M238" s="62"/>
      <c r="N238" s="63"/>
      <c r="O238" s="63"/>
      <c r="P238" s="63"/>
      <c r="Q238" s="63"/>
      <c r="R238" s="63"/>
      <c r="S238" s="63"/>
      <c r="T238" s="63"/>
      <c r="U238" s="63"/>
      <c r="V238" s="63"/>
      <c r="W238" s="64">
        <f t="shared" si="1521"/>
        <v>0</v>
      </c>
      <c r="X238" s="62"/>
      <c r="Y238" s="63"/>
      <c r="Z238" s="63"/>
      <c r="AA238" s="63"/>
      <c r="AB238" s="63"/>
      <c r="AC238" s="63"/>
      <c r="AD238" s="63"/>
      <c r="AE238" s="63"/>
      <c r="AF238" s="63"/>
      <c r="AG238" s="63"/>
      <c r="AH238" s="64">
        <f t="shared" si="1522"/>
        <v>0</v>
      </c>
      <c r="AI238" s="62"/>
      <c r="AJ238" s="63"/>
      <c r="AK238" s="63"/>
      <c r="AL238" s="63"/>
      <c r="AM238" s="63"/>
      <c r="AN238" s="63"/>
      <c r="AO238" s="63"/>
      <c r="AP238" s="63"/>
      <c r="AQ238" s="63"/>
      <c r="AR238" s="63"/>
      <c r="AS238" s="64">
        <f t="shared" si="1523"/>
        <v>0</v>
      </c>
      <c r="AT238" s="65">
        <f t="shared" si="1524"/>
        <v>0</v>
      </c>
      <c r="AU238" s="65">
        <f t="shared" si="1524"/>
        <v>0</v>
      </c>
      <c r="AV238" s="65">
        <f t="shared" si="1524"/>
        <v>0</v>
      </c>
      <c r="AW238" s="65">
        <f t="shared" si="1524"/>
        <v>0</v>
      </c>
      <c r="AX238" s="65">
        <f t="shared" si="1524"/>
        <v>0</v>
      </c>
      <c r="AY238" s="65">
        <f t="shared" si="1524"/>
        <v>0</v>
      </c>
      <c r="AZ238" s="65">
        <f t="shared" si="1524"/>
        <v>0</v>
      </c>
      <c r="BA238" s="65">
        <f t="shared" si="1524"/>
        <v>0</v>
      </c>
      <c r="BB238" s="65">
        <f t="shared" si="1524"/>
        <v>0</v>
      </c>
      <c r="BC238" s="65">
        <f t="shared" si="1524"/>
        <v>0</v>
      </c>
      <c r="BD238" s="64">
        <f t="shared" si="1525"/>
        <v>0</v>
      </c>
      <c r="BE238" s="62"/>
      <c r="BF238" s="63"/>
      <c r="BG238" s="63"/>
      <c r="BH238" s="63"/>
      <c r="BI238" s="63"/>
      <c r="BJ238" s="63"/>
      <c r="BK238" s="63"/>
      <c r="BL238" s="63"/>
      <c r="BM238" s="63"/>
      <c r="BN238" s="63"/>
      <c r="BO238" s="64">
        <f t="shared" si="1526"/>
        <v>0</v>
      </c>
      <c r="BP238" s="62"/>
      <c r="BQ238" s="63"/>
      <c r="BR238" s="63"/>
      <c r="BS238" s="63"/>
      <c r="BT238" s="63"/>
      <c r="BU238" s="63"/>
      <c r="BV238" s="63"/>
      <c r="BW238" s="63"/>
      <c r="BX238" s="63"/>
      <c r="BY238" s="63"/>
      <c r="BZ238" s="64">
        <f t="shared" si="1527"/>
        <v>0</v>
      </c>
      <c r="CA238" s="62"/>
      <c r="CB238" s="63"/>
      <c r="CC238" s="63"/>
      <c r="CD238" s="63"/>
      <c r="CE238" s="63"/>
      <c r="CF238" s="63"/>
      <c r="CG238" s="63"/>
      <c r="CH238" s="63"/>
      <c r="CI238" s="63"/>
      <c r="CJ238" s="63"/>
      <c r="CK238" s="64">
        <f t="shared" si="1528"/>
        <v>0</v>
      </c>
      <c r="CL238" s="65">
        <f t="shared" si="1529"/>
        <v>0</v>
      </c>
      <c r="CM238" s="65">
        <f t="shared" si="1529"/>
        <v>0</v>
      </c>
      <c r="CN238" s="65">
        <f t="shared" si="1529"/>
        <v>0</v>
      </c>
      <c r="CO238" s="65">
        <f t="shared" si="1529"/>
        <v>0</v>
      </c>
      <c r="CP238" s="65">
        <f t="shared" si="1529"/>
        <v>0</v>
      </c>
      <c r="CQ238" s="65">
        <f t="shared" si="1529"/>
        <v>0</v>
      </c>
      <c r="CR238" s="65">
        <f t="shared" si="1529"/>
        <v>0</v>
      </c>
      <c r="CS238" s="65">
        <f t="shared" si="1529"/>
        <v>0</v>
      </c>
      <c r="CT238" s="65">
        <f t="shared" si="1529"/>
        <v>0</v>
      </c>
      <c r="CU238" s="65">
        <f t="shared" si="1529"/>
        <v>0</v>
      </c>
      <c r="CV238" s="64">
        <f t="shared" si="1530"/>
        <v>0</v>
      </c>
      <c r="CW238" s="62"/>
      <c r="CX238" s="63"/>
      <c r="CY238" s="63"/>
      <c r="CZ238" s="63"/>
      <c r="DA238" s="63"/>
      <c r="DB238" s="63"/>
      <c r="DC238" s="63"/>
      <c r="DD238" s="63"/>
      <c r="DE238" s="63"/>
      <c r="DF238" s="63"/>
      <c r="DG238" s="64">
        <f t="shared" si="1531"/>
        <v>0</v>
      </c>
      <c r="DH238" s="62"/>
      <c r="DI238" s="63"/>
      <c r="DJ238" s="63"/>
      <c r="DK238" s="63"/>
      <c r="DL238" s="63"/>
      <c r="DM238" s="63"/>
      <c r="DN238" s="63"/>
      <c r="DO238" s="63"/>
      <c r="DP238" s="63"/>
      <c r="DQ238" s="63"/>
      <c r="DR238" s="64">
        <f t="shared" si="1532"/>
        <v>0</v>
      </c>
      <c r="DS238" s="62"/>
      <c r="DT238" s="63"/>
      <c r="DU238" s="63"/>
      <c r="DV238" s="63"/>
      <c r="DW238" s="63"/>
      <c r="DX238" s="63"/>
      <c r="DY238" s="63"/>
      <c r="DZ238" s="63"/>
      <c r="EA238" s="63"/>
      <c r="EB238" s="63"/>
      <c r="EC238" s="63"/>
      <c r="ED238" s="65">
        <f t="shared" si="1533"/>
        <v>0</v>
      </c>
      <c r="EE238" s="65">
        <f t="shared" si="1533"/>
        <v>0</v>
      </c>
      <c r="EF238" s="65">
        <f t="shared" si="1533"/>
        <v>0</v>
      </c>
      <c r="EG238" s="65">
        <f t="shared" si="1533"/>
        <v>0</v>
      </c>
      <c r="EH238" s="65">
        <f t="shared" si="1533"/>
        <v>0</v>
      </c>
      <c r="EI238" s="65">
        <f t="shared" si="1533"/>
        <v>0</v>
      </c>
      <c r="EJ238" s="65">
        <f t="shared" si="1533"/>
        <v>0</v>
      </c>
      <c r="EK238" s="65">
        <f t="shared" si="1533"/>
        <v>0</v>
      </c>
      <c r="EL238" s="65">
        <f t="shared" si="1533"/>
        <v>0</v>
      </c>
      <c r="EM238" s="65">
        <f t="shared" si="1533"/>
        <v>0</v>
      </c>
      <c r="EN238" s="64">
        <f t="shared" si="1534"/>
        <v>0</v>
      </c>
      <c r="EO238" s="62"/>
      <c r="EP238" s="63"/>
      <c r="EQ238" s="63"/>
      <c r="ER238" s="63"/>
      <c r="ES238" s="63"/>
      <c r="ET238" s="63"/>
      <c r="EU238" s="63"/>
      <c r="EV238" s="63"/>
      <c r="EW238" s="63"/>
      <c r="EX238" s="63"/>
      <c r="EY238" s="64">
        <f t="shared" si="1535"/>
        <v>0</v>
      </c>
      <c r="EZ238" s="62"/>
      <c r="FA238" s="63"/>
      <c r="FB238" s="63"/>
      <c r="FC238" s="63"/>
      <c r="FD238" s="63"/>
      <c r="FE238" s="63"/>
      <c r="FF238" s="63"/>
      <c r="FG238" s="63"/>
      <c r="FH238" s="63"/>
      <c r="FI238" s="63"/>
      <c r="FJ238" s="64">
        <f t="shared" si="1536"/>
        <v>0</v>
      </c>
      <c r="FK238" s="62"/>
      <c r="FL238" s="63"/>
      <c r="FM238" s="63"/>
      <c r="FN238" s="63"/>
      <c r="FO238" s="63"/>
      <c r="FP238" s="63"/>
      <c r="FQ238" s="63"/>
      <c r="FR238" s="63"/>
      <c r="FS238" s="63"/>
      <c r="FT238" s="63"/>
      <c r="FU238" s="64">
        <f t="shared" si="1537"/>
        <v>0</v>
      </c>
      <c r="FV238" s="65">
        <f t="shared" si="1538"/>
        <v>0</v>
      </c>
      <c r="FW238" s="65">
        <f t="shared" si="1538"/>
        <v>0</v>
      </c>
      <c r="FX238" s="65">
        <f t="shared" si="1538"/>
        <v>0</v>
      </c>
      <c r="FY238" s="65">
        <f t="shared" si="1538"/>
        <v>0</v>
      </c>
      <c r="FZ238" s="65">
        <f t="shared" si="1538"/>
        <v>0</v>
      </c>
      <c r="GA238" s="65">
        <f t="shared" si="1538"/>
        <v>0</v>
      </c>
      <c r="GB238" s="65">
        <f t="shared" si="1538"/>
        <v>0</v>
      </c>
      <c r="GC238" s="65">
        <f t="shared" si="1538"/>
        <v>0</v>
      </c>
      <c r="GD238" s="65">
        <f t="shared" si="1538"/>
        <v>0</v>
      </c>
      <c r="GE238" s="65">
        <f t="shared" si="1538"/>
        <v>0</v>
      </c>
      <c r="GF238" s="64">
        <f t="shared" si="1539"/>
        <v>0</v>
      </c>
      <c r="GG238" s="66">
        <f t="shared" si="1540"/>
        <v>0</v>
      </c>
      <c r="GH238" s="66">
        <f t="shared" si="1540"/>
        <v>0</v>
      </c>
      <c r="GI238" s="66">
        <f t="shared" si="1540"/>
        <v>0</v>
      </c>
      <c r="GJ238" s="66">
        <f t="shared" si="1540"/>
        <v>0</v>
      </c>
      <c r="GK238" s="66">
        <f t="shared" si="1540"/>
        <v>0</v>
      </c>
      <c r="GL238" s="66">
        <f t="shared" si="1540"/>
        <v>0</v>
      </c>
      <c r="GM238" s="66">
        <f t="shared" si="1540"/>
        <v>0</v>
      </c>
      <c r="GN238" s="66">
        <f t="shared" si="1540"/>
        <v>0</v>
      </c>
      <c r="GO238" s="66">
        <f t="shared" si="1540"/>
        <v>0</v>
      </c>
      <c r="GP238" s="66">
        <f t="shared" si="1540"/>
        <v>0</v>
      </c>
      <c r="GQ238" s="64">
        <f t="shared" si="1541"/>
        <v>0</v>
      </c>
      <c r="GR238" s="63"/>
      <c r="GS238" s="63"/>
      <c r="GT238" s="63"/>
      <c r="GU238" s="63"/>
      <c r="GV238" s="67">
        <f t="shared" si="1542"/>
        <v>0</v>
      </c>
      <c r="GW238" s="63"/>
      <c r="GX238" s="63"/>
      <c r="GY238" s="63"/>
      <c r="GZ238" s="63"/>
      <c r="HA238" s="67">
        <f t="shared" si="1543"/>
        <v>0</v>
      </c>
      <c r="HB238" s="63"/>
      <c r="HC238" s="63"/>
      <c r="HD238" s="63"/>
      <c r="HE238" s="63"/>
      <c r="HF238" s="67">
        <f t="shared" si="1544"/>
        <v>0</v>
      </c>
      <c r="HG238" s="63"/>
      <c r="HH238" s="63"/>
      <c r="HI238" s="63"/>
      <c r="HJ238" s="63"/>
      <c r="HK238" s="67">
        <f t="shared" si="1545"/>
        <v>0</v>
      </c>
      <c r="HL238" s="68">
        <f t="shared" si="1546"/>
        <v>0</v>
      </c>
      <c r="HM238" s="68">
        <f t="shared" si="1546"/>
        <v>0</v>
      </c>
      <c r="HN238" s="68">
        <f t="shared" si="1546"/>
        <v>0</v>
      </c>
      <c r="HO238" s="68">
        <f t="shared" si="1546"/>
        <v>0</v>
      </c>
      <c r="HP238" s="67">
        <f t="shared" si="1547"/>
        <v>0</v>
      </c>
      <c r="HQ238" s="63"/>
      <c r="HR238" s="63"/>
      <c r="HS238" s="63"/>
      <c r="HT238" s="63"/>
      <c r="HU238" s="67">
        <f t="shared" si="1548"/>
        <v>0</v>
      </c>
      <c r="HV238" s="63"/>
      <c r="HW238" s="63"/>
      <c r="HX238" s="63"/>
      <c r="HY238" s="63"/>
      <c r="HZ238" s="67">
        <f t="shared" si="1549"/>
        <v>0</v>
      </c>
      <c r="IA238" s="63"/>
      <c r="IB238" s="63"/>
      <c r="IC238" s="63"/>
      <c r="ID238" s="63"/>
      <c r="IE238" s="67">
        <f t="shared" si="1550"/>
        <v>0</v>
      </c>
      <c r="IF238" s="68">
        <f t="shared" si="1551"/>
        <v>0</v>
      </c>
      <c r="IG238" s="68">
        <f t="shared" si="1551"/>
        <v>0</v>
      </c>
      <c r="IH238" s="68">
        <f t="shared" si="1551"/>
        <v>0</v>
      </c>
      <c r="II238" s="68">
        <f t="shared" si="1551"/>
        <v>0</v>
      </c>
      <c r="IJ238" s="67">
        <f t="shared" si="1552"/>
        <v>0</v>
      </c>
      <c r="IK238" s="63"/>
      <c r="IL238" s="63"/>
      <c r="IM238" s="63"/>
      <c r="IN238" s="63"/>
      <c r="IO238" s="67">
        <f t="shared" si="1553"/>
        <v>0</v>
      </c>
      <c r="IP238" s="63"/>
      <c r="IQ238" s="63"/>
      <c r="IR238" s="63"/>
      <c r="IS238" s="63"/>
      <c r="IT238" s="67">
        <f t="shared" si="1554"/>
        <v>0</v>
      </c>
      <c r="IU238" s="63"/>
      <c r="IV238" s="63"/>
    </row>
    <row r="239" spans="1:256" x14ac:dyDescent="0.25">
      <c r="A239" s="162" t="s">
        <v>377</v>
      </c>
      <c r="B239" s="62"/>
      <c r="C239" s="63"/>
      <c r="D239" s="63"/>
      <c r="E239" s="63"/>
      <c r="F239" s="63"/>
      <c r="G239" s="63"/>
      <c r="H239" s="63"/>
      <c r="I239" s="63"/>
      <c r="J239" s="63"/>
      <c r="K239" s="63"/>
      <c r="L239" s="64">
        <f t="shared" si="1520"/>
        <v>0</v>
      </c>
      <c r="M239" s="62"/>
      <c r="N239" s="63"/>
      <c r="O239" s="63"/>
      <c r="P239" s="63"/>
      <c r="Q239" s="63"/>
      <c r="R239" s="63"/>
      <c r="S239" s="63"/>
      <c r="T239" s="63"/>
      <c r="U239" s="63"/>
      <c r="V239" s="63"/>
      <c r="W239" s="64">
        <f t="shared" si="1521"/>
        <v>0</v>
      </c>
      <c r="X239" s="62"/>
      <c r="Y239" s="63"/>
      <c r="Z239" s="63"/>
      <c r="AA239" s="63"/>
      <c r="AB239" s="63"/>
      <c r="AC239" s="63"/>
      <c r="AD239" s="63"/>
      <c r="AE239" s="63"/>
      <c r="AF239" s="63"/>
      <c r="AG239" s="63"/>
      <c r="AH239" s="64">
        <f t="shared" si="1522"/>
        <v>0</v>
      </c>
      <c r="AI239" s="62"/>
      <c r="AJ239" s="63"/>
      <c r="AK239" s="63"/>
      <c r="AL239" s="63"/>
      <c r="AM239" s="63"/>
      <c r="AN239" s="63"/>
      <c r="AO239" s="63"/>
      <c r="AP239" s="63"/>
      <c r="AQ239" s="63"/>
      <c r="AR239" s="63"/>
      <c r="AS239" s="64">
        <f t="shared" si="1523"/>
        <v>0</v>
      </c>
      <c r="AT239" s="65">
        <f t="shared" si="1524"/>
        <v>0</v>
      </c>
      <c r="AU239" s="65">
        <f t="shared" si="1524"/>
        <v>0</v>
      </c>
      <c r="AV239" s="65">
        <f t="shared" si="1524"/>
        <v>0</v>
      </c>
      <c r="AW239" s="65">
        <f t="shared" si="1524"/>
        <v>0</v>
      </c>
      <c r="AX239" s="65">
        <f t="shared" si="1524"/>
        <v>0</v>
      </c>
      <c r="AY239" s="65">
        <f t="shared" si="1524"/>
        <v>0</v>
      </c>
      <c r="AZ239" s="65">
        <f t="shared" si="1524"/>
        <v>0</v>
      </c>
      <c r="BA239" s="65">
        <f t="shared" si="1524"/>
        <v>0</v>
      </c>
      <c r="BB239" s="65">
        <f t="shared" si="1524"/>
        <v>0</v>
      </c>
      <c r="BC239" s="65">
        <f t="shared" si="1524"/>
        <v>0</v>
      </c>
      <c r="BD239" s="64">
        <f t="shared" si="1525"/>
        <v>0</v>
      </c>
      <c r="BE239" s="62"/>
      <c r="BF239" s="63"/>
      <c r="BG239" s="63"/>
      <c r="BH239" s="63"/>
      <c r="BI239" s="63"/>
      <c r="BJ239" s="63"/>
      <c r="BK239" s="63"/>
      <c r="BL239" s="63"/>
      <c r="BM239" s="63"/>
      <c r="BN239" s="63"/>
      <c r="BO239" s="64">
        <f t="shared" si="1526"/>
        <v>0</v>
      </c>
      <c r="BP239" s="62"/>
      <c r="BQ239" s="63"/>
      <c r="BR239" s="63"/>
      <c r="BS239" s="63"/>
      <c r="BT239" s="63"/>
      <c r="BU239" s="63"/>
      <c r="BV239" s="63"/>
      <c r="BW239" s="63"/>
      <c r="BX239" s="63"/>
      <c r="BY239" s="63"/>
      <c r="BZ239" s="64">
        <f t="shared" si="1527"/>
        <v>0</v>
      </c>
      <c r="CA239" s="62"/>
      <c r="CB239" s="63"/>
      <c r="CC239" s="63"/>
      <c r="CD239" s="63"/>
      <c r="CE239" s="63"/>
      <c r="CF239" s="63"/>
      <c r="CG239" s="63"/>
      <c r="CH239" s="63"/>
      <c r="CI239" s="63"/>
      <c r="CJ239" s="63"/>
      <c r="CK239" s="64">
        <f t="shared" si="1528"/>
        <v>0</v>
      </c>
      <c r="CL239" s="65">
        <f t="shared" si="1529"/>
        <v>0</v>
      </c>
      <c r="CM239" s="65">
        <f t="shared" si="1529"/>
        <v>0</v>
      </c>
      <c r="CN239" s="65">
        <f t="shared" si="1529"/>
        <v>0</v>
      </c>
      <c r="CO239" s="65">
        <f t="shared" si="1529"/>
        <v>0</v>
      </c>
      <c r="CP239" s="65">
        <f t="shared" si="1529"/>
        <v>0</v>
      </c>
      <c r="CQ239" s="65">
        <f t="shared" si="1529"/>
        <v>0</v>
      </c>
      <c r="CR239" s="65">
        <f t="shared" si="1529"/>
        <v>0</v>
      </c>
      <c r="CS239" s="65">
        <f t="shared" si="1529"/>
        <v>0</v>
      </c>
      <c r="CT239" s="65">
        <f t="shared" si="1529"/>
        <v>0</v>
      </c>
      <c r="CU239" s="65">
        <f t="shared" si="1529"/>
        <v>0</v>
      </c>
      <c r="CV239" s="64">
        <f t="shared" si="1530"/>
        <v>0</v>
      </c>
      <c r="CW239" s="62"/>
      <c r="CX239" s="63"/>
      <c r="CY239" s="63"/>
      <c r="CZ239" s="63"/>
      <c r="DA239" s="63"/>
      <c r="DB239" s="63"/>
      <c r="DC239" s="63"/>
      <c r="DD239" s="63"/>
      <c r="DE239" s="63"/>
      <c r="DF239" s="63"/>
      <c r="DG239" s="64">
        <f t="shared" si="1531"/>
        <v>0</v>
      </c>
      <c r="DH239" s="62"/>
      <c r="DI239" s="63"/>
      <c r="DJ239" s="63"/>
      <c r="DK239" s="63"/>
      <c r="DL239" s="63"/>
      <c r="DM239" s="63"/>
      <c r="DN239" s="63"/>
      <c r="DO239" s="63"/>
      <c r="DP239" s="63"/>
      <c r="DQ239" s="63"/>
      <c r="DR239" s="64">
        <f t="shared" si="1532"/>
        <v>0</v>
      </c>
      <c r="DS239" s="62"/>
      <c r="DT239" s="63"/>
      <c r="DU239" s="63"/>
      <c r="DV239" s="63"/>
      <c r="DW239" s="63"/>
      <c r="DX239" s="63"/>
      <c r="DY239" s="63"/>
      <c r="DZ239" s="63"/>
      <c r="EA239" s="63"/>
      <c r="EB239" s="63"/>
      <c r="EC239" s="63"/>
      <c r="ED239" s="65">
        <f t="shared" si="1533"/>
        <v>0</v>
      </c>
      <c r="EE239" s="65">
        <f t="shared" si="1533"/>
        <v>0</v>
      </c>
      <c r="EF239" s="65">
        <f t="shared" si="1533"/>
        <v>0</v>
      </c>
      <c r="EG239" s="65">
        <f t="shared" si="1533"/>
        <v>0</v>
      </c>
      <c r="EH239" s="65">
        <f t="shared" si="1533"/>
        <v>0</v>
      </c>
      <c r="EI239" s="65">
        <f t="shared" si="1533"/>
        <v>0</v>
      </c>
      <c r="EJ239" s="65">
        <f t="shared" si="1533"/>
        <v>0</v>
      </c>
      <c r="EK239" s="65">
        <f t="shared" si="1533"/>
        <v>0</v>
      </c>
      <c r="EL239" s="65">
        <f t="shared" si="1533"/>
        <v>0</v>
      </c>
      <c r="EM239" s="65">
        <f t="shared" si="1533"/>
        <v>0</v>
      </c>
      <c r="EN239" s="64">
        <f t="shared" si="1534"/>
        <v>0</v>
      </c>
      <c r="EO239" s="62"/>
      <c r="EP239" s="63"/>
      <c r="EQ239" s="63"/>
      <c r="ER239" s="63"/>
      <c r="ES239" s="63"/>
      <c r="ET239" s="63"/>
      <c r="EU239" s="63"/>
      <c r="EV239" s="63"/>
      <c r="EW239" s="63"/>
      <c r="EX239" s="63"/>
      <c r="EY239" s="64">
        <f t="shared" si="1535"/>
        <v>0</v>
      </c>
      <c r="EZ239" s="62"/>
      <c r="FA239" s="63"/>
      <c r="FB239" s="63"/>
      <c r="FC239" s="63"/>
      <c r="FD239" s="63"/>
      <c r="FE239" s="63"/>
      <c r="FF239" s="63"/>
      <c r="FG239" s="63"/>
      <c r="FH239" s="63"/>
      <c r="FI239" s="63"/>
      <c r="FJ239" s="64">
        <f t="shared" si="1536"/>
        <v>0</v>
      </c>
      <c r="FK239" s="62"/>
      <c r="FL239" s="63"/>
      <c r="FM239" s="63"/>
      <c r="FN239" s="63"/>
      <c r="FO239" s="63"/>
      <c r="FP239" s="63"/>
      <c r="FQ239" s="63"/>
      <c r="FR239" s="63"/>
      <c r="FS239" s="63"/>
      <c r="FT239" s="63"/>
      <c r="FU239" s="64">
        <f t="shared" si="1537"/>
        <v>0</v>
      </c>
      <c r="FV239" s="65">
        <f t="shared" si="1538"/>
        <v>0</v>
      </c>
      <c r="FW239" s="65">
        <f t="shared" si="1538"/>
        <v>0</v>
      </c>
      <c r="FX239" s="65">
        <f t="shared" si="1538"/>
        <v>0</v>
      </c>
      <c r="FY239" s="65">
        <f t="shared" si="1538"/>
        <v>0</v>
      </c>
      <c r="FZ239" s="65">
        <f t="shared" si="1538"/>
        <v>0</v>
      </c>
      <c r="GA239" s="65">
        <f t="shared" si="1538"/>
        <v>0</v>
      </c>
      <c r="GB239" s="65">
        <f t="shared" si="1538"/>
        <v>0</v>
      </c>
      <c r="GC239" s="65">
        <f t="shared" si="1538"/>
        <v>0</v>
      </c>
      <c r="GD239" s="65">
        <f t="shared" si="1538"/>
        <v>0</v>
      </c>
      <c r="GE239" s="65">
        <f t="shared" si="1538"/>
        <v>0</v>
      </c>
      <c r="GF239" s="64">
        <f t="shared" si="1539"/>
        <v>0</v>
      </c>
      <c r="GG239" s="66">
        <f t="shared" si="1540"/>
        <v>0</v>
      </c>
      <c r="GH239" s="66">
        <f t="shared" si="1540"/>
        <v>0</v>
      </c>
      <c r="GI239" s="66">
        <f t="shared" si="1540"/>
        <v>0</v>
      </c>
      <c r="GJ239" s="66">
        <f t="shared" si="1540"/>
        <v>0</v>
      </c>
      <c r="GK239" s="66">
        <f t="shared" si="1540"/>
        <v>0</v>
      </c>
      <c r="GL239" s="66">
        <f t="shared" si="1540"/>
        <v>0</v>
      </c>
      <c r="GM239" s="66">
        <f t="shared" si="1540"/>
        <v>0</v>
      </c>
      <c r="GN239" s="66">
        <f t="shared" si="1540"/>
        <v>0</v>
      </c>
      <c r="GO239" s="66">
        <f t="shared" si="1540"/>
        <v>0</v>
      </c>
      <c r="GP239" s="66">
        <f t="shared" si="1540"/>
        <v>0</v>
      </c>
      <c r="GQ239" s="64">
        <f t="shared" si="1541"/>
        <v>0</v>
      </c>
      <c r="GR239" s="63"/>
      <c r="GS239" s="63"/>
      <c r="GT239" s="63"/>
      <c r="GU239" s="63"/>
      <c r="GV239" s="67">
        <f t="shared" si="1542"/>
        <v>0</v>
      </c>
      <c r="GW239" s="63"/>
      <c r="GX239" s="63"/>
      <c r="GY239" s="63"/>
      <c r="GZ239" s="63"/>
      <c r="HA239" s="67">
        <f t="shared" si="1543"/>
        <v>0</v>
      </c>
      <c r="HB239" s="63"/>
      <c r="HC239" s="63"/>
      <c r="HD239" s="63"/>
      <c r="HE239" s="63"/>
      <c r="HF239" s="67">
        <f t="shared" si="1544"/>
        <v>0</v>
      </c>
      <c r="HG239" s="63"/>
      <c r="HH239" s="63"/>
      <c r="HI239" s="63"/>
      <c r="HJ239" s="63"/>
      <c r="HK239" s="67">
        <f t="shared" si="1545"/>
        <v>0</v>
      </c>
      <c r="HL239" s="68">
        <f t="shared" si="1546"/>
        <v>0</v>
      </c>
      <c r="HM239" s="68">
        <f t="shared" si="1546"/>
        <v>0</v>
      </c>
      <c r="HN239" s="68">
        <f t="shared" si="1546"/>
        <v>0</v>
      </c>
      <c r="HO239" s="68">
        <f t="shared" si="1546"/>
        <v>0</v>
      </c>
      <c r="HP239" s="67">
        <f t="shared" si="1547"/>
        <v>0</v>
      </c>
      <c r="HQ239" s="63"/>
      <c r="HR239" s="63"/>
      <c r="HS239" s="63"/>
      <c r="HT239" s="63"/>
      <c r="HU239" s="67">
        <f t="shared" si="1548"/>
        <v>0</v>
      </c>
      <c r="HV239" s="63"/>
      <c r="HW239" s="63"/>
      <c r="HX239" s="63"/>
      <c r="HY239" s="63"/>
      <c r="HZ239" s="67">
        <f t="shared" si="1549"/>
        <v>0</v>
      </c>
      <c r="IA239" s="63"/>
      <c r="IB239" s="63"/>
      <c r="IC239" s="63"/>
      <c r="ID239" s="63"/>
      <c r="IE239" s="67">
        <f t="shared" si="1550"/>
        <v>0</v>
      </c>
      <c r="IF239" s="68">
        <f t="shared" si="1551"/>
        <v>0</v>
      </c>
      <c r="IG239" s="68">
        <f t="shared" si="1551"/>
        <v>0</v>
      </c>
      <c r="IH239" s="68">
        <f t="shared" si="1551"/>
        <v>0</v>
      </c>
      <c r="II239" s="68">
        <f t="shared" si="1551"/>
        <v>0</v>
      </c>
      <c r="IJ239" s="67">
        <f t="shared" si="1552"/>
        <v>0</v>
      </c>
      <c r="IK239" s="63"/>
      <c r="IL239" s="63"/>
      <c r="IM239" s="63"/>
      <c r="IN239" s="63"/>
      <c r="IO239" s="67">
        <f t="shared" si="1553"/>
        <v>0</v>
      </c>
      <c r="IP239" s="63"/>
      <c r="IQ239" s="63"/>
      <c r="IR239" s="63"/>
      <c r="IS239" s="63"/>
      <c r="IT239" s="67">
        <f t="shared" si="1554"/>
        <v>0</v>
      </c>
      <c r="IU239" s="63"/>
      <c r="IV239" s="63"/>
    </row>
    <row r="240" spans="1:256" x14ac:dyDescent="0.25">
      <c r="A240" s="162" t="s">
        <v>378</v>
      </c>
      <c r="B240" s="62"/>
      <c r="C240" s="63"/>
      <c r="D240" s="63"/>
      <c r="E240" s="63"/>
      <c r="F240" s="63"/>
      <c r="G240" s="63"/>
      <c r="H240" s="63"/>
      <c r="I240" s="63"/>
      <c r="J240" s="63"/>
      <c r="K240" s="63"/>
      <c r="L240" s="64">
        <f t="shared" si="1520"/>
        <v>0</v>
      </c>
      <c r="M240" s="62"/>
      <c r="N240" s="63"/>
      <c r="O240" s="63"/>
      <c r="P240" s="63"/>
      <c r="Q240" s="63"/>
      <c r="R240" s="63"/>
      <c r="S240" s="63"/>
      <c r="T240" s="63"/>
      <c r="U240" s="63"/>
      <c r="V240" s="63"/>
      <c r="W240" s="64">
        <f t="shared" si="1521"/>
        <v>0</v>
      </c>
      <c r="X240" s="62"/>
      <c r="Y240" s="63"/>
      <c r="Z240" s="63"/>
      <c r="AA240" s="63"/>
      <c r="AB240" s="63"/>
      <c r="AC240" s="63"/>
      <c r="AD240" s="63"/>
      <c r="AE240" s="63"/>
      <c r="AF240" s="63"/>
      <c r="AG240" s="63"/>
      <c r="AH240" s="64">
        <f t="shared" si="1522"/>
        <v>0</v>
      </c>
      <c r="AI240" s="62"/>
      <c r="AJ240" s="63"/>
      <c r="AK240" s="63"/>
      <c r="AL240" s="63"/>
      <c r="AM240" s="63"/>
      <c r="AN240" s="63"/>
      <c r="AO240" s="63"/>
      <c r="AP240" s="63"/>
      <c r="AQ240" s="63"/>
      <c r="AR240" s="63"/>
      <c r="AS240" s="64">
        <f t="shared" si="1523"/>
        <v>0</v>
      </c>
      <c r="AT240" s="65">
        <f t="shared" si="1524"/>
        <v>0</v>
      </c>
      <c r="AU240" s="65">
        <f t="shared" si="1524"/>
        <v>0</v>
      </c>
      <c r="AV240" s="65">
        <f t="shared" si="1524"/>
        <v>0</v>
      </c>
      <c r="AW240" s="65">
        <f t="shared" si="1524"/>
        <v>0</v>
      </c>
      <c r="AX240" s="65">
        <f t="shared" si="1524"/>
        <v>0</v>
      </c>
      <c r="AY240" s="65">
        <f t="shared" si="1524"/>
        <v>0</v>
      </c>
      <c r="AZ240" s="65">
        <f t="shared" si="1524"/>
        <v>0</v>
      </c>
      <c r="BA240" s="65">
        <f t="shared" si="1524"/>
        <v>0</v>
      </c>
      <c r="BB240" s="65">
        <f t="shared" si="1524"/>
        <v>0</v>
      </c>
      <c r="BC240" s="65">
        <f t="shared" si="1524"/>
        <v>0</v>
      </c>
      <c r="BD240" s="64">
        <f t="shared" si="1525"/>
        <v>0</v>
      </c>
      <c r="BE240" s="62"/>
      <c r="BF240" s="63"/>
      <c r="BG240" s="63"/>
      <c r="BH240" s="63"/>
      <c r="BI240" s="63"/>
      <c r="BJ240" s="63"/>
      <c r="BK240" s="63"/>
      <c r="BL240" s="63"/>
      <c r="BM240" s="63"/>
      <c r="BN240" s="63"/>
      <c r="BO240" s="64">
        <f t="shared" si="1526"/>
        <v>0</v>
      </c>
      <c r="BP240" s="62"/>
      <c r="BQ240" s="63"/>
      <c r="BR240" s="63"/>
      <c r="BS240" s="63"/>
      <c r="BT240" s="63"/>
      <c r="BU240" s="63"/>
      <c r="BV240" s="63"/>
      <c r="BW240" s="63"/>
      <c r="BX240" s="63"/>
      <c r="BY240" s="63"/>
      <c r="BZ240" s="64">
        <f t="shared" si="1527"/>
        <v>0</v>
      </c>
      <c r="CA240" s="62"/>
      <c r="CB240" s="63"/>
      <c r="CC240" s="63"/>
      <c r="CD240" s="63"/>
      <c r="CE240" s="63"/>
      <c r="CF240" s="63"/>
      <c r="CG240" s="63"/>
      <c r="CH240" s="63"/>
      <c r="CI240" s="63"/>
      <c r="CJ240" s="63"/>
      <c r="CK240" s="64">
        <f t="shared" si="1528"/>
        <v>0</v>
      </c>
      <c r="CL240" s="65">
        <f t="shared" si="1529"/>
        <v>0</v>
      </c>
      <c r="CM240" s="65">
        <f t="shared" si="1529"/>
        <v>0</v>
      </c>
      <c r="CN240" s="65">
        <f t="shared" si="1529"/>
        <v>0</v>
      </c>
      <c r="CO240" s="65">
        <f t="shared" si="1529"/>
        <v>0</v>
      </c>
      <c r="CP240" s="65">
        <f t="shared" si="1529"/>
        <v>0</v>
      </c>
      <c r="CQ240" s="65">
        <f t="shared" si="1529"/>
        <v>0</v>
      </c>
      <c r="CR240" s="65">
        <f t="shared" si="1529"/>
        <v>0</v>
      </c>
      <c r="CS240" s="65">
        <f t="shared" si="1529"/>
        <v>0</v>
      </c>
      <c r="CT240" s="65">
        <f t="shared" si="1529"/>
        <v>0</v>
      </c>
      <c r="CU240" s="65">
        <f t="shared" si="1529"/>
        <v>0</v>
      </c>
      <c r="CV240" s="64">
        <f t="shared" si="1530"/>
        <v>0</v>
      </c>
      <c r="CW240" s="62"/>
      <c r="CX240" s="63"/>
      <c r="CY240" s="63"/>
      <c r="CZ240" s="63"/>
      <c r="DA240" s="63"/>
      <c r="DB240" s="63"/>
      <c r="DC240" s="63"/>
      <c r="DD240" s="63"/>
      <c r="DE240" s="63"/>
      <c r="DF240" s="63"/>
      <c r="DG240" s="64">
        <f t="shared" si="1531"/>
        <v>0</v>
      </c>
      <c r="DH240" s="62"/>
      <c r="DI240" s="63"/>
      <c r="DJ240" s="63"/>
      <c r="DK240" s="63"/>
      <c r="DL240" s="63"/>
      <c r="DM240" s="63"/>
      <c r="DN240" s="63"/>
      <c r="DO240" s="63"/>
      <c r="DP240" s="63"/>
      <c r="DQ240" s="63"/>
      <c r="DR240" s="64">
        <f t="shared" si="1532"/>
        <v>0</v>
      </c>
      <c r="DS240" s="62"/>
      <c r="DT240" s="63"/>
      <c r="DU240" s="63"/>
      <c r="DV240" s="63"/>
      <c r="DW240" s="63"/>
      <c r="DX240" s="63"/>
      <c r="DY240" s="63"/>
      <c r="DZ240" s="63"/>
      <c r="EA240" s="63"/>
      <c r="EB240" s="63"/>
      <c r="EC240" s="63"/>
      <c r="ED240" s="65">
        <f t="shared" si="1533"/>
        <v>0</v>
      </c>
      <c r="EE240" s="65">
        <f t="shared" si="1533"/>
        <v>0</v>
      </c>
      <c r="EF240" s="65">
        <f t="shared" si="1533"/>
        <v>0</v>
      </c>
      <c r="EG240" s="65">
        <f t="shared" si="1533"/>
        <v>0</v>
      </c>
      <c r="EH240" s="65">
        <f t="shared" si="1533"/>
        <v>0</v>
      </c>
      <c r="EI240" s="65">
        <f t="shared" si="1533"/>
        <v>0</v>
      </c>
      <c r="EJ240" s="65">
        <f t="shared" si="1533"/>
        <v>0</v>
      </c>
      <c r="EK240" s="65">
        <f t="shared" si="1533"/>
        <v>0</v>
      </c>
      <c r="EL240" s="65">
        <f t="shared" si="1533"/>
        <v>0</v>
      </c>
      <c r="EM240" s="65">
        <f t="shared" si="1533"/>
        <v>0</v>
      </c>
      <c r="EN240" s="64">
        <f t="shared" si="1534"/>
        <v>0</v>
      </c>
      <c r="EO240" s="62"/>
      <c r="EP240" s="63"/>
      <c r="EQ240" s="63"/>
      <c r="ER240" s="63"/>
      <c r="ES240" s="63"/>
      <c r="ET240" s="63"/>
      <c r="EU240" s="63"/>
      <c r="EV240" s="63"/>
      <c r="EW240" s="63"/>
      <c r="EX240" s="63"/>
      <c r="EY240" s="64">
        <f t="shared" si="1535"/>
        <v>0</v>
      </c>
      <c r="EZ240" s="62"/>
      <c r="FA240" s="63"/>
      <c r="FB240" s="63"/>
      <c r="FC240" s="63"/>
      <c r="FD240" s="63"/>
      <c r="FE240" s="63"/>
      <c r="FF240" s="63"/>
      <c r="FG240" s="63"/>
      <c r="FH240" s="63"/>
      <c r="FI240" s="63"/>
      <c r="FJ240" s="64">
        <f t="shared" si="1536"/>
        <v>0</v>
      </c>
      <c r="FK240" s="62"/>
      <c r="FL240" s="63"/>
      <c r="FM240" s="63"/>
      <c r="FN240" s="63"/>
      <c r="FO240" s="63"/>
      <c r="FP240" s="63"/>
      <c r="FQ240" s="63"/>
      <c r="FR240" s="63"/>
      <c r="FS240" s="63"/>
      <c r="FT240" s="63"/>
      <c r="FU240" s="64">
        <f t="shared" si="1537"/>
        <v>0</v>
      </c>
      <c r="FV240" s="65">
        <f t="shared" si="1538"/>
        <v>0</v>
      </c>
      <c r="FW240" s="65">
        <f t="shared" si="1538"/>
        <v>0</v>
      </c>
      <c r="FX240" s="65">
        <f t="shared" si="1538"/>
        <v>0</v>
      </c>
      <c r="FY240" s="65">
        <f t="shared" si="1538"/>
        <v>0</v>
      </c>
      <c r="FZ240" s="65">
        <f t="shared" si="1538"/>
        <v>0</v>
      </c>
      <c r="GA240" s="65">
        <f t="shared" si="1538"/>
        <v>0</v>
      </c>
      <c r="GB240" s="65">
        <f t="shared" si="1538"/>
        <v>0</v>
      </c>
      <c r="GC240" s="65">
        <f t="shared" si="1538"/>
        <v>0</v>
      </c>
      <c r="GD240" s="65">
        <f t="shared" si="1538"/>
        <v>0</v>
      </c>
      <c r="GE240" s="65">
        <f t="shared" si="1538"/>
        <v>0</v>
      </c>
      <c r="GF240" s="64">
        <f t="shared" si="1539"/>
        <v>0</v>
      </c>
      <c r="GG240" s="66">
        <f t="shared" si="1540"/>
        <v>0</v>
      </c>
      <c r="GH240" s="66">
        <f t="shared" si="1540"/>
        <v>0</v>
      </c>
      <c r="GI240" s="66">
        <f t="shared" si="1540"/>
        <v>0</v>
      </c>
      <c r="GJ240" s="66">
        <f t="shared" si="1540"/>
        <v>0</v>
      </c>
      <c r="GK240" s="66">
        <f t="shared" si="1540"/>
        <v>0</v>
      </c>
      <c r="GL240" s="66">
        <f t="shared" si="1540"/>
        <v>0</v>
      </c>
      <c r="GM240" s="66">
        <f t="shared" si="1540"/>
        <v>0</v>
      </c>
      <c r="GN240" s="66">
        <f t="shared" si="1540"/>
        <v>0</v>
      </c>
      <c r="GO240" s="66">
        <f t="shared" si="1540"/>
        <v>0</v>
      </c>
      <c r="GP240" s="66">
        <f t="shared" si="1540"/>
        <v>0</v>
      </c>
      <c r="GQ240" s="64">
        <f t="shared" si="1541"/>
        <v>0</v>
      </c>
      <c r="GR240" s="63"/>
      <c r="GS240" s="63"/>
      <c r="GT240" s="63"/>
      <c r="GU240" s="63"/>
      <c r="GV240" s="67">
        <f t="shared" si="1542"/>
        <v>0</v>
      </c>
      <c r="GW240" s="63"/>
      <c r="GX240" s="63"/>
      <c r="GY240" s="63"/>
      <c r="GZ240" s="63"/>
      <c r="HA240" s="67">
        <f t="shared" si="1543"/>
        <v>0</v>
      </c>
      <c r="HB240" s="63"/>
      <c r="HC240" s="63"/>
      <c r="HD240" s="63"/>
      <c r="HE240" s="63"/>
      <c r="HF240" s="67">
        <f t="shared" si="1544"/>
        <v>0</v>
      </c>
      <c r="HG240" s="63"/>
      <c r="HH240" s="63"/>
      <c r="HI240" s="63"/>
      <c r="HJ240" s="63"/>
      <c r="HK240" s="67">
        <f t="shared" si="1545"/>
        <v>0</v>
      </c>
      <c r="HL240" s="68">
        <f t="shared" si="1546"/>
        <v>0</v>
      </c>
      <c r="HM240" s="68">
        <f t="shared" si="1546"/>
        <v>0</v>
      </c>
      <c r="HN240" s="68">
        <f t="shared" si="1546"/>
        <v>0</v>
      </c>
      <c r="HO240" s="68">
        <f t="shared" si="1546"/>
        <v>0</v>
      </c>
      <c r="HP240" s="67">
        <f t="shared" si="1547"/>
        <v>0</v>
      </c>
      <c r="HQ240" s="63"/>
      <c r="HR240" s="63"/>
      <c r="HS240" s="63"/>
      <c r="HT240" s="63"/>
      <c r="HU240" s="67">
        <f t="shared" si="1548"/>
        <v>0</v>
      </c>
      <c r="HV240" s="63"/>
      <c r="HW240" s="63"/>
      <c r="HX240" s="63"/>
      <c r="HY240" s="63"/>
      <c r="HZ240" s="67">
        <f t="shared" si="1549"/>
        <v>0</v>
      </c>
      <c r="IA240" s="63"/>
      <c r="IB240" s="63"/>
      <c r="IC240" s="63"/>
      <c r="ID240" s="63"/>
      <c r="IE240" s="67">
        <f t="shared" si="1550"/>
        <v>0</v>
      </c>
      <c r="IF240" s="68">
        <f t="shared" si="1551"/>
        <v>0</v>
      </c>
      <c r="IG240" s="68">
        <f t="shared" si="1551"/>
        <v>0</v>
      </c>
      <c r="IH240" s="68">
        <f t="shared" si="1551"/>
        <v>0</v>
      </c>
      <c r="II240" s="68">
        <f t="shared" si="1551"/>
        <v>0</v>
      </c>
      <c r="IJ240" s="67">
        <f t="shared" si="1552"/>
        <v>0</v>
      </c>
      <c r="IK240" s="63"/>
      <c r="IL240" s="63"/>
      <c r="IM240" s="63"/>
      <c r="IN240" s="63"/>
      <c r="IO240" s="67">
        <f t="shared" si="1553"/>
        <v>0</v>
      </c>
      <c r="IP240" s="63"/>
      <c r="IQ240" s="63"/>
      <c r="IR240" s="63"/>
      <c r="IS240" s="63"/>
      <c r="IT240" s="67">
        <f t="shared" si="1554"/>
        <v>0</v>
      </c>
      <c r="IU240" s="63"/>
      <c r="IV240" s="63"/>
    </row>
    <row r="241" spans="1:256" s="57" customFormat="1" ht="14.1" customHeight="1" x14ac:dyDescent="0.25">
      <c r="A241" s="146" t="s">
        <v>160</v>
      </c>
      <c r="B241" s="73"/>
      <c r="C241" s="73">
        <f t="shared" ref="C241:L241" si="1567">C242</f>
        <v>0</v>
      </c>
      <c r="D241" s="73">
        <f t="shared" si="1567"/>
        <v>0</v>
      </c>
      <c r="E241" s="73">
        <f t="shared" si="1567"/>
        <v>0</v>
      </c>
      <c r="F241" s="73">
        <f t="shared" si="1567"/>
        <v>0</v>
      </c>
      <c r="G241" s="73">
        <f t="shared" si="1567"/>
        <v>0</v>
      </c>
      <c r="H241" s="73">
        <f t="shared" si="1567"/>
        <v>0</v>
      </c>
      <c r="I241" s="73">
        <f t="shared" si="1567"/>
        <v>0</v>
      </c>
      <c r="J241" s="73">
        <f t="shared" si="1567"/>
        <v>0</v>
      </c>
      <c r="K241" s="73">
        <f t="shared" si="1567"/>
        <v>0</v>
      </c>
      <c r="L241" s="73">
        <f t="shared" si="1567"/>
        <v>0</v>
      </c>
      <c r="M241" s="73"/>
      <c r="N241" s="73">
        <f t="shared" ref="N241:V241" si="1568">N242</f>
        <v>0</v>
      </c>
      <c r="O241" s="73">
        <f t="shared" si="1568"/>
        <v>0</v>
      </c>
      <c r="P241" s="73">
        <f t="shared" si="1568"/>
        <v>0</v>
      </c>
      <c r="Q241" s="73">
        <f t="shared" si="1568"/>
        <v>0</v>
      </c>
      <c r="R241" s="73">
        <f t="shared" si="1568"/>
        <v>0</v>
      </c>
      <c r="S241" s="73">
        <f t="shared" si="1568"/>
        <v>0</v>
      </c>
      <c r="T241" s="73">
        <f t="shared" si="1568"/>
        <v>0</v>
      </c>
      <c r="U241" s="73">
        <f t="shared" si="1568"/>
        <v>0</v>
      </c>
      <c r="V241" s="73">
        <f t="shared" si="1568"/>
        <v>0</v>
      </c>
      <c r="W241" s="73">
        <f t="shared" ref="W241:CB241" si="1569">W242</f>
        <v>0</v>
      </c>
      <c r="X241" s="73"/>
      <c r="Y241" s="73">
        <f t="shared" si="1569"/>
        <v>0</v>
      </c>
      <c r="Z241" s="73">
        <f t="shared" si="1569"/>
        <v>0</v>
      </c>
      <c r="AA241" s="73">
        <f t="shared" si="1569"/>
        <v>0</v>
      </c>
      <c r="AB241" s="73">
        <f t="shared" si="1569"/>
        <v>0</v>
      </c>
      <c r="AC241" s="73">
        <f t="shared" si="1569"/>
        <v>0</v>
      </c>
      <c r="AD241" s="73">
        <f t="shared" si="1569"/>
        <v>0</v>
      </c>
      <c r="AE241" s="73">
        <f t="shared" si="1569"/>
        <v>0</v>
      </c>
      <c r="AF241" s="73">
        <f t="shared" si="1569"/>
        <v>0</v>
      </c>
      <c r="AG241" s="73">
        <f t="shared" si="1569"/>
        <v>0</v>
      </c>
      <c r="AH241" s="73">
        <f t="shared" si="1569"/>
        <v>0</v>
      </c>
      <c r="AI241" s="73"/>
      <c r="AJ241" s="73">
        <f t="shared" si="1569"/>
        <v>0</v>
      </c>
      <c r="AK241" s="73">
        <f t="shared" si="1569"/>
        <v>0</v>
      </c>
      <c r="AL241" s="73">
        <f t="shared" si="1569"/>
        <v>0</v>
      </c>
      <c r="AM241" s="73">
        <f t="shared" si="1569"/>
        <v>0</v>
      </c>
      <c r="AN241" s="73">
        <f t="shared" si="1569"/>
        <v>0</v>
      </c>
      <c r="AO241" s="73">
        <f t="shared" si="1569"/>
        <v>0</v>
      </c>
      <c r="AP241" s="73">
        <f t="shared" si="1569"/>
        <v>0</v>
      </c>
      <c r="AQ241" s="73">
        <f t="shared" si="1569"/>
        <v>0</v>
      </c>
      <c r="AR241" s="73">
        <f t="shared" si="1569"/>
        <v>0</v>
      </c>
      <c r="AS241" s="73">
        <f t="shared" si="1569"/>
        <v>0</v>
      </c>
      <c r="AT241" s="73">
        <f t="shared" si="1569"/>
        <v>0</v>
      </c>
      <c r="AU241" s="73">
        <f t="shared" si="1569"/>
        <v>0</v>
      </c>
      <c r="AV241" s="73">
        <f t="shared" si="1569"/>
        <v>0</v>
      </c>
      <c r="AW241" s="73">
        <f t="shared" si="1569"/>
        <v>0</v>
      </c>
      <c r="AX241" s="73">
        <f t="shared" si="1569"/>
        <v>0</v>
      </c>
      <c r="AY241" s="73">
        <f t="shared" si="1569"/>
        <v>0</v>
      </c>
      <c r="AZ241" s="73">
        <f t="shared" si="1569"/>
        <v>0</v>
      </c>
      <c r="BA241" s="73">
        <f t="shared" si="1569"/>
        <v>0</v>
      </c>
      <c r="BB241" s="73">
        <f t="shared" si="1569"/>
        <v>0</v>
      </c>
      <c r="BC241" s="73">
        <f t="shared" si="1569"/>
        <v>0</v>
      </c>
      <c r="BD241" s="73">
        <f t="shared" si="1569"/>
        <v>0</v>
      </c>
      <c r="BE241" s="73"/>
      <c r="BF241" s="73">
        <f t="shared" si="1569"/>
        <v>0</v>
      </c>
      <c r="BG241" s="73">
        <f t="shared" si="1569"/>
        <v>0</v>
      </c>
      <c r="BH241" s="73">
        <f t="shared" si="1569"/>
        <v>0</v>
      </c>
      <c r="BI241" s="73">
        <f t="shared" si="1569"/>
        <v>0</v>
      </c>
      <c r="BJ241" s="73">
        <f t="shared" si="1569"/>
        <v>0</v>
      </c>
      <c r="BK241" s="73">
        <f t="shared" si="1569"/>
        <v>0</v>
      </c>
      <c r="BL241" s="73">
        <f t="shared" si="1569"/>
        <v>0</v>
      </c>
      <c r="BM241" s="73">
        <f t="shared" si="1569"/>
        <v>0</v>
      </c>
      <c r="BN241" s="73">
        <f t="shared" si="1569"/>
        <v>0</v>
      </c>
      <c r="BO241" s="73">
        <f t="shared" si="1569"/>
        <v>0</v>
      </c>
      <c r="BP241" s="73"/>
      <c r="BQ241" s="73">
        <f t="shared" si="1569"/>
        <v>0</v>
      </c>
      <c r="BR241" s="73">
        <f t="shared" si="1569"/>
        <v>0</v>
      </c>
      <c r="BS241" s="73">
        <f t="shared" si="1569"/>
        <v>0</v>
      </c>
      <c r="BT241" s="73">
        <f t="shared" si="1569"/>
        <v>0</v>
      </c>
      <c r="BU241" s="73">
        <f t="shared" si="1569"/>
        <v>0</v>
      </c>
      <c r="BV241" s="73">
        <f t="shared" si="1569"/>
        <v>0</v>
      </c>
      <c r="BW241" s="73">
        <f t="shared" si="1569"/>
        <v>0</v>
      </c>
      <c r="BX241" s="73">
        <f t="shared" si="1569"/>
        <v>0</v>
      </c>
      <c r="BY241" s="73">
        <f t="shared" si="1569"/>
        <v>0</v>
      </c>
      <c r="BZ241" s="73">
        <f t="shared" si="1569"/>
        <v>0</v>
      </c>
      <c r="CA241" s="73"/>
      <c r="CB241" s="73">
        <f t="shared" si="1569"/>
        <v>0</v>
      </c>
      <c r="CC241" s="73">
        <f t="shared" ref="CC241:CJ241" si="1570">CC242</f>
        <v>0</v>
      </c>
      <c r="CD241" s="73">
        <f t="shared" si="1570"/>
        <v>0</v>
      </c>
      <c r="CE241" s="73">
        <f t="shared" si="1570"/>
        <v>0</v>
      </c>
      <c r="CF241" s="73">
        <f t="shared" si="1570"/>
        <v>0</v>
      </c>
      <c r="CG241" s="73">
        <f t="shared" si="1570"/>
        <v>0</v>
      </c>
      <c r="CH241" s="73">
        <f t="shared" si="1570"/>
        <v>0</v>
      </c>
      <c r="CI241" s="73">
        <f t="shared" si="1570"/>
        <v>0</v>
      </c>
      <c r="CJ241" s="73">
        <f t="shared" si="1570"/>
        <v>0</v>
      </c>
      <c r="CK241" s="73">
        <f t="shared" ref="CK241:CV241" si="1571">CK242</f>
        <v>0</v>
      </c>
      <c r="CL241" s="73">
        <f t="shared" si="1571"/>
        <v>0</v>
      </c>
      <c r="CM241" s="73">
        <f t="shared" si="1571"/>
        <v>0</v>
      </c>
      <c r="CN241" s="73">
        <f t="shared" si="1571"/>
        <v>0</v>
      </c>
      <c r="CO241" s="73">
        <f t="shared" si="1571"/>
        <v>0</v>
      </c>
      <c r="CP241" s="73">
        <f t="shared" si="1571"/>
        <v>0</v>
      </c>
      <c r="CQ241" s="73">
        <f t="shared" si="1571"/>
        <v>0</v>
      </c>
      <c r="CR241" s="73">
        <f t="shared" si="1571"/>
        <v>0</v>
      </c>
      <c r="CS241" s="73">
        <f t="shared" si="1571"/>
        <v>0</v>
      </c>
      <c r="CT241" s="73">
        <f t="shared" si="1571"/>
        <v>0</v>
      </c>
      <c r="CU241" s="73">
        <f t="shared" si="1571"/>
        <v>0</v>
      </c>
      <c r="CV241" s="73">
        <f t="shared" si="1571"/>
        <v>0</v>
      </c>
      <c r="CW241" s="73"/>
      <c r="CX241" s="73">
        <f t="shared" ref="CX241:DF241" si="1572">CX242</f>
        <v>0</v>
      </c>
      <c r="CY241" s="73">
        <f t="shared" si="1572"/>
        <v>0</v>
      </c>
      <c r="CZ241" s="73">
        <f t="shared" si="1572"/>
        <v>0</v>
      </c>
      <c r="DA241" s="73">
        <f t="shared" si="1572"/>
        <v>0</v>
      </c>
      <c r="DB241" s="73">
        <f t="shared" si="1572"/>
        <v>0</v>
      </c>
      <c r="DC241" s="73">
        <f t="shared" si="1572"/>
        <v>0</v>
      </c>
      <c r="DD241" s="73">
        <f t="shared" si="1572"/>
        <v>0</v>
      </c>
      <c r="DE241" s="73">
        <f t="shared" si="1572"/>
        <v>0</v>
      </c>
      <c r="DF241" s="73">
        <f t="shared" si="1572"/>
        <v>0</v>
      </c>
      <c r="DG241" s="73">
        <f>DG242</f>
        <v>0</v>
      </c>
      <c r="DH241" s="73"/>
      <c r="DI241" s="73">
        <f t="shared" ref="DI241:DQ241" si="1573">DI242</f>
        <v>0</v>
      </c>
      <c r="DJ241" s="73">
        <f t="shared" si="1573"/>
        <v>0</v>
      </c>
      <c r="DK241" s="73">
        <f t="shared" si="1573"/>
        <v>0</v>
      </c>
      <c r="DL241" s="73">
        <f t="shared" si="1573"/>
        <v>0</v>
      </c>
      <c r="DM241" s="73">
        <f t="shared" si="1573"/>
        <v>0</v>
      </c>
      <c r="DN241" s="73">
        <f t="shared" si="1573"/>
        <v>0</v>
      </c>
      <c r="DO241" s="73">
        <f t="shared" si="1573"/>
        <v>0</v>
      </c>
      <c r="DP241" s="73">
        <f t="shared" si="1573"/>
        <v>0</v>
      </c>
      <c r="DQ241" s="73">
        <f t="shared" si="1573"/>
        <v>0</v>
      </c>
      <c r="DR241" s="73">
        <f>DR242</f>
        <v>0</v>
      </c>
      <c r="DS241" s="73"/>
      <c r="DT241" s="73">
        <f t="shared" ref="DT241:EB241" si="1574">DT242</f>
        <v>0</v>
      </c>
      <c r="DU241" s="73">
        <f t="shared" si="1574"/>
        <v>0</v>
      </c>
      <c r="DV241" s="73">
        <f t="shared" si="1574"/>
        <v>0</v>
      </c>
      <c r="DW241" s="73">
        <f t="shared" si="1574"/>
        <v>0</v>
      </c>
      <c r="DX241" s="73">
        <f t="shared" si="1574"/>
        <v>0</v>
      </c>
      <c r="DY241" s="73">
        <f t="shared" si="1574"/>
        <v>0</v>
      </c>
      <c r="DZ241" s="73">
        <f t="shared" si="1574"/>
        <v>0</v>
      </c>
      <c r="EA241" s="73">
        <f t="shared" si="1574"/>
        <v>0</v>
      </c>
      <c r="EB241" s="73">
        <f t="shared" si="1574"/>
        <v>0</v>
      </c>
      <c r="EC241" s="73">
        <f t="shared" ref="EC241:EN241" si="1575">EC242</f>
        <v>0</v>
      </c>
      <c r="ED241" s="73">
        <f t="shared" si="1575"/>
        <v>0</v>
      </c>
      <c r="EE241" s="73">
        <f t="shared" si="1575"/>
        <v>0</v>
      </c>
      <c r="EF241" s="73">
        <f t="shared" si="1575"/>
        <v>0</v>
      </c>
      <c r="EG241" s="73">
        <f t="shared" si="1575"/>
        <v>0</v>
      </c>
      <c r="EH241" s="73">
        <f t="shared" si="1575"/>
        <v>0</v>
      </c>
      <c r="EI241" s="73">
        <f t="shared" si="1575"/>
        <v>0</v>
      </c>
      <c r="EJ241" s="73">
        <f t="shared" si="1575"/>
        <v>0</v>
      </c>
      <c r="EK241" s="73">
        <f t="shared" si="1575"/>
        <v>0</v>
      </c>
      <c r="EL241" s="73">
        <f t="shared" si="1575"/>
        <v>0</v>
      </c>
      <c r="EM241" s="73">
        <f t="shared" si="1575"/>
        <v>0</v>
      </c>
      <c r="EN241" s="73">
        <f t="shared" si="1575"/>
        <v>0</v>
      </c>
      <c r="EO241" s="73"/>
      <c r="EP241" s="73">
        <f t="shared" ref="EP241:EX241" si="1576">EP242</f>
        <v>0</v>
      </c>
      <c r="EQ241" s="73">
        <f t="shared" si="1576"/>
        <v>0</v>
      </c>
      <c r="ER241" s="73">
        <f t="shared" si="1576"/>
        <v>0</v>
      </c>
      <c r="ES241" s="73">
        <f t="shared" si="1576"/>
        <v>0</v>
      </c>
      <c r="ET241" s="73">
        <f t="shared" si="1576"/>
        <v>0</v>
      </c>
      <c r="EU241" s="73">
        <f t="shared" si="1576"/>
        <v>0</v>
      </c>
      <c r="EV241" s="73">
        <f t="shared" si="1576"/>
        <v>0</v>
      </c>
      <c r="EW241" s="73">
        <f t="shared" si="1576"/>
        <v>0</v>
      </c>
      <c r="EX241" s="73">
        <f t="shared" si="1576"/>
        <v>0</v>
      </c>
      <c r="EY241" s="73">
        <f>EY242</f>
        <v>0</v>
      </c>
      <c r="EZ241" s="73"/>
      <c r="FA241" s="73">
        <f t="shared" ref="FA241:FI241" si="1577">FA242</f>
        <v>0</v>
      </c>
      <c r="FB241" s="73">
        <f t="shared" si="1577"/>
        <v>0</v>
      </c>
      <c r="FC241" s="73">
        <f t="shared" si="1577"/>
        <v>0</v>
      </c>
      <c r="FD241" s="73">
        <f t="shared" si="1577"/>
        <v>0</v>
      </c>
      <c r="FE241" s="73">
        <f t="shared" si="1577"/>
        <v>0</v>
      </c>
      <c r="FF241" s="73">
        <f t="shared" si="1577"/>
        <v>0</v>
      </c>
      <c r="FG241" s="73">
        <f t="shared" si="1577"/>
        <v>0</v>
      </c>
      <c r="FH241" s="73">
        <f t="shared" si="1577"/>
        <v>0</v>
      </c>
      <c r="FI241" s="73">
        <f t="shared" si="1577"/>
        <v>0</v>
      </c>
      <c r="FJ241" s="73">
        <f>FJ242</f>
        <v>0</v>
      </c>
      <c r="FK241" s="73"/>
      <c r="FL241" s="73">
        <f t="shared" ref="FL241:FT241" si="1578">FL242</f>
        <v>0</v>
      </c>
      <c r="FM241" s="73">
        <f t="shared" si="1578"/>
        <v>0</v>
      </c>
      <c r="FN241" s="73">
        <f t="shared" si="1578"/>
        <v>0</v>
      </c>
      <c r="FO241" s="73">
        <f t="shared" si="1578"/>
        <v>0</v>
      </c>
      <c r="FP241" s="73">
        <f t="shared" si="1578"/>
        <v>0</v>
      </c>
      <c r="FQ241" s="73">
        <f t="shared" si="1578"/>
        <v>0</v>
      </c>
      <c r="FR241" s="73">
        <f t="shared" si="1578"/>
        <v>0</v>
      </c>
      <c r="FS241" s="73">
        <f t="shared" si="1578"/>
        <v>0</v>
      </c>
      <c r="FT241" s="73">
        <f t="shared" si="1578"/>
        <v>0</v>
      </c>
      <c r="FU241" s="73">
        <f t="shared" ref="FU241:HW241" si="1579">FU242</f>
        <v>0</v>
      </c>
      <c r="FV241" s="73">
        <f t="shared" si="1579"/>
        <v>0</v>
      </c>
      <c r="FW241" s="73">
        <f t="shared" si="1579"/>
        <v>0</v>
      </c>
      <c r="FX241" s="73">
        <f t="shared" si="1579"/>
        <v>0</v>
      </c>
      <c r="FY241" s="73">
        <f t="shared" si="1579"/>
        <v>0</v>
      </c>
      <c r="FZ241" s="73">
        <f t="shared" si="1579"/>
        <v>0</v>
      </c>
      <c r="GA241" s="73">
        <f t="shared" si="1579"/>
        <v>0</v>
      </c>
      <c r="GB241" s="73">
        <f t="shared" si="1579"/>
        <v>0</v>
      </c>
      <c r="GC241" s="73">
        <f t="shared" si="1579"/>
        <v>0</v>
      </c>
      <c r="GD241" s="73">
        <f t="shared" si="1579"/>
        <v>0</v>
      </c>
      <c r="GE241" s="73">
        <f t="shared" si="1579"/>
        <v>0</v>
      </c>
      <c r="GF241" s="73">
        <f t="shared" si="1579"/>
        <v>0</v>
      </c>
      <c r="GG241" s="73"/>
      <c r="GH241" s="73">
        <f t="shared" si="1579"/>
        <v>0</v>
      </c>
      <c r="GI241" s="73">
        <f t="shared" si="1579"/>
        <v>0</v>
      </c>
      <c r="GJ241" s="73">
        <f t="shared" si="1579"/>
        <v>0</v>
      </c>
      <c r="GK241" s="73">
        <f t="shared" si="1579"/>
        <v>0</v>
      </c>
      <c r="GL241" s="73">
        <f t="shared" si="1579"/>
        <v>0</v>
      </c>
      <c r="GM241" s="73">
        <f t="shared" si="1579"/>
        <v>0</v>
      </c>
      <c r="GN241" s="73">
        <f t="shared" si="1579"/>
        <v>0</v>
      </c>
      <c r="GO241" s="73">
        <f t="shared" si="1579"/>
        <v>0</v>
      </c>
      <c r="GP241" s="73">
        <f t="shared" si="1579"/>
        <v>0</v>
      </c>
      <c r="GQ241" s="73">
        <f t="shared" si="1579"/>
        <v>0</v>
      </c>
      <c r="GR241" s="73">
        <f t="shared" si="1579"/>
        <v>0</v>
      </c>
      <c r="GS241" s="73">
        <f t="shared" si="1579"/>
        <v>0</v>
      </c>
      <c r="GT241" s="73">
        <f t="shared" si="1579"/>
        <v>0</v>
      </c>
      <c r="GU241" s="73">
        <f t="shared" si="1579"/>
        <v>0</v>
      </c>
      <c r="GV241" s="73">
        <f t="shared" si="1579"/>
        <v>0</v>
      </c>
      <c r="GW241" s="73">
        <f t="shared" si="1579"/>
        <v>0</v>
      </c>
      <c r="GX241" s="73">
        <f t="shared" si="1579"/>
        <v>0</v>
      </c>
      <c r="GY241" s="73">
        <f t="shared" si="1579"/>
        <v>0</v>
      </c>
      <c r="GZ241" s="73">
        <f t="shared" si="1579"/>
        <v>0</v>
      </c>
      <c r="HA241" s="73">
        <f t="shared" si="1579"/>
        <v>0</v>
      </c>
      <c r="HB241" s="73">
        <f t="shared" si="1579"/>
        <v>0</v>
      </c>
      <c r="HC241" s="73">
        <f t="shared" si="1579"/>
        <v>0</v>
      </c>
      <c r="HD241" s="73">
        <f t="shared" si="1579"/>
        <v>0</v>
      </c>
      <c r="HE241" s="73">
        <f t="shared" si="1579"/>
        <v>0</v>
      </c>
      <c r="HF241" s="73">
        <f t="shared" si="1579"/>
        <v>0</v>
      </c>
      <c r="HG241" s="73">
        <f t="shared" si="1579"/>
        <v>0</v>
      </c>
      <c r="HH241" s="73">
        <f t="shared" si="1579"/>
        <v>0</v>
      </c>
      <c r="HI241" s="73">
        <f t="shared" si="1579"/>
        <v>0</v>
      </c>
      <c r="HJ241" s="73">
        <f t="shared" si="1579"/>
        <v>0</v>
      </c>
      <c r="HK241" s="73">
        <f t="shared" si="1579"/>
        <v>0</v>
      </c>
      <c r="HL241" s="73">
        <f t="shared" si="1579"/>
        <v>0</v>
      </c>
      <c r="HM241" s="73">
        <f t="shared" si="1579"/>
        <v>0</v>
      </c>
      <c r="HN241" s="73">
        <f t="shared" si="1579"/>
        <v>0</v>
      </c>
      <c r="HO241" s="73">
        <f t="shared" si="1579"/>
        <v>0</v>
      </c>
      <c r="HP241" s="73">
        <f t="shared" si="1579"/>
        <v>0</v>
      </c>
      <c r="HQ241" s="73">
        <f t="shared" si="1579"/>
        <v>0</v>
      </c>
      <c r="HR241" s="73">
        <f t="shared" si="1579"/>
        <v>0</v>
      </c>
      <c r="HS241" s="73">
        <f t="shared" si="1579"/>
        <v>0</v>
      </c>
      <c r="HT241" s="73">
        <f t="shared" si="1579"/>
        <v>0</v>
      </c>
      <c r="HU241" s="73">
        <f t="shared" si="1579"/>
        <v>0</v>
      </c>
      <c r="HV241" s="73">
        <f t="shared" si="1579"/>
        <v>0</v>
      </c>
      <c r="HW241" s="73">
        <f t="shared" si="1579"/>
        <v>0</v>
      </c>
      <c r="HX241" s="73">
        <f>HX242</f>
        <v>0</v>
      </c>
      <c r="HY241" s="73">
        <f>HY242</f>
        <v>0</v>
      </c>
      <c r="HZ241" s="73">
        <f t="shared" ref="HZ241:IV241" si="1580">HZ242</f>
        <v>0</v>
      </c>
      <c r="IA241" s="73">
        <f t="shared" si="1580"/>
        <v>0</v>
      </c>
      <c r="IB241" s="73">
        <f t="shared" si="1580"/>
        <v>0</v>
      </c>
      <c r="IC241" s="73">
        <f t="shared" si="1580"/>
        <v>0</v>
      </c>
      <c r="ID241" s="73">
        <f t="shared" si="1580"/>
        <v>0</v>
      </c>
      <c r="IE241" s="73">
        <f t="shared" si="1580"/>
        <v>0</v>
      </c>
      <c r="IF241" s="73">
        <f t="shared" si="1580"/>
        <v>0</v>
      </c>
      <c r="IG241" s="73">
        <f t="shared" si="1580"/>
        <v>0</v>
      </c>
      <c r="IH241" s="73">
        <f t="shared" si="1580"/>
        <v>0</v>
      </c>
      <c r="II241" s="73">
        <f t="shared" si="1580"/>
        <v>0</v>
      </c>
      <c r="IJ241" s="73">
        <f t="shared" si="1580"/>
        <v>0</v>
      </c>
      <c r="IK241" s="73">
        <f t="shared" si="1580"/>
        <v>0</v>
      </c>
      <c r="IL241" s="73">
        <f t="shared" si="1580"/>
        <v>0</v>
      </c>
      <c r="IM241" s="73">
        <f t="shared" si="1580"/>
        <v>0</v>
      </c>
      <c r="IN241" s="73">
        <f t="shared" si="1580"/>
        <v>0</v>
      </c>
      <c r="IO241" s="73">
        <f t="shared" si="1580"/>
        <v>0</v>
      </c>
      <c r="IP241" s="73">
        <f t="shared" si="1580"/>
        <v>0</v>
      </c>
      <c r="IQ241" s="73">
        <f t="shared" si="1580"/>
        <v>0</v>
      </c>
      <c r="IR241" s="73">
        <f t="shared" si="1580"/>
        <v>0</v>
      </c>
      <c r="IS241" s="73">
        <f t="shared" si="1580"/>
        <v>0</v>
      </c>
      <c r="IT241" s="73">
        <f t="shared" si="1580"/>
        <v>0</v>
      </c>
      <c r="IU241" s="73">
        <f t="shared" si="1580"/>
        <v>0</v>
      </c>
      <c r="IV241" s="73">
        <f t="shared" si="1580"/>
        <v>0</v>
      </c>
    </row>
    <row r="242" spans="1:256" s="78" customFormat="1" ht="14.1" customHeight="1" x14ac:dyDescent="0.25">
      <c r="A242" s="163" t="s">
        <v>355</v>
      </c>
      <c r="B242" s="91"/>
      <c r="C242" s="82">
        <f t="shared" ref="C242:L242" si="1581">SUM(C243:C255)</f>
        <v>0</v>
      </c>
      <c r="D242" s="82">
        <f t="shared" si="1581"/>
        <v>0</v>
      </c>
      <c r="E242" s="82">
        <f t="shared" si="1581"/>
        <v>0</v>
      </c>
      <c r="F242" s="82">
        <f t="shared" si="1581"/>
        <v>0</v>
      </c>
      <c r="G242" s="82">
        <f t="shared" si="1581"/>
        <v>0</v>
      </c>
      <c r="H242" s="82">
        <f t="shared" si="1581"/>
        <v>0</v>
      </c>
      <c r="I242" s="82">
        <f t="shared" si="1581"/>
        <v>0</v>
      </c>
      <c r="J242" s="82">
        <f t="shared" si="1581"/>
        <v>0</v>
      </c>
      <c r="K242" s="82">
        <f t="shared" si="1581"/>
        <v>0</v>
      </c>
      <c r="L242" s="82">
        <f t="shared" si="1581"/>
        <v>0</v>
      </c>
      <c r="M242" s="91"/>
      <c r="N242" s="82">
        <f t="shared" ref="N242:V242" si="1582">SUM(N243:N255)</f>
        <v>0</v>
      </c>
      <c r="O242" s="82">
        <f t="shared" si="1582"/>
        <v>0</v>
      </c>
      <c r="P242" s="82">
        <f t="shared" si="1582"/>
        <v>0</v>
      </c>
      <c r="Q242" s="82">
        <f t="shared" si="1582"/>
        <v>0</v>
      </c>
      <c r="R242" s="82">
        <f t="shared" si="1582"/>
        <v>0</v>
      </c>
      <c r="S242" s="82">
        <f t="shared" si="1582"/>
        <v>0</v>
      </c>
      <c r="T242" s="82">
        <f t="shared" si="1582"/>
        <v>0</v>
      </c>
      <c r="U242" s="82">
        <f t="shared" si="1582"/>
        <v>0</v>
      </c>
      <c r="V242" s="82">
        <f t="shared" si="1582"/>
        <v>0</v>
      </c>
      <c r="W242" s="82">
        <f>SUM(W243:W255)</f>
        <v>0</v>
      </c>
      <c r="X242" s="91"/>
      <c r="Y242" s="82">
        <f t="shared" ref="Y242:AG242" si="1583">SUM(Y243:Y255)</f>
        <v>0</v>
      </c>
      <c r="Z242" s="82">
        <f t="shared" si="1583"/>
        <v>0</v>
      </c>
      <c r="AA242" s="82">
        <f t="shared" si="1583"/>
        <v>0</v>
      </c>
      <c r="AB242" s="82">
        <f t="shared" si="1583"/>
        <v>0</v>
      </c>
      <c r="AC242" s="82">
        <f t="shared" si="1583"/>
        <v>0</v>
      </c>
      <c r="AD242" s="82">
        <f t="shared" si="1583"/>
        <v>0</v>
      </c>
      <c r="AE242" s="82">
        <f t="shared" si="1583"/>
        <v>0</v>
      </c>
      <c r="AF242" s="82">
        <f t="shared" si="1583"/>
        <v>0</v>
      </c>
      <c r="AG242" s="82">
        <f t="shared" si="1583"/>
        <v>0</v>
      </c>
      <c r="AH242" s="82">
        <f>SUM(AH243:AH255)</f>
        <v>0</v>
      </c>
      <c r="AI242" s="91"/>
      <c r="AJ242" s="82">
        <f t="shared" ref="AJ242:AR242" si="1584">SUM(AJ243:AJ255)</f>
        <v>0</v>
      </c>
      <c r="AK242" s="82">
        <f t="shared" si="1584"/>
        <v>0</v>
      </c>
      <c r="AL242" s="82">
        <f t="shared" si="1584"/>
        <v>0</v>
      </c>
      <c r="AM242" s="82">
        <f t="shared" si="1584"/>
        <v>0</v>
      </c>
      <c r="AN242" s="82">
        <f t="shared" si="1584"/>
        <v>0</v>
      </c>
      <c r="AO242" s="82">
        <f t="shared" si="1584"/>
        <v>0</v>
      </c>
      <c r="AP242" s="82">
        <f t="shared" si="1584"/>
        <v>0</v>
      </c>
      <c r="AQ242" s="82">
        <f t="shared" si="1584"/>
        <v>0</v>
      </c>
      <c r="AR242" s="82">
        <f t="shared" si="1584"/>
        <v>0</v>
      </c>
      <c r="AS242" s="82">
        <f>SUM(AS243:AS255)</f>
        <v>0</v>
      </c>
      <c r="AT242" s="91">
        <f>SUM(M242,AI242)</f>
        <v>0</v>
      </c>
      <c r="AU242" s="82">
        <f t="shared" ref="AU242:BD242" si="1585">SUM(AU243:AU255)</f>
        <v>0</v>
      </c>
      <c r="AV242" s="82">
        <f t="shared" si="1585"/>
        <v>0</v>
      </c>
      <c r="AW242" s="82">
        <f t="shared" si="1585"/>
        <v>0</v>
      </c>
      <c r="AX242" s="82">
        <f t="shared" si="1585"/>
        <v>0</v>
      </c>
      <c r="AY242" s="82">
        <f t="shared" si="1585"/>
        <v>0</v>
      </c>
      <c r="AZ242" s="82">
        <f t="shared" si="1585"/>
        <v>0</v>
      </c>
      <c r="BA242" s="82">
        <f t="shared" si="1585"/>
        <v>0</v>
      </c>
      <c r="BB242" s="82">
        <f t="shared" si="1585"/>
        <v>0</v>
      </c>
      <c r="BC242" s="82">
        <f t="shared" si="1585"/>
        <v>0</v>
      </c>
      <c r="BD242" s="82">
        <f t="shared" si="1585"/>
        <v>0</v>
      </c>
      <c r="BE242" s="91"/>
      <c r="BF242" s="82">
        <f t="shared" ref="BF242:BN242" si="1586">SUM(BF243:BF255)</f>
        <v>0</v>
      </c>
      <c r="BG242" s="82">
        <f t="shared" si="1586"/>
        <v>0</v>
      </c>
      <c r="BH242" s="82">
        <f t="shared" si="1586"/>
        <v>0</v>
      </c>
      <c r="BI242" s="82">
        <f t="shared" si="1586"/>
        <v>0</v>
      </c>
      <c r="BJ242" s="82">
        <f t="shared" si="1586"/>
        <v>0</v>
      </c>
      <c r="BK242" s="82">
        <f t="shared" si="1586"/>
        <v>0</v>
      </c>
      <c r="BL242" s="82">
        <f t="shared" si="1586"/>
        <v>0</v>
      </c>
      <c r="BM242" s="82">
        <f t="shared" si="1586"/>
        <v>0</v>
      </c>
      <c r="BN242" s="82">
        <f t="shared" si="1586"/>
        <v>0</v>
      </c>
      <c r="BO242" s="82">
        <f>SUM(BO243:BO255)</f>
        <v>0</v>
      </c>
      <c r="BP242" s="91"/>
      <c r="BQ242" s="82">
        <f t="shared" ref="BQ242:BY242" si="1587">SUM(BQ243:BQ255)</f>
        <v>0</v>
      </c>
      <c r="BR242" s="82">
        <f t="shared" si="1587"/>
        <v>0</v>
      </c>
      <c r="BS242" s="82">
        <f t="shared" si="1587"/>
        <v>0</v>
      </c>
      <c r="BT242" s="82">
        <f t="shared" si="1587"/>
        <v>0</v>
      </c>
      <c r="BU242" s="82">
        <f t="shared" si="1587"/>
        <v>0</v>
      </c>
      <c r="BV242" s="82">
        <f t="shared" si="1587"/>
        <v>0</v>
      </c>
      <c r="BW242" s="82">
        <f t="shared" si="1587"/>
        <v>0</v>
      </c>
      <c r="BX242" s="82">
        <f t="shared" si="1587"/>
        <v>0</v>
      </c>
      <c r="BY242" s="82">
        <f t="shared" si="1587"/>
        <v>0</v>
      </c>
      <c r="BZ242" s="82">
        <f>SUM(BZ243:BZ255)</f>
        <v>0</v>
      </c>
      <c r="CA242" s="91"/>
      <c r="CB242" s="82">
        <f t="shared" ref="CB242:CJ242" si="1588">SUM(CB243:CB255)</f>
        <v>0</v>
      </c>
      <c r="CC242" s="82">
        <f t="shared" si="1588"/>
        <v>0</v>
      </c>
      <c r="CD242" s="82">
        <f t="shared" si="1588"/>
        <v>0</v>
      </c>
      <c r="CE242" s="82">
        <f t="shared" si="1588"/>
        <v>0</v>
      </c>
      <c r="CF242" s="82">
        <f t="shared" si="1588"/>
        <v>0</v>
      </c>
      <c r="CG242" s="82">
        <f t="shared" si="1588"/>
        <v>0</v>
      </c>
      <c r="CH242" s="82">
        <f t="shared" si="1588"/>
        <v>0</v>
      </c>
      <c r="CI242" s="82">
        <f t="shared" si="1588"/>
        <v>0</v>
      </c>
      <c r="CJ242" s="82">
        <f t="shared" si="1588"/>
        <v>0</v>
      </c>
      <c r="CK242" s="82">
        <f>SUM(CK243:CK255)</f>
        <v>0</v>
      </c>
      <c r="CL242" s="91">
        <f>SUM(BE242,CA242)</f>
        <v>0</v>
      </c>
      <c r="CM242" s="82">
        <f t="shared" ref="CM242:CV242" si="1589">SUM(CM243:CM255)</f>
        <v>0</v>
      </c>
      <c r="CN242" s="82">
        <f t="shared" si="1589"/>
        <v>0</v>
      </c>
      <c r="CO242" s="82">
        <f t="shared" si="1589"/>
        <v>0</v>
      </c>
      <c r="CP242" s="82">
        <f t="shared" si="1589"/>
        <v>0</v>
      </c>
      <c r="CQ242" s="82">
        <f t="shared" si="1589"/>
        <v>0</v>
      </c>
      <c r="CR242" s="82">
        <f t="shared" si="1589"/>
        <v>0</v>
      </c>
      <c r="CS242" s="82">
        <f t="shared" si="1589"/>
        <v>0</v>
      </c>
      <c r="CT242" s="82">
        <f t="shared" si="1589"/>
        <v>0</v>
      </c>
      <c r="CU242" s="82">
        <f t="shared" si="1589"/>
        <v>0</v>
      </c>
      <c r="CV242" s="82">
        <f t="shared" si="1589"/>
        <v>0</v>
      </c>
      <c r="CW242" s="91"/>
      <c r="CX242" s="82">
        <f t="shared" ref="CX242:DF242" si="1590">SUM(CX243:CX255)</f>
        <v>0</v>
      </c>
      <c r="CY242" s="82">
        <f t="shared" si="1590"/>
        <v>0</v>
      </c>
      <c r="CZ242" s="82">
        <f t="shared" si="1590"/>
        <v>0</v>
      </c>
      <c r="DA242" s="82">
        <f t="shared" si="1590"/>
        <v>0</v>
      </c>
      <c r="DB242" s="82">
        <f t="shared" si="1590"/>
        <v>0</v>
      </c>
      <c r="DC242" s="82">
        <f t="shared" si="1590"/>
        <v>0</v>
      </c>
      <c r="DD242" s="82">
        <f t="shared" si="1590"/>
        <v>0</v>
      </c>
      <c r="DE242" s="82">
        <f t="shared" si="1590"/>
        <v>0</v>
      </c>
      <c r="DF242" s="82">
        <f t="shared" si="1590"/>
        <v>0</v>
      </c>
      <c r="DG242" s="82">
        <f>SUM(DG243:DG255)</f>
        <v>0</v>
      </c>
      <c r="DH242" s="91"/>
      <c r="DI242" s="82">
        <f t="shared" ref="DI242:DQ242" si="1591">SUM(DI243:DI255)</f>
        <v>0</v>
      </c>
      <c r="DJ242" s="82">
        <f t="shared" si="1591"/>
        <v>0</v>
      </c>
      <c r="DK242" s="82">
        <f t="shared" si="1591"/>
        <v>0</v>
      </c>
      <c r="DL242" s="82">
        <f t="shared" si="1591"/>
        <v>0</v>
      </c>
      <c r="DM242" s="82">
        <f t="shared" si="1591"/>
        <v>0</v>
      </c>
      <c r="DN242" s="82">
        <f t="shared" si="1591"/>
        <v>0</v>
      </c>
      <c r="DO242" s="82">
        <f t="shared" si="1591"/>
        <v>0</v>
      </c>
      <c r="DP242" s="82">
        <f t="shared" si="1591"/>
        <v>0</v>
      </c>
      <c r="DQ242" s="82">
        <f t="shared" si="1591"/>
        <v>0</v>
      </c>
      <c r="DR242" s="82">
        <f>SUM(DR243:DR255)</f>
        <v>0</v>
      </c>
      <c r="DS242" s="91"/>
      <c r="DT242" s="82">
        <f t="shared" ref="DT242:EB242" si="1592">SUM(DT243:DT255)</f>
        <v>0</v>
      </c>
      <c r="DU242" s="82">
        <f t="shared" si="1592"/>
        <v>0</v>
      </c>
      <c r="DV242" s="82">
        <f t="shared" si="1592"/>
        <v>0</v>
      </c>
      <c r="DW242" s="82">
        <f t="shared" si="1592"/>
        <v>0</v>
      </c>
      <c r="DX242" s="82">
        <f t="shared" si="1592"/>
        <v>0</v>
      </c>
      <c r="DY242" s="82">
        <f t="shared" si="1592"/>
        <v>0</v>
      </c>
      <c r="DZ242" s="82">
        <f t="shared" si="1592"/>
        <v>0</v>
      </c>
      <c r="EA242" s="82">
        <f t="shared" si="1592"/>
        <v>0</v>
      </c>
      <c r="EB242" s="82">
        <f t="shared" si="1592"/>
        <v>0</v>
      </c>
      <c r="EC242" s="82">
        <f>SUM(EC243:EC255)</f>
        <v>0</v>
      </c>
      <c r="ED242" s="91">
        <f>SUM(CW242,DS242)</f>
        <v>0</v>
      </c>
      <c r="EE242" s="82">
        <f t="shared" ref="EE242:EN242" si="1593">SUM(EE243:EE255)</f>
        <v>0</v>
      </c>
      <c r="EF242" s="82">
        <f t="shared" si="1593"/>
        <v>0</v>
      </c>
      <c r="EG242" s="82">
        <f t="shared" si="1593"/>
        <v>0</v>
      </c>
      <c r="EH242" s="82">
        <f t="shared" si="1593"/>
        <v>0</v>
      </c>
      <c r="EI242" s="82">
        <f t="shared" si="1593"/>
        <v>0</v>
      </c>
      <c r="EJ242" s="82">
        <f t="shared" si="1593"/>
        <v>0</v>
      </c>
      <c r="EK242" s="82">
        <f t="shared" si="1593"/>
        <v>0</v>
      </c>
      <c r="EL242" s="82">
        <f t="shared" si="1593"/>
        <v>0</v>
      </c>
      <c r="EM242" s="82">
        <f t="shared" si="1593"/>
        <v>0</v>
      </c>
      <c r="EN242" s="82">
        <f t="shared" si="1593"/>
        <v>0</v>
      </c>
      <c r="EO242" s="91"/>
      <c r="EP242" s="82">
        <f t="shared" ref="EP242:EX242" si="1594">SUM(EP243:EP255)</f>
        <v>0</v>
      </c>
      <c r="EQ242" s="82">
        <f t="shared" si="1594"/>
        <v>0</v>
      </c>
      <c r="ER242" s="82">
        <f t="shared" si="1594"/>
        <v>0</v>
      </c>
      <c r="ES242" s="82">
        <f t="shared" si="1594"/>
        <v>0</v>
      </c>
      <c r="ET242" s="82">
        <f t="shared" si="1594"/>
        <v>0</v>
      </c>
      <c r="EU242" s="82">
        <f t="shared" si="1594"/>
        <v>0</v>
      </c>
      <c r="EV242" s="82">
        <f t="shared" si="1594"/>
        <v>0</v>
      </c>
      <c r="EW242" s="82">
        <f t="shared" si="1594"/>
        <v>0</v>
      </c>
      <c r="EX242" s="82">
        <f t="shared" si="1594"/>
        <v>0</v>
      </c>
      <c r="EY242" s="82">
        <f>SUM(EY243:EY255)</f>
        <v>0</v>
      </c>
      <c r="EZ242" s="91"/>
      <c r="FA242" s="82">
        <f t="shared" ref="FA242:FI242" si="1595">SUM(FA243:FA255)</f>
        <v>0</v>
      </c>
      <c r="FB242" s="82">
        <f t="shared" si="1595"/>
        <v>0</v>
      </c>
      <c r="FC242" s="82">
        <f t="shared" si="1595"/>
        <v>0</v>
      </c>
      <c r="FD242" s="82">
        <f t="shared" si="1595"/>
        <v>0</v>
      </c>
      <c r="FE242" s="82">
        <f t="shared" si="1595"/>
        <v>0</v>
      </c>
      <c r="FF242" s="82">
        <f t="shared" si="1595"/>
        <v>0</v>
      </c>
      <c r="FG242" s="82">
        <f t="shared" si="1595"/>
        <v>0</v>
      </c>
      <c r="FH242" s="82">
        <f t="shared" si="1595"/>
        <v>0</v>
      </c>
      <c r="FI242" s="82">
        <f t="shared" si="1595"/>
        <v>0</v>
      </c>
      <c r="FJ242" s="82">
        <f>SUM(FJ243:FJ255)</f>
        <v>0</v>
      </c>
      <c r="FK242" s="91"/>
      <c r="FL242" s="82">
        <f t="shared" ref="FL242:FT242" si="1596">SUM(FL243:FL255)</f>
        <v>0</v>
      </c>
      <c r="FM242" s="82">
        <f t="shared" si="1596"/>
        <v>0</v>
      </c>
      <c r="FN242" s="82">
        <f t="shared" si="1596"/>
        <v>0</v>
      </c>
      <c r="FO242" s="82">
        <f t="shared" si="1596"/>
        <v>0</v>
      </c>
      <c r="FP242" s="82">
        <f t="shared" si="1596"/>
        <v>0</v>
      </c>
      <c r="FQ242" s="82">
        <f t="shared" si="1596"/>
        <v>0</v>
      </c>
      <c r="FR242" s="82">
        <f t="shared" si="1596"/>
        <v>0</v>
      </c>
      <c r="FS242" s="82">
        <f t="shared" si="1596"/>
        <v>0</v>
      </c>
      <c r="FT242" s="82">
        <f t="shared" si="1596"/>
        <v>0</v>
      </c>
      <c r="FU242" s="82">
        <f>SUM(FU243:FU255)</f>
        <v>0</v>
      </c>
      <c r="FV242" s="91">
        <f>SUM(EO242,FK242)</f>
        <v>0</v>
      </c>
      <c r="FW242" s="82">
        <f t="shared" ref="FW242:GF242" si="1597">SUM(FW243:FW255)</f>
        <v>0</v>
      </c>
      <c r="FX242" s="82">
        <f t="shared" si="1597"/>
        <v>0</v>
      </c>
      <c r="FY242" s="82">
        <f t="shared" si="1597"/>
        <v>0</v>
      </c>
      <c r="FZ242" s="82">
        <f t="shared" si="1597"/>
        <v>0</v>
      </c>
      <c r="GA242" s="82">
        <f t="shared" si="1597"/>
        <v>0</v>
      </c>
      <c r="GB242" s="82">
        <f t="shared" si="1597"/>
        <v>0</v>
      </c>
      <c r="GC242" s="82">
        <f t="shared" si="1597"/>
        <v>0</v>
      </c>
      <c r="GD242" s="82">
        <f t="shared" si="1597"/>
        <v>0</v>
      </c>
      <c r="GE242" s="82">
        <f t="shared" si="1597"/>
        <v>0</v>
      </c>
      <c r="GF242" s="82">
        <f t="shared" si="1597"/>
        <v>0</v>
      </c>
      <c r="GG242" s="91"/>
      <c r="GH242" s="82">
        <f t="shared" ref="GH242:IO242" si="1598">SUM(GH243:GH255)</f>
        <v>0</v>
      </c>
      <c r="GI242" s="82">
        <f t="shared" si="1598"/>
        <v>0</v>
      </c>
      <c r="GJ242" s="82">
        <f t="shared" si="1598"/>
        <v>0</v>
      </c>
      <c r="GK242" s="82">
        <f t="shared" si="1598"/>
        <v>0</v>
      </c>
      <c r="GL242" s="82">
        <f t="shared" si="1598"/>
        <v>0</v>
      </c>
      <c r="GM242" s="82">
        <f t="shared" si="1598"/>
        <v>0</v>
      </c>
      <c r="GN242" s="82">
        <f t="shared" si="1598"/>
        <v>0</v>
      </c>
      <c r="GO242" s="82">
        <f t="shared" si="1598"/>
        <v>0</v>
      </c>
      <c r="GP242" s="82">
        <f t="shared" si="1598"/>
        <v>0</v>
      </c>
      <c r="GQ242" s="82">
        <f t="shared" si="1598"/>
        <v>0</v>
      </c>
      <c r="GR242" s="82">
        <f t="shared" si="1598"/>
        <v>0</v>
      </c>
      <c r="GS242" s="82">
        <f t="shared" si="1598"/>
        <v>0</v>
      </c>
      <c r="GT242" s="82">
        <f t="shared" si="1598"/>
        <v>0</v>
      </c>
      <c r="GU242" s="82">
        <f t="shared" si="1598"/>
        <v>0</v>
      </c>
      <c r="GV242" s="82">
        <f t="shared" si="1598"/>
        <v>0</v>
      </c>
      <c r="GW242" s="82">
        <f t="shared" si="1598"/>
        <v>0</v>
      </c>
      <c r="GX242" s="82">
        <f t="shared" si="1598"/>
        <v>0</v>
      </c>
      <c r="GY242" s="82">
        <f t="shared" si="1598"/>
        <v>0</v>
      </c>
      <c r="GZ242" s="82">
        <f t="shared" si="1598"/>
        <v>0</v>
      </c>
      <c r="HA242" s="82">
        <f t="shared" si="1598"/>
        <v>0</v>
      </c>
      <c r="HB242" s="82">
        <f>SUM(HB243:HB255)</f>
        <v>0</v>
      </c>
      <c r="HC242" s="82">
        <f>SUM(HC243:HC255)</f>
        <v>0</v>
      </c>
      <c r="HD242" s="82">
        <f>SUM(HD243:HD255)</f>
        <v>0</v>
      </c>
      <c r="HE242" s="82">
        <f>SUM(HE243:HE255)</f>
        <v>0</v>
      </c>
      <c r="HF242" s="82">
        <f t="shared" si="1598"/>
        <v>0</v>
      </c>
      <c r="HG242" s="82">
        <f t="shared" si="1598"/>
        <v>0</v>
      </c>
      <c r="HH242" s="82">
        <f t="shared" si="1598"/>
        <v>0</v>
      </c>
      <c r="HI242" s="82">
        <f t="shared" si="1598"/>
        <v>0</v>
      </c>
      <c r="HJ242" s="82">
        <f t="shared" si="1598"/>
        <v>0</v>
      </c>
      <c r="HK242" s="82">
        <f t="shared" si="1598"/>
        <v>0</v>
      </c>
      <c r="HL242" s="82">
        <f t="shared" si="1598"/>
        <v>0</v>
      </c>
      <c r="HM242" s="82">
        <f t="shared" si="1598"/>
        <v>0</v>
      </c>
      <c r="HN242" s="82">
        <f t="shared" si="1598"/>
        <v>0</v>
      </c>
      <c r="HO242" s="82">
        <f t="shared" si="1598"/>
        <v>0</v>
      </c>
      <c r="HP242" s="82">
        <f t="shared" si="1598"/>
        <v>0</v>
      </c>
      <c r="HQ242" s="82">
        <f>SUM(HQ243:HQ255)</f>
        <v>0</v>
      </c>
      <c r="HR242" s="82">
        <f>SUM(HR243:HR255)</f>
        <v>0</v>
      </c>
      <c r="HS242" s="82">
        <f>SUM(HS243:HS255)</f>
        <v>0</v>
      </c>
      <c r="HT242" s="82">
        <f>SUM(HT243:HT255)</f>
        <v>0</v>
      </c>
      <c r="HU242" s="82">
        <f t="shared" si="1598"/>
        <v>0</v>
      </c>
      <c r="HV242" s="82">
        <f t="shared" si="1598"/>
        <v>0</v>
      </c>
      <c r="HW242" s="82">
        <f t="shared" si="1598"/>
        <v>0</v>
      </c>
      <c r="HX242" s="82">
        <f t="shared" si="1598"/>
        <v>0</v>
      </c>
      <c r="HY242" s="82">
        <f t="shared" si="1598"/>
        <v>0</v>
      </c>
      <c r="HZ242" s="82">
        <f t="shared" si="1598"/>
        <v>0</v>
      </c>
      <c r="IA242" s="82">
        <f>SUM(IA243:IA255)</f>
        <v>0</v>
      </c>
      <c r="IB242" s="82">
        <f>SUM(IB243:IB255)</f>
        <v>0</v>
      </c>
      <c r="IC242" s="82">
        <f>SUM(IC243:IC255)</f>
        <v>0</v>
      </c>
      <c r="ID242" s="82">
        <f>SUM(ID243:ID255)</f>
        <v>0</v>
      </c>
      <c r="IE242" s="82">
        <f t="shared" si="1598"/>
        <v>0</v>
      </c>
      <c r="IF242" s="82">
        <f t="shared" si="1598"/>
        <v>0</v>
      </c>
      <c r="IG242" s="82">
        <f t="shared" si="1598"/>
        <v>0</v>
      </c>
      <c r="IH242" s="82">
        <f t="shared" si="1598"/>
        <v>0</v>
      </c>
      <c r="II242" s="82">
        <f t="shared" si="1598"/>
        <v>0</v>
      </c>
      <c r="IJ242" s="82">
        <f t="shared" si="1598"/>
        <v>0</v>
      </c>
      <c r="IK242" s="82">
        <f t="shared" si="1598"/>
        <v>0</v>
      </c>
      <c r="IL242" s="82">
        <f t="shared" si="1598"/>
        <v>0</v>
      </c>
      <c r="IM242" s="82">
        <f t="shared" si="1598"/>
        <v>0</v>
      </c>
      <c r="IN242" s="82">
        <f t="shared" si="1598"/>
        <v>0</v>
      </c>
      <c r="IO242" s="82">
        <f t="shared" si="1598"/>
        <v>0</v>
      </c>
      <c r="IP242" s="82">
        <f t="shared" ref="IP242:IV242" si="1599">SUM(IP243:IP255)</f>
        <v>0</v>
      </c>
      <c r="IQ242" s="82">
        <f t="shared" si="1599"/>
        <v>0</v>
      </c>
      <c r="IR242" s="82">
        <f t="shared" si="1599"/>
        <v>0</v>
      </c>
      <c r="IS242" s="82">
        <f t="shared" si="1599"/>
        <v>0</v>
      </c>
      <c r="IT242" s="82">
        <f t="shared" si="1599"/>
        <v>0</v>
      </c>
      <c r="IU242" s="82">
        <f t="shared" si="1599"/>
        <v>0</v>
      </c>
      <c r="IV242" s="82">
        <f t="shared" si="1599"/>
        <v>0</v>
      </c>
    </row>
    <row r="243" spans="1:256" s="150" customFormat="1" ht="14.1" customHeight="1" x14ac:dyDescent="0.25">
      <c r="A243" s="152" t="s">
        <v>356</v>
      </c>
      <c r="B243" s="62"/>
      <c r="C243" s="63"/>
      <c r="D243" s="63"/>
      <c r="E243" s="63"/>
      <c r="F243" s="63"/>
      <c r="G243" s="63"/>
      <c r="H243" s="63"/>
      <c r="I243" s="63"/>
      <c r="J243" s="63"/>
      <c r="K243" s="63"/>
      <c r="L243" s="64">
        <f>SUM(C243:F243,H243:K243)</f>
        <v>0</v>
      </c>
      <c r="M243" s="62"/>
      <c r="N243" s="63"/>
      <c r="O243" s="63"/>
      <c r="P243" s="63"/>
      <c r="Q243" s="63"/>
      <c r="R243" s="63"/>
      <c r="S243" s="63"/>
      <c r="T243" s="63"/>
      <c r="U243" s="63"/>
      <c r="V243" s="63"/>
      <c r="W243" s="64">
        <f>SUM(N243:Q243,S243:V243)</f>
        <v>0</v>
      </c>
      <c r="X243" s="62"/>
      <c r="Y243" s="63"/>
      <c r="Z243" s="63"/>
      <c r="AA243" s="63"/>
      <c r="AB243" s="63"/>
      <c r="AC243" s="63"/>
      <c r="AD243" s="63"/>
      <c r="AE243" s="63"/>
      <c r="AF243" s="63"/>
      <c r="AG243" s="63"/>
      <c r="AH243" s="64">
        <f>SUM(Y243:AB243,AD243:AG243)</f>
        <v>0</v>
      </c>
      <c r="AI243" s="62"/>
      <c r="AJ243" s="63"/>
      <c r="AK243" s="63"/>
      <c r="AL243" s="63"/>
      <c r="AM243" s="63"/>
      <c r="AN243" s="63"/>
      <c r="AO243" s="63"/>
      <c r="AP243" s="63"/>
      <c r="AQ243" s="63"/>
      <c r="AR243" s="63"/>
      <c r="AS243" s="64">
        <f>SUM(AJ243:AM243,AO243:AR243)</f>
        <v>0</v>
      </c>
      <c r="AT243" s="65">
        <f t="shared" ref="AT243:BC243" si="1600">SUM(M243,AI243,X243)</f>
        <v>0</v>
      </c>
      <c r="AU243" s="65">
        <f t="shared" si="1600"/>
        <v>0</v>
      </c>
      <c r="AV243" s="65">
        <f t="shared" si="1600"/>
        <v>0</v>
      </c>
      <c r="AW243" s="65">
        <f t="shared" si="1600"/>
        <v>0</v>
      </c>
      <c r="AX243" s="65">
        <f t="shared" si="1600"/>
        <v>0</v>
      </c>
      <c r="AY243" s="65">
        <f t="shared" si="1600"/>
        <v>0</v>
      </c>
      <c r="AZ243" s="65">
        <f t="shared" si="1600"/>
        <v>0</v>
      </c>
      <c r="BA243" s="65">
        <f t="shared" si="1600"/>
        <v>0</v>
      </c>
      <c r="BB243" s="65">
        <f t="shared" si="1600"/>
        <v>0</v>
      </c>
      <c r="BC243" s="65">
        <f t="shared" si="1600"/>
        <v>0</v>
      </c>
      <c r="BD243" s="64">
        <f>SUM(AU243:AX243,AZ243:BC243)</f>
        <v>0</v>
      </c>
      <c r="BE243" s="62"/>
      <c r="BF243" s="63"/>
      <c r="BG243" s="63"/>
      <c r="BH243" s="63"/>
      <c r="BI243" s="63"/>
      <c r="BJ243" s="63"/>
      <c r="BK243" s="63"/>
      <c r="BL243" s="63"/>
      <c r="BM243" s="63"/>
      <c r="BN243" s="63"/>
      <c r="BO243" s="64">
        <f>SUM(BF243:BI243,BK243:BN243)</f>
        <v>0</v>
      </c>
      <c r="BP243" s="62"/>
      <c r="BQ243" s="63"/>
      <c r="BR243" s="63"/>
      <c r="BS243" s="63"/>
      <c r="BT243" s="63"/>
      <c r="BU243" s="63"/>
      <c r="BV243" s="63"/>
      <c r="BW243" s="63"/>
      <c r="BX243" s="63"/>
      <c r="BY243" s="63"/>
      <c r="BZ243" s="64">
        <f>SUM(BQ243:BT243,BV243:BY243)</f>
        <v>0</v>
      </c>
      <c r="CA243" s="62"/>
      <c r="CB243" s="63"/>
      <c r="CC243" s="63"/>
      <c r="CD243" s="63"/>
      <c r="CE243" s="63"/>
      <c r="CF243" s="63"/>
      <c r="CG243" s="63"/>
      <c r="CH243" s="63"/>
      <c r="CI243" s="63"/>
      <c r="CJ243" s="63"/>
      <c r="CK243" s="64">
        <f>SUM(CB243:CE243,CG243:CJ243)</f>
        <v>0</v>
      </c>
      <c r="CL243" s="65">
        <f t="shared" ref="CL243:CU243" si="1601">SUM(BE243,CA243,BP243)</f>
        <v>0</v>
      </c>
      <c r="CM243" s="65">
        <f t="shared" si="1601"/>
        <v>0</v>
      </c>
      <c r="CN243" s="65">
        <f t="shared" si="1601"/>
        <v>0</v>
      </c>
      <c r="CO243" s="65">
        <f t="shared" si="1601"/>
        <v>0</v>
      </c>
      <c r="CP243" s="65">
        <f t="shared" si="1601"/>
        <v>0</v>
      </c>
      <c r="CQ243" s="65">
        <f t="shared" si="1601"/>
        <v>0</v>
      </c>
      <c r="CR243" s="65">
        <f t="shared" si="1601"/>
        <v>0</v>
      </c>
      <c r="CS243" s="65">
        <f t="shared" si="1601"/>
        <v>0</v>
      </c>
      <c r="CT243" s="65">
        <f t="shared" si="1601"/>
        <v>0</v>
      </c>
      <c r="CU243" s="65">
        <f t="shared" si="1601"/>
        <v>0</v>
      </c>
      <c r="CV243" s="64">
        <f>SUM(CM243:CP243,CR243:CU243)</f>
        <v>0</v>
      </c>
      <c r="CW243" s="62"/>
      <c r="CX243" s="63"/>
      <c r="CY243" s="63"/>
      <c r="CZ243" s="63"/>
      <c r="DA243" s="63"/>
      <c r="DB243" s="63"/>
      <c r="DC243" s="63"/>
      <c r="DD243" s="63"/>
      <c r="DE243" s="63"/>
      <c r="DF243" s="63"/>
      <c r="DG243" s="64">
        <f>SUM(CX243:DA243,DC243:DF243)</f>
        <v>0</v>
      </c>
      <c r="DH243" s="62"/>
      <c r="DI243" s="63"/>
      <c r="DJ243" s="63"/>
      <c r="DK243" s="63"/>
      <c r="DL243" s="63"/>
      <c r="DM243" s="63"/>
      <c r="DN243" s="63"/>
      <c r="DO243" s="63"/>
      <c r="DP243" s="63"/>
      <c r="DQ243" s="63"/>
      <c r="DR243" s="64">
        <f>SUM(DI243:DL243,DN243:DQ243)</f>
        <v>0</v>
      </c>
      <c r="DS243" s="62"/>
      <c r="DT243" s="63"/>
      <c r="DU243" s="63"/>
      <c r="DV243" s="63"/>
      <c r="DW243" s="63"/>
      <c r="DX243" s="63"/>
      <c r="DY243" s="63"/>
      <c r="DZ243" s="63"/>
      <c r="EA243" s="63"/>
      <c r="EB243" s="63"/>
      <c r="EC243" s="63"/>
      <c r="ED243" s="65">
        <f t="shared" ref="ED243:EM243" si="1602">SUM(CW243,DS243,DH243)</f>
        <v>0</v>
      </c>
      <c r="EE243" s="65">
        <f t="shared" si="1602"/>
        <v>0</v>
      </c>
      <c r="EF243" s="65">
        <f t="shared" si="1602"/>
        <v>0</v>
      </c>
      <c r="EG243" s="65">
        <f t="shared" si="1602"/>
        <v>0</v>
      </c>
      <c r="EH243" s="65">
        <f t="shared" si="1602"/>
        <v>0</v>
      </c>
      <c r="EI243" s="65">
        <f t="shared" si="1602"/>
        <v>0</v>
      </c>
      <c r="EJ243" s="65">
        <f t="shared" si="1602"/>
        <v>0</v>
      </c>
      <c r="EK243" s="65">
        <f t="shared" si="1602"/>
        <v>0</v>
      </c>
      <c r="EL243" s="65">
        <f t="shared" si="1602"/>
        <v>0</v>
      </c>
      <c r="EM243" s="65">
        <f t="shared" si="1602"/>
        <v>0</v>
      </c>
      <c r="EN243" s="64">
        <f>SUM(EE243:EH243,EJ243:EM243)</f>
        <v>0</v>
      </c>
      <c r="EO243" s="62"/>
      <c r="EP243" s="63"/>
      <c r="EQ243" s="63"/>
      <c r="ER243" s="63"/>
      <c r="ES243" s="63"/>
      <c r="ET243" s="63"/>
      <c r="EU243" s="63"/>
      <c r="EV243" s="63"/>
      <c r="EW243" s="63"/>
      <c r="EX243" s="63"/>
      <c r="EY243" s="64">
        <f>SUM(EP243:ES243,EU243:EX243)</f>
        <v>0</v>
      </c>
      <c r="EZ243" s="62"/>
      <c r="FA243" s="63"/>
      <c r="FB243" s="63"/>
      <c r="FC243" s="63"/>
      <c r="FD243" s="63"/>
      <c r="FE243" s="63"/>
      <c r="FF243" s="63"/>
      <c r="FG243" s="63"/>
      <c r="FH243" s="63"/>
      <c r="FI243" s="63"/>
      <c r="FJ243" s="64">
        <f>SUM(FA243:FD243,FF243:FI243)</f>
        <v>0</v>
      </c>
      <c r="FK243" s="62"/>
      <c r="FL243" s="63"/>
      <c r="FM243" s="63"/>
      <c r="FN243" s="63"/>
      <c r="FO243" s="63"/>
      <c r="FP243" s="63"/>
      <c r="FQ243" s="63"/>
      <c r="FR243" s="63"/>
      <c r="FS243" s="63"/>
      <c r="FT243" s="63"/>
      <c r="FU243" s="64">
        <f>SUM(FL243:FO243,FQ243:FT243)</f>
        <v>0</v>
      </c>
      <c r="FV243" s="65">
        <f t="shared" ref="FV243:GE255" si="1603">SUM(EO243,FK243,EZ243)</f>
        <v>0</v>
      </c>
      <c r="FW243" s="65">
        <f t="shared" si="1603"/>
        <v>0</v>
      </c>
      <c r="FX243" s="65">
        <f t="shared" si="1603"/>
        <v>0</v>
      </c>
      <c r="FY243" s="65">
        <f t="shared" si="1603"/>
        <v>0</v>
      </c>
      <c r="FZ243" s="65">
        <f t="shared" si="1603"/>
        <v>0</v>
      </c>
      <c r="GA243" s="65">
        <f t="shared" si="1603"/>
        <v>0</v>
      </c>
      <c r="GB243" s="65">
        <f t="shared" si="1603"/>
        <v>0</v>
      </c>
      <c r="GC243" s="65">
        <f t="shared" si="1603"/>
        <v>0</v>
      </c>
      <c r="GD243" s="65">
        <f t="shared" si="1603"/>
        <v>0</v>
      </c>
      <c r="GE243" s="65">
        <f t="shared" si="1603"/>
        <v>0</v>
      </c>
      <c r="GF243" s="64">
        <f t="shared" ref="GF243:GF255" si="1604">SUM(FW243:FZ243,GB243:GE243)</f>
        <v>0</v>
      </c>
      <c r="GG243" s="66">
        <f t="shared" ref="GG243:GP255" si="1605">SUM(AT243,CL243,ED243,FV243)</f>
        <v>0</v>
      </c>
      <c r="GH243" s="66">
        <f t="shared" si="1605"/>
        <v>0</v>
      </c>
      <c r="GI243" s="66">
        <f t="shared" si="1605"/>
        <v>0</v>
      </c>
      <c r="GJ243" s="66">
        <f t="shared" si="1605"/>
        <v>0</v>
      </c>
      <c r="GK243" s="66">
        <f t="shared" si="1605"/>
        <v>0</v>
      </c>
      <c r="GL243" s="66">
        <f t="shared" si="1605"/>
        <v>0</v>
      </c>
      <c r="GM243" s="66">
        <f t="shared" si="1605"/>
        <v>0</v>
      </c>
      <c r="GN243" s="66">
        <f t="shared" si="1605"/>
        <v>0</v>
      </c>
      <c r="GO243" s="66">
        <f t="shared" si="1605"/>
        <v>0</v>
      </c>
      <c r="GP243" s="66">
        <f t="shared" si="1605"/>
        <v>0</v>
      </c>
      <c r="GQ243" s="64">
        <f t="shared" ref="GQ243:GQ255" si="1606">SUM(GH243:GK243,GM243:GP243)</f>
        <v>0</v>
      </c>
      <c r="GR243" s="63"/>
      <c r="GS243" s="63"/>
      <c r="GT243" s="63"/>
      <c r="GU243" s="63"/>
      <c r="GV243" s="67">
        <f t="shared" ref="GV243:GV255" si="1607">SUM(GR243:GU243)</f>
        <v>0</v>
      </c>
      <c r="GW243" s="63"/>
      <c r="GX243" s="63"/>
      <c r="GY243" s="63"/>
      <c r="GZ243" s="63"/>
      <c r="HA243" s="67">
        <f t="shared" ref="HA243:HA255" si="1608">SUM(GW243:GZ243)</f>
        <v>0</v>
      </c>
      <c r="HB243" s="63"/>
      <c r="HC243" s="63"/>
      <c r="HD243" s="63"/>
      <c r="HE243" s="63"/>
      <c r="HF243" s="67">
        <f t="shared" ref="HF243:HF255" si="1609">SUM(HB243:HE243)</f>
        <v>0</v>
      </c>
      <c r="HG243" s="63"/>
      <c r="HH243" s="63"/>
      <c r="HI243" s="63"/>
      <c r="HJ243" s="63"/>
      <c r="HK243" s="67">
        <f t="shared" ref="HK243:HK255" si="1610">SUM(HG243:HJ243)</f>
        <v>0</v>
      </c>
      <c r="HL243" s="68">
        <f t="shared" ref="HL243:HO255" si="1611">SUM(GW243,HB243,HG243)</f>
        <v>0</v>
      </c>
      <c r="HM243" s="68">
        <f t="shared" si="1611"/>
        <v>0</v>
      </c>
      <c r="HN243" s="68">
        <f t="shared" si="1611"/>
        <v>0</v>
      </c>
      <c r="HO243" s="68">
        <f t="shared" si="1611"/>
        <v>0</v>
      </c>
      <c r="HP243" s="67">
        <f t="shared" ref="HP243:HP255" si="1612">SUM(HL243:HO243)</f>
        <v>0</v>
      </c>
      <c r="HQ243" s="63"/>
      <c r="HR243" s="63"/>
      <c r="HS243" s="63"/>
      <c r="HT243" s="63"/>
      <c r="HU243" s="67">
        <f t="shared" ref="HU243:HU255" si="1613">SUM(HQ243:HT243)</f>
        <v>0</v>
      </c>
      <c r="HV243" s="63"/>
      <c r="HW243" s="63"/>
      <c r="HX243" s="63"/>
      <c r="HY243" s="63"/>
      <c r="HZ243" s="67">
        <f t="shared" ref="HZ243:HZ255" si="1614">SUM(HV243:HY243)</f>
        <v>0</v>
      </c>
      <c r="IA243" s="63"/>
      <c r="IB243" s="63"/>
      <c r="IC243" s="63"/>
      <c r="ID243" s="63"/>
      <c r="IE243" s="67">
        <f t="shared" ref="IE243:IE255" si="1615">SUM(IA243:ID243)</f>
        <v>0</v>
      </c>
      <c r="IF243" s="68">
        <f t="shared" ref="IF243:II255" si="1616">SUM(HQ243,HV243,IA243)</f>
        <v>0</v>
      </c>
      <c r="IG243" s="68">
        <f t="shared" si="1616"/>
        <v>0</v>
      </c>
      <c r="IH243" s="68">
        <f t="shared" si="1616"/>
        <v>0</v>
      </c>
      <c r="II243" s="68">
        <f t="shared" si="1616"/>
        <v>0</v>
      </c>
      <c r="IJ243" s="67">
        <f t="shared" ref="IJ243:IJ255" si="1617">SUM(IF243:II243)</f>
        <v>0</v>
      </c>
      <c r="IK243" s="63"/>
      <c r="IL243" s="63"/>
      <c r="IM243" s="63"/>
      <c r="IN243" s="63"/>
      <c r="IO243" s="67">
        <f t="shared" ref="IO243:IO255" si="1618">SUM(IK243:IN243)</f>
        <v>0</v>
      </c>
      <c r="IP243" s="63"/>
      <c r="IQ243" s="63"/>
      <c r="IR243" s="63"/>
      <c r="IS243" s="63"/>
      <c r="IT243" s="67">
        <f t="shared" ref="IT243:IT255" si="1619">SUM(IP243:IS243)</f>
        <v>0</v>
      </c>
      <c r="IU243" s="63"/>
      <c r="IV243" s="63"/>
    </row>
    <row r="244" spans="1:256" s="150" customFormat="1" ht="14.1" customHeight="1" x14ac:dyDescent="0.25">
      <c r="A244" s="152" t="s">
        <v>357</v>
      </c>
      <c r="B244" s="62"/>
      <c r="C244" s="63"/>
      <c r="D244" s="63"/>
      <c r="E244" s="63"/>
      <c r="F244" s="63"/>
      <c r="G244" s="63"/>
      <c r="H244" s="63"/>
      <c r="I244" s="63"/>
      <c r="J244" s="63"/>
      <c r="K244" s="63"/>
      <c r="L244" s="64"/>
      <c r="M244" s="62"/>
      <c r="N244" s="63"/>
      <c r="O244" s="63"/>
      <c r="P244" s="63"/>
      <c r="Q244" s="63"/>
      <c r="R244" s="63"/>
      <c r="S244" s="63"/>
      <c r="T244" s="63"/>
      <c r="U244" s="63"/>
      <c r="V244" s="63"/>
      <c r="W244" s="64"/>
      <c r="X244" s="62"/>
      <c r="Y244" s="63"/>
      <c r="Z244" s="63"/>
      <c r="AA244" s="63"/>
      <c r="AB244" s="63"/>
      <c r="AC244" s="63"/>
      <c r="AD244" s="63"/>
      <c r="AE244" s="63"/>
      <c r="AF244" s="63"/>
      <c r="AG244" s="63"/>
      <c r="AH244" s="64"/>
      <c r="AI244" s="62"/>
      <c r="AJ244" s="63"/>
      <c r="AK244" s="63"/>
      <c r="AL244" s="63"/>
      <c r="AM244" s="63"/>
      <c r="AN244" s="63"/>
      <c r="AO244" s="63"/>
      <c r="AP244" s="63"/>
      <c r="AQ244" s="63"/>
      <c r="AR244" s="63"/>
      <c r="AS244" s="64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4"/>
      <c r="BE244" s="62"/>
      <c r="BF244" s="63"/>
      <c r="BG244" s="63"/>
      <c r="BH244" s="63"/>
      <c r="BI244" s="63"/>
      <c r="BJ244" s="63"/>
      <c r="BK244" s="63"/>
      <c r="BL244" s="63"/>
      <c r="BM244" s="63"/>
      <c r="BN244" s="63"/>
      <c r="BO244" s="64"/>
      <c r="BP244" s="62"/>
      <c r="BQ244" s="63"/>
      <c r="BR244" s="63"/>
      <c r="BS244" s="63"/>
      <c r="BT244" s="63"/>
      <c r="BU244" s="63"/>
      <c r="BV244" s="63"/>
      <c r="BW244" s="63"/>
      <c r="BX244" s="63"/>
      <c r="BY244" s="63"/>
      <c r="BZ244" s="64"/>
      <c r="CA244" s="62"/>
      <c r="CB244" s="63"/>
      <c r="CC244" s="63"/>
      <c r="CD244" s="63"/>
      <c r="CE244" s="63"/>
      <c r="CF244" s="63"/>
      <c r="CG244" s="63"/>
      <c r="CH244" s="63"/>
      <c r="CI244" s="63"/>
      <c r="CJ244" s="63"/>
      <c r="CK244" s="64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4"/>
      <c r="CW244" s="62"/>
      <c r="CX244" s="63"/>
      <c r="CY244" s="63"/>
      <c r="CZ244" s="63"/>
      <c r="DA244" s="63"/>
      <c r="DB244" s="63"/>
      <c r="DC244" s="63"/>
      <c r="DD244" s="63"/>
      <c r="DE244" s="63"/>
      <c r="DF244" s="63"/>
      <c r="DG244" s="64"/>
      <c r="DH244" s="62"/>
      <c r="DI244" s="63"/>
      <c r="DJ244" s="63"/>
      <c r="DK244" s="63"/>
      <c r="DL244" s="63"/>
      <c r="DM244" s="63"/>
      <c r="DN244" s="63"/>
      <c r="DO244" s="63"/>
      <c r="DP244" s="63"/>
      <c r="DQ244" s="63"/>
      <c r="DR244" s="64"/>
      <c r="DS244" s="62"/>
      <c r="DT244" s="63"/>
      <c r="DU244" s="63"/>
      <c r="DV244" s="63"/>
      <c r="DW244" s="63"/>
      <c r="DX244" s="63"/>
      <c r="DY244" s="63"/>
      <c r="DZ244" s="63"/>
      <c r="EA244" s="63"/>
      <c r="EB244" s="63"/>
      <c r="EC244" s="63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4"/>
      <c r="EO244" s="62"/>
      <c r="EP244" s="63"/>
      <c r="EQ244" s="63"/>
      <c r="ER244" s="63"/>
      <c r="ES244" s="63"/>
      <c r="ET244" s="63"/>
      <c r="EU244" s="63"/>
      <c r="EV244" s="63"/>
      <c r="EW244" s="63"/>
      <c r="EX244" s="63"/>
      <c r="EY244" s="64"/>
      <c r="EZ244" s="62"/>
      <c r="FA244" s="63"/>
      <c r="FB244" s="63"/>
      <c r="FC244" s="63"/>
      <c r="FD244" s="63"/>
      <c r="FE244" s="63"/>
      <c r="FF244" s="63"/>
      <c r="FG244" s="63"/>
      <c r="FH244" s="63"/>
      <c r="FI244" s="63"/>
      <c r="FJ244" s="64"/>
      <c r="FK244" s="62"/>
      <c r="FL244" s="63"/>
      <c r="FM244" s="63"/>
      <c r="FN244" s="63"/>
      <c r="FO244" s="63"/>
      <c r="FP244" s="63"/>
      <c r="FQ244" s="63"/>
      <c r="FR244" s="63"/>
      <c r="FS244" s="63"/>
      <c r="FT244" s="63"/>
      <c r="FU244" s="64"/>
      <c r="FV244" s="65">
        <f t="shared" si="1603"/>
        <v>0</v>
      </c>
      <c r="FW244" s="65">
        <f t="shared" si="1603"/>
        <v>0</v>
      </c>
      <c r="FX244" s="65">
        <f t="shared" si="1603"/>
        <v>0</v>
      </c>
      <c r="FY244" s="65">
        <f t="shared" si="1603"/>
        <v>0</v>
      </c>
      <c r="FZ244" s="65">
        <f t="shared" si="1603"/>
        <v>0</v>
      </c>
      <c r="GA244" s="65">
        <f t="shared" si="1603"/>
        <v>0</v>
      </c>
      <c r="GB244" s="65">
        <f t="shared" si="1603"/>
        <v>0</v>
      </c>
      <c r="GC244" s="65">
        <f t="shared" si="1603"/>
        <v>0</v>
      </c>
      <c r="GD244" s="65">
        <f t="shared" si="1603"/>
        <v>0</v>
      </c>
      <c r="GE244" s="65">
        <f t="shared" si="1603"/>
        <v>0</v>
      </c>
      <c r="GF244" s="64">
        <f t="shared" si="1604"/>
        <v>0</v>
      </c>
      <c r="GG244" s="66">
        <f t="shared" si="1605"/>
        <v>0</v>
      </c>
      <c r="GH244" s="66">
        <f t="shared" si="1605"/>
        <v>0</v>
      </c>
      <c r="GI244" s="66">
        <f t="shared" si="1605"/>
        <v>0</v>
      </c>
      <c r="GJ244" s="66">
        <f t="shared" si="1605"/>
        <v>0</v>
      </c>
      <c r="GK244" s="66">
        <f t="shared" si="1605"/>
        <v>0</v>
      </c>
      <c r="GL244" s="66">
        <f t="shared" si="1605"/>
        <v>0</v>
      </c>
      <c r="GM244" s="66">
        <f t="shared" si="1605"/>
        <v>0</v>
      </c>
      <c r="GN244" s="66">
        <f t="shared" si="1605"/>
        <v>0</v>
      </c>
      <c r="GO244" s="66">
        <f t="shared" si="1605"/>
        <v>0</v>
      </c>
      <c r="GP244" s="66">
        <f t="shared" si="1605"/>
        <v>0</v>
      </c>
      <c r="GQ244" s="64">
        <f t="shared" si="1606"/>
        <v>0</v>
      </c>
      <c r="GR244" s="63"/>
      <c r="GS244" s="63"/>
      <c r="GT244" s="63"/>
      <c r="GU244" s="63"/>
      <c r="GV244" s="67">
        <f t="shared" si="1607"/>
        <v>0</v>
      </c>
      <c r="GW244" s="63"/>
      <c r="GX244" s="63"/>
      <c r="GY244" s="63"/>
      <c r="GZ244" s="63"/>
      <c r="HA244" s="67">
        <f t="shared" si="1608"/>
        <v>0</v>
      </c>
      <c r="HB244" s="63"/>
      <c r="HC244" s="63"/>
      <c r="HD244" s="63"/>
      <c r="HE244" s="63"/>
      <c r="HF244" s="67">
        <f t="shared" si="1609"/>
        <v>0</v>
      </c>
      <c r="HG244" s="63"/>
      <c r="HH244" s="63"/>
      <c r="HI244" s="63"/>
      <c r="HJ244" s="63"/>
      <c r="HK244" s="67">
        <f t="shared" si="1610"/>
        <v>0</v>
      </c>
      <c r="HL244" s="68">
        <f t="shared" si="1611"/>
        <v>0</v>
      </c>
      <c r="HM244" s="68">
        <f t="shared" si="1611"/>
        <v>0</v>
      </c>
      <c r="HN244" s="68">
        <f t="shared" si="1611"/>
        <v>0</v>
      </c>
      <c r="HO244" s="68">
        <f t="shared" si="1611"/>
        <v>0</v>
      </c>
      <c r="HP244" s="67">
        <f t="shared" si="1612"/>
        <v>0</v>
      </c>
      <c r="HQ244" s="63"/>
      <c r="HR244" s="63"/>
      <c r="HS244" s="63"/>
      <c r="HT244" s="63"/>
      <c r="HU244" s="67">
        <f t="shared" si="1613"/>
        <v>0</v>
      </c>
      <c r="HV244" s="63"/>
      <c r="HW244" s="63"/>
      <c r="HX244" s="63"/>
      <c r="HY244" s="63"/>
      <c r="HZ244" s="67">
        <f t="shared" si="1614"/>
        <v>0</v>
      </c>
      <c r="IA244" s="63"/>
      <c r="IB244" s="63"/>
      <c r="IC244" s="63"/>
      <c r="ID244" s="63"/>
      <c r="IE244" s="67">
        <f t="shared" si="1615"/>
        <v>0</v>
      </c>
      <c r="IF244" s="68">
        <f t="shared" si="1616"/>
        <v>0</v>
      </c>
      <c r="IG244" s="68">
        <f t="shared" si="1616"/>
        <v>0</v>
      </c>
      <c r="IH244" s="68">
        <f t="shared" si="1616"/>
        <v>0</v>
      </c>
      <c r="II244" s="68">
        <f t="shared" si="1616"/>
        <v>0</v>
      </c>
      <c r="IJ244" s="67">
        <f t="shared" si="1617"/>
        <v>0</v>
      </c>
      <c r="IK244" s="63"/>
      <c r="IL244" s="63"/>
      <c r="IM244" s="63"/>
      <c r="IN244" s="63"/>
      <c r="IO244" s="67">
        <f t="shared" si="1618"/>
        <v>0</v>
      </c>
      <c r="IP244" s="63"/>
      <c r="IQ244" s="63"/>
      <c r="IR244" s="63"/>
      <c r="IS244" s="63"/>
      <c r="IT244" s="67">
        <f t="shared" si="1619"/>
        <v>0</v>
      </c>
      <c r="IU244" s="63"/>
      <c r="IV244" s="63"/>
    </row>
    <row r="245" spans="1:256" s="150" customFormat="1" ht="14.1" customHeight="1" x14ac:dyDescent="0.25">
      <c r="A245" s="152" t="s">
        <v>358</v>
      </c>
      <c r="B245" s="62"/>
      <c r="C245" s="63"/>
      <c r="D245" s="63"/>
      <c r="E245" s="63"/>
      <c r="F245" s="63"/>
      <c r="G245" s="63"/>
      <c r="H245" s="63"/>
      <c r="I245" s="63"/>
      <c r="J245" s="63"/>
      <c r="K245" s="63"/>
      <c r="L245" s="64"/>
      <c r="M245" s="62"/>
      <c r="N245" s="63"/>
      <c r="O245" s="63"/>
      <c r="P245" s="63"/>
      <c r="Q245" s="63"/>
      <c r="R245" s="63"/>
      <c r="S245" s="63"/>
      <c r="T245" s="63"/>
      <c r="U245" s="63"/>
      <c r="V245" s="63"/>
      <c r="W245" s="64"/>
      <c r="X245" s="62"/>
      <c r="Y245" s="63"/>
      <c r="Z245" s="63"/>
      <c r="AA245" s="63"/>
      <c r="AB245" s="63"/>
      <c r="AC245" s="63"/>
      <c r="AD245" s="63"/>
      <c r="AE245" s="63"/>
      <c r="AF245" s="63"/>
      <c r="AG245" s="63"/>
      <c r="AH245" s="64"/>
      <c r="AI245" s="62"/>
      <c r="AJ245" s="63"/>
      <c r="AK245" s="63"/>
      <c r="AL245" s="63"/>
      <c r="AM245" s="63"/>
      <c r="AN245" s="63"/>
      <c r="AO245" s="63"/>
      <c r="AP245" s="63"/>
      <c r="AQ245" s="63"/>
      <c r="AR245" s="63"/>
      <c r="AS245" s="64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4"/>
      <c r="BE245" s="62"/>
      <c r="BF245" s="63"/>
      <c r="BG245" s="63"/>
      <c r="BH245" s="63"/>
      <c r="BI245" s="63"/>
      <c r="BJ245" s="63"/>
      <c r="BK245" s="63"/>
      <c r="BL245" s="63"/>
      <c r="BM245" s="63"/>
      <c r="BN245" s="63"/>
      <c r="BO245" s="64"/>
      <c r="BP245" s="62"/>
      <c r="BQ245" s="63"/>
      <c r="BR245" s="63"/>
      <c r="BS245" s="63"/>
      <c r="BT245" s="63"/>
      <c r="BU245" s="63"/>
      <c r="BV245" s="63"/>
      <c r="BW245" s="63"/>
      <c r="BX245" s="63"/>
      <c r="BY245" s="63"/>
      <c r="BZ245" s="64"/>
      <c r="CA245" s="62"/>
      <c r="CB245" s="63"/>
      <c r="CC245" s="63"/>
      <c r="CD245" s="63"/>
      <c r="CE245" s="63"/>
      <c r="CF245" s="63"/>
      <c r="CG245" s="63"/>
      <c r="CH245" s="63"/>
      <c r="CI245" s="63"/>
      <c r="CJ245" s="63"/>
      <c r="CK245" s="64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4"/>
      <c r="CW245" s="62"/>
      <c r="CX245" s="63"/>
      <c r="CY245" s="63"/>
      <c r="CZ245" s="63"/>
      <c r="DA245" s="63"/>
      <c r="DB245" s="63"/>
      <c r="DC245" s="63"/>
      <c r="DD245" s="63"/>
      <c r="DE245" s="63"/>
      <c r="DF245" s="63"/>
      <c r="DG245" s="64"/>
      <c r="DH245" s="62"/>
      <c r="DI245" s="63"/>
      <c r="DJ245" s="63"/>
      <c r="DK245" s="63"/>
      <c r="DL245" s="63"/>
      <c r="DM245" s="63"/>
      <c r="DN245" s="63"/>
      <c r="DO245" s="63"/>
      <c r="DP245" s="63"/>
      <c r="DQ245" s="63"/>
      <c r="DR245" s="64"/>
      <c r="DS245" s="62"/>
      <c r="DT245" s="63"/>
      <c r="DU245" s="63"/>
      <c r="DV245" s="63"/>
      <c r="DW245" s="63"/>
      <c r="DX245" s="63"/>
      <c r="DY245" s="63"/>
      <c r="DZ245" s="63"/>
      <c r="EA245" s="63"/>
      <c r="EB245" s="63"/>
      <c r="EC245" s="63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4"/>
      <c r="EO245" s="62"/>
      <c r="EP245" s="63"/>
      <c r="EQ245" s="63"/>
      <c r="ER245" s="63"/>
      <c r="ES245" s="63"/>
      <c r="ET245" s="63"/>
      <c r="EU245" s="63"/>
      <c r="EV245" s="63"/>
      <c r="EW245" s="63"/>
      <c r="EX245" s="63"/>
      <c r="EY245" s="64"/>
      <c r="EZ245" s="62"/>
      <c r="FA245" s="63"/>
      <c r="FB245" s="63"/>
      <c r="FC245" s="63"/>
      <c r="FD245" s="63"/>
      <c r="FE245" s="63"/>
      <c r="FF245" s="63"/>
      <c r="FG245" s="63"/>
      <c r="FH245" s="63"/>
      <c r="FI245" s="63"/>
      <c r="FJ245" s="64"/>
      <c r="FK245" s="62"/>
      <c r="FL245" s="63"/>
      <c r="FM245" s="63"/>
      <c r="FN245" s="63"/>
      <c r="FO245" s="63"/>
      <c r="FP245" s="63"/>
      <c r="FQ245" s="63"/>
      <c r="FR245" s="63"/>
      <c r="FS245" s="63"/>
      <c r="FT245" s="63"/>
      <c r="FU245" s="64"/>
      <c r="FV245" s="65">
        <f t="shared" si="1603"/>
        <v>0</v>
      </c>
      <c r="FW245" s="65">
        <f t="shared" si="1603"/>
        <v>0</v>
      </c>
      <c r="FX245" s="65">
        <f t="shared" si="1603"/>
        <v>0</v>
      </c>
      <c r="FY245" s="65">
        <f t="shared" si="1603"/>
        <v>0</v>
      </c>
      <c r="FZ245" s="65">
        <f t="shared" si="1603"/>
        <v>0</v>
      </c>
      <c r="GA245" s="65">
        <f t="shared" si="1603"/>
        <v>0</v>
      </c>
      <c r="GB245" s="65">
        <f t="shared" si="1603"/>
        <v>0</v>
      </c>
      <c r="GC245" s="65">
        <f t="shared" si="1603"/>
        <v>0</v>
      </c>
      <c r="GD245" s="65">
        <f t="shared" si="1603"/>
        <v>0</v>
      </c>
      <c r="GE245" s="65">
        <f t="shared" si="1603"/>
        <v>0</v>
      </c>
      <c r="GF245" s="64">
        <f t="shared" si="1604"/>
        <v>0</v>
      </c>
      <c r="GG245" s="66">
        <f t="shared" si="1605"/>
        <v>0</v>
      </c>
      <c r="GH245" s="66">
        <f t="shared" si="1605"/>
        <v>0</v>
      </c>
      <c r="GI245" s="66">
        <f t="shared" si="1605"/>
        <v>0</v>
      </c>
      <c r="GJ245" s="66">
        <f t="shared" si="1605"/>
        <v>0</v>
      </c>
      <c r="GK245" s="66">
        <f t="shared" si="1605"/>
        <v>0</v>
      </c>
      <c r="GL245" s="66">
        <f t="shared" si="1605"/>
        <v>0</v>
      </c>
      <c r="GM245" s="66">
        <f t="shared" si="1605"/>
        <v>0</v>
      </c>
      <c r="GN245" s="66">
        <f t="shared" si="1605"/>
        <v>0</v>
      </c>
      <c r="GO245" s="66">
        <f t="shared" si="1605"/>
        <v>0</v>
      </c>
      <c r="GP245" s="66">
        <f t="shared" si="1605"/>
        <v>0</v>
      </c>
      <c r="GQ245" s="64">
        <f t="shared" si="1606"/>
        <v>0</v>
      </c>
      <c r="GR245" s="63"/>
      <c r="GS245" s="63"/>
      <c r="GT245" s="63"/>
      <c r="GU245" s="63"/>
      <c r="GV245" s="67">
        <f t="shared" si="1607"/>
        <v>0</v>
      </c>
      <c r="GW245" s="63"/>
      <c r="GX245" s="63"/>
      <c r="GY245" s="63"/>
      <c r="GZ245" s="63"/>
      <c r="HA245" s="67">
        <f t="shared" si="1608"/>
        <v>0</v>
      </c>
      <c r="HB245" s="63"/>
      <c r="HC245" s="63"/>
      <c r="HD245" s="63"/>
      <c r="HE245" s="63"/>
      <c r="HF245" s="67">
        <f t="shared" si="1609"/>
        <v>0</v>
      </c>
      <c r="HG245" s="63"/>
      <c r="HH245" s="63"/>
      <c r="HI245" s="63"/>
      <c r="HJ245" s="63"/>
      <c r="HK245" s="67">
        <f t="shared" si="1610"/>
        <v>0</v>
      </c>
      <c r="HL245" s="68">
        <f t="shared" si="1611"/>
        <v>0</v>
      </c>
      <c r="HM245" s="68">
        <f t="shared" si="1611"/>
        <v>0</v>
      </c>
      <c r="HN245" s="68">
        <f t="shared" si="1611"/>
        <v>0</v>
      </c>
      <c r="HO245" s="68">
        <f t="shared" si="1611"/>
        <v>0</v>
      </c>
      <c r="HP245" s="67">
        <f t="shared" si="1612"/>
        <v>0</v>
      </c>
      <c r="HQ245" s="63"/>
      <c r="HR245" s="63"/>
      <c r="HS245" s="63"/>
      <c r="HT245" s="63"/>
      <c r="HU245" s="67">
        <f t="shared" si="1613"/>
        <v>0</v>
      </c>
      <c r="HV245" s="63"/>
      <c r="HW245" s="63"/>
      <c r="HX245" s="63"/>
      <c r="HY245" s="63"/>
      <c r="HZ245" s="67">
        <f t="shared" si="1614"/>
        <v>0</v>
      </c>
      <c r="IA245" s="63"/>
      <c r="IB245" s="63"/>
      <c r="IC245" s="63"/>
      <c r="ID245" s="63"/>
      <c r="IE245" s="67">
        <f t="shared" si="1615"/>
        <v>0</v>
      </c>
      <c r="IF245" s="68">
        <f t="shared" si="1616"/>
        <v>0</v>
      </c>
      <c r="IG245" s="68">
        <f t="shared" si="1616"/>
        <v>0</v>
      </c>
      <c r="IH245" s="68">
        <f t="shared" si="1616"/>
        <v>0</v>
      </c>
      <c r="II245" s="68">
        <f t="shared" si="1616"/>
        <v>0</v>
      </c>
      <c r="IJ245" s="67">
        <f t="shared" si="1617"/>
        <v>0</v>
      </c>
      <c r="IK245" s="63"/>
      <c r="IL245" s="63"/>
      <c r="IM245" s="63"/>
      <c r="IN245" s="63"/>
      <c r="IO245" s="67">
        <f t="shared" si="1618"/>
        <v>0</v>
      </c>
      <c r="IP245" s="63"/>
      <c r="IQ245" s="63"/>
      <c r="IR245" s="63"/>
      <c r="IS245" s="63"/>
      <c r="IT245" s="67">
        <f t="shared" si="1619"/>
        <v>0</v>
      </c>
      <c r="IU245" s="63"/>
      <c r="IV245" s="63"/>
    </row>
    <row r="246" spans="1:256" s="150" customFormat="1" ht="14.1" customHeight="1" x14ac:dyDescent="0.25">
      <c r="A246" s="152" t="s">
        <v>359</v>
      </c>
      <c r="B246" s="62"/>
      <c r="C246" s="63"/>
      <c r="D246" s="63"/>
      <c r="E246" s="63"/>
      <c r="F246" s="63"/>
      <c r="G246" s="63"/>
      <c r="H246" s="63"/>
      <c r="I246" s="63"/>
      <c r="J246" s="63"/>
      <c r="K246" s="63"/>
      <c r="L246" s="64"/>
      <c r="M246" s="62"/>
      <c r="N246" s="63"/>
      <c r="O246" s="63"/>
      <c r="P246" s="63"/>
      <c r="Q246" s="63"/>
      <c r="R246" s="63"/>
      <c r="S246" s="63"/>
      <c r="T246" s="63"/>
      <c r="U246" s="63"/>
      <c r="V246" s="63"/>
      <c r="W246" s="64"/>
      <c r="X246" s="62"/>
      <c r="Y246" s="63"/>
      <c r="Z246" s="63"/>
      <c r="AA246" s="63"/>
      <c r="AB246" s="63"/>
      <c r="AC246" s="63"/>
      <c r="AD246" s="63"/>
      <c r="AE246" s="63"/>
      <c r="AF246" s="63"/>
      <c r="AG246" s="63"/>
      <c r="AH246" s="64"/>
      <c r="AI246" s="62"/>
      <c r="AJ246" s="63"/>
      <c r="AK246" s="63"/>
      <c r="AL246" s="63"/>
      <c r="AM246" s="63"/>
      <c r="AN246" s="63"/>
      <c r="AO246" s="63"/>
      <c r="AP246" s="63"/>
      <c r="AQ246" s="63"/>
      <c r="AR246" s="63"/>
      <c r="AS246" s="64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4"/>
      <c r="BE246" s="62"/>
      <c r="BF246" s="63"/>
      <c r="BG246" s="63"/>
      <c r="BH246" s="63"/>
      <c r="BI246" s="63"/>
      <c r="BJ246" s="63"/>
      <c r="BK246" s="63"/>
      <c r="BL246" s="63"/>
      <c r="BM246" s="63"/>
      <c r="BN246" s="63"/>
      <c r="BO246" s="64"/>
      <c r="BP246" s="62"/>
      <c r="BQ246" s="63"/>
      <c r="BR246" s="63"/>
      <c r="BS246" s="63"/>
      <c r="BT246" s="63"/>
      <c r="BU246" s="63"/>
      <c r="BV246" s="63"/>
      <c r="BW246" s="63"/>
      <c r="BX246" s="63"/>
      <c r="BY246" s="63"/>
      <c r="BZ246" s="64"/>
      <c r="CA246" s="62"/>
      <c r="CB246" s="63"/>
      <c r="CC246" s="63"/>
      <c r="CD246" s="63"/>
      <c r="CE246" s="63"/>
      <c r="CF246" s="63"/>
      <c r="CG246" s="63"/>
      <c r="CH246" s="63"/>
      <c r="CI246" s="63"/>
      <c r="CJ246" s="63"/>
      <c r="CK246" s="64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4"/>
      <c r="CW246" s="62"/>
      <c r="CX246" s="63"/>
      <c r="CY246" s="63"/>
      <c r="CZ246" s="63"/>
      <c r="DA246" s="63"/>
      <c r="DB246" s="63"/>
      <c r="DC246" s="63"/>
      <c r="DD246" s="63"/>
      <c r="DE246" s="63"/>
      <c r="DF246" s="63"/>
      <c r="DG246" s="64"/>
      <c r="DH246" s="62"/>
      <c r="DI246" s="63"/>
      <c r="DJ246" s="63"/>
      <c r="DK246" s="63"/>
      <c r="DL246" s="63"/>
      <c r="DM246" s="63"/>
      <c r="DN246" s="63"/>
      <c r="DO246" s="63"/>
      <c r="DP246" s="63"/>
      <c r="DQ246" s="63"/>
      <c r="DR246" s="64"/>
      <c r="DS246" s="62"/>
      <c r="DT246" s="63"/>
      <c r="DU246" s="63"/>
      <c r="DV246" s="63"/>
      <c r="DW246" s="63"/>
      <c r="DX246" s="63"/>
      <c r="DY246" s="63"/>
      <c r="DZ246" s="63"/>
      <c r="EA246" s="63"/>
      <c r="EB246" s="63"/>
      <c r="EC246" s="63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4"/>
      <c r="EO246" s="62"/>
      <c r="EP246" s="63"/>
      <c r="EQ246" s="63"/>
      <c r="ER246" s="63"/>
      <c r="ES246" s="63"/>
      <c r="ET246" s="63"/>
      <c r="EU246" s="63"/>
      <c r="EV246" s="63"/>
      <c r="EW246" s="63"/>
      <c r="EX246" s="63"/>
      <c r="EY246" s="64"/>
      <c r="EZ246" s="62"/>
      <c r="FA246" s="63"/>
      <c r="FB246" s="63"/>
      <c r="FC246" s="63"/>
      <c r="FD246" s="63"/>
      <c r="FE246" s="63"/>
      <c r="FF246" s="63"/>
      <c r="FG246" s="63"/>
      <c r="FH246" s="63"/>
      <c r="FI246" s="63"/>
      <c r="FJ246" s="64"/>
      <c r="FK246" s="62"/>
      <c r="FL246" s="63"/>
      <c r="FM246" s="63"/>
      <c r="FN246" s="63"/>
      <c r="FO246" s="63"/>
      <c r="FP246" s="63"/>
      <c r="FQ246" s="63"/>
      <c r="FR246" s="63"/>
      <c r="FS246" s="63"/>
      <c r="FT246" s="63"/>
      <c r="FU246" s="64"/>
      <c r="FV246" s="65">
        <f t="shared" si="1603"/>
        <v>0</v>
      </c>
      <c r="FW246" s="65">
        <f t="shared" si="1603"/>
        <v>0</v>
      </c>
      <c r="FX246" s="65">
        <f t="shared" si="1603"/>
        <v>0</v>
      </c>
      <c r="FY246" s="65">
        <f t="shared" si="1603"/>
        <v>0</v>
      </c>
      <c r="FZ246" s="65">
        <f t="shared" si="1603"/>
        <v>0</v>
      </c>
      <c r="GA246" s="65">
        <f t="shared" si="1603"/>
        <v>0</v>
      </c>
      <c r="GB246" s="65">
        <f t="shared" si="1603"/>
        <v>0</v>
      </c>
      <c r="GC246" s="65">
        <f t="shared" si="1603"/>
        <v>0</v>
      </c>
      <c r="GD246" s="65">
        <f t="shared" si="1603"/>
        <v>0</v>
      </c>
      <c r="GE246" s="65">
        <f t="shared" si="1603"/>
        <v>0</v>
      </c>
      <c r="GF246" s="64">
        <f t="shared" si="1604"/>
        <v>0</v>
      </c>
      <c r="GG246" s="66">
        <f t="shared" si="1605"/>
        <v>0</v>
      </c>
      <c r="GH246" s="66">
        <f t="shared" si="1605"/>
        <v>0</v>
      </c>
      <c r="GI246" s="66">
        <f t="shared" si="1605"/>
        <v>0</v>
      </c>
      <c r="GJ246" s="66">
        <f t="shared" si="1605"/>
        <v>0</v>
      </c>
      <c r="GK246" s="66">
        <f t="shared" si="1605"/>
        <v>0</v>
      </c>
      <c r="GL246" s="66">
        <f t="shared" si="1605"/>
        <v>0</v>
      </c>
      <c r="GM246" s="66">
        <f t="shared" si="1605"/>
        <v>0</v>
      </c>
      <c r="GN246" s="66">
        <f t="shared" si="1605"/>
        <v>0</v>
      </c>
      <c r="GO246" s="66">
        <f t="shared" si="1605"/>
        <v>0</v>
      </c>
      <c r="GP246" s="66">
        <f t="shared" si="1605"/>
        <v>0</v>
      </c>
      <c r="GQ246" s="64">
        <f t="shared" si="1606"/>
        <v>0</v>
      </c>
      <c r="GR246" s="63"/>
      <c r="GS246" s="63"/>
      <c r="GT246" s="63"/>
      <c r="GU246" s="63"/>
      <c r="GV246" s="67">
        <f t="shared" si="1607"/>
        <v>0</v>
      </c>
      <c r="GW246" s="63"/>
      <c r="GX246" s="63"/>
      <c r="GY246" s="63"/>
      <c r="GZ246" s="63"/>
      <c r="HA246" s="67">
        <f t="shared" si="1608"/>
        <v>0</v>
      </c>
      <c r="HB246" s="63"/>
      <c r="HC246" s="63"/>
      <c r="HD246" s="63"/>
      <c r="HE246" s="63"/>
      <c r="HF246" s="67">
        <f t="shared" si="1609"/>
        <v>0</v>
      </c>
      <c r="HG246" s="63"/>
      <c r="HH246" s="63"/>
      <c r="HI246" s="63"/>
      <c r="HJ246" s="63"/>
      <c r="HK246" s="67">
        <f t="shared" si="1610"/>
        <v>0</v>
      </c>
      <c r="HL246" s="68">
        <f t="shared" si="1611"/>
        <v>0</v>
      </c>
      <c r="HM246" s="68">
        <f t="shared" si="1611"/>
        <v>0</v>
      </c>
      <c r="HN246" s="68">
        <f t="shared" si="1611"/>
        <v>0</v>
      </c>
      <c r="HO246" s="68">
        <f t="shared" si="1611"/>
        <v>0</v>
      </c>
      <c r="HP246" s="67">
        <f t="shared" si="1612"/>
        <v>0</v>
      </c>
      <c r="HQ246" s="63"/>
      <c r="HR246" s="63"/>
      <c r="HS246" s="63"/>
      <c r="HT246" s="63"/>
      <c r="HU246" s="67">
        <f t="shared" si="1613"/>
        <v>0</v>
      </c>
      <c r="HV246" s="63"/>
      <c r="HW246" s="63"/>
      <c r="HX246" s="63"/>
      <c r="HY246" s="63"/>
      <c r="HZ246" s="67">
        <f t="shared" si="1614"/>
        <v>0</v>
      </c>
      <c r="IA246" s="63"/>
      <c r="IB246" s="63"/>
      <c r="IC246" s="63"/>
      <c r="ID246" s="63"/>
      <c r="IE246" s="67">
        <f t="shared" si="1615"/>
        <v>0</v>
      </c>
      <c r="IF246" s="68">
        <f t="shared" si="1616"/>
        <v>0</v>
      </c>
      <c r="IG246" s="68">
        <f t="shared" si="1616"/>
        <v>0</v>
      </c>
      <c r="IH246" s="68">
        <f t="shared" si="1616"/>
        <v>0</v>
      </c>
      <c r="II246" s="68">
        <f t="shared" si="1616"/>
        <v>0</v>
      </c>
      <c r="IJ246" s="67">
        <f t="shared" si="1617"/>
        <v>0</v>
      </c>
      <c r="IK246" s="63"/>
      <c r="IL246" s="63"/>
      <c r="IM246" s="63"/>
      <c r="IN246" s="63"/>
      <c r="IO246" s="67">
        <f t="shared" si="1618"/>
        <v>0</v>
      </c>
      <c r="IP246" s="63"/>
      <c r="IQ246" s="63"/>
      <c r="IR246" s="63"/>
      <c r="IS246" s="63"/>
      <c r="IT246" s="67">
        <f t="shared" si="1619"/>
        <v>0</v>
      </c>
      <c r="IU246" s="63"/>
      <c r="IV246" s="63"/>
    </row>
    <row r="247" spans="1:256" s="150" customFormat="1" ht="14.1" customHeight="1" x14ac:dyDescent="0.25">
      <c r="A247" s="152" t="s">
        <v>360</v>
      </c>
      <c r="B247" s="62"/>
      <c r="C247" s="63"/>
      <c r="D247" s="63"/>
      <c r="E247" s="63"/>
      <c r="F247" s="63"/>
      <c r="G247" s="63"/>
      <c r="H247" s="63"/>
      <c r="I247" s="63"/>
      <c r="J247" s="63"/>
      <c r="K247" s="63"/>
      <c r="L247" s="64"/>
      <c r="M247" s="62"/>
      <c r="N247" s="63"/>
      <c r="O247" s="63"/>
      <c r="P247" s="63"/>
      <c r="Q247" s="63"/>
      <c r="R247" s="63"/>
      <c r="S247" s="63"/>
      <c r="T247" s="63"/>
      <c r="U247" s="63"/>
      <c r="V247" s="63"/>
      <c r="W247" s="64"/>
      <c r="X247" s="62"/>
      <c r="Y247" s="63"/>
      <c r="Z247" s="63"/>
      <c r="AA247" s="63"/>
      <c r="AB247" s="63"/>
      <c r="AC247" s="63"/>
      <c r="AD247" s="63"/>
      <c r="AE247" s="63"/>
      <c r="AF247" s="63"/>
      <c r="AG247" s="63"/>
      <c r="AH247" s="64"/>
      <c r="AI247" s="62"/>
      <c r="AJ247" s="63"/>
      <c r="AK247" s="63"/>
      <c r="AL247" s="63"/>
      <c r="AM247" s="63"/>
      <c r="AN247" s="63"/>
      <c r="AO247" s="63"/>
      <c r="AP247" s="63"/>
      <c r="AQ247" s="63"/>
      <c r="AR247" s="63"/>
      <c r="AS247" s="64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4"/>
      <c r="BE247" s="62"/>
      <c r="BF247" s="63"/>
      <c r="BG247" s="63"/>
      <c r="BH247" s="63"/>
      <c r="BI247" s="63"/>
      <c r="BJ247" s="63"/>
      <c r="BK247" s="63"/>
      <c r="BL247" s="63"/>
      <c r="BM247" s="63"/>
      <c r="BN247" s="63"/>
      <c r="BO247" s="64"/>
      <c r="BP247" s="62"/>
      <c r="BQ247" s="63"/>
      <c r="BR247" s="63"/>
      <c r="BS247" s="63"/>
      <c r="BT247" s="63"/>
      <c r="BU247" s="63"/>
      <c r="BV247" s="63"/>
      <c r="BW247" s="63"/>
      <c r="BX247" s="63"/>
      <c r="BY247" s="63"/>
      <c r="BZ247" s="64"/>
      <c r="CA247" s="62"/>
      <c r="CB247" s="63"/>
      <c r="CC247" s="63"/>
      <c r="CD247" s="63"/>
      <c r="CE247" s="63"/>
      <c r="CF247" s="63"/>
      <c r="CG247" s="63"/>
      <c r="CH247" s="63"/>
      <c r="CI247" s="63"/>
      <c r="CJ247" s="63"/>
      <c r="CK247" s="64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4"/>
      <c r="CW247" s="62"/>
      <c r="CX247" s="63"/>
      <c r="CY247" s="63"/>
      <c r="CZ247" s="63"/>
      <c r="DA247" s="63"/>
      <c r="DB247" s="63"/>
      <c r="DC247" s="63"/>
      <c r="DD247" s="63"/>
      <c r="DE247" s="63"/>
      <c r="DF247" s="63"/>
      <c r="DG247" s="64"/>
      <c r="DH247" s="62"/>
      <c r="DI247" s="63"/>
      <c r="DJ247" s="63"/>
      <c r="DK247" s="63"/>
      <c r="DL247" s="63"/>
      <c r="DM247" s="63"/>
      <c r="DN247" s="63"/>
      <c r="DO247" s="63"/>
      <c r="DP247" s="63"/>
      <c r="DQ247" s="63"/>
      <c r="DR247" s="64"/>
      <c r="DS247" s="62"/>
      <c r="DT247" s="63"/>
      <c r="DU247" s="63"/>
      <c r="DV247" s="63"/>
      <c r="DW247" s="63"/>
      <c r="DX247" s="63"/>
      <c r="DY247" s="63"/>
      <c r="DZ247" s="63"/>
      <c r="EA247" s="63"/>
      <c r="EB247" s="63"/>
      <c r="EC247" s="63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4"/>
      <c r="EO247" s="62"/>
      <c r="EP247" s="63"/>
      <c r="EQ247" s="63"/>
      <c r="ER247" s="63"/>
      <c r="ES247" s="63"/>
      <c r="ET247" s="63"/>
      <c r="EU247" s="63"/>
      <c r="EV247" s="63"/>
      <c r="EW247" s="63"/>
      <c r="EX247" s="63"/>
      <c r="EY247" s="64"/>
      <c r="EZ247" s="62"/>
      <c r="FA247" s="63"/>
      <c r="FB247" s="63"/>
      <c r="FC247" s="63"/>
      <c r="FD247" s="63"/>
      <c r="FE247" s="63"/>
      <c r="FF247" s="63"/>
      <c r="FG247" s="63"/>
      <c r="FH247" s="63"/>
      <c r="FI247" s="63"/>
      <c r="FJ247" s="64"/>
      <c r="FK247" s="62"/>
      <c r="FL247" s="63"/>
      <c r="FM247" s="63"/>
      <c r="FN247" s="63"/>
      <c r="FO247" s="63"/>
      <c r="FP247" s="63"/>
      <c r="FQ247" s="63"/>
      <c r="FR247" s="63"/>
      <c r="FS247" s="63"/>
      <c r="FT247" s="63"/>
      <c r="FU247" s="64"/>
      <c r="FV247" s="65">
        <f t="shared" si="1603"/>
        <v>0</v>
      </c>
      <c r="FW247" s="65">
        <f t="shared" si="1603"/>
        <v>0</v>
      </c>
      <c r="FX247" s="65">
        <f t="shared" si="1603"/>
        <v>0</v>
      </c>
      <c r="FY247" s="65">
        <f t="shared" si="1603"/>
        <v>0</v>
      </c>
      <c r="FZ247" s="65">
        <f t="shared" si="1603"/>
        <v>0</v>
      </c>
      <c r="GA247" s="65">
        <f t="shared" si="1603"/>
        <v>0</v>
      </c>
      <c r="GB247" s="65">
        <f t="shared" si="1603"/>
        <v>0</v>
      </c>
      <c r="GC247" s="65">
        <f t="shared" si="1603"/>
        <v>0</v>
      </c>
      <c r="GD247" s="65">
        <f t="shared" si="1603"/>
        <v>0</v>
      </c>
      <c r="GE247" s="65">
        <f t="shared" si="1603"/>
        <v>0</v>
      </c>
      <c r="GF247" s="64">
        <f t="shared" si="1604"/>
        <v>0</v>
      </c>
      <c r="GG247" s="66">
        <f t="shared" si="1605"/>
        <v>0</v>
      </c>
      <c r="GH247" s="66">
        <f t="shared" si="1605"/>
        <v>0</v>
      </c>
      <c r="GI247" s="66">
        <f t="shared" si="1605"/>
        <v>0</v>
      </c>
      <c r="GJ247" s="66">
        <f t="shared" si="1605"/>
        <v>0</v>
      </c>
      <c r="GK247" s="66">
        <f t="shared" si="1605"/>
        <v>0</v>
      </c>
      <c r="GL247" s="66">
        <f t="shared" si="1605"/>
        <v>0</v>
      </c>
      <c r="GM247" s="66">
        <f t="shared" si="1605"/>
        <v>0</v>
      </c>
      <c r="GN247" s="66">
        <f t="shared" si="1605"/>
        <v>0</v>
      </c>
      <c r="GO247" s="66">
        <f t="shared" si="1605"/>
        <v>0</v>
      </c>
      <c r="GP247" s="66">
        <f t="shared" si="1605"/>
        <v>0</v>
      </c>
      <c r="GQ247" s="64">
        <f t="shared" si="1606"/>
        <v>0</v>
      </c>
      <c r="GR247" s="63"/>
      <c r="GS247" s="63"/>
      <c r="GT247" s="63"/>
      <c r="GU247" s="63"/>
      <c r="GV247" s="67">
        <f t="shared" si="1607"/>
        <v>0</v>
      </c>
      <c r="GW247" s="63"/>
      <c r="GX247" s="63"/>
      <c r="GY247" s="63"/>
      <c r="GZ247" s="63"/>
      <c r="HA247" s="67">
        <f t="shared" si="1608"/>
        <v>0</v>
      </c>
      <c r="HB247" s="63"/>
      <c r="HC247" s="63"/>
      <c r="HD247" s="63"/>
      <c r="HE247" s="63"/>
      <c r="HF247" s="67">
        <f t="shared" si="1609"/>
        <v>0</v>
      </c>
      <c r="HG247" s="63"/>
      <c r="HH247" s="63"/>
      <c r="HI247" s="63"/>
      <c r="HJ247" s="63"/>
      <c r="HK247" s="67">
        <f t="shared" si="1610"/>
        <v>0</v>
      </c>
      <c r="HL247" s="68">
        <f t="shared" si="1611"/>
        <v>0</v>
      </c>
      <c r="HM247" s="68">
        <f t="shared" si="1611"/>
        <v>0</v>
      </c>
      <c r="HN247" s="68">
        <f t="shared" si="1611"/>
        <v>0</v>
      </c>
      <c r="HO247" s="68">
        <f t="shared" si="1611"/>
        <v>0</v>
      </c>
      <c r="HP247" s="67">
        <f t="shared" si="1612"/>
        <v>0</v>
      </c>
      <c r="HQ247" s="63"/>
      <c r="HR247" s="63"/>
      <c r="HS247" s="63"/>
      <c r="HT247" s="63"/>
      <c r="HU247" s="67">
        <f t="shared" si="1613"/>
        <v>0</v>
      </c>
      <c r="HV247" s="63"/>
      <c r="HW247" s="63"/>
      <c r="HX247" s="63"/>
      <c r="HY247" s="63"/>
      <c r="HZ247" s="67">
        <f t="shared" si="1614"/>
        <v>0</v>
      </c>
      <c r="IA247" s="63"/>
      <c r="IB247" s="63"/>
      <c r="IC247" s="63"/>
      <c r="ID247" s="63"/>
      <c r="IE247" s="67">
        <f t="shared" si="1615"/>
        <v>0</v>
      </c>
      <c r="IF247" s="68">
        <f t="shared" si="1616"/>
        <v>0</v>
      </c>
      <c r="IG247" s="68">
        <f t="shared" si="1616"/>
        <v>0</v>
      </c>
      <c r="IH247" s="68">
        <f t="shared" si="1616"/>
        <v>0</v>
      </c>
      <c r="II247" s="68">
        <f t="shared" si="1616"/>
        <v>0</v>
      </c>
      <c r="IJ247" s="67">
        <f t="shared" si="1617"/>
        <v>0</v>
      </c>
      <c r="IK247" s="63"/>
      <c r="IL247" s="63"/>
      <c r="IM247" s="63"/>
      <c r="IN247" s="63"/>
      <c r="IO247" s="67">
        <f t="shared" si="1618"/>
        <v>0</v>
      </c>
      <c r="IP247" s="63"/>
      <c r="IQ247" s="63"/>
      <c r="IR247" s="63"/>
      <c r="IS247" s="63"/>
      <c r="IT247" s="67">
        <f t="shared" si="1619"/>
        <v>0</v>
      </c>
      <c r="IU247" s="63"/>
      <c r="IV247" s="63"/>
    </row>
    <row r="248" spans="1:256" s="150" customFormat="1" ht="14.1" customHeight="1" x14ac:dyDescent="0.25">
      <c r="A248" s="152" t="s">
        <v>361</v>
      </c>
      <c r="B248" s="62"/>
      <c r="C248" s="63"/>
      <c r="D248" s="63"/>
      <c r="E248" s="63"/>
      <c r="F248" s="63"/>
      <c r="G248" s="63"/>
      <c r="H248" s="63"/>
      <c r="I248" s="63"/>
      <c r="J248" s="63"/>
      <c r="K248" s="63"/>
      <c r="L248" s="64"/>
      <c r="M248" s="62"/>
      <c r="N248" s="63"/>
      <c r="O248" s="63"/>
      <c r="P248" s="63"/>
      <c r="Q248" s="63"/>
      <c r="R248" s="63"/>
      <c r="S248" s="63"/>
      <c r="T248" s="63"/>
      <c r="U248" s="63"/>
      <c r="V248" s="63"/>
      <c r="W248" s="64"/>
      <c r="X248" s="62"/>
      <c r="Y248" s="63"/>
      <c r="Z248" s="63"/>
      <c r="AA248" s="63"/>
      <c r="AB248" s="63"/>
      <c r="AC248" s="63"/>
      <c r="AD248" s="63"/>
      <c r="AE248" s="63"/>
      <c r="AF248" s="63"/>
      <c r="AG248" s="63"/>
      <c r="AH248" s="64"/>
      <c r="AI248" s="62"/>
      <c r="AJ248" s="63"/>
      <c r="AK248" s="63"/>
      <c r="AL248" s="63"/>
      <c r="AM248" s="63"/>
      <c r="AN248" s="63"/>
      <c r="AO248" s="63"/>
      <c r="AP248" s="63"/>
      <c r="AQ248" s="63"/>
      <c r="AR248" s="63"/>
      <c r="AS248" s="64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4"/>
      <c r="BE248" s="62"/>
      <c r="BF248" s="63"/>
      <c r="BG248" s="63"/>
      <c r="BH248" s="63"/>
      <c r="BI248" s="63"/>
      <c r="BJ248" s="63"/>
      <c r="BK248" s="63"/>
      <c r="BL248" s="63"/>
      <c r="BM248" s="63"/>
      <c r="BN248" s="63"/>
      <c r="BO248" s="64"/>
      <c r="BP248" s="62"/>
      <c r="BQ248" s="63"/>
      <c r="BR248" s="63"/>
      <c r="BS248" s="63"/>
      <c r="BT248" s="63"/>
      <c r="BU248" s="63"/>
      <c r="BV248" s="63"/>
      <c r="BW248" s="63"/>
      <c r="BX248" s="63"/>
      <c r="BY248" s="63"/>
      <c r="BZ248" s="64"/>
      <c r="CA248" s="62"/>
      <c r="CB248" s="63"/>
      <c r="CC248" s="63"/>
      <c r="CD248" s="63"/>
      <c r="CE248" s="63"/>
      <c r="CF248" s="63"/>
      <c r="CG248" s="63"/>
      <c r="CH248" s="63"/>
      <c r="CI248" s="63"/>
      <c r="CJ248" s="63"/>
      <c r="CK248" s="64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4"/>
      <c r="CW248" s="62"/>
      <c r="CX248" s="63"/>
      <c r="CY248" s="63"/>
      <c r="CZ248" s="63"/>
      <c r="DA248" s="63"/>
      <c r="DB248" s="63"/>
      <c r="DC248" s="63"/>
      <c r="DD248" s="63"/>
      <c r="DE248" s="63"/>
      <c r="DF248" s="63"/>
      <c r="DG248" s="64"/>
      <c r="DH248" s="62"/>
      <c r="DI248" s="63"/>
      <c r="DJ248" s="63"/>
      <c r="DK248" s="63"/>
      <c r="DL248" s="63"/>
      <c r="DM248" s="63"/>
      <c r="DN248" s="63"/>
      <c r="DO248" s="63"/>
      <c r="DP248" s="63"/>
      <c r="DQ248" s="63"/>
      <c r="DR248" s="64"/>
      <c r="DS248" s="62"/>
      <c r="DT248" s="63"/>
      <c r="DU248" s="63"/>
      <c r="DV248" s="63"/>
      <c r="DW248" s="63"/>
      <c r="DX248" s="63"/>
      <c r="DY248" s="63"/>
      <c r="DZ248" s="63"/>
      <c r="EA248" s="63"/>
      <c r="EB248" s="63"/>
      <c r="EC248" s="63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4"/>
      <c r="EO248" s="62"/>
      <c r="EP248" s="63"/>
      <c r="EQ248" s="63"/>
      <c r="ER248" s="63"/>
      <c r="ES248" s="63"/>
      <c r="ET248" s="63"/>
      <c r="EU248" s="63"/>
      <c r="EV248" s="63"/>
      <c r="EW248" s="63"/>
      <c r="EX248" s="63"/>
      <c r="EY248" s="64"/>
      <c r="EZ248" s="62"/>
      <c r="FA248" s="63"/>
      <c r="FB248" s="63"/>
      <c r="FC248" s="63"/>
      <c r="FD248" s="63"/>
      <c r="FE248" s="63"/>
      <c r="FF248" s="63"/>
      <c r="FG248" s="63"/>
      <c r="FH248" s="63"/>
      <c r="FI248" s="63"/>
      <c r="FJ248" s="64"/>
      <c r="FK248" s="62"/>
      <c r="FL248" s="63"/>
      <c r="FM248" s="63"/>
      <c r="FN248" s="63"/>
      <c r="FO248" s="63"/>
      <c r="FP248" s="63"/>
      <c r="FQ248" s="63"/>
      <c r="FR248" s="63"/>
      <c r="FS248" s="63"/>
      <c r="FT248" s="63"/>
      <c r="FU248" s="64"/>
      <c r="FV248" s="65">
        <f t="shared" si="1603"/>
        <v>0</v>
      </c>
      <c r="FW248" s="65">
        <f t="shared" si="1603"/>
        <v>0</v>
      </c>
      <c r="FX248" s="65">
        <f t="shared" si="1603"/>
        <v>0</v>
      </c>
      <c r="FY248" s="65">
        <f t="shared" si="1603"/>
        <v>0</v>
      </c>
      <c r="FZ248" s="65">
        <f t="shared" si="1603"/>
        <v>0</v>
      </c>
      <c r="GA248" s="65">
        <f t="shared" si="1603"/>
        <v>0</v>
      </c>
      <c r="GB248" s="65">
        <f t="shared" si="1603"/>
        <v>0</v>
      </c>
      <c r="GC248" s="65">
        <f t="shared" si="1603"/>
        <v>0</v>
      </c>
      <c r="GD248" s="65">
        <f t="shared" si="1603"/>
        <v>0</v>
      </c>
      <c r="GE248" s="65">
        <f t="shared" si="1603"/>
        <v>0</v>
      </c>
      <c r="GF248" s="64">
        <f t="shared" si="1604"/>
        <v>0</v>
      </c>
      <c r="GG248" s="66">
        <f t="shared" si="1605"/>
        <v>0</v>
      </c>
      <c r="GH248" s="66">
        <f t="shared" si="1605"/>
        <v>0</v>
      </c>
      <c r="GI248" s="66">
        <f t="shared" si="1605"/>
        <v>0</v>
      </c>
      <c r="GJ248" s="66">
        <f t="shared" si="1605"/>
        <v>0</v>
      </c>
      <c r="GK248" s="66">
        <f t="shared" si="1605"/>
        <v>0</v>
      </c>
      <c r="GL248" s="66">
        <f t="shared" si="1605"/>
        <v>0</v>
      </c>
      <c r="GM248" s="66">
        <f t="shared" si="1605"/>
        <v>0</v>
      </c>
      <c r="GN248" s="66">
        <f t="shared" si="1605"/>
        <v>0</v>
      </c>
      <c r="GO248" s="66">
        <f t="shared" si="1605"/>
        <v>0</v>
      </c>
      <c r="GP248" s="66">
        <f t="shared" si="1605"/>
        <v>0</v>
      </c>
      <c r="GQ248" s="64">
        <f t="shared" si="1606"/>
        <v>0</v>
      </c>
      <c r="GR248" s="63"/>
      <c r="GS248" s="63"/>
      <c r="GT248" s="63"/>
      <c r="GU248" s="63"/>
      <c r="GV248" s="67">
        <f t="shared" si="1607"/>
        <v>0</v>
      </c>
      <c r="GW248" s="63"/>
      <c r="GX248" s="63"/>
      <c r="GY248" s="63"/>
      <c r="GZ248" s="63"/>
      <c r="HA248" s="67">
        <f t="shared" si="1608"/>
        <v>0</v>
      </c>
      <c r="HB248" s="63"/>
      <c r="HC248" s="63"/>
      <c r="HD248" s="63"/>
      <c r="HE248" s="63"/>
      <c r="HF248" s="67">
        <f t="shared" si="1609"/>
        <v>0</v>
      </c>
      <c r="HG248" s="63"/>
      <c r="HH248" s="63"/>
      <c r="HI248" s="63"/>
      <c r="HJ248" s="63"/>
      <c r="HK248" s="67">
        <f t="shared" si="1610"/>
        <v>0</v>
      </c>
      <c r="HL248" s="68">
        <f t="shared" si="1611"/>
        <v>0</v>
      </c>
      <c r="HM248" s="68">
        <f t="shared" si="1611"/>
        <v>0</v>
      </c>
      <c r="HN248" s="68">
        <f t="shared" si="1611"/>
        <v>0</v>
      </c>
      <c r="HO248" s="68">
        <f t="shared" si="1611"/>
        <v>0</v>
      </c>
      <c r="HP248" s="67">
        <f t="shared" si="1612"/>
        <v>0</v>
      </c>
      <c r="HQ248" s="63"/>
      <c r="HR248" s="63"/>
      <c r="HS248" s="63"/>
      <c r="HT248" s="63"/>
      <c r="HU248" s="67">
        <f t="shared" si="1613"/>
        <v>0</v>
      </c>
      <c r="HV248" s="63"/>
      <c r="HW248" s="63"/>
      <c r="HX248" s="63"/>
      <c r="HY248" s="63"/>
      <c r="HZ248" s="67">
        <f t="shared" si="1614"/>
        <v>0</v>
      </c>
      <c r="IA248" s="63"/>
      <c r="IB248" s="63"/>
      <c r="IC248" s="63"/>
      <c r="ID248" s="63"/>
      <c r="IE248" s="67">
        <f t="shared" si="1615"/>
        <v>0</v>
      </c>
      <c r="IF248" s="68">
        <f t="shared" si="1616"/>
        <v>0</v>
      </c>
      <c r="IG248" s="68">
        <f t="shared" si="1616"/>
        <v>0</v>
      </c>
      <c r="IH248" s="68">
        <f t="shared" si="1616"/>
        <v>0</v>
      </c>
      <c r="II248" s="68">
        <f t="shared" si="1616"/>
        <v>0</v>
      </c>
      <c r="IJ248" s="67">
        <f t="shared" si="1617"/>
        <v>0</v>
      </c>
      <c r="IK248" s="63"/>
      <c r="IL248" s="63"/>
      <c r="IM248" s="63"/>
      <c r="IN248" s="63"/>
      <c r="IO248" s="67">
        <f t="shared" si="1618"/>
        <v>0</v>
      </c>
      <c r="IP248" s="63"/>
      <c r="IQ248" s="63"/>
      <c r="IR248" s="63"/>
      <c r="IS248" s="63"/>
      <c r="IT248" s="67">
        <f t="shared" si="1619"/>
        <v>0</v>
      </c>
      <c r="IU248" s="63"/>
      <c r="IV248" s="63"/>
    </row>
    <row r="249" spans="1:256" s="150" customFormat="1" ht="14.1" customHeight="1" x14ac:dyDescent="0.25">
      <c r="A249" s="152" t="s">
        <v>362</v>
      </c>
      <c r="B249" s="62"/>
      <c r="C249" s="63"/>
      <c r="D249" s="63"/>
      <c r="E249" s="63"/>
      <c r="F249" s="63"/>
      <c r="G249" s="63"/>
      <c r="H249" s="63"/>
      <c r="I249" s="63"/>
      <c r="J249" s="63"/>
      <c r="K249" s="63"/>
      <c r="L249" s="64"/>
      <c r="M249" s="62"/>
      <c r="N249" s="63"/>
      <c r="O249" s="63"/>
      <c r="P249" s="63"/>
      <c r="Q249" s="63"/>
      <c r="R249" s="63"/>
      <c r="S249" s="63"/>
      <c r="T249" s="63"/>
      <c r="U249" s="63"/>
      <c r="V249" s="63"/>
      <c r="W249" s="64"/>
      <c r="X249" s="62"/>
      <c r="Y249" s="63"/>
      <c r="Z249" s="63"/>
      <c r="AA249" s="63"/>
      <c r="AB249" s="63"/>
      <c r="AC249" s="63"/>
      <c r="AD249" s="63"/>
      <c r="AE249" s="63"/>
      <c r="AF249" s="63"/>
      <c r="AG249" s="63"/>
      <c r="AH249" s="64"/>
      <c r="AI249" s="62"/>
      <c r="AJ249" s="63"/>
      <c r="AK249" s="63"/>
      <c r="AL249" s="63"/>
      <c r="AM249" s="63"/>
      <c r="AN249" s="63"/>
      <c r="AO249" s="63"/>
      <c r="AP249" s="63"/>
      <c r="AQ249" s="63"/>
      <c r="AR249" s="63"/>
      <c r="AS249" s="64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4"/>
      <c r="BE249" s="62"/>
      <c r="BF249" s="63"/>
      <c r="BG249" s="63"/>
      <c r="BH249" s="63"/>
      <c r="BI249" s="63"/>
      <c r="BJ249" s="63"/>
      <c r="BK249" s="63"/>
      <c r="BL249" s="63"/>
      <c r="BM249" s="63"/>
      <c r="BN249" s="63"/>
      <c r="BO249" s="64"/>
      <c r="BP249" s="62"/>
      <c r="BQ249" s="63"/>
      <c r="BR249" s="63"/>
      <c r="BS249" s="63"/>
      <c r="BT249" s="63"/>
      <c r="BU249" s="63"/>
      <c r="BV249" s="63"/>
      <c r="BW249" s="63"/>
      <c r="BX249" s="63"/>
      <c r="BY249" s="63"/>
      <c r="BZ249" s="64"/>
      <c r="CA249" s="62"/>
      <c r="CB249" s="63"/>
      <c r="CC249" s="63"/>
      <c r="CD249" s="63"/>
      <c r="CE249" s="63"/>
      <c r="CF249" s="63"/>
      <c r="CG249" s="63"/>
      <c r="CH249" s="63"/>
      <c r="CI249" s="63"/>
      <c r="CJ249" s="63"/>
      <c r="CK249" s="64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4"/>
      <c r="CW249" s="62"/>
      <c r="CX249" s="63"/>
      <c r="CY249" s="63"/>
      <c r="CZ249" s="63"/>
      <c r="DA249" s="63"/>
      <c r="DB249" s="63"/>
      <c r="DC249" s="63"/>
      <c r="DD249" s="63"/>
      <c r="DE249" s="63"/>
      <c r="DF249" s="63"/>
      <c r="DG249" s="64"/>
      <c r="DH249" s="62"/>
      <c r="DI249" s="63"/>
      <c r="DJ249" s="63"/>
      <c r="DK249" s="63"/>
      <c r="DL249" s="63"/>
      <c r="DM249" s="63"/>
      <c r="DN249" s="63"/>
      <c r="DO249" s="63"/>
      <c r="DP249" s="63"/>
      <c r="DQ249" s="63"/>
      <c r="DR249" s="64"/>
      <c r="DS249" s="62"/>
      <c r="DT249" s="63"/>
      <c r="DU249" s="63"/>
      <c r="DV249" s="63"/>
      <c r="DW249" s="63"/>
      <c r="DX249" s="63"/>
      <c r="DY249" s="63"/>
      <c r="DZ249" s="63"/>
      <c r="EA249" s="63"/>
      <c r="EB249" s="63"/>
      <c r="EC249" s="63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4"/>
      <c r="EO249" s="62"/>
      <c r="EP249" s="63"/>
      <c r="EQ249" s="63"/>
      <c r="ER249" s="63"/>
      <c r="ES249" s="63"/>
      <c r="ET249" s="63"/>
      <c r="EU249" s="63"/>
      <c r="EV249" s="63"/>
      <c r="EW249" s="63"/>
      <c r="EX249" s="63"/>
      <c r="EY249" s="64"/>
      <c r="EZ249" s="62"/>
      <c r="FA249" s="63"/>
      <c r="FB249" s="63"/>
      <c r="FC249" s="63"/>
      <c r="FD249" s="63"/>
      <c r="FE249" s="63"/>
      <c r="FF249" s="63"/>
      <c r="FG249" s="63"/>
      <c r="FH249" s="63"/>
      <c r="FI249" s="63"/>
      <c r="FJ249" s="64"/>
      <c r="FK249" s="62"/>
      <c r="FL249" s="63"/>
      <c r="FM249" s="63"/>
      <c r="FN249" s="63"/>
      <c r="FO249" s="63"/>
      <c r="FP249" s="63"/>
      <c r="FQ249" s="63"/>
      <c r="FR249" s="63"/>
      <c r="FS249" s="63"/>
      <c r="FT249" s="63"/>
      <c r="FU249" s="64"/>
      <c r="FV249" s="65">
        <f t="shared" si="1603"/>
        <v>0</v>
      </c>
      <c r="FW249" s="65">
        <f t="shared" si="1603"/>
        <v>0</v>
      </c>
      <c r="FX249" s="65">
        <f t="shared" si="1603"/>
        <v>0</v>
      </c>
      <c r="FY249" s="65">
        <f t="shared" si="1603"/>
        <v>0</v>
      </c>
      <c r="FZ249" s="65">
        <f t="shared" si="1603"/>
        <v>0</v>
      </c>
      <c r="GA249" s="65">
        <f t="shared" si="1603"/>
        <v>0</v>
      </c>
      <c r="GB249" s="65">
        <f t="shared" si="1603"/>
        <v>0</v>
      </c>
      <c r="GC249" s="65">
        <f t="shared" si="1603"/>
        <v>0</v>
      </c>
      <c r="GD249" s="65">
        <f t="shared" si="1603"/>
        <v>0</v>
      </c>
      <c r="GE249" s="65">
        <f t="shared" si="1603"/>
        <v>0</v>
      </c>
      <c r="GF249" s="64">
        <f t="shared" si="1604"/>
        <v>0</v>
      </c>
      <c r="GG249" s="66">
        <f t="shared" si="1605"/>
        <v>0</v>
      </c>
      <c r="GH249" s="66">
        <f t="shared" si="1605"/>
        <v>0</v>
      </c>
      <c r="GI249" s="66">
        <f t="shared" si="1605"/>
        <v>0</v>
      </c>
      <c r="GJ249" s="66">
        <f t="shared" si="1605"/>
        <v>0</v>
      </c>
      <c r="GK249" s="66">
        <f t="shared" si="1605"/>
        <v>0</v>
      </c>
      <c r="GL249" s="66">
        <f t="shared" si="1605"/>
        <v>0</v>
      </c>
      <c r="GM249" s="66">
        <f t="shared" si="1605"/>
        <v>0</v>
      </c>
      <c r="GN249" s="66">
        <f t="shared" si="1605"/>
        <v>0</v>
      </c>
      <c r="GO249" s="66">
        <f t="shared" si="1605"/>
        <v>0</v>
      </c>
      <c r="GP249" s="66">
        <f t="shared" si="1605"/>
        <v>0</v>
      </c>
      <c r="GQ249" s="64">
        <f t="shared" si="1606"/>
        <v>0</v>
      </c>
      <c r="GR249" s="63"/>
      <c r="GS249" s="63"/>
      <c r="GT249" s="63"/>
      <c r="GU249" s="63"/>
      <c r="GV249" s="67">
        <f t="shared" si="1607"/>
        <v>0</v>
      </c>
      <c r="GW249" s="63"/>
      <c r="GX249" s="63"/>
      <c r="GY249" s="63"/>
      <c r="GZ249" s="63"/>
      <c r="HA249" s="67">
        <f t="shared" si="1608"/>
        <v>0</v>
      </c>
      <c r="HB249" s="63"/>
      <c r="HC249" s="63"/>
      <c r="HD249" s="63"/>
      <c r="HE249" s="63"/>
      <c r="HF249" s="67">
        <f t="shared" si="1609"/>
        <v>0</v>
      </c>
      <c r="HG249" s="63"/>
      <c r="HH249" s="63"/>
      <c r="HI249" s="63"/>
      <c r="HJ249" s="63"/>
      <c r="HK249" s="67">
        <f t="shared" si="1610"/>
        <v>0</v>
      </c>
      <c r="HL249" s="68">
        <f t="shared" si="1611"/>
        <v>0</v>
      </c>
      <c r="HM249" s="68">
        <f t="shared" si="1611"/>
        <v>0</v>
      </c>
      <c r="HN249" s="68">
        <f t="shared" si="1611"/>
        <v>0</v>
      </c>
      <c r="HO249" s="68">
        <f t="shared" si="1611"/>
        <v>0</v>
      </c>
      <c r="HP249" s="67">
        <f t="shared" si="1612"/>
        <v>0</v>
      </c>
      <c r="HQ249" s="63"/>
      <c r="HR249" s="63"/>
      <c r="HS249" s="63"/>
      <c r="HT249" s="63"/>
      <c r="HU249" s="67">
        <f t="shared" si="1613"/>
        <v>0</v>
      </c>
      <c r="HV249" s="63"/>
      <c r="HW249" s="63"/>
      <c r="HX249" s="63"/>
      <c r="HY249" s="63"/>
      <c r="HZ249" s="67">
        <f t="shared" si="1614"/>
        <v>0</v>
      </c>
      <c r="IA249" s="63"/>
      <c r="IB249" s="63"/>
      <c r="IC249" s="63"/>
      <c r="ID249" s="63"/>
      <c r="IE249" s="67">
        <f t="shared" si="1615"/>
        <v>0</v>
      </c>
      <c r="IF249" s="68">
        <f t="shared" si="1616"/>
        <v>0</v>
      </c>
      <c r="IG249" s="68">
        <f t="shared" si="1616"/>
        <v>0</v>
      </c>
      <c r="IH249" s="68">
        <f t="shared" si="1616"/>
        <v>0</v>
      </c>
      <c r="II249" s="68">
        <f t="shared" si="1616"/>
        <v>0</v>
      </c>
      <c r="IJ249" s="67">
        <f t="shared" si="1617"/>
        <v>0</v>
      </c>
      <c r="IK249" s="63"/>
      <c r="IL249" s="63"/>
      <c r="IM249" s="63"/>
      <c r="IN249" s="63"/>
      <c r="IO249" s="67">
        <f t="shared" si="1618"/>
        <v>0</v>
      </c>
      <c r="IP249" s="63"/>
      <c r="IQ249" s="63"/>
      <c r="IR249" s="63"/>
      <c r="IS249" s="63"/>
      <c r="IT249" s="67">
        <f t="shared" si="1619"/>
        <v>0</v>
      </c>
      <c r="IU249" s="63"/>
      <c r="IV249" s="63"/>
    </row>
    <row r="250" spans="1:256" s="150" customFormat="1" ht="14.1" customHeight="1" x14ac:dyDescent="0.25">
      <c r="A250" s="152" t="s">
        <v>363</v>
      </c>
      <c r="B250" s="62"/>
      <c r="C250" s="63"/>
      <c r="D250" s="63"/>
      <c r="E250" s="63"/>
      <c r="F250" s="63"/>
      <c r="G250" s="63"/>
      <c r="H250" s="63"/>
      <c r="I250" s="63"/>
      <c r="J250" s="63"/>
      <c r="K250" s="63"/>
      <c r="L250" s="64"/>
      <c r="M250" s="62"/>
      <c r="N250" s="63"/>
      <c r="O250" s="63"/>
      <c r="P250" s="63"/>
      <c r="Q250" s="63"/>
      <c r="R250" s="63"/>
      <c r="S250" s="63"/>
      <c r="T250" s="63"/>
      <c r="U250" s="63"/>
      <c r="V250" s="63"/>
      <c r="W250" s="64"/>
      <c r="X250" s="62"/>
      <c r="Y250" s="63"/>
      <c r="Z250" s="63"/>
      <c r="AA250" s="63"/>
      <c r="AB250" s="63"/>
      <c r="AC250" s="63"/>
      <c r="AD250" s="63"/>
      <c r="AE250" s="63"/>
      <c r="AF250" s="63"/>
      <c r="AG250" s="63"/>
      <c r="AH250" s="64"/>
      <c r="AI250" s="62"/>
      <c r="AJ250" s="63"/>
      <c r="AK250" s="63"/>
      <c r="AL250" s="63"/>
      <c r="AM250" s="63"/>
      <c r="AN250" s="63"/>
      <c r="AO250" s="63"/>
      <c r="AP250" s="63"/>
      <c r="AQ250" s="63"/>
      <c r="AR250" s="63"/>
      <c r="AS250" s="64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4"/>
      <c r="BE250" s="62"/>
      <c r="BF250" s="63"/>
      <c r="BG250" s="63"/>
      <c r="BH250" s="63"/>
      <c r="BI250" s="63"/>
      <c r="BJ250" s="63"/>
      <c r="BK250" s="63"/>
      <c r="BL250" s="63"/>
      <c r="BM250" s="63"/>
      <c r="BN250" s="63"/>
      <c r="BO250" s="64"/>
      <c r="BP250" s="62"/>
      <c r="BQ250" s="63"/>
      <c r="BR250" s="63"/>
      <c r="BS250" s="63"/>
      <c r="BT250" s="63"/>
      <c r="BU250" s="63"/>
      <c r="BV250" s="63"/>
      <c r="BW250" s="63"/>
      <c r="BX250" s="63"/>
      <c r="BY250" s="63"/>
      <c r="BZ250" s="64"/>
      <c r="CA250" s="62"/>
      <c r="CB250" s="63"/>
      <c r="CC250" s="63"/>
      <c r="CD250" s="63"/>
      <c r="CE250" s="63"/>
      <c r="CF250" s="63"/>
      <c r="CG250" s="63"/>
      <c r="CH250" s="63"/>
      <c r="CI250" s="63"/>
      <c r="CJ250" s="63"/>
      <c r="CK250" s="64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4"/>
      <c r="CW250" s="62"/>
      <c r="CX250" s="63"/>
      <c r="CY250" s="63"/>
      <c r="CZ250" s="63"/>
      <c r="DA250" s="63"/>
      <c r="DB250" s="63"/>
      <c r="DC250" s="63"/>
      <c r="DD250" s="63"/>
      <c r="DE250" s="63"/>
      <c r="DF250" s="63"/>
      <c r="DG250" s="64"/>
      <c r="DH250" s="62"/>
      <c r="DI250" s="63"/>
      <c r="DJ250" s="63"/>
      <c r="DK250" s="63"/>
      <c r="DL250" s="63"/>
      <c r="DM250" s="63"/>
      <c r="DN250" s="63"/>
      <c r="DO250" s="63"/>
      <c r="DP250" s="63"/>
      <c r="DQ250" s="63"/>
      <c r="DR250" s="64"/>
      <c r="DS250" s="62"/>
      <c r="DT250" s="63"/>
      <c r="DU250" s="63"/>
      <c r="DV250" s="63"/>
      <c r="DW250" s="63"/>
      <c r="DX250" s="63"/>
      <c r="DY250" s="63"/>
      <c r="DZ250" s="63"/>
      <c r="EA250" s="63"/>
      <c r="EB250" s="63"/>
      <c r="EC250" s="63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4"/>
      <c r="EO250" s="62"/>
      <c r="EP250" s="63"/>
      <c r="EQ250" s="63"/>
      <c r="ER250" s="63"/>
      <c r="ES250" s="63"/>
      <c r="ET250" s="63"/>
      <c r="EU250" s="63"/>
      <c r="EV250" s="63"/>
      <c r="EW250" s="63"/>
      <c r="EX250" s="63"/>
      <c r="EY250" s="64"/>
      <c r="EZ250" s="62"/>
      <c r="FA250" s="63"/>
      <c r="FB250" s="63"/>
      <c r="FC250" s="63"/>
      <c r="FD250" s="63"/>
      <c r="FE250" s="63"/>
      <c r="FF250" s="63"/>
      <c r="FG250" s="63"/>
      <c r="FH250" s="63"/>
      <c r="FI250" s="63"/>
      <c r="FJ250" s="64"/>
      <c r="FK250" s="62"/>
      <c r="FL250" s="63"/>
      <c r="FM250" s="63"/>
      <c r="FN250" s="63"/>
      <c r="FO250" s="63"/>
      <c r="FP250" s="63"/>
      <c r="FQ250" s="63"/>
      <c r="FR250" s="63"/>
      <c r="FS250" s="63"/>
      <c r="FT250" s="63"/>
      <c r="FU250" s="64"/>
      <c r="FV250" s="65">
        <f t="shared" si="1603"/>
        <v>0</v>
      </c>
      <c r="FW250" s="65">
        <f t="shared" si="1603"/>
        <v>0</v>
      </c>
      <c r="FX250" s="65">
        <f t="shared" si="1603"/>
        <v>0</v>
      </c>
      <c r="FY250" s="65">
        <f t="shared" si="1603"/>
        <v>0</v>
      </c>
      <c r="FZ250" s="65">
        <f t="shared" si="1603"/>
        <v>0</v>
      </c>
      <c r="GA250" s="65">
        <f t="shared" si="1603"/>
        <v>0</v>
      </c>
      <c r="GB250" s="65">
        <f t="shared" si="1603"/>
        <v>0</v>
      </c>
      <c r="GC250" s="65">
        <f t="shared" si="1603"/>
        <v>0</v>
      </c>
      <c r="GD250" s="65">
        <f t="shared" si="1603"/>
        <v>0</v>
      </c>
      <c r="GE250" s="65">
        <f t="shared" si="1603"/>
        <v>0</v>
      </c>
      <c r="GF250" s="64">
        <f t="shared" si="1604"/>
        <v>0</v>
      </c>
      <c r="GG250" s="66">
        <f t="shared" si="1605"/>
        <v>0</v>
      </c>
      <c r="GH250" s="66">
        <f t="shared" si="1605"/>
        <v>0</v>
      </c>
      <c r="GI250" s="66">
        <f t="shared" si="1605"/>
        <v>0</v>
      </c>
      <c r="GJ250" s="66">
        <f t="shared" si="1605"/>
        <v>0</v>
      </c>
      <c r="GK250" s="66">
        <f t="shared" si="1605"/>
        <v>0</v>
      </c>
      <c r="GL250" s="66">
        <f t="shared" si="1605"/>
        <v>0</v>
      </c>
      <c r="GM250" s="66">
        <f t="shared" si="1605"/>
        <v>0</v>
      </c>
      <c r="GN250" s="66">
        <f t="shared" si="1605"/>
        <v>0</v>
      </c>
      <c r="GO250" s="66">
        <f t="shared" si="1605"/>
        <v>0</v>
      </c>
      <c r="GP250" s="66">
        <f t="shared" si="1605"/>
        <v>0</v>
      </c>
      <c r="GQ250" s="64">
        <f t="shared" si="1606"/>
        <v>0</v>
      </c>
      <c r="GR250" s="63"/>
      <c r="GS250" s="63"/>
      <c r="GT250" s="63"/>
      <c r="GU250" s="63"/>
      <c r="GV250" s="67">
        <f t="shared" si="1607"/>
        <v>0</v>
      </c>
      <c r="GW250" s="63"/>
      <c r="GX250" s="63"/>
      <c r="GY250" s="63"/>
      <c r="GZ250" s="63"/>
      <c r="HA250" s="67">
        <f t="shared" si="1608"/>
        <v>0</v>
      </c>
      <c r="HB250" s="63"/>
      <c r="HC250" s="63"/>
      <c r="HD250" s="63"/>
      <c r="HE250" s="63"/>
      <c r="HF250" s="67">
        <f t="shared" si="1609"/>
        <v>0</v>
      </c>
      <c r="HG250" s="63"/>
      <c r="HH250" s="63"/>
      <c r="HI250" s="63"/>
      <c r="HJ250" s="63"/>
      <c r="HK250" s="67">
        <f t="shared" si="1610"/>
        <v>0</v>
      </c>
      <c r="HL250" s="68">
        <f t="shared" si="1611"/>
        <v>0</v>
      </c>
      <c r="HM250" s="68">
        <f t="shared" si="1611"/>
        <v>0</v>
      </c>
      <c r="HN250" s="68">
        <f t="shared" si="1611"/>
        <v>0</v>
      </c>
      <c r="HO250" s="68">
        <f t="shared" si="1611"/>
        <v>0</v>
      </c>
      <c r="HP250" s="67">
        <f t="shared" si="1612"/>
        <v>0</v>
      </c>
      <c r="HQ250" s="63"/>
      <c r="HR250" s="63"/>
      <c r="HS250" s="63"/>
      <c r="HT250" s="63"/>
      <c r="HU250" s="67">
        <f t="shared" si="1613"/>
        <v>0</v>
      </c>
      <c r="HV250" s="63"/>
      <c r="HW250" s="63"/>
      <c r="HX250" s="63"/>
      <c r="HY250" s="63"/>
      <c r="HZ250" s="67">
        <f t="shared" si="1614"/>
        <v>0</v>
      </c>
      <c r="IA250" s="63"/>
      <c r="IB250" s="63"/>
      <c r="IC250" s="63"/>
      <c r="ID250" s="63"/>
      <c r="IE250" s="67">
        <f t="shared" si="1615"/>
        <v>0</v>
      </c>
      <c r="IF250" s="68">
        <f t="shared" si="1616"/>
        <v>0</v>
      </c>
      <c r="IG250" s="68">
        <f t="shared" si="1616"/>
        <v>0</v>
      </c>
      <c r="IH250" s="68">
        <f t="shared" si="1616"/>
        <v>0</v>
      </c>
      <c r="II250" s="68">
        <f t="shared" si="1616"/>
        <v>0</v>
      </c>
      <c r="IJ250" s="67">
        <f t="shared" si="1617"/>
        <v>0</v>
      </c>
      <c r="IK250" s="63"/>
      <c r="IL250" s="63"/>
      <c r="IM250" s="63"/>
      <c r="IN250" s="63"/>
      <c r="IO250" s="67">
        <f t="shared" si="1618"/>
        <v>0</v>
      </c>
      <c r="IP250" s="63"/>
      <c r="IQ250" s="63"/>
      <c r="IR250" s="63"/>
      <c r="IS250" s="63"/>
      <c r="IT250" s="67">
        <f t="shared" si="1619"/>
        <v>0</v>
      </c>
      <c r="IU250" s="63"/>
      <c r="IV250" s="63"/>
    </row>
    <row r="251" spans="1:256" s="150" customFormat="1" ht="14.1" customHeight="1" x14ac:dyDescent="0.25">
      <c r="A251" s="152" t="s">
        <v>364</v>
      </c>
      <c r="B251" s="62"/>
      <c r="C251" s="63"/>
      <c r="D251" s="63"/>
      <c r="E251" s="63"/>
      <c r="F251" s="63"/>
      <c r="G251" s="63"/>
      <c r="H251" s="63"/>
      <c r="I251" s="63"/>
      <c r="J251" s="63"/>
      <c r="K251" s="63"/>
      <c r="L251" s="64"/>
      <c r="M251" s="62"/>
      <c r="N251" s="63"/>
      <c r="O251" s="63"/>
      <c r="P251" s="63"/>
      <c r="Q251" s="63"/>
      <c r="R251" s="63"/>
      <c r="S251" s="63"/>
      <c r="T251" s="63"/>
      <c r="U251" s="63"/>
      <c r="V251" s="63"/>
      <c r="W251" s="64"/>
      <c r="X251" s="62"/>
      <c r="Y251" s="63"/>
      <c r="Z251" s="63"/>
      <c r="AA251" s="63"/>
      <c r="AB251" s="63"/>
      <c r="AC251" s="63"/>
      <c r="AD251" s="63"/>
      <c r="AE251" s="63"/>
      <c r="AF251" s="63"/>
      <c r="AG251" s="63"/>
      <c r="AH251" s="64"/>
      <c r="AI251" s="62"/>
      <c r="AJ251" s="63"/>
      <c r="AK251" s="63"/>
      <c r="AL251" s="63"/>
      <c r="AM251" s="63"/>
      <c r="AN251" s="63"/>
      <c r="AO251" s="63"/>
      <c r="AP251" s="63"/>
      <c r="AQ251" s="63"/>
      <c r="AR251" s="63"/>
      <c r="AS251" s="64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4"/>
      <c r="BE251" s="62"/>
      <c r="BF251" s="63"/>
      <c r="BG251" s="63"/>
      <c r="BH251" s="63"/>
      <c r="BI251" s="63"/>
      <c r="BJ251" s="63"/>
      <c r="BK251" s="63"/>
      <c r="BL251" s="63"/>
      <c r="BM251" s="63"/>
      <c r="BN251" s="63"/>
      <c r="BO251" s="64"/>
      <c r="BP251" s="62"/>
      <c r="BQ251" s="63"/>
      <c r="BR251" s="63"/>
      <c r="BS251" s="63"/>
      <c r="BT251" s="63"/>
      <c r="BU251" s="63"/>
      <c r="BV251" s="63"/>
      <c r="BW251" s="63"/>
      <c r="BX251" s="63"/>
      <c r="BY251" s="63"/>
      <c r="BZ251" s="64"/>
      <c r="CA251" s="62"/>
      <c r="CB251" s="63"/>
      <c r="CC251" s="63"/>
      <c r="CD251" s="63"/>
      <c r="CE251" s="63"/>
      <c r="CF251" s="63"/>
      <c r="CG251" s="63"/>
      <c r="CH251" s="63"/>
      <c r="CI251" s="63"/>
      <c r="CJ251" s="63"/>
      <c r="CK251" s="64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4"/>
      <c r="CW251" s="62"/>
      <c r="CX251" s="63"/>
      <c r="CY251" s="63"/>
      <c r="CZ251" s="63"/>
      <c r="DA251" s="63"/>
      <c r="DB251" s="63"/>
      <c r="DC251" s="63"/>
      <c r="DD251" s="63"/>
      <c r="DE251" s="63"/>
      <c r="DF251" s="63"/>
      <c r="DG251" s="64"/>
      <c r="DH251" s="62"/>
      <c r="DI251" s="63"/>
      <c r="DJ251" s="63"/>
      <c r="DK251" s="63"/>
      <c r="DL251" s="63"/>
      <c r="DM251" s="63"/>
      <c r="DN251" s="63"/>
      <c r="DO251" s="63"/>
      <c r="DP251" s="63"/>
      <c r="DQ251" s="63"/>
      <c r="DR251" s="64"/>
      <c r="DS251" s="62"/>
      <c r="DT251" s="63"/>
      <c r="DU251" s="63"/>
      <c r="DV251" s="63"/>
      <c r="DW251" s="63"/>
      <c r="DX251" s="63"/>
      <c r="DY251" s="63"/>
      <c r="DZ251" s="63"/>
      <c r="EA251" s="63"/>
      <c r="EB251" s="63"/>
      <c r="EC251" s="63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4"/>
      <c r="EO251" s="62"/>
      <c r="EP251" s="63"/>
      <c r="EQ251" s="63"/>
      <c r="ER251" s="63"/>
      <c r="ES251" s="63"/>
      <c r="ET251" s="63"/>
      <c r="EU251" s="63"/>
      <c r="EV251" s="63"/>
      <c r="EW251" s="63"/>
      <c r="EX251" s="63"/>
      <c r="EY251" s="64"/>
      <c r="EZ251" s="62"/>
      <c r="FA251" s="63"/>
      <c r="FB251" s="63"/>
      <c r="FC251" s="63"/>
      <c r="FD251" s="63"/>
      <c r="FE251" s="63"/>
      <c r="FF251" s="63"/>
      <c r="FG251" s="63"/>
      <c r="FH251" s="63"/>
      <c r="FI251" s="63"/>
      <c r="FJ251" s="64"/>
      <c r="FK251" s="62"/>
      <c r="FL251" s="63"/>
      <c r="FM251" s="63"/>
      <c r="FN251" s="63"/>
      <c r="FO251" s="63"/>
      <c r="FP251" s="63"/>
      <c r="FQ251" s="63"/>
      <c r="FR251" s="63"/>
      <c r="FS251" s="63"/>
      <c r="FT251" s="63"/>
      <c r="FU251" s="64"/>
      <c r="FV251" s="65">
        <f t="shared" si="1603"/>
        <v>0</v>
      </c>
      <c r="FW251" s="65">
        <f t="shared" si="1603"/>
        <v>0</v>
      </c>
      <c r="FX251" s="65">
        <f t="shared" si="1603"/>
        <v>0</v>
      </c>
      <c r="FY251" s="65">
        <f t="shared" si="1603"/>
        <v>0</v>
      </c>
      <c r="FZ251" s="65">
        <f t="shared" si="1603"/>
        <v>0</v>
      </c>
      <c r="GA251" s="65">
        <f t="shared" si="1603"/>
        <v>0</v>
      </c>
      <c r="GB251" s="65">
        <f t="shared" si="1603"/>
        <v>0</v>
      </c>
      <c r="GC251" s="65">
        <f t="shared" si="1603"/>
        <v>0</v>
      </c>
      <c r="GD251" s="65">
        <f t="shared" si="1603"/>
        <v>0</v>
      </c>
      <c r="GE251" s="65">
        <f t="shared" si="1603"/>
        <v>0</v>
      </c>
      <c r="GF251" s="64">
        <f t="shared" si="1604"/>
        <v>0</v>
      </c>
      <c r="GG251" s="66">
        <f t="shared" si="1605"/>
        <v>0</v>
      </c>
      <c r="GH251" s="66">
        <f t="shared" si="1605"/>
        <v>0</v>
      </c>
      <c r="GI251" s="66">
        <f t="shared" si="1605"/>
        <v>0</v>
      </c>
      <c r="GJ251" s="66">
        <f t="shared" si="1605"/>
        <v>0</v>
      </c>
      <c r="GK251" s="66">
        <f t="shared" si="1605"/>
        <v>0</v>
      </c>
      <c r="GL251" s="66">
        <f t="shared" si="1605"/>
        <v>0</v>
      </c>
      <c r="GM251" s="66">
        <f t="shared" si="1605"/>
        <v>0</v>
      </c>
      <c r="GN251" s="66">
        <f t="shared" si="1605"/>
        <v>0</v>
      </c>
      <c r="GO251" s="66">
        <f t="shared" si="1605"/>
        <v>0</v>
      </c>
      <c r="GP251" s="66">
        <f t="shared" si="1605"/>
        <v>0</v>
      </c>
      <c r="GQ251" s="64">
        <f t="shared" si="1606"/>
        <v>0</v>
      </c>
      <c r="GR251" s="63"/>
      <c r="GS251" s="63"/>
      <c r="GT251" s="63"/>
      <c r="GU251" s="63"/>
      <c r="GV251" s="67">
        <f t="shared" si="1607"/>
        <v>0</v>
      </c>
      <c r="GW251" s="63"/>
      <c r="GX251" s="63"/>
      <c r="GY251" s="63"/>
      <c r="GZ251" s="63"/>
      <c r="HA251" s="67">
        <f t="shared" si="1608"/>
        <v>0</v>
      </c>
      <c r="HB251" s="63"/>
      <c r="HC251" s="63"/>
      <c r="HD251" s="63"/>
      <c r="HE251" s="63"/>
      <c r="HF251" s="67">
        <f t="shared" si="1609"/>
        <v>0</v>
      </c>
      <c r="HG251" s="63"/>
      <c r="HH251" s="63"/>
      <c r="HI251" s="63"/>
      <c r="HJ251" s="63"/>
      <c r="HK251" s="67">
        <f t="shared" si="1610"/>
        <v>0</v>
      </c>
      <c r="HL251" s="68">
        <f t="shared" si="1611"/>
        <v>0</v>
      </c>
      <c r="HM251" s="68">
        <f t="shared" si="1611"/>
        <v>0</v>
      </c>
      <c r="HN251" s="68">
        <f t="shared" si="1611"/>
        <v>0</v>
      </c>
      <c r="HO251" s="68">
        <f t="shared" si="1611"/>
        <v>0</v>
      </c>
      <c r="HP251" s="67">
        <f t="shared" si="1612"/>
        <v>0</v>
      </c>
      <c r="HQ251" s="63"/>
      <c r="HR251" s="63"/>
      <c r="HS251" s="63"/>
      <c r="HT251" s="63"/>
      <c r="HU251" s="67">
        <f t="shared" si="1613"/>
        <v>0</v>
      </c>
      <c r="HV251" s="63"/>
      <c r="HW251" s="63"/>
      <c r="HX251" s="63"/>
      <c r="HY251" s="63"/>
      <c r="HZ251" s="67">
        <f t="shared" si="1614"/>
        <v>0</v>
      </c>
      <c r="IA251" s="63"/>
      <c r="IB251" s="63"/>
      <c r="IC251" s="63"/>
      <c r="ID251" s="63"/>
      <c r="IE251" s="67">
        <f t="shared" si="1615"/>
        <v>0</v>
      </c>
      <c r="IF251" s="68">
        <f t="shared" si="1616"/>
        <v>0</v>
      </c>
      <c r="IG251" s="68">
        <f t="shared" si="1616"/>
        <v>0</v>
      </c>
      <c r="IH251" s="68">
        <f t="shared" si="1616"/>
        <v>0</v>
      </c>
      <c r="II251" s="68">
        <f t="shared" si="1616"/>
        <v>0</v>
      </c>
      <c r="IJ251" s="67">
        <f t="shared" si="1617"/>
        <v>0</v>
      </c>
      <c r="IK251" s="63"/>
      <c r="IL251" s="63"/>
      <c r="IM251" s="63"/>
      <c r="IN251" s="63"/>
      <c r="IO251" s="67">
        <f t="shared" si="1618"/>
        <v>0</v>
      </c>
      <c r="IP251" s="63"/>
      <c r="IQ251" s="63"/>
      <c r="IR251" s="63"/>
      <c r="IS251" s="63"/>
      <c r="IT251" s="67">
        <f t="shared" si="1619"/>
        <v>0</v>
      </c>
      <c r="IU251" s="63"/>
      <c r="IV251" s="63"/>
    </row>
    <row r="252" spans="1:256" s="150" customFormat="1" ht="14.1" customHeight="1" x14ac:dyDescent="0.25">
      <c r="A252" s="152" t="s">
        <v>365</v>
      </c>
      <c r="B252" s="62"/>
      <c r="C252" s="63"/>
      <c r="D252" s="63"/>
      <c r="E252" s="63"/>
      <c r="F252" s="63"/>
      <c r="G252" s="63"/>
      <c r="H252" s="63"/>
      <c r="I252" s="63"/>
      <c r="J252" s="63"/>
      <c r="K252" s="63"/>
      <c r="L252" s="64"/>
      <c r="M252" s="62"/>
      <c r="N252" s="63"/>
      <c r="O252" s="63"/>
      <c r="P252" s="63"/>
      <c r="Q252" s="63"/>
      <c r="R252" s="63"/>
      <c r="S252" s="63"/>
      <c r="T252" s="63"/>
      <c r="U252" s="63"/>
      <c r="V252" s="63"/>
      <c r="W252" s="64"/>
      <c r="X252" s="62"/>
      <c r="Y252" s="63"/>
      <c r="Z252" s="63"/>
      <c r="AA252" s="63"/>
      <c r="AB252" s="63"/>
      <c r="AC252" s="63"/>
      <c r="AD252" s="63"/>
      <c r="AE252" s="63"/>
      <c r="AF252" s="63"/>
      <c r="AG252" s="63"/>
      <c r="AH252" s="64"/>
      <c r="AI252" s="62"/>
      <c r="AJ252" s="63"/>
      <c r="AK252" s="63"/>
      <c r="AL252" s="63"/>
      <c r="AM252" s="63"/>
      <c r="AN252" s="63"/>
      <c r="AO252" s="63"/>
      <c r="AP252" s="63"/>
      <c r="AQ252" s="63"/>
      <c r="AR252" s="63"/>
      <c r="AS252" s="64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4"/>
      <c r="BE252" s="62"/>
      <c r="BF252" s="63"/>
      <c r="BG252" s="63"/>
      <c r="BH252" s="63"/>
      <c r="BI252" s="63"/>
      <c r="BJ252" s="63"/>
      <c r="BK252" s="63"/>
      <c r="BL252" s="63"/>
      <c r="BM252" s="63"/>
      <c r="BN252" s="63"/>
      <c r="BO252" s="64"/>
      <c r="BP252" s="62"/>
      <c r="BQ252" s="63"/>
      <c r="BR252" s="63"/>
      <c r="BS252" s="63"/>
      <c r="BT252" s="63"/>
      <c r="BU252" s="63"/>
      <c r="BV252" s="63"/>
      <c r="BW252" s="63"/>
      <c r="BX252" s="63"/>
      <c r="BY252" s="63"/>
      <c r="BZ252" s="64"/>
      <c r="CA252" s="62"/>
      <c r="CB252" s="63"/>
      <c r="CC252" s="63"/>
      <c r="CD252" s="63"/>
      <c r="CE252" s="63"/>
      <c r="CF252" s="63"/>
      <c r="CG252" s="63"/>
      <c r="CH252" s="63"/>
      <c r="CI252" s="63"/>
      <c r="CJ252" s="63"/>
      <c r="CK252" s="64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4"/>
      <c r="CW252" s="62"/>
      <c r="CX252" s="63"/>
      <c r="CY252" s="63"/>
      <c r="CZ252" s="63"/>
      <c r="DA252" s="63"/>
      <c r="DB252" s="63"/>
      <c r="DC252" s="63"/>
      <c r="DD252" s="63"/>
      <c r="DE252" s="63"/>
      <c r="DF252" s="63"/>
      <c r="DG252" s="64"/>
      <c r="DH252" s="62"/>
      <c r="DI252" s="63"/>
      <c r="DJ252" s="63"/>
      <c r="DK252" s="63"/>
      <c r="DL252" s="63"/>
      <c r="DM252" s="63"/>
      <c r="DN252" s="63"/>
      <c r="DO252" s="63"/>
      <c r="DP252" s="63"/>
      <c r="DQ252" s="63"/>
      <c r="DR252" s="64"/>
      <c r="DS252" s="62"/>
      <c r="DT252" s="63"/>
      <c r="DU252" s="63"/>
      <c r="DV252" s="63"/>
      <c r="DW252" s="63"/>
      <c r="DX252" s="63"/>
      <c r="DY252" s="63"/>
      <c r="DZ252" s="63"/>
      <c r="EA252" s="63"/>
      <c r="EB252" s="63"/>
      <c r="EC252" s="63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4"/>
      <c r="EO252" s="62"/>
      <c r="EP252" s="63"/>
      <c r="EQ252" s="63"/>
      <c r="ER252" s="63"/>
      <c r="ES252" s="63"/>
      <c r="ET252" s="63"/>
      <c r="EU252" s="63"/>
      <c r="EV252" s="63"/>
      <c r="EW252" s="63"/>
      <c r="EX252" s="63"/>
      <c r="EY252" s="64"/>
      <c r="EZ252" s="62"/>
      <c r="FA252" s="63"/>
      <c r="FB252" s="63"/>
      <c r="FC252" s="63"/>
      <c r="FD252" s="63"/>
      <c r="FE252" s="63"/>
      <c r="FF252" s="63"/>
      <c r="FG252" s="63"/>
      <c r="FH252" s="63"/>
      <c r="FI252" s="63"/>
      <c r="FJ252" s="64"/>
      <c r="FK252" s="62"/>
      <c r="FL252" s="63"/>
      <c r="FM252" s="63"/>
      <c r="FN252" s="63"/>
      <c r="FO252" s="63"/>
      <c r="FP252" s="63"/>
      <c r="FQ252" s="63"/>
      <c r="FR252" s="63"/>
      <c r="FS252" s="63"/>
      <c r="FT252" s="63"/>
      <c r="FU252" s="64"/>
      <c r="FV252" s="65">
        <f t="shared" si="1603"/>
        <v>0</v>
      </c>
      <c r="FW252" s="65">
        <f t="shared" si="1603"/>
        <v>0</v>
      </c>
      <c r="FX252" s="65">
        <f t="shared" si="1603"/>
        <v>0</v>
      </c>
      <c r="FY252" s="65">
        <f t="shared" si="1603"/>
        <v>0</v>
      </c>
      <c r="FZ252" s="65">
        <f t="shared" si="1603"/>
        <v>0</v>
      </c>
      <c r="GA252" s="65">
        <f t="shared" si="1603"/>
        <v>0</v>
      </c>
      <c r="GB252" s="65">
        <f t="shared" si="1603"/>
        <v>0</v>
      </c>
      <c r="GC252" s="65">
        <f t="shared" si="1603"/>
        <v>0</v>
      </c>
      <c r="GD252" s="65">
        <f t="shared" si="1603"/>
        <v>0</v>
      </c>
      <c r="GE252" s="65">
        <f t="shared" si="1603"/>
        <v>0</v>
      </c>
      <c r="GF252" s="64">
        <f t="shared" si="1604"/>
        <v>0</v>
      </c>
      <c r="GG252" s="66">
        <f t="shared" si="1605"/>
        <v>0</v>
      </c>
      <c r="GH252" s="66">
        <f t="shared" si="1605"/>
        <v>0</v>
      </c>
      <c r="GI252" s="66">
        <f t="shared" si="1605"/>
        <v>0</v>
      </c>
      <c r="GJ252" s="66">
        <f t="shared" si="1605"/>
        <v>0</v>
      </c>
      <c r="GK252" s="66">
        <f t="shared" si="1605"/>
        <v>0</v>
      </c>
      <c r="GL252" s="66">
        <f t="shared" si="1605"/>
        <v>0</v>
      </c>
      <c r="GM252" s="66">
        <f t="shared" si="1605"/>
        <v>0</v>
      </c>
      <c r="GN252" s="66">
        <f t="shared" si="1605"/>
        <v>0</v>
      </c>
      <c r="GO252" s="66">
        <f t="shared" si="1605"/>
        <v>0</v>
      </c>
      <c r="GP252" s="66">
        <f t="shared" si="1605"/>
        <v>0</v>
      </c>
      <c r="GQ252" s="64">
        <f t="shared" si="1606"/>
        <v>0</v>
      </c>
      <c r="GR252" s="63"/>
      <c r="GS252" s="63"/>
      <c r="GT252" s="63"/>
      <c r="GU252" s="63"/>
      <c r="GV252" s="67">
        <f t="shared" si="1607"/>
        <v>0</v>
      </c>
      <c r="GW252" s="63"/>
      <c r="GX252" s="63"/>
      <c r="GY252" s="63"/>
      <c r="GZ252" s="63"/>
      <c r="HA252" s="67">
        <f t="shared" si="1608"/>
        <v>0</v>
      </c>
      <c r="HB252" s="63"/>
      <c r="HC252" s="63"/>
      <c r="HD252" s="63"/>
      <c r="HE252" s="63"/>
      <c r="HF252" s="67">
        <f t="shared" si="1609"/>
        <v>0</v>
      </c>
      <c r="HG252" s="63"/>
      <c r="HH252" s="63"/>
      <c r="HI252" s="63"/>
      <c r="HJ252" s="63"/>
      <c r="HK252" s="67">
        <f t="shared" si="1610"/>
        <v>0</v>
      </c>
      <c r="HL252" s="68">
        <f t="shared" si="1611"/>
        <v>0</v>
      </c>
      <c r="HM252" s="68">
        <f t="shared" si="1611"/>
        <v>0</v>
      </c>
      <c r="HN252" s="68">
        <f t="shared" si="1611"/>
        <v>0</v>
      </c>
      <c r="HO252" s="68">
        <f t="shared" si="1611"/>
        <v>0</v>
      </c>
      <c r="HP252" s="67">
        <f t="shared" si="1612"/>
        <v>0</v>
      </c>
      <c r="HQ252" s="63"/>
      <c r="HR252" s="63"/>
      <c r="HS252" s="63"/>
      <c r="HT252" s="63"/>
      <c r="HU252" s="67">
        <f t="shared" si="1613"/>
        <v>0</v>
      </c>
      <c r="HV252" s="63"/>
      <c r="HW252" s="63"/>
      <c r="HX252" s="63"/>
      <c r="HY252" s="63"/>
      <c r="HZ252" s="67">
        <f t="shared" si="1614"/>
        <v>0</v>
      </c>
      <c r="IA252" s="63"/>
      <c r="IB252" s="63"/>
      <c r="IC252" s="63"/>
      <c r="ID252" s="63"/>
      <c r="IE252" s="67">
        <f t="shared" si="1615"/>
        <v>0</v>
      </c>
      <c r="IF252" s="68">
        <f t="shared" si="1616"/>
        <v>0</v>
      </c>
      <c r="IG252" s="68">
        <f t="shared" si="1616"/>
        <v>0</v>
      </c>
      <c r="IH252" s="68">
        <f t="shared" si="1616"/>
        <v>0</v>
      </c>
      <c r="II252" s="68">
        <f t="shared" si="1616"/>
        <v>0</v>
      </c>
      <c r="IJ252" s="67">
        <f t="shared" si="1617"/>
        <v>0</v>
      </c>
      <c r="IK252" s="63"/>
      <c r="IL252" s="63"/>
      <c r="IM252" s="63"/>
      <c r="IN252" s="63"/>
      <c r="IO252" s="67">
        <f t="shared" si="1618"/>
        <v>0</v>
      </c>
      <c r="IP252" s="63"/>
      <c r="IQ252" s="63"/>
      <c r="IR252" s="63"/>
      <c r="IS252" s="63"/>
      <c r="IT252" s="67">
        <f t="shared" si="1619"/>
        <v>0</v>
      </c>
      <c r="IU252" s="63"/>
      <c r="IV252" s="63"/>
    </row>
    <row r="253" spans="1:256" s="150" customFormat="1" ht="14.1" customHeight="1" x14ac:dyDescent="0.25">
      <c r="A253" s="152" t="s">
        <v>366</v>
      </c>
      <c r="B253" s="62"/>
      <c r="C253" s="63"/>
      <c r="D253" s="63"/>
      <c r="E253" s="63"/>
      <c r="F253" s="63"/>
      <c r="G253" s="63"/>
      <c r="H253" s="63"/>
      <c r="I253" s="63"/>
      <c r="J253" s="63"/>
      <c r="K253" s="63"/>
      <c r="L253" s="64"/>
      <c r="M253" s="62"/>
      <c r="N253" s="63"/>
      <c r="O253" s="63"/>
      <c r="P253" s="63"/>
      <c r="Q253" s="63"/>
      <c r="R253" s="63"/>
      <c r="S253" s="63"/>
      <c r="T253" s="63"/>
      <c r="U253" s="63"/>
      <c r="V253" s="63"/>
      <c r="W253" s="64"/>
      <c r="X253" s="62"/>
      <c r="Y253" s="63"/>
      <c r="Z253" s="63"/>
      <c r="AA253" s="63"/>
      <c r="AB253" s="63"/>
      <c r="AC253" s="63"/>
      <c r="AD253" s="63"/>
      <c r="AE253" s="63"/>
      <c r="AF253" s="63"/>
      <c r="AG253" s="63"/>
      <c r="AH253" s="64"/>
      <c r="AI253" s="62"/>
      <c r="AJ253" s="63"/>
      <c r="AK253" s="63"/>
      <c r="AL253" s="63"/>
      <c r="AM253" s="63"/>
      <c r="AN253" s="63"/>
      <c r="AO253" s="63"/>
      <c r="AP253" s="63"/>
      <c r="AQ253" s="63"/>
      <c r="AR253" s="63"/>
      <c r="AS253" s="64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4"/>
      <c r="BE253" s="62"/>
      <c r="BF253" s="63"/>
      <c r="BG253" s="63"/>
      <c r="BH253" s="63"/>
      <c r="BI253" s="63"/>
      <c r="BJ253" s="63"/>
      <c r="BK253" s="63"/>
      <c r="BL253" s="63"/>
      <c r="BM253" s="63"/>
      <c r="BN253" s="63"/>
      <c r="BO253" s="64"/>
      <c r="BP253" s="62"/>
      <c r="BQ253" s="63"/>
      <c r="BR253" s="63"/>
      <c r="BS253" s="63"/>
      <c r="BT253" s="63"/>
      <c r="BU253" s="63"/>
      <c r="BV253" s="63"/>
      <c r="BW253" s="63"/>
      <c r="BX253" s="63"/>
      <c r="BY253" s="63"/>
      <c r="BZ253" s="64"/>
      <c r="CA253" s="62"/>
      <c r="CB253" s="63"/>
      <c r="CC253" s="63"/>
      <c r="CD253" s="63"/>
      <c r="CE253" s="63"/>
      <c r="CF253" s="63"/>
      <c r="CG253" s="63"/>
      <c r="CH253" s="63"/>
      <c r="CI253" s="63"/>
      <c r="CJ253" s="63"/>
      <c r="CK253" s="64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4"/>
      <c r="CW253" s="62"/>
      <c r="CX253" s="63"/>
      <c r="CY253" s="63"/>
      <c r="CZ253" s="63"/>
      <c r="DA253" s="63"/>
      <c r="DB253" s="63"/>
      <c r="DC253" s="63"/>
      <c r="DD253" s="63"/>
      <c r="DE253" s="63"/>
      <c r="DF253" s="63"/>
      <c r="DG253" s="64"/>
      <c r="DH253" s="62"/>
      <c r="DI253" s="63"/>
      <c r="DJ253" s="63"/>
      <c r="DK253" s="63"/>
      <c r="DL253" s="63"/>
      <c r="DM253" s="63"/>
      <c r="DN253" s="63"/>
      <c r="DO253" s="63"/>
      <c r="DP253" s="63"/>
      <c r="DQ253" s="63"/>
      <c r="DR253" s="64"/>
      <c r="DS253" s="62"/>
      <c r="DT253" s="63"/>
      <c r="DU253" s="63"/>
      <c r="DV253" s="63"/>
      <c r="DW253" s="63"/>
      <c r="DX253" s="63"/>
      <c r="DY253" s="63"/>
      <c r="DZ253" s="63"/>
      <c r="EA253" s="63"/>
      <c r="EB253" s="63"/>
      <c r="EC253" s="63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4"/>
      <c r="EO253" s="62"/>
      <c r="EP253" s="63"/>
      <c r="EQ253" s="63"/>
      <c r="ER253" s="63"/>
      <c r="ES253" s="63"/>
      <c r="ET253" s="63"/>
      <c r="EU253" s="63"/>
      <c r="EV253" s="63"/>
      <c r="EW253" s="63"/>
      <c r="EX253" s="63"/>
      <c r="EY253" s="64"/>
      <c r="EZ253" s="62"/>
      <c r="FA253" s="63"/>
      <c r="FB253" s="63"/>
      <c r="FC253" s="63"/>
      <c r="FD253" s="63"/>
      <c r="FE253" s="63"/>
      <c r="FF253" s="63"/>
      <c r="FG253" s="63"/>
      <c r="FH253" s="63"/>
      <c r="FI253" s="63"/>
      <c r="FJ253" s="64"/>
      <c r="FK253" s="62"/>
      <c r="FL253" s="63"/>
      <c r="FM253" s="63"/>
      <c r="FN253" s="63"/>
      <c r="FO253" s="63"/>
      <c r="FP253" s="63"/>
      <c r="FQ253" s="63"/>
      <c r="FR253" s="63"/>
      <c r="FS253" s="63"/>
      <c r="FT253" s="63"/>
      <c r="FU253" s="64"/>
      <c r="FV253" s="65">
        <f t="shared" si="1603"/>
        <v>0</v>
      </c>
      <c r="FW253" s="65">
        <f t="shared" si="1603"/>
        <v>0</v>
      </c>
      <c r="FX253" s="65">
        <f t="shared" si="1603"/>
        <v>0</v>
      </c>
      <c r="FY253" s="65">
        <f t="shared" si="1603"/>
        <v>0</v>
      </c>
      <c r="FZ253" s="65">
        <f t="shared" si="1603"/>
        <v>0</v>
      </c>
      <c r="GA253" s="65">
        <f t="shared" si="1603"/>
        <v>0</v>
      </c>
      <c r="GB253" s="65">
        <f t="shared" si="1603"/>
        <v>0</v>
      </c>
      <c r="GC253" s="65">
        <f t="shared" si="1603"/>
        <v>0</v>
      </c>
      <c r="GD253" s="65">
        <f t="shared" si="1603"/>
        <v>0</v>
      </c>
      <c r="GE253" s="65">
        <f t="shared" si="1603"/>
        <v>0</v>
      </c>
      <c r="GF253" s="64">
        <f t="shared" si="1604"/>
        <v>0</v>
      </c>
      <c r="GG253" s="66">
        <f t="shared" si="1605"/>
        <v>0</v>
      </c>
      <c r="GH253" s="66">
        <f t="shared" si="1605"/>
        <v>0</v>
      </c>
      <c r="GI253" s="66">
        <f t="shared" si="1605"/>
        <v>0</v>
      </c>
      <c r="GJ253" s="66">
        <f t="shared" si="1605"/>
        <v>0</v>
      </c>
      <c r="GK253" s="66">
        <f t="shared" si="1605"/>
        <v>0</v>
      </c>
      <c r="GL253" s="66">
        <f t="shared" si="1605"/>
        <v>0</v>
      </c>
      <c r="GM253" s="66">
        <f t="shared" si="1605"/>
        <v>0</v>
      </c>
      <c r="GN253" s="66">
        <f t="shared" si="1605"/>
        <v>0</v>
      </c>
      <c r="GO253" s="66">
        <f t="shared" si="1605"/>
        <v>0</v>
      </c>
      <c r="GP253" s="66">
        <f t="shared" si="1605"/>
        <v>0</v>
      </c>
      <c r="GQ253" s="64">
        <f t="shared" si="1606"/>
        <v>0</v>
      </c>
      <c r="GR253" s="63"/>
      <c r="GS253" s="63"/>
      <c r="GT253" s="63"/>
      <c r="GU253" s="63"/>
      <c r="GV253" s="67">
        <f t="shared" si="1607"/>
        <v>0</v>
      </c>
      <c r="GW253" s="63"/>
      <c r="GX253" s="63"/>
      <c r="GY253" s="63"/>
      <c r="GZ253" s="63"/>
      <c r="HA253" s="67">
        <f t="shared" si="1608"/>
        <v>0</v>
      </c>
      <c r="HB253" s="63"/>
      <c r="HC253" s="63"/>
      <c r="HD253" s="63"/>
      <c r="HE253" s="63"/>
      <c r="HF253" s="67">
        <f t="shared" si="1609"/>
        <v>0</v>
      </c>
      <c r="HG253" s="63"/>
      <c r="HH253" s="63"/>
      <c r="HI253" s="63"/>
      <c r="HJ253" s="63"/>
      <c r="HK253" s="67">
        <f t="shared" si="1610"/>
        <v>0</v>
      </c>
      <c r="HL253" s="68">
        <f t="shared" si="1611"/>
        <v>0</v>
      </c>
      <c r="HM253" s="68">
        <f t="shared" si="1611"/>
        <v>0</v>
      </c>
      <c r="HN253" s="68">
        <f t="shared" si="1611"/>
        <v>0</v>
      </c>
      <c r="HO253" s="68">
        <f t="shared" si="1611"/>
        <v>0</v>
      </c>
      <c r="HP253" s="67">
        <f t="shared" si="1612"/>
        <v>0</v>
      </c>
      <c r="HQ253" s="63"/>
      <c r="HR253" s="63"/>
      <c r="HS253" s="63"/>
      <c r="HT253" s="63"/>
      <c r="HU253" s="67">
        <f t="shared" si="1613"/>
        <v>0</v>
      </c>
      <c r="HV253" s="63"/>
      <c r="HW253" s="63"/>
      <c r="HX253" s="63"/>
      <c r="HY253" s="63"/>
      <c r="HZ253" s="67">
        <f t="shared" si="1614"/>
        <v>0</v>
      </c>
      <c r="IA253" s="63"/>
      <c r="IB253" s="63"/>
      <c r="IC253" s="63"/>
      <c r="ID253" s="63"/>
      <c r="IE253" s="67">
        <f t="shared" si="1615"/>
        <v>0</v>
      </c>
      <c r="IF253" s="68">
        <f t="shared" si="1616"/>
        <v>0</v>
      </c>
      <c r="IG253" s="68">
        <f t="shared" si="1616"/>
        <v>0</v>
      </c>
      <c r="IH253" s="68">
        <f t="shared" si="1616"/>
        <v>0</v>
      </c>
      <c r="II253" s="68">
        <f t="shared" si="1616"/>
        <v>0</v>
      </c>
      <c r="IJ253" s="67">
        <f t="shared" si="1617"/>
        <v>0</v>
      </c>
      <c r="IK253" s="63"/>
      <c r="IL253" s="63"/>
      <c r="IM253" s="63"/>
      <c r="IN253" s="63"/>
      <c r="IO253" s="67">
        <f t="shared" si="1618"/>
        <v>0</v>
      </c>
      <c r="IP253" s="63"/>
      <c r="IQ253" s="63"/>
      <c r="IR253" s="63"/>
      <c r="IS253" s="63"/>
      <c r="IT253" s="67">
        <f t="shared" si="1619"/>
        <v>0</v>
      </c>
      <c r="IU253" s="63"/>
      <c r="IV253" s="63"/>
    </row>
    <row r="254" spans="1:256" s="150" customFormat="1" ht="14.1" customHeight="1" x14ac:dyDescent="0.25">
      <c r="A254" s="152" t="s">
        <v>367</v>
      </c>
      <c r="B254" s="62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2"/>
      <c r="N254" s="63"/>
      <c r="O254" s="63"/>
      <c r="P254" s="63"/>
      <c r="Q254" s="63"/>
      <c r="R254" s="63"/>
      <c r="S254" s="63"/>
      <c r="T254" s="63"/>
      <c r="U254" s="63"/>
      <c r="V254" s="63"/>
      <c r="W254" s="64"/>
      <c r="X254" s="62"/>
      <c r="Y254" s="63"/>
      <c r="Z254" s="63"/>
      <c r="AA254" s="63"/>
      <c r="AB254" s="63"/>
      <c r="AC254" s="63"/>
      <c r="AD254" s="63"/>
      <c r="AE254" s="63"/>
      <c r="AF254" s="63"/>
      <c r="AG254" s="63"/>
      <c r="AH254" s="64"/>
      <c r="AI254" s="62"/>
      <c r="AJ254" s="63"/>
      <c r="AK254" s="63"/>
      <c r="AL254" s="63"/>
      <c r="AM254" s="63"/>
      <c r="AN254" s="63"/>
      <c r="AO254" s="63"/>
      <c r="AP254" s="63"/>
      <c r="AQ254" s="63"/>
      <c r="AR254" s="63"/>
      <c r="AS254" s="64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4"/>
      <c r="BE254" s="62"/>
      <c r="BF254" s="63"/>
      <c r="BG254" s="63"/>
      <c r="BH254" s="63"/>
      <c r="BI254" s="63"/>
      <c r="BJ254" s="63"/>
      <c r="BK254" s="63"/>
      <c r="BL254" s="63"/>
      <c r="BM254" s="63"/>
      <c r="BN254" s="63"/>
      <c r="BO254" s="64"/>
      <c r="BP254" s="62"/>
      <c r="BQ254" s="63"/>
      <c r="BR254" s="63"/>
      <c r="BS254" s="63"/>
      <c r="BT254" s="63"/>
      <c r="BU254" s="63"/>
      <c r="BV254" s="63"/>
      <c r="BW254" s="63"/>
      <c r="BX254" s="63"/>
      <c r="BY254" s="63"/>
      <c r="BZ254" s="64"/>
      <c r="CA254" s="62"/>
      <c r="CB254" s="63"/>
      <c r="CC254" s="63"/>
      <c r="CD254" s="63"/>
      <c r="CE254" s="63"/>
      <c r="CF254" s="63"/>
      <c r="CG254" s="63"/>
      <c r="CH254" s="63"/>
      <c r="CI254" s="63"/>
      <c r="CJ254" s="63"/>
      <c r="CK254" s="64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4"/>
      <c r="CW254" s="62"/>
      <c r="CX254" s="63"/>
      <c r="CY254" s="63"/>
      <c r="CZ254" s="63"/>
      <c r="DA254" s="63"/>
      <c r="DB254" s="63"/>
      <c r="DC254" s="63"/>
      <c r="DD254" s="63"/>
      <c r="DE254" s="63"/>
      <c r="DF254" s="63"/>
      <c r="DG254" s="64"/>
      <c r="DH254" s="62"/>
      <c r="DI254" s="63"/>
      <c r="DJ254" s="63"/>
      <c r="DK254" s="63"/>
      <c r="DL254" s="63"/>
      <c r="DM254" s="63"/>
      <c r="DN254" s="63"/>
      <c r="DO254" s="63"/>
      <c r="DP254" s="63"/>
      <c r="DQ254" s="63"/>
      <c r="DR254" s="64"/>
      <c r="DS254" s="62"/>
      <c r="DT254" s="63"/>
      <c r="DU254" s="63"/>
      <c r="DV254" s="63"/>
      <c r="DW254" s="63"/>
      <c r="DX254" s="63"/>
      <c r="DY254" s="63"/>
      <c r="DZ254" s="63"/>
      <c r="EA254" s="63"/>
      <c r="EB254" s="63"/>
      <c r="EC254" s="63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4"/>
      <c r="EO254" s="62"/>
      <c r="EP254" s="63"/>
      <c r="EQ254" s="63"/>
      <c r="ER254" s="63"/>
      <c r="ES254" s="63"/>
      <c r="ET254" s="63"/>
      <c r="EU254" s="63"/>
      <c r="EV254" s="63"/>
      <c r="EW254" s="63"/>
      <c r="EX254" s="63"/>
      <c r="EY254" s="64"/>
      <c r="EZ254" s="62"/>
      <c r="FA254" s="63"/>
      <c r="FB254" s="63"/>
      <c r="FC254" s="63"/>
      <c r="FD254" s="63"/>
      <c r="FE254" s="63"/>
      <c r="FF254" s="63"/>
      <c r="FG254" s="63"/>
      <c r="FH254" s="63"/>
      <c r="FI254" s="63"/>
      <c r="FJ254" s="64"/>
      <c r="FK254" s="62"/>
      <c r="FL254" s="63"/>
      <c r="FM254" s="63"/>
      <c r="FN254" s="63"/>
      <c r="FO254" s="63"/>
      <c r="FP254" s="63"/>
      <c r="FQ254" s="63"/>
      <c r="FR254" s="63"/>
      <c r="FS254" s="63"/>
      <c r="FT254" s="63"/>
      <c r="FU254" s="64"/>
      <c r="FV254" s="65">
        <f t="shared" si="1603"/>
        <v>0</v>
      </c>
      <c r="FW254" s="65">
        <f t="shared" si="1603"/>
        <v>0</v>
      </c>
      <c r="FX254" s="65">
        <f t="shared" si="1603"/>
        <v>0</v>
      </c>
      <c r="FY254" s="65">
        <f t="shared" si="1603"/>
        <v>0</v>
      </c>
      <c r="FZ254" s="65">
        <f t="shared" si="1603"/>
        <v>0</v>
      </c>
      <c r="GA254" s="65">
        <f t="shared" si="1603"/>
        <v>0</v>
      </c>
      <c r="GB254" s="65">
        <f t="shared" si="1603"/>
        <v>0</v>
      </c>
      <c r="GC254" s="65">
        <f t="shared" si="1603"/>
        <v>0</v>
      </c>
      <c r="GD254" s="65">
        <f t="shared" si="1603"/>
        <v>0</v>
      </c>
      <c r="GE254" s="65">
        <f t="shared" si="1603"/>
        <v>0</v>
      </c>
      <c r="GF254" s="64">
        <f t="shared" si="1604"/>
        <v>0</v>
      </c>
      <c r="GG254" s="66">
        <f t="shared" si="1605"/>
        <v>0</v>
      </c>
      <c r="GH254" s="66">
        <f t="shared" si="1605"/>
        <v>0</v>
      </c>
      <c r="GI254" s="66">
        <f t="shared" si="1605"/>
        <v>0</v>
      </c>
      <c r="GJ254" s="66">
        <f t="shared" si="1605"/>
        <v>0</v>
      </c>
      <c r="GK254" s="66">
        <f t="shared" si="1605"/>
        <v>0</v>
      </c>
      <c r="GL254" s="66">
        <f t="shared" si="1605"/>
        <v>0</v>
      </c>
      <c r="GM254" s="66">
        <f t="shared" si="1605"/>
        <v>0</v>
      </c>
      <c r="GN254" s="66">
        <f t="shared" si="1605"/>
        <v>0</v>
      </c>
      <c r="GO254" s="66">
        <f t="shared" si="1605"/>
        <v>0</v>
      </c>
      <c r="GP254" s="66">
        <f t="shared" si="1605"/>
        <v>0</v>
      </c>
      <c r="GQ254" s="64">
        <f t="shared" si="1606"/>
        <v>0</v>
      </c>
      <c r="GR254" s="63"/>
      <c r="GS254" s="63"/>
      <c r="GT254" s="63"/>
      <c r="GU254" s="63"/>
      <c r="GV254" s="67">
        <f t="shared" si="1607"/>
        <v>0</v>
      </c>
      <c r="GW254" s="63"/>
      <c r="GX254" s="63"/>
      <c r="GY254" s="63"/>
      <c r="GZ254" s="63"/>
      <c r="HA254" s="67">
        <f t="shared" si="1608"/>
        <v>0</v>
      </c>
      <c r="HB254" s="63"/>
      <c r="HC254" s="63"/>
      <c r="HD254" s="63"/>
      <c r="HE254" s="63"/>
      <c r="HF254" s="67">
        <f t="shared" si="1609"/>
        <v>0</v>
      </c>
      <c r="HG254" s="63"/>
      <c r="HH254" s="63"/>
      <c r="HI254" s="63"/>
      <c r="HJ254" s="63"/>
      <c r="HK254" s="67">
        <f t="shared" si="1610"/>
        <v>0</v>
      </c>
      <c r="HL254" s="68">
        <f t="shared" si="1611"/>
        <v>0</v>
      </c>
      <c r="HM254" s="68">
        <f t="shared" si="1611"/>
        <v>0</v>
      </c>
      <c r="HN254" s="68">
        <f t="shared" si="1611"/>
        <v>0</v>
      </c>
      <c r="HO254" s="68">
        <f t="shared" si="1611"/>
        <v>0</v>
      </c>
      <c r="HP254" s="67">
        <f t="shared" si="1612"/>
        <v>0</v>
      </c>
      <c r="HQ254" s="63"/>
      <c r="HR254" s="63"/>
      <c r="HS254" s="63"/>
      <c r="HT254" s="63"/>
      <c r="HU254" s="67">
        <f t="shared" si="1613"/>
        <v>0</v>
      </c>
      <c r="HV254" s="63"/>
      <c r="HW254" s="63"/>
      <c r="HX254" s="63"/>
      <c r="HY254" s="63"/>
      <c r="HZ254" s="67">
        <f t="shared" si="1614"/>
        <v>0</v>
      </c>
      <c r="IA254" s="63"/>
      <c r="IB254" s="63"/>
      <c r="IC254" s="63"/>
      <c r="ID254" s="63"/>
      <c r="IE254" s="67">
        <f t="shared" si="1615"/>
        <v>0</v>
      </c>
      <c r="IF254" s="68">
        <f t="shared" si="1616"/>
        <v>0</v>
      </c>
      <c r="IG254" s="68">
        <f t="shared" si="1616"/>
        <v>0</v>
      </c>
      <c r="IH254" s="68">
        <f t="shared" si="1616"/>
        <v>0</v>
      </c>
      <c r="II254" s="68">
        <f t="shared" si="1616"/>
        <v>0</v>
      </c>
      <c r="IJ254" s="67">
        <f t="shared" si="1617"/>
        <v>0</v>
      </c>
      <c r="IK254" s="63"/>
      <c r="IL254" s="63"/>
      <c r="IM254" s="63"/>
      <c r="IN254" s="63"/>
      <c r="IO254" s="67">
        <f t="shared" si="1618"/>
        <v>0</v>
      </c>
      <c r="IP254" s="63"/>
      <c r="IQ254" s="63"/>
      <c r="IR254" s="63"/>
      <c r="IS254" s="63"/>
      <c r="IT254" s="67">
        <f t="shared" si="1619"/>
        <v>0</v>
      </c>
      <c r="IU254" s="63"/>
      <c r="IV254" s="63"/>
    </row>
    <row r="255" spans="1:256" s="150" customFormat="1" ht="14.1" customHeight="1" x14ac:dyDescent="0.25">
      <c r="A255" s="152" t="s">
        <v>368</v>
      </c>
      <c r="B255" s="62"/>
      <c r="C255" s="63"/>
      <c r="D255" s="63"/>
      <c r="E255" s="63"/>
      <c r="F255" s="63"/>
      <c r="G255" s="63"/>
      <c r="H255" s="63"/>
      <c r="I255" s="63"/>
      <c r="J255" s="63"/>
      <c r="K255" s="63"/>
      <c r="L255" s="64"/>
      <c r="M255" s="62"/>
      <c r="N255" s="63"/>
      <c r="O255" s="63"/>
      <c r="P255" s="63"/>
      <c r="Q255" s="63"/>
      <c r="R255" s="63"/>
      <c r="S255" s="63"/>
      <c r="T255" s="63"/>
      <c r="U255" s="63"/>
      <c r="V255" s="63"/>
      <c r="W255" s="64"/>
      <c r="X255" s="62"/>
      <c r="Y255" s="63"/>
      <c r="Z255" s="63"/>
      <c r="AA255" s="63"/>
      <c r="AB255" s="63"/>
      <c r="AC255" s="63"/>
      <c r="AD255" s="63"/>
      <c r="AE255" s="63"/>
      <c r="AF255" s="63"/>
      <c r="AG255" s="63"/>
      <c r="AH255" s="64"/>
      <c r="AI255" s="62"/>
      <c r="AJ255" s="63"/>
      <c r="AK255" s="63"/>
      <c r="AL255" s="63"/>
      <c r="AM255" s="63"/>
      <c r="AN255" s="63"/>
      <c r="AO255" s="63"/>
      <c r="AP255" s="63"/>
      <c r="AQ255" s="63"/>
      <c r="AR255" s="63"/>
      <c r="AS255" s="64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4"/>
      <c r="BE255" s="62"/>
      <c r="BF255" s="63"/>
      <c r="BG255" s="63"/>
      <c r="BH255" s="63"/>
      <c r="BI255" s="63"/>
      <c r="BJ255" s="63"/>
      <c r="BK255" s="63"/>
      <c r="BL255" s="63"/>
      <c r="BM255" s="63"/>
      <c r="BN255" s="63"/>
      <c r="BO255" s="64"/>
      <c r="BP255" s="62"/>
      <c r="BQ255" s="63"/>
      <c r="BR255" s="63"/>
      <c r="BS255" s="63"/>
      <c r="BT255" s="63"/>
      <c r="BU255" s="63"/>
      <c r="BV255" s="63"/>
      <c r="BW255" s="63"/>
      <c r="BX255" s="63"/>
      <c r="BY255" s="63"/>
      <c r="BZ255" s="64"/>
      <c r="CA255" s="62"/>
      <c r="CB255" s="63"/>
      <c r="CC255" s="63"/>
      <c r="CD255" s="63"/>
      <c r="CE255" s="63"/>
      <c r="CF255" s="63"/>
      <c r="CG255" s="63"/>
      <c r="CH255" s="63"/>
      <c r="CI255" s="63"/>
      <c r="CJ255" s="63"/>
      <c r="CK255" s="64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4"/>
      <c r="CW255" s="62"/>
      <c r="CX255" s="63"/>
      <c r="CY255" s="63"/>
      <c r="CZ255" s="63"/>
      <c r="DA255" s="63"/>
      <c r="DB255" s="63"/>
      <c r="DC255" s="63"/>
      <c r="DD255" s="63"/>
      <c r="DE255" s="63"/>
      <c r="DF255" s="63"/>
      <c r="DG255" s="64"/>
      <c r="DH255" s="62"/>
      <c r="DI255" s="63"/>
      <c r="DJ255" s="63"/>
      <c r="DK255" s="63"/>
      <c r="DL255" s="63"/>
      <c r="DM255" s="63"/>
      <c r="DN255" s="63"/>
      <c r="DO255" s="63"/>
      <c r="DP255" s="63"/>
      <c r="DQ255" s="63"/>
      <c r="DR255" s="64"/>
      <c r="DS255" s="62"/>
      <c r="DT255" s="63"/>
      <c r="DU255" s="63"/>
      <c r="DV255" s="63"/>
      <c r="DW255" s="63"/>
      <c r="DX255" s="63"/>
      <c r="DY255" s="63"/>
      <c r="DZ255" s="63"/>
      <c r="EA255" s="63"/>
      <c r="EB255" s="63"/>
      <c r="EC255" s="63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4"/>
      <c r="EO255" s="62"/>
      <c r="EP255" s="63"/>
      <c r="EQ255" s="63"/>
      <c r="ER255" s="63"/>
      <c r="ES255" s="63"/>
      <c r="ET255" s="63"/>
      <c r="EU255" s="63"/>
      <c r="EV255" s="63"/>
      <c r="EW255" s="63"/>
      <c r="EX255" s="63"/>
      <c r="EY255" s="64"/>
      <c r="EZ255" s="62"/>
      <c r="FA255" s="63"/>
      <c r="FB255" s="63"/>
      <c r="FC255" s="63"/>
      <c r="FD255" s="63"/>
      <c r="FE255" s="63"/>
      <c r="FF255" s="63"/>
      <c r="FG255" s="63"/>
      <c r="FH255" s="63"/>
      <c r="FI255" s="63"/>
      <c r="FJ255" s="64"/>
      <c r="FK255" s="62"/>
      <c r="FL255" s="63"/>
      <c r="FM255" s="63"/>
      <c r="FN255" s="63"/>
      <c r="FO255" s="63"/>
      <c r="FP255" s="63"/>
      <c r="FQ255" s="63"/>
      <c r="FR255" s="63"/>
      <c r="FS255" s="63"/>
      <c r="FT255" s="63"/>
      <c r="FU255" s="64"/>
      <c r="FV255" s="65">
        <f t="shared" si="1603"/>
        <v>0</v>
      </c>
      <c r="FW255" s="65">
        <f t="shared" si="1603"/>
        <v>0</v>
      </c>
      <c r="FX255" s="65">
        <f t="shared" si="1603"/>
        <v>0</v>
      </c>
      <c r="FY255" s="65">
        <f t="shared" si="1603"/>
        <v>0</v>
      </c>
      <c r="FZ255" s="65">
        <f t="shared" si="1603"/>
        <v>0</v>
      </c>
      <c r="GA255" s="65">
        <f t="shared" si="1603"/>
        <v>0</v>
      </c>
      <c r="GB255" s="65">
        <f t="shared" si="1603"/>
        <v>0</v>
      </c>
      <c r="GC255" s="65">
        <f t="shared" si="1603"/>
        <v>0</v>
      </c>
      <c r="GD255" s="65">
        <f t="shared" si="1603"/>
        <v>0</v>
      </c>
      <c r="GE255" s="65">
        <f t="shared" si="1603"/>
        <v>0</v>
      </c>
      <c r="GF255" s="64">
        <f t="shared" si="1604"/>
        <v>0</v>
      </c>
      <c r="GG255" s="66">
        <f t="shared" si="1605"/>
        <v>0</v>
      </c>
      <c r="GH255" s="66">
        <f t="shared" si="1605"/>
        <v>0</v>
      </c>
      <c r="GI255" s="66">
        <f t="shared" si="1605"/>
        <v>0</v>
      </c>
      <c r="GJ255" s="66">
        <f t="shared" si="1605"/>
        <v>0</v>
      </c>
      <c r="GK255" s="66">
        <f t="shared" si="1605"/>
        <v>0</v>
      </c>
      <c r="GL255" s="66">
        <f t="shared" si="1605"/>
        <v>0</v>
      </c>
      <c r="GM255" s="66">
        <f t="shared" si="1605"/>
        <v>0</v>
      </c>
      <c r="GN255" s="66">
        <f t="shared" si="1605"/>
        <v>0</v>
      </c>
      <c r="GO255" s="66">
        <f t="shared" si="1605"/>
        <v>0</v>
      </c>
      <c r="GP255" s="66">
        <f t="shared" si="1605"/>
        <v>0</v>
      </c>
      <c r="GQ255" s="64">
        <f t="shared" si="1606"/>
        <v>0</v>
      </c>
      <c r="GR255" s="63"/>
      <c r="GS255" s="63"/>
      <c r="GT255" s="63"/>
      <c r="GU255" s="63"/>
      <c r="GV255" s="67">
        <f t="shared" si="1607"/>
        <v>0</v>
      </c>
      <c r="GW255" s="63"/>
      <c r="GX255" s="63"/>
      <c r="GY255" s="63"/>
      <c r="GZ255" s="63"/>
      <c r="HA255" s="67">
        <f t="shared" si="1608"/>
        <v>0</v>
      </c>
      <c r="HB255" s="63"/>
      <c r="HC255" s="63"/>
      <c r="HD255" s="63"/>
      <c r="HE255" s="63"/>
      <c r="HF255" s="67">
        <f t="shared" si="1609"/>
        <v>0</v>
      </c>
      <c r="HG255" s="63"/>
      <c r="HH255" s="63"/>
      <c r="HI255" s="63"/>
      <c r="HJ255" s="63"/>
      <c r="HK255" s="67">
        <f t="shared" si="1610"/>
        <v>0</v>
      </c>
      <c r="HL255" s="68">
        <f t="shared" si="1611"/>
        <v>0</v>
      </c>
      <c r="HM255" s="68">
        <f t="shared" si="1611"/>
        <v>0</v>
      </c>
      <c r="HN255" s="68">
        <f t="shared" si="1611"/>
        <v>0</v>
      </c>
      <c r="HO255" s="68">
        <f t="shared" si="1611"/>
        <v>0</v>
      </c>
      <c r="HP255" s="67">
        <f t="shared" si="1612"/>
        <v>0</v>
      </c>
      <c r="HQ255" s="63"/>
      <c r="HR255" s="63"/>
      <c r="HS255" s="63"/>
      <c r="HT255" s="63"/>
      <c r="HU255" s="67">
        <f t="shared" si="1613"/>
        <v>0</v>
      </c>
      <c r="HV255" s="63"/>
      <c r="HW255" s="63"/>
      <c r="HX255" s="63"/>
      <c r="HY255" s="63"/>
      <c r="HZ255" s="67">
        <f t="shared" si="1614"/>
        <v>0</v>
      </c>
      <c r="IA255" s="63"/>
      <c r="IB255" s="63"/>
      <c r="IC255" s="63"/>
      <c r="ID255" s="63"/>
      <c r="IE255" s="67">
        <f t="shared" si="1615"/>
        <v>0</v>
      </c>
      <c r="IF255" s="68">
        <f t="shared" si="1616"/>
        <v>0</v>
      </c>
      <c r="IG255" s="68">
        <f t="shared" si="1616"/>
        <v>0</v>
      </c>
      <c r="IH255" s="68">
        <f t="shared" si="1616"/>
        <v>0</v>
      </c>
      <c r="II255" s="68">
        <f t="shared" si="1616"/>
        <v>0</v>
      </c>
      <c r="IJ255" s="67">
        <f t="shared" si="1617"/>
        <v>0</v>
      </c>
      <c r="IK255" s="63"/>
      <c r="IL255" s="63"/>
      <c r="IM255" s="63"/>
      <c r="IN255" s="63"/>
      <c r="IO255" s="67">
        <f t="shared" si="1618"/>
        <v>0</v>
      </c>
      <c r="IP255" s="63"/>
      <c r="IQ255" s="63"/>
      <c r="IR255" s="63"/>
      <c r="IS255" s="63"/>
      <c r="IT255" s="67">
        <f t="shared" si="1619"/>
        <v>0</v>
      </c>
      <c r="IU255" s="63"/>
      <c r="IV255" s="63"/>
    </row>
    <row r="256" spans="1:256" s="48" customFormat="1" x14ac:dyDescent="0.2">
      <c r="A256" s="109" t="s">
        <v>205</v>
      </c>
      <c r="B256" s="50"/>
      <c r="C256" s="164">
        <f t="shared" ref="C256:K256" si="1620">C257</f>
        <v>3124</v>
      </c>
      <c r="D256" s="164">
        <f t="shared" si="1620"/>
        <v>1012</v>
      </c>
      <c r="E256" s="164">
        <f t="shared" si="1620"/>
        <v>373</v>
      </c>
      <c r="F256" s="164">
        <f t="shared" si="1620"/>
        <v>241</v>
      </c>
      <c r="G256" s="164">
        <f t="shared" si="1620"/>
        <v>40</v>
      </c>
      <c r="H256" s="164">
        <f t="shared" si="1620"/>
        <v>241</v>
      </c>
      <c r="I256" s="164">
        <f t="shared" si="1620"/>
        <v>0</v>
      </c>
      <c r="J256" s="164">
        <f t="shared" si="1620"/>
        <v>852</v>
      </c>
      <c r="K256" s="164">
        <f t="shared" si="1620"/>
        <v>625</v>
      </c>
      <c r="L256" s="153">
        <f>L257</f>
        <v>6468</v>
      </c>
      <c r="M256" s="50"/>
      <c r="N256" s="164">
        <f t="shared" ref="N256:V256" si="1621">N257</f>
        <v>0</v>
      </c>
      <c r="O256" s="164">
        <f t="shared" si="1621"/>
        <v>0</v>
      </c>
      <c r="P256" s="164">
        <f t="shared" si="1621"/>
        <v>0</v>
      </c>
      <c r="Q256" s="164">
        <f t="shared" si="1621"/>
        <v>0</v>
      </c>
      <c r="R256" s="164">
        <f t="shared" si="1621"/>
        <v>0</v>
      </c>
      <c r="S256" s="164">
        <f t="shared" si="1621"/>
        <v>0</v>
      </c>
      <c r="T256" s="164">
        <f t="shared" si="1621"/>
        <v>0</v>
      </c>
      <c r="U256" s="164">
        <f t="shared" si="1621"/>
        <v>0</v>
      </c>
      <c r="V256" s="164">
        <f t="shared" si="1621"/>
        <v>0</v>
      </c>
      <c r="W256" s="153">
        <f>W257</f>
        <v>0</v>
      </c>
      <c r="X256" s="50"/>
      <c r="Y256" s="164">
        <f t="shared" ref="Y256:AG256" si="1622">Y257</f>
        <v>0</v>
      </c>
      <c r="Z256" s="164">
        <f t="shared" si="1622"/>
        <v>0</v>
      </c>
      <c r="AA256" s="164">
        <f t="shared" si="1622"/>
        <v>0</v>
      </c>
      <c r="AB256" s="164">
        <f t="shared" si="1622"/>
        <v>0</v>
      </c>
      <c r="AC256" s="164">
        <f t="shared" si="1622"/>
        <v>0</v>
      </c>
      <c r="AD256" s="164">
        <f t="shared" si="1622"/>
        <v>0</v>
      </c>
      <c r="AE256" s="164">
        <f t="shared" si="1622"/>
        <v>0</v>
      </c>
      <c r="AF256" s="164">
        <f t="shared" si="1622"/>
        <v>0</v>
      </c>
      <c r="AG256" s="164">
        <f t="shared" si="1622"/>
        <v>0</v>
      </c>
      <c r="AH256" s="153">
        <f>AH257</f>
        <v>0</v>
      </c>
      <c r="AI256" s="50"/>
      <c r="AJ256" s="164">
        <f t="shared" ref="AJ256:AR256" si="1623">AJ257</f>
        <v>0</v>
      </c>
      <c r="AK256" s="164">
        <f t="shared" si="1623"/>
        <v>0</v>
      </c>
      <c r="AL256" s="164">
        <f t="shared" si="1623"/>
        <v>0</v>
      </c>
      <c r="AM256" s="164">
        <f t="shared" si="1623"/>
        <v>0</v>
      </c>
      <c r="AN256" s="164">
        <f t="shared" si="1623"/>
        <v>0</v>
      </c>
      <c r="AO256" s="164">
        <f t="shared" si="1623"/>
        <v>0</v>
      </c>
      <c r="AP256" s="164">
        <f t="shared" si="1623"/>
        <v>0</v>
      </c>
      <c r="AQ256" s="164">
        <f t="shared" si="1623"/>
        <v>0</v>
      </c>
      <c r="AR256" s="164">
        <f t="shared" si="1623"/>
        <v>0</v>
      </c>
      <c r="AS256" s="153">
        <f>AS257</f>
        <v>0</v>
      </c>
      <c r="AT256" s="50"/>
      <c r="AU256" s="153">
        <f>AU257</f>
        <v>0</v>
      </c>
      <c r="AV256" s="153">
        <f t="shared" ref="AV256:BC256" si="1624">AV257</f>
        <v>0</v>
      </c>
      <c r="AW256" s="153">
        <f t="shared" si="1624"/>
        <v>0</v>
      </c>
      <c r="AX256" s="153">
        <f t="shared" si="1624"/>
        <v>0</v>
      </c>
      <c r="AY256" s="153">
        <f t="shared" si="1624"/>
        <v>0</v>
      </c>
      <c r="AZ256" s="153">
        <f t="shared" si="1624"/>
        <v>0</v>
      </c>
      <c r="BA256" s="153">
        <f t="shared" si="1624"/>
        <v>0</v>
      </c>
      <c r="BB256" s="153">
        <f t="shared" si="1624"/>
        <v>0</v>
      </c>
      <c r="BC256" s="153">
        <f t="shared" si="1624"/>
        <v>0</v>
      </c>
      <c r="BD256" s="153">
        <f>BD257</f>
        <v>0</v>
      </c>
      <c r="BE256" s="50"/>
      <c r="BF256" s="164">
        <f t="shared" ref="BF256:BN256" si="1625">BF257</f>
        <v>0</v>
      </c>
      <c r="BG256" s="164">
        <f t="shared" si="1625"/>
        <v>0</v>
      </c>
      <c r="BH256" s="164">
        <f t="shared" si="1625"/>
        <v>0</v>
      </c>
      <c r="BI256" s="164">
        <f t="shared" si="1625"/>
        <v>0</v>
      </c>
      <c r="BJ256" s="164">
        <f t="shared" si="1625"/>
        <v>0</v>
      </c>
      <c r="BK256" s="164">
        <f t="shared" si="1625"/>
        <v>0</v>
      </c>
      <c r="BL256" s="164">
        <f t="shared" si="1625"/>
        <v>0</v>
      </c>
      <c r="BM256" s="164">
        <f t="shared" si="1625"/>
        <v>0</v>
      </c>
      <c r="BN256" s="164">
        <f t="shared" si="1625"/>
        <v>0</v>
      </c>
      <c r="BO256" s="153">
        <f>BO257</f>
        <v>0</v>
      </c>
      <c r="BP256" s="50"/>
      <c r="BQ256" s="164">
        <f t="shared" ref="BQ256:BY256" si="1626">BQ257</f>
        <v>0</v>
      </c>
      <c r="BR256" s="164">
        <f t="shared" si="1626"/>
        <v>0</v>
      </c>
      <c r="BS256" s="164">
        <f t="shared" si="1626"/>
        <v>0</v>
      </c>
      <c r="BT256" s="164">
        <f t="shared" si="1626"/>
        <v>0</v>
      </c>
      <c r="BU256" s="164">
        <f t="shared" si="1626"/>
        <v>0</v>
      </c>
      <c r="BV256" s="164">
        <f t="shared" si="1626"/>
        <v>0</v>
      </c>
      <c r="BW256" s="164">
        <f t="shared" si="1626"/>
        <v>0</v>
      </c>
      <c r="BX256" s="164">
        <f t="shared" si="1626"/>
        <v>0</v>
      </c>
      <c r="BY256" s="164">
        <f t="shared" si="1626"/>
        <v>0</v>
      </c>
      <c r="BZ256" s="153">
        <f>BZ257</f>
        <v>0</v>
      </c>
      <c r="CA256" s="50"/>
      <c r="CB256" s="164">
        <f t="shared" ref="CB256:CJ256" si="1627">CB257</f>
        <v>0</v>
      </c>
      <c r="CC256" s="164">
        <f t="shared" si="1627"/>
        <v>0</v>
      </c>
      <c r="CD256" s="164">
        <f t="shared" si="1627"/>
        <v>0</v>
      </c>
      <c r="CE256" s="164">
        <f t="shared" si="1627"/>
        <v>0</v>
      </c>
      <c r="CF256" s="164">
        <f t="shared" si="1627"/>
        <v>0</v>
      </c>
      <c r="CG256" s="164">
        <f t="shared" si="1627"/>
        <v>0</v>
      </c>
      <c r="CH256" s="164">
        <f t="shared" si="1627"/>
        <v>0</v>
      </c>
      <c r="CI256" s="164">
        <f t="shared" si="1627"/>
        <v>0</v>
      </c>
      <c r="CJ256" s="164">
        <f t="shared" si="1627"/>
        <v>0</v>
      </c>
      <c r="CK256" s="153">
        <f>CK257</f>
        <v>0</v>
      </c>
      <c r="CL256" s="50"/>
      <c r="CM256" s="153">
        <f>CM257</f>
        <v>0</v>
      </c>
      <c r="CN256" s="153">
        <f t="shared" ref="CN256:CU256" si="1628">CN257</f>
        <v>0</v>
      </c>
      <c r="CO256" s="153">
        <f t="shared" si="1628"/>
        <v>0</v>
      </c>
      <c r="CP256" s="153">
        <f t="shared" si="1628"/>
        <v>0</v>
      </c>
      <c r="CQ256" s="153">
        <f t="shared" si="1628"/>
        <v>0</v>
      </c>
      <c r="CR256" s="153">
        <f t="shared" si="1628"/>
        <v>0</v>
      </c>
      <c r="CS256" s="153">
        <f t="shared" si="1628"/>
        <v>0</v>
      </c>
      <c r="CT256" s="153">
        <f t="shared" si="1628"/>
        <v>0</v>
      </c>
      <c r="CU256" s="153">
        <f t="shared" si="1628"/>
        <v>0</v>
      </c>
      <c r="CV256" s="153">
        <f>CV257</f>
        <v>0</v>
      </c>
      <c r="CW256" s="50"/>
      <c r="CX256" s="164">
        <f t="shared" ref="CX256:DF256" si="1629">CX257</f>
        <v>0</v>
      </c>
      <c r="CY256" s="164">
        <f t="shared" si="1629"/>
        <v>0</v>
      </c>
      <c r="CZ256" s="164">
        <f t="shared" si="1629"/>
        <v>0</v>
      </c>
      <c r="DA256" s="164">
        <f t="shared" si="1629"/>
        <v>0</v>
      </c>
      <c r="DB256" s="164">
        <f t="shared" si="1629"/>
        <v>0</v>
      </c>
      <c r="DC256" s="164">
        <f t="shared" si="1629"/>
        <v>0</v>
      </c>
      <c r="DD256" s="164">
        <f t="shared" si="1629"/>
        <v>0</v>
      </c>
      <c r="DE256" s="164">
        <f t="shared" si="1629"/>
        <v>0</v>
      </c>
      <c r="DF256" s="164">
        <f t="shared" si="1629"/>
        <v>0</v>
      </c>
      <c r="DG256" s="153">
        <f>DG257</f>
        <v>0</v>
      </c>
      <c r="DH256" s="50"/>
      <c r="DI256" s="164">
        <f t="shared" ref="DI256:DQ256" si="1630">DI257</f>
        <v>0</v>
      </c>
      <c r="DJ256" s="164">
        <f t="shared" si="1630"/>
        <v>0</v>
      </c>
      <c r="DK256" s="164">
        <f t="shared" si="1630"/>
        <v>0</v>
      </c>
      <c r="DL256" s="164">
        <f t="shared" si="1630"/>
        <v>0</v>
      </c>
      <c r="DM256" s="164">
        <f t="shared" si="1630"/>
        <v>0</v>
      </c>
      <c r="DN256" s="164">
        <f t="shared" si="1630"/>
        <v>0</v>
      </c>
      <c r="DO256" s="164">
        <f t="shared" si="1630"/>
        <v>0</v>
      </c>
      <c r="DP256" s="164">
        <f t="shared" si="1630"/>
        <v>0</v>
      </c>
      <c r="DQ256" s="164">
        <f t="shared" si="1630"/>
        <v>0</v>
      </c>
      <c r="DR256" s="153">
        <f>DR257</f>
        <v>0</v>
      </c>
      <c r="DS256" s="50"/>
      <c r="DT256" s="164">
        <f t="shared" ref="DT256:EB256" si="1631">DT257</f>
        <v>0</v>
      </c>
      <c r="DU256" s="164">
        <f t="shared" si="1631"/>
        <v>0</v>
      </c>
      <c r="DV256" s="164">
        <f t="shared" si="1631"/>
        <v>0</v>
      </c>
      <c r="DW256" s="164">
        <f t="shared" si="1631"/>
        <v>0</v>
      </c>
      <c r="DX256" s="164">
        <f t="shared" si="1631"/>
        <v>0</v>
      </c>
      <c r="DY256" s="164">
        <f t="shared" si="1631"/>
        <v>0</v>
      </c>
      <c r="DZ256" s="164">
        <f t="shared" si="1631"/>
        <v>0</v>
      </c>
      <c r="EA256" s="164">
        <f t="shared" si="1631"/>
        <v>0</v>
      </c>
      <c r="EB256" s="164">
        <f t="shared" si="1631"/>
        <v>0</v>
      </c>
      <c r="EC256" s="164">
        <f>EC257</f>
        <v>0</v>
      </c>
      <c r="ED256" s="50"/>
      <c r="EE256" s="153">
        <f>EE257</f>
        <v>0</v>
      </c>
      <c r="EF256" s="153">
        <f t="shared" ref="EF256:EM256" si="1632">EF257</f>
        <v>0</v>
      </c>
      <c r="EG256" s="153">
        <f t="shared" si="1632"/>
        <v>0</v>
      </c>
      <c r="EH256" s="153">
        <f t="shared" si="1632"/>
        <v>0</v>
      </c>
      <c r="EI256" s="153">
        <f t="shared" si="1632"/>
        <v>0</v>
      </c>
      <c r="EJ256" s="153">
        <f t="shared" si="1632"/>
        <v>0</v>
      </c>
      <c r="EK256" s="153">
        <f t="shared" si="1632"/>
        <v>0</v>
      </c>
      <c r="EL256" s="153">
        <f t="shared" si="1632"/>
        <v>0</v>
      </c>
      <c r="EM256" s="153">
        <f t="shared" si="1632"/>
        <v>0</v>
      </c>
      <c r="EN256" s="153">
        <f>EN257</f>
        <v>0</v>
      </c>
      <c r="EO256" s="50"/>
      <c r="EP256" s="164">
        <f t="shared" ref="EP256:EX256" si="1633">EP257</f>
        <v>0</v>
      </c>
      <c r="EQ256" s="164">
        <f t="shared" si="1633"/>
        <v>0</v>
      </c>
      <c r="ER256" s="164">
        <f t="shared" si="1633"/>
        <v>0</v>
      </c>
      <c r="ES256" s="164">
        <f t="shared" si="1633"/>
        <v>0</v>
      </c>
      <c r="ET256" s="164">
        <f t="shared" si="1633"/>
        <v>0</v>
      </c>
      <c r="EU256" s="164">
        <f t="shared" si="1633"/>
        <v>0</v>
      </c>
      <c r="EV256" s="164">
        <f t="shared" si="1633"/>
        <v>0</v>
      </c>
      <c r="EW256" s="164">
        <f t="shared" si="1633"/>
        <v>0</v>
      </c>
      <c r="EX256" s="164">
        <f t="shared" si="1633"/>
        <v>0</v>
      </c>
      <c r="EY256" s="153">
        <f>EY257</f>
        <v>0</v>
      </c>
      <c r="EZ256" s="50"/>
      <c r="FA256" s="164">
        <f t="shared" ref="FA256:FI256" si="1634">FA257</f>
        <v>0</v>
      </c>
      <c r="FB256" s="164">
        <f t="shared" si="1634"/>
        <v>0</v>
      </c>
      <c r="FC256" s="164">
        <f t="shared" si="1634"/>
        <v>0</v>
      </c>
      <c r="FD256" s="164">
        <f t="shared" si="1634"/>
        <v>0</v>
      </c>
      <c r="FE256" s="164">
        <f t="shared" si="1634"/>
        <v>0</v>
      </c>
      <c r="FF256" s="164">
        <f t="shared" si="1634"/>
        <v>0</v>
      </c>
      <c r="FG256" s="164">
        <f t="shared" si="1634"/>
        <v>0</v>
      </c>
      <c r="FH256" s="164">
        <f t="shared" si="1634"/>
        <v>0</v>
      </c>
      <c r="FI256" s="164">
        <f t="shared" si="1634"/>
        <v>0</v>
      </c>
      <c r="FJ256" s="153">
        <f>FJ257</f>
        <v>0</v>
      </c>
      <c r="FK256" s="50"/>
      <c r="FL256" s="164">
        <f t="shared" ref="FL256:FT256" si="1635">FL257</f>
        <v>0</v>
      </c>
      <c r="FM256" s="164">
        <f t="shared" si="1635"/>
        <v>0</v>
      </c>
      <c r="FN256" s="164">
        <f t="shared" si="1635"/>
        <v>0</v>
      </c>
      <c r="FO256" s="164">
        <f t="shared" si="1635"/>
        <v>0</v>
      </c>
      <c r="FP256" s="164">
        <f t="shared" si="1635"/>
        <v>0</v>
      </c>
      <c r="FQ256" s="164">
        <f t="shared" si="1635"/>
        <v>0</v>
      </c>
      <c r="FR256" s="164">
        <f t="shared" si="1635"/>
        <v>0</v>
      </c>
      <c r="FS256" s="164">
        <f t="shared" si="1635"/>
        <v>0</v>
      </c>
      <c r="FT256" s="164">
        <f t="shared" si="1635"/>
        <v>0</v>
      </c>
      <c r="FU256" s="153">
        <f>FU257</f>
        <v>0</v>
      </c>
      <c r="FV256" s="50"/>
      <c r="FW256" s="153">
        <f>FW257</f>
        <v>0</v>
      </c>
      <c r="FX256" s="153">
        <f t="shared" ref="FX256:GE256" si="1636">FX257</f>
        <v>0</v>
      </c>
      <c r="FY256" s="153">
        <f t="shared" si="1636"/>
        <v>0</v>
      </c>
      <c r="FZ256" s="153">
        <f t="shared" si="1636"/>
        <v>0</v>
      </c>
      <c r="GA256" s="153">
        <f t="shared" si="1636"/>
        <v>0</v>
      </c>
      <c r="GB256" s="153">
        <f t="shared" si="1636"/>
        <v>0</v>
      </c>
      <c r="GC256" s="153">
        <f t="shared" si="1636"/>
        <v>0</v>
      </c>
      <c r="GD256" s="153">
        <f t="shared" si="1636"/>
        <v>0</v>
      </c>
      <c r="GE256" s="153">
        <f t="shared" si="1636"/>
        <v>0</v>
      </c>
      <c r="GF256" s="153">
        <f>GF257</f>
        <v>0</v>
      </c>
      <c r="GG256" s="50"/>
      <c r="GH256" s="164">
        <f t="shared" ref="GH256:GP256" si="1637">GH257</f>
        <v>0</v>
      </c>
      <c r="GI256" s="164">
        <f t="shared" si="1637"/>
        <v>0</v>
      </c>
      <c r="GJ256" s="164">
        <f t="shared" si="1637"/>
        <v>0</v>
      </c>
      <c r="GK256" s="164">
        <f t="shared" si="1637"/>
        <v>0</v>
      </c>
      <c r="GL256" s="164">
        <f t="shared" si="1637"/>
        <v>0</v>
      </c>
      <c r="GM256" s="164">
        <f t="shared" si="1637"/>
        <v>0</v>
      </c>
      <c r="GN256" s="164">
        <f t="shared" si="1637"/>
        <v>0</v>
      </c>
      <c r="GO256" s="164">
        <f t="shared" si="1637"/>
        <v>0</v>
      </c>
      <c r="GP256" s="164">
        <f t="shared" si="1637"/>
        <v>0</v>
      </c>
      <c r="GQ256" s="153">
        <f t="shared" ref="GQ256:GV256" si="1638">GQ257</f>
        <v>0</v>
      </c>
      <c r="GR256" s="164">
        <f t="shared" si="1638"/>
        <v>0</v>
      </c>
      <c r="GS256" s="164">
        <f t="shared" si="1638"/>
        <v>0</v>
      </c>
      <c r="GT256" s="164">
        <f t="shared" si="1638"/>
        <v>0</v>
      </c>
      <c r="GU256" s="164">
        <f t="shared" si="1638"/>
        <v>0</v>
      </c>
      <c r="GV256" s="164">
        <f t="shared" si="1638"/>
        <v>0</v>
      </c>
      <c r="GW256" s="164">
        <f t="shared" ref="GW256:HJ256" si="1639">GW257</f>
        <v>0</v>
      </c>
      <c r="GX256" s="164">
        <f t="shared" si="1639"/>
        <v>0</v>
      </c>
      <c r="GY256" s="164">
        <f t="shared" si="1639"/>
        <v>0</v>
      </c>
      <c r="GZ256" s="164">
        <f t="shared" si="1639"/>
        <v>0</v>
      </c>
      <c r="HA256" s="164">
        <f>HA257</f>
        <v>0</v>
      </c>
      <c r="HB256" s="164">
        <f t="shared" si="1639"/>
        <v>0</v>
      </c>
      <c r="HC256" s="164">
        <f t="shared" si="1639"/>
        <v>0</v>
      </c>
      <c r="HD256" s="164">
        <f t="shared" si="1639"/>
        <v>0</v>
      </c>
      <c r="HE256" s="164">
        <f t="shared" si="1639"/>
        <v>0</v>
      </c>
      <c r="HF256" s="164">
        <f>HF257</f>
        <v>0</v>
      </c>
      <c r="HG256" s="164">
        <f t="shared" si="1639"/>
        <v>0</v>
      </c>
      <c r="HH256" s="164">
        <f t="shared" si="1639"/>
        <v>0</v>
      </c>
      <c r="HI256" s="164">
        <f t="shared" si="1639"/>
        <v>0</v>
      </c>
      <c r="HJ256" s="164">
        <f t="shared" si="1639"/>
        <v>0</v>
      </c>
      <c r="HK256" s="164">
        <f t="shared" ref="HK256:HP256" si="1640">HK257</f>
        <v>0</v>
      </c>
      <c r="HL256" s="164">
        <f t="shared" si="1640"/>
        <v>0</v>
      </c>
      <c r="HM256" s="164">
        <f t="shared" si="1640"/>
        <v>0</v>
      </c>
      <c r="HN256" s="164">
        <f t="shared" si="1640"/>
        <v>0</v>
      </c>
      <c r="HO256" s="164">
        <f t="shared" si="1640"/>
        <v>0</v>
      </c>
      <c r="HP256" s="164">
        <f t="shared" si="1640"/>
        <v>0</v>
      </c>
      <c r="HQ256" s="164">
        <f t="shared" ref="HQ256:ID256" si="1641">HQ257</f>
        <v>0</v>
      </c>
      <c r="HR256" s="164">
        <f t="shared" si="1641"/>
        <v>0</v>
      </c>
      <c r="HS256" s="164">
        <f t="shared" si="1641"/>
        <v>0</v>
      </c>
      <c r="HT256" s="164">
        <f t="shared" si="1641"/>
        <v>0</v>
      </c>
      <c r="HU256" s="164">
        <f>HU257</f>
        <v>0</v>
      </c>
      <c r="HV256" s="164">
        <f t="shared" si="1641"/>
        <v>0</v>
      </c>
      <c r="HW256" s="164">
        <f t="shared" si="1641"/>
        <v>0</v>
      </c>
      <c r="HX256" s="164">
        <f t="shared" si="1641"/>
        <v>0</v>
      </c>
      <c r="HY256" s="164">
        <f t="shared" si="1641"/>
        <v>0</v>
      </c>
      <c r="HZ256" s="164">
        <f>HZ257</f>
        <v>0</v>
      </c>
      <c r="IA256" s="164">
        <f t="shared" si="1641"/>
        <v>0</v>
      </c>
      <c r="IB256" s="164">
        <f t="shared" si="1641"/>
        <v>0</v>
      </c>
      <c r="IC256" s="164">
        <f t="shared" si="1641"/>
        <v>0</v>
      </c>
      <c r="ID256" s="164">
        <f t="shared" si="1641"/>
        <v>0</v>
      </c>
      <c r="IE256" s="164">
        <f t="shared" ref="IE256:IJ256" si="1642">IE257</f>
        <v>0</v>
      </c>
      <c r="IF256" s="164">
        <f t="shared" si="1642"/>
        <v>0</v>
      </c>
      <c r="IG256" s="164">
        <f t="shared" si="1642"/>
        <v>0</v>
      </c>
      <c r="IH256" s="164">
        <f t="shared" si="1642"/>
        <v>0</v>
      </c>
      <c r="II256" s="164">
        <f t="shared" si="1642"/>
        <v>0</v>
      </c>
      <c r="IJ256" s="164">
        <f t="shared" si="1642"/>
        <v>0</v>
      </c>
      <c r="IK256" s="164">
        <f t="shared" ref="IK256:IV256" si="1643">IK257</f>
        <v>0</v>
      </c>
      <c r="IL256" s="164">
        <f t="shared" si="1643"/>
        <v>0</v>
      </c>
      <c r="IM256" s="164">
        <f t="shared" si="1643"/>
        <v>0</v>
      </c>
      <c r="IN256" s="164">
        <f t="shared" si="1643"/>
        <v>0</v>
      </c>
      <c r="IO256" s="164">
        <f>IO257</f>
        <v>0</v>
      </c>
      <c r="IP256" s="164">
        <f t="shared" si="1643"/>
        <v>0</v>
      </c>
      <c r="IQ256" s="164">
        <f t="shared" si="1643"/>
        <v>0</v>
      </c>
      <c r="IR256" s="164">
        <f t="shared" si="1643"/>
        <v>0</v>
      </c>
      <c r="IS256" s="164">
        <f t="shared" si="1643"/>
        <v>0</v>
      </c>
      <c r="IT256" s="164">
        <f>IT257</f>
        <v>0</v>
      </c>
      <c r="IU256" s="164">
        <f t="shared" si="1643"/>
        <v>0</v>
      </c>
      <c r="IV256" s="164">
        <f t="shared" si="1643"/>
        <v>0</v>
      </c>
    </row>
    <row r="257" spans="1:256" s="57" customFormat="1" ht="25.5" x14ac:dyDescent="0.25">
      <c r="A257" s="77" t="s">
        <v>206</v>
      </c>
      <c r="B257" s="60"/>
      <c r="C257" s="59">
        <f t="shared" ref="C257:K257" si="1644">SUM(C259,C279,C298,C302,C258)</f>
        <v>3124</v>
      </c>
      <c r="D257" s="59">
        <f t="shared" si="1644"/>
        <v>1012</v>
      </c>
      <c r="E257" s="59">
        <f t="shared" si="1644"/>
        <v>373</v>
      </c>
      <c r="F257" s="59">
        <f t="shared" si="1644"/>
        <v>241</v>
      </c>
      <c r="G257" s="59">
        <f t="shared" si="1644"/>
        <v>40</v>
      </c>
      <c r="H257" s="59">
        <f t="shared" si="1644"/>
        <v>241</v>
      </c>
      <c r="I257" s="59">
        <f t="shared" si="1644"/>
        <v>0</v>
      </c>
      <c r="J257" s="59">
        <f t="shared" si="1644"/>
        <v>852</v>
      </c>
      <c r="K257" s="59">
        <f t="shared" si="1644"/>
        <v>625</v>
      </c>
      <c r="L257" s="72">
        <f>SUM(L259,L279,L298,L302)</f>
        <v>6468</v>
      </c>
      <c r="M257" s="60"/>
      <c r="N257" s="59">
        <f t="shared" ref="N257:V257" si="1645">SUM(N259,N279,N298,N302,N258)</f>
        <v>0</v>
      </c>
      <c r="O257" s="59">
        <f t="shared" si="1645"/>
        <v>0</v>
      </c>
      <c r="P257" s="59">
        <f t="shared" si="1645"/>
        <v>0</v>
      </c>
      <c r="Q257" s="59">
        <f t="shared" si="1645"/>
        <v>0</v>
      </c>
      <c r="R257" s="59">
        <f t="shared" si="1645"/>
        <v>0</v>
      </c>
      <c r="S257" s="59">
        <f t="shared" si="1645"/>
        <v>0</v>
      </c>
      <c r="T257" s="59">
        <f t="shared" si="1645"/>
        <v>0</v>
      </c>
      <c r="U257" s="59">
        <f t="shared" si="1645"/>
        <v>0</v>
      </c>
      <c r="V257" s="59">
        <f t="shared" si="1645"/>
        <v>0</v>
      </c>
      <c r="W257" s="72">
        <f>SUM(W259,W279,W298,W302)</f>
        <v>0</v>
      </c>
      <c r="X257" s="60"/>
      <c r="Y257" s="59">
        <f t="shared" ref="Y257:AG257" si="1646">SUM(Y259,Y279,Y298,Y302,Y258)</f>
        <v>0</v>
      </c>
      <c r="Z257" s="59">
        <f t="shared" si="1646"/>
        <v>0</v>
      </c>
      <c r="AA257" s="59">
        <f t="shared" si="1646"/>
        <v>0</v>
      </c>
      <c r="AB257" s="59">
        <f t="shared" si="1646"/>
        <v>0</v>
      </c>
      <c r="AC257" s="59">
        <f t="shared" si="1646"/>
        <v>0</v>
      </c>
      <c r="AD257" s="59">
        <f t="shared" si="1646"/>
        <v>0</v>
      </c>
      <c r="AE257" s="59">
        <f t="shared" si="1646"/>
        <v>0</v>
      </c>
      <c r="AF257" s="59">
        <f t="shared" si="1646"/>
        <v>0</v>
      </c>
      <c r="AG257" s="59">
        <f t="shared" si="1646"/>
        <v>0</v>
      </c>
      <c r="AH257" s="72">
        <f>SUM(AH259,AH279,AH298,AH302)</f>
        <v>0</v>
      </c>
      <c r="AI257" s="60"/>
      <c r="AJ257" s="59">
        <f t="shared" ref="AJ257:AR257" si="1647">SUM(AJ259,AJ279,AJ298,AJ302,AJ258)</f>
        <v>0</v>
      </c>
      <c r="AK257" s="59">
        <f t="shared" si="1647"/>
        <v>0</v>
      </c>
      <c r="AL257" s="59">
        <f t="shared" si="1647"/>
        <v>0</v>
      </c>
      <c r="AM257" s="59">
        <f t="shared" si="1647"/>
        <v>0</v>
      </c>
      <c r="AN257" s="59">
        <f t="shared" si="1647"/>
        <v>0</v>
      </c>
      <c r="AO257" s="59">
        <f t="shared" si="1647"/>
        <v>0</v>
      </c>
      <c r="AP257" s="59">
        <f t="shared" si="1647"/>
        <v>0</v>
      </c>
      <c r="AQ257" s="59">
        <f t="shared" si="1647"/>
        <v>0</v>
      </c>
      <c r="AR257" s="59">
        <f t="shared" si="1647"/>
        <v>0</v>
      </c>
      <c r="AS257" s="72">
        <f>SUM(AS259,AS279,AS298,AS302)</f>
        <v>0</v>
      </c>
      <c r="AT257" s="60"/>
      <c r="AU257" s="72">
        <f t="shared" ref="AU257:BD257" si="1648">SUM(AU259,AU279,AU298,AU302)</f>
        <v>0</v>
      </c>
      <c r="AV257" s="72">
        <f t="shared" si="1648"/>
        <v>0</v>
      </c>
      <c r="AW257" s="72">
        <f t="shared" si="1648"/>
        <v>0</v>
      </c>
      <c r="AX257" s="72">
        <f t="shared" si="1648"/>
        <v>0</v>
      </c>
      <c r="AY257" s="72">
        <f t="shared" si="1648"/>
        <v>0</v>
      </c>
      <c r="AZ257" s="72">
        <f t="shared" si="1648"/>
        <v>0</v>
      </c>
      <c r="BA257" s="72">
        <f t="shared" si="1648"/>
        <v>0</v>
      </c>
      <c r="BB257" s="72">
        <f t="shared" si="1648"/>
        <v>0</v>
      </c>
      <c r="BC257" s="72">
        <f t="shared" si="1648"/>
        <v>0</v>
      </c>
      <c r="BD257" s="72">
        <f t="shared" si="1648"/>
        <v>0</v>
      </c>
      <c r="BE257" s="60"/>
      <c r="BF257" s="59">
        <f t="shared" ref="BF257:BN257" si="1649">SUM(BF259,BF279,BF298,BF302,BF258)</f>
        <v>0</v>
      </c>
      <c r="BG257" s="59">
        <f t="shared" si="1649"/>
        <v>0</v>
      </c>
      <c r="BH257" s="59">
        <f t="shared" si="1649"/>
        <v>0</v>
      </c>
      <c r="BI257" s="59">
        <f t="shared" si="1649"/>
        <v>0</v>
      </c>
      <c r="BJ257" s="59">
        <f t="shared" si="1649"/>
        <v>0</v>
      </c>
      <c r="BK257" s="59">
        <f t="shared" si="1649"/>
        <v>0</v>
      </c>
      <c r="BL257" s="59">
        <f t="shared" si="1649"/>
        <v>0</v>
      </c>
      <c r="BM257" s="59">
        <f t="shared" si="1649"/>
        <v>0</v>
      </c>
      <c r="BN257" s="59">
        <f t="shared" si="1649"/>
        <v>0</v>
      </c>
      <c r="BO257" s="72">
        <f>SUM(BO259,BO279,BO298,BO302)</f>
        <v>0</v>
      </c>
      <c r="BP257" s="60"/>
      <c r="BQ257" s="59">
        <f t="shared" ref="BQ257:BY257" si="1650">SUM(BQ259,BQ279,BQ298,BQ302,BQ258)</f>
        <v>0</v>
      </c>
      <c r="BR257" s="59">
        <f t="shared" si="1650"/>
        <v>0</v>
      </c>
      <c r="BS257" s="59">
        <f t="shared" si="1650"/>
        <v>0</v>
      </c>
      <c r="BT257" s="59">
        <f t="shared" si="1650"/>
        <v>0</v>
      </c>
      <c r="BU257" s="59">
        <f t="shared" si="1650"/>
        <v>0</v>
      </c>
      <c r="BV257" s="59">
        <f t="shared" si="1650"/>
        <v>0</v>
      </c>
      <c r="BW257" s="59">
        <f t="shared" si="1650"/>
        <v>0</v>
      </c>
      <c r="BX257" s="59">
        <f t="shared" si="1650"/>
        <v>0</v>
      </c>
      <c r="BY257" s="59">
        <f t="shared" si="1650"/>
        <v>0</v>
      </c>
      <c r="BZ257" s="72">
        <f>SUM(BZ259,BZ279,BZ298,BZ302)</f>
        <v>0</v>
      </c>
      <c r="CA257" s="60"/>
      <c r="CB257" s="59">
        <f t="shared" ref="CB257:CJ257" si="1651">SUM(CB259,CB279,CB298,CB302,CB258)</f>
        <v>0</v>
      </c>
      <c r="CC257" s="59">
        <f t="shared" si="1651"/>
        <v>0</v>
      </c>
      <c r="CD257" s="59">
        <f t="shared" si="1651"/>
        <v>0</v>
      </c>
      <c r="CE257" s="59">
        <f t="shared" si="1651"/>
        <v>0</v>
      </c>
      <c r="CF257" s="59">
        <f t="shared" si="1651"/>
        <v>0</v>
      </c>
      <c r="CG257" s="59">
        <f t="shared" si="1651"/>
        <v>0</v>
      </c>
      <c r="CH257" s="59">
        <f t="shared" si="1651"/>
        <v>0</v>
      </c>
      <c r="CI257" s="59">
        <f t="shared" si="1651"/>
        <v>0</v>
      </c>
      <c r="CJ257" s="59">
        <f t="shared" si="1651"/>
        <v>0</v>
      </c>
      <c r="CK257" s="72">
        <f>SUM(CK259,CK279,CK298,CK302)</f>
        <v>0</v>
      </c>
      <c r="CL257" s="60"/>
      <c r="CM257" s="72">
        <f t="shared" ref="CM257:CV257" si="1652">SUM(CM259,CM279,CM298,CM302)</f>
        <v>0</v>
      </c>
      <c r="CN257" s="72">
        <f t="shared" si="1652"/>
        <v>0</v>
      </c>
      <c r="CO257" s="72">
        <f t="shared" si="1652"/>
        <v>0</v>
      </c>
      <c r="CP257" s="72">
        <f t="shared" si="1652"/>
        <v>0</v>
      </c>
      <c r="CQ257" s="72">
        <f t="shared" si="1652"/>
        <v>0</v>
      </c>
      <c r="CR257" s="72">
        <f t="shared" si="1652"/>
        <v>0</v>
      </c>
      <c r="CS257" s="72">
        <f t="shared" si="1652"/>
        <v>0</v>
      </c>
      <c r="CT257" s="72">
        <f t="shared" si="1652"/>
        <v>0</v>
      </c>
      <c r="CU257" s="72">
        <f t="shared" si="1652"/>
        <v>0</v>
      </c>
      <c r="CV257" s="72">
        <f t="shared" si="1652"/>
        <v>0</v>
      </c>
      <c r="CW257" s="60"/>
      <c r="CX257" s="59">
        <f t="shared" ref="CX257:DF257" si="1653">SUM(CX259,CX279,CX298,CX302,CX258)</f>
        <v>0</v>
      </c>
      <c r="CY257" s="59">
        <f t="shared" si="1653"/>
        <v>0</v>
      </c>
      <c r="CZ257" s="59">
        <f t="shared" si="1653"/>
        <v>0</v>
      </c>
      <c r="DA257" s="59">
        <f t="shared" si="1653"/>
        <v>0</v>
      </c>
      <c r="DB257" s="59">
        <f t="shared" si="1653"/>
        <v>0</v>
      </c>
      <c r="DC257" s="59">
        <f t="shared" si="1653"/>
        <v>0</v>
      </c>
      <c r="DD257" s="59">
        <f t="shared" si="1653"/>
        <v>0</v>
      </c>
      <c r="DE257" s="59">
        <f t="shared" si="1653"/>
        <v>0</v>
      </c>
      <c r="DF257" s="59">
        <f t="shared" si="1653"/>
        <v>0</v>
      </c>
      <c r="DG257" s="72">
        <f>SUM(DG259,DG279,DG298,DG302)</f>
        <v>0</v>
      </c>
      <c r="DH257" s="60"/>
      <c r="DI257" s="59">
        <f t="shared" ref="DI257:DQ257" si="1654">SUM(DI259,DI279,DI298,DI302,DI258)</f>
        <v>0</v>
      </c>
      <c r="DJ257" s="59">
        <f t="shared" si="1654"/>
        <v>0</v>
      </c>
      <c r="DK257" s="59">
        <f t="shared" si="1654"/>
        <v>0</v>
      </c>
      <c r="DL257" s="59">
        <f t="shared" si="1654"/>
        <v>0</v>
      </c>
      <c r="DM257" s="59">
        <f t="shared" si="1654"/>
        <v>0</v>
      </c>
      <c r="DN257" s="59">
        <f t="shared" si="1654"/>
        <v>0</v>
      </c>
      <c r="DO257" s="59">
        <f t="shared" si="1654"/>
        <v>0</v>
      </c>
      <c r="DP257" s="59">
        <f t="shared" si="1654"/>
        <v>0</v>
      </c>
      <c r="DQ257" s="59">
        <f t="shared" si="1654"/>
        <v>0</v>
      </c>
      <c r="DR257" s="72">
        <f>SUM(DR259,DR279,DR298,DR302)</f>
        <v>0</v>
      </c>
      <c r="DS257" s="60"/>
      <c r="DT257" s="59">
        <f t="shared" ref="DT257:EB257" si="1655">SUM(DT259,DT279,DT298,DT302,DT258)</f>
        <v>0</v>
      </c>
      <c r="DU257" s="59">
        <f t="shared" si="1655"/>
        <v>0</v>
      </c>
      <c r="DV257" s="59">
        <f t="shared" si="1655"/>
        <v>0</v>
      </c>
      <c r="DW257" s="59">
        <f t="shared" si="1655"/>
        <v>0</v>
      </c>
      <c r="DX257" s="59">
        <f t="shared" si="1655"/>
        <v>0</v>
      </c>
      <c r="DY257" s="59">
        <f t="shared" si="1655"/>
        <v>0</v>
      </c>
      <c r="DZ257" s="59">
        <f t="shared" si="1655"/>
        <v>0</v>
      </c>
      <c r="EA257" s="59">
        <f t="shared" si="1655"/>
        <v>0</v>
      </c>
      <c r="EB257" s="59">
        <f t="shared" si="1655"/>
        <v>0</v>
      </c>
      <c r="EC257" s="59">
        <f>SUM(EC259,EC279,EC298,EC302,EC258)</f>
        <v>0</v>
      </c>
      <c r="ED257" s="60"/>
      <c r="EE257" s="72">
        <f t="shared" ref="EE257:EN257" si="1656">SUM(EE259,EE279,EE298,EE302)</f>
        <v>0</v>
      </c>
      <c r="EF257" s="72">
        <f t="shared" si="1656"/>
        <v>0</v>
      </c>
      <c r="EG257" s="72">
        <f t="shared" si="1656"/>
        <v>0</v>
      </c>
      <c r="EH257" s="72">
        <f t="shared" si="1656"/>
        <v>0</v>
      </c>
      <c r="EI257" s="72">
        <f t="shared" si="1656"/>
        <v>0</v>
      </c>
      <c r="EJ257" s="72">
        <f t="shared" si="1656"/>
        <v>0</v>
      </c>
      <c r="EK257" s="72">
        <f t="shared" si="1656"/>
        <v>0</v>
      </c>
      <c r="EL257" s="72">
        <f t="shared" si="1656"/>
        <v>0</v>
      </c>
      <c r="EM257" s="72">
        <f t="shared" si="1656"/>
        <v>0</v>
      </c>
      <c r="EN257" s="72">
        <f t="shared" si="1656"/>
        <v>0</v>
      </c>
      <c r="EO257" s="60"/>
      <c r="EP257" s="59">
        <f t="shared" ref="EP257:EX257" si="1657">SUM(EP259,EP279,EP298,EP302,EP258)</f>
        <v>0</v>
      </c>
      <c r="EQ257" s="59">
        <f t="shared" si="1657"/>
        <v>0</v>
      </c>
      <c r="ER257" s="59">
        <f t="shared" si="1657"/>
        <v>0</v>
      </c>
      <c r="ES257" s="59">
        <f t="shared" si="1657"/>
        <v>0</v>
      </c>
      <c r="ET257" s="59">
        <f t="shared" si="1657"/>
        <v>0</v>
      </c>
      <c r="EU257" s="59">
        <f t="shared" si="1657"/>
        <v>0</v>
      </c>
      <c r="EV257" s="59">
        <f t="shared" si="1657"/>
        <v>0</v>
      </c>
      <c r="EW257" s="59">
        <f t="shared" si="1657"/>
        <v>0</v>
      </c>
      <c r="EX257" s="59">
        <f t="shared" si="1657"/>
        <v>0</v>
      </c>
      <c r="EY257" s="72">
        <f>SUM(EY259,EY279,EY298,EY302)</f>
        <v>0</v>
      </c>
      <c r="EZ257" s="60"/>
      <c r="FA257" s="59">
        <f t="shared" ref="FA257:FI257" si="1658">SUM(FA259,FA279,FA298,FA302,FA258)</f>
        <v>0</v>
      </c>
      <c r="FB257" s="59">
        <f t="shared" si="1658"/>
        <v>0</v>
      </c>
      <c r="FC257" s="59">
        <f t="shared" si="1658"/>
        <v>0</v>
      </c>
      <c r="FD257" s="59">
        <f t="shared" si="1658"/>
        <v>0</v>
      </c>
      <c r="FE257" s="59">
        <f t="shared" si="1658"/>
        <v>0</v>
      </c>
      <c r="FF257" s="59">
        <f t="shared" si="1658"/>
        <v>0</v>
      </c>
      <c r="FG257" s="59">
        <f t="shared" si="1658"/>
        <v>0</v>
      </c>
      <c r="FH257" s="59">
        <f t="shared" si="1658"/>
        <v>0</v>
      </c>
      <c r="FI257" s="59">
        <f t="shared" si="1658"/>
        <v>0</v>
      </c>
      <c r="FJ257" s="72">
        <f>SUM(FJ259,FJ279,FJ298,FJ302)</f>
        <v>0</v>
      </c>
      <c r="FK257" s="60"/>
      <c r="FL257" s="59">
        <f t="shared" ref="FL257:FT257" si="1659">SUM(FL259,FL279,FL298,FL302,FL258)</f>
        <v>0</v>
      </c>
      <c r="FM257" s="59">
        <f t="shared" si="1659"/>
        <v>0</v>
      </c>
      <c r="FN257" s="59">
        <f t="shared" si="1659"/>
        <v>0</v>
      </c>
      <c r="FO257" s="59">
        <f t="shared" si="1659"/>
        <v>0</v>
      </c>
      <c r="FP257" s="59">
        <f t="shared" si="1659"/>
        <v>0</v>
      </c>
      <c r="FQ257" s="59">
        <f t="shared" si="1659"/>
        <v>0</v>
      </c>
      <c r="FR257" s="59">
        <f t="shared" si="1659"/>
        <v>0</v>
      </c>
      <c r="FS257" s="59">
        <f t="shared" si="1659"/>
        <v>0</v>
      </c>
      <c r="FT257" s="59">
        <f t="shared" si="1659"/>
        <v>0</v>
      </c>
      <c r="FU257" s="72">
        <f>SUM(FU259,FU279,FU298,FU302)</f>
        <v>0</v>
      </c>
      <c r="FV257" s="60"/>
      <c r="FW257" s="72">
        <f t="shared" ref="FW257:GF257" si="1660">SUM(FW259,FW279,FW298,FW302)</f>
        <v>0</v>
      </c>
      <c r="FX257" s="72">
        <f t="shared" si="1660"/>
        <v>0</v>
      </c>
      <c r="FY257" s="72">
        <f t="shared" si="1660"/>
        <v>0</v>
      </c>
      <c r="FZ257" s="72">
        <f t="shared" si="1660"/>
        <v>0</v>
      </c>
      <c r="GA257" s="72">
        <f t="shared" si="1660"/>
        <v>0</v>
      </c>
      <c r="GB257" s="72">
        <f t="shared" si="1660"/>
        <v>0</v>
      </c>
      <c r="GC257" s="72">
        <f t="shared" si="1660"/>
        <v>0</v>
      </c>
      <c r="GD257" s="72">
        <f t="shared" si="1660"/>
        <v>0</v>
      </c>
      <c r="GE257" s="72">
        <f t="shared" si="1660"/>
        <v>0</v>
      </c>
      <c r="GF257" s="72">
        <f t="shared" si="1660"/>
        <v>0</v>
      </c>
      <c r="GG257" s="60"/>
      <c r="GH257" s="59">
        <f t="shared" ref="GH257:GP257" si="1661">SUM(GH259,GH279,GH298,GH302,GH258)</f>
        <v>0</v>
      </c>
      <c r="GI257" s="59">
        <f t="shared" si="1661"/>
        <v>0</v>
      </c>
      <c r="GJ257" s="59">
        <f t="shared" si="1661"/>
        <v>0</v>
      </c>
      <c r="GK257" s="59">
        <f t="shared" si="1661"/>
        <v>0</v>
      </c>
      <c r="GL257" s="59">
        <f t="shared" si="1661"/>
        <v>0</v>
      </c>
      <c r="GM257" s="59">
        <f t="shared" si="1661"/>
        <v>0</v>
      </c>
      <c r="GN257" s="59">
        <f t="shared" si="1661"/>
        <v>0</v>
      </c>
      <c r="GO257" s="59">
        <f t="shared" si="1661"/>
        <v>0</v>
      </c>
      <c r="GP257" s="59">
        <f t="shared" si="1661"/>
        <v>0</v>
      </c>
      <c r="GQ257" s="72">
        <f>SUM(GQ259,GQ279,GQ298,GQ302)</f>
        <v>0</v>
      </c>
      <c r="GR257" s="59">
        <f t="shared" ref="GR257:IV257" si="1662">SUM(GR259,GR279,GR298,GR302,GR258)</f>
        <v>0</v>
      </c>
      <c r="GS257" s="59">
        <f t="shared" si="1662"/>
        <v>0</v>
      </c>
      <c r="GT257" s="59">
        <f t="shared" si="1662"/>
        <v>0</v>
      </c>
      <c r="GU257" s="59">
        <f t="shared" si="1662"/>
        <v>0</v>
      </c>
      <c r="GV257" s="59">
        <f t="shared" si="1662"/>
        <v>0</v>
      </c>
      <c r="GW257" s="59">
        <f t="shared" si="1662"/>
        <v>0</v>
      </c>
      <c r="GX257" s="59">
        <f t="shared" si="1662"/>
        <v>0</v>
      </c>
      <c r="GY257" s="59">
        <f t="shared" si="1662"/>
        <v>0</v>
      </c>
      <c r="GZ257" s="59">
        <f t="shared" si="1662"/>
        <v>0</v>
      </c>
      <c r="HA257" s="59">
        <f t="shared" si="1662"/>
        <v>0</v>
      </c>
      <c r="HB257" s="59">
        <f>SUM(HB259,HB279,HB298,HB302,HB258)</f>
        <v>0</v>
      </c>
      <c r="HC257" s="59">
        <f>SUM(HC259,HC279,HC298,HC302,HC258)</f>
        <v>0</v>
      </c>
      <c r="HD257" s="59">
        <f>SUM(HD259,HD279,HD298,HD302,HD258)</f>
        <v>0</v>
      </c>
      <c r="HE257" s="59">
        <f>SUM(HE259,HE279,HE298,HE302,HE258)</f>
        <v>0</v>
      </c>
      <c r="HF257" s="59">
        <f t="shared" si="1662"/>
        <v>0</v>
      </c>
      <c r="HG257" s="59">
        <f t="shared" si="1662"/>
        <v>0</v>
      </c>
      <c r="HH257" s="59">
        <f t="shared" si="1662"/>
        <v>0</v>
      </c>
      <c r="HI257" s="59">
        <f t="shared" si="1662"/>
        <v>0</v>
      </c>
      <c r="HJ257" s="59">
        <f t="shared" si="1662"/>
        <v>0</v>
      </c>
      <c r="HK257" s="59">
        <f t="shared" si="1662"/>
        <v>0</v>
      </c>
      <c r="HL257" s="59">
        <f t="shared" si="1662"/>
        <v>0</v>
      </c>
      <c r="HM257" s="59">
        <f t="shared" si="1662"/>
        <v>0</v>
      </c>
      <c r="HN257" s="59">
        <f t="shared" si="1662"/>
        <v>0</v>
      </c>
      <c r="HO257" s="59">
        <f t="shared" si="1662"/>
        <v>0</v>
      </c>
      <c r="HP257" s="59">
        <f t="shared" si="1662"/>
        <v>0</v>
      </c>
      <c r="HQ257" s="59">
        <f>SUM(HQ259,HQ279,HQ298,HQ302,HQ258)</f>
        <v>0</v>
      </c>
      <c r="HR257" s="59">
        <f>SUM(HR259,HR279,HR298,HR302,HR258)</f>
        <v>0</v>
      </c>
      <c r="HS257" s="59">
        <f>SUM(HS259,HS279,HS298,HS302,HS258)</f>
        <v>0</v>
      </c>
      <c r="HT257" s="59">
        <f>SUM(HT259,HT279,HT298,HT302,HT258)</f>
        <v>0</v>
      </c>
      <c r="HU257" s="59">
        <f t="shared" si="1662"/>
        <v>0</v>
      </c>
      <c r="HV257" s="59">
        <f t="shared" si="1662"/>
        <v>0</v>
      </c>
      <c r="HW257" s="59">
        <f t="shared" si="1662"/>
        <v>0</v>
      </c>
      <c r="HX257" s="59">
        <f t="shared" si="1662"/>
        <v>0</v>
      </c>
      <c r="HY257" s="59">
        <f t="shared" si="1662"/>
        <v>0</v>
      </c>
      <c r="HZ257" s="59">
        <f t="shared" si="1662"/>
        <v>0</v>
      </c>
      <c r="IA257" s="59">
        <f>SUM(IA259,IA279,IA298,IA302,IA258)</f>
        <v>0</v>
      </c>
      <c r="IB257" s="59">
        <f>SUM(IB259,IB279,IB298,IB302,IB258)</f>
        <v>0</v>
      </c>
      <c r="IC257" s="59">
        <f>SUM(IC259,IC279,IC298,IC302,IC258)</f>
        <v>0</v>
      </c>
      <c r="ID257" s="59">
        <f>SUM(ID259,ID279,ID298,ID302,ID258)</f>
        <v>0</v>
      </c>
      <c r="IE257" s="59">
        <f t="shared" si="1662"/>
        <v>0</v>
      </c>
      <c r="IF257" s="59">
        <f t="shared" si="1662"/>
        <v>0</v>
      </c>
      <c r="IG257" s="59">
        <f t="shared" si="1662"/>
        <v>0</v>
      </c>
      <c r="IH257" s="59">
        <f t="shared" si="1662"/>
        <v>0</v>
      </c>
      <c r="II257" s="59">
        <f t="shared" si="1662"/>
        <v>0</v>
      </c>
      <c r="IJ257" s="59">
        <f t="shared" si="1662"/>
        <v>0</v>
      </c>
      <c r="IK257" s="59">
        <f t="shared" si="1662"/>
        <v>0</v>
      </c>
      <c r="IL257" s="59">
        <f t="shared" si="1662"/>
        <v>0</v>
      </c>
      <c r="IM257" s="59">
        <f t="shared" si="1662"/>
        <v>0</v>
      </c>
      <c r="IN257" s="59">
        <f t="shared" si="1662"/>
        <v>0</v>
      </c>
      <c r="IO257" s="59">
        <f t="shared" si="1662"/>
        <v>0</v>
      </c>
      <c r="IP257" s="59">
        <f>SUM(IP259,IP279,IP298,IP302,IP258)</f>
        <v>0</v>
      </c>
      <c r="IQ257" s="59">
        <f>SUM(IQ259,IQ279,IQ298,IQ302,IQ258)</f>
        <v>0</v>
      </c>
      <c r="IR257" s="59">
        <f>SUM(IR259,IR279,IR298,IR302,IR258)</f>
        <v>0</v>
      </c>
      <c r="IS257" s="59">
        <f>SUM(IS259,IS279,IS298,IS302,IS258)</f>
        <v>0</v>
      </c>
      <c r="IT257" s="59">
        <f t="shared" si="1662"/>
        <v>0</v>
      </c>
      <c r="IU257" s="59">
        <f t="shared" si="1662"/>
        <v>0</v>
      </c>
      <c r="IV257" s="59">
        <f t="shared" si="1662"/>
        <v>0</v>
      </c>
    </row>
    <row r="258" spans="1:256" x14ac:dyDescent="0.2">
      <c r="A258" s="157" t="s">
        <v>29</v>
      </c>
      <c r="B258" s="62"/>
      <c r="C258" s="63"/>
      <c r="D258" s="63"/>
      <c r="E258" s="63"/>
      <c r="F258" s="63"/>
      <c r="G258" s="63"/>
      <c r="H258" s="63"/>
      <c r="I258" s="63"/>
      <c r="J258" s="63"/>
      <c r="K258" s="63"/>
      <c r="L258" s="64">
        <f>SUM(C258:F258,H258:K258)</f>
        <v>0</v>
      </c>
      <c r="M258" s="62"/>
      <c r="N258" s="63"/>
      <c r="O258" s="63"/>
      <c r="P258" s="63"/>
      <c r="Q258" s="63"/>
      <c r="R258" s="63"/>
      <c r="S258" s="63"/>
      <c r="T258" s="63"/>
      <c r="U258" s="63"/>
      <c r="V258" s="63"/>
      <c r="W258" s="64">
        <f>SUM(N258:Q258,S258:V258)</f>
        <v>0</v>
      </c>
      <c r="X258" s="62"/>
      <c r="Y258" s="63"/>
      <c r="Z258" s="63"/>
      <c r="AA258" s="63"/>
      <c r="AB258" s="63"/>
      <c r="AC258" s="63"/>
      <c r="AD258" s="63"/>
      <c r="AE258" s="63"/>
      <c r="AF258" s="63"/>
      <c r="AG258" s="63"/>
      <c r="AH258" s="64">
        <f>SUM(Y258:AB258,AD258:AG258)</f>
        <v>0</v>
      </c>
      <c r="AI258" s="62"/>
      <c r="AJ258" s="63"/>
      <c r="AK258" s="63"/>
      <c r="AL258" s="63"/>
      <c r="AM258" s="63"/>
      <c r="AN258" s="63"/>
      <c r="AO258" s="63"/>
      <c r="AP258" s="63"/>
      <c r="AQ258" s="63"/>
      <c r="AR258" s="63"/>
      <c r="AS258" s="64">
        <f>SUM(AJ258:AM258,AO258:AR258)</f>
        <v>0</v>
      </c>
      <c r="AT258" s="65">
        <f>SUM(M258,AI258,X258)</f>
        <v>0</v>
      </c>
      <c r="AU258" s="65">
        <f t="shared" ref="AU258:BC258" si="1663">SUM(N258,AJ258,Y258)</f>
        <v>0</v>
      </c>
      <c r="AV258" s="65">
        <f t="shared" si="1663"/>
        <v>0</v>
      </c>
      <c r="AW258" s="65">
        <f t="shared" si="1663"/>
        <v>0</v>
      </c>
      <c r="AX258" s="65">
        <f t="shared" si="1663"/>
        <v>0</v>
      </c>
      <c r="AY258" s="65">
        <f t="shared" si="1663"/>
        <v>0</v>
      </c>
      <c r="AZ258" s="65">
        <f t="shared" si="1663"/>
        <v>0</v>
      </c>
      <c r="BA258" s="65">
        <f t="shared" si="1663"/>
        <v>0</v>
      </c>
      <c r="BB258" s="65">
        <f t="shared" si="1663"/>
        <v>0</v>
      </c>
      <c r="BC258" s="65">
        <f t="shared" si="1663"/>
        <v>0</v>
      </c>
      <c r="BD258" s="64">
        <f>SUM(AU258:AX258,AZ258:BC258)</f>
        <v>0</v>
      </c>
      <c r="BE258" s="62"/>
      <c r="BF258" s="63"/>
      <c r="BG258" s="63"/>
      <c r="BH258" s="63"/>
      <c r="BI258" s="63"/>
      <c r="BJ258" s="63"/>
      <c r="BK258" s="63"/>
      <c r="BL258" s="63"/>
      <c r="BM258" s="63"/>
      <c r="BN258" s="63"/>
      <c r="BO258" s="64">
        <f>SUM(BF258:BI258,BK258:BN258)</f>
        <v>0</v>
      </c>
      <c r="BP258" s="62"/>
      <c r="BQ258" s="63"/>
      <c r="BR258" s="63"/>
      <c r="BS258" s="63"/>
      <c r="BT258" s="63"/>
      <c r="BU258" s="63"/>
      <c r="BV258" s="63"/>
      <c r="BW258" s="63"/>
      <c r="BX258" s="63"/>
      <c r="BY258" s="63"/>
      <c r="BZ258" s="64">
        <f>SUM(BQ258:BT258,BV258:BY258)</f>
        <v>0</v>
      </c>
      <c r="CA258" s="62"/>
      <c r="CB258" s="63"/>
      <c r="CC258" s="63"/>
      <c r="CD258" s="63"/>
      <c r="CE258" s="63"/>
      <c r="CF258" s="63"/>
      <c r="CG258" s="63"/>
      <c r="CH258" s="63"/>
      <c r="CI258" s="63"/>
      <c r="CJ258" s="63"/>
      <c r="CK258" s="64">
        <f>SUM(CB258:CE258,CG258:CJ258)</f>
        <v>0</v>
      </c>
      <c r="CL258" s="65">
        <f t="shared" ref="CL258:CU258" si="1664">SUM(BE258,CA258,BP258)</f>
        <v>0</v>
      </c>
      <c r="CM258" s="65">
        <f t="shared" si="1664"/>
        <v>0</v>
      </c>
      <c r="CN258" s="65">
        <f t="shared" si="1664"/>
        <v>0</v>
      </c>
      <c r="CO258" s="65">
        <f t="shared" si="1664"/>
        <v>0</v>
      </c>
      <c r="CP258" s="65">
        <f t="shared" si="1664"/>
        <v>0</v>
      </c>
      <c r="CQ258" s="65">
        <f t="shared" si="1664"/>
        <v>0</v>
      </c>
      <c r="CR258" s="65">
        <f t="shared" si="1664"/>
        <v>0</v>
      </c>
      <c r="CS258" s="65">
        <f t="shared" si="1664"/>
        <v>0</v>
      </c>
      <c r="CT258" s="65">
        <f t="shared" si="1664"/>
        <v>0</v>
      </c>
      <c r="CU258" s="65">
        <f t="shared" si="1664"/>
        <v>0</v>
      </c>
      <c r="CV258" s="64">
        <f>SUM(CM258:CP258,CR258:CU258)</f>
        <v>0</v>
      </c>
      <c r="CW258" s="62"/>
      <c r="CX258" s="63"/>
      <c r="CY258" s="63"/>
      <c r="CZ258" s="63"/>
      <c r="DA258" s="63"/>
      <c r="DB258" s="63"/>
      <c r="DC258" s="63"/>
      <c r="DD258" s="63"/>
      <c r="DE258" s="63"/>
      <c r="DF258" s="63"/>
      <c r="DG258" s="64">
        <f>SUM(CX258:DA258,DC258:DF258)</f>
        <v>0</v>
      </c>
      <c r="DH258" s="62"/>
      <c r="DI258" s="63"/>
      <c r="DJ258" s="63"/>
      <c r="DK258" s="63"/>
      <c r="DL258" s="63"/>
      <c r="DM258" s="63"/>
      <c r="DN258" s="63"/>
      <c r="DO258" s="63"/>
      <c r="DP258" s="63"/>
      <c r="DQ258" s="63"/>
      <c r="DR258" s="64">
        <f>SUM(DI258:DL258,DN258:DQ258)</f>
        <v>0</v>
      </c>
      <c r="DS258" s="62"/>
      <c r="DT258" s="63"/>
      <c r="DU258" s="63"/>
      <c r="DV258" s="63"/>
      <c r="DW258" s="63"/>
      <c r="DX258" s="63"/>
      <c r="DY258" s="63"/>
      <c r="DZ258" s="63"/>
      <c r="EA258" s="63"/>
      <c r="EB258" s="63"/>
      <c r="EC258" s="63"/>
      <c r="ED258" s="65">
        <f t="shared" ref="ED258:EM258" si="1665">SUM(CW258,DS258,DH258)</f>
        <v>0</v>
      </c>
      <c r="EE258" s="65">
        <f t="shared" si="1665"/>
        <v>0</v>
      </c>
      <c r="EF258" s="65">
        <f t="shared" si="1665"/>
        <v>0</v>
      </c>
      <c r="EG258" s="65">
        <f t="shared" si="1665"/>
        <v>0</v>
      </c>
      <c r="EH258" s="65">
        <f t="shared" si="1665"/>
        <v>0</v>
      </c>
      <c r="EI258" s="65">
        <f t="shared" si="1665"/>
        <v>0</v>
      </c>
      <c r="EJ258" s="65">
        <f t="shared" si="1665"/>
        <v>0</v>
      </c>
      <c r="EK258" s="65">
        <f t="shared" si="1665"/>
        <v>0</v>
      </c>
      <c r="EL258" s="65">
        <f t="shared" si="1665"/>
        <v>0</v>
      </c>
      <c r="EM258" s="65">
        <f t="shared" si="1665"/>
        <v>0</v>
      </c>
      <c r="EN258" s="64">
        <f>SUM(EE258:EH258,EJ258:EM258)</f>
        <v>0</v>
      </c>
      <c r="EO258" s="62"/>
      <c r="EP258" s="63"/>
      <c r="EQ258" s="63"/>
      <c r="ER258" s="63"/>
      <c r="ES258" s="63"/>
      <c r="ET258" s="63"/>
      <c r="EU258" s="63"/>
      <c r="EV258" s="63"/>
      <c r="EW258" s="63"/>
      <c r="EX258" s="63"/>
      <c r="EY258" s="64">
        <f>SUM(EP258:ES258,EU258:EX258)</f>
        <v>0</v>
      </c>
      <c r="EZ258" s="62"/>
      <c r="FA258" s="63"/>
      <c r="FB258" s="63"/>
      <c r="FC258" s="63"/>
      <c r="FD258" s="63"/>
      <c r="FE258" s="63"/>
      <c r="FF258" s="63"/>
      <c r="FG258" s="63"/>
      <c r="FH258" s="63"/>
      <c r="FI258" s="63"/>
      <c r="FJ258" s="64">
        <f>SUM(FA258:FD258,FF258:FI258)</f>
        <v>0</v>
      </c>
      <c r="FK258" s="62"/>
      <c r="FL258" s="63"/>
      <c r="FM258" s="63"/>
      <c r="FN258" s="63"/>
      <c r="FO258" s="63"/>
      <c r="FP258" s="63"/>
      <c r="FQ258" s="63"/>
      <c r="FR258" s="63"/>
      <c r="FS258" s="63"/>
      <c r="FT258" s="63"/>
      <c r="FU258" s="64">
        <f>SUM(FL258:FO258,FQ258:FT258)</f>
        <v>0</v>
      </c>
      <c r="FV258" s="65">
        <f t="shared" ref="FV258:GE258" si="1666">SUM(EO258,FK258,EZ258)</f>
        <v>0</v>
      </c>
      <c r="FW258" s="65">
        <f t="shared" si="1666"/>
        <v>0</v>
      </c>
      <c r="FX258" s="65">
        <f t="shared" si="1666"/>
        <v>0</v>
      </c>
      <c r="FY258" s="65">
        <f t="shared" si="1666"/>
        <v>0</v>
      </c>
      <c r="FZ258" s="65">
        <f t="shared" si="1666"/>
        <v>0</v>
      </c>
      <c r="GA258" s="65">
        <f t="shared" si="1666"/>
        <v>0</v>
      </c>
      <c r="GB258" s="65">
        <f t="shared" si="1666"/>
        <v>0</v>
      </c>
      <c r="GC258" s="65">
        <f t="shared" si="1666"/>
        <v>0</v>
      </c>
      <c r="GD258" s="65">
        <f t="shared" si="1666"/>
        <v>0</v>
      </c>
      <c r="GE258" s="65">
        <f t="shared" si="1666"/>
        <v>0</v>
      </c>
      <c r="GF258" s="64">
        <f>SUM(FW258:FZ258,GB258:GE258)</f>
        <v>0</v>
      </c>
      <c r="GG258" s="66">
        <f t="shared" ref="GG258:GP258" si="1667">SUM(AT258,CL258,ED258,FV258)</f>
        <v>0</v>
      </c>
      <c r="GH258" s="66">
        <f t="shared" si="1667"/>
        <v>0</v>
      </c>
      <c r="GI258" s="66">
        <f t="shared" si="1667"/>
        <v>0</v>
      </c>
      <c r="GJ258" s="66">
        <f t="shared" si="1667"/>
        <v>0</v>
      </c>
      <c r="GK258" s="66">
        <f t="shared" si="1667"/>
        <v>0</v>
      </c>
      <c r="GL258" s="66">
        <f t="shared" si="1667"/>
        <v>0</v>
      </c>
      <c r="GM258" s="66">
        <f t="shared" si="1667"/>
        <v>0</v>
      </c>
      <c r="GN258" s="66">
        <f t="shared" si="1667"/>
        <v>0</v>
      </c>
      <c r="GO258" s="66">
        <f t="shared" si="1667"/>
        <v>0</v>
      </c>
      <c r="GP258" s="66">
        <f t="shared" si="1667"/>
        <v>0</v>
      </c>
      <c r="GQ258" s="64">
        <f>SUM(GH258:GK258,GM258:GP258)</f>
        <v>0</v>
      </c>
      <c r="GR258" s="63"/>
      <c r="GS258" s="63"/>
      <c r="GT258" s="63"/>
      <c r="GU258" s="63"/>
      <c r="GV258" s="67">
        <f>SUM(GR258:GU258)</f>
        <v>0</v>
      </c>
      <c r="GW258" s="63"/>
      <c r="GX258" s="63"/>
      <c r="GY258" s="63"/>
      <c r="GZ258" s="63"/>
      <c r="HA258" s="67">
        <f>SUM(GW258:GZ258)</f>
        <v>0</v>
      </c>
      <c r="HB258" s="63"/>
      <c r="HC258" s="63"/>
      <c r="HD258" s="63"/>
      <c r="HE258" s="63"/>
      <c r="HF258" s="67">
        <f>SUM(HB258:HE258)</f>
        <v>0</v>
      </c>
      <c r="HG258" s="63"/>
      <c r="HH258" s="63"/>
      <c r="HI258" s="63"/>
      <c r="HJ258" s="63"/>
      <c r="HK258" s="67">
        <f>SUM(HG258:HJ258)</f>
        <v>0</v>
      </c>
      <c r="HL258" s="68">
        <f>SUM(GW258,HB258,HG258)</f>
        <v>0</v>
      </c>
      <c r="HM258" s="68">
        <f>SUM(GX258,HC258,HH258)</f>
        <v>0</v>
      </c>
      <c r="HN258" s="68">
        <f>SUM(GY258,HD258,HI258)</f>
        <v>0</v>
      </c>
      <c r="HO258" s="68">
        <f>SUM(GZ258,HE258,HJ258)</f>
        <v>0</v>
      </c>
      <c r="HP258" s="67">
        <f>SUM(HL258:HO258)</f>
        <v>0</v>
      </c>
      <c r="HQ258" s="63"/>
      <c r="HR258" s="63"/>
      <c r="HS258" s="63"/>
      <c r="HT258" s="63"/>
      <c r="HU258" s="67">
        <f>SUM(HQ258:HT258)</f>
        <v>0</v>
      </c>
      <c r="HV258" s="63"/>
      <c r="HW258" s="63"/>
      <c r="HX258" s="63"/>
      <c r="HY258" s="63"/>
      <c r="HZ258" s="67">
        <f>SUM(HV258:HY258)</f>
        <v>0</v>
      </c>
      <c r="IA258" s="63"/>
      <c r="IB258" s="63"/>
      <c r="IC258" s="63"/>
      <c r="ID258" s="63"/>
      <c r="IE258" s="67">
        <f>SUM(IA258:ID258)</f>
        <v>0</v>
      </c>
      <c r="IF258" s="68">
        <f>SUM(HQ258,HV258,IA258)</f>
        <v>0</v>
      </c>
      <c r="IG258" s="68">
        <f>SUM(HR258,HW258,IB258)</f>
        <v>0</v>
      </c>
      <c r="IH258" s="68">
        <f>SUM(HS258,HX258,IC258)</f>
        <v>0</v>
      </c>
      <c r="II258" s="68">
        <f>SUM(HT258,HY258,ID258)</f>
        <v>0</v>
      </c>
      <c r="IJ258" s="67">
        <f>SUM(IF258:II258)</f>
        <v>0</v>
      </c>
      <c r="IK258" s="63"/>
      <c r="IL258" s="63"/>
      <c r="IM258" s="63"/>
      <c r="IN258" s="63"/>
      <c r="IO258" s="67">
        <f>SUM(IK258:IN258)</f>
        <v>0</v>
      </c>
      <c r="IP258" s="63"/>
      <c r="IQ258" s="63"/>
      <c r="IR258" s="63"/>
      <c r="IS258" s="63"/>
      <c r="IT258" s="67">
        <f>SUM(IP258:IS258)</f>
        <v>0</v>
      </c>
      <c r="IU258" s="63"/>
      <c r="IV258" s="63"/>
    </row>
    <row r="259" spans="1:256" s="78" customFormat="1" x14ac:dyDescent="0.25">
      <c r="A259" s="79" t="s">
        <v>207</v>
      </c>
      <c r="B259" s="82"/>
      <c r="C259" s="82">
        <f t="shared" ref="C259:L259" si="1668">SUM(C260:C263,C264,C271:C272)</f>
        <v>1024</v>
      </c>
      <c r="D259" s="82">
        <f t="shared" si="1668"/>
        <v>412</v>
      </c>
      <c r="E259" s="82">
        <f t="shared" si="1668"/>
        <v>133</v>
      </c>
      <c r="F259" s="82">
        <f t="shared" si="1668"/>
        <v>1</v>
      </c>
      <c r="G259" s="82">
        <f t="shared" si="1668"/>
        <v>0</v>
      </c>
      <c r="H259" s="82">
        <f t="shared" si="1668"/>
        <v>121</v>
      </c>
      <c r="I259" s="82">
        <f t="shared" si="1668"/>
        <v>0</v>
      </c>
      <c r="J259" s="82">
        <f t="shared" si="1668"/>
        <v>252</v>
      </c>
      <c r="K259" s="82">
        <f t="shared" si="1668"/>
        <v>25</v>
      </c>
      <c r="L259" s="82">
        <f t="shared" si="1668"/>
        <v>1968</v>
      </c>
      <c r="M259" s="82"/>
      <c r="N259" s="82">
        <f t="shared" ref="N259:V259" si="1669">SUM(N260:N263,N264,N271:N272)</f>
        <v>0</v>
      </c>
      <c r="O259" s="82">
        <f t="shared" si="1669"/>
        <v>0</v>
      </c>
      <c r="P259" s="82">
        <f t="shared" si="1669"/>
        <v>0</v>
      </c>
      <c r="Q259" s="82">
        <f t="shared" si="1669"/>
        <v>0</v>
      </c>
      <c r="R259" s="82">
        <f t="shared" si="1669"/>
        <v>0</v>
      </c>
      <c r="S259" s="82">
        <f t="shared" si="1669"/>
        <v>0</v>
      </c>
      <c r="T259" s="82">
        <f t="shared" si="1669"/>
        <v>0</v>
      </c>
      <c r="U259" s="82">
        <f t="shared" si="1669"/>
        <v>0</v>
      </c>
      <c r="V259" s="82">
        <f t="shared" si="1669"/>
        <v>0</v>
      </c>
      <c r="W259" s="82">
        <f>SUM(W260:W263,W264,W271:W272)</f>
        <v>0</v>
      </c>
      <c r="X259" s="82"/>
      <c r="Y259" s="82">
        <f t="shared" ref="Y259:AG259" si="1670">SUM(Y260:Y263,Y264,Y271:Y272)</f>
        <v>0</v>
      </c>
      <c r="Z259" s="82">
        <f t="shared" si="1670"/>
        <v>0</v>
      </c>
      <c r="AA259" s="82">
        <f t="shared" si="1670"/>
        <v>0</v>
      </c>
      <c r="AB259" s="82">
        <f t="shared" si="1670"/>
        <v>0</v>
      </c>
      <c r="AC259" s="82">
        <f t="shared" si="1670"/>
        <v>0</v>
      </c>
      <c r="AD259" s="82">
        <f t="shared" si="1670"/>
        <v>0</v>
      </c>
      <c r="AE259" s="82">
        <f t="shared" si="1670"/>
        <v>0</v>
      </c>
      <c r="AF259" s="82">
        <f t="shared" si="1670"/>
        <v>0</v>
      </c>
      <c r="AG259" s="82">
        <f t="shared" si="1670"/>
        <v>0</v>
      </c>
      <c r="AH259" s="82">
        <f>SUM(AH260:AH263,AH264,AH271:AH272)</f>
        <v>0</v>
      </c>
      <c r="AI259" s="82"/>
      <c r="AJ259" s="82">
        <f t="shared" ref="AJ259:AR259" si="1671">SUM(AJ260:AJ263,AJ264,AJ271:AJ272)</f>
        <v>0</v>
      </c>
      <c r="AK259" s="82">
        <f t="shared" si="1671"/>
        <v>0</v>
      </c>
      <c r="AL259" s="82">
        <f t="shared" si="1671"/>
        <v>0</v>
      </c>
      <c r="AM259" s="82">
        <f t="shared" si="1671"/>
        <v>0</v>
      </c>
      <c r="AN259" s="82">
        <f t="shared" si="1671"/>
        <v>0</v>
      </c>
      <c r="AO259" s="82">
        <f t="shared" si="1671"/>
        <v>0</v>
      </c>
      <c r="AP259" s="82">
        <f t="shared" si="1671"/>
        <v>0</v>
      </c>
      <c r="AQ259" s="82">
        <f t="shared" si="1671"/>
        <v>0</v>
      </c>
      <c r="AR259" s="82">
        <f t="shared" si="1671"/>
        <v>0</v>
      </c>
      <c r="AS259" s="82">
        <f>SUM(AS260:AS263,AS264,AS271:AS272)</f>
        <v>0</v>
      </c>
      <c r="AT259" s="82"/>
      <c r="AU259" s="82">
        <f t="shared" ref="AU259:BD259" si="1672">SUM(AU260:AU263,AU264,AU271:AU272)</f>
        <v>0</v>
      </c>
      <c r="AV259" s="82">
        <f t="shared" si="1672"/>
        <v>0</v>
      </c>
      <c r="AW259" s="82">
        <f t="shared" si="1672"/>
        <v>0</v>
      </c>
      <c r="AX259" s="82">
        <f t="shared" si="1672"/>
        <v>0</v>
      </c>
      <c r="AY259" s="82">
        <f t="shared" si="1672"/>
        <v>0</v>
      </c>
      <c r="AZ259" s="82">
        <f t="shared" si="1672"/>
        <v>0</v>
      </c>
      <c r="BA259" s="82">
        <f t="shared" si="1672"/>
        <v>0</v>
      </c>
      <c r="BB259" s="82">
        <f t="shared" si="1672"/>
        <v>0</v>
      </c>
      <c r="BC259" s="82">
        <f t="shared" si="1672"/>
        <v>0</v>
      </c>
      <c r="BD259" s="82">
        <f t="shared" si="1672"/>
        <v>0</v>
      </c>
      <c r="BE259" s="82"/>
      <c r="BF259" s="82">
        <f t="shared" ref="BF259:BN259" si="1673">SUM(BF260:BF263,BF264,BF271:BF272)</f>
        <v>0</v>
      </c>
      <c r="BG259" s="82">
        <f t="shared" si="1673"/>
        <v>0</v>
      </c>
      <c r="BH259" s="82">
        <f t="shared" si="1673"/>
        <v>0</v>
      </c>
      <c r="BI259" s="82">
        <f t="shared" si="1673"/>
        <v>0</v>
      </c>
      <c r="BJ259" s="82">
        <f t="shared" si="1673"/>
        <v>0</v>
      </c>
      <c r="BK259" s="82">
        <f t="shared" si="1673"/>
        <v>0</v>
      </c>
      <c r="BL259" s="82">
        <f t="shared" si="1673"/>
        <v>0</v>
      </c>
      <c r="BM259" s="82">
        <f t="shared" si="1673"/>
        <v>0</v>
      </c>
      <c r="BN259" s="82">
        <f t="shared" si="1673"/>
        <v>0</v>
      </c>
      <c r="BO259" s="82">
        <f>SUM(BO260:BO263,BO264,BO271:BO272)</f>
        <v>0</v>
      </c>
      <c r="BP259" s="82"/>
      <c r="BQ259" s="82">
        <f t="shared" ref="BQ259:BY259" si="1674">SUM(BQ260:BQ263,BQ264,BQ271:BQ272)</f>
        <v>0</v>
      </c>
      <c r="BR259" s="82">
        <f t="shared" si="1674"/>
        <v>0</v>
      </c>
      <c r="BS259" s="82">
        <f t="shared" si="1674"/>
        <v>0</v>
      </c>
      <c r="BT259" s="82">
        <f t="shared" si="1674"/>
        <v>0</v>
      </c>
      <c r="BU259" s="82">
        <f t="shared" si="1674"/>
        <v>0</v>
      </c>
      <c r="BV259" s="82">
        <f t="shared" si="1674"/>
        <v>0</v>
      </c>
      <c r="BW259" s="82">
        <f t="shared" si="1674"/>
        <v>0</v>
      </c>
      <c r="BX259" s="82">
        <f t="shared" si="1674"/>
        <v>0</v>
      </c>
      <c r="BY259" s="82">
        <f t="shared" si="1674"/>
        <v>0</v>
      </c>
      <c r="BZ259" s="82">
        <f>SUM(BZ260:BZ263,BZ264,BZ271:BZ272)</f>
        <v>0</v>
      </c>
      <c r="CA259" s="82"/>
      <c r="CB259" s="82">
        <f t="shared" ref="CB259:CJ259" si="1675">SUM(CB260:CB263,CB264,CB271:CB272)</f>
        <v>0</v>
      </c>
      <c r="CC259" s="82">
        <f t="shared" si="1675"/>
        <v>0</v>
      </c>
      <c r="CD259" s="82">
        <f t="shared" si="1675"/>
        <v>0</v>
      </c>
      <c r="CE259" s="82">
        <f t="shared" si="1675"/>
        <v>0</v>
      </c>
      <c r="CF259" s="82">
        <f t="shared" si="1675"/>
        <v>0</v>
      </c>
      <c r="CG259" s="82">
        <f t="shared" si="1675"/>
        <v>0</v>
      </c>
      <c r="CH259" s="82">
        <f t="shared" si="1675"/>
        <v>0</v>
      </c>
      <c r="CI259" s="82">
        <f t="shared" si="1675"/>
        <v>0</v>
      </c>
      <c r="CJ259" s="82">
        <f t="shared" si="1675"/>
        <v>0</v>
      </c>
      <c r="CK259" s="82">
        <f>SUM(CK260:CK263,CK264,CK271:CK272)</f>
        <v>0</v>
      </c>
      <c r="CL259" s="82"/>
      <c r="CM259" s="82">
        <f t="shared" ref="CM259:CV259" si="1676">SUM(CM260:CM263,CM264,CM271:CM272)</f>
        <v>0</v>
      </c>
      <c r="CN259" s="82">
        <f t="shared" si="1676"/>
        <v>0</v>
      </c>
      <c r="CO259" s="82">
        <f t="shared" si="1676"/>
        <v>0</v>
      </c>
      <c r="CP259" s="82">
        <f t="shared" si="1676"/>
        <v>0</v>
      </c>
      <c r="CQ259" s="82">
        <f t="shared" si="1676"/>
        <v>0</v>
      </c>
      <c r="CR259" s="82">
        <f t="shared" si="1676"/>
        <v>0</v>
      </c>
      <c r="CS259" s="82">
        <f t="shared" si="1676"/>
        <v>0</v>
      </c>
      <c r="CT259" s="82">
        <f t="shared" si="1676"/>
        <v>0</v>
      </c>
      <c r="CU259" s="82">
        <f t="shared" si="1676"/>
        <v>0</v>
      </c>
      <c r="CV259" s="82">
        <f t="shared" si="1676"/>
        <v>0</v>
      </c>
      <c r="CW259" s="82"/>
      <c r="CX259" s="82">
        <f t="shared" ref="CX259:DF259" si="1677">SUM(CX260:CX263,CX264,CX271:CX272)</f>
        <v>0</v>
      </c>
      <c r="CY259" s="82">
        <f t="shared" si="1677"/>
        <v>0</v>
      </c>
      <c r="CZ259" s="82">
        <f t="shared" si="1677"/>
        <v>0</v>
      </c>
      <c r="DA259" s="82">
        <f t="shared" si="1677"/>
        <v>0</v>
      </c>
      <c r="DB259" s="82">
        <f t="shared" si="1677"/>
        <v>0</v>
      </c>
      <c r="DC259" s="82">
        <f t="shared" si="1677"/>
        <v>0</v>
      </c>
      <c r="DD259" s="82">
        <f t="shared" si="1677"/>
        <v>0</v>
      </c>
      <c r="DE259" s="82">
        <f t="shared" si="1677"/>
        <v>0</v>
      </c>
      <c r="DF259" s="82">
        <f t="shared" si="1677"/>
        <v>0</v>
      </c>
      <c r="DG259" s="82">
        <f>SUM(DG260:DG263,DG264,DG271:DG272)</f>
        <v>0</v>
      </c>
      <c r="DH259" s="82"/>
      <c r="DI259" s="82">
        <f t="shared" ref="DI259:DQ259" si="1678">SUM(DI260:DI263,DI264,DI271:DI272)</f>
        <v>0</v>
      </c>
      <c r="DJ259" s="82">
        <f t="shared" si="1678"/>
        <v>0</v>
      </c>
      <c r="DK259" s="82">
        <f t="shared" si="1678"/>
        <v>0</v>
      </c>
      <c r="DL259" s="82">
        <f t="shared" si="1678"/>
        <v>0</v>
      </c>
      <c r="DM259" s="82">
        <f t="shared" si="1678"/>
        <v>0</v>
      </c>
      <c r="DN259" s="82">
        <f t="shared" si="1678"/>
        <v>0</v>
      </c>
      <c r="DO259" s="82">
        <f t="shared" si="1678"/>
        <v>0</v>
      </c>
      <c r="DP259" s="82">
        <f t="shared" si="1678"/>
        <v>0</v>
      </c>
      <c r="DQ259" s="82">
        <f t="shared" si="1678"/>
        <v>0</v>
      </c>
      <c r="DR259" s="82">
        <f>SUM(DR260:DR263,DR264,DR271:DR272)</f>
        <v>0</v>
      </c>
      <c r="DS259" s="82"/>
      <c r="DT259" s="82">
        <f t="shared" ref="DT259:EB259" si="1679">SUM(DT260:DT263,DT264,DT271:DT272)</f>
        <v>0</v>
      </c>
      <c r="DU259" s="82">
        <f t="shared" si="1679"/>
        <v>0</v>
      </c>
      <c r="DV259" s="82">
        <f t="shared" si="1679"/>
        <v>0</v>
      </c>
      <c r="DW259" s="82">
        <f t="shared" si="1679"/>
        <v>0</v>
      </c>
      <c r="DX259" s="82">
        <f t="shared" si="1679"/>
        <v>0</v>
      </c>
      <c r="DY259" s="82">
        <f t="shared" si="1679"/>
        <v>0</v>
      </c>
      <c r="DZ259" s="82">
        <f t="shared" si="1679"/>
        <v>0</v>
      </c>
      <c r="EA259" s="82">
        <f t="shared" si="1679"/>
        <v>0</v>
      </c>
      <c r="EB259" s="82">
        <f t="shared" si="1679"/>
        <v>0</v>
      </c>
      <c r="EC259" s="82">
        <f>SUM(EC260:EC263,EC264,EC271:EC272)</f>
        <v>0</v>
      </c>
      <c r="ED259" s="82"/>
      <c r="EE259" s="82">
        <f t="shared" ref="EE259:EN259" si="1680">SUM(EE260:EE263,EE264,EE271:EE272)</f>
        <v>0</v>
      </c>
      <c r="EF259" s="82">
        <f t="shared" si="1680"/>
        <v>0</v>
      </c>
      <c r="EG259" s="82">
        <f t="shared" si="1680"/>
        <v>0</v>
      </c>
      <c r="EH259" s="82">
        <f t="shared" si="1680"/>
        <v>0</v>
      </c>
      <c r="EI259" s="82">
        <f t="shared" si="1680"/>
        <v>0</v>
      </c>
      <c r="EJ259" s="82">
        <f t="shared" si="1680"/>
        <v>0</v>
      </c>
      <c r="EK259" s="82">
        <f t="shared" si="1680"/>
        <v>0</v>
      </c>
      <c r="EL259" s="82">
        <f t="shared" si="1680"/>
        <v>0</v>
      </c>
      <c r="EM259" s="82">
        <f t="shared" si="1680"/>
        <v>0</v>
      </c>
      <c r="EN259" s="82">
        <f t="shared" si="1680"/>
        <v>0</v>
      </c>
      <c r="EO259" s="82"/>
      <c r="EP259" s="82">
        <f t="shared" ref="EP259:EX259" si="1681">SUM(EP260:EP263,EP264,EP271:EP272)</f>
        <v>0</v>
      </c>
      <c r="EQ259" s="82">
        <f t="shared" si="1681"/>
        <v>0</v>
      </c>
      <c r="ER259" s="82">
        <f t="shared" si="1681"/>
        <v>0</v>
      </c>
      <c r="ES259" s="82">
        <f t="shared" si="1681"/>
        <v>0</v>
      </c>
      <c r="ET259" s="82">
        <f t="shared" si="1681"/>
        <v>0</v>
      </c>
      <c r="EU259" s="82">
        <f t="shared" si="1681"/>
        <v>0</v>
      </c>
      <c r="EV259" s="82">
        <f t="shared" si="1681"/>
        <v>0</v>
      </c>
      <c r="EW259" s="82">
        <f t="shared" si="1681"/>
        <v>0</v>
      </c>
      <c r="EX259" s="82">
        <f t="shared" si="1681"/>
        <v>0</v>
      </c>
      <c r="EY259" s="82">
        <f>SUM(EY260:EY263,EY264,EY271:EY272)</f>
        <v>0</v>
      </c>
      <c r="EZ259" s="82"/>
      <c r="FA259" s="82">
        <f t="shared" ref="FA259:FI259" si="1682">SUM(FA260:FA263,FA264,FA271:FA272)</f>
        <v>0</v>
      </c>
      <c r="FB259" s="82">
        <f t="shared" si="1682"/>
        <v>0</v>
      </c>
      <c r="FC259" s="82">
        <f t="shared" si="1682"/>
        <v>0</v>
      </c>
      <c r="FD259" s="82">
        <f t="shared" si="1682"/>
        <v>0</v>
      </c>
      <c r="FE259" s="82">
        <f t="shared" si="1682"/>
        <v>0</v>
      </c>
      <c r="FF259" s="82">
        <f t="shared" si="1682"/>
        <v>0</v>
      </c>
      <c r="FG259" s="82">
        <f t="shared" si="1682"/>
        <v>0</v>
      </c>
      <c r="FH259" s="82">
        <f t="shared" si="1682"/>
        <v>0</v>
      </c>
      <c r="FI259" s="82">
        <f t="shared" si="1682"/>
        <v>0</v>
      </c>
      <c r="FJ259" s="82">
        <f>SUM(FJ260:FJ263,FJ264,FJ271:FJ272)</f>
        <v>0</v>
      </c>
      <c r="FK259" s="82"/>
      <c r="FL259" s="82">
        <f t="shared" ref="FL259:FT259" si="1683">SUM(FL260:FL263,FL264,FL271:FL272)</f>
        <v>0</v>
      </c>
      <c r="FM259" s="82">
        <f t="shared" si="1683"/>
        <v>0</v>
      </c>
      <c r="FN259" s="82">
        <f t="shared" si="1683"/>
        <v>0</v>
      </c>
      <c r="FO259" s="82">
        <f t="shared" si="1683"/>
        <v>0</v>
      </c>
      <c r="FP259" s="82">
        <f t="shared" si="1683"/>
        <v>0</v>
      </c>
      <c r="FQ259" s="82">
        <f t="shared" si="1683"/>
        <v>0</v>
      </c>
      <c r="FR259" s="82">
        <f t="shared" si="1683"/>
        <v>0</v>
      </c>
      <c r="FS259" s="82">
        <f t="shared" si="1683"/>
        <v>0</v>
      </c>
      <c r="FT259" s="82">
        <f t="shared" si="1683"/>
        <v>0</v>
      </c>
      <c r="FU259" s="82">
        <f>SUM(FU260:FU263,FU264,FU271:FU272)</f>
        <v>0</v>
      </c>
      <c r="FV259" s="82"/>
      <c r="FW259" s="82">
        <f t="shared" ref="FW259:GF259" si="1684">SUM(FW260:FW263,FW264,FW271:FW272)</f>
        <v>0</v>
      </c>
      <c r="FX259" s="82">
        <f t="shared" si="1684"/>
        <v>0</v>
      </c>
      <c r="FY259" s="82">
        <f t="shared" si="1684"/>
        <v>0</v>
      </c>
      <c r="FZ259" s="82">
        <f t="shared" si="1684"/>
        <v>0</v>
      </c>
      <c r="GA259" s="82">
        <f t="shared" si="1684"/>
        <v>0</v>
      </c>
      <c r="GB259" s="82">
        <f t="shared" si="1684"/>
        <v>0</v>
      </c>
      <c r="GC259" s="82">
        <f t="shared" si="1684"/>
        <v>0</v>
      </c>
      <c r="GD259" s="82">
        <f t="shared" si="1684"/>
        <v>0</v>
      </c>
      <c r="GE259" s="82">
        <f t="shared" si="1684"/>
        <v>0</v>
      </c>
      <c r="GF259" s="82">
        <f t="shared" si="1684"/>
        <v>0</v>
      </c>
      <c r="GG259" s="82"/>
      <c r="GH259" s="82">
        <f t="shared" ref="GH259:GU259" si="1685">SUM(GH260:GH263,GH264,GH271:GH272)</f>
        <v>0</v>
      </c>
      <c r="GI259" s="82">
        <f t="shared" si="1685"/>
        <v>0</v>
      </c>
      <c r="GJ259" s="82">
        <f t="shared" si="1685"/>
        <v>0</v>
      </c>
      <c r="GK259" s="82">
        <f t="shared" si="1685"/>
        <v>0</v>
      </c>
      <c r="GL259" s="82">
        <f t="shared" si="1685"/>
        <v>0</v>
      </c>
      <c r="GM259" s="82">
        <f t="shared" si="1685"/>
        <v>0</v>
      </c>
      <c r="GN259" s="82">
        <f t="shared" si="1685"/>
        <v>0</v>
      </c>
      <c r="GO259" s="82">
        <f t="shared" si="1685"/>
        <v>0</v>
      </c>
      <c r="GP259" s="82">
        <f t="shared" si="1685"/>
        <v>0</v>
      </c>
      <c r="GQ259" s="82">
        <f t="shared" si="1685"/>
        <v>0</v>
      </c>
      <c r="GR259" s="82">
        <f t="shared" si="1685"/>
        <v>0</v>
      </c>
      <c r="GS259" s="82">
        <f t="shared" si="1685"/>
        <v>0</v>
      </c>
      <c r="GT259" s="82">
        <f t="shared" si="1685"/>
        <v>0</v>
      </c>
      <c r="GU259" s="82">
        <f t="shared" si="1685"/>
        <v>0</v>
      </c>
      <c r="GV259" s="82">
        <f>SUM(GV261:GV263,GV264,GV271:GV272,GV260)</f>
        <v>0</v>
      </c>
      <c r="GW259" s="82">
        <f>SUM(GW260:GW263,GW264,GW271:GW272)</f>
        <v>0</v>
      </c>
      <c r="GX259" s="82">
        <f>SUM(GX260:GX263,GX264,GX271:GX272)</f>
        <v>0</v>
      </c>
      <c r="GY259" s="82">
        <f>SUM(GY260:GY263,GY264,GY271:GY272)</f>
        <v>0</v>
      </c>
      <c r="GZ259" s="82">
        <f>SUM(GZ260:GZ263,GZ264,GZ271:GZ272)</f>
        <v>0</v>
      </c>
      <c r="HA259" s="82">
        <f>SUM(HA261:HA263,HA264,HA271:HA272,HA260)</f>
        <v>0</v>
      </c>
      <c r="HB259" s="82">
        <f>SUM(HB260:HB263,HB264,HB271:HB272)</f>
        <v>0</v>
      </c>
      <c r="HC259" s="82">
        <f>SUM(HC260:HC263,HC264,HC271:HC272)</f>
        <v>0</v>
      </c>
      <c r="HD259" s="82">
        <f>SUM(HD260:HD263,HD264,HD271:HD272)</f>
        <v>0</v>
      </c>
      <c r="HE259" s="82">
        <f>SUM(HE260:HE263,HE264,HE271:HE272)</f>
        <v>0</v>
      </c>
      <c r="HF259" s="82">
        <f>SUM(HF261:HF263,HF264,HF271:HF272,HF260)</f>
        <v>0</v>
      </c>
      <c r="HG259" s="82">
        <f>SUM(HG260:HG263,HG264,HG271:HG272)</f>
        <v>0</v>
      </c>
      <c r="HH259" s="82">
        <f>SUM(HH260:HH263,HH264,HH271:HH272)</f>
        <v>0</v>
      </c>
      <c r="HI259" s="82">
        <f>SUM(HI260:HI263,HI264,HI271:HI272)</f>
        <v>0</v>
      </c>
      <c r="HJ259" s="82">
        <f>SUM(HJ260:HJ263,HJ264,HJ271:HJ272)</f>
        <v>0</v>
      </c>
      <c r="HK259" s="82">
        <f>SUM(HK261:HK263,HK264,HK271:HK272,HK260)</f>
        <v>0</v>
      </c>
      <c r="HL259" s="82">
        <f>SUM(HL260:HL263,HL264,HL271:HL272)</f>
        <v>0</v>
      </c>
      <c r="HM259" s="82">
        <f>SUM(HM260:HM263,HM264,HM271:HM272)</f>
        <v>0</v>
      </c>
      <c r="HN259" s="82">
        <f>SUM(HN260:HN263,HN264,HN271:HN272)</f>
        <v>0</v>
      </c>
      <c r="HO259" s="82">
        <f>SUM(HO260:HO263,HO264,HO271:HO272)</f>
        <v>0</v>
      </c>
      <c r="HP259" s="82">
        <f>SUM(HP261:HP263,HP264,HP271:HP272,HP260)</f>
        <v>0</v>
      </c>
      <c r="HQ259" s="82">
        <f>SUM(HQ260:HQ263,HQ264,HQ271:HQ272)</f>
        <v>0</v>
      </c>
      <c r="HR259" s="82">
        <f>SUM(HR260:HR263,HR264,HR271:HR272)</f>
        <v>0</v>
      </c>
      <c r="HS259" s="82">
        <f>SUM(HS260:HS263,HS264,HS271:HS272)</f>
        <v>0</v>
      </c>
      <c r="HT259" s="82">
        <f>SUM(HT260:HT263,HT264,HT271:HT272)</f>
        <v>0</v>
      </c>
      <c r="HU259" s="82">
        <f>SUM(HU261:HU263,HU264,HU271:HU272,HU260)</f>
        <v>0</v>
      </c>
      <c r="HV259" s="82">
        <f>SUM(HV260:HV263,HV264,HV271:HV272)</f>
        <v>0</v>
      </c>
      <c r="HW259" s="82">
        <f>SUM(HW260:HW263,HW264,HW271:HW272)</f>
        <v>0</v>
      </c>
      <c r="HX259" s="82">
        <f>SUM(HX260:HX263,HX264,HX271:HX272)</f>
        <v>0</v>
      </c>
      <c r="HY259" s="82">
        <f>SUM(HY260:HY263,HY264,HY271:HY272)</f>
        <v>0</v>
      </c>
      <c r="HZ259" s="82">
        <f>SUM(HZ261:HZ263,HZ264,HZ271:HZ272,HZ260)</f>
        <v>0</v>
      </c>
      <c r="IA259" s="82">
        <f>SUM(IA260:IA263,IA264,IA271:IA272)</f>
        <v>0</v>
      </c>
      <c r="IB259" s="82">
        <f>SUM(IB260:IB263,IB264,IB271:IB272)</f>
        <v>0</v>
      </c>
      <c r="IC259" s="82">
        <f>SUM(IC260:IC263,IC264,IC271:IC272)</f>
        <v>0</v>
      </c>
      <c r="ID259" s="82">
        <f>SUM(ID260:ID263,ID264,ID271:ID272)</f>
        <v>0</v>
      </c>
      <c r="IE259" s="82">
        <f>SUM(IE261:IE263,IE264,IE271:IE272,IE260)</f>
        <v>0</v>
      </c>
      <c r="IF259" s="82">
        <f>SUM(IF260:IF263,IF264,IF271:IF272)</f>
        <v>0</v>
      </c>
      <c r="IG259" s="82">
        <f>SUM(IG260:IG263,IG264,IG271:IG272)</f>
        <v>0</v>
      </c>
      <c r="IH259" s="82">
        <f>SUM(IH260:IH263,IH264,IH271:IH272)</f>
        <v>0</v>
      </c>
      <c r="II259" s="82">
        <f>SUM(II260:II263,II264,II271:II272)</f>
        <v>0</v>
      </c>
      <c r="IJ259" s="82">
        <f>SUM(IJ261:IJ263,IJ264,IJ271:IJ272,IJ260)</f>
        <v>0</v>
      </c>
      <c r="IK259" s="82">
        <f>SUM(IK260:IK263,IK264,IK271:IK272)</f>
        <v>0</v>
      </c>
      <c r="IL259" s="82">
        <f>SUM(IL260:IL263,IL264,IL271:IL272)</f>
        <v>0</v>
      </c>
      <c r="IM259" s="82">
        <f>SUM(IM260:IM263,IM264,IM271:IM272)</f>
        <v>0</v>
      </c>
      <c r="IN259" s="82">
        <f>SUM(IN260:IN263,IN264,IN271:IN272)</f>
        <v>0</v>
      </c>
      <c r="IO259" s="82">
        <f>SUM(IO261:IO263,IO264,IO271:IO272,IO260)</f>
        <v>0</v>
      </c>
      <c r="IP259" s="82">
        <f>SUM(IP260:IP263,IP264,IP271:IP272)</f>
        <v>0</v>
      </c>
      <c r="IQ259" s="82">
        <f>SUM(IQ260:IQ263,IQ264,IQ271:IQ272)</f>
        <v>0</v>
      </c>
      <c r="IR259" s="82">
        <f>SUM(IR260:IR263,IR264,IR271:IR272)</f>
        <v>0</v>
      </c>
      <c r="IS259" s="82">
        <f>SUM(IS260:IS263,IS264,IS271:IS272)</f>
        <v>0</v>
      </c>
      <c r="IT259" s="82">
        <f>SUM(IT261:IT263,IT264,IT271:IT272,IT260)</f>
        <v>0</v>
      </c>
      <c r="IU259" s="82">
        <f>SUM(IU260:IU263,IU264,IU271:IU272)</f>
        <v>0</v>
      </c>
      <c r="IV259" s="82">
        <f>SUM(IV260:IV263,IV264,IV271:IV272)</f>
        <v>0</v>
      </c>
    </row>
    <row r="260" spans="1:256" x14ac:dyDescent="0.25">
      <c r="A260" s="83" t="s">
        <v>208</v>
      </c>
      <c r="B260" s="62">
        <v>1</v>
      </c>
      <c r="C260" s="63"/>
      <c r="D260" s="63"/>
      <c r="E260" s="63"/>
      <c r="F260" s="63"/>
      <c r="G260" s="63"/>
      <c r="H260" s="63"/>
      <c r="I260" s="63"/>
      <c r="J260" s="63"/>
      <c r="K260" s="63"/>
      <c r="L260" s="64">
        <f>SUM(C260:F260,H260:K260)</f>
        <v>0</v>
      </c>
      <c r="M260" s="62"/>
      <c r="N260" s="63"/>
      <c r="O260" s="63"/>
      <c r="P260" s="63"/>
      <c r="Q260" s="63"/>
      <c r="R260" s="63"/>
      <c r="S260" s="63"/>
      <c r="T260" s="63"/>
      <c r="U260" s="63"/>
      <c r="V260" s="63"/>
      <c r="W260" s="64">
        <f>SUM(N260:Q260,S260:V260)</f>
        <v>0</v>
      </c>
      <c r="X260" s="62"/>
      <c r="Y260" s="63"/>
      <c r="Z260" s="63"/>
      <c r="AA260" s="63"/>
      <c r="AB260" s="63"/>
      <c r="AC260" s="63"/>
      <c r="AD260" s="63"/>
      <c r="AE260" s="63"/>
      <c r="AF260" s="63"/>
      <c r="AG260" s="63"/>
      <c r="AH260" s="64">
        <f>SUM(Y260:AB260,AD260:AG260)</f>
        <v>0</v>
      </c>
      <c r="AI260" s="62"/>
      <c r="AJ260" s="63"/>
      <c r="AK260" s="63"/>
      <c r="AL260" s="63"/>
      <c r="AM260" s="63"/>
      <c r="AN260" s="63"/>
      <c r="AO260" s="63"/>
      <c r="AP260" s="63"/>
      <c r="AQ260" s="63"/>
      <c r="AR260" s="63"/>
      <c r="AS260" s="64">
        <f>SUM(AJ260:AM260,AO260:AR260)</f>
        <v>0</v>
      </c>
      <c r="AT260" s="65">
        <f t="shared" ref="AT260:BC263" si="1686">SUM(M260,AI260,X260)</f>
        <v>0</v>
      </c>
      <c r="AU260" s="65">
        <f t="shared" si="1686"/>
        <v>0</v>
      </c>
      <c r="AV260" s="65">
        <f t="shared" si="1686"/>
        <v>0</v>
      </c>
      <c r="AW260" s="65">
        <f t="shared" si="1686"/>
        <v>0</v>
      </c>
      <c r="AX260" s="65">
        <f t="shared" si="1686"/>
        <v>0</v>
      </c>
      <c r="AY260" s="65">
        <f t="shared" si="1686"/>
        <v>0</v>
      </c>
      <c r="AZ260" s="65">
        <f t="shared" si="1686"/>
        <v>0</v>
      </c>
      <c r="BA260" s="65">
        <f t="shared" si="1686"/>
        <v>0</v>
      </c>
      <c r="BB260" s="65">
        <f t="shared" si="1686"/>
        <v>0</v>
      </c>
      <c r="BC260" s="65">
        <f t="shared" si="1686"/>
        <v>0</v>
      </c>
      <c r="BD260" s="64">
        <f>SUM(AU260:AX260,AZ260:BC260)</f>
        <v>0</v>
      </c>
      <c r="BE260" s="62"/>
      <c r="BF260" s="63"/>
      <c r="BG260" s="63"/>
      <c r="BH260" s="63"/>
      <c r="BI260" s="63"/>
      <c r="BJ260" s="63"/>
      <c r="BK260" s="63"/>
      <c r="BL260" s="63"/>
      <c r="BM260" s="63"/>
      <c r="BN260" s="63"/>
      <c r="BO260" s="64">
        <f>SUM(BF260:BI260,BK260:BN260)</f>
        <v>0</v>
      </c>
      <c r="BP260" s="62"/>
      <c r="BQ260" s="63"/>
      <c r="BR260" s="63"/>
      <c r="BS260" s="63"/>
      <c r="BT260" s="63"/>
      <c r="BU260" s="63"/>
      <c r="BV260" s="63"/>
      <c r="BW260" s="63"/>
      <c r="BX260" s="63"/>
      <c r="BY260" s="63"/>
      <c r="BZ260" s="64">
        <f>SUM(BQ260:BT260,BV260:BY260)</f>
        <v>0</v>
      </c>
      <c r="CA260" s="62"/>
      <c r="CB260" s="63"/>
      <c r="CC260" s="63"/>
      <c r="CD260" s="63"/>
      <c r="CE260" s="63"/>
      <c r="CF260" s="63"/>
      <c r="CG260" s="63"/>
      <c r="CH260" s="63"/>
      <c r="CI260" s="63"/>
      <c r="CJ260" s="63"/>
      <c r="CK260" s="64">
        <f>SUM(CB260:CE260,CG260:CJ260)</f>
        <v>0</v>
      </c>
      <c r="CL260" s="65">
        <f t="shared" ref="CL260:CU263" si="1687">SUM(BE260,CA260,BP260)</f>
        <v>0</v>
      </c>
      <c r="CM260" s="65">
        <f t="shared" si="1687"/>
        <v>0</v>
      </c>
      <c r="CN260" s="65">
        <f t="shared" si="1687"/>
        <v>0</v>
      </c>
      <c r="CO260" s="65">
        <f t="shared" si="1687"/>
        <v>0</v>
      </c>
      <c r="CP260" s="65">
        <f t="shared" si="1687"/>
        <v>0</v>
      </c>
      <c r="CQ260" s="65">
        <f t="shared" si="1687"/>
        <v>0</v>
      </c>
      <c r="CR260" s="65">
        <f t="shared" si="1687"/>
        <v>0</v>
      </c>
      <c r="CS260" s="65">
        <f t="shared" si="1687"/>
        <v>0</v>
      </c>
      <c r="CT260" s="65">
        <f t="shared" si="1687"/>
        <v>0</v>
      </c>
      <c r="CU260" s="65">
        <f t="shared" si="1687"/>
        <v>0</v>
      </c>
      <c r="CV260" s="64">
        <f>SUM(CM260:CP260,CR260:CU260)</f>
        <v>0</v>
      </c>
      <c r="CW260" s="62"/>
      <c r="CX260" s="63"/>
      <c r="CY260" s="63"/>
      <c r="CZ260" s="63"/>
      <c r="DA260" s="63"/>
      <c r="DB260" s="63"/>
      <c r="DC260" s="63"/>
      <c r="DD260" s="63"/>
      <c r="DE260" s="63"/>
      <c r="DF260" s="63"/>
      <c r="DG260" s="64">
        <f>SUM(CX260:DA260,DC260:DF260)</f>
        <v>0</v>
      </c>
      <c r="DH260" s="62"/>
      <c r="DI260" s="63"/>
      <c r="DJ260" s="63"/>
      <c r="DK260" s="63"/>
      <c r="DL260" s="63"/>
      <c r="DM260" s="63"/>
      <c r="DN260" s="63"/>
      <c r="DO260" s="63"/>
      <c r="DP260" s="63"/>
      <c r="DQ260" s="63"/>
      <c r="DR260" s="64">
        <f>SUM(DI260:DL260,DN260:DQ260)</f>
        <v>0</v>
      </c>
      <c r="DS260" s="62"/>
      <c r="DT260" s="63"/>
      <c r="DU260" s="63"/>
      <c r="DV260" s="63"/>
      <c r="DW260" s="63"/>
      <c r="DX260" s="63"/>
      <c r="DY260" s="63"/>
      <c r="DZ260" s="63"/>
      <c r="EA260" s="63"/>
      <c r="EB260" s="63"/>
      <c r="EC260" s="63"/>
      <c r="ED260" s="65">
        <f t="shared" ref="ED260:EM263" si="1688">SUM(CW260,DS260,DH260)</f>
        <v>0</v>
      </c>
      <c r="EE260" s="65">
        <f t="shared" si="1688"/>
        <v>0</v>
      </c>
      <c r="EF260" s="65">
        <f t="shared" si="1688"/>
        <v>0</v>
      </c>
      <c r="EG260" s="65">
        <f t="shared" si="1688"/>
        <v>0</v>
      </c>
      <c r="EH260" s="65">
        <f t="shared" si="1688"/>
        <v>0</v>
      </c>
      <c r="EI260" s="65">
        <f t="shared" si="1688"/>
        <v>0</v>
      </c>
      <c r="EJ260" s="65">
        <f t="shared" si="1688"/>
        <v>0</v>
      </c>
      <c r="EK260" s="65">
        <f t="shared" si="1688"/>
        <v>0</v>
      </c>
      <c r="EL260" s="65">
        <f t="shared" si="1688"/>
        <v>0</v>
      </c>
      <c r="EM260" s="65">
        <f t="shared" si="1688"/>
        <v>0</v>
      </c>
      <c r="EN260" s="64">
        <f>SUM(EE260:EH260,EJ260:EM260)</f>
        <v>0</v>
      </c>
      <c r="EO260" s="62"/>
      <c r="EP260" s="63"/>
      <c r="EQ260" s="63"/>
      <c r="ER260" s="63"/>
      <c r="ES260" s="63"/>
      <c r="ET260" s="63"/>
      <c r="EU260" s="63"/>
      <c r="EV260" s="63"/>
      <c r="EW260" s="63"/>
      <c r="EX260" s="63"/>
      <c r="EY260" s="64">
        <f>SUM(EP260:ES260,EU260:EX260)</f>
        <v>0</v>
      </c>
      <c r="EZ260" s="62"/>
      <c r="FA260" s="63"/>
      <c r="FB260" s="63"/>
      <c r="FC260" s="63"/>
      <c r="FD260" s="63"/>
      <c r="FE260" s="63"/>
      <c r="FF260" s="63"/>
      <c r="FG260" s="63"/>
      <c r="FH260" s="63"/>
      <c r="FI260" s="63"/>
      <c r="FJ260" s="64">
        <f>SUM(FA260:FD260,FF260:FI260)</f>
        <v>0</v>
      </c>
      <c r="FK260" s="62"/>
      <c r="FL260" s="63"/>
      <c r="FM260" s="63"/>
      <c r="FN260" s="63"/>
      <c r="FO260" s="63"/>
      <c r="FP260" s="63"/>
      <c r="FQ260" s="63"/>
      <c r="FR260" s="63"/>
      <c r="FS260" s="63"/>
      <c r="FT260" s="63"/>
      <c r="FU260" s="64">
        <f>SUM(FL260:FO260,FQ260:FT260)</f>
        <v>0</v>
      </c>
      <c r="FV260" s="65">
        <f t="shared" ref="FV260:GE263" si="1689">SUM(EO260,FK260,EZ260)</f>
        <v>0</v>
      </c>
      <c r="FW260" s="65">
        <f t="shared" si="1689"/>
        <v>0</v>
      </c>
      <c r="FX260" s="65">
        <f t="shared" si="1689"/>
        <v>0</v>
      </c>
      <c r="FY260" s="65">
        <f t="shared" si="1689"/>
        <v>0</v>
      </c>
      <c r="FZ260" s="65">
        <f t="shared" si="1689"/>
        <v>0</v>
      </c>
      <c r="GA260" s="65">
        <f t="shared" si="1689"/>
        <v>0</v>
      </c>
      <c r="GB260" s="65">
        <f t="shared" si="1689"/>
        <v>0</v>
      </c>
      <c r="GC260" s="65">
        <f t="shared" si="1689"/>
        <v>0</v>
      </c>
      <c r="GD260" s="65">
        <f t="shared" si="1689"/>
        <v>0</v>
      </c>
      <c r="GE260" s="65">
        <f t="shared" si="1689"/>
        <v>0</v>
      </c>
      <c r="GF260" s="64">
        <f>SUM(FW260:FZ260,GB260:GE260)</f>
        <v>0</v>
      </c>
      <c r="GG260" s="66">
        <f t="shared" ref="GG260:GP263" si="1690">SUM(AT260,CL260,ED260,FV260)</f>
        <v>0</v>
      </c>
      <c r="GH260" s="66">
        <f t="shared" si="1690"/>
        <v>0</v>
      </c>
      <c r="GI260" s="66">
        <f t="shared" si="1690"/>
        <v>0</v>
      </c>
      <c r="GJ260" s="66">
        <f t="shared" si="1690"/>
        <v>0</v>
      </c>
      <c r="GK260" s="66">
        <f t="shared" si="1690"/>
        <v>0</v>
      </c>
      <c r="GL260" s="66">
        <f t="shared" si="1690"/>
        <v>0</v>
      </c>
      <c r="GM260" s="66">
        <f t="shared" si="1690"/>
        <v>0</v>
      </c>
      <c r="GN260" s="66">
        <f t="shared" si="1690"/>
        <v>0</v>
      </c>
      <c r="GO260" s="66">
        <f t="shared" si="1690"/>
        <v>0</v>
      </c>
      <c r="GP260" s="66">
        <f t="shared" si="1690"/>
        <v>0</v>
      </c>
      <c r="GQ260" s="64">
        <f>SUM(GH260:GK260,GM260:GP260)</f>
        <v>0</v>
      </c>
      <c r="GR260" s="63"/>
      <c r="GS260" s="63"/>
      <c r="GT260" s="63"/>
      <c r="GU260" s="63"/>
      <c r="GV260" s="67">
        <f>SUM(GR260:GU260)</f>
        <v>0</v>
      </c>
      <c r="GW260" s="63"/>
      <c r="GX260" s="63"/>
      <c r="GY260" s="63"/>
      <c r="GZ260" s="63"/>
      <c r="HA260" s="67">
        <f>SUM(GW260:GZ260)</f>
        <v>0</v>
      </c>
      <c r="HB260" s="63"/>
      <c r="HC260" s="63"/>
      <c r="HD260" s="63"/>
      <c r="HE260" s="63"/>
      <c r="HF260" s="67">
        <f>SUM(HB260:HE260)</f>
        <v>0</v>
      </c>
      <c r="HG260" s="63"/>
      <c r="HH260" s="63"/>
      <c r="HI260" s="63"/>
      <c r="HJ260" s="63"/>
      <c r="HK260" s="67">
        <f>SUM(HG260:HJ260)</f>
        <v>0</v>
      </c>
      <c r="HL260" s="68">
        <f t="shared" ref="HL260:HO263" si="1691">SUM(GW260,HB260,HG260)</f>
        <v>0</v>
      </c>
      <c r="HM260" s="68">
        <f t="shared" si="1691"/>
        <v>0</v>
      </c>
      <c r="HN260" s="68">
        <f t="shared" si="1691"/>
        <v>0</v>
      </c>
      <c r="HO260" s="68">
        <f t="shared" si="1691"/>
        <v>0</v>
      </c>
      <c r="HP260" s="67">
        <f>SUM(HL260:HO260)</f>
        <v>0</v>
      </c>
      <c r="HQ260" s="63"/>
      <c r="HR260" s="63"/>
      <c r="HS260" s="63"/>
      <c r="HT260" s="63"/>
      <c r="HU260" s="67">
        <f>SUM(HQ260:HT260)</f>
        <v>0</v>
      </c>
      <c r="HV260" s="63"/>
      <c r="HW260" s="63"/>
      <c r="HX260" s="63"/>
      <c r="HY260" s="63"/>
      <c r="HZ260" s="67">
        <f>SUM(HV260:HY260)</f>
        <v>0</v>
      </c>
      <c r="IA260" s="63"/>
      <c r="IB260" s="63"/>
      <c r="IC260" s="63"/>
      <c r="ID260" s="63"/>
      <c r="IE260" s="67">
        <f>SUM(IA260:ID260)</f>
        <v>0</v>
      </c>
      <c r="IF260" s="68">
        <f t="shared" ref="IF260:II263" si="1692">SUM(HQ260,HV260,IA260)</f>
        <v>0</v>
      </c>
      <c r="IG260" s="68">
        <f t="shared" si="1692"/>
        <v>0</v>
      </c>
      <c r="IH260" s="68">
        <f t="shared" si="1692"/>
        <v>0</v>
      </c>
      <c r="II260" s="68">
        <f t="shared" si="1692"/>
        <v>0</v>
      </c>
      <c r="IJ260" s="67">
        <f>SUM(IF260:II260)</f>
        <v>0</v>
      </c>
      <c r="IK260" s="63"/>
      <c r="IL260" s="63"/>
      <c r="IM260" s="63"/>
      <c r="IN260" s="63"/>
      <c r="IO260" s="67">
        <f>SUM(IK260:IN260)</f>
        <v>0</v>
      </c>
      <c r="IP260" s="63"/>
      <c r="IQ260" s="63"/>
      <c r="IR260" s="63"/>
      <c r="IS260" s="63"/>
      <c r="IT260" s="67">
        <f>SUM(IP260:IS260)</f>
        <v>0</v>
      </c>
      <c r="IU260" s="63"/>
      <c r="IV260" s="63"/>
    </row>
    <row r="261" spans="1:256" x14ac:dyDescent="0.25">
      <c r="A261" s="84" t="s">
        <v>209</v>
      </c>
      <c r="B261" s="62">
        <v>0</v>
      </c>
      <c r="C261" s="63"/>
      <c r="D261" s="63"/>
      <c r="E261" s="63"/>
      <c r="F261" s="63"/>
      <c r="G261" s="63"/>
      <c r="H261" s="63"/>
      <c r="I261" s="63"/>
      <c r="J261" s="63"/>
      <c r="K261" s="63"/>
      <c r="L261" s="64">
        <f>SUM(C261:F261,H261:K261)</f>
        <v>0</v>
      </c>
      <c r="M261" s="62"/>
      <c r="N261" s="63"/>
      <c r="O261" s="63"/>
      <c r="P261" s="63"/>
      <c r="Q261" s="63"/>
      <c r="R261" s="63"/>
      <c r="S261" s="63"/>
      <c r="T261" s="63"/>
      <c r="U261" s="63"/>
      <c r="V261" s="63"/>
      <c r="W261" s="64">
        <f>SUM(N261:Q261,S261:V261)</f>
        <v>0</v>
      </c>
      <c r="X261" s="62"/>
      <c r="Y261" s="63"/>
      <c r="Z261" s="63"/>
      <c r="AA261" s="63"/>
      <c r="AB261" s="63"/>
      <c r="AC261" s="63"/>
      <c r="AD261" s="63"/>
      <c r="AE261" s="63"/>
      <c r="AF261" s="63"/>
      <c r="AG261" s="63"/>
      <c r="AH261" s="64">
        <f>SUM(Y261:AB261,AD261:AG261)</f>
        <v>0</v>
      </c>
      <c r="AI261" s="62"/>
      <c r="AJ261" s="63"/>
      <c r="AK261" s="63"/>
      <c r="AL261" s="63"/>
      <c r="AM261" s="63"/>
      <c r="AN261" s="63"/>
      <c r="AO261" s="63"/>
      <c r="AP261" s="63"/>
      <c r="AQ261" s="63"/>
      <c r="AR261" s="63"/>
      <c r="AS261" s="64">
        <f>SUM(AJ261:AM261,AO261:AR261)</f>
        <v>0</v>
      </c>
      <c r="AT261" s="65">
        <f t="shared" si="1686"/>
        <v>0</v>
      </c>
      <c r="AU261" s="65">
        <f t="shared" si="1686"/>
        <v>0</v>
      </c>
      <c r="AV261" s="65">
        <f t="shared" si="1686"/>
        <v>0</v>
      </c>
      <c r="AW261" s="65">
        <f t="shared" si="1686"/>
        <v>0</v>
      </c>
      <c r="AX261" s="65">
        <f t="shared" si="1686"/>
        <v>0</v>
      </c>
      <c r="AY261" s="65">
        <f t="shared" si="1686"/>
        <v>0</v>
      </c>
      <c r="AZ261" s="65">
        <f t="shared" si="1686"/>
        <v>0</v>
      </c>
      <c r="BA261" s="65">
        <f t="shared" si="1686"/>
        <v>0</v>
      </c>
      <c r="BB261" s="65">
        <f t="shared" si="1686"/>
        <v>0</v>
      </c>
      <c r="BC261" s="65">
        <f t="shared" si="1686"/>
        <v>0</v>
      </c>
      <c r="BD261" s="64">
        <f>SUM(AU261:AX261,AZ261:BC261)</f>
        <v>0</v>
      </c>
      <c r="BE261" s="62"/>
      <c r="BF261" s="63"/>
      <c r="BG261" s="63"/>
      <c r="BH261" s="63"/>
      <c r="BI261" s="63"/>
      <c r="BJ261" s="63"/>
      <c r="BK261" s="63"/>
      <c r="BL261" s="63"/>
      <c r="BM261" s="63"/>
      <c r="BN261" s="63"/>
      <c r="BO261" s="64">
        <f>SUM(BF261:BI261,BK261:BN261)</f>
        <v>0</v>
      </c>
      <c r="BP261" s="62"/>
      <c r="BQ261" s="63"/>
      <c r="BR261" s="63"/>
      <c r="BS261" s="63"/>
      <c r="BT261" s="63"/>
      <c r="BU261" s="63"/>
      <c r="BV261" s="63"/>
      <c r="BW261" s="63"/>
      <c r="BX261" s="63"/>
      <c r="BY261" s="63"/>
      <c r="BZ261" s="64">
        <f>SUM(BQ261:BT261,BV261:BY261)</f>
        <v>0</v>
      </c>
      <c r="CA261" s="62"/>
      <c r="CB261" s="63"/>
      <c r="CC261" s="63"/>
      <c r="CD261" s="63"/>
      <c r="CE261" s="63"/>
      <c r="CF261" s="63"/>
      <c r="CG261" s="63"/>
      <c r="CH261" s="63"/>
      <c r="CI261" s="63"/>
      <c r="CJ261" s="63"/>
      <c r="CK261" s="64">
        <f>SUM(CB261:CE261,CG261:CJ261)</f>
        <v>0</v>
      </c>
      <c r="CL261" s="65">
        <f t="shared" si="1687"/>
        <v>0</v>
      </c>
      <c r="CM261" s="65">
        <f t="shared" si="1687"/>
        <v>0</v>
      </c>
      <c r="CN261" s="65">
        <f t="shared" si="1687"/>
        <v>0</v>
      </c>
      <c r="CO261" s="65">
        <f t="shared" si="1687"/>
        <v>0</v>
      </c>
      <c r="CP261" s="65">
        <f t="shared" si="1687"/>
        <v>0</v>
      </c>
      <c r="CQ261" s="65">
        <f t="shared" si="1687"/>
        <v>0</v>
      </c>
      <c r="CR261" s="65">
        <f t="shared" si="1687"/>
        <v>0</v>
      </c>
      <c r="CS261" s="65">
        <f t="shared" si="1687"/>
        <v>0</v>
      </c>
      <c r="CT261" s="65">
        <f t="shared" si="1687"/>
        <v>0</v>
      </c>
      <c r="CU261" s="65">
        <f t="shared" si="1687"/>
        <v>0</v>
      </c>
      <c r="CV261" s="64">
        <f>SUM(CM261:CP261,CR261:CU261)</f>
        <v>0</v>
      </c>
      <c r="CW261" s="62"/>
      <c r="CX261" s="63"/>
      <c r="CY261" s="63"/>
      <c r="CZ261" s="63"/>
      <c r="DA261" s="63"/>
      <c r="DB261" s="63"/>
      <c r="DC261" s="63"/>
      <c r="DD261" s="63"/>
      <c r="DE261" s="63"/>
      <c r="DF261" s="63"/>
      <c r="DG261" s="64">
        <f>SUM(CX261:DA261,DC261:DF261)</f>
        <v>0</v>
      </c>
      <c r="DH261" s="62"/>
      <c r="DI261" s="63"/>
      <c r="DJ261" s="63"/>
      <c r="DK261" s="63"/>
      <c r="DL261" s="63"/>
      <c r="DM261" s="63"/>
      <c r="DN261" s="63"/>
      <c r="DO261" s="63"/>
      <c r="DP261" s="63"/>
      <c r="DQ261" s="63"/>
      <c r="DR261" s="64">
        <f>SUM(DI261:DL261,DN261:DQ261)</f>
        <v>0</v>
      </c>
      <c r="DS261" s="62"/>
      <c r="DT261" s="63"/>
      <c r="DU261" s="63"/>
      <c r="DV261" s="63"/>
      <c r="DW261" s="63"/>
      <c r="DX261" s="63"/>
      <c r="DY261" s="63"/>
      <c r="DZ261" s="63"/>
      <c r="EA261" s="63"/>
      <c r="EB261" s="63"/>
      <c r="EC261" s="63"/>
      <c r="ED261" s="65">
        <f t="shared" si="1688"/>
        <v>0</v>
      </c>
      <c r="EE261" s="65">
        <f t="shared" si="1688"/>
        <v>0</v>
      </c>
      <c r="EF261" s="65">
        <f t="shared" si="1688"/>
        <v>0</v>
      </c>
      <c r="EG261" s="65">
        <f t="shared" si="1688"/>
        <v>0</v>
      </c>
      <c r="EH261" s="65">
        <f t="shared" si="1688"/>
        <v>0</v>
      </c>
      <c r="EI261" s="65">
        <f t="shared" si="1688"/>
        <v>0</v>
      </c>
      <c r="EJ261" s="65">
        <f t="shared" si="1688"/>
        <v>0</v>
      </c>
      <c r="EK261" s="65">
        <f t="shared" si="1688"/>
        <v>0</v>
      </c>
      <c r="EL261" s="65">
        <f t="shared" si="1688"/>
        <v>0</v>
      </c>
      <c r="EM261" s="65">
        <f t="shared" si="1688"/>
        <v>0</v>
      </c>
      <c r="EN261" s="64">
        <f>SUM(EE261:EH261,EJ261:EM261)</f>
        <v>0</v>
      </c>
      <c r="EO261" s="62"/>
      <c r="EP261" s="63"/>
      <c r="EQ261" s="63"/>
      <c r="ER261" s="63"/>
      <c r="ES261" s="63"/>
      <c r="ET261" s="63"/>
      <c r="EU261" s="63"/>
      <c r="EV261" s="63"/>
      <c r="EW261" s="63"/>
      <c r="EX261" s="63"/>
      <c r="EY261" s="64">
        <f>SUM(EP261:ES261,EU261:EX261)</f>
        <v>0</v>
      </c>
      <c r="EZ261" s="62"/>
      <c r="FA261" s="63"/>
      <c r="FB261" s="63"/>
      <c r="FC261" s="63"/>
      <c r="FD261" s="63"/>
      <c r="FE261" s="63"/>
      <c r="FF261" s="63"/>
      <c r="FG261" s="63"/>
      <c r="FH261" s="63"/>
      <c r="FI261" s="63"/>
      <c r="FJ261" s="64">
        <f>SUM(FA261:FD261,FF261:FI261)</f>
        <v>0</v>
      </c>
      <c r="FK261" s="62"/>
      <c r="FL261" s="63"/>
      <c r="FM261" s="63"/>
      <c r="FN261" s="63"/>
      <c r="FO261" s="63"/>
      <c r="FP261" s="63"/>
      <c r="FQ261" s="63"/>
      <c r="FR261" s="63"/>
      <c r="FS261" s="63"/>
      <c r="FT261" s="63"/>
      <c r="FU261" s="64">
        <f>SUM(FL261:FO261,FQ261:FT261)</f>
        <v>0</v>
      </c>
      <c r="FV261" s="65">
        <f t="shared" si="1689"/>
        <v>0</v>
      </c>
      <c r="FW261" s="65">
        <f t="shared" si="1689"/>
        <v>0</v>
      </c>
      <c r="FX261" s="65">
        <f t="shared" si="1689"/>
        <v>0</v>
      </c>
      <c r="FY261" s="65">
        <f t="shared" si="1689"/>
        <v>0</v>
      </c>
      <c r="FZ261" s="65">
        <f t="shared" si="1689"/>
        <v>0</v>
      </c>
      <c r="GA261" s="65">
        <f t="shared" si="1689"/>
        <v>0</v>
      </c>
      <c r="GB261" s="65">
        <f t="shared" si="1689"/>
        <v>0</v>
      </c>
      <c r="GC261" s="65">
        <f t="shared" si="1689"/>
        <v>0</v>
      </c>
      <c r="GD261" s="65">
        <f t="shared" si="1689"/>
        <v>0</v>
      </c>
      <c r="GE261" s="65">
        <f t="shared" si="1689"/>
        <v>0</v>
      </c>
      <c r="GF261" s="64">
        <f>SUM(FW261:FZ261,GB261:GE261)</f>
        <v>0</v>
      </c>
      <c r="GG261" s="66">
        <f t="shared" si="1690"/>
        <v>0</v>
      </c>
      <c r="GH261" s="66">
        <f t="shared" si="1690"/>
        <v>0</v>
      </c>
      <c r="GI261" s="66">
        <f t="shared" si="1690"/>
        <v>0</v>
      </c>
      <c r="GJ261" s="66">
        <f t="shared" si="1690"/>
        <v>0</v>
      </c>
      <c r="GK261" s="66">
        <f t="shared" si="1690"/>
        <v>0</v>
      </c>
      <c r="GL261" s="66">
        <f t="shared" si="1690"/>
        <v>0</v>
      </c>
      <c r="GM261" s="66">
        <f t="shared" si="1690"/>
        <v>0</v>
      </c>
      <c r="GN261" s="66">
        <f t="shared" si="1690"/>
        <v>0</v>
      </c>
      <c r="GO261" s="66">
        <f t="shared" si="1690"/>
        <v>0</v>
      </c>
      <c r="GP261" s="66">
        <f t="shared" si="1690"/>
        <v>0</v>
      </c>
      <c r="GQ261" s="64">
        <f>SUM(GH261:GK261,GM261:GP261)</f>
        <v>0</v>
      </c>
      <c r="GR261" s="63"/>
      <c r="GS261" s="63"/>
      <c r="GT261" s="63"/>
      <c r="GU261" s="63"/>
      <c r="GV261" s="67">
        <f>SUM(GR261:GU261)</f>
        <v>0</v>
      </c>
      <c r="GW261" s="63"/>
      <c r="GX261" s="63"/>
      <c r="GY261" s="63"/>
      <c r="GZ261" s="63"/>
      <c r="HA261" s="67">
        <f>SUM(GW261:GZ261)</f>
        <v>0</v>
      </c>
      <c r="HB261" s="63"/>
      <c r="HC261" s="63"/>
      <c r="HD261" s="63"/>
      <c r="HE261" s="63"/>
      <c r="HF261" s="67">
        <f>SUM(HB261:HE261)</f>
        <v>0</v>
      </c>
      <c r="HG261" s="63"/>
      <c r="HH261" s="63"/>
      <c r="HI261" s="63"/>
      <c r="HJ261" s="63"/>
      <c r="HK261" s="67">
        <f>SUM(HG261:HJ261)</f>
        <v>0</v>
      </c>
      <c r="HL261" s="68">
        <f t="shared" si="1691"/>
        <v>0</v>
      </c>
      <c r="HM261" s="68">
        <f t="shared" si="1691"/>
        <v>0</v>
      </c>
      <c r="HN261" s="68">
        <f t="shared" si="1691"/>
        <v>0</v>
      </c>
      <c r="HO261" s="68">
        <f t="shared" si="1691"/>
        <v>0</v>
      </c>
      <c r="HP261" s="67">
        <f>SUM(HL261:HO261)</f>
        <v>0</v>
      </c>
      <c r="HQ261" s="63"/>
      <c r="HR261" s="63"/>
      <c r="HS261" s="63"/>
      <c r="HT261" s="63"/>
      <c r="HU261" s="67">
        <f>SUM(HQ261:HT261)</f>
        <v>0</v>
      </c>
      <c r="HV261" s="63"/>
      <c r="HW261" s="63"/>
      <c r="HX261" s="63"/>
      <c r="HY261" s="63"/>
      <c r="HZ261" s="67">
        <f>SUM(HV261:HY261)</f>
        <v>0</v>
      </c>
      <c r="IA261" s="63"/>
      <c r="IB261" s="63"/>
      <c r="IC261" s="63"/>
      <c r="ID261" s="63"/>
      <c r="IE261" s="67">
        <f>SUM(IA261:ID261)</f>
        <v>0</v>
      </c>
      <c r="IF261" s="68">
        <f t="shared" si="1692"/>
        <v>0</v>
      </c>
      <c r="IG261" s="68">
        <f t="shared" si="1692"/>
        <v>0</v>
      </c>
      <c r="IH261" s="68">
        <f t="shared" si="1692"/>
        <v>0</v>
      </c>
      <c r="II261" s="68">
        <f t="shared" si="1692"/>
        <v>0</v>
      </c>
      <c r="IJ261" s="67">
        <f>SUM(IF261:II261)</f>
        <v>0</v>
      </c>
      <c r="IK261" s="63"/>
      <c r="IL261" s="63"/>
      <c r="IM261" s="63"/>
      <c r="IN261" s="63"/>
      <c r="IO261" s="67">
        <f>SUM(IK261:IN261)</f>
        <v>0</v>
      </c>
      <c r="IP261" s="63"/>
      <c r="IQ261" s="63"/>
      <c r="IR261" s="63"/>
      <c r="IS261" s="63"/>
      <c r="IT261" s="67">
        <f>SUM(IP261:IS261)</f>
        <v>0</v>
      </c>
      <c r="IU261" s="63"/>
      <c r="IV261" s="63"/>
    </row>
    <row r="262" spans="1:256" x14ac:dyDescent="0.25">
      <c r="A262" s="84" t="s">
        <v>210</v>
      </c>
      <c r="B262" s="62">
        <v>0</v>
      </c>
      <c r="C262" s="63"/>
      <c r="D262" s="63"/>
      <c r="E262" s="63"/>
      <c r="F262" s="63"/>
      <c r="G262" s="63"/>
      <c r="H262" s="63"/>
      <c r="I262" s="63"/>
      <c r="J262" s="63"/>
      <c r="K262" s="63"/>
      <c r="L262" s="64">
        <f>SUM(C262:F262,H262:K262)</f>
        <v>0</v>
      </c>
      <c r="M262" s="62"/>
      <c r="N262" s="63"/>
      <c r="O262" s="63"/>
      <c r="P262" s="63"/>
      <c r="Q262" s="63"/>
      <c r="R262" s="63"/>
      <c r="S262" s="63"/>
      <c r="T262" s="63"/>
      <c r="U262" s="63"/>
      <c r="V262" s="63"/>
      <c r="W262" s="64">
        <f>SUM(N262:Q262,S262:V262)</f>
        <v>0</v>
      </c>
      <c r="X262" s="62"/>
      <c r="Y262" s="63"/>
      <c r="Z262" s="63"/>
      <c r="AA262" s="63"/>
      <c r="AB262" s="63"/>
      <c r="AC262" s="63"/>
      <c r="AD262" s="63"/>
      <c r="AE262" s="63"/>
      <c r="AF262" s="63"/>
      <c r="AG262" s="63"/>
      <c r="AH262" s="64">
        <f>SUM(Y262:AB262,AD262:AG262)</f>
        <v>0</v>
      </c>
      <c r="AI262" s="62"/>
      <c r="AJ262" s="63"/>
      <c r="AK262" s="63"/>
      <c r="AL262" s="63"/>
      <c r="AM262" s="63"/>
      <c r="AN262" s="63"/>
      <c r="AO262" s="63"/>
      <c r="AP262" s="63"/>
      <c r="AQ262" s="63"/>
      <c r="AR262" s="63"/>
      <c r="AS262" s="64">
        <f>SUM(AJ262:AM262,AO262:AR262)</f>
        <v>0</v>
      </c>
      <c r="AT262" s="65">
        <f t="shared" si="1686"/>
        <v>0</v>
      </c>
      <c r="AU262" s="65">
        <f t="shared" si="1686"/>
        <v>0</v>
      </c>
      <c r="AV262" s="65">
        <f t="shared" si="1686"/>
        <v>0</v>
      </c>
      <c r="AW262" s="65">
        <f t="shared" si="1686"/>
        <v>0</v>
      </c>
      <c r="AX262" s="65">
        <f t="shared" si="1686"/>
        <v>0</v>
      </c>
      <c r="AY262" s="65">
        <f t="shared" si="1686"/>
        <v>0</v>
      </c>
      <c r="AZ262" s="65">
        <f t="shared" si="1686"/>
        <v>0</v>
      </c>
      <c r="BA262" s="65">
        <f t="shared" si="1686"/>
        <v>0</v>
      </c>
      <c r="BB262" s="65">
        <f t="shared" si="1686"/>
        <v>0</v>
      </c>
      <c r="BC262" s="65">
        <f t="shared" si="1686"/>
        <v>0</v>
      </c>
      <c r="BD262" s="64">
        <f>SUM(AU262:AX262,AZ262:BC262)</f>
        <v>0</v>
      </c>
      <c r="BE262" s="62"/>
      <c r="BF262" s="63"/>
      <c r="BG262" s="63"/>
      <c r="BH262" s="63"/>
      <c r="BI262" s="63"/>
      <c r="BJ262" s="63"/>
      <c r="BK262" s="63"/>
      <c r="BL262" s="63"/>
      <c r="BM262" s="63"/>
      <c r="BN262" s="63"/>
      <c r="BO262" s="64">
        <f>SUM(BF262:BI262,BK262:BN262)</f>
        <v>0</v>
      </c>
      <c r="BP262" s="62"/>
      <c r="BQ262" s="63"/>
      <c r="BR262" s="63"/>
      <c r="BS262" s="63"/>
      <c r="BT262" s="63"/>
      <c r="BU262" s="63"/>
      <c r="BV262" s="63"/>
      <c r="BW262" s="63"/>
      <c r="BX262" s="63"/>
      <c r="BY262" s="63"/>
      <c r="BZ262" s="64">
        <f>SUM(BQ262:BT262,BV262:BY262)</f>
        <v>0</v>
      </c>
      <c r="CA262" s="62"/>
      <c r="CB262" s="63"/>
      <c r="CC262" s="63"/>
      <c r="CD262" s="63"/>
      <c r="CE262" s="63"/>
      <c r="CF262" s="63"/>
      <c r="CG262" s="63"/>
      <c r="CH262" s="63"/>
      <c r="CI262" s="63"/>
      <c r="CJ262" s="63"/>
      <c r="CK262" s="64">
        <f>SUM(CB262:CE262,CG262:CJ262)</f>
        <v>0</v>
      </c>
      <c r="CL262" s="65">
        <f t="shared" si="1687"/>
        <v>0</v>
      </c>
      <c r="CM262" s="65">
        <f t="shared" si="1687"/>
        <v>0</v>
      </c>
      <c r="CN262" s="65">
        <f t="shared" si="1687"/>
        <v>0</v>
      </c>
      <c r="CO262" s="65">
        <f t="shared" si="1687"/>
        <v>0</v>
      </c>
      <c r="CP262" s="65">
        <f t="shared" si="1687"/>
        <v>0</v>
      </c>
      <c r="CQ262" s="65">
        <f t="shared" si="1687"/>
        <v>0</v>
      </c>
      <c r="CR262" s="65">
        <f t="shared" si="1687"/>
        <v>0</v>
      </c>
      <c r="CS262" s="65">
        <f t="shared" si="1687"/>
        <v>0</v>
      </c>
      <c r="CT262" s="65">
        <f t="shared" si="1687"/>
        <v>0</v>
      </c>
      <c r="CU262" s="65">
        <f t="shared" si="1687"/>
        <v>0</v>
      </c>
      <c r="CV262" s="64">
        <f>SUM(CM262:CP262,CR262:CU262)</f>
        <v>0</v>
      </c>
      <c r="CW262" s="62"/>
      <c r="CX262" s="63"/>
      <c r="CY262" s="63"/>
      <c r="CZ262" s="63"/>
      <c r="DA262" s="63"/>
      <c r="DB262" s="63"/>
      <c r="DC262" s="63"/>
      <c r="DD262" s="63"/>
      <c r="DE262" s="63"/>
      <c r="DF262" s="63"/>
      <c r="DG262" s="64">
        <f>SUM(CX262:DA262,DC262:DF262)</f>
        <v>0</v>
      </c>
      <c r="DH262" s="62"/>
      <c r="DI262" s="63"/>
      <c r="DJ262" s="63"/>
      <c r="DK262" s="63"/>
      <c r="DL262" s="63"/>
      <c r="DM262" s="63"/>
      <c r="DN262" s="63"/>
      <c r="DO262" s="63"/>
      <c r="DP262" s="63"/>
      <c r="DQ262" s="63"/>
      <c r="DR262" s="64">
        <f>SUM(DI262:DL262,DN262:DQ262)</f>
        <v>0</v>
      </c>
      <c r="DS262" s="62"/>
      <c r="DT262" s="63"/>
      <c r="DU262" s="63"/>
      <c r="DV262" s="63"/>
      <c r="DW262" s="63"/>
      <c r="DX262" s="63"/>
      <c r="DY262" s="63"/>
      <c r="DZ262" s="63"/>
      <c r="EA262" s="63"/>
      <c r="EB262" s="63"/>
      <c r="EC262" s="63"/>
      <c r="ED262" s="65">
        <f t="shared" si="1688"/>
        <v>0</v>
      </c>
      <c r="EE262" s="65">
        <f t="shared" si="1688"/>
        <v>0</v>
      </c>
      <c r="EF262" s="65">
        <f t="shared" si="1688"/>
        <v>0</v>
      </c>
      <c r="EG262" s="65">
        <f t="shared" si="1688"/>
        <v>0</v>
      </c>
      <c r="EH262" s="65">
        <f t="shared" si="1688"/>
        <v>0</v>
      </c>
      <c r="EI262" s="65">
        <f t="shared" si="1688"/>
        <v>0</v>
      </c>
      <c r="EJ262" s="65">
        <f t="shared" si="1688"/>
        <v>0</v>
      </c>
      <c r="EK262" s="65">
        <f t="shared" si="1688"/>
        <v>0</v>
      </c>
      <c r="EL262" s="65">
        <f t="shared" si="1688"/>
        <v>0</v>
      </c>
      <c r="EM262" s="65">
        <f t="shared" si="1688"/>
        <v>0</v>
      </c>
      <c r="EN262" s="64">
        <f>SUM(EE262:EH262,EJ262:EM262)</f>
        <v>0</v>
      </c>
      <c r="EO262" s="62"/>
      <c r="EP262" s="63"/>
      <c r="EQ262" s="63"/>
      <c r="ER262" s="63"/>
      <c r="ES262" s="63"/>
      <c r="ET262" s="63"/>
      <c r="EU262" s="63"/>
      <c r="EV262" s="63"/>
      <c r="EW262" s="63"/>
      <c r="EX262" s="63"/>
      <c r="EY262" s="64">
        <f>SUM(EP262:ES262,EU262:EX262)</f>
        <v>0</v>
      </c>
      <c r="EZ262" s="62"/>
      <c r="FA262" s="63"/>
      <c r="FB262" s="63"/>
      <c r="FC262" s="63"/>
      <c r="FD262" s="63"/>
      <c r="FE262" s="63"/>
      <c r="FF262" s="63"/>
      <c r="FG262" s="63"/>
      <c r="FH262" s="63"/>
      <c r="FI262" s="63"/>
      <c r="FJ262" s="64">
        <f>SUM(FA262:FD262,FF262:FI262)</f>
        <v>0</v>
      </c>
      <c r="FK262" s="62"/>
      <c r="FL262" s="63"/>
      <c r="FM262" s="63"/>
      <c r="FN262" s="63"/>
      <c r="FO262" s="63"/>
      <c r="FP262" s="63"/>
      <c r="FQ262" s="63"/>
      <c r="FR262" s="63"/>
      <c r="FS262" s="63"/>
      <c r="FT262" s="63"/>
      <c r="FU262" s="64">
        <f>SUM(FL262:FO262,FQ262:FT262)</f>
        <v>0</v>
      </c>
      <c r="FV262" s="65">
        <f t="shared" si="1689"/>
        <v>0</v>
      </c>
      <c r="FW262" s="65">
        <f t="shared" si="1689"/>
        <v>0</v>
      </c>
      <c r="FX262" s="65">
        <f t="shared" si="1689"/>
        <v>0</v>
      </c>
      <c r="FY262" s="65">
        <f t="shared" si="1689"/>
        <v>0</v>
      </c>
      <c r="FZ262" s="65">
        <f t="shared" si="1689"/>
        <v>0</v>
      </c>
      <c r="GA262" s="65">
        <f t="shared" si="1689"/>
        <v>0</v>
      </c>
      <c r="GB262" s="65">
        <f t="shared" si="1689"/>
        <v>0</v>
      </c>
      <c r="GC262" s="65">
        <f t="shared" si="1689"/>
        <v>0</v>
      </c>
      <c r="GD262" s="65">
        <f t="shared" si="1689"/>
        <v>0</v>
      </c>
      <c r="GE262" s="65">
        <f t="shared" si="1689"/>
        <v>0</v>
      </c>
      <c r="GF262" s="64">
        <f>SUM(FW262:FZ262,GB262:GE262)</f>
        <v>0</v>
      </c>
      <c r="GG262" s="66">
        <f t="shared" si="1690"/>
        <v>0</v>
      </c>
      <c r="GH262" s="66">
        <f t="shared" si="1690"/>
        <v>0</v>
      </c>
      <c r="GI262" s="66">
        <f t="shared" si="1690"/>
        <v>0</v>
      </c>
      <c r="GJ262" s="66">
        <f t="shared" si="1690"/>
        <v>0</v>
      </c>
      <c r="GK262" s="66">
        <f t="shared" si="1690"/>
        <v>0</v>
      </c>
      <c r="GL262" s="66">
        <f t="shared" si="1690"/>
        <v>0</v>
      </c>
      <c r="GM262" s="66">
        <f t="shared" si="1690"/>
        <v>0</v>
      </c>
      <c r="GN262" s="66">
        <f t="shared" si="1690"/>
        <v>0</v>
      </c>
      <c r="GO262" s="66">
        <f t="shared" si="1690"/>
        <v>0</v>
      </c>
      <c r="GP262" s="66">
        <f t="shared" si="1690"/>
        <v>0</v>
      </c>
      <c r="GQ262" s="64">
        <f>SUM(GH262:GK262,GM262:GP262)</f>
        <v>0</v>
      </c>
      <c r="GR262" s="63"/>
      <c r="GS262" s="63">
        <v>0</v>
      </c>
      <c r="GT262" s="63"/>
      <c r="GU262" s="63"/>
      <c r="GV262" s="67">
        <f>SUM(GR262:GU262)</f>
        <v>0</v>
      </c>
      <c r="GW262" s="63"/>
      <c r="GX262" s="63"/>
      <c r="GY262" s="63"/>
      <c r="GZ262" s="63"/>
      <c r="HA262" s="67">
        <f>SUM(GW262:GZ262)</f>
        <v>0</v>
      </c>
      <c r="HB262" s="63"/>
      <c r="HC262" s="63"/>
      <c r="HD262" s="63"/>
      <c r="HE262" s="63"/>
      <c r="HF262" s="67">
        <f>SUM(HB262:HE262)</f>
        <v>0</v>
      </c>
      <c r="HG262" s="63"/>
      <c r="HH262" s="63"/>
      <c r="HI262" s="63"/>
      <c r="HJ262" s="63"/>
      <c r="HK262" s="67">
        <f>SUM(HG262:HJ262)</f>
        <v>0</v>
      </c>
      <c r="HL262" s="68">
        <f t="shared" si="1691"/>
        <v>0</v>
      </c>
      <c r="HM262" s="68">
        <f t="shared" si="1691"/>
        <v>0</v>
      </c>
      <c r="HN262" s="68">
        <f t="shared" si="1691"/>
        <v>0</v>
      </c>
      <c r="HO262" s="68">
        <f t="shared" si="1691"/>
        <v>0</v>
      </c>
      <c r="HP262" s="67">
        <f>SUM(HL262:HO262)</f>
        <v>0</v>
      </c>
      <c r="HQ262" s="63"/>
      <c r="HR262" s="63"/>
      <c r="HS262" s="63"/>
      <c r="HT262" s="63"/>
      <c r="HU262" s="67">
        <f>SUM(HQ262:HT262)</f>
        <v>0</v>
      </c>
      <c r="HV262" s="63"/>
      <c r="HW262" s="63"/>
      <c r="HX262" s="63"/>
      <c r="HY262" s="63"/>
      <c r="HZ262" s="67">
        <f>SUM(HV262:HY262)</f>
        <v>0</v>
      </c>
      <c r="IA262" s="63"/>
      <c r="IB262" s="63"/>
      <c r="IC262" s="63"/>
      <c r="ID262" s="63"/>
      <c r="IE262" s="67">
        <f>SUM(IA262:ID262)</f>
        <v>0</v>
      </c>
      <c r="IF262" s="68">
        <f t="shared" si="1692"/>
        <v>0</v>
      </c>
      <c r="IG262" s="68">
        <f t="shared" si="1692"/>
        <v>0</v>
      </c>
      <c r="IH262" s="68">
        <f t="shared" si="1692"/>
        <v>0</v>
      </c>
      <c r="II262" s="68">
        <f t="shared" si="1692"/>
        <v>0</v>
      </c>
      <c r="IJ262" s="67">
        <f>SUM(IF262:II262)</f>
        <v>0</v>
      </c>
      <c r="IK262" s="63"/>
      <c r="IL262" s="63"/>
      <c r="IM262" s="63"/>
      <c r="IN262" s="63"/>
      <c r="IO262" s="67">
        <f>SUM(IK262:IN262)</f>
        <v>0</v>
      </c>
      <c r="IP262" s="63"/>
      <c r="IQ262" s="63"/>
      <c r="IR262" s="63"/>
      <c r="IS262" s="63"/>
      <c r="IT262" s="67">
        <f>SUM(IP262:IS262)</f>
        <v>0</v>
      </c>
      <c r="IU262" s="63"/>
      <c r="IV262" s="63"/>
    </row>
    <row r="263" spans="1:256" x14ac:dyDescent="0.25">
      <c r="A263" s="84" t="s">
        <v>211</v>
      </c>
      <c r="B263" s="62">
        <v>0</v>
      </c>
      <c r="C263" s="63"/>
      <c r="D263" s="63"/>
      <c r="E263" s="63"/>
      <c r="F263" s="63"/>
      <c r="G263" s="63"/>
      <c r="H263" s="63"/>
      <c r="I263" s="63"/>
      <c r="J263" s="63"/>
      <c r="K263" s="63"/>
      <c r="L263" s="64">
        <f>SUM(C263:F263,H263:K263)</f>
        <v>0</v>
      </c>
      <c r="M263" s="62"/>
      <c r="N263" s="63"/>
      <c r="O263" s="63"/>
      <c r="P263" s="63"/>
      <c r="Q263" s="63"/>
      <c r="R263" s="63"/>
      <c r="S263" s="63"/>
      <c r="T263" s="63"/>
      <c r="U263" s="63"/>
      <c r="V263" s="63"/>
      <c r="W263" s="64">
        <f>SUM(N263:Q263,S263:V263)</f>
        <v>0</v>
      </c>
      <c r="X263" s="62"/>
      <c r="Y263" s="63"/>
      <c r="Z263" s="63"/>
      <c r="AA263" s="63"/>
      <c r="AB263" s="63"/>
      <c r="AC263" s="63"/>
      <c r="AD263" s="63"/>
      <c r="AE263" s="63"/>
      <c r="AF263" s="63"/>
      <c r="AG263" s="63"/>
      <c r="AH263" s="64">
        <f>SUM(Y263:AB263,AD263:AG263)</f>
        <v>0</v>
      </c>
      <c r="AI263" s="62"/>
      <c r="AJ263" s="63"/>
      <c r="AK263" s="63"/>
      <c r="AL263" s="63"/>
      <c r="AM263" s="63"/>
      <c r="AN263" s="63"/>
      <c r="AO263" s="63"/>
      <c r="AP263" s="63"/>
      <c r="AQ263" s="63"/>
      <c r="AR263" s="63"/>
      <c r="AS263" s="64">
        <f>SUM(AJ263:AM263,AO263:AR263)</f>
        <v>0</v>
      </c>
      <c r="AT263" s="65">
        <f t="shared" si="1686"/>
        <v>0</v>
      </c>
      <c r="AU263" s="65">
        <f t="shared" si="1686"/>
        <v>0</v>
      </c>
      <c r="AV263" s="65">
        <f t="shared" si="1686"/>
        <v>0</v>
      </c>
      <c r="AW263" s="65">
        <f t="shared" si="1686"/>
        <v>0</v>
      </c>
      <c r="AX263" s="65">
        <f t="shared" si="1686"/>
        <v>0</v>
      </c>
      <c r="AY263" s="65">
        <f t="shared" si="1686"/>
        <v>0</v>
      </c>
      <c r="AZ263" s="65">
        <f t="shared" si="1686"/>
        <v>0</v>
      </c>
      <c r="BA263" s="65">
        <f t="shared" si="1686"/>
        <v>0</v>
      </c>
      <c r="BB263" s="65">
        <f t="shared" si="1686"/>
        <v>0</v>
      </c>
      <c r="BC263" s="65">
        <f t="shared" si="1686"/>
        <v>0</v>
      </c>
      <c r="BD263" s="64">
        <f>SUM(AU263:AX263,AZ263:BC263)</f>
        <v>0</v>
      </c>
      <c r="BE263" s="62"/>
      <c r="BF263" s="63"/>
      <c r="BG263" s="63"/>
      <c r="BH263" s="63"/>
      <c r="BI263" s="63"/>
      <c r="BJ263" s="63"/>
      <c r="BK263" s="63"/>
      <c r="BL263" s="63"/>
      <c r="BM263" s="63"/>
      <c r="BN263" s="63"/>
      <c r="BO263" s="64">
        <f>SUM(BF263:BI263,BK263:BN263)</f>
        <v>0</v>
      </c>
      <c r="BP263" s="62"/>
      <c r="BQ263" s="63"/>
      <c r="BR263" s="63"/>
      <c r="BS263" s="63"/>
      <c r="BT263" s="63"/>
      <c r="BU263" s="63"/>
      <c r="BV263" s="63"/>
      <c r="BW263" s="63"/>
      <c r="BX263" s="63"/>
      <c r="BY263" s="63"/>
      <c r="BZ263" s="64">
        <f>SUM(BQ263:BT263,BV263:BY263)</f>
        <v>0</v>
      </c>
      <c r="CA263" s="62"/>
      <c r="CB263" s="63"/>
      <c r="CC263" s="63"/>
      <c r="CD263" s="63"/>
      <c r="CE263" s="63"/>
      <c r="CF263" s="63"/>
      <c r="CG263" s="63"/>
      <c r="CH263" s="63"/>
      <c r="CI263" s="63"/>
      <c r="CJ263" s="63"/>
      <c r="CK263" s="64">
        <f>SUM(CB263:CE263,CG263:CJ263)</f>
        <v>0</v>
      </c>
      <c r="CL263" s="65">
        <f t="shared" si="1687"/>
        <v>0</v>
      </c>
      <c r="CM263" s="65">
        <f t="shared" si="1687"/>
        <v>0</v>
      </c>
      <c r="CN263" s="65">
        <f t="shared" si="1687"/>
        <v>0</v>
      </c>
      <c r="CO263" s="65">
        <f t="shared" si="1687"/>
        <v>0</v>
      </c>
      <c r="CP263" s="65">
        <f t="shared" si="1687"/>
        <v>0</v>
      </c>
      <c r="CQ263" s="65">
        <f t="shared" si="1687"/>
        <v>0</v>
      </c>
      <c r="CR263" s="65">
        <f t="shared" si="1687"/>
        <v>0</v>
      </c>
      <c r="CS263" s="65">
        <f t="shared" si="1687"/>
        <v>0</v>
      </c>
      <c r="CT263" s="65">
        <f t="shared" si="1687"/>
        <v>0</v>
      </c>
      <c r="CU263" s="65">
        <f t="shared" si="1687"/>
        <v>0</v>
      </c>
      <c r="CV263" s="64">
        <f>SUM(CM263:CP263,CR263:CU263)</f>
        <v>0</v>
      </c>
      <c r="CW263" s="62"/>
      <c r="CX263" s="63"/>
      <c r="CY263" s="63"/>
      <c r="CZ263" s="63"/>
      <c r="DA263" s="63"/>
      <c r="DB263" s="63"/>
      <c r="DC263" s="63"/>
      <c r="DD263" s="63"/>
      <c r="DE263" s="63"/>
      <c r="DF263" s="63"/>
      <c r="DG263" s="64">
        <f>SUM(CX263:DA263,DC263:DF263)</f>
        <v>0</v>
      </c>
      <c r="DH263" s="62"/>
      <c r="DI263" s="63"/>
      <c r="DJ263" s="63"/>
      <c r="DK263" s="63"/>
      <c r="DL263" s="63"/>
      <c r="DM263" s="63"/>
      <c r="DN263" s="63"/>
      <c r="DO263" s="63"/>
      <c r="DP263" s="63"/>
      <c r="DQ263" s="63"/>
      <c r="DR263" s="64">
        <f>SUM(DI263:DL263,DN263:DQ263)</f>
        <v>0</v>
      </c>
      <c r="DS263" s="62"/>
      <c r="DT263" s="63"/>
      <c r="DU263" s="63"/>
      <c r="DV263" s="63"/>
      <c r="DW263" s="63"/>
      <c r="DX263" s="63"/>
      <c r="DY263" s="63"/>
      <c r="DZ263" s="63"/>
      <c r="EA263" s="63"/>
      <c r="EB263" s="63"/>
      <c r="EC263" s="63"/>
      <c r="ED263" s="65">
        <f t="shared" si="1688"/>
        <v>0</v>
      </c>
      <c r="EE263" s="65">
        <f t="shared" si="1688"/>
        <v>0</v>
      </c>
      <c r="EF263" s="65">
        <f t="shared" si="1688"/>
        <v>0</v>
      </c>
      <c r="EG263" s="65">
        <f t="shared" si="1688"/>
        <v>0</v>
      </c>
      <c r="EH263" s="65">
        <f t="shared" si="1688"/>
        <v>0</v>
      </c>
      <c r="EI263" s="65">
        <f t="shared" si="1688"/>
        <v>0</v>
      </c>
      <c r="EJ263" s="65">
        <f t="shared" si="1688"/>
        <v>0</v>
      </c>
      <c r="EK263" s="65">
        <f t="shared" si="1688"/>
        <v>0</v>
      </c>
      <c r="EL263" s="65">
        <f t="shared" si="1688"/>
        <v>0</v>
      </c>
      <c r="EM263" s="65">
        <f t="shared" si="1688"/>
        <v>0</v>
      </c>
      <c r="EN263" s="64">
        <f>SUM(EE263:EH263,EJ263:EM263)</f>
        <v>0</v>
      </c>
      <c r="EO263" s="62"/>
      <c r="EP263" s="63"/>
      <c r="EQ263" s="63"/>
      <c r="ER263" s="63"/>
      <c r="ES263" s="63"/>
      <c r="ET263" s="63"/>
      <c r="EU263" s="63"/>
      <c r="EV263" s="63"/>
      <c r="EW263" s="63"/>
      <c r="EX263" s="63"/>
      <c r="EY263" s="64">
        <f>SUM(EP263:ES263,EU263:EX263)</f>
        <v>0</v>
      </c>
      <c r="EZ263" s="62"/>
      <c r="FA263" s="63"/>
      <c r="FB263" s="63"/>
      <c r="FC263" s="63"/>
      <c r="FD263" s="63"/>
      <c r="FE263" s="63"/>
      <c r="FF263" s="63"/>
      <c r="FG263" s="63"/>
      <c r="FH263" s="63"/>
      <c r="FI263" s="63"/>
      <c r="FJ263" s="64">
        <f>SUM(FA263:FD263,FF263:FI263)</f>
        <v>0</v>
      </c>
      <c r="FK263" s="62"/>
      <c r="FL263" s="63"/>
      <c r="FM263" s="63"/>
      <c r="FN263" s="63"/>
      <c r="FO263" s="63"/>
      <c r="FP263" s="63"/>
      <c r="FQ263" s="63"/>
      <c r="FR263" s="63"/>
      <c r="FS263" s="63"/>
      <c r="FT263" s="63"/>
      <c r="FU263" s="64">
        <f>SUM(FL263:FO263,FQ263:FT263)</f>
        <v>0</v>
      </c>
      <c r="FV263" s="65">
        <f t="shared" si="1689"/>
        <v>0</v>
      </c>
      <c r="FW263" s="65">
        <f t="shared" si="1689"/>
        <v>0</v>
      </c>
      <c r="FX263" s="65">
        <f t="shared" si="1689"/>
        <v>0</v>
      </c>
      <c r="FY263" s="65">
        <f t="shared" si="1689"/>
        <v>0</v>
      </c>
      <c r="FZ263" s="65">
        <f t="shared" si="1689"/>
        <v>0</v>
      </c>
      <c r="GA263" s="65">
        <f t="shared" si="1689"/>
        <v>0</v>
      </c>
      <c r="GB263" s="65">
        <f t="shared" si="1689"/>
        <v>0</v>
      </c>
      <c r="GC263" s="65">
        <f t="shared" si="1689"/>
        <v>0</v>
      </c>
      <c r="GD263" s="65">
        <f t="shared" si="1689"/>
        <v>0</v>
      </c>
      <c r="GE263" s="65">
        <f t="shared" si="1689"/>
        <v>0</v>
      </c>
      <c r="GF263" s="64">
        <f>SUM(FW263:FZ263,GB263:GE263)</f>
        <v>0</v>
      </c>
      <c r="GG263" s="66">
        <f t="shared" si="1690"/>
        <v>0</v>
      </c>
      <c r="GH263" s="66">
        <f t="shared" si="1690"/>
        <v>0</v>
      </c>
      <c r="GI263" s="66">
        <f t="shared" si="1690"/>
        <v>0</v>
      </c>
      <c r="GJ263" s="66">
        <f t="shared" si="1690"/>
        <v>0</v>
      </c>
      <c r="GK263" s="66">
        <f t="shared" si="1690"/>
        <v>0</v>
      </c>
      <c r="GL263" s="66">
        <f t="shared" si="1690"/>
        <v>0</v>
      </c>
      <c r="GM263" s="66">
        <f t="shared" si="1690"/>
        <v>0</v>
      </c>
      <c r="GN263" s="66">
        <f t="shared" si="1690"/>
        <v>0</v>
      </c>
      <c r="GO263" s="66">
        <f t="shared" si="1690"/>
        <v>0</v>
      </c>
      <c r="GP263" s="66">
        <f t="shared" si="1690"/>
        <v>0</v>
      </c>
      <c r="GQ263" s="64">
        <f>SUM(GH263:GK263,GM263:GP263)</f>
        <v>0</v>
      </c>
      <c r="GR263" s="63"/>
      <c r="GS263" s="63"/>
      <c r="GT263" s="63"/>
      <c r="GU263" s="63"/>
      <c r="GV263" s="67">
        <f>SUM(GR263:GU263)</f>
        <v>0</v>
      </c>
      <c r="GW263" s="63"/>
      <c r="GX263" s="63"/>
      <c r="GY263" s="63"/>
      <c r="GZ263" s="63"/>
      <c r="HA263" s="67">
        <f>SUM(GW263:GZ263)</f>
        <v>0</v>
      </c>
      <c r="HB263" s="63"/>
      <c r="HC263" s="63"/>
      <c r="HD263" s="63"/>
      <c r="HE263" s="63"/>
      <c r="HF263" s="67">
        <f>SUM(HB263:HE263)</f>
        <v>0</v>
      </c>
      <c r="HG263" s="63"/>
      <c r="HH263" s="63"/>
      <c r="HI263" s="63"/>
      <c r="HJ263" s="63"/>
      <c r="HK263" s="67">
        <f>SUM(HG263:HJ263)</f>
        <v>0</v>
      </c>
      <c r="HL263" s="68">
        <f t="shared" si="1691"/>
        <v>0</v>
      </c>
      <c r="HM263" s="68">
        <f t="shared" si="1691"/>
        <v>0</v>
      </c>
      <c r="HN263" s="68">
        <f t="shared" si="1691"/>
        <v>0</v>
      </c>
      <c r="HO263" s="68">
        <f t="shared" si="1691"/>
        <v>0</v>
      </c>
      <c r="HP263" s="67">
        <f>SUM(HL263:HO263)</f>
        <v>0</v>
      </c>
      <c r="HQ263" s="63"/>
      <c r="HR263" s="63"/>
      <c r="HS263" s="63"/>
      <c r="HT263" s="63"/>
      <c r="HU263" s="67">
        <f>SUM(HQ263:HT263)</f>
        <v>0</v>
      </c>
      <c r="HV263" s="63"/>
      <c r="HW263" s="63"/>
      <c r="HX263" s="63"/>
      <c r="HY263" s="63"/>
      <c r="HZ263" s="67">
        <f>SUM(HV263:HY263)</f>
        <v>0</v>
      </c>
      <c r="IA263" s="63"/>
      <c r="IB263" s="63"/>
      <c r="IC263" s="63"/>
      <c r="ID263" s="63"/>
      <c r="IE263" s="67">
        <f>SUM(IA263:ID263)</f>
        <v>0</v>
      </c>
      <c r="IF263" s="68">
        <f t="shared" si="1692"/>
        <v>0</v>
      </c>
      <c r="IG263" s="68">
        <f t="shared" si="1692"/>
        <v>0</v>
      </c>
      <c r="IH263" s="68">
        <f t="shared" si="1692"/>
        <v>0</v>
      </c>
      <c r="II263" s="68">
        <f t="shared" si="1692"/>
        <v>0</v>
      </c>
      <c r="IJ263" s="67">
        <f>SUM(IF263:II263)</f>
        <v>0</v>
      </c>
      <c r="IK263" s="63"/>
      <c r="IL263" s="63"/>
      <c r="IM263" s="63"/>
      <c r="IN263" s="63"/>
      <c r="IO263" s="67">
        <f>SUM(IK263:IN263)</f>
        <v>0</v>
      </c>
      <c r="IP263" s="63"/>
      <c r="IQ263" s="63"/>
      <c r="IR263" s="63"/>
      <c r="IS263" s="63"/>
      <c r="IT263" s="67">
        <f>SUM(IP263:IS263)</f>
        <v>0</v>
      </c>
      <c r="IU263" s="63"/>
      <c r="IV263" s="63"/>
    </row>
    <row r="264" spans="1:256" x14ac:dyDescent="0.25">
      <c r="A264" s="84" t="s">
        <v>163</v>
      </c>
      <c r="B264" s="165">
        <f>SUM(B265:B270)</f>
        <v>50</v>
      </c>
      <c r="C264" s="116">
        <f t="shared" ref="C264:K264" si="1693">SUM(C265:C270)</f>
        <v>820</v>
      </c>
      <c r="D264" s="116">
        <f t="shared" si="1693"/>
        <v>328</v>
      </c>
      <c r="E264" s="116">
        <f t="shared" si="1693"/>
        <v>109</v>
      </c>
      <c r="F264" s="116">
        <f t="shared" si="1693"/>
        <v>1</v>
      </c>
      <c r="G264" s="116">
        <f t="shared" si="1693"/>
        <v>0</v>
      </c>
      <c r="H264" s="116">
        <f t="shared" si="1693"/>
        <v>109</v>
      </c>
      <c r="I264" s="116">
        <f t="shared" si="1693"/>
        <v>0</v>
      </c>
      <c r="J264" s="116">
        <f t="shared" si="1693"/>
        <v>108</v>
      </c>
      <c r="K264" s="116">
        <f t="shared" si="1693"/>
        <v>25</v>
      </c>
      <c r="L264" s="96">
        <f>SUM(L265:L270)</f>
        <v>1500</v>
      </c>
      <c r="M264" s="165">
        <f>SUM(M265:M270)</f>
        <v>0</v>
      </c>
      <c r="N264" s="116">
        <f t="shared" ref="N264:V264" si="1694">SUM(N265:N270)</f>
        <v>0</v>
      </c>
      <c r="O264" s="116">
        <f t="shared" si="1694"/>
        <v>0</v>
      </c>
      <c r="P264" s="116">
        <f t="shared" si="1694"/>
        <v>0</v>
      </c>
      <c r="Q264" s="116">
        <f t="shared" si="1694"/>
        <v>0</v>
      </c>
      <c r="R264" s="116">
        <f t="shared" si="1694"/>
        <v>0</v>
      </c>
      <c r="S264" s="116">
        <f t="shared" si="1694"/>
        <v>0</v>
      </c>
      <c r="T264" s="116">
        <f t="shared" si="1694"/>
        <v>0</v>
      </c>
      <c r="U264" s="116">
        <f t="shared" si="1694"/>
        <v>0</v>
      </c>
      <c r="V264" s="116">
        <f t="shared" si="1694"/>
        <v>0</v>
      </c>
      <c r="W264" s="96">
        <f>SUM(W265:W270)</f>
        <v>0</v>
      </c>
      <c r="X264" s="165">
        <f>SUM(X265:X270)</f>
        <v>0</v>
      </c>
      <c r="Y264" s="116">
        <f t="shared" ref="Y264:AG264" si="1695">SUM(Y265:Y270)</f>
        <v>0</v>
      </c>
      <c r="Z264" s="116">
        <f t="shared" si="1695"/>
        <v>0</v>
      </c>
      <c r="AA264" s="116">
        <f t="shared" si="1695"/>
        <v>0</v>
      </c>
      <c r="AB264" s="116">
        <f t="shared" si="1695"/>
        <v>0</v>
      </c>
      <c r="AC264" s="116">
        <f t="shared" si="1695"/>
        <v>0</v>
      </c>
      <c r="AD264" s="116">
        <f t="shared" si="1695"/>
        <v>0</v>
      </c>
      <c r="AE264" s="116">
        <f t="shared" si="1695"/>
        <v>0</v>
      </c>
      <c r="AF264" s="116">
        <f t="shared" si="1695"/>
        <v>0</v>
      </c>
      <c r="AG264" s="116">
        <f t="shared" si="1695"/>
        <v>0</v>
      </c>
      <c r="AH264" s="96">
        <f>SUM(AH265:AH270)</f>
        <v>0</v>
      </c>
      <c r="AI264" s="165">
        <f>SUM(AI265:AI270)</f>
        <v>0</v>
      </c>
      <c r="AJ264" s="116">
        <f t="shared" ref="AJ264:AR264" si="1696">SUM(AJ265:AJ270)</f>
        <v>0</v>
      </c>
      <c r="AK264" s="116">
        <f t="shared" si="1696"/>
        <v>0</v>
      </c>
      <c r="AL264" s="116">
        <f t="shared" si="1696"/>
        <v>0</v>
      </c>
      <c r="AM264" s="116">
        <f t="shared" si="1696"/>
        <v>0</v>
      </c>
      <c r="AN264" s="116">
        <f t="shared" si="1696"/>
        <v>0</v>
      </c>
      <c r="AO264" s="116">
        <f t="shared" si="1696"/>
        <v>0</v>
      </c>
      <c r="AP264" s="116">
        <f t="shared" si="1696"/>
        <v>0</v>
      </c>
      <c r="AQ264" s="116">
        <f t="shared" si="1696"/>
        <v>0</v>
      </c>
      <c r="AR264" s="116">
        <f t="shared" si="1696"/>
        <v>0</v>
      </c>
      <c r="AS264" s="96">
        <f>SUM(AS265:AS270)</f>
        <v>0</v>
      </c>
      <c r="AT264" s="165">
        <f>SUM(AT265:AT270)</f>
        <v>0</v>
      </c>
      <c r="AU264" s="116">
        <f>SUM(AU265:AU270)</f>
        <v>0</v>
      </c>
      <c r="AV264" s="116">
        <f t="shared" ref="AV264:BC264" si="1697">SUM(AV265:AV270)</f>
        <v>0</v>
      </c>
      <c r="AW264" s="116">
        <f t="shared" si="1697"/>
        <v>0</v>
      </c>
      <c r="AX264" s="116">
        <f t="shared" si="1697"/>
        <v>0</v>
      </c>
      <c r="AY264" s="116">
        <f t="shared" si="1697"/>
        <v>0</v>
      </c>
      <c r="AZ264" s="116">
        <f t="shared" si="1697"/>
        <v>0</v>
      </c>
      <c r="BA264" s="116">
        <f t="shared" si="1697"/>
        <v>0</v>
      </c>
      <c r="BB264" s="116">
        <f t="shared" si="1697"/>
        <v>0</v>
      </c>
      <c r="BC264" s="116">
        <f t="shared" si="1697"/>
        <v>0</v>
      </c>
      <c r="BD264" s="96">
        <f>SUM(BD265:BD270)</f>
        <v>0</v>
      </c>
      <c r="BE264" s="165">
        <f>SUM(BE265:BE270)</f>
        <v>0</v>
      </c>
      <c r="BF264" s="116">
        <f t="shared" ref="BF264:BN264" si="1698">SUM(BF265:BF270)</f>
        <v>0</v>
      </c>
      <c r="BG264" s="116">
        <f t="shared" si="1698"/>
        <v>0</v>
      </c>
      <c r="BH264" s="116">
        <f t="shared" si="1698"/>
        <v>0</v>
      </c>
      <c r="BI264" s="116">
        <f t="shared" si="1698"/>
        <v>0</v>
      </c>
      <c r="BJ264" s="116">
        <f t="shared" si="1698"/>
        <v>0</v>
      </c>
      <c r="BK264" s="116">
        <f t="shared" si="1698"/>
        <v>0</v>
      </c>
      <c r="BL264" s="116">
        <f t="shared" si="1698"/>
        <v>0</v>
      </c>
      <c r="BM264" s="116">
        <f t="shared" si="1698"/>
        <v>0</v>
      </c>
      <c r="BN264" s="116">
        <f t="shared" si="1698"/>
        <v>0</v>
      </c>
      <c r="BO264" s="96">
        <f>SUM(BO265:BO270)</f>
        <v>0</v>
      </c>
      <c r="BP264" s="165">
        <f>SUM(BP265:BP270)</f>
        <v>0</v>
      </c>
      <c r="BQ264" s="116">
        <f t="shared" ref="BQ264:BY264" si="1699">SUM(BQ265:BQ270)</f>
        <v>0</v>
      </c>
      <c r="BR264" s="116">
        <f t="shared" si="1699"/>
        <v>0</v>
      </c>
      <c r="BS264" s="116">
        <f t="shared" si="1699"/>
        <v>0</v>
      </c>
      <c r="BT264" s="116">
        <f t="shared" si="1699"/>
        <v>0</v>
      </c>
      <c r="BU264" s="116">
        <f t="shared" si="1699"/>
        <v>0</v>
      </c>
      <c r="BV264" s="116">
        <f t="shared" si="1699"/>
        <v>0</v>
      </c>
      <c r="BW264" s="116">
        <f t="shared" si="1699"/>
        <v>0</v>
      </c>
      <c r="BX264" s="116">
        <f t="shared" si="1699"/>
        <v>0</v>
      </c>
      <c r="BY264" s="116">
        <f t="shared" si="1699"/>
        <v>0</v>
      </c>
      <c r="BZ264" s="96">
        <f>SUM(BZ265:BZ270)</f>
        <v>0</v>
      </c>
      <c r="CA264" s="165">
        <f>SUM(CA265:CA270)</f>
        <v>0</v>
      </c>
      <c r="CB264" s="116">
        <f t="shared" ref="CB264:CJ264" si="1700">SUM(CB265:CB270)</f>
        <v>0</v>
      </c>
      <c r="CC264" s="116">
        <f t="shared" si="1700"/>
        <v>0</v>
      </c>
      <c r="CD264" s="116">
        <f t="shared" si="1700"/>
        <v>0</v>
      </c>
      <c r="CE264" s="116">
        <f t="shared" si="1700"/>
        <v>0</v>
      </c>
      <c r="CF264" s="116">
        <f t="shared" si="1700"/>
        <v>0</v>
      </c>
      <c r="CG264" s="116">
        <f t="shared" si="1700"/>
        <v>0</v>
      </c>
      <c r="CH264" s="116">
        <f t="shared" si="1700"/>
        <v>0</v>
      </c>
      <c r="CI264" s="116">
        <f t="shared" si="1700"/>
        <v>0</v>
      </c>
      <c r="CJ264" s="116">
        <f t="shared" si="1700"/>
        <v>0</v>
      </c>
      <c r="CK264" s="96">
        <f>SUM(CK265:CK270)</f>
        <v>0</v>
      </c>
      <c r="CL264" s="165">
        <f>SUM(CL265:CL270)</f>
        <v>0</v>
      </c>
      <c r="CM264" s="116">
        <f>SUM(CM265:CM270)</f>
        <v>0</v>
      </c>
      <c r="CN264" s="116">
        <f t="shared" ref="CN264:CU264" si="1701">SUM(CN265:CN270)</f>
        <v>0</v>
      </c>
      <c r="CO264" s="116">
        <f t="shared" si="1701"/>
        <v>0</v>
      </c>
      <c r="CP264" s="116">
        <f t="shared" si="1701"/>
        <v>0</v>
      </c>
      <c r="CQ264" s="116">
        <f t="shared" si="1701"/>
        <v>0</v>
      </c>
      <c r="CR264" s="116">
        <f t="shared" si="1701"/>
        <v>0</v>
      </c>
      <c r="CS264" s="116">
        <f t="shared" si="1701"/>
        <v>0</v>
      </c>
      <c r="CT264" s="116">
        <f t="shared" si="1701"/>
        <v>0</v>
      </c>
      <c r="CU264" s="116">
        <f t="shared" si="1701"/>
        <v>0</v>
      </c>
      <c r="CV264" s="96">
        <f>SUM(CV265:CV270)</f>
        <v>0</v>
      </c>
      <c r="CW264" s="165">
        <f>SUM(CW265:CW270)</f>
        <v>0</v>
      </c>
      <c r="CX264" s="116">
        <f t="shared" ref="CX264:DF264" si="1702">SUM(CX265:CX270)</f>
        <v>0</v>
      </c>
      <c r="CY264" s="116">
        <f t="shared" si="1702"/>
        <v>0</v>
      </c>
      <c r="CZ264" s="116">
        <f t="shared" si="1702"/>
        <v>0</v>
      </c>
      <c r="DA264" s="116">
        <f t="shared" si="1702"/>
        <v>0</v>
      </c>
      <c r="DB264" s="116">
        <f t="shared" si="1702"/>
        <v>0</v>
      </c>
      <c r="DC264" s="116">
        <f t="shared" si="1702"/>
        <v>0</v>
      </c>
      <c r="DD264" s="116">
        <f t="shared" si="1702"/>
        <v>0</v>
      </c>
      <c r="DE264" s="116">
        <f t="shared" si="1702"/>
        <v>0</v>
      </c>
      <c r="DF264" s="116">
        <f t="shared" si="1702"/>
        <v>0</v>
      </c>
      <c r="DG264" s="96">
        <f>SUM(DG265:DG270)</f>
        <v>0</v>
      </c>
      <c r="DH264" s="165">
        <f>SUM(DH265:DH270)</f>
        <v>0</v>
      </c>
      <c r="DI264" s="116">
        <f t="shared" ref="DI264:DQ264" si="1703">SUM(DI265:DI270)</f>
        <v>0</v>
      </c>
      <c r="DJ264" s="116">
        <f t="shared" si="1703"/>
        <v>0</v>
      </c>
      <c r="DK264" s="116">
        <f t="shared" si="1703"/>
        <v>0</v>
      </c>
      <c r="DL264" s="116">
        <f t="shared" si="1703"/>
        <v>0</v>
      </c>
      <c r="DM264" s="116">
        <f t="shared" si="1703"/>
        <v>0</v>
      </c>
      <c r="DN264" s="116">
        <f t="shared" si="1703"/>
        <v>0</v>
      </c>
      <c r="DO264" s="116">
        <f t="shared" si="1703"/>
        <v>0</v>
      </c>
      <c r="DP264" s="116">
        <f t="shared" si="1703"/>
        <v>0</v>
      </c>
      <c r="DQ264" s="116">
        <f t="shared" si="1703"/>
        <v>0</v>
      </c>
      <c r="DR264" s="96">
        <f>SUM(DR265:DR270)</f>
        <v>0</v>
      </c>
      <c r="DS264" s="165">
        <f>SUM(DS265:DS270)</f>
        <v>0</v>
      </c>
      <c r="DT264" s="116">
        <f t="shared" ref="DT264:EB264" si="1704">SUM(DT265:DT270)</f>
        <v>0</v>
      </c>
      <c r="DU264" s="116">
        <f t="shared" si="1704"/>
        <v>0</v>
      </c>
      <c r="DV264" s="116">
        <f t="shared" si="1704"/>
        <v>0</v>
      </c>
      <c r="DW264" s="116">
        <f t="shared" si="1704"/>
        <v>0</v>
      </c>
      <c r="DX264" s="116">
        <f t="shared" si="1704"/>
        <v>0</v>
      </c>
      <c r="DY264" s="116">
        <f t="shared" si="1704"/>
        <v>0</v>
      </c>
      <c r="DZ264" s="116">
        <f t="shared" si="1704"/>
        <v>0</v>
      </c>
      <c r="EA264" s="116">
        <f t="shared" si="1704"/>
        <v>0</v>
      </c>
      <c r="EB264" s="116">
        <f t="shared" si="1704"/>
        <v>0</v>
      </c>
      <c r="EC264" s="116">
        <f>SUM(EC265:EC270)</f>
        <v>0</v>
      </c>
      <c r="ED264" s="165">
        <f>SUM(ED265:ED270)</f>
        <v>0</v>
      </c>
      <c r="EE264" s="116">
        <f>SUM(EE265:EE270)</f>
        <v>0</v>
      </c>
      <c r="EF264" s="116">
        <f t="shared" ref="EF264:EM264" si="1705">SUM(EF265:EF270)</f>
        <v>0</v>
      </c>
      <c r="EG264" s="116">
        <f t="shared" si="1705"/>
        <v>0</v>
      </c>
      <c r="EH264" s="116">
        <f t="shared" si="1705"/>
        <v>0</v>
      </c>
      <c r="EI264" s="116">
        <f t="shared" si="1705"/>
        <v>0</v>
      </c>
      <c r="EJ264" s="116">
        <f t="shared" si="1705"/>
        <v>0</v>
      </c>
      <c r="EK264" s="116">
        <f t="shared" si="1705"/>
        <v>0</v>
      </c>
      <c r="EL264" s="116">
        <f t="shared" si="1705"/>
        <v>0</v>
      </c>
      <c r="EM264" s="116">
        <f t="shared" si="1705"/>
        <v>0</v>
      </c>
      <c r="EN264" s="96">
        <f>SUM(EN265:EN270)</f>
        <v>0</v>
      </c>
      <c r="EO264" s="165">
        <f>SUM(EO265:EO270)</f>
        <v>0</v>
      </c>
      <c r="EP264" s="116">
        <f t="shared" ref="EP264:EX264" si="1706">SUM(EP265:EP270)</f>
        <v>0</v>
      </c>
      <c r="EQ264" s="116">
        <f t="shared" si="1706"/>
        <v>0</v>
      </c>
      <c r="ER264" s="116">
        <f t="shared" si="1706"/>
        <v>0</v>
      </c>
      <c r="ES264" s="116">
        <f t="shared" si="1706"/>
        <v>0</v>
      </c>
      <c r="ET264" s="116">
        <f t="shared" si="1706"/>
        <v>0</v>
      </c>
      <c r="EU264" s="116">
        <f t="shared" si="1706"/>
        <v>0</v>
      </c>
      <c r="EV264" s="116">
        <f t="shared" si="1706"/>
        <v>0</v>
      </c>
      <c r="EW264" s="116">
        <f t="shared" si="1706"/>
        <v>0</v>
      </c>
      <c r="EX264" s="116">
        <f t="shared" si="1706"/>
        <v>0</v>
      </c>
      <c r="EY264" s="96">
        <f>SUM(EY265:EY270)</f>
        <v>0</v>
      </c>
      <c r="EZ264" s="165">
        <f>SUM(EZ265:EZ270)</f>
        <v>0</v>
      </c>
      <c r="FA264" s="116">
        <f t="shared" ref="FA264:FI264" si="1707">SUM(FA265:FA270)</f>
        <v>0</v>
      </c>
      <c r="FB264" s="116">
        <f t="shared" si="1707"/>
        <v>0</v>
      </c>
      <c r="FC264" s="116">
        <f t="shared" si="1707"/>
        <v>0</v>
      </c>
      <c r="FD264" s="116">
        <f t="shared" si="1707"/>
        <v>0</v>
      </c>
      <c r="FE264" s="116">
        <f t="shared" si="1707"/>
        <v>0</v>
      </c>
      <c r="FF264" s="116">
        <f t="shared" si="1707"/>
        <v>0</v>
      </c>
      <c r="FG264" s="116">
        <f t="shared" si="1707"/>
        <v>0</v>
      </c>
      <c r="FH264" s="116">
        <f t="shared" si="1707"/>
        <v>0</v>
      </c>
      <c r="FI264" s="116">
        <f t="shared" si="1707"/>
        <v>0</v>
      </c>
      <c r="FJ264" s="96">
        <f>SUM(FJ265:FJ270)</f>
        <v>0</v>
      </c>
      <c r="FK264" s="165">
        <f>SUM(FK265:FK270)</f>
        <v>0</v>
      </c>
      <c r="FL264" s="116">
        <f t="shared" ref="FL264:FT264" si="1708">SUM(FL265:FL270)</f>
        <v>0</v>
      </c>
      <c r="FM264" s="116">
        <f t="shared" si="1708"/>
        <v>0</v>
      </c>
      <c r="FN264" s="116">
        <f t="shared" si="1708"/>
        <v>0</v>
      </c>
      <c r="FO264" s="116">
        <f t="shared" si="1708"/>
        <v>0</v>
      </c>
      <c r="FP264" s="116">
        <f t="shared" si="1708"/>
        <v>0</v>
      </c>
      <c r="FQ264" s="116">
        <f t="shared" si="1708"/>
        <v>0</v>
      </c>
      <c r="FR264" s="116">
        <f t="shared" si="1708"/>
        <v>0</v>
      </c>
      <c r="FS264" s="116">
        <f t="shared" si="1708"/>
        <v>0</v>
      </c>
      <c r="FT264" s="116">
        <f t="shared" si="1708"/>
        <v>0</v>
      </c>
      <c r="FU264" s="96">
        <f>SUM(FU265:FU270)</f>
        <v>0</v>
      </c>
      <c r="FV264" s="165">
        <f>SUM(FV265:FV270)</f>
        <v>0</v>
      </c>
      <c r="FW264" s="116">
        <f>SUM(FW265:FW270)</f>
        <v>0</v>
      </c>
      <c r="FX264" s="116">
        <f t="shared" ref="FX264:GE264" si="1709">SUM(FX265:FX270)</f>
        <v>0</v>
      </c>
      <c r="FY264" s="116">
        <f t="shared" si="1709"/>
        <v>0</v>
      </c>
      <c r="FZ264" s="116">
        <f t="shared" si="1709"/>
        <v>0</v>
      </c>
      <c r="GA264" s="116">
        <f t="shared" si="1709"/>
        <v>0</v>
      </c>
      <c r="GB264" s="116">
        <f t="shared" si="1709"/>
        <v>0</v>
      </c>
      <c r="GC264" s="116">
        <f t="shared" si="1709"/>
        <v>0</v>
      </c>
      <c r="GD264" s="116">
        <f t="shared" si="1709"/>
        <v>0</v>
      </c>
      <c r="GE264" s="116">
        <f t="shared" si="1709"/>
        <v>0</v>
      </c>
      <c r="GF264" s="96">
        <f>SUM(GF265:GF270)</f>
        <v>0</v>
      </c>
      <c r="GG264" s="165">
        <f>SUM(GG265:GG270)</f>
        <v>0</v>
      </c>
      <c r="GH264" s="116">
        <f t="shared" ref="GH264:GP264" si="1710">SUM(GH265:GH270)</f>
        <v>0</v>
      </c>
      <c r="GI264" s="116">
        <f t="shared" si="1710"/>
        <v>0</v>
      </c>
      <c r="GJ264" s="116">
        <f t="shared" si="1710"/>
        <v>0</v>
      </c>
      <c r="GK264" s="116">
        <f t="shared" si="1710"/>
        <v>0</v>
      </c>
      <c r="GL264" s="116">
        <f t="shared" si="1710"/>
        <v>0</v>
      </c>
      <c r="GM264" s="116">
        <f t="shared" si="1710"/>
        <v>0</v>
      </c>
      <c r="GN264" s="116">
        <f t="shared" si="1710"/>
        <v>0</v>
      </c>
      <c r="GO264" s="116">
        <f t="shared" si="1710"/>
        <v>0</v>
      </c>
      <c r="GP264" s="116">
        <f t="shared" si="1710"/>
        <v>0</v>
      </c>
      <c r="GQ264" s="96">
        <f t="shared" ref="GQ264:HV264" si="1711">SUM(GQ265:GQ270)</f>
        <v>0</v>
      </c>
      <c r="GR264" s="116">
        <f t="shared" si="1711"/>
        <v>0</v>
      </c>
      <c r="GS264" s="116">
        <f t="shared" si="1711"/>
        <v>0</v>
      </c>
      <c r="GT264" s="116">
        <f t="shared" si="1711"/>
        <v>0</v>
      </c>
      <c r="GU264" s="116">
        <f t="shared" si="1711"/>
        <v>0</v>
      </c>
      <c r="GV264" s="116">
        <f t="shared" si="1711"/>
        <v>0</v>
      </c>
      <c r="GW264" s="116">
        <f t="shared" si="1711"/>
        <v>0</v>
      </c>
      <c r="GX264" s="116">
        <f t="shared" si="1711"/>
        <v>0</v>
      </c>
      <c r="GY264" s="116">
        <f t="shared" si="1711"/>
        <v>0</v>
      </c>
      <c r="GZ264" s="116">
        <f t="shared" si="1711"/>
        <v>0</v>
      </c>
      <c r="HA264" s="116">
        <f t="shared" si="1711"/>
        <v>0</v>
      </c>
      <c r="HB264" s="116">
        <f t="shared" si="1711"/>
        <v>0</v>
      </c>
      <c r="HC264" s="116">
        <f t="shared" si="1711"/>
        <v>0</v>
      </c>
      <c r="HD264" s="116">
        <f t="shared" si="1711"/>
        <v>0</v>
      </c>
      <c r="HE264" s="116">
        <f t="shared" si="1711"/>
        <v>0</v>
      </c>
      <c r="HF264" s="116">
        <f t="shared" si="1711"/>
        <v>0</v>
      </c>
      <c r="HG264" s="116">
        <f t="shared" si="1711"/>
        <v>0</v>
      </c>
      <c r="HH264" s="116">
        <f t="shared" si="1711"/>
        <v>0</v>
      </c>
      <c r="HI264" s="116">
        <f t="shared" si="1711"/>
        <v>0</v>
      </c>
      <c r="HJ264" s="116">
        <f t="shared" si="1711"/>
        <v>0</v>
      </c>
      <c r="HK264" s="116">
        <f t="shared" si="1711"/>
        <v>0</v>
      </c>
      <c r="HL264" s="116">
        <f t="shared" si="1711"/>
        <v>0</v>
      </c>
      <c r="HM264" s="116">
        <f t="shared" si="1711"/>
        <v>0</v>
      </c>
      <c r="HN264" s="116">
        <f t="shared" si="1711"/>
        <v>0</v>
      </c>
      <c r="HO264" s="116">
        <f t="shared" si="1711"/>
        <v>0</v>
      </c>
      <c r="HP264" s="116">
        <f t="shared" si="1711"/>
        <v>0</v>
      </c>
      <c r="HQ264" s="116">
        <f t="shared" si="1711"/>
        <v>0</v>
      </c>
      <c r="HR264" s="116">
        <f t="shared" si="1711"/>
        <v>0</v>
      </c>
      <c r="HS264" s="116">
        <f t="shared" si="1711"/>
        <v>0</v>
      </c>
      <c r="HT264" s="116">
        <f t="shared" si="1711"/>
        <v>0</v>
      </c>
      <c r="HU264" s="116">
        <f t="shared" si="1711"/>
        <v>0</v>
      </c>
      <c r="HV264" s="116">
        <f t="shared" si="1711"/>
        <v>0</v>
      </c>
      <c r="HW264" s="116">
        <f t="shared" ref="HW264:IV264" si="1712">SUM(HW265:HW270)</f>
        <v>0</v>
      </c>
      <c r="HX264" s="116">
        <f t="shared" si="1712"/>
        <v>0</v>
      </c>
      <c r="HY264" s="116">
        <f t="shared" si="1712"/>
        <v>0</v>
      </c>
      <c r="HZ264" s="116">
        <f t="shared" si="1712"/>
        <v>0</v>
      </c>
      <c r="IA264" s="116">
        <f t="shared" si="1712"/>
        <v>0</v>
      </c>
      <c r="IB264" s="116">
        <f t="shared" si="1712"/>
        <v>0</v>
      </c>
      <c r="IC264" s="116">
        <f t="shared" si="1712"/>
        <v>0</v>
      </c>
      <c r="ID264" s="116">
        <f t="shared" si="1712"/>
        <v>0</v>
      </c>
      <c r="IE264" s="116">
        <f t="shared" si="1712"/>
        <v>0</v>
      </c>
      <c r="IF264" s="116">
        <f t="shared" si="1712"/>
        <v>0</v>
      </c>
      <c r="IG264" s="116">
        <f t="shared" si="1712"/>
        <v>0</v>
      </c>
      <c r="IH264" s="116">
        <f t="shared" si="1712"/>
        <v>0</v>
      </c>
      <c r="II264" s="116">
        <f t="shared" si="1712"/>
        <v>0</v>
      </c>
      <c r="IJ264" s="116">
        <f t="shared" si="1712"/>
        <v>0</v>
      </c>
      <c r="IK264" s="116">
        <f t="shared" si="1712"/>
        <v>0</v>
      </c>
      <c r="IL264" s="116">
        <f t="shared" si="1712"/>
        <v>0</v>
      </c>
      <c r="IM264" s="116">
        <f t="shared" si="1712"/>
        <v>0</v>
      </c>
      <c r="IN264" s="116">
        <f t="shared" si="1712"/>
        <v>0</v>
      </c>
      <c r="IO264" s="116">
        <f t="shared" si="1712"/>
        <v>0</v>
      </c>
      <c r="IP264" s="116">
        <f t="shared" si="1712"/>
        <v>0</v>
      </c>
      <c r="IQ264" s="116">
        <f t="shared" si="1712"/>
        <v>0</v>
      </c>
      <c r="IR264" s="116">
        <f t="shared" si="1712"/>
        <v>0</v>
      </c>
      <c r="IS264" s="116">
        <f t="shared" si="1712"/>
        <v>0</v>
      </c>
      <c r="IT264" s="116">
        <f t="shared" si="1712"/>
        <v>0</v>
      </c>
      <c r="IU264" s="116">
        <f t="shared" si="1712"/>
        <v>0</v>
      </c>
      <c r="IV264" s="116">
        <f t="shared" si="1712"/>
        <v>0</v>
      </c>
    </row>
    <row r="265" spans="1:256" x14ac:dyDescent="0.25">
      <c r="A265" s="117" t="s">
        <v>212</v>
      </c>
      <c r="B265" s="62">
        <v>27</v>
      </c>
      <c r="C265" s="63">
        <v>605</v>
      </c>
      <c r="D265" s="63">
        <v>103</v>
      </c>
      <c r="E265" s="63">
        <v>34</v>
      </c>
      <c r="F265" s="63">
        <v>1</v>
      </c>
      <c r="G265" s="63">
        <v>0</v>
      </c>
      <c r="H265" s="63">
        <v>34</v>
      </c>
      <c r="I265" s="63">
        <v>0</v>
      </c>
      <c r="J265" s="63">
        <v>33</v>
      </c>
      <c r="K265" s="63">
        <v>0</v>
      </c>
      <c r="L265" s="64">
        <f t="shared" ref="L265:L271" si="1713">SUM(C265:F265,H265:K265)</f>
        <v>810</v>
      </c>
      <c r="M265" s="62"/>
      <c r="N265" s="63"/>
      <c r="O265" s="63"/>
      <c r="P265" s="63"/>
      <c r="Q265" s="63"/>
      <c r="R265" s="63"/>
      <c r="S265" s="63"/>
      <c r="T265" s="63"/>
      <c r="U265" s="63"/>
      <c r="V265" s="63"/>
      <c r="W265" s="64">
        <f t="shared" ref="W265:W271" si="1714">SUM(N265:Q265,S265:V265)</f>
        <v>0</v>
      </c>
      <c r="X265" s="62"/>
      <c r="Y265" s="63"/>
      <c r="Z265" s="63"/>
      <c r="AA265" s="63"/>
      <c r="AB265" s="63"/>
      <c r="AC265" s="63"/>
      <c r="AD265" s="63"/>
      <c r="AE265" s="63"/>
      <c r="AF265" s="63"/>
      <c r="AG265" s="63"/>
      <c r="AH265" s="64">
        <f t="shared" ref="AH265:AH271" si="1715">SUM(Y265:AB265,AD265:AG265)</f>
        <v>0</v>
      </c>
      <c r="AI265" s="62"/>
      <c r="AJ265" s="63"/>
      <c r="AK265" s="63"/>
      <c r="AL265" s="63"/>
      <c r="AM265" s="63"/>
      <c r="AN265" s="63"/>
      <c r="AO265" s="63"/>
      <c r="AP265" s="63"/>
      <c r="AQ265" s="63"/>
      <c r="AR265" s="63"/>
      <c r="AS265" s="64">
        <f t="shared" ref="AS265:AS271" si="1716">SUM(AJ265:AM265,AO265:AR265)</f>
        <v>0</v>
      </c>
      <c r="AT265" s="65">
        <f t="shared" ref="AT265:BC271" si="1717">SUM(M265,AI265,X265)</f>
        <v>0</v>
      </c>
      <c r="AU265" s="65">
        <f t="shared" si="1717"/>
        <v>0</v>
      </c>
      <c r="AV265" s="65">
        <f t="shared" si="1717"/>
        <v>0</v>
      </c>
      <c r="AW265" s="65">
        <f t="shared" si="1717"/>
        <v>0</v>
      </c>
      <c r="AX265" s="65">
        <f t="shared" si="1717"/>
        <v>0</v>
      </c>
      <c r="AY265" s="65">
        <f t="shared" si="1717"/>
        <v>0</v>
      </c>
      <c r="AZ265" s="65">
        <f t="shared" si="1717"/>
        <v>0</v>
      </c>
      <c r="BA265" s="65">
        <f t="shared" si="1717"/>
        <v>0</v>
      </c>
      <c r="BB265" s="65">
        <f t="shared" si="1717"/>
        <v>0</v>
      </c>
      <c r="BC265" s="65">
        <f t="shared" si="1717"/>
        <v>0</v>
      </c>
      <c r="BD265" s="64">
        <f t="shared" ref="BD265:BD271" si="1718">SUM(AU265:AX265,AZ265:BC265)</f>
        <v>0</v>
      </c>
      <c r="BE265" s="62"/>
      <c r="BF265" s="63"/>
      <c r="BG265" s="63"/>
      <c r="BH265" s="63"/>
      <c r="BI265" s="63"/>
      <c r="BJ265" s="63"/>
      <c r="BK265" s="63"/>
      <c r="BL265" s="63"/>
      <c r="BM265" s="63"/>
      <c r="BN265" s="63"/>
      <c r="BO265" s="64">
        <f t="shared" ref="BO265:BO271" si="1719">SUM(BF265:BI265,BK265:BN265)</f>
        <v>0</v>
      </c>
      <c r="BP265" s="62"/>
      <c r="BQ265" s="63"/>
      <c r="BR265" s="63"/>
      <c r="BS265" s="63"/>
      <c r="BT265" s="63"/>
      <c r="BU265" s="63"/>
      <c r="BV265" s="63"/>
      <c r="BW265" s="63"/>
      <c r="BX265" s="63"/>
      <c r="BY265" s="63"/>
      <c r="BZ265" s="64">
        <f t="shared" ref="BZ265:BZ271" si="1720">SUM(BQ265:BT265,BV265:BY265)</f>
        <v>0</v>
      </c>
      <c r="CA265" s="62"/>
      <c r="CB265" s="63"/>
      <c r="CC265" s="63"/>
      <c r="CD265" s="63"/>
      <c r="CE265" s="63"/>
      <c r="CF265" s="63"/>
      <c r="CG265" s="63"/>
      <c r="CH265" s="63"/>
      <c r="CI265" s="63"/>
      <c r="CJ265" s="63"/>
      <c r="CK265" s="64">
        <f t="shared" ref="CK265:CK271" si="1721">SUM(CB265:CE265,CG265:CJ265)</f>
        <v>0</v>
      </c>
      <c r="CL265" s="65">
        <f t="shared" ref="CL265:CU271" si="1722">SUM(BE265,CA265,BP265)</f>
        <v>0</v>
      </c>
      <c r="CM265" s="65">
        <f t="shared" si="1722"/>
        <v>0</v>
      </c>
      <c r="CN265" s="65">
        <f t="shared" si="1722"/>
        <v>0</v>
      </c>
      <c r="CO265" s="65">
        <f t="shared" si="1722"/>
        <v>0</v>
      </c>
      <c r="CP265" s="65">
        <f t="shared" si="1722"/>
        <v>0</v>
      </c>
      <c r="CQ265" s="65">
        <f t="shared" si="1722"/>
        <v>0</v>
      </c>
      <c r="CR265" s="65">
        <f t="shared" si="1722"/>
        <v>0</v>
      </c>
      <c r="CS265" s="65">
        <f t="shared" si="1722"/>
        <v>0</v>
      </c>
      <c r="CT265" s="65">
        <f t="shared" si="1722"/>
        <v>0</v>
      </c>
      <c r="CU265" s="65">
        <f t="shared" si="1722"/>
        <v>0</v>
      </c>
      <c r="CV265" s="64">
        <f t="shared" ref="CV265:CV271" si="1723">SUM(CM265:CP265,CR265:CU265)</f>
        <v>0</v>
      </c>
      <c r="CW265" s="62"/>
      <c r="CX265" s="63"/>
      <c r="CY265" s="63"/>
      <c r="CZ265" s="63"/>
      <c r="DA265" s="63"/>
      <c r="DB265" s="63"/>
      <c r="DC265" s="63"/>
      <c r="DD265" s="63"/>
      <c r="DE265" s="63"/>
      <c r="DF265" s="63"/>
      <c r="DG265" s="64">
        <f t="shared" ref="DG265:DG271" si="1724">SUM(CX265:DA265,DC265:DF265)</f>
        <v>0</v>
      </c>
      <c r="DH265" s="62"/>
      <c r="DI265" s="63"/>
      <c r="DJ265" s="63"/>
      <c r="DK265" s="63"/>
      <c r="DL265" s="63"/>
      <c r="DM265" s="63"/>
      <c r="DN265" s="63"/>
      <c r="DO265" s="63"/>
      <c r="DP265" s="63"/>
      <c r="DQ265" s="63"/>
      <c r="DR265" s="64">
        <f t="shared" ref="DR265:DR271" si="1725">SUM(DI265:DL265,DN265:DQ265)</f>
        <v>0</v>
      </c>
      <c r="DS265" s="62"/>
      <c r="DT265" s="63"/>
      <c r="DU265" s="63"/>
      <c r="DV265" s="63"/>
      <c r="DW265" s="63"/>
      <c r="DX265" s="63"/>
      <c r="DY265" s="63"/>
      <c r="DZ265" s="63"/>
      <c r="EA265" s="63"/>
      <c r="EB265" s="63"/>
      <c r="EC265" s="63"/>
      <c r="ED265" s="65">
        <f t="shared" ref="ED265:EM271" si="1726">SUM(CW265,DS265,DH265)</f>
        <v>0</v>
      </c>
      <c r="EE265" s="65">
        <f t="shared" si="1726"/>
        <v>0</v>
      </c>
      <c r="EF265" s="65">
        <f t="shared" si="1726"/>
        <v>0</v>
      </c>
      <c r="EG265" s="65">
        <f t="shared" si="1726"/>
        <v>0</v>
      </c>
      <c r="EH265" s="65">
        <f t="shared" si="1726"/>
        <v>0</v>
      </c>
      <c r="EI265" s="65">
        <f t="shared" si="1726"/>
        <v>0</v>
      </c>
      <c r="EJ265" s="65">
        <f t="shared" si="1726"/>
        <v>0</v>
      </c>
      <c r="EK265" s="65">
        <f t="shared" si="1726"/>
        <v>0</v>
      </c>
      <c r="EL265" s="65">
        <f t="shared" si="1726"/>
        <v>0</v>
      </c>
      <c r="EM265" s="65">
        <f t="shared" si="1726"/>
        <v>0</v>
      </c>
      <c r="EN265" s="64">
        <f t="shared" ref="EN265:EN271" si="1727">SUM(EE265:EH265,EJ265:EM265)</f>
        <v>0</v>
      </c>
      <c r="EO265" s="62"/>
      <c r="EP265" s="63"/>
      <c r="EQ265" s="63"/>
      <c r="ER265" s="63"/>
      <c r="ES265" s="63"/>
      <c r="ET265" s="63"/>
      <c r="EU265" s="63"/>
      <c r="EV265" s="63"/>
      <c r="EW265" s="63"/>
      <c r="EX265" s="63"/>
      <c r="EY265" s="64">
        <f t="shared" ref="EY265:EY271" si="1728">SUM(EP265:ES265,EU265:EX265)</f>
        <v>0</v>
      </c>
      <c r="EZ265" s="62"/>
      <c r="FA265" s="63"/>
      <c r="FB265" s="63"/>
      <c r="FC265" s="63"/>
      <c r="FD265" s="63"/>
      <c r="FE265" s="63"/>
      <c r="FF265" s="63"/>
      <c r="FG265" s="63"/>
      <c r="FH265" s="63"/>
      <c r="FI265" s="63"/>
      <c r="FJ265" s="64">
        <f t="shared" ref="FJ265:FJ271" si="1729">SUM(FA265:FD265,FF265:FI265)</f>
        <v>0</v>
      </c>
      <c r="FK265" s="62"/>
      <c r="FL265" s="63"/>
      <c r="FM265" s="63"/>
      <c r="FN265" s="63"/>
      <c r="FO265" s="63"/>
      <c r="FP265" s="63"/>
      <c r="FQ265" s="63"/>
      <c r="FR265" s="63"/>
      <c r="FS265" s="63"/>
      <c r="FT265" s="63"/>
      <c r="FU265" s="64">
        <f t="shared" ref="FU265:FU271" si="1730">SUM(FL265:FO265,FQ265:FT265)</f>
        <v>0</v>
      </c>
      <c r="FV265" s="65">
        <f t="shared" ref="FV265:GE271" si="1731">SUM(EO265,FK265,EZ265)</f>
        <v>0</v>
      </c>
      <c r="FW265" s="65">
        <f t="shared" si="1731"/>
        <v>0</v>
      </c>
      <c r="FX265" s="65">
        <f t="shared" si="1731"/>
        <v>0</v>
      </c>
      <c r="FY265" s="65">
        <f t="shared" si="1731"/>
        <v>0</v>
      </c>
      <c r="FZ265" s="65">
        <f t="shared" si="1731"/>
        <v>0</v>
      </c>
      <c r="GA265" s="65">
        <f t="shared" si="1731"/>
        <v>0</v>
      </c>
      <c r="GB265" s="65">
        <f t="shared" si="1731"/>
        <v>0</v>
      </c>
      <c r="GC265" s="65">
        <f t="shared" si="1731"/>
        <v>0</v>
      </c>
      <c r="GD265" s="65">
        <f t="shared" si="1731"/>
        <v>0</v>
      </c>
      <c r="GE265" s="65">
        <f t="shared" si="1731"/>
        <v>0</v>
      </c>
      <c r="GF265" s="64">
        <f t="shared" ref="GF265:GF271" si="1732">SUM(FW265:FZ265,GB265:GE265)</f>
        <v>0</v>
      </c>
      <c r="GG265" s="66">
        <f t="shared" ref="GG265:GP271" si="1733">SUM(AT265,CL265,ED265,FV265)</f>
        <v>0</v>
      </c>
      <c r="GH265" s="66">
        <f t="shared" si="1733"/>
        <v>0</v>
      </c>
      <c r="GI265" s="66">
        <f t="shared" si="1733"/>
        <v>0</v>
      </c>
      <c r="GJ265" s="66">
        <f t="shared" si="1733"/>
        <v>0</v>
      </c>
      <c r="GK265" s="66">
        <f t="shared" si="1733"/>
        <v>0</v>
      </c>
      <c r="GL265" s="66">
        <f t="shared" si="1733"/>
        <v>0</v>
      </c>
      <c r="GM265" s="66">
        <f t="shared" si="1733"/>
        <v>0</v>
      </c>
      <c r="GN265" s="66">
        <f t="shared" si="1733"/>
        <v>0</v>
      </c>
      <c r="GO265" s="66">
        <f t="shared" si="1733"/>
        <v>0</v>
      </c>
      <c r="GP265" s="66">
        <f t="shared" si="1733"/>
        <v>0</v>
      </c>
      <c r="GQ265" s="64">
        <f t="shared" ref="GQ265:GQ271" si="1734">SUM(GH265:GK265,GM265:GP265)</f>
        <v>0</v>
      </c>
      <c r="GR265" s="63"/>
      <c r="GS265" s="63"/>
      <c r="GT265" s="63"/>
      <c r="GU265" s="63"/>
      <c r="GV265" s="67">
        <f t="shared" ref="GV265:GV271" si="1735">SUM(GR265:GU265)</f>
        <v>0</v>
      </c>
      <c r="GW265" s="63"/>
      <c r="GX265" s="63"/>
      <c r="GY265" s="63"/>
      <c r="GZ265" s="63"/>
      <c r="HA265" s="67">
        <f t="shared" ref="HA265:HA271" si="1736">SUM(GW265:GZ265)</f>
        <v>0</v>
      </c>
      <c r="HB265" s="63"/>
      <c r="HC265" s="63"/>
      <c r="HD265" s="63"/>
      <c r="HE265" s="63"/>
      <c r="HF265" s="67">
        <f t="shared" ref="HF265:HF271" si="1737">SUM(HB265:HE265)</f>
        <v>0</v>
      </c>
      <c r="HG265" s="63"/>
      <c r="HH265" s="63"/>
      <c r="HI265" s="63"/>
      <c r="HJ265" s="63"/>
      <c r="HK265" s="67">
        <f t="shared" ref="HK265:HK271" si="1738">SUM(HG265:HJ265)</f>
        <v>0</v>
      </c>
      <c r="HL265" s="68">
        <f t="shared" ref="HL265:HO271" si="1739">SUM(GW265,HB265,HG265)</f>
        <v>0</v>
      </c>
      <c r="HM265" s="68">
        <f t="shared" si="1739"/>
        <v>0</v>
      </c>
      <c r="HN265" s="68">
        <f t="shared" si="1739"/>
        <v>0</v>
      </c>
      <c r="HO265" s="68">
        <f t="shared" si="1739"/>
        <v>0</v>
      </c>
      <c r="HP265" s="67">
        <f t="shared" ref="HP265:HP271" si="1740">SUM(HL265:HO265)</f>
        <v>0</v>
      </c>
      <c r="HQ265" s="63"/>
      <c r="HR265" s="63"/>
      <c r="HS265" s="63"/>
      <c r="HT265" s="63"/>
      <c r="HU265" s="67">
        <f t="shared" ref="HU265:HU271" si="1741">SUM(HQ265:HT265)</f>
        <v>0</v>
      </c>
      <c r="HV265" s="63"/>
      <c r="HW265" s="63"/>
      <c r="HX265" s="63"/>
      <c r="HY265" s="63"/>
      <c r="HZ265" s="67">
        <f t="shared" ref="HZ265:HZ271" si="1742">SUM(HV265:HY265)</f>
        <v>0</v>
      </c>
      <c r="IA265" s="63"/>
      <c r="IB265" s="63"/>
      <c r="IC265" s="63"/>
      <c r="ID265" s="63"/>
      <c r="IE265" s="67">
        <f t="shared" ref="IE265:IE271" si="1743">SUM(IA265:ID265)</f>
        <v>0</v>
      </c>
      <c r="IF265" s="68">
        <f t="shared" ref="IF265:II271" si="1744">SUM(HQ265,HV265,IA265)</f>
        <v>0</v>
      </c>
      <c r="IG265" s="68">
        <f t="shared" si="1744"/>
        <v>0</v>
      </c>
      <c r="IH265" s="68">
        <f t="shared" si="1744"/>
        <v>0</v>
      </c>
      <c r="II265" s="68">
        <f t="shared" si="1744"/>
        <v>0</v>
      </c>
      <c r="IJ265" s="67">
        <f t="shared" ref="IJ265:IJ271" si="1745">SUM(IF265:II265)</f>
        <v>0</v>
      </c>
      <c r="IK265" s="63"/>
      <c r="IL265" s="63"/>
      <c r="IM265" s="63"/>
      <c r="IN265" s="63"/>
      <c r="IO265" s="67">
        <f t="shared" ref="IO265:IO271" si="1746">SUM(IK265:IN265)</f>
        <v>0</v>
      </c>
      <c r="IP265" s="63"/>
      <c r="IQ265" s="63"/>
      <c r="IR265" s="63"/>
      <c r="IS265" s="63"/>
      <c r="IT265" s="67">
        <f t="shared" ref="IT265:IT271" si="1747">SUM(IP265:IS265)</f>
        <v>0</v>
      </c>
      <c r="IU265" s="63"/>
      <c r="IV265" s="63"/>
    </row>
    <row r="266" spans="1:256" x14ac:dyDescent="0.25">
      <c r="A266" s="117" t="s">
        <v>213</v>
      </c>
      <c r="B266" s="62">
        <v>5</v>
      </c>
      <c r="C266" s="63">
        <v>50</v>
      </c>
      <c r="D266" s="63">
        <v>25</v>
      </c>
      <c r="E266" s="63">
        <v>25</v>
      </c>
      <c r="F266" s="63">
        <v>0</v>
      </c>
      <c r="G266" s="63">
        <v>0</v>
      </c>
      <c r="H266" s="63">
        <v>25</v>
      </c>
      <c r="I266" s="63">
        <v>0</v>
      </c>
      <c r="J266" s="63">
        <v>25</v>
      </c>
      <c r="K266" s="63">
        <v>0</v>
      </c>
      <c r="L266" s="64">
        <f t="shared" si="1713"/>
        <v>150</v>
      </c>
      <c r="M266" s="62"/>
      <c r="N266" s="63"/>
      <c r="O266" s="63"/>
      <c r="P266" s="63"/>
      <c r="Q266" s="63"/>
      <c r="R266" s="63"/>
      <c r="S266" s="63"/>
      <c r="T266" s="63"/>
      <c r="U266" s="63"/>
      <c r="V266" s="63"/>
      <c r="W266" s="64">
        <f t="shared" si="1714"/>
        <v>0</v>
      </c>
      <c r="X266" s="62"/>
      <c r="Y266" s="63"/>
      <c r="Z266" s="63"/>
      <c r="AA266" s="63"/>
      <c r="AB266" s="63"/>
      <c r="AC266" s="63"/>
      <c r="AD266" s="63"/>
      <c r="AE266" s="63"/>
      <c r="AF266" s="63"/>
      <c r="AG266" s="63"/>
      <c r="AH266" s="64">
        <f t="shared" si="1715"/>
        <v>0</v>
      </c>
      <c r="AI266" s="62"/>
      <c r="AJ266" s="63"/>
      <c r="AK266" s="63"/>
      <c r="AL266" s="63"/>
      <c r="AM266" s="63"/>
      <c r="AN266" s="63"/>
      <c r="AO266" s="63"/>
      <c r="AP266" s="63"/>
      <c r="AQ266" s="63"/>
      <c r="AR266" s="63"/>
      <c r="AS266" s="64">
        <f t="shared" si="1716"/>
        <v>0</v>
      </c>
      <c r="AT266" s="65">
        <f t="shared" si="1717"/>
        <v>0</v>
      </c>
      <c r="AU266" s="65">
        <f t="shared" si="1717"/>
        <v>0</v>
      </c>
      <c r="AV266" s="65">
        <f t="shared" si="1717"/>
        <v>0</v>
      </c>
      <c r="AW266" s="65">
        <f t="shared" si="1717"/>
        <v>0</v>
      </c>
      <c r="AX266" s="65">
        <f t="shared" si="1717"/>
        <v>0</v>
      </c>
      <c r="AY266" s="65">
        <f t="shared" si="1717"/>
        <v>0</v>
      </c>
      <c r="AZ266" s="65">
        <f t="shared" si="1717"/>
        <v>0</v>
      </c>
      <c r="BA266" s="65">
        <f t="shared" si="1717"/>
        <v>0</v>
      </c>
      <c r="BB266" s="65">
        <f t="shared" si="1717"/>
        <v>0</v>
      </c>
      <c r="BC266" s="65">
        <f t="shared" si="1717"/>
        <v>0</v>
      </c>
      <c r="BD266" s="64">
        <f t="shared" si="1718"/>
        <v>0</v>
      </c>
      <c r="BE266" s="62"/>
      <c r="BF266" s="63"/>
      <c r="BG266" s="63"/>
      <c r="BH266" s="63"/>
      <c r="BI266" s="63"/>
      <c r="BJ266" s="63"/>
      <c r="BK266" s="63"/>
      <c r="BL266" s="63"/>
      <c r="BM266" s="63"/>
      <c r="BN266" s="63"/>
      <c r="BO266" s="64">
        <f t="shared" si="1719"/>
        <v>0</v>
      </c>
      <c r="BP266" s="62"/>
      <c r="BQ266" s="63"/>
      <c r="BR266" s="63"/>
      <c r="BS266" s="63"/>
      <c r="BT266" s="63"/>
      <c r="BU266" s="63"/>
      <c r="BV266" s="63"/>
      <c r="BW266" s="63"/>
      <c r="BX266" s="63"/>
      <c r="BY266" s="63"/>
      <c r="BZ266" s="64">
        <f t="shared" si="1720"/>
        <v>0</v>
      </c>
      <c r="CA266" s="62"/>
      <c r="CB266" s="63"/>
      <c r="CC266" s="63"/>
      <c r="CD266" s="63"/>
      <c r="CE266" s="63"/>
      <c r="CF266" s="63"/>
      <c r="CG266" s="63"/>
      <c r="CH266" s="63"/>
      <c r="CI266" s="63"/>
      <c r="CJ266" s="63"/>
      <c r="CK266" s="64">
        <f t="shared" si="1721"/>
        <v>0</v>
      </c>
      <c r="CL266" s="65">
        <f t="shared" si="1722"/>
        <v>0</v>
      </c>
      <c r="CM266" s="65">
        <f t="shared" si="1722"/>
        <v>0</v>
      </c>
      <c r="CN266" s="65">
        <f t="shared" si="1722"/>
        <v>0</v>
      </c>
      <c r="CO266" s="65">
        <f t="shared" si="1722"/>
        <v>0</v>
      </c>
      <c r="CP266" s="65">
        <f t="shared" si="1722"/>
        <v>0</v>
      </c>
      <c r="CQ266" s="65">
        <f t="shared" si="1722"/>
        <v>0</v>
      </c>
      <c r="CR266" s="65">
        <f t="shared" si="1722"/>
        <v>0</v>
      </c>
      <c r="CS266" s="65">
        <f t="shared" si="1722"/>
        <v>0</v>
      </c>
      <c r="CT266" s="65">
        <f t="shared" si="1722"/>
        <v>0</v>
      </c>
      <c r="CU266" s="65">
        <f t="shared" si="1722"/>
        <v>0</v>
      </c>
      <c r="CV266" s="64">
        <f t="shared" si="1723"/>
        <v>0</v>
      </c>
      <c r="CW266" s="62"/>
      <c r="CX266" s="63"/>
      <c r="CY266" s="63"/>
      <c r="CZ266" s="63"/>
      <c r="DA266" s="63"/>
      <c r="DB266" s="63"/>
      <c r="DC266" s="63"/>
      <c r="DD266" s="63"/>
      <c r="DE266" s="63"/>
      <c r="DF266" s="63"/>
      <c r="DG266" s="64">
        <f t="shared" si="1724"/>
        <v>0</v>
      </c>
      <c r="DH266" s="62"/>
      <c r="DI266" s="63"/>
      <c r="DJ266" s="63"/>
      <c r="DK266" s="63"/>
      <c r="DL266" s="63"/>
      <c r="DM266" s="63"/>
      <c r="DN266" s="63"/>
      <c r="DO266" s="63"/>
      <c r="DP266" s="63"/>
      <c r="DQ266" s="63"/>
      <c r="DR266" s="64">
        <f t="shared" si="1725"/>
        <v>0</v>
      </c>
      <c r="DS266" s="62"/>
      <c r="DT266" s="63"/>
      <c r="DU266" s="63"/>
      <c r="DV266" s="63"/>
      <c r="DW266" s="63"/>
      <c r="DX266" s="63"/>
      <c r="DY266" s="63"/>
      <c r="DZ266" s="63"/>
      <c r="EA266" s="63"/>
      <c r="EB266" s="63"/>
      <c r="EC266" s="63"/>
      <c r="ED266" s="65">
        <f t="shared" si="1726"/>
        <v>0</v>
      </c>
      <c r="EE266" s="65">
        <f t="shared" si="1726"/>
        <v>0</v>
      </c>
      <c r="EF266" s="65">
        <f t="shared" si="1726"/>
        <v>0</v>
      </c>
      <c r="EG266" s="65">
        <f t="shared" si="1726"/>
        <v>0</v>
      </c>
      <c r="EH266" s="65">
        <f t="shared" si="1726"/>
        <v>0</v>
      </c>
      <c r="EI266" s="65">
        <f t="shared" si="1726"/>
        <v>0</v>
      </c>
      <c r="EJ266" s="65">
        <f t="shared" si="1726"/>
        <v>0</v>
      </c>
      <c r="EK266" s="65">
        <f t="shared" si="1726"/>
        <v>0</v>
      </c>
      <c r="EL266" s="65">
        <f t="shared" si="1726"/>
        <v>0</v>
      </c>
      <c r="EM266" s="65">
        <f t="shared" si="1726"/>
        <v>0</v>
      </c>
      <c r="EN266" s="64">
        <f t="shared" si="1727"/>
        <v>0</v>
      </c>
      <c r="EO266" s="62"/>
      <c r="EP266" s="63"/>
      <c r="EQ266" s="63"/>
      <c r="ER266" s="63"/>
      <c r="ES266" s="63"/>
      <c r="ET266" s="63"/>
      <c r="EU266" s="63"/>
      <c r="EV266" s="63"/>
      <c r="EW266" s="63"/>
      <c r="EX266" s="63"/>
      <c r="EY266" s="64">
        <f t="shared" si="1728"/>
        <v>0</v>
      </c>
      <c r="EZ266" s="62"/>
      <c r="FA266" s="63"/>
      <c r="FB266" s="63"/>
      <c r="FC266" s="63"/>
      <c r="FD266" s="63"/>
      <c r="FE266" s="63"/>
      <c r="FF266" s="63"/>
      <c r="FG266" s="63"/>
      <c r="FH266" s="63"/>
      <c r="FI266" s="63"/>
      <c r="FJ266" s="64">
        <f t="shared" si="1729"/>
        <v>0</v>
      </c>
      <c r="FK266" s="62"/>
      <c r="FL266" s="63"/>
      <c r="FM266" s="63"/>
      <c r="FN266" s="63"/>
      <c r="FO266" s="63"/>
      <c r="FP266" s="63"/>
      <c r="FQ266" s="63"/>
      <c r="FR266" s="63"/>
      <c r="FS266" s="63"/>
      <c r="FT266" s="63"/>
      <c r="FU266" s="64">
        <f t="shared" si="1730"/>
        <v>0</v>
      </c>
      <c r="FV266" s="65">
        <f t="shared" si="1731"/>
        <v>0</v>
      </c>
      <c r="FW266" s="65">
        <f t="shared" si="1731"/>
        <v>0</v>
      </c>
      <c r="FX266" s="65">
        <f t="shared" si="1731"/>
        <v>0</v>
      </c>
      <c r="FY266" s="65">
        <f t="shared" si="1731"/>
        <v>0</v>
      </c>
      <c r="FZ266" s="65">
        <f t="shared" si="1731"/>
        <v>0</v>
      </c>
      <c r="GA266" s="65">
        <f t="shared" si="1731"/>
        <v>0</v>
      </c>
      <c r="GB266" s="65">
        <f t="shared" si="1731"/>
        <v>0</v>
      </c>
      <c r="GC266" s="65">
        <f t="shared" si="1731"/>
        <v>0</v>
      </c>
      <c r="GD266" s="65">
        <f t="shared" si="1731"/>
        <v>0</v>
      </c>
      <c r="GE266" s="65">
        <f t="shared" si="1731"/>
        <v>0</v>
      </c>
      <c r="GF266" s="64">
        <f t="shared" si="1732"/>
        <v>0</v>
      </c>
      <c r="GG266" s="66">
        <f t="shared" si="1733"/>
        <v>0</v>
      </c>
      <c r="GH266" s="66">
        <f t="shared" si="1733"/>
        <v>0</v>
      </c>
      <c r="GI266" s="66">
        <f t="shared" si="1733"/>
        <v>0</v>
      </c>
      <c r="GJ266" s="66">
        <f t="shared" si="1733"/>
        <v>0</v>
      </c>
      <c r="GK266" s="66">
        <f t="shared" si="1733"/>
        <v>0</v>
      </c>
      <c r="GL266" s="66">
        <f t="shared" si="1733"/>
        <v>0</v>
      </c>
      <c r="GM266" s="66">
        <f t="shared" si="1733"/>
        <v>0</v>
      </c>
      <c r="GN266" s="66">
        <f t="shared" si="1733"/>
        <v>0</v>
      </c>
      <c r="GO266" s="66">
        <f t="shared" si="1733"/>
        <v>0</v>
      </c>
      <c r="GP266" s="66">
        <f t="shared" si="1733"/>
        <v>0</v>
      </c>
      <c r="GQ266" s="64">
        <f t="shared" si="1734"/>
        <v>0</v>
      </c>
      <c r="GR266" s="63"/>
      <c r="GS266" s="63"/>
      <c r="GT266" s="63"/>
      <c r="GU266" s="63"/>
      <c r="GV266" s="67">
        <f t="shared" si="1735"/>
        <v>0</v>
      </c>
      <c r="GW266" s="63"/>
      <c r="GX266" s="63"/>
      <c r="GY266" s="63"/>
      <c r="GZ266" s="63"/>
      <c r="HA266" s="67">
        <f t="shared" si="1736"/>
        <v>0</v>
      </c>
      <c r="HB266" s="63"/>
      <c r="HC266" s="63"/>
      <c r="HD266" s="63"/>
      <c r="HE266" s="63"/>
      <c r="HF266" s="67">
        <f t="shared" si="1737"/>
        <v>0</v>
      </c>
      <c r="HG266" s="63"/>
      <c r="HH266" s="63"/>
      <c r="HI266" s="63"/>
      <c r="HJ266" s="63"/>
      <c r="HK266" s="67">
        <f t="shared" si="1738"/>
        <v>0</v>
      </c>
      <c r="HL266" s="68">
        <f t="shared" si="1739"/>
        <v>0</v>
      </c>
      <c r="HM266" s="68">
        <f t="shared" si="1739"/>
        <v>0</v>
      </c>
      <c r="HN266" s="68">
        <f t="shared" si="1739"/>
        <v>0</v>
      </c>
      <c r="HO266" s="68">
        <f t="shared" si="1739"/>
        <v>0</v>
      </c>
      <c r="HP266" s="67">
        <f t="shared" si="1740"/>
        <v>0</v>
      </c>
      <c r="HQ266" s="63"/>
      <c r="HR266" s="63"/>
      <c r="HS266" s="63"/>
      <c r="HT266" s="63"/>
      <c r="HU266" s="67">
        <f t="shared" si="1741"/>
        <v>0</v>
      </c>
      <c r="HV266" s="63"/>
      <c r="HW266" s="63"/>
      <c r="HX266" s="63"/>
      <c r="HY266" s="63"/>
      <c r="HZ266" s="67">
        <f t="shared" si="1742"/>
        <v>0</v>
      </c>
      <c r="IA266" s="63"/>
      <c r="IB266" s="63"/>
      <c r="IC266" s="63"/>
      <c r="ID266" s="63"/>
      <c r="IE266" s="67">
        <f t="shared" si="1743"/>
        <v>0</v>
      </c>
      <c r="IF266" s="68">
        <f t="shared" si="1744"/>
        <v>0</v>
      </c>
      <c r="IG266" s="68">
        <f t="shared" si="1744"/>
        <v>0</v>
      </c>
      <c r="IH266" s="68">
        <f t="shared" si="1744"/>
        <v>0</v>
      </c>
      <c r="II266" s="68">
        <f t="shared" si="1744"/>
        <v>0</v>
      </c>
      <c r="IJ266" s="67">
        <f t="shared" si="1745"/>
        <v>0</v>
      </c>
      <c r="IK266" s="63"/>
      <c r="IL266" s="63"/>
      <c r="IM266" s="63"/>
      <c r="IN266" s="63"/>
      <c r="IO266" s="67">
        <f t="shared" si="1746"/>
        <v>0</v>
      </c>
      <c r="IP266" s="63"/>
      <c r="IQ266" s="63"/>
      <c r="IR266" s="63"/>
      <c r="IS266" s="63"/>
      <c r="IT266" s="67">
        <f t="shared" si="1747"/>
        <v>0</v>
      </c>
      <c r="IU266" s="63"/>
      <c r="IV266" s="63"/>
    </row>
    <row r="267" spans="1:256" x14ac:dyDescent="0.25">
      <c r="A267" s="117" t="s">
        <v>214</v>
      </c>
      <c r="B267" s="62">
        <v>0</v>
      </c>
      <c r="C267" s="63">
        <v>0</v>
      </c>
      <c r="D267" s="63">
        <v>0</v>
      </c>
      <c r="E267" s="63">
        <v>0</v>
      </c>
      <c r="F267" s="63">
        <v>0</v>
      </c>
      <c r="G267" s="63">
        <v>0</v>
      </c>
      <c r="H267" s="63">
        <v>0</v>
      </c>
      <c r="I267" s="63">
        <v>0</v>
      </c>
      <c r="J267" s="63">
        <v>0</v>
      </c>
      <c r="K267" s="63">
        <v>0</v>
      </c>
      <c r="L267" s="64">
        <f t="shared" si="1713"/>
        <v>0</v>
      </c>
      <c r="M267" s="62"/>
      <c r="N267" s="63"/>
      <c r="O267" s="63"/>
      <c r="P267" s="63"/>
      <c r="Q267" s="63"/>
      <c r="R267" s="63"/>
      <c r="S267" s="63"/>
      <c r="T267" s="63"/>
      <c r="U267" s="63"/>
      <c r="V267" s="63"/>
      <c r="W267" s="64">
        <f t="shared" si="1714"/>
        <v>0</v>
      </c>
      <c r="X267" s="62"/>
      <c r="Y267" s="63"/>
      <c r="Z267" s="63"/>
      <c r="AA267" s="63"/>
      <c r="AB267" s="63"/>
      <c r="AC267" s="63"/>
      <c r="AD267" s="63"/>
      <c r="AE267" s="63"/>
      <c r="AF267" s="63"/>
      <c r="AG267" s="63"/>
      <c r="AH267" s="64">
        <f t="shared" si="1715"/>
        <v>0</v>
      </c>
      <c r="AI267" s="62"/>
      <c r="AJ267" s="63"/>
      <c r="AK267" s="63"/>
      <c r="AL267" s="63"/>
      <c r="AM267" s="63"/>
      <c r="AN267" s="63"/>
      <c r="AO267" s="63"/>
      <c r="AP267" s="63"/>
      <c r="AQ267" s="63"/>
      <c r="AR267" s="63"/>
      <c r="AS267" s="64">
        <f t="shared" si="1716"/>
        <v>0</v>
      </c>
      <c r="AT267" s="65">
        <f t="shared" si="1717"/>
        <v>0</v>
      </c>
      <c r="AU267" s="65">
        <f t="shared" si="1717"/>
        <v>0</v>
      </c>
      <c r="AV267" s="65">
        <f t="shared" si="1717"/>
        <v>0</v>
      </c>
      <c r="AW267" s="65">
        <f t="shared" si="1717"/>
        <v>0</v>
      </c>
      <c r="AX267" s="65">
        <f t="shared" si="1717"/>
        <v>0</v>
      </c>
      <c r="AY267" s="65">
        <f t="shared" si="1717"/>
        <v>0</v>
      </c>
      <c r="AZ267" s="65">
        <f t="shared" si="1717"/>
        <v>0</v>
      </c>
      <c r="BA267" s="65">
        <f t="shared" si="1717"/>
        <v>0</v>
      </c>
      <c r="BB267" s="65">
        <f t="shared" si="1717"/>
        <v>0</v>
      </c>
      <c r="BC267" s="65">
        <f t="shared" si="1717"/>
        <v>0</v>
      </c>
      <c r="BD267" s="64">
        <f t="shared" si="1718"/>
        <v>0</v>
      </c>
      <c r="BE267" s="62"/>
      <c r="BF267" s="63"/>
      <c r="BG267" s="63"/>
      <c r="BH267" s="63"/>
      <c r="BI267" s="63"/>
      <c r="BJ267" s="63"/>
      <c r="BK267" s="63"/>
      <c r="BL267" s="63"/>
      <c r="BM267" s="63"/>
      <c r="BN267" s="63"/>
      <c r="BO267" s="64">
        <f t="shared" si="1719"/>
        <v>0</v>
      </c>
      <c r="BP267" s="62"/>
      <c r="BQ267" s="63"/>
      <c r="BR267" s="63"/>
      <c r="BS267" s="63"/>
      <c r="BT267" s="63"/>
      <c r="BU267" s="63"/>
      <c r="BV267" s="63"/>
      <c r="BW267" s="63"/>
      <c r="BX267" s="63"/>
      <c r="BY267" s="63"/>
      <c r="BZ267" s="64">
        <f t="shared" si="1720"/>
        <v>0</v>
      </c>
      <c r="CA267" s="62"/>
      <c r="CB267" s="63"/>
      <c r="CC267" s="63"/>
      <c r="CD267" s="63"/>
      <c r="CE267" s="63"/>
      <c r="CF267" s="63"/>
      <c r="CG267" s="63"/>
      <c r="CH267" s="63"/>
      <c r="CI267" s="63"/>
      <c r="CJ267" s="63"/>
      <c r="CK267" s="64">
        <f t="shared" si="1721"/>
        <v>0</v>
      </c>
      <c r="CL267" s="65">
        <f t="shared" si="1722"/>
        <v>0</v>
      </c>
      <c r="CM267" s="65">
        <f t="shared" si="1722"/>
        <v>0</v>
      </c>
      <c r="CN267" s="65">
        <f t="shared" si="1722"/>
        <v>0</v>
      </c>
      <c r="CO267" s="65">
        <f t="shared" si="1722"/>
        <v>0</v>
      </c>
      <c r="CP267" s="65">
        <f t="shared" si="1722"/>
        <v>0</v>
      </c>
      <c r="CQ267" s="65">
        <f t="shared" si="1722"/>
        <v>0</v>
      </c>
      <c r="CR267" s="65">
        <f t="shared" si="1722"/>
        <v>0</v>
      </c>
      <c r="CS267" s="65">
        <f t="shared" si="1722"/>
        <v>0</v>
      </c>
      <c r="CT267" s="65">
        <f t="shared" si="1722"/>
        <v>0</v>
      </c>
      <c r="CU267" s="65">
        <f t="shared" si="1722"/>
        <v>0</v>
      </c>
      <c r="CV267" s="64">
        <f t="shared" si="1723"/>
        <v>0</v>
      </c>
      <c r="CW267" s="62"/>
      <c r="CX267" s="63"/>
      <c r="CY267" s="63"/>
      <c r="CZ267" s="63"/>
      <c r="DA267" s="63"/>
      <c r="DB267" s="63"/>
      <c r="DC267" s="63"/>
      <c r="DD267" s="63"/>
      <c r="DE267" s="63"/>
      <c r="DF267" s="63"/>
      <c r="DG267" s="64">
        <f t="shared" si="1724"/>
        <v>0</v>
      </c>
      <c r="DH267" s="62"/>
      <c r="DI267" s="63"/>
      <c r="DJ267" s="63"/>
      <c r="DK267" s="63"/>
      <c r="DL267" s="63"/>
      <c r="DM267" s="63"/>
      <c r="DN267" s="63"/>
      <c r="DO267" s="63"/>
      <c r="DP267" s="63"/>
      <c r="DQ267" s="63"/>
      <c r="DR267" s="64">
        <f t="shared" si="1725"/>
        <v>0</v>
      </c>
      <c r="DS267" s="62"/>
      <c r="DT267" s="63"/>
      <c r="DU267" s="63"/>
      <c r="DV267" s="63"/>
      <c r="DW267" s="63"/>
      <c r="DX267" s="63"/>
      <c r="DY267" s="63"/>
      <c r="DZ267" s="63"/>
      <c r="EA267" s="63"/>
      <c r="EB267" s="63"/>
      <c r="EC267" s="63"/>
      <c r="ED267" s="65">
        <f t="shared" si="1726"/>
        <v>0</v>
      </c>
      <c r="EE267" s="65">
        <f t="shared" si="1726"/>
        <v>0</v>
      </c>
      <c r="EF267" s="65">
        <f t="shared" si="1726"/>
        <v>0</v>
      </c>
      <c r="EG267" s="65">
        <f t="shared" si="1726"/>
        <v>0</v>
      </c>
      <c r="EH267" s="65">
        <f t="shared" si="1726"/>
        <v>0</v>
      </c>
      <c r="EI267" s="65">
        <f t="shared" si="1726"/>
        <v>0</v>
      </c>
      <c r="EJ267" s="65">
        <f t="shared" si="1726"/>
        <v>0</v>
      </c>
      <c r="EK267" s="65">
        <f t="shared" si="1726"/>
        <v>0</v>
      </c>
      <c r="EL267" s="65">
        <f t="shared" si="1726"/>
        <v>0</v>
      </c>
      <c r="EM267" s="65">
        <f t="shared" si="1726"/>
        <v>0</v>
      </c>
      <c r="EN267" s="64">
        <f t="shared" si="1727"/>
        <v>0</v>
      </c>
      <c r="EO267" s="62"/>
      <c r="EP267" s="63"/>
      <c r="EQ267" s="63"/>
      <c r="ER267" s="63"/>
      <c r="ES267" s="63"/>
      <c r="ET267" s="63"/>
      <c r="EU267" s="63"/>
      <c r="EV267" s="63"/>
      <c r="EW267" s="63"/>
      <c r="EX267" s="63"/>
      <c r="EY267" s="64">
        <f t="shared" si="1728"/>
        <v>0</v>
      </c>
      <c r="EZ267" s="62"/>
      <c r="FA267" s="63"/>
      <c r="FB267" s="63"/>
      <c r="FC267" s="63"/>
      <c r="FD267" s="63"/>
      <c r="FE267" s="63"/>
      <c r="FF267" s="63"/>
      <c r="FG267" s="63"/>
      <c r="FH267" s="63"/>
      <c r="FI267" s="63"/>
      <c r="FJ267" s="64">
        <f t="shared" si="1729"/>
        <v>0</v>
      </c>
      <c r="FK267" s="62"/>
      <c r="FL267" s="63"/>
      <c r="FM267" s="63"/>
      <c r="FN267" s="63"/>
      <c r="FO267" s="63"/>
      <c r="FP267" s="63"/>
      <c r="FQ267" s="63"/>
      <c r="FR267" s="63"/>
      <c r="FS267" s="63"/>
      <c r="FT267" s="63"/>
      <c r="FU267" s="64">
        <f t="shared" si="1730"/>
        <v>0</v>
      </c>
      <c r="FV267" s="65">
        <f t="shared" si="1731"/>
        <v>0</v>
      </c>
      <c r="FW267" s="65">
        <f t="shared" si="1731"/>
        <v>0</v>
      </c>
      <c r="FX267" s="65">
        <f t="shared" si="1731"/>
        <v>0</v>
      </c>
      <c r="FY267" s="65">
        <f t="shared" si="1731"/>
        <v>0</v>
      </c>
      <c r="FZ267" s="65">
        <f t="shared" si="1731"/>
        <v>0</v>
      </c>
      <c r="GA267" s="65">
        <f t="shared" si="1731"/>
        <v>0</v>
      </c>
      <c r="GB267" s="65">
        <f t="shared" si="1731"/>
        <v>0</v>
      </c>
      <c r="GC267" s="65">
        <f t="shared" si="1731"/>
        <v>0</v>
      </c>
      <c r="GD267" s="65">
        <f t="shared" si="1731"/>
        <v>0</v>
      </c>
      <c r="GE267" s="65">
        <f t="shared" si="1731"/>
        <v>0</v>
      </c>
      <c r="GF267" s="64">
        <f t="shared" si="1732"/>
        <v>0</v>
      </c>
      <c r="GG267" s="66">
        <f t="shared" si="1733"/>
        <v>0</v>
      </c>
      <c r="GH267" s="66">
        <f t="shared" si="1733"/>
        <v>0</v>
      </c>
      <c r="GI267" s="66">
        <f t="shared" si="1733"/>
        <v>0</v>
      </c>
      <c r="GJ267" s="66">
        <f t="shared" si="1733"/>
        <v>0</v>
      </c>
      <c r="GK267" s="66">
        <f t="shared" si="1733"/>
        <v>0</v>
      </c>
      <c r="GL267" s="66">
        <f t="shared" si="1733"/>
        <v>0</v>
      </c>
      <c r="GM267" s="66">
        <f t="shared" si="1733"/>
        <v>0</v>
      </c>
      <c r="GN267" s="66">
        <f t="shared" si="1733"/>
        <v>0</v>
      </c>
      <c r="GO267" s="66">
        <f t="shared" si="1733"/>
        <v>0</v>
      </c>
      <c r="GP267" s="66">
        <f t="shared" si="1733"/>
        <v>0</v>
      </c>
      <c r="GQ267" s="64">
        <f t="shared" si="1734"/>
        <v>0</v>
      </c>
      <c r="GR267" s="63"/>
      <c r="GS267" s="63">
        <v>0</v>
      </c>
      <c r="GT267" s="63"/>
      <c r="GU267" s="63"/>
      <c r="GV267" s="67">
        <f t="shared" si="1735"/>
        <v>0</v>
      </c>
      <c r="GW267" s="63"/>
      <c r="GX267" s="63"/>
      <c r="GY267" s="63"/>
      <c r="GZ267" s="63"/>
      <c r="HA267" s="67">
        <f t="shared" si="1736"/>
        <v>0</v>
      </c>
      <c r="HB267" s="63"/>
      <c r="HC267" s="63"/>
      <c r="HD267" s="63"/>
      <c r="HE267" s="63"/>
      <c r="HF267" s="67">
        <f t="shared" si="1737"/>
        <v>0</v>
      </c>
      <c r="HG267" s="63"/>
      <c r="HH267" s="63"/>
      <c r="HI267" s="63"/>
      <c r="HJ267" s="63"/>
      <c r="HK267" s="67">
        <f t="shared" si="1738"/>
        <v>0</v>
      </c>
      <c r="HL267" s="68">
        <f t="shared" si="1739"/>
        <v>0</v>
      </c>
      <c r="HM267" s="68">
        <f t="shared" si="1739"/>
        <v>0</v>
      </c>
      <c r="HN267" s="68">
        <f t="shared" si="1739"/>
        <v>0</v>
      </c>
      <c r="HO267" s="68">
        <f t="shared" si="1739"/>
        <v>0</v>
      </c>
      <c r="HP267" s="67">
        <f t="shared" si="1740"/>
        <v>0</v>
      </c>
      <c r="HQ267" s="63"/>
      <c r="HR267" s="63"/>
      <c r="HS267" s="63"/>
      <c r="HT267" s="63"/>
      <c r="HU267" s="67">
        <f t="shared" si="1741"/>
        <v>0</v>
      </c>
      <c r="HV267" s="63"/>
      <c r="HW267" s="63"/>
      <c r="HX267" s="63"/>
      <c r="HY267" s="63"/>
      <c r="HZ267" s="67">
        <f t="shared" si="1742"/>
        <v>0</v>
      </c>
      <c r="IA267" s="63"/>
      <c r="IB267" s="63"/>
      <c r="IC267" s="63"/>
      <c r="ID267" s="63"/>
      <c r="IE267" s="67">
        <f t="shared" si="1743"/>
        <v>0</v>
      </c>
      <c r="IF267" s="68">
        <f t="shared" si="1744"/>
        <v>0</v>
      </c>
      <c r="IG267" s="68">
        <f t="shared" si="1744"/>
        <v>0</v>
      </c>
      <c r="IH267" s="68">
        <f t="shared" si="1744"/>
        <v>0</v>
      </c>
      <c r="II267" s="68">
        <f t="shared" si="1744"/>
        <v>0</v>
      </c>
      <c r="IJ267" s="67">
        <f t="shared" si="1745"/>
        <v>0</v>
      </c>
      <c r="IK267" s="63"/>
      <c r="IL267" s="63"/>
      <c r="IM267" s="63"/>
      <c r="IN267" s="63"/>
      <c r="IO267" s="67">
        <f t="shared" si="1746"/>
        <v>0</v>
      </c>
      <c r="IP267" s="63"/>
      <c r="IQ267" s="63"/>
      <c r="IR267" s="63"/>
      <c r="IS267" s="63"/>
      <c r="IT267" s="67">
        <f t="shared" si="1747"/>
        <v>0</v>
      </c>
      <c r="IU267" s="63"/>
      <c r="IV267" s="63"/>
    </row>
    <row r="268" spans="1:256" x14ac:dyDescent="0.25">
      <c r="A268" s="117" t="s">
        <v>215</v>
      </c>
      <c r="B268" s="62">
        <v>5</v>
      </c>
      <c r="C268" s="63">
        <v>50</v>
      </c>
      <c r="D268" s="63">
        <v>25</v>
      </c>
      <c r="E268" s="63">
        <v>25</v>
      </c>
      <c r="F268" s="63">
        <v>0</v>
      </c>
      <c r="G268" s="63">
        <v>0</v>
      </c>
      <c r="H268" s="63">
        <v>25</v>
      </c>
      <c r="I268" s="63">
        <v>0</v>
      </c>
      <c r="J268" s="63">
        <v>25</v>
      </c>
      <c r="K268" s="63">
        <v>0</v>
      </c>
      <c r="L268" s="64">
        <f t="shared" si="1713"/>
        <v>150</v>
      </c>
      <c r="M268" s="62"/>
      <c r="N268" s="63"/>
      <c r="O268" s="63"/>
      <c r="P268" s="63"/>
      <c r="Q268" s="63"/>
      <c r="R268" s="63"/>
      <c r="S268" s="63"/>
      <c r="T268" s="63"/>
      <c r="U268" s="63"/>
      <c r="V268" s="63"/>
      <c r="W268" s="64">
        <f t="shared" si="1714"/>
        <v>0</v>
      </c>
      <c r="X268" s="62"/>
      <c r="Y268" s="63"/>
      <c r="Z268" s="63"/>
      <c r="AA268" s="63"/>
      <c r="AB268" s="63"/>
      <c r="AC268" s="63"/>
      <c r="AD268" s="63"/>
      <c r="AE268" s="63"/>
      <c r="AF268" s="63"/>
      <c r="AG268" s="63"/>
      <c r="AH268" s="64">
        <f t="shared" si="1715"/>
        <v>0</v>
      </c>
      <c r="AI268" s="62"/>
      <c r="AJ268" s="63"/>
      <c r="AK268" s="63"/>
      <c r="AL268" s="63"/>
      <c r="AM268" s="63"/>
      <c r="AN268" s="63"/>
      <c r="AO268" s="63"/>
      <c r="AP268" s="63"/>
      <c r="AQ268" s="63"/>
      <c r="AR268" s="63"/>
      <c r="AS268" s="64">
        <f t="shared" si="1716"/>
        <v>0</v>
      </c>
      <c r="AT268" s="65">
        <f t="shared" si="1717"/>
        <v>0</v>
      </c>
      <c r="AU268" s="65">
        <f t="shared" si="1717"/>
        <v>0</v>
      </c>
      <c r="AV268" s="65">
        <f t="shared" si="1717"/>
        <v>0</v>
      </c>
      <c r="AW268" s="65">
        <f t="shared" si="1717"/>
        <v>0</v>
      </c>
      <c r="AX268" s="65">
        <f t="shared" si="1717"/>
        <v>0</v>
      </c>
      <c r="AY268" s="65">
        <f t="shared" si="1717"/>
        <v>0</v>
      </c>
      <c r="AZ268" s="65">
        <f t="shared" si="1717"/>
        <v>0</v>
      </c>
      <c r="BA268" s="65">
        <f t="shared" si="1717"/>
        <v>0</v>
      </c>
      <c r="BB268" s="65">
        <f t="shared" si="1717"/>
        <v>0</v>
      </c>
      <c r="BC268" s="65">
        <f t="shared" si="1717"/>
        <v>0</v>
      </c>
      <c r="BD268" s="64">
        <f t="shared" si="1718"/>
        <v>0</v>
      </c>
      <c r="BE268" s="62"/>
      <c r="BF268" s="63"/>
      <c r="BG268" s="63"/>
      <c r="BH268" s="63"/>
      <c r="BI268" s="63"/>
      <c r="BJ268" s="63"/>
      <c r="BK268" s="63"/>
      <c r="BL268" s="63"/>
      <c r="BM268" s="63"/>
      <c r="BN268" s="63"/>
      <c r="BO268" s="64">
        <f t="shared" si="1719"/>
        <v>0</v>
      </c>
      <c r="BP268" s="62"/>
      <c r="BQ268" s="63"/>
      <c r="BR268" s="63"/>
      <c r="BS268" s="63"/>
      <c r="BT268" s="63"/>
      <c r="BU268" s="63"/>
      <c r="BV268" s="63"/>
      <c r="BW268" s="63"/>
      <c r="BX268" s="63"/>
      <c r="BY268" s="63"/>
      <c r="BZ268" s="64">
        <f t="shared" si="1720"/>
        <v>0</v>
      </c>
      <c r="CA268" s="62"/>
      <c r="CB268" s="63"/>
      <c r="CC268" s="63"/>
      <c r="CD268" s="63"/>
      <c r="CE268" s="63"/>
      <c r="CF268" s="63"/>
      <c r="CG268" s="63"/>
      <c r="CH268" s="63"/>
      <c r="CI268" s="63"/>
      <c r="CJ268" s="63"/>
      <c r="CK268" s="64">
        <f t="shared" si="1721"/>
        <v>0</v>
      </c>
      <c r="CL268" s="65">
        <f t="shared" si="1722"/>
        <v>0</v>
      </c>
      <c r="CM268" s="65">
        <f t="shared" si="1722"/>
        <v>0</v>
      </c>
      <c r="CN268" s="65">
        <f t="shared" si="1722"/>
        <v>0</v>
      </c>
      <c r="CO268" s="65">
        <f t="shared" si="1722"/>
        <v>0</v>
      </c>
      <c r="CP268" s="65">
        <f t="shared" si="1722"/>
        <v>0</v>
      </c>
      <c r="CQ268" s="65">
        <f t="shared" si="1722"/>
        <v>0</v>
      </c>
      <c r="CR268" s="65">
        <f t="shared" si="1722"/>
        <v>0</v>
      </c>
      <c r="CS268" s="65">
        <f t="shared" si="1722"/>
        <v>0</v>
      </c>
      <c r="CT268" s="65">
        <f t="shared" si="1722"/>
        <v>0</v>
      </c>
      <c r="CU268" s="65">
        <f t="shared" si="1722"/>
        <v>0</v>
      </c>
      <c r="CV268" s="64">
        <f t="shared" si="1723"/>
        <v>0</v>
      </c>
      <c r="CW268" s="62"/>
      <c r="CX268" s="63"/>
      <c r="CY268" s="63"/>
      <c r="CZ268" s="63"/>
      <c r="DA268" s="63"/>
      <c r="DB268" s="63"/>
      <c r="DC268" s="63"/>
      <c r="DD268" s="63"/>
      <c r="DE268" s="63"/>
      <c r="DF268" s="63"/>
      <c r="DG268" s="64">
        <f t="shared" si="1724"/>
        <v>0</v>
      </c>
      <c r="DH268" s="62"/>
      <c r="DI268" s="63"/>
      <c r="DJ268" s="63"/>
      <c r="DK268" s="63"/>
      <c r="DL268" s="63"/>
      <c r="DM268" s="63"/>
      <c r="DN268" s="63"/>
      <c r="DO268" s="63"/>
      <c r="DP268" s="63"/>
      <c r="DQ268" s="63"/>
      <c r="DR268" s="64">
        <f t="shared" si="1725"/>
        <v>0</v>
      </c>
      <c r="DS268" s="62"/>
      <c r="DT268" s="63"/>
      <c r="DU268" s="63"/>
      <c r="DV268" s="63"/>
      <c r="DW268" s="63"/>
      <c r="DX268" s="63"/>
      <c r="DY268" s="63"/>
      <c r="DZ268" s="63"/>
      <c r="EA268" s="63"/>
      <c r="EB268" s="63"/>
      <c r="EC268" s="63"/>
      <c r="ED268" s="65">
        <f t="shared" si="1726"/>
        <v>0</v>
      </c>
      <c r="EE268" s="65">
        <f t="shared" si="1726"/>
        <v>0</v>
      </c>
      <c r="EF268" s="65">
        <f t="shared" si="1726"/>
        <v>0</v>
      </c>
      <c r="EG268" s="65">
        <f t="shared" si="1726"/>
        <v>0</v>
      </c>
      <c r="EH268" s="65">
        <f t="shared" si="1726"/>
        <v>0</v>
      </c>
      <c r="EI268" s="65">
        <f t="shared" si="1726"/>
        <v>0</v>
      </c>
      <c r="EJ268" s="65">
        <f t="shared" si="1726"/>
        <v>0</v>
      </c>
      <c r="EK268" s="65">
        <f t="shared" si="1726"/>
        <v>0</v>
      </c>
      <c r="EL268" s="65">
        <f t="shared" si="1726"/>
        <v>0</v>
      </c>
      <c r="EM268" s="65">
        <f t="shared" si="1726"/>
        <v>0</v>
      </c>
      <c r="EN268" s="64">
        <f t="shared" si="1727"/>
        <v>0</v>
      </c>
      <c r="EO268" s="62"/>
      <c r="EP268" s="63"/>
      <c r="EQ268" s="63"/>
      <c r="ER268" s="63"/>
      <c r="ES268" s="63"/>
      <c r="ET268" s="63"/>
      <c r="EU268" s="63"/>
      <c r="EV268" s="63"/>
      <c r="EW268" s="63"/>
      <c r="EX268" s="63"/>
      <c r="EY268" s="64">
        <f t="shared" si="1728"/>
        <v>0</v>
      </c>
      <c r="EZ268" s="62"/>
      <c r="FA268" s="63"/>
      <c r="FB268" s="63"/>
      <c r="FC268" s="63"/>
      <c r="FD268" s="63"/>
      <c r="FE268" s="63"/>
      <c r="FF268" s="63"/>
      <c r="FG268" s="63"/>
      <c r="FH268" s="63"/>
      <c r="FI268" s="63"/>
      <c r="FJ268" s="64">
        <f t="shared" si="1729"/>
        <v>0</v>
      </c>
      <c r="FK268" s="62"/>
      <c r="FL268" s="63"/>
      <c r="FM268" s="63"/>
      <c r="FN268" s="63"/>
      <c r="FO268" s="63"/>
      <c r="FP268" s="63"/>
      <c r="FQ268" s="63"/>
      <c r="FR268" s="63"/>
      <c r="FS268" s="63"/>
      <c r="FT268" s="63"/>
      <c r="FU268" s="64">
        <f t="shared" si="1730"/>
        <v>0</v>
      </c>
      <c r="FV268" s="65">
        <f t="shared" si="1731"/>
        <v>0</v>
      </c>
      <c r="FW268" s="65">
        <f t="shared" si="1731"/>
        <v>0</v>
      </c>
      <c r="FX268" s="65">
        <f t="shared" si="1731"/>
        <v>0</v>
      </c>
      <c r="FY268" s="65">
        <f t="shared" si="1731"/>
        <v>0</v>
      </c>
      <c r="FZ268" s="65">
        <f t="shared" si="1731"/>
        <v>0</v>
      </c>
      <c r="GA268" s="65">
        <f t="shared" si="1731"/>
        <v>0</v>
      </c>
      <c r="GB268" s="65">
        <f t="shared" si="1731"/>
        <v>0</v>
      </c>
      <c r="GC268" s="65">
        <f t="shared" si="1731"/>
        <v>0</v>
      </c>
      <c r="GD268" s="65">
        <f t="shared" si="1731"/>
        <v>0</v>
      </c>
      <c r="GE268" s="65">
        <f t="shared" si="1731"/>
        <v>0</v>
      </c>
      <c r="GF268" s="64">
        <f t="shared" si="1732"/>
        <v>0</v>
      </c>
      <c r="GG268" s="66">
        <f t="shared" si="1733"/>
        <v>0</v>
      </c>
      <c r="GH268" s="66">
        <f t="shared" si="1733"/>
        <v>0</v>
      </c>
      <c r="GI268" s="66">
        <f t="shared" si="1733"/>
        <v>0</v>
      </c>
      <c r="GJ268" s="66">
        <f t="shared" si="1733"/>
        <v>0</v>
      </c>
      <c r="GK268" s="66">
        <f t="shared" si="1733"/>
        <v>0</v>
      </c>
      <c r="GL268" s="66">
        <f t="shared" si="1733"/>
        <v>0</v>
      </c>
      <c r="GM268" s="66">
        <f t="shared" si="1733"/>
        <v>0</v>
      </c>
      <c r="GN268" s="66">
        <f t="shared" si="1733"/>
        <v>0</v>
      </c>
      <c r="GO268" s="66">
        <f t="shared" si="1733"/>
        <v>0</v>
      </c>
      <c r="GP268" s="66">
        <f t="shared" si="1733"/>
        <v>0</v>
      </c>
      <c r="GQ268" s="64">
        <f t="shared" si="1734"/>
        <v>0</v>
      </c>
      <c r="GR268" s="63"/>
      <c r="GS268" s="63"/>
      <c r="GT268" s="63"/>
      <c r="GU268" s="63"/>
      <c r="GV268" s="67">
        <f t="shared" si="1735"/>
        <v>0</v>
      </c>
      <c r="GW268" s="63"/>
      <c r="GX268" s="63"/>
      <c r="GY268" s="63"/>
      <c r="GZ268" s="63"/>
      <c r="HA268" s="67">
        <f t="shared" si="1736"/>
        <v>0</v>
      </c>
      <c r="HB268" s="63"/>
      <c r="HC268" s="63"/>
      <c r="HD268" s="63"/>
      <c r="HE268" s="63"/>
      <c r="HF268" s="67">
        <f t="shared" si="1737"/>
        <v>0</v>
      </c>
      <c r="HG268" s="63"/>
      <c r="HH268" s="63"/>
      <c r="HI268" s="63"/>
      <c r="HJ268" s="63"/>
      <c r="HK268" s="67">
        <f t="shared" si="1738"/>
        <v>0</v>
      </c>
      <c r="HL268" s="68">
        <f t="shared" si="1739"/>
        <v>0</v>
      </c>
      <c r="HM268" s="68">
        <f t="shared" si="1739"/>
        <v>0</v>
      </c>
      <c r="HN268" s="68">
        <f t="shared" si="1739"/>
        <v>0</v>
      </c>
      <c r="HO268" s="68">
        <f t="shared" si="1739"/>
        <v>0</v>
      </c>
      <c r="HP268" s="67">
        <f t="shared" si="1740"/>
        <v>0</v>
      </c>
      <c r="HQ268" s="63"/>
      <c r="HR268" s="63"/>
      <c r="HS268" s="63"/>
      <c r="HT268" s="63"/>
      <c r="HU268" s="67">
        <f t="shared" si="1741"/>
        <v>0</v>
      </c>
      <c r="HV268" s="63"/>
      <c r="HW268" s="63"/>
      <c r="HX268" s="63"/>
      <c r="HY268" s="63"/>
      <c r="HZ268" s="67">
        <f t="shared" si="1742"/>
        <v>0</v>
      </c>
      <c r="IA268" s="63"/>
      <c r="IB268" s="63"/>
      <c r="IC268" s="63"/>
      <c r="ID268" s="63"/>
      <c r="IE268" s="67">
        <f t="shared" si="1743"/>
        <v>0</v>
      </c>
      <c r="IF268" s="68">
        <f t="shared" si="1744"/>
        <v>0</v>
      </c>
      <c r="IG268" s="68">
        <f t="shared" si="1744"/>
        <v>0</v>
      </c>
      <c r="IH268" s="68">
        <f t="shared" si="1744"/>
        <v>0</v>
      </c>
      <c r="II268" s="68">
        <f t="shared" si="1744"/>
        <v>0</v>
      </c>
      <c r="IJ268" s="67">
        <f t="shared" si="1745"/>
        <v>0</v>
      </c>
      <c r="IK268" s="63"/>
      <c r="IL268" s="63"/>
      <c r="IM268" s="63"/>
      <c r="IN268" s="63"/>
      <c r="IO268" s="67">
        <f t="shared" si="1746"/>
        <v>0</v>
      </c>
      <c r="IP268" s="63"/>
      <c r="IQ268" s="63"/>
      <c r="IR268" s="63"/>
      <c r="IS268" s="63"/>
      <c r="IT268" s="67">
        <f t="shared" si="1747"/>
        <v>0</v>
      </c>
      <c r="IU268" s="63"/>
      <c r="IV268" s="63"/>
    </row>
    <row r="269" spans="1:256" x14ac:dyDescent="0.25">
      <c r="A269" s="117" t="s">
        <v>216</v>
      </c>
      <c r="B269" s="62">
        <v>10</v>
      </c>
      <c r="C269" s="63">
        <v>25</v>
      </c>
      <c r="D269" s="63">
        <v>175</v>
      </c>
      <c r="E269" s="63">
        <v>25</v>
      </c>
      <c r="F269" s="63">
        <v>0</v>
      </c>
      <c r="G269" s="63">
        <v>0</v>
      </c>
      <c r="H269" s="63">
        <v>25</v>
      </c>
      <c r="I269" s="63">
        <v>0</v>
      </c>
      <c r="J269" s="63">
        <v>25</v>
      </c>
      <c r="K269" s="63">
        <v>25</v>
      </c>
      <c r="L269" s="64">
        <f t="shared" si="1713"/>
        <v>300</v>
      </c>
      <c r="M269" s="62"/>
      <c r="N269" s="63"/>
      <c r="O269" s="63"/>
      <c r="P269" s="63"/>
      <c r="Q269" s="63"/>
      <c r="R269" s="63"/>
      <c r="S269" s="63"/>
      <c r="T269" s="63"/>
      <c r="U269" s="63"/>
      <c r="V269" s="63"/>
      <c r="W269" s="64">
        <f t="shared" si="1714"/>
        <v>0</v>
      </c>
      <c r="X269" s="62"/>
      <c r="Y269" s="63"/>
      <c r="Z269" s="63"/>
      <c r="AA269" s="63"/>
      <c r="AB269" s="63"/>
      <c r="AC269" s="63"/>
      <c r="AD269" s="63"/>
      <c r="AE269" s="63"/>
      <c r="AF269" s="63"/>
      <c r="AG269" s="63"/>
      <c r="AH269" s="64">
        <f t="shared" si="1715"/>
        <v>0</v>
      </c>
      <c r="AI269" s="62"/>
      <c r="AJ269" s="63"/>
      <c r="AK269" s="63"/>
      <c r="AL269" s="63"/>
      <c r="AM269" s="63"/>
      <c r="AN269" s="63"/>
      <c r="AO269" s="63"/>
      <c r="AP269" s="63"/>
      <c r="AQ269" s="63"/>
      <c r="AR269" s="63"/>
      <c r="AS269" s="64">
        <f t="shared" si="1716"/>
        <v>0</v>
      </c>
      <c r="AT269" s="65">
        <f t="shared" si="1717"/>
        <v>0</v>
      </c>
      <c r="AU269" s="65">
        <f t="shared" si="1717"/>
        <v>0</v>
      </c>
      <c r="AV269" s="65">
        <f t="shared" si="1717"/>
        <v>0</v>
      </c>
      <c r="AW269" s="65">
        <f t="shared" si="1717"/>
        <v>0</v>
      </c>
      <c r="AX269" s="65">
        <f t="shared" si="1717"/>
        <v>0</v>
      </c>
      <c r="AY269" s="65">
        <f t="shared" si="1717"/>
        <v>0</v>
      </c>
      <c r="AZ269" s="65">
        <f t="shared" si="1717"/>
        <v>0</v>
      </c>
      <c r="BA269" s="65">
        <f t="shared" si="1717"/>
        <v>0</v>
      </c>
      <c r="BB269" s="65">
        <f t="shared" si="1717"/>
        <v>0</v>
      </c>
      <c r="BC269" s="65">
        <f t="shared" si="1717"/>
        <v>0</v>
      </c>
      <c r="BD269" s="64">
        <f t="shared" si="1718"/>
        <v>0</v>
      </c>
      <c r="BE269" s="62"/>
      <c r="BF269" s="63"/>
      <c r="BG269" s="63"/>
      <c r="BH269" s="63"/>
      <c r="BI269" s="63"/>
      <c r="BJ269" s="63"/>
      <c r="BK269" s="63"/>
      <c r="BL269" s="63"/>
      <c r="BM269" s="63"/>
      <c r="BN269" s="63"/>
      <c r="BO269" s="64">
        <f t="shared" si="1719"/>
        <v>0</v>
      </c>
      <c r="BP269" s="62"/>
      <c r="BQ269" s="63"/>
      <c r="BR269" s="63"/>
      <c r="BS269" s="63"/>
      <c r="BT269" s="63"/>
      <c r="BU269" s="63"/>
      <c r="BV269" s="63"/>
      <c r="BW269" s="63"/>
      <c r="BX269" s="63"/>
      <c r="BY269" s="63"/>
      <c r="BZ269" s="64">
        <f t="shared" si="1720"/>
        <v>0</v>
      </c>
      <c r="CA269" s="62"/>
      <c r="CB269" s="63"/>
      <c r="CC269" s="63"/>
      <c r="CD269" s="63"/>
      <c r="CE269" s="63"/>
      <c r="CF269" s="63"/>
      <c r="CG269" s="63"/>
      <c r="CH269" s="63"/>
      <c r="CI269" s="63"/>
      <c r="CJ269" s="63"/>
      <c r="CK269" s="64">
        <f t="shared" si="1721"/>
        <v>0</v>
      </c>
      <c r="CL269" s="65">
        <f t="shared" si="1722"/>
        <v>0</v>
      </c>
      <c r="CM269" s="65">
        <f t="shared" si="1722"/>
        <v>0</v>
      </c>
      <c r="CN269" s="65">
        <f t="shared" si="1722"/>
        <v>0</v>
      </c>
      <c r="CO269" s="65">
        <f t="shared" si="1722"/>
        <v>0</v>
      </c>
      <c r="CP269" s="65">
        <f t="shared" si="1722"/>
        <v>0</v>
      </c>
      <c r="CQ269" s="65">
        <f t="shared" si="1722"/>
        <v>0</v>
      </c>
      <c r="CR269" s="65">
        <f t="shared" si="1722"/>
        <v>0</v>
      </c>
      <c r="CS269" s="65">
        <f t="shared" si="1722"/>
        <v>0</v>
      </c>
      <c r="CT269" s="65">
        <f t="shared" si="1722"/>
        <v>0</v>
      </c>
      <c r="CU269" s="65">
        <f t="shared" si="1722"/>
        <v>0</v>
      </c>
      <c r="CV269" s="64">
        <f t="shared" si="1723"/>
        <v>0</v>
      </c>
      <c r="CW269" s="62"/>
      <c r="CX269" s="63"/>
      <c r="CY269" s="63"/>
      <c r="CZ269" s="63"/>
      <c r="DA269" s="63"/>
      <c r="DB269" s="63"/>
      <c r="DC269" s="63"/>
      <c r="DD269" s="63"/>
      <c r="DE269" s="63"/>
      <c r="DF269" s="63"/>
      <c r="DG269" s="64">
        <f t="shared" si="1724"/>
        <v>0</v>
      </c>
      <c r="DH269" s="62"/>
      <c r="DI269" s="63"/>
      <c r="DJ269" s="63"/>
      <c r="DK269" s="63"/>
      <c r="DL269" s="63"/>
      <c r="DM269" s="63"/>
      <c r="DN269" s="63"/>
      <c r="DO269" s="63"/>
      <c r="DP269" s="63"/>
      <c r="DQ269" s="63"/>
      <c r="DR269" s="64">
        <f t="shared" si="1725"/>
        <v>0</v>
      </c>
      <c r="DS269" s="62"/>
      <c r="DT269" s="63"/>
      <c r="DU269" s="63"/>
      <c r="DV269" s="63"/>
      <c r="DW269" s="63"/>
      <c r="DX269" s="63"/>
      <c r="DY269" s="63"/>
      <c r="DZ269" s="63"/>
      <c r="EA269" s="63"/>
      <c r="EB269" s="63"/>
      <c r="EC269" s="63"/>
      <c r="ED269" s="65">
        <f t="shared" si="1726"/>
        <v>0</v>
      </c>
      <c r="EE269" s="65">
        <f t="shared" si="1726"/>
        <v>0</v>
      </c>
      <c r="EF269" s="65">
        <f t="shared" si="1726"/>
        <v>0</v>
      </c>
      <c r="EG269" s="65">
        <f t="shared" si="1726"/>
        <v>0</v>
      </c>
      <c r="EH269" s="65">
        <f t="shared" si="1726"/>
        <v>0</v>
      </c>
      <c r="EI269" s="65">
        <f t="shared" si="1726"/>
        <v>0</v>
      </c>
      <c r="EJ269" s="65">
        <f t="shared" si="1726"/>
        <v>0</v>
      </c>
      <c r="EK269" s="65">
        <f t="shared" si="1726"/>
        <v>0</v>
      </c>
      <c r="EL269" s="65">
        <f t="shared" si="1726"/>
        <v>0</v>
      </c>
      <c r="EM269" s="65">
        <f t="shared" si="1726"/>
        <v>0</v>
      </c>
      <c r="EN269" s="64">
        <f t="shared" si="1727"/>
        <v>0</v>
      </c>
      <c r="EO269" s="62"/>
      <c r="EP269" s="63"/>
      <c r="EQ269" s="63"/>
      <c r="ER269" s="63"/>
      <c r="ES269" s="63"/>
      <c r="ET269" s="63"/>
      <c r="EU269" s="63"/>
      <c r="EV269" s="63"/>
      <c r="EW269" s="63"/>
      <c r="EX269" s="63"/>
      <c r="EY269" s="64">
        <f t="shared" si="1728"/>
        <v>0</v>
      </c>
      <c r="EZ269" s="62"/>
      <c r="FA269" s="63"/>
      <c r="FB269" s="63"/>
      <c r="FC269" s="63"/>
      <c r="FD269" s="63"/>
      <c r="FE269" s="63"/>
      <c r="FF269" s="63"/>
      <c r="FG269" s="63"/>
      <c r="FH269" s="63"/>
      <c r="FI269" s="63"/>
      <c r="FJ269" s="64">
        <f t="shared" si="1729"/>
        <v>0</v>
      </c>
      <c r="FK269" s="62"/>
      <c r="FL269" s="63"/>
      <c r="FM269" s="63"/>
      <c r="FN269" s="63"/>
      <c r="FO269" s="63"/>
      <c r="FP269" s="63"/>
      <c r="FQ269" s="63"/>
      <c r="FR269" s="63"/>
      <c r="FS269" s="63"/>
      <c r="FT269" s="63"/>
      <c r="FU269" s="64">
        <f t="shared" si="1730"/>
        <v>0</v>
      </c>
      <c r="FV269" s="65">
        <f t="shared" si="1731"/>
        <v>0</v>
      </c>
      <c r="FW269" s="65">
        <f t="shared" si="1731"/>
        <v>0</v>
      </c>
      <c r="FX269" s="65">
        <f t="shared" si="1731"/>
        <v>0</v>
      </c>
      <c r="FY269" s="65">
        <f t="shared" si="1731"/>
        <v>0</v>
      </c>
      <c r="FZ269" s="65">
        <f t="shared" si="1731"/>
        <v>0</v>
      </c>
      <c r="GA269" s="65">
        <f t="shared" si="1731"/>
        <v>0</v>
      </c>
      <c r="GB269" s="65">
        <f t="shared" si="1731"/>
        <v>0</v>
      </c>
      <c r="GC269" s="65">
        <f t="shared" si="1731"/>
        <v>0</v>
      </c>
      <c r="GD269" s="65">
        <f t="shared" si="1731"/>
        <v>0</v>
      </c>
      <c r="GE269" s="65">
        <f t="shared" si="1731"/>
        <v>0</v>
      </c>
      <c r="GF269" s="64">
        <f t="shared" si="1732"/>
        <v>0</v>
      </c>
      <c r="GG269" s="66">
        <f t="shared" si="1733"/>
        <v>0</v>
      </c>
      <c r="GH269" s="66">
        <f t="shared" si="1733"/>
        <v>0</v>
      </c>
      <c r="GI269" s="66">
        <f t="shared" si="1733"/>
        <v>0</v>
      </c>
      <c r="GJ269" s="66">
        <f t="shared" si="1733"/>
        <v>0</v>
      </c>
      <c r="GK269" s="66">
        <f t="shared" si="1733"/>
        <v>0</v>
      </c>
      <c r="GL269" s="66">
        <f t="shared" si="1733"/>
        <v>0</v>
      </c>
      <c r="GM269" s="66">
        <f t="shared" si="1733"/>
        <v>0</v>
      </c>
      <c r="GN269" s="66">
        <f t="shared" si="1733"/>
        <v>0</v>
      </c>
      <c r="GO269" s="66">
        <f t="shared" si="1733"/>
        <v>0</v>
      </c>
      <c r="GP269" s="66">
        <f t="shared" si="1733"/>
        <v>0</v>
      </c>
      <c r="GQ269" s="64">
        <f t="shared" si="1734"/>
        <v>0</v>
      </c>
      <c r="GR269" s="63"/>
      <c r="GS269" s="63"/>
      <c r="GT269" s="63"/>
      <c r="GU269" s="63"/>
      <c r="GV269" s="67">
        <f t="shared" si="1735"/>
        <v>0</v>
      </c>
      <c r="GW269" s="63"/>
      <c r="GX269" s="63"/>
      <c r="GY269" s="63"/>
      <c r="GZ269" s="63"/>
      <c r="HA269" s="67">
        <f t="shared" si="1736"/>
        <v>0</v>
      </c>
      <c r="HB269" s="63"/>
      <c r="HC269" s="63"/>
      <c r="HD269" s="63"/>
      <c r="HE269" s="63"/>
      <c r="HF269" s="67">
        <f t="shared" si="1737"/>
        <v>0</v>
      </c>
      <c r="HG269" s="63"/>
      <c r="HH269" s="63"/>
      <c r="HI269" s="63"/>
      <c r="HJ269" s="63"/>
      <c r="HK269" s="67">
        <f t="shared" si="1738"/>
        <v>0</v>
      </c>
      <c r="HL269" s="68">
        <f t="shared" si="1739"/>
        <v>0</v>
      </c>
      <c r="HM269" s="68">
        <f t="shared" si="1739"/>
        <v>0</v>
      </c>
      <c r="HN269" s="68">
        <f t="shared" si="1739"/>
        <v>0</v>
      </c>
      <c r="HO269" s="68">
        <f t="shared" si="1739"/>
        <v>0</v>
      </c>
      <c r="HP269" s="67">
        <f t="shared" si="1740"/>
        <v>0</v>
      </c>
      <c r="HQ269" s="63"/>
      <c r="HR269" s="63"/>
      <c r="HS269" s="63"/>
      <c r="HT269" s="63"/>
      <c r="HU269" s="67">
        <f t="shared" si="1741"/>
        <v>0</v>
      </c>
      <c r="HV269" s="63"/>
      <c r="HW269" s="63"/>
      <c r="HX269" s="63"/>
      <c r="HY269" s="63"/>
      <c r="HZ269" s="67">
        <f t="shared" si="1742"/>
        <v>0</v>
      </c>
      <c r="IA269" s="63"/>
      <c r="IB269" s="63"/>
      <c r="IC269" s="63"/>
      <c r="ID269" s="63"/>
      <c r="IE269" s="67">
        <f t="shared" si="1743"/>
        <v>0</v>
      </c>
      <c r="IF269" s="68">
        <f t="shared" si="1744"/>
        <v>0</v>
      </c>
      <c r="IG269" s="68">
        <f t="shared" si="1744"/>
        <v>0</v>
      </c>
      <c r="IH269" s="68">
        <f t="shared" si="1744"/>
        <v>0</v>
      </c>
      <c r="II269" s="68">
        <f t="shared" si="1744"/>
        <v>0</v>
      </c>
      <c r="IJ269" s="67">
        <f t="shared" si="1745"/>
        <v>0</v>
      </c>
      <c r="IK269" s="63"/>
      <c r="IL269" s="63"/>
      <c r="IM269" s="63"/>
      <c r="IN269" s="63"/>
      <c r="IO269" s="67">
        <f t="shared" si="1746"/>
        <v>0</v>
      </c>
      <c r="IP269" s="63"/>
      <c r="IQ269" s="63"/>
      <c r="IR269" s="63"/>
      <c r="IS269" s="63"/>
      <c r="IT269" s="67">
        <f t="shared" si="1747"/>
        <v>0</v>
      </c>
      <c r="IU269" s="63"/>
      <c r="IV269" s="63"/>
    </row>
    <row r="270" spans="1:256" x14ac:dyDescent="0.25">
      <c r="A270" s="117" t="s">
        <v>217</v>
      </c>
      <c r="B270" s="62">
        <v>3</v>
      </c>
      <c r="C270" s="63">
        <v>90</v>
      </c>
      <c r="D270" s="63">
        <v>0</v>
      </c>
      <c r="E270" s="63">
        <v>0</v>
      </c>
      <c r="F270" s="63">
        <v>0</v>
      </c>
      <c r="G270" s="63">
        <v>0</v>
      </c>
      <c r="H270" s="63">
        <v>0</v>
      </c>
      <c r="I270" s="63">
        <v>0</v>
      </c>
      <c r="J270" s="63">
        <v>0</v>
      </c>
      <c r="K270" s="63">
        <v>0</v>
      </c>
      <c r="L270" s="64">
        <f t="shared" si="1713"/>
        <v>90</v>
      </c>
      <c r="M270" s="62"/>
      <c r="N270" s="63"/>
      <c r="O270" s="63"/>
      <c r="P270" s="63"/>
      <c r="Q270" s="63"/>
      <c r="R270" s="63"/>
      <c r="S270" s="63"/>
      <c r="T270" s="63"/>
      <c r="U270" s="63"/>
      <c r="V270" s="63"/>
      <c r="W270" s="64">
        <f t="shared" si="1714"/>
        <v>0</v>
      </c>
      <c r="X270" s="62"/>
      <c r="Y270" s="63"/>
      <c r="Z270" s="63"/>
      <c r="AA270" s="63"/>
      <c r="AB270" s="63"/>
      <c r="AC270" s="63"/>
      <c r="AD270" s="63"/>
      <c r="AE270" s="63"/>
      <c r="AF270" s="63"/>
      <c r="AG270" s="63"/>
      <c r="AH270" s="64">
        <f t="shared" si="1715"/>
        <v>0</v>
      </c>
      <c r="AI270" s="62"/>
      <c r="AJ270" s="63"/>
      <c r="AK270" s="63"/>
      <c r="AL270" s="63"/>
      <c r="AM270" s="63"/>
      <c r="AN270" s="63"/>
      <c r="AO270" s="63"/>
      <c r="AP270" s="63"/>
      <c r="AQ270" s="63"/>
      <c r="AR270" s="63"/>
      <c r="AS270" s="64">
        <f t="shared" si="1716"/>
        <v>0</v>
      </c>
      <c r="AT270" s="65">
        <f t="shared" si="1717"/>
        <v>0</v>
      </c>
      <c r="AU270" s="65">
        <f t="shared" si="1717"/>
        <v>0</v>
      </c>
      <c r="AV270" s="65">
        <f t="shared" si="1717"/>
        <v>0</v>
      </c>
      <c r="AW270" s="65">
        <f t="shared" si="1717"/>
        <v>0</v>
      </c>
      <c r="AX270" s="65">
        <f t="shared" si="1717"/>
        <v>0</v>
      </c>
      <c r="AY270" s="65">
        <f t="shared" si="1717"/>
        <v>0</v>
      </c>
      <c r="AZ270" s="65">
        <f t="shared" si="1717"/>
        <v>0</v>
      </c>
      <c r="BA270" s="65">
        <f t="shared" si="1717"/>
        <v>0</v>
      </c>
      <c r="BB270" s="65">
        <f t="shared" si="1717"/>
        <v>0</v>
      </c>
      <c r="BC270" s="65">
        <f t="shared" si="1717"/>
        <v>0</v>
      </c>
      <c r="BD270" s="64">
        <f t="shared" si="1718"/>
        <v>0</v>
      </c>
      <c r="BE270" s="62"/>
      <c r="BF270" s="63"/>
      <c r="BG270" s="63"/>
      <c r="BH270" s="63"/>
      <c r="BI270" s="63"/>
      <c r="BJ270" s="63"/>
      <c r="BK270" s="63"/>
      <c r="BL270" s="63"/>
      <c r="BM270" s="63"/>
      <c r="BN270" s="63"/>
      <c r="BO270" s="64">
        <f t="shared" si="1719"/>
        <v>0</v>
      </c>
      <c r="BP270" s="62"/>
      <c r="BQ270" s="63"/>
      <c r="BR270" s="63"/>
      <c r="BS270" s="63"/>
      <c r="BT270" s="63"/>
      <c r="BU270" s="63"/>
      <c r="BV270" s="63"/>
      <c r="BW270" s="63"/>
      <c r="BX270" s="63"/>
      <c r="BY270" s="63"/>
      <c r="BZ270" s="64">
        <f t="shared" si="1720"/>
        <v>0</v>
      </c>
      <c r="CA270" s="62"/>
      <c r="CB270" s="63"/>
      <c r="CC270" s="63"/>
      <c r="CD270" s="63"/>
      <c r="CE270" s="63"/>
      <c r="CF270" s="63"/>
      <c r="CG270" s="63"/>
      <c r="CH270" s="63"/>
      <c r="CI270" s="63"/>
      <c r="CJ270" s="63"/>
      <c r="CK270" s="64">
        <f t="shared" si="1721"/>
        <v>0</v>
      </c>
      <c r="CL270" s="65">
        <f t="shared" si="1722"/>
        <v>0</v>
      </c>
      <c r="CM270" s="65">
        <f t="shared" si="1722"/>
        <v>0</v>
      </c>
      <c r="CN270" s="65">
        <f t="shared" si="1722"/>
        <v>0</v>
      </c>
      <c r="CO270" s="65">
        <f t="shared" si="1722"/>
        <v>0</v>
      </c>
      <c r="CP270" s="65">
        <f t="shared" si="1722"/>
        <v>0</v>
      </c>
      <c r="CQ270" s="65">
        <f t="shared" si="1722"/>
        <v>0</v>
      </c>
      <c r="CR270" s="65">
        <f t="shared" si="1722"/>
        <v>0</v>
      </c>
      <c r="CS270" s="65">
        <f t="shared" si="1722"/>
        <v>0</v>
      </c>
      <c r="CT270" s="65">
        <f t="shared" si="1722"/>
        <v>0</v>
      </c>
      <c r="CU270" s="65">
        <f t="shared" si="1722"/>
        <v>0</v>
      </c>
      <c r="CV270" s="64">
        <f t="shared" si="1723"/>
        <v>0</v>
      </c>
      <c r="CW270" s="62"/>
      <c r="CX270" s="63"/>
      <c r="CY270" s="63"/>
      <c r="CZ270" s="63"/>
      <c r="DA270" s="63"/>
      <c r="DB270" s="63"/>
      <c r="DC270" s="63"/>
      <c r="DD270" s="63"/>
      <c r="DE270" s="63"/>
      <c r="DF270" s="63"/>
      <c r="DG270" s="64">
        <f t="shared" si="1724"/>
        <v>0</v>
      </c>
      <c r="DH270" s="62"/>
      <c r="DI270" s="63"/>
      <c r="DJ270" s="63"/>
      <c r="DK270" s="63"/>
      <c r="DL270" s="63"/>
      <c r="DM270" s="63"/>
      <c r="DN270" s="63"/>
      <c r="DO270" s="63"/>
      <c r="DP270" s="63"/>
      <c r="DQ270" s="63"/>
      <c r="DR270" s="64">
        <f t="shared" si="1725"/>
        <v>0</v>
      </c>
      <c r="DS270" s="62"/>
      <c r="DT270" s="63"/>
      <c r="DU270" s="63"/>
      <c r="DV270" s="63"/>
      <c r="DW270" s="63"/>
      <c r="DX270" s="63"/>
      <c r="DY270" s="63"/>
      <c r="DZ270" s="63"/>
      <c r="EA270" s="63"/>
      <c r="EB270" s="63"/>
      <c r="EC270" s="63"/>
      <c r="ED270" s="65">
        <f t="shared" si="1726"/>
        <v>0</v>
      </c>
      <c r="EE270" s="65">
        <f t="shared" si="1726"/>
        <v>0</v>
      </c>
      <c r="EF270" s="65">
        <f t="shared" si="1726"/>
        <v>0</v>
      </c>
      <c r="EG270" s="65">
        <f t="shared" si="1726"/>
        <v>0</v>
      </c>
      <c r="EH270" s="65">
        <f t="shared" si="1726"/>
        <v>0</v>
      </c>
      <c r="EI270" s="65">
        <f t="shared" si="1726"/>
        <v>0</v>
      </c>
      <c r="EJ270" s="65">
        <f t="shared" si="1726"/>
        <v>0</v>
      </c>
      <c r="EK270" s="65">
        <f t="shared" si="1726"/>
        <v>0</v>
      </c>
      <c r="EL270" s="65">
        <f t="shared" si="1726"/>
        <v>0</v>
      </c>
      <c r="EM270" s="65">
        <f t="shared" si="1726"/>
        <v>0</v>
      </c>
      <c r="EN270" s="64">
        <f t="shared" si="1727"/>
        <v>0</v>
      </c>
      <c r="EO270" s="62"/>
      <c r="EP270" s="63"/>
      <c r="EQ270" s="63"/>
      <c r="ER270" s="63"/>
      <c r="ES270" s="63"/>
      <c r="ET270" s="63"/>
      <c r="EU270" s="63"/>
      <c r="EV270" s="63"/>
      <c r="EW270" s="63"/>
      <c r="EX270" s="63"/>
      <c r="EY270" s="64">
        <f t="shared" si="1728"/>
        <v>0</v>
      </c>
      <c r="EZ270" s="62"/>
      <c r="FA270" s="63"/>
      <c r="FB270" s="63"/>
      <c r="FC270" s="63"/>
      <c r="FD270" s="63"/>
      <c r="FE270" s="63"/>
      <c r="FF270" s="63"/>
      <c r="FG270" s="63"/>
      <c r="FH270" s="63"/>
      <c r="FI270" s="63"/>
      <c r="FJ270" s="64">
        <f t="shared" si="1729"/>
        <v>0</v>
      </c>
      <c r="FK270" s="62"/>
      <c r="FL270" s="63"/>
      <c r="FM270" s="63"/>
      <c r="FN270" s="63"/>
      <c r="FO270" s="63"/>
      <c r="FP270" s="63"/>
      <c r="FQ270" s="63"/>
      <c r="FR270" s="63"/>
      <c r="FS270" s="63"/>
      <c r="FT270" s="63"/>
      <c r="FU270" s="64">
        <f t="shared" si="1730"/>
        <v>0</v>
      </c>
      <c r="FV270" s="65">
        <f t="shared" si="1731"/>
        <v>0</v>
      </c>
      <c r="FW270" s="65">
        <f t="shared" si="1731"/>
        <v>0</v>
      </c>
      <c r="FX270" s="65">
        <f t="shared" si="1731"/>
        <v>0</v>
      </c>
      <c r="FY270" s="65">
        <f t="shared" si="1731"/>
        <v>0</v>
      </c>
      <c r="FZ270" s="65">
        <f t="shared" si="1731"/>
        <v>0</v>
      </c>
      <c r="GA270" s="65">
        <f t="shared" si="1731"/>
        <v>0</v>
      </c>
      <c r="GB270" s="65">
        <f t="shared" si="1731"/>
        <v>0</v>
      </c>
      <c r="GC270" s="65">
        <f t="shared" si="1731"/>
        <v>0</v>
      </c>
      <c r="GD270" s="65">
        <f t="shared" si="1731"/>
        <v>0</v>
      </c>
      <c r="GE270" s="65">
        <f t="shared" si="1731"/>
        <v>0</v>
      </c>
      <c r="GF270" s="64">
        <f t="shared" si="1732"/>
        <v>0</v>
      </c>
      <c r="GG270" s="66">
        <f t="shared" si="1733"/>
        <v>0</v>
      </c>
      <c r="GH270" s="66">
        <f t="shared" si="1733"/>
        <v>0</v>
      </c>
      <c r="GI270" s="66">
        <f t="shared" si="1733"/>
        <v>0</v>
      </c>
      <c r="GJ270" s="66">
        <f t="shared" si="1733"/>
        <v>0</v>
      </c>
      <c r="GK270" s="66">
        <f t="shared" si="1733"/>
        <v>0</v>
      </c>
      <c r="GL270" s="66">
        <f t="shared" si="1733"/>
        <v>0</v>
      </c>
      <c r="GM270" s="66">
        <f t="shared" si="1733"/>
        <v>0</v>
      </c>
      <c r="GN270" s="66">
        <f t="shared" si="1733"/>
        <v>0</v>
      </c>
      <c r="GO270" s="66">
        <f t="shared" si="1733"/>
        <v>0</v>
      </c>
      <c r="GP270" s="66">
        <f t="shared" si="1733"/>
        <v>0</v>
      </c>
      <c r="GQ270" s="64">
        <f t="shared" si="1734"/>
        <v>0</v>
      </c>
      <c r="GR270" s="63"/>
      <c r="GS270" s="63"/>
      <c r="GT270" s="63"/>
      <c r="GU270" s="63"/>
      <c r="GV270" s="67">
        <f t="shared" si="1735"/>
        <v>0</v>
      </c>
      <c r="GW270" s="63"/>
      <c r="GX270" s="63"/>
      <c r="GY270" s="63"/>
      <c r="GZ270" s="63"/>
      <c r="HA270" s="67">
        <f t="shared" si="1736"/>
        <v>0</v>
      </c>
      <c r="HB270" s="63"/>
      <c r="HC270" s="63"/>
      <c r="HD270" s="63"/>
      <c r="HE270" s="63"/>
      <c r="HF270" s="67">
        <f t="shared" si="1737"/>
        <v>0</v>
      </c>
      <c r="HG270" s="63"/>
      <c r="HH270" s="63"/>
      <c r="HI270" s="63"/>
      <c r="HJ270" s="63"/>
      <c r="HK270" s="67">
        <f t="shared" si="1738"/>
        <v>0</v>
      </c>
      <c r="HL270" s="68">
        <f t="shared" si="1739"/>
        <v>0</v>
      </c>
      <c r="HM270" s="68">
        <f t="shared" si="1739"/>
        <v>0</v>
      </c>
      <c r="HN270" s="68">
        <f t="shared" si="1739"/>
        <v>0</v>
      </c>
      <c r="HO270" s="68">
        <f t="shared" si="1739"/>
        <v>0</v>
      </c>
      <c r="HP270" s="67">
        <f t="shared" si="1740"/>
        <v>0</v>
      </c>
      <c r="HQ270" s="63"/>
      <c r="HR270" s="63"/>
      <c r="HS270" s="63"/>
      <c r="HT270" s="63"/>
      <c r="HU270" s="67">
        <f t="shared" si="1741"/>
        <v>0</v>
      </c>
      <c r="HV270" s="63"/>
      <c r="HW270" s="63"/>
      <c r="HX270" s="63"/>
      <c r="HY270" s="63"/>
      <c r="HZ270" s="67">
        <f t="shared" si="1742"/>
        <v>0</v>
      </c>
      <c r="IA270" s="63"/>
      <c r="IB270" s="63"/>
      <c r="IC270" s="63"/>
      <c r="ID270" s="63"/>
      <c r="IE270" s="67">
        <f t="shared" si="1743"/>
        <v>0</v>
      </c>
      <c r="IF270" s="68">
        <f t="shared" si="1744"/>
        <v>0</v>
      </c>
      <c r="IG270" s="68">
        <f t="shared" si="1744"/>
        <v>0</v>
      </c>
      <c r="IH270" s="68">
        <f t="shared" si="1744"/>
        <v>0</v>
      </c>
      <c r="II270" s="68">
        <f t="shared" si="1744"/>
        <v>0</v>
      </c>
      <c r="IJ270" s="67">
        <f t="shared" si="1745"/>
        <v>0</v>
      </c>
      <c r="IK270" s="63"/>
      <c r="IL270" s="63"/>
      <c r="IM270" s="63"/>
      <c r="IN270" s="63"/>
      <c r="IO270" s="67">
        <f t="shared" si="1746"/>
        <v>0</v>
      </c>
      <c r="IP270" s="63"/>
      <c r="IQ270" s="63"/>
      <c r="IR270" s="63"/>
      <c r="IS270" s="63"/>
      <c r="IT270" s="67">
        <f t="shared" si="1747"/>
        <v>0</v>
      </c>
      <c r="IU270" s="63"/>
      <c r="IV270" s="63"/>
    </row>
    <row r="271" spans="1:256" x14ac:dyDescent="0.25">
      <c r="A271" s="84" t="s">
        <v>218</v>
      </c>
      <c r="B271" s="62">
        <v>0</v>
      </c>
      <c r="C271" s="63">
        <v>0</v>
      </c>
      <c r="D271" s="63">
        <v>0</v>
      </c>
      <c r="E271" s="63">
        <v>0</v>
      </c>
      <c r="F271" s="63">
        <v>0</v>
      </c>
      <c r="G271" s="63">
        <v>0</v>
      </c>
      <c r="H271" s="63">
        <v>0</v>
      </c>
      <c r="I271" s="63">
        <v>0</v>
      </c>
      <c r="J271" s="63">
        <v>0</v>
      </c>
      <c r="K271" s="63">
        <v>0</v>
      </c>
      <c r="L271" s="64">
        <f t="shared" si="1713"/>
        <v>0</v>
      </c>
      <c r="M271" s="62"/>
      <c r="N271" s="63"/>
      <c r="O271" s="63"/>
      <c r="P271" s="63"/>
      <c r="Q271" s="63"/>
      <c r="R271" s="63"/>
      <c r="S271" s="63"/>
      <c r="T271" s="63"/>
      <c r="U271" s="63"/>
      <c r="V271" s="63"/>
      <c r="W271" s="64">
        <f t="shared" si="1714"/>
        <v>0</v>
      </c>
      <c r="X271" s="62"/>
      <c r="Y271" s="63"/>
      <c r="Z271" s="63"/>
      <c r="AA271" s="63"/>
      <c r="AB271" s="63"/>
      <c r="AC271" s="63"/>
      <c r="AD271" s="63"/>
      <c r="AE271" s="63"/>
      <c r="AF271" s="63"/>
      <c r="AG271" s="63"/>
      <c r="AH271" s="64">
        <f t="shared" si="1715"/>
        <v>0</v>
      </c>
      <c r="AI271" s="62"/>
      <c r="AJ271" s="63"/>
      <c r="AK271" s="63"/>
      <c r="AL271" s="63"/>
      <c r="AM271" s="63"/>
      <c r="AN271" s="63"/>
      <c r="AO271" s="63"/>
      <c r="AP271" s="63"/>
      <c r="AQ271" s="63"/>
      <c r="AR271" s="63"/>
      <c r="AS271" s="64">
        <f t="shared" si="1716"/>
        <v>0</v>
      </c>
      <c r="AT271" s="65">
        <f t="shared" si="1717"/>
        <v>0</v>
      </c>
      <c r="AU271" s="65">
        <f t="shared" si="1717"/>
        <v>0</v>
      </c>
      <c r="AV271" s="65">
        <f t="shared" si="1717"/>
        <v>0</v>
      </c>
      <c r="AW271" s="65">
        <f t="shared" si="1717"/>
        <v>0</v>
      </c>
      <c r="AX271" s="65">
        <f t="shared" si="1717"/>
        <v>0</v>
      </c>
      <c r="AY271" s="65">
        <f t="shared" si="1717"/>
        <v>0</v>
      </c>
      <c r="AZ271" s="65">
        <f t="shared" si="1717"/>
        <v>0</v>
      </c>
      <c r="BA271" s="65">
        <f t="shared" si="1717"/>
        <v>0</v>
      </c>
      <c r="BB271" s="65">
        <f t="shared" si="1717"/>
        <v>0</v>
      </c>
      <c r="BC271" s="65">
        <f t="shared" si="1717"/>
        <v>0</v>
      </c>
      <c r="BD271" s="64">
        <f t="shared" si="1718"/>
        <v>0</v>
      </c>
      <c r="BE271" s="62"/>
      <c r="BF271" s="63"/>
      <c r="BG271" s="63"/>
      <c r="BH271" s="63"/>
      <c r="BI271" s="63"/>
      <c r="BJ271" s="63"/>
      <c r="BK271" s="63"/>
      <c r="BL271" s="63"/>
      <c r="BM271" s="63"/>
      <c r="BN271" s="63"/>
      <c r="BO271" s="64">
        <f t="shared" si="1719"/>
        <v>0</v>
      </c>
      <c r="BP271" s="62"/>
      <c r="BQ271" s="63"/>
      <c r="BR271" s="63"/>
      <c r="BS271" s="63"/>
      <c r="BT271" s="63"/>
      <c r="BU271" s="63"/>
      <c r="BV271" s="63"/>
      <c r="BW271" s="63"/>
      <c r="BX271" s="63"/>
      <c r="BY271" s="63"/>
      <c r="BZ271" s="64">
        <f t="shared" si="1720"/>
        <v>0</v>
      </c>
      <c r="CA271" s="62"/>
      <c r="CB271" s="63"/>
      <c r="CC271" s="63"/>
      <c r="CD271" s="63"/>
      <c r="CE271" s="63"/>
      <c r="CF271" s="63"/>
      <c r="CG271" s="63"/>
      <c r="CH271" s="63"/>
      <c r="CI271" s="63"/>
      <c r="CJ271" s="63"/>
      <c r="CK271" s="64">
        <f t="shared" si="1721"/>
        <v>0</v>
      </c>
      <c r="CL271" s="65">
        <f t="shared" si="1722"/>
        <v>0</v>
      </c>
      <c r="CM271" s="65">
        <f t="shared" si="1722"/>
        <v>0</v>
      </c>
      <c r="CN271" s="65">
        <f t="shared" si="1722"/>
        <v>0</v>
      </c>
      <c r="CO271" s="65">
        <f t="shared" si="1722"/>
        <v>0</v>
      </c>
      <c r="CP271" s="65">
        <f t="shared" si="1722"/>
        <v>0</v>
      </c>
      <c r="CQ271" s="65">
        <f t="shared" si="1722"/>
        <v>0</v>
      </c>
      <c r="CR271" s="65">
        <f t="shared" si="1722"/>
        <v>0</v>
      </c>
      <c r="CS271" s="65">
        <f t="shared" si="1722"/>
        <v>0</v>
      </c>
      <c r="CT271" s="65">
        <f t="shared" si="1722"/>
        <v>0</v>
      </c>
      <c r="CU271" s="65">
        <f t="shared" si="1722"/>
        <v>0</v>
      </c>
      <c r="CV271" s="64">
        <f t="shared" si="1723"/>
        <v>0</v>
      </c>
      <c r="CW271" s="62"/>
      <c r="CX271" s="63"/>
      <c r="CY271" s="63"/>
      <c r="CZ271" s="63"/>
      <c r="DA271" s="63"/>
      <c r="DB271" s="63"/>
      <c r="DC271" s="63"/>
      <c r="DD271" s="63"/>
      <c r="DE271" s="63"/>
      <c r="DF271" s="63"/>
      <c r="DG271" s="64">
        <f t="shared" si="1724"/>
        <v>0</v>
      </c>
      <c r="DH271" s="62"/>
      <c r="DI271" s="63"/>
      <c r="DJ271" s="63"/>
      <c r="DK271" s="63"/>
      <c r="DL271" s="63"/>
      <c r="DM271" s="63"/>
      <c r="DN271" s="63"/>
      <c r="DO271" s="63"/>
      <c r="DP271" s="63"/>
      <c r="DQ271" s="63"/>
      <c r="DR271" s="64">
        <f t="shared" si="1725"/>
        <v>0</v>
      </c>
      <c r="DS271" s="62"/>
      <c r="DT271" s="63"/>
      <c r="DU271" s="63"/>
      <c r="DV271" s="63"/>
      <c r="DW271" s="63"/>
      <c r="DX271" s="63"/>
      <c r="DY271" s="63"/>
      <c r="DZ271" s="63"/>
      <c r="EA271" s="63"/>
      <c r="EB271" s="63"/>
      <c r="EC271" s="63"/>
      <c r="ED271" s="65">
        <f t="shared" si="1726"/>
        <v>0</v>
      </c>
      <c r="EE271" s="65">
        <f t="shared" si="1726"/>
        <v>0</v>
      </c>
      <c r="EF271" s="65">
        <f t="shared" si="1726"/>
        <v>0</v>
      </c>
      <c r="EG271" s="65">
        <f t="shared" si="1726"/>
        <v>0</v>
      </c>
      <c r="EH271" s="65">
        <f t="shared" si="1726"/>
        <v>0</v>
      </c>
      <c r="EI271" s="65">
        <f t="shared" si="1726"/>
        <v>0</v>
      </c>
      <c r="EJ271" s="65">
        <f t="shared" si="1726"/>
        <v>0</v>
      </c>
      <c r="EK271" s="65">
        <f t="shared" si="1726"/>
        <v>0</v>
      </c>
      <c r="EL271" s="65">
        <f t="shared" si="1726"/>
        <v>0</v>
      </c>
      <c r="EM271" s="65">
        <f t="shared" si="1726"/>
        <v>0</v>
      </c>
      <c r="EN271" s="64">
        <f t="shared" si="1727"/>
        <v>0</v>
      </c>
      <c r="EO271" s="62"/>
      <c r="EP271" s="63"/>
      <c r="EQ271" s="63"/>
      <c r="ER271" s="63"/>
      <c r="ES271" s="63"/>
      <c r="ET271" s="63"/>
      <c r="EU271" s="63"/>
      <c r="EV271" s="63"/>
      <c r="EW271" s="63"/>
      <c r="EX271" s="63"/>
      <c r="EY271" s="64">
        <f t="shared" si="1728"/>
        <v>0</v>
      </c>
      <c r="EZ271" s="62"/>
      <c r="FA271" s="63"/>
      <c r="FB271" s="63"/>
      <c r="FC271" s="63"/>
      <c r="FD271" s="63"/>
      <c r="FE271" s="63"/>
      <c r="FF271" s="63"/>
      <c r="FG271" s="63"/>
      <c r="FH271" s="63"/>
      <c r="FI271" s="63"/>
      <c r="FJ271" s="64">
        <f t="shared" si="1729"/>
        <v>0</v>
      </c>
      <c r="FK271" s="62"/>
      <c r="FL271" s="63"/>
      <c r="FM271" s="63"/>
      <c r="FN271" s="63"/>
      <c r="FO271" s="63"/>
      <c r="FP271" s="63"/>
      <c r="FQ271" s="63"/>
      <c r="FR271" s="63"/>
      <c r="FS271" s="63"/>
      <c r="FT271" s="63"/>
      <c r="FU271" s="64">
        <f t="shared" si="1730"/>
        <v>0</v>
      </c>
      <c r="FV271" s="65">
        <f t="shared" si="1731"/>
        <v>0</v>
      </c>
      <c r="FW271" s="65">
        <f t="shared" si="1731"/>
        <v>0</v>
      </c>
      <c r="FX271" s="65">
        <f t="shared" si="1731"/>
        <v>0</v>
      </c>
      <c r="FY271" s="65">
        <f t="shared" si="1731"/>
        <v>0</v>
      </c>
      <c r="FZ271" s="65">
        <f t="shared" si="1731"/>
        <v>0</v>
      </c>
      <c r="GA271" s="65">
        <f t="shared" si="1731"/>
        <v>0</v>
      </c>
      <c r="GB271" s="65">
        <f t="shared" si="1731"/>
        <v>0</v>
      </c>
      <c r="GC271" s="65">
        <f t="shared" si="1731"/>
        <v>0</v>
      </c>
      <c r="GD271" s="65">
        <f t="shared" si="1731"/>
        <v>0</v>
      </c>
      <c r="GE271" s="65">
        <f t="shared" si="1731"/>
        <v>0</v>
      </c>
      <c r="GF271" s="64">
        <f t="shared" si="1732"/>
        <v>0</v>
      </c>
      <c r="GG271" s="66">
        <f t="shared" si="1733"/>
        <v>0</v>
      </c>
      <c r="GH271" s="66">
        <f t="shared" si="1733"/>
        <v>0</v>
      </c>
      <c r="GI271" s="66">
        <f t="shared" si="1733"/>
        <v>0</v>
      </c>
      <c r="GJ271" s="66">
        <f t="shared" si="1733"/>
        <v>0</v>
      </c>
      <c r="GK271" s="66">
        <f t="shared" si="1733"/>
        <v>0</v>
      </c>
      <c r="GL271" s="66">
        <f t="shared" si="1733"/>
        <v>0</v>
      </c>
      <c r="GM271" s="66">
        <f t="shared" si="1733"/>
        <v>0</v>
      </c>
      <c r="GN271" s="66">
        <f t="shared" si="1733"/>
        <v>0</v>
      </c>
      <c r="GO271" s="66">
        <f t="shared" si="1733"/>
        <v>0</v>
      </c>
      <c r="GP271" s="66">
        <f t="shared" si="1733"/>
        <v>0</v>
      </c>
      <c r="GQ271" s="64">
        <f t="shared" si="1734"/>
        <v>0</v>
      </c>
      <c r="GR271" s="63"/>
      <c r="GS271" s="63"/>
      <c r="GT271" s="63"/>
      <c r="GU271" s="63"/>
      <c r="GV271" s="67">
        <f t="shared" si="1735"/>
        <v>0</v>
      </c>
      <c r="GW271" s="63"/>
      <c r="GX271" s="63"/>
      <c r="GY271" s="63"/>
      <c r="GZ271" s="63"/>
      <c r="HA271" s="67">
        <f t="shared" si="1736"/>
        <v>0</v>
      </c>
      <c r="HB271" s="63"/>
      <c r="HC271" s="63"/>
      <c r="HD271" s="63"/>
      <c r="HE271" s="63"/>
      <c r="HF271" s="67">
        <f t="shared" si="1737"/>
        <v>0</v>
      </c>
      <c r="HG271" s="63"/>
      <c r="HH271" s="63"/>
      <c r="HI271" s="63"/>
      <c r="HJ271" s="63"/>
      <c r="HK271" s="67">
        <f t="shared" si="1738"/>
        <v>0</v>
      </c>
      <c r="HL271" s="68">
        <f t="shared" si="1739"/>
        <v>0</v>
      </c>
      <c r="HM271" s="68">
        <f t="shared" si="1739"/>
        <v>0</v>
      </c>
      <c r="HN271" s="68">
        <f t="shared" si="1739"/>
        <v>0</v>
      </c>
      <c r="HO271" s="68">
        <f t="shared" si="1739"/>
        <v>0</v>
      </c>
      <c r="HP271" s="67">
        <f t="shared" si="1740"/>
        <v>0</v>
      </c>
      <c r="HQ271" s="63"/>
      <c r="HR271" s="63"/>
      <c r="HS271" s="63"/>
      <c r="HT271" s="63"/>
      <c r="HU271" s="67">
        <f t="shared" si="1741"/>
        <v>0</v>
      </c>
      <c r="HV271" s="63"/>
      <c r="HW271" s="63"/>
      <c r="HX271" s="63"/>
      <c r="HY271" s="63"/>
      <c r="HZ271" s="67">
        <f t="shared" si="1742"/>
        <v>0</v>
      </c>
      <c r="IA271" s="63"/>
      <c r="IB271" s="63"/>
      <c r="IC271" s="63"/>
      <c r="ID271" s="63"/>
      <c r="IE271" s="67">
        <f t="shared" si="1743"/>
        <v>0</v>
      </c>
      <c r="IF271" s="68">
        <f t="shared" si="1744"/>
        <v>0</v>
      </c>
      <c r="IG271" s="68">
        <f t="shared" si="1744"/>
        <v>0</v>
      </c>
      <c r="IH271" s="68">
        <f t="shared" si="1744"/>
        <v>0</v>
      </c>
      <c r="II271" s="68">
        <f t="shared" si="1744"/>
        <v>0</v>
      </c>
      <c r="IJ271" s="67">
        <f t="shared" si="1745"/>
        <v>0</v>
      </c>
      <c r="IK271" s="63"/>
      <c r="IL271" s="63"/>
      <c r="IM271" s="63"/>
      <c r="IN271" s="63"/>
      <c r="IO271" s="67">
        <f t="shared" si="1746"/>
        <v>0</v>
      </c>
      <c r="IP271" s="63"/>
      <c r="IQ271" s="63"/>
      <c r="IR271" s="63"/>
      <c r="IS271" s="63"/>
      <c r="IT271" s="67">
        <f t="shared" si="1747"/>
        <v>0</v>
      </c>
      <c r="IU271" s="63"/>
      <c r="IV271" s="63"/>
    </row>
    <row r="272" spans="1:256" x14ac:dyDescent="0.25">
      <c r="A272" s="84" t="s">
        <v>219</v>
      </c>
      <c r="B272" s="165">
        <f>SUM(B273:B278)</f>
        <v>468</v>
      </c>
      <c r="C272" s="116">
        <f t="shared" ref="C272:L272" si="1748">SUM(C273:C278)</f>
        <v>204</v>
      </c>
      <c r="D272" s="116">
        <f t="shared" si="1748"/>
        <v>84</v>
      </c>
      <c r="E272" s="116">
        <f t="shared" si="1748"/>
        <v>24</v>
      </c>
      <c r="F272" s="116">
        <f t="shared" si="1748"/>
        <v>0</v>
      </c>
      <c r="G272" s="116">
        <f t="shared" si="1748"/>
        <v>0</v>
      </c>
      <c r="H272" s="116">
        <f t="shared" si="1748"/>
        <v>12</v>
      </c>
      <c r="I272" s="116">
        <f t="shared" si="1748"/>
        <v>0</v>
      </c>
      <c r="J272" s="116">
        <f t="shared" si="1748"/>
        <v>144</v>
      </c>
      <c r="K272" s="116">
        <f t="shared" si="1748"/>
        <v>0</v>
      </c>
      <c r="L272" s="96">
        <f t="shared" si="1748"/>
        <v>468</v>
      </c>
      <c r="M272" s="165">
        <f>SUM(M273:M278)</f>
        <v>0</v>
      </c>
      <c r="N272" s="116">
        <f t="shared" ref="N272:V272" si="1749">SUM(N273:N278)</f>
        <v>0</v>
      </c>
      <c r="O272" s="116">
        <f t="shared" si="1749"/>
        <v>0</v>
      </c>
      <c r="P272" s="116">
        <f t="shared" si="1749"/>
        <v>0</v>
      </c>
      <c r="Q272" s="116">
        <f t="shared" si="1749"/>
        <v>0</v>
      </c>
      <c r="R272" s="116">
        <f t="shared" si="1749"/>
        <v>0</v>
      </c>
      <c r="S272" s="116">
        <f t="shared" si="1749"/>
        <v>0</v>
      </c>
      <c r="T272" s="116">
        <f t="shared" si="1749"/>
        <v>0</v>
      </c>
      <c r="U272" s="116">
        <f t="shared" si="1749"/>
        <v>0</v>
      </c>
      <c r="V272" s="116">
        <f t="shared" si="1749"/>
        <v>0</v>
      </c>
      <c r="W272" s="96">
        <f>SUM(W273:W278)</f>
        <v>0</v>
      </c>
      <c r="X272" s="165">
        <f>SUM(X273:X278)</f>
        <v>0</v>
      </c>
      <c r="Y272" s="116">
        <f t="shared" ref="Y272:AG272" si="1750">SUM(Y273:Y278)</f>
        <v>0</v>
      </c>
      <c r="Z272" s="116">
        <f t="shared" si="1750"/>
        <v>0</v>
      </c>
      <c r="AA272" s="116">
        <f t="shared" si="1750"/>
        <v>0</v>
      </c>
      <c r="AB272" s="116">
        <f t="shared" si="1750"/>
        <v>0</v>
      </c>
      <c r="AC272" s="116">
        <f t="shared" si="1750"/>
        <v>0</v>
      </c>
      <c r="AD272" s="116">
        <f t="shared" si="1750"/>
        <v>0</v>
      </c>
      <c r="AE272" s="116">
        <f t="shared" si="1750"/>
        <v>0</v>
      </c>
      <c r="AF272" s="116">
        <f t="shared" si="1750"/>
        <v>0</v>
      </c>
      <c r="AG272" s="116">
        <f t="shared" si="1750"/>
        <v>0</v>
      </c>
      <c r="AH272" s="96">
        <f>SUM(AH273:AH278)</f>
        <v>0</v>
      </c>
      <c r="AI272" s="165">
        <f>SUM(AI273:AI278)</f>
        <v>0</v>
      </c>
      <c r="AJ272" s="116">
        <f t="shared" ref="AJ272:AR272" si="1751">SUM(AJ273:AJ278)</f>
        <v>0</v>
      </c>
      <c r="AK272" s="116">
        <f t="shared" si="1751"/>
        <v>0</v>
      </c>
      <c r="AL272" s="116">
        <f t="shared" si="1751"/>
        <v>0</v>
      </c>
      <c r="AM272" s="116">
        <f t="shared" si="1751"/>
        <v>0</v>
      </c>
      <c r="AN272" s="116">
        <f t="shared" si="1751"/>
        <v>0</v>
      </c>
      <c r="AO272" s="116">
        <f t="shared" si="1751"/>
        <v>0</v>
      </c>
      <c r="AP272" s="116">
        <f t="shared" si="1751"/>
        <v>0</v>
      </c>
      <c r="AQ272" s="116">
        <f t="shared" si="1751"/>
        <v>0</v>
      </c>
      <c r="AR272" s="116">
        <f t="shared" si="1751"/>
        <v>0</v>
      </c>
      <c r="AS272" s="96">
        <f t="shared" ref="AS272:BE272" si="1752">SUM(AS273:AS278)</f>
        <v>0</v>
      </c>
      <c r="AT272" s="165">
        <f t="shared" si="1752"/>
        <v>0</v>
      </c>
      <c r="AU272" s="116">
        <f t="shared" si="1752"/>
        <v>0</v>
      </c>
      <c r="AV272" s="116">
        <f t="shared" si="1752"/>
        <v>0</v>
      </c>
      <c r="AW272" s="116">
        <f t="shared" si="1752"/>
        <v>0</v>
      </c>
      <c r="AX272" s="116">
        <f t="shared" si="1752"/>
        <v>0</v>
      </c>
      <c r="AY272" s="116">
        <f t="shared" si="1752"/>
        <v>0</v>
      </c>
      <c r="AZ272" s="116">
        <f t="shared" si="1752"/>
        <v>0</v>
      </c>
      <c r="BA272" s="116">
        <f t="shared" si="1752"/>
        <v>0</v>
      </c>
      <c r="BB272" s="116">
        <f t="shared" si="1752"/>
        <v>0</v>
      </c>
      <c r="BC272" s="116">
        <f t="shared" si="1752"/>
        <v>0</v>
      </c>
      <c r="BD272" s="96">
        <f t="shared" si="1752"/>
        <v>0</v>
      </c>
      <c r="BE272" s="165">
        <f t="shared" si="1752"/>
        <v>0</v>
      </c>
      <c r="BF272" s="116">
        <f t="shared" ref="BF272:BN272" si="1753">SUM(BF273:BF278)</f>
        <v>0</v>
      </c>
      <c r="BG272" s="116">
        <f t="shared" si="1753"/>
        <v>0</v>
      </c>
      <c r="BH272" s="116">
        <f t="shared" si="1753"/>
        <v>0</v>
      </c>
      <c r="BI272" s="116">
        <f t="shared" si="1753"/>
        <v>0</v>
      </c>
      <c r="BJ272" s="116">
        <f t="shared" si="1753"/>
        <v>0</v>
      </c>
      <c r="BK272" s="116">
        <f t="shared" si="1753"/>
        <v>0</v>
      </c>
      <c r="BL272" s="116">
        <f t="shared" si="1753"/>
        <v>0</v>
      </c>
      <c r="BM272" s="116">
        <f t="shared" si="1753"/>
        <v>0</v>
      </c>
      <c r="BN272" s="116">
        <f t="shared" si="1753"/>
        <v>0</v>
      </c>
      <c r="BO272" s="96">
        <f>SUM(BO273:BO278)</f>
        <v>0</v>
      </c>
      <c r="BP272" s="165">
        <f>SUM(BP273:BP278)</f>
        <v>0</v>
      </c>
      <c r="BQ272" s="116">
        <f t="shared" ref="BQ272:BY272" si="1754">SUM(BQ273:BQ278)</f>
        <v>0</v>
      </c>
      <c r="BR272" s="116">
        <f t="shared" si="1754"/>
        <v>0</v>
      </c>
      <c r="BS272" s="116">
        <f t="shared" si="1754"/>
        <v>0</v>
      </c>
      <c r="BT272" s="116">
        <f t="shared" si="1754"/>
        <v>0</v>
      </c>
      <c r="BU272" s="116">
        <f t="shared" si="1754"/>
        <v>0</v>
      </c>
      <c r="BV272" s="116">
        <f t="shared" si="1754"/>
        <v>0</v>
      </c>
      <c r="BW272" s="116">
        <f t="shared" si="1754"/>
        <v>0</v>
      </c>
      <c r="BX272" s="116">
        <f t="shared" si="1754"/>
        <v>0</v>
      </c>
      <c r="BY272" s="116">
        <f t="shared" si="1754"/>
        <v>0</v>
      </c>
      <c r="BZ272" s="96">
        <f>SUM(BZ273:BZ278)</f>
        <v>0</v>
      </c>
      <c r="CA272" s="165">
        <f>SUM(CA273:CA278)</f>
        <v>0</v>
      </c>
      <c r="CB272" s="116">
        <f t="shared" ref="CB272:CJ272" si="1755">SUM(CB273:CB278)</f>
        <v>0</v>
      </c>
      <c r="CC272" s="116">
        <f t="shared" si="1755"/>
        <v>0</v>
      </c>
      <c r="CD272" s="116">
        <f t="shared" si="1755"/>
        <v>0</v>
      </c>
      <c r="CE272" s="116">
        <f t="shared" si="1755"/>
        <v>0</v>
      </c>
      <c r="CF272" s="116">
        <f t="shared" si="1755"/>
        <v>0</v>
      </c>
      <c r="CG272" s="116">
        <f t="shared" si="1755"/>
        <v>0</v>
      </c>
      <c r="CH272" s="116">
        <f t="shared" si="1755"/>
        <v>0</v>
      </c>
      <c r="CI272" s="116">
        <f t="shared" si="1755"/>
        <v>0</v>
      </c>
      <c r="CJ272" s="116">
        <f t="shared" si="1755"/>
        <v>0</v>
      </c>
      <c r="CK272" s="96">
        <f>SUM(CK273:CK278)</f>
        <v>0</v>
      </c>
      <c r="CL272" s="165">
        <f>SUM(CL273:CL278)</f>
        <v>0</v>
      </c>
      <c r="CM272" s="116">
        <f t="shared" ref="CM272:CV272" si="1756">SUM(CM273:CM278)</f>
        <v>0</v>
      </c>
      <c r="CN272" s="116">
        <f t="shared" si="1756"/>
        <v>0</v>
      </c>
      <c r="CO272" s="116">
        <f t="shared" si="1756"/>
        <v>0</v>
      </c>
      <c r="CP272" s="116">
        <f t="shared" si="1756"/>
        <v>0</v>
      </c>
      <c r="CQ272" s="116">
        <f t="shared" si="1756"/>
        <v>0</v>
      </c>
      <c r="CR272" s="116">
        <f t="shared" si="1756"/>
        <v>0</v>
      </c>
      <c r="CS272" s="116">
        <f t="shared" si="1756"/>
        <v>0</v>
      </c>
      <c r="CT272" s="116">
        <f t="shared" si="1756"/>
        <v>0</v>
      </c>
      <c r="CU272" s="116">
        <f t="shared" si="1756"/>
        <v>0</v>
      </c>
      <c r="CV272" s="96">
        <f t="shared" si="1756"/>
        <v>0</v>
      </c>
      <c r="CW272" s="165">
        <f>SUM(CW273:CW278)</f>
        <v>0</v>
      </c>
      <c r="CX272" s="116">
        <f t="shared" ref="CX272:DF272" si="1757">SUM(CX273:CX278)</f>
        <v>0</v>
      </c>
      <c r="CY272" s="116">
        <f t="shared" si="1757"/>
        <v>0</v>
      </c>
      <c r="CZ272" s="116">
        <f t="shared" si="1757"/>
        <v>0</v>
      </c>
      <c r="DA272" s="116">
        <f t="shared" si="1757"/>
        <v>0</v>
      </c>
      <c r="DB272" s="116">
        <f t="shared" si="1757"/>
        <v>0</v>
      </c>
      <c r="DC272" s="116">
        <f t="shared" si="1757"/>
        <v>0</v>
      </c>
      <c r="DD272" s="116">
        <f t="shared" si="1757"/>
        <v>0</v>
      </c>
      <c r="DE272" s="116">
        <f t="shared" si="1757"/>
        <v>0</v>
      </c>
      <c r="DF272" s="116">
        <f t="shared" si="1757"/>
        <v>0</v>
      </c>
      <c r="DG272" s="96">
        <f>SUM(DG273:DG278)</f>
        <v>0</v>
      </c>
      <c r="DH272" s="165">
        <f>SUM(DH273:DH278)</f>
        <v>0</v>
      </c>
      <c r="DI272" s="116">
        <f t="shared" ref="DI272:DQ272" si="1758">SUM(DI273:DI278)</f>
        <v>0</v>
      </c>
      <c r="DJ272" s="116">
        <f t="shared" si="1758"/>
        <v>0</v>
      </c>
      <c r="DK272" s="116">
        <f t="shared" si="1758"/>
        <v>0</v>
      </c>
      <c r="DL272" s="116">
        <f t="shared" si="1758"/>
        <v>0</v>
      </c>
      <c r="DM272" s="116">
        <f t="shared" si="1758"/>
        <v>0</v>
      </c>
      <c r="DN272" s="116">
        <f t="shared" si="1758"/>
        <v>0</v>
      </c>
      <c r="DO272" s="116">
        <f t="shared" si="1758"/>
        <v>0</v>
      </c>
      <c r="DP272" s="116">
        <f t="shared" si="1758"/>
        <v>0</v>
      </c>
      <c r="DQ272" s="116">
        <f t="shared" si="1758"/>
        <v>0</v>
      </c>
      <c r="DR272" s="96">
        <f>SUM(DR273:DR278)</f>
        <v>0</v>
      </c>
      <c r="DS272" s="165">
        <f>SUM(DS273:DS278)</f>
        <v>0</v>
      </c>
      <c r="DT272" s="116">
        <f t="shared" ref="DT272:EB272" si="1759">SUM(DT273:DT278)</f>
        <v>0</v>
      </c>
      <c r="DU272" s="116">
        <f t="shared" si="1759"/>
        <v>0</v>
      </c>
      <c r="DV272" s="116">
        <f t="shared" si="1759"/>
        <v>0</v>
      </c>
      <c r="DW272" s="116">
        <f t="shared" si="1759"/>
        <v>0</v>
      </c>
      <c r="DX272" s="116">
        <f t="shared" si="1759"/>
        <v>0</v>
      </c>
      <c r="DY272" s="116">
        <f t="shared" si="1759"/>
        <v>0</v>
      </c>
      <c r="DZ272" s="116">
        <f t="shared" si="1759"/>
        <v>0</v>
      </c>
      <c r="EA272" s="116">
        <f t="shared" si="1759"/>
        <v>0</v>
      </c>
      <c r="EB272" s="116">
        <f t="shared" si="1759"/>
        <v>0</v>
      </c>
      <c r="EC272" s="116">
        <f>SUM(EC273:EC278)</f>
        <v>0</v>
      </c>
      <c r="ED272" s="165">
        <f>SUM(ED273:ED278)</f>
        <v>0</v>
      </c>
      <c r="EE272" s="116">
        <f t="shared" ref="EE272:EN272" si="1760">SUM(EE273:EE278)</f>
        <v>0</v>
      </c>
      <c r="EF272" s="116">
        <f t="shared" si="1760"/>
        <v>0</v>
      </c>
      <c r="EG272" s="116">
        <f t="shared" si="1760"/>
        <v>0</v>
      </c>
      <c r="EH272" s="116">
        <f t="shared" si="1760"/>
        <v>0</v>
      </c>
      <c r="EI272" s="116">
        <f t="shared" si="1760"/>
        <v>0</v>
      </c>
      <c r="EJ272" s="116">
        <f t="shared" si="1760"/>
        <v>0</v>
      </c>
      <c r="EK272" s="116">
        <f t="shared" si="1760"/>
        <v>0</v>
      </c>
      <c r="EL272" s="116">
        <f t="shared" si="1760"/>
        <v>0</v>
      </c>
      <c r="EM272" s="116">
        <f t="shared" si="1760"/>
        <v>0</v>
      </c>
      <c r="EN272" s="96">
        <f t="shared" si="1760"/>
        <v>0</v>
      </c>
      <c r="EO272" s="165">
        <f>SUM(EO273:EO278)</f>
        <v>0</v>
      </c>
      <c r="EP272" s="116">
        <f t="shared" ref="EP272:EX272" si="1761">SUM(EP273:EP278)</f>
        <v>0</v>
      </c>
      <c r="EQ272" s="116">
        <f t="shared" si="1761"/>
        <v>0</v>
      </c>
      <c r="ER272" s="116">
        <f t="shared" si="1761"/>
        <v>0</v>
      </c>
      <c r="ES272" s="116">
        <f t="shared" si="1761"/>
        <v>0</v>
      </c>
      <c r="ET272" s="116">
        <f t="shared" si="1761"/>
        <v>0</v>
      </c>
      <c r="EU272" s="116">
        <f t="shared" si="1761"/>
        <v>0</v>
      </c>
      <c r="EV272" s="116">
        <f t="shared" si="1761"/>
        <v>0</v>
      </c>
      <c r="EW272" s="116">
        <f t="shared" si="1761"/>
        <v>0</v>
      </c>
      <c r="EX272" s="116">
        <f t="shared" si="1761"/>
        <v>0</v>
      </c>
      <c r="EY272" s="96">
        <f>SUM(EY273:EY278)</f>
        <v>0</v>
      </c>
      <c r="EZ272" s="165">
        <f>SUM(EZ273:EZ278)</f>
        <v>0</v>
      </c>
      <c r="FA272" s="116">
        <f t="shared" ref="FA272:FI272" si="1762">SUM(FA273:FA278)</f>
        <v>0</v>
      </c>
      <c r="FB272" s="116">
        <f t="shared" si="1762"/>
        <v>0</v>
      </c>
      <c r="FC272" s="116">
        <f t="shared" si="1762"/>
        <v>0</v>
      </c>
      <c r="FD272" s="116">
        <f t="shared" si="1762"/>
        <v>0</v>
      </c>
      <c r="FE272" s="116">
        <f t="shared" si="1762"/>
        <v>0</v>
      </c>
      <c r="FF272" s="116">
        <f t="shared" si="1762"/>
        <v>0</v>
      </c>
      <c r="FG272" s="116">
        <f t="shared" si="1762"/>
        <v>0</v>
      </c>
      <c r="FH272" s="116">
        <f t="shared" si="1762"/>
        <v>0</v>
      </c>
      <c r="FI272" s="116">
        <f t="shared" si="1762"/>
        <v>0</v>
      </c>
      <c r="FJ272" s="96">
        <f>SUM(FJ273:FJ278)</f>
        <v>0</v>
      </c>
      <c r="FK272" s="165">
        <f>SUM(FK273:FK278)</f>
        <v>0</v>
      </c>
      <c r="FL272" s="116">
        <f t="shared" ref="FL272:FT272" si="1763">SUM(FL273:FL278)</f>
        <v>0</v>
      </c>
      <c r="FM272" s="116">
        <f t="shared" si="1763"/>
        <v>0</v>
      </c>
      <c r="FN272" s="116">
        <f t="shared" si="1763"/>
        <v>0</v>
      </c>
      <c r="FO272" s="116">
        <f t="shared" si="1763"/>
        <v>0</v>
      </c>
      <c r="FP272" s="116">
        <f t="shared" si="1763"/>
        <v>0</v>
      </c>
      <c r="FQ272" s="116">
        <f t="shared" si="1763"/>
        <v>0</v>
      </c>
      <c r="FR272" s="116">
        <f t="shared" si="1763"/>
        <v>0</v>
      </c>
      <c r="FS272" s="116">
        <f t="shared" si="1763"/>
        <v>0</v>
      </c>
      <c r="FT272" s="116">
        <f t="shared" si="1763"/>
        <v>0</v>
      </c>
      <c r="FU272" s="96">
        <f>SUM(FU273:FU278)</f>
        <v>0</v>
      </c>
      <c r="FV272" s="165">
        <f>SUM(FV273:FV278)</f>
        <v>0</v>
      </c>
      <c r="FW272" s="116">
        <f t="shared" ref="FW272:GF272" si="1764">SUM(FW273:FW278)</f>
        <v>0</v>
      </c>
      <c r="FX272" s="116">
        <f t="shared" si="1764"/>
        <v>0</v>
      </c>
      <c r="FY272" s="116">
        <f t="shared" si="1764"/>
        <v>0</v>
      </c>
      <c r="FZ272" s="116">
        <f t="shared" si="1764"/>
        <v>0</v>
      </c>
      <c r="GA272" s="116">
        <f t="shared" si="1764"/>
        <v>0</v>
      </c>
      <c r="GB272" s="116">
        <f t="shared" si="1764"/>
        <v>0</v>
      </c>
      <c r="GC272" s="116">
        <f t="shared" si="1764"/>
        <v>0</v>
      </c>
      <c r="GD272" s="116">
        <f t="shared" si="1764"/>
        <v>0</v>
      </c>
      <c r="GE272" s="116">
        <f t="shared" si="1764"/>
        <v>0</v>
      </c>
      <c r="GF272" s="96">
        <f t="shared" si="1764"/>
        <v>0</v>
      </c>
      <c r="GG272" s="165">
        <f>SUM(GG273:GG278)</f>
        <v>0</v>
      </c>
      <c r="GH272" s="116">
        <f t="shared" ref="GH272:HK272" si="1765">SUM(GH273:GH278)</f>
        <v>0</v>
      </c>
      <c r="GI272" s="116">
        <f t="shared" si="1765"/>
        <v>0</v>
      </c>
      <c r="GJ272" s="116">
        <f t="shared" si="1765"/>
        <v>0</v>
      </c>
      <c r="GK272" s="116">
        <f t="shared" si="1765"/>
        <v>0</v>
      </c>
      <c r="GL272" s="116">
        <f t="shared" si="1765"/>
        <v>0</v>
      </c>
      <c r="GM272" s="116">
        <f t="shared" si="1765"/>
        <v>0</v>
      </c>
      <c r="GN272" s="116">
        <f t="shared" si="1765"/>
        <v>0</v>
      </c>
      <c r="GO272" s="116">
        <f t="shared" si="1765"/>
        <v>0</v>
      </c>
      <c r="GP272" s="116">
        <f t="shared" si="1765"/>
        <v>0</v>
      </c>
      <c r="GQ272" s="96">
        <f t="shared" si="1765"/>
        <v>0</v>
      </c>
      <c r="GR272" s="116">
        <f t="shared" si="1765"/>
        <v>0</v>
      </c>
      <c r="GS272" s="116">
        <f t="shared" si="1765"/>
        <v>0</v>
      </c>
      <c r="GT272" s="116">
        <f t="shared" si="1765"/>
        <v>0</v>
      </c>
      <c r="GU272" s="116">
        <f t="shared" si="1765"/>
        <v>0</v>
      </c>
      <c r="GV272" s="116">
        <f t="shared" si="1765"/>
        <v>0</v>
      </c>
      <c r="GW272" s="116">
        <f t="shared" si="1765"/>
        <v>0</v>
      </c>
      <c r="GX272" s="116">
        <f t="shared" si="1765"/>
        <v>0</v>
      </c>
      <c r="GY272" s="116">
        <f t="shared" si="1765"/>
        <v>0</v>
      </c>
      <c r="GZ272" s="116">
        <f t="shared" si="1765"/>
        <v>0</v>
      </c>
      <c r="HA272" s="116">
        <f t="shared" si="1765"/>
        <v>0</v>
      </c>
      <c r="HB272" s="116">
        <f>SUM(HB273:HB278)</f>
        <v>0</v>
      </c>
      <c r="HC272" s="116">
        <f>SUM(HC273:HC278)</f>
        <v>0</v>
      </c>
      <c r="HD272" s="116">
        <f>SUM(HD273:HD278)</f>
        <v>0</v>
      </c>
      <c r="HE272" s="116">
        <f>SUM(HE273:HE278)</f>
        <v>0</v>
      </c>
      <c r="HF272" s="116">
        <f t="shared" si="1765"/>
        <v>0</v>
      </c>
      <c r="HG272" s="116">
        <f t="shared" si="1765"/>
        <v>0</v>
      </c>
      <c r="HH272" s="116">
        <f t="shared" si="1765"/>
        <v>0</v>
      </c>
      <c r="HI272" s="116">
        <f t="shared" si="1765"/>
        <v>0</v>
      </c>
      <c r="HJ272" s="116">
        <f t="shared" si="1765"/>
        <v>0</v>
      </c>
      <c r="HK272" s="116">
        <f t="shared" si="1765"/>
        <v>0</v>
      </c>
      <c r="HL272" s="116">
        <f t="shared" ref="HL272:HT272" si="1766">SUM(HL273:HL278)</f>
        <v>0</v>
      </c>
      <c r="HM272" s="116">
        <f t="shared" si="1766"/>
        <v>0</v>
      </c>
      <c r="HN272" s="116">
        <f t="shared" si="1766"/>
        <v>0</v>
      </c>
      <c r="HO272" s="116">
        <f t="shared" si="1766"/>
        <v>0</v>
      </c>
      <c r="HP272" s="116">
        <f t="shared" si="1766"/>
        <v>0</v>
      </c>
      <c r="HQ272" s="116">
        <f t="shared" si="1766"/>
        <v>0</v>
      </c>
      <c r="HR272" s="116">
        <f t="shared" si="1766"/>
        <v>0</v>
      </c>
      <c r="HS272" s="116">
        <f t="shared" si="1766"/>
        <v>0</v>
      </c>
      <c r="HT272" s="116">
        <f t="shared" si="1766"/>
        <v>0</v>
      </c>
      <c r="HU272" s="116">
        <f t="shared" ref="HU272:IV272" si="1767">SUM(HU273:HU278)</f>
        <v>0</v>
      </c>
      <c r="HV272" s="116">
        <f t="shared" si="1767"/>
        <v>0</v>
      </c>
      <c r="HW272" s="116">
        <f t="shared" si="1767"/>
        <v>0</v>
      </c>
      <c r="HX272" s="116">
        <f t="shared" si="1767"/>
        <v>0</v>
      </c>
      <c r="HY272" s="116">
        <f t="shared" si="1767"/>
        <v>0</v>
      </c>
      <c r="HZ272" s="116">
        <f t="shared" si="1767"/>
        <v>0</v>
      </c>
      <c r="IA272" s="116">
        <f>SUM(IA273:IA278)</f>
        <v>0</v>
      </c>
      <c r="IB272" s="116">
        <f>SUM(IB273:IB278)</f>
        <v>0</v>
      </c>
      <c r="IC272" s="116">
        <f>SUM(IC273:IC278)</f>
        <v>0</v>
      </c>
      <c r="ID272" s="116">
        <f>SUM(ID273:ID278)</f>
        <v>0</v>
      </c>
      <c r="IE272" s="116">
        <f t="shared" si="1767"/>
        <v>0</v>
      </c>
      <c r="IF272" s="116">
        <f t="shared" si="1767"/>
        <v>0</v>
      </c>
      <c r="IG272" s="116">
        <f t="shared" si="1767"/>
        <v>0</v>
      </c>
      <c r="IH272" s="116">
        <f t="shared" si="1767"/>
        <v>0</v>
      </c>
      <c r="II272" s="116">
        <f t="shared" si="1767"/>
        <v>0</v>
      </c>
      <c r="IJ272" s="116">
        <f t="shared" si="1767"/>
        <v>0</v>
      </c>
      <c r="IK272" s="116">
        <f t="shared" si="1767"/>
        <v>0</v>
      </c>
      <c r="IL272" s="116">
        <f t="shared" si="1767"/>
        <v>0</v>
      </c>
      <c r="IM272" s="116">
        <f t="shared" si="1767"/>
        <v>0</v>
      </c>
      <c r="IN272" s="116">
        <f t="shared" si="1767"/>
        <v>0</v>
      </c>
      <c r="IO272" s="116">
        <f t="shared" si="1767"/>
        <v>0</v>
      </c>
      <c r="IP272" s="116">
        <f>SUM(IP273:IP278)</f>
        <v>0</v>
      </c>
      <c r="IQ272" s="116">
        <f>SUM(IQ273:IQ278)</f>
        <v>0</v>
      </c>
      <c r="IR272" s="116">
        <f>SUM(IR273:IR278)</f>
        <v>0</v>
      </c>
      <c r="IS272" s="116">
        <f>SUM(IS273:IS278)</f>
        <v>0</v>
      </c>
      <c r="IT272" s="116">
        <f t="shared" si="1767"/>
        <v>0</v>
      </c>
      <c r="IU272" s="116">
        <f t="shared" si="1767"/>
        <v>0</v>
      </c>
      <c r="IV272" s="116">
        <f t="shared" si="1767"/>
        <v>0</v>
      </c>
    </row>
    <row r="273" spans="1:256" x14ac:dyDescent="0.25">
      <c r="A273" s="117" t="s">
        <v>212</v>
      </c>
      <c r="B273" s="62">
        <v>192</v>
      </c>
      <c r="C273" s="63">
        <v>144</v>
      </c>
      <c r="D273" s="63">
        <v>24</v>
      </c>
      <c r="E273" s="63">
        <v>12</v>
      </c>
      <c r="F273" s="63">
        <v>0</v>
      </c>
      <c r="G273" s="63">
        <v>0</v>
      </c>
      <c r="H273" s="63">
        <v>12</v>
      </c>
      <c r="I273" s="63">
        <v>0</v>
      </c>
      <c r="J273" s="63">
        <v>0</v>
      </c>
      <c r="K273" s="63">
        <v>0</v>
      </c>
      <c r="L273" s="64">
        <f t="shared" ref="L273:L278" si="1768">SUM(C273:F273,H273:K273)</f>
        <v>192</v>
      </c>
      <c r="M273" s="62"/>
      <c r="N273" s="63"/>
      <c r="O273" s="63"/>
      <c r="P273" s="63"/>
      <c r="Q273" s="63"/>
      <c r="R273" s="63"/>
      <c r="S273" s="63"/>
      <c r="T273" s="63"/>
      <c r="U273" s="63"/>
      <c r="V273" s="63"/>
      <c r="W273" s="64">
        <f t="shared" ref="W273:W278" si="1769">SUM(N273:Q273,S273:V273)</f>
        <v>0</v>
      </c>
      <c r="X273" s="62"/>
      <c r="Y273" s="63"/>
      <c r="Z273" s="63"/>
      <c r="AA273" s="63"/>
      <c r="AB273" s="63"/>
      <c r="AC273" s="63"/>
      <c r="AD273" s="63"/>
      <c r="AE273" s="63"/>
      <c r="AF273" s="63"/>
      <c r="AG273" s="63"/>
      <c r="AH273" s="64">
        <f t="shared" ref="AH273:AH278" si="1770">SUM(Y273:AB273,AD273:AG273)</f>
        <v>0</v>
      </c>
      <c r="AI273" s="62"/>
      <c r="AJ273" s="63"/>
      <c r="AK273" s="63"/>
      <c r="AL273" s="63"/>
      <c r="AM273" s="63"/>
      <c r="AN273" s="63"/>
      <c r="AO273" s="63"/>
      <c r="AP273" s="63"/>
      <c r="AQ273" s="63"/>
      <c r="AR273" s="63"/>
      <c r="AS273" s="64">
        <f t="shared" ref="AS273:AS278" si="1771">SUM(AJ273:AM273,AO273:AR273)</f>
        <v>0</v>
      </c>
      <c r="AT273" s="65">
        <f t="shared" ref="AT273:BC278" si="1772">SUM(M273,AI273,X273)</f>
        <v>0</v>
      </c>
      <c r="AU273" s="65">
        <f t="shared" si="1772"/>
        <v>0</v>
      </c>
      <c r="AV273" s="65">
        <f t="shared" si="1772"/>
        <v>0</v>
      </c>
      <c r="AW273" s="65">
        <f t="shared" si="1772"/>
        <v>0</v>
      </c>
      <c r="AX273" s="65">
        <f t="shared" si="1772"/>
        <v>0</v>
      </c>
      <c r="AY273" s="65">
        <f t="shared" si="1772"/>
        <v>0</v>
      </c>
      <c r="AZ273" s="65">
        <f t="shared" si="1772"/>
        <v>0</v>
      </c>
      <c r="BA273" s="65">
        <f t="shared" si="1772"/>
        <v>0</v>
      </c>
      <c r="BB273" s="65">
        <f t="shared" si="1772"/>
        <v>0</v>
      </c>
      <c r="BC273" s="65">
        <f t="shared" si="1772"/>
        <v>0</v>
      </c>
      <c r="BD273" s="64">
        <f t="shared" ref="BD273:BD278" si="1773">SUM(AU273:AX273,AZ273:BC273)</f>
        <v>0</v>
      </c>
      <c r="BE273" s="62"/>
      <c r="BF273" s="63"/>
      <c r="BG273" s="63"/>
      <c r="BH273" s="63"/>
      <c r="BI273" s="63"/>
      <c r="BJ273" s="63"/>
      <c r="BK273" s="63"/>
      <c r="BL273" s="63"/>
      <c r="BM273" s="63"/>
      <c r="BN273" s="63"/>
      <c r="BO273" s="64">
        <f t="shared" ref="BO273:BO278" si="1774">SUM(BF273:BI273,BK273:BN273)</f>
        <v>0</v>
      </c>
      <c r="BP273" s="62"/>
      <c r="BQ273" s="63"/>
      <c r="BR273" s="63"/>
      <c r="BS273" s="63"/>
      <c r="BT273" s="63"/>
      <c r="BU273" s="63"/>
      <c r="BV273" s="63"/>
      <c r="BW273" s="63"/>
      <c r="BX273" s="63"/>
      <c r="BY273" s="63"/>
      <c r="BZ273" s="64">
        <f t="shared" ref="BZ273:BZ278" si="1775">SUM(BQ273:BT273,BV273:BY273)</f>
        <v>0</v>
      </c>
      <c r="CA273" s="62"/>
      <c r="CB273" s="63"/>
      <c r="CC273" s="63"/>
      <c r="CD273" s="63"/>
      <c r="CE273" s="63"/>
      <c r="CF273" s="63"/>
      <c r="CG273" s="63"/>
      <c r="CH273" s="63"/>
      <c r="CI273" s="63"/>
      <c r="CJ273" s="63"/>
      <c r="CK273" s="64">
        <f t="shared" ref="CK273:CK278" si="1776">SUM(CB273:CE273,CG273:CJ273)</f>
        <v>0</v>
      </c>
      <c r="CL273" s="65">
        <f t="shared" ref="CL273:CU278" si="1777">SUM(BE273,CA273,BP273)</f>
        <v>0</v>
      </c>
      <c r="CM273" s="65">
        <f t="shared" si="1777"/>
        <v>0</v>
      </c>
      <c r="CN273" s="65">
        <f t="shared" si="1777"/>
        <v>0</v>
      </c>
      <c r="CO273" s="65">
        <f t="shared" si="1777"/>
        <v>0</v>
      </c>
      <c r="CP273" s="65">
        <f t="shared" si="1777"/>
        <v>0</v>
      </c>
      <c r="CQ273" s="65">
        <f t="shared" si="1777"/>
        <v>0</v>
      </c>
      <c r="CR273" s="65">
        <f t="shared" si="1777"/>
        <v>0</v>
      </c>
      <c r="CS273" s="65">
        <f t="shared" si="1777"/>
        <v>0</v>
      </c>
      <c r="CT273" s="65">
        <f t="shared" si="1777"/>
        <v>0</v>
      </c>
      <c r="CU273" s="65">
        <f t="shared" si="1777"/>
        <v>0</v>
      </c>
      <c r="CV273" s="64">
        <f t="shared" ref="CV273:CV278" si="1778">SUM(CM273:CP273,CR273:CU273)</f>
        <v>0</v>
      </c>
      <c r="CW273" s="62"/>
      <c r="CX273" s="63"/>
      <c r="CY273" s="63"/>
      <c r="CZ273" s="63"/>
      <c r="DA273" s="63"/>
      <c r="DB273" s="63"/>
      <c r="DC273" s="63"/>
      <c r="DD273" s="63"/>
      <c r="DE273" s="63"/>
      <c r="DF273" s="63"/>
      <c r="DG273" s="64">
        <f t="shared" ref="DG273:DG278" si="1779">SUM(CX273:DA273,DC273:DF273)</f>
        <v>0</v>
      </c>
      <c r="DH273" s="62"/>
      <c r="DI273" s="63"/>
      <c r="DJ273" s="63"/>
      <c r="DK273" s="63"/>
      <c r="DL273" s="63"/>
      <c r="DM273" s="63"/>
      <c r="DN273" s="63"/>
      <c r="DO273" s="63"/>
      <c r="DP273" s="63"/>
      <c r="DQ273" s="63"/>
      <c r="DR273" s="64">
        <f t="shared" ref="DR273:DR278" si="1780">SUM(DI273:DL273,DN273:DQ273)</f>
        <v>0</v>
      </c>
      <c r="DS273" s="62"/>
      <c r="DT273" s="63"/>
      <c r="DU273" s="63"/>
      <c r="DV273" s="63"/>
      <c r="DW273" s="63"/>
      <c r="DX273" s="63"/>
      <c r="DY273" s="63"/>
      <c r="DZ273" s="63"/>
      <c r="EA273" s="63"/>
      <c r="EB273" s="63"/>
      <c r="EC273" s="63"/>
      <c r="ED273" s="65">
        <f t="shared" ref="ED273:EM278" si="1781">SUM(CW273,DS273,DH273)</f>
        <v>0</v>
      </c>
      <c r="EE273" s="65">
        <f t="shared" si="1781"/>
        <v>0</v>
      </c>
      <c r="EF273" s="65">
        <f t="shared" si="1781"/>
        <v>0</v>
      </c>
      <c r="EG273" s="65">
        <f t="shared" si="1781"/>
        <v>0</v>
      </c>
      <c r="EH273" s="65">
        <f t="shared" si="1781"/>
        <v>0</v>
      </c>
      <c r="EI273" s="65">
        <f t="shared" si="1781"/>
        <v>0</v>
      </c>
      <c r="EJ273" s="65">
        <f t="shared" si="1781"/>
        <v>0</v>
      </c>
      <c r="EK273" s="65">
        <f t="shared" si="1781"/>
        <v>0</v>
      </c>
      <c r="EL273" s="65">
        <f t="shared" si="1781"/>
        <v>0</v>
      </c>
      <c r="EM273" s="65">
        <f t="shared" si="1781"/>
        <v>0</v>
      </c>
      <c r="EN273" s="64">
        <f t="shared" ref="EN273:EN278" si="1782">SUM(EE273:EH273,EJ273:EM273)</f>
        <v>0</v>
      </c>
      <c r="EO273" s="62"/>
      <c r="EP273" s="63"/>
      <c r="EQ273" s="63"/>
      <c r="ER273" s="63"/>
      <c r="ES273" s="63"/>
      <c r="ET273" s="63"/>
      <c r="EU273" s="63"/>
      <c r="EV273" s="63"/>
      <c r="EW273" s="63"/>
      <c r="EX273" s="63"/>
      <c r="EY273" s="64">
        <f t="shared" ref="EY273:EY278" si="1783">SUM(EP273:ES273,EU273:EX273)</f>
        <v>0</v>
      </c>
      <c r="EZ273" s="62"/>
      <c r="FA273" s="63"/>
      <c r="FB273" s="63"/>
      <c r="FC273" s="63"/>
      <c r="FD273" s="63"/>
      <c r="FE273" s="63"/>
      <c r="FF273" s="63"/>
      <c r="FG273" s="63"/>
      <c r="FH273" s="63"/>
      <c r="FI273" s="63"/>
      <c r="FJ273" s="64">
        <f t="shared" ref="FJ273:FJ278" si="1784">SUM(FA273:FD273,FF273:FI273)</f>
        <v>0</v>
      </c>
      <c r="FK273" s="62"/>
      <c r="FL273" s="63"/>
      <c r="FM273" s="63"/>
      <c r="FN273" s="63"/>
      <c r="FO273" s="63"/>
      <c r="FP273" s="63"/>
      <c r="FQ273" s="63"/>
      <c r="FR273" s="63"/>
      <c r="FS273" s="63"/>
      <c r="FT273" s="63"/>
      <c r="FU273" s="64">
        <f t="shared" ref="FU273:FU278" si="1785">SUM(FL273:FO273,FQ273:FT273)</f>
        <v>0</v>
      </c>
      <c r="FV273" s="65">
        <f t="shared" ref="FV273:GE278" si="1786">SUM(EO273,FK273,EZ273)</f>
        <v>0</v>
      </c>
      <c r="FW273" s="65">
        <f t="shared" si="1786"/>
        <v>0</v>
      </c>
      <c r="FX273" s="65">
        <f t="shared" si="1786"/>
        <v>0</v>
      </c>
      <c r="FY273" s="65">
        <f t="shared" si="1786"/>
        <v>0</v>
      </c>
      <c r="FZ273" s="65">
        <f t="shared" si="1786"/>
        <v>0</v>
      </c>
      <c r="GA273" s="65">
        <f t="shared" si="1786"/>
        <v>0</v>
      </c>
      <c r="GB273" s="65">
        <f t="shared" si="1786"/>
        <v>0</v>
      </c>
      <c r="GC273" s="65">
        <f t="shared" si="1786"/>
        <v>0</v>
      </c>
      <c r="GD273" s="65">
        <f t="shared" si="1786"/>
        <v>0</v>
      </c>
      <c r="GE273" s="65">
        <f t="shared" si="1786"/>
        <v>0</v>
      </c>
      <c r="GF273" s="64">
        <f t="shared" ref="GF273:GF278" si="1787">SUM(FW273:FZ273,GB273:GE273)</f>
        <v>0</v>
      </c>
      <c r="GG273" s="66">
        <f t="shared" ref="GG273:GP278" si="1788">SUM(AT273,CL273,ED273,FV273)</f>
        <v>0</v>
      </c>
      <c r="GH273" s="66">
        <f t="shared" si="1788"/>
        <v>0</v>
      </c>
      <c r="GI273" s="66">
        <f t="shared" si="1788"/>
        <v>0</v>
      </c>
      <c r="GJ273" s="66">
        <f t="shared" si="1788"/>
        <v>0</v>
      </c>
      <c r="GK273" s="66">
        <f t="shared" si="1788"/>
        <v>0</v>
      </c>
      <c r="GL273" s="66">
        <f t="shared" si="1788"/>
        <v>0</v>
      </c>
      <c r="GM273" s="66">
        <f t="shared" si="1788"/>
        <v>0</v>
      </c>
      <c r="GN273" s="66">
        <f t="shared" si="1788"/>
        <v>0</v>
      </c>
      <c r="GO273" s="66">
        <f t="shared" si="1788"/>
        <v>0</v>
      </c>
      <c r="GP273" s="66">
        <f t="shared" si="1788"/>
        <v>0</v>
      </c>
      <c r="GQ273" s="64">
        <f t="shared" ref="GQ273:GQ278" si="1789">SUM(GH273:GK273,GM273:GP273)</f>
        <v>0</v>
      </c>
      <c r="GR273" s="63"/>
      <c r="GS273" s="63"/>
      <c r="GT273" s="63"/>
      <c r="GU273" s="63"/>
      <c r="GV273" s="67">
        <f t="shared" ref="GV273:GV278" si="1790">SUM(GR273:GU273)</f>
        <v>0</v>
      </c>
      <c r="GW273" s="63"/>
      <c r="GX273" s="63"/>
      <c r="GY273" s="63"/>
      <c r="GZ273" s="63"/>
      <c r="HA273" s="67">
        <f t="shared" ref="HA273:HA278" si="1791">SUM(GW273:GZ273)</f>
        <v>0</v>
      </c>
      <c r="HB273" s="63"/>
      <c r="HC273" s="63"/>
      <c r="HD273" s="63"/>
      <c r="HE273" s="63"/>
      <c r="HF273" s="67">
        <f t="shared" ref="HF273:HF278" si="1792">SUM(HB273:HE273)</f>
        <v>0</v>
      </c>
      <c r="HG273" s="63"/>
      <c r="HH273" s="63"/>
      <c r="HI273" s="63"/>
      <c r="HJ273" s="63"/>
      <c r="HK273" s="67">
        <f t="shared" ref="HK273:HK278" si="1793">SUM(HG273:HJ273)</f>
        <v>0</v>
      </c>
      <c r="HL273" s="68">
        <f t="shared" ref="HL273:HO278" si="1794">SUM(GW273,HB273,HG273)</f>
        <v>0</v>
      </c>
      <c r="HM273" s="68">
        <f t="shared" si="1794"/>
        <v>0</v>
      </c>
      <c r="HN273" s="68">
        <f t="shared" si="1794"/>
        <v>0</v>
      </c>
      <c r="HO273" s="68">
        <f t="shared" si="1794"/>
        <v>0</v>
      </c>
      <c r="HP273" s="67">
        <f t="shared" ref="HP273:HP278" si="1795">SUM(HL273:HO273)</f>
        <v>0</v>
      </c>
      <c r="HQ273" s="63"/>
      <c r="HR273" s="63"/>
      <c r="HS273" s="63"/>
      <c r="HT273" s="63"/>
      <c r="HU273" s="67">
        <f t="shared" ref="HU273:HU278" si="1796">SUM(HQ273:HT273)</f>
        <v>0</v>
      </c>
      <c r="HV273" s="63"/>
      <c r="HW273" s="63"/>
      <c r="HX273" s="63"/>
      <c r="HY273" s="63"/>
      <c r="HZ273" s="67">
        <f t="shared" ref="HZ273:HZ278" si="1797">SUM(HV273:HY273)</f>
        <v>0</v>
      </c>
      <c r="IA273" s="63"/>
      <c r="IB273" s="63"/>
      <c r="IC273" s="63"/>
      <c r="ID273" s="63"/>
      <c r="IE273" s="67">
        <f t="shared" ref="IE273:IE278" si="1798">SUM(IA273:ID273)</f>
        <v>0</v>
      </c>
      <c r="IF273" s="68">
        <f t="shared" ref="IF273:II278" si="1799">SUM(HQ273,HV273,IA273)</f>
        <v>0</v>
      </c>
      <c r="IG273" s="68">
        <f t="shared" si="1799"/>
        <v>0</v>
      </c>
      <c r="IH273" s="68">
        <f t="shared" si="1799"/>
        <v>0</v>
      </c>
      <c r="II273" s="68">
        <f t="shared" si="1799"/>
        <v>0</v>
      </c>
      <c r="IJ273" s="67">
        <f t="shared" ref="IJ273:IJ278" si="1800">SUM(IF273:II273)</f>
        <v>0</v>
      </c>
      <c r="IK273" s="63"/>
      <c r="IL273" s="63"/>
      <c r="IM273" s="63"/>
      <c r="IN273" s="63"/>
      <c r="IO273" s="67">
        <f t="shared" ref="IO273:IO278" si="1801">SUM(IK273:IN273)</f>
        <v>0</v>
      </c>
      <c r="IP273" s="63"/>
      <c r="IQ273" s="63"/>
      <c r="IR273" s="63"/>
      <c r="IS273" s="63"/>
      <c r="IT273" s="67">
        <f t="shared" ref="IT273:IT278" si="1802">SUM(IP273:IS273)</f>
        <v>0</v>
      </c>
      <c r="IU273" s="63"/>
      <c r="IV273" s="63"/>
    </row>
    <row r="274" spans="1:256" x14ac:dyDescent="0.25">
      <c r="A274" s="117" t="s">
        <v>213</v>
      </c>
      <c r="B274" s="62">
        <v>72</v>
      </c>
      <c r="C274" s="63">
        <v>60</v>
      </c>
      <c r="D274" s="63">
        <v>0</v>
      </c>
      <c r="E274" s="63">
        <v>12</v>
      </c>
      <c r="F274" s="63">
        <v>0</v>
      </c>
      <c r="G274" s="63">
        <v>0</v>
      </c>
      <c r="H274" s="63">
        <v>0</v>
      </c>
      <c r="I274" s="63">
        <v>0</v>
      </c>
      <c r="J274" s="63">
        <v>0</v>
      </c>
      <c r="K274" s="63">
        <v>0</v>
      </c>
      <c r="L274" s="64">
        <f t="shared" si="1768"/>
        <v>72</v>
      </c>
      <c r="M274" s="62"/>
      <c r="N274" s="63"/>
      <c r="O274" s="63"/>
      <c r="P274" s="63"/>
      <c r="Q274" s="63"/>
      <c r="R274" s="63"/>
      <c r="S274" s="63"/>
      <c r="T274" s="63"/>
      <c r="U274" s="63"/>
      <c r="V274" s="63"/>
      <c r="W274" s="64">
        <f t="shared" si="1769"/>
        <v>0</v>
      </c>
      <c r="X274" s="62"/>
      <c r="Y274" s="63"/>
      <c r="Z274" s="63"/>
      <c r="AA274" s="63"/>
      <c r="AB274" s="63"/>
      <c r="AC274" s="63"/>
      <c r="AD274" s="63"/>
      <c r="AE274" s="63"/>
      <c r="AF274" s="63"/>
      <c r="AG274" s="63"/>
      <c r="AH274" s="64">
        <f t="shared" si="1770"/>
        <v>0</v>
      </c>
      <c r="AI274" s="62"/>
      <c r="AJ274" s="63"/>
      <c r="AK274" s="63"/>
      <c r="AL274" s="63"/>
      <c r="AM274" s="63"/>
      <c r="AN274" s="63"/>
      <c r="AO274" s="63"/>
      <c r="AP274" s="63"/>
      <c r="AQ274" s="63"/>
      <c r="AR274" s="63"/>
      <c r="AS274" s="64">
        <f t="shared" si="1771"/>
        <v>0</v>
      </c>
      <c r="AT274" s="65">
        <f t="shared" si="1772"/>
        <v>0</v>
      </c>
      <c r="AU274" s="65">
        <f t="shared" si="1772"/>
        <v>0</v>
      </c>
      <c r="AV274" s="65">
        <f t="shared" si="1772"/>
        <v>0</v>
      </c>
      <c r="AW274" s="65">
        <f t="shared" si="1772"/>
        <v>0</v>
      </c>
      <c r="AX274" s="65">
        <f t="shared" si="1772"/>
        <v>0</v>
      </c>
      <c r="AY274" s="65">
        <f t="shared" si="1772"/>
        <v>0</v>
      </c>
      <c r="AZ274" s="65">
        <f t="shared" si="1772"/>
        <v>0</v>
      </c>
      <c r="BA274" s="65">
        <f t="shared" si="1772"/>
        <v>0</v>
      </c>
      <c r="BB274" s="65">
        <f t="shared" si="1772"/>
        <v>0</v>
      </c>
      <c r="BC274" s="65">
        <f t="shared" si="1772"/>
        <v>0</v>
      </c>
      <c r="BD274" s="64">
        <f t="shared" si="1773"/>
        <v>0</v>
      </c>
      <c r="BE274" s="62"/>
      <c r="BF274" s="63"/>
      <c r="BG274" s="63"/>
      <c r="BH274" s="63"/>
      <c r="BI274" s="63"/>
      <c r="BJ274" s="63"/>
      <c r="BK274" s="63"/>
      <c r="BL274" s="63"/>
      <c r="BM274" s="63"/>
      <c r="BN274" s="63"/>
      <c r="BO274" s="64">
        <f t="shared" si="1774"/>
        <v>0</v>
      </c>
      <c r="BP274" s="62"/>
      <c r="BQ274" s="63"/>
      <c r="BR274" s="63"/>
      <c r="BS274" s="63"/>
      <c r="BT274" s="63"/>
      <c r="BU274" s="63"/>
      <c r="BV274" s="63"/>
      <c r="BW274" s="63"/>
      <c r="BX274" s="63"/>
      <c r="BY274" s="63"/>
      <c r="BZ274" s="64">
        <f t="shared" si="1775"/>
        <v>0</v>
      </c>
      <c r="CA274" s="62"/>
      <c r="CB274" s="63"/>
      <c r="CC274" s="63"/>
      <c r="CD274" s="63"/>
      <c r="CE274" s="63"/>
      <c r="CF274" s="63"/>
      <c r="CG274" s="63"/>
      <c r="CH274" s="63"/>
      <c r="CI274" s="63"/>
      <c r="CJ274" s="63"/>
      <c r="CK274" s="64">
        <f t="shared" si="1776"/>
        <v>0</v>
      </c>
      <c r="CL274" s="65">
        <f t="shared" si="1777"/>
        <v>0</v>
      </c>
      <c r="CM274" s="65">
        <f t="shared" si="1777"/>
        <v>0</v>
      </c>
      <c r="CN274" s="65">
        <f t="shared" si="1777"/>
        <v>0</v>
      </c>
      <c r="CO274" s="65">
        <f t="shared" si="1777"/>
        <v>0</v>
      </c>
      <c r="CP274" s="65">
        <f t="shared" si="1777"/>
        <v>0</v>
      </c>
      <c r="CQ274" s="65">
        <f t="shared" si="1777"/>
        <v>0</v>
      </c>
      <c r="CR274" s="65">
        <f t="shared" si="1777"/>
        <v>0</v>
      </c>
      <c r="CS274" s="65">
        <f t="shared" si="1777"/>
        <v>0</v>
      </c>
      <c r="CT274" s="65">
        <f t="shared" si="1777"/>
        <v>0</v>
      </c>
      <c r="CU274" s="65">
        <f t="shared" si="1777"/>
        <v>0</v>
      </c>
      <c r="CV274" s="64">
        <f t="shared" si="1778"/>
        <v>0</v>
      </c>
      <c r="CW274" s="62"/>
      <c r="CX274" s="63"/>
      <c r="CY274" s="63"/>
      <c r="CZ274" s="63"/>
      <c r="DA274" s="63"/>
      <c r="DB274" s="63"/>
      <c r="DC274" s="63"/>
      <c r="DD274" s="63"/>
      <c r="DE274" s="63"/>
      <c r="DF274" s="63"/>
      <c r="DG274" s="64">
        <f t="shared" si="1779"/>
        <v>0</v>
      </c>
      <c r="DH274" s="62"/>
      <c r="DI274" s="63"/>
      <c r="DJ274" s="63"/>
      <c r="DK274" s="63"/>
      <c r="DL274" s="63"/>
      <c r="DM274" s="63"/>
      <c r="DN274" s="63"/>
      <c r="DO274" s="63"/>
      <c r="DP274" s="63"/>
      <c r="DQ274" s="63"/>
      <c r="DR274" s="64">
        <f t="shared" si="1780"/>
        <v>0</v>
      </c>
      <c r="DS274" s="62"/>
      <c r="DT274" s="63"/>
      <c r="DU274" s="63"/>
      <c r="DV274" s="63"/>
      <c r="DW274" s="63"/>
      <c r="DX274" s="63"/>
      <c r="DY274" s="63"/>
      <c r="DZ274" s="63"/>
      <c r="EA274" s="63"/>
      <c r="EB274" s="63"/>
      <c r="EC274" s="63"/>
      <c r="ED274" s="65">
        <f t="shared" si="1781"/>
        <v>0</v>
      </c>
      <c r="EE274" s="65">
        <f t="shared" si="1781"/>
        <v>0</v>
      </c>
      <c r="EF274" s="65">
        <f t="shared" si="1781"/>
        <v>0</v>
      </c>
      <c r="EG274" s="65">
        <f t="shared" si="1781"/>
        <v>0</v>
      </c>
      <c r="EH274" s="65">
        <f t="shared" si="1781"/>
        <v>0</v>
      </c>
      <c r="EI274" s="65">
        <f t="shared" si="1781"/>
        <v>0</v>
      </c>
      <c r="EJ274" s="65">
        <f t="shared" si="1781"/>
        <v>0</v>
      </c>
      <c r="EK274" s="65">
        <f t="shared" si="1781"/>
        <v>0</v>
      </c>
      <c r="EL274" s="65">
        <f t="shared" si="1781"/>
        <v>0</v>
      </c>
      <c r="EM274" s="65">
        <f t="shared" si="1781"/>
        <v>0</v>
      </c>
      <c r="EN274" s="64">
        <f t="shared" si="1782"/>
        <v>0</v>
      </c>
      <c r="EO274" s="62"/>
      <c r="EP274" s="63"/>
      <c r="EQ274" s="63"/>
      <c r="ER274" s="63"/>
      <c r="ES274" s="63"/>
      <c r="ET274" s="63"/>
      <c r="EU274" s="63"/>
      <c r="EV274" s="63"/>
      <c r="EW274" s="63"/>
      <c r="EX274" s="63"/>
      <c r="EY274" s="64">
        <f t="shared" si="1783"/>
        <v>0</v>
      </c>
      <c r="EZ274" s="62"/>
      <c r="FA274" s="63"/>
      <c r="FB274" s="63"/>
      <c r="FC274" s="63"/>
      <c r="FD274" s="63"/>
      <c r="FE274" s="63"/>
      <c r="FF274" s="63"/>
      <c r="FG274" s="63"/>
      <c r="FH274" s="63"/>
      <c r="FI274" s="63"/>
      <c r="FJ274" s="64">
        <f t="shared" si="1784"/>
        <v>0</v>
      </c>
      <c r="FK274" s="62"/>
      <c r="FL274" s="63"/>
      <c r="FM274" s="63"/>
      <c r="FN274" s="63"/>
      <c r="FO274" s="63"/>
      <c r="FP274" s="63"/>
      <c r="FQ274" s="63"/>
      <c r="FR274" s="63"/>
      <c r="FS274" s="63"/>
      <c r="FT274" s="63"/>
      <c r="FU274" s="64">
        <f t="shared" si="1785"/>
        <v>0</v>
      </c>
      <c r="FV274" s="65">
        <f t="shared" si="1786"/>
        <v>0</v>
      </c>
      <c r="FW274" s="65">
        <f t="shared" si="1786"/>
        <v>0</v>
      </c>
      <c r="FX274" s="65">
        <f t="shared" si="1786"/>
        <v>0</v>
      </c>
      <c r="FY274" s="65">
        <f t="shared" si="1786"/>
        <v>0</v>
      </c>
      <c r="FZ274" s="65">
        <f t="shared" si="1786"/>
        <v>0</v>
      </c>
      <c r="GA274" s="65">
        <f t="shared" si="1786"/>
        <v>0</v>
      </c>
      <c r="GB274" s="65">
        <f t="shared" si="1786"/>
        <v>0</v>
      </c>
      <c r="GC274" s="65">
        <f t="shared" si="1786"/>
        <v>0</v>
      </c>
      <c r="GD274" s="65">
        <f t="shared" si="1786"/>
        <v>0</v>
      </c>
      <c r="GE274" s="65">
        <f t="shared" si="1786"/>
        <v>0</v>
      </c>
      <c r="GF274" s="64">
        <f t="shared" si="1787"/>
        <v>0</v>
      </c>
      <c r="GG274" s="66">
        <f t="shared" si="1788"/>
        <v>0</v>
      </c>
      <c r="GH274" s="66">
        <f t="shared" si="1788"/>
        <v>0</v>
      </c>
      <c r="GI274" s="66">
        <f t="shared" si="1788"/>
        <v>0</v>
      </c>
      <c r="GJ274" s="66">
        <f t="shared" si="1788"/>
        <v>0</v>
      </c>
      <c r="GK274" s="66">
        <f t="shared" si="1788"/>
        <v>0</v>
      </c>
      <c r="GL274" s="66">
        <f t="shared" si="1788"/>
        <v>0</v>
      </c>
      <c r="GM274" s="66">
        <f t="shared" si="1788"/>
        <v>0</v>
      </c>
      <c r="GN274" s="66">
        <f t="shared" si="1788"/>
        <v>0</v>
      </c>
      <c r="GO274" s="66">
        <f t="shared" si="1788"/>
        <v>0</v>
      </c>
      <c r="GP274" s="66">
        <f t="shared" si="1788"/>
        <v>0</v>
      </c>
      <c r="GQ274" s="64">
        <f t="shared" si="1789"/>
        <v>0</v>
      </c>
      <c r="GR274" s="63"/>
      <c r="GS274" s="63"/>
      <c r="GT274" s="63"/>
      <c r="GU274" s="63"/>
      <c r="GV274" s="67">
        <f t="shared" si="1790"/>
        <v>0</v>
      </c>
      <c r="GW274" s="63"/>
      <c r="GX274" s="63"/>
      <c r="GY274" s="63"/>
      <c r="GZ274" s="63"/>
      <c r="HA274" s="67">
        <f t="shared" si="1791"/>
        <v>0</v>
      </c>
      <c r="HB274" s="63"/>
      <c r="HC274" s="63"/>
      <c r="HD274" s="63"/>
      <c r="HE274" s="63"/>
      <c r="HF274" s="67">
        <f t="shared" si="1792"/>
        <v>0</v>
      </c>
      <c r="HG274" s="63"/>
      <c r="HH274" s="63"/>
      <c r="HI274" s="63"/>
      <c r="HJ274" s="63"/>
      <c r="HK274" s="67">
        <f t="shared" si="1793"/>
        <v>0</v>
      </c>
      <c r="HL274" s="68">
        <f t="shared" si="1794"/>
        <v>0</v>
      </c>
      <c r="HM274" s="68">
        <f t="shared" si="1794"/>
        <v>0</v>
      </c>
      <c r="HN274" s="68">
        <f t="shared" si="1794"/>
        <v>0</v>
      </c>
      <c r="HO274" s="68">
        <f t="shared" si="1794"/>
        <v>0</v>
      </c>
      <c r="HP274" s="67">
        <f t="shared" si="1795"/>
        <v>0</v>
      </c>
      <c r="HQ274" s="63"/>
      <c r="HR274" s="63"/>
      <c r="HS274" s="63"/>
      <c r="HT274" s="63"/>
      <c r="HU274" s="67">
        <f t="shared" si="1796"/>
        <v>0</v>
      </c>
      <c r="HV274" s="63"/>
      <c r="HW274" s="63"/>
      <c r="HX274" s="63"/>
      <c r="HY274" s="63"/>
      <c r="HZ274" s="67">
        <f t="shared" si="1797"/>
        <v>0</v>
      </c>
      <c r="IA274" s="63"/>
      <c r="IB274" s="63"/>
      <c r="IC274" s="63"/>
      <c r="ID274" s="63"/>
      <c r="IE274" s="67">
        <f t="shared" si="1798"/>
        <v>0</v>
      </c>
      <c r="IF274" s="68">
        <f t="shared" si="1799"/>
        <v>0</v>
      </c>
      <c r="IG274" s="68">
        <f t="shared" si="1799"/>
        <v>0</v>
      </c>
      <c r="IH274" s="68">
        <f t="shared" si="1799"/>
        <v>0</v>
      </c>
      <c r="II274" s="68">
        <f t="shared" si="1799"/>
        <v>0</v>
      </c>
      <c r="IJ274" s="67">
        <f t="shared" si="1800"/>
        <v>0</v>
      </c>
      <c r="IK274" s="63"/>
      <c r="IL274" s="63"/>
      <c r="IM274" s="63"/>
      <c r="IN274" s="63"/>
      <c r="IO274" s="67">
        <f t="shared" si="1801"/>
        <v>0</v>
      </c>
      <c r="IP274" s="63"/>
      <c r="IQ274" s="63"/>
      <c r="IR274" s="63"/>
      <c r="IS274" s="63"/>
      <c r="IT274" s="67">
        <f t="shared" si="1802"/>
        <v>0</v>
      </c>
      <c r="IU274" s="63"/>
      <c r="IV274" s="63"/>
    </row>
    <row r="275" spans="1:256" x14ac:dyDescent="0.25">
      <c r="A275" s="117" t="s">
        <v>214</v>
      </c>
      <c r="B275" s="62">
        <v>72</v>
      </c>
      <c r="C275" s="63">
        <v>0</v>
      </c>
      <c r="D275" s="63">
        <v>0</v>
      </c>
      <c r="E275" s="63">
        <v>0</v>
      </c>
      <c r="F275" s="63">
        <v>0</v>
      </c>
      <c r="G275" s="63">
        <v>0</v>
      </c>
      <c r="H275" s="63">
        <v>0</v>
      </c>
      <c r="I275" s="63">
        <v>0</v>
      </c>
      <c r="J275" s="63">
        <v>72</v>
      </c>
      <c r="K275" s="63">
        <v>0</v>
      </c>
      <c r="L275" s="64">
        <f t="shared" si="1768"/>
        <v>72</v>
      </c>
      <c r="M275" s="62"/>
      <c r="N275" s="63"/>
      <c r="O275" s="63"/>
      <c r="P275" s="63"/>
      <c r="Q275" s="63"/>
      <c r="R275" s="63"/>
      <c r="S275" s="63"/>
      <c r="T275" s="63"/>
      <c r="U275" s="63"/>
      <c r="V275" s="63"/>
      <c r="W275" s="64">
        <f t="shared" si="1769"/>
        <v>0</v>
      </c>
      <c r="X275" s="62"/>
      <c r="Y275" s="63"/>
      <c r="Z275" s="63"/>
      <c r="AA275" s="63"/>
      <c r="AB275" s="63"/>
      <c r="AC275" s="63"/>
      <c r="AD275" s="63"/>
      <c r="AE275" s="63"/>
      <c r="AF275" s="63"/>
      <c r="AG275" s="63"/>
      <c r="AH275" s="64">
        <f t="shared" si="1770"/>
        <v>0</v>
      </c>
      <c r="AI275" s="62"/>
      <c r="AJ275" s="63"/>
      <c r="AK275" s="63"/>
      <c r="AL275" s="63"/>
      <c r="AM275" s="63"/>
      <c r="AN275" s="63"/>
      <c r="AO275" s="63"/>
      <c r="AP275" s="63"/>
      <c r="AQ275" s="63"/>
      <c r="AR275" s="63"/>
      <c r="AS275" s="64">
        <f t="shared" si="1771"/>
        <v>0</v>
      </c>
      <c r="AT275" s="65">
        <f t="shared" si="1772"/>
        <v>0</v>
      </c>
      <c r="AU275" s="65">
        <f t="shared" si="1772"/>
        <v>0</v>
      </c>
      <c r="AV275" s="65">
        <f t="shared" si="1772"/>
        <v>0</v>
      </c>
      <c r="AW275" s="65">
        <f t="shared" si="1772"/>
        <v>0</v>
      </c>
      <c r="AX275" s="65">
        <f t="shared" si="1772"/>
        <v>0</v>
      </c>
      <c r="AY275" s="65">
        <f t="shared" si="1772"/>
        <v>0</v>
      </c>
      <c r="AZ275" s="65">
        <f t="shared" si="1772"/>
        <v>0</v>
      </c>
      <c r="BA275" s="65">
        <f t="shared" si="1772"/>
        <v>0</v>
      </c>
      <c r="BB275" s="65">
        <f t="shared" si="1772"/>
        <v>0</v>
      </c>
      <c r="BC275" s="65">
        <f t="shared" si="1772"/>
        <v>0</v>
      </c>
      <c r="BD275" s="64">
        <f t="shared" si="1773"/>
        <v>0</v>
      </c>
      <c r="BE275" s="62"/>
      <c r="BF275" s="63"/>
      <c r="BG275" s="63"/>
      <c r="BH275" s="63"/>
      <c r="BI275" s="63"/>
      <c r="BJ275" s="63"/>
      <c r="BK275" s="63"/>
      <c r="BL275" s="63"/>
      <c r="BM275" s="63"/>
      <c r="BN275" s="63"/>
      <c r="BO275" s="64">
        <f t="shared" si="1774"/>
        <v>0</v>
      </c>
      <c r="BP275" s="62"/>
      <c r="BQ275" s="63"/>
      <c r="BR275" s="63"/>
      <c r="BS275" s="63"/>
      <c r="BT275" s="63"/>
      <c r="BU275" s="63"/>
      <c r="BV275" s="63"/>
      <c r="BW275" s="63"/>
      <c r="BX275" s="63"/>
      <c r="BY275" s="63"/>
      <c r="BZ275" s="64">
        <f t="shared" si="1775"/>
        <v>0</v>
      </c>
      <c r="CA275" s="62"/>
      <c r="CB275" s="63"/>
      <c r="CC275" s="63"/>
      <c r="CD275" s="63"/>
      <c r="CE275" s="63"/>
      <c r="CF275" s="63"/>
      <c r="CG275" s="63"/>
      <c r="CH275" s="63"/>
      <c r="CI275" s="63"/>
      <c r="CJ275" s="63"/>
      <c r="CK275" s="64">
        <f t="shared" si="1776"/>
        <v>0</v>
      </c>
      <c r="CL275" s="65">
        <f t="shared" si="1777"/>
        <v>0</v>
      </c>
      <c r="CM275" s="65">
        <f t="shared" si="1777"/>
        <v>0</v>
      </c>
      <c r="CN275" s="65">
        <f t="shared" si="1777"/>
        <v>0</v>
      </c>
      <c r="CO275" s="65">
        <f t="shared" si="1777"/>
        <v>0</v>
      </c>
      <c r="CP275" s="65">
        <f t="shared" si="1777"/>
        <v>0</v>
      </c>
      <c r="CQ275" s="65">
        <f t="shared" si="1777"/>
        <v>0</v>
      </c>
      <c r="CR275" s="65">
        <f t="shared" si="1777"/>
        <v>0</v>
      </c>
      <c r="CS275" s="65">
        <f t="shared" si="1777"/>
        <v>0</v>
      </c>
      <c r="CT275" s="65">
        <f t="shared" si="1777"/>
        <v>0</v>
      </c>
      <c r="CU275" s="65">
        <f t="shared" si="1777"/>
        <v>0</v>
      </c>
      <c r="CV275" s="64">
        <f t="shared" si="1778"/>
        <v>0</v>
      </c>
      <c r="CW275" s="62"/>
      <c r="CX275" s="63"/>
      <c r="CY275" s="63"/>
      <c r="CZ275" s="63"/>
      <c r="DA275" s="63"/>
      <c r="DB275" s="63"/>
      <c r="DC275" s="63"/>
      <c r="DD275" s="63"/>
      <c r="DE275" s="63"/>
      <c r="DF275" s="63"/>
      <c r="DG275" s="64">
        <f t="shared" si="1779"/>
        <v>0</v>
      </c>
      <c r="DH275" s="62"/>
      <c r="DI275" s="63"/>
      <c r="DJ275" s="63"/>
      <c r="DK275" s="63"/>
      <c r="DL275" s="63"/>
      <c r="DM275" s="63"/>
      <c r="DN275" s="63"/>
      <c r="DO275" s="63"/>
      <c r="DP275" s="63"/>
      <c r="DQ275" s="63"/>
      <c r="DR275" s="64">
        <f t="shared" si="1780"/>
        <v>0</v>
      </c>
      <c r="DS275" s="62"/>
      <c r="DT275" s="63"/>
      <c r="DU275" s="63"/>
      <c r="DV275" s="63"/>
      <c r="DW275" s="63"/>
      <c r="DX275" s="63"/>
      <c r="DY275" s="63"/>
      <c r="DZ275" s="63"/>
      <c r="EA275" s="63"/>
      <c r="EB275" s="63"/>
      <c r="EC275" s="63"/>
      <c r="ED275" s="65">
        <f t="shared" si="1781"/>
        <v>0</v>
      </c>
      <c r="EE275" s="65">
        <f t="shared" si="1781"/>
        <v>0</v>
      </c>
      <c r="EF275" s="65">
        <f t="shared" si="1781"/>
        <v>0</v>
      </c>
      <c r="EG275" s="65">
        <f t="shared" si="1781"/>
        <v>0</v>
      </c>
      <c r="EH275" s="65">
        <f t="shared" si="1781"/>
        <v>0</v>
      </c>
      <c r="EI275" s="65">
        <f t="shared" si="1781"/>
        <v>0</v>
      </c>
      <c r="EJ275" s="65">
        <f t="shared" si="1781"/>
        <v>0</v>
      </c>
      <c r="EK275" s="65">
        <f t="shared" si="1781"/>
        <v>0</v>
      </c>
      <c r="EL275" s="65">
        <f t="shared" si="1781"/>
        <v>0</v>
      </c>
      <c r="EM275" s="65">
        <f t="shared" si="1781"/>
        <v>0</v>
      </c>
      <c r="EN275" s="64">
        <f t="shared" si="1782"/>
        <v>0</v>
      </c>
      <c r="EO275" s="62"/>
      <c r="EP275" s="63"/>
      <c r="EQ275" s="63"/>
      <c r="ER275" s="63"/>
      <c r="ES275" s="63"/>
      <c r="ET275" s="63"/>
      <c r="EU275" s="63"/>
      <c r="EV275" s="63"/>
      <c r="EW275" s="63"/>
      <c r="EX275" s="63"/>
      <c r="EY275" s="64">
        <f t="shared" si="1783"/>
        <v>0</v>
      </c>
      <c r="EZ275" s="62"/>
      <c r="FA275" s="63"/>
      <c r="FB275" s="63"/>
      <c r="FC275" s="63"/>
      <c r="FD275" s="63"/>
      <c r="FE275" s="63"/>
      <c r="FF275" s="63"/>
      <c r="FG275" s="63"/>
      <c r="FH275" s="63"/>
      <c r="FI275" s="63"/>
      <c r="FJ275" s="64">
        <f t="shared" si="1784"/>
        <v>0</v>
      </c>
      <c r="FK275" s="62"/>
      <c r="FL275" s="63"/>
      <c r="FM275" s="63"/>
      <c r="FN275" s="63"/>
      <c r="FO275" s="63"/>
      <c r="FP275" s="63"/>
      <c r="FQ275" s="63"/>
      <c r="FR275" s="63"/>
      <c r="FS275" s="63"/>
      <c r="FT275" s="63"/>
      <c r="FU275" s="64">
        <f t="shared" si="1785"/>
        <v>0</v>
      </c>
      <c r="FV275" s="65">
        <f t="shared" si="1786"/>
        <v>0</v>
      </c>
      <c r="FW275" s="65">
        <f t="shared" si="1786"/>
        <v>0</v>
      </c>
      <c r="FX275" s="65">
        <f t="shared" si="1786"/>
        <v>0</v>
      </c>
      <c r="FY275" s="65">
        <f t="shared" si="1786"/>
        <v>0</v>
      </c>
      <c r="FZ275" s="65">
        <f t="shared" si="1786"/>
        <v>0</v>
      </c>
      <c r="GA275" s="65">
        <f t="shared" si="1786"/>
        <v>0</v>
      </c>
      <c r="GB275" s="65">
        <f t="shared" si="1786"/>
        <v>0</v>
      </c>
      <c r="GC275" s="65">
        <f t="shared" si="1786"/>
        <v>0</v>
      </c>
      <c r="GD275" s="65">
        <f t="shared" si="1786"/>
        <v>0</v>
      </c>
      <c r="GE275" s="65">
        <f t="shared" si="1786"/>
        <v>0</v>
      </c>
      <c r="GF275" s="64">
        <f t="shared" si="1787"/>
        <v>0</v>
      </c>
      <c r="GG275" s="66">
        <f t="shared" si="1788"/>
        <v>0</v>
      </c>
      <c r="GH275" s="66">
        <f t="shared" si="1788"/>
        <v>0</v>
      </c>
      <c r="GI275" s="66">
        <f t="shared" si="1788"/>
        <v>0</v>
      </c>
      <c r="GJ275" s="66">
        <f t="shared" si="1788"/>
        <v>0</v>
      </c>
      <c r="GK275" s="66">
        <f t="shared" si="1788"/>
        <v>0</v>
      </c>
      <c r="GL275" s="66">
        <f t="shared" si="1788"/>
        <v>0</v>
      </c>
      <c r="GM275" s="66">
        <f t="shared" si="1788"/>
        <v>0</v>
      </c>
      <c r="GN275" s="66">
        <f t="shared" si="1788"/>
        <v>0</v>
      </c>
      <c r="GO275" s="66">
        <f t="shared" si="1788"/>
        <v>0</v>
      </c>
      <c r="GP275" s="66">
        <f t="shared" si="1788"/>
        <v>0</v>
      </c>
      <c r="GQ275" s="64">
        <f t="shared" si="1789"/>
        <v>0</v>
      </c>
      <c r="GR275" s="63"/>
      <c r="GS275" s="63"/>
      <c r="GT275" s="63"/>
      <c r="GU275" s="63"/>
      <c r="GV275" s="67">
        <f t="shared" si="1790"/>
        <v>0</v>
      </c>
      <c r="GW275" s="63"/>
      <c r="GX275" s="63"/>
      <c r="GY275" s="63"/>
      <c r="GZ275" s="63"/>
      <c r="HA275" s="67">
        <f t="shared" si="1791"/>
        <v>0</v>
      </c>
      <c r="HB275" s="63"/>
      <c r="HC275" s="63"/>
      <c r="HD275" s="63"/>
      <c r="HE275" s="63"/>
      <c r="HF275" s="67">
        <f t="shared" si="1792"/>
        <v>0</v>
      </c>
      <c r="HG275" s="63"/>
      <c r="HH275" s="63"/>
      <c r="HI275" s="63"/>
      <c r="HJ275" s="63"/>
      <c r="HK275" s="67">
        <f t="shared" si="1793"/>
        <v>0</v>
      </c>
      <c r="HL275" s="68">
        <f t="shared" si="1794"/>
        <v>0</v>
      </c>
      <c r="HM275" s="68">
        <f t="shared" si="1794"/>
        <v>0</v>
      </c>
      <c r="HN275" s="68">
        <f t="shared" si="1794"/>
        <v>0</v>
      </c>
      <c r="HO275" s="68">
        <f t="shared" si="1794"/>
        <v>0</v>
      </c>
      <c r="HP275" s="67">
        <f t="shared" si="1795"/>
        <v>0</v>
      </c>
      <c r="HQ275" s="63"/>
      <c r="HR275" s="63"/>
      <c r="HS275" s="63"/>
      <c r="HT275" s="63"/>
      <c r="HU275" s="67">
        <f t="shared" si="1796"/>
        <v>0</v>
      </c>
      <c r="HV275" s="63"/>
      <c r="HW275" s="63"/>
      <c r="HX275" s="63"/>
      <c r="HY275" s="63"/>
      <c r="HZ275" s="67">
        <f t="shared" si="1797"/>
        <v>0</v>
      </c>
      <c r="IA275" s="63"/>
      <c r="IB275" s="63"/>
      <c r="IC275" s="63"/>
      <c r="ID275" s="63"/>
      <c r="IE275" s="67">
        <f t="shared" si="1798"/>
        <v>0</v>
      </c>
      <c r="IF275" s="68">
        <f t="shared" si="1799"/>
        <v>0</v>
      </c>
      <c r="IG275" s="68">
        <f t="shared" si="1799"/>
        <v>0</v>
      </c>
      <c r="IH275" s="68">
        <f t="shared" si="1799"/>
        <v>0</v>
      </c>
      <c r="II275" s="68">
        <f t="shared" si="1799"/>
        <v>0</v>
      </c>
      <c r="IJ275" s="67">
        <f t="shared" si="1800"/>
        <v>0</v>
      </c>
      <c r="IK275" s="63"/>
      <c r="IL275" s="63"/>
      <c r="IM275" s="63"/>
      <c r="IN275" s="63"/>
      <c r="IO275" s="67">
        <f t="shared" si="1801"/>
        <v>0</v>
      </c>
      <c r="IP275" s="63"/>
      <c r="IQ275" s="63"/>
      <c r="IR275" s="63"/>
      <c r="IS275" s="63"/>
      <c r="IT275" s="67">
        <f t="shared" si="1802"/>
        <v>0</v>
      </c>
      <c r="IU275" s="63"/>
      <c r="IV275" s="63"/>
    </row>
    <row r="276" spans="1:256" x14ac:dyDescent="0.25">
      <c r="A276" s="117" t="s">
        <v>215</v>
      </c>
      <c r="B276" s="62">
        <v>72</v>
      </c>
      <c r="C276" s="63">
        <v>0</v>
      </c>
      <c r="D276" s="63">
        <v>0</v>
      </c>
      <c r="E276" s="63">
        <v>0</v>
      </c>
      <c r="F276" s="63">
        <v>0</v>
      </c>
      <c r="G276" s="63">
        <v>0</v>
      </c>
      <c r="H276" s="63">
        <v>0</v>
      </c>
      <c r="I276" s="63">
        <v>0</v>
      </c>
      <c r="J276" s="63">
        <v>72</v>
      </c>
      <c r="K276" s="63">
        <v>0</v>
      </c>
      <c r="L276" s="64">
        <f t="shared" si="1768"/>
        <v>72</v>
      </c>
      <c r="M276" s="62"/>
      <c r="N276" s="63"/>
      <c r="O276" s="63"/>
      <c r="P276" s="63"/>
      <c r="Q276" s="63"/>
      <c r="R276" s="63"/>
      <c r="S276" s="63"/>
      <c r="T276" s="63"/>
      <c r="U276" s="63"/>
      <c r="V276" s="63"/>
      <c r="W276" s="64">
        <f t="shared" si="1769"/>
        <v>0</v>
      </c>
      <c r="X276" s="62"/>
      <c r="Y276" s="63"/>
      <c r="Z276" s="63"/>
      <c r="AA276" s="63"/>
      <c r="AB276" s="63"/>
      <c r="AC276" s="63"/>
      <c r="AD276" s="63"/>
      <c r="AE276" s="63"/>
      <c r="AF276" s="63"/>
      <c r="AG276" s="63"/>
      <c r="AH276" s="64">
        <f t="shared" si="1770"/>
        <v>0</v>
      </c>
      <c r="AI276" s="62"/>
      <c r="AJ276" s="63"/>
      <c r="AK276" s="63"/>
      <c r="AL276" s="63"/>
      <c r="AM276" s="63"/>
      <c r="AN276" s="63"/>
      <c r="AO276" s="63"/>
      <c r="AP276" s="63"/>
      <c r="AQ276" s="63"/>
      <c r="AR276" s="63"/>
      <c r="AS276" s="64">
        <f t="shared" si="1771"/>
        <v>0</v>
      </c>
      <c r="AT276" s="65">
        <f t="shared" si="1772"/>
        <v>0</v>
      </c>
      <c r="AU276" s="65">
        <f t="shared" si="1772"/>
        <v>0</v>
      </c>
      <c r="AV276" s="65">
        <f t="shared" si="1772"/>
        <v>0</v>
      </c>
      <c r="AW276" s="65">
        <f t="shared" si="1772"/>
        <v>0</v>
      </c>
      <c r="AX276" s="65">
        <f t="shared" si="1772"/>
        <v>0</v>
      </c>
      <c r="AY276" s="65">
        <f t="shared" si="1772"/>
        <v>0</v>
      </c>
      <c r="AZ276" s="65">
        <f t="shared" si="1772"/>
        <v>0</v>
      </c>
      <c r="BA276" s="65">
        <f t="shared" si="1772"/>
        <v>0</v>
      </c>
      <c r="BB276" s="65">
        <f t="shared" si="1772"/>
        <v>0</v>
      </c>
      <c r="BC276" s="65">
        <f t="shared" si="1772"/>
        <v>0</v>
      </c>
      <c r="BD276" s="64">
        <f t="shared" si="1773"/>
        <v>0</v>
      </c>
      <c r="BE276" s="62"/>
      <c r="BF276" s="63"/>
      <c r="BG276" s="63"/>
      <c r="BH276" s="63"/>
      <c r="BI276" s="63"/>
      <c r="BJ276" s="63"/>
      <c r="BK276" s="63"/>
      <c r="BL276" s="63"/>
      <c r="BM276" s="63"/>
      <c r="BN276" s="63"/>
      <c r="BO276" s="64">
        <f t="shared" si="1774"/>
        <v>0</v>
      </c>
      <c r="BP276" s="62"/>
      <c r="BQ276" s="63"/>
      <c r="BR276" s="63"/>
      <c r="BS276" s="63"/>
      <c r="BT276" s="63"/>
      <c r="BU276" s="63"/>
      <c r="BV276" s="63"/>
      <c r="BW276" s="63"/>
      <c r="BX276" s="63"/>
      <c r="BY276" s="63"/>
      <c r="BZ276" s="64">
        <f t="shared" si="1775"/>
        <v>0</v>
      </c>
      <c r="CA276" s="62"/>
      <c r="CB276" s="63"/>
      <c r="CC276" s="63"/>
      <c r="CD276" s="63"/>
      <c r="CE276" s="63"/>
      <c r="CF276" s="63"/>
      <c r="CG276" s="63"/>
      <c r="CH276" s="63"/>
      <c r="CI276" s="63"/>
      <c r="CJ276" s="63"/>
      <c r="CK276" s="64">
        <f t="shared" si="1776"/>
        <v>0</v>
      </c>
      <c r="CL276" s="65">
        <f t="shared" si="1777"/>
        <v>0</v>
      </c>
      <c r="CM276" s="65">
        <f t="shared" si="1777"/>
        <v>0</v>
      </c>
      <c r="CN276" s="65">
        <f t="shared" si="1777"/>
        <v>0</v>
      </c>
      <c r="CO276" s="65">
        <f t="shared" si="1777"/>
        <v>0</v>
      </c>
      <c r="CP276" s="65">
        <f t="shared" si="1777"/>
        <v>0</v>
      </c>
      <c r="CQ276" s="65">
        <f t="shared" si="1777"/>
        <v>0</v>
      </c>
      <c r="CR276" s="65">
        <f t="shared" si="1777"/>
        <v>0</v>
      </c>
      <c r="CS276" s="65">
        <f t="shared" si="1777"/>
        <v>0</v>
      </c>
      <c r="CT276" s="65">
        <f t="shared" si="1777"/>
        <v>0</v>
      </c>
      <c r="CU276" s="65">
        <f t="shared" si="1777"/>
        <v>0</v>
      </c>
      <c r="CV276" s="64">
        <f t="shared" si="1778"/>
        <v>0</v>
      </c>
      <c r="CW276" s="62"/>
      <c r="CX276" s="63"/>
      <c r="CY276" s="63"/>
      <c r="CZ276" s="63"/>
      <c r="DA276" s="63"/>
      <c r="DB276" s="63"/>
      <c r="DC276" s="63"/>
      <c r="DD276" s="63"/>
      <c r="DE276" s="63"/>
      <c r="DF276" s="63"/>
      <c r="DG276" s="64">
        <f t="shared" si="1779"/>
        <v>0</v>
      </c>
      <c r="DH276" s="62"/>
      <c r="DI276" s="63"/>
      <c r="DJ276" s="63"/>
      <c r="DK276" s="63"/>
      <c r="DL276" s="63"/>
      <c r="DM276" s="63"/>
      <c r="DN276" s="63"/>
      <c r="DO276" s="63"/>
      <c r="DP276" s="63"/>
      <c r="DQ276" s="63"/>
      <c r="DR276" s="64">
        <f t="shared" si="1780"/>
        <v>0</v>
      </c>
      <c r="DS276" s="62"/>
      <c r="DT276" s="63"/>
      <c r="DU276" s="63"/>
      <c r="DV276" s="63"/>
      <c r="DW276" s="63"/>
      <c r="DX276" s="63"/>
      <c r="DY276" s="63"/>
      <c r="DZ276" s="63"/>
      <c r="EA276" s="63"/>
      <c r="EB276" s="63"/>
      <c r="EC276" s="63"/>
      <c r="ED276" s="65">
        <f t="shared" si="1781"/>
        <v>0</v>
      </c>
      <c r="EE276" s="65">
        <f t="shared" si="1781"/>
        <v>0</v>
      </c>
      <c r="EF276" s="65">
        <f t="shared" si="1781"/>
        <v>0</v>
      </c>
      <c r="EG276" s="65">
        <f t="shared" si="1781"/>
        <v>0</v>
      </c>
      <c r="EH276" s="65">
        <f t="shared" si="1781"/>
        <v>0</v>
      </c>
      <c r="EI276" s="65">
        <f t="shared" si="1781"/>
        <v>0</v>
      </c>
      <c r="EJ276" s="65">
        <f t="shared" si="1781"/>
        <v>0</v>
      </c>
      <c r="EK276" s="65">
        <f t="shared" si="1781"/>
        <v>0</v>
      </c>
      <c r="EL276" s="65">
        <f t="shared" si="1781"/>
        <v>0</v>
      </c>
      <c r="EM276" s="65">
        <f t="shared" si="1781"/>
        <v>0</v>
      </c>
      <c r="EN276" s="64">
        <f t="shared" si="1782"/>
        <v>0</v>
      </c>
      <c r="EO276" s="62"/>
      <c r="EP276" s="63"/>
      <c r="EQ276" s="63"/>
      <c r="ER276" s="63"/>
      <c r="ES276" s="63"/>
      <c r="ET276" s="63"/>
      <c r="EU276" s="63"/>
      <c r="EV276" s="63"/>
      <c r="EW276" s="63"/>
      <c r="EX276" s="63"/>
      <c r="EY276" s="64">
        <f t="shared" si="1783"/>
        <v>0</v>
      </c>
      <c r="EZ276" s="62"/>
      <c r="FA276" s="63"/>
      <c r="FB276" s="63"/>
      <c r="FC276" s="63"/>
      <c r="FD276" s="63"/>
      <c r="FE276" s="63"/>
      <c r="FF276" s="63"/>
      <c r="FG276" s="63"/>
      <c r="FH276" s="63"/>
      <c r="FI276" s="63"/>
      <c r="FJ276" s="64">
        <f t="shared" si="1784"/>
        <v>0</v>
      </c>
      <c r="FK276" s="62"/>
      <c r="FL276" s="63"/>
      <c r="FM276" s="63"/>
      <c r="FN276" s="63"/>
      <c r="FO276" s="63"/>
      <c r="FP276" s="63"/>
      <c r="FQ276" s="63"/>
      <c r="FR276" s="63"/>
      <c r="FS276" s="63"/>
      <c r="FT276" s="63"/>
      <c r="FU276" s="64">
        <f t="shared" si="1785"/>
        <v>0</v>
      </c>
      <c r="FV276" s="65">
        <f t="shared" si="1786"/>
        <v>0</v>
      </c>
      <c r="FW276" s="65">
        <f t="shared" si="1786"/>
        <v>0</v>
      </c>
      <c r="FX276" s="65">
        <f t="shared" si="1786"/>
        <v>0</v>
      </c>
      <c r="FY276" s="65">
        <f t="shared" si="1786"/>
        <v>0</v>
      </c>
      <c r="FZ276" s="65">
        <f t="shared" si="1786"/>
        <v>0</v>
      </c>
      <c r="GA276" s="65">
        <f t="shared" si="1786"/>
        <v>0</v>
      </c>
      <c r="GB276" s="65">
        <f t="shared" si="1786"/>
        <v>0</v>
      </c>
      <c r="GC276" s="65">
        <f t="shared" si="1786"/>
        <v>0</v>
      </c>
      <c r="GD276" s="65">
        <f t="shared" si="1786"/>
        <v>0</v>
      </c>
      <c r="GE276" s="65">
        <f t="shared" si="1786"/>
        <v>0</v>
      </c>
      <c r="GF276" s="64">
        <f t="shared" si="1787"/>
        <v>0</v>
      </c>
      <c r="GG276" s="66">
        <f t="shared" si="1788"/>
        <v>0</v>
      </c>
      <c r="GH276" s="66">
        <f t="shared" si="1788"/>
        <v>0</v>
      </c>
      <c r="GI276" s="66">
        <f t="shared" si="1788"/>
        <v>0</v>
      </c>
      <c r="GJ276" s="66">
        <f t="shared" si="1788"/>
        <v>0</v>
      </c>
      <c r="GK276" s="66">
        <f t="shared" si="1788"/>
        <v>0</v>
      </c>
      <c r="GL276" s="66">
        <f t="shared" si="1788"/>
        <v>0</v>
      </c>
      <c r="GM276" s="66">
        <f t="shared" si="1788"/>
        <v>0</v>
      </c>
      <c r="GN276" s="66">
        <f t="shared" si="1788"/>
        <v>0</v>
      </c>
      <c r="GO276" s="66">
        <f t="shared" si="1788"/>
        <v>0</v>
      </c>
      <c r="GP276" s="66">
        <f t="shared" si="1788"/>
        <v>0</v>
      </c>
      <c r="GQ276" s="64">
        <f t="shared" si="1789"/>
        <v>0</v>
      </c>
      <c r="GR276" s="63"/>
      <c r="GS276" s="63"/>
      <c r="GT276" s="63"/>
      <c r="GU276" s="63"/>
      <c r="GV276" s="67">
        <f t="shared" si="1790"/>
        <v>0</v>
      </c>
      <c r="GW276" s="63"/>
      <c r="GX276" s="63"/>
      <c r="GY276" s="63"/>
      <c r="GZ276" s="63"/>
      <c r="HA276" s="67">
        <f t="shared" si="1791"/>
        <v>0</v>
      </c>
      <c r="HB276" s="63"/>
      <c r="HC276" s="63"/>
      <c r="HD276" s="63"/>
      <c r="HE276" s="63"/>
      <c r="HF276" s="67">
        <f t="shared" si="1792"/>
        <v>0</v>
      </c>
      <c r="HG276" s="63"/>
      <c r="HH276" s="63"/>
      <c r="HI276" s="63"/>
      <c r="HJ276" s="63"/>
      <c r="HK276" s="67">
        <f t="shared" si="1793"/>
        <v>0</v>
      </c>
      <c r="HL276" s="68">
        <f t="shared" si="1794"/>
        <v>0</v>
      </c>
      <c r="HM276" s="68">
        <f t="shared" si="1794"/>
        <v>0</v>
      </c>
      <c r="HN276" s="68">
        <f t="shared" si="1794"/>
        <v>0</v>
      </c>
      <c r="HO276" s="68">
        <f t="shared" si="1794"/>
        <v>0</v>
      </c>
      <c r="HP276" s="67">
        <f t="shared" si="1795"/>
        <v>0</v>
      </c>
      <c r="HQ276" s="63"/>
      <c r="HR276" s="63"/>
      <c r="HS276" s="63"/>
      <c r="HT276" s="63"/>
      <c r="HU276" s="67">
        <f t="shared" si="1796"/>
        <v>0</v>
      </c>
      <c r="HV276" s="63"/>
      <c r="HW276" s="63"/>
      <c r="HX276" s="63"/>
      <c r="HY276" s="63"/>
      <c r="HZ276" s="67">
        <f t="shared" si="1797"/>
        <v>0</v>
      </c>
      <c r="IA276" s="63"/>
      <c r="IB276" s="63"/>
      <c r="IC276" s="63"/>
      <c r="ID276" s="63"/>
      <c r="IE276" s="67">
        <f t="shared" si="1798"/>
        <v>0</v>
      </c>
      <c r="IF276" s="68">
        <f t="shared" si="1799"/>
        <v>0</v>
      </c>
      <c r="IG276" s="68">
        <f t="shared" si="1799"/>
        <v>0</v>
      </c>
      <c r="IH276" s="68">
        <f t="shared" si="1799"/>
        <v>0</v>
      </c>
      <c r="II276" s="68">
        <f t="shared" si="1799"/>
        <v>0</v>
      </c>
      <c r="IJ276" s="67">
        <f t="shared" si="1800"/>
        <v>0</v>
      </c>
      <c r="IK276" s="63"/>
      <c r="IL276" s="63"/>
      <c r="IM276" s="63"/>
      <c r="IN276" s="63"/>
      <c r="IO276" s="67">
        <f t="shared" si="1801"/>
        <v>0</v>
      </c>
      <c r="IP276" s="63"/>
      <c r="IQ276" s="63"/>
      <c r="IR276" s="63"/>
      <c r="IS276" s="63"/>
      <c r="IT276" s="67">
        <f t="shared" si="1802"/>
        <v>0</v>
      </c>
      <c r="IU276" s="63"/>
      <c r="IV276" s="63"/>
    </row>
    <row r="277" spans="1:256" x14ac:dyDescent="0.25">
      <c r="A277" s="117" t="s">
        <v>216</v>
      </c>
      <c r="B277" s="62">
        <v>60</v>
      </c>
      <c r="C277" s="63">
        <v>0</v>
      </c>
      <c r="D277" s="63">
        <v>60</v>
      </c>
      <c r="E277" s="63">
        <v>0</v>
      </c>
      <c r="F277" s="63">
        <v>0</v>
      </c>
      <c r="G277" s="63">
        <v>0</v>
      </c>
      <c r="H277" s="63">
        <v>0</v>
      </c>
      <c r="I277" s="63">
        <v>0</v>
      </c>
      <c r="J277" s="63">
        <v>0</v>
      </c>
      <c r="K277" s="63">
        <v>0</v>
      </c>
      <c r="L277" s="64">
        <f t="shared" si="1768"/>
        <v>60</v>
      </c>
      <c r="M277" s="62"/>
      <c r="N277" s="63"/>
      <c r="O277" s="63"/>
      <c r="P277" s="63"/>
      <c r="Q277" s="63"/>
      <c r="R277" s="63"/>
      <c r="S277" s="63"/>
      <c r="T277" s="63"/>
      <c r="U277" s="63"/>
      <c r="V277" s="63"/>
      <c r="W277" s="64">
        <f t="shared" si="1769"/>
        <v>0</v>
      </c>
      <c r="X277" s="62"/>
      <c r="Y277" s="63"/>
      <c r="Z277" s="63"/>
      <c r="AA277" s="63"/>
      <c r="AB277" s="63"/>
      <c r="AC277" s="63"/>
      <c r="AD277" s="63"/>
      <c r="AE277" s="63"/>
      <c r="AF277" s="63"/>
      <c r="AG277" s="63"/>
      <c r="AH277" s="64">
        <f t="shared" si="1770"/>
        <v>0</v>
      </c>
      <c r="AI277" s="62"/>
      <c r="AJ277" s="63"/>
      <c r="AK277" s="63"/>
      <c r="AL277" s="63"/>
      <c r="AM277" s="63"/>
      <c r="AN277" s="63"/>
      <c r="AO277" s="63"/>
      <c r="AP277" s="63"/>
      <c r="AQ277" s="63"/>
      <c r="AR277" s="63"/>
      <c r="AS277" s="64">
        <f t="shared" si="1771"/>
        <v>0</v>
      </c>
      <c r="AT277" s="65">
        <f t="shared" si="1772"/>
        <v>0</v>
      </c>
      <c r="AU277" s="65">
        <f t="shared" si="1772"/>
        <v>0</v>
      </c>
      <c r="AV277" s="65">
        <f t="shared" si="1772"/>
        <v>0</v>
      </c>
      <c r="AW277" s="65">
        <f t="shared" si="1772"/>
        <v>0</v>
      </c>
      <c r="AX277" s="65">
        <f t="shared" si="1772"/>
        <v>0</v>
      </c>
      <c r="AY277" s="65">
        <f t="shared" si="1772"/>
        <v>0</v>
      </c>
      <c r="AZ277" s="65">
        <f t="shared" si="1772"/>
        <v>0</v>
      </c>
      <c r="BA277" s="65">
        <f t="shared" si="1772"/>
        <v>0</v>
      </c>
      <c r="BB277" s="65">
        <f t="shared" si="1772"/>
        <v>0</v>
      </c>
      <c r="BC277" s="65">
        <f t="shared" si="1772"/>
        <v>0</v>
      </c>
      <c r="BD277" s="64">
        <f t="shared" si="1773"/>
        <v>0</v>
      </c>
      <c r="BE277" s="62"/>
      <c r="BF277" s="63"/>
      <c r="BG277" s="63"/>
      <c r="BH277" s="63"/>
      <c r="BI277" s="63"/>
      <c r="BJ277" s="63"/>
      <c r="BK277" s="63"/>
      <c r="BL277" s="63"/>
      <c r="BM277" s="63"/>
      <c r="BN277" s="63"/>
      <c r="BO277" s="64">
        <f t="shared" si="1774"/>
        <v>0</v>
      </c>
      <c r="BP277" s="62"/>
      <c r="BQ277" s="63"/>
      <c r="BR277" s="63"/>
      <c r="BS277" s="63"/>
      <c r="BT277" s="63"/>
      <c r="BU277" s="63"/>
      <c r="BV277" s="63"/>
      <c r="BW277" s="63"/>
      <c r="BX277" s="63"/>
      <c r="BY277" s="63"/>
      <c r="BZ277" s="64">
        <f t="shared" si="1775"/>
        <v>0</v>
      </c>
      <c r="CA277" s="62"/>
      <c r="CB277" s="63"/>
      <c r="CC277" s="63"/>
      <c r="CD277" s="63"/>
      <c r="CE277" s="63"/>
      <c r="CF277" s="63"/>
      <c r="CG277" s="63"/>
      <c r="CH277" s="63"/>
      <c r="CI277" s="63"/>
      <c r="CJ277" s="63"/>
      <c r="CK277" s="64">
        <f t="shared" si="1776"/>
        <v>0</v>
      </c>
      <c r="CL277" s="65">
        <f t="shared" si="1777"/>
        <v>0</v>
      </c>
      <c r="CM277" s="65">
        <f t="shared" si="1777"/>
        <v>0</v>
      </c>
      <c r="CN277" s="65">
        <f t="shared" si="1777"/>
        <v>0</v>
      </c>
      <c r="CO277" s="65">
        <f t="shared" si="1777"/>
        <v>0</v>
      </c>
      <c r="CP277" s="65">
        <f t="shared" si="1777"/>
        <v>0</v>
      </c>
      <c r="CQ277" s="65">
        <f t="shared" si="1777"/>
        <v>0</v>
      </c>
      <c r="CR277" s="65">
        <f t="shared" si="1777"/>
        <v>0</v>
      </c>
      <c r="CS277" s="65">
        <f t="shared" si="1777"/>
        <v>0</v>
      </c>
      <c r="CT277" s="65">
        <f t="shared" si="1777"/>
        <v>0</v>
      </c>
      <c r="CU277" s="65">
        <f t="shared" si="1777"/>
        <v>0</v>
      </c>
      <c r="CV277" s="64">
        <f t="shared" si="1778"/>
        <v>0</v>
      </c>
      <c r="CW277" s="62"/>
      <c r="CX277" s="63"/>
      <c r="CY277" s="63"/>
      <c r="CZ277" s="63"/>
      <c r="DA277" s="63"/>
      <c r="DB277" s="63"/>
      <c r="DC277" s="63"/>
      <c r="DD277" s="63"/>
      <c r="DE277" s="63"/>
      <c r="DF277" s="63"/>
      <c r="DG277" s="64">
        <f t="shared" si="1779"/>
        <v>0</v>
      </c>
      <c r="DH277" s="62"/>
      <c r="DI277" s="63"/>
      <c r="DJ277" s="63"/>
      <c r="DK277" s="63"/>
      <c r="DL277" s="63"/>
      <c r="DM277" s="63"/>
      <c r="DN277" s="63"/>
      <c r="DO277" s="63"/>
      <c r="DP277" s="63"/>
      <c r="DQ277" s="63"/>
      <c r="DR277" s="64">
        <f t="shared" si="1780"/>
        <v>0</v>
      </c>
      <c r="DS277" s="62"/>
      <c r="DT277" s="63"/>
      <c r="DU277" s="63"/>
      <c r="DV277" s="63"/>
      <c r="DW277" s="63"/>
      <c r="DX277" s="63"/>
      <c r="DY277" s="63"/>
      <c r="DZ277" s="63"/>
      <c r="EA277" s="63"/>
      <c r="EB277" s="63"/>
      <c r="EC277" s="63"/>
      <c r="ED277" s="65">
        <f t="shared" si="1781"/>
        <v>0</v>
      </c>
      <c r="EE277" s="65">
        <f t="shared" si="1781"/>
        <v>0</v>
      </c>
      <c r="EF277" s="65">
        <f t="shared" si="1781"/>
        <v>0</v>
      </c>
      <c r="EG277" s="65">
        <f t="shared" si="1781"/>
        <v>0</v>
      </c>
      <c r="EH277" s="65">
        <f t="shared" si="1781"/>
        <v>0</v>
      </c>
      <c r="EI277" s="65">
        <f t="shared" si="1781"/>
        <v>0</v>
      </c>
      <c r="EJ277" s="65">
        <f t="shared" si="1781"/>
        <v>0</v>
      </c>
      <c r="EK277" s="65">
        <f t="shared" si="1781"/>
        <v>0</v>
      </c>
      <c r="EL277" s="65">
        <f t="shared" si="1781"/>
        <v>0</v>
      </c>
      <c r="EM277" s="65">
        <f t="shared" si="1781"/>
        <v>0</v>
      </c>
      <c r="EN277" s="64">
        <f t="shared" si="1782"/>
        <v>0</v>
      </c>
      <c r="EO277" s="62"/>
      <c r="EP277" s="63"/>
      <c r="EQ277" s="63"/>
      <c r="ER277" s="63"/>
      <c r="ES277" s="63"/>
      <c r="ET277" s="63"/>
      <c r="EU277" s="63"/>
      <c r="EV277" s="63"/>
      <c r="EW277" s="63"/>
      <c r="EX277" s="63"/>
      <c r="EY277" s="64">
        <f t="shared" si="1783"/>
        <v>0</v>
      </c>
      <c r="EZ277" s="62"/>
      <c r="FA277" s="63"/>
      <c r="FB277" s="63"/>
      <c r="FC277" s="63"/>
      <c r="FD277" s="63"/>
      <c r="FE277" s="63"/>
      <c r="FF277" s="63"/>
      <c r="FG277" s="63"/>
      <c r="FH277" s="63"/>
      <c r="FI277" s="63"/>
      <c r="FJ277" s="64">
        <f t="shared" si="1784"/>
        <v>0</v>
      </c>
      <c r="FK277" s="62"/>
      <c r="FL277" s="63"/>
      <c r="FM277" s="63"/>
      <c r="FN277" s="63"/>
      <c r="FO277" s="63"/>
      <c r="FP277" s="63"/>
      <c r="FQ277" s="63"/>
      <c r="FR277" s="63"/>
      <c r="FS277" s="63"/>
      <c r="FT277" s="63"/>
      <c r="FU277" s="64">
        <f t="shared" si="1785"/>
        <v>0</v>
      </c>
      <c r="FV277" s="65">
        <f t="shared" si="1786"/>
        <v>0</v>
      </c>
      <c r="FW277" s="65">
        <f t="shared" si="1786"/>
        <v>0</v>
      </c>
      <c r="FX277" s="65">
        <f t="shared" si="1786"/>
        <v>0</v>
      </c>
      <c r="FY277" s="65">
        <f t="shared" si="1786"/>
        <v>0</v>
      </c>
      <c r="FZ277" s="65">
        <f t="shared" si="1786"/>
        <v>0</v>
      </c>
      <c r="GA277" s="65">
        <f t="shared" si="1786"/>
        <v>0</v>
      </c>
      <c r="GB277" s="65">
        <f t="shared" si="1786"/>
        <v>0</v>
      </c>
      <c r="GC277" s="65">
        <f t="shared" si="1786"/>
        <v>0</v>
      </c>
      <c r="GD277" s="65">
        <f t="shared" si="1786"/>
        <v>0</v>
      </c>
      <c r="GE277" s="65">
        <f t="shared" si="1786"/>
        <v>0</v>
      </c>
      <c r="GF277" s="64">
        <f t="shared" si="1787"/>
        <v>0</v>
      </c>
      <c r="GG277" s="66">
        <f t="shared" si="1788"/>
        <v>0</v>
      </c>
      <c r="GH277" s="66">
        <f t="shared" si="1788"/>
        <v>0</v>
      </c>
      <c r="GI277" s="66">
        <f t="shared" si="1788"/>
        <v>0</v>
      </c>
      <c r="GJ277" s="66">
        <f t="shared" si="1788"/>
        <v>0</v>
      </c>
      <c r="GK277" s="66">
        <f t="shared" si="1788"/>
        <v>0</v>
      </c>
      <c r="GL277" s="66">
        <f t="shared" si="1788"/>
        <v>0</v>
      </c>
      <c r="GM277" s="66">
        <f t="shared" si="1788"/>
        <v>0</v>
      </c>
      <c r="GN277" s="66">
        <f t="shared" si="1788"/>
        <v>0</v>
      </c>
      <c r="GO277" s="66">
        <f t="shared" si="1788"/>
        <v>0</v>
      </c>
      <c r="GP277" s="66">
        <f t="shared" si="1788"/>
        <v>0</v>
      </c>
      <c r="GQ277" s="64">
        <f t="shared" si="1789"/>
        <v>0</v>
      </c>
      <c r="GR277" s="63"/>
      <c r="GS277" s="63"/>
      <c r="GT277" s="63"/>
      <c r="GU277" s="63"/>
      <c r="GV277" s="67">
        <f t="shared" si="1790"/>
        <v>0</v>
      </c>
      <c r="GW277" s="63"/>
      <c r="GX277" s="63"/>
      <c r="GY277" s="63"/>
      <c r="GZ277" s="63"/>
      <c r="HA277" s="67">
        <f t="shared" si="1791"/>
        <v>0</v>
      </c>
      <c r="HB277" s="63"/>
      <c r="HC277" s="63"/>
      <c r="HD277" s="63"/>
      <c r="HE277" s="63"/>
      <c r="HF277" s="67">
        <f t="shared" si="1792"/>
        <v>0</v>
      </c>
      <c r="HG277" s="63"/>
      <c r="HH277" s="63"/>
      <c r="HI277" s="63"/>
      <c r="HJ277" s="63"/>
      <c r="HK277" s="67">
        <f t="shared" si="1793"/>
        <v>0</v>
      </c>
      <c r="HL277" s="68">
        <f t="shared" si="1794"/>
        <v>0</v>
      </c>
      <c r="HM277" s="68">
        <f t="shared" si="1794"/>
        <v>0</v>
      </c>
      <c r="HN277" s="68">
        <f t="shared" si="1794"/>
        <v>0</v>
      </c>
      <c r="HO277" s="68">
        <f t="shared" si="1794"/>
        <v>0</v>
      </c>
      <c r="HP277" s="67">
        <f t="shared" si="1795"/>
        <v>0</v>
      </c>
      <c r="HQ277" s="63"/>
      <c r="HR277" s="63"/>
      <c r="HS277" s="63"/>
      <c r="HT277" s="63"/>
      <c r="HU277" s="67">
        <f t="shared" si="1796"/>
        <v>0</v>
      </c>
      <c r="HV277" s="63"/>
      <c r="HW277" s="63"/>
      <c r="HX277" s="63"/>
      <c r="HY277" s="63"/>
      <c r="HZ277" s="67">
        <f t="shared" si="1797"/>
        <v>0</v>
      </c>
      <c r="IA277" s="63"/>
      <c r="IB277" s="63"/>
      <c r="IC277" s="63"/>
      <c r="ID277" s="63"/>
      <c r="IE277" s="67">
        <f t="shared" si="1798"/>
        <v>0</v>
      </c>
      <c r="IF277" s="68">
        <f t="shared" si="1799"/>
        <v>0</v>
      </c>
      <c r="IG277" s="68">
        <f t="shared" si="1799"/>
        <v>0</v>
      </c>
      <c r="IH277" s="68">
        <f t="shared" si="1799"/>
        <v>0</v>
      </c>
      <c r="II277" s="68">
        <f t="shared" si="1799"/>
        <v>0</v>
      </c>
      <c r="IJ277" s="67">
        <f t="shared" si="1800"/>
        <v>0</v>
      </c>
      <c r="IK277" s="63"/>
      <c r="IL277" s="63"/>
      <c r="IM277" s="63"/>
      <c r="IN277" s="63"/>
      <c r="IO277" s="67">
        <f t="shared" si="1801"/>
        <v>0</v>
      </c>
      <c r="IP277" s="63"/>
      <c r="IQ277" s="63"/>
      <c r="IR277" s="63"/>
      <c r="IS277" s="63"/>
      <c r="IT277" s="67">
        <f t="shared" si="1802"/>
        <v>0</v>
      </c>
      <c r="IU277" s="63"/>
      <c r="IV277" s="63"/>
    </row>
    <row r="278" spans="1:256" x14ac:dyDescent="0.25">
      <c r="A278" s="117" t="s">
        <v>217</v>
      </c>
      <c r="B278" s="62">
        <v>0</v>
      </c>
      <c r="C278" s="63">
        <v>0</v>
      </c>
      <c r="D278" s="63">
        <v>0</v>
      </c>
      <c r="E278" s="63">
        <v>0</v>
      </c>
      <c r="F278" s="63">
        <v>0</v>
      </c>
      <c r="G278" s="63">
        <v>0</v>
      </c>
      <c r="H278" s="63">
        <v>0</v>
      </c>
      <c r="I278" s="63">
        <v>0</v>
      </c>
      <c r="J278" s="63">
        <v>0</v>
      </c>
      <c r="K278" s="63">
        <v>0</v>
      </c>
      <c r="L278" s="64">
        <f t="shared" si="1768"/>
        <v>0</v>
      </c>
      <c r="M278" s="62"/>
      <c r="N278" s="63"/>
      <c r="O278" s="63"/>
      <c r="P278" s="63"/>
      <c r="Q278" s="63"/>
      <c r="R278" s="63"/>
      <c r="S278" s="63"/>
      <c r="T278" s="63"/>
      <c r="U278" s="63"/>
      <c r="V278" s="63"/>
      <c r="W278" s="64">
        <f t="shared" si="1769"/>
        <v>0</v>
      </c>
      <c r="X278" s="62"/>
      <c r="Y278" s="63"/>
      <c r="Z278" s="63"/>
      <c r="AA278" s="63"/>
      <c r="AB278" s="63"/>
      <c r="AC278" s="63"/>
      <c r="AD278" s="63"/>
      <c r="AE278" s="63"/>
      <c r="AF278" s="63"/>
      <c r="AG278" s="63"/>
      <c r="AH278" s="64">
        <f t="shared" si="1770"/>
        <v>0</v>
      </c>
      <c r="AI278" s="62"/>
      <c r="AJ278" s="63"/>
      <c r="AK278" s="63"/>
      <c r="AL278" s="63"/>
      <c r="AM278" s="63"/>
      <c r="AN278" s="63"/>
      <c r="AO278" s="63"/>
      <c r="AP278" s="63"/>
      <c r="AQ278" s="63"/>
      <c r="AR278" s="63"/>
      <c r="AS278" s="64">
        <f t="shared" si="1771"/>
        <v>0</v>
      </c>
      <c r="AT278" s="65">
        <f t="shared" si="1772"/>
        <v>0</v>
      </c>
      <c r="AU278" s="65">
        <f t="shared" si="1772"/>
        <v>0</v>
      </c>
      <c r="AV278" s="65">
        <f t="shared" si="1772"/>
        <v>0</v>
      </c>
      <c r="AW278" s="65">
        <f t="shared" si="1772"/>
        <v>0</v>
      </c>
      <c r="AX278" s="65">
        <f t="shared" si="1772"/>
        <v>0</v>
      </c>
      <c r="AY278" s="65">
        <f t="shared" si="1772"/>
        <v>0</v>
      </c>
      <c r="AZ278" s="65">
        <f t="shared" si="1772"/>
        <v>0</v>
      </c>
      <c r="BA278" s="65">
        <f t="shared" si="1772"/>
        <v>0</v>
      </c>
      <c r="BB278" s="65">
        <f t="shared" si="1772"/>
        <v>0</v>
      </c>
      <c r="BC278" s="65">
        <f t="shared" si="1772"/>
        <v>0</v>
      </c>
      <c r="BD278" s="64">
        <f t="shared" si="1773"/>
        <v>0</v>
      </c>
      <c r="BE278" s="62"/>
      <c r="BF278" s="63"/>
      <c r="BG278" s="63"/>
      <c r="BH278" s="63"/>
      <c r="BI278" s="63"/>
      <c r="BJ278" s="63"/>
      <c r="BK278" s="63"/>
      <c r="BL278" s="63"/>
      <c r="BM278" s="63"/>
      <c r="BN278" s="63"/>
      <c r="BO278" s="64">
        <f t="shared" si="1774"/>
        <v>0</v>
      </c>
      <c r="BP278" s="62"/>
      <c r="BQ278" s="63"/>
      <c r="BR278" s="63"/>
      <c r="BS278" s="63"/>
      <c r="BT278" s="63"/>
      <c r="BU278" s="63"/>
      <c r="BV278" s="63"/>
      <c r="BW278" s="63"/>
      <c r="BX278" s="63"/>
      <c r="BY278" s="63"/>
      <c r="BZ278" s="64">
        <f t="shared" si="1775"/>
        <v>0</v>
      </c>
      <c r="CA278" s="62"/>
      <c r="CB278" s="63"/>
      <c r="CC278" s="63"/>
      <c r="CD278" s="63"/>
      <c r="CE278" s="63"/>
      <c r="CF278" s="63"/>
      <c r="CG278" s="63"/>
      <c r="CH278" s="63"/>
      <c r="CI278" s="63"/>
      <c r="CJ278" s="63"/>
      <c r="CK278" s="64">
        <f t="shared" si="1776"/>
        <v>0</v>
      </c>
      <c r="CL278" s="65">
        <f t="shared" si="1777"/>
        <v>0</v>
      </c>
      <c r="CM278" s="65">
        <f t="shared" si="1777"/>
        <v>0</v>
      </c>
      <c r="CN278" s="65">
        <f t="shared" si="1777"/>
        <v>0</v>
      </c>
      <c r="CO278" s="65">
        <f t="shared" si="1777"/>
        <v>0</v>
      </c>
      <c r="CP278" s="65">
        <f t="shared" si="1777"/>
        <v>0</v>
      </c>
      <c r="CQ278" s="65">
        <f t="shared" si="1777"/>
        <v>0</v>
      </c>
      <c r="CR278" s="65">
        <f t="shared" si="1777"/>
        <v>0</v>
      </c>
      <c r="CS278" s="65">
        <f t="shared" si="1777"/>
        <v>0</v>
      </c>
      <c r="CT278" s="65">
        <f t="shared" si="1777"/>
        <v>0</v>
      </c>
      <c r="CU278" s="65">
        <f t="shared" si="1777"/>
        <v>0</v>
      </c>
      <c r="CV278" s="64">
        <f t="shared" si="1778"/>
        <v>0</v>
      </c>
      <c r="CW278" s="62"/>
      <c r="CX278" s="63"/>
      <c r="CY278" s="63"/>
      <c r="CZ278" s="63"/>
      <c r="DA278" s="63"/>
      <c r="DB278" s="63"/>
      <c r="DC278" s="63"/>
      <c r="DD278" s="63"/>
      <c r="DE278" s="63"/>
      <c r="DF278" s="63"/>
      <c r="DG278" s="64">
        <f t="shared" si="1779"/>
        <v>0</v>
      </c>
      <c r="DH278" s="62"/>
      <c r="DI278" s="63"/>
      <c r="DJ278" s="63"/>
      <c r="DK278" s="63"/>
      <c r="DL278" s="63"/>
      <c r="DM278" s="63"/>
      <c r="DN278" s="63"/>
      <c r="DO278" s="63"/>
      <c r="DP278" s="63"/>
      <c r="DQ278" s="63"/>
      <c r="DR278" s="64">
        <f t="shared" si="1780"/>
        <v>0</v>
      </c>
      <c r="DS278" s="62"/>
      <c r="DT278" s="63"/>
      <c r="DU278" s="63"/>
      <c r="DV278" s="63"/>
      <c r="DW278" s="63"/>
      <c r="DX278" s="63"/>
      <c r="DY278" s="63"/>
      <c r="DZ278" s="63"/>
      <c r="EA278" s="63"/>
      <c r="EB278" s="63"/>
      <c r="EC278" s="63"/>
      <c r="ED278" s="65">
        <f t="shared" si="1781"/>
        <v>0</v>
      </c>
      <c r="EE278" s="65">
        <f t="shared" si="1781"/>
        <v>0</v>
      </c>
      <c r="EF278" s="65">
        <f t="shared" si="1781"/>
        <v>0</v>
      </c>
      <c r="EG278" s="65">
        <f t="shared" si="1781"/>
        <v>0</v>
      </c>
      <c r="EH278" s="65">
        <f t="shared" si="1781"/>
        <v>0</v>
      </c>
      <c r="EI278" s="65">
        <f t="shared" si="1781"/>
        <v>0</v>
      </c>
      <c r="EJ278" s="65">
        <f t="shared" si="1781"/>
        <v>0</v>
      </c>
      <c r="EK278" s="65">
        <f t="shared" si="1781"/>
        <v>0</v>
      </c>
      <c r="EL278" s="65">
        <f t="shared" si="1781"/>
        <v>0</v>
      </c>
      <c r="EM278" s="65">
        <f t="shared" si="1781"/>
        <v>0</v>
      </c>
      <c r="EN278" s="64">
        <f t="shared" si="1782"/>
        <v>0</v>
      </c>
      <c r="EO278" s="62"/>
      <c r="EP278" s="63"/>
      <c r="EQ278" s="63"/>
      <c r="ER278" s="63"/>
      <c r="ES278" s="63"/>
      <c r="ET278" s="63"/>
      <c r="EU278" s="63"/>
      <c r="EV278" s="63"/>
      <c r="EW278" s="63"/>
      <c r="EX278" s="63"/>
      <c r="EY278" s="64">
        <f t="shared" si="1783"/>
        <v>0</v>
      </c>
      <c r="EZ278" s="62"/>
      <c r="FA278" s="63"/>
      <c r="FB278" s="63"/>
      <c r="FC278" s="63"/>
      <c r="FD278" s="63"/>
      <c r="FE278" s="63"/>
      <c r="FF278" s="63"/>
      <c r="FG278" s="63"/>
      <c r="FH278" s="63"/>
      <c r="FI278" s="63"/>
      <c r="FJ278" s="64">
        <f t="shared" si="1784"/>
        <v>0</v>
      </c>
      <c r="FK278" s="62"/>
      <c r="FL278" s="63"/>
      <c r="FM278" s="63"/>
      <c r="FN278" s="63"/>
      <c r="FO278" s="63"/>
      <c r="FP278" s="63"/>
      <c r="FQ278" s="63"/>
      <c r="FR278" s="63"/>
      <c r="FS278" s="63"/>
      <c r="FT278" s="63"/>
      <c r="FU278" s="64">
        <f t="shared" si="1785"/>
        <v>0</v>
      </c>
      <c r="FV278" s="65">
        <f t="shared" si="1786"/>
        <v>0</v>
      </c>
      <c r="FW278" s="65">
        <f t="shared" si="1786"/>
        <v>0</v>
      </c>
      <c r="FX278" s="65">
        <f t="shared" si="1786"/>
        <v>0</v>
      </c>
      <c r="FY278" s="65">
        <f t="shared" si="1786"/>
        <v>0</v>
      </c>
      <c r="FZ278" s="65">
        <f t="shared" si="1786"/>
        <v>0</v>
      </c>
      <c r="GA278" s="65">
        <f t="shared" si="1786"/>
        <v>0</v>
      </c>
      <c r="GB278" s="65">
        <f t="shared" si="1786"/>
        <v>0</v>
      </c>
      <c r="GC278" s="65">
        <f t="shared" si="1786"/>
        <v>0</v>
      </c>
      <c r="GD278" s="65">
        <f t="shared" si="1786"/>
        <v>0</v>
      </c>
      <c r="GE278" s="65">
        <f t="shared" si="1786"/>
        <v>0</v>
      </c>
      <c r="GF278" s="64">
        <f t="shared" si="1787"/>
        <v>0</v>
      </c>
      <c r="GG278" s="66">
        <f t="shared" si="1788"/>
        <v>0</v>
      </c>
      <c r="GH278" s="66">
        <f t="shared" si="1788"/>
        <v>0</v>
      </c>
      <c r="GI278" s="66">
        <f t="shared" si="1788"/>
        <v>0</v>
      </c>
      <c r="GJ278" s="66">
        <f t="shared" si="1788"/>
        <v>0</v>
      </c>
      <c r="GK278" s="66">
        <f t="shared" si="1788"/>
        <v>0</v>
      </c>
      <c r="GL278" s="66">
        <f t="shared" si="1788"/>
        <v>0</v>
      </c>
      <c r="GM278" s="66">
        <f t="shared" si="1788"/>
        <v>0</v>
      </c>
      <c r="GN278" s="66">
        <f t="shared" si="1788"/>
        <v>0</v>
      </c>
      <c r="GO278" s="66">
        <f t="shared" si="1788"/>
        <v>0</v>
      </c>
      <c r="GP278" s="66">
        <f t="shared" si="1788"/>
        <v>0</v>
      </c>
      <c r="GQ278" s="64">
        <f t="shared" si="1789"/>
        <v>0</v>
      </c>
      <c r="GR278" s="63"/>
      <c r="GS278" s="63"/>
      <c r="GT278" s="63"/>
      <c r="GU278" s="63"/>
      <c r="GV278" s="67">
        <f t="shared" si="1790"/>
        <v>0</v>
      </c>
      <c r="GW278" s="63"/>
      <c r="GX278" s="63"/>
      <c r="GY278" s="63"/>
      <c r="GZ278" s="63"/>
      <c r="HA278" s="67">
        <f t="shared" si="1791"/>
        <v>0</v>
      </c>
      <c r="HB278" s="63"/>
      <c r="HC278" s="63"/>
      <c r="HD278" s="63"/>
      <c r="HE278" s="63"/>
      <c r="HF278" s="67">
        <f t="shared" si="1792"/>
        <v>0</v>
      </c>
      <c r="HG278" s="63"/>
      <c r="HH278" s="63"/>
      <c r="HI278" s="63"/>
      <c r="HJ278" s="63"/>
      <c r="HK278" s="67">
        <f t="shared" si="1793"/>
        <v>0</v>
      </c>
      <c r="HL278" s="68">
        <f t="shared" si="1794"/>
        <v>0</v>
      </c>
      <c r="HM278" s="68">
        <f t="shared" si="1794"/>
        <v>0</v>
      </c>
      <c r="HN278" s="68">
        <f t="shared" si="1794"/>
        <v>0</v>
      </c>
      <c r="HO278" s="68">
        <f t="shared" si="1794"/>
        <v>0</v>
      </c>
      <c r="HP278" s="67">
        <f t="shared" si="1795"/>
        <v>0</v>
      </c>
      <c r="HQ278" s="63"/>
      <c r="HR278" s="63"/>
      <c r="HS278" s="63"/>
      <c r="HT278" s="63"/>
      <c r="HU278" s="67">
        <f t="shared" si="1796"/>
        <v>0</v>
      </c>
      <c r="HV278" s="63"/>
      <c r="HW278" s="63"/>
      <c r="HX278" s="63"/>
      <c r="HY278" s="63"/>
      <c r="HZ278" s="67">
        <f t="shared" si="1797"/>
        <v>0</v>
      </c>
      <c r="IA278" s="63"/>
      <c r="IB278" s="63"/>
      <c r="IC278" s="63"/>
      <c r="ID278" s="63"/>
      <c r="IE278" s="67">
        <f t="shared" si="1798"/>
        <v>0</v>
      </c>
      <c r="IF278" s="68">
        <f t="shared" si="1799"/>
        <v>0</v>
      </c>
      <c r="IG278" s="68">
        <f t="shared" si="1799"/>
        <v>0</v>
      </c>
      <c r="IH278" s="68">
        <f t="shared" si="1799"/>
        <v>0</v>
      </c>
      <c r="II278" s="68">
        <f t="shared" si="1799"/>
        <v>0</v>
      </c>
      <c r="IJ278" s="67">
        <f t="shared" si="1800"/>
        <v>0</v>
      </c>
      <c r="IK278" s="63"/>
      <c r="IL278" s="63"/>
      <c r="IM278" s="63"/>
      <c r="IN278" s="63"/>
      <c r="IO278" s="67">
        <f t="shared" si="1801"/>
        <v>0</v>
      </c>
      <c r="IP278" s="63"/>
      <c r="IQ278" s="63"/>
      <c r="IR278" s="63"/>
      <c r="IS278" s="63"/>
      <c r="IT278" s="67">
        <f t="shared" si="1802"/>
        <v>0</v>
      </c>
      <c r="IU278" s="63"/>
      <c r="IV278" s="63"/>
    </row>
    <row r="279" spans="1:256" s="78" customFormat="1" x14ac:dyDescent="0.25">
      <c r="A279" s="79" t="s">
        <v>220</v>
      </c>
      <c r="B279" s="81">
        <f>B280</f>
        <v>0</v>
      </c>
      <c r="C279" s="81">
        <f t="shared" ref="C279:K279" si="1803">C280</f>
        <v>0</v>
      </c>
      <c r="D279" s="81">
        <f t="shared" si="1803"/>
        <v>0</v>
      </c>
      <c r="E279" s="81">
        <f t="shared" si="1803"/>
        <v>0</v>
      </c>
      <c r="F279" s="81">
        <f t="shared" si="1803"/>
        <v>0</v>
      </c>
      <c r="G279" s="81">
        <f t="shared" si="1803"/>
        <v>2</v>
      </c>
      <c r="H279" s="81">
        <f t="shared" si="1803"/>
        <v>0</v>
      </c>
      <c r="I279" s="81">
        <f t="shared" si="1803"/>
        <v>0</v>
      </c>
      <c r="J279" s="81">
        <f t="shared" si="1803"/>
        <v>0</v>
      </c>
      <c r="K279" s="81">
        <f t="shared" si="1803"/>
        <v>0</v>
      </c>
      <c r="L279" s="82">
        <f>L280</f>
        <v>0</v>
      </c>
      <c r="M279" s="81">
        <f>M280</f>
        <v>0</v>
      </c>
      <c r="N279" s="81">
        <f t="shared" ref="N279:V279" si="1804">N280</f>
        <v>0</v>
      </c>
      <c r="O279" s="81">
        <f t="shared" si="1804"/>
        <v>0</v>
      </c>
      <c r="P279" s="81">
        <f t="shared" si="1804"/>
        <v>0</v>
      </c>
      <c r="Q279" s="81">
        <f t="shared" si="1804"/>
        <v>0</v>
      </c>
      <c r="R279" s="81">
        <f t="shared" si="1804"/>
        <v>0</v>
      </c>
      <c r="S279" s="81">
        <f t="shared" si="1804"/>
        <v>0</v>
      </c>
      <c r="T279" s="81">
        <f t="shared" si="1804"/>
        <v>0</v>
      </c>
      <c r="U279" s="81">
        <f t="shared" si="1804"/>
        <v>0</v>
      </c>
      <c r="V279" s="81">
        <f t="shared" si="1804"/>
        <v>0</v>
      </c>
      <c r="W279" s="82">
        <f>W280</f>
        <v>0</v>
      </c>
      <c r="X279" s="81">
        <f>X280</f>
        <v>0</v>
      </c>
      <c r="Y279" s="81">
        <f t="shared" ref="Y279:AG279" si="1805">Y280</f>
        <v>0</v>
      </c>
      <c r="Z279" s="81">
        <f t="shared" si="1805"/>
        <v>0</v>
      </c>
      <c r="AA279" s="81">
        <f t="shared" si="1805"/>
        <v>0</v>
      </c>
      <c r="AB279" s="81">
        <f t="shared" si="1805"/>
        <v>0</v>
      </c>
      <c r="AC279" s="81">
        <f t="shared" si="1805"/>
        <v>0</v>
      </c>
      <c r="AD279" s="81">
        <f t="shared" si="1805"/>
        <v>0</v>
      </c>
      <c r="AE279" s="81">
        <f t="shared" si="1805"/>
        <v>0</v>
      </c>
      <c r="AF279" s="81">
        <f t="shared" si="1805"/>
        <v>0</v>
      </c>
      <c r="AG279" s="81">
        <f t="shared" si="1805"/>
        <v>0</v>
      </c>
      <c r="AH279" s="82">
        <f>AH280</f>
        <v>0</v>
      </c>
      <c r="AI279" s="81">
        <f>AI280</f>
        <v>0</v>
      </c>
      <c r="AJ279" s="81">
        <f t="shared" ref="AJ279:AR279" si="1806">AJ280</f>
        <v>0</v>
      </c>
      <c r="AK279" s="81">
        <f t="shared" si="1806"/>
        <v>0</v>
      </c>
      <c r="AL279" s="81">
        <f t="shared" si="1806"/>
        <v>0</v>
      </c>
      <c r="AM279" s="81">
        <f t="shared" si="1806"/>
        <v>0</v>
      </c>
      <c r="AN279" s="81">
        <f t="shared" si="1806"/>
        <v>0</v>
      </c>
      <c r="AO279" s="81">
        <f t="shared" si="1806"/>
        <v>0</v>
      </c>
      <c r="AP279" s="81">
        <f t="shared" si="1806"/>
        <v>0</v>
      </c>
      <c r="AQ279" s="81">
        <f t="shared" si="1806"/>
        <v>0</v>
      </c>
      <c r="AR279" s="81">
        <f t="shared" si="1806"/>
        <v>0</v>
      </c>
      <c r="AS279" s="82">
        <f>AS280</f>
        <v>0</v>
      </c>
      <c r="AT279" s="81">
        <f>AT280</f>
        <v>0</v>
      </c>
      <c r="AU279" s="81">
        <f>AU280</f>
        <v>0</v>
      </c>
      <c r="AV279" s="81">
        <f t="shared" ref="AV279:BC279" si="1807">AV280</f>
        <v>0</v>
      </c>
      <c r="AW279" s="81">
        <f t="shared" si="1807"/>
        <v>0</v>
      </c>
      <c r="AX279" s="81">
        <f t="shared" si="1807"/>
        <v>0</v>
      </c>
      <c r="AY279" s="81">
        <f t="shared" si="1807"/>
        <v>0</v>
      </c>
      <c r="AZ279" s="81">
        <f t="shared" si="1807"/>
        <v>0</v>
      </c>
      <c r="BA279" s="81">
        <f t="shared" si="1807"/>
        <v>0</v>
      </c>
      <c r="BB279" s="81">
        <f t="shared" si="1807"/>
        <v>0</v>
      </c>
      <c r="BC279" s="81">
        <f t="shared" si="1807"/>
        <v>0</v>
      </c>
      <c r="BD279" s="82">
        <f>BD280</f>
        <v>0</v>
      </c>
      <c r="BE279" s="81">
        <f>BE280</f>
        <v>0</v>
      </c>
      <c r="BF279" s="81">
        <f t="shared" ref="BF279:BN279" si="1808">BF280</f>
        <v>0</v>
      </c>
      <c r="BG279" s="81">
        <f t="shared" si="1808"/>
        <v>0</v>
      </c>
      <c r="BH279" s="81">
        <f t="shared" si="1808"/>
        <v>0</v>
      </c>
      <c r="BI279" s="81">
        <f t="shared" si="1808"/>
        <v>0</v>
      </c>
      <c r="BJ279" s="81">
        <f t="shared" si="1808"/>
        <v>0</v>
      </c>
      <c r="BK279" s="81">
        <f t="shared" si="1808"/>
        <v>0</v>
      </c>
      <c r="BL279" s="81">
        <f t="shared" si="1808"/>
        <v>0</v>
      </c>
      <c r="BM279" s="81">
        <f t="shared" si="1808"/>
        <v>0</v>
      </c>
      <c r="BN279" s="81">
        <f t="shared" si="1808"/>
        <v>0</v>
      </c>
      <c r="BO279" s="82">
        <f>BO280</f>
        <v>0</v>
      </c>
      <c r="BP279" s="81">
        <f>BP280</f>
        <v>0</v>
      </c>
      <c r="BQ279" s="81">
        <f t="shared" ref="BQ279:BY279" si="1809">BQ280</f>
        <v>0</v>
      </c>
      <c r="BR279" s="81">
        <f t="shared" si="1809"/>
        <v>0</v>
      </c>
      <c r="BS279" s="81">
        <f t="shared" si="1809"/>
        <v>0</v>
      </c>
      <c r="BT279" s="81">
        <f t="shared" si="1809"/>
        <v>0</v>
      </c>
      <c r="BU279" s="81">
        <f t="shared" si="1809"/>
        <v>0</v>
      </c>
      <c r="BV279" s="81">
        <f t="shared" si="1809"/>
        <v>0</v>
      </c>
      <c r="BW279" s="81">
        <f t="shared" si="1809"/>
        <v>0</v>
      </c>
      <c r="BX279" s="81">
        <f t="shared" si="1809"/>
        <v>0</v>
      </c>
      <c r="BY279" s="81">
        <f t="shared" si="1809"/>
        <v>0</v>
      </c>
      <c r="BZ279" s="82">
        <f>BZ280</f>
        <v>0</v>
      </c>
      <c r="CA279" s="81">
        <f>CA280</f>
        <v>0</v>
      </c>
      <c r="CB279" s="81">
        <f t="shared" ref="CB279:CJ279" si="1810">CB280</f>
        <v>0</v>
      </c>
      <c r="CC279" s="81">
        <f t="shared" si="1810"/>
        <v>0</v>
      </c>
      <c r="CD279" s="81">
        <f t="shared" si="1810"/>
        <v>0</v>
      </c>
      <c r="CE279" s="81">
        <f t="shared" si="1810"/>
        <v>0</v>
      </c>
      <c r="CF279" s="81">
        <f t="shared" si="1810"/>
        <v>0</v>
      </c>
      <c r="CG279" s="81">
        <f t="shared" si="1810"/>
        <v>0</v>
      </c>
      <c r="CH279" s="81">
        <f t="shared" si="1810"/>
        <v>0</v>
      </c>
      <c r="CI279" s="81">
        <f t="shared" si="1810"/>
        <v>0</v>
      </c>
      <c r="CJ279" s="81">
        <f t="shared" si="1810"/>
        <v>0</v>
      </c>
      <c r="CK279" s="82">
        <f>CK280</f>
        <v>0</v>
      </c>
      <c r="CL279" s="81">
        <f>CL280</f>
        <v>0</v>
      </c>
      <c r="CM279" s="81">
        <f>CM280</f>
        <v>0</v>
      </c>
      <c r="CN279" s="81">
        <f t="shared" ref="CN279:CU279" si="1811">CN280</f>
        <v>0</v>
      </c>
      <c r="CO279" s="81">
        <f t="shared" si="1811"/>
        <v>0</v>
      </c>
      <c r="CP279" s="81">
        <f t="shared" si="1811"/>
        <v>0</v>
      </c>
      <c r="CQ279" s="81">
        <f t="shared" si="1811"/>
        <v>0</v>
      </c>
      <c r="CR279" s="81">
        <f t="shared" si="1811"/>
        <v>0</v>
      </c>
      <c r="CS279" s="81">
        <f t="shared" si="1811"/>
        <v>0</v>
      </c>
      <c r="CT279" s="81">
        <f t="shared" si="1811"/>
        <v>0</v>
      </c>
      <c r="CU279" s="81">
        <f t="shared" si="1811"/>
        <v>0</v>
      </c>
      <c r="CV279" s="82">
        <f>CV280</f>
        <v>0</v>
      </c>
      <c r="CW279" s="81">
        <f>CW280</f>
        <v>0</v>
      </c>
      <c r="CX279" s="81">
        <f t="shared" ref="CX279:DF279" si="1812">CX280</f>
        <v>0</v>
      </c>
      <c r="CY279" s="81">
        <f t="shared" si="1812"/>
        <v>0</v>
      </c>
      <c r="CZ279" s="81">
        <f t="shared" si="1812"/>
        <v>0</v>
      </c>
      <c r="DA279" s="81">
        <f t="shared" si="1812"/>
        <v>0</v>
      </c>
      <c r="DB279" s="81">
        <f t="shared" si="1812"/>
        <v>0</v>
      </c>
      <c r="DC279" s="81">
        <f t="shared" si="1812"/>
        <v>0</v>
      </c>
      <c r="DD279" s="81">
        <f t="shared" si="1812"/>
        <v>0</v>
      </c>
      <c r="DE279" s="81">
        <f t="shared" si="1812"/>
        <v>0</v>
      </c>
      <c r="DF279" s="81">
        <f t="shared" si="1812"/>
        <v>0</v>
      </c>
      <c r="DG279" s="82">
        <f>DG280</f>
        <v>0</v>
      </c>
      <c r="DH279" s="81">
        <f>DH280</f>
        <v>0</v>
      </c>
      <c r="DI279" s="81">
        <f t="shared" ref="DI279:DQ279" si="1813">DI280</f>
        <v>0</v>
      </c>
      <c r="DJ279" s="81">
        <f t="shared" si="1813"/>
        <v>0</v>
      </c>
      <c r="DK279" s="81">
        <f t="shared" si="1813"/>
        <v>0</v>
      </c>
      <c r="DL279" s="81">
        <f t="shared" si="1813"/>
        <v>0</v>
      </c>
      <c r="DM279" s="81">
        <f t="shared" si="1813"/>
        <v>0</v>
      </c>
      <c r="DN279" s="81">
        <f t="shared" si="1813"/>
        <v>0</v>
      </c>
      <c r="DO279" s="81">
        <f t="shared" si="1813"/>
        <v>0</v>
      </c>
      <c r="DP279" s="81">
        <f t="shared" si="1813"/>
        <v>0</v>
      </c>
      <c r="DQ279" s="81">
        <f t="shared" si="1813"/>
        <v>0</v>
      </c>
      <c r="DR279" s="82">
        <f>DR280</f>
        <v>0</v>
      </c>
      <c r="DS279" s="81">
        <f>DS280</f>
        <v>0</v>
      </c>
      <c r="DT279" s="81">
        <f t="shared" ref="DT279:EB279" si="1814">DT280</f>
        <v>0</v>
      </c>
      <c r="DU279" s="81">
        <f t="shared" si="1814"/>
        <v>0</v>
      </c>
      <c r="DV279" s="81">
        <f t="shared" si="1814"/>
        <v>0</v>
      </c>
      <c r="DW279" s="81">
        <f t="shared" si="1814"/>
        <v>0</v>
      </c>
      <c r="DX279" s="81">
        <f t="shared" si="1814"/>
        <v>0</v>
      </c>
      <c r="DY279" s="81">
        <f t="shared" si="1814"/>
        <v>0</v>
      </c>
      <c r="DZ279" s="81">
        <f t="shared" si="1814"/>
        <v>0</v>
      </c>
      <c r="EA279" s="81">
        <f t="shared" si="1814"/>
        <v>0</v>
      </c>
      <c r="EB279" s="81">
        <f t="shared" si="1814"/>
        <v>0</v>
      </c>
      <c r="EC279" s="81">
        <f>EC280</f>
        <v>0</v>
      </c>
      <c r="ED279" s="81">
        <f>ED280</f>
        <v>0</v>
      </c>
      <c r="EE279" s="81">
        <f>EE280</f>
        <v>0</v>
      </c>
      <c r="EF279" s="81">
        <f t="shared" ref="EF279:EM279" si="1815">EF280</f>
        <v>0</v>
      </c>
      <c r="EG279" s="81">
        <f t="shared" si="1815"/>
        <v>0</v>
      </c>
      <c r="EH279" s="81">
        <f t="shared" si="1815"/>
        <v>0</v>
      </c>
      <c r="EI279" s="81">
        <f t="shared" si="1815"/>
        <v>0</v>
      </c>
      <c r="EJ279" s="81">
        <f t="shared" si="1815"/>
        <v>0</v>
      </c>
      <c r="EK279" s="81">
        <f t="shared" si="1815"/>
        <v>0</v>
      </c>
      <c r="EL279" s="81">
        <f t="shared" si="1815"/>
        <v>0</v>
      </c>
      <c r="EM279" s="81">
        <f t="shared" si="1815"/>
        <v>0</v>
      </c>
      <c r="EN279" s="82">
        <f>EN280</f>
        <v>0</v>
      </c>
      <c r="EO279" s="81">
        <f>EO280</f>
        <v>0</v>
      </c>
      <c r="EP279" s="81">
        <f t="shared" ref="EP279:EX279" si="1816">EP280</f>
        <v>0</v>
      </c>
      <c r="EQ279" s="81">
        <f t="shared" si="1816"/>
        <v>0</v>
      </c>
      <c r="ER279" s="81">
        <f t="shared" si="1816"/>
        <v>0</v>
      </c>
      <c r="ES279" s="81">
        <f t="shared" si="1816"/>
        <v>0</v>
      </c>
      <c r="ET279" s="81">
        <f t="shared" si="1816"/>
        <v>0</v>
      </c>
      <c r="EU279" s="81">
        <f t="shared" si="1816"/>
        <v>0</v>
      </c>
      <c r="EV279" s="81">
        <f t="shared" si="1816"/>
        <v>0</v>
      </c>
      <c r="EW279" s="81">
        <f t="shared" si="1816"/>
        <v>0</v>
      </c>
      <c r="EX279" s="81">
        <f t="shared" si="1816"/>
        <v>0</v>
      </c>
      <c r="EY279" s="82">
        <f>EY280</f>
        <v>0</v>
      </c>
      <c r="EZ279" s="81">
        <f>EZ280</f>
        <v>0</v>
      </c>
      <c r="FA279" s="81">
        <f t="shared" ref="FA279:FI279" si="1817">FA280</f>
        <v>0</v>
      </c>
      <c r="FB279" s="81">
        <f t="shared" si="1817"/>
        <v>0</v>
      </c>
      <c r="FC279" s="81">
        <f t="shared" si="1817"/>
        <v>0</v>
      </c>
      <c r="FD279" s="81">
        <f t="shared" si="1817"/>
        <v>0</v>
      </c>
      <c r="FE279" s="81">
        <f t="shared" si="1817"/>
        <v>0</v>
      </c>
      <c r="FF279" s="81">
        <f t="shared" si="1817"/>
        <v>0</v>
      </c>
      <c r="FG279" s="81">
        <f t="shared" si="1817"/>
        <v>0</v>
      </c>
      <c r="FH279" s="81">
        <f t="shared" si="1817"/>
        <v>0</v>
      </c>
      <c r="FI279" s="81">
        <f t="shared" si="1817"/>
        <v>0</v>
      </c>
      <c r="FJ279" s="82">
        <f>FJ280</f>
        <v>0</v>
      </c>
      <c r="FK279" s="81">
        <f>FK280</f>
        <v>0</v>
      </c>
      <c r="FL279" s="81">
        <f t="shared" ref="FL279:FT279" si="1818">FL280</f>
        <v>0</v>
      </c>
      <c r="FM279" s="81">
        <f t="shared" si="1818"/>
        <v>0</v>
      </c>
      <c r="FN279" s="81">
        <f t="shared" si="1818"/>
        <v>0</v>
      </c>
      <c r="FO279" s="81">
        <f t="shared" si="1818"/>
        <v>0</v>
      </c>
      <c r="FP279" s="81">
        <f t="shared" si="1818"/>
        <v>0</v>
      </c>
      <c r="FQ279" s="81">
        <f t="shared" si="1818"/>
        <v>0</v>
      </c>
      <c r="FR279" s="81">
        <f t="shared" si="1818"/>
        <v>0</v>
      </c>
      <c r="FS279" s="81">
        <f t="shared" si="1818"/>
        <v>0</v>
      </c>
      <c r="FT279" s="81">
        <f t="shared" si="1818"/>
        <v>0</v>
      </c>
      <c r="FU279" s="82">
        <f>FU280</f>
        <v>0</v>
      </c>
      <c r="FV279" s="81">
        <f>FV280</f>
        <v>0</v>
      </c>
      <c r="FW279" s="81">
        <f>FW280</f>
        <v>0</v>
      </c>
      <c r="FX279" s="81">
        <f t="shared" ref="FX279:GE279" si="1819">FX280</f>
        <v>0</v>
      </c>
      <c r="FY279" s="81">
        <f t="shared" si="1819"/>
        <v>0</v>
      </c>
      <c r="FZ279" s="81">
        <f t="shared" si="1819"/>
        <v>0</v>
      </c>
      <c r="GA279" s="81">
        <f t="shared" si="1819"/>
        <v>0</v>
      </c>
      <c r="GB279" s="81">
        <f t="shared" si="1819"/>
        <v>0</v>
      </c>
      <c r="GC279" s="81">
        <f t="shared" si="1819"/>
        <v>0</v>
      </c>
      <c r="GD279" s="81">
        <f t="shared" si="1819"/>
        <v>0</v>
      </c>
      <c r="GE279" s="81">
        <f t="shared" si="1819"/>
        <v>0</v>
      </c>
      <c r="GF279" s="82">
        <f>GF280</f>
        <v>0</v>
      </c>
      <c r="GG279" s="81">
        <f>GG280</f>
        <v>0</v>
      </c>
      <c r="GH279" s="81">
        <f t="shared" ref="GH279:GP279" si="1820">GH280</f>
        <v>0</v>
      </c>
      <c r="GI279" s="81">
        <f t="shared" si="1820"/>
        <v>0</v>
      </c>
      <c r="GJ279" s="81">
        <f t="shared" si="1820"/>
        <v>0</v>
      </c>
      <c r="GK279" s="81">
        <f t="shared" si="1820"/>
        <v>0</v>
      </c>
      <c r="GL279" s="81">
        <f t="shared" si="1820"/>
        <v>0</v>
      </c>
      <c r="GM279" s="81">
        <f t="shared" si="1820"/>
        <v>0</v>
      </c>
      <c r="GN279" s="81">
        <f t="shared" si="1820"/>
        <v>0</v>
      </c>
      <c r="GO279" s="81">
        <f t="shared" si="1820"/>
        <v>0</v>
      </c>
      <c r="GP279" s="81">
        <f t="shared" si="1820"/>
        <v>0</v>
      </c>
      <c r="GQ279" s="82">
        <f t="shared" ref="GQ279:GV279" si="1821">GQ280</f>
        <v>0</v>
      </c>
      <c r="GR279" s="81">
        <f t="shared" si="1821"/>
        <v>0</v>
      </c>
      <c r="GS279" s="81">
        <f t="shared" si="1821"/>
        <v>0</v>
      </c>
      <c r="GT279" s="81">
        <f t="shared" si="1821"/>
        <v>0</v>
      </c>
      <c r="GU279" s="81">
        <f t="shared" si="1821"/>
        <v>0</v>
      </c>
      <c r="GV279" s="81">
        <f t="shared" si="1821"/>
        <v>0</v>
      </c>
      <c r="GW279" s="81">
        <f t="shared" ref="GW279:HJ279" si="1822">GW280</f>
        <v>0</v>
      </c>
      <c r="GX279" s="81">
        <f t="shared" si="1822"/>
        <v>0</v>
      </c>
      <c r="GY279" s="81">
        <f t="shared" si="1822"/>
        <v>0</v>
      </c>
      <c r="GZ279" s="81">
        <f t="shared" si="1822"/>
        <v>0</v>
      </c>
      <c r="HA279" s="81">
        <f>HA280</f>
        <v>0</v>
      </c>
      <c r="HB279" s="81">
        <f t="shared" si="1822"/>
        <v>0</v>
      </c>
      <c r="HC279" s="81">
        <f t="shared" si="1822"/>
        <v>0</v>
      </c>
      <c r="HD279" s="81">
        <f t="shared" si="1822"/>
        <v>0</v>
      </c>
      <c r="HE279" s="81">
        <f t="shared" si="1822"/>
        <v>0</v>
      </c>
      <c r="HF279" s="81">
        <f>HF280</f>
        <v>0</v>
      </c>
      <c r="HG279" s="81">
        <f t="shared" si="1822"/>
        <v>0</v>
      </c>
      <c r="HH279" s="81">
        <f t="shared" si="1822"/>
        <v>0</v>
      </c>
      <c r="HI279" s="81">
        <f t="shared" si="1822"/>
        <v>0</v>
      </c>
      <c r="HJ279" s="81">
        <f t="shared" si="1822"/>
        <v>0</v>
      </c>
      <c r="HK279" s="81">
        <f t="shared" ref="HK279:HP279" si="1823">HK280</f>
        <v>0</v>
      </c>
      <c r="HL279" s="81">
        <f t="shared" si="1823"/>
        <v>0</v>
      </c>
      <c r="HM279" s="81">
        <f t="shared" si="1823"/>
        <v>0</v>
      </c>
      <c r="HN279" s="81">
        <f t="shared" si="1823"/>
        <v>0</v>
      </c>
      <c r="HO279" s="81">
        <f t="shared" si="1823"/>
        <v>0</v>
      </c>
      <c r="HP279" s="81">
        <f t="shared" si="1823"/>
        <v>0</v>
      </c>
      <c r="HQ279" s="81">
        <f t="shared" ref="HQ279:ID279" si="1824">HQ280</f>
        <v>0</v>
      </c>
      <c r="HR279" s="81">
        <f t="shared" si="1824"/>
        <v>0</v>
      </c>
      <c r="HS279" s="81">
        <f t="shared" si="1824"/>
        <v>0</v>
      </c>
      <c r="HT279" s="81">
        <f t="shared" si="1824"/>
        <v>0</v>
      </c>
      <c r="HU279" s="81">
        <f>HU280</f>
        <v>0</v>
      </c>
      <c r="HV279" s="81">
        <f t="shared" si="1824"/>
        <v>0</v>
      </c>
      <c r="HW279" s="81">
        <f t="shared" si="1824"/>
        <v>0</v>
      </c>
      <c r="HX279" s="81">
        <f t="shared" si="1824"/>
        <v>0</v>
      </c>
      <c r="HY279" s="81">
        <f t="shared" si="1824"/>
        <v>0</v>
      </c>
      <c r="HZ279" s="81">
        <f>HZ280</f>
        <v>0</v>
      </c>
      <c r="IA279" s="81">
        <f t="shared" si="1824"/>
        <v>0</v>
      </c>
      <c r="IB279" s="81">
        <f t="shared" si="1824"/>
        <v>0</v>
      </c>
      <c r="IC279" s="81">
        <f t="shared" si="1824"/>
        <v>0</v>
      </c>
      <c r="ID279" s="81">
        <f t="shared" si="1824"/>
        <v>0</v>
      </c>
      <c r="IE279" s="81">
        <f t="shared" ref="IE279:IJ279" si="1825">IE280</f>
        <v>0</v>
      </c>
      <c r="IF279" s="81">
        <f t="shared" si="1825"/>
        <v>0</v>
      </c>
      <c r="IG279" s="81">
        <f t="shared" si="1825"/>
        <v>0</v>
      </c>
      <c r="IH279" s="81">
        <f t="shared" si="1825"/>
        <v>0</v>
      </c>
      <c r="II279" s="81">
        <f t="shared" si="1825"/>
        <v>0</v>
      </c>
      <c r="IJ279" s="81">
        <f t="shared" si="1825"/>
        <v>0</v>
      </c>
      <c r="IK279" s="81">
        <f t="shared" ref="IK279:IV279" si="1826">IK280</f>
        <v>0</v>
      </c>
      <c r="IL279" s="81">
        <f t="shared" si="1826"/>
        <v>0</v>
      </c>
      <c r="IM279" s="81">
        <f t="shared" si="1826"/>
        <v>0</v>
      </c>
      <c r="IN279" s="81">
        <f t="shared" si="1826"/>
        <v>0</v>
      </c>
      <c r="IO279" s="81">
        <f>IO280</f>
        <v>0</v>
      </c>
      <c r="IP279" s="81">
        <f t="shared" si="1826"/>
        <v>0</v>
      </c>
      <c r="IQ279" s="81">
        <f t="shared" si="1826"/>
        <v>0</v>
      </c>
      <c r="IR279" s="81">
        <f t="shared" si="1826"/>
        <v>0</v>
      </c>
      <c r="IS279" s="81">
        <f t="shared" si="1826"/>
        <v>0</v>
      </c>
      <c r="IT279" s="81">
        <f>IT280</f>
        <v>0</v>
      </c>
      <c r="IU279" s="81">
        <f t="shared" si="1826"/>
        <v>0</v>
      </c>
      <c r="IV279" s="81">
        <f t="shared" si="1826"/>
        <v>0</v>
      </c>
    </row>
    <row r="280" spans="1:256" x14ac:dyDescent="0.25">
      <c r="A280" s="84" t="s">
        <v>221</v>
      </c>
      <c r="B280" s="116">
        <f>SUM(B297:B297)</f>
        <v>0</v>
      </c>
      <c r="C280" s="166">
        <f t="shared" ref="C280:K280" si="1827">SUM(C281,C294,C296)</f>
        <v>0</v>
      </c>
      <c r="D280" s="166">
        <f t="shared" si="1827"/>
        <v>0</v>
      </c>
      <c r="E280" s="166">
        <f t="shared" si="1827"/>
        <v>0</v>
      </c>
      <c r="F280" s="166">
        <f t="shared" si="1827"/>
        <v>0</v>
      </c>
      <c r="G280" s="166">
        <f t="shared" si="1827"/>
        <v>2</v>
      </c>
      <c r="H280" s="166">
        <f t="shared" si="1827"/>
        <v>0</v>
      </c>
      <c r="I280" s="166">
        <f t="shared" si="1827"/>
        <v>0</v>
      </c>
      <c r="J280" s="166">
        <f t="shared" si="1827"/>
        <v>0</v>
      </c>
      <c r="K280" s="166">
        <f t="shared" si="1827"/>
        <v>0</v>
      </c>
      <c r="L280" s="96">
        <f>SUM(L281,L294,L296)</f>
        <v>0</v>
      </c>
      <c r="M280" s="116">
        <f>SUM(M297:M297)</f>
        <v>0</v>
      </c>
      <c r="N280" s="166">
        <f t="shared" ref="N280:V280" si="1828">SUM(N281,N294,N296)</f>
        <v>0</v>
      </c>
      <c r="O280" s="166">
        <f t="shared" si="1828"/>
        <v>0</v>
      </c>
      <c r="P280" s="166">
        <f t="shared" si="1828"/>
        <v>0</v>
      </c>
      <c r="Q280" s="166">
        <f t="shared" si="1828"/>
        <v>0</v>
      </c>
      <c r="R280" s="166">
        <f t="shared" si="1828"/>
        <v>0</v>
      </c>
      <c r="S280" s="166">
        <f t="shared" si="1828"/>
        <v>0</v>
      </c>
      <c r="T280" s="166">
        <f t="shared" si="1828"/>
        <v>0</v>
      </c>
      <c r="U280" s="166">
        <f t="shared" si="1828"/>
        <v>0</v>
      </c>
      <c r="V280" s="166">
        <f t="shared" si="1828"/>
        <v>0</v>
      </c>
      <c r="W280" s="96">
        <f>SUM(W281,W294,W296)</f>
        <v>0</v>
      </c>
      <c r="X280" s="116">
        <f>SUM(X297:X297)</f>
        <v>0</v>
      </c>
      <c r="Y280" s="166">
        <f t="shared" ref="Y280:AG280" si="1829">SUM(Y281,Y294,Y296)</f>
        <v>0</v>
      </c>
      <c r="Z280" s="166">
        <f t="shared" si="1829"/>
        <v>0</v>
      </c>
      <c r="AA280" s="166">
        <f t="shared" si="1829"/>
        <v>0</v>
      </c>
      <c r="AB280" s="166">
        <f t="shared" si="1829"/>
        <v>0</v>
      </c>
      <c r="AC280" s="166">
        <f t="shared" si="1829"/>
        <v>0</v>
      </c>
      <c r="AD280" s="166">
        <f t="shared" si="1829"/>
        <v>0</v>
      </c>
      <c r="AE280" s="166">
        <f t="shared" si="1829"/>
        <v>0</v>
      </c>
      <c r="AF280" s="166">
        <f t="shared" si="1829"/>
        <v>0</v>
      </c>
      <c r="AG280" s="166">
        <f t="shared" si="1829"/>
        <v>0</v>
      </c>
      <c r="AH280" s="96">
        <f>SUM(AH281,AH294,AH296)</f>
        <v>0</v>
      </c>
      <c r="AI280" s="116">
        <f>SUM(AI297:AI297)</f>
        <v>0</v>
      </c>
      <c r="AJ280" s="166">
        <f t="shared" ref="AJ280:AR280" si="1830">SUM(AJ281,AJ294,AJ296)</f>
        <v>0</v>
      </c>
      <c r="AK280" s="166">
        <f t="shared" si="1830"/>
        <v>0</v>
      </c>
      <c r="AL280" s="166">
        <f t="shared" si="1830"/>
        <v>0</v>
      </c>
      <c r="AM280" s="166">
        <f t="shared" si="1830"/>
        <v>0</v>
      </c>
      <c r="AN280" s="166">
        <f t="shared" si="1830"/>
        <v>0</v>
      </c>
      <c r="AO280" s="166">
        <f t="shared" si="1830"/>
        <v>0</v>
      </c>
      <c r="AP280" s="166">
        <f t="shared" si="1830"/>
        <v>0</v>
      </c>
      <c r="AQ280" s="166">
        <f t="shared" si="1830"/>
        <v>0</v>
      </c>
      <c r="AR280" s="166">
        <f t="shared" si="1830"/>
        <v>0</v>
      </c>
      <c r="AS280" s="96">
        <f>SUM(AS281,AS294,AS296)</f>
        <v>0</v>
      </c>
      <c r="AT280" s="116">
        <f>SUM(AT297:AT297)</f>
        <v>0</v>
      </c>
      <c r="AU280" s="116">
        <f>SUM(AU281,AU294,AU296)</f>
        <v>0</v>
      </c>
      <c r="AV280" s="116">
        <f t="shared" ref="AV280:BC280" si="1831">SUM(AV281,AV294,AV296)</f>
        <v>0</v>
      </c>
      <c r="AW280" s="116">
        <f t="shared" si="1831"/>
        <v>0</v>
      </c>
      <c r="AX280" s="116">
        <f t="shared" si="1831"/>
        <v>0</v>
      </c>
      <c r="AY280" s="116">
        <f t="shared" si="1831"/>
        <v>0</v>
      </c>
      <c r="AZ280" s="116">
        <f t="shared" si="1831"/>
        <v>0</v>
      </c>
      <c r="BA280" s="116">
        <f t="shared" si="1831"/>
        <v>0</v>
      </c>
      <c r="BB280" s="116">
        <f t="shared" si="1831"/>
        <v>0</v>
      </c>
      <c r="BC280" s="116">
        <f t="shared" si="1831"/>
        <v>0</v>
      </c>
      <c r="BD280" s="96">
        <f>SUM(BD281,BD294,BD296)</f>
        <v>0</v>
      </c>
      <c r="BE280" s="116">
        <f>SUM(BE297:BE297)</f>
        <v>0</v>
      </c>
      <c r="BF280" s="166">
        <f t="shared" ref="BF280:BN280" si="1832">SUM(BF281,BF294,BF296)</f>
        <v>0</v>
      </c>
      <c r="BG280" s="166">
        <f t="shared" si="1832"/>
        <v>0</v>
      </c>
      <c r="BH280" s="166">
        <f t="shared" si="1832"/>
        <v>0</v>
      </c>
      <c r="BI280" s="166">
        <f t="shared" si="1832"/>
        <v>0</v>
      </c>
      <c r="BJ280" s="166">
        <f t="shared" si="1832"/>
        <v>0</v>
      </c>
      <c r="BK280" s="166">
        <f t="shared" si="1832"/>
        <v>0</v>
      </c>
      <c r="BL280" s="166">
        <f t="shared" si="1832"/>
        <v>0</v>
      </c>
      <c r="BM280" s="166">
        <f t="shared" si="1832"/>
        <v>0</v>
      </c>
      <c r="BN280" s="166">
        <f t="shared" si="1832"/>
        <v>0</v>
      </c>
      <c r="BO280" s="96">
        <f>SUM(BO281,BO294,BO296)</f>
        <v>0</v>
      </c>
      <c r="BP280" s="116">
        <f>SUM(BP297:BP297)</f>
        <v>0</v>
      </c>
      <c r="BQ280" s="166">
        <f t="shared" ref="BQ280:BY280" si="1833">SUM(BQ281,BQ294,BQ296)</f>
        <v>0</v>
      </c>
      <c r="BR280" s="166">
        <f t="shared" si="1833"/>
        <v>0</v>
      </c>
      <c r="BS280" s="166">
        <f t="shared" si="1833"/>
        <v>0</v>
      </c>
      <c r="BT280" s="166">
        <f t="shared" si="1833"/>
        <v>0</v>
      </c>
      <c r="BU280" s="166">
        <f t="shared" si="1833"/>
        <v>0</v>
      </c>
      <c r="BV280" s="166">
        <f t="shared" si="1833"/>
        <v>0</v>
      </c>
      <c r="BW280" s="166">
        <f t="shared" si="1833"/>
        <v>0</v>
      </c>
      <c r="BX280" s="166">
        <f t="shared" si="1833"/>
        <v>0</v>
      </c>
      <c r="BY280" s="166">
        <f t="shared" si="1833"/>
        <v>0</v>
      </c>
      <c r="BZ280" s="96">
        <f>SUM(BZ281,BZ294,BZ296)</f>
        <v>0</v>
      </c>
      <c r="CA280" s="116">
        <f>SUM(CA297:CA297)</f>
        <v>0</v>
      </c>
      <c r="CB280" s="166">
        <f t="shared" ref="CB280:CJ280" si="1834">SUM(CB281,CB294,CB296)</f>
        <v>0</v>
      </c>
      <c r="CC280" s="166">
        <f t="shared" si="1834"/>
        <v>0</v>
      </c>
      <c r="CD280" s="166">
        <f t="shared" si="1834"/>
        <v>0</v>
      </c>
      <c r="CE280" s="166">
        <f t="shared" si="1834"/>
        <v>0</v>
      </c>
      <c r="CF280" s="166">
        <f t="shared" si="1834"/>
        <v>0</v>
      </c>
      <c r="CG280" s="166">
        <f t="shared" si="1834"/>
        <v>0</v>
      </c>
      <c r="CH280" s="166">
        <f t="shared" si="1834"/>
        <v>0</v>
      </c>
      <c r="CI280" s="166">
        <f t="shared" si="1834"/>
        <v>0</v>
      </c>
      <c r="CJ280" s="166">
        <f t="shared" si="1834"/>
        <v>0</v>
      </c>
      <c r="CK280" s="96">
        <f>SUM(CK281,CK294,CK296)</f>
        <v>0</v>
      </c>
      <c r="CL280" s="116">
        <f>SUM(CL297:CL297)</f>
        <v>0</v>
      </c>
      <c r="CM280" s="116">
        <f>SUM(CM281,CM294,CM296)</f>
        <v>0</v>
      </c>
      <c r="CN280" s="116">
        <f t="shared" ref="CN280:CU280" si="1835">SUM(CN281,CN294,CN296)</f>
        <v>0</v>
      </c>
      <c r="CO280" s="116">
        <f t="shared" si="1835"/>
        <v>0</v>
      </c>
      <c r="CP280" s="116">
        <f t="shared" si="1835"/>
        <v>0</v>
      </c>
      <c r="CQ280" s="116">
        <f t="shared" si="1835"/>
        <v>0</v>
      </c>
      <c r="CR280" s="116">
        <f t="shared" si="1835"/>
        <v>0</v>
      </c>
      <c r="CS280" s="116">
        <f t="shared" si="1835"/>
        <v>0</v>
      </c>
      <c r="CT280" s="116">
        <f t="shared" si="1835"/>
        <v>0</v>
      </c>
      <c r="CU280" s="116">
        <f t="shared" si="1835"/>
        <v>0</v>
      </c>
      <c r="CV280" s="96">
        <f>SUM(CV281,CV294,CV296)</f>
        <v>0</v>
      </c>
      <c r="CW280" s="116">
        <f>SUM(CW297:CW297)</f>
        <v>0</v>
      </c>
      <c r="CX280" s="166">
        <f t="shared" ref="CX280:DF280" si="1836">SUM(CX281,CX294,CX296)</f>
        <v>0</v>
      </c>
      <c r="CY280" s="166">
        <f t="shared" si="1836"/>
        <v>0</v>
      </c>
      <c r="CZ280" s="166">
        <f t="shared" si="1836"/>
        <v>0</v>
      </c>
      <c r="DA280" s="166">
        <f t="shared" si="1836"/>
        <v>0</v>
      </c>
      <c r="DB280" s="166">
        <f t="shared" si="1836"/>
        <v>0</v>
      </c>
      <c r="DC280" s="166">
        <f t="shared" si="1836"/>
        <v>0</v>
      </c>
      <c r="DD280" s="166">
        <f t="shared" si="1836"/>
        <v>0</v>
      </c>
      <c r="DE280" s="166">
        <f t="shared" si="1836"/>
        <v>0</v>
      </c>
      <c r="DF280" s="166">
        <f t="shared" si="1836"/>
        <v>0</v>
      </c>
      <c r="DG280" s="96">
        <f>SUM(DG281,DG294,DG296)</f>
        <v>0</v>
      </c>
      <c r="DH280" s="116">
        <f>SUM(DH297:DH297)</f>
        <v>0</v>
      </c>
      <c r="DI280" s="166">
        <f t="shared" ref="DI280:DQ280" si="1837">SUM(DI281,DI294,DI296)</f>
        <v>0</v>
      </c>
      <c r="DJ280" s="166">
        <f t="shared" si="1837"/>
        <v>0</v>
      </c>
      <c r="DK280" s="166">
        <f t="shared" si="1837"/>
        <v>0</v>
      </c>
      <c r="DL280" s="166">
        <f t="shared" si="1837"/>
        <v>0</v>
      </c>
      <c r="DM280" s="166">
        <f t="shared" si="1837"/>
        <v>0</v>
      </c>
      <c r="DN280" s="166">
        <f t="shared" si="1837"/>
        <v>0</v>
      </c>
      <c r="DO280" s="166">
        <f t="shared" si="1837"/>
        <v>0</v>
      </c>
      <c r="DP280" s="166">
        <f t="shared" si="1837"/>
        <v>0</v>
      </c>
      <c r="DQ280" s="166">
        <f t="shared" si="1837"/>
        <v>0</v>
      </c>
      <c r="DR280" s="96">
        <f>SUM(DR281,DR294,DR296)</f>
        <v>0</v>
      </c>
      <c r="DS280" s="116">
        <f>SUM(DS297:DS297)</f>
        <v>0</v>
      </c>
      <c r="DT280" s="166">
        <f t="shared" ref="DT280:EB280" si="1838">SUM(DT281,DT294,DT296)</f>
        <v>0</v>
      </c>
      <c r="DU280" s="166">
        <f t="shared" si="1838"/>
        <v>0</v>
      </c>
      <c r="DV280" s="166">
        <f t="shared" si="1838"/>
        <v>0</v>
      </c>
      <c r="DW280" s="166">
        <f t="shared" si="1838"/>
        <v>0</v>
      </c>
      <c r="DX280" s="166">
        <f t="shared" si="1838"/>
        <v>0</v>
      </c>
      <c r="DY280" s="166">
        <f t="shared" si="1838"/>
        <v>0</v>
      </c>
      <c r="DZ280" s="166">
        <f t="shared" si="1838"/>
        <v>0</v>
      </c>
      <c r="EA280" s="166">
        <f t="shared" si="1838"/>
        <v>0</v>
      </c>
      <c r="EB280" s="166">
        <f t="shared" si="1838"/>
        <v>0</v>
      </c>
      <c r="EC280" s="166">
        <f>SUM(EC281,EC294,EC296)</f>
        <v>0</v>
      </c>
      <c r="ED280" s="116">
        <f>SUM(ED297:ED297)</f>
        <v>0</v>
      </c>
      <c r="EE280" s="116">
        <f>SUM(EE281,EE294,EE296)</f>
        <v>0</v>
      </c>
      <c r="EF280" s="116">
        <f t="shared" ref="EF280:EM280" si="1839">SUM(EF281,EF294,EF296)</f>
        <v>0</v>
      </c>
      <c r="EG280" s="116">
        <f t="shared" si="1839"/>
        <v>0</v>
      </c>
      <c r="EH280" s="116">
        <f t="shared" si="1839"/>
        <v>0</v>
      </c>
      <c r="EI280" s="116">
        <f t="shared" si="1839"/>
        <v>0</v>
      </c>
      <c r="EJ280" s="116">
        <f t="shared" si="1839"/>
        <v>0</v>
      </c>
      <c r="EK280" s="116">
        <f t="shared" si="1839"/>
        <v>0</v>
      </c>
      <c r="EL280" s="116">
        <f t="shared" si="1839"/>
        <v>0</v>
      </c>
      <c r="EM280" s="116">
        <f t="shared" si="1839"/>
        <v>0</v>
      </c>
      <c r="EN280" s="96">
        <f>SUM(EN281,EN294,EN296)</f>
        <v>0</v>
      </c>
      <c r="EO280" s="116">
        <f>SUM(EO297:EO297)</f>
        <v>0</v>
      </c>
      <c r="EP280" s="166">
        <f t="shared" ref="EP280:EX280" si="1840">SUM(EP281,EP294,EP296)</f>
        <v>0</v>
      </c>
      <c r="EQ280" s="166">
        <f t="shared" si="1840"/>
        <v>0</v>
      </c>
      <c r="ER280" s="166">
        <f t="shared" si="1840"/>
        <v>0</v>
      </c>
      <c r="ES280" s="166">
        <f t="shared" si="1840"/>
        <v>0</v>
      </c>
      <c r="ET280" s="166">
        <f t="shared" si="1840"/>
        <v>0</v>
      </c>
      <c r="EU280" s="166">
        <f t="shared" si="1840"/>
        <v>0</v>
      </c>
      <c r="EV280" s="166">
        <f t="shared" si="1840"/>
        <v>0</v>
      </c>
      <c r="EW280" s="166">
        <f t="shared" si="1840"/>
        <v>0</v>
      </c>
      <c r="EX280" s="166">
        <f t="shared" si="1840"/>
        <v>0</v>
      </c>
      <c r="EY280" s="96">
        <f>SUM(EY281,EY294,EY296)</f>
        <v>0</v>
      </c>
      <c r="EZ280" s="116">
        <f>SUM(EZ297:EZ297)</f>
        <v>0</v>
      </c>
      <c r="FA280" s="166">
        <f t="shared" ref="FA280:FI280" si="1841">SUM(FA281,FA294,FA296)</f>
        <v>0</v>
      </c>
      <c r="FB280" s="166">
        <f t="shared" si="1841"/>
        <v>0</v>
      </c>
      <c r="FC280" s="166">
        <f t="shared" si="1841"/>
        <v>0</v>
      </c>
      <c r="FD280" s="166">
        <f t="shared" si="1841"/>
        <v>0</v>
      </c>
      <c r="FE280" s="166">
        <f t="shared" si="1841"/>
        <v>0</v>
      </c>
      <c r="FF280" s="166">
        <f t="shared" si="1841"/>
        <v>0</v>
      </c>
      <c r="FG280" s="166">
        <f t="shared" si="1841"/>
        <v>0</v>
      </c>
      <c r="FH280" s="166">
        <f t="shared" si="1841"/>
        <v>0</v>
      </c>
      <c r="FI280" s="166">
        <f t="shared" si="1841"/>
        <v>0</v>
      </c>
      <c r="FJ280" s="96">
        <f>SUM(FJ281,FJ294,FJ296)</f>
        <v>0</v>
      </c>
      <c r="FK280" s="116">
        <f>SUM(FK297:FK297)</f>
        <v>0</v>
      </c>
      <c r="FL280" s="166">
        <f t="shared" ref="FL280:FT280" si="1842">SUM(FL281,FL294,FL296)</f>
        <v>0</v>
      </c>
      <c r="FM280" s="166">
        <f t="shared" si="1842"/>
        <v>0</v>
      </c>
      <c r="FN280" s="166">
        <f t="shared" si="1842"/>
        <v>0</v>
      </c>
      <c r="FO280" s="166">
        <f t="shared" si="1842"/>
        <v>0</v>
      </c>
      <c r="FP280" s="166">
        <f t="shared" si="1842"/>
        <v>0</v>
      </c>
      <c r="FQ280" s="166">
        <f t="shared" si="1842"/>
        <v>0</v>
      </c>
      <c r="FR280" s="166">
        <f t="shared" si="1842"/>
        <v>0</v>
      </c>
      <c r="FS280" s="166">
        <f t="shared" si="1842"/>
        <v>0</v>
      </c>
      <c r="FT280" s="166">
        <f t="shared" si="1842"/>
        <v>0</v>
      </c>
      <c r="FU280" s="96">
        <f>SUM(FU281,FU294,FU296)</f>
        <v>0</v>
      </c>
      <c r="FV280" s="116">
        <f>SUM(FV297:FV297)</f>
        <v>0</v>
      </c>
      <c r="FW280" s="116">
        <f>SUM(FW281,FW294,FW296)</f>
        <v>0</v>
      </c>
      <c r="FX280" s="116">
        <f t="shared" ref="FX280:GE280" si="1843">SUM(FX281,FX294,FX296)</f>
        <v>0</v>
      </c>
      <c r="FY280" s="116">
        <f t="shared" si="1843"/>
        <v>0</v>
      </c>
      <c r="FZ280" s="116">
        <f t="shared" si="1843"/>
        <v>0</v>
      </c>
      <c r="GA280" s="116">
        <f t="shared" si="1843"/>
        <v>0</v>
      </c>
      <c r="GB280" s="116">
        <f t="shared" si="1843"/>
        <v>0</v>
      </c>
      <c r="GC280" s="116">
        <f t="shared" si="1843"/>
        <v>0</v>
      </c>
      <c r="GD280" s="116">
        <f t="shared" si="1843"/>
        <v>0</v>
      </c>
      <c r="GE280" s="116">
        <f t="shared" si="1843"/>
        <v>0</v>
      </c>
      <c r="GF280" s="96">
        <f>SUM(GF281,GF294,GF296)</f>
        <v>0</v>
      </c>
      <c r="GG280" s="116">
        <f>SUM(GG297:GG297)</f>
        <v>0</v>
      </c>
      <c r="GH280" s="166">
        <f t="shared" ref="GH280:GP280" si="1844">SUM(GH281,GH294,GH296)</f>
        <v>0</v>
      </c>
      <c r="GI280" s="166">
        <f t="shared" si="1844"/>
        <v>0</v>
      </c>
      <c r="GJ280" s="166">
        <f t="shared" si="1844"/>
        <v>0</v>
      </c>
      <c r="GK280" s="166">
        <f t="shared" si="1844"/>
        <v>0</v>
      </c>
      <c r="GL280" s="166">
        <f t="shared" si="1844"/>
        <v>0</v>
      </c>
      <c r="GM280" s="166">
        <f t="shared" si="1844"/>
        <v>0</v>
      </c>
      <c r="GN280" s="166">
        <f t="shared" si="1844"/>
        <v>0</v>
      </c>
      <c r="GO280" s="166">
        <f t="shared" si="1844"/>
        <v>0</v>
      </c>
      <c r="GP280" s="166">
        <f t="shared" si="1844"/>
        <v>0</v>
      </c>
      <c r="GQ280" s="96">
        <f t="shared" ref="GQ280:HV280" si="1845">SUM(GQ281,GQ294,GQ296)</f>
        <v>0</v>
      </c>
      <c r="GR280" s="166">
        <f t="shared" si="1845"/>
        <v>0</v>
      </c>
      <c r="GS280" s="166">
        <f t="shared" si="1845"/>
        <v>0</v>
      </c>
      <c r="GT280" s="166">
        <f t="shared" si="1845"/>
        <v>0</v>
      </c>
      <c r="GU280" s="166">
        <f t="shared" si="1845"/>
        <v>0</v>
      </c>
      <c r="GV280" s="166">
        <f t="shared" si="1845"/>
        <v>0</v>
      </c>
      <c r="GW280" s="166">
        <f t="shared" si="1845"/>
        <v>0</v>
      </c>
      <c r="GX280" s="166">
        <f t="shared" si="1845"/>
        <v>0</v>
      </c>
      <c r="GY280" s="166">
        <f t="shared" si="1845"/>
        <v>0</v>
      </c>
      <c r="GZ280" s="166">
        <f t="shared" si="1845"/>
        <v>0</v>
      </c>
      <c r="HA280" s="166">
        <f t="shared" si="1845"/>
        <v>0</v>
      </c>
      <c r="HB280" s="166">
        <f t="shared" si="1845"/>
        <v>0</v>
      </c>
      <c r="HC280" s="166">
        <f t="shared" si="1845"/>
        <v>0</v>
      </c>
      <c r="HD280" s="166">
        <f t="shared" si="1845"/>
        <v>0</v>
      </c>
      <c r="HE280" s="166">
        <f t="shared" si="1845"/>
        <v>0</v>
      </c>
      <c r="HF280" s="166">
        <f t="shared" si="1845"/>
        <v>0</v>
      </c>
      <c r="HG280" s="166">
        <f t="shared" si="1845"/>
        <v>0</v>
      </c>
      <c r="HH280" s="166">
        <f t="shared" si="1845"/>
        <v>0</v>
      </c>
      <c r="HI280" s="166">
        <f t="shared" si="1845"/>
        <v>0</v>
      </c>
      <c r="HJ280" s="166">
        <f t="shared" si="1845"/>
        <v>0</v>
      </c>
      <c r="HK280" s="166">
        <f t="shared" si="1845"/>
        <v>0</v>
      </c>
      <c r="HL280" s="166">
        <f t="shared" si="1845"/>
        <v>0</v>
      </c>
      <c r="HM280" s="166">
        <f t="shared" si="1845"/>
        <v>0</v>
      </c>
      <c r="HN280" s="166">
        <f t="shared" si="1845"/>
        <v>0</v>
      </c>
      <c r="HO280" s="166">
        <f t="shared" si="1845"/>
        <v>0</v>
      </c>
      <c r="HP280" s="166">
        <f t="shared" si="1845"/>
        <v>0</v>
      </c>
      <c r="HQ280" s="166">
        <f t="shared" si="1845"/>
        <v>0</v>
      </c>
      <c r="HR280" s="166">
        <f t="shared" si="1845"/>
        <v>0</v>
      </c>
      <c r="HS280" s="166">
        <f t="shared" si="1845"/>
        <v>0</v>
      </c>
      <c r="HT280" s="166">
        <f t="shared" si="1845"/>
        <v>0</v>
      </c>
      <c r="HU280" s="166">
        <f t="shared" si="1845"/>
        <v>0</v>
      </c>
      <c r="HV280" s="166">
        <f t="shared" si="1845"/>
        <v>0</v>
      </c>
      <c r="HW280" s="166">
        <f t="shared" ref="HW280:IV280" si="1846">SUM(HW281,HW294,HW296)</f>
        <v>0</v>
      </c>
      <c r="HX280" s="166">
        <f t="shared" si="1846"/>
        <v>0</v>
      </c>
      <c r="HY280" s="166">
        <f t="shared" si="1846"/>
        <v>0</v>
      </c>
      <c r="HZ280" s="166">
        <f t="shared" si="1846"/>
        <v>0</v>
      </c>
      <c r="IA280" s="166">
        <f t="shared" si="1846"/>
        <v>0</v>
      </c>
      <c r="IB280" s="166">
        <f t="shared" si="1846"/>
        <v>0</v>
      </c>
      <c r="IC280" s="166">
        <f t="shared" si="1846"/>
        <v>0</v>
      </c>
      <c r="ID280" s="166">
        <f t="shared" si="1846"/>
        <v>0</v>
      </c>
      <c r="IE280" s="166">
        <f t="shared" si="1846"/>
        <v>0</v>
      </c>
      <c r="IF280" s="166">
        <f t="shared" si="1846"/>
        <v>0</v>
      </c>
      <c r="IG280" s="166">
        <f t="shared" si="1846"/>
        <v>0</v>
      </c>
      <c r="IH280" s="166">
        <f t="shared" si="1846"/>
        <v>0</v>
      </c>
      <c r="II280" s="166">
        <f t="shared" si="1846"/>
        <v>0</v>
      </c>
      <c r="IJ280" s="166">
        <f t="shared" si="1846"/>
        <v>0</v>
      </c>
      <c r="IK280" s="166">
        <f t="shared" si="1846"/>
        <v>0</v>
      </c>
      <c r="IL280" s="166">
        <f t="shared" si="1846"/>
        <v>0</v>
      </c>
      <c r="IM280" s="166">
        <f t="shared" si="1846"/>
        <v>0</v>
      </c>
      <c r="IN280" s="166">
        <f t="shared" si="1846"/>
        <v>0</v>
      </c>
      <c r="IO280" s="166">
        <f t="shared" si="1846"/>
        <v>0</v>
      </c>
      <c r="IP280" s="166">
        <f t="shared" si="1846"/>
        <v>0</v>
      </c>
      <c r="IQ280" s="166">
        <f t="shared" si="1846"/>
        <v>0</v>
      </c>
      <c r="IR280" s="166">
        <f t="shared" si="1846"/>
        <v>0</v>
      </c>
      <c r="IS280" s="166">
        <f t="shared" si="1846"/>
        <v>0</v>
      </c>
      <c r="IT280" s="166">
        <f t="shared" si="1846"/>
        <v>0</v>
      </c>
      <c r="IU280" s="166">
        <f t="shared" si="1846"/>
        <v>0</v>
      </c>
      <c r="IV280" s="166">
        <f t="shared" si="1846"/>
        <v>0</v>
      </c>
    </row>
    <row r="281" spans="1:256" x14ac:dyDescent="0.25">
      <c r="A281" s="117" t="s">
        <v>212</v>
      </c>
      <c r="B281" s="166"/>
      <c r="C281" s="166">
        <f t="shared" ref="C281:K281" si="1847">SUM(C282:C293)</f>
        <v>0</v>
      </c>
      <c r="D281" s="166">
        <f t="shared" si="1847"/>
        <v>0</v>
      </c>
      <c r="E281" s="166">
        <f t="shared" si="1847"/>
        <v>0</v>
      </c>
      <c r="F281" s="166">
        <f t="shared" si="1847"/>
        <v>0</v>
      </c>
      <c r="G281" s="166">
        <f t="shared" si="1847"/>
        <v>2</v>
      </c>
      <c r="H281" s="166">
        <f t="shared" si="1847"/>
        <v>0</v>
      </c>
      <c r="I281" s="166">
        <f t="shared" si="1847"/>
        <v>0</v>
      </c>
      <c r="J281" s="166">
        <f t="shared" si="1847"/>
        <v>0</v>
      </c>
      <c r="K281" s="166">
        <f t="shared" si="1847"/>
        <v>0</v>
      </c>
      <c r="L281" s="96">
        <f>SUM(L282:L293)</f>
        <v>0</v>
      </c>
      <c r="M281" s="166"/>
      <c r="N281" s="166">
        <f t="shared" ref="N281:V281" si="1848">SUM(N282:N293)</f>
        <v>0</v>
      </c>
      <c r="O281" s="166">
        <f t="shared" si="1848"/>
        <v>0</v>
      </c>
      <c r="P281" s="166">
        <f t="shared" si="1848"/>
        <v>0</v>
      </c>
      <c r="Q281" s="166">
        <f t="shared" si="1848"/>
        <v>0</v>
      </c>
      <c r="R281" s="166">
        <f t="shared" si="1848"/>
        <v>0</v>
      </c>
      <c r="S281" s="166">
        <f t="shared" si="1848"/>
        <v>0</v>
      </c>
      <c r="T281" s="166">
        <f t="shared" si="1848"/>
        <v>0</v>
      </c>
      <c r="U281" s="166">
        <f t="shared" si="1848"/>
        <v>0</v>
      </c>
      <c r="V281" s="166">
        <f t="shared" si="1848"/>
        <v>0</v>
      </c>
      <c r="W281" s="96">
        <f>SUM(W282:W293)</f>
        <v>0</v>
      </c>
      <c r="X281" s="166"/>
      <c r="Y281" s="166">
        <f t="shared" ref="Y281:AG281" si="1849">SUM(Y282:Y293)</f>
        <v>0</v>
      </c>
      <c r="Z281" s="166">
        <f t="shared" si="1849"/>
        <v>0</v>
      </c>
      <c r="AA281" s="166">
        <f t="shared" si="1849"/>
        <v>0</v>
      </c>
      <c r="AB281" s="166">
        <f t="shared" si="1849"/>
        <v>0</v>
      </c>
      <c r="AC281" s="166">
        <f t="shared" si="1849"/>
        <v>0</v>
      </c>
      <c r="AD281" s="166">
        <f t="shared" si="1849"/>
        <v>0</v>
      </c>
      <c r="AE281" s="166">
        <f t="shared" si="1849"/>
        <v>0</v>
      </c>
      <c r="AF281" s="166">
        <f t="shared" si="1849"/>
        <v>0</v>
      </c>
      <c r="AG281" s="166">
        <f t="shared" si="1849"/>
        <v>0</v>
      </c>
      <c r="AH281" s="96">
        <f>SUM(AH282:AH293)</f>
        <v>0</v>
      </c>
      <c r="AI281" s="166"/>
      <c r="AJ281" s="166">
        <f t="shared" ref="AJ281:AR281" si="1850">SUM(AJ282:AJ293)</f>
        <v>0</v>
      </c>
      <c r="AK281" s="166">
        <f t="shared" si="1850"/>
        <v>0</v>
      </c>
      <c r="AL281" s="166">
        <f t="shared" si="1850"/>
        <v>0</v>
      </c>
      <c r="AM281" s="166">
        <f t="shared" si="1850"/>
        <v>0</v>
      </c>
      <c r="AN281" s="166">
        <f t="shared" si="1850"/>
        <v>0</v>
      </c>
      <c r="AO281" s="166">
        <f t="shared" si="1850"/>
        <v>0</v>
      </c>
      <c r="AP281" s="166">
        <f t="shared" si="1850"/>
        <v>0</v>
      </c>
      <c r="AQ281" s="166">
        <f t="shared" si="1850"/>
        <v>0</v>
      </c>
      <c r="AR281" s="166">
        <f t="shared" si="1850"/>
        <v>0</v>
      </c>
      <c r="AS281" s="96">
        <f>SUM(AS282:AS293)</f>
        <v>0</v>
      </c>
      <c r="AT281" s="166"/>
      <c r="AU281" s="166">
        <f>SUM(AU282:AU293)</f>
        <v>0</v>
      </c>
      <c r="AV281" s="166">
        <f t="shared" ref="AV281:BC281" si="1851">SUM(AV282:AV293)</f>
        <v>0</v>
      </c>
      <c r="AW281" s="166">
        <f t="shared" si="1851"/>
        <v>0</v>
      </c>
      <c r="AX281" s="166">
        <f t="shared" si="1851"/>
        <v>0</v>
      </c>
      <c r="AY281" s="166">
        <f t="shared" si="1851"/>
        <v>0</v>
      </c>
      <c r="AZ281" s="166">
        <f t="shared" si="1851"/>
        <v>0</v>
      </c>
      <c r="BA281" s="166">
        <f t="shared" si="1851"/>
        <v>0</v>
      </c>
      <c r="BB281" s="166">
        <f t="shared" si="1851"/>
        <v>0</v>
      </c>
      <c r="BC281" s="166">
        <f t="shared" si="1851"/>
        <v>0</v>
      </c>
      <c r="BD281" s="96">
        <f>SUM(BD282:BD293)</f>
        <v>0</v>
      </c>
      <c r="BE281" s="166"/>
      <c r="BF281" s="166">
        <f t="shared" ref="BF281:BN281" si="1852">SUM(BF282:BF293)</f>
        <v>0</v>
      </c>
      <c r="BG281" s="166">
        <f t="shared" si="1852"/>
        <v>0</v>
      </c>
      <c r="BH281" s="166">
        <f t="shared" si="1852"/>
        <v>0</v>
      </c>
      <c r="BI281" s="166">
        <f t="shared" si="1852"/>
        <v>0</v>
      </c>
      <c r="BJ281" s="166">
        <f t="shared" si="1852"/>
        <v>0</v>
      </c>
      <c r="BK281" s="166">
        <f t="shared" si="1852"/>
        <v>0</v>
      </c>
      <c r="BL281" s="166">
        <f t="shared" si="1852"/>
        <v>0</v>
      </c>
      <c r="BM281" s="166">
        <f t="shared" si="1852"/>
        <v>0</v>
      </c>
      <c r="BN281" s="166">
        <f t="shared" si="1852"/>
        <v>0</v>
      </c>
      <c r="BO281" s="96">
        <f>SUM(BO282:BO293)</f>
        <v>0</v>
      </c>
      <c r="BP281" s="166"/>
      <c r="BQ281" s="166">
        <f t="shared" ref="BQ281:BY281" si="1853">SUM(BQ282:BQ293)</f>
        <v>0</v>
      </c>
      <c r="BR281" s="166">
        <f t="shared" si="1853"/>
        <v>0</v>
      </c>
      <c r="BS281" s="166">
        <f t="shared" si="1853"/>
        <v>0</v>
      </c>
      <c r="BT281" s="166">
        <f t="shared" si="1853"/>
        <v>0</v>
      </c>
      <c r="BU281" s="166">
        <f t="shared" si="1853"/>
        <v>0</v>
      </c>
      <c r="BV281" s="166">
        <f t="shared" si="1853"/>
        <v>0</v>
      </c>
      <c r="BW281" s="166">
        <f t="shared" si="1853"/>
        <v>0</v>
      </c>
      <c r="BX281" s="166">
        <f t="shared" si="1853"/>
        <v>0</v>
      </c>
      <c r="BY281" s="166">
        <f t="shared" si="1853"/>
        <v>0</v>
      </c>
      <c r="BZ281" s="96">
        <f>SUM(BZ282:BZ293)</f>
        <v>0</v>
      </c>
      <c r="CA281" s="166"/>
      <c r="CB281" s="166">
        <f t="shared" ref="CB281:CJ281" si="1854">SUM(CB282:CB293)</f>
        <v>0</v>
      </c>
      <c r="CC281" s="166">
        <f t="shared" si="1854"/>
        <v>0</v>
      </c>
      <c r="CD281" s="166">
        <f t="shared" si="1854"/>
        <v>0</v>
      </c>
      <c r="CE281" s="166">
        <f t="shared" si="1854"/>
        <v>0</v>
      </c>
      <c r="CF281" s="166">
        <f t="shared" si="1854"/>
        <v>0</v>
      </c>
      <c r="CG281" s="166">
        <f t="shared" si="1854"/>
        <v>0</v>
      </c>
      <c r="CH281" s="166">
        <f t="shared" si="1854"/>
        <v>0</v>
      </c>
      <c r="CI281" s="166">
        <f t="shared" si="1854"/>
        <v>0</v>
      </c>
      <c r="CJ281" s="166">
        <f t="shared" si="1854"/>
        <v>0</v>
      </c>
      <c r="CK281" s="96">
        <f>SUM(CK282:CK293)</f>
        <v>0</v>
      </c>
      <c r="CL281" s="166"/>
      <c r="CM281" s="166">
        <f>SUM(CM282:CM293)</f>
        <v>0</v>
      </c>
      <c r="CN281" s="166">
        <f t="shared" ref="CN281:CU281" si="1855">SUM(CN282:CN293)</f>
        <v>0</v>
      </c>
      <c r="CO281" s="166">
        <f t="shared" si="1855"/>
        <v>0</v>
      </c>
      <c r="CP281" s="166">
        <f t="shared" si="1855"/>
        <v>0</v>
      </c>
      <c r="CQ281" s="166">
        <f t="shared" si="1855"/>
        <v>0</v>
      </c>
      <c r="CR281" s="166">
        <f t="shared" si="1855"/>
        <v>0</v>
      </c>
      <c r="CS281" s="166">
        <f t="shared" si="1855"/>
        <v>0</v>
      </c>
      <c r="CT281" s="166">
        <f t="shared" si="1855"/>
        <v>0</v>
      </c>
      <c r="CU281" s="166">
        <f t="shared" si="1855"/>
        <v>0</v>
      </c>
      <c r="CV281" s="96">
        <f>SUM(CV282:CV293)</f>
        <v>0</v>
      </c>
      <c r="CW281" s="166"/>
      <c r="CX281" s="166">
        <f t="shared" ref="CX281:DF281" si="1856">SUM(CX282:CX293)</f>
        <v>0</v>
      </c>
      <c r="CY281" s="166">
        <f t="shared" si="1856"/>
        <v>0</v>
      </c>
      <c r="CZ281" s="166">
        <f t="shared" si="1856"/>
        <v>0</v>
      </c>
      <c r="DA281" s="166">
        <f t="shared" si="1856"/>
        <v>0</v>
      </c>
      <c r="DB281" s="166">
        <f t="shared" si="1856"/>
        <v>0</v>
      </c>
      <c r="DC281" s="166">
        <f t="shared" si="1856"/>
        <v>0</v>
      </c>
      <c r="DD281" s="166">
        <f t="shared" si="1856"/>
        <v>0</v>
      </c>
      <c r="DE281" s="166">
        <f t="shared" si="1856"/>
        <v>0</v>
      </c>
      <c r="DF281" s="166">
        <f t="shared" si="1856"/>
        <v>0</v>
      </c>
      <c r="DG281" s="96">
        <f>SUM(DG282:DG293)</f>
        <v>0</v>
      </c>
      <c r="DH281" s="166"/>
      <c r="DI281" s="166">
        <f t="shared" ref="DI281:DQ281" si="1857">SUM(DI282:DI293)</f>
        <v>0</v>
      </c>
      <c r="DJ281" s="166">
        <f t="shared" si="1857"/>
        <v>0</v>
      </c>
      <c r="DK281" s="166">
        <f t="shared" si="1857"/>
        <v>0</v>
      </c>
      <c r="DL281" s="166">
        <f t="shared" si="1857"/>
        <v>0</v>
      </c>
      <c r="DM281" s="166">
        <f t="shared" si="1857"/>
        <v>0</v>
      </c>
      <c r="DN281" s="166">
        <f t="shared" si="1857"/>
        <v>0</v>
      </c>
      <c r="DO281" s="166">
        <f t="shared" si="1857"/>
        <v>0</v>
      </c>
      <c r="DP281" s="166">
        <f t="shared" si="1857"/>
        <v>0</v>
      </c>
      <c r="DQ281" s="166">
        <f t="shared" si="1857"/>
        <v>0</v>
      </c>
      <c r="DR281" s="96">
        <f>SUM(DR282:DR293)</f>
        <v>0</v>
      </c>
      <c r="DS281" s="166"/>
      <c r="DT281" s="166">
        <f t="shared" ref="DT281:EB281" si="1858">SUM(DT282:DT293)</f>
        <v>0</v>
      </c>
      <c r="DU281" s="166">
        <f t="shared" si="1858"/>
        <v>0</v>
      </c>
      <c r="DV281" s="166">
        <f t="shared" si="1858"/>
        <v>0</v>
      </c>
      <c r="DW281" s="166">
        <f t="shared" si="1858"/>
        <v>0</v>
      </c>
      <c r="DX281" s="166">
        <f t="shared" si="1858"/>
        <v>0</v>
      </c>
      <c r="DY281" s="166">
        <f t="shared" si="1858"/>
        <v>0</v>
      </c>
      <c r="DZ281" s="166">
        <f t="shared" si="1858"/>
        <v>0</v>
      </c>
      <c r="EA281" s="166">
        <f t="shared" si="1858"/>
        <v>0</v>
      </c>
      <c r="EB281" s="166">
        <f t="shared" si="1858"/>
        <v>0</v>
      </c>
      <c r="EC281" s="166">
        <f>SUM(EC282:EC293)</f>
        <v>0</v>
      </c>
      <c r="ED281" s="166"/>
      <c r="EE281" s="166">
        <f>SUM(EE282:EE293)</f>
        <v>0</v>
      </c>
      <c r="EF281" s="166">
        <f t="shared" ref="EF281:EM281" si="1859">SUM(EF282:EF293)</f>
        <v>0</v>
      </c>
      <c r="EG281" s="166">
        <f t="shared" si="1859"/>
        <v>0</v>
      </c>
      <c r="EH281" s="166">
        <f t="shared" si="1859"/>
        <v>0</v>
      </c>
      <c r="EI281" s="166">
        <f t="shared" si="1859"/>
        <v>0</v>
      </c>
      <c r="EJ281" s="166">
        <f t="shared" si="1859"/>
        <v>0</v>
      </c>
      <c r="EK281" s="166">
        <f t="shared" si="1859"/>
        <v>0</v>
      </c>
      <c r="EL281" s="166">
        <f t="shared" si="1859"/>
        <v>0</v>
      </c>
      <c r="EM281" s="166">
        <f t="shared" si="1859"/>
        <v>0</v>
      </c>
      <c r="EN281" s="96">
        <f>SUM(EN282:EN293)</f>
        <v>0</v>
      </c>
      <c r="EO281" s="166"/>
      <c r="EP281" s="166">
        <f t="shared" ref="EP281:EX281" si="1860">SUM(EP282:EP293)</f>
        <v>0</v>
      </c>
      <c r="EQ281" s="166">
        <f t="shared" si="1860"/>
        <v>0</v>
      </c>
      <c r="ER281" s="166">
        <f t="shared" si="1860"/>
        <v>0</v>
      </c>
      <c r="ES281" s="166">
        <f t="shared" si="1860"/>
        <v>0</v>
      </c>
      <c r="ET281" s="166">
        <f t="shared" si="1860"/>
        <v>0</v>
      </c>
      <c r="EU281" s="166">
        <f t="shared" si="1860"/>
        <v>0</v>
      </c>
      <c r="EV281" s="166">
        <f t="shared" si="1860"/>
        <v>0</v>
      </c>
      <c r="EW281" s="166">
        <f t="shared" si="1860"/>
        <v>0</v>
      </c>
      <c r="EX281" s="166">
        <f t="shared" si="1860"/>
        <v>0</v>
      </c>
      <c r="EY281" s="96">
        <f>SUM(EY282:EY293)</f>
        <v>0</v>
      </c>
      <c r="EZ281" s="166"/>
      <c r="FA281" s="166">
        <f t="shared" ref="FA281:FI281" si="1861">SUM(FA282:FA293)</f>
        <v>0</v>
      </c>
      <c r="FB281" s="166">
        <f t="shared" si="1861"/>
        <v>0</v>
      </c>
      <c r="FC281" s="166">
        <f t="shared" si="1861"/>
        <v>0</v>
      </c>
      <c r="FD281" s="166">
        <f t="shared" si="1861"/>
        <v>0</v>
      </c>
      <c r="FE281" s="166">
        <f t="shared" si="1861"/>
        <v>0</v>
      </c>
      <c r="FF281" s="166">
        <f t="shared" si="1861"/>
        <v>0</v>
      </c>
      <c r="FG281" s="166">
        <f t="shared" si="1861"/>
        <v>0</v>
      </c>
      <c r="FH281" s="166">
        <f t="shared" si="1861"/>
        <v>0</v>
      </c>
      <c r="FI281" s="166">
        <f t="shared" si="1861"/>
        <v>0</v>
      </c>
      <c r="FJ281" s="96">
        <f>SUM(FJ282:FJ293)</f>
        <v>0</v>
      </c>
      <c r="FK281" s="166"/>
      <c r="FL281" s="166">
        <f t="shared" ref="FL281:FT281" si="1862">SUM(FL282:FL293)</f>
        <v>0</v>
      </c>
      <c r="FM281" s="166">
        <f t="shared" si="1862"/>
        <v>0</v>
      </c>
      <c r="FN281" s="166">
        <f t="shared" si="1862"/>
        <v>0</v>
      </c>
      <c r="FO281" s="166">
        <f t="shared" si="1862"/>
        <v>0</v>
      </c>
      <c r="FP281" s="166">
        <f t="shared" si="1862"/>
        <v>0</v>
      </c>
      <c r="FQ281" s="166">
        <f t="shared" si="1862"/>
        <v>0</v>
      </c>
      <c r="FR281" s="166">
        <f t="shared" si="1862"/>
        <v>0</v>
      </c>
      <c r="FS281" s="166">
        <f t="shared" si="1862"/>
        <v>0</v>
      </c>
      <c r="FT281" s="166">
        <f t="shared" si="1862"/>
        <v>0</v>
      </c>
      <c r="FU281" s="96">
        <f>SUM(FU282:FU293)</f>
        <v>0</v>
      </c>
      <c r="FV281" s="166"/>
      <c r="FW281" s="166">
        <f>SUM(FW282:FW293)</f>
        <v>0</v>
      </c>
      <c r="FX281" s="166">
        <f t="shared" ref="FX281:GE281" si="1863">SUM(FX282:FX293)</f>
        <v>0</v>
      </c>
      <c r="FY281" s="166">
        <f t="shared" si="1863"/>
        <v>0</v>
      </c>
      <c r="FZ281" s="166">
        <f t="shared" si="1863"/>
        <v>0</v>
      </c>
      <c r="GA281" s="166">
        <f t="shared" si="1863"/>
        <v>0</v>
      </c>
      <c r="GB281" s="166">
        <f t="shared" si="1863"/>
        <v>0</v>
      </c>
      <c r="GC281" s="166">
        <f t="shared" si="1863"/>
        <v>0</v>
      </c>
      <c r="GD281" s="166">
        <f t="shared" si="1863"/>
        <v>0</v>
      </c>
      <c r="GE281" s="166">
        <f t="shared" si="1863"/>
        <v>0</v>
      </c>
      <c r="GF281" s="96">
        <f>SUM(GF282:GF293)</f>
        <v>0</v>
      </c>
      <c r="GG281" s="166"/>
      <c r="GH281" s="166">
        <f t="shared" ref="GH281:GP281" si="1864">SUM(GH282:GH293)</f>
        <v>0</v>
      </c>
      <c r="GI281" s="166">
        <f t="shared" si="1864"/>
        <v>0</v>
      </c>
      <c r="GJ281" s="166">
        <f t="shared" si="1864"/>
        <v>0</v>
      </c>
      <c r="GK281" s="166">
        <f t="shared" si="1864"/>
        <v>0</v>
      </c>
      <c r="GL281" s="166">
        <f t="shared" si="1864"/>
        <v>0</v>
      </c>
      <c r="GM281" s="166">
        <f t="shared" si="1864"/>
        <v>0</v>
      </c>
      <c r="GN281" s="166">
        <f t="shared" si="1864"/>
        <v>0</v>
      </c>
      <c r="GO281" s="166">
        <f t="shared" si="1864"/>
        <v>0</v>
      </c>
      <c r="GP281" s="166">
        <f t="shared" si="1864"/>
        <v>0</v>
      </c>
      <c r="GQ281" s="96">
        <f t="shared" ref="GQ281:HV281" si="1865">SUM(GQ282:GQ293)</f>
        <v>0</v>
      </c>
      <c r="GR281" s="166">
        <f t="shared" si="1865"/>
        <v>0</v>
      </c>
      <c r="GS281" s="166">
        <f t="shared" si="1865"/>
        <v>0</v>
      </c>
      <c r="GT281" s="166">
        <f t="shared" si="1865"/>
        <v>0</v>
      </c>
      <c r="GU281" s="166">
        <f t="shared" si="1865"/>
        <v>0</v>
      </c>
      <c r="GV281" s="166">
        <f t="shared" si="1865"/>
        <v>0</v>
      </c>
      <c r="GW281" s="166">
        <f t="shared" si="1865"/>
        <v>0</v>
      </c>
      <c r="GX281" s="166">
        <f t="shared" si="1865"/>
        <v>0</v>
      </c>
      <c r="GY281" s="166">
        <f t="shared" si="1865"/>
        <v>0</v>
      </c>
      <c r="GZ281" s="166">
        <f t="shared" si="1865"/>
        <v>0</v>
      </c>
      <c r="HA281" s="166">
        <f t="shared" si="1865"/>
        <v>0</v>
      </c>
      <c r="HB281" s="166">
        <f t="shared" si="1865"/>
        <v>0</v>
      </c>
      <c r="HC281" s="166">
        <f t="shared" si="1865"/>
        <v>0</v>
      </c>
      <c r="HD281" s="166">
        <f t="shared" si="1865"/>
        <v>0</v>
      </c>
      <c r="HE281" s="166">
        <f t="shared" si="1865"/>
        <v>0</v>
      </c>
      <c r="HF281" s="166">
        <f t="shared" si="1865"/>
        <v>0</v>
      </c>
      <c r="HG281" s="166">
        <f t="shared" si="1865"/>
        <v>0</v>
      </c>
      <c r="HH281" s="166">
        <f t="shared" si="1865"/>
        <v>0</v>
      </c>
      <c r="HI281" s="166">
        <f t="shared" si="1865"/>
        <v>0</v>
      </c>
      <c r="HJ281" s="166">
        <f t="shared" si="1865"/>
        <v>0</v>
      </c>
      <c r="HK281" s="166">
        <f t="shared" si="1865"/>
        <v>0</v>
      </c>
      <c r="HL281" s="166">
        <f t="shared" si="1865"/>
        <v>0</v>
      </c>
      <c r="HM281" s="166">
        <f t="shared" si="1865"/>
        <v>0</v>
      </c>
      <c r="HN281" s="166">
        <f t="shared" si="1865"/>
        <v>0</v>
      </c>
      <c r="HO281" s="166">
        <f t="shared" si="1865"/>
        <v>0</v>
      </c>
      <c r="HP281" s="166">
        <f t="shared" si="1865"/>
        <v>0</v>
      </c>
      <c r="HQ281" s="166">
        <f t="shared" si="1865"/>
        <v>0</v>
      </c>
      <c r="HR281" s="166">
        <f t="shared" si="1865"/>
        <v>0</v>
      </c>
      <c r="HS281" s="166">
        <f t="shared" si="1865"/>
        <v>0</v>
      </c>
      <c r="HT281" s="166">
        <f t="shared" si="1865"/>
        <v>0</v>
      </c>
      <c r="HU281" s="166">
        <f t="shared" si="1865"/>
        <v>0</v>
      </c>
      <c r="HV281" s="166">
        <f t="shared" si="1865"/>
        <v>0</v>
      </c>
      <c r="HW281" s="166">
        <f t="shared" ref="HW281:IV281" si="1866">SUM(HW282:HW293)</f>
        <v>0</v>
      </c>
      <c r="HX281" s="166">
        <f t="shared" si="1866"/>
        <v>0</v>
      </c>
      <c r="HY281" s="166">
        <f t="shared" si="1866"/>
        <v>0</v>
      </c>
      <c r="HZ281" s="166">
        <f t="shared" si="1866"/>
        <v>0</v>
      </c>
      <c r="IA281" s="166">
        <f t="shared" si="1866"/>
        <v>0</v>
      </c>
      <c r="IB281" s="166">
        <f t="shared" si="1866"/>
        <v>0</v>
      </c>
      <c r="IC281" s="166">
        <f t="shared" si="1866"/>
        <v>0</v>
      </c>
      <c r="ID281" s="166">
        <f t="shared" si="1866"/>
        <v>0</v>
      </c>
      <c r="IE281" s="166">
        <f t="shared" si="1866"/>
        <v>0</v>
      </c>
      <c r="IF281" s="166">
        <f t="shared" si="1866"/>
        <v>0</v>
      </c>
      <c r="IG281" s="166">
        <f t="shared" si="1866"/>
        <v>0</v>
      </c>
      <c r="IH281" s="166">
        <f t="shared" si="1866"/>
        <v>0</v>
      </c>
      <c r="II281" s="166">
        <f t="shared" si="1866"/>
        <v>0</v>
      </c>
      <c r="IJ281" s="166">
        <f t="shared" si="1866"/>
        <v>0</v>
      </c>
      <c r="IK281" s="166">
        <f t="shared" si="1866"/>
        <v>0</v>
      </c>
      <c r="IL281" s="166">
        <f t="shared" si="1866"/>
        <v>0</v>
      </c>
      <c r="IM281" s="166">
        <f t="shared" si="1866"/>
        <v>0</v>
      </c>
      <c r="IN281" s="166">
        <f t="shared" si="1866"/>
        <v>0</v>
      </c>
      <c r="IO281" s="166">
        <f t="shared" si="1866"/>
        <v>0</v>
      </c>
      <c r="IP281" s="166">
        <f t="shared" si="1866"/>
        <v>0</v>
      </c>
      <c r="IQ281" s="166">
        <f t="shared" si="1866"/>
        <v>0</v>
      </c>
      <c r="IR281" s="166">
        <f t="shared" si="1866"/>
        <v>0</v>
      </c>
      <c r="IS281" s="166">
        <f t="shared" si="1866"/>
        <v>0</v>
      </c>
      <c r="IT281" s="166">
        <f t="shared" si="1866"/>
        <v>0</v>
      </c>
      <c r="IU281" s="166">
        <f t="shared" si="1866"/>
        <v>0</v>
      </c>
      <c r="IV281" s="166">
        <f t="shared" si="1866"/>
        <v>0</v>
      </c>
    </row>
    <row r="282" spans="1:256" x14ac:dyDescent="0.25">
      <c r="A282" s="167" t="s">
        <v>222</v>
      </c>
      <c r="B282" s="62"/>
      <c r="C282" s="63"/>
      <c r="D282" s="63"/>
      <c r="E282" s="63"/>
      <c r="F282" s="63"/>
      <c r="G282" s="63"/>
      <c r="H282" s="63"/>
      <c r="I282" s="63"/>
      <c r="J282" s="63"/>
      <c r="K282" s="63"/>
      <c r="L282" s="64">
        <f t="shared" ref="L282:L293" si="1867">SUM(C282:F282,H282:K282)</f>
        <v>0</v>
      </c>
      <c r="M282" s="62"/>
      <c r="N282" s="63"/>
      <c r="O282" s="63"/>
      <c r="P282" s="63"/>
      <c r="Q282" s="63"/>
      <c r="R282" s="63"/>
      <c r="S282" s="63"/>
      <c r="T282" s="63"/>
      <c r="U282" s="63"/>
      <c r="V282" s="63"/>
      <c r="W282" s="64">
        <f t="shared" ref="W282:W293" si="1868">SUM(N282:Q282,S282:V282)</f>
        <v>0</v>
      </c>
      <c r="X282" s="62"/>
      <c r="Y282" s="63"/>
      <c r="Z282" s="63"/>
      <c r="AA282" s="63"/>
      <c r="AB282" s="63"/>
      <c r="AC282" s="63"/>
      <c r="AD282" s="63"/>
      <c r="AE282" s="63"/>
      <c r="AF282" s="63"/>
      <c r="AG282" s="63"/>
      <c r="AH282" s="64">
        <f t="shared" ref="AH282:AH293" si="1869">SUM(Y282:AB282,AD282:AG282)</f>
        <v>0</v>
      </c>
      <c r="AI282" s="62"/>
      <c r="AJ282" s="63"/>
      <c r="AK282" s="63"/>
      <c r="AL282" s="63"/>
      <c r="AM282" s="63"/>
      <c r="AN282" s="63"/>
      <c r="AO282" s="63"/>
      <c r="AP282" s="63"/>
      <c r="AQ282" s="63"/>
      <c r="AR282" s="63"/>
      <c r="AS282" s="64">
        <f t="shared" ref="AS282:AS293" si="1870">SUM(AJ282:AM282,AO282:AR282)</f>
        <v>0</v>
      </c>
      <c r="AT282" s="65">
        <f t="shared" ref="AT282:BC293" si="1871">SUM(M282,AI282,X282)</f>
        <v>0</v>
      </c>
      <c r="AU282" s="65">
        <f t="shared" si="1871"/>
        <v>0</v>
      </c>
      <c r="AV282" s="65">
        <f t="shared" si="1871"/>
        <v>0</v>
      </c>
      <c r="AW282" s="65">
        <f t="shared" si="1871"/>
        <v>0</v>
      </c>
      <c r="AX282" s="65">
        <f t="shared" si="1871"/>
        <v>0</v>
      </c>
      <c r="AY282" s="65">
        <f t="shared" si="1871"/>
        <v>0</v>
      </c>
      <c r="AZ282" s="65">
        <f t="shared" si="1871"/>
        <v>0</v>
      </c>
      <c r="BA282" s="65">
        <f t="shared" si="1871"/>
        <v>0</v>
      </c>
      <c r="BB282" s="65">
        <f t="shared" si="1871"/>
        <v>0</v>
      </c>
      <c r="BC282" s="65">
        <f t="shared" si="1871"/>
        <v>0</v>
      </c>
      <c r="BD282" s="64">
        <f t="shared" ref="BD282:BD293" si="1872">SUM(AU282:AX282,AZ282:BC282)</f>
        <v>0</v>
      </c>
      <c r="BE282" s="62"/>
      <c r="BF282" s="63"/>
      <c r="BG282" s="63"/>
      <c r="BH282" s="63"/>
      <c r="BI282" s="63"/>
      <c r="BJ282" s="63"/>
      <c r="BK282" s="63"/>
      <c r="BL282" s="63"/>
      <c r="BM282" s="63"/>
      <c r="BN282" s="63"/>
      <c r="BO282" s="64">
        <f t="shared" ref="BO282:BO293" si="1873">SUM(BF282:BI282,BK282:BN282)</f>
        <v>0</v>
      </c>
      <c r="BP282" s="62"/>
      <c r="BQ282" s="63"/>
      <c r="BR282" s="63"/>
      <c r="BS282" s="63"/>
      <c r="BT282" s="63"/>
      <c r="BU282" s="63"/>
      <c r="BV282" s="63"/>
      <c r="BW282" s="63"/>
      <c r="BX282" s="63"/>
      <c r="BY282" s="63"/>
      <c r="BZ282" s="64">
        <f t="shared" ref="BZ282:BZ293" si="1874">SUM(BQ282:BT282,BV282:BY282)</f>
        <v>0</v>
      </c>
      <c r="CA282" s="62"/>
      <c r="CB282" s="63"/>
      <c r="CC282" s="63"/>
      <c r="CD282" s="63"/>
      <c r="CE282" s="63"/>
      <c r="CF282" s="63"/>
      <c r="CG282" s="63"/>
      <c r="CH282" s="63"/>
      <c r="CI282" s="63"/>
      <c r="CJ282" s="63"/>
      <c r="CK282" s="64">
        <f t="shared" ref="CK282:CK293" si="1875">SUM(CB282:CE282,CG282:CJ282)</f>
        <v>0</v>
      </c>
      <c r="CL282" s="65">
        <f t="shared" ref="CL282:CU293" si="1876">SUM(BE282,CA282,BP282)</f>
        <v>0</v>
      </c>
      <c r="CM282" s="65">
        <f t="shared" si="1876"/>
        <v>0</v>
      </c>
      <c r="CN282" s="65">
        <f t="shared" si="1876"/>
        <v>0</v>
      </c>
      <c r="CO282" s="65">
        <f t="shared" si="1876"/>
        <v>0</v>
      </c>
      <c r="CP282" s="65">
        <f t="shared" si="1876"/>
        <v>0</v>
      </c>
      <c r="CQ282" s="65">
        <f t="shared" si="1876"/>
        <v>0</v>
      </c>
      <c r="CR282" s="65">
        <f t="shared" si="1876"/>
        <v>0</v>
      </c>
      <c r="CS282" s="65">
        <f t="shared" si="1876"/>
        <v>0</v>
      </c>
      <c r="CT282" s="65">
        <f t="shared" si="1876"/>
        <v>0</v>
      </c>
      <c r="CU282" s="65">
        <f t="shared" si="1876"/>
        <v>0</v>
      </c>
      <c r="CV282" s="64">
        <f t="shared" ref="CV282:CV293" si="1877">SUM(CM282:CP282,CR282:CU282)</f>
        <v>0</v>
      </c>
      <c r="CW282" s="62"/>
      <c r="CX282" s="63"/>
      <c r="CY282" s="63"/>
      <c r="CZ282" s="63"/>
      <c r="DA282" s="63"/>
      <c r="DB282" s="63"/>
      <c r="DC282" s="63"/>
      <c r="DD282" s="63"/>
      <c r="DE282" s="63"/>
      <c r="DF282" s="63"/>
      <c r="DG282" s="64">
        <f t="shared" ref="DG282:DG293" si="1878">SUM(CX282:DA282,DC282:DF282)</f>
        <v>0</v>
      </c>
      <c r="DH282" s="62"/>
      <c r="DI282" s="63"/>
      <c r="DJ282" s="63"/>
      <c r="DK282" s="63"/>
      <c r="DL282" s="63"/>
      <c r="DM282" s="63"/>
      <c r="DN282" s="63"/>
      <c r="DO282" s="63"/>
      <c r="DP282" s="63"/>
      <c r="DQ282" s="63"/>
      <c r="DR282" s="64">
        <f t="shared" ref="DR282:DR293" si="1879">SUM(DI282:DL282,DN282:DQ282)</f>
        <v>0</v>
      </c>
      <c r="DS282" s="62"/>
      <c r="DT282" s="63"/>
      <c r="DU282" s="63"/>
      <c r="DV282" s="63"/>
      <c r="DW282" s="63"/>
      <c r="DX282" s="63"/>
      <c r="DY282" s="63"/>
      <c r="DZ282" s="63"/>
      <c r="EA282" s="63"/>
      <c r="EB282" s="63"/>
      <c r="EC282" s="63"/>
      <c r="ED282" s="65">
        <f t="shared" ref="ED282:EM293" si="1880">SUM(CW282,DS282,DH282)</f>
        <v>0</v>
      </c>
      <c r="EE282" s="65">
        <f t="shared" si="1880"/>
        <v>0</v>
      </c>
      <c r="EF282" s="65">
        <f t="shared" si="1880"/>
        <v>0</v>
      </c>
      <c r="EG282" s="65">
        <f t="shared" si="1880"/>
        <v>0</v>
      </c>
      <c r="EH282" s="65">
        <f t="shared" si="1880"/>
        <v>0</v>
      </c>
      <c r="EI282" s="65">
        <f t="shared" si="1880"/>
        <v>0</v>
      </c>
      <c r="EJ282" s="65">
        <f t="shared" si="1880"/>
        <v>0</v>
      </c>
      <c r="EK282" s="65">
        <f t="shared" si="1880"/>
        <v>0</v>
      </c>
      <c r="EL282" s="65">
        <f t="shared" si="1880"/>
        <v>0</v>
      </c>
      <c r="EM282" s="65">
        <f t="shared" si="1880"/>
        <v>0</v>
      </c>
      <c r="EN282" s="64">
        <f t="shared" ref="EN282:EN293" si="1881">SUM(EE282:EH282,EJ282:EM282)</f>
        <v>0</v>
      </c>
      <c r="EO282" s="62"/>
      <c r="EP282" s="63"/>
      <c r="EQ282" s="63"/>
      <c r="ER282" s="63"/>
      <c r="ES282" s="63"/>
      <c r="ET282" s="63"/>
      <c r="EU282" s="63"/>
      <c r="EV282" s="63"/>
      <c r="EW282" s="63"/>
      <c r="EX282" s="63"/>
      <c r="EY282" s="64">
        <f t="shared" ref="EY282:EY293" si="1882">SUM(EP282:ES282,EU282:EX282)</f>
        <v>0</v>
      </c>
      <c r="EZ282" s="62"/>
      <c r="FA282" s="63"/>
      <c r="FB282" s="63"/>
      <c r="FC282" s="63"/>
      <c r="FD282" s="63"/>
      <c r="FE282" s="63"/>
      <c r="FF282" s="63"/>
      <c r="FG282" s="63"/>
      <c r="FH282" s="63"/>
      <c r="FI282" s="63"/>
      <c r="FJ282" s="64">
        <f t="shared" ref="FJ282:FJ293" si="1883">SUM(FA282:FD282,FF282:FI282)</f>
        <v>0</v>
      </c>
      <c r="FK282" s="62"/>
      <c r="FL282" s="63"/>
      <c r="FM282" s="63"/>
      <c r="FN282" s="63"/>
      <c r="FO282" s="63"/>
      <c r="FP282" s="63"/>
      <c r="FQ282" s="63"/>
      <c r="FR282" s="63"/>
      <c r="FS282" s="63"/>
      <c r="FT282" s="63"/>
      <c r="FU282" s="64">
        <f t="shared" ref="FU282:FU293" si="1884">SUM(FL282:FO282,FQ282:FT282)</f>
        <v>0</v>
      </c>
      <c r="FV282" s="65">
        <f t="shared" ref="FV282:GE293" si="1885">SUM(EO282,FK282,EZ282)</f>
        <v>0</v>
      </c>
      <c r="FW282" s="65">
        <f t="shared" si="1885"/>
        <v>0</v>
      </c>
      <c r="FX282" s="65">
        <f t="shared" si="1885"/>
        <v>0</v>
      </c>
      <c r="FY282" s="65">
        <f t="shared" si="1885"/>
        <v>0</v>
      </c>
      <c r="FZ282" s="65">
        <f t="shared" si="1885"/>
        <v>0</v>
      </c>
      <c r="GA282" s="65">
        <f t="shared" si="1885"/>
        <v>0</v>
      </c>
      <c r="GB282" s="65">
        <f t="shared" si="1885"/>
        <v>0</v>
      </c>
      <c r="GC282" s="65">
        <f t="shared" si="1885"/>
        <v>0</v>
      </c>
      <c r="GD282" s="65">
        <f t="shared" si="1885"/>
        <v>0</v>
      </c>
      <c r="GE282" s="65">
        <f t="shared" si="1885"/>
        <v>0</v>
      </c>
      <c r="GF282" s="64">
        <f t="shared" ref="GF282:GF293" si="1886">SUM(FW282:FZ282,GB282:GE282)</f>
        <v>0</v>
      </c>
      <c r="GG282" s="66">
        <f t="shared" ref="GG282:GP293" si="1887">SUM(AT282,CL282,ED282,FV282)</f>
        <v>0</v>
      </c>
      <c r="GH282" s="66">
        <f t="shared" si="1887"/>
        <v>0</v>
      </c>
      <c r="GI282" s="66">
        <f t="shared" si="1887"/>
        <v>0</v>
      </c>
      <c r="GJ282" s="66">
        <f t="shared" si="1887"/>
        <v>0</v>
      </c>
      <c r="GK282" s="66">
        <f t="shared" si="1887"/>
        <v>0</v>
      </c>
      <c r="GL282" s="66">
        <f t="shared" si="1887"/>
        <v>0</v>
      </c>
      <c r="GM282" s="66">
        <f t="shared" si="1887"/>
        <v>0</v>
      </c>
      <c r="GN282" s="66">
        <f t="shared" si="1887"/>
        <v>0</v>
      </c>
      <c r="GO282" s="66">
        <f t="shared" si="1887"/>
        <v>0</v>
      </c>
      <c r="GP282" s="66">
        <f t="shared" si="1887"/>
        <v>0</v>
      </c>
      <c r="GQ282" s="64">
        <f t="shared" ref="GQ282:GQ293" si="1888">SUM(GH282:GK282,GM282:GP282)</f>
        <v>0</v>
      </c>
      <c r="GR282" s="63"/>
      <c r="GS282" s="63"/>
      <c r="GT282" s="63"/>
      <c r="GU282" s="63"/>
      <c r="GV282" s="67">
        <f t="shared" ref="GV282:GV293" si="1889">SUM(GR282:GU282)</f>
        <v>0</v>
      </c>
      <c r="GW282" s="63"/>
      <c r="GX282" s="63"/>
      <c r="GY282" s="63"/>
      <c r="GZ282" s="63"/>
      <c r="HA282" s="67">
        <f t="shared" ref="HA282:HA293" si="1890">SUM(GW282:GZ282)</f>
        <v>0</v>
      </c>
      <c r="HB282" s="63"/>
      <c r="HC282" s="63"/>
      <c r="HD282" s="63"/>
      <c r="HE282" s="63"/>
      <c r="HF282" s="67">
        <f t="shared" ref="HF282:HF293" si="1891">SUM(HB282:HE282)</f>
        <v>0</v>
      </c>
      <c r="HG282" s="63"/>
      <c r="HH282" s="63"/>
      <c r="HI282" s="63"/>
      <c r="HJ282" s="63"/>
      <c r="HK282" s="67">
        <f t="shared" ref="HK282:HK293" si="1892">SUM(HG282:HJ282)</f>
        <v>0</v>
      </c>
      <c r="HL282" s="68">
        <f t="shared" ref="HL282:HO293" si="1893">SUM(GW282,HB282,HG282)</f>
        <v>0</v>
      </c>
      <c r="HM282" s="68">
        <f t="shared" si="1893"/>
        <v>0</v>
      </c>
      <c r="HN282" s="68">
        <f t="shared" si="1893"/>
        <v>0</v>
      </c>
      <c r="HO282" s="68">
        <f t="shared" si="1893"/>
        <v>0</v>
      </c>
      <c r="HP282" s="67">
        <f t="shared" ref="HP282:HP293" si="1894">SUM(HL282:HO282)</f>
        <v>0</v>
      </c>
      <c r="HQ282" s="63"/>
      <c r="HR282" s="63"/>
      <c r="HS282" s="63"/>
      <c r="HT282" s="63"/>
      <c r="HU282" s="67">
        <f t="shared" ref="HU282:HU293" si="1895">SUM(HQ282:HT282)</f>
        <v>0</v>
      </c>
      <c r="HV282" s="63"/>
      <c r="HW282" s="63"/>
      <c r="HX282" s="63"/>
      <c r="HY282" s="63"/>
      <c r="HZ282" s="67">
        <f t="shared" ref="HZ282:HZ293" si="1896">SUM(HV282:HY282)</f>
        <v>0</v>
      </c>
      <c r="IA282" s="63"/>
      <c r="IB282" s="63"/>
      <c r="IC282" s="63"/>
      <c r="ID282" s="63"/>
      <c r="IE282" s="67">
        <f t="shared" ref="IE282:IE293" si="1897">SUM(IA282:ID282)</f>
        <v>0</v>
      </c>
      <c r="IF282" s="68">
        <f t="shared" ref="IF282:II293" si="1898">SUM(HQ282,HV282,IA282)</f>
        <v>0</v>
      </c>
      <c r="IG282" s="68">
        <f t="shared" si="1898"/>
        <v>0</v>
      </c>
      <c r="IH282" s="68">
        <f t="shared" si="1898"/>
        <v>0</v>
      </c>
      <c r="II282" s="68">
        <f t="shared" si="1898"/>
        <v>0</v>
      </c>
      <c r="IJ282" s="67">
        <f t="shared" ref="IJ282:IJ293" si="1899">SUM(IF282:II282)</f>
        <v>0</v>
      </c>
      <c r="IK282" s="63"/>
      <c r="IL282" s="63"/>
      <c r="IM282" s="63"/>
      <c r="IN282" s="63"/>
      <c r="IO282" s="67">
        <f t="shared" ref="IO282:IO293" si="1900">SUM(IK282:IN282)</f>
        <v>0</v>
      </c>
      <c r="IP282" s="63"/>
      <c r="IQ282" s="63"/>
      <c r="IR282" s="63"/>
      <c r="IS282" s="63"/>
      <c r="IT282" s="67">
        <f t="shared" ref="IT282:IT293" si="1901">SUM(IP282:IS282)</f>
        <v>0</v>
      </c>
      <c r="IU282" s="63"/>
      <c r="IV282" s="63"/>
    </row>
    <row r="283" spans="1:256" x14ac:dyDescent="0.25">
      <c r="A283" s="167" t="s">
        <v>223</v>
      </c>
      <c r="B283" s="62"/>
      <c r="C283" s="63"/>
      <c r="D283" s="63"/>
      <c r="E283" s="63"/>
      <c r="F283" s="63"/>
      <c r="G283" s="63"/>
      <c r="H283" s="63"/>
      <c r="I283" s="63"/>
      <c r="J283" s="63"/>
      <c r="K283" s="63"/>
      <c r="L283" s="64">
        <f t="shared" si="1867"/>
        <v>0</v>
      </c>
      <c r="M283" s="62"/>
      <c r="N283" s="63"/>
      <c r="O283" s="63"/>
      <c r="P283" s="63"/>
      <c r="Q283" s="63"/>
      <c r="R283" s="63"/>
      <c r="S283" s="63"/>
      <c r="T283" s="63"/>
      <c r="U283" s="63"/>
      <c r="V283" s="63"/>
      <c r="W283" s="64">
        <f t="shared" si="1868"/>
        <v>0</v>
      </c>
      <c r="X283" s="62"/>
      <c r="Y283" s="63"/>
      <c r="Z283" s="63"/>
      <c r="AA283" s="63"/>
      <c r="AB283" s="63"/>
      <c r="AC283" s="63"/>
      <c r="AD283" s="63"/>
      <c r="AE283" s="63"/>
      <c r="AF283" s="63"/>
      <c r="AG283" s="63"/>
      <c r="AH283" s="64">
        <f t="shared" si="1869"/>
        <v>0</v>
      </c>
      <c r="AI283" s="62"/>
      <c r="AJ283" s="63"/>
      <c r="AK283" s="63"/>
      <c r="AL283" s="63"/>
      <c r="AM283" s="63"/>
      <c r="AN283" s="63"/>
      <c r="AO283" s="63"/>
      <c r="AP283" s="63"/>
      <c r="AQ283" s="63"/>
      <c r="AR283" s="63"/>
      <c r="AS283" s="64">
        <f t="shared" si="1870"/>
        <v>0</v>
      </c>
      <c r="AT283" s="65">
        <f t="shared" si="1871"/>
        <v>0</v>
      </c>
      <c r="AU283" s="65">
        <f t="shared" si="1871"/>
        <v>0</v>
      </c>
      <c r="AV283" s="65">
        <f t="shared" si="1871"/>
        <v>0</v>
      </c>
      <c r="AW283" s="65">
        <f t="shared" si="1871"/>
        <v>0</v>
      </c>
      <c r="AX283" s="65">
        <f t="shared" si="1871"/>
        <v>0</v>
      </c>
      <c r="AY283" s="65">
        <f t="shared" si="1871"/>
        <v>0</v>
      </c>
      <c r="AZ283" s="65">
        <f t="shared" si="1871"/>
        <v>0</v>
      </c>
      <c r="BA283" s="65">
        <f t="shared" si="1871"/>
        <v>0</v>
      </c>
      <c r="BB283" s="65">
        <f t="shared" si="1871"/>
        <v>0</v>
      </c>
      <c r="BC283" s="65">
        <f t="shared" si="1871"/>
        <v>0</v>
      </c>
      <c r="BD283" s="64">
        <f t="shared" si="1872"/>
        <v>0</v>
      </c>
      <c r="BE283" s="62"/>
      <c r="BF283" s="63"/>
      <c r="BG283" s="63"/>
      <c r="BH283" s="63"/>
      <c r="BI283" s="63"/>
      <c r="BJ283" s="63"/>
      <c r="BK283" s="63"/>
      <c r="BL283" s="63"/>
      <c r="BM283" s="63"/>
      <c r="BN283" s="63"/>
      <c r="BO283" s="64">
        <f t="shared" si="1873"/>
        <v>0</v>
      </c>
      <c r="BP283" s="62"/>
      <c r="BQ283" s="63"/>
      <c r="BR283" s="63"/>
      <c r="BS283" s="63"/>
      <c r="BT283" s="63"/>
      <c r="BU283" s="63"/>
      <c r="BV283" s="63"/>
      <c r="BW283" s="63"/>
      <c r="BX283" s="63"/>
      <c r="BY283" s="63"/>
      <c r="BZ283" s="64">
        <f t="shared" si="1874"/>
        <v>0</v>
      </c>
      <c r="CA283" s="62"/>
      <c r="CB283" s="63"/>
      <c r="CC283" s="63"/>
      <c r="CD283" s="63"/>
      <c r="CE283" s="63"/>
      <c r="CF283" s="63"/>
      <c r="CG283" s="63"/>
      <c r="CH283" s="63"/>
      <c r="CI283" s="63"/>
      <c r="CJ283" s="63"/>
      <c r="CK283" s="64">
        <f t="shared" si="1875"/>
        <v>0</v>
      </c>
      <c r="CL283" s="65">
        <f t="shared" si="1876"/>
        <v>0</v>
      </c>
      <c r="CM283" s="65">
        <f t="shared" si="1876"/>
        <v>0</v>
      </c>
      <c r="CN283" s="65">
        <f t="shared" si="1876"/>
        <v>0</v>
      </c>
      <c r="CO283" s="65">
        <f t="shared" si="1876"/>
        <v>0</v>
      </c>
      <c r="CP283" s="65">
        <f t="shared" si="1876"/>
        <v>0</v>
      </c>
      <c r="CQ283" s="65">
        <f t="shared" si="1876"/>
        <v>0</v>
      </c>
      <c r="CR283" s="65">
        <f t="shared" si="1876"/>
        <v>0</v>
      </c>
      <c r="CS283" s="65">
        <f t="shared" si="1876"/>
        <v>0</v>
      </c>
      <c r="CT283" s="65">
        <f t="shared" si="1876"/>
        <v>0</v>
      </c>
      <c r="CU283" s="65">
        <f t="shared" si="1876"/>
        <v>0</v>
      </c>
      <c r="CV283" s="64">
        <f t="shared" si="1877"/>
        <v>0</v>
      </c>
      <c r="CW283" s="62"/>
      <c r="CX283" s="63"/>
      <c r="CY283" s="63"/>
      <c r="CZ283" s="63"/>
      <c r="DA283" s="63"/>
      <c r="DB283" s="63"/>
      <c r="DC283" s="63"/>
      <c r="DD283" s="63"/>
      <c r="DE283" s="63"/>
      <c r="DF283" s="63"/>
      <c r="DG283" s="64">
        <f t="shared" si="1878"/>
        <v>0</v>
      </c>
      <c r="DH283" s="62"/>
      <c r="DI283" s="63"/>
      <c r="DJ283" s="63"/>
      <c r="DK283" s="63"/>
      <c r="DL283" s="63"/>
      <c r="DM283" s="63"/>
      <c r="DN283" s="63"/>
      <c r="DO283" s="63"/>
      <c r="DP283" s="63"/>
      <c r="DQ283" s="63"/>
      <c r="DR283" s="64">
        <f t="shared" si="1879"/>
        <v>0</v>
      </c>
      <c r="DS283" s="62"/>
      <c r="DT283" s="63"/>
      <c r="DU283" s="63"/>
      <c r="DV283" s="63"/>
      <c r="DW283" s="63"/>
      <c r="DX283" s="63"/>
      <c r="DY283" s="63"/>
      <c r="DZ283" s="63"/>
      <c r="EA283" s="63"/>
      <c r="EB283" s="63"/>
      <c r="EC283" s="63"/>
      <c r="ED283" s="65">
        <f t="shared" si="1880"/>
        <v>0</v>
      </c>
      <c r="EE283" s="65">
        <f t="shared" si="1880"/>
        <v>0</v>
      </c>
      <c r="EF283" s="65">
        <f t="shared" si="1880"/>
        <v>0</v>
      </c>
      <c r="EG283" s="65">
        <f t="shared" si="1880"/>
        <v>0</v>
      </c>
      <c r="EH283" s="65">
        <f t="shared" si="1880"/>
        <v>0</v>
      </c>
      <c r="EI283" s="65">
        <f t="shared" si="1880"/>
        <v>0</v>
      </c>
      <c r="EJ283" s="65">
        <f t="shared" si="1880"/>
        <v>0</v>
      </c>
      <c r="EK283" s="65">
        <f t="shared" si="1880"/>
        <v>0</v>
      </c>
      <c r="EL283" s="65">
        <f t="shared" si="1880"/>
        <v>0</v>
      </c>
      <c r="EM283" s="65">
        <f t="shared" si="1880"/>
        <v>0</v>
      </c>
      <c r="EN283" s="64">
        <f t="shared" si="1881"/>
        <v>0</v>
      </c>
      <c r="EO283" s="62"/>
      <c r="EP283" s="63"/>
      <c r="EQ283" s="63"/>
      <c r="ER283" s="63"/>
      <c r="ES283" s="63"/>
      <c r="ET283" s="63"/>
      <c r="EU283" s="63"/>
      <c r="EV283" s="63"/>
      <c r="EW283" s="63"/>
      <c r="EX283" s="63"/>
      <c r="EY283" s="64">
        <f t="shared" si="1882"/>
        <v>0</v>
      </c>
      <c r="EZ283" s="62"/>
      <c r="FA283" s="63"/>
      <c r="FB283" s="63"/>
      <c r="FC283" s="63"/>
      <c r="FD283" s="63"/>
      <c r="FE283" s="63"/>
      <c r="FF283" s="63"/>
      <c r="FG283" s="63"/>
      <c r="FH283" s="63"/>
      <c r="FI283" s="63"/>
      <c r="FJ283" s="64">
        <f t="shared" si="1883"/>
        <v>0</v>
      </c>
      <c r="FK283" s="62"/>
      <c r="FL283" s="63"/>
      <c r="FM283" s="63"/>
      <c r="FN283" s="63"/>
      <c r="FO283" s="63"/>
      <c r="FP283" s="63"/>
      <c r="FQ283" s="63"/>
      <c r="FR283" s="63"/>
      <c r="FS283" s="63"/>
      <c r="FT283" s="63"/>
      <c r="FU283" s="64">
        <f t="shared" si="1884"/>
        <v>0</v>
      </c>
      <c r="FV283" s="65">
        <f t="shared" si="1885"/>
        <v>0</v>
      </c>
      <c r="FW283" s="65">
        <f t="shared" si="1885"/>
        <v>0</v>
      </c>
      <c r="FX283" s="65">
        <f t="shared" si="1885"/>
        <v>0</v>
      </c>
      <c r="FY283" s="65">
        <f t="shared" si="1885"/>
        <v>0</v>
      </c>
      <c r="FZ283" s="65">
        <f t="shared" si="1885"/>
        <v>0</v>
      </c>
      <c r="GA283" s="65">
        <f t="shared" si="1885"/>
        <v>0</v>
      </c>
      <c r="GB283" s="65">
        <f t="shared" si="1885"/>
        <v>0</v>
      </c>
      <c r="GC283" s="65">
        <f t="shared" si="1885"/>
        <v>0</v>
      </c>
      <c r="GD283" s="65">
        <f t="shared" si="1885"/>
        <v>0</v>
      </c>
      <c r="GE283" s="65">
        <f t="shared" si="1885"/>
        <v>0</v>
      </c>
      <c r="GF283" s="64">
        <f t="shared" si="1886"/>
        <v>0</v>
      </c>
      <c r="GG283" s="66">
        <f t="shared" si="1887"/>
        <v>0</v>
      </c>
      <c r="GH283" s="66">
        <f t="shared" si="1887"/>
        <v>0</v>
      </c>
      <c r="GI283" s="66">
        <f t="shared" si="1887"/>
        <v>0</v>
      </c>
      <c r="GJ283" s="66">
        <f t="shared" si="1887"/>
        <v>0</v>
      </c>
      <c r="GK283" s="66">
        <f t="shared" si="1887"/>
        <v>0</v>
      </c>
      <c r="GL283" s="66">
        <f t="shared" si="1887"/>
        <v>0</v>
      </c>
      <c r="GM283" s="66">
        <f t="shared" si="1887"/>
        <v>0</v>
      </c>
      <c r="GN283" s="66">
        <f t="shared" si="1887"/>
        <v>0</v>
      </c>
      <c r="GO283" s="66">
        <f t="shared" si="1887"/>
        <v>0</v>
      </c>
      <c r="GP283" s="66">
        <f t="shared" si="1887"/>
        <v>0</v>
      </c>
      <c r="GQ283" s="64">
        <f t="shared" si="1888"/>
        <v>0</v>
      </c>
      <c r="GR283" s="63"/>
      <c r="GS283" s="63">
        <v>0</v>
      </c>
      <c r="GT283" s="63"/>
      <c r="GU283" s="63"/>
      <c r="GV283" s="67">
        <f t="shared" si="1889"/>
        <v>0</v>
      </c>
      <c r="GW283" s="63"/>
      <c r="GX283" s="63"/>
      <c r="GY283" s="63"/>
      <c r="GZ283" s="63"/>
      <c r="HA283" s="67">
        <f t="shared" si="1890"/>
        <v>0</v>
      </c>
      <c r="HB283" s="63"/>
      <c r="HC283" s="63"/>
      <c r="HD283" s="63"/>
      <c r="HE283" s="63"/>
      <c r="HF283" s="67">
        <f t="shared" si="1891"/>
        <v>0</v>
      </c>
      <c r="HG283" s="63"/>
      <c r="HH283" s="63"/>
      <c r="HI283" s="63"/>
      <c r="HJ283" s="63"/>
      <c r="HK283" s="67">
        <f t="shared" si="1892"/>
        <v>0</v>
      </c>
      <c r="HL283" s="68">
        <f t="shared" si="1893"/>
        <v>0</v>
      </c>
      <c r="HM283" s="68">
        <f t="shared" si="1893"/>
        <v>0</v>
      </c>
      <c r="HN283" s="68">
        <f t="shared" si="1893"/>
        <v>0</v>
      </c>
      <c r="HO283" s="68">
        <f t="shared" si="1893"/>
        <v>0</v>
      </c>
      <c r="HP283" s="67">
        <f t="shared" si="1894"/>
        <v>0</v>
      </c>
      <c r="HQ283" s="63"/>
      <c r="HR283" s="63"/>
      <c r="HS283" s="63"/>
      <c r="HT283" s="63"/>
      <c r="HU283" s="67">
        <f t="shared" si="1895"/>
        <v>0</v>
      </c>
      <c r="HV283" s="63"/>
      <c r="HW283" s="63"/>
      <c r="HX283" s="63"/>
      <c r="HY283" s="63"/>
      <c r="HZ283" s="67">
        <f t="shared" si="1896"/>
        <v>0</v>
      </c>
      <c r="IA283" s="63"/>
      <c r="IB283" s="63"/>
      <c r="IC283" s="63"/>
      <c r="ID283" s="63"/>
      <c r="IE283" s="67">
        <f t="shared" si="1897"/>
        <v>0</v>
      </c>
      <c r="IF283" s="68">
        <f t="shared" si="1898"/>
        <v>0</v>
      </c>
      <c r="IG283" s="68">
        <f t="shared" si="1898"/>
        <v>0</v>
      </c>
      <c r="IH283" s="68">
        <f t="shared" si="1898"/>
        <v>0</v>
      </c>
      <c r="II283" s="68">
        <f t="shared" si="1898"/>
        <v>0</v>
      </c>
      <c r="IJ283" s="67">
        <f t="shared" si="1899"/>
        <v>0</v>
      </c>
      <c r="IK283" s="63"/>
      <c r="IL283" s="63"/>
      <c r="IM283" s="63"/>
      <c r="IN283" s="63"/>
      <c r="IO283" s="67">
        <f t="shared" si="1900"/>
        <v>0</v>
      </c>
      <c r="IP283" s="63"/>
      <c r="IQ283" s="63"/>
      <c r="IR283" s="63"/>
      <c r="IS283" s="63"/>
      <c r="IT283" s="67">
        <f t="shared" si="1901"/>
        <v>0</v>
      </c>
      <c r="IU283" s="63"/>
      <c r="IV283" s="63"/>
    </row>
    <row r="284" spans="1:256" x14ac:dyDescent="0.25">
      <c r="A284" s="167" t="s">
        <v>295</v>
      </c>
      <c r="B284" s="62"/>
      <c r="C284" s="63"/>
      <c r="D284" s="63"/>
      <c r="E284" s="63"/>
      <c r="F284" s="63"/>
      <c r="G284" s="63"/>
      <c r="H284" s="63"/>
      <c r="I284" s="63"/>
      <c r="J284" s="63"/>
      <c r="K284" s="63"/>
      <c r="L284" s="64">
        <f t="shared" si="1867"/>
        <v>0</v>
      </c>
      <c r="M284" s="62"/>
      <c r="N284" s="63"/>
      <c r="O284" s="63"/>
      <c r="P284" s="63"/>
      <c r="Q284" s="63"/>
      <c r="R284" s="63"/>
      <c r="S284" s="63"/>
      <c r="T284" s="63"/>
      <c r="U284" s="63"/>
      <c r="V284" s="63"/>
      <c r="W284" s="64">
        <f t="shared" si="1868"/>
        <v>0</v>
      </c>
      <c r="X284" s="62"/>
      <c r="Y284" s="63"/>
      <c r="Z284" s="63"/>
      <c r="AA284" s="63"/>
      <c r="AB284" s="63"/>
      <c r="AC284" s="63"/>
      <c r="AD284" s="63"/>
      <c r="AE284" s="63"/>
      <c r="AF284" s="63"/>
      <c r="AG284" s="63"/>
      <c r="AH284" s="64">
        <f t="shared" si="1869"/>
        <v>0</v>
      </c>
      <c r="AI284" s="62"/>
      <c r="AJ284" s="63"/>
      <c r="AK284" s="63"/>
      <c r="AL284" s="63"/>
      <c r="AM284" s="63"/>
      <c r="AN284" s="63"/>
      <c r="AO284" s="63"/>
      <c r="AP284" s="63"/>
      <c r="AQ284" s="63"/>
      <c r="AR284" s="63"/>
      <c r="AS284" s="64">
        <f t="shared" si="1870"/>
        <v>0</v>
      </c>
      <c r="AT284" s="65">
        <f t="shared" si="1871"/>
        <v>0</v>
      </c>
      <c r="AU284" s="65">
        <f t="shared" si="1871"/>
        <v>0</v>
      </c>
      <c r="AV284" s="65">
        <f t="shared" si="1871"/>
        <v>0</v>
      </c>
      <c r="AW284" s="65">
        <f t="shared" si="1871"/>
        <v>0</v>
      </c>
      <c r="AX284" s="65">
        <f t="shared" si="1871"/>
        <v>0</v>
      </c>
      <c r="AY284" s="65">
        <f t="shared" si="1871"/>
        <v>0</v>
      </c>
      <c r="AZ284" s="65">
        <f t="shared" si="1871"/>
        <v>0</v>
      </c>
      <c r="BA284" s="65">
        <f t="shared" si="1871"/>
        <v>0</v>
      </c>
      <c r="BB284" s="65">
        <f t="shared" si="1871"/>
        <v>0</v>
      </c>
      <c r="BC284" s="65">
        <f t="shared" si="1871"/>
        <v>0</v>
      </c>
      <c r="BD284" s="64">
        <f t="shared" si="1872"/>
        <v>0</v>
      </c>
      <c r="BE284" s="62"/>
      <c r="BF284" s="63"/>
      <c r="BG284" s="63"/>
      <c r="BH284" s="63"/>
      <c r="BI284" s="63"/>
      <c r="BJ284" s="63"/>
      <c r="BK284" s="63"/>
      <c r="BL284" s="63"/>
      <c r="BM284" s="63"/>
      <c r="BN284" s="63"/>
      <c r="BO284" s="64">
        <f t="shared" si="1873"/>
        <v>0</v>
      </c>
      <c r="BP284" s="62"/>
      <c r="BQ284" s="63"/>
      <c r="BR284" s="63"/>
      <c r="BS284" s="63"/>
      <c r="BT284" s="63"/>
      <c r="BU284" s="63"/>
      <c r="BV284" s="63"/>
      <c r="BW284" s="63"/>
      <c r="BX284" s="63"/>
      <c r="BY284" s="63"/>
      <c r="BZ284" s="64">
        <f t="shared" si="1874"/>
        <v>0</v>
      </c>
      <c r="CA284" s="62"/>
      <c r="CB284" s="63"/>
      <c r="CC284" s="63"/>
      <c r="CD284" s="63"/>
      <c r="CE284" s="63"/>
      <c r="CF284" s="63"/>
      <c r="CG284" s="63"/>
      <c r="CH284" s="63"/>
      <c r="CI284" s="63"/>
      <c r="CJ284" s="63"/>
      <c r="CK284" s="64">
        <f t="shared" si="1875"/>
        <v>0</v>
      </c>
      <c r="CL284" s="65">
        <f t="shared" si="1876"/>
        <v>0</v>
      </c>
      <c r="CM284" s="65">
        <f t="shared" si="1876"/>
        <v>0</v>
      </c>
      <c r="CN284" s="65">
        <f t="shared" si="1876"/>
        <v>0</v>
      </c>
      <c r="CO284" s="65">
        <f t="shared" si="1876"/>
        <v>0</v>
      </c>
      <c r="CP284" s="65">
        <f t="shared" si="1876"/>
        <v>0</v>
      </c>
      <c r="CQ284" s="65">
        <f t="shared" si="1876"/>
        <v>0</v>
      </c>
      <c r="CR284" s="65">
        <f t="shared" si="1876"/>
        <v>0</v>
      </c>
      <c r="CS284" s="65">
        <f t="shared" si="1876"/>
        <v>0</v>
      </c>
      <c r="CT284" s="65">
        <f t="shared" si="1876"/>
        <v>0</v>
      </c>
      <c r="CU284" s="65">
        <f t="shared" si="1876"/>
        <v>0</v>
      </c>
      <c r="CV284" s="64">
        <f t="shared" si="1877"/>
        <v>0</v>
      </c>
      <c r="CW284" s="62"/>
      <c r="CX284" s="63"/>
      <c r="CY284" s="63"/>
      <c r="CZ284" s="63"/>
      <c r="DA284" s="63"/>
      <c r="DB284" s="63"/>
      <c r="DC284" s="63"/>
      <c r="DD284" s="63"/>
      <c r="DE284" s="63"/>
      <c r="DF284" s="63"/>
      <c r="DG284" s="64">
        <f t="shared" si="1878"/>
        <v>0</v>
      </c>
      <c r="DH284" s="62"/>
      <c r="DI284" s="63"/>
      <c r="DJ284" s="63"/>
      <c r="DK284" s="63"/>
      <c r="DL284" s="63"/>
      <c r="DM284" s="63"/>
      <c r="DN284" s="63"/>
      <c r="DO284" s="63"/>
      <c r="DP284" s="63"/>
      <c r="DQ284" s="63"/>
      <c r="DR284" s="64">
        <f t="shared" si="1879"/>
        <v>0</v>
      </c>
      <c r="DS284" s="62"/>
      <c r="DT284" s="63"/>
      <c r="DU284" s="63"/>
      <c r="DV284" s="63"/>
      <c r="DW284" s="63"/>
      <c r="DX284" s="63"/>
      <c r="DY284" s="63"/>
      <c r="DZ284" s="63"/>
      <c r="EA284" s="63"/>
      <c r="EB284" s="63"/>
      <c r="EC284" s="63"/>
      <c r="ED284" s="65">
        <f t="shared" si="1880"/>
        <v>0</v>
      </c>
      <c r="EE284" s="65">
        <f t="shared" si="1880"/>
        <v>0</v>
      </c>
      <c r="EF284" s="65">
        <f t="shared" si="1880"/>
        <v>0</v>
      </c>
      <c r="EG284" s="65">
        <f t="shared" si="1880"/>
        <v>0</v>
      </c>
      <c r="EH284" s="65">
        <f t="shared" si="1880"/>
        <v>0</v>
      </c>
      <c r="EI284" s="65">
        <f t="shared" si="1880"/>
        <v>0</v>
      </c>
      <c r="EJ284" s="65">
        <f t="shared" si="1880"/>
        <v>0</v>
      </c>
      <c r="EK284" s="65">
        <f t="shared" si="1880"/>
        <v>0</v>
      </c>
      <c r="EL284" s="65">
        <f t="shared" si="1880"/>
        <v>0</v>
      </c>
      <c r="EM284" s="65">
        <f t="shared" si="1880"/>
        <v>0</v>
      </c>
      <c r="EN284" s="64">
        <f t="shared" si="1881"/>
        <v>0</v>
      </c>
      <c r="EO284" s="62"/>
      <c r="EP284" s="63"/>
      <c r="EQ284" s="63"/>
      <c r="ER284" s="63"/>
      <c r="ES284" s="63"/>
      <c r="ET284" s="63"/>
      <c r="EU284" s="63"/>
      <c r="EV284" s="63"/>
      <c r="EW284" s="63"/>
      <c r="EX284" s="63"/>
      <c r="EY284" s="64">
        <f t="shared" si="1882"/>
        <v>0</v>
      </c>
      <c r="EZ284" s="62"/>
      <c r="FA284" s="63"/>
      <c r="FB284" s="63"/>
      <c r="FC284" s="63"/>
      <c r="FD284" s="63"/>
      <c r="FE284" s="63"/>
      <c r="FF284" s="63"/>
      <c r="FG284" s="63"/>
      <c r="FH284" s="63"/>
      <c r="FI284" s="63"/>
      <c r="FJ284" s="64">
        <f t="shared" si="1883"/>
        <v>0</v>
      </c>
      <c r="FK284" s="62"/>
      <c r="FL284" s="63"/>
      <c r="FM284" s="63"/>
      <c r="FN284" s="63"/>
      <c r="FO284" s="63"/>
      <c r="FP284" s="63"/>
      <c r="FQ284" s="63"/>
      <c r="FR284" s="63"/>
      <c r="FS284" s="63"/>
      <c r="FT284" s="63"/>
      <c r="FU284" s="64">
        <f t="shared" si="1884"/>
        <v>0</v>
      </c>
      <c r="FV284" s="65">
        <f t="shared" si="1885"/>
        <v>0</v>
      </c>
      <c r="FW284" s="65">
        <f t="shared" si="1885"/>
        <v>0</v>
      </c>
      <c r="FX284" s="65">
        <f t="shared" si="1885"/>
        <v>0</v>
      </c>
      <c r="FY284" s="65">
        <f t="shared" si="1885"/>
        <v>0</v>
      </c>
      <c r="FZ284" s="65">
        <f t="shared" si="1885"/>
        <v>0</v>
      </c>
      <c r="GA284" s="65">
        <f t="shared" si="1885"/>
        <v>0</v>
      </c>
      <c r="GB284" s="65">
        <f t="shared" si="1885"/>
        <v>0</v>
      </c>
      <c r="GC284" s="65">
        <f t="shared" si="1885"/>
        <v>0</v>
      </c>
      <c r="GD284" s="65">
        <f t="shared" si="1885"/>
        <v>0</v>
      </c>
      <c r="GE284" s="65">
        <f t="shared" si="1885"/>
        <v>0</v>
      </c>
      <c r="GF284" s="64">
        <f t="shared" si="1886"/>
        <v>0</v>
      </c>
      <c r="GG284" s="66">
        <f t="shared" si="1887"/>
        <v>0</v>
      </c>
      <c r="GH284" s="66">
        <f t="shared" si="1887"/>
        <v>0</v>
      </c>
      <c r="GI284" s="66">
        <f t="shared" si="1887"/>
        <v>0</v>
      </c>
      <c r="GJ284" s="66">
        <f t="shared" si="1887"/>
        <v>0</v>
      </c>
      <c r="GK284" s="66">
        <f t="shared" si="1887"/>
        <v>0</v>
      </c>
      <c r="GL284" s="66">
        <f t="shared" si="1887"/>
        <v>0</v>
      </c>
      <c r="GM284" s="66">
        <f t="shared" si="1887"/>
        <v>0</v>
      </c>
      <c r="GN284" s="66">
        <f t="shared" si="1887"/>
        <v>0</v>
      </c>
      <c r="GO284" s="66">
        <f t="shared" si="1887"/>
        <v>0</v>
      </c>
      <c r="GP284" s="66">
        <f t="shared" si="1887"/>
        <v>0</v>
      </c>
      <c r="GQ284" s="64">
        <f t="shared" si="1888"/>
        <v>0</v>
      </c>
      <c r="GR284" s="63"/>
      <c r="GS284" s="63">
        <v>0</v>
      </c>
      <c r="GT284" s="63"/>
      <c r="GU284" s="63"/>
      <c r="GV284" s="67">
        <f t="shared" si="1889"/>
        <v>0</v>
      </c>
      <c r="GW284" s="63"/>
      <c r="GX284" s="63"/>
      <c r="GY284" s="63"/>
      <c r="GZ284" s="63"/>
      <c r="HA284" s="67">
        <f t="shared" si="1890"/>
        <v>0</v>
      </c>
      <c r="HB284" s="63"/>
      <c r="HC284" s="63"/>
      <c r="HD284" s="63"/>
      <c r="HE284" s="63"/>
      <c r="HF284" s="67">
        <f t="shared" si="1891"/>
        <v>0</v>
      </c>
      <c r="HG284" s="63"/>
      <c r="HH284" s="63"/>
      <c r="HI284" s="63"/>
      <c r="HJ284" s="63"/>
      <c r="HK284" s="67">
        <f t="shared" si="1892"/>
        <v>0</v>
      </c>
      <c r="HL284" s="68">
        <f t="shared" si="1893"/>
        <v>0</v>
      </c>
      <c r="HM284" s="68">
        <f t="shared" si="1893"/>
        <v>0</v>
      </c>
      <c r="HN284" s="68">
        <f t="shared" si="1893"/>
        <v>0</v>
      </c>
      <c r="HO284" s="68">
        <f t="shared" si="1893"/>
        <v>0</v>
      </c>
      <c r="HP284" s="67">
        <f t="shared" si="1894"/>
        <v>0</v>
      </c>
      <c r="HQ284" s="63"/>
      <c r="HR284" s="63"/>
      <c r="HS284" s="63"/>
      <c r="HT284" s="63"/>
      <c r="HU284" s="67">
        <f t="shared" si="1895"/>
        <v>0</v>
      </c>
      <c r="HV284" s="63"/>
      <c r="HW284" s="63"/>
      <c r="HX284" s="63"/>
      <c r="HY284" s="63"/>
      <c r="HZ284" s="67">
        <f t="shared" si="1896"/>
        <v>0</v>
      </c>
      <c r="IA284" s="63"/>
      <c r="IB284" s="63"/>
      <c r="IC284" s="63"/>
      <c r="ID284" s="63"/>
      <c r="IE284" s="67">
        <f t="shared" si="1897"/>
        <v>0</v>
      </c>
      <c r="IF284" s="68">
        <f t="shared" si="1898"/>
        <v>0</v>
      </c>
      <c r="IG284" s="68">
        <f t="shared" si="1898"/>
        <v>0</v>
      </c>
      <c r="IH284" s="68">
        <f t="shared" si="1898"/>
        <v>0</v>
      </c>
      <c r="II284" s="68">
        <f t="shared" si="1898"/>
        <v>0</v>
      </c>
      <c r="IJ284" s="67">
        <f t="shared" si="1899"/>
        <v>0</v>
      </c>
      <c r="IK284" s="63"/>
      <c r="IL284" s="63"/>
      <c r="IM284" s="63"/>
      <c r="IN284" s="63"/>
      <c r="IO284" s="67">
        <f t="shared" si="1900"/>
        <v>0</v>
      </c>
      <c r="IP284" s="63"/>
      <c r="IQ284" s="63"/>
      <c r="IR284" s="63"/>
      <c r="IS284" s="63"/>
      <c r="IT284" s="67">
        <f t="shared" si="1901"/>
        <v>0</v>
      </c>
      <c r="IU284" s="63"/>
      <c r="IV284" s="63"/>
    </row>
    <row r="285" spans="1:256" x14ac:dyDescent="0.25">
      <c r="A285" s="167" t="s">
        <v>296</v>
      </c>
      <c r="B285" s="62">
        <v>2</v>
      </c>
      <c r="C285" s="63">
        <v>0</v>
      </c>
      <c r="D285" s="63">
        <v>0</v>
      </c>
      <c r="E285" s="63">
        <v>0</v>
      </c>
      <c r="F285" s="63">
        <v>0</v>
      </c>
      <c r="G285" s="63">
        <v>2</v>
      </c>
      <c r="H285" s="63"/>
      <c r="I285" s="63"/>
      <c r="J285" s="63"/>
      <c r="K285" s="63"/>
      <c r="L285" s="64">
        <f t="shared" si="1867"/>
        <v>0</v>
      </c>
      <c r="M285" s="62"/>
      <c r="N285" s="63"/>
      <c r="O285" s="63"/>
      <c r="P285" s="63"/>
      <c r="Q285" s="63"/>
      <c r="R285" s="63"/>
      <c r="S285" s="63"/>
      <c r="T285" s="63"/>
      <c r="U285" s="63"/>
      <c r="V285" s="63"/>
      <c r="W285" s="64">
        <f t="shared" si="1868"/>
        <v>0</v>
      </c>
      <c r="X285" s="62"/>
      <c r="Y285" s="63"/>
      <c r="Z285" s="63"/>
      <c r="AA285" s="63"/>
      <c r="AB285" s="63"/>
      <c r="AC285" s="63"/>
      <c r="AD285" s="63"/>
      <c r="AE285" s="63"/>
      <c r="AF285" s="63"/>
      <c r="AG285" s="63"/>
      <c r="AH285" s="64">
        <f t="shared" si="1869"/>
        <v>0</v>
      </c>
      <c r="AI285" s="62"/>
      <c r="AJ285" s="63"/>
      <c r="AK285" s="63"/>
      <c r="AL285" s="63"/>
      <c r="AM285" s="63"/>
      <c r="AN285" s="63"/>
      <c r="AO285" s="63"/>
      <c r="AP285" s="63"/>
      <c r="AQ285" s="63"/>
      <c r="AR285" s="63"/>
      <c r="AS285" s="64">
        <f t="shared" si="1870"/>
        <v>0</v>
      </c>
      <c r="AT285" s="65">
        <f t="shared" si="1871"/>
        <v>0</v>
      </c>
      <c r="AU285" s="65">
        <f t="shared" si="1871"/>
        <v>0</v>
      </c>
      <c r="AV285" s="65">
        <f t="shared" si="1871"/>
        <v>0</v>
      </c>
      <c r="AW285" s="65">
        <f t="shared" si="1871"/>
        <v>0</v>
      </c>
      <c r="AX285" s="65">
        <f t="shared" si="1871"/>
        <v>0</v>
      </c>
      <c r="AY285" s="65">
        <f t="shared" si="1871"/>
        <v>0</v>
      </c>
      <c r="AZ285" s="65">
        <f t="shared" si="1871"/>
        <v>0</v>
      </c>
      <c r="BA285" s="65">
        <f t="shared" si="1871"/>
        <v>0</v>
      </c>
      <c r="BB285" s="65">
        <f t="shared" si="1871"/>
        <v>0</v>
      </c>
      <c r="BC285" s="65">
        <f t="shared" si="1871"/>
        <v>0</v>
      </c>
      <c r="BD285" s="64">
        <f t="shared" si="1872"/>
        <v>0</v>
      </c>
      <c r="BE285" s="62"/>
      <c r="BF285" s="63"/>
      <c r="BG285" s="63"/>
      <c r="BH285" s="63"/>
      <c r="BI285" s="63"/>
      <c r="BJ285" s="63"/>
      <c r="BK285" s="63"/>
      <c r="BL285" s="63"/>
      <c r="BM285" s="63"/>
      <c r="BN285" s="63"/>
      <c r="BO285" s="64">
        <f t="shared" si="1873"/>
        <v>0</v>
      </c>
      <c r="BP285" s="62"/>
      <c r="BQ285" s="63"/>
      <c r="BR285" s="63"/>
      <c r="BS285" s="63"/>
      <c r="BT285" s="63"/>
      <c r="BU285" s="63"/>
      <c r="BV285" s="63"/>
      <c r="BW285" s="63"/>
      <c r="BX285" s="63"/>
      <c r="BY285" s="63"/>
      <c r="BZ285" s="64">
        <f t="shared" si="1874"/>
        <v>0</v>
      </c>
      <c r="CA285" s="62"/>
      <c r="CB285" s="63"/>
      <c r="CC285" s="63"/>
      <c r="CD285" s="63"/>
      <c r="CE285" s="63"/>
      <c r="CF285" s="63"/>
      <c r="CG285" s="63"/>
      <c r="CH285" s="63"/>
      <c r="CI285" s="63"/>
      <c r="CJ285" s="63"/>
      <c r="CK285" s="64">
        <f t="shared" si="1875"/>
        <v>0</v>
      </c>
      <c r="CL285" s="65">
        <f t="shared" si="1876"/>
        <v>0</v>
      </c>
      <c r="CM285" s="65">
        <f t="shared" si="1876"/>
        <v>0</v>
      </c>
      <c r="CN285" s="65">
        <f t="shared" si="1876"/>
        <v>0</v>
      </c>
      <c r="CO285" s="65">
        <f t="shared" si="1876"/>
        <v>0</v>
      </c>
      <c r="CP285" s="65">
        <f t="shared" si="1876"/>
        <v>0</v>
      </c>
      <c r="CQ285" s="65">
        <f t="shared" si="1876"/>
        <v>0</v>
      </c>
      <c r="CR285" s="65">
        <f t="shared" si="1876"/>
        <v>0</v>
      </c>
      <c r="CS285" s="65">
        <f t="shared" si="1876"/>
        <v>0</v>
      </c>
      <c r="CT285" s="65">
        <f t="shared" si="1876"/>
        <v>0</v>
      </c>
      <c r="CU285" s="65">
        <f t="shared" si="1876"/>
        <v>0</v>
      </c>
      <c r="CV285" s="64">
        <f t="shared" si="1877"/>
        <v>0</v>
      </c>
      <c r="CW285" s="62"/>
      <c r="CX285" s="63"/>
      <c r="CY285" s="63"/>
      <c r="CZ285" s="63"/>
      <c r="DA285" s="63"/>
      <c r="DB285" s="63"/>
      <c r="DC285" s="63"/>
      <c r="DD285" s="63"/>
      <c r="DE285" s="63"/>
      <c r="DF285" s="63"/>
      <c r="DG285" s="64">
        <f t="shared" si="1878"/>
        <v>0</v>
      </c>
      <c r="DH285" s="62"/>
      <c r="DI285" s="63"/>
      <c r="DJ285" s="63"/>
      <c r="DK285" s="63"/>
      <c r="DL285" s="63"/>
      <c r="DM285" s="63"/>
      <c r="DN285" s="63"/>
      <c r="DO285" s="63"/>
      <c r="DP285" s="63"/>
      <c r="DQ285" s="63"/>
      <c r="DR285" s="64">
        <f t="shared" si="1879"/>
        <v>0</v>
      </c>
      <c r="DS285" s="62"/>
      <c r="DT285" s="63"/>
      <c r="DU285" s="63"/>
      <c r="DV285" s="63"/>
      <c r="DW285" s="63"/>
      <c r="DX285" s="63"/>
      <c r="DY285" s="63"/>
      <c r="DZ285" s="63"/>
      <c r="EA285" s="63"/>
      <c r="EB285" s="63"/>
      <c r="EC285" s="63"/>
      <c r="ED285" s="65">
        <f t="shared" si="1880"/>
        <v>0</v>
      </c>
      <c r="EE285" s="65">
        <f t="shared" si="1880"/>
        <v>0</v>
      </c>
      <c r="EF285" s="65">
        <f t="shared" si="1880"/>
        <v>0</v>
      </c>
      <c r="EG285" s="65">
        <f t="shared" si="1880"/>
        <v>0</v>
      </c>
      <c r="EH285" s="65">
        <f t="shared" si="1880"/>
        <v>0</v>
      </c>
      <c r="EI285" s="65">
        <f t="shared" si="1880"/>
        <v>0</v>
      </c>
      <c r="EJ285" s="65">
        <f t="shared" si="1880"/>
        <v>0</v>
      </c>
      <c r="EK285" s="65">
        <f t="shared" si="1880"/>
        <v>0</v>
      </c>
      <c r="EL285" s="65">
        <f t="shared" si="1880"/>
        <v>0</v>
      </c>
      <c r="EM285" s="65">
        <f t="shared" si="1880"/>
        <v>0</v>
      </c>
      <c r="EN285" s="64">
        <f t="shared" si="1881"/>
        <v>0</v>
      </c>
      <c r="EO285" s="62"/>
      <c r="EP285" s="63"/>
      <c r="EQ285" s="63"/>
      <c r="ER285" s="63"/>
      <c r="ES285" s="63"/>
      <c r="ET285" s="63"/>
      <c r="EU285" s="63"/>
      <c r="EV285" s="63"/>
      <c r="EW285" s="63"/>
      <c r="EX285" s="63"/>
      <c r="EY285" s="64">
        <f t="shared" si="1882"/>
        <v>0</v>
      </c>
      <c r="EZ285" s="62"/>
      <c r="FA285" s="63"/>
      <c r="FB285" s="63"/>
      <c r="FC285" s="63"/>
      <c r="FD285" s="63"/>
      <c r="FE285" s="63"/>
      <c r="FF285" s="63"/>
      <c r="FG285" s="63"/>
      <c r="FH285" s="63"/>
      <c r="FI285" s="63"/>
      <c r="FJ285" s="64">
        <f t="shared" si="1883"/>
        <v>0</v>
      </c>
      <c r="FK285" s="62"/>
      <c r="FL285" s="63"/>
      <c r="FM285" s="63"/>
      <c r="FN285" s="63"/>
      <c r="FO285" s="63"/>
      <c r="FP285" s="63"/>
      <c r="FQ285" s="63"/>
      <c r="FR285" s="63"/>
      <c r="FS285" s="63"/>
      <c r="FT285" s="63"/>
      <c r="FU285" s="64">
        <f t="shared" si="1884"/>
        <v>0</v>
      </c>
      <c r="FV285" s="65">
        <f t="shared" si="1885"/>
        <v>0</v>
      </c>
      <c r="FW285" s="65">
        <f t="shared" si="1885"/>
        <v>0</v>
      </c>
      <c r="FX285" s="65">
        <f t="shared" si="1885"/>
        <v>0</v>
      </c>
      <c r="FY285" s="65">
        <f t="shared" si="1885"/>
        <v>0</v>
      </c>
      <c r="FZ285" s="65">
        <f t="shared" si="1885"/>
        <v>0</v>
      </c>
      <c r="GA285" s="65">
        <f t="shared" si="1885"/>
        <v>0</v>
      </c>
      <c r="GB285" s="65">
        <f t="shared" si="1885"/>
        <v>0</v>
      </c>
      <c r="GC285" s="65">
        <f t="shared" si="1885"/>
        <v>0</v>
      </c>
      <c r="GD285" s="65">
        <f t="shared" si="1885"/>
        <v>0</v>
      </c>
      <c r="GE285" s="65">
        <f t="shared" si="1885"/>
        <v>0</v>
      </c>
      <c r="GF285" s="64">
        <f t="shared" si="1886"/>
        <v>0</v>
      </c>
      <c r="GG285" s="66">
        <f t="shared" si="1887"/>
        <v>0</v>
      </c>
      <c r="GH285" s="66">
        <f t="shared" si="1887"/>
        <v>0</v>
      </c>
      <c r="GI285" s="66">
        <f t="shared" si="1887"/>
        <v>0</v>
      </c>
      <c r="GJ285" s="66">
        <f t="shared" si="1887"/>
        <v>0</v>
      </c>
      <c r="GK285" s="66">
        <f t="shared" si="1887"/>
        <v>0</v>
      </c>
      <c r="GL285" s="66">
        <f t="shared" si="1887"/>
        <v>0</v>
      </c>
      <c r="GM285" s="66">
        <f t="shared" si="1887"/>
        <v>0</v>
      </c>
      <c r="GN285" s="66">
        <f t="shared" si="1887"/>
        <v>0</v>
      </c>
      <c r="GO285" s="66">
        <f t="shared" si="1887"/>
        <v>0</v>
      </c>
      <c r="GP285" s="66">
        <f t="shared" si="1887"/>
        <v>0</v>
      </c>
      <c r="GQ285" s="64">
        <f t="shared" si="1888"/>
        <v>0</v>
      </c>
      <c r="GR285" s="63"/>
      <c r="GS285" s="63"/>
      <c r="GT285" s="63"/>
      <c r="GU285" s="63"/>
      <c r="GV285" s="67">
        <f t="shared" si="1889"/>
        <v>0</v>
      </c>
      <c r="GW285" s="63"/>
      <c r="GX285" s="63"/>
      <c r="GY285" s="63"/>
      <c r="GZ285" s="63"/>
      <c r="HA285" s="67">
        <f t="shared" si="1890"/>
        <v>0</v>
      </c>
      <c r="HB285" s="63"/>
      <c r="HC285" s="63"/>
      <c r="HD285" s="63"/>
      <c r="HE285" s="63"/>
      <c r="HF285" s="67">
        <f t="shared" si="1891"/>
        <v>0</v>
      </c>
      <c r="HG285" s="63"/>
      <c r="HH285" s="63"/>
      <c r="HI285" s="63"/>
      <c r="HJ285" s="63"/>
      <c r="HK285" s="67">
        <f t="shared" si="1892"/>
        <v>0</v>
      </c>
      <c r="HL285" s="68">
        <f t="shared" si="1893"/>
        <v>0</v>
      </c>
      <c r="HM285" s="68">
        <f t="shared" si="1893"/>
        <v>0</v>
      </c>
      <c r="HN285" s="68">
        <f t="shared" si="1893"/>
        <v>0</v>
      </c>
      <c r="HO285" s="68">
        <f t="shared" si="1893"/>
        <v>0</v>
      </c>
      <c r="HP285" s="67">
        <f t="shared" si="1894"/>
        <v>0</v>
      </c>
      <c r="HQ285" s="63"/>
      <c r="HR285" s="63"/>
      <c r="HS285" s="63"/>
      <c r="HT285" s="63"/>
      <c r="HU285" s="67">
        <f t="shared" si="1895"/>
        <v>0</v>
      </c>
      <c r="HV285" s="63"/>
      <c r="HW285" s="63"/>
      <c r="HX285" s="63"/>
      <c r="HY285" s="63"/>
      <c r="HZ285" s="67">
        <f t="shared" si="1896"/>
        <v>0</v>
      </c>
      <c r="IA285" s="63"/>
      <c r="IB285" s="63"/>
      <c r="IC285" s="63"/>
      <c r="ID285" s="63"/>
      <c r="IE285" s="67">
        <f t="shared" si="1897"/>
        <v>0</v>
      </c>
      <c r="IF285" s="68">
        <f t="shared" si="1898"/>
        <v>0</v>
      </c>
      <c r="IG285" s="68">
        <f t="shared" si="1898"/>
        <v>0</v>
      </c>
      <c r="IH285" s="68">
        <f t="shared" si="1898"/>
        <v>0</v>
      </c>
      <c r="II285" s="68">
        <f t="shared" si="1898"/>
        <v>0</v>
      </c>
      <c r="IJ285" s="67">
        <f t="shared" si="1899"/>
        <v>0</v>
      </c>
      <c r="IK285" s="63"/>
      <c r="IL285" s="63"/>
      <c r="IM285" s="63"/>
      <c r="IN285" s="63"/>
      <c r="IO285" s="67">
        <f t="shared" si="1900"/>
        <v>0</v>
      </c>
      <c r="IP285" s="63"/>
      <c r="IQ285" s="63"/>
      <c r="IR285" s="63"/>
      <c r="IS285" s="63"/>
      <c r="IT285" s="67">
        <f t="shared" si="1901"/>
        <v>0</v>
      </c>
      <c r="IU285" s="63"/>
      <c r="IV285" s="63"/>
    </row>
    <row r="286" spans="1:256" x14ac:dyDescent="0.25">
      <c r="A286" s="167" t="s">
        <v>297</v>
      </c>
      <c r="B286" s="62"/>
      <c r="C286" s="63"/>
      <c r="D286" s="63"/>
      <c r="E286" s="63"/>
      <c r="F286" s="63"/>
      <c r="G286" s="63"/>
      <c r="H286" s="63"/>
      <c r="I286" s="63"/>
      <c r="J286" s="63"/>
      <c r="K286" s="63"/>
      <c r="L286" s="64">
        <f t="shared" si="1867"/>
        <v>0</v>
      </c>
      <c r="M286" s="62"/>
      <c r="N286" s="63"/>
      <c r="O286" s="63"/>
      <c r="P286" s="63"/>
      <c r="Q286" s="63"/>
      <c r="R286" s="63"/>
      <c r="S286" s="63"/>
      <c r="T286" s="63"/>
      <c r="U286" s="63"/>
      <c r="V286" s="63"/>
      <c r="W286" s="64">
        <f t="shared" si="1868"/>
        <v>0</v>
      </c>
      <c r="X286" s="62"/>
      <c r="Y286" s="63"/>
      <c r="Z286" s="63"/>
      <c r="AA286" s="63"/>
      <c r="AB286" s="63"/>
      <c r="AC286" s="63"/>
      <c r="AD286" s="63"/>
      <c r="AE286" s="63"/>
      <c r="AF286" s="63"/>
      <c r="AG286" s="63"/>
      <c r="AH286" s="64">
        <f t="shared" si="1869"/>
        <v>0</v>
      </c>
      <c r="AI286" s="62"/>
      <c r="AJ286" s="63"/>
      <c r="AK286" s="63"/>
      <c r="AL286" s="63"/>
      <c r="AM286" s="63"/>
      <c r="AN286" s="63"/>
      <c r="AO286" s="63"/>
      <c r="AP286" s="63"/>
      <c r="AQ286" s="63"/>
      <c r="AR286" s="63"/>
      <c r="AS286" s="64">
        <f t="shared" si="1870"/>
        <v>0</v>
      </c>
      <c r="AT286" s="65">
        <f t="shared" si="1871"/>
        <v>0</v>
      </c>
      <c r="AU286" s="65">
        <f t="shared" si="1871"/>
        <v>0</v>
      </c>
      <c r="AV286" s="65">
        <f t="shared" si="1871"/>
        <v>0</v>
      </c>
      <c r="AW286" s="65">
        <f t="shared" si="1871"/>
        <v>0</v>
      </c>
      <c r="AX286" s="65">
        <f t="shared" si="1871"/>
        <v>0</v>
      </c>
      <c r="AY286" s="65">
        <f t="shared" si="1871"/>
        <v>0</v>
      </c>
      <c r="AZ286" s="65">
        <f t="shared" si="1871"/>
        <v>0</v>
      </c>
      <c r="BA286" s="65">
        <f t="shared" si="1871"/>
        <v>0</v>
      </c>
      <c r="BB286" s="65">
        <f t="shared" si="1871"/>
        <v>0</v>
      </c>
      <c r="BC286" s="65">
        <f t="shared" si="1871"/>
        <v>0</v>
      </c>
      <c r="BD286" s="64">
        <f t="shared" si="1872"/>
        <v>0</v>
      </c>
      <c r="BE286" s="62"/>
      <c r="BF286" s="63"/>
      <c r="BG286" s="63"/>
      <c r="BH286" s="63"/>
      <c r="BI286" s="63"/>
      <c r="BJ286" s="63"/>
      <c r="BK286" s="63"/>
      <c r="BL286" s="63"/>
      <c r="BM286" s="63"/>
      <c r="BN286" s="63"/>
      <c r="BO286" s="64">
        <f t="shared" si="1873"/>
        <v>0</v>
      </c>
      <c r="BP286" s="62"/>
      <c r="BQ286" s="63"/>
      <c r="BR286" s="63"/>
      <c r="BS286" s="63"/>
      <c r="BT286" s="63"/>
      <c r="BU286" s="63"/>
      <c r="BV286" s="63"/>
      <c r="BW286" s="63"/>
      <c r="BX286" s="63"/>
      <c r="BY286" s="63"/>
      <c r="BZ286" s="64">
        <f t="shared" si="1874"/>
        <v>0</v>
      </c>
      <c r="CA286" s="62"/>
      <c r="CB286" s="63"/>
      <c r="CC286" s="63"/>
      <c r="CD286" s="63"/>
      <c r="CE286" s="63"/>
      <c r="CF286" s="63"/>
      <c r="CG286" s="63"/>
      <c r="CH286" s="63"/>
      <c r="CI286" s="63"/>
      <c r="CJ286" s="63"/>
      <c r="CK286" s="64">
        <f t="shared" si="1875"/>
        <v>0</v>
      </c>
      <c r="CL286" s="65">
        <f t="shared" si="1876"/>
        <v>0</v>
      </c>
      <c r="CM286" s="65">
        <f t="shared" si="1876"/>
        <v>0</v>
      </c>
      <c r="CN286" s="65">
        <f t="shared" si="1876"/>
        <v>0</v>
      </c>
      <c r="CO286" s="65">
        <f t="shared" si="1876"/>
        <v>0</v>
      </c>
      <c r="CP286" s="65">
        <f t="shared" si="1876"/>
        <v>0</v>
      </c>
      <c r="CQ286" s="65">
        <f t="shared" si="1876"/>
        <v>0</v>
      </c>
      <c r="CR286" s="65">
        <f t="shared" si="1876"/>
        <v>0</v>
      </c>
      <c r="CS286" s="65">
        <f t="shared" si="1876"/>
        <v>0</v>
      </c>
      <c r="CT286" s="65">
        <f t="shared" si="1876"/>
        <v>0</v>
      </c>
      <c r="CU286" s="65">
        <f t="shared" si="1876"/>
        <v>0</v>
      </c>
      <c r="CV286" s="64">
        <f t="shared" si="1877"/>
        <v>0</v>
      </c>
      <c r="CW286" s="62"/>
      <c r="CX286" s="63"/>
      <c r="CY286" s="63"/>
      <c r="CZ286" s="63"/>
      <c r="DA286" s="63"/>
      <c r="DB286" s="63"/>
      <c r="DC286" s="63"/>
      <c r="DD286" s="63"/>
      <c r="DE286" s="63"/>
      <c r="DF286" s="63"/>
      <c r="DG286" s="64">
        <f t="shared" si="1878"/>
        <v>0</v>
      </c>
      <c r="DH286" s="62"/>
      <c r="DI286" s="63"/>
      <c r="DJ286" s="63"/>
      <c r="DK286" s="63"/>
      <c r="DL286" s="63"/>
      <c r="DM286" s="63"/>
      <c r="DN286" s="63"/>
      <c r="DO286" s="63"/>
      <c r="DP286" s="63"/>
      <c r="DQ286" s="63"/>
      <c r="DR286" s="64">
        <f t="shared" si="1879"/>
        <v>0</v>
      </c>
      <c r="DS286" s="62"/>
      <c r="DT286" s="63"/>
      <c r="DU286" s="63"/>
      <c r="DV286" s="63"/>
      <c r="DW286" s="63"/>
      <c r="DX286" s="63"/>
      <c r="DY286" s="63"/>
      <c r="DZ286" s="63"/>
      <c r="EA286" s="63"/>
      <c r="EB286" s="63"/>
      <c r="EC286" s="63"/>
      <c r="ED286" s="65">
        <f t="shared" si="1880"/>
        <v>0</v>
      </c>
      <c r="EE286" s="65">
        <f t="shared" si="1880"/>
        <v>0</v>
      </c>
      <c r="EF286" s="65">
        <f t="shared" si="1880"/>
        <v>0</v>
      </c>
      <c r="EG286" s="65">
        <f t="shared" si="1880"/>
        <v>0</v>
      </c>
      <c r="EH286" s="65">
        <f t="shared" si="1880"/>
        <v>0</v>
      </c>
      <c r="EI286" s="65">
        <f t="shared" si="1880"/>
        <v>0</v>
      </c>
      <c r="EJ286" s="65">
        <f t="shared" si="1880"/>
        <v>0</v>
      </c>
      <c r="EK286" s="65">
        <f t="shared" si="1880"/>
        <v>0</v>
      </c>
      <c r="EL286" s="65">
        <f t="shared" si="1880"/>
        <v>0</v>
      </c>
      <c r="EM286" s="65">
        <f t="shared" si="1880"/>
        <v>0</v>
      </c>
      <c r="EN286" s="64">
        <f t="shared" si="1881"/>
        <v>0</v>
      </c>
      <c r="EO286" s="62"/>
      <c r="EP286" s="63"/>
      <c r="EQ286" s="63"/>
      <c r="ER286" s="63"/>
      <c r="ES286" s="63"/>
      <c r="ET286" s="63"/>
      <c r="EU286" s="63"/>
      <c r="EV286" s="63"/>
      <c r="EW286" s="63"/>
      <c r="EX286" s="63"/>
      <c r="EY286" s="64">
        <f t="shared" si="1882"/>
        <v>0</v>
      </c>
      <c r="EZ286" s="62"/>
      <c r="FA286" s="63"/>
      <c r="FB286" s="63"/>
      <c r="FC286" s="63"/>
      <c r="FD286" s="63"/>
      <c r="FE286" s="63"/>
      <c r="FF286" s="63"/>
      <c r="FG286" s="63"/>
      <c r="FH286" s="63"/>
      <c r="FI286" s="63"/>
      <c r="FJ286" s="64">
        <f t="shared" si="1883"/>
        <v>0</v>
      </c>
      <c r="FK286" s="62"/>
      <c r="FL286" s="63"/>
      <c r="FM286" s="63"/>
      <c r="FN286" s="63"/>
      <c r="FO286" s="63"/>
      <c r="FP286" s="63"/>
      <c r="FQ286" s="63"/>
      <c r="FR286" s="63"/>
      <c r="FS286" s="63"/>
      <c r="FT286" s="63"/>
      <c r="FU286" s="64">
        <f t="shared" si="1884"/>
        <v>0</v>
      </c>
      <c r="FV286" s="65">
        <f t="shared" si="1885"/>
        <v>0</v>
      </c>
      <c r="FW286" s="65">
        <f t="shared" si="1885"/>
        <v>0</v>
      </c>
      <c r="FX286" s="65">
        <f t="shared" si="1885"/>
        <v>0</v>
      </c>
      <c r="FY286" s="65">
        <f t="shared" si="1885"/>
        <v>0</v>
      </c>
      <c r="FZ286" s="65">
        <f t="shared" si="1885"/>
        <v>0</v>
      </c>
      <c r="GA286" s="65">
        <f t="shared" si="1885"/>
        <v>0</v>
      </c>
      <c r="GB286" s="65">
        <f t="shared" si="1885"/>
        <v>0</v>
      </c>
      <c r="GC286" s="65">
        <f t="shared" si="1885"/>
        <v>0</v>
      </c>
      <c r="GD286" s="65">
        <f t="shared" si="1885"/>
        <v>0</v>
      </c>
      <c r="GE286" s="65">
        <f t="shared" si="1885"/>
        <v>0</v>
      </c>
      <c r="GF286" s="64">
        <f t="shared" si="1886"/>
        <v>0</v>
      </c>
      <c r="GG286" s="66">
        <f t="shared" si="1887"/>
        <v>0</v>
      </c>
      <c r="GH286" s="66">
        <f t="shared" si="1887"/>
        <v>0</v>
      </c>
      <c r="GI286" s="66">
        <f t="shared" si="1887"/>
        <v>0</v>
      </c>
      <c r="GJ286" s="66">
        <f t="shared" si="1887"/>
        <v>0</v>
      </c>
      <c r="GK286" s="66">
        <f t="shared" si="1887"/>
        <v>0</v>
      </c>
      <c r="GL286" s="66">
        <f t="shared" si="1887"/>
        <v>0</v>
      </c>
      <c r="GM286" s="66">
        <f t="shared" si="1887"/>
        <v>0</v>
      </c>
      <c r="GN286" s="66">
        <f t="shared" si="1887"/>
        <v>0</v>
      </c>
      <c r="GO286" s="66">
        <f t="shared" si="1887"/>
        <v>0</v>
      </c>
      <c r="GP286" s="66">
        <f t="shared" si="1887"/>
        <v>0</v>
      </c>
      <c r="GQ286" s="64">
        <f t="shared" si="1888"/>
        <v>0</v>
      </c>
      <c r="GR286" s="63"/>
      <c r="GS286" s="63">
        <v>0</v>
      </c>
      <c r="GT286" s="63"/>
      <c r="GU286" s="63"/>
      <c r="GV286" s="67">
        <f t="shared" si="1889"/>
        <v>0</v>
      </c>
      <c r="GW286" s="63"/>
      <c r="GX286" s="63"/>
      <c r="GY286" s="63"/>
      <c r="GZ286" s="63"/>
      <c r="HA286" s="67">
        <f t="shared" si="1890"/>
        <v>0</v>
      </c>
      <c r="HB286" s="63"/>
      <c r="HC286" s="63"/>
      <c r="HD286" s="63"/>
      <c r="HE286" s="63"/>
      <c r="HF286" s="67">
        <f t="shared" si="1891"/>
        <v>0</v>
      </c>
      <c r="HG286" s="63"/>
      <c r="HH286" s="63"/>
      <c r="HI286" s="63"/>
      <c r="HJ286" s="63"/>
      <c r="HK286" s="67">
        <f t="shared" si="1892"/>
        <v>0</v>
      </c>
      <c r="HL286" s="68">
        <f t="shared" si="1893"/>
        <v>0</v>
      </c>
      <c r="HM286" s="68">
        <f t="shared" si="1893"/>
        <v>0</v>
      </c>
      <c r="HN286" s="68">
        <f t="shared" si="1893"/>
        <v>0</v>
      </c>
      <c r="HO286" s="68">
        <f t="shared" si="1893"/>
        <v>0</v>
      </c>
      <c r="HP286" s="67">
        <f t="shared" si="1894"/>
        <v>0</v>
      </c>
      <c r="HQ286" s="63"/>
      <c r="HR286" s="63"/>
      <c r="HS286" s="63"/>
      <c r="HT286" s="63"/>
      <c r="HU286" s="67">
        <f t="shared" si="1895"/>
        <v>0</v>
      </c>
      <c r="HV286" s="63"/>
      <c r="HW286" s="63"/>
      <c r="HX286" s="63"/>
      <c r="HY286" s="63"/>
      <c r="HZ286" s="67">
        <f t="shared" si="1896"/>
        <v>0</v>
      </c>
      <c r="IA286" s="63"/>
      <c r="IB286" s="63"/>
      <c r="IC286" s="63"/>
      <c r="ID286" s="63"/>
      <c r="IE286" s="67">
        <f t="shared" si="1897"/>
        <v>0</v>
      </c>
      <c r="IF286" s="68">
        <f t="shared" si="1898"/>
        <v>0</v>
      </c>
      <c r="IG286" s="68">
        <f t="shared" si="1898"/>
        <v>0</v>
      </c>
      <c r="IH286" s="68">
        <f t="shared" si="1898"/>
        <v>0</v>
      </c>
      <c r="II286" s="68">
        <f t="shared" si="1898"/>
        <v>0</v>
      </c>
      <c r="IJ286" s="67">
        <f t="shared" si="1899"/>
        <v>0</v>
      </c>
      <c r="IK286" s="63"/>
      <c r="IL286" s="63"/>
      <c r="IM286" s="63"/>
      <c r="IN286" s="63"/>
      <c r="IO286" s="67">
        <f t="shared" si="1900"/>
        <v>0</v>
      </c>
      <c r="IP286" s="63"/>
      <c r="IQ286" s="63"/>
      <c r="IR286" s="63"/>
      <c r="IS286" s="63"/>
      <c r="IT286" s="67">
        <f t="shared" si="1901"/>
        <v>0</v>
      </c>
      <c r="IU286" s="63"/>
      <c r="IV286" s="63"/>
    </row>
    <row r="287" spans="1:256" x14ac:dyDescent="0.25">
      <c r="A287" s="167" t="s">
        <v>224</v>
      </c>
      <c r="B287" s="62"/>
      <c r="C287" s="63"/>
      <c r="D287" s="63"/>
      <c r="E287" s="63"/>
      <c r="F287" s="63"/>
      <c r="G287" s="63"/>
      <c r="H287" s="63"/>
      <c r="I287" s="63"/>
      <c r="J287" s="63"/>
      <c r="K287" s="63"/>
      <c r="L287" s="64">
        <f t="shared" si="1867"/>
        <v>0</v>
      </c>
      <c r="M287" s="62"/>
      <c r="N287" s="63"/>
      <c r="O287" s="63"/>
      <c r="P287" s="63"/>
      <c r="Q287" s="63"/>
      <c r="R287" s="63"/>
      <c r="S287" s="63"/>
      <c r="T287" s="63"/>
      <c r="U287" s="63"/>
      <c r="V287" s="63"/>
      <c r="W287" s="64">
        <f t="shared" si="1868"/>
        <v>0</v>
      </c>
      <c r="X287" s="62"/>
      <c r="Y287" s="63"/>
      <c r="Z287" s="63"/>
      <c r="AA287" s="63"/>
      <c r="AB287" s="63"/>
      <c r="AC287" s="63"/>
      <c r="AD287" s="63"/>
      <c r="AE287" s="63"/>
      <c r="AF287" s="63"/>
      <c r="AG287" s="63"/>
      <c r="AH287" s="64">
        <f t="shared" si="1869"/>
        <v>0</v>
      </c>
      <c r="AI287" s="62"/>
      <c r="AJ287" s="63"/>
      <c r="AK287" s="63"/>
      <c r="AL287" s="63"/>
      <c r="AM287" s="63"/>
      <c r="AN287" s="63"/>
      <c r="AO287" s="63"/>
      <c r="AP287" s="63"/>
      <c r="AQ287" s="63"/>
      <c r="AR287" s="63"/>
      <c r="AS287" s="64">
        <f t="shared" si="1870"/>
        <v>0</v>
      </c>
      <c r="AT287" s="65">
        <f t="shared" si="1871"/>
        <v>0</v>
      </c>
      <c r="AU287" s="65">
        <f t="shared" si="1871"/>
        <v>0</v>
      </c>
      <c r="AV287" s="65">
        <f t="shared" si="1871"/>
        <v>0</v>
      </c>
      <c r="AW287" s="65">
        <f t="shared" si="1871"/>
        <v>0</v>
      </c>
      <c r="AX287" s="65">
        <f t="shared" si="1871"/>
        <v>0</v>
      </c>
      <c r="AY287" s="65">
        <f t="shared" si="1871"/>
        <v>0</v>
      </c>
      <c r="AZ287" s="65">
        <f t="shared" si="1871"/>
        <v>0</v>
      </c>
      <c r="BA287" s="65">
        <f t="shared" si="1871"/>
        <v>0</v>
      </c>
      <c r="BB287" s="65">
        <f t="shared" si="1871"/>
        <v>0</v>
      </c>
      <c r="BC287" s="65">
        <f t="shared" si="1871"/>
        <v>0</v>
      </c>
      <c r="BD287" s="64">
        <f t="shared" si="1872"/>
        <v>0</v>
      </c>
      <c r="BE287" s="62"/>
      <c r="BF287" s="63"/>
      <c r="BG287" s="63"/>
      <c r="BH287" s="63"/>
      <c r="BI287" s="63"/>
      <c r="BJ287" s="63"/>
      <c r="BK287" s="63"/>
      <c r="BL287" s="63"/>
      <c r="BM287" s="63"/>
      <c r="BN287" s="63"/>
      <c r="BO287" s="64">
        <f t="shared" si="1873"/>
        <v>0</v>
      </c>
      <c r="BP287" s="62"/>
      <c r="BQ287" s="63"/>
      <c r="BR287" s="63"/>
      <c r="BS287" s="63"/>
      <c r="BT287" s="63"/>
      <c r="BU287" s="63"/>
      <c r="BV287" s="63"/>
      <c r="BW287" s="63"/>
      <c r="BX287" s="63"/>
      <c r="BY287" s="63"/>
      <c r="BZ287" s="64">
        <f t="shared" si="1874"/>
        <v>0</v>
      </c>
      <c r="CA287" s="62"/>
      <c r="CB287" s="63"/>
      <c r="CC287" s="63"/>
      <c r="CD287" s="63"/>
      <c r="CE287" s="63"/>
      <c r="CF287" s="63"/>
      <c r="CG287" s="63"/>
      <c r="CH287" s="63"/>
      <c r="CI287" s="63"/>
      <c r="CJ287" s="63"/>
      <c r="CK287" s="64">
        <f t="shared" si="1875"/>
        <v>0</v>
      </c>
      <c r="CL287" s="65">
        <f t="shared" si="1876"/>
        <v>0</v>
      </c>
      <c r="CM287" s="65">
        <f t="shared" si="1876"/>
        <v>0</v>
      </c>
      <c r="CN287" s="65">
        <f t="shared" si="1876"/>
        <v>0</v>
      </c>
      <c r="CO287" s="65">
        <f t="shared" si="1876"/>
        <v>0</v>
      </c>
      <c r="CP287" s="65">
        <f t="shared" si="1876"/>
        <v>0</v>
      </c>
      <c r="CQ287" s="65">
        <f t="shared" si="1876"/>
        <v>0</v>
      </c>
      <c r="CR287" s="65">
        <f t="shared" si="1876"/>
        <v>0</v>
      </c>
      <c r="CS287" s="65">
        <f t="shared" si="1876"/>
        <v>0</v>
      </c>
      <c r="CT287" s="65">
        <f t="shared" si="1876"/>
        <v>0</v>
      </c>
      <c r="CU287" s="65">
        <f t="shared" si="1876"/>
        <v>0</v>
      </c>
      <c r="CV287" s="64">
        <f t="shared" si="1877"/>
        <v>0</v>
      </c>
      <c r="CW287" s="62"/>
      <c r="CX287" s="63"/>
      <c r="CY287" s="63"/>
      <c r="CZ287" s="63"/>
      <c r="DA287" s="63"/>
      <c r="DB287" s="63"/>
      <c r="DC287" s="63"/>
      <c r="DD287" s="63"/>
      <c r="DE287" s="63"/>
      <c r="DF287" s="63"/>
      <c r="DG287" s="64">
        <f t="shared" si="1878"/>
        <v>0</v>
      </c>
      <c r="DH287" s="62"/>
      <c r="DI287" s="63"/>
      <c r="DJ287" s="63"/>
      <c r="DK287" s="63"/>
      <c r="DL287" s="63"/>
      <c r="DM287" s="63"/>
      <c r="DN287" s="63"/>
      <c r="DO287" s="63"/>
      <c r="DP287" s="63"/>
      <c r="DQ287" s="63"/>
      <c r="DR287" s="64">
        <f t="shared" si="1879"/>
        <v>0</v>
      </c>
      <c r="DS287" s="62"/>
      <c r="DT287" s="63"/>
      <c r="DU287" s="63"/>
      <c r="DV287" s="63"/>
      <c r="DW287" s="63"/>
      <c r="DX287" s="63"/>
      <c r="DY287" s="63"/>
      <c r="DZ287" s="63"/>
      <c r="EA287" s="63"/>
      <c r="EB287" s="63"/>
      <c r="EC287" s="63"/>
      <c r="ED287" s="65">
        <f t="shared" si="1880"/>
        <v>0</v>
      </c>
      <c r="EE287" s="65">
        <f t="shared" si="1880"/>
        <v>0</v>
      </c>
      <c r="EF287" s="65">
        <f t="shared" si="1880"/>
        <v>0</v>
      </c>
      <c r="EG287" s="65">
        <f t="shared" si="1880"/>
        <v>0</v>
      </c>
      <c r="EH287" s="65">
        <f t="shared" si="1880"/>
        <v>0</v>
      </c>
      <c r="EI287" s="65">
        <f t="shared" si="1880"/>
        <v>0</v>
      </c>
      <c r="EJ287" s="65">
        <f t="shared" si="1880"/>
        <v>0</v>
      </c>
      <c r="EK287" s="65">
        <f t="shared" si="1880"/>
        <v>0</v>
      </c>
      <c r="EL287" s="65">
        <f t="shared" si="1880"/>
        <v>0</v>
      </c>
      <c r="EM287" s="65">
        <f t="shared" si="1880"/>
        <v>0</v>
      </c>
      <c r="EN287" s="64">
        <f t="shared" si="1881"/>
        <v>0</v>
      </c>
      <c r="EO287" s="62"/>
      <c r="EP287" s="63"/>
      <c r="EQ287" s="63"/>
      <c r="ER287" s="63"/>
      <c r="ES287" s="63"/>
      <c r="ET287" s="63"/>
      <c r="EU287" s="63"/>
      <c r="EV287" s="63"/>
      <c r="EW287" s="63"/>
      <c r="EX287" s="63"/>
      <c r="EY287" s="64">
        <f t="shared" si="1882"/>
        <v>0</v>
      </c>
      <c r="EZ287" s="62"/>
      <c r="FA287" s="63"/>
      <c r="FB287" s="63"/>
      <c r="FC287" s="63"/>
      <c r="FD287" s="63"/>
      <c r="FE287" s="63"/>
      <c r="FF287" s="63"/>
      <c r="FG287" s="63"/>
      <c r="FH287" s="63"/>
      <c r="FI287" s="63"/>
      <c r="FJ287" s="64">
        <f t="shared" si="1883"/>
        <v>0</v>
      </c>
      <c r="FK287" s="62"/>
      <c r="FL287" s="63"/>
      <c r="FM287" s="63"/>
      <c r="FN287" s="63"/>
      <c r="FO287" s="63"/>
      <c r="FP287" s="63"/>
      <c r="FQ287" s="63"/>
      <c r="FR287" s="63"/>
      <c r="FS287" s="63"/>
      <c r="FT287" s="63"/>
      <c r="FU287" s="64">
        <f t="shared" si="1884"/>
        <v>0</v>
      </c>
      <c r="FV287" s="65">
        <f t="shared" si="1885"/>
        <v>0</v>
      </c>
      <c r="FW287" s="65">
        <f t="shared" si="1885"/>
        <v>0</v>
      </c>
      <c r="FX287" s="65">
        <f t="shared" si="1885"/>
        <v>0</v>
      </c>
      <c r="FY287" s="65">
        <f t="shared" si="1885"/>
        <v>0</v>
      </c>
      <c r="FZ287" s="65">
        <f t="shared" si="1885"/>
        <v>0</v>
      </c>
      <c r="GA287" s="65">
        <f t="shared" si="1885"/>
        <v>0</v>
      </c>
      <c r="GB287" s="65">
        <f t="shared" si="1885"/>
        <v>0</v>
      </c>
      <c r="GC287" s="65">
        <f t="shared" si="1885"/>
        <v>0</v>
      </c>
      <c r="GD287" s="65">
        <f t="shared" si="1885"/>
        <v>0</v>
      </c>
      <c r="GE287" s="65">
        <f t="shared" si="1885"/>
        <v>0</v>
      </c>
      <c r="GF287" s="64">
        <f t="shared" si="1886"/>
        <v>0</v>
      </c>
      <c r="GG287" s="66">
        <f t="shared" si="1887"/>
        <v>0</v>
      </c>
      <c r="GH287" s="66">
        <f t="shared" si="1887"/>
        <v>0</v>
      </c>
      <c r="GI287" s="66">
        <f t="shared" si="1887"/>
        <v>0</v>
      </c>
      <c r="GJ287" s="66">
        <f t="shared" si="1887"/>
        <v>0</v>
      </c>
      <c r="GK287" s="66">
        <f t="shared" si="1887"/>
        <v>0</v>
      </c>
      <c r="GL287" s="66">
        <f t="shared" si="1887"/>
        <v>0</v>
      </c>
      <c r="GM287" s="66">
        <f t="shared" si="1887"/>
        <v>0</v>
      </c>
      <c r="GN287" s="66">
        <f t="shared" si="1887"/>
        <v>0</v>
      </c>
      <c r="GO287" s="66">
        <f t="shared" si="1887"/>
        <v>0</v>
      </c>
      <c r="GP287" s="66">
        <f t="shared" si="1887"/>
        <v>0</v>
      </c>
      <c r="GQ287" s="64">
        <f t="shared" si="1888"/>
        <v>0</v>
      </c>
      <c r="GR287" s="63"/>
      <c r="GS287" s="63"/>
      <c r="GT287" s="63"/>
      <c r="GU287" s="63"/>
      <c r="GV287" s="67">
        <f t="shared" si="1889"/>
        <v>0</v>
      </c>
      <c r="GW287" s="63"/>
      <c r="GX287" s="63"/>
      <c r="GY287" s="63"/>
      <c r="GZ287" s="63"/>
      <c r="HA287" s="67">
        <f t="shared" si="1890"/>
        <v>0</v>
      </c>
      <c r="HB287" s="63"/>
      <c r="HC287" s="63"/>
      <c r="HD287" s="63"/>
      <c r="HE287" s="63"/>
      <c r="HF287" s="67">
        <f t="shared" si="1891"/>
        <v>0</v>
      </c>
      <c r="HG287" s="63"/>
      <c r="HH287" s="63"/>
      <c r="HI287" s="63"/>
      <c r="HJ287" s="63"/>
      <c r="HK287" s="67">
        <f t="shared" si="1892"/>
        <v>0</v>
      </c>
      <c r="HL287" s="68">
        <f t="shared" si="1893"/>
        <v>0</v>
      </c>
      <c r="HM287" s="68">
        <f t="shared" si="1893"/>
        <v>0</v>
      </c>
      <c r="HN287" s="68">
        <f t="shared" si="1893"/>
        <v>0</v>
      </c>
      <c r="HO287" s="68">
        <f t="shared" si="1893"/>
        <v>0</v>
      </c>
      <c r="HP287" s="67">
        <f t="shared" si="1894"/>
        <v>0</v>
      </c>
      <c r="HQ287" s="63"/>
      <c r="HR287" s="63"/>
      <c r="HS287" s="63"/>
      <c r="HT287" s="63"/>
      <c r="HU287" s="67">
        <f t="shared" si="1895"/>
        <v>0</v>
      </c>
      <c r="HV287" s="63"/>
      <c r="HW287" s="63"/>
      <c r="HX287" s="63"/>
      <c r="HY287" s="63"/>
      <c r="HZ287" s="67">
        <f t="shared" si="1896"/>
        <v>0</v>
      </c>
      <c r="IA287" s="63"/>
      <c r="IB287" s="63"/>
      <c r="IC287" s="63"/>
      <c r="ID287" s="63"/>
      <c r="IE287" s="67">
        <f t="shared" si="1897"/>
        <v>0</v>
      </c>
      <c r="IF287" s="68">
        <f t="shared" si="1898"/>
        <v>0</v>
      </c>
      <c r="IG287" s="68">
        <f t="shared" si="1898"/>
        <v>0</v>
      </c>
      <c r="IH287" s="68">
        <f t="shared" si="1898"/>
        <v>0</v>
      </c>
      <c r="II287" s="68">
        <f t="shared" si="1898"/>
        <v>0</v>
      </c>
      <c r="IJ287" s="67">
        <f t="shared" si="1899"/>
        <v>0</v>
      </c>
      <c r="IK287" s="63"/>
      <c r="IL287" s="63"/>
      <c r="IM287" s="63"/>
      <c r="IN287" s="63"/>
      <c r="IO287" s="67">
        <f t="shared" si="1900"/>
        <v>0</v>
      </c>
      <c r="IP287" s="63"/>
      <c r="IQ287" s="63"/>
      <c r="IR287" s="63"/>
      <c r="IS287" s="63"/>
      <c r="IT287" s="67">
        <f t="shared" si="1901"/>
        <v>0</v>
      </c>
      <c r="IU287" s="63"/>
      <c r="IV287" s="63"/>
    </row>
    <row r="288" spans="1:256" x14ac:dyDescent="0.25">
      <c r="A288" s="167" t="s">
        <v>225</v>
      </c>
      <c r="B288" s="62"/>
      <c r="C288" s="63"/>
      <c r="D288" s="63"/>
      <c r="E288" s="63"/>
      <c r="F288" s="63"/>
      <c r="G288" s="63"/>
      <c r="H288" s="63"/>
      <c r="I288" s="63"/>
      <c r="J288" s="63"/>
      <c r="K288" s="63"/>
      <c r="L288" s="64">
        <f t="shared" si="1867"/>
        <v>0</v>
      </c>
      <c r="M288" s="62"/>
      <c r="N288" s="63"/>
      <c r="O288" s="63"/>
      <c r="P288" s="63"/>
      <c r="Q288" s="63"/>
      <c r="R288" s="63"/>
      <c r="S288" s="63"/>
      <c r="T288" s="63"/>
      <c r="U288" s="63"/>
      <c r="V288" s="63"/>
      <c r="W288" s="64">
        <f t="shared" si="1868"/>
        <v>0</v>
      </c>
      <c r="X288" s="62"/>
      <c r="Y288" s="63"/>
      <c r="Z288" s="63"/>
      <c r="AA288" s="63"/>
      <c r="AB288" s="63"/>
      <c r="AC288" s="63"/>
      <c r="AD288" s="63"/>
      <c r="AE288" s="63"/>
      <c r="AF288" s="63"/>
      <c r="AG288" s="63"/>
      <c r="AH288" s="64">
        <f t="shared" si="1869"/>
        <v>0</v>
      </c>
      <c r="AI288" s="62"/>
      <c r="AJ288" s="63"/>
      <c r="AK288" s="63"/>
      <c r="AL288" s="63"/>
      <c r="AM288" s="63"/>
      <c r="AN288" s="63"/>
      <c r="AO288" s="63"/>
      <c r="AP288" s="63"/>
      <c r="AQ288" s="63"/>
      <c r="AR288" s="63"/>
      <c r="AS288" s="64">
        <f t="shared" si="1870"/>
        <v>0</v>
      </c>
      <c r="AT288" s="65">
        <f t="shared" si="1871"/>
        <v>0</v>
      </c>
      <c r="AU288" s="65">
        <f t="shared" si="1871"/>
        <v>0</v>
      </c>
      <c r="AV288" s="65">
        <f t="shared" si="1871"/>
        <v>0</v>
      </c>
      <c r="AW288" s="65">
        <f t="shared" si="1871"/>
        <v>0</v>
      </c>
      <c r="AX288" s="65">
        <f t="shared" si="1871"/>
        <v>0</v>
      </c>
      <c r="AY288" s="65">
        <f t="shared" si="1871"/>
        <v>0</v>
      </c>
      <c r="AZ288" s="65">
        <f t="shared" si="1871"/>
        <v>0</v>
      </c>
      <c r="BA288" s="65">
        <f t="shared" si="1871"/>
        <v>0</v>
      </c>
      <c r="BB288" s="65">
        <f t="shared" si="1871"/>
        <v>0</v>
      </c>
      <c r="BC288" s="65">
        <f t="shared" si="1871"/>
        <v>0</v>
      </c>
      <c r="BD288" s="64">
        <f t="shared" si="1872"/>
        <v>0</v>
      </c>
      <c r="BE288" s="62"/>
      <c r="BF288" s="63"/>
      <c r="BG288" s="63"/>
      <c r="BH288" s="63"/>
      <c r="BI288" s="63"/>
      <c r="BJ288" s="63"/>
      <c r="BK288" s="63"/>
      <c r="BL288" s="63"/>
      <c r="BM288" s="63"/>
      <c r="BN288" s="63"/>
      <c r="BO288" s="64">
        <f t="shared" si="1873"/>
        <v>0</v>
      </c>
      <c r="BP288" s="62"/>
      <c r="BQ288" s="63"/>
      <c r="BR288" s="63"/>
      <c r="BS288" s="63"/>
      <c r="BT288" s="63"/>
      <c r="BU288" s="63"/>
      <c r="BV288" s="63"/>
      <c r="BW288" s="63"/>
      <c r="BX288" s="63"/>
      <c r="BY288" s="63"/>
      <c r="BZ288" s="64">
        <f t="shared" si="1874"/>
        <v>0</v>
      </c>
      <c r="CA288" s="62"/>
      <c r="CB288" s="63"/>
      <c r="CC288" s="63"/>
      <c r="CD288" s="63"/>
      <c r="CE288" s="63"/>
      <c r="CF288" s="63"/>
      <c r="CG288" s="63"/>
      <c r="CH288" s="63"/>
      <c r="CI288" s="63"/>
      <c r="CJ288" s="63"/>
      <c r="CK288" s="64">
        <f t="shared" si="1875"/>
        <v>0</v>
      </c>
      <c r="CL288" s="65">
        <f t="shared" si="1876"/>
        <v>0</v>
      </c>
      <c r="CM288" s="65">
        <f t="shared" si="1876"/>
        <v>0</v>
      </c>
      <c r="CN288" s="65">
        <f t="shared" si="1876"/>
        <v>0</v>
      </c>
      <c r="CO288" s="65">
        <f t="shared" si="1876"/>
        <v>0</v>
      </c>
      <c r="CP288" s="65">
        <f t="shared" si="1876"/>
        <v>0</v>
      </c>
      <c r="CQ288" s="65">
        <f t="shared" si="1876"/>
        <v>0</v>
      </c>
      <c r="CR288" s="65">
        <f t="shared" si="1876"/>
        <v>0</v>
      </c>
      <c r="CS288" s="65">
        <f t="shared" si="1876"/>
        <v>0</v>
      </c>
      <c r="CT288" s="65">
        <f t="shared" si="1876"/>
        <v>0</v>
      </c>
      <c r="CU288" s="65">
        <f t="shared" si="1876"/>
        <v>0</v>
      </c>
      <c r="CV288" s="64">
        <f t="shared" si="1877"/>
        <v>0</v>
      </c>
      <c r="CW288" s="62"/>
      <c r="CX288" s="63"/>
      <c r="CY288" s="63"/>
      <c r="CZ288" s="63"/>
      <c r="DA288" s="63"/>
      <c r="DB288" s="63"/>
      <c r="DC288" s="63"/>
      <c r="DD288" s="63"/>
      <c r="DE288" s="63"/>
      <c r="DF288" s="63"/>
      <c r="DG288" s="64">
        <f t="shared" si="1878"/>
        <v>0</v>
      </c>
      <c r="DH288" s="62"/>
      <c r="DI288" s="63"/>
      <c r="DJ288" s="63"/>
      <c r="DK288" s="63"/>
      <c r="DL288" s="63"/>
      <c r="DM288" s="63"/>
      <c r="DN288" s="63"/>
      <c r="DO288" s="63"/>
      <c r="DP288" s="63"/>
      <c r="DQ288" s="63"/>
      <c r="DR288" s="64">
        <f t="shared" si="1879"/>
        <v>0</v>
      </c>
      <c r="DS288" s="62"/>
      <c r="DT288" s="63"/>
      <c r="DU288" s="63"/>
      <c r="DV288" s="63"/>
      <c r="DW288" s="63"/>
      <c r="DX288" s="63"/>
      <c r="DY288" s="63"/>
      <c r="DZ288" s="63"/>
      <c r="EA288" s="63"/>
      <c r="EB288" s="63"/>
      <c r="EC288" s="63"/>
      <c r="ED288" s="65">
        <f t="shared" si="1880"/>
        <v>0</v>
      </c>
      <c r="EE288" s="65">
        <f t="shared" si="1880"/>
        <v>0</v>
      </c>
      <c r="EF288" s="65">
        <f t="shared" si="1880"/>
        <v>0</v>
      </c>
      <c r="EG288" s="65">
        <f t="shared" si="1880"/>
        <v>0</v>
      </c>
      <c r="EH288" s="65">
        <f t="shared" si="1880"/>
        <v>0</v>
      </c>
      <c r="EI288" s="65">
        <f t="shared" si="1880"/>
        <v>0</v>
      </c>
      <c r="EJ288" s="65">
        <f t="shared" si="1880"/>
        <v>0</v>
      </c>
      <c r="EK288" s="65">
        <f t="shared" si="1880"/>
        <v>0</v>
      </c>
      <c r="EL288" s="65">
        <f t="shared" si="1880"/>
        <v>0</v>
      </c>
      <c r="EM288" s="65">
        <f t="shared" si="1880"/>
        <v>0</v>
      </c>
      <c r="EN288" s="64">
        <f t="shared" si="1881"/>
        <v>0</v>
      </c>
      <c r="EO288" s="62"/>
      <c r="EP288" s="63"/>
      <c r="EQ288" s="63"/>
      <c r="ER288" s="63"/>
      <c r="ES288" s="63"/>
      <c r="ET288" s="63"/>
      <c r="EU288" s="63"/>
      <c r="EV288" s="63"/>
      <c r="EW288" s="63"/>
      <c r="EX288" s="63"/>
      <c r="EY288" s="64">
        <f t="shared" si="1882"/>
        <v>0</v>
      </c>
      <c r="EZ288" s="62"/>
      <c r="FA288" s="63"/>
      <c r="FB288" s="63"/>
      <c r="FC288" s="63"/>
      <c r="FD288" s="63"/>
      <c r="FE288" s="63"/>
      <c r="FF288" s="63"/>
      <c r="FG288" s="63"/>
      <c r="FH288" s="63"/>
      <c r="FI288" s="63"/>
      <c r="FJ288" s="64">
        <f t="shared" si="1883"/>
        <v>0</v>
      </c>
      <c r="FK288" s="62"/>
      <c r="FL288" s="63"/>
      <c r="FM288" s="63"/>
      <c r="FN288" s="63"/>
      <c r="FO288" s="63"/>
      <c r="FP288" s="63"/>
      <c r="FQ288" s="63"/>
      <c r="FR288" s="63"/>
      <c r="FS288" s="63"/>
      <c r="FT288" s="63"/>
      <c r="FU288" s="64">
        <f t="shared" si="1884"/>
        <v>0</v>
      </c>
      <c r="FV288" s="65">
        <f t="shared" si="1885"/>
        <v>0</v>
      </c>
      <c r="FW288" s="65">
        <f t="shared" si="1885"/>
        <v>0</v>
      </c>
      <c r="FX288" s="65">
        <f t="shared" si="1885"/>
        <v>0</v>
      </c>
      <c r="FY288" s="65">
        <f t="shared" si="1885"/>
        <v>0</v>
      </c>
      <c r="FZ288" s="65">
        <f t="shared" si="1885"/>
        <v>0</v>
      </c>
      <c r="GA288" s="65">
        <f t="shared" si="1885"/>
        <v>0</v>
      </c>
      <c r="GB288" s="65">
        <f t="shared" si="1885"/>
        <v>0</v>
      </c>
      <c r="GC288" s="65">
        <f t="shared" si="1885"/>
        <v>0</v>
      </c>
      <c r="GD288" s="65">
        <f t="shared" si="1885"/>
        <v>0</v>
      </c>
      <c r="GE288" s="65">
        <f t="shared" si="1885"/>
        <v>0</v>
      </c>
      <c r="GF288" s="64">
        <f t="shared" si="1886"/>
        <v>0</v>
      </c>
      <c r="GG288" s="66">
        <f t="shared" si="1887"/>
        <v>0</v>
      </c>
      <c r="GH288" s="66">
        <f t="shared" si="1887"/>
        <v>0</v>
      </c>
      <c r="GI288" s="66">
        <f t="shared" si="1887"/>
        <v>0</v>
      </c>
      <c r="GJ288" s="66">
        <f t="shared" si="1887"/>
        <v>0</v>
      </c>
      <c r="GK288" s="66">
        <f t="shared" si="1887"/>
        <v>0</v>
      </c>
      <c r="GL288" s="66">
        <f t="shared" si="1887"/>
        <v>0</v>
      </c>
      <c r="GM288" s="66">
        <f t="shared" si="1887"/>
        <v>0</v>
      </c>
      <c r="GN288" s="66">
        <f t="shared" si="1887"/>
        <v>0</v>
      </c>
      <c r="GO288" s="66">
        <f t="shared" si="1887"/>
        <v>0</v>
      </c>
      <c r="GP288" s="66">
        <f t="shared" si="1887"/>
        <v>0</v>
      </c>
      <c r="GQ288" s="64">
        <f t="shared" si="1888"/>
        <v>0</v>
      </c>
      <c r="GR288" s="63"/>
      <c r="GS288" s="63">
        <v>0</v>
      </c>
      <c r="GT288" s="63"/>
      <c r="GU288" s="63"/>
      <c r="GV288" s="67">
        <f t="shared" si="1889"/>
        <v>0</v>
      </c>
      <c r="GW288" s="63"/>
      <c r="GX288" s="63"/>
      <c r="GY288" s="63"/>
      <c r="GZ288" s="63"/>
      <c r="HA288" s="67">
        <f t="shared" si="1890"/>
        <v>0</v>
      </c>
      <c r="HB288" s="63"/>
      <c r="HC288" s="63"/>
      <c r="HD288" s="63"/>
      <c r="HE288" s="63"/>
      <c r="HF288" s="67">
        <f t="shared" si="1891"/>
        <v>0</v>
      </c>
      <c r="HG288" s="63"/>
      <c r="HH288" s="63"/>
      <c r="HI288" s="63"/>
      <c r="HJ288" s="63"/>
      <c r="HK288" s="67">
        <f t="shared" si="1892"/>
        <v>0</v>
      </c>
      <c r="HL288" s="68">
        <f t="shared" si="1893"/>
        <v>0</v>
      </c>
      <c r="HM288" s="68">
        <f t="shared" si="1893"/>
        <v>0</v>
      </c>
      <c r="HN288" s="68">
        <f t="shared" si="1893"/>
        <v>0</v>
      </c>
      <c r="HO288" s="68">
        <f t="shared" si="1893"/>
        <v>0</v>
      </c>
      <c r="HP288" s="67">
        <f t="shared" si="1894"/>
        <v>0</v>
      </c>
      <c r="HQ288" s="63"/>
      <c r="HR288" s="63"/>
      <c r="HS288" s="63"/>
      <c r="HT288" s="63"/>
      <c r="HU288" s="67">
        <f t="shared" si="1895"/>
        <v>0</v>
      </c>
      <c r="HV288" s="63"/>
      <c r="HW288" s="63"/>
      <c r="HX288" s="63"/>
      <c r="HY288" s="63"/>
      <c r="HZ288" s="67">
        <f t="shared" si="1896"/>
        <v>0</v>
      </c>
      <c r="IA288" s="63"/>
      <c r="IB288" s="63"/>
      <c r="IC288" s="63"/>
      <c r="ID288" s="63"/>
      <c r="IE288" s="67">
        <f t="shared" si="1897"/>
        <v>0</v>
      </c>
      <c r="IF288" s="68">
        <f t="shared" si="1898"/>
        <v>0</v>
      </c>
      <c r="IG288" s="68">
        <f t="shared" si="1898"/>
        <v>0</v>
      </c>
      <c r="IH288" s="68">
        <f t="shared" si="1898"/>
        <v>0</v>
      </c>
      <c r="II288" s="68">
        <f t="shared" si="1898"/>
        <v>0</v>
      </c>
      <c r="IJ288" s="67">
        <f t="shared" si="1899"/>
        <v>0</v>
      </c>
      <c r="IK288" s="63"/>
      <c r="IL288" s="63"/>
      <c r="IM288" s="63"/>
      <c r="IN288" s="63"/>
      <c r="IO288" s="67">
        <f t="shared" si="1900"/>
        <v>0</v>
      </c>
      <c r="IP288" s="63"/>
      <c r="IQ288" s="63"/>
      <c r="IR288" s="63"/>
      <c r="IS288" s="63"/>
      <c r="IT288" s="67">
        <f t="shared" si="1901"/>
        <v>0</v>
      </c>
      <c r="IU288" s="63"/>
      <c r="IV288" s="63"/>
    </row>
    <row r="289" spans="1:256" x14ac:dyDescent="0.25">
      <c r="A289" s="167" t="s">
        <v>226</v>
      </c>
      <c r="B289" s="62"/>
      <c r="C289" s="63"/>
      <c r="D289" s="63"/>
      <c r="E289" s="63"/>
      <c r="F289" s="63"/>
      <c r="G289" s="63"/>
      <c r="H289" s="63"/>
      <c r="I289" s="63"/>
      <c r="J289" s="63"/>
      <c r="K289" s="63"/>
      <c r="L289" s="64">
        <f t="shared" si="1867"/>
        <v>0</v>
      </c>
      <c r="M289" s="62"/>
      <c r="N289" s="63"/>
      <c r="O289" s="63"/>
      <c r="P289" s="63"/>
      <c r="Q289" s="63"/>
      <c r="R289" s="63"/>
      <c r="S289" s="63"/>
      <c r="T289" s="63"/>
      <c r="U289" s="63"/>
      <c r="V289" s="63"/>
      <c r="W289" s="64">
        <f t="shared" si="1868"/>
        <v>0</v>
      </c>
      <c r="X289" s="62"/>
      <c r="Y289" s="63"/>
      <c r="Z289" s="63"/>
      <c r="AA289" s="63"/>
      <c r="AB289" s="63"/>
      <c r="AC289" s="63"/>
      <c r="AD289" s="63"/>
      <c r="AE289" s="63"/>
      <c r="AF289" s="63"/>
      <c r="AG289" s="63"/>
      <c r="AH289" s="64">
        <f t="shared" si="1869"/>
        <v>0</v>
      </c>
      <c r="AI289" s="62"/>
      <c r="AJ289" s="63"/>
      <c r="AK289" s="63"/>
      <c r="AL289" s="63"/>
      <c r="AM289" s="63"/>
      <c r="AN289" s="63"/>
      <c r="AO289" s="63"/>
      <c r="AP289" s="63"/>
      <c r="AQ289" s="63"/>
      <c r="AR289" s="63"/>
      <c r="AS289" s="64">
        <f t="shared" si="1870"/>
        <v>0</v>
      </c>
      <c r="AT289" s="65">
        <f t="shared" si="1871"/>
        <v>0</v>
      </c>
      <c r="AU289" s="65">
        <f t="shared" si="1871"/>
        <v>0</v>
      </c>
      <c r="AV289" s="65">
        <f t="shared" si="1871"/>
        <v>0</v>
      </c>
      <c r="AW289" s="65">
        <f t="shared" si="1871"/>
        <v>0</v>
      </c>
      <c r="AX289" s="65">
        <f t="shared" si="1871"/>
        <v>0</v>
      </c>
      <c r="AY289" s="65">
        <f t="shared" si="1871"/>
        <v>0</v>
      </c>
      <c r="AZ289" s="65">
        <f t="shared" si="1871"/>
        <v>0</v>
      </c>
      <c r="BA289" s="65">
        <f t="shared" si="1871"/>
        <v>0</v>
      </c>
      <c r="BB289" s="65">
        <f t="shared" si="1871"/>
        <v>0</v>
      </c>
      <c r="BC289" s="65">
        <f t="shared" si="1871"/>
        <v>0</v>
      </c>
      <c r="BD289" s="64">
        <f t="shared" si="1872"/>
        <v>0</v>
      </c>
      <c r="BE289" s="62"/>
      <c r="BF289" s="63"/>
      <c r="BG289" s="63"/>
      <c r="BH289" s="63"/>
      <c r="BI289" s="63"/>
      <c r="BJ289" s="63"/>
      <c r="BK289" s="63"/>
      <c r="BL289" s="63"/>
      <c r="BM289" s="63"/>
      <c r="BN289" s="63"/>
      <c r="BO289" s="64">
        <f t="shared" si="1873"/>
        <v>0</v>
      </c>
      <c r="BP289" s="62"/>
      <c r="BQ289" s="63"/>
      <c r="BR289" s="63"/>
      <c r="BS289" s="63"/>
      <c r="BT289" s="63"/>
      <c r="BU289" s="63"/>
      <c r="BV289" s="63"/>
      <c r="BW289" s="63"/>
      <c r="BX289" s="63"/>
      <c r="BY289" s="63"/>
      <c r="BZ289" s="64">
        <f t="shared" si="1874"/>
        <v>0</v>
      </c>
      <c r="CA289" s="62"/>
      <c r="CB289" s="63"/>
      <c r="CC289" s="63"/>
      <c r="CD289" s="63"/>
      <c r="CE289" s="63"/>
      <c r="CF289" s="63"/>
      <c r="CG289" s="63"/>
      <c r="CH289" s="63"/>
      <c r="CI289" s="63"/>
      <c r="CJ289" s="63"/>
      <c r="CK289" s="64">
        <f t="shared" si="1875"/>
        <v>0</v>
      </c>
      <c r="CL289" s="65">
        <f t="shared" si="1876"/>
        <v>0</v>
      </c>
      <c r="CM289" s="65">
        <f t="shared" si="1876"/>
        <v>0</v>
      </c>
      <c r="CN289" s="65">
        <f t="shared" si="1876"/>
        <v>0</v>
      </c>
      <c r="CO289" s="65">
        <f t="shared" si="1876"/>
        <v>0</v>
      </c>
      <c r="CP289" s="65">
        <f t="shared" si="1876"/>
        <v>0</v>
      </c>
      <c r="CQ289" s="65">
        <f t="shared" si="1876"/>
        <v>0</v>
      </c>
      <c r="CR289" s="65">
        <f t="shared" si="1876"/>
        <v>0</v>
      </c>
      <c r="CS289" s="65">
        <f t="shared" si="1876"/>
        <v>0</v>
      </c>
      <c r="CT289" s="65">
        <f t="shared" si="1876"/>
        <v>0</v>
      </c>
      <c r="CU289" s="65">
        <f t="shared" si="1876"/>
        <v>0</v>
      </c>
      <c r="CV289" s="64">
        <f t="shared" si="1877"/>
        <v>0</v>
      </c>
      <c r="CW289" s="62"/>
      <c r="CX289" s="63"/>
      <c r="CY289" s="63"/>
      <c r="CZ289" s="63"/>
      <c r="DA289" s="63"/>
      <c r="DB289" s="63"/>
      <c r="DC289" s="63"/>
      <c r="DD289" s="63"/>
      <c r="DE289" s="63"/>
      <c r="DF289" s="63"/>
      <c r="DG289" s="64">
        <f t="shared" si="1878"/>
        <v>0</v>
      </c>
      <c r="DH289" s="62"/>
      <c r="DI289" s="63"/>
      <c r="DJ289" s="63"/>
      <c r="DK289" s="63"/>
      <c r="DL289" s="63"/>
      <c r="DM289" s="63"/>
      <c r="DN289" s="63"/>
      <c r="DO289" s="63"/>
      <c r="DP289" s="63"/>
      <c r="DQ289" s="63"/>
      <c r="DR289" s="64">
        <f t="shared" si="1879"/>
        <v>0</v>
      </c>
      <c r="DS289" s="62"/>
      <c r="DT289" s="63"/>
      <c r="DU289" s="63"/>
      <c r="DV289" s="63"/>
      <c r="DW289" s="63"/>
      <c r="DX289" s="63"/>
      <c r="DY289" s="63"/>
      <c r="DZ289" s="63"/>
      <c r="EA289" s="63"/>
      <c r="EB289" s="63"/>
      <c r="EC289" s="63"/>
      <c r="ED289" s="65">
        <f t="shared" si="1880"/>
        <v>0</v>
      </c>
      <c r="EE289" s="65">
        <f t="shared" si="1880"/>
        <v>0</v>
      </c>
      <c r="EF289" s="65">
        <f t="shared" si="1880"/>
        <v>0</v>
      </c>
      <c r="EG289" s="65">
        <f t="shared" si="1880"/>
        <v>0</v>
      </c>
      <c r="EH289" s="65">
        <f t="shared" si="1880"/>
        <v>0</v>
      </c>
      <c r="EI289" s="65">
        <f t="shared" si="1880"/>
        <v>0</v>
      </c>
      <c r="EJ289" s="65">
        <f t="shared" si="1880"/>
        <v>0</v>
      </c>
      <c r="EK289" s="65">
        <f t="shared" si="1880"/>
        <v>0</v>
      </c>
      <c r="EL289" s="65">
        <f t="shared" si="1880"/>
        <v>0</v>
      </c>
      <c r="EM289" s="65">
        <f t="shared" si="1880"/>
        <v>0</v>
      </c>
      <c r="EN289" s="64">
        <f t="shared" si="1881"/>
        <v>0</v>
      </c>
      <c r="EO289" s="62"/>
      <c r="EP289" s="63"/>
      <c r="EQ289" s="63"/>
      <c r="ER289" s="63"/>
      <c r="ES289" s="63"/>
      <c r="ET289" s="63"/>
      <c r="EU289" s="63"/>
      <c r="EV289" s="63"/>
      <c r="EW289" s="63"/>
      <c r="EX289" s="63"/>
      <c r="EY289" s="64">
        <f t="shared" si="1882"/>
        <v>0</v>
      </c>
      <c r="EZ289" s="62"/>
      <c r="FA289" s="63"/>
      <c r="FB289" s="63"/>
      <c r="FC289" s="63"/>
      <c r="FD289" s="63"/>
      <c r="FE289" s="63"/>
      <c r="FF289" s="63"/>
      <c r="FG289" s="63"/>
      <c r="FH289" s="63"/>
      <c r="FI289" s="63"/>
      <c r="FJ289" s="64">
        <f t="shared" si="1883"/>
        <v>0</v>
      </c>
      <c r="FK289" s="62"/>
      <c r="FL289" s="63"/>
      <c r="FM289" s="63"/>
      <c r="FN289" s="63"/>
      <c r="FO289" s="63"/>
      <c r="FP289" s="63"/>
      <c r="FQ289" s="63"/>
      <c r="FR289" s="63"/>
      <c r="FS289" s="63"/>
      <c r="FT289" s="63"/>
      <c r="FU289" s="64">
        <f t="shared" si="1884"/>
        <v>0</v>
      </c>
      <c r="FV289" s="65">
        <f t="shared" si="1885"/>
        <v>0</v>
      </c>
      <c r="FW289" s="65">
        <f t="shared" si="1885"/>
        <v>0</v>
      </c>
      <c r="FX289" s="65">
        <f t="shared" si="1885"/>
        <v>0</v>
      </c>
      <c r="FY289" s="65">
        <f t="shared" si="1885"/>
        <v>0</v>
      </c>
      <c r="FZ289" s="65">
        <f t="shared" si="1885"/>
        <v>0</v>
      </c>
      <c r="GA289" s="65">
        <f t="shared" si="1885"/>
        <v>0</v>
      </c>
      <c r="GB289" s="65">
        <f t="shared" si="1885"/>
        <v>0</v>
      </c>
      <c r="GC289" s="65">
        <f t="shared" si="1885"/>
        <v>0</v>
      </c>
      <c r="GD289" s="65">
        <f t="shared" si="1885"/>
        <v>0</v>
      </c>
      <c r="GE289" s="65">
        <f t="shared" si="1885"/>
        <v>0</v>
      </c>
      <c r="GF289" s="64">
        <f t="shared" si="1886"/>
        <v>0</v>
      </c>
      <c r="GG289" s="66">
        <f t="shared" si="1887"/>
        <v>0</v>
      </c>
      <c r="GH289" s="66">
        <f t="shared" si="1887"/>
        <v>0</v>
      </c>
      <c r="GI289" s="66">
        <f t="shared" si="1887"/>
        <v>0</v>
      </c>
      <c r="GJ289" s="66">
        <f t="shared" si="1887"/>
        <v>0</v>
      </c>
      <c r="GK289" s="66">
        <f t="shared" si="1887"/>
        <v>0</v>
      </c>
      <c r="GL289" s="66">
        <f t="shared" si="1887"/>
        <v>0</v>
      </c>
      <c r="GM289" s="66">
        <f t="shared" si="1887"/>
        <v>0</v>
      </c>
      <c r="GN289" s="66">
        <f t="shared" si="1887"/>
        <v>0</v>
      </c>
      <c r="GO289" s="66">
        <f t="shared" si="1887"/>
        <v>0</v>
      </c>
      <c r="GP289" s="66">
        <f t="shared" si="1887"/>
        <v>0</v>
      </c>
      <c r="GQ289" s="64">
        <f t="shared" si="1888"/>
        <v>0</v>
      </c>
      <c r="GR289" s="63"/>
      <c r="GS289" s="63">
        <v>0</v>
      </c>
      <c r="GT289" s="63"/>
      <c r="GU289" s="63"/>
      <c r="GV289" s="67">
        <f t="shared" si="1889"/>
        <v>0</v>
      </c>
      <c r="GW289" s="63"/>
      <c r="GX289" s="63"/>
      <c r="GY289" s="63"/>
      <c r="GZ289" s="63"/>
      <c r="HA289" s="67">
        <f t="shared" si="1890"/>
        <v>0</v>
      </c>
      <c r="HB289" s="63"/>
      <c r="HC289" s="63"/>
      <c r="HD289" s="63"/>
      <c r="HE289" s="63"/>
      <c r="HF289" s="67">
        <f t="shared" si="1891"/>
        <v>0</v>
      </c>
      <c r="HG289" s="63"/>
      <c r="HH289" s="63"/>
      <c r="HI289" s="63"/>
      <c r="HJ289" s="63"/>
      <c r="HK289" s="67">
        <f t="shared" si="1892"/>
        <v>0</v>
      </c>
      <c r="HL289" s="68">
        <f t="shared" si="1893"/>
        <v>0</v>
      </c>
      <c r="HM289" s="68">
        <f t="shared" si="1893"/>
        <v>0</v>
      </c>
      <c r="HN289" s="68">
        <f t="shared" si="1893"/>
        <v>0</v>
      </c>
      <c r="HO289" s="68">
        <f t="shared" si="1893"/>
        <v>0</v>
      </c>
      <c r="HP289" s="67">
        <f t="shared" si="1894"/>
        <v>0</v>
      </c>
      <c r="HQ289" s="63"/>
      <c r="HR289" s="63"/>
      <c r="HS289" s="63"/>
      <c r="HT289" s="63"/>
      <c r="HU289" s="67">
        <f t="shared" si="1895"/>
        <v>0</v>
      </c>
      <c r="HV289" s="63"/>
      <c r="HW289" s="63"/>
      <c r="HX289" s="63"/>
      <c r="HY289" s="63"/>
      <c r="HZ289" s="67">
        <f t="shared" si="1896"/>
        <v>0</v>
      </c>
      <c r="IA289" s="63"/>
      <c r="IB289" s="63"/>
      <c r="IC289" s="63"/>
      <c r="ID289" s="63"/>
      <c r="IE289" s="67">
        <f t="shared" si="1897"/>
        <v>0</v>
      </c>
      <c r="IF289" s="68">
        <f t="shared" si="1898"/>
        <v>0</v>
      </c>
      <c r="IG289" s="68">
        <f t="shared" si="1898"/>
        <v>0</v>
      </c>
      <c r="IH289" s="68">
        <f t="shared" si="1898"/>
        <v>0</v>
      </c>
      <c r="II289" s="68">
        <f t="shared" si="1898"/>
        <v>0</v>
      </c>
      <c r="IJ289" s="67">
        <f t="shared" si="1899"/>
        <v>0</v>
      </c>
      <c r="IK289" s="63"/>
      <c r="IL289" s="63"/>
      <c r="IM289" s="63"/>
      <c r="IN289" s="63"/>
      <c r="IO289" s="67">
        <f t="shared" si="1900"/>
        <v>0</v>
      </c>
      <c r="IP289" s="63"/>
      <c r="IQ289" s="63"/>
      <c r="IR289" s="63"/>
      <c r="IS289" s="63"/>
      <c r="IT289" s="67">
        <f t="shared" si="1901"/>
        <v>0</v>
      </c>
      <c r="IU289" s="63"/>
      <c r="IV289" s="63"/>
    </row>
    <row r="290" spans="1:256" s="168" customFormat="1" x14ac:dyDescent="0.25">
      <c r="A290" s="167" t="s">
        <v>298</v>
      </c>
      <c r="B290" s="62"/>
      <c r="C290" s="63"/>
      <c r="D290" s="63"/>
      <c r="E290" s="63"/>
      <c r="F290" s="63"/>
      <c r="G290" s="63"/>
      <c r="H290" s="63"/>
      <c r="I290" s="63"/>
      <c r="J290" s="63"/>
      <c r="K290" s="63"/>
      <c r="L290" s="64">
        <f t="shared" si="1867"/>
        <v>0</v>
      </c>
      <c r="M290" s="62"/>
      <c r="N290" s="63"/>
      <c r="O290" s="63"/>
      <c r="P290" s="63"/>
      <c r="Q290" s="63"/>
      <c r="R290" s="63"/>
      <c r="S290" s="63"/>
      <c r="T290" s="63"/>
      <c r="U290" s="63"/>
      <c r="V290" s="63"/>
      <c r="W290" s="64">
        <f t="shared" si="1868"/>
        <v>0</v>
      </c>
      <c r="X290" s="62"/>
      <c r="Y290" s="63"/>
      <c r="Z290" s="63"/>
      <c r="AA290" s="63"/>
      <c r="AB290" s="63"/>
      <c r="AC290" s="63"/>
      <c r="AD290" s="63"/>
      <c r="AE290" s="63"/>
      <c r="AF290" s="63"/>
      <c r="AG290" s="63"/>
      <c r="AH290" s="64">
        <f t="shared" si="1869"/>
        <v>0</v>
      </c>
      <c r="AI290" s="62"/>
      <c r="AJ290" s="63"/>
      <c r="AK290" s="63"/>
      <c r="AL290" s="63"/>
      <c r="AM290" s="63"/>
      <c r="AN290" s="63"/>
      <c r="AO290" s="63"/>
      <c r="AP290" s="63"/>
      <c r="AQ290" s="63"/>
      <c r="AR290" s="63"/>
      <c r="AS290" s="64">
        <f t="shared" si="1870"/>
        <v>0</v>
      </c>
      <c r="AT290" s="65">
        <f t="shared" si="1871"/>
        <v>0</v>
      </c>
      <c r="AU290" s="65">
        <f t="shared" si="1871"/>
        <v>0</v>
      </c>
      <c r="AV290" s="65">
        <f t="shared" si="1871"/>
        <v>0</v>
      </c>
      <c r="AW290" s="65">
        <f t="shared" si="1871"/>
        <v>0</v>
      </c>
      <c r="AX290" s="65">
        <f t="shared" si="1871"/>
        <v>0</v>
      </c>
      <c r="AY290" s="65">
        <f t="shared" si="1871"/>
        <v>0</v>
      </c>
      <c r="AZ290" s="65">
        <f t="shared" si="1871"/>
        <v>0</v>
      </c>
      <c r="BA290" s="65">
        <f t="shared" si="1871"/>
        <v>0</v>
      </c>
      <c r="BB290" s="65">
        <f t="shared" si="1871"/>
        <v>0</v>
      </c>
      <c r="BC290" s="65">
        <f t="shared" si="1871"/>
        <v>0</v>
      </c>
      <c r="BD290" s="64">
        <f t="shared" si="1872"/>
        <v>0</v>
      </c>
      <c r="BE290" s="62"/>
      <c r="BF290" s="63"/>
      <c r="BG290" s="63"/>
      <c r="BH290" s="63"/>
      <c r="BI290" s="63"/>
      <c r="BJ290" s="63"/>
      <c r="BK290" s="63"/>
      <c r="BL290" s="63"/>
      <c r="BM290" s="63"/>
      <c r="BN290" s="63"/>
      <c r="BO290" s="64">
        <f t="shared" si="1873"/>
        <v>0</v>
      </c>
      <c r="BP290" s="62"/>
      <c r="BQ290" s="63"/>
      <c r="BR290" s="63"/>
      <c r="BS290" s="63"/>
      <c r="BT290" s="63"/>
      <c r="BU290" s="63"/>
      <c r="BV290" s="63"/>
      <c r="BW290" s="63"/>
      <c r="BX290" s="63"/>
      <c r="BY290" s="63"/>
      <c r="BZ290" s="64">
        <f t="shared" si="1874"/>
        <v>0</v>
      </c>
      <c r="CA290" s="62"/>
      <c r="CB290" s="63"/>
      <c r="CC290" s="63"/>
      <c r="CD290" s="63"/>
      <c r="CE290" s="63"/>
      <c r="CF290" s="63"/>
      <c r="CG290" s="63"/>
      <c r="CH290" s="63"/>
      <c r="CI290" s="63"/>
      <c r="CJ290" s="63"/>
      <c r="CK290" s="64">
        <f t="shared" si="1875"/>
        <v>0</v>
      </c>
      <c r="CL290" s="65">
        <f t="shared" si="1876"/>
        <v>0</v>
      </c>
      <c r="CM290" s="65">
        <f t="shared" si="1876"/>
        <v>0</v>
      </c>
      <c r="CN290" s="65">
        <f t="shared" si="1876"/>
        <v>0</v>
      </c>
      <c r="CO290" s="65">
        <f t="shared" si="1876"/>
        <v>0</v>
      </c>
      <c r="CP290" s="65">
        <f t="shared" si="1876"/>
        <v>0</v>
      </c>
      <c r="CQ290" s="65">
        <f t="shared" si="1876"/>
        <v>0</v>
      </c>
      <c r="CR290" s="65">
        <f t="shared" si="1876"/>
        <v>0</v>
      </c>
      <c r="CS290" s="65">
        <f t="shared" si="1876"/>
        <v>0</v>
      </c>
      <c r="CT290" s="65">
        <f t="shared" si="1876"/>
        <v>0</v>
      </c>
      <c r="CU290" s="65">
        <f t="shared" si="1876"/>
        <v>0</v>
      </c>
      <c r="CV290" s="64">
        <f t="shared" si="1877"/>
        <v>0</v>
      </c>
      <c r="CW290" s="62"/>
      <c r="CX290" s="63"/>
      <c r="CY290" s="63"/>
      <c r="CZ290" s="63"/>
      <c r="DA290" s="63"/>
      <c r="DB290" s="63"/>
      <c r="DC290" s="63"/>
      <c r="DD290" s="63"/>
      <c r="DE290" s="63"/>
      <c r="DF290" s="63"/>
      <c r="DG290" s="64">
        <f t="shared" si="1878"/>
        <v>0</v>
      </c>
      <c r="DH290" s="62"/>
      <c r="DI290" s="63"/>
      <c r="DJ290" s="63"/>
      <c r="DK290" s="63"/>
      <c r="DL290" s="63"/>
      <c r="DM290" s="63"/>
      <c r="DN290" s="63"/>
      <c r="DO290" s="63"/>
      <c r="DP290" s="63"/>
      <c r="DQ290" s="63"/>
      <c r="DR290" s="64">
        <f t="shared" si="1879"/>
        <v>0</v>
      </c>
      <c r="DS290" s="62"/>
      <c r="DT290" s="63"/>
      <c r="DU290" s="63"/>
      <c r="DV290" s="63"/>
      <c r="DW290" s="63"/>
      <c r="DX290" s="63"/>
      <c r="DY290" s="63"/>
      <c r="DZ290" s="63"/>
      <c r="EA290" s="63"/>
      <c r="EB290" s="63"/>
      <c r="EC290" s="63"/>
      <c r="ED290" s="65">
        <f t="shared" si="1880"/>
        <v>0</v>
      </c>
      <c r="EE290" s="65">
        <f t="shared" si="1880"/>
        <v>0</v>
      </c>
      <c r="EF290" s="65">
        <f t="shared" si="1880"/>
        <v>0</v>
      </c>
      <c r="EG290" s="65">
        <f t="shared" si="1880"/>
        <v>0</v>
      </c>
      <c r="EH290" s="65">
        <f t="shared" si="1880"/>
        <v>0</v>
      </c>
      <c r="EI290" s="65">
        <f t="shared" si="1880"/>
        <v>0</v>
      </c>
      <c r="EJ290" s="65">
        <f t="shared" si="1880"/>
        <v>0</v>
      </c>
      <c r="EK290" s="65">
        <f t="shared" si="1880"/>
        <v>0</v>
      </c>
      <c r="EL290" s="65">
        <f t="shared" si="1880"/>
        <v>0</v>
      </c>
      <c r="EM290" s="65">
        <f t="shared" si="1880"/>
        <v>0</v>
      </c>
      <c r="EN290" s="64">
        <f t="shared" si="1881"/>
        <v>0</v>
      </c>
      <c r="EO290" s="62"/>
      <c r="EP290" s="63"/>
      <c r="EQ290" s="63"/>
      <c r="ER290" s="63"/>
      <c r="ES290" s="63"/>
      <c r="ET290" s="63"/>
      <c r="EU290" s="63"/>
      <c r="EV290" s="63"/>
      <c r="EW290" s="63"/>
      <c r="EX290" s="63"/>
      <c r="EY290" s="64">
        <f t="shared" si="1882"/>
        <v>0</v>
      </c>
      <c r="EZ290" s="62"/>
      <c r="FA290" s="63"/>
      <c r="FB290" s="63"/>
      <c r="FC290" s="63"/>
      <c r="FD290" s="63"/>
      <c r="FE290" s="63"/>
      <c r="FF290" s="63"/>
      <c r="FG290" s="63"/>
      <c r="FH290" s="63"/>
      <c r="FI290" s="63"/>
      <c r="FJ290" s="64">
        <f t="shared" si="1883"/>
        <v>0</v>
      </c>
      <c r="FK290" s="62"/>
      <c r="FL290" s="63"/>
      <c r="FM290" s="63"/>
      <c r="FN290" s="63"/>
      <c r="FO290" s="63"/>
      <c r="FP290" s="63"/>
      <c r="FQ290" s="63"/>
      <c r="FR290" s="63"/>
      <c r="FS290" s="63"/>
      <c r="FT290" s="63"/>
      <c r="FU290" s="64">
        <f t="shared" si="1884"/>
        <v>0</v>
      </c>
      <c r="FV290" s="65">
        <f t="shared" si="1885"/>
        <v>0</v>
      </c>
      <c r="FW290" s="65">
        <f t="shared" si="1885"/>
        <v>0</v>
      </c>
      <c r="FX290" s="65">
        <f t="shared" si="1885"/>
        <v>0</v>
      </c>
      <c r="FY290" s="65">
        <f t="shared" si="1885"/>
        <v>0</v>
      </c>
      <c r="FZ290" s="65">
        <f t="shared" si="1885"/>
        <v>0</v>
      </c>
      <c r="GA290" s="65">
        <f t="shared" si="1885"/>
        <v>0</v>
      </c>
      <c r="GB290" s="65">
        <f t="shared" si="1885"/>
        <v>0</v>
      </c>
      <c r="GC290" s="65">
        <f t="shared" si="1885"/>
        <v>0</v>
      </c>
      <c r="GD290" s="65">
        <f t="shared" si="1885"/>
        <v>0</v>
      </c>
      <c r="GE290" s="65">
        <f t="shared" si="1885"/>
        <v>0</v>
      </c>
      <c r="GF290" s="64">
        <f t="shared" si="1886"/>
        <v>0</v>
      </c>
      <c r="GG290" s="66">
        <f t="shared" si="1887"/>
        <v>0</v>
      </c>
      <c r="GH290" s="66">
        <f t="shared" si="1887"/>
        <v>0</v>
      </c>
      <c r="GI290" s="66">
        <f t="shared" si="1887"/>
        <v>0</v>
      </c>
      <c r="GJ290" s="66">
        <f t="shared" si="1887"/>
        <v>0</v>
      </c>
      <c r="GK290" s="66">
        <f t="shared" si="1887"/>
        <v>0</v>
      </c>
      <c r="GL290" s="66">
        <f t="shared" si="1887"/>
        <v>0</v>
      </c>
      <c r="GM290" s="66">
        <f t="shared" si="1887"/>
        <v>0</v>
      </c>
      <c r="GN290" s="66">
        <f t="shared" si="1887"/>
        <v>0</v>
      </c>
      <c r="GO290" s="66">
        <f t="shared" si="1887"/>
        <v>0</v>
      </c>
      <c r="GP290" s="66">
        <f t="shared" si="1887"/>
        <v>0</v>
      </c>
      <c r="GQ290" s="64">
        <f t="shared" si="1888"/>
        <v>0</v>
      </c>
      <c r="GR290" s="63"/>
      <c r="GS290" s="63">
        <v>0</v>
      </c>
      <c r="GT290" s="63"/>
      <c r="GU290" s="63"/>
      <c r="GV290" s="67">
        <f t="shared" si="1889"/>
        <v>0</v>
      </c>
      <c r="GW290" s="63"/>
      <c r="GX290" s="63"/>
      <c r="GY290" s="63"/>
      <c r="GZ290" s="63"/>
      <c r="HA290" s="67">
        <f t="shared" si="1890"/>
        <v>0</v>
      </c>
      <c r="HB290" s="63"/>
      <c r="HC290" s="63"/>
      <c r="HD290" s="63"/>
      <c r="HE290" s="63"/>
      <c r="HF290" s="67">
        <f t="shared" si="1891"/>
        <v>0</v>
      </c>
      <c r="HG290" s="63"/>
      <c r="HH290" s="63"/>
      <c r="HI290" s="63"/>
      <c r="HJ290" s="63"/>
      <c r="HK290" s="67">
        <f t="shared" si="1892"/>
        <v>0</v>
      </c>
      <c r="HL290" s="68">
        <f t="shared" si="1893"/>
        <v>0</v>
      </c>
      <c r="HM290" s="68">
        <f t="shared" si="1893"/>
        <v>0</v>
      </c>
      <c r="HN290" s="68">
        <f t="shared" si="1893"/>
        <v>0</v>
      </c>
      <c r="HO290" s="68">
        <f t="shared" si="1893"/>
        <v>0</v>
      </c>
      <c r="HP290" s="67">
        <f t="shared" si="1894"/>
        <v>0</v>
      </c>
      <c r="HQ290" s="63"/>
      <c r="HR290" s="63"/>
      <c r="HS290" s="63"/>
      <c r="HT290" s="63"/>
      <c r="HU290" s="67">
        <f t="shared" si="1895"/>
        <v>0</v>
      </c>
      <c r="HV290" s="63"/>
      <c r="HW290" s="63"/>
      <c r="HX290" s="63"/>
      <c r="HY290" s="63"/>
      <c r="HZ290" s="67">
        <f t="shared" si="1896"/>
        <v>0</v>
      </c>
      <c r="IA290" s="63"/>
      <c r="IB290" s="63"/>
      <c r="IC290" s="63"/>
      <c r="ID290" s="63"/>
      <c r="IE290" s="67">
        <f t="shared" si="1897"/>
        <v>0</v>
      </c>
      <c r="IF290" s="68">
        <f t="shared" si="1898"/>
        <v>0</v>
      </c>
      <c r="IG290" s="68">
        <f t="shared" si="1898"/>
        <v>0</v>
      </c>
      <c r="IH290" s="68">
        <f t="shared" si="1898"/>
        <v>0</v>
      </c>
      <c r="II290" s="68">
        <f t="shared" si="1898"/>
        <v>0</v>
      </c>
      <c r="IJ290" s="67">
        <f t="shared" si="1899"/>
        <v>0</v>
      </c>
      <c r="IK290" s="63"/>
      <c r="IL290" s="63"/>
      <c r="IM290" s="63"/>
      <c r="IN290" s="63"/>
      <c r="IO290" s="67">
        <f t="shared" si="1900"/>
        <v>0</v>
      </c>
      <c r="IP290" s="63"/>
      <c r="IQ290" s="63"/>
      <c r="IR290" s="63"/>
      <c r="IS290" s="63"/>
      <c r="IT290" s="67">
        <f t="shared" si="1901"/>
        <v>0</v>
      </c>
      <c r="IU290" s="63"/>
      <c r="IV290" s="63"/>
    </row>
    <row r="291" spans="1:256" x14ac:dyDescent="0.25">
      <c r="A291" s="167" t="s">
        <v>299</v>
      </c>
      <c r="B291" s="62"/>
      <c r="C291" s="63"/>
      <c r="D291" s="63"/>
      <c r="E291" s="63"/>
      <c r="F291" s="63"/>
      <c r="G291" s="63"/>
      <c r="H291" s="63"/>
      <c r="I291" s="63"/>
      <c r="J291" s="63"/>
      <c r="K291" s="63"/>
      <c r="L291" s="64">
        <f t="shared" si="1867"/>
        <v>0</v>
      </c>
      <c r="M291" s="62"/>
      <c r="N291" s="63"/>
      <c r="O291" s="63"/>
      <c r="P291" s="63"/>
      <c r="Q291" s="63"/>
      <c r="R291" s="63"/>
      <c r="S291" s="63"/>
      <c r="T291" s="63"/>
      <c r="U291" s="63"/>
      <c r="V291" s="63"/>
      <c r="W291" s="64">
        <f t="shared" si="1868"/>
        <v>0</v>
      </c>
      <c r="X291" s="62"/>
      <c r="Y291" s="63"/>
      <c r="Z291" s="63"/>
      <c r="AA291" s="63"/>
      <c r="AB291" s="63"/>
      <c r="AC291" s="63"/>
      <c r="AD291" s="63"/>
      <c r="AE291" s="63"/>
      <c r="AF291" s="63"/>
      <c r="AG291" s="63"/>
      <c r="AH291" s="64">
        <f t="shared" si="1869"/>
        <v>0</v>
      </c>
      <c r="AI291" s="62"/>
      <c r="AJ291" s="63"/>
      <c r="AK291" s="63"/>
      <c r="AL291" s="63"/>
      <c r="AM291" s="63"/>
      <c r="AN291" s="63"/>
      <c r="AO291" s="63"/>
      <c r="AP291" s="63"/>
      <c r="AQ291" s="63"/>
      <c r="AR291" s="63"/>
      <c r="AS291" s="64">
        <f t="shared" si="1870"/>
        <v>0</v>
      </c>
      <c r="AT291" s="65">
        <f t="shared" si="1871"/>
        <v>0</v>
      </c>
      <c r="AU291" s="65">
        <f t="shared" si="1871"/>
        <v>0</v>
      </c>
      <c r="AV291" s="65">
        <f t="shared" si="1871"/>
        <v>0</v>
      </c>
      <c r="AW291" s="65">
        <f t="shared" si="1871"/>
        <v>0</v>
      </c>
      <c r="AX291" s="65">
        <f t="shared" si="1871"/>
        <v>0</v>
      </c>
      <c r="AY291" s="65">
        <f t="shared" si="1871"/>
        <v>0</v>
      </c>
      <c r="AZ291" s="65">
        <f t="shared" si="1871"/>
        <v>0</v>
      </c>
      <c r="BA291" s="65">
        <f t="shared" si="1871"/>
        <v>0</v>
      </c>
      <c r="BB291" s="65">
        <f t="shared" si="1871"/>
        <v>0</v>
      </c>
      <c r="BC291" s="65">
        <f t="shared" si="1871"/>
        <v>0</v>
      </c>
      <c r="BD291" s="64">
        <f t="shared" si="1872"/>
        <v>0</v>
      </c>
      <c r="BE291" s="62"/>
      <c r="BF291" s="63"/>
      <c r="BG291" s="63"/>
      <c r="BH291" s="63"/>
      <c r="BI291" s="63"/>
      <c r="BJ291" s="63"/>
      <c r="BK291" s="63"/>
      <c r="BL291" s="63"/>
      <c r="BM291" s="63"/>
      <c r="BN291" s="63"/>
      <c r="BO291" s="64">
        <f t="shared" si="1873"/>
        <v>0</v>
      </c>
      <c r="BP291" s="62"/>
      <c r="BQ291" s="63"/>
      <c r="BR291" s="63"/>
      <c r="BS291" s="63"/>
      <c r="BT291" s="63"/>
      <c r="BU291" s="63"/>
      <c r="BV291" s="63"/>
      <c r="BW291" s="63"/>
      <c r="BX291" s="63"/>
      <c r="BY291" s="63"/>
      <c r="BZ291" s="64">
        <f t="shared" si="1874"/>
        <v>0</v>
      </c>
      <c r="CA291" s="62"/>
      <c r="CB291" s="63"/>
      <c r="CC291" s="63"/>
      <c r="CD291" s="63"/>
      <c r="CE291" s="63"/>
      <c r="CF291" s="63"/>
      <c r="CG291" s="63"/>
      <c r="CH291" s="63"/>
      <c r="CI291" s="63"/>
      <c r="CJ291" s="63"/>
      <c r="CK291" s="64">
        <f t="shared" si="1875"/>
        <v>0</v>
      </c>
      <c r="CL291" s="65">
        <f t="shared" si="1876"/>
        <v>0</v>
      </c>
      <c r="CM291" s="65">
        <f t="shared" si="1876"/>
        <v>0</v>
      </c>
      <c r="CN291" s="65">
        <f t="shared" si="1876"/>
        <v>0</v>
      </c>
      <c r="CO291" s="65">
        <f t="shared" si="1876"/>
        <v>0</v>
      </c>
      <c r="CP291" s="65">
        <f t="shared" si="1876"/>
        <v>0</v>
      </c>
      <c r="CQ291" s="65">
        <f t="shared" si="1876"/>
        <v>0</v>
      </c>
      <c r="CR291" s="65">
        <f t="shared" si="1876"/>
        <v>0</v>
      </c>
      <c r="CS291" s="65">
        <f t="shared" si="1876"/>
        <v>0</v>
      </c>
      <c r="CT291" s="65">
        <f t="shared" si="1876"/>
        <v>0</v>
      </c>
      <c r="CU291" s="65">
        <f t="shared" si="1876"/>
        <v>0</v>
      </c>
      <c r="CV291" s="64">
        <f t="shared" si="1877"/>
        <v>0</v>
      </c>
      <c r="CW291" s="62"/>
      <c r="CX291" s="63"/>
      <c r="CY291" s="63"/>
      <c r="CZ291" s="63"/>
      <c r="DA291" s="63"/>
      <c r="DB291" s="63"/>
      <c r="DC291" s="63"/>
      <c r="DD291" s="63"/>
      <c r="DE291" s="63"/>
      <c r="DF291" s="63"/>
      <c r="DG291" s="64">
        <f t="shared" si="1878"/>
        <v>0</v>
      </c>
      <c r="DH291" s="62"/>
      <c r="DI291" s="63"/>
      <c r="DJ291" s="63"/>
      <c r="DK291" s="63"/>
      <c r="DL291" s="63"/>
      <c r="DM291" s="63"/>
      <c r="DN291" s="63"/>
      <c r="DO291" s="63"/>
      <c r="DP291" s="63"/>
      <c r="DQ291" s="63"/>
      <c r="DR291" s="64">
        <f t="shared" si="1879"/>
        <v>0</v>
      </c>
      <c r="DS291" s="62"/>
      <c r="DT291" s="63"/>
      <c r="DU291" s="63"/>
      <c r="DV291" s="63"/>
      <c r="DW291" s="63"/>
      <c r="DX291" s="63"/>
      <c r="DY291" s="63"/>
      <c r="DZ291" s="63"/>
      <c r="EA291" s="63"/>
      <c r="EB291" s="63"/>
      <c r="EC291" s="63"/>
      <c r="ED291" s="65">
        <f t="shared" si="1880"/>
        <v>0</v>
      </c>
      <c r="EE291" s="65">
        <f t="shared" si="1880"/>
        <v>0</v>
      </c>
      <c r="EF291" s="65">
        <f t="shared" si="1880"/>
        <v>0</v>
      </c>
      <c r="EG291" s="65">
        <f t="shared" si="1880"/>
        <v>0</v>
      </c>
      <c r="EH291" s="65">
        <f t="shared" si="1880"/>
        <v>0</v>
      </c>
      <c r="EI291" s="65">
        <f t="shared" si="1880"/>
        <v>0</v>
      </c>
      <c r="EJ291" s="65">
        <f t="shared" si="1880"/>
        <v>0</v>
      </c>
      <c r="EK291" s="65">
        <f t="shared" si="1880"/>
        <v>0</v>
      </c>
      <c r="EL291" s="65">
        <f t="shared" si="1880"/>
        <v>0</v>
      </c>
      <c r="EM291" s="65">
        <f t="shared" si="1880"/>
        <v>0</v>
      </c>
      <c r="EN291" s="64">
        <f t="shared" si="1881"/>
        <v>0</v>
      </c>
      <c r="EO291" s="62"/>
      <c r="EP291" s="63"/>
      <c r="EQ291" s="63"/>
      <c r="ER291" s="63"/>
      <c r="ES291" s="63"/>
      <c r="ET291" s="63"/>
      <c r="EU291" s="63"/>
      <c r="EV291" s="63"/>
      <c r="EW291" s="63"/>
      <c r="EX291" s="63"/>
      <c r="EY291" s="64">
        <f t="shared" si="1882"/>
        <v>0</v>
      </c>
      <c r="EZ291" s="62"/>
      <c r="FA291" s="63"/>
      <c r="FB291" s="63"/>
      <c r="FC291" s="63"/>
      <c r="FD291" s="63"/>
      <c r="FE291" s="63"/>
      <c r="FF291" s="63"/>
      <c r="FG291" s="63"/>
      <c r="FH291" s="63"/>
      <c r="FI291" s="63"/>
      <c r="FJ291" s="64">
        <f t="shared" si="1883"/>
        <v>0</v>
      </c>
      <c r="FK291" s="62"/>
      <c r="FL291" s="63"/>
      <c r="FM291" s="63"/>
      <c r="FN291" s="63"/>
      <c r="FO291" s="63"/>
      <c r="FP291" s="63"/>
      <c r="FQ291" s="63"/>
      <c r="FR291" s="63"/>
      <c r="FS291" s="63"/>
      <c r="FT291" s="63"/>
      <c r="FU291" s="64">
        <f t="shared" si="1884"/>
        <v>0</v>
      </c>
      <c r="FV291" s="65">
        <f t="shared" si="1885"/>
        <v>0</v>
      </c>
      <c r="FW291" s="65">
        <f t="shared" si="1885"/>
        <v>0</v>
      </c>
      <c r="FX291" s="65">
        <f t="shared" si="1885"/>
        <v>0</v>
      </c>
      <c r="FY291" s="65">
        <f t="shared" si="1885"/>
        <v>0</v>
      </c>
      <c r="FZ291" s="65">
        <f t="shared" si="1885"/>
        <v>0</v>
      </c>
      <c r="GA291" s="65">
        <f t="shared" si="1885"/>
        <v>0</v>
      </c>
      <c r="GB291" s="65">
        <f t="shared" si="1885"/>
        <v>0</v>
      </c>
      <c r="GC291" s="65">
        <f t="shared" si="1885"/>
        <v>0</v>
      </c>
      <c r="GD291" s="65">
        <f t="shared" si="1885"/>
        <v>0</v>
      </c>
      <c r="GE291" s="65">
        <f t="shared" si="1885"/>
        <v>0</v>
      </c>
      <c r="GF291" s="64">
        <f t="shared" si="1886"/>
        <v>0</v>
      </c>
      <c r="GG291" s="66">
        <f t="shared" si="1887"/>
        <v>0</v>
      </c>
      <c r="GH291" s="66">
        <f t="shared" si="1887"/>
        <v>0</v>
      </c>
      <c r="GI291" s="66">
        <f t="shared" si="1887"/>
        <v>0</v>
      </c>
      <c r="GJ291" s="66">
        <f t="shared" si="1887"/>
        <v>0</v>
      </c>
      <c r="GK291" s="66">
        <f t="shared" si="1887"/>
        <v>0</v>
      </c>
      <c r="GL291" s="66">
        <f t="shared" si="1887"/>
        <v>0</v>
      </c>
      <c r="GM291" s="66">
        <f t="shared" si="1887"/>
        <v>0</v>
      </c>
      <c r="GN291" s="66">
        <f t="shared" si="1887"/>
        <v>0</v>
      </c>
      <c r="GO291" s="66">
        <f t="shared" si="1887"/>
        <v>0</v>
      </c>
      <c r="GP291" s="66">
        <f t="shared" si="1887"/>
        <v>0</v>
      </c>
      <c r="GQ291" s="64">
        <f t="shared" si="1888"/>
        <v>0</v>
      </c>
      <c r="GR291" s="63"/>
      <c r="GS291" s="63"/>
      <c r="GT291" s="63"/>
      <c r="GU291" s="63"/>
      <c r="GV291" s="67">
        <f t="shared" si="1889"/>
        <v>0</v>
      </c>
      <c r="GW291" s="63"/>
      <c r="GX291" s="63"/>
      <c r="GY291" s="63"/>
      <c r="GZ291" s="63"/>
      <c r="HA291" s="67">
        <f t="shared" si="1890"/>
        <v>0</v>
      </c>
      <c r="HB291" s="63"/>
      <c r="HC291" s="63"/>
      <c r="HD291" s="63"/>
      <c r="HE291" s="63"/>
      <c r="HF291" s="67">
        <f t="shared" si="1891"/>
        <v>0</v>
      </c>
      <c r="HG291" s="63"/>
      <c r="HH291" s="63"/>
      <c r="HI291" s="63"/>
      <c r="HJ291" s="63"/>
      <c r="HK291" s="67">
        <f t="shared" si="1892"/>
        <v>0</v>
      </c>
      <c r="HL291" s="68">
        <f t="shared" si="1893"/>
        <v>0</v>
      </c>
      <c r="HM291" s="68">
        <f t="shared" si="1893"/>
        <v>0</v>
      </c>
      <c r="HN291" s="68">
        <f t="shared" si="1893"/>
        <v>0</v>
      </c>
      <c r="HO291" s="68">
        <f t="shared" si="1893"/>
        <v>0</v>
      </c>
      <c r="HP291" s="67">
        <f t="shared" si="1894"/>
        <v>0</v>
      </c>
      <c r="HQ291" s="63"/>
      <c r="HR291" s="63"/>
      <c r="HS291" s="63"/>
      <c r="HT291" s="63"/>
      <c r="HU291" s="67">
        <f t="shared" si="1895"/>
        <v>0</v>
      </c>
      <c r="HV291" s="63"/>
      <c r="HW291" s="63"/>
      <c r="HX291" s="63"/>
      <c r="HY291" s="63"/>
      <c r="HZ291" s="67">
        <f t="shared" si="1896"/>
        <v>0</v>
      </c>
      <c r="IA291" s="63"/>
      <c r="IB291" s="63"/>
      <c r="IC291" s="63"/>
      <c r="ID291" s="63"/>
      <c r="IE291" s="67">
        <f t="shared" si="1897"/>
        <v>0</v>
      </c>
      <c r="IF291" s="68">
        <f t="shared" si="1898"/>
        <v>0</v>
      </c>
      <c r="IG291" s="68">
        <f t="shared" si="1898"/>
        <v>0</v>
      </c>
      <c r="IH291" s="68">
        <f t="shared" si="1898"/>
        <v>0</v>
      </c>
      <c r="II291" s="68">
        <f t="shared" si="1898"/>
        <v>0</v>
      </c>
      <c r="IJ291" s="67">
        <f t="shared" si="1899"/>
        <v>0</v>
      </c>
      <c r="IK291" s="63"/>
      <c r="IL291" s="63"/>
      <c r="IM291" s="63"/>
      <c r="IN291" s="63"/>
      <c r="IO291" s="67">
        <f t="shared" si="1900"/>
        <v>0</v>
      </c>
      <c r="IP291" s="63"/>
      <c r="IQ291" s="63"/>
      <c r="IR291" s="63"/>
      <c r="IS291" s="63"/>
      <c r="IT291" s="67">
        <f t="shared" si="1901"/>
        <v>0</v>
      </c>
      <c r="IU291" s="63"/>
      <c r="IV291" s="63"/>
    </row>
    <row r="292" spans="1:256" x14ac:dyDescent="0.25">
      <c r="A292" s="167" t="s">
        <v>227</v>
      </c>
      <c r="B292" s="62"/>
      <c r="C292" s="63"/>
      <c r="D292" s="63"/>
      <c r="E292" s="63"/>
      <c r="F292" s="63"/>
      <c r="G292" s="63"/>
      <c r="H292" s="63"/>
      <c r="I292" s="63"/>
      <c r="J292" s="63"/>
      <c r="K292" s="63"/>
      <c r="L292" s="64">
        <f t="shared" si="1867"/>
        <v>0</v>
      </c>
      <c r="M292" s="62"/>
      <c r="N292" s="63"/>
      <c r="O292" s="63"/>
      <c r="P292" s="63"/>
      <c r="Q292" s="63"/>
      <c r="R292" s="63"/>
      <c r="S292" s="63"/>
      <c r="T292" s="63"/>
      <c r="U292" s="63"/>
      <c r="V292" s="63"/>
      <c r="W292" s="64">
        <f t="shared" si="1868"/>
        <v>0</v>
      </c>
      <c r="X292" s="62"/>
      <c r="Y292" s="63"/>
      <c r="Z292" s="63"/>
      <c r="AA292" s="63"/>
      <c r="AB292" s="63"/>
      <c r="AC292" s="63"/>
      <c r="AD292" s="63"/>
      <c r="AE292" s="63"/>
      <c r="AF292" s="63"/>
      <c r="AG292" s="63"/>
      <c r="AH292" s="64">
        <f t="shared" si="1869"/>
        <v>0</v>
      </c>
      <c r="AI292" s="62"/>
      <c r="AJ292" s="63"/>
      <c r="AK292" s="63"/>
      <c r="AL292" s="63"/>
      <c r="AM292" s="63"/>
      <c r="AN292" s="63"/>
      <c r="AO292" s="63"/>
      <c r="AP292" s="63"/>
      <c r="AQ292" s="63"/>
      <c r="AR292" s="63"/>
      <c r="AS292" s="64">
        <f t="shared" si="1870"/>
        <v>0</v>
      </c>
      <c r="AT292" s="65">
        <f t="shared" si="1871"/>
        <v>0</v>
      </c>
      <c r="AU292" s="65">
        <f t="shared" si="1871"/>
        <v>0</v>
      </c>
      <c r="AV292" s="65">
        <f t="shared" si="1871"/>
        <v>0</v>
      </c>
      <c r="AW292" s="65">
        <f t="shared" si="1871"/>
        <v>0</v>
      </c>
      <c r="AX292" s="65">
        <f t="shared" si="1871"/>
        <v>0</v>
      </c>
      <c r="AY292" s="65">
        <f t="shared" si="1871"/>
        <v>0</v>
      </c>
      <c r="AZ292" s="65">
        <f t="shared" si="1871"/>
        <v>0</v>
      </c>
      <c r="BA292" s="65">
        <f t="shared" si="1871"/>
        <v>0</v>
      </c>
      <c r="BB292" s="65">
        <f t="shared" si="1871"/>
        <v>0</v>
      </c>
      <c r="BC292" s="65">
        <f t="shared" si="1871"/>
        <v>0</v>
      </c>
      <c r="BD292" s="64">
        <f t="shared" si="1872"/>
        <v>0</v>
      </c>
      <c r="BE292" s="62"/>
      <c r="BF292" s="63"/>
      <c r="BG292" s="63"/>
      <c r="BH292" s="63"/>
      <c r="BI292" s="63"/>
      <c r="BJ292" s="63"/>
      <c r="BK292" s="63"/>
      <c r="BL292" s="63"/>
      <c r="BM292" s="63"/>
      <c r="BN292" s="63"/>
      <c r="BO292" s="64">
        <f t="shared" si="1873"/>
        <v>0</v>
      </c>
      <c r="BP292" s="62"/>
      <c r="BQ292" s="63"/>
      <c r="BR292" s="63"/>
      <c r="BS292" s="63"/>
      <c r="BT292" s="63"/>
      <c r="BU292" s="63"/>
      <c r="BV292" s="63"/>
      <c r="BW292" s="63"/>
      <c r="BX292" s="63"/>
      <c r="BY292" s="63"/>
      <c r="BZ292" s="64">
        <f t="shared" si="1874"/>
        <v>0</v>
      </c>
      <c r="CA292" s="62"/>
      <c r="CB292" s="63"/>
      <c r="CC292" s="63"/>
      <c r="CD292" s="63"/>
      <c r="CE292" s="63"/>
      <c r="CF292" s="63"/>
      <c r="CG292" s="63"/>
      <c r="CH292" s="63"/>
      <c r="CI292" s="63"/>
      <c r="CJ292" s="63"/>
      <c r="CK292" s="64">
        <f t="shared" si="1875"/>
        <v>0</v>
      </c>
      <c r="CL292" s="65">
        <f t="shared" si="1876"/>
        <v>0</v>
      </c>
      <c r="CM292" s="65">
        <f t="shared" si="1876"/>
        <v>0</v>
      </c>
      <c r="CN292" s="65">
        <f t="shared" si="1876"/>
        <v>0</v>
      </c>
      <c r="CO292" s="65">
        <f t="shared" si="1876"/>
        <v>0</v>
      </c>
      <c r="CP292" s="65">
        <f t="shared" si="1876"/>
        <v>0</v>
      </c>
      <c r="CQ292" s="65">
        <f t="shared" si="1876"/>
        <v>0</v>
      </c>
      <c r="CR292" s="65">
        <f t="shared" si="1876"/>
        <v>0</v>
      </c>
      <c r="CS292" s="65">
        <f t="shared" si="1876"/>
        <v>0</v>
      </c>
      <c r="CT292" s="65">
        <f t="shared" si="1876"/>
        <v>0</v>
      </c>
      <c r="CU292" s="65">
        <f t="shared" si="1876"/>
        <v>0</v>
      </c>
      <c r="CV292" s="64">
        <f t="shared" si="1877"/>
        <v>0</v>
      </c>
      <c r="CW292" s="62"/>
      <c r="CX292" s="63"/>
      <c r="CY292" s="63"/>
      <c r="CZ292" s="63"/>
      <c r="DA292" s="63"/>
      <c r="DB292" s="63"/>
      <c r="DC292" s="63"/>
      <c r="DD292" s="63"/>
      <c r="DE292" s="63"/>
      <c r="DF292" s="63"/>
      <c r="DG292" s="64">
        <f t="shared" si="1878"/>
        <v>0</v>
      </c>
      <c r="DH292" s="62"/>
      <c r="DI292" s="63"/>
      <c r="DJ292" s="63"/>
      <c r="DK292" s="63"/>
      <c r="DL292" s="63"/>
      <c r="DM292" s="63"/>
      <c r="DN292" s="63"/>
      <c r="DO292" s="63"/>
      <c r="DP292" s="63"/>
      <c r="DQ292" s="63"/>
      <c r="DR292" s="64">
        <f t="shared" si="1879"/>
        <v>0</v>
      </c>
      <c r="DS292" s="62"/>
      <c r="DT292" s="63"/>
      <c r="DU292" s="63"/>
      <c r="DV292" s="63"/>
      <c r="DW292" s="63"/>
      <c r="DX292" s="63"/>
      <c r="DY292" s="63"/>
      <c r="DZ292" s="63"/>
      <c r="EA292" s="63"/>
      <c r="EB292" s="63"/>
      <c r="EC292" s="63"/>
      <c r="ED292" s="65">
        <f t="shared" si="1880"/>
        <v>0</v>
      </c>
      <c r="EE292" s="65">
        <f t="shared" si="1880"/>
        <v>0</v>
      </c>
      <c r="EF292" s="65">
        <f t="shared" si="1880"/>
        <v>0</v>
      </c>
      <c r="EG292" s="65">
        <f t="shared" si="1880"/>
        <v>0</v>
      </c>
      <c r="EH292" s="65">
        <f t="shared" si="1880"/>
        <v>0</v>
      </c>
      <c r="EI292" s="65">
        <f t="shared" si="1880"/>
        <v>0</v>
      </c>
      <c r="EJ292" s="65">
        <f t="shared" si="1880"/>
        <v>0</v>
      </c>
      <c r="EK292" s="65">
        <f t="shared" si="1880"/>
        <v>0</v>
      </c>
      <c r="EL292" s="65">
        <f t="shared" si="1880"/>
        <v>0</v>
      </c>
      <c r="EM292" s="65">
        <f t="shared" si="1880"/>
        <v>0</v>
      </c>
      <c r="EN292" s="64">
        <f t="shared" si="1881"/>
        <v>0</v>
      </c>
      <c r="EO292" s="62"/>
      <c r="EP292" s="63"/>
      <c r="EQ292" s="63"/>
      <c r="ER292" s="63"/>
      <c r="ES292" s="63"/>
      <c r="ET292" s="63"/>
      <c r="EU292" s="63"/>
      <c r="EV292" s="63"/>
      <c r="EW292" s="63"/>
      <c r="EX292" s="63"/>
      <c r="EY292" s="64">
        <f t="shared" si="1882"/>
        <v>0</v>
      </c>
      <c r="EZ292" s="62"/>
      <c r="FA292" s="63"/>
      <c r="FB292" s="63"/>
      <c r="FC292" s="63"/>
      <c r="FD292" s="63"/>
      <c r="FE292" s="63"/>
      <c r="FF292" s="63"/>
      <c r="FG292" s="63"/>
      <c r="FH292" s="63"/>
      <c r="FI292" s="63"/>
      <c r="FJ292" s="64">
        <f t="shared" si="1883"/>
        <v>0</v>
      </c>
      <c r="FK292" s="62"/>
      <c r="FL292" s="63"/>
      <c r="FM292" s="63"/>
      <c r="FN292" s="63"/>
      <c r="FO292" s="63"/>
      <c r="FP292" s="63"/>
      <c r="FQ292" s="63"/>
      <c r="FR292" s="63"/>
      <c r="FS292" s="63"/>
      <c r="FT292" s="63"/>
      <c r="FU292" s="64">
        <f t="shared" si="1884"/>
        <v>0</v>
      </c>
      <c r="FV292" s="65">
        <f t="shared" si="1885"/>
        <v>0</v>
      </c>
      <c r="FW292" s="65">
        <f t="shared" si="1885"/>
        <v>0</v>
      </c>
      <c r="FX292" s="65">
        <f t="shared" si="1885"/>
        <v>0</v>
      </c>
      <c r="FY292" s="65">
        <f t="shared" si="1885"/>
        <v>0</v>
      </c>
      <c r="FZ292" s="65">
        <f t="shared" si="1885"/>
        <v>0</v>
      </c>
      <c r="GA292" s="65">
        <f t="shared" si="1885"/>
        <v>0</v>
      </c>
      <c r="GB292" s="65">
        <f t="shared" si="1885"/>
        <v>0</v>
      </c>
      <c r="GC292" s="65">
        <f t="shared" si="1885"/>
        <v>0</v>
      </c>
      <c r="GD292" s="65">
        <f t="shared" si="1885"/>
        <v>0</v>
      </c>
      <c r="GE292" s="65">
        <f t="shared" si="1885"/>
        <v>0</v>
      </c>
      <c r="GF292" s="64">
        <f t="shared" si="1886"/>
        <v>0</v>
      </c>
      <c r="GG292" s="66">
        <f t="shared" si="1887"/>
        <v>0</v>
      </c>
      <c r="GH292" s="66">
        <f t="shared" si="1887"/>
        <v>0</v>
      </c>
      <c r="GI292" s="66">
        <f t="shared" si="1887"/>
        <v>0</v>
      </c>
      <c r="GJ292" s="66">
        <f t="shared" si="1887"/>
        <v>0</v>
      </c>
      <c r="GK292" s="66">
        <f t="shared" si="1887"/>
        <v>0</v>
      </c>
      <c r="GL292" s="66">
        <f t="shared" si="1887"/>
        <v>0</v>
      </c>
      <c r="GM292" s="66">
        <f t="shared" si="1887"/>
        <v>0</v>
      </c>
      <c r="GN292" s="66">
        <f t="shared" si="1887"/>
        <v>0</v>
      </c>
      <c r="GO292" s="66">
        <f t="shared" si="1887"/>
        <v>0</v>
      </c>
      <c r="GP292" s="66">
        <f t="shared" si="1887"/>
        <v>0</v>
      </c>
      <c r="GQ292" s="64">
        <f t="shared" si="1888"/>
        <v>0</v>
      </c>
      <c r="GR292" s="63"/>
      <c r="GS292" s="63"/>
      <c r="GT292" s="63"/>
      <c r="GU292" s="63"/>
      <c r="GV292" s="67">
        <f t="shared" si="1889"/>
        <v>0</v>
      </c>
      <c r="GW292" s="63"/>
      <c r="GX292" s="63"/>
      <c r="GY292" s="63"/>
      <c r="GZ292" s="63"/>
      <c r="HA292" s="67">
        <f t="shared" si="1890"/>
        <v>0</v>
      </c>
      <c r="HB292" s="63"/>
      <c r="HC292" s="63"/>
      <c r="HD292" s="63"/>
      <c r="HE292" s="63"/>
      <c r="HF292" s="67">
        <f t="shared" si="1891"/>
        <v>0</v>
      </c>
      <c r="HG292" s="63"/>
      <c r="HH292" s="63"/>
      <c r="HI292" s="63"/>
      <c r="HJ292" s="63"/>
      <c r="HK292" s="67">
        <f t="shared" si="1892"/>
        <v>0</v>
      </c>
      <c r="HL292" s="68">
        <f t="shared" si="1893"/>
        <v>0</v>
      </c>
      <c r="HM292" s="68">
        <f t="shared" si="1893"/>
        <v>0</v>
      </c>
      <c r="HN292" s="68">
        <f t="shared" si="1893"/>
        <v>0</v>
      </c>
      <c r="HO292" s="68">
        <f t="shared" si="1893"/>
        <v>0</v>
      </c>
      <c r="HP292" s="67">
        <f t="shared" si="1894"/>
        <v>0</v>
      </c>
      <c r="HQ292" s="63"/>
      <c r="HR292" s="63"/>
      <c r="HS292" s="63"/>
      <c r="HT292" s="63"/>
      <c r="HU292" s="67">
        <f t="shared" si="1895"/>
        <v>0</v>
      </c>
      <c r="HV292" s="63"/>
      <c r="HW292" s="63"/>
      <c r="HX292" s="63"/>
      <c r="HY292" s="63"/>
      <c r="HZ292" s="67">
        <f t="shared" si="1896"/>
        <v>0</v>
      </c>
      <c r="IA292" s="63"/>
      <c r="IB292" s="63"/>
      <c r="IC292" s="63"/>
      <c r="ID292" s="63"/>
      <c r="IE292" s="67">
        <f t="shared" si="1897"/>
        <v>0</v>
      </c>
      <c r="IF292" s="68">
        <f t="shared" si="1898"/>
        <v>0</v>
      </c>
      <c r="IG292" s="68">
        <f t="shared" si="1898"/>
        <v>0</v>
      </c>
      <c r="IH292" s="68">
        <f t="shared" si="1898"/>
        <v>0</v>
      </c>
      <c r="II292" s="68">
        <f t="shared" si="1898"/>
        <v>0</v>
      </c>
      <c r="IJ292" s="67">
        <f t="shared" si="1899"/>
        <v>0</v>
      </c>
      <c r="IK292" s="63"/>
      <c r="IL292" s="63"/>
      <c r="IM292" s="63"/>
      <c r="IN292" s="63"/>
      <c r="IO292" s="67">
        <f t="shared" si="1900"/>
        <v>0</v>
      </c>
      <c r="IP292" s="63"/>
      <c r="IQ292" s="63"/>
      <c r="IR292" s="63"/>
      <c r="IS292" s="63"/>
      <c r="IT292" s="67">
        <f t="shared" si="1901"/>
        <v>0</v>
      </c>
      <c r="IU292" s="63"/>
      <c r="IV292" s="63"/>
    </row>
    <row r="293" spans="1:256" x14ac:dyDescent="0.25">
      <c r="A293" s="167" t="s">
        <v>228</v>
      </c>
      <c r="B293" s="62"/>
      <c r="C293" s="63"/>
      <c r="D293" s="63"/>
      <c r="E293" s="63"/>
      <c r="F293" s="63"/>
      <c r="G293" s="63"/>
      <c r="H293" s="63"/>
      <c r="I293" s="63"/>
      <c r="J293" s="63"/>
      <c r="K293" s="63"/>
      <c r="L293" s="64">
        <f t="shared" si="1867"/>
        <v>0</v>
      </c>
      <c r="M293" s="62"/>
      <c r="N293" s="63"/>
      <c r="O293" s="63"/>
      <c r="P293" s="63"/>
      <c r="Q293" s="63"/>
      <c r="R293" s="63"/>
      <c r="S293" s="63"/>
      <c r="T293" s="63"/>
      <c r="U293" s="63"/>
      <c r="V293" s="63"/>
      <c r="W293" s="64">
        <f t="shared" si="1868"/>
        <v>0</v>
      </c>
      <c r="X293" s="62"/>
      <c r="Y293" s="63"/>
      <c r="Z293" s="63"/>
      <c r="AA293" s="63"/>
      <c r="AB293" s="63"/>
      <c r="AC293" s="63"/>
      <c r="AD293" s="63"/>
      <c r="AE293" s="63"/>
      <c r="AF293" s="63"/>
      <c r="AG293" s="63"/>
      <c r="AH293" s="64">
        <f t="shared" si="1869"/>
        <v>0</v>
      </c>
      <c r="AI293" s="62"/>
      <c r="AJ293" s="63"/>
      <c r="AK293" s="63"/>
      <c r="AL293" s="63"/>
      <c r="AM293" s="63"/>
      <c r="AN293" s="63"/>
      <c r="AO293" s="63"/>
      <c r="AP293" s="63"/>
      <c r="AQ293" s="63"/>
      <c r="AR293" s="63"/>
      <c r="AS293" s="64">
        <f t="shared" si="1870"/>
        <v>0</v>
      </c>
      <c r="AT293" s="65">
        <f t="shared" si="1871"/>
        <v>0</v>
      </c>
      <c r="AU293" s="65">
        <f t="shared" si="1871"/>
        <v>0</v>
      </c>
      <c r="AV293" s="65">
        <f t="shared" si="1871"/>
        <v>0</v>
      </c>
      <c r="AW293" s="65">
        <f t="shared" si="1871"/>
        <v>0</v>
      </c>
      <c r="AX293" s="65">
        <f t="shared" si="1871"/>
        <v>0</v>
      </c>
      <c r="AY293" s="65">
        <f t="shared" si="1871"/>
        <v>0</v>
      </c>
      <c r="AZ293" s="65">
        <f t="shared" si="1871"/>
        <v>0</v>
      </c>
      <c r="BA293" s="65">
        <f t="shared" si="1871"/>
        <v>0</v>
      </c>
      <c r="BB293" s="65">
        <f t="shared" si="1871"/>
        <v>0</v>
      </c>
      <c r="BC293" s="65">
        <f t="shared" si="1871"/>
        <v>0</v>
      </c>
      <c r="BD293" s="64">
        <f t="shared" si="1872"/>
        <v>0</v>
      </c>
      <c r="BE293" s="62"/>
      <c r="BF293" s="63"/>
      <c r="BG293" s="63"/>
      <c r="BH293" s="63"/>
      <c r="BI293" s="63"/>
      <c r="BJ293" s="63"/>
      <c r="BK293" s="63"/>
      <c r="BL293" s="63"/>
      <c r="BM293" s="63"/>
      <c r="BN293" s="63"/>
      <c r="BO293" s="64">
        <f t="shared" si="1873"/>
        <v>0</v>
      </c>
      <c r="BP293" s="62"/>
      <c r="BQ293" s="63"/>
      <c r="BR293" s="63"/>
      <c r="BS293" s="63"/>
      <c r="BT293" s="63"/>
      <c r="BU293" s="63"/>
      <c r="BV293" s="63"/>
      <c r="BW293" s="63"/>
      <c r="BX293" s="63"/>
      <c r="BY293" s="63"/>
      <c r="BZ293" s="64">
        <f t="shared" si="1874"/>
        <v>0</v>
      </c>
      <c r="CA293" s="62"/>
      <c r="CB293" s="63"/>
      <c r="CC293" s="63"/>
      <c r="CD293" s="63"/>
      <c r="CE293" s="63"/>
      <c r="CF293" s="63"/>
      <c r="CG293" s="63"/>
      <c r="CH293" s="63"/>
      <c r="CI293" s="63"/>
      <c r="CJ293" s="63"/>
      <c r="CK293" s="64">
        <f t="shared" si="1875"/>
        <v>0</v>
      </c>
      <c r="CL293" s="65">
        <f t="shared" si="1876"/>
        <v>0</v>
      </c>
      <c r="CM293" s="65">
        <f t="shared" si="1876"/>
        <v>0</v>
      </c>
      <c r="CN293" s="65">
        <f t="shared" si="1876"/>
        <v>0</v>
      </c>
      <c r="CO293" s="65">
        <f t="shared" si="1876"/>
        <v>0</v>
      </c>
      <c r="CP293" s="65">
        <f t="shared" si="1876"/>
        <v>0</v>
      </c>
      <c r="CQ293" s="65">
        <f t="shared" si="1876"/>
        <v>0</v>
      </c>
      <c r="CR293" s="65">
        <f t="shared" si="1876"/>
        <v>0</v>
      </c>
      <c r="CS293" s="65">
        <f t="shared" si="1876"/>
        <v>0</v>
      </c>
      <c r="CT293" s="65">
        <f t="shared" si="1876"/>
        <v>0</v>
      </c>
      <c r="CU293" s="65">
        <f t="shared" si="1876"/>
        <v>0</v>
      </c>
      <c r="CV293" s="64">
        <f t="shared" si="1877"/>
        <v>0</v>
      </c>
      <c r="CW293" s="62"/>
      <c r="CX293" s="63"/>
      <c r="CY293" s="63"/>
      <c r="CZ293" s="63"/>
      <c r="DA293" s="63"/>
      <c r="DB293" s="63"/>
      <c r="DC293" s="63"/>
      <c r="DD293" s="63"/>
      <c r="DE293" s="63"/>
      <c r="DF293" s="63"/>
      <c r="DG293" s="64">
        <f t="shared" si="1878"/>
        <v>0</v>
      </c>
      <c r="DH293" s="62"/>
      <c r="DI293" s="63"/>
      <c r="DJ293" s="63"/>
      <c r="DK293" s="63"/>
      <c r="DL293" s="63"/>
      <c r="DM293" s="63"/>
      <c r="DN293" s="63"/>
      <c r="DO293" s="63"/>
      <c r="DP293" s="63"/>
      <c r="DQ293" s="63"/>
      <c r="DR293" s="64">
        <f t="shared" si="1879"/>
        <v>0</v>
      </c>
      <c r="DS293" s="62"/>
      <c r="DT293" s="63"/>
      <c r="DU293" s="63"/>
      <c r="DV293" s="63"/>
      <c r="DW293" s="63"/>
      <c r="DX293" s="63"/>
      <c r="DY293" s="63"/>
      <c r="DZ293" s="63"/>
      <c r="EA293" s="63"/>
      <c r="EB293" s="63"/>
      <c r="EC293" s="63"/>
      <c r="ED293" s="65">
        <f t="shared" si="1880"/>
        <v>0</v>
      </c>
      <c r="EE293" s="65">
        <f t="shared" si="1880"/>
        <v>0</v>
      </c>
      <c r="EF293" s="65">
        <f t="shared" si="1880"/>
        <v>0</v>
      </c>
      <c r="EG293" s="65">
        <f t="shared" si="1880"/>
        <v>0</v>
      </c>
      <c r="EH293" s="65">
        <f t="shared" si="1880"/>
        <v>0</v>
      </c>
      <c r="EI293" s="65">
        <f t="shared" si="1880"/>
        <v>0</v>
      </c>
      <c r="EJ293" s="65">
        <f t="shared" si="1880"/>
        <v>0</v>
      </c>
      <c r="EK293" s="65">
        <f t="shared" si="1880"/>
        <v>0</v>
      </c>
      <c r="EL293" s="65">
        <f t="shared" si="1880"/>
        <v>0</v>
      </c>
      <c r="EM293" s="65">
        <f t="shared" si="1880"/>
        <v>0</v>
      </c>
      <c r="EN293" s="64">
        <f t="shared" si="1881"/>
        <v>0</v>
      </c>
      <c r="EO293" s="62"/>
      <c r="EP293" s="63"/>
      <c r="EQ293" s="63"/>
      <c r="ER293" s="63"/>
      <c r="ES293" s="63"/>
      <c r="ET293" s="63"/>
      <c r="EU293" s="63"/>
      <c r="EV293" s="63"/>
      <c r="EW293" s="63"/>
      <c r="EX293" s="63"/>
      <c r="EY293" s="64">
        <f t="shared" si="1882"/>
        <v>0</v>
      </c>
      <c r="EZ293" s="62"/>
      <c r="FA293" s="63"/>
      <c r="FB293" s="63"/>
      <c r="FC293" s="63"/>
      <c r="FD293" s="63"/>
      <c r="FE293" s="63"/>
      <c r="FF293" s="63"/>
      <c r="FG293" s="63"/>
      <c r="FH293" s="63"/>
      <c r="FI293" s="63"/>
      <c r="FJ293" s="64">
        <f t="shared" si="1883"/>
        <v>0</v>
      </c>
      <c r="FK293" s="62"/>
      <c r="FL293" s="63"/>
      <c r="FM293" s="63"/>
      <c r="FN293" s="63"/>
      <c r="FO293" s="63"/>
      <c r="FP293" s="63"/>
      <c r="FQ293" s="63"/>
      <c r="FR293" s="63"/>
      <c r="FS293" s="63"/>
      <c r="FT293" s="63"/>
      <c r="FU293" s="64">
        <f t="shared" si="1884"/>
        <v>0</v>
      </c>
      <c r="FV293" s="65">
        <f t="shared" si="1885"/>
        <v>0</v>
      </c>
      <c r="FW293" s="65">
        <f t="shared" si="1885"/>
        <v>0</v>
      </c>
      <c r="FX293" s="65">
        <f t="shared" si="1885"/>
        <v>0</v>
      </c>
      <c r="FY293" s="65">
        <f t="shared" si="1885"/>
        <v>0</v>
      </c>
      <c r="FZ293" s="65">
        <f t="shared" si="1885"/>
        <v>0</v>
      </c>
      <c r="GA293" s="65">
        <f t="shared" si="1885"/>
        <v>0</v>
      </c>
      <c r="GB293" s="65">
        <f t="shared" si="1885"/>
        <v>0</v>
      </c>
      <c r="GC293" s="65">
        <f t="shared" si="1885"/>
        <v>0</v>
      </c>
      <c r="GD293" s="65">
        <f t="shared" si="1885"/>
        <v>0</v>
      </c>
      <c r="GE293" s="65">
        <f t="shared" si="1885"/>
        <v>0</v>
      </c>
      <c r="GF293" s="64">
        <f t="shared" si="1886"/>
        <v>0</v>
      </c>
      <c r="GG293" s="66">
        <f t="shared" si="1887"/>
        <v>0</v>
      </c>
      <c r="GH293" s="66">
        <f t="shared" si="1887"/>
        <v>0</v>
      </c>
      <c r="GI293" s="66">
        <f t="shared" si="1887"/>
        <v>0</v>
      </c>
      <c r="GJ293" s="66">
        <f t="shared" si="1887"/>
        <v>0</v>
      </c>
      <c r="GK293" s="66">
        <f t="shared" si="1887"/>
        <v>0</v>
      </c>
      <c r="GL293" s="66">
        <f t="shared" si="1887"/>
        <v>0</v>
      </c>
      <c r="GM293" s="66">
        <f t="shared" si="1887"/>
        <v>0</v>
      </c>
      <c r="GN293" s="66">
        <f t="shared" si="1887"/>
        <v>0</v>
      </c>
      <c r="GO293" s="66">
        <f t="shared" si="1887"/>
        <v>0</v>
      </c>
      <c r="GP293" s="66">
        <f t="shared" si="1887"/>
        <v>0</v>
      </c>
      <c r="GQ293" s="64">
        <f t="shared" si="1888"/>
        <v>0</v>
      </c>
      <c r="GR293" s="63"/>
      <c r="GS293" s="63"/>
      <c r="GT293" s="63"/>
      <c r="GU293" s="63"/>
      <c r="GV293" s="67">
        <f t="shared" si="1889"/>
        <v>0</v>
      </c>
      <c r="GW293" s="63"/>
      <c r="GX293" s="63"/>
      <c r="GY293" s="63"/>
      <c r="GZ293" s="63"/>
      <c r="HA293" s="67">
        <f t="shared" si="1890"/>
        <v>0</v>
      </c>
      <c r="HB293" s="63"/>
      <c r="HC293" s="63"/>
      <c r="HD293" s="63"/>
      <c r="HE293" s="63"/>
      <c r="HF293" s="67">
        <f t="shared" si="1891"/>
        <v>0</v>
      </c>
      <c r="HG293" s="63"/>
      <c r="HH293" s="63"/>
      <c r="HI293" s="63"/>
      <c r="HJ293" s="63"/>
      <c r="HK293" s="67">
        <f t="shared" si="1892"/>
        <v>0</v>
      </c>
      <c r="HL293" s="68">
        <f t="shared" si="1893"/>
        <v>0</v>
      </c>
      <c r="HM293" s="68">
        <f t="shared" si="1893"/>
        <v>0</v>
      </c>
      <c r="HN293" s="68">
        <f t="shared" si="1893"/>
        <v>0</v>
      </c>
      <c r="HO293" s="68">
        <f t="shared" si="1893"/>
        <v>0</v>
      </c>
      <c r="HP293" s="67">
        <f t="shared" si="1894"/>
        <v>0</v>
      </c>
      <c r="HQ293" s="63"/>
      <c r="HR293" s="63"/>
      <c r="HS293" s="63"/>
      <c r="HT293" s="63"/>
      <c r="HU293" s="67">
        <f t="shared" si="1895"/>
        <v>0</v>
      </c>
      <c r="HV293" s="63"/>
      <c r="HW293" s="63"/>
      <c r="HX293" s="63"/>
      <c r="HY293" s="63"/>
      <c r="HZ293" s="67">
        <f t="shared" si="1896"/>
        <v>0</v>
      </c>
      <c r="IA293" s="63"/>
      <c r="IB293" s="63"/>
      <c r="IC293" s="63"/>
      <c r="ID293" s="63"/>
      <c r="IE293" s="67">
        <f t="shared" si="1897"/>
        <v>0</v>
      </c>
      <c r="IF293" s="68">
        <f t="shared" si="1898"/>
        <v>0</v>
      </c>
      <c r="IG293" s="68">
        <f t="shared" si="1898"/>
        <v>0</v>
      </c>
      <c r="IH293" s="68">
        <f t="shared" si="1898"/>
        <v>0</v>
      </c>
      <c r="II293" s="68">
        <f t="shared" si="1898"/>
        <v>0</v>
      </c>
      <c r="IJ293" s="67">
        <f t="shared" si="1899"/>
        <v>0</v>
      </c>
      <c r="IK293" s="63"/>
      <c r="IL293" s="63"/>
      <c r="IM293" s="63"/>
      <c r="IN293" s="63"/>
      <c r="IO293" s="67">
        <f t="shared" si="1900"/>
        <v>0</v>
      </c>
      <c r="IP293" s="63"/>
      <c r="IQ293" s="63"/>
      <c r="IR293" s="63"/>
      <c r="IS293" s="63"/>
      <c r="IT293" s="67">
        <f t="shared" si="1901"/>
        <v>0</v>
      </c>
      <c r="IU293" s="63"/>
      <c r="IV293" s="63"/>
    </row>
    <row r="294" spans="1:256" x14ac:dyDescent="0.25">
      <c r="A294" s="117" t="s">
        <v>229</v>
      </c>
      <c r="B294" s="166"/>
      <c r="C294" s="166">
        <f t="shared" ref="C294:K294" si="1902">C295</f>
        <v>0</v>
      </c>
      <c r="D294" s="166">
        <f t="shared" si="1902"/>
        <v>0</v>
      </c>
      <c r="E294" s="166">
        <f t="shared" si="1902"/>
        <v>0</v>
      </c>
      <c r="F294" s="166">
        <f t="shared" si="1902"/>
        <v>0</v>
      </c>
      <c r="G294" s="166">
        <f t="shared" si="1902"/>
        <v>0</v>
      </c>
      <c r="H294" s="166">
        <f t="shared" si="1902"/>
        <v>0</v>
      </c>
      <c r="I294" s="166">
        <f t="shared" si="1902"/>
        <v>0</v>
      </c>
      <c r="J294" s="166">
        <f t="shared" si="1902"/>
        <v>0</v>
      </c>
      <c r="K294" s="166">
        <f t="shared" si="1902"/>
        <v>0</v>
      </c>
      <c r="L294" s="96">
        <f>L295</f>
        <v>0</v>
      </c>
      <c r="M294" s="166"/>
      <c r="N294" s="166">
        <f t="shared" ref="N294:V294" si="1903">N295</f>
        <v>0</v>
      </c>
      <c r="O294" s="166">
        <f t="shared" si="1903"/>
        <v>0</v>
      </c>
      <c r="P294" s="166">
        <f t="shared" si="1903"/>
        <v>0</v>
      </c>
      <c r="Q294" s="166">
        <f t="shared" si="1903"/>
        <v>0</v>
      </c>
      <c r="R294" s="166">
        <f t="shared" si="1903"/>
        <v>0</v>
      </c>
      <c r="S294" s="166">
        <f t="shared" si="1903"/>
        <v>0</v>
      </c>
      <c r="T294" s="166">
        <f t="shared" si="1903"/>
        <v>0</v>
      </c>
      <c r="U294" s="166">
        <f t="shared" si="1903"/>
        <v>0</v>
      </c>
      <c r="V294" s="166">
        <f t="shared" si="1903"/>
        <v>0</v>
      </c>
      <c r="W294" s="96">
        <f>W295</f>
        <v>0</v>
      </c>
      <c r="X294" s="166"/>
      <c r="Y294" s="166">
        <f t="shared" ref="Y294:AG294" si="1904">Y295</f>
        <v>0</v>
      </c>
      <c r="Z294" s="166">
        <f t="shared" si="1904"/>
        <v>0</v>
      </c>
      <c r="AA294" s="166">
        <f t="shared" si="1904"/>
        <v>0</v>
      </c>
      <c r="AB294" s="166">
        <f t="shared" si="1904"/>
        <v>0</v>
      </c>
      <c r="AC294" s="166">
        <f t="shared" si="1904"/>
        <v>0</v>
      </c>
      <c r="AD294" s="166">
        <f t="shared" si="1904"/>
        <v>0</v>
      </c>
      <c r="AE294" s="166">
        <f t="shared" si="1904"/>
        <v>0</v>
      </c>
      <c r="AF294" s="166">
        <f t="shared" si="1904"/>
        <v>0</v>
      </c>
      <c r="AG294" s="166">
        <f t="shared" si="1904"/>
        <v>0</v>
      </c>
      <c r="AH294" s="96">
        <f>AH295</f>
        <v>0</v>
      </c>
      <c r="AI294" s="166"/>
      <c r="AJ294" s="166">
        <f t="shared" ref="AJ294:AR294" si="1905">AJ295</f>
        <v>0</v>
      </c>
      <c r="AK294" s="166">
        <f t="shared" si="1905"/>
        <v>0</v>
      </c>
      <c r="AL294" s="166">
        <f t="shared" si="1905"/>
        <v>0</v>
      </c>
      <c r="AM294" s="166">
        <f t="shared" si="1905"/>
        <v>0</v>
      </c>
      <c r="AN294" s="166">
        <f t="shared" si="1905"/>
        <v>0</v>
      </c>
      <c r="AO294" s="166">
        <f t="shared" si="1905"/>
        <v>0</v>
      </c>
      <c r="AP294" s="166">
        <f t="shared" si="1905"/>
        <v>0</v>
      </c>
      <c r="AQ294" s="166">
        <f t="shared" si="1905"/>
        <v>0</v>
      </c>
      <c r="AR294" s="166">
        <f t="shared" si="1905"/>
        <v>0</v>
      </c>
      <c r="AS294" s="96">
        <f>AS295</f>
        <v>0</v>
      </c>
      <c r="AT294" s="166"/>
      <c r="AU294" s="166">
        <f>AU295</f>
        <v>0</v>
      </c>
      <c r="AV294" s="166">
        <f t="shared" ref="AV294:BC294" si="1906">AV295</f>
        <v>0</v>
      </c>
      <c r="AW294" s="166">
        <f t="shared" si="1906"/>
        <v>0</v>
      </c>
      <c r="AX294" s="166">
        <f t="shared" si="1906"/>
        <v>0</v>
      </c>
      <c r="AY294" s="166">
        <f t="shared" si="1906"/>
        <v>0</v>
      </c>
      <c r="AZ294" s="166">
        <f t="shared" si="1906"/>
        <v>0</v>
      </c>
      <c r="BA294" s="166">
        <f t="shared" si="1906"/>
        <v>0</v>
      </c>
      <c r="BB294" s="166">
        <f t="shared" si="1906"/>
        <v>0</v>
      </c>
      <c r="BC294" s="166">
        <f t="shared" si="1906"/>
        <v>0</v>
      </c>
      <c r="BD294" s="96">
        <f>BD295</f>
        <v>0</v>
      </c>
      <c r="BE294" s="166"/>
      <c r="BF294" s="166">
        <f t="shared" ref="BF294:BN294" si="1907">BF295</f>
        <v>0</v>
      </c>
      <c r="BG294" s="166">
        <f t="shared" si="1907"/>
        <v>0</v>
      </c>
      <c r="BH294" s="166">
        <f t="shared" si="1907"/>
        <v>0</v>
      </c>
      <c r="BI294" s="166">
        <f t="shared" si="1907"/>
        <v>0</v>
      </c>
      <c r="BJ294" s="166">
        <f t="shared" si="1907"/>
        <v>0</v>
      </c>
      <c r="BK294" s="166">
        <f t="shared" si="1907"/>
        <v>0</v>
      </c>
      <c r="BL294" s="166">
        <f t="shared" si="1907"/>
        <v>0</v>
      </c>
      <c r="BM294" s="166">
        <f t="shared" si="1907"/>
        <v>0</v>
      </c>
      <c r="BN294" s="166">
        <f t="shared" si="1907"/>
        <v>0</v>
      </c>
      <c r="BO294" s="96">
        <f>BO295</f>
        <v>0</v>
      </c>
      <c r="BP294" s="166"/>
      <c r="BQ294" s="166">
        <f t="shared" ref="BQ294:BY294" si="1908">BQ295</f>
        <v>0</v>
      </c>
      <c r="BR294" s="166">
        <f t="shared" si="1908"/>
        <v>0</v>
      </c>
      <c r="BS294" s="166">
        <f t="shared" si="1908"/>
        <v>0</v>
      </c>
      <c r="BT294" s="166">
        <f t="shared" si="1908"/>
        <v>0</v>
      </c>
      <c r="BU294" s="166">
        <f t="shared" si="1908"/>
        <v>0</v>
      </c>
      <c r="BV294" s="166">
        <f t="shared" si="1908"/>
        <v>0</v>
      </c>
      <c r="BW294" s="166">
        <f t="shared" si="1908"/>
        <v>0</v>
      </c>
      <c r="BX294" s="166">
        <f t="shared" si="1908"/>
        <v>0</v>
      </c>
      <c r="BY294" s="166">
        <f t="shared" si="1908"/>
        <v>0</v>
      </c>
      <c r="BZ294" s="96">
        <f>BZ295</f>
        <v>0</v>
      </c>
      <c r="CA294" s="166"/>
      <c r="CB294" s="166">
        <f t="shared" ref="CB294:CJ294" si="1909">CB295</f>
        <v>0</v>
      </c>
      <c r="CC294" s="166">
        <f t="shared" si="1909"/>
        <v>0</v>
      </c>
      <c r="CD294" s="166">
        <f t="shared" si="1909"/>
        <v>0</v>
      </c>
      <c r="CE294" s="166">
        <f t="shared" si="1909"/>
        <v>0</v>
      </c>
      <c r="CF294" s="166">
        <f t="shared" si="1909"/>
        <v>0</v>
      </c>
      <c r="CG294" s="166">
        <f t="shared" si="1909"/>
        <v>0</v>
      </c>
      <c r="CH294" s="166">
        <f t="shared" si="1909"/>
        <v>0</v>
      </c>
      <c r="CI294" s="166">
        <f t="shared" si="1909"/>
        <v>0</v>
      </c>
      <c r="CJ294" s="166">
        <f t="shared" si="1909"/>
        <v>0</v>
      </c>
      <c r="CK294" s="96">
        <f>CK295</f>
        <v>0</v>
      </c>
      <c r="CL294" s="166"/>
      <c r="CM294" s="166">
        <f>CM295</f>
        <v>0</v>
      </c>
      <c r="CN294" s="166">
        <f t="shared" ref="CN294:CU294" si="1910">CN295</f>
        <v>0</v>
      </c>
      <c r="CO294" s="166">
        <f t="shared" si="1910"/>
        <v>0</v>
      </c>
      <c r="CP294" s="166">
        <f t="shared" si="1910"/>
        <v>0</v>
      </c>
      <c r="CQ294" s="166">
        <f t="shared" si="1910"/>
        <v>0</v>
      </c>
      <c r="CR294" s="166">
        <f t="shared" si="1910"/>
        <v>0</v>
      </c>
      <c r="CS294" s="166">
        <f t="shared" si="1910"/>
        <v>0</v>
      </c>
      <c r="CT294" s="166">
        <f t="shared" si="1910"/>
        <v>0</v>
      </c>
      <c r="CU294" s="166">
        <f t="shared" si="1910"/>
        <v>0</v>
      </c>
      <c r="CV294" s="96">
        <f>CV295</f>
        <v>0</v>
      </c>
      <c r="CW294" s="166"/>
      <c r="CX294" s="166">
        <f t="shared" ref="CX294:DF294" si="1911">CX295</f>
        <v>0</v>
      </c>
      <c r="CY294" s="166">
        <f t="shared" si="1911"/>
        <v>0</v>
      </c>
      <c r="CZ294" s="166">
        <f t="shared" si="1911"/>
        <v>0</v>
      </c>
      <c r="DA294" s="166">
        <f t="shared" si="1911"/>
        <v>0</v>
      </c>
      <c r="DB294" s="166">
        <f t="shared" si="1911"/>
        <v>0</v>
      </c>
      <c r="DC294" s="166">
        <f t="shared" si="1911"/>
        <v>0</v>
      </c>
      <c r="DD294" s="166">
        <f t="shared" si="1911"/>
        <v>0</v>
      </c>
      <c r="DE294" s="166">
        <f t="shared" si="1911"/>
        <v>0</v>
      </c>
      <c r="DF294" s="166">
        <f t="shared" si="1911"/>
        <v>0</v>
      </c>
      <c r="DG294" s="96">
        <f>DG295</f>
        <v>0</v>
      </c>
      <c r="DH294" s="166"/>
      <c r="DI294" s="166">
        <f t="shared" ref="DI294:DQ294" si="1912">DI295</f>
        <v>0</v>
      </c>
      <c r="DJ294" s="166">
        <f t="shared" si="1912"/>
        <v>0</v>
      </c>
      <c r="DK294" s="166">
        <f t="shared" si="1912"/>
        <v>0</v>
      </c>
      <c r="DL294" s="166">
        <f t="shared" si="1912"/>
        <v>0</v>
      </c>
      <c r="DM294" s="166">
        <f t="shared" si="1912"/>
        <v>0</v>
      </c>
      <c r="DN294" s="166">
        <f t="shared" si="1912"/>
        <v>0</v>
      </c>
      <c r="DO294" s="166">
        <f t="shared" si="1912"/>
        <v>0</v>
      </c>
      <c r="DP294" s="166">
        <f t="shared" si="1912"/>
        <v>0</v>
      </c>
      <c r="DQ294" s="166">
        <f t="shared" si="1912"/>
        <v>0</v>
      </c>
      <c r="DR294" s="96">
        <f>DR295</f>
        <v>0</v>
      </c>
      <c r="DS294" s="166"/>
      <c r="DT294" s="166">
        <f t="shared" ref="DT294:EB294" si="1913">DT295</f>
        <v>0</v>
      </c>
      <c r="DU294" s="166">
        <f t="shared" si="1913"/>
        <v>0</v>
      </c>
      <c r="DV294" s="166">
        <f t="shared" si="1913"/>
        <v>0</v>
      </c>
      <c r="DW294" s="166">
        <f t="shared" si="1913"/>
        <v>0</v>
      </c>
      <c r="DX294" s="166">
        <f t="shared" si="1913"/>
        <v>0</v>
      </c>
      <c r="DY294" s="166">
        <f t="shared" si="1913"/>
        <v>0</v>
      </c>
      <c r="DZ294" s="166">
        <f t="shared" si="1913"/>
        <v>0</v>
      </c>
      <c r="EA294" s="166">
        <f t="shared" si="1913"/>
        <v>0</v>
      </c>
      <c r="EB294" s="166">
        <f t="shared" si="1913"/>
        <v>0</v>
      </c>
      <c r="EC294" s="166">
        <f>EC295</f>
        <v>0</v>
      </c>
      <c r="ED294" s="166"/>
      <c r="EE294" s="166">
        <f>EE295</f>
        <v>0</v>
      </c>
      <c r="EF294" s="166">
        <f t="shared" ref="EF294:EM294" si="1914">EF295</f>
        <v>0</v>
      </c>
      <c r="EG294" s="166">
        <f t="shared" si="1914"/>
        <v>0</v>
      </c>
      <c r="EH294" s="166">
        <f t="shared" si="1914"/>
        <v>0</v>
      </c>
      <c r="EI294" s="166">
        <f t="shared" si="1914"/>
        <v>0</v>
      </c>
      <c r="EJ294" s="166">
        <f t="shared" si="1914"/>
        <v>0</v>
      </c>
      <c r="EK294" s="166">
        <f t="shared" si="1914"/>
        <v>0</v>
      </c>
      <c r="EL294" s="166">
        <f t="shared" si="1914"/>
        <v>0</v>
      </c>
      <c r="EM294" s="166">
        <f t="shared" si="1914"/>
        <v>0</v>
      </c>
      <c r="EN294" s="96">
        <f>EN295</f>
        <v>0</v>
      </c>
      <c r="EO294" s="166"/>
      <c r="EP294" s="166">
        <f t="shared" ref="EP294:EX294" si="1915">EP295</f>
        <v>0</v>
      </c>
      <c r="EQ294" s="166">
        <f t="shared" si="1915"/>
        <v>0</v>
      </c>
      <c r="ER294" s="166">
        <f t="shared" si="1915"/>
        <v>0</v>
      </c>
      <c r="ES294" s="166">
        <f t="shared" si="1915"/>
        <v>0</v>
      </c>
      <c r="ET294" s="166">
        <f t="shared" si="1915"/>
        <v>0</v>
      </c>
      <c r="EU294" s="166">
        <f t="shared" si="1915"/>
        <v>0</v>
      </c>
      <c r="EV294" s="166">
        <f t="shared" si="1915"/>
        <v>0</v>
      </c>
      <c r="EW294" s="166">
        <f t="shared" si="1915"/>
        <v>0</v>
      </c>
      <c r="EX294" s="166">
        <f t="shared" si="1915"/>
        <v>0</v>
      </c>
      <c r="EY294" s="96">
        <f>EY295</f>
        <v>0</v>
      </c>
      <c r="EZ294" s="166"/>
      <c r="FA294" s="166">
        <f t="shared" ref="FA294:FI294" si="1916">FA295</f>
        <v>0</v>
      </c>
      <c r="FB294" s="166">
        <f t="shared" si="1916"/>
        <v>0</v>
      </c>
      <c r="FC294" s="166">
        <f t="shared" si="1916"/>
        <v>0</v>
      </c>
      <c r="FD294" s="166">
        <f t="shared" si="1916"/>
        <v>0</v>
      </c>
      <c r="FE294" s="166">
        <f t="shared" si="1916"/>
        <v>0</v>
      </c>
      <c r="FF294" s="166">
        <f t="shared" si="1916"/>
        <v>0</v>
      </c>
      <c r="FG294" s="166">
        <f t="shared" si="1916"/>
        <v>0</v>
      </c>
      <c r="FH294" s="166">
        <f t="shared" si="1916"/>
        <v>0</v>
      </c>
      <c r="FI294" s="166">
        <f t="shared" si="1916"/>
        <v>0</v>
      </c>
      <c r="FJ294" s="96">
        <f>FJ295</f>
        <v>0</v>
      </c>
      <c r="FK294" s="166"/>
      <c r="FL294" s="166">
        <f t="shared" ref="FL294:FT294" si="1917">FL295</f>
        <v>0</v>
      </c>
      <c r="FM294" s="166">
        <f t="shared" si="1917"/>
        <v>0</v>
      </c>
      <c r="FN294" s="166">
        <f t="shared" si="1917"/>
        <v>0</v>
      </c>
      <c r="FO294" s="166">
        <f t="shared" si="1917"/>
        <v>0</v>
      </c>
      <c r="FP294" s="166">
        <f t="shared" si="1917"/>
        <v>0</v>
      </c>
      <c r="FQ294" s="166">
        <f t="shared" si="1917"/>
        <v>0</v>
      </c>
      <c r="FR294" s="166">
        <f t="shared" si="1917"/>
        <v>0</v>
      </c>
      <c r="FS294" s="166">
        <f t="shared" si="1917"/>
        <v>0</v>
      </c>
      <c r="FT294" s="166">
        <f t="shared" si="1917"/>
        <v>0</v>
      </c>
      <c r="FU294" s="96">
        <f>FU295</f>
        <v>0</v>
      </c>
      <c r="FV294" s="166"/>
      <c r="FW294" s="166">
        <f>FW295</f>
        <v>0</v>
      </c>
      <c r="FX294" s="166">
        <f t="shared" ref="FX294:GE294" si="1918">FX295</f>
        <v>0</v>
      </c>
      <c r="FY294" s="166">
        <f t="shared" si="1918"/>
        <v>0</v>
      </c>
      <c r="FZ294" s="166">
        <f t="shared" si="1918"/>
        <v>0</v>
      </c>
      <c r="GA294" s="166">
        <f t="shared" si="1918"/>
        <v>0</v>
      </c>
      <c r="GB294" s="166">
        <f t="shared" si="1918"/>
        <v>0</v>
      </c>
      <c r="GC294" s="166">
        <f t="shared" si="1918"/>
        <v>0</v>
      </c>
      <c r="GD294" s="166">
        <f t="shared" si="1918"/>
        <v>0</v>
      </c>
      <c r="GE294" s="166">
        <f t="shared" si="1918"/>
        <v>0</v>
      </c>
      <c r="GF294" s="96">
        <f>GF295</f>
        <v>0</v>
      </c>
      <c r="GG294" s="166"/>
      <c r="GH294" s="166">
        <f t="shared" ref="GH294:GP294" si="1919">GH295</f>
        <v>0</v>
      </c>
      <c r="GI294" s="166">
        <f t="shared" si="1919"/>
        <v>0</v>
      </c>
      <c r="GJ294" s="166">
        <f t="shared" si="1919"/>
        <v>0</v>
      </c>
      <c r="GK294" s="166">
        <f t="shared" si="1919"/>
        <v>0</v>
      </c>
      <c r="GL294" s="166">
        <f t="shared" si="1919"/>
        <v>0</v>
      </c>
      <c r="GM294" s="166">
        <f t="shared" si="1919"/>
        <v>0</v>
      </c>
      <c r="GN294" s="166">
        <f t="shared" si="1919"/>
        <v>0</v>
      </c>
      <c r="GO294" s="166">
        <f t="shared" si="1919"/>
        <v>0</v>
      </c>
      <c r="GP294" s="166">
        <f t="shared" si="1919"/>
        <v>0</v>
      </c>
      <c r="GQ294" s="96">
        <f t="shared" ref="GQ294:GV294" si="1920">GQ295</f>
        <v>0</v>
      </c>
      <c r="GR294" s="166">
        <f t="shared" si="1920"/>
        <v>0</v>
      </c>
      <c r="GS294" s="166">
        <f t="shared" si="1920"/>
        <v>0</v>
      </c>
      <c r="GT294" s="166">
        <f t="shared" si="1920"/>
        <v>0</v>
      </c>
      <c r="GU294" s="166">
        <f t="shared" si="1920"/>
        <v>0</v>
      </c>
      <c r="GV294" s="166">
        <f t="shared" si="1920"/>
        <v>0</v>
      </c>
      <c r="GW294" s="166">
        <f t="shared" ref="GW294:HJ294" si="1921">GW295</f>
        <v>0</v>
      </c>
      <c r="GX294" s="166">
        <f t="shared" si="1921"/>
        <v>0</v>
      </c>
      <c r="GY294" s="166">
        <f t="shared" si="1921"/>
        <v>0</v>
      </c>
      <c r="GZ294" s="166">
        <f t="shared" si="1921"/>
        <v>0</v>
      </c>
      <c r="HA294" s="166">
        <f>HA295</f>
        <v>0</v>
      </c>
      <c r="HB294" s="166">
        <f t="shared" si="1921"/>
        <v>0</v>
      </c>
      <c r="HC294" s="166">
        <f t="shared" si="1921"/>
        <v>0</v>
      </c>
      <c r="HD294" s="166">
        <f t="shared" si="1921"/>
        <v>0</v>
      </c>
      <c r="HE294" s="166">
        <f t="shared" si="1921"/>
        <v>0</v>
      </c>
      <c r="HF294" s="166">
        <f>HF295</f>
        <v>0</v>
      </c>
      <c r="HG294" s="166">
        <f t="shared" si="1921"/>
        <v>0</v>
      </c>
      <c r="HH294" s="166">
        <f t="shared" si="1921"/>
        <v>0</v>
      </c>
      <c r="HI294" s="166">
        <f t="shared" si="1921"/>
        <v>0</v>
      </c>
      <c r="HJ294" s="166">
        <f t="shared" si="1921"/>
        <v>0</v>
      </c>
      <c r="HK294" s="166">
        <f t="shared" ref="HK294:HP294" si="1922">HK295</f>
        <v>0</v>
      </c>
      <c r="HL294" s="166">
        <f t="shared" si="1922"/>
        <v>0</v>
      </c>
      <c r="HM294" s="166">
        <f t="shared" si="1922"/>
        <v>0</v>
      </c>
      <c r="HN294" s="166">
        <f t="shared" si="1922"/>
        <v>0</v>
      </c>
      <c r="HO294" s="166">
        <f t="shared" si="1922"/>
        <v>0</v>
      </c>
      <c r="HP294" s="166">
        <f t="shared" si="1922"/>
        <v>0</v>
      </c>
      <c r="HQ294" s="166">
        <f t="shared" ref="HQ294:ID294" si="1923">HQ295</f>
        <v>0</v>
      </c>
      <c r="HR294" s="166">
        <f t="shared" si="1923"/>
        <v>0</v>
      </c>
      <c r="HS294" s="166">
        <f t="shared" si="1923"/>
        <v>0</v>
      </c>
      <c r="HT294" s="166">
        <f t="shared" si="1923"/>
        <v>0</v>
      </c>
      <c r="HU294" s="166">
        <f>HU295</f>
        <v>0</v>
      </c>
      <c r="HV294" s="166">
        <f t="shared" si="1923"/>
        <v>0</v>
      </c>
      <c r="HW294" s="166">
        <f t="shared" si="1923"/>
        <v>0</v>
      </c>
      <c r="HX294" s="166">
        <f t="shared" si="1923"/>
        <v>0</v>
      </c>
      <c r="HY294" s="166">
        <f t="shared" si="1923"/>
        <v>0</v>
      </c>
      <c r="HZ294" s="166">
        <f>HZ295</f>
        <v>0</v>
      </c>
      <c r="IA294" s="166">
        <f t="shared" si="1923"/>
        <v>0</v>
      </c>
      <c r="IB294" s="166">
        <f t="shared" si="1923"/>
        <v>0</v>
      </c>
      <c r="IC294" s="166">
        <f t="shared" si="1923"/>
        <v>0</v>
      </c>
      <c r="ID294" s="166">
        <f t="shared" si="1923"/>
        <v>0</v>
      </c>
      <c r="IE294" s="166">
        <f t="shared" ref="IE294:IJ294" si="1924">IE295</f>
        <v>0</v>
      </c>
      <c r="IF294" s="166">
        <f t="shared" si="1924"/>
        <v>0</v>
      </c>
      <c r="IG294" s="166">
        <f t="shared" si="1924"/>
        <v>0</v>
      </c>
      <c r="IH294" s="166">
        <f t="shared" si="1924"/>
        <v>0</v>
      </c>
      <c r="II294" s="166">
        <f t="shared" si="1924"/>
        <v>0</v>
      </c>
      <c r="IJ294" s="166">
        <f t="shared" si="1924"/>
        <v>0</v>
      </c>
      <c r="IK294" s="166">
        <f t="shared" ref="IK294:IV294" si="1925">IK295</f>
        <v>0</v>
      </c>
      <c r="IL294" s="166">
        <f t="shared" si="1925"/>
        <v>0</v>
      </c>
      <c r="IM294" s="166">
        <f t="shared" si="1925"/>
        <v>0</v>
      </c>
      <c r="IN294" s="166">
        <f t="shared" si="1925"/>
        <v>0</v>
      </c>
      <c r="IO294" s="166">
        <f>IO295</f>
        <v>0</v>
      </c>
      <c r="IP294" s="166">
        <f t="shared" si="1925"/>
        <v>0</v>
      </c>
      <c r="IQ294" s="166">
        <f t="shared" si="1925"/>
        <v>0</v>
      </c>
      <c r="IR294" s="166">
        <f t="shared" si="1925"/>
        <v>0</v>
      </c>
      <c r="IS294" s="166">
        <f t="shared" si="1925"/>
        <v>0</v>
      </c>
      <c r="IT294" s="166">
        <f>IT295</f>
        <v>0</v>
      </c>
      <c r="IU294" s="166">
        <f t="shared" si="1925"/>
        <v>0</v>
      </c>
      <c r="IV294" s="166">
        <f t="shared" si="1925"/>
        <v>0</v>
      </c>
    </row>
    <row r="295" spans="1:256" x14ac:dyDescent="0.25">
      <c r="A295" s="167" t="s">
        <v>230</v>
      </c>
      <c r="B295" s="62"/>
      <c r="C295" s="63"/>
      <c r="D295" s="63"/>
      <c r="E295" s="63"/>
      <c r="F295" s="63"/>
      <c r="G295" s="63"/>
      <c r="H295" s="63"/>
      <c r="I295" s="63"/>
      <c r="J295" s="63"/>
      <c r="K295" s="63"/>
      <c r="L295" s="64">
        <f>SUM(C295:F295,H295:K295)</f>
        <v>0</v>
      </c>
      <c r="M295" s="62"/>
      <c r="N295" s="63"/>
      <c r="O295" s="63"/>
      <c r="P295" s="63"/>
      <c r="Q295" s="63"/>
      <c r="R295" s="63"/>
      <c r="S295" s="63"/>
      <c r="T295" s="63"/>
      <c r="U295" s="63"/>
      <c r="V295" s="63"/>
      <c r="W295" s="64">
        <f>SUM(N295:Q295,S295:V295)</f>
        <v>0</v>
      </c>
      <c r="X295" s="62"/>
      <c r="Y295" s="63"/>
      <c r="Z295" s="63"/>
      <c r="AA295" s="63"/>
      <c r="AB295" s="63"/>
      <c r="AC295" s="63"/>
      <c r="AD295" s="63"/>
      <c r="AE295" s="63"/>
      <c r="AF295" s="63"/>
      <c r="AG295" s="63"/>
      <c r="AH295" s="64">
        <f>SUM(Y295:AB295,AD295:AG295)</f>
        <v>0</v>
      </c>
      <c r="AI295" s="62"/>
      <c r="AJ295" s="63"/>
      <c r="AK295" s="63"/>
      <c r="AL295" s="63"/>
      <c r="AM295" s="63"/>
      <c r="AN295" s="63"/>
      <c r="AO295" s="63"/>
      <c r="AP295" s="63"/>
      <c r="AQ295" s="63"/>
      <c r="AR295" s="63"/>
      <c r="AS295" s="64">
        <f>SUM(AJ295:AM295,AO295:AR295)</f>
        <v>0</v>
      </c>
      <c r="AT295" s="65">
        <f>SUM(M295,AI295,X295)</f>
        <v>0</v>
      </c>
      <c r="AU295" s="65">
        <f t="shared" ref="AU295:BC295" si="1926">SUM(N295,AJ295,Y295)</f>
        <v>0</v>
      </c>
      <c r="AV295" s="65">
        <f t="shared" si="1926"/>
        <v>0</v>
      </c>
      <c r="AW295" s="65">
        <f t="shared" si="1926"/>
        <v>0</v>
      </c>
      <c r="AX295" s="65">
        <f t="shared" si="1926"/>
        <v>0</v>
      </c>
      <c r="AY295" s="65">
        <f t="shared" si="1926"/>
        <v>0</v>
      </c>
      <c r="AZ295" s="65">
        <f t="shared" si="1926"/>
        <v>0</v>
      </c>
      <c r="BA295" s="65">
        <f t="shared" si="1926"/>
        <v>0</v>
      </c>
      <c r="BB295" s="65">
        <f t="shared" si="1926"/>
        <v>0</v>
      </c>
      <c r="BC295" s="65">
        <f t="shared" si="1926"/>
        <v>0</v>
      </c>
      <c r="BD295" s="64">
        <f>SUM(AU295:AX295,AZ295:BC295)</f>
        <v>0</v>
      </c>
      <c r="BE295" s="62"/>
      <c r="BF295" s="63"/>
      <c r="BG295" s="63"/>
      <c r="BH295" s="63"/>
      <c r="BI295" s="63"/>
      <c r="BJ295" s="63"/>
      <c r="BK295" s="63"/>
      <c r="BL295" s="63"/>
      <c r="BM295" s="63"/>
      <c r="BN295" s="63"/>
      <c r="BO295" s="64">
        <f>SUM(BF295:BI295,BK295:BN295)</f>
        <v>0</v>
      </c>
      <c r="BP295" s="62"/>
      <c r="BQ295" s="63"/>
      <c r="BR295" s="63"/>
      <c r="BS295" s="63"/>
      <c r="BT295" s="63"/>
      <c r="BU295" s="63"/>
      <c r="BV295" s="63"/>
      <c r="BW295" s="63"/>
      <c r="BX295" s="63"/>
      <c r="BY295" s="63"/>
      <c r="BZ295" s="64">
        <f>SUM(BQ295:BT295,BV295:BY295)</f>
        <v>0</v>
      </c>
      <c r="CA295" s="62"/>
      <c r="CB295" s="63"/>
      <c r="CC295" s="63"/>
      <c r="CD295" s="63"/>
      <c r="CE295" s="63"/>
      <c r="CF295" s="63"/>
      <c r="CG295" s="63"/>
      <c r="CH295" s="63"/>
      <c r="CI295" s="63"/>
      <c r="CJ295" s="63"/>
      <c r="CK295" s="64">
        <f>SUM(CB295:CE295,CG295:CJ295)</f>
        <v>0</v>
      </c>
      <c r="CL295" s="65">
        <f t="shared" ref="CL295:CU295" si="1927">SUM(BE295,CA295,BP295)</f>
        <v>0</v>
      </c>
      <c r="CM295" s="65">
        <f t="shared" si="1927"/>
        <v>0</v>
      </c>
      <c r="CN295" s="65">
        <f t="shared" si="1927"/>
        <v>0</v>
      </c>
      <c r="CO295" s="65">
        <f t="shared" si="1927"/>
        <v>0</v>
      </c>
      <c r="CP295" s="65">
        <f t="shared" si="1927"/>
        <v>0</v>
      </c>
      <c r="CQ295" s="65">
        <f t="shared" si="1927"/>
        <v>0</v>
      </c>
      <c r="CR295" s="65">
        <f t="shared" si="1927"/>
        <v>0</v>
      </c>
      <c r="CS295" s="65">
        <f t="shared" si="1927"/>
        <v>0</v>
      </c>
      <c r="CT295" s="65">
        <f t="shared" si="1927"/>
        <v>0</v>
      </c>
      <c r="CU295" s="65">
        <f t="shared" si="1927"/>
        <v>0</v>
      </c>
      <c r="CV295" s="64">
        <f>SUM(CM295:CP295,CR295:CU295)</f>
        <v>0</v>
      </c>
      <c r="CW295" s="62"/>
      <c r="CX295" s="63"/>
      <c r="CY295" s="63"/>
      <c r="CZ295" s="63"/>
      <c r="DA295" s="63"/>
      <c r="DB295" s="63"/>
      <c r="DC295" s="63"/>
      <c r="DD295" s="63"/>
      <c r="DE295" s="63"/>
      <c r="DF295" s="63"/>
      <c r="DG295" s="64">
        <f>SUM(CX295:DA295,DC295:DF295)</f>
        <v>0</v>
      </c>
      <c r="DH295" s="62"/>
      <c r="DI295" s="63"/>
      <c r="DJ295" s="63"/>
      <c r="DK295" s="63"/>
      <c r="DL295" s="63"/>
      <c r="DM295" s="63"/>
      <c r="DN295" s="63"/>
      <c r="DO295" s="63"/>
      <c r="DP295" s="63"/>
      <c r="DQ295" s="63"/>
      <c r="DR295" s="64">
        <f>SUM(DI295:DL295,DN295:DQ295)</f>
        <v>0</v>
      </c>
      <c r="DS295" s="62"/>
      <c r="DT295" s="63"/>
      <c r="DU295" s="63"/>
      <c r="DV295" s="63"/>
      <c r="DW295" s="63"/>
      <c r="DX295" s="63"/>
      <c r="DY295" s="63"/>
      <c r="DZ295" s="63"/>
      <c r="EA295" s="63"/>
      <c r="EB295" s="63"/>
      <c r="EC295" s="63"/>
      <c r="ED295" s="65">
        <f t="shared" ref="ED295:EM295" si="1928">SUM(CW295,DS295,DH295)</f>
        <v>0</v>
      </c>
      <c r="EE295" s="65">
        <f t="shared" si="1928"/>
        <v>0</v>
      </c>
      <c r="EF295" s="65">
        <f t="shared" si="1928"/>
        <v>0</v>
      </c>
      <c r="EG295" s="65">
        <f t="shared" si="1928"/>
        <v>0</v>
      </c>
      <c r="EH295" s="65">
        <f t="shared" si="1928"/>
        <v>0</v>
      </c>
      <c r="EI295" s="65">
        <f t="shared" si="1928"/>
        <v>0</v>
      </c>
      <c r="EJ295" s="65">
        <f t="shared" si="1928"/>
        <v>0</v>
      </c>
      <c r="EK295" s="65">
        <f t="shared" si="1928"/>
        <v>0</v>
      </c>
      <c r="EL295" s="65">
        <f t="shared" si="1928"/>
        <v>0</v>
      </c>
      <c r="EM295" s="65">
        <f t="shared" si="1928"/>
        <v>0</v>
      </c>
      <c r="EN295" s="64">
        <f>SUM(EE295:EH295,EJ295:EM295)</f>
        <v>0</v>
      </c>
      <c r="EO295" s="62"/>
      <c r="EP295" s="63"/>
      <c r="EQ295" s="63"/>
      <c r="ER295" s="63"/>
      <c r="ES295" s="63"/>
      <c r="ET295" s="63"/>
      <c r="EU295" s="63"/>
      <c r="EV295" s="63"/>
      <c r="EW295" s="63"/>
      <c r="EX295" s="63"/>
      <c r="EY295" s="64">
        <f>SUM(EP295:ES295,EU295:EX295)</f>
        <v>0</v>
      </c>
      <c r="EZ295" s="62"/>
      <c r="FA295" s="63"/>
      <c r="FB295" s="63"/>
      <c r="FC295" s="63"/>
      <c r="FD295" s="63"/>
      <c r="FE295" s="63"/>
      <c r="FF295" s="63"/>
      <c r="FG295" s="63"/>
      <c r="FH295" s="63"/>
      <c r="FI295" s="63"/>
      <c r="FJ295" s="64">
        <f>SUM(FA295:FD295,FF295:FI295)</f>
        <v>0</v>
      </c>
      <c r="FK295" s="62"/>
      <c r="FL295" s="63"/>
      <c r="FM295" s="63"/>
      <c r="FN295" s="63"/>
      <c r="FO295" s="63"/>
      <c r="FP295" s="63"/>
      <c r="FQ295" s="63"/>
      <c r="FR295" s="63"/>
      <c r="FS295" s="63"/>
      <c r="FT295" s="63"/>
      <c r="FU295" s="64">
        <f>SUM(FL295:FO295,FQ295:FT295)</f>
        <v>0</v>
      </c>
      <c r="FV295" s="65">
        <f t="shared" ref="FV295:GE295" si="1929">SUM(EO295,FK295,EZ295)</f>
        <v>0</v>
      </c>
      <c r="FW295" s="65">
        <f t="shared" si="1929"/>
        <v>0</v>
      </c>
      <c r="FX295" s="65">
        <f t="shared" si="1929"/>
        <v>0</v>
      </c>
      <c r="FY295" s="65">
        <f t="shared" si="1929"/>
        <v>0</v>
      </c>
      <c r="FZ295" s="65">
        <f t="shared" si="1929"/>
        <v>0</v>
      </c>
      <c r="GA295" s="65">
        <f t="shared" si="1929"/>
        <v>0</v>
      </c>
      <c r="GB295" s="65">
        <f t="shared" si="1929"/>
        <v>0</v>
      </c>
      <c r="GC295" s="65">
        <f t="shared" si="1929"/>
        <v>0</v>
      </c>
      <c r="GD295" s="65">
        <f t="shared" si="1929"/>
        <v>0</v>
      </c>
      <c r="GE295" s="65">
        <f t="shared" si="1929"/>
        <v>0</v>
      </c>
      <c r="GF295" s="64">
        <f>SUM(FW295:FZ295,GB295:GE295)</f>
        <v>0</v>
      </c>
      <c r="GG295" s="66">
        <f t="shared" ref="GG295:GP295" si="1930">SUM(AT295,CL295,ED295,FV295)</f>
        <v>0</v>
      </c>
      <c r="GH295" s="66">
        <f t="shared" si="1930"/>
        <v>0</v>
      </c>
      <c r="GI295" s="66">
        <f t="shared" si="1930"/>
        <v>0</v>
      </c>
      <c r="GJ295" s="66">
        <f t="shared" si="1930"/>
        <v>0</v>
      </c>
      <c r="GK295" s="66">
        <f t="shared" si="1930"/>
        <v>0</v>
      </c>
      <c r="GL295" s="66">
        <f t="shared" si="1930"/>
        <v>0</v>
      </c>
      <c r="GM295" s="66">
        <f t="shared" si="1930"/>
        <v>0</v>
      </c>
      <c r="GN295" s="66">
        <f t="shared" si="1930"/>
        <v>0</v>
      </c>
      <c r="GO295" s="66">
        <f t="shared" si="1930"/>
        <v>0</v>
      </c>
      <c r="GP295" s="66">
        <f t="shared" si="1930"/>
        <v>0</v>
      </c>
      <c r="GQ295" s="64">
        <f>SUM(GH295:GK295,GM295:GP295)</f>
        <v>0</v>
      </c>
      <c r="GR295" s="63"/>
      <c r="GS295" s="63"/>
      <c r="GT295" s="63"/>
      <c r="GU295" s="63"/>
      <c r="GV295" s="67">
        <f>SUM(GR295:GU295)</f>
        <v>0</v>
      </c>
      <c r="GW295" s="63"/>
      <c r="GX295" s="63"/>
      <c r="GY295" s="63"/>
      <c r="GZ295" s="63"/>
      <c r="HA295" s="67">
        <f>SUM(GW295:GZ295)</f>
        <v>0</v>
      </c>
      <c r="HB295" s="63"/>
      <c r="HC295" s="63"/>
      <c r="HD295" s="63"/>
      <c r="HE295" s="63"/>
      <c r="HF295" s="67">
        <f>SUM(HB295:HE295)</f>
        <v>0</v>
      </c>
      <c r="HG295" s="63"/>
      <c r="HH295" s="63"/>
      <c r="HI295" s="63"/>
      <c r="HJ295" s="63"/>
      <c r="HK295" s="67">
        <f>SUM(HG295:HJ295)</f>
        <v>0</v>
      </c>
      <c r="HL295" s="68">
        <f>SUM(GW295,HB295,HG295)</f>
        <v>0</v>
      </c>
      <c r="HM295" s="68">
        <f>SUM(GX295,HC295,HH295)</f>
        <v>0</v>
      </c>
      <c r="HN295" s="68">
        <f>SUM(GY295,HD295,HI295)</f>
        <v>0</v>
      </c>
      <c r="HO295" s="68">
        <f>SUM(GZ295,HE295,HJ295)</f>
        <v>0</v>
      </c>
      <c r="HP295" s="67">
        <f>SUM(HL295:HO295)</f>
        <v>0</v>
      </c>
      <c r="HQ295" s="63"/>
      <c r="HR295" s="63"/>
      <c r="HS295" s="63"/>
      <c r="HT295" s="63"/>
      <c r="HU295" s="67">
        <f>SUM(HQ295:HT295)</f>
        <v>0</v>
      </c>
      <c r="HV295" s="63"/>
      <c r="HW295" s="63"/>
      <c r="HX295" s="63"/>
      <c r="HY295" s="63"/>
      <c r="HZ295" s="67">
        <f>SUM(HV295:HY295)</f>
        <v>0</v>
      </c>
      <c r="IA295" s="63"/>
      <c r="IB295" s="63"/>
      <c r="IC295" s="63"/>
      <c r="ID295" s="63"/>
      <c r="IE295" s="67">
        <f>SUM(IA295:ID295)</f>
        <v>0</v>
      </c>
      <c r="IF295" s="68">
        <f>SUM(HQ295,HV295,IA295)</f>
        <v>0</v>
      </c>
      <c r="IG295" s="68">
        <f>SUM(HR295,HW295,IB295)</f>
        <v>0</v>
      </c>
      <c r="IH295" s="68">
        <f>SUM(HS295,HX295,IC295)</f>
        <v>0</v>
      </c>
      <c r="II295" s="68">
        <f>SUM(HT295,HY295,ID295)</f>
        <v>0</v>
      </c>
      <c r="IJ295" s="67">
        <f>SUM(IF295:II295)</f>
        <v>0</v>
      </c>
      <c r="IK295" s="63"/>
      <c r="IL295" s="63"/>
      <c r="IM295" s="63"/>
      <c r="IN295" s="63"/>
      <c r="IO295" s="67">
        <f>SUM(IK295:IN295)</f>
        <v>0</v>
      </c>
      <c r="IP295" s="63"/>
      <c r="IQ295" s="63"/>
      <c r="IR295" s="63"/>
      <c r="IS295" s="63"/>
      <c r="IT295" s="67">
        <f>SUM(IP295:IS295)</f>
        <v>0</v>
      </c>
      <c r="IU295" s="63"/>
      <c r="IV295" s="63"/>
    </row>
    <row r="296" spans="1:256" x14ac:dyDescent="0.25">
      <c r="A296" s="117" t="s">
        <v>231</v>
      </c>
      <c r="B296" s="166"/>
      <c r="C296" s="166">
        <f t="shared" ref="C296:K296" si="1931">C297</f>
        <v>0</v>
      </c>
      <c r="D296" s="166">
        <f t="shared" si="1931"/>
        <v>0</v>
      </c>
      <c r="E296" s="166">
        <f t="shared" si="1931"/>
        <v>0</v>
      </c>
      <c r="F296" s="166">
        <f t="shared" si="1931"/>
        <v>0</v>
      </c>
      <c r="G296" s="166">
        <f t="shared" si="1931"/>
        <v>0</v>
      </c>
      <c r="H296" s="166">
        <f t="shared" si="1931"/>
        <v>0</v>
      </c>
      <c r="I296" s="166">
        <f t="shared" si="1931"/>
        <v>0</v>
      </c>
      <c r="J296" s="166">
        <f t="shared" si="1931"/>
        <v>0</v>
      </c>
      <c r="K296" s="166">
        <f t="shared" si="1931"/>
        <v>0</v>
      </c>
      <c r="L296" s="96">
        <f>L297</f>
        <v>0</v>
      </c>
      <c r="M296" s="166"/>
      <c r="N296" s="166">
        <f t="shared" ref="N296:V296" si="1932">N297</f>
        <v>0</v>
      </c>
      <c r="O296" s="166">
        <f t="shared" si="1932"/>
        <v>0</v>
      </c>
      <c r="P296" s="166">
        <f t="shared" si="1932"/>
        <v>0</v>
      </c>
      <c r="Q296" s="166">
        <f t="shared" si="1932"/>
        <v>0</v>
      </c>
      <c r="R296" s="166">
        <f t="shared" si="1932"/>
        <v>0</v>
      </c>
      <c r="S296" s="166">
        <f t="shared" si="1932"/>
        <v>0</v>
      </c>
      <c r="T296" s="166">
        <f t="shared" si="1932"/>
        <v>0</v>
      </c>
      <c r="U296" s="166">
        <f t="shared" si="1932"/>
        <v>0</v>
      </c>
      <c r="V296" s="166">
        <f t="shared" si="1932"/>
        <v>0</v>
      </c>
      <c r="W296" s="96">
        <f>W297</f>
        <v>0</v>
      </c>
      <c r="X296" s="166"/>
      <c r="Y296" s="166">
        <f t="shared" ref="Y296:AG296" si="1933">Y297</f>
        <v>0</v>
      </c>
      <c r="Z296" s="166">
        <f t="shared" si="1933"/>
        <v>0</v>
      </c>
      <c r="AA296" s="166">
        <f t="shared" si="1933"/>
        <v>0</v>
      </c>
      <c r="AB296" s="166">
        <f t="shared" si="1933"/>
        <v>0</v>
      </c>
      <c r="AC296" s="166">
        <f t="shared" si="1933"/>
        <v>0</v>
      </c>
      <c r="AD296" s="166">
        <f t="shared" si="1933"/>
        <v>0</v>
      </c>
      <c r="AE296" s="166">
        <f t="shared" si="1933"/>
        <v>0</v>
      </c>
      <c r="AF296" s="166">
        <f t="shared" si="1933"/>
        <v>0</v>
      </c>
      <c r="AG296" s="166">
        <f t="shared" si="1933"/>
        <v>0</v>
      </c>
      <c r="AH296" s="96">
        <f>AH297</f>
        <v>0</v>
      </c>
      <c r="AI296" s="166"/>
      <c r="AJ296" s="166">
        <f t="shared" ref="AJ296:AR296" si="1934">AJ297</f>
        <v>0</v>
      </c>
      <c r="AK296" s="166">
        <f t="shared" si="1934"/>
        <v>0</v>
      </c>
      <c r="AL296" s="166">
        <f t="shared" si="1934"/>
        <v>0</v>
      </c>
      <c r="AM296" s="166">
        <f t="shared" si="1934"/>
        <v>0</v>
      </c>
      <c r="AN296" s="166">
        <f t="shared" si="1934"/>
        <v>0</v>
      </c>
      <c r="AO296" s="166">
        <f t="shared" si="1934"/>
        <v>0</v>
      </c>
      <c r="AP296" s="166">
        <f t="shared" si="1934"/>
        <v>0</v>
      </c>
      <c r="AQ296" s="166">
        <f t="shared" si="1934"/>
        <v>0</v>
      </c>
      <c r="AR296" s="166">
        <f t="shared" si="1934"/>
        <v>0</v>
      </c>
      <c r="AS296" s="96">
        <f>AS297</f>
        <v>0</v>
      </c>
      <c r="AT296" s="166"/>
      <c r="AU296" s="166">
        <f>AU297</f>
        <v>0</v>
      </c>
      <c r="AV296" s="166">
        <f t="shared" ref="AV296:BC296" si="1935">AV297</f>
        <v>0</v>
      </c>
      <c r="AW296" s="166">
        <f t="shared" si="1935"/>
        <v>0</v>
      </c>
      <c r="AX296" s="166">
        <f t="shared" si="1935"/>
        <v>0</v>
      </c>
      <c r="AY296" s="166">
        <f t="shared" si="1935"/>
        <v>0</v>
      </c>
      <c r="AZ296" s="166">
        <f t="shared" si="1935"/>
        <v>0</v>
      </c>
      <c r="BA296" s="166">
        <f t="shared" si="1935"/>
        <v>0</v>
      </c>
      <c r="BB296" s="166">
        <f t="shared" si="1935"/>
        <v>0</v>
      </c>
      <c r="BC296" s="166">
        <f t="shared" si="1935"/>
        <v>0</v>
      </c>
      <c r="BD296" s="96">
        <f>BD297</f>
        <v>0</v>
      </c>
      <c r="BE296" s="166"/>
      <c r="BF296" s="166">
        <f t="shared" ref="BF296:BN296" si="1936">BF297</f>
        <v>0</v>
      </c>
      <c r="BG296" s="166">
        <f t="shared" si="1936"/>
        <v>0</v>
      </c>
      <c r="BH296" s="166">
        <f t="shared" si="1936"/>
        <v>0</v>
      </c>
      <c r="BI296" s="166">
        <f t="shared" si="1936"/>
        <v>0</v>
      </c>
      <c r="BJ296" s="166">
        <f t="shared" si="1936"/>
        <v>0</v>
      </c>
      <c r="BK296" s="166">
        <f t="shared" si="1936"/>
        <v>0</v>
      </c>
      <c r="BL296" s="166">
        <f t="shared" si="1936"/>
        <v>0</v>
      </c>
      <c r="BM296" s="166">
        <f t="shared" si="1936"/>
        <v>0</v>
      </c>
      <c r="BN296" s="166">
        <f t="shared" si="1936"/>
        <v>0</v>
      </c>
      <c r="BO296" s="96">
        <f>BO297</f>
        <v>0</v>
      </c>
      <c r="BP296" s="166"/>
      <c r="BQ296" s="166">
        <f t="shared" ref="BQ296:BY296" si="1937">BQ297</f>
        <v>0</v>
      </c>
      <c r="BR296" s="166">
        <f t="shared" si="1937"/>
        <v>0</v>
      </c>
      <c r="BS296" s="166">
        <f t="shared" si="1937"/>
        <v>0</v>
      </c>
      <c r="BT296" s="166">
        <f t="shared" si="1937"/>
        <v>0</v>
      </c>
      <c r="BU296" s="166">
        <f t="shared" si="1937"/>
        <v>0</v>
      </c>
      <c r="BV296" s="166">
        <f t="shared" si="1937"/>
        <v>0</v>
      </c>
      <c r="BW296" s="166">
        <f t="shared" si="1937"/>
        <v>0</v>
      </c>
      <c r="BX296" s="166">
        <f t="shared" si="1937"/>
        <v>0</v>
      </c>
      <c r="BY296" s="166">
        <f t="shared" si="1937"/>
        <v>0</v>
      </c>
      <c r="BZ296" s="96">
        <f>BZ297</f>
        <v>0</v>
      </c>
      <c r="CA296" s="166"/>
      <c r="CB296" s="166">
        <f t="shared" ref="CB296:CJ296" si="1938">CB297</f>
        <v>0</v>
      </c>
      <c r="CC296" s="166">
        <f t="shared" si="1938"/>
        <v>0</v>
      </c>
      <c r="CD296" s="166">
        <f t="shared" si="1938"/>
        <v>0</v>
      </c>
      <c r="CE296" s="166">
        <f t="shared" si="1938"/>
        <v>0</v>
      </c>
      <c r="CF296" s="166">
        <f t="shared" si="1938"/>
        <v>0</v>
      </c>
      <c r="CG296" s="166">
        <f t="shared" si="1938"/>
        <v>0</v>
      </c>
      <c r="CH296" s="166">
        <f t="shared" si="1938"/>
        <v>0</v>
      </c>
      <c r="CI296" s="166">
        <f t="shared" si="1938"/>
        <v>0</v>
      </c>
      <c r="CJ296" s="166">
        <f t="shared" si="1938"/>
        <v>0</v>
      </c>
      <c r="CK296" s="96">
        <f>CK297</f>
        <v>0</v>
      </c>
      <c r="CL296" s="166"/>
      <c r="CM296" s="166">
        <f>CM297</f>
        <v>0</v>
      </c>
      <c r="CN296" s="166">
        <f t="shared" ref="CN296:CU296" si="1939">CN297</f>
        <v>0</v>
      </c>
      <c r="CO296" s="166">
        <f t="shared" si="1939"/>
        <v>0</v>
      </c>
      <c r="CP296" s="166">
        <f t="shared" si="1939"/>
        <v>0</v>
      </c>
      <c r="CQ296" s="166">
        <f t="shared" si="1939"/>
        <v>0</v>
      </c>
      <c r="CR296" s="166">
        <f t="shared" si="1939"/>
        <v>0</v>
      </c>
      <c r="CS296" s="166">
        <f t="shared" si="1939"/>
        <v>0</v>
      </c>
      <c r="CT296" s="166">
        <f t="shared" si="1939"/>
        <v>0</v>
      </c>
      <c r="CU296" s="166">
        <f t="shared" si="1939"/>
        <v>0</v>
      </c>
      <c r="CV296" s="96">
        <f>CV297</f>
        <v>0</v>
      </c>
      <c r="CW296" s="166"/>
      <c r="CX296" s="166">
        <f t="shared" ref="CX296:DF296" si="1940">CX297</f>
        <v>0</v>
      </c>
      <c r="CY296" s="166">
        <f t="shared" si="1940"/>
        <v>0</v>
      </c>
      <c r="CZ296" s="166">
        <f t="shared" si="1940"/>
        <v>0</v>
      </c>
      <c r="DA296" s="166">
        <f t="shared" si="1940"/>
        <v>0</v>
      </c>
      <c r="DB296" s="166">
        <f t="shared" si="1940"/>
        <v>0</v>
      </c>
      <c r="DC296" s="166">
        <f t="shared" si="1940"/>
        <v>0</v>
      </c>
      <c r="DD296" s="166">
        <f t="shared" si="1940"/>
        <v>0</v>
      </c>
      <c r="DE296" s="166">
        <f t="shared" si="1940"/>
        <v>0</v>
      </c>
      <c r="DF296" s="166">
        <f t="shared" si="1940"/>
        <v>0</v>
      </c>
      <c r="DG296" s="96">
        <f>DG297</f>
        <v>0</v>
      </c>
      <c r="DH296" s="166"/>
      <c r="DI296" s="166">
        <f t="shared" ref="DI296:DQ296" si="1941">DI297</f>
        <v>0</v>
      </c>
      <c r="DJ296" s="166">
        <f t="shared" si="1941"/>
        <v>0</v>
      </c>
      <c r="DK296" s="166">
        <f t="shared" si="1941"/>
        <v>0</v>
      </c>
      <c r="DL296" s="166">
        <f t="shared" si="1941"/>
        <v>0</v>
      </c>
      <c r="DM296" s="166">
        <f t="shared" si="1941"/>
        <v>0</v>
      </c>
      <c r="DN296" s="166">
        <f t="shared" si="1941"/>
        <v>0</v>
      </c>
      <c r="DO296" s="166">
        <f t="shared" si="1941"/>
        <v>0</v>
      </c>
      <c r="DP296" s="166">
        <f t="shared" si="1941"/>
        <v>0</v>
      </c>
      <c r="DQ296" s="166">
        <f t="shared" si="1941"/>
        <v>0</v>
      </c>
      <c r="DR296" s="96">
        <f>DR297</f>
        <v>0</v>
      </c>
      <c r="DS296" s="166"/>
      <c r="DT296" s="166">
        <f t="shared" ref="DT296:EB296" si="1942">DT297</f>
        <v>0</v>
      </c>
      <c r="DU296" s="166">
        <f t="shared" si="1942"/>
        <v>0</v>
      </c>
      <c r="DV296" s="166">
        <f t="shared" si="1942"/>
        <v>0</v>
      </c>
      <c r="DW296" s="166">
        <f t="shared" si="1942"/>
        <v>0</v>
      </c>
      <c r="DX296" s="166">
        <f t="shared" si="1942"/>
        <v>0</v>
      </c>
      <c r="DY296" s="166">
        <f t="shared" si="1942"/>
        <v>0</v>
      </c>
      <c r="DZ296" s="166">
        <f t="shared" si="1942"/>
        <v>0</v>
      </c>
      <c r="EA296" s="166">
        <f t="shared" si="1942"/>
        <v>0</v>
      </c>
      <c r="EB296" s="166">
        <f t="shared" si="1942"/>
        <v>0</v>
      </c>
      <c r="EC296" s="166">
        <f>EC297</f>
        <v>0</v>
      </c>
      <c r="ED296" s="166"/>
      <c r="EE296" s="166">
        <f>EE297</f>
        <v>0</v>
      </c>
      <c r="EF296" s="166">
        <f t="shared" ref="EF296:EM296" si="1943">EF297</f>
        <v>0</v>
      </c>
      <c r="EG296" s="166">
        <f t="shared" si="1943"/>
        <v>0</v>
      </c>
      <c r="EH296" s="166">
        <f t="shared" si="1943"/>
        <v>0</v>
      </c>
      <c r="EI296" s="166">
        <f t="shared" si="1943"/>
        <v>0</v>
      </c>
      <c r="EJ296" s="166">
        <f t="shared" si="1943"/>
        <v>0</v>
      </c>
      <c r="EK296" s="166">
        <f t="shared" si="1943"/>
        <v>0</v>
      </c>
      <c r="EL296" s="166">
        <f t="shared" si="1943"/>
        <v>0</v>
      </c>
      <c r="EM296" s="166">
        <f t="shared" si="1943"/>
        <v>0</v>
      </c>
      <c r="EN296" s="96">
        <f>EN297</f>
        <v>0</v>
      </c>
      <c r="EO296" s="166"/>
      <c r="EP296" s="166">
        <f t="shared" ref="EP296:EX296" si="1944">EP297</f>
        <v>0</v>
      </c>
      <c r="EQ296" s="166">
        <f t="shared" si="1944"/>
        <v>0</v>
      </c>
      <c r="ER296" s="166">
        <f t="shared" si="1944"/>
        <v>0</v>
      </c>
      <c r="ES296" s="166">
        <f t="shared" si="1944"/>
        <v>0</v>
      </c>
      <c r="ET296" s="166">
        <f t="shared" si="1944"/>
        <v>0</v>
      </c>
      <c r="EU296" s="166">
        <f t="shared" si="1944"/>
        <v>0</v>
      </c>
      <c r="EV296" s="166">
        <f t="shared" si="1944"/>
        <v>0</v>
      </c>
      <c r="EW296" s="166">
        <f t="shared" si="1944"/>
        <v>0</v>
      </c>
      <c r="EX296" s="166">
        <f t="shared" si="1944"/>
        <v>0</v>
      </c>
      <c r="EY296" s="96">
        <f>EY297</f>
        <v>0</v>
      </c>
      <c r="EZ296" s="166"/>
      <c r="FA296" s="166">
        <f t="shared" ref="FA296:FI296" si="1945">FA297</f>
        <v>0</v>
      </c>
      <c r="FB296" s="166">
        <f t="shared" si="1945"/>
        <v>0</v>
      </c>
      <c r="FC296" s="166">
        <f t="shared" si="1945"/>
        <v>0</v>
      </c>
      <c r="FD296" s="166">
        <f t="shared" si="1945"/>
        <v>0</v>
      </c>
      <c r="FE296" s="166">
        <f t="shared" si="1945"/>
        <v>0</v>
      </c>
      <c r="FF296" s="166">
        <f t="shared" si="1945"/>
        <v>0</v>
      </c>
      <c r="FG296" s="166">
        <f t="shared" si="1945"/>
        <v>0</v>
      </c>
      <c r="FH296" s="166">
        <f t="shared" si="1945"/>
        <v>0</v>
      </c>
      <c r="FI296" s="166">
        <f t="shared" si="1945"/>
        <v>0</v>
      </c>
      <c r="FJ296" s="96">
        <f>FJ297</f>
        <v>0</v>
      </c>
      <c r="FK296" s="166"/>
      <c r="FL296" s="166">
        <f t="shared" ref="FL296:FT296" si="1946">FL297</f>
        <v>0</v>
      </c>
      <c r="FM296" s="166">
        <f t="shared" si="1946"/>
        <v>0</v>
      </c>
      <c r="FN296" s="166">
        <f t="shared" si="1946"/>
        <v>0</v>
      </c>
      <c r="FO296" s="166">
        <f t="shared" si="1946"/>
        <v>0</v>
      </c>
      <c r="FP296" s="166">
        <f t="shared" si="1946"/>
        <v>0</v>
      </c>
      <c r="FQ296" s="166">
        <f t="shared" si="1946"/>
        <v>0</v>
      </c>
      <c r="FR296" s="166">
        <f t="shared" si="1946"/>
        <v>0</v>
      </c>
      <c r="FS296" s="166">
        <f t="shared" si="1946"/>
        <v>0</v>
      </c>
      <c r="FT296" s="166">
        <f t="shared" si="1946"/>
        <v>0</v>
      </c>
      <c r="FU296" s="96">
        <f>FU297</f>
        <v>0</v>
      </c>
      <c r="FV296" s="166"/>
      <c r="FW296" s="166">
        <f>FW297</f>
        <v>0</v>
      </c>
      <c r="FX296" s="166">
        <f t="shared" ref="FX296:GE296" si="1947">FX297</f>
        <v>0</v>
      </c>
      <c r="FY296" s="166">
        <f t="shared" si="1947"/>
        <v>0</v>
      </c>
      <c r="FZ296" s="166">
        <f t="shared" si="1947"/>
        <v>0</v>
      </c>
      <c r="GA296" s="166">
        <f t="shared" si="1947"/>
        <v>0</v>
      </c>
      <c r="GB296" s="166">
        <f t="shared" si="1947"/>
        <v>0</v>
      </c>
      <c r="GC296" s="166">
        <f t="shared" si="1947"/>
        <v>0</v>
      </c>
      <c r="GD296" s="166">
        <f t="shared" si="1947"/>
        <v>0</v>
      </c>
      <c r="GE296" s="166">
        <f t="shared" si="1947"/>
        <v>0</v>
      </c>
      <c r="GF296" s="96">
        <f>GF297</f>
        <v>0</v>
      </c>
      <c r="GG296" s="166"/>
      <c r="GH296" s="166">
        <f t="shared" ref="GH296:GP296" si="1948">GH297</f>
        <v>0</v>
      </c>
      <c r="GI296" s="166">
        <f t="shared" si="1948"/>
        <v>0</v>
      </c>
      <c r="GJ296" s="166">
        <f t="shared" si="1948"/>
        <v>0</v>
      </c>
      <c r="GK296" s="166">
        <f t="shared" si="1948"/>
        <v>0</v>
      </c>
      <c r="GL296" s="166">
        <f t="shared" si="1948"/>
        <v>0</v>
      </c>
      <c r="GM296" s="166">
        <f t="shared" si="1948"/>
        <v>0</v>
      </c>
      <c r="GN296" s="166">
        <f t="shared" si="1948"/>
        <v>0</v>
      </c>
      <c r="GO296" s="166">
        <f t="shared" si="1948"/>
        <v>0</v>
      </c>
      <c r="GP296" s="166">
        <f t="shared" si="1948"/>
        <v>0</v>
      </c>
      <c r="GQ296" s="96">
        <f t="shared" ref="GQ296:GV296" si="1949">GQ297</f>
        <v>0</v>
      </c>
      <c r="GR296" s="166">
        <f t="shared" si="1949"/>
        <v>0</v>
      </c>
      <c r="GS296" s="166">
        <f t="shared" si="1949"/>
        <v>0</v>
      </c>
      <c r="GT296" s="166">
        <f t="shared" si="1949"/>
        <v>0</v>
      </c>
      <c r="GU296" s="166">
        <f t="shared" si="1949"/>
        <v>0</v>
      </c>
      <c r="GV296" s="166">
        <f t="shared" si="1949"/>
        <v>0</v>
      </c>
      <c r="GW296" s="166">
        <f t="shared" ref="GW296:HJ296" si="1950">GW297</f>
        <v>0</v>
      </c>
      <c r="GX296" s="166">
        <f t="shared" si="1950"/>
        <v>0</v>
      </c>
      <c r="GY296" s="166">
        <f t="shared" si="1950"/>
        <v>0</v>
      </c>
      <c r="GZ296" s="166">
        <f t="shared" si="1950"/>
        <v>0</v>
      </c>
      <c r="HA296" s="166">
        <f>HA297</f>
        <v>0</v>
      </c>
      <c r="HB296" s="166">
        <f t="shared" si="1950"/>
        <v>0</v>
      </c>
      <c r="HC296" s="166">
        <f t="shared" si="1950"/>
        <v>0</v>
      </c>
      <c r="HD296" s="166">
        <f t="shared" si="1950"/>
        <v>0</v>
      </c>
      <c r="HE296" s="166">
        <f t="shared" si="1950"/>
        <v>0</v>
      </c>
      <c r="HF296" s="166">
        <f>HF297</f>
        <v>0</v>
      </c>
      <c r="HG296" s="166">
        <f t="shared" si="1950"/>
        <v>0</v>
      </c>
      <c r="HH296" s="166">
        <f t="shared" si="1950"/>
        <v>0</v>
      </c>
      <c r="HI296" s="166">
        <f t="shared" si="1950"/>
        <v>0</v>
      </c>
      <c r="HJ296" s="166">
        <f t="shared" si="1950"/>
        <v>0</v>
      </c>
      <c r="HK296" s="166">
        <f t="shared" ref="HK296:HP296" si="1951">HK297</f>
        <v>0</v>
      </c>
      <c r="HL296" s="166">
        <f t="shared" si="1951"/>
        <v>0</v>
      </c>
      <c r="HM296" s="166">
        <f t="shared" si="1951"/>
        <v>0</v>
      </c>
      <c r="HN296" s="166">
        <f t="shared" si="1951"/>
        <v>0</v>
      </c>
      <c r="HO296" s="166">
        <f t="shared" si="1951"/>
        <v>0</v>
      </c>
      <c r="HP296" s="166">
        <f t="shared" si="1951"/>
        <v>0</v>
      </c>
      <c r="HQ296" s="166">
        <f t="shared" ref="HQ296:ID296" si="1952">HQ297</f>
        <v>0</v>
      </c>
      <c r="HR296" s="166">
        <f t="shared" si="1952"/>
        <v>0</v>
      </c>
      <c r="HS296" s="166">
        <f t="shared" si="1952"/>
        <v>0</v>
      </c>
      <c r="HT296" s="166">
        <f t="shared" si="1952"/>
        <v>0</v>
      </c>
      <c r="HU296" s="166">
        <f>HU297</f>
        <v>0</v>
      </c>
      <c r="HV296" s="166">
        <f t="shared" si="1952"/>
        <v>0</v>
      </c>
      <c r="HW296" s="166">
        <f t="shared" si="1952"/>
        <v>0</v>
      </c>
      <c r="HX296" s="166">
        <f t="shared" si="1952"/>
        <v>0</v>
      </c>
      <c r="HY296" s="166">
        <f t="shared" si="1952"/>
        <v>0</v>
      </c>
      <c r="HZ296" s="166">
        <f>HZ297</f>
        <v>0</v>
      </c>
      <c r="IA296" s="166">
        <f t="shared" si="1952"/>
        <v>0</v>
      </c>
      <c r="IB296" s="166">
        <f t="shared" si="1952"/>
        <v>0</v>
      </c>
      <c r="IC296" s="166">
        <f t="shared" si="1952"/>
        <v>0</v>
      </c>
      <c r="ID296" s="166">
        <f t="shared" si="1952"/>
        <v>0</v>
      </c>
      <c r="IE296" s="166">
        <f t="shared" ref="IE296:IJ296" si="1953">IE297</f>
        <v>0</v>
      </c>
      <c r="IF296" s="166">
        <f t="shared" si="1953"/>
        <v>0</v>
      </c>
      <c r="IG296" s="166">
        <f t="shared" si="1953"/>
        <v>0</v>
      </c>
      <c r="IH296" s="166">
        <f t="shared" si="1953"/>
        <v>0</v>
      </c>
      <c r="II296" s="166">
        <f t="shared" si="1953"/>
        <v>0</v>
      </c>
      <c r="IJ296" s="166">
        <f t="shared" si="1953"/>
        <v>0</v>
      </c>
      <c r="IK296" s="166">
        <f t="shared" ref="IK296:IV296" si="1954">IK297</f>
        <v>0</v>
      </c>
      <c r="IL296" s="166">
        <f t="shared" si="1954"/>
        <v>0</v>
      </c>
      <c r="IM296" s="166">
        <f t="shared" si="1954"/>
        <v>0</v>
      </c>
      <c r="IN296" s="166">
        <f t="shared" si="1954"/>
        <v>0</v>
      </c>
      <c r="IO296" s="166">
        <f>IO297</f>
        <v>0</v>
      </c>
      <c r="IP296" s="166">
        <f t="shared" si="1954"/>
        <v>0</v>
      </c>
      <c r="IQ296" s="166">
        <f t="shared" si="1954"/>
        <v>0</v>
      </c>
      <c r="IR296" s="166">
        <f t="shared" si="1954"/>
        <v>0</v>
      </c>
      <c r="IS296" s="166">
        <f t="shared" si="1954"/>
        <v>0</v>
      </c>
      <c r="IT296" s="166">
        <f>IT297</f>
        <v>0</v>
      </c>
      <c r="IU296" s="166">
        <f t="shared" si="1954"/>
        <v>0</v>
      </c>
      <c r="IV296" s="166">
        <f t="shared" si="1954"/>
        <v>0</v>
      </c>
    </row>
    <row r="297" spans="1:256" x14ac:dyDescent="0.25">
      <c r="A297" s="167" t="s">
        <v>232</v>
      </c>
      <c r="B297" s="62"/>
      <c r="C297" s="63"/>
      <c r="D297" s="63"/>
      <c r="E297" s="63"/>
      <c r="F297" s="63"/>
      <c r="G297" s="63"/>
      <c r="H297" s="63"/>
      <c r="I297" s="63"/>
      <c r="J297" s="63"/>
      <c r="K297" s="63"/>
      <c r="L297" s="64">
        <f>SUM(C297:F297,H297:K297)</f>
        <v>0</v>
      </c>
      <c r="M297" s="62"/>
      <c r="N297" s="63"/>
      <c r="O297" s="63"/>
      <c r="P297" s="63"/>
      <c r="Q297" s="63"/>
      <c r="R297" s="63"/>
      <c r="S297" s="63"/>
      <c r="T297" s="63"/>
      <c r="U297" s="63"/>
      <c r="V297" s="63"/>
      <c r="W297" s="64">
        <f>SUM(N297:Q297,S297:V297)</f>
        <v>0</v>
      </c>
      <c r="X297" s="62"/>
      <c r="Y297" s="63"/>
      <c r="Z297" s="63"/>
      <c r="AA297" s="63"/>
      <c r="AB297" s="63"/>
      <c r="AC297" s="63"/>
      <c r="AD297" s="63"/>
      <c r="AE297" s="63"/>
      <c r="AF297" s="63"/>
      <c r="AG297" s="63"/>
      <c r="AH297" s="64">
        <f>SUM(Y297:AB297,AD297:AG297)</f>
        <v>0</v>
      </c>
      <c r="AI297" s="62"/>
      <c r="AJ297" s="63"/>
      <c r="AK297" s="63"/>
      <c r="AL297" s="63"/>
      <c r="AM297" s="63"/>
      <c r="AN297" s="63"/>
      <c r="AO297" s="63"/>
      <c r="AP297" s="63"/>
      <c r="AQ297" s="63"/>
      <c r="AR297" s="63"/>
      <c r="AS297" s="64">
        <f>SUM(AJ297:AM297,AO297:AR297)</f>
        <v>0</v>
      </c>
      <c r="AT297" s="65">
        <f>SUM(M297,AI297,X297)</f>
        <v>0</v>
      </c>
      <c r="AU297" s="65">
        <f t="shared" ref="AU297:BC297" si="1955">SUM(N297,AJ297,Y297)</f>
        <v>0</v>
      </c>
      <c r="AV297" s="65">
        <f t="shared" si="1955"/>
        <v>0</v>
      </c>
      <c r="AW297" s="65">
        <f t="shared" si="1955"/>
        <v>0</v>
      </c>
      <c r="AX297" s="65">
        <f t="shared" si="1955"/>
        <v>0</v>
      </c>
      <c r="AY297" s="65">
        <f t="shared" si="1955"/>
        <v>0</v>
      </c>
      <c r="AZ297" s="65">
        <f t="shared" si="1955"/>
        <v>0</v>
      </c>
      <c r="BA297" s="65">
        <f t="shared" si="1955"/>
        <v>0</v>
      </c>
      <c r="BB297" s="65">
        <f t="shared" si="1955"/>
        <v>0</v>
      </c>
      <c r="BC297" s="65">
        <f t="shared" si="1955"/>
        <v>0</v>
      </c>
      <c r="BD297" s="64">
        <f>SUM(AU297:AX297,AZ297:BC297)</f>
        <v>0</v>
      </c>
      <c r="BE297" s="62"/>
      <c r="BF297" s="63"/>
      <c r="BG297" s="63"/>
      <c r="BH297" s="63"/>
      <c r="BI297" s="63"/>
      <c r="BJ297" s="63"/>
      <c r="BK297" s="63"/>
      <c r="BL297" s="63"/>
      <c r="BM297" s="63"/>
      <c r="BN297" s="63"/>
      <c r="BO297" s="64">
        <f>SUM(BF297:BI297,BK297:BN297)</f>
        <v>0</v>
      </c>
      <c r="BP297" s="62"/>
      <c r="BQ297" s="63"/>
      <c r="BR297" s="63"/>
      <c r="BS297" s="63"/>
      <c r="BT297" s="63"/>
      <c r="BU297" s="63"/>
      <c r="BV297" s="63"/>
      <c r="BW297" s="63"/>
      <c r="BX297" s="63"/>
      <c r="BY297" s="63"/>
      <c r="BZ297" s="64">
        <f>SUM(BQ297:BT297,BV297:BY297)</f>
        <v>0</v>
      </c>
      <c r="CA297" s="62"/>
      <c r="CB297" s="63"/>
      <c r="CC297" s="63"/>
      <c r="CD297" s="63"/>
      <c r="CE297" s="63"/>
      <c r="CF297" s="63"/>
      <c r="CG297" s="63"/>
      <c r="CH297" s="63"/>
      <c r="CI297" s="63"/>
      <c r="CJ297" s="63"/>
      <c r="CK297" s="64">
        <f>SUM(CB297:CE297,CG297:CJ297)</f>
        <v>0</v>
      </c>
      <c r="CL297" s="65">
        <f t="shared" ref="CL297:CU297" si="1956">SUM(BE297,CA297,BP297)</f>
        <v>0</v>
      </c>
      <c r="CM297" s="65">
        <f t="shared" si="1956"/>
        <v>0</v>
      </c>
      <c r="CN297" s="65">
        <f t="shared" si="1956"/>
        <v>0</v>
      </c>
      <c r="CO297" s="65">
        <f t="shared" si="1956"/>
        <v>0</v>
      </c>
      <c r="CP297" s="65">
        <f t="shared" si="1956"/>
        <v>0</v>
      </c>
      <c r="CQ297" s="65">
        <f t="shared" si="1956"/>
        <v>0</v>
      </c>
      <c r="CR297" s="65">
        <f t="shared" si="1956"/>
        <v>0</v>
      </c>
      <c r="CS297" s="65">
        <f t="shared" si="1956"/>
        <v>0</v>
      </c>
      <c r="CT297" s="65">
        <f t="shared" si="1956"/>
        <v>0</v>
      </c>
      <c r="CU297" s="65">
        <f t="shared" si="1956"/>
        <v>0</v>
      </c>
      <c r="CV297" s="64">
        <f>SUM(CM297:CP297,CR297:CU297)</f>
        <v>0</v>
      </c>
      <c r="CW297" s="62"/>
      <c r="CX297" s="63"/>
      <c r="CY297" s="63"/>
      <c r="CZ297" s="63"/>
      <c r="DA297" s="63"/>
      <c r="DB297" s="63"/>
      <c r="DC297" s="63"/>
      <c r="DD297" s="63"/>
      <c r="DE297" s="63"/>
      <c r="DF297" s="63"/>
      <c r="DG297" s="64">
        <f>SUM(CX297:DA297,DC297:DF297)</f>
        <v>0</v>
      </c>
      <c r="DH297" s="62"/>
      <c r="DI297" s="63"/>
      <c r="DJ297" s="63"/>
      <c r="DK297" s="63"/>
      <c r="DL297" s="63"/>
      <c r="DM297" s="63"/>
      <c r="DN297" s="63"/>
      <c r="DO297" s="63"/>
      <c r="DP297" s="63"/>
      <c r="DQ297" s="63"/>
      <c r="DR297" s="64">
        <f>SUM(DI297:DL297,DN297:DQ297)</f>
        <v>0</v>
      </c>
      <c r="DS297" s="62"/>
      <c r="DT297" s="63"/>
      <c r="DU297" s="63"/>
      <c r="DV297" s="63"/>
      <c r="DW297" s="63"/>
      <c r="DX297" s="63"/>
      <c r="DY297" s="63"/>
      <c r="DZ297" s="63"/>
      <c r="EA297" s="63"/>
      <c r="EB297" s="63"/>
      <c r="EC297" s="63"/>
      <c r="ED297" s="65">
        <f t="shared" ref="ED297:EM297" si="1957">SUM(CW297,DS297,DH297)</f>
        <v>0</v>
      </c>
      <c r="EE297" s="65">
        <f t="shared" si="1957"/>
        <v>0</v>
      </c>
      <c r="EF297" s="65">
        <f t="shared" si="1957"/>
        <v>0</v>
      </c>
      <c r="EG297" s="65">
        <f t="shared" si="1957"/>
        <v>0</v>
      </c>
      <c r="EH297" s="65">
        <f t="shared" si="1957"/>
        <v>0</v>
      </c>
      <c r="EI297" s="65">
        <f t="shared" si="1957"/>
        <v>0</v>
      </c>
      <c r="EJ297" s="65">
        <f t="shared" si="1957"/>
        <v>0</v>
      </c>
      <c r="EK297" s="65">
        <f t="shared" si="1957"/>
        <v>0</v>
      </c>
      <c r="EL297" s="65">
        <f t="shared" si="1957"/>
        <v>0</v>
      </c>
      <c r="EM297" s="65">
        <f t="shared" si="1957"/>
        <v>0</v>
      </c>
      <c r="EN297" s="64">
        <f>SUM(EE297:EH297,EJ297:EM297)</f>
        <v>0</v>
      </c>
      <c r="EO297" s="62"/>
      <c r="EP297" s="63"/>
      <c r="EQ297" s="63"/>
      <c r="ER297" s="63"/>
      <c r="ES297" s="63"/>
      <c r="ET297" s="63"/>
      <c r="EU297" s="63"/>
      <c r="EV297" s="63"/>
      <c r="EW297" s="63"/>
      <c r="EX297" s="63"/>
      <c r="EY297" s="64">
        <f>SUM(EP297:ES297,EU297:EX297)</f>
        <v>0</v>
      </c>
      <c r="EZ297" s="62"/>
      <c r="FA297" s="63"/>
      <c r="FB297" s="63"/>
      <c r="FC297" s="63"/>
      <c r="FD297" s="63"/>
      <c r="FE297" s="63"/>
      <c r="FF297" s="63"/>
      <c r="FG297" s="63"/>
      <c r="FH297" s="63"/>
      <c r="FI297" s="63"/>
      <c r="FJ297" s="64">
        <f>SUM(FA297:FD297,FF297:FI297)</f>
        <v>0</v>
      </c>
      <c r="FK297" s="62"/>
      <c r="FL297" s="63"/>
      <c r="FM297" s="63"/>
      <c r="FN297" s="63"/>
      <c r="FO297" s="63"/>
      <c r="FP297" s="63"/>
      <c r="FQ297" s="63"/>
      <c r="FR297" s="63"/>
      <c r="FS297" s="63"/>
      <c r="FT297" s="63"/>
      <c r="FU297" s="64">
        <f>SUM(FL297:FO297,FQ297:FT297)</f>
        <v>0</v>
      </c>
      <c r="FV297" s="65">
        <f t="shared" ref="FV297:GE297" si="1958">SUM(EO297,FK297,EZ297)</f>
        <v>0</v>
      </c>
      <c r="FW297" s="65">
        <f t="shared" si="1958"/>
        <v>0</v>
      </c>
      <c r="FX297" s="65">
        <f t="shared" si="1958"/>
        <v>0</v>
      </c>
      <c r="FY297" s="65">
        <f t="shared" si="1958"/>
        <v>0</v>
      </c>
      <c r="FZ297" s="65">
        <f t="shared" si="1958"/>
        <v>0</v>
      </c>
      <c r="GA297" s="65">
        <f t="shared" si="1958"/>
        <v>0</v>
      </c>
      <c r="GB297" s="65">
        <f t="shared" si="1958"/>
        <v>0</v>
      </c>
      <c r="GC297" s="65">
        <f t="shared" si="1958"/>
        <v>0</v>
      </c>
      <c r="GD297" s="65">
        <f t="shared" si="1958"/>
        <v>0</v>
      </c>
      <c r="GE297" s="65">
        <f t="shared" si="1958"/>
        <v>0</v>
      </c>
      <c r="GF297" s="64">
        <f>SUM(FW297:FZ297,GB297:GE297)</f>
        <v>0</v>
      </c>
      <c r="GG297" s="66">
        <f t="shared" ref="GG297:GP297" si="1959">SUM(AT297,CL297,ED297,FV297)</f>
        <v>0</v>
      </c>
      <c r="GH297" s="66">
        <f t="shared" si="1959"/>
        <v>0</v>
      </c>
      <c r="GI297" s="66">
        <f t="shared" si="1959"/>
        <v>0</v>
      </c>
      <c r="GJ297" s="66">
        <f t="shared" si="1959"/>
        <v>0</v>
      </c>
      <c r="GK297" s="66">
        <f t="shared" si="1959"/>
        <v>0</v>
      </c>
      <c r="GL297" s="66">
        <f t="shared" si="1959"/>
        <v>0</v>
      </c>
      <c r="GM297" s="66">
        <f t="shared" si="1959"/>
        <v>0</v>
      </c>
      <c r="GN297" s="66">
        <f t="shared" si="1959"/>
        <v>0</v>
      </c>
      <c r="GO297" s="66">
        <f t="shared" si="1959"/>
        <v>0</v>
      </c>
      <c r="GP297" s="66">
        <f t="shared" si="1959"/>
        <v>0</v>
      </c>
      <c r="GQ297" s="64">
        <f>SUM(GH297:GK297,GM297:GP297)</f>
        <v>0</v>
      </c>
      <c r="GR297" s="63"/>
      <c r="GS297" s="63"/>
      <c r="GT297" s="63"/>
      <c r="GU297" s="63"/>
      <c r="GV297" s="67">
        <f>SUM(GR297:GU297)</f>
        <v>0</v>
      </c>
      <c r="GW297" s="63"/>
      <c r="GX297" s="63"/>
      <c r="GY297" s="63"/>
      <c r="GZ297" s="63"/>
      <c r="HA297" s="67">
        <f>SUM(GW297:GZ297)</f>
        <v>0</v>
      </c>
      <c r="HB297" s="63"/>
      <c r="HC297" s="63"/>
      <c r="HD297" s="63"/>
      <c r="HE297" s="63"/>
      <c r="HF297" s="67">
        <f>SUM(HB297:HE297)</f>
        <v>0</v>
      </c>
      <c r="HG297" s="63"/>
      <c r="HH297" s="63"/>
      <c r="HI297" s="63"/>
      <c r="HJ297" s="63"/>
      <c r="HK297" s="67">
        <f>SUM(HG297:HJ297)</f>
        <v>0</v>
      </c>
      <c r="HL297" s="68">
        <f>SUM(GW297,HB297,HG297)</f>
        <v>0</v>
      </c>
      <c r="HM297" s="68">
        <f>SUM(GX297,HC297,HH297)</f>
        <v>0</v>
      </c>
      <c r="HN297" s="68">
        <f>SUM(GY297,HD297,HI297)</f>
        <v>0</v>
      </c>
      <c r="HO297" s="68">
        <f>SUM(GZ297,HE297,HJ297)</f>
        <v>0</v>
      </c>
      <c r="HP297" s="67">
        <f>SUM(HL297:HO297)</f>
        <v>0</v>
      </c>
      <c r="HQ297" s="63"/>
      <c r="HR297" s="63"/>
      <c r="HS297" s="63"/>
      <c r="HT297" s="63"/>
      <c r="HU297" s="67">
        <f>SUM(HQ297:HT297)</f>
        <v>0</v>
      </c>
      <c r="HV297" s="63"/>
      <c r="HW297" s="63"/>
      <c r="HX297" s="63"/>
      <c r="HY297" s="63"/>
      <c r="HZ297" s="67">
        <f>SUM(HV297:HY297)</f>
        <v>0</v>
      </c>
      <c r="IA297" s="63"/>
      <c r="IB297" s="63"/>
      <c r="IC297" s="63"/>
      <c r="ID297" s="63"/>
      <c r="IE297" s="67">
        <f>SUM(IA297:ID297)</f>
        <v>0</v>
      </c>
      <c r="IF297" s="68">
        <f>SUM(HQ297,HV297,IA297)</f>
        <v>0</v>
      </c>
      <c r="IG297" s="68">
        <f>SUM(HR297,HW297,IB297)</f>
        <v>0</v>
      </c>
      <c r="IH297" s="68">
        <f>SUM(HS297,HX297,IC297)</f>
        <v>0</v>
      </c>
      <c r="II297" s="68">
        <f>SUM(HT297,HY297,ID297)</f>
        <v>0</v>
      </c>
      <c r="IJ297" s="67">
        <f>SUM(IF297:II297)</f>
        <v>0</v>
      </c>
      <c r="IK297" s="63"/>
      <c r="IL297" s="63"/>
      <c r="IM297" s="63"/>
      <c r="IN297" s="63"/>
      <c r="IO297" s="67">
        <f>SUM(IK297:IN297)</f>
        <v>0</v>
      </c>
      <c r="IP297" s="63"/>
      <c r="IQ297" s="63"/>
      <c r="IR297" s="63"/>
      <c r="IS297" s="63"/>
      <c r="IT297" s="67">
        <f>SUM(IP297:IS297)</f>
        <v>0</v>
      </c>
      <c r="IU297" s="63"/>
      <c r="IV297" s="63"/>
    </row>
    <row r="298" spans="1:256" s="78" customFormat="1" ht="25.5" x14ac:dyDescent="0.25">
      <c r="A298" s="93" t="s">
        <v>233</v>
      </c>
      <c r="B298" s="80"/>
      <c r="C298" s="81">
        <f t="shared" ref="C298:L298" si="1960">SUM(C299:C301)</f>
        <v>2100</v>
      </c>
      <c r="D298" s="81">
        <f t="shared" si="1960"/>
        <v>600</v>
      </c>
      <c r="E298" s="81">
        <f t="shared" si="1960"/>
        <v>240</v>
      </c>
      <c r="F298" s="81">
        <f t="shared" si="1960"/>
        <v>240</v>
      </c>
      <c r="G298" s="81">
        <f t="shared" si="1960"/>
        <v>30</v>
      </c>
      <c r="H298" s="81">
        <f t="shared" si="1960"/>
        <v>120</v>
      </c>
      <c r="I298" s="81">
        <f t="shared" si="1960"/>
        <v>0</v>
      </c>
      <c r="J298" s="81">
        <f t="shared" si="1960"/>
        <v>600</v>
      </c>
      <c r="K298" s="81">
        <f t="shared" si="1960"/>
        <v>600</v>
      </c>
      <c r="L298" s="82">
        <f t="shared" si="1960"/>
        <v>4500</v>
      </c>
      <c r="M298" s="80"/>
      <c r="N298" s="81">
        <f t="shared" ref="N298:V298" si="1961">SUM(N299:N301)</f>
        <v>0</v>
      </c>
      <c r="O298" s="81">
        <f t="shared" si="1961"/>
        <v>0</v>
      </c>
      <c r="P298" s="81">
        <f t="shared" si="1961"/>
        <v>0</v>
      </c>
      <c r="Q298" s="81">
        <f t="shared" si="1961"/>
        <v>0</v>
      </c>
      <c r="R298" s="81">
        <f t="shared" si="1961"/>
        <v>0</v>
      </c>
      <c r="S298" s="81">
        <f t="shared" si="1961"/>
        <v>0</v>
      </c>
      <c r="T298" s="81">
        <f t="shared" si="1961"/>
        <v>0</v>
      </c>
      <c r="U298" s="81">
        <f t="shared" si="1961"/>
        <v>0</v>
      </c>
      <c r="V298" s="81">
        <f t="shared" si="1961"/>
        <v>0</v>
      </c>
      <c r="W298" s="82">
        <f>SUM(W299:W301)</f>
        <v>0</v>
      </c>
      <c r="X298" s="80"/>
      <c r="Y298" s="81">
        <f t="shared" ref="Y298:AG298" si="1962">SUM(Y299:Y301)</f>
        <v>0</v>
      </c>
      <c r="Z298" s="81">
        <f t="shared" si="1962"/>
        <v>0</v>
      </c>
      <c r="AA298" s="81">
        <f t="shared" si="1962"/>
        <v>0</v>
      </c>
      <c r="AB298" s="81">
        <f t="shared" si="1962"/>
        <v>0</v>
      </c>
      <c r="AC298" s="81">
        <f t="shared" si="1962"/>
        <v>0</v>
      </c>
      <c r="AD298" s="81">
        <f t="shared" si="1962"/>
        <v>0</v>
      </c>
      <c r="AE298" s="81">
        <f t="shared" si="1962"/>
        <v>0</v>
      </c>
      <c r="AF298" s="81">
        <f t="shared" si="1962"/>
        <v>0</v>
      </c>
      <c r="AG298" s="81">
        <f t="shared" si="1962"/>
        <v>0</v>
      </c>
      <c r="AH298" s="82">
        <f>SUM(AH299:AH301)</f>
        <v>0</v>
      </c>
      <c r="AI298" s="80"/>
      <c r="AJ298" s="81">
        <f t="shared" ref="AJ298:AR298" si="1963">SUM(AJ299:AJ301)</f>
        <v>0</v>
      </c>
      <c r="AK298" s="81">
        <f t="shared" si="1963"/>
        <v>0</v>
      </c>
      <c r="AL298" s="81">
        <f t="shared" si="1963"/>
        <v>0</v>
      </c>
      <c r="AM298" s="81">
        <f t="shared" si="1963"/>
        <v>0</v>
      </c>
      <c r="AN298" s="81">
        <f t="shared" si="1963"/>
        <v>0</v>
      </c>
      <c r="AO298" s="81">
        <f t="shared" si="1963"/>
        <v>0</v>
      </c>
      <c r="AP298" s="81">
        <f t="shared" si="1963"/>
        <v>0</v>
      </c>
      <c r="AQ298" s="81">
        <f t="shared" si="1963"/>
        <v>0</v>
      </c>
      <c r="AR298" s="81">
        <f t="shared" si="1963"/>
        <v>0</v>
      </c>
      <c r="AS298" s="82">
        <f>SUM(AS299:AS301)</f>
        <v>0</v>
      </c>
      <c r="AT298" s="80"/>
      <c r="AU298" s="81">
        <f t="shared" ref="AU298:BD298" si="1964">SUM(AU299:AU301)</f>
        <v>0</v>
      </c>
      <c r="AV298" s="81">
        <f t="shared" si="1964"/>
        <v>0</v>
      </c>
      <c r="AW298" s="81">
        <f t="shared" si="1964"/>
        <v>0</v>
      </c>
      <c r="AX298" s="81">
        <f t="shared" si="1964"/>
        <v>0</v>
      </c>
      <c r="AY298" s="81">
        <f t="shared" si="1964"/>
        <v>0</v>
      </c>
      <c r="AZ298" s="81">
        <f t="shared" si="1964"/>
        <v>0</v>
      </c>
      <c r="BA298" s="81">
        <f t="shared" si="1964"/>
        <v>0</v>
      </c>
      <c r="BB298" s="81">
        <f t="shared" si="1964"/>
        <v>0</v>
      </c>
      <c r="BC298" s="81">
        <f t="shared" si="1964"/>
        <v>0</v>
      </c>
      <c r="BD298" s="82">
        <f t="shared" si="1964"/>
        <v>0</v>
      </c>
      <c r="BE298" s="80"/>
      <c r="BF298" s="81">
        <f t="shared" ref="BF298:BN298" si="1965">SUM(BF299:BF301)</f>
        <v>0</v>
      </c>
      <c r="BG298" s="81">
        <f t="shared" si="1965"/>
        <v>0</v>
      </c>
      <c r="BH298" s="81">
        <f t="shared" si="1965"/>
        <v>0</v>
      </c>
      <c r="BI298" s="81">
        <f t="shared" si="1965"/>
        <v>0</v>
      </c>
      <c r="BJ298" s="81">
        <f t="shared" si="1965"/>
        <v>0</v>
      </c>
      <c r="BK298" s="81">
        <f t="shared" si="1965"/>
        <v>0</v>
      </c>
      <c r="BL298" s="81">
        <f t="shared" si="1965"/>
        <v>0</v>
      </c>
      <c r="BM298" s="81">
        <f t="shared" si="1965"/>
        <v>0</v>
      </c>
      <c r="BN298" s="81">
        <f t="shared" si="1965"/>
        <v>0</v>
      </c>
      <c r="BO298" s="82">
        <f>SUM(BO299:BO301)</f>
        <v>0</v>
      </c>
      <c r="BP298" s="80"/>
      <c r="BQ298" s="81">
        <f t="shared" ref="BQ298:BY298" si="1966">SUM(BQ299:BQ301)</f>
        <v>0</v>
      </c>
      <c r="BR298" s="81">
        <f t="shared" si="1966"/>
        <v>0</v>
      </c>
      <c r="BS298" s="81">
        <f t="shared" si="1966"/>
        <v>0</v>
      </c>
      <c r="BT298" s="81">
        <f t="shared" si="1966"/>
        <v>0</v>
      </c>
      <c r="BU298" s="81">
        <f t="shared" si="1966"/>
        <v>0</v>
      </c>
      <c r="BV298" s="81">
        <f t="shared" si="1966"/>
        <v>0</v>
      </c>
      <c r="BW298" s="81">
        <f t="shared" si="1966"/>
        <v>0</v>
      </c>
      <c r="BX298" s="81">
        <f t="shared" si="1966"/>
        <v>0</v>
      </c>
      <c r="BY298" s="81">
        <f t="shared" si="1966"/>
        <v>0</v>
      </c>
      <c r="BZ298" s="82">
        <f>SUM(BZ299:BZ301)</f>
        <v>0</v>
      </c>
      <c r="CA298" s="80"/>
      <c r="CB298" s="81">
        <f t="shared" ref="CB298:CJ298" si="1967">SUM(CB299:CB301)</f>
        <v>0</v>
      </c>
      <c r="CC298" s="81">
        <f t="shared" si="1967"/>
        <v>0</v>
      </c>
      <c r="CD298" s="81">
        <f t="shared" si="1967"/>
        <v>0</v>
      </c>
      <c r="CE298" s="81">
        <f t="shared" si="1967"/>
        <v>0</v>
      </c>
      <c r="CF298" s="81">
        <f t="shared" si="1967"/>
        <v>0</v>
      </c>
      <c r="CG298" s="81">
        <f t="shared" si="1967"/>
        <v>0</v>
      </c>
      <c r="CH298" s="81">
        <f t="shared" si="1967"/>
        <v>0</v>
      </c>
      <c r="CI298" s="81">
        <f t="shared" si="1967"/>
        <v>0</v>
      </c>
      <c r="CJ298" s="81">
        <f t="shared" si="1967"/>
        <v>0</v>
      </c>
      <c r="CK298" s="82">
        <f>SUM(CK299:CK301)</f>
        <v>0</v>
      </c>
      <c r="CL298" s="80"/>
      <c r="CM298" s="81">
        <f t="shared" ref="CM298:CV298" si="1968">SUM(CM299:CM301)</f>
        <v>0</v>
      </c>
      <c r="CN298" s="81">
        <f t="shared" si="1968"/>
        <v>0</v>
      </c>
      <c r="CO298" s="81">
        <f t="shared" si="1968"/>
        <v>0</v>
      </c>
      <c r="CP298" s="81">
        <f t="shared" si="1968"/>
        <v>0</v>
      </c>
      <c r="CQ298" s="81">
        <f t="shared" si="1968"/>
        <v>0</v>
      </c>
      <c r="CR298" s="81">
        <f t="shared" si="1968"/>
        <v>0</v>
      </c>
      <c r="CS298" s="81">
        <f t="shared" si="1968"/>
        <v>0</v>
      </c>
      <c r="CT298" s="81">
        <f t="shared" si="1968"/>
        <v>0</v>
      </c>
      <c r="CU298" s="81">
        <f t="shared" si="1968"/>
        <v>0</v>
      </c>
      <c r="CV298" s="82">
        <f t="shared" si="1968"/>
        <v>0</v>
      </c>
      <c r="CW298" s="80"/>
      <c r="CX298" s="81">
        <f t="shared" ref="CX298:DF298" si="1969">SUM(CX299:CX301)</f>
        <v>0</v>
      </c>
      <c r="CY298" s="81">
        <f t="shared" si="1969"/>
        <v>0</v>
      </c>
      <c r="CZ298" s="81">
        <f t="shared" si="1969"/>
        <v>0</v>
      </c>
      <c r="DA298" s="81">
        <f t="shared" si="1969"/>
        <v>0</v>
      </c>
      <c r="DB298" s="81">
        <f t="shared" si="1969"/>
        <v>0</v>
      </c>
      <c r="DC298" s="81">
        <f t="shared" si="1969"/>
        <v>0</v>
      </c>
      <c r="DD298" s="81">
        <f t="shared" si="1969"/>
        <v>0</v>
      </c>
      <c r="DE298" s="81">
        <f t="shared" si="1969"/>
        <v>0</v>
      </c>
      <c r="DF298" s="81">
        <f t="shared" si="1969"/>
        <v>0</v>
      </c>
      <c r="DG298" s="82">
        <f>SUM(DG299:DG301)</f>
        <v>0</v>
      </c>
      <c r="DH298" s="80"/>
      <c r="DI298" s="81">
        <f t="shared" ref="DI298:DQ298" si="1970">SUM(DI299:DI301)</f>
        <v>0</v>
      </c>
      <c r="DJ298" s="81">
        <f t="shared" si="1970"/>
        <v>0</v>
      </c>
      <c r="DK298" s="81">
        <f t="shared" si="1970"/>
        <v>0</v>
      </c>
      <c r="DL298" s="81">
        <f t="shared" si="1970"/>
        <v>0</v>
      </c>
      <c r="DM298" s="81">
        <f t="shared" si="1970"/>
        <v>0</v>
      </c>
      <c r="DN298" s="81">
        <f t="shared" si="1970"/>
        <v>0</v>
      </c>
      <c r="DO298" s="81">
        <f t="shared" si="1970"/>
        <v>0</v>
      </c>
      <c r="DP298" s="81">
        <f t="shared" si="1970"/>
        <v>0</v>
      </c>
      <c r="DQ298" s="81">
        <f t="shared" si="1970"/>
        <v>0</v>
      </c>
      <c r="DR298" s="82">
        <f>SUM(DR299:DR301)</f>
        <v>0</v>
      </c>
      <c r="DS298" s="80"/>
      <c r="DT298" s="81">
        <f t="shared" ref="DT298:EB298" si="1971">SUM(DT299:DT301)</f>
        <v>0</v>
      </c>
      <c r="DU298" s="81">
        <f t="shared" si="1971"/>
        <v>0</v>
      </c>
      <c r="DV298" s="81">
        <f t="shared" si="1971"/>
        <v>0</v>
      </c>
      <c r="DW298" s="81">
        <f t="shared" si="1971"/>
        <v>0</v>
      </c>
      <c r="DX298" s="81">
        <f t="shared" si="1971"/>
        <v>0</v>
      </c>
      <c r="DY298" s="81">
        <f t="shared" si="1971"/>
        <v>0</v>
      </c>
      <c r="DZ298" s="81">
        <f t="shared" si="1971"/>
        <v>0</v>
      </c>
      <c r="EA298" s="81">
        <f t="shared" si="1971"/>
        <v>0</v>
      </c>
      <c r="EB298" s="81">
        <f t="shared" si="1971"/>
        <v>0</v>
      </c>
      <c r="EC298" s="81">
        <f>SUM(EC299:EC301)</f>
        <v>0</v>
      </c>
      <c r="ED298" s="80"/>
      <c r="EE298" s="81">
        <f t="shared" ref="EE298:EN298" si="1972">SUM(EE299:EE301)</f>
        <v>0</v>
      </c>
      <c r="EF298" s="81">
        <f t="shared" si="1972"/>
        <v>0</v>
      </c>
      <c r="EG298" s="81">
        <f t="shared" si="1972"/>
        <v>0</v>
      </c>
      <c r="EH298" s="81">
        <f t="shared" si="1972"/>
        <v>0</v>
      </c>
      <c r="EI298" s="81">
        <f t="shared" si="1972"/>
        <v>0</v>
      </c>
      <c r="EJ298" s="81">
        <f t="shared" si="1972"/>
        <v>0</v>
      </c>
      <c r="EK298" s="81">
        <f t="shared" si="1972"/>
        <v>0</v>
      </c>
      <c r="EL298" s="81">
        <f t="shared" si="1972"/>
        <v>0</v>
      </c>
      <c r="EM298" s="81">
        <f t="shared" si="1972"/>
        <v>0</v>
      </c>
      <c r="EN298" s="82">
        <f t="shared" si="1972"/>
        <v>0</v>
      </c>
      <c r="EO298" s="80"/>
      <c r="EP298" s="81">
        <f t="shared" ref="EP298:EX298" si="1973">SUM(EP299:EP301)</f>
        <v>0</v>
      </c>
      <c r="EQ298" s="81">
        <f t="shared" si="1973"/>
        <v>0</v>
      </c>
      <c r="ER298" s="81">
        <f t="shared" si="1973"/>
        <v>0</v>
      </c>
      <c r="ES298" s="81">
        <f t="shared" si="1973"/>
        <v>0</v>
      </c>
      <c r="ET298" s="81">
        <f t="shared" si="1973"/>
        <v>0</v>
      </c>
      <c r="EU298" s="81">
        <f t="shared" si="1973"/>
        <v>0</v>
      </c>
      <c r="EV298" s="81">
        <f t="shared" si="1973"/>
        <v>0</v>
      </c>
      <c r="EW298" s="81">
        <f t="shared" si="1973"/>
        <v>0</v>
      </c>
      <c r="EX298" s="81">
        <f t="shared" si="1973"/>
        <v>0</v>
      </c>
      <c r="EY298" s="82">
        <f>SUM(EY299:EY301)</f>
        <v>0</v>
      </c>
      <c r="EZ298" s="80"/>
      <c r="FA298" s="81">
        <f t="shared" ref="FA298:FI298" si="1974">SUM(FA299:FA301)</f>
        <v>0</v>
      </c>
      <c r="FB298" s="81">
        <f t="shared" si="1974"/>
        <v>0</v>
      </c>
      <c r="FC298" s="81">
        <f t="shared" si="1974"/>
        <v>0</v>
      </c>
      <c r="FD298" s="81">
        <f t="shared" si="1974"/>
        <v>0</v>
      </c>
      <c r="FE298" s="81">
        <f t="shared" si="1974"/>
        <v>0</v>
      </c>
      <c r="FF298" s="81">
        <f t="shared" si="1974"/>
        <v>0</v>
      </c>
      <c r="FG298" s="81">
        <f t="shared" si="1974"/>
        <v>0</v>
      </c>
      <c r="FH298" s="81">
        <f t="shared" si="1974"/>
        <v>0</v>
      </c>
      <c r="FI298" s="81">
        <f t="shared" si="1974"/>
        <v>0</v>
      </c>
      <c r="FJ298" s="82">
        <f>SUM(FJ299:FJ301)</f>
        <v>0</v>
      </c>
      <c r="FK298" s="80"/>
      <c r="FL298" s="81">
        <f t="shared" ref="FL298:FT298" si="1975">SUM(FL299:FL301)</f>
        <v>0</v>
      </c>
      <c r="FM298" s="81">
        <f t="shared" si="1975"/>
        <v>0</v>
      </c>
      <c r="FN298" s="81">
        <f t="shared" si="1975"/>
        <v>0</v>
      </c>
      <c r="FO298" s="81">
        <f t="shared" si="1975"/>
        <v>0</v>
      </c>
      <c r="FP298" s="81">
        <f t="shared" si="1975"/>
        <v>0</v>
      </c>
      <c r="FQ298" s="81">
        <f t="shared" si="1975"/>
        <v>0</v>
      </c>
      <c r="FR298" s="81">
        <f t="shared" si="1975"/>
        <v>0</v>
      </c>
      <c r="FS298" s="81">
        <f t="shared" si="1975"/>
        <v>0</v>
      </c>
      <c r="FT298" s="81">
        <f t="shared" si="1975"/>
        <v>0</v>
      </c>
      <c r="FU298" s="82">
        <f>SUM(FU299:FU301)</f>
        <v>0</v>
      </c>
      <c r="FV298" s="80"/>
      <c r="FW298" s="81">
        <f t="shared" ref="FW298:GF298" si="1976">SUM(FW299:FW301)</f>
        <v>0</v>
      </c>
      <c r="FX298" s="81">
        <f t="shared" si="1976"/>
        <v>0</v>
      </c>
      <c r="FY298" s="81">
        <f t="shared" si="1976"/>
        <v>0</v>
      </c>
      <c r="FZ298" s="81">
        <f t="shared" si="1976"/>
        <v>0</v>
      </c>
      <c r="GA298" s="81">
        <f t="shared" si="1976"/>
        <v>0</v>
      </c>
      <c r="GB298" s="81">
        <f t="shared" si="1976"/>
        <v>0</v>
      </c>
      <c r="GC298" s="81">
        <f t="shared" si="1976"/>
        <v>0</v>
      </c>
      <c r="GD298" s="81">
        <f t="shared" si="1976"/>
        <v>0</v>
      </c>
      <c r="GE298" s="81">
        <f t="shared" si="1976"/>
        <v>0</v>
      </c>
      <c r="GF298" s="82">
        <f t="shared" si="1976"/>
        <v>0</v>
      </c>
      <c r="GG298" s="80"/>
      <c r="GH298" s="81">
        <f t="shared" ref="GH298:HK298" si="1977">SUM(GH299:GH301)</f>
        <v>0</v>
      </c>
      <c r="GI298" s="81">
        <f t="shared" si="1977"/>
        <v>0</v>
      </c>
      <c r="GJ298" s="81">
        <f t="shared" si="1977"/>
        <v>0</v>
      </c>
      <c r="GK298" s="81">
        <f t="shared" si="1977"/>
        <v>0</v>
      </c>
      <c r="GL298" s="81">
        <f t="shared" si="1977"/>
        <v>0</v>
      </c>
      <c r="GM298" s="81">
        <f t="shared" si="1977"/>
        <v>0</v>
      </c>
      <c r="GN298" s="81">
        <f t="shared" si="1977"/>
        <v>0</v>
      </c>
      <c r="GO298" s="81">
        <f t="shared" si="1977"/>
        <v>0</v>
      </c>
      <c r="GP298" s="81">
        <f t="shared" si="1977"/>
        <v>0</v>
      </c>
      <c r="GQ298" s="82">
        <f t="shared" si="1977"/>
        <v>0</v>
      </c>
      <c r="GR298" s="81">
        <f t="shared" si="1977"/>
        <v>0</v>
      </c>
      <c r="GS298" s="81">
        <f t="shared" si="1977"/>
        <v>0</v>
      </c>
      <c r="GT298" s="81">
        <f t="shared" si="1977"/>
        <v>0</v>
      </c>
      <c r="GU298" s="81">
        <f t="shared" si="1977"/>
        <v>0</v>
      </c>
      <c r="GV298" s="81">
        <f t="shared" si="1977"/>
        <v>0</v>
      </c>
      <c r="GW298" s="81">
        <f t="shared" si="1977"/>
        <v>0</v>
      </c>
      <c r="GX298" s="81">
        <f t="shared" si="1977"/>
        <v>0</v>
      </c>
      <c r="GY298" s="81">
        <f t="shared" si="1977"/>
        <v>0</v>
      </c>
      <c r="GZ298" s="81">
        <f t="shared" si="1977"/>
        <v>0</v>
      </c>
      <c r="HA298" s="81">
        <f t="shared" si="1977"/>
        <v>0</v>
      </c>
      <c r="HB298" s="81">
        <f>SUM(HB299:HB301)</f>
        <v>0</v>
      </c>
      <c r="HC298" s="81">
        <f>SUM(HC299:HC301)</f>
        <v>0</v>
      </c>
      <c r="HD298" s="81">
        <f>SUM(HD299:HD301)</f>
        <v>0</v>
      </c>
      <c r="HE298" s="81">
        <f>SUM(HE299:HE301)</f>
        <v>0</v>
      </c>
      <c r="HF298" s="81">
        <f t="shared" si="1977"/>
        <v>0</v>
      </c>
      <c r="HG298" s="81">
        <f t="shared" si="1977"/>
        <v>0</v>
      </c>
      <c r="HH298" s="81">
        <f t="shared" si="1977"/>
        <v>0</v>
      </c>
      <c r="HI298" s="81">
        <f t="shared" si="1977"/>
        <v>0</v>
      </c>
      <c r="HJ298" s="81">
        <f t="shared" si="1977"/>
        <v>0</v>
      </c>
      <c r="HK298" s="81">
        <f t="shared" si="1977"/>
        <v>0</v>
      </c>
      <c r="HL298" s="81">
        <f t="shared" ref="HL298:HT298" si="1978">SUM(HL299:HL301)</f>
        <v>0</v>
      </c>
      <c r="HM298" s="81">
        <f t="shared" si="1978"/>
        <v>0</v>
      </c>
      <c r="HN298" s="81">
        <f t="shared" si="1978"/>
        <v>0</v>
      </c>
      <c r="HO298" s="81">
        <f t="shared" si="1978"/>
        <v>0</v>
      </c>
      <c r="HP298" s="81">
        <f t="shared" si="1978"/>
        <v>0</v>
      </c>
      <c r="HQ298" s="81">
        <f t="shared" si="1978"/>
        <v>0</v>
      </c>
      <c r="HR298" s="81">
        <f t="shared" si="1978"/>
        <v>0</v>
      </c>
      <c r="HS298" s="81">
        <f t="shared" si="1978"/>
        <v>0</v>
      </c>
      <c r="HT298" s="81">
        <f t="shared" si="1978"/>
        <v>0</v>
      </c>
      <c r="HU298" s="81">
        <f t="shared" ref="HU298:IV298" si="1979">SUM(HU299:HU301)</f>
        <v>0</v>
      </c>
      <c r="HV298" s="81">
        <f t="shared" si="1979"/>
        <v>0</v>
      </c>
      <c r="HW298" s="81">
        <f t="shared" si="1979"/>
        <v>0</v>
      </c>
      <c r="HX298" s="81">
        <f t="shared" si="1979"/>
        <v>0</v>
      </c>
      <c r="HY298" s="81">
        <f t="shared" si="1979"/>
        <v>0</v>
      </c>
      <c r="HZ298" s="81">
        <f t="shared" si="1979"/>
        <v>0</v>
      </c>
      <c r="IA298" s="81">
        <f>SUM(IA299:IA301)</f>
        <v>0</v>
      </c>
      <c r="IB298" s="81">
        <f>SUM(IB299:IB301)</f>
        <v>0</v>
      </c>
      <c r="IC298" s="81">
        <f>SUM(IC299:IC301)</f>
        <v>0</v>
      </c>
      <c r="ID298" s="81">
        <f>SUM(ID299:ID301)</f>
        <v>0</v>
      </c>
      <c r="IE298" s="81">
        <f t="shared" si="1979"/>
        <v>0</v>
      </c>
      <c r="IF298" s="81">
        <f t="shared" si="1979"/>
        <v>0</v>
      </c>
      <c r="IG298" s="81">
        <f t="shared" si="1979"/>
        <v>0</v>
      </c>
      <c r="IH298" s="81">
        <f t="shared" si="1979"/>
        <v>0</v>
      </c>
      <c r="II298" s="81">
        <f t="shared" si="1979"/>
        <v>0</v>
      </c>
      <c r="IJ298" s="81">
        <f t="shared" si="1979"/>
        <v>0</v>
      </c>
      <c r="IK298" s="81">
        <f t="shared" si="1979"/>
        <v>0</v>
      </c>
      <c r="IL298" s="81">
        <f t="shared" si="1979"/>
        <v>0</v>
      </c>
      <c r="IM298" s="81">
        <f t="shared" si="1979"/>
        <v>0</v>
      </c>
      <c r="IN298" s="81">
        <f t="shared" si="1979"/>
        <v>0</v>
      </c>
      <c r="IO298" s="81">
        <f t="shared" si="1979"/>
        <v>0</v>
      </c>
      <c r="IP298" s="81">
        <f>SUM(IP299:IP301)</f>
        <v>0</v>
      </c>
      <c r="IQ298" s="81">
        <f>SUM(IQ299:IQ301)</f>
        <v>0</v>
      </c>
      <c r="IR298" s="81">
        <f>SUM(IR299:IR301)</f>
        <v>0</v>
      </c>
      <c r="IS298" s="81">
        <f>SUM(IS299:IS301)</f>
        <v>0</v>
      </c>
      <c r="IT298" s="81">
        <f t="shared" si="1979"/>
        <v>0</v>
      </c>
      <c r="IU298" s="81">
        <f t="shared" si="1979"/>
        <v>0</v>
      </c>
      <c r="IV298" s="81">
        <f t="shared" si="1979"/>
        <v>0</v>
      </c>
    </row>
    <row r="299" spans="1:256" x14ac:dyDescent="0.25">
      <c r="A299" s="83" t="s">
        <v>234</v>
      </c>
      <c r="B299" s="62"/>
      <c r="C299" s="63"/>
      <c r="D299" s="63"/>
      <c r="E299" s="63"/>
      <c r="F299" s="63"/>
      <c r="G299" s="63"/>
      <c r="H299" s="63"/>
      <c r="I299" s="63"/>
      <c r="J299" s="63"/>
      <c r="K299" s="63"/>
      <c r="L299" s="64">
        <f>SUM(C299:F299,H299:K299)</f>
        <v>0</v>
      </c>
      <c r="M299" s="62"/>
      <c r="N299" s="63"/>
      <c r="O299" s="63"/>
      <c r="P299" s="63"/>
      <c r="Q299" s="63"/>
      <c r="R299" s="63"/>
      <c r="S299" s="63"/>
      <c r="T299" s="63"/>
      <c r="U299" s="63"/>
      <c r="V299" s="63"/>
      <c r="W299" s="64">
        <f>SUM(N299:Q299,S299:V299)</f>
        <v>0</v>
      </c>
      <c r="X299" s="62"/>
      <c r="Y299" s="63"/>
      <c r="Z299" s="63"/>
      <c r="AA299" s="63"/>
      <c r="AB299" s="63"/>
      <c r="AC299" s="63"/>
      <c r="AD299" s="63"/>
      <c r="AE299" s="63"/>
      <c r="AF299" s="63"/>
      <c r="AG299" s="63"/>
      <c r="AH299" s="64">
        <f>SUM(Y299:AB299,AD299:AG299)</f>
        <v>0</v>
      </c>
      <c r="AI299" s="62"/>
      <c r="AJ299" s="63"/>
      <c r="AK299" s="63"/>
      <c r="AL299" s="63"/>
      <c r="AM299" s="63"/>
      <c r="AN299" s="63"/>
      <c r="AO299" s="63"/>
      <c r="AP299" s="63"/>
      <c r="AQ299" s="63"/>
      <c r="AR299" s="63"/>
      <c r="AS299" s="64">
        <f>SUM(AJ299:AM299,AO299:AR299)</f>
        <v>0</v>
      </c>
      <c r="AT299" s="65">
        <f t="shared" ref="AT299:BC301" si="1980">SUM(M299,AI299,X299)</f>
        <v>0</v>
      </c>
      <c r="AU299" s="65">
        <f t="shared" si="1980"/>
        <v>0</v>
      </c>
      <c r="AV299" s="65">
        <f t="shared" si="1980"/>
        <v>0</v>
      </c>
      <c r="AW299" s="65">
        <f t="shared" si="1980"/>
        <v>0</v>
      </c>
      <c r="AX299" s="65">
        <f t="shared" si="1980"/>
        <v>0</v>
      </c>
      <c r="AY299" s="65">
        <f t="shared" si="1980"/>
        <v>0</v>
      </c>
      <c r="AZ299" s="65">
        <f t="shared" si="1980"/>
        <v>0</v>
      </c>
      <c r="BA299" s="65">
        <f t="shared" si="1980"/>
        <v>0</v>
      </c>
      <c r="BB299" s="65">
        <f t="shared" si="1980"/>
        <v>0</v>
      </c>
      <c r="BC299" s="65">
        <f t="shared" si="1980"/>
        <v>0</v>
      </c>
      <c r="BD299" s="64">
        <f>SUM(AU299:AX299,AZ299:BC299)</f>
        <v>0</v>
      </c>
      <c r="BE299" s="62"/>
      <c r="BF299" s="63"/>
      <c r="BG299" s="63"/>
      <c r="BH299" s="63"/>
      <c r="BI299" s="63"/>
      <c r="BJ299" s="63"/>
      <c r="BK299" s="63"/>
      <c r="BL299" s="63"/>
      <c r="BM299" s="63"/>
      <c r="BN299" s="63"/>
      <c r="BO299" s="64">
        <f>SUM(BF299:BI299,BK299:BN299)</f>
        <v>0</v>
      </c>
      <c r="BP299" s="62"/>
      <c r="BQ299" s="63"/>
      <c r="BR299" s="63"/>
      <c r="BS299" s="63"/>
      <c r="BT299" s="63"/>
      <c r="BU299" s="63"/>
      <c r="BV299" s="63"/>
      <c r="BW299" s="63"/>
      <c r="BX299" s="63"/>
      <c r="BY299" s="63"/>
      <c r="BZ299" s="64">
        <f>SUM(BQ299:BT299,BV299:BY299)</f>
        <v>0</v>
      </c>
      <c r="CA299" s="62"/>
      <c r="CB299" s="63"/>
      <c r="CC299" s="63"/>
      <c r="CD299" s="63"/>
      <c r="CE299" s="63"/>
      <c r="CF299" s="63"/>
      <c r="CG299" s="63"/>
      <c r="CH299" s="63"/>
      <c r="CI299" s="63"/>
      <c r="CJ299" s="63"/>
      <c r="CK299" s="64">
        <f>SUM(CB299:CE299,CG299:CJ299)</f>
        <v>0</v>
      </c>
      <c r="CL299" s="65">
        <f t="shared" ref="CL299:CU301" si="1981">SUM(BE299,CA299,BP299)</f>
        <v>0</v>
      </c>
      <c r="CM299" s="65">
        <f t="shared" si="1981"/>
        <v>0</v>
      </c>
      <c r="CN299" s="65">
        <f t="shared" si="1981"/>
        <v>0</v>
      </c>
      <c r="CO299" s="65">
        <f t="shared" si="1981"/>
        <v>0</v>
      </c>
      <c r="CP299" s="65">
        <f t="shared" si="1981"/>
        <v>0</v>
      </c>
      <c r="CQ299" s="65">
        <f t="shared" si="1981"/>
        <v>0</v>
      </c>
      <c r="CR299" s="65">
        <f t="shared" si="1981"/>
        <v>0</v>
      </c>
      <c r="CS299" s="65">
        <f t="shared" si="1981"/>
        <v>0</v>
      </c>
      <c r="CT299" s="65">
        <f t="shared" si="1981"/>
        <v>0</v>
      </c>
      <c r="CU299" s="65">
        <f t="shared" si="1981"/>
        <v>0</v>
      </c>
      <c r="CV299" s="64">
        <f>SUM(CM299:CP299,CR299:CU299)</f>
        <v>0</v>
      </c>
      <c r="CW299" s="62"/>
      <c r="CX299" s="63"/>
      <c r="CY299" s="63"/>
      <c r="CZ299" s="63"/>
      <c r="DA299" s="63"/>
      <c r="DB299" s="63"/>
      <c r="DC299" s="63"/>
      <c r="DD299" s="63"/>
      <c r="DE299" s="63"/>
      <c r="DF299" s="63"/>
      <c r="DG299" s="64">
        <f>SUM(CX299:DA299,DC299:DF299)</f>
        <v>0</v>
      </c>
      <c r="DH299" s="62"/>
      <c r="DI299" s="63"/>
      <c r="DJ299" s="63"/>
      <c r="DK299" s="63"/>
      <c r="DL299" s="63"/>
      <c r="DM299" s="63"/>
      <c r="DN299" s="63"/>
      <c r="DO299" s="63"/>
      <c r="DP299" s="63"/>
      <c r="DQ299" s="63"/>
      <c r="DR299" s="64">
        <f>SUM(DI299:DL299,DN299:DQ299)</f>
        <v>0</v>
      </c>
      <c r="DS299" s="62"/>
      <c r="DT299" s="63"/>
      <c r="DU299" s="63"/>
      <c r="DV299" s="63"/>
      <c r="DW299" s="63"/>
      <c r="DX299" s="63"/>
      <c r="DY299" s="63"/>
      <c r="DZ299" s="63"/>
      <c r="EA299" s="63"/>
      <c r="EB299" s="63"/>
      <c r="EC299" s="63"/>
      <c r="ED299" s="65">
        <f t="shared" ref="ED299:EM301" si="1982">SUM(CW299,DS299,DH299)</f>
        <v>0</v>
      </c>
      <c r="EE299" s="65">
        <f t="shared" si="1982"/>
        <v>0</v>
      </c>
      <c r="EF299" s="65">
        <f t="shared" si="1982"/>
        <v>0</v>
      </c>
      <c r="EG299" s="65">
        <f t="shared" si="1982"/>
        <v>0</v>
      </c>
      <c r="EH299" s="65">
        <f t="shared" si="1982"/>
        <v>0</v>
      </c>
      <c r="EI299" s="65">
        <f t="shared" si="1982"/>
        <v>0</v>
      </c>
      <c r="EJ299" s="65">
        <f t="shared" si="1982"/>
        <v>0</v>
      </c>
      <c r="EK299" s="65">
        <f t="shared" si="1982"/>
        <v>0</v>
      </c>
      <c r="EL299" s="65">
        <f t="shared" si="1982"/>
        <v>0</v>
      </c>
      <c r="EM299" s="65">
        <f t="shared" si="1982"/>
        <v>0</v>
      </c>
      <c r="EN299" s="64">
        <f>SUM(EE299:EH299,EJ299:EM299)</f>
        <v>0</v>
      </c>
      <c r="EO299" s="62"/>
      <c r="EP299" s="63"/>
      <c r="EQ299" s="63"/>
      <c r="ER299" s="63"/>
      <c r="ES299" s="63"/>
      <c r="ET299" s="63"/>
      <c r="EU299" s="63"/>
      <c r="EV299" s="63"/>
      <c r="EW299" s="63"/>
      <c r="EX299" s="63"/>
      <c r="EY299" s="64">
        <f>SUM(EP299:ES299,EU299:EX299)</f>
        <v>0</v>
      </c>
      <c r="EZ299" s="62"/>
      <c r="FA299" s="63"/>
      <c r="FB299" s="63"/>
      <c r="FC299" s="63"/>
      <c r="FD299" s="63"/>
      <c r="FE299" s="63"/>
      <c r="FF299" s="63"/>
      <c r="FG299" s="63"/>
      <c r="FH299" s="63"/>
      <c r="FI299" s="63"/>
      <c r="FJ299" s="64">
        <f>SUM(FA299:FD299,FF299:FI299)</f>
        <v>0</v>
      </c>
      <c r="FK299" s="62"/>
      <c r="FL299" s="63"/>
      <c r="FM299" s="63"/>
      <c r="FN299" s="63"/>
      <c r="FO299" s="63"/>
      <c r="FP299" s="63"/>
      <c r="FQ299" s="63"/>
      <c r="FR299" s="63"/>
      <c r="FS299" s="63"/>
      <c r="FT299" s="63"/>
      <c r="FU299" s="64">
        <f>SUM(FL299:FO299,FQ299:FT299)</f>
        <v>0</v>
      </c>
      <c r="FV299" s="65">
        <f t="shared" ref="FV299:GE301" si="1983">SUM(EO299,FK299,EZ299)</f>
        <v>0</v>
      </c>
      <c r="FW299" s="65">
        <f t="shared" si="1983"/>
        <v>0</v>
      </c>
      <c r="FX299" s="65">
        <f t="shared" si="1983"/>
        <v>0</v>
      </c>
      <c r="FY299" s="65">
        <f t="shared" si="1983"/>
        <v>0</v>
      </c>
      <c r="FZ299" s="65">
        <f t="shared" si="1983"/>
        <v>0</v>
      </c>
      <c r="GA299" s="65">
        <f t="shared" si="1983"/>
        <v>0</v>
      </c>
      <c r="GB299" s="65">
        <f t="shared" si="1983"/>
        <v>0</v>
      </c>
      <c r="GC299" s="65">
        <f t="shared" si="1983"/>
        <v>0</v>
      </c>
      <c r="GD299" s="65">
        <f t="shared" si="1983"/>
        <v>0</v>
      </c>
      <c r="GE299" s="65">
        <f t="shared" si="1983"/>
        <v>0</v>
      </c>
      <c r="GF299" s="64">
        <f>SUM(FW299:FZ299,GB299:GE299)</f>
        <v>0</v>
      </c>
      <c r="GG299" s="66">
        <f t="shared" ref="GG299:GP301" si="1984">SUM(AT299,CL299,ED299,FV299)</f>
        <v>0</v>
      </c>
      <c r="GH299" s="66">
        <f t="shared" si="1984"/>
        <v>0</v>
      </c>
      <c r="GI299" s="66">
        <f t="shared" si="1984"/>
        <v>0</v>
      </c>
      <c r="GJ299" s="66">
        <f t="shared" si="1984"/>
        <v>0</v>
      </c>
      <c r="GK299" s="66">
        <f t="shared" si="1984"/>
        <v>0</v>
      </c>
      <c r="GL299" s="66">
        <f t="shared" si="1984"/>
        <v>0</v>
      </c>
      <c r="GM299" s="66">
        <f t="shared" si="1984"/>
        <v>0</v>
      </c>
      <c r="GN299" s="66">
        <f t="shared" si="1984"/>
        <v>0</v>
      </c>
      <c r="GO299" s="66">
        <f t="shared" si="1984"/>
        <v>0</v>
      </c>
      <c r="GP299" s="66">
        <f t="shared" si="1984"/>
        <v>0</v>
      </c>
      <c r="GQ299" s="64">
        <f>SUM(GH299:GK299,GM299:GP299)</f>
        <v>0</v>
      </c>
      <c r="GR299" s="63"/>
      <c r="GS299" s="63"/>
      <c r="GT299" s="63"/>
      <c r="GU299" s="63"/>
      <c r="GV299" s="67">
        <f>SUM(GR299:GU299)</f>
        <v>0</v>
      </c>
      <c r="GW299" s="63"/>
      <c r="GX299" s="63"/>
      <c r="GY299" s="63"/>
      <c r="GZ299" s="63"/>
      <c r="HA299" s="67">
        <f>SUM(GW299:GZ299)</f>
        <v>0</v>
      </c>
      <c r="HB299" s="63"/>
      <c r="HC299" s="63"/>
      <c r="HD299" s="63"/>
      <c r="HE299" s="63"/>
      <c r="HF299" s="67">
        <f>SUM(HB299:HE299)</f>
        <v>0</v>
      </c>
      <c r="HG299" s="63"/>
      <c r="HH299" s="63"/>
      <c r="HI299" s="63"/>
      <c r="HJ299" s="63"/>
      <c r="HK299" s="67">
        <f>SUM(HG299:HJ299)</f>
        <v>0</v>
      </c>
      <c r="HL299" s="68">
        <f t="shared" ref="HL299:HO301" si="1985">SUM(GW299,HB299,HG299)</f>
        <v>0</v>
      </c>
      <c r="HM299" s="68">
        <f t="shared" si="1985"/>
        <v>0</v>
      </c>
      <c r="HN299" s="68">
        <f t="shared" si="1985"/>
        <v>0</v>
      </c>
      <c r="HO299" s="68">
        <f t="shared" si="1985"/>
        <v>0</v>
      </c>
      <c r="HP299" s="67">
        <f>SUM(HL299:HO299)</f>
        <v>0</v>
      </c>
      <c r="HQ299" s="63"/>
      <c r="HR299" s="63"/>
      <c r="HS299" s="63"/>
      <c r="HT299" s="63"/>
      <c r="HU299" s="67">
        <f>SUM(HQ299:HT299)</f>
        <v>0</v>
      </c>
      <c r="HV299" s="63"/>
      <c r="HW299" s="63"/>
      <c r="HX299" s="63"/>
      <c r="HY299" s="63"/>
      <c r="HZ299" s="67">
        <f>SUM(HV299:HY299)</f>
        <v>0</v>
      </c>
      <c r="IA299" s="63"/>
      <c r="IB299" s="63"/>
      <c r="IC299" s="63"/>
      <c r="ID299" s="63"/>
      <c r="IE299" s="67">
        <f>SUM(IA299:ID299)</f>
        <v>0</v>
      </c>
      <c r="IF299" s="68">
        <f t="shared" ref="IF299:II301" si="1986">SUM(HQ299,HV299,IA299)</f>
        <v>0</v>
      </c>
      <c r="IG299" s="68">
        <f t="shared" si="1986"/>
        <v>0</v>
      </c>
      <c r="IH299" s="68">
        <f t="shared" si="1986"/>
        <v>0</v>
      </c>
      <c r="II299" s="68">
        <f t="shared" si="1986"/>
        <v>0</v>
      </c>
      <c r="IJ299" s="67">
        <f>SUM(IF299:II299)</f>
        <v>0</v>
      </c>
      <c r="IK299" s="63"/>
      <c r="IL299" s="63"/>
      <c r="IM299" s="63"/>
      <c r="IN299" s="63"/>
      <c r="IO299" s="67">
        <f>SUM(IK299:IN299)</f>
        <v>0</v>
      </c>
      <c r="IP299" s="63"/>
      <c r="IQ299" s="63"/>
      <c r="IR299" s="63"/>
      <c r="IS299" s="63"/>
      <c r="IT299" s="67">
        <f>SUM(IP299:IS299)</f>
        <v>0</v>
      </c>
      <c r="IU299" s="63"/>
      <c r="IV299" s="63"/>
    </row>
    <row r="300" spans="1:256" x14ac:dyDescent="0.25">
      <c r="A300" s="83" t="s">
        <v>235</v>
      </c>
      <c r="B300" s="62">
        <v>4500</v>
      </c>
      <c r="C300" s="63">
        <v>2100</v>
      </c>
      <c r="D300" s="63">
        <v>600</v>
      </c>
      <c r="E300" s="63">
        <v>240</v>
      </c>
      <c r="F300" s="63">
        <v>240</v>
      </c>
      <c r="G300" s="63">
        <v>0</v>
      </c>
      <c r="H300" s="63">
        <v>120</v>
      </c>
      <c r="I300" s="63">
        <v>0</v>
      </c>
      <c r="J300" s="63">
        <v>600</v>
      </c>
      <c r="K300" s="63">
        <v>600</v>
      </c>
      <c r="L300" s="64">
        <f>SUM(C300:F300,H300:K300)</f>
        <v>4500</v>
      </c>
      <c r="M300" s="62"/>
      <c r="N300" s="63"/>
      <c r="O300" s="63"/>
      <c r="P300" s="63"/>
      <c r="Q300" s="63"/>
      <c r="R300" s="63"/>
      <c r="S300" s="63"/>
      <c r="T300" s="63"/>
      <c r="U300" s="63"/>
      <c r="V300" s="63"/>
      <c r="W300" s="64">
        <f>SUM(N300:Q300,S300:V300)</f>
        <v>0</v>
      </c>
      <c r="X300" s="62"/>
      <c r="Y300" s="63"/>
      <c r="Z300" s="63"/>
      <c r="AA300" s="63"/>
      <c r="AB300" s="63"/>
      <c r="AC300" s="63"/>
      <c r="AD300" s="63"/>
      <c r="AE300" s="63"/>
      <c r="AF300" s="63"/>
      <c r="AG300" s="63"/>
      <c r="AH300" s="64">
        <f>SUM(Y300:AB300,AD300:AG300)</f>
        <v>0</v>
      </c>
      <c r="AI300" s="62"/>
      <c r="AJ300" s="63"/>
      <c r="AK300" s="63"/>
      <c r="AL300" s="63"/>
      <c r="AM300" s="63"/>
      <c r="AN300" s="63"/>
      <c r="AO300" s="63"/>
      <c r="AP300" s="63"/>
      <c r="AQ300" s="63"/>
      <c r="AR300" s="63"/>
      <c r="AS300" s="64">
        <f>SUM(AJ300:AM300,AO300:AR300)</f>
        <v>0</v>
      </c>
      <c r="AT300" s="65">
        <f t="shared" si="1980"/>
        <v>0</v>
      </c>
      <c r="AU300" s="65">
        <f t="shared" si="1980"/>
        <v>0</v>
      </c>
      <c r="AV300" s="65">
        <f t="shared" si="1980"/>
        <v>0</v>
      </c>
      <c r="AW300" s="65">
        <f t="shared" si="1980"/>
        <v>0</v>
      </c>
      <c r="AX300" s="65">
        <f t="shared" si="1980"/>
        <v>0</v>
      </c>
      <c r="AY300" s="65">
        <f t="shared" si="1980"/>
        <v>0</v>
      </c>
      <c r="AZ300" s="65">
        <f t="shared" si="1980"/>
        <v>0</v>
      </c>
      <c r="BA300" s="65">
        <f t="shared" si="1980"/>
        <v>0</v>
      </c>
      <c r="BB300" s="65">
        <f t="shared" si="1980"/>
        <v>0</v>
      </c>
      <c r="BC300" s="65">
        <f t="shared" si="1980"/>
        <v>0</v>
      </c>
      <c r="BD300" s="64">
        <f>SUM(AU300:AX300,AZ300:BC300)</f>
        <v>0</v>
      </c>
      <c r="BE300" s="62"/>
      <c r="BF300" s="63"/>
      <c r="BG300" s="63"/>
      <c r="BH300" s="63"/>
      <c r="BI300" s="63"/>
      <c r="BJ300" s="63"/>
      <c r="BK300" s="63"/>
      <c r="BL300" s="63"/>
      <c r="BM300" s="63"/>
      <c r="BN300" s="63"/>
      <c r="BO300" s="64">
        <f>SUM(BF300:BI300,BK300:BN300)</f>
        <v>0</v>
      </c>
      <c r="BP300" s="62"/>
      <c r="BQ300" s="63"/>
      <c r="BR300" s="63"/>
      <c r="BS300" s="63"/>
      <c r="BT300" s="63"/>
      <c r="BU300" s="63"/>
      <c r="BV300" s="63"/>
      <c r="BW300" s="63"/>
      <c r="BX300" s="63"/>
      <c r="BY300" s="63"/>
      <c r="BZ300" s="64">
        <f>SUM(BQ300:BT300,BV300:BY300)</f>
        <v>0</v>
      </c>
      <c r="CA300" s="62"/>
      <c r="CB300" s="63"/>
      <c r="CC300" s="63"/>
      <c r="CD300" s="63"/>
      <c r="CE300" s="63"/>
      <c r="CF300" s="63"/>
      <c r="CG300" s="63"/>
      <c r="CH300" s="63"/>
      <c r="CI300" s="63"/>
      <c r="CJ300" s="63"/>
      <c r="CK300" s="64">
        <f>SUM(CB300:CE300,CG300:CJ300)</f>
        <v>0</v>
      </c>
      <c r="CL300" s="65">
        <f t="shared" si="1981"/>
        <v>0</v>
      </c>
      <c r="CM300" s="65">
        <f t="shared" si="1981"/>
        <v>0</v>
      </c>
      <c r="CN300" s="65">
        <f t="shared" si="1981"/>
        <v>0</v>
      </c>
      <c r="CO300" s="65">
        <f t="shared" si="1981"/>
        <v>0</v>
      </c>
      <c r="CP300" s="65">
        <f t="shared" si="1981"/>
        <v>0</v>
      </c>
      <c r="CQ300" s="65">
        <f t="shared" si="1981"/>
        <v>0</v>
      </c>
      <c r="CR300" s="65">
        <f t="shared" si="1981"/>
        <v>0</v>
      </c>
      <c r="CS300" s="65">
        <f t="shared" si="1981"/>
        <v>0</v>
      </c>
      <c r="CT300" s="65">
        <f t="shared" si="1981"/>
        <v>0</v>
      </c>
      <c r="CU300" s="65">
        <f t="shared" si="1981"/>
        <v>0</v>
      </c>
      <c r="CV300" s="64">
        <f>SUM(CM300:CP300,CR300:CU300)</f>
        <v>0</v>
      </c>
      <c r="CW300" s="62"/>
      <c r="CX300" s="63"/>
      <c r="CY300" s="63"/>
      <c r="CZ300" s="63"/>
      <c r="DA300" s="63"/>
      <c r="DB300" s="63"/>
      <c r="DC300" s="63"/>
      <c r="DD300" s="63"/>
      <c r="DE300" s="63"/>
      <c r="DF300" s="63"/>
      <c r="DG300" s="64">
        <f>SUM(CX300:DA300,DC300:DF300)</f>
        <v>0</v>
      </c>
      <c r="DH300" s="62"/>
      <c r="DI300" s="63"/>
      <c r="DJ300" s="63"/>
      <c r="DK300" s="63"/>
      <c r="DL300" s="63"/>
      <c r="DM300" s="63"/>
      <c r="DN300" s="63"/>
      <c r="DO300" s="63"/>
      <c r="DP300" s="63"/>
      <c r="DQ300" s="63"/>
      <c r="DR300" s="64">
        <f>SUM(DI300:DL300,DN300:DQ300)</f>
        <v>0</v>
      </c>
      <c r="DS300" s="62"/>
      <c r="DT300" s="63"/>
      <c r="DU300" s="63"/>
      <c r="DV300" s="63"/>
      <c r="DW300" s="63"/>
      <c r="DX300" s="63"/>
      <c r="DY300" s="63"/>
      <c r="DZ300" s="63"/>
      <c r="EA300" s="63"/>
      <c r="EB300" s="63"/>
      <c r="EC300" s="63"/>
      <c r="ED300" s="65">
        <f t="shared" si="1982"/>
        <v>0</v>
      </c>
      <c r="EE300" s="65">
        <f t="shared" si="1982"/>
        <v>0</v>
      </c>
      <c r="EF300" s="65">
        <f t="shared" si="1982"/>
        <v>0</v>
      </c>
      <c r="EG300" s="65">
        <f t="shared" si="1982"/>
        <v>0</v>
      </c>
      <c r="EH300" s="65">
        <f t="shared" si="1982"/>
        <v>0</v>
      </c>
      <c r="EI300" s="65">
        <f t="shared" si="1982"/>
        <v>0</v>
      </c>
      <c r="EJ300" s="65">
        <f t="shared" si="1982"/>
        <v>0</v>
      </c>
      <c r="EK300" s="65">
        <f t="shared" si="1982"/>
        <v>0</v>
      </c>
      <c r="EL300" s="65">
        <f t="shared" si="1982"/>
        <v>0</v>
      </c>
      <c r="EM300" s="65">
        <f t="shared" si="1982"/>
        <v>0</v>
      </c>
      <c r="EN300" s="64">
        <f>SUM(EE300:EH300,EJ300:EM300)</f>
        <v>0</v>
      </c>
      <c r="EO300" s="62"/>
      <c r="EP300" s="63"/>
      <c r="EQ300" s="63"/>
      <c r="ER300" s="63"/>
      <c r="ES300" s="63"/>
      <c r="ET300" s="63"/>
      <c r="EU300" s="63"/>
      <c r="EV300" s="63"/>
      <c r="EW300" s="63"/>
      <c r="EX300" s="63"/>
      <c r="EY300" s="64">
        <f>SUM(EP300:ES300,EU300:EX300)</f>
        <v>0</v>
      </c>
      <c r="EZ300" s="62"/>
      <c r="FA300" s="63"/>
      <c r="FB300" s="63"/>
      <c r="FC300" s="63"/>
      <c r="FD300" s="63"/>
      <c r="FE300" s="63"/>
      <c r="FF300" s="63"/>
      <c r="FG300" s="63"/>
      <c r="FH300" s="63"/>
      <c r="FI300" s="63"/>
      <c r="FJ300" s="64">
        <f>SUM(FA300:FD300,FF300:FI300)</f>
        <v>0</v>
      </c>
      <c r="FK300" s="62"/>
      <c r="FL300" s="63"/>
      <c r="FM300" s="63"/>
      <c r="FN300" s="63"/>
      <c r="FO300" s="63"/>
      <c r="FP300" s="63"/>
      <c r="FQ300" s="63"/>
      <c r="FR300" s="63"/>
      <c r="FS300" s="63"/>
      <c r="FT300" s="63"/>
      <c r="FU300" s="64">
        <f>SUM(FL300:FO300,FQ300:FT300)</f>
        <v>0</v>
      </c>
      <c r="FV300" s="65">
        <f t="shared" si="1983"/>
        <v>0</v>
      </c>
      <c r="FW300" s="65">
        <f t="shared" si="1983"/>
        <v>0</v>
      </c>
      <c r="FX300" s="65">
        <f t="shared" si="1983"/>
        <v>0</v>
      </c>
      <c r="FY300" s="65">
        <f t="shared" si="1983"/>
        <v>0</v>
      </c>
      <c r="FZ300" s="65">
        <f t="shared" si="1983"/>
        <v>0</v>
      </c>
      <c r="GA300" s="65">
        <f t="shared" si="1983"/>
        <v>0</v>
      </c>
      <c r="GB300" s="65">
        <f t="shared" si="1983"/>
        <v>0</v>
      </c>
      <c r="GC300" s="65">
        <f t="shared" si="1983"/>
        <v>0</v>
      </c>
      <c r="GD300" s="65">
        <f t="shared" si="1983"/>
        <v>0</v>
      </c>
      <c r="GE300" s="65">
        <f t="shared" si="1983"/>
        <v>0</v>
      </c>
      <c r="GF300" s="64">
        <f>SUM(FW300:FZ300,GB300:GE300)</f>
        <v>0</v>
      </c>
      <c r="GG300" s="66">
        <f t="shared" si="1984"/>
        <v>0</v>
      </c>
      <c r="GH300" s="66">
        <f t="shared" si="1984"/>
        <v>0</v>
      </c>
      <c r="GI300" s="66">
        <f t="shared" si="1984"/>
        <v>0</v>
      </c>
      <c r="GJ300" s="66">
        <f t="shared" si="1984"/>
        <v>0</v>
      </c>
      <c r="GK300" s="66">
        <f t="shared" si="1984"/>
        <v>0</v>
      </c>
      <c r="GL300" s="66">
        <f t="shared" si="1984"/>
        <v>0</v>
      </c>
      <c r="GM300" s="66">
        <f t="shared" si="1984"/>
        <v>0</v>
      </c>
      <c r="GN300" s="66">
        <f t="shared" si="1984"/>
        <v>0</v>
      </c>
      <c r="GO300" s="66">
        <f t="shared" si="1984"/>
        <v>0</v>
      </c>
      <c r="GP300" s="66">
        <f t="shared" si="1984"/>
        <v>0</v>
      </c>
      <c r="GQ300" s="64">
        <f>SUM(GH300:GK300,GM300:GP300)</f>
        <v>0</v>
      </c>
      <c r="GR300" s="63"/>
      <c r="GS300" s="63"/>
      <c r="GT300" s="63"/>
      <c r="GU300" s="63"/>
      <c r="GV300" s="67">
        <f>SUM(GR300:GU300)</f>
        <v>0</v>
      </c>
      <c r="GW300" s="63"/>
      <c r="GX300" s="63"/>
      <c r="GY300" s="63"/>
      <c r="GZ300" s="63"/>
      <c r="HA300" s="67">
        <f>SUM(GW300:GZ300)</f>
        <v>0</v>
      </c>
      <c r="HB300" s="63"/>
      <c r="HC300" s="63"/>
      <c r="HD300" s="63"/>
      <c r="HE300" s="63"/>
      <c r="HF300" s="67">
        <f>SUM(HB300:HE300)</f>
        <v>0</v>
      </c>
      <c r="HG300" s="63"/>
      <c r="HH300" s="63"/>
      <c r="HI300" s="63"/>
      <c r="HJ300" s="63"/>
      <c r="HK300" s="67">
        <f>SUM(HG300:HJ300)</f>
        <v>0</v>
      </c>
      <c r="HL300" s="68">
        <f t="shared" si="1985"/>
        <v>0</v>
      </c>
      <c r="HM300" s="68">
        <f t="shared" si="1985"/>
        <v>0</v>
      </c>
      <c r="HN300" s="68">
        <f t="shared" si="1985"/>
        <v>0</v>
      </c>
      <c r="HO300" s="68">
        <f t="shared" si="1985"/>
        <v>0</v>
      </c>
      <c r="HP300" s="67">
        <f>SUM(HL300:HO300)</f>
        <v>0</v>
      </c>
      <c r="HQ300" s="63"/>
      <c r="HR300" s="63"/>
      <c r="HS300" s="63"/>
      <c r="HT300" s="63"/>
      <c r="HU300" s="67">
        <f>SUM(HQ300:HT300)</f>
        <v>0</v>
      </c>
      <c r="HV300" s="63"/>
      <c r="HW300" s="63"/>
      <c r="HX300" s="63"/>
      <c r="HY300" s="63"/>
      <c r="HZ300" s="67">
        <f>SUM(HV300:HY300)</f>
        <v>0</v>
      </c>
      <c r="IA300" s="63"/>
      <c r="IB300" s="63"/>
      <c r="IC300" s="63"/>
      <c r="ID300" s="63"/>
      <c r="IE300" s="67">
        <f>SUM(IA300:ID300)</f>
        <v>0</v>
      </c>
      <c r="IF300" s="68">
        <f t="shared" si="1986"/>
        <v>0</v>
      </c>
      <c r="IG300" s="68">
        <f t="shared" si="1986"/>
        <v>0</v>
      </c>
      <c r="IH300" s="68">
        <f t="shared" si="1986"/>
        <v>0</v>
      </c>
      <c r="II300" s="68">
        <f t="shared" si="1986"/>
        <v>0</v>
      </c>
      <c r="IJ300" s="67">
        <f>SUM(IF300:II300)</f>
        <v>0</v>
      </c>
      <c r="IK300" s="63"/>
      <c r="IL300" s="63"/>
      <c r="IM300" s="63"/>
      <c r="IN300" s="63"/>
      <c r="IO300" s="67">
        <f>SUM(IK300:IN300)</f>
        <v>0</v>
      </c>
      <c r="IP300" s="63"/>
      <c r="IQ300" s="63"/>
      <c r="IR300" s="63"/>
      <c r="IS300" s="63"/>
      <c r="IT300" s="67">
        <f>SUM(IP300:IS300)</f>
        <v>0</v>
      </c>
      <c r="IU300" s="63"/>
      <c r="IV300" s="63"/>
    </row>
    <row r="301" spans="1:256" x14ac:dyDescent="0.25">
      <c r="A301" s="83" t="s">
        <v>236</v>
      </c>
      <c r="B301" s="62">
        <v>30</v>
      </c>
      <c r="C301" s="63">
        <v>0</v>
      </c>
      <c r="D301" s="63">
        <v>0</v>
      </c>
      <c r="E301" s="63">
        <v>0</v>
      </c>
      <c r="F301" s="63">
        <v>0</v>
      </c>
      <c r="G301" s="63">
        <v>30</v>
      </c>
      <c r="H301" s="63">
        <v>0</v>
      </c>
      <c r="I301" s="63">
        <v>0</v>
      </c>
      <c r="J301" s="63">
        <v>0</v>
      </c>
      <c r="K301" s="63">
        <v>0</v>
      </c>
      <c r="L301" s="64">
        <f>SUM(C301:F301,H301:K301)</f>
        <v>0</v>
      </c>
      <c r="M301" s="62"/>
      <c r="N301" s="63"/>
      <c r="O301" s="63"/>
      <c r="P301" s="63"/>
      <c r="Q301" s="63"/>
      <c r="R301" s="63"/>
      <c r="S301" s="63"/>
      <c r="T301" s="63"/>
      <c r="U301" s="63"/>
      <c r="V301" s="63"/>
      <c r="W301" s="64">
        <f>SUM(N301:Q301,S301:V301)</f>
        <v>0</v>
      </c>
      <c r="X301" s="62"/>
      <c r="Y301" s="63"/>
      <c r="Z301" s="63"/>
      <c r="AA301" s="63"/>
      <c r="AB301" s="63"/>
      <c r="AC301" s="63"/>
      <c r="AD301" s="63"/>
      <c r="AE301" s="63"/>
      <c r="AF301" s="63"/>
      <c r="AG301" s="63"/>
      <c r="AH301" s="64">
        <f>SUM(Y301:AB301,AD301:AG301)</f>
        <v>0</v>
      </c>
      <c r="AI301" s="62"/>
      <c r="AJ301" s="63"/>
      <c r="AK301" s="63"/>
      <c r="AL301" s="63"/>
      <c r="AM301" s="63"/>
      <c r="AN301" s="63"/>
      <c r="AO301" s="63"/>
      <c r="AP301" s="63"/>
      <c r="AQ301" s="63"/>
      <c r="AR301" s="63"/>
      <c r="AS301" s="64">
        <f>SUM(AJ301:AM301,AO301:AR301)</f>
        <v>0</v>
      </c>
      <c r="AT301" s="65">
        <f t="shared" si="1980"/>
        <v>0</v>
      </c>
      <c r="AU301" s="65">
        <f t="shared" si="1980"/>
        <v>0</v>
      </c>
      <c r="AV301" s="65">
        <f t="shared" si="1980"/>
        <v>0</v>
      </c>
      <c r="AW301" s="65">
        <f t="shared" si="1980"/>
        <v>0</v>
      </c>
      <c r="AX301" s="65">
        <f t="shared" si="1980"/>
        <v>0</v>
      </c>
      <c r="AY301" s="65">
        <f t="shared" si="1980"/>
        <v>0</v>
      </c>
      <c r="AZ301" s="65">
        <f t="shared" si="1980"/>
        <v>0</v>
      </c>
      <c r="BA301" s="65">
        <f t="shared" si="1980"/>
        <v>0</v>
      </c>
      <c r="BB301" s="65">
        <f t="shared" si="1980"/>
        <v>0</v>
      </c>
      <c r="BC301" s="65">
        <f t="shared" si="1980"/>
        <v>0</v>
      </c>
      <c r="BD301" s="64">
        <f>SUM(AU301:AX301,AZ301:BC301)</f>
        <v>0</v>
      </c>
      <c r="BE301" s="62"/>
      <c r="BF301" s="63"/>
      <c r="BG301" s="63"/>
      <c r="BH301" s="63"/>
      <c r="BI301" s="63"/>
      <c r="BJ301" s="63"/>
      <c r="BK301" s="63"/>
      <c r="BL301" s="63"/>
      <c r="BM301" s="63"/>
      <c r="BN301" s="63"/>
      <c r="BO301" s="64">
        <f>SUM(BF301:BI301,BK301:BN301)</f>
        <v>0</v>
      </c>
      <c r="BP301" s="62"/>
      <c r="BQ301" s="63"/>
      <c r="BR301" s="63"/>
      <c r="BS301" s="63"/>
      <c r="BT301" s="63"/>
      <c r="BU301" s="63"/>
      <c r="BV301" s="63"/>
      <c r="BW301" s="63"/>
      <c r="BX301" s="63"/>
      <c r="BY301" s="63"/>
      <c r="BZ301" s="64">
        <f>SUM(BQ301:BT301,BV301:BY301)</f>
        <v>0</v>
      </c>
      <c r="CA301" s="62"/>
      <c r="CB301" s="63"/>
      <c r="CC301" s="63"/>
      <c r="CD301" s="63"/>
      <c r="CE301" s="63"/>
      <c r="CF301" s="63"/>
      <c r="CG301" s="63"/>
      <c r="CH301" s="63"/>
      <c r="CI301" s="63"/>
      <c r="CJ301" s="63"/>
      <c r="CK301" s="64">
        <f>SUM(CB301:CE301,CG301:CJ301)</f>
        <v>0</v>
      </c>
      <c r="CL301" s="65">
        <f t="shared" si="1981"/>
        <v>0</v>
      </c>
      <c r="CM301" s="65">
        <f t="shared" si="1981"/>
        <v>0</v>
      </c>
      <c r="CN301" s="65">
        <f t="shared" si="1981"/>
        <v>0</v>
      </c>
      <c r="CO301" s="65">
        <f t="shared" si="1981"/>
        <v>0</v>
      </c>
      <c r="CP301" s="65">
        <f t="shared" si="1981"/>
        <v>0</v>
      </c>
      <c r="CQ301" s="65">
        <f t="shared" si="1981"/>
        <v>0</v>
      </c>
      <c r="CR301" s="65">
        <f t="shared" si="1981"/>
        <v>0</v>
      </c>
      <c r="CS301" s="65">
        <f t="shared" si="1981"/>
        <v>0</v>
      </c>
      <c r="CT301" s="65">
        <f t="shared" si="1981"/>
        <v>0</v>
      </c>
      <c r="CU301" s="65">
        <f t="shared" si="1981"/>
        <v>0</v>
      </c>
      <c r="CV301" s="64">
        <f>SUM(CM301:CP301,CR301:CU301)</f>
        <v>0</v>
      </c>
      <c r="CW301" s="62"/>
      <c r="CX301" s="63"/>
      <c r="CY301" s="63"/>
      <c r="CZ301" s="63"/>
      <c r="DA301" s="63"/>
      <c r="DB301" s="63"/>
      <c r="DC301" s="63"/>
      <c r="DD301" s="63"/>
      <c r="DE301" s="63"/>
      <c r="DF301" s="63"/>
      <c r="DG301" s="64">
        <f>SUM(CX301:DA301,DC301:DF301)</f>
        <v>0</v>
      </c>
      <c r="DH301" s="62"/>
      <c r="DI301" s="63"/>
      <c r="DJ301" s="63"/>
      <c r="DK301" s="63"/>
      <c r="DL301" s="63"/>
      <c r="DM301" s="63"/>
      <c r="DN301" s="63"/>
      <c r="DO301" s="63"/>
      <c r="DP301" s="63"/>
      <c r="DQ301" s="63"/>
      <c r="DR301" s="64">
        <f>SUM(DI301:DL301,DN301:DQ301)</f>
        <v>0</v>
      </c>
      <c r="DS301" s="62"/>
      <c r="DT301" s="63"/>
      <c r="DU301" s="63"/>
      <c r="DV301" s="63"/>
      <c r="DW301" s="63"/>
      <c r="DX301" s="63"/>
      <c r="DY301" s="63"/>
      <c r="DZ301" s="63"/>
      <c r="EA301" s="63"/>
      <c r="EB301" s="63"/>
      <c r="EC301" s="63"/>
      <c r="ED301" s="65">
        <f t="shared" si="1982"/>
        <v>0</v>
      </c>
      <c r="EE301" s="65">
        <f t="shared" si="1982"/>
        <v>0</v>
      </c>
      <c r="EF301" s="65">
        <f t="shared" si="1982"/>
        <v>0</v>
      </c>
      <c r="EG301" s="65">
        <f t="shared" si="1982"/>
        <v>0</v>
      </c>
      <c r="EH301" s="65">
        <f t="shared" si="1982"/>
        <v>0</v>
      </c>
      <c r="EI301" s="65">
        <f t="shared" si="1982"/>
        <v>0</v>
      </c>
      <c r="EJ301" s="65">
        <f t="shared" si="1982"/>
        <v>0</v>
      </c>
      <c r="EK301" s="65">
        <f t="shared" si="1982"/>
        <v>0</v>
      </c>
      <c r="EL301" s="65">
        <f t="shared" si="1982"/>
        <v>0</v>
      </c>
      <c r="EM301" s="65">
        <f t="shared" si="1982"/>
        <v>0</v>
      </c>
      <c r="EN301" s="64">
        <f>SUM(EE301:EH301,EJ301:EM301)</f>
        <v>0</v>
      </c>
      <c r="EO301" s="62"/>
      <c r="EP301" s="63"/>
      <c r="EQ301" s="63"/>
      <c r="ER301" s="63"/>
      <c r="ES301" s="63"/>
      <c r="ET301" s="63"/>
      <c r="EU301" s="63"/>
      <c r="EV301" s="63"/>
      <c r="EW301" s="63"/>
      <c r="EX301" s="63"/>
      <c r="EY301" s="64">
        <f>SUM(EP301:ES301,EU301:EX301)</f>
        <v>0</v>
      </c>
      <c r="EZ301" s="62"/>
      <c r="FA301" s="63"/>
      <c r="FB301" s="63"/>
      <c r="FC301" s="63"/>
      <c r="FD301" s="63"/>
      <c r="FE301" s="63"/>
      <c r="FF301" s="63"/>
      <c r="FG301" s="63"/>
      <c r="FH301" s="63"/>
      <c r="FI301" s="63"/>
      <c r="FJ301" s="64">
        <f>SUM(FA301:FD301,FF301:FI301)</f>
        <v>0</v>
      </c>
      <c r="FK301" s="62"/>
      <c r="FL301" s="63"/>
      <c r="FM301" s="63"/>
      <c r="FN301" s="63"/>
      <c r="FO301" s="63"/>
      <c r="FP301" s="63"/>
      <c r="FQ301" s="63"/>
      <c r="FR301" s="63"/>
      <c r="FS301" s="63"/>
      <c r="FT301" s="63"/>
      <c r="FU301" s="64">
        <f>SUM(FL301:FO301,FQ301:FT301)</f>
        <v>0</v>
      </c>
      <c r="FV301" s="65">
        <f t="shared" si="1983"/>
        <v>0</v>
      </c>
      <c r="FW301" s="65">
        <f t="shared" si="1983"/>
        <v>0</v>
      </c>
      <c r="FX301" s="65">
        <f t="shared" si="1983"/>
        <v>0</v>
      </c>
      <c r="FY301" s="65">
        <f t="shared" si="1983"/>
        <v>0</v>
      </c>
      <c r="FZ301" s="65">
        <f t="shared" si="1983"/>
        <v>0</v>
      </c>
      <c r="GA301" s="65">
        <f t="shared" si="1983"/>
        <v>0</v>
      </c>
      <c r="GB301" s="65">
        <f t="shared" si="1983"/>
        <v>0</v>
      </c>
      <c r="GC301" s="65">
        <f t="shared" si="1983"/>
        <v>0</v>
      </c>
      <c r="GD301" s="65">
        <f t="shared" si="1983"/>
        <v>0</v>
      </c>
      <c r="GE301" s="65">
        <f t="shared" si="1983"/>
        <v>0</v>
      </c>
      <c r="GF301" s="64">
        <f>SUM(FW301:FZ301,GB301:GE301)</f>
        <v>0</v>
      </c>
      <c r="GG301" s="66">
        <f t="shared" si="1984"/>
        <v>0</v>
      </c>
      <c r="GH301" s="66">
        <f t="shared" si="1984"/>
        <v>0</v>
      </c>
      <c r="GI301" s="66">
        <f t="shared" si="1984"/>
        <v>0</v>
      </c>
      <c r="GJ301" s="66">
        <f t="shared" si="1984"/>
        <v>0</v>
      </c>
      <c r="GK301" s="66">
        <f t="shared" si="1984"/>
        <v>0</v>
      </c>
      <c r="GL301" s="66">
        <f t="shared" si="1984"/>
        <v>0</v>
      </c>
      <c r="GM301" s="66">
        <f t="shared" si="1984"/>
        <v>0</v>
      </c>
      <c r="GN301" s="66">
        <f t="shared" si="1984"/>
        <v>0</v>
      </c>
      <c r="GO301" s="66">
        <f t="shared" si="1984"/>
        <v>0</v>
      </c>
      <c r="GP301" s="66">
        <f t="shared" si="1984"/>
        <v>0</v>
      </c>
      <c r="GQ301" s="64">
        <f>SUM(GH301:GK301,GM301:GP301)</f>
        <v>0</v>
      </c>
      <c r="GR301" s="63"/>
      <c r="GS301" s="63"/>
      <c r="GT301" s="63"/>
      <c r="GU301" s="63"/>
      <c r="GV301" s="67">
        <f>SUM(GR301:GU301)</f>
        <v>0</v>
      </c>
      <c r="GW301" s="63"/>
      <c r="GX301" s="63"/>
      <c r="GY301" s="63"/>
      <c r="GZ301" s="63"/>
      <c r="HA301" s="67">
        <f>SUM(GW301:GZ301)</f>
        <v>0</v>
      </c>
      <c r="HB301" s="63"/>
      <c r="HC301" s="63"/>
      <c r="HD301" s="63"/>
      <c r="HE301" s="63"/>
      <c r="HF301" s="67">
        <f>SUM(HB301:HE301)</f>
        <v>0</v>
      </c>
      <c r="HG301" s="63"/>
      <c r="HH301" s="63"/>
      <c r="HI301" s="63"/>
      <c r="HJ301" s="63"/>
      <c r="HK301" s="67">
        <f>SUM(HG301:HJ301)</f>
        <v>0</v>
      </c>
      <c r="HL301" s="68">
        <f t="shared" si="1985"/>
        <v>0</v>
      </c>
      <c r="HM301" s="68">
        <f t="shared" si="1985"/>
        <v>0</v>
      </c>
      <c r="HN301" s="68">
        <f t="shared" si="1985"/>
        <v>0</v>
      </c>
      <c r="HO301" s="68">
        <f t="shared" si="1985"/>
        <v>0</v>
      </c>
      <c r="HP301" s="67">
        <f>SUM(HL301:HO301)</f>
        <v>0</v>
      </c>
      <c r="HQ301" s="63"/>
      <c r="HR301" s="63"/>
      <c r="HS301" s="63"/>
      <c r="HT301" s="63"/>
      <c r="HU301" s="67">
        <f>SUM(HQ301:HT301)</f>
        <v>0</v>
      </c>
      <c r="HV301" s="63"/>
      <c r="HW301" s="63"/>
      <c r="HX301" s="63"/>
      <c r="HY301" s="63"/>
      <c r="HZ301" s="67">
        <f>SUM(HV301:HY301)</f>
        <v>0</v>
      </c>
      <c r="IA301" s="63"/>
      <c r="IB301" s="63"/>
      <c r="IC301" s="63"/>
      <c r="ID301" s="63"/>
      <c r="IE301" s="67">
        <f>SUM(IA301:ID301)</f>
        <v>0</v>
      </c>
      <c r="IF301" s="68">
        <f t="shared" si="1986"/>
        <v>0</v>
      </c>
      <c r="IG301" s="68">
        <f t="shared" si="1986"/>
        <v>0</v>
      </c>
      <c r="IH301" s="68">
        <f t="shared" si="1986"/>
        <v>0</v>
      </c>
      <c r="II301" s="68">
        <f t="shared" si="1986"/>
        <v>0</v>
      </c>
      <c r="IJ301" s="67">
        <f>SUM(IF301:II301)</f>
        <v>0</v>
      </c>
      <c r="IK301" s="63"/>
      <c r="IL301" s="63"/>
      <c r="IM301" s="63"/>
      <c r="IN301" s="63"/>
      <c r="IO301" s="67">
        <f>SUM(IK301:IN301)</f>
        <v>0</v>
      </c>
      <c r="IP301" s="63"/>
      <c r="IQ301" s="63"/>
      <c r="IR301" s="63"/>
      <c r="IS301" s="63"/>
      <c r="IT301" s="67">
        <f>SUM(IP301:IS301)</f>
        <v>0</v>
      </c>
      <c r="IU301" s="63"/>
      <c r="IV301" s="63"/>
    </row>
    <row r="302" spans="1:256" s="78" customFormat="1" x14ac:dyDescent="0.25">
      <c r="A302" s="79" t="s">
        <v>237</v>
      </c>
      <c r="B302" s="80"/>
      <c r="C302" s="81">
        <f t="shared" ref="C302:K302" si="1987">SUM(C303:C308)</f>
        <v>0</v>
      </c>
      <c r="D302" s="81">
        <f t="shared" si="1987"/>
        <v>0</v>
      </c>
      <c r="E302" s="81">
        <f t="shared" si="1987"/>
        <v>0</v>
      </c>
      <c r="F302" s="81">
        <f t="shared" si="1987"/>
        <v>0</v>
      </c>
      <c r="G302" s="81">
        <f t="shared" si="1987"/>
        <v>8</v>
      </c>
      <c r="H302" s="81">
        <f t="shared" si="1987"/>
        <v>0</v>
      </c>
      <c r="I302" s="81">
        <f t="shared" si="1987"/>
        <v>0</v>
      </c>
      <c r="J302" s="81">
        <f t="shared" si="1987"/>
        <v>0</v>
      </c>
      <c r="K302" s="81">
        <f t="shared" si="1987"/>
        <v>0</v>
      </c>
      <c r="L302" s="82">
        <f>SUM(L303:L308)</f>
        <v>0</v>
      </c>
      <c r="M302" s="80"/>
      <c r="N302" s="81">
        <f t="shared" ref="N302:V302" si="1988">SUM(N303:N308)</f>
        <v>0</v>
      </c>
      <c r="O302" s="81">
        <f t="shared" si="1988"/>
        <v>0</v>
      </c>
      <c r="P302" s="81">
        <f t="shared" si="1988"/>
        <v>0</v>
      </c>
      <c r="Q302" s="81">
        <f t="shared" si="1988"/>
        <v>0</v>
      </c>
      <c r="R302" s="81">
        <f t="shared" si="1988"/>
        <v>0</v>
      </c>
      <c r="S302" s="81">
        <f t="shared" si="1988"/>
        <v>0</v>
      </c>
      <c r="T302" s="81">
        <f t="shared" si="1988"/>
        <v>0</v>
      </c>
      <c r="U302" s="81">
        <f t="shared" si="1988"/>
        <v>0</v>
      </c>
      <c r="V302" s="81">
        <f t="shared" si="1988"/>
        <v>0</v>
      </c>
      <c r="W302" s="82">
        <f>SUM(W303:W308)</f>
        <v>0</v>
      </c>
      <c r="X302" s="80"/>
      <c r="Y302" s="81">
        <f t="shared" ref="Y302:AG302" si="1989">SUM(Y303:Y308)</f>
        <v>0</v>
      </c>
      <c r="Z302" s="81">
        <f t="shared" si="1989"/>
        <v>0</v>
      </c>
      <c r="AA302" s="81">
        <f t="shared" si="1989"/>
        <v>0</v>
      </c>
      <c r="AB302" s="81">
        <f t="shared" si="1989"/>
        <v>0</v>
      </c>
      <c r="AC302" s="81">
        <f t="shared" si="1989"/>
        <v>0</v>
      </c>
      <c r="AD302" s="81">
        <f t="shared" si="1989"/>
        <v>0</v>
      </c>
      <c r="AE302" s="81">
        <f t="shared" si="1989"/>
        <v>0</v>
      </c>
      <c r="AF302" s="81">
        <f t="shared" si="1989"/>
        <v>0</v>
      </c>
      <c r="AG302" s="81">
        <f t="shared" si="1989"/>
        <v>0</v>
      </c>
      <c r="AH302" s="82">
        <f>SUM(AH303:AH308)</f>
        <v>0</v>
      </c>
      <c r="AI302" s="80"/>
      <c r="AJ302" s="81">
        <f t="shared" ref="AJ302:AR302" si="1990">SUM(AJ303:AJ308)</f>
        <v>0</v>
      </c>
      <c r="AK302" s="81">
        <f t="shared" si="1990"/>
        <v>0</v>
      </c>
      <c r="AL302" s="81">
        <f t="shared" si="1990"/>
        <v>0</v>
      </c>
      <c r="AM302" s="81">
        <f t="shared" si="1990"/>
        <v>0</v>
      </c>
      <c r="AN302" s="81">
        <f t="shared" si="1990"/>
        <v>0</v>
      </c>
      <c r="AO302" s="81">
        <f t="shared" si="1990"/>
        <v>0</v>
      </c>
      <c r="AP302" s="81">
        <f t="shared" si="1990"/>
        <v>0</v>
      </c>
      <c r="AQ302" s="81">
        <f t="shared" si="1990"/>
        <v>0</v>
      </c>
      <c r="AR302" s="81">
        <f t="shared" si="1990"/>
        <v>0</v>
      </c>
      <c r="AS302" s="82">
        <f>SUM(AS303:AS308)</f>
        <v>0</v>
      </c>
      <c r="AT302" s="80"/>
      <c r="AU302" s="81">
        <f>SUM(AU303:AU308)</f>
        <v>0</v>
      </c>
      <c r="AV302" s="81">
        <f t="shared" ref="AV302:BC302" si="1991">SUM(AV303:AV308)</f>
        <v>0</v>
      </c>
      <c r="AW302" s="81">
        <f t="shared" si="1991"/>
        <v>0</v>
      </c>
      <c r="AX302" s="81">
        <f t="shared" si="1991"/>
        <v>0</v>
      </c>
      <c r="AY302" s="81">
        <f t="shared" si="1991"/>
        <v>0</v>
      </c>
      <c r="AZ302" s="81">
        <f t="shared" si="1991"/>
        <v>0</v>
      </c>
      <c r="BA302" s="81">
        <f t="shared" si="1991"/>
        <v>0</v>
      </c>
      <c r="BB302" s="81">
        <f t="shared" si="1991"/>
        <v>0</v>
      </c>
      <c r="BC302" s="81">
        <f t="shared" si="1991"/>
        <v>0</v>
      </c>
      <c r="BD302" s="82">
        <f>SUM(BD303:BD308)</f>
        <v>0</v>
      </c>
      <c r="BE302" s="80"/>
      <c r="BF302" s="81">
        <f t="shared" ref="BF302:BN302" si="1992">SUM(BF303:BF308)</f>
        <v>0</v>
      </c>
      <c r="BG302" s="81">
        <f t="shared" si="1992"/>
        <v>0</v>
      </c>
      <c r="BH302" s="81">
        <f t="shared" si="1992"/>
        <v>0</v>
      </c>
      <c r="BI302" s="81">
        <f t="shared" si="1992"/>
        <v>0</v>
      </c>
      <c r="BJ302" s="81">
        <f t="shared" si="1992"/>
        <v>0</v>
      </c>
      <c r="BK302" s="81">
        <f t="shared" si="1992"/>
        <v>0</v>
      </c>
      <c r="BL302" s="81">
        <f t="shared" si="1992"/>
        <v>0</v>
      </c>
      <c r="BM302" s="81">
        <f t="shared" si="1992"/>
        <v>0</v>
      </c>
      <c r="BN302" s="81">
        <f t="shared" si="1992"/>
        <v>0</v>
      </c>
      <c r="BO302" s="82">
        <f>SUM(BO303:BO308)</f>
        <v>0</v>
      </c>
      <c r="BP302" s="80"/>
      <c r="BQ302" s="81">
        <f t="shared" ref="BQ302:BY302" si="1993">SUM(BQ303:BQ308)</f>
        <v>0</v>
      </c>
      <c r="BR302" s="81">
        <f t="shared" si="1993"/>
        <v>0</v>
      </c>
      <c r="BS302" s="81">
        <f t="shared" si="1993"/>
        <v>0</v>
      </c>
      <c r="BT302" s="81">
        <f t="shared" si="1993"/>
        <v>0</v>
      </c>
      <c r="BU302" s="81">
        <f t="shared" si="1993"/>
        <v>0</v>
      </c>
      <c r="BV302" s="81">
        <f t="shared" si="1993"/>
        <v>0</v>
      </c>
      <c r="BW302" s="81">
        <f t="shared" si="1993"/>
        <v>0</v>
      </c>
      <c r="BX302" s="81">
        <f t="shared" si="1993"/>
        <v>0</v>
      </c>
      <c r="BY302" s="81">
        <f t="shared" si="1993"/>
        <v>0</v>
      </c>
      <c r="BZ302" s="82">
        <f>SUM(BZ303:BZ308)</f>
        <v>0</v>
      </c>
      <c r="CA302" s="80"/>
      <c r="CB302" s="81">
        <f t="shared" ref="CB302:CJ302" si="1994">SUM(CB303:CB308)</f>
        <v>0</v>
      </c>
      <c r="CC302" s="81">
        <f t="shared" si="1994"/>
        <v>0</v>
      </c>
      <c r="CD302" s="81">
        <f t="shared" si="1994"/>
        <v>0</v>
      </c>
      <c r="CE302" s="81">
        <f t="shared" si="1994"/>
        <v>0</v>
      </c>
      <c r="CF302" s="81">
        <f t="shared" si="1994"/>
        <v>0</v>
      </c>
      <c r="CG302" s="81">
        <f t="shared" si="1994"/>
        <v>0</v>
      </c>
      <c r="CH302" s="81">
        <f t="shared" si="1994"/>
        <v>0</v>
      </c>
      <c r="CI302" s="81">
        <f t="shared" si="1994"/>
        <v>0</v>
      </c>
      <c r="CJ302" s="81">
        <f t="shared" si="1994"/>
        <v>0</v>
      </c>
      <c r="CK302" s="82">
        <f>SUM(CK303:CK308)</f>
        <v>0</v>
      </c>
      <c r="CL302" s="80"/>
      <c r="CM302" s="81">
        <f>SUM(CM303:CM308)</f>
        <v>0</v>
      </c>
      <c r="CN302" s="81">
        <f t="shared" ref="CN302:CU302" si="1995">SUM(CN303:CN308)</f>
        <v>0</v>
      </c>
      <c r="CO302" s="81">
        <f t="shared" si="1995"/>
        <v>0</v>
      </c>
      <c r="CP302" s="81">
        <f t="shared" si="1995"/>
        <v>0</v>
      </c>
      <c r="CQ302" s="81">
        <f t="shared" si="1995"/>
        <v>0</v>
      </c>
      <c r="CR302" s="81">
        <f t="shared" si="1995"/>
        <v>0</v>
      </c>
      <c r="CS302" s="81">
        <f t="shared" si="1995"/>
        <v>0</v>
      </c>
      <c r="CT302" s="81">
        <f t="shared" si="1995"/>
        <v>0</v>
      </c>
      <c r="CU302" s="81">
        <f t="shared" si="1995"/>
        <v>0</v>
      </c>
      <c r="CV302" s="82">
        <f>SUM(CV303:CV308)</f>
        <v>0</v>
      </c>
      <c r="CW302" s="80"/>
      <c r="CX302" s="81">
        <f t="shared" ref="CX302:DF302" si="1996">SUM(CX303:CX308)</f>
        <v>0</v>
      </c>
      <c r="CY302" s="81">
        <f t="shared" si="1996"/>
        <v>0</v>
      </c>
      <c r="CZ302" s="81">
        <f t="shared" si="1996"/>
        <v>0</v>
      </c>
      <c r="DA302" s="81">
        <f t="shared" si="1996"/>
        <v>0</v>
      </c>
      <c r="DB302" s="81">
        <f t="shared" si="1996"/>
        <v>0</v>
      </c>
      <c r="DC302" s="81">
        <f t="shared" si="1996"/>
        <v>0</v>
      </c>
      <c r="DD302" s="81">
        <f t="shared" si="1996"/>
        <v>0</v>
      </c>
      <c r="DE302" s="81">
        <f t="shared" si="1996"/>
        <v>0</v>
      </c>
      <c r="DF302" s="81">
        <f t="shared" si="1996"/>
        <v>0</v>
      </c>
      <c r="DG302" s="82">
        <f>SUM(DG303:DG308)</f>
        <v>0</v>
      </c>
      <c r="DH302" s="80"/>
      <c r="DI302" s="81">
        <f t="shared" ref="DI302:DQ302" si="1997">SUM(DI303:DI308)</f>
        <v>0</v>
      </c>
      <c r="DJ302" s="81">
        <f t="shared" si="1997"/>
        <v>0</v>
      </c>
      <c r="DK302" s="81">
        <f t="shared" si="1997"/>
        <v>0</v>
      </c>
      <c r="DL302" s="81">
        <f t="shared" si="1997"/>
        <v>0</v>
      </c>
      <c r="DM302" s="81">
        <f t="shared" si="1997"/>
        <v>0</v>
      </c>
      <c r="DN302" s="81">
        <f t="shared" si="1997"/>
        <v>0</v>
      </c>
      <c r="DO302" s="81">
        <f t="shared" si="1997"/>
        <v>0</v>
      </c>
      <c r="DP302" s="81">
        <f t="shared" si="1997"/>
        <v>0</v>
      </c>
      <c r="DQ302" s="81">
        <f t="shared" si="1997"/>
        <v>0</v>
      </c>
      <c r="DR302" s="82">
        <f>SUM(DR303:DR308)</f>
        <v>0</v>
      </c>
      <c r="DS302" s="80"/>
      <c r="DT302" s="81">
        <f t="shared" ref="DT302:EB302" si="1998">SUM(DT303:DT308)</f>
        <v>0</v>
      </c>
      <c r="DU302" s="81">
        <f t="shared" si="1998"/>
        <v>0</v>
      </c>
      <c r="DV302" s="81">
        <f t="shared" si="1998"/>
        <v>0</v>
      </c>
      <c r="DW302" s="81">
        <f t="shared" si="1998"/>
        <v>0</v>
      </c>
      <c r="DX302" s="81">
        <f t="shared" si="1998"/>
        <v>0</v>
      </c>
      <c r="DY302" s="81">
        <f t="shared" si="1998"/>
        <v>0</v>
      </c>
      <c r="DZ302" s="81">
        <f t="shared" si="1998"/>
        <v>0</v>
      </c>
      <c r="EA302" s="81">
        <f t="shared" si="1998"/>
        <v>0</v>
      </c>
      <c r="EB302" s="81">
        <f t="shared" si="1998"/>
        <v>0</v>
      </c>
      <c r="EC302" s="81">
        <f>SUM(EC303:EC308)</f>
        <v>0</v>
      </c>
      <c r="ED302" s="80"/>
      <c r="EE302" s="81">
        <f>SUM(EE303:EE308)</f>
        <v>0</v>
      </c>
      <c r="EF302" s="81">
        <f t="shared" ref="EF302:EM302" si="1999">SUM(EF303:EF308)</f>
        <v>0</v>
      </c>
      <c r="EG302" s="81">
        <f t="shared" si="1999"/>
        <v>0</v>
      </c>
      <c r="EH302" s="81">
        <f t="shared" si="1999"/>
        <v>0</v>
      </c>
      <c r="EI302" s="81">
        <f t="shared" si="1999"/>
        <v>0</v>
      </c>
      <c r="EJ302" s="81">
        <f t="shared" si="1999"/>
        <v>0</v>
      </c>
      <c r="EK302" s="81">
        <f t="shared" si="1999"/>
        <v>0</v>
      </c>
      <c r="EL302" s="81">
        <f t="shared" si="1999"/>
        <v>0</v>
      </c>
      <c r="EM302" s="81">
        <f t="shared" si="1999"/>
        <v>0</v>
      </c>
      <c r="EN302" s="82">
        <f>SUM(EN303:EN308)</f>
        <v>0</v>
      </c>
      <c r="EO302" s="80"/>
      <c r="EP302" s="81">
        <f t="shared" ref="EP302:EX302" si="2000">SUM(EP303:EP308)</f>
        <v>0</v>
      </c>
      <c r="EQ302" s="81">
        <f t="shared" si="2000"/>
        <v>0</v>
      </c>
      <c r="ER302" s="81">
        <f t="shared" si="2000"/>
        <v>0</v>
      </c>
      <c r="ES302" s="81">
        <f t="shared" si="2000"/>
        <v>0</v>
      </c>
      <c r="ET302" s="81">
        <f t="shared" si="2000"/>
        <v>0</v>
      </c>
      <c r="EU302" s="81">
        <f t="shared" si="2000"/>
        <v>0</v>
      </c>
      <c r="EV302" s="81">
        <f t="shared" si="2000"/>
        <v>0</v>
      </c>
      <c r="EW302" s="81">
        <f t="shared" si="2000"/>
        <v>0</v>
      </c>
      <c r="EX302" s="81">
        <f t="shared" si="2000"/>
        <v>0</v>
      </c>
      <c r="EY302" s="82">
        <f>SUM(EY303:EY308)</f>
        <v>0</v>
      </c>
      <c r="EZ302" s="80"/>
      <c r="FA302" s="81">
        <f t="shared" ref="FA302:FI302" si="2001">SUM(FA303:FA308)</f>
        <v>0</v>
      </c>
      <c r="FB302" s="81">
        <f t="shared" si="2001"/>
        <v>0</v>
      </c>
      <c r="FC302" s="81">
        <f t="shared" si="2001"/>
        <v>0</v>
      </c>
      <c r="FD302" s="81">
        <f t="shared" si="2001"/>
        <v>0</v>
      </c>
      <c r="FE302" s="81">
        <f t="shared" si="2001"/>
        <v>0</v>
      </c>
      <c r="FF302" s="81">
        <f t="shared" si="2001"/>
        <v>0</v>
      </c>
      <c r="FG302" s="81">
        <f t="shared" si="2001"/>
        <v>0</v>
      </c>
      <c r="FH302" s="81">
        <f t="shared" si="2001"/>
        <v>0</v>
      </c>
      <c r="FI302" s="81">
        <f t="shared" si="2001"/>
        <v>0</v>
      </c>
      <c r="FJ302" s="82">
        <f>SUM(FJ303:FJ308)</f>
        <v>0</v>
      </c>
      <c r="FK302" s="80"/>
      <c r="FL302" s="81">
        <f t="shared" ref="FL302:FT302" si="2002">SUM(FL303:FL308)</f>
        <v>0</v>
      </c>
      <c r="FM302" s="81">
        <f t="shared" si="2002"/>
        <v>0</v>
      </c>
      <c r="FN302" s="81">
        <f t="shared" si="2002"/>
        <v>0</v>
      </c>
      <c r="FO302" s="81">
        <f t="shared" si="2002"/>
        <v>0</v>
      </c>
      <c r="FP302" s="81">
        <f t="shared" si="2002"/>
        <v>0</v>
      </c>
      <c r="FQ302" s="81">
        <f t="shared" si="2002"/>
        <v>0</v>
      </c>
      <c r="FR302" s="81">
        <f t="shared" si="2002"/>
        <v>0</v>
      </c>
      <c r="FS302" s="81">
        <f t="shared" si="2002"/>
        <v>0</v>
      </c>
      <c r="FT302" s="81">
        <f t="shared" si="2002"/>
        <v>0</v>
      </c>
      <c r="FU302" s="82">
        <f>SUM(FU303:FU308)</f>
        <v>0</v>
      </c>
      <c r="FV302" s="80"/>
      <c r="FW302" s="81">
        <f>SUM(FW303:FW308)</f>
        <v>0</v>
      </c>
      <c r="FX302" s="81">
        <f t="shared" ref="FX302:GE302" si="2003">SUM(FX303:FX308)</f>
        <v>0</v>
      </c>
      <c r="FY302" s="81">
        <f t="shared" si="2003"/>
        <v>0</v>
      </c>
      <c r="FZ302" s="81">
        <f t="shared" si="2003"/>
        <v>0</v>
      </c>
      <c r="GA302" s="81">
        <f t="shared" si="2003"/>
        <v>0</v>
      </c>
      <c r="GB302" s="81">
        <f t="shared" si="2003"/>
        <v>0</v>
      </c>
      <c r="GC302" s="81">
        <f t="shared" si="2003"/>
        <v>0</v>
      </c>
      <c r="GD302" s="81">
        <f t="shared" si="2003"/>
        <v>0</v>
      </c>
      <c r="GE302" s="81">
        <f t="shared" si="2003"/>
        <v>0</v>
      </c>
      <c r="GF302" s="82">
        <f>SUM(GF303:GF308)</f>
        <v>0</v>
      </c>
      <c r="GG302" s="80"/>
      <c r="GH302" s="81">
        <f t="shared" ref="GH302:GP302" si="2004">SUM(GH303:GH308)</f>
        <v>0</v>
      </c>
      <c r="GI302" s="81">
        <f t="shared" si="2004"/>
        <v>0</v>
      </c>
      <c r="GJ302" s="81">
        <f t="shared" si="2004"/>
        <v>0</v>
      </c>
      <c r="GK302" s="81">
        <f t="shared" si="2004"/>
        <v>0</v>
      </c>
      <c r="GL302" s="81">
        <f t="shared" si="2004"/>
        <v>0</v>
      </c>
      <c r="GM302" s="81">
        <f t="shared" si="2004"/>
        <v>0</v>
      </c>
      <c r="GN302" s="81">
        <f t="shared" si="2004"/>
        <v>0</v>
      </c>
      <c r="GO302" s="81">
        <f t="shared" si="2004"/>
        <v>0</v>
      </c>
      <c r="GP302" s="81">
        <f t="shared" si="2004"/>
        <v>0</v>
      </c>
      <c r="GQ302" s="82">
        <f>SUM(GQ303:GQ308)</f>
        <v>0</v>
      </c>
      <c r="GR302" s="81">
        <f t="shared" ref="GR302:IV302" si="2005">SUM(GR303:GR308)</f>
        <v>0</v>
      </c>
      <c r="GS302" s="81">
        <f t="shared" si="2005"/>
        <v>0</v>
      </c>
      <c r="GT302" s="81">
        <f t="shared" si="2005"/>
        <v>0</v>
      </c>
      <c r="GU302" s="81">
        <f t="shared" si="2005"/>
        <v>0</v>
      </c>
      <c r="GV302" s="81">
        <f t="shared" si="2005"/>
        <v>0</v>
      </c>
      <c r="GW302" s="81">
        <f t="shared" si="2005"/>
        <v>0</v>
      </c>
      <c r="GX302" s="81">
        <f t="shared" si="2005"/>
        <v>0</v>
      </c>
      <c r="GY302" s="81">
        <f t="shared" si="2005"/>
        <v>0</v>
      </c>
      <c r="GZ302" s="81">
        <f t="shared" si="2005"/>
        <v>0</v>
      </c>
      <c r="HA302" s="81">
        <f t="shared" si="2005"/>
        <v>0</v>
      </c>
      <c r="HB302" s="81">
        <f>SUM(HB303:HB308)</f>
        <v>0</v>
      </c>
      <c r="HC302" s="81">
        <f>SUM(HC303:HC308)</f>
        <v>0</v>
      </c>
      <c r="HD302" s="81">
        <f>SUM(HD303:HD308)</f>
        <v>0</v>
      </c>
      <c r="HE302" s="81">
        <f>SUM(HE303:HE308)</f>
        <v>0</v>
      </c>
      <c r="HF302" s="81">
        <f t="shared" si="2005"/>
        <v>0</v>
      </c>
      <c r="HG302" s="81">
        <f t="shared" si="2005"/>
        <v>0</v>
      </c>
      <c r="HH302" s="81">
        <f t="shared" si="2005"/>
        <v>0</v>
      </c>
      <c r="HI302" s="81">
        <f t="shared" si="2005"/>
        <v>0</v>
      </c>
      <c r="HJ302" s="81">
        <f t="shared" si="2005"/>
        <v>0</v>
      </c>
      <c r="HK302" s="81">
        <f t="shared" si="2005"/>
        <v>0</v>
      </c>
      <c r="HL302" s="81">
        <f t="shared" si="2005"/>
        <v>0</v>
      </c>
      <c r="HM302" s="81">
        <f t="shared" si="2005"/>
        <v>0</v>
      </c>
      <c r="HN302" s="81">
        <f t="shared" si="2005"/>
        <v>0</v>
      </c>
      <c r="HO302" s="81">
        <f t="shared" si="2005"/>
        <v>0</v>
      </c>
      <c r="HP302" s="81">
        <f t="shared" si="2005"/>
        <v>0</v>
      </c>
      <c r="HQ302" s="81">
        <f>SUM(HQ303:HQ308)</f>
        <v>0</v>
      </c>
      <c r="HR302" s="81">
        <f>SUM(HR303:HR308)</f>
        <v>0</v>
      </c>
      <c r="HS302" s="81">
        <f>SUM(HS303:HS308)</f>
        <v>0</v>
      </c>
      <c r="HT302" s="81">
        <f>SUM(HT303:HT308)</f>
        <v>0</v>
      </c>
      <c r="HU302" s="81">
        <f t="shared" si="2005"/>
        <v>0</v>
      </c>
      <c r="HV302" s="81">
        <f t="shared" si="2005"/>
        <v>0</v>
      </c>
      <c r="HW302" s="81">
        <f t="shared" si="2005"/>
        <v>0</v>
      </c>
      <c r="HX302" s="81">
        <f t="shared" si="2005"/>
        <v>0</v>
      </c>
      <c r="HY302" s="81">
        <f t="shared" si="2005"/>
        <v>0</v>
      </c>
      <c r="HZ302" s="81">
        <f t="shared" si="2005"/>
        <v>0</v>
      </c>
      <c r="IA302" s="81">
        <f>SUM(IA303:IA308)</f>
        <v>0</v>
      </c>
      <c r="IB302" s="81">
        <f>SUM(IB303:IB308)</f>
        <v>0</v>
      </c>
      <c r="IC302" s="81">
        <f>SUM(IC303:IC308)</f>
        <v>0</v>
      </c>
      <c r="ID302" s="81">
        <f>SUM(ID303:ID308)</f>
        <v>0</v>
      </c>
      <c r="IE302" s="81">
        <f t="shared" si="2005"/>
        <v>0</v>
      </c>
      <c r="IF302" s="81">
        <f t="shared" si="2005"/>
        <v>0</v>
      </c>
      <c r="IG302" s="81">
        <f t="shared" si="2005"/>
        <v>0</v>
      </c>
      <c r="IH302" s="81">
        <f t="shared" si="2005"/>
        <v>0</v>
      </c>
      <c r="II302" s="81">
        <f t="shared" si="2005"/>
        <v>0</v>
      </c>
      <c r="IJ302" s="81">
        <f t="shared" si="2005"/>
        <v>0</v>
      </c>
      <c r="IK302" s="81">
        <f t="shared" si="2005"/>
        <v>0</v>
      </c>
      <c r="IL302" s="81">
        <f t="shared" si="2005"/>
        <v>0</v>
      </c>
      <c r="IM302" s="81">
        <f t="shared" si="2005"/>
        <v>0</v>
      </c>
      <c r="IN302" s="81">
        <f t="shared" si="2005"/>
        <v>0</v>
      </c>
      <c r="IO302" s="81">
        <f t="shared" si="2005"/>
        <v>0</v>
      </c>
      <c r="IP302" s="81">
        <f>SUM(IP303:IP308)</f>
        <v>0</v>
      </c>
      <c r="IQ302" s="81">
        <f>SUM(IQ303:IQ308)</f>
        <v>0</v>
      </c>
      <c r="IR302" s="81">
        <f>SUM(IR303:IR308)</f>
        <v>0</v>
      </c>
      <c r="IS302" s="81">
        <f>SUM(IS303:IS308)</f>
        <v>0</v>
      </c>
      <c r="IT302" s="81">
        <f t="shared" si="2005"/>
        <v>0</v>
      </c>
      <c r="IU302" s="81">
        <f t="shared" si="2005"/>
        <v>0</v>
      </c>
      <c r="IV302" s="81">
        <f t="shared" si="2005"/>
        <v>0</v>
      </c>
    </row>
    <row r="303" spans="1:256" x14ac:dyDescent="0.25">
      <c r="A303" s="83" t="s">
        <v>238</v>
      </c>
      <c r="B303" s="62">
        <v>1</v>
      </c>
      <c r="C303" s="63">
        <v>0</v>
      </c>
      <c r="D303" s="63">
        <v>0</v>
      </c>
      <c r="E303" s="63">
        <v>0</v>
      </c>
      <c r="F303" s="63">
        <v>0</v>
      </c>
      <c r="G303" s="63">
        <v>0</v>
      </c>
      <c r="H303" s="63"/>
      <c r="I303" s="63"/>
      <c r="J303" s="63"/>
      <c r="K303" s="63"/>
      <c r="L303" s="64">
        <f t="shared" ref="L303:L308" si="2006">SUM(C303:F303,H303:K303)</f>
        <v>0</v>
      </c>
      <c r="M303" s="62"/>
      <c r="N303" s="63"/>
      <c r="O303" s="63"/>
      <c r="P303" s="63"/>
      <c r="Q303" s="63"/>
      <c r="R303" s="63"/>
      <c r="S303" s="63"/>
      <c r="T303" s="63"/>
      <c r="U303" s="63"/>
      <c r="V303" s="63"/>
      <c r="W303" s="64">
        <f t="shared" ref="W303:W308" si="2007">SUM(N303:Q303,S303:V303)</f>
        <v>0</v>
      </c>
      <c r="X303" s="62"/>
      <c r="Y303" s="63"/>
      <c r="Z303" s="63"/>
      <c r="AA303" s="63"/>
      <c r="AB303" s="63"/>
      <c r="AC303" s="63"/>
      <c r="AD303" s="63"/>
      <c r="AE303" s="63"/>
      <c r="AF303" s="63"/>
      <c r="AG303" s="63"/>
      <c r="AH303" s="64">
        <f t="shared" ref="AH303:AH308" si="2008">SUM(Y303:AB303,AD303:AG303)</f>
        <v>0</v>
      </c>
      <c r="AI303" s="62"/>
      <c r="AJ303" s="63"/>
      <c r="AK303" s="63"/>
      <c r="AL303" s="63"/>
      <c r="AM303" s="63"/>
      <c r="AN303" s="63"/>
      <c r="AO303" s="63"/>
      <c r="AP303" s="63"/>
      <c r="AQ303" s="63"/>
      <c r="AR303" s="63"/>
      <c r="AS303" s="64">
        <f t="shared" ref="AS303:AS308" si="2009">SUM(AJ303:AM303,AO303:AR303)</f>
        <v>0</v>
      </c>
      <c r="AT303" s="65">
        <f t="shared" ref="AT303:BC308" si="2010">SUM(M303,AI303,X303)</f>
        <v>0</v>
      </c>
      <c r="AU303" s="65">
        <f t="shared" si="2010"/>
        <v>0</v>
      </c>
      <c r="AV303" s="65">
        <f t="shared" si="2010"/>
        <v>0</v>
      </c>
      <c r="AW303" s="65">
        <f t="shared" si="2010"/>
        <v>0</v>
      </c>
      <c r="AX303" s="65">
        <f t="shared" si="2010"/>
        <v>0</v>
      </c>
      <c r="AY303" s="65">
        <f t="shared" si="2010"/>
        <v>0</v>
      </c>
      <c r="AZ303" s="65">
        <f t="shared" si="2010"/>
        <v>0</v>
      </c>
      <c r="BA303" s="65">
        <f t="shared" si="2010"/>
        <v>0</v>
      </c>
      <c r="BB303" s="65">
        <f t="shared" si="2010"/>
        <v>0</v>
      </c>
      <c r="BC303" s="65">
        <f t="shared" si="2010"/>
        <v>0</v>
      </c>
      <c r="BD303" s="64">
        <f t="shared" ref="BD303:BD308" si="2011">SUM(AU303:AX303,AZ303:BC303)</f>
        <v>0</v>
      </c>
      <c r="BE303" s="62"/>
      <c r="BF303" s="63"/>
      <c r="BG303" s="63"/>
      <c r="BH303" s="63"/>
      <c r="BI303" s="63"/>
      <c r="BJ303" s="63"/>
      <c r="BK303" s="63"/>
      <c r="BL303" s="63"/>
      <c r="BM303" s="63"/>
      <c r="BN303" s="63"/>
      <c r="BO303" s="64">
        <f t="shared" ref="BO303:BO308" si="2012">SUM(BF303:BI303,BK303:BN303)</f>
        <v>0</v>
      </c>
      <c r="BP303" s="62"/>
      <c r="BQ303" s="63"/>
      <c r="BR303" s="63"/>
      <c r="BS303" s="63"/>
      <c r="BT303" s="63"/>
      <c r="BU303" s="63"/>
      <c r="BV303" s="63"/>
      <c r="BW303" s="63"/>
      <c r="BX303" s="63"/>
      <c r="BY303" s="63"/>
      <c r="BZ303" s="64">
        <f t="shared" ref="BZ303:BZ308" si="2013">SUM(BQ303:BT303,BV303:BY303)</f>
        <v>0</v>
      </c>
      <c r="CA303" s="62"/>
      <c r="CB303" s="63"/>
      <c r="CC303" s="63"/>
      <c r="CD303" s="63"/>
      <c r="CE303" s="63"/>
      <c r="CF303" s="63"/>
      <c r="CG303" s="63"/>
      <c r="CH303" s="63"/>
      <c r="CI303" s="63"/>
      <c r="CJ303" s="63"/>
      <c r="CK303" s="64">
        <f t="shared" ref="CK303:CK308" si="2014">SUM(CB303:CE303,CG303:CJ303)</f>
        <v>0</v>
      </c>
      <c r="CL303" s="65">
        <f t="shared" ref="CL303:CU308" si="2015">SUM(BE303,CA303,BP303)</f>
        <v>0</v>
      </c>
      <c r="CM303" s="65">
        <f t="shared" si="2015"/>
        <v>0</v>
      </c>
      <c r="CN303" s="65">
        <f t="shared" si="2015"/>
        <v>0</v>
      </c>
      <c r="CO303" s="65">
        <f t="shared" si="2015"/>
        <v>0</v>
      </c>
      <c r="CP303" s="65">
        <f t="shared" si="2015"/>
        <v>0</v>
      </c>
      <c r="CQ303" s="65">
        <f t="shared" si="2015"/>
        <v>0</v>
      </c>
      <c r="CR303" s="65">
        <f t="shared" si="2015"/>
        <v>0</v>
      </c>
      <c r="CS303" s="65">
        <f t="shared" si="2015"/>
        <v>0</v>
      </c>
      <c r="CT303" s="65">
        <f t="shared" si="2015"/>
        <v>0</v>
      </c>
      <c r="CU303" s="65">
        <f t="shared" si="2015"/>
        <v>0</v>
      </c>
      <c r="CV303" s="64">
        <f t="shared" ref="CV303:CV308" si="2016">SUM(CM303:CP303,CR303:CU303)</f>
        <v>0</v>
      </c>
      <c r="CW303" s="62"/>
      <c r="CX303" s="63"/>
      <c r="CY303" s="63"/>
      <c r="CZ303" s="63"/>
      <c r="DA303" s="63"/>
      <c r="DB303" s="63"/>
      <c r="DC303" s="63"/>
      <c r="DD303" s="63"/>
      <c r="DE303" s="63"/>
      <c r="DF303" s="63"/>
      <c r="DG303" s="64">
        <f t="shared" ref="DG303:DG308" si="2017">SUM(CX303:DA303,DC303:DF303)</f>
        <v>0</v>
      </c>
      <c r="DH303" s="62"/>
      <c r="DI303" s="63"/>
      <c r="DJ303" s="63"/>
      <c r="DK303" s="63"/>
      <c r="DL303" s="63"/>
      <c r="DM303" s="63"/>
      <c r="DN303" s="63"/>
      <c r="DO303" s="63"/>
      <c r="DP303" s="63"/>
      <c r="DQ303" s="63"/>
      <c r="DR303" s="64">
        <f t="shared" ref="DR303:DR308" si="2018">SUM(DI303:DL303,DN303:DQ303)</f>
        <v>0</v>
      </c>
      <c r="DS303" s="62"/>
      <c r="DT303" s="63"/>
      <c r="DU303" s="63"/>
      <c r="DV303" s="63"/>
      <c r="DW303" s="63"/>
      <c r="DX303" s="63"/>
      <c r="DY303" s="63"/>
      <c r="DZ303" s="63"/>
      <c r="EA303" s="63"/>
      <c r="EB303" s="63"/>
      <c r="EC303" s="63"/>
      <c r="ED303" s="65">
        <f t="shared" ref="ED303:EM308" si="2019">SUM(CW303,DS303,DH303)</f>
        <v>0</v>
      </c>
      <c r="EE303" s="65">
        <f t="shared" si="2019"/>
        <v>0</v>
      </c>
      <c r="EF303" s="65">
        <f t="shared" si="2019"/>
        <v>0</v>
      </c>
      <c r="EG303" s="65">
        <f t="shared" si="2019"/>
        <v>0</v>
      </c>
      <c r="EH303" s="65">
        <f t="shared" si="2019"/>
        <v>0</v>
      </c>
      <c r="EI303" s="65">
        <f t="shared" si="2019"/>
        <v>0</v>
      </c>
      <c r="EJ303" s="65">
        <f t="shared" si="2019"/>
        <v>0</v>
      </c>
      <c r="EK303" s="65">
        <f t="shared" si="2019"/>
        <v>0</v>
      </c>
      <c r="EL303" s="65">
        <f t="shared" si="2019"/>
        <v>0</v>
      </c>
      <c r="EM303" s="65">
        <f t="shared" si="2019"/>
        <v>0</v>
      </c>
      <c r="EN303" s="64">
        <f t="shared" ref="EN303:EN308" si="2020">SUM(EE303:EH303,EJ303:EM303)</f>
        <v>0</v>
      </c>
      <c r="EO303" s="62"/>
      <c r="EP303" s="63"/>
      <c r="EQ303" s="63"/>
      <c r="ER303" s="63"/>
      <c r="ES303" s="63"/>
      <c r="ET303" s="63"/>
      <c r="EU303" s="63"/>
      <c r="EV303" s="63"/>
      <c r="EW303" s="63"/>
      <c r="EX303" s="63"/>
      <c r="EY303" s="64">
        <f t="shared" ref="EY303:EY308" si="2021">SUM(EP303:ES303,EU303:EX303)</f>
        <v>0</v>
      </c>
      <c r="EZ303" s="62"/>
      <c r="FA303" s="63"/>
      <c r="FB303" s="63"/>
      <c r="FC303" s="63"/>
      <c r="FD303" s="63"/>
      <c r="FE303" s="63"/>
      <c r="FF303" s="63"/>
      <c r="FG303" s="63"/>
      <c r="FH303" s="63"/>
      <c r="FI303" s="63"/>
      <c r="FJ303" s="64">
        <f t="shared" ref="FJ303:FJ308" si="2022">SUM(FA303:FD303,FF303:FI303)</f>
        <v>0</v>
      </c>
      <c r="FK303" s="62"/>
      <c r="FL303" s="63"/>
      <c r="FM303" s="63"/>
      <c r="FN303" s="63"/>
      <c r="FO303" s="63"/>
      <c r="FP303" s="63"/>
      <c r="FQ303" s="63"/>
      <c r="FR303" s="63"/>
      <c r="FS303" s="63"/>
      <c r="FT303" s="63"/>
      <c r="FU303" s="64">
        <f t="shared" ref="FU303:FU308" si="2023">SUM(FL303:FO303,FQ303:FT303)</f>
        <v>0</v>
      </c>
      <c r="FV303" s="65">
        <f t="shared" ref="FV303:GE308" si="2024">SUM(EO303,FK303,EZ303)</f>
        <v>0</v>
      </c>
      <c r="FW303" s="65">
        <f t="shared" si="2024"/>
        <v>0</v>
      </c>
      <c r="FX303" s="65">
        <f t="shared" si="2024"/>
        <v>0</v>
      </c>
      <c r="FY303" s="65">
        <f t="shared" si="2024"/>
        <v>0</v>
      </c>
      <c r="FZ303" s="65">
        <f t="shared" si="2024"/>
        <v>0</v>
      </c>
      <c r="GA303" s="65">
        <f t="shared" si="2024"/>
        <v>0</v>
      </c>
      <c r="GB303" s="65">
        <f t="shared" si="2024"/>
        <v>0</v>
      </c>
      <c r="GC303" s="65">
        <f t="shared" si="2024"/>
        <v>0</v>
      </c>
      <c r="GD303" s="65">
        <f t="shared" si="2024"/>
        <v>0</v>
      </c>
      <c r="GE303" s="65">
        <f t="shared" si="2024"/>
        <v>0</v>
      </c>
      <c r="GF303" s="64">
        <f t="shared" ref="GF303:GF308" si="2025">SUM(FW303:FZ303,GB303:GE303)</f>
        <v>0</v>
      </c>
      <c r="GG303" s="66">
        <f t="shared" ref="GG303:GP308" si="2026">SUM(AT303,CL303,ED303,FV303)</f>
        <v>0</v>
      </c>
      <c r="GH303" s="66">
        <f t="shared" si="2026"/>
        <v>0</v>
      </c>
      <c r="GI303" s="66">
        <f t="shared" si="2026"/>
        <v>0</v>
      </c>
      <c r="GJ303" s="66">
        <f t="shared" si="2026"/>
        <v>0</v>
      </c>
      <c r="GK303" s="66">
        <f t="shared" si="2026"/>
        <v>0</v>
      </c>
      <c r="GL303" s="66">
        <f t="shared" si="2026"/>
        <v>0</v>
      </c>
      <c r="GM303" s="66">
        <f t="shared" si="2026"/>
        <v>0</v>
      </c>
      <c r="GN303" s="66">
        <f t="shared" si="2026"/>
        <v>0</v>
      </c>
      <c r="GO303" s="66">
        <f t="shared" si="2026"/>
        <v>0</v>
      </c>
      <c r="GP303" s="66">
        <f t="shared" si="2026"/>
        <v>0</v>
      </c>
      <c r="GQ303" s="64">
        <f t="shared" ref="GQ303:GQ308" si="2027">SUM(GH303:GK303,GM303:GP303)</f>
        <v>0</v>
      </c>
      <c r="GR303" s="63"/>
      <c r="GS303" s="63"/>
      <c r="GT303" s="63"/>
      <c r="GU303" s="63"/>
      <c r="GV303" s="67">
        <f t="shared" ref="GV303:GV308" si="2028">SUM(GR303:GU303)</f>
        <v>0</v>
      </c>
      <c r="GW303" s="63"/>
      <c r="GX303" s="63"/>
      <c r="GY303" s="63"/>
      <c r="GZ303" s="63"/>
      <c r="HA303" s="67">
        <f t="shared" ref="HA303:HA308" si="2029">SUM(GW303:GZ303)</f>
        <v>0</v>
      </c>
      <c r="HB303" s="63"/>
      <c r="HC303" s="63"/>
      <c r="HD303" s="63"/>
      <c r="HE303" s="63"/>
      <c r="HF303" s="67">
        <f t="shared" ref="HF303:HF308" si="2030">SUM(HB303:HE303)</f>
        <v>0</v>
      </c>
      <c r="HG303" s="63"/>
      <c r="HH303" s="63"/>
      <c r="HI303" s="63"/>
      <c r="HJ303" s="63"/>
      <c r="HK303" s="67">
        <f t="shared" ref="HK303:HK308" si="2031">SUM(HG303:HJ303)</f>
        <v>0</v>
      </c>
      <c r="HL303" s="68">
        <f t="shared" ref="HL303:HO308" si="2032">SUM(GW303,HB303,HG303)</f>
        <v>0</v>
      </c>
      <c r="HM303" s="68">
        <f t="shared" si="2032"/>
        <v>0</v>
      </c>
      <c r="HN303" s="68">
        <f t="shared" si="2032"/>
        <v>0</v>
      </c>
      <c r="HO303" s="68">
        <f t="shared" si="2032"/>
        <v>0</v>
      </c>
      <c r="HP303" s="67">
        <f t="shared" ref="HP303:HP308" si="2033">SUM(HL303:HO303)</f>
        <v>0</v>
      </c>
      <c r="HQ303" s="63"/>
      <c r="HR303" s="63"/>
      <c r="HS303" s="63"/>
      <c r="HT303" s="63"/>
      <c r="HU303" s="67">
        <f t="shared" ref="HU303:HU308" si="2034">SUM(HQ303:HT303)</f>
        <v>0</v>
      </c>
      <c r="HV303" s="63"/>
      <c r="HW303" s="63"/>
      <c r="HX303" s="63"/>
      <c r="HY303" s="63"/>
      <c r="HZ303" s="67">
        <f t="shared" ref="HZ303:HZ308" si="2035">SUM(HV303:HY303)</f>
        <v>0</v>
      </c>
      <c r="IA303" s="63"/>
      <c r="IB303" s="63"/>
      <c r="IC303" s="63"/>
      <c r="ID303" s="63"/>
      <c r="IE303" s="67">
        <f t="shared" ref="IE303:IE308" si="2036">SUM(IA303:ID303)</f>
        <v>0</v>
      </c>
      <c r="IF303" s="68">
        <f t="shared" ref="IF303:II308" si="2037">SUM(HQ303,HV303,IA303)</f>
        <v>0</v>
      </c>
      <c r="IG303" s="68">
        <f t="shared" si="2037"/>
        <v>0</v>
      </c>
      <c r="IH303" s="68">
        <f t="shared" si="2037"/>
        <v>0</v>
      </c>
      <c r="II303" s="68">
        <f t="shared" si="2037"/>
        <v>0</v>
      </c>
      <c r="IJ303" s="67">
        <f t="shared" ref="IJ303:IJ308" si="2038">SUM(IF303:II303)</f>
        <v>0</v>
      </c>
      <c r="IK303" s="63"/>
      <c r="IL303" s="63"/>
      <c r="IM303" s="63"/>
      <c r="IN303" s="63"/>
      <c r="IO303" s="67">
        <f t="shared" ref="IO303:IO308" si="2039">SUM(IK303:IN303)</f>
        <v>0</v>
      </c>
      <c r="IP303" s="63"/>
      <c r="IQ303" s="63"/>
      <c r="IR303" s="63"/>
      <c r="IS303" s="63"/>
      <c r="IT303" s="67">
        <f t="shared" ref="IT303:IT308" si="2040">SUM(IP303:IS303)</f>
        <v>0</v>
      </c>
      <c r="IU303" s="63"/>
      <c r="IV303" s="63"/>
    </row>
    <row r="304" spans="1:256" x14ac:dyDescent="0.25">
      <c r="A304" s="84" t="s">
        <v>239</v>
      </c>
      <c r="B304" s="62">
        <v>8</v>
      </c>
      <c r="C304" s="63">
        <v>0</v>
      </c>
      <c r="D304" s="63">
        <v>0</v>
      </c>
      <c r="E304" s="63">
        <v>0</v>
      </c>
      <c r="F304" s="63">
        <v>0</v>
      </c>
      <c r="G304" s="63">
        <v>8</v>
      </c>
      <c r="H304" s="63"/>
      <c r="I304" s="63"/>
      <c r="J304" s="63"/>
      <c r="K304" s="63"/>
      <c r="L304" s="64">
        <f t="shared" si="2006"/>
        <v>0</v>
      </c>
      <c r="M304" s="62"/>
      <c r="N304" s="63"/>
      <c r="O304" s="63"/>
      <c r="P304" s="63"/>
      <c r="Q304" s="63"/>
      <c r="R304" s="63"/>
      <c r="S304" s="63"/>
      <c r="T304" s="63"/>
      <c r="U304" s="63"/>
      <c r="V304" s="63"/>
      <c r="W304" s="64">
        <f t="shared" si="2007"/>
        <v>0</v>
      </c>
      <c r="X304" s="62"/>
      <c r="Y304" s="63"/>
      <c r="Z304" s="63"/>
      <c r="AA304" s="63"/>
      <c r="AB304" s="63"/>
      <c r="AC304" s="63"/>
      <c r="AD304" s="63"/>
      <c r="AE304" s="63"/>
      <c r="AF304" s="63"/>
      <c r="AG304" s="63"/>
      <c r="AH304" s="64">
        <f t="shared" si="2008"/>
        <v>0</v>
      </c>
      <c r="AI304" s="62"/>
      <c r="AJ304" s="63"/>
      <c r="AK304" s="63"/>
      <c r="AL304" s="63"/>
      <c r="AM304" s="63"/>
      <c r="AN304" s="63"/>
      <c r="AO304" s="63"/>
      <c r="AP304" s="63"/>
      <c r="AQ304" s="63"/>
      <c r="AR304" s="63"/>
      <c r="AS304" s="64">
        <f t="shared" si="2009"/>
        <v>0</v>
      </c>
      <c r="AT304" s="65">
        <f t="shared" si="2010"/>
        <v>0</v>
      </c>
      <c r="AU304" s="65">
        <f t="shared" si="2010"/>
        <v>0</v>
      </c>
      <c r="AV304" s="65">
        <f t="shared" si="2010"/>
        <v>0</v>
      </c>
      <c r="AW304" s="65">
        <f t="shared" si="2010"/>
        <v>0</v>
      </c>
      <c r="AX304" s="65">
        <f t="shared" si="2010"/>
        <v>0</v>
      </c>
      <c r="AY304" s="65">
        <f t="shared" si="2010"/>
        <v>0</v>
      </c>
      <c r="AZ304" s="65">
        <f t="shared" si="2010"/>
        <v>0</v>
      </c>
      <c r="BA304" s="65">
        <f t="shared" si="2010"/>
        <v>0</v>
      </c>
      <c r="BB304" s="65">
        <f t="shared" si="2010"/>
        <v>0</v>
      </c>
      <c r="BC304" s="65">
        <f t="shared" si="2010"/>
        <v>0</v>
      </c>
      <c r="BD304" s="64">
        <f t="shared" si="2011"/>
        <v>0</v>
      </c>
      <c r="BE304" s="62"/>
      <c r="BF304" s="63"/>
      <c r="BG304" s="63"/>
      <c r="BH304" s="63"/>
      <c r="BI304" s="63"/>
      <c r="BJ304" s="63"/>
      <c r="BK304" s="63"/>
      <c r="BL304" s="63"/>
      <c r="BM304" s="63"/>
      <c r="BN304" s="63"/>
      <c r="BO304" s="64">
        <f t="shared" si="2012"/>
        <v>0</v>
      </c>
      <c r="BP304" s="62"/>
      <c r="BQ304" s="63"/>
      <c r="BR304" s="63"/>
      <c r="BS304" s="63"/>
      <c r="BT304" s="63"/>
      <c r="BU304" s="63"/>
      <c r="BV304" s="63"/>
      <c r="BW304" s="63"/>
      <c r="BX304" s="63"/>
      <c r="BY304" s="63"/>
      <c r="BZ304" s="64">
        <f t="shared" si="2013"/>
        <v>0</v>
      </c>
      <c r="CA304" s="62"/>
      <c r="CB304" s="63"/>
      <c r="CC304" s="63"/>
      <c r="CD304" s="63"/>
      <c r="CE304" s="63"/>
      <c r="CF304" s="63"/>
      <c r="CG304" s="63"/>
      <c r="CH304" s="63"/>
      <c r="CI304" s="63"/>
      <c r="CJ304" s="63"/>
      <c r="CK304" s="64">
        <f t="shared" si="2014"/>
        <v>0</v>
      </c>
      <c r="CL304" s="65">
        <f t="shared" si="2015"/>
        <v>0</v>
      </c>
      <c r="CM304" s="65">
        <f t="shared" si="2015"/>
        <v>0</v>
      </c>
      <c r="CN304" s="65">
        <f t="shared" si="2015"/>
        <v>0</v>
      </c>
      <c r="CO304" s="65">
        <f t="shared" si="2015"/>
        <v>0</v>
      </c>
      <c r="CP304" s="65">
        <f t="shared" si="2015"/>
        <v>0</v>
      </c>
      <c r="CQ304" s="65">
        <f t="shared" si="2015"/>
        <v>0</v>
      </c>
      <c r="CR304" s="65">
        <f t="shared" si="2015"/>
        <v>0</v>
      </c>
      <c r="CS304" s="65">
        <f t="shared" si="2015"/>
        <v>0</v>
      </c>
      <c r="CT304" s="65">
        <f t="shared" si="2015"/>
        <v>0</v>
      </c>
      <c r="CU304" s="65">
        <f t="shared" si="2015"/>
        <v>0</v>
      </c>
      <c r="CV304" s="64">
        <f t="shared" si="2016"/>
        <v>0</v>
      </c>
      <c r="CW304" s="62"/>
      <c r="CX304" s="63"/>
      <c r="CY304" s="63"/>
      <c r="CZ304" s="63"/>
      <c r="DA304" s="63"/>
      <c r="DB304" s="63"/>
      <c r="DC304" s="63"/>
      <c r="DD304" s="63"/>
      <c r="DE304" s="63"/>
      <c r="DF304" s="63"/>
      <c r="DG304" s="64">
        <f t="shared" si="2017"/>
        <v>0</v>
      </c>
      <c r="DH304" s="62"/>
      <c r="DI304" s="63"/>
      <c r="DJ304" s="63"/>
      <c r="DK304" s="63"/>
      <c r="DL304" s="63"/>
      <c r="DM304" s="63"/>
      <c r="DN304" s="63"/>
      <c r="DO304" s="63"/>
      <c r="DP304" s="63"/>
      <c r="DQ304" s="63"/>
      <c r="DR304" s="64">
        <f t="shared" si="2018"/>
        <v>0</v>
      </c>
      <c r="DS304" s="62"/>
      <c r="DT304" s="63"/>
      <c r="DU304" s="63"/>
      <c r="DV304" s="63"/>
      <c r="DW304" s="63"/>
      <c r="DX304" s="63"/>
      <c r="DY304" s="63"/>
      <c r="DZ304" s="63"/>
      <c r="EA304" s="63"/>
      <c r="EB304" s="63"/>
      <c r="EC304" s="63"/>
      <c r="ED304" s="65">
        <f t="shared" si="2019"/>
        <v>0</v>
      </c>
      <c r="EE304" s="65">
        <f t="shared" si="2019"/>
        <v>0</v>
      </c>
      <c r="EF304" s="65">
        <f t="shared" si="2019"/>
        <v>0</v>
      </c>
      <c r="EG304" s="65">
        <f t="shared" si="2019"/>
        <v>0</v>
      </c>
      <c r="EH304" s="65">
        <f t="shared" si="2019"/>
        <v>0</v>
      </c>
      <c r="EI304" s="65">
        <f t="shared" si="2019"/>
        <v>0</v>
      </c>
      <c r="EJ304" s="65">
        <f t="shared" si="2019"/>
        <v>0</v>
      </c>
      <c r="EK304" s="65">
        <f t="shared" si="2019"/>
        <v>0</v>
      </c>
      <c r="EL304" s="65">
        <f t="shared" si="2019"/>
        <v>0</v>
      </c>
      <c r="EM304" s="65">
        <f t="shared" si="2019"/>
        <v>0</v>
      </c>
      <c r="EN304" s="64">
        <f t="shared" si="2020"/>
        <v>0</v>
      </c>
      <c r="EO304" s="62"/>
      <c r="EP304" s="63"/>
      <c r="EQ304" s="63"/>
      <c r="ER304" s="63"/>
      <c r="ES304" s="63"/>
      <c r="ET304" s="63"/>
      <c r="EU304" s="63"/>
      <c r="EV304" s="63"/>
      <c r="EW304" s="63"/>
      <c r="EX304" s="63"/>
      <c r="EY304" s="64">
        <f t="shared" si="2021"/>
        <v>0</v>
      </c>
      <c r="EZ304" s="62"/>
      <c r="FA304" s="63"/>
      <c r="FB304" s="63"/>
      <c r="FC304" s="63"/>
      <c r="FD304" s="63"/>
      <c r="FE304" s="63"/>
      <c r="FF304" s="63"/>
      <c r="FG304" s="63"/>
      <c r="FH304" s="63"/>
      <c r="FI304" s="63"/>
      <c r="FJ304" s="64">
        <f t="shared" si="2022"/>
        <v>0</v>
      </c>
      <c r="FK304" s="62"/>
      <c r="FL304" s="63"/>
      <c r="FM304" s="63"/>
      <c r="FN304" s="63"/>
      <c r="FO304" s="63"/>
      <c r="FP304" s="63"/>
      <c r="FQ304" s="63"/>
      <c r="FR304" s="63"/>
      <c r="FS304" s="63"/>
      <c r="FT304" s="63"/>
      <c r="FU304" s="64">
        <f t="shared" si="2023"/>
        <v>0</v>
      </c>
      <c r="FV304" s="65">
        <f t="shared" si="2024"/>
        <v>0</v>
      </c>
      <c r="FW304" s="65">
        <f t="shared" si="2024"/>
        <v>0</v>
      </c>
      <c r="FX304" s="65">
        <f t="shared" si="2024"/>
        <v>0</v>
      </c>
      <c r="FY304" s="65">
        <f t="shared" si="2024"/>
        <v>0</v>
      </c>
      <c r="FZ304" s="65">
        <f t="shared" si="2024"/>
        <v>0</v>
      </c>
      <c r="GA304" s="65">
        <f t="shared" si="2024"/>
        <v>0</v>
      </c>
      <c r="GB304" s="65">
        <f t="shared" si="2024"/>
        <v>0</v>
      </c>
      <c r="GC304" s="65">
        <f t="shared" si="2024"/>
        <v>0</v>
      </c>
      <c r="GD304" s="65">
        <f t="shared" si="2024"/>
        <v>0</v>
      </c>
      <c r="GE304" s="65">
        <f t="shared" si="2024"/>
        <v>0</v>
      </c>
      <c r="GF304" s="64">
        <f t="shared" si="2025"/>
        <v>0</v>
      </c>
      <c r="GG304" s="66">
        <f t="shared" si="2026"/>
        <v>0</v>
      </c>
      <c r="GH304" s="66">
        <f t="shared" si="2026"/>
        <v>0</v>
      </c>
      <c r="GI304" s="66">
        <f t="shared" si="2026"/>
        <v>0</v>
      </c>
      <c r="GJ304" s="66">
        <f t="shared" si="2026"/>
        <v>0</v>
      </c>
      <c r="GK304" s="66">
        <f t="shared" si="2026"/>
        <v>0</v>
      </c>
      <c r="GL304" s="66">
        <f t="shared" si="2026"/>
        <v>0</v>
      </c>
      <c r="GM304" s="66">
        <f t="shared" si="2026"/>
        <v>0</v>
      </c>
      <c r="GN304" s="66">
        <f t="shared" si="2026"/>
        <v>0</v>
      </c>
      <c r="GO304" s="66">
        <f t="shared" si="2026"/>
        <v>0</v>
      </c>
      <c r="GP304" s="66">
        <f t="shared" si="2026"/>
        <v>0</v>
      </c>
      <c r="GQ304" s="64">
        <f t="shared" si="2027"/>
        <v>0</v>
      </c>
      <c r="GR304" s="63">
        <v>0</v>
      </c>
      <c r="GS304" s="63"/>
      <c r="GT304" s="63"/>
      <c r="GU304" s="63"/>
      <c r="GV304" s="67">
        <f t="shared" si="2028"/>
        <v>0</v>
      </c>
      <c r="GW304" s="63"/>
      <c r="GX304" s="63"/>
      <c r="GY304" s="63"/>
      <c r="GZ304" s="63"/>
      <c r="HA304" s="67">
        <f t="shared" si="2029"/>
        <v>0</v>
      </c>
      <c r="HB304" s="63"/>
      <c r="HC304" s="63"/>
      <c r="HD304" s="63"/>
      <c r="HE304" s="63"/>
      <c r="HF304" s="67">
        <f t="shared" si="2030"/>
        <v>0</v>
      </c>
      <c r="HG304" s="63"/>
      <c r="HH304" s="63"/>
      <c r="HI304" s="63"/>
      <c r="HJ304" s="63"/>
      <c r="HK304" s="67">
        <f t="shared" si="2031"/>
        <v>0</v>
      </c>
      <c r="HL304" s="68">
        <f t="shared" si="2032"/>
        <v>0</v>
      </c>
      <c r="HM304" s="68">
        <f t="shared" si="2032"/>
        <v>0</v>
      </c>
      <c r="HN304" s="68">
        <f t="shared" si="2032"/>
        <v>0</v>
      </c>
      <c r="HO304" s="68">
        <f t="shared" si="2032"/>
        <v>0</v>
      </c>
      <c r="HP304" s="67">
        <f t="shared" si="2033"/>
        <v>0</v>
      </c>
      <c r="HQ304" s="63"/>
      <c r="HR304" s="63"/>
      <c r="HS304" s="63"/>
      <c r="HT304" s="63"/>
      <c r="HU304" s="67">
        <f t="shared" si="2034"/>
        <v>0</v>
      </c>
      <c r="HV304" s="63"/>
      <c r="HW304" s="63"/>
      <c r="HX304" s="63"/>
      <c r="HY304" s="63"/>
      <c r="HZ304" s="67">
        <f t="shared" si="2035"/>
        <v>0</v>
      </c>
      <c r="IA304" s="63"/>
      <c r="IB304" s="63"/>
      <c r="IC304" s="63"/>
      <c r="ID304" s="63"/>
      <c r="IE304" s="67">
        <f t="shared" si="2036"/>
        <v>0</v>
      </c>
      <c r="IF304" s="68">
        <f t="shared" si="2037"/>
        <v>0</v>
      </c>
      <c r="IG304" s="68">
        <f t="shared" si="2037"/>
        <v>0</v>
      </c>
      <c r="IH304" s="68">
        <f t="shared" si="2037"/>
        <v>0</v>
      </c>
      <c r="II304" s="68">
        <f t="shared" si="2037"/>
        <v>0</v>
      </c>
      <c r="IJ304" s="67">
        <f t="shared" si="2038"/>
        <v>0</v>
      </c>
      <c r="IK304" s="63"/>
      <c r="IL304" s="63"/>
      <c r="IM304" s="63"/>
      <c r="IN304" s="63"/>
      <c r="IO304" s="67">
        <f t="shared" si="2039"/>
        <v>0</v>
      </c>
      <c r="IP304" s="63"/>
      <c r="IQ304" s="63"/>
      <c r="IR304" s="63"/>
      <c r="IS304" s="63"/>
      <c r="IT304" s="67">
        <f t="shared" si="2040"/>
        <v>0</v>
      </c>
      <c r="IU304" s="63"/>
      <c r="IV304" s="63"/>
    </row>
    <row r="305" spans="1:256" x14ac:dyDescent="0.25">
      <c r="A305" s="84" t="s">
        <v>240</v>
      </c>
      <c r="B305" s="62">
        <v>85</v>
      </c>
      <c r="C305" s="63">
        <v>0</v>
      </c>
      <c r="D305" s="63">
        <v>0</v>
      </c>
      <c r="E305" s="63">
        <v>0</v>
      </c>
      <c r="F305" s="63">
        <v>0</v>
      </c>
      <c r="G305" s="63">
        <v>0</v>
      </c>
      <c r="H305" s="63"/>
      <c r="I305" s="63"/>
      <c r="J305" s="63"/>
      <c r="K305" s="63"/>
      <c r="L305" s="64">
        <f t="shared" si="2006"/>
        <v>0</v>
      </c>
      <c r="M305" s="62"/>
      <c r="N305" s="63"/>
      <c r="O305" s="63"/>
      <c r="P305" s="63"/>
      <c r="Q305" s="63"/>
      <c r="R305" s="63"/>
      <c r="S305" s="63"/>
      <c r="T305" s="63"/>
      <c r="U305" s="63"/>
      <c r="V305" s="63"/>
      <c r="W305" s="64">
        <f t="shared" si="2007"/>
        <v>0</v>
      </c>
      <c r="X305" s="62"/>
      <c r="Y305" s="63"/>
      <c r="Z305" s="63"/>
      <c r="AA305" s="63"/>
      <c r="AB305" s="63"/>
      <c r="AC305" s="63"/>
      <c r="AD305" s="63"/>
      <c r="AE305" s="63"/>
      <c r="AF305" s="63"/>
      <c r="AG305" s="63"/>
      <c r="AH305" s="64">
        <f t="shared" si="2008"/>
        <v>0</v>
      </c>
      <c r="AI305" s="62"/>
      <c r="AJ305" s="63"/>
      <c r="AK305" s="63"/>
      <c r="AL305" s="63"/>
      <c r="AM305" s="63"/>
      <c r="AN305" s="63"/>
      <c r="AO305" s="63"/>
      <c r="AP305" s="63"/>
      <c r="AQ305" s="63"/>
      <c r="AR305" s="63"/>
      <c r="AS305" s="64">
        <f t="shared" si="2009"/>
        <v>0</v>
      </c>
      <c r="AT305" s="65">
        <f t="shared" si="2010"/>
        <v>0</v>
      </c>
      <c r="AU305" s="65">
        <f t="shared" si="2010"/>
        <v>0</v>
      </c>
      <c r="AV305" s="65">
        <f t="shared" si="2010"/>
        <v>0</v>
      </c>
      <c r="AW305" s="65">
        <f t="shared" si="2010"/>
        <v>0</v>
      </c>
      <c r="AX305" s="65">
        <f t="shared" si="2010"/>
        <v>0</v>
      </c>
      <c r="AY305" s="65">
        <f t="shared" si="2010"/>
        <v>0</v>
      </c>
      <c r="AZ305" s="65">
        <f t="shared" si="2010"/>
        <v>0</v>
      </c>
      <c r="BA305" s="65">
        <f t="shared" si="2010"/>
        <v>0</v>
      </c>
      <c r="BB305" s="65">
        <f t="shared" si="2010"/>
        <v>0</v>
      </c>
      <c r="BC305" s="65">
        <f t="shared" si="2010"/>
        <v>0</v>
      </c>
      <c r="BD305" s="64">
        <f t="shared" si="2011"/>
        <v>0</v>
      </c>
      <c r="BE305" s="62"/>
      <c r="BF305" s="63"/>
      <c r="BG305" s="63"/>
      <c r="BH305" s="63"/>
      <c r="BI305" s="63"/>
      <c r="BJ305" s="63"/>
      <c r="BK305" s="63"/>
      <c r="BL305" s="63"/>
      <c r="BM305" s="63"/>
      <c r="BN305" s="63"/>
      <c r="BO305" s="64">
        <f t="shared" si="2012"/>
        <v>0</v>
      </c>
      <c r="BP305" s="62"/>
      <c r="BQ305" s="63"/>
      <c r="BR305" s="63"/>
      <c r="BS305" s="63"/>
      <c r="BT305" s="63"/>
      <c r="BU305" s="63"/>
      <c r="BV305" s="63"/>
      <c r="BW305" s="63"/>
      <c r="BX305" s="63"/>
      <c r="BY305" s="63"/>
      <c r="BZ305" s="64">
        <f t="shared" si="2013"/>
        <v>0</v>
      </c>
      <c r="CA305" s="62"/>
      <c r="CB305" s="63"/>
      <c r="CC305" s="63"/>
      <c r="CD305" s="63"/>
      <c r="CE305" s="63"/>
      <c r="CF305" s="63"/>
      <c r="CG305" s="63"/>
      <c r="CH305" s="63"/>
      <c r="CI305" s="63"/>
      <c r="CJ305" s="63"/>
      <c r="CK305" s="64">
        <f t="shared" si="2014"/>
        <v>0</v>
      </c>
      <c r="CL305" s="65">
        <f t="shared" si="2015"/>
        <v>0</v>
      </c>
      <c r="CM305" s="65">
        <f t="shared" si="2015"/>
        <v>0</v>
      </c>
      <c r="CN305" s="65">
        <f t="shared" si="2015"/>
        <v>0</v>
      </c>
      <c r="CO305" s="65">
        <f t="shared" si="2015"/>
        <v>0</v>
      </c>
      <c r="CP305" s="65">
        <f t="shared" si="2015"/>
        <v>0</v>
      </c>
      <c r="CQ305" s="65">
        <f t="shared" si="2015"/>
        <v>0</v>
      </c>
      <c r="CR305" s="65">
        <f t="shared" si="2015"/>
        <v>0</v>
      </c>
      <c r="CS305" s="65">
        <f t="shared" si="2015"/>
        <v>0</v>
      </c>
      <c r="CT305" s="65">
        <f t="shared" si="2015"/>
        <v>0</v>
      </c>
      <c r="CU305" s="65">
        <f t="shared" si="2015"/>
        <v>0</v>
      </c>
      <c r="CV305" s="64">
        <f t="shared" si="2016"/>
        <v>0</v>
      </c>
      <c r="CW305" s="62"/>
      <c r="CX305" s="63"/>
      <c r="CY305" s="63"/>
      <c r="CZ305" s="63"/>
      <c r="DA305" s="63"/>
      <c r="DB305" s="63"/>
      <c r="DC305" s="63"/>
      <c r="DD305" s="63"/>
      <c r="DE305" s="63"/>
      <c r="DF305" s="63"/>
      <c r="DG305" s="64">
        <f t="shared" si="2017"/>
        <v>0</v>
      </c>
      <c r="DH305" s="62"/>
      <c r="DI305" s="63"/>
      <c r="DJ305" s="63"/>
      <c r="DK305" s="63"/>
      <c r="DL305" s="63"/>
      <c r="DM305" s="63"/>
      <c r="DN305" s="63"/>
      <c r="DO305" s="63"/>
      <c r="DP305" s="63"/>
      <c r="DQ305" s="63"/>
      <c r="DR305" s="64">
        <f t="shared" si="2018"/>
        <v>0</v>
      </c>
      <c r="DS305" s="62"/>
      <c r="DT305" s="63"/>
      <c r="DU305" s="63"/>
      <c r="DV305" s="63"/>
      <c r="DW305" s="63"/>
      <c r="DX305" s="63"/>
      <c r="DY305" s="63"/>
      <c r="DZ305" s="63"/>
      <c r="EA305" s="63"/>
      <c r="EB305" s="63"/>
      <c r="EC305" s="63"/>
      <c r="ED305" s="65">
        <f t="shared" si="2019"/>
        <v>0</v>
      </c>
      <c r="EE305" s="65">
        <f t="shared" si="2019"/>
        <v>0</v>
      </c>
      <c r="EF305" s="65">
        <f t="shared" si="2019"/>
        <v>0</v>
      </c>
      <c r="EG305" s="65">
        <f t="shared" si="2019"/>
        <v>0</v>
      </c>
      <c r="EH305" s="65">
        <f t="shared" si="2019"/>
        <v>0</v>
      </c>
      <c r="EI305" s="65">
        <f t="shared" si="2019"/>
        <v>0</v>
      </c>
      <c r="EJ305" s="65">
        <f t="shared" si="2019"/>
        <v>0</v>
      </c>
      <c r="EK305" s="65">
        <f t="shared" si="2019"/>
        <v>0</v>
      </c>
      <c r="EL305" s="65">
        <f t="shared" si="2019"/>
        <v>0</v>
      </c>
      <c r="EM305" s="65">
        <f t="shared" si="2019"/>
        <v>0</v>
      </c>
      <c r="EN305" s="64">
        <f t="shared" si="2020"/>
        <v>0</v>
      </c>
      <c r="EO305" s="62"/>
      <c r="EP305" s="63"/>
      <c r="EQ305" s="63"/>
      <c r="ER305" s="63"/>
      <c r="ES305" s="63"/>
      <c r="ET305" s="63"/>
      <c r="EU305" s="63"/>
      <c r="EV305" s="63"/>
      <c r="EW305" s="63"/>
      <c r="EX305" s="63"/>
      <c r="EY305" s="64">
        <f t="shared" si="2021"/>
        <v>0</v>
      </c>
      <c r="EZ305" s="62"/>
      <c r="FA305" s="63"/>
      <c r="FB305" s="63"/>
      <c r="FC305" s="63"/>
      <c r="FD305" s="63"/>
      <c r="FE305" s="63"/>
      <c r="FF305" s="63"/>
      <c r="FG305" s="63"/>
      <c r="FH305" s="63"/>
      <c r="FI305" s="63"/>
      <c r="FJ305" s="64">
        <f t="shared" si="2022"/>
        <v>0</v>
      </c>
      <c r="FK305" s="62"/>
      <c r="FL305" s="63"/>
      <c r="FM305" s="63"/>
      <c r="FN305" s="63"/>
      <c r="FO305" s="63"/>
      <c r="FP305" s="63"/>
      <c r="FQ305" s="63"/>
      <c r="FR305" s="63"/>
      <c r="FS305" s="63"/>
      <c r="FT305" s="63"/>
      <c r="FU305" s="64">
        <f t="shared" si="2023"/>
        <v>0</v>
      </c>
      <c r="FV305" s="65">
        <f t="shared" si="2024"/>
        <v>0</v>
      </c>
      <c r="FW305" s="65">
        <f t="shared" si="2024"/>
        <v>0</v>
      </c>
      <c r="FX305" s="65">
        <f t="shared" si="2024"/>
        <v>0</v>
      </c>
      <c r="FY305" s="65">
        <f t="shared" si="2024"/>
        <v>0</v>
      </c>
      <c r="FZ305" s="65">
        <f t="shared" si="2024"/>
        <v>0</v>
      </c>
      <c r="GA305" s="65">
        <f t="shared" si="2024"/>
        <v>0</v>
      </c>
      <c r="GB305" s="65">
        <f t="shared" si="2024"/>
        <v>0</v>
      </c>
      <c r="GC305" s="65">
        <f t="shared" si="2024"/>
        <v>0</v>
      </c>
      <c r="GD305" s="65">
        <f t="shared" si="2024"/>
        <v>0</v>
      </c>
      <c r="GE305" s="65">
        <f t="shared" si="2024"/>
        <v>0</v>
      </c>
      <c r="GF305" s="64">
        <f t="shared" si="2025"/>
        <v>0</v>
      </c>
      <c r="GG305" s="66">
        <f t="shared" si="2026"/>
        <v>0</v>
      </c>
      <c r="GH305" s="66">
        <f t="shared" si="2026"/>
        <v>0</v>
      </c>
      <c r="GI305" s="66">
        <f t="shared" si="2026"/>
        <v>0</v>
      </c>
      <c r="GJ305" s="66">
        <f t="shared" si="2026"/>
        <v>0</v>
      </c>
      <c r="GK305" s="66">
        <f t="shared" si="2026"/>
        <v>0</v>
      </c>
      <c r="GL305" s="66">
        <f t="shared" si="2026"/>
        <v>0</v>
      </c>
      <c r="GM305" s="66">
        <f t="shared" si="2026"/>
        <v>0</v>
      </c>
      <c r="GN305" s="66">
        <f t="shared" si="2026"/>
        <v>0</v>
      </c>
      <c r="GO305" s="66">
        <f t="shared" si="2026"/>
        <v>0</v>
      </c>
      <c r="GP305" s="66">
        <f t="shared" si="2026"/>
        <v>0</v>
      </c>
      <c r="GQ305" s="64">
        <f t="shared" si="2027"/>
        <v>0</v>
      </c>
      <c r="GR305" s="63">
        <v>0</v>
      </c>
      <c r="GS305" s="63"/>
      <c r="GT305" s="63"/>
      <c r="GU305" s="63"/>
      <c r="GV305" s="67">
        <f t="shared" si="2028"/>
        <v>0</v>
      </c>
      <c r="GW305" s="63"/>
      <c r="GX305" s="63"/>
      <c r="GY305" s="63"/>
      <c r="GZ305" s="63"/>
      <c r="HA305" s="67">
        <f t="shared" si="2029"/>
        <v>0</v>
      </c>
      <c r="HB305" s="63"/>
      <c r="HC305" s="63"/>
      <c r="HD305" s="63"/>
      <c r="HE305" s="63"/>
      <c r="HF305" s="67">
        <f t="shared" si="2030"/>
        <v>0</v>
      </c>
      <c r="HG305" s="63"/>
      <c r="HH305" s="63"/>
      <c r="HI305" s="63"/>
      <c r="HJ305" s="63"/>
      <c r="HK305" s="67">
        <f t="shared" si="2031"/>
        <v>0</v>
      </c>
      <c r="HL305" s="68">
        <f t="shared" si="2032"/>
        <v>0</v>
      </c>
      <c r="HM305" s="68">
        <f t="shared" si="2032"/>
        <v>0</v>
      </c>
      <c r="HN305" s="68">
        <f t="shared" si="2032"/>
        <v>0</v>
      </c>
      <c r="HO305" s="68">
        <f t="shared" si="2032"/>
        <v>0</v>
      </c>
      <c r="HP305" s="67">
        <f t="shared" si="2033"/>
        <v>0</v>
      </c>
      <c r="HQ305" s="63"/>
      <c r="HR305" s="63"/>
      <c r="HS305" s="63"/>
      <c r="HT305" s="63"/>
      <c r="HU305" s="67">
        <f t="shared" si="2034"/>
        <v>0</v>
      </c>
      <c r="HV305" s="63"/>
      <c r="HW305" s="63"/>
      <c r="HX305" s="63"/>
      <c r="HY305" s="63"/>
      <c r="HZ305" s="67">
        <f t="shared" si="2035"/>
        <v>0</v>
      </c>
      <c r="IA305" s="63"/>
      <c r="IB305" s="63"/>
      <c r="IC305" s="63"/>
      <c r="ID305" s="63"/>
      <c r="IE305" s="67">
        <f t="shared" si="2036"/>
        <v>0</v>
      </c>
      <c r="IF305" s="68">
        <f t="shared" si="2037"/>
        <v>0</v>
      </c>
      <c r="IG305" s="68">
        <f t="shared" si="2037"/>
        <v>0</v>
      </c>
      <c r="IH305" s="68">
        <f t="shared" si="2037"/>
        <v>0</v>
      </c>
      <c r="II305" s="68">
        <f t="shared" si="2037"/>
        <v>0</v>
      </c>
      <c r="IJ305" s="67">
        <f t="shared" si="2038"/>
        <v>0</v>
      </c>
      <c r="IK305" s="63"/>
      <c r="IL305" s="63"/>
      <c r="IM305" s="63"/>
      <c r="IN305" s="63"/>
      <c r="IO305" s="67">
        <f t="shared" si="2039"/>
        <v>0</v>
      </c>
      <c r="IP305" s="63"/>
      <c r="IQ305" s="63"/>
      <c r="IR305" s="63"/>
      <c r="IS305" s="63"/>
      <c r="IT305" s="67">
        <f t="shared" si="2040"/>
        <v>0</v>
      </c>
      <c r="IU305" s="63"/>
      <c r="IV305" s="63"/>
    </row>
    <row r="306" spans="1:256" x14ac:dyDescent="0.25">
      <c r="A306" s="83" t="s">
        <v>241</v>
      </c>
      <c r="B306" s="62">
        <v>0</v>
      </c>
      <c r="C306" s="63">
        <v>0</v>
      </c>
      <c r="D306" s="63">
        <v>0</v>
      </c>
      <c r="E306" s="63">
        <v>0</v>
      </c>
      <c r="F306" s="63">
        <v>0</v>
      </c>
      <c r="G306" s="63">
        <v>0</v>
      </c>
      <c r="H306" s="63"/>
      <c r="I306" s="63"/>
      <c r="J306" s="63"/>
      <c r="K306" s="63"/>
      <c r="L306" s="64">
        <f t="shared" si="2006"/>
        <v>0</v>
      </c>
      <c r="M306" s="62"/>
      <c r="N306" s="63"/>
      <c r="O306" s="63"/>
      <c r="P306" s="63"/>
      <c r="Q306" s="63"/>
      <c r="R306" s="63"/>
      <c r="S306" s="63"/>
      <c r="T306" s="63"/>
      <c r="U306" s="63"/>
      <c r="V306" s="63"/>
      <c r="W306" s="64">
        <f t="shared" si="2007"/>
        <v>0</v>
      </c>
      <c r="X306" s="62"/>
      <c r="Y306" s="63"/>
      <c r="Z306" s="63"/>
      <c r="AA306" s="63"/>
      <c r="AB306" s="63"/>
      <c r="AC306" s="63"/>
      <c r="AD306" s="63"/>
      <c r="AE306" s="63"/>
      <c r="AF306" s="63"/>
      <c r="AG306" s="63"/>
      <c r="AH306" s="64">
        <f t="shared" si="2008"/>
        <v>0</v>
      </c>
      <c r="AI306" s="62"/>
      <c r="AJ306" s="63"/>
      <c r="AK306" s="63"/>
      <c r="AL306" s="63"/>
      <c r="AM306" s="63"/>
      <c r="AN306" s="63"/>
      <c r="AO306" s="63"/>
      <c r="AP306" s="63"/>
      <c r="AQ306" s="63"/>
      <c r="AR306" s="63"/>
      <c r="AS306" s="64">
        <f t="shared" si="2009"/>
        <v>0</v>
      </c>
      <c r="AT306" s="65">
        <f t="shared" si="2010"/>
        <v>0</v>
      </c>
      <c r="AU306" s="65">
        <f t="shared" si="2010"/>
        <v>0</v>
      </c>
      <c r="AV306" s="65">
        <f t="shared" si="2010"/>
        <v>0</v>
      </c>
      <c r="AW306" s="65">
        <f t="shared" si="2010"/>
        <v>0</v>
      </c>
      <c r="AX306" s="65">
        <f t="shared" si="2010"/>
        <v>0</v>
      </c>
      <c r="AY306" s="65">
        <f t="shared" si="2010"/>
        <v>0</v>
      </c>
      <c r="AZ306" s="65">
        <f t="shared" si="2010"/>
        <v>0</v>
      </c>
      <c r="BA306" s="65">
        <f t="shared" si="2010"/>
        <v>0</v>
      </c>
      <c r="BB306" s="65">
        <f t="shared" si="2010"/>
        <v>0</v>
      </c>
      <c r="BC306" s="65">
        <f t="shared" si="2010"/>
        <v>0</v>
      </c>
      <c r="BD306" s="64">
        <f t="shared" si="2011"/>
        <v>0</v>
      </c>
      <c r="BE306" s="62"/>
      <c r="BF306" s="63"/>
      <c r="BG306" s="63"/>
      <c r="BH306" s="63"/>
      <c r="BI306" s="63"/>
      <c r="BJ306" s="63"/>
      <c r="BK306" s="63"/>
      <c r="BL306" s="63"/>
      <c r="BM306" s="63"/>
      <c r="BN306" s="63"/>
      <c r="BO306" s="64">
        <f t="shared" si="2012"/>
        <v>0</v>
      </c>
      <c r="BP306" s="62"/>
      <c r="BQ306" s="63"/>
      <c r="BR306" s="63"/>
      <c r="BS306" s="63"/>
      <c r="BT306" s="63"/>
      <c r="BU306" s="63"/>
      <c r="BV306" s="63"/>
      <c r="BW306" s="63"/>
      <c r="BX306" s="63"/>
      <c r="BY306" s="63"/>
      <c r="BZ306" s="64">
        <f t="shared" si="2013"/>
        <v>0</v>
      </c>
      <c r="CA306" s="62"/>
      <c r="CB306" s="63"/>
      <c r="CC306" s="63"/>
      <c r="CD306" s="63"/>
      <c r="CE306" s="63"/>
      <c r="CF306" s="63"/>
      <c r="CG306" s="63"/>
      <c r="CH306" s="63"/>
      <c r="CI306" s="63"/>
      <c r="CJ306" s="63"/>
      <c r="CK306" s="64">
        <f t="shared" si="2014"/>
        <v>0</v>
      </c>
      <c r="CL306" s="65">
        <f t="shared" si="2015"/>
        <v>0</v>
      </c>
      <c r="CM306" s="65">
        <f t="shared" si="2015"/>
        <v>0</v>
      </c>
      <c r="CN306" s="65">
        <f t="shared" si="2015"/>
        <v>0</v>
      </c>
      <c r="CO306" s="65">
        <f t="shared" si="2015"/>
        <v>0</v>
      </c>
      <c r="CP306" s="65">
        <f t="shared" si="2015"/>
        <v>0</v>
      </c>
      <c r="CQ306" s="65">
        <f t="shared" si="2015"/>
        <v>0</v>
      </c>
      <c r="CR306" s="65">
        <f t="shared" si="2015"/>
        <v>0</v>
      </c>
      <c r="CS306" s="65">
        <f t="shared" si="2015"/>
        <v>0</v>
      </c>
      <c r="CT306" s="65">
        <f t="shared" si="2015"/>
        <v>0</v>
      </c>
      <c r="CU306" s="65">
        <f t="shared" si="2015"/>
        <v>0</v>
      </c>
      <c r="CV306" s="64">
        <f t="shared" si="2016"/>
        <v>0</v>
      </c>
      <c r="CW306" s="62"/>
      <c r="CX306" s="63"/>
      <c r="CY306" s="63"/>
      <c r="CZ306" s="63"/>
      <c r="DA306" s="63"/>
      <c r="DB306" s="63"/>
      <c r="DC306" s="63"/>
      <c r="DD306" s="63"/>
      <c r="DE306" s="63"/>
      <c r="DF306" s="63"/>
      <c r="DG306" s="64">
        <f t="shared" si="2017"/>
        <v>0</v>
      </c>
      <c r="DH306" s="62"/>
      <c r="DI306" s="63"/>
      <c r="DJ306" s="63"/>
      <c r="DK306" s="63"/>
      <c r="DL306" s="63"/>
      <c r="DM306" s="63"/>
      <c r="DN306" s="63"/>
      <c r="DO306" s="63"/>
      <c r="DP306" s="63"/>
      <c r="DQ306" s="63"/>
      <c r="DR306" s="64">
        <f t="shared" si="2018"/>
        <v>0</v>
      </c>
      <c r="DS306" s="62"/>
      <c r="DT306" s="63"/>
      <c r="DU306" s="63"/>
      <c r="DV306" s="63"/>
      <c r="DW306" s="63"/>
      <c r="DX306" s="63"/>
      <c r="DY306" s="63"/>
      <c r="DZ306" s="63"/>
      <c r="EA306" s="63"/>
      <c r="EB306" s="63"/>
      <c r="EC306" s="63"/>
      <c r="ED306" s="65">
        <f t="shared" si="2019"/>
        <v>0</v>
      </c>
      <c r="EE306" s="65">
        <f t="shared" si="2019"/>
        <v>0</v>
      </c>
      <c r="EF306" s="65">
        <f t="shared" si="2019"/>
        <v>0</v>
      </c>
      <c r="EG306" s="65">
        <f t="shared" si="2019"/>
        <v>0</v>
      </c>
      <c r="EH306" s="65">
        <f t="shared" si="2019"/>
        <v>0</v>
      </c>
      <c r="EI306" s="65">
        <f t="shared" si="2019"/>
        <v>0</v>
      </c>
      <c r="EJ306" s="65">
        <f t="shared" si="2019"/>
        <v>0</v>
      </c>
      <c r="EK306" s="65">
        <f t="shared" si="2019"/>
        <v>0</v>
      </c>
      <c r="EL306" s="65">
        <f t="shared" si="2019"/>
        <v>0</v>
      </c>
      <c r="EM306" s="65">
        <f t="shared" si="2019"/>
        <v>0</v>
      </c>
      <c r="EN306" s="64">
        <f t="shared" si="2020"/>
        <v>0</v>
      </c>
      <c r="EO306" s="62"/>
      <c r="EP306" s="63"/>
      <c r="EQ306" s="63"/>
      <c r="ER306" s="63"/>
      <c r="ES306" s="63"/>
      <c r="ET306" s="63"/>
      <c r="EU306" s="63"/>
      <c r="EV306" s="63"/>
      <c r="EW306" s="63"/>
      <c r="EX306" s="63"/>
      <c r="EY306" s="64">
        <f t="shared" si="2021"/>
        <v>0</v>
      </c>
      <c r="EZ306" s="62"/>
      <c r="FA306" s="63"/>
      <c r="FB306" s="63"/>
      <c r="FC306" s="63"/>
      <c r="FD306" s="63"/>
      <c r="FE306" s="63"/>
      <c r="FF306" s="63"/>
      <c r="FG306" s="63"/>
      <c r="FH306" s="63"/>
      <c r="FI306" s="63"/>
      <c r="FJ306" s="64">
        <f t="shared" si="2022"/>
        <v>0</v>
      </c>
      <c r="FK306" s="62"/>
      <c r="FL306" s="63"/>
      <c r="FM306" s="63"/>
      <c r="FN306" s="63"/>
      <c r="FO306" s="63"/>
      <c r="FP306" s="63"/>
      <c r="FQ306" s="63"/>
      <c r="FR306" s="63"/>
      <c r="FS306" s="63"/>
      <c r="FT306" s="63"/>
      <c r="FU306" s="64">
        <f t="shared" si="2023"/>
        <v>0</v>
      </c>
      <c r="FV306" s="65">
        <f t="shared" si="2024"/>
        <v>0</v>
      </c>
      <c r="FW306" s="65">
        <f t="shared" si="2024"/>
        <v>0</v>
      </c>
      <c r="FX306" s="65">
        <f t="shared" si="2024"/>
        <v>0</v>
      </c>
      <c r="FY306" s="65">
        <f t="shared" si="2024"/>
        <v>0</v>
      </c>
      <c r="FZ306" s="65">
        <f t="shared" si="2024"/>
        <v>0</v>
      </c>
      <c r="GA306" s="65">
        <f t="shared" si="2024"/>
        <v>0</v>
      </c>
      <c r="GB306" s="65">
        <f t="shared" si="2024"/>
        <v>0</v>
      </c>
      <c r="GC306" s="65">
        <f t="shared" si="2024"/>
        <v>0</v>
      </c>
      <c r="GD306" s="65">
        <f t="shared" si="2024"/>
        <v>0</v>
      </c>
      <c r="GE306" s="65">
        <f t="shared" si="2024"/>
        <v>0</v>
      </c>
      <c r="GF306" s="64">
        <f t="shared" si="2025"/>
        <v>0</v>
      </c>
      <c r="GG306" s="66">
        <f t="shared" si="2026"/>
        <v>0</v>
      </c>
      <c r="GH306" s="66">
        <f t="shared" si="2026"/>
        <v>0</v>
      </c>
      <c r="GI306" s="66">
        <f t="shared" si="2026"/>
        <v>0</v>
      </c>
      <c r="GJ306" s="66">
        <f t="shared" si="2026"/>
        <v>0</v>
      </c>
      <c r="GK306" s="66">
        <f t="shared" si="2026"/>
        <v>0</v>
      </c>
      <c r="GL306" s="66">
        <f t="shared" si="2026"/>
        <v>0</v>
      </c>
      <c r="GM306" s="66">
        <f t="shared" si="2026"/>
        <v>0</v>
      </c>
      <c r="GN306" s="66">
        <f t="shared" si="2026"/>
        <v>0</v>
      </c>
      <c r="GO306" s="66">
        <f t="shared" si="2026"/>
        <v>0</v>
      </c>
      <c r="GP306" s="66">
        <f t="shared" si="2026"/>
        <v>0</v>
      </c>
      <c r="GQ306" s="64">
        <f t="shared" si="2027"/>
        <v>0</v>
      </c>
      <c r="GR306" s="63">
        <v>0</v>
      </c>
      <c r="GS306" s="63"/>
      <c r="GT306" s="63"/>
      <c r="GU306" s="63"/>
      <c r="GV306" s="67">
        <f t="shared" si="2028"/>
        <v>0</v>
      </c>
      <c r="GW306" s="63"/>
      <c r="GX306" s="63"/>
      <c r="GY306" s="63"/>
      <c r="GZ306" s="63"/>
      <c r="HA306" s="67">
        <f t="shared" si="2029"/>
        <v>0</v>
      </c>
      <c r="HB306" s="63"/>
      <c r="HC306" s="63"/>
      <c r="HD306" s="63"/>
      <c r="HE306" s="63"/>
      <c r="HF306" s="67">
        <f t="shared" si="2030"/>
        <v>0</v>
      </c>
      <c r="HG306" s="63"/>
      <c r="HH306" s="63"/>
      <c r="HI306" s="63"/>
      <c r="HJ306" s="63"/>
      <c r="HK306" s="67">
        <f t="shared" si="2031"/>
        <v>0</v>
      </c>
      <c r="HL306" s="68">
        <f t="shared" si="2032"/>
        <v>0</v>
      </c>
      <c r="HM306" s="68">
        <f t="shared" si="2032"/>
        <v>0</v>
      </c>
      <c r="HN306" s="68">
        <f t="shared" si="2032"/>
        <v>0</v>
      </c>
      <c r="HO306" s="68">
        <f t="shared" si="2032"/>
        <v>0</v>
      </c>
      <c r="HP306" s="67">
        <f t="shared" si="2033"/>
        <v>0</v>
      </c>
      <c r="HQ306" s="63"/>
      <c r="HR306" s="63"/>
      <c r="HS306" s="63"/>
      <c r="HT306" s="63"/>
      <c r="HU306" s="67">
        <f t="shared" si="2034"/>
        <v>0</v>
      </c>
      <c r="HV306" s="63"/>
      <c r="HW306" s="63"/>
      <c r="HX306" s="63"/>
      <c r="HY306" s="63"/>
      <c r="HZ306" s="67">
        <f t="shared" si="2035"/>
        <v>0</v>
      </c>
      <c r="IA306" s="63"/>
      <c r="IB306" s="63"/>
      <c r="IC306" s="63"/>
      <c r="ID306" s="63"/>
      <c r="IE306" s="67">
        <f t="shared" si="2036"/>
        <v>0</v>
      </c>
      <c r="IF306" s="68">
        <f t="shared" si="2037"/>
        <v>0</v>
      </c>
      <c r="IG306" s="68">
        <f t="shared" si="2037"/>
        <v>0</v>
      </c>
      <c r="IH306" s="68">
        <f t="shared" si="2037"/>
        <v>0</v>
      </c>
      <c r="II306" s="68">
        <f t="shared" si="2037"/>
        <v>0</v>
      </c>
      <c r="IJ306" s="67">
        <f t="shared" si="2038"/>
        <v>0</v>
      </c>
      <c r="IK306" s="63"/>
      <c r="IL306" s="63"/>
      <c r="IM306" s="63"/>
      <c r="IN306" s="63"/>
      <c r="IO306" s="67">
        <f t="shared" si="2039"/>
        <v>0</v>
      </c>
      <c r="IP306" s="63"/>
      <c r="IQ306" s="63"/>
      <c r="IR306" s="63"/>
      <c r="IS306" s="63"/>
      <c r="IT306" s="67">
        <f t="shared" si="2040"/>
        <v>0</v>
      </c>
      <c r="IU306" s="63"/>
      <c r="IV306" s="63"/>
    </row>
    <row r="307" spans="1:256" x14ac:dyDescent="0.25">
      <c r="A307" s="84" t="s">
        <v>242</v>
      </c>
      <c r="B307" s="62">
        <v>57</v>
      </c>
      <c r="C307" s="63">
        <v>0</v>
      </c>
      <c r="D307" s="63">
        <v>0</v>
      </c>
      <c r="E307" s="63">
        <v>0</v>
      </c>
      <c r="F307" s="63">
        <v>0</v>
      </c>
      <c r="G307" s="63">
        <v>0</v>
      </c>
      <c r="H307" s="63"/>
      <c r="I307" s="63"/>
      <c r="J307" s="63"/>
      <c r="K307" s="63"/>
      <c r="L307" s="64">
        <f t="shared" si="2006"/>
        <v>0</v>
      </c>
      <c r="M307" s="62"/>
      <c r="N307" s="63"/>
      <c r="O307" s="63"/>
      <c r="P307" s="63"/>
      <c r="Q307" s="63"/>
      <c r="R307" s="63"/>
      <c r="S307" s="63"/>
      <c r="T307" s="63"/>
      <c r="U307" s="63"/>
      <c r="V307" s="63"/>
      <c r="W307" s="64">
        <f t="shared" si="2007"/>
        <v>0</v>
      </c>
      <c r="X307" s="62"/>
      <c r="Y307" s="63"/>
      <c r="Z307" s="63"/>
      <c r="AA307" s="63"/>
      <c r="AB307" s="63"/>
      <c r="AC307" s="63"/>
      <c r="AD307" s="63"/>
      <c r="AE307" s="63"/>
      <c r="AF307" s="63"/>
      <c r="AG307" s="63"/>
      <c r="AH307" s="64">
        <f t="shared" si="2008"/>
        <v>0</v>
      </c>
      <c r="AI307" s="62"/>
      <c r="AJ307" s="63"/>
      <c r="AK307" s="63"/>
      <c r="AL307" s="63"/>
      <c r="AM307" s="63"/>
      <c r="AN307" s="63"/>
      <c r="AO307" s="63"/>
      <c r="AP307" s="63"/>
      <c r="AQ307" s="63"/>
      <c r="AR307" s="63"/>
      <c r="AS307" s="64">
        <f t="shared" si="2009"/>
        <v>0</v>
      </c>
      <c r="AT307" s="65">
        <f t="shared" si="2010"/>
        <v>0</v>
      </c>
      <c r="AU307" s="65">
        <f t="shared" si="2010"/>
        <v>0</v>
      </c>
      <c r="AV307" s="65">
        <f t="shared" si="2010"/>
        <v>0</v>
      </c>
      <c r="AW307" s="65">
        <f t="shared" si="2010"/>
        <v>0</v>
      </c>
      <c r="AX307" s="65">
        <f t="shared" si="2010"/>
        <v>0</v>
      </c>
      <c r="AY307" s="65">
        <f t="shared" si="2010"/>
        <v>0</v>
      </c>
      <c r="AZ307" s="65">
        <f t="shared" si="2010"/>
        <v>0</v>
      </c>
      <c r="BA307" s="65">
        <f t="shared" si="2010"/>
        <v>0</v>
      </c>
      <c r="BB307" s="65">
        <f t="shared" si="2010"/>
        <v>0</v>
      </c>
      <c r="BC307" s="65">
        <f t="shared" si="2010"/>
        <v>0</v>
      </c>
      <c r="BD307" s="64">
        <f t="shared" si="2011"/>
        <v>0</v>
      </c>
      <c r="BE307" s="62"/>
      <c r="BF307" s="63"/>
      <c r="BG307" s="63"/>
      <c r="BH307" s="63"/>
      <c r="BI307" s="63"/>
      <c r="BJ307" s="63"/>
      <c r="BK307" s="63"/>
      <c r="BL307" s="63"/>
      <c r="BM307" s="63"/>
      <c r="BN307" s="63"/>
      <c r="BO307" s="64">
        <f t="shared" si="2012"/>
        <v>0</v>
      </c>
      <c r="BP307" s="62"/>
      <c r="BQ307" s="63"/>
      <c r="BR307" s="63"/>
      <c r="BS307" s="63"/>
      <c r="BT307" s="63"/>
      <c r="BU307" s="63"/>
      <c r="BV307" s="63"/>
      <c r="BW307" s="63"/>
      <c r="BX307" s="63"/>
      <c r="BY307" s="63"/>
      <c r="BZ307" s="64">
        <f t="shared" si="2013"/>
        <v>0</v>
      </c>
      <c r="CA307" s="62"/>
      <c r="CB307" s="63"/>
      <c r="CC307" s="63"/>
      <c r="CD307" s="63"/>
      <c r="CE307" s="63"/>
      <c r="CF307" s="63"/>
      <c r="CG307" s="63"/>
      <c r="CH307" s="63"/>
      <c r="CI307" s="63"/>
      <c r="CJ307" s="63"/>
      <c r="CK307" s="64">
        <f t="shared" si="2014"/>
        <v>0</v>
      </c>
      <c r="CL307" s="65">
        <f t="shared" si="2015"/>
        <v>0</v>
      </c>
      <c r="CM307" s="65">
        <f t="shared" si="2015"/>
        <v>0</v>
      </c>
      <c r="CN307" s="65">
        <f t="shared" si="2015"/>
        <v>0</v>
      </c>
      <c r="CO307" s="65">
        <f t="shared" si="2015"/>
        <v>0</v>
      </c>
      <c r="CP307" s="65">
        <f t="shared" si="2015"/>
        <v>0</v>
      </c>
      <c r="CQ307" s="65">
        <f t="shared" si="2015"/>
        <v>0</v>
      </c>
      <c r="CR307" s="65">
        <f t="shared" si="2015"/>
        <v>0</v>
      </c>
      <c r="CS307" s="65">
        <f t="shared" si="2015"/>
        <v>0</v>
      </c>
      <c r="CT307" s="65">
        <f t="shared" si="2015"/>
        <v>0</v>
      </c>
      <c r="CU307" s="65">
        <f t="shared" si="2015"/>
        <v>0</v>
      </c>
      <c r="CV307" s="64">
        <f t="shared" si="2016"/>
        <v>0</v>
      </c>
      <c r="CW307" s="62"/>
      <c r="CX307" s="63"/>
      <c r="CY307" s="63"/>
      <c r="CZ307" s="63"/>
      <c r="DA307" s="63"/>
      <c r="DB307" s="63"/>
      <c r="DC307" s="63"/>
      <c r="DD307" s="63"/>
      <c r="DE307" s="63"/>
      <c r="DF307" s="63"/>
      <c r="DG307" s="64">
        <f t="shared" si="2017"/>
        <v>0</v>
      </c>
      <c r="DH307" s="62"/>
      <c r="DI307" s="63"/>
      <c r="DJ307" s="63"/>
      <c r="DK307" s="63"/>
      <c r="DL307" s="63"/>
      <c r="DM307" s="63"/>
      <c r="DN307" s="63"/>
      <c r="DO307" s="63"/>
      <c r="DP307" s="63"/>
      <c r="DQ307" s="63"/>
      <c r="DR307" s="64">
        <f t="shared" si="2018"/>
        <v>0</v>
      </c>
      <c r="DS307" s="62"/>
      <c r="DT307" s="63"/>
      <c r="DU307" s="63"/>
      <c r="DV307" s="63"/>
      <c r="DW307" s="63"/>
      <c r="DX307" s="63"/>
      <c r="DY307" s="63"/>
      <c r="DZ307" s="63"/>
      <c r="EA307" s="63"/>
      <c r="EB307" s="63"/>
      <c r="EC307" s="63"/>
      <c r="ED307" s="65">
        <f t="shared" si="2019"/>
        <v>0</v>
      </c>
      <c r="EE307" s="65">
        <f t="shared" si="2019"/>
        <v>0</v>
      </c>
      <c r="EF307" s="65">
        <f t="shared" si="2019"/>
        <v>0</v>
      </c>
      <c r="EG307" s="65">
        <f t="shared" si="2019"/>
        <v>0</v>
      </c>
      <c r="EH307" s="65">
        <f t="shared" si="2019"/>
        <v>0</v>
      </c>
      <c r="EI307" s="65">
        <f t="shared" si="2019"/>
        <v>0</v>
      </c>
      <c r="EJ307" s="65">
        <f t="shared" si="2019"/>
        <v>0</v>
      </c>
      <c r="EK307" s="65">
        <f t="shared" si="2019"/>
        <v>0</v>
      </c>
      <c r="EL307" s="65">
        <f t="shared" si="2019"/>
        <v>0</v>
      </c>
      <c r="EM307" s="65">
        <f t="shared" si="2019"/>
        <v>0</v>
      </c>
      <c r="EN307" s="64">
        <f t="shared" si="2020"/>
        <v>0</v>
      </c>
      <c r="EO307" s="62"/>
      <c r="EP307" s="63"/>
      <c r="EQ307" s="63"/>
      <c r="ER307" s="63"/>
      <c r="ES307" s="63"/>
      <c r="ET307" s="63"/>
      <c r="EU307" s="63"/>
      <c r="EV307" s="63"/>
      <c r="EW307" s="63"/>
      <c r="EX307" s="63"/>
      <c r="EY307" s="64">
        <f t="shared" si="2021"/>
        <v>0</v>
      </c>
      <c r="EZ307" s="62"/>
      <c r="FA307" s="63"/>
      <c r="FB307" s="63"/>
      <c r="FC307" s="63"/>
      <c r="FD307" s="63"/>
      <c r="FE307" s="63"/>
      <c r="FF307" s="63"/>
      <c r="FG307" s="63"/>
      <c r="FH307" s="63"/>
      <c r="FI307" s="63"/>
      <c r="FJ307" s="64">
        <f t="shared" si="2022"/>
        <v>0</v>
      </c>
      <c r="FK307" s="62"/>
      <c r="FL307" s="63"/>
      <c r="FM307" s="63"/>
      <c r="FN307" s="63"/>
      <c r="FO307" s="63"/>
      <c r="FP307" s="63"/>
      <c r="FQ307" s="63"/>
      <c r="FR307" s="63"/>
      <c r="FS307" s="63"/>
      <c r="FT307" s="63"/>
      <c r="FU307" s="64">
        <f t="shared" si="2023"/>
        <v>0</v>
      </c>
      <c r="FV307" s="65">
        <f t="shared" si="2024"/>
        <v>0</v>
      </c>
      <c r="FW307" s="65">
        <f t="shared" si="2024"/>
        <v>0</v>
      </c>
      <c r="FX307" s="65">
        <f t="shared" si="2024"/>
        <v>0</v>
      </c>
      <c r="FY307" s="65">
        <f t="shared" si="2024"/>
        <v>0</v>
      </c>
      <c r="FZ307" s="65">
        <f t="shared" si="2024"/>
        <v>0</v>
      </c>
      <c r="GA307" s="65">
        <f t="shared" si="2024"/>
        <v>0</v>
      </c>
      <c r="GB307" s="65">
        <f t="shared" si="2024"/>
        <v>0</v>
      </c>
      <c r="GC307" s="65">
        <f t="shared" si="2024"/>
        <v>0</v>
      </c>
      <c r="GD307" s="65">
        <f t="shared" si="2024"/>
        <v>0</v>
      </c>
      <c r="GE307" s="65">
        <f t="shared" si="2024"/>
        <v>0</v>
      </c>
      <c r="GF307" s="64">
        <f t="shared" si="2025"/>
        <v>0</v>
      </c>
      <c r="GG307" s="66">
        <f t="shared" si="2026"/>
        <v>0</v>
      </c>
      <c r="GH307" s="66">
        <f t="shared" si="2026"/>
        <v>0</v>
      </c>
      <c r="GI307" s="66">
        <f t="shared" si="2026"/>
        <v>0</v>
      </c>
      <c r="GJ307" s="66">
        <f t="shared" si="2026"/>
        <v>0</v>
      </c>
      <c r="GK307" s="66">
        <f t="shared" si="2026"/>
        <v>0</v>
      </c>
      <c r="GL307" s="66">
        <f t="shared" si="2026"/>
        <v>0</v>
      </c>
      <c r="GM307" s="66">
        <f t="shared" si="2026"/>
        <v>0</v>
      </c>
      <c r="GN307" s="66">
        <f t="shared" si="2026"/>
        <v>0</v>
      </c>
      <c r="GO307" s="66">
        <f t="shared" si="2026"/>
        <v>0</v>
      </c>
      <c r="GP307" s="66">
        <f t="shared" si="2026"/>
        <v>0</v>
      </c>
      <c r="GQ307" s="64">
        <f t="shared" si="2027"/>
        <v>0</v>
      </c>
      <c r="GR307" s="63">
        <v>0</v>
      </c>
      <c r="GS307" s="63"/>
      <c r="GT307" s="63"/>
      <c r="GU307" s="63"/>
      <c r="GV307" s="67">
        <f t="shared" si="2028"/>
        <v>0</v>
      </c>
      <c r="GW307" s="63"/>
      <c r="GX307" s="63"/>
      <c r="GY307" s="63"/>
      <c r="GZ307" s="63"/>
      <c r="HA307" s="67">
        <f t="shared" si="2029"/>
        <v>0</v>
      </c>
      <c r="HB307" s="63"/>
      <c r="HC307" s="63"/>
      <c r="HD307" s="63"/>
      <c r="HE307" s="63"/>
      <c r="HF307" s="67">
        <f t="shared" si="2030"/>
        <v>0</v>
      </c>
      <c r="HG307" s="63"/>
      <c r="HH307" s="63"/>
      <c r="HI307" s="63"/>
      <c r="HJ307" s="63"/>
      <c r="HK307" s="67">
        <f t="shared" si="2031"/>
        <v>0</v>
      </c>
      <c r="HL307" s="68">
        <f t="shared" si="2032"/>
        <v>0</v>
      </c>
      <c r="HM307" s="68">
        <f t="shared" si="2032"/>
        <v>0</v>
      </c>
      <c r="HN307" s="68">
        <f t="shared" si="2032"/>
        <v>0</v>
      </c>
      <c r="HO307" s="68">
        <f t="shared" si="2032"/>
        <v>0</v>
      </c>
      <c r="HP307" s="67">
        <f t="shared" si="2033"/>
        <v>0</v>
      </c>
      <c r="HQ307" s="63"/>
      <c r="HR307" s="63"/>
      <c r="HS307" s="63"/>
      <c r="HT307" s="63"/>
      <c r="HU307" s="67">
        <f t="shared" si="2034"/>
        <v>0</v>
      </c>
      <c r="HV307" s="63"/>
      <c r="HW307" s="63"/>
      <c r="HX307" s="63"/>
      <c r="HY307" s="63"/>
      <c r="HZ307" s="67">
        <f t="shared" si="2035"/>
        <v>0</v>
      </c>
      <c r="IA307" s="63"/>
      <c r="IB307" s="63"/>
      <c r="IC307" s="63"/>
      <c r="ID307" s="63"/>
      <c r="IE307" s="67">
        <f t="shared" si="2036"/>
        <v>0</v>
      </c>
      <c r="IF307" s="68">
        <f t="shared" si="2037"/>
        <v>0</v>
      </c>
      <c r="IG307" s="68">
        <f t="shared" si="2037"/>
        <v>0</v>
      </c>
      <c r="IH307" s="68">
        <f t="shared" si="2037"/>
        <v>0</v>
      </c>
      <c r="II307" s="68">
        <f t="shared" si="2037"/>
        <v>0</v>
      </c>
      <c r="IJ307" s="67">
        <f t="shared" si="2038"/>
        <v>0</v>
      </c>
      <c r="IK307" s="63"/>
      <c r="IL307" s="63"/>
      <c r="IM307" s="63"/>
      <c r="IN307" s="63"/>
      <c r="IO307" s="67">
        <f t="shared" si="2039"/>
        <v>0</v>
      </c>
      <c r="IP307" s="63"/>
      <c r="IQ307" s="63"/>
      <c r="IR307" s="63"/>
      <c r="IS307" s="63"/>
      <c r="IT307" s="67">
        <f t="shared" si="2040"/>
        <v>0</v>
      </c>
      <c r="IU307" s="63"/>
      <c r="IV307" s="63"/>
    </row>
    <row r="308" spans="1:256" x14ac:dyDescent="0.25">
      <c r="A308" s="84" t="s">
        <v>243</v>
      </c>
      <c r="B308" s="62">
        <v>9</v>
      </c>
      <c r="C308" s="63">
        <v>0</v>
      </c>
      <c r="D308" s="63">
        <v>0</v>
      </c>
      <c r="E308" s="63">
        <v>0</v>
      </c>
      <c r="F308" s="63">
        <v>0</v>
      </c>
      <c r="G308" s="63">
        <v>0</v>
      </c>
      <c r="H308" s="63"/>
      <c r="I308" s="63"/>
      <c r="J308" s="63"/>
      <c r="K308" s="63"/>
      <c r="L308" s="64">
        <f t="shared" si="2006"/>
        <v>0</v>
      </c>
      <c r="M308" s="62"/>
      <c r="N308" s="63"/>
      <c r="O308" s="63"/>
      <c r="P308" s="63"/>
      <c r="Q308" s="63"/>
      <c r="R308" s="63"/>
      <c r="S308" s="63"/>
      <c r="T308" s="63"/>
      <c r="U308" s="63"/>
      <c r="V308" s="63"/>
      <c r="W308" s="64">
        <f t="shared" si="2007"/>
        <v>0</v>
      </c>
      <c r="X308" s="62"/>
      <c r="Y308" s="63"/>
      <c r="Z308" s="63"/>
      <c r="AA308" s="63"/>
      <c r="AB308" s="63"/>
      <c r="AC308" s="63"/>
      <c r="AD308" s="63"/>
      <c r="AE308" s="63"/>
      <c r="AF308" s="63"/>
      <c r="AG308" s="63"/>
      <c r="AH308" s="64">
        <f t="shared" si="2008"/>
        <v>0</v>
      </c>
      <c r="AI308" s="62"/>
      <c r="AJ308" s="63"/>
      <c r="AK308" s="63"/>
      <c r="AL308" s="63"/>
      <c r="AM308" s="63"/>
      <c r="AN308" s="63"/>
      <c r="AO308" s="63"/>
      <c r="AP308" s="63"/>
      <c r="AQ308" s="63"/>
      <c r="AR308" s="63"/>
      <c r="AS308" s="64">
        <f t="shared" si="2009"/>
        <v>0</v>
      </c>
      <c r="AT308" s="65">
        <f t="shared" si="2010"/>
        <v>0</v>
      </c>
      <c r="AU308" s="65">
        <f t="shared" si="2010"/>
        <v>0</v>
      </c>
      <c r="AV308" s="65">
        <f t="shared" si="2010"/>
        <v>0</v>
      </c>
      <c r="AW308" s="65">
        <f t="shared" si="2010"/>
        <v>0</v>
      </c>
      <c r="AX308" s="65">
        <f t="shared" si="2010"/>
        <v>0</v>
      </c>
      <c r="AY308" s="65">
        <f t="shared" si="2010"/>
        <v>0</v>
      </c>
      <c r="AZ308" s="65">
        <f t="shared" si="2010"/>
        <v>0</v>
      </c>
      <c r="BA308" s="65">
        <f t="shared" si="2010"/>
        <v>0</v>
      </c>
      <c r="BB308" s="65">
        <f t="shared" si="2010"/>
        <v>0</v>
      </c>
      <c r="BC308" s="65">
        <f t="shared" si="2010"/>
        <v>0</v>
      </c>
      <c r="BD308" s="64">
        <f t="shared" si="2011"/>
        <v>0</v>
      </c>
      <c r="BE308" s="62"/>
      <c r="BF308" s="63"/>
      <c r="BG308" s="63"/>
      <c r="BH308" s="63"/>
      <c r="BI308" s="63"/>
      <c r="BJ308" s="63"/>
      <c r="BK308" s="63"/>
      <c r="BL308" s="63"/>
      <c r="BM308" s="63"/>
      <c r="BN308" s="63"/>
      <c r="BO308" s="64">
        <f t="shared" si="2012"/>
        <v>0</v>
      </c>
      <c r="BP308" s="62"/>
      <c r="BQ308" s="63"/>
      <c r="BR308" s="63"/>
      <c r="BS308" s="63"/>
      <c r="BT308" s="63"/>
      <c r="BU308" s="63"/>
      <c r="BV308" s="63"/>
      <c r="BW308" s="63"/>
      <c r="BX308" s="63"/>
      <c r="BY308" s="63"/>
      <c r="BZ308" s="64">
        <f t="shared" si="2013"/>
        <v>0</v>
      </c>
      <c r="CA308" s="62"/>
      <c r="CB308" s="63"/>
      <c r="CC308" s="63"/>
      <c r="CD308" s="63"/>
      <c r="CE308" s="63"/>
      <c r="CF308" s="63"/>
      <c r="CG308" s="63"/>
      <c r="CH308" s="63"/>
      <c r="CI308" s="63"/>
      <c r="CJ308" s="63"/>
      <c r="CK308" s="64">
        <f t="shared" si="2014"/>
        <v>0</v>
      </c>
      <c r="CL308" s="65">
        <f t="shared" si="2015"/>
        <v>0</v>
      </c>
      <c r="CM308" s="65">
        <f t="shared" si="2015"/>
        <v>0</v>
      </c>
      <c r="CN308" s="65">
        <f t="shared" si="2015"/>
        <v>0</v>
      </c>
      <c r="CO308" s="65">
        <f t="shared" si="2015"/>
        <v>0</v>
      </c>
      <c r="CP308" s="65">
        <f t="shared" si="2015"/>
        <v>0</v>
      </c>
      <c r="CQ308" s="65">
        <f t="shared" si="2015"/>
        <v>0</v>
      </c>
      <c r="CR308" s="65">
        <f t="shared" si="2015"/>
        <v>0</v>
      </c>
      <c r="CS308" s="65">
        <f t="shared" si="2015"/>
        <v>0</v>
      </c>
      <c r="CT308" s="65">
        <f t="shared" si="2015"/>
        <v>0</v>
      </c>
      <c r="CU308" s="65">
        <f t="shared" si="2015"/>
        <v>0</v>
      </c>
      <c r="CV308" s="64">
        <f t="shared" si="2016"/>
        <v>0</v>
      </c>
      <c r="CW308" s="62"/>
      <c r="CX308" s="63"/>
      <c r="CY308" s="63"/>
      <c r="CZ308" s="63"/>
      <c r="DA308" s="63"/>
      <c r="DB308" s="63"/>
      <c r="DC308" s="63"/>
      <c r="DD308" s="63"/>
      <c r="DE308" s="63"/>
      <c r="DF308" s="63"/>
      <c r="DG308" s="64">
        <f t="shared" si="2017"/>
        <v>0</v>
      </c>
      <c r="DH308" s="62"/>
      <c r="DI308" s="63"/>
      <c r="DJ308" s="63"/>
      <c r="DK308" s="63"/>
      <c r="DL308" s="63"/>
      <c r="DM308" s="63"/>
      <c r="DN308" s="63"/>
      <c r="DO308" s="63"/>
      <c r="DP308" s="63"/>
      <c r="DQ308" s="63"/>
      <c r="DR308" s="64">
        <f t="shared" si="2018"/>
        <v>0</v>
      </c>
      <c r="DS308" s="62"/>
      <c r="DT308" s="63"/>
      <c r="DU308" s="63"/>
      <c r="DV308" s="63"/>
      <c r="DW308" s="63"/>
      <c r="DX308" s="63"/>
      <c r="DY308" s="63"/>
      <c r="DZ308" s="63"/>
      <c r="EA308" s="63"/>
      <c r="EB308" s="63"/>
      <c r="EC308" s="63"/>
      <c r="ED308" s="65">
        <f t="shared" si="2019"/>
        <v>0</v>
      </c>
      <c r="EE308" s="65">
        <f t="shared" si="2019"/>
        <v>0</v>
      </c>
      <c r="EF308" s="65">
        <f t="shared" si="2019"/>
        <v>0</v>
      </c>
      <c r="EG308" s="65">
        <f t="shared" si="2019"/>
        <v>0</v>
      </c>
      <c r="EH308" s="65">
        <f t="shared" si="2019"/>
        <v>0</v>
      </c>
      <c r="EI308" s="65">
        <f t="shared" si="2019"/>
        <v>0</v>
      </c>
      <c r="EJ308" s="65">
        <f t="shared" si="2019"/>
        <v>0</v>
      </c>
      <c r="EK308" s="65">
        <f t="shared" si="2019"/>
        <v>0</v>
      </c>
      <c r="EL308" s="65">
        <f t="shared" si="2019"/>
        <v>0</v>
      </c>
      <c r="EM308" s="65">
        <f t="shared" si="2019"/>
        <v>0</v>
      </c>
      <c r="EN308" s="64">
        <f t="shared" si="2020"/>
        <v>0</v>
      </c>
      <c r="EO308" s="62"/>
      <c r="EP308" s="63"/>
      <c r="EQ308" s="63"/>
      <c r="ER308" s="63"/>
      <c r="ES308" s="63"/>
      <c r="ET308" s="63"/>
      <c r="EU308" s="63"/>
      <c r="EV308" s="63"/>
      <c r="EW308" s="63"/>
      <c r="EX308" s="63"/>
      <c r="EY308" s="64">
        <f t="shared" si="2021"/>
        <v>0</v>
      </c>
      <c r="EZ308" s="62"/>
      <c r="FA308" s="63"/>
      <c r="FB308" s="63"/>
      <c r="FC308" s="63"/>
      <c r="FD308" s="63"/>
      <c r="FE308" s="63"/>
      <c r="FF308" s="63"/>
      <c r="FG308" s="63"/>
      <c r="FH308" s="63"/>
      <c r="FI308" s="63"/>
      <c r="FJ308" s="64">
        <f t="shared" si="2022"/>
        <v>0</v>
      </c>
      <c r="FK308" s="62"/>
      <c r="FL308" s="63"/>
      <c r="FM308" s="63"/>
      <c r="FN308" s="63"/>
      <c r="FO308" s="63"/>
      <c r="FP308" s="63"/>
      <c r="FQ308" s="63"/>
      <c r="FR308" s="63"/>
      <c r="FS308" s="63"/>
      <c r="FT308" s="63"/>
      <c r="FU308" s="64">
        <f t="shared" si="2023"/>
        <v>0</v>
      </c>
      <c r="FV308" s="65">
        <f t="shared" si="2024"/>
        <v>0</v>
      </c>
      <c r="FW308" s="65">
        <f t="shared" si="2024"/>
        <v>0</v>
      </c>
      <c r="FX308" s="65">
        <f t="shared" si="2024"/>
        <v>0</v>
      </c>
      <c r="FY308" s="65">
        <f t="shared" si="2024"/>
        <v>0</v>
      </c>
      <c r="FZ308" s="65">
        <f t="shared" si="2024"/>
        <v>0</v>
      </c>
      <c r="GA308" s="65">
        <f t="shared" si="2024"/>
        <v>0</v>
      </c>
      <c r="GB308" s="65">
        <f t="shared" si="2024"/>
        <v>0</v>
      </c>
      <c r="GC308" s="65">
        <f t="shared" si="2024"/>
        <v>0</v>
      </c>
      <c r="GD308" s="65">
        <f t="shared" si="2024"/>
        <v>0</v>
      </c>
      <c r="GE308" s="65">
        <f t="shared" si="2024"/>
        <v>0</v>
      </c>
      <c r="GF308" s="64">
        <f t="shared" si="2025"/>
        <v>0</v>
      </c>
      <c r="GG308" s="66">
        <f t="shared" si="2026"/>
        <v>0</v>
      </c>
      <c r="GH308" s="66">
        <f t="shared" si="2026"/>
        <v>0</v>
      </c>
      <c r="GI308" s="66">
        <f t="shared" si="2026"/>
        <v>0</v>
      </c>
      <c r="GJ308" s="66">
        <f t="shared" si="2026"/>
        <v>0</v>
      </c>
      <c r="GK308" s="66">
        <f t="shared" si="2026"/>
        <v>0</v>
      </c>
      <c r="GL308" s="66">
        <f t="shared" si="2026"/>
        <v>0</v>
      </c>
      <c r="GM308" s="66">
        <f t="shared" si="2026"/>
        <v>0</v>
      </c>
      <c r="GN308" s="66">
        <f t="shared" si="2026"/>
        <v>0</v>
      </c>
      <c r="GO308" s="66">
        <f t="shared" si="2026"/>
        <v>0</v>
      </c>
      <c r="GP308" s="66">
        <f t="shared" si="2026"/>
        <v>0</v>
      </c>
      <c r="GQ308" s="64">
        <f t="shared" si="2027"/>
        <v>0</v>
      </c>
      <c r="GR308" s="63">
        <v>0</v>
      </c>
      <c r="GS308" s="63"/>
      <c r="GT308" s="63"/>
      <c r="GU308" s="63"/>
      <c r="GV308" s="67">
        <f t="shared" si="2028"/>
        <v>0</v>
      </c>
      <c r="GW308" s="63"/>
      <c r="GX308" s="63"/>
      <c r="GY308" s="63"/>
      <c r="GZ308" s="63"/>
      <c r="HA308" s="67">
        <f t="shared" si="2029"/>
        <v>0</v>
      </c>
      <c r="HB308" s="63"/>
      <c r="HC308" s="63"/>
      <c r="HD308" s="63"/>
      <c r="HE308" s="63"/>
      <c r="HF308" s="67">
        <f t="shared" si="2030"/>
        <v>0</v>
      </c>
      <c r="HG308" s="63"/>
      <c r="HH308" s="63"/>
      <c r="HI308" s="63"/>
      <c r="HJ308" s="63"/>
      <c r="HK308" s="67">
        <f t="shared" si="2031"/>
        <v>0</v>
      </c>
      <c r="HL308" s="68">
        <f t="shared" si="2032"/>
        <v>0</v>
      </c>
      <c r="HM308" s="68">
        <f t="shared" si="2032"/>
        <v>0</v>
      </c>
      <c r="HN308" s="68">
        <f t="shared" si="2032"/>
        <v>0</v>
      </c>
      <c r="HO308" s="68">
        <f t="shared" si="2032"/>
        <v>0</v>
      </c>
      <c r="HP308" s="67">
        <f t="shared" si="2033"/>
        <v>0</v>
      </c>
      <c r="HQ308" s="63"/>
      <c r="HR308" s="63"/>
      <c r="HS308" s="63"/>
      <c r="HT308" s="63"/>
      <c r="HU308" s="67">
        <f t="shared" si="2034"/>
        <v>0</v>
      </c>
      <c r="HV308" s="63"/>
      <c r="HW308" s="63"/>
      <c r="HX308" s="63"/>
      <c r="HY308" s="63"/>
      <c r="HZ308" s="67">
        <f t="shared" si="2035"/>
        <v>0</v>
      </c>
      <c r="IA308" s="63"/>
      <c r="IB308" s="63"/>
      <c r="IC308" s="63"/>
      <c r="ID308" s="63"/>
      <c r="IE308" s="67">
        <f t="shared" si="2036"/>
        <v>0</v>
      </c>
      <c r="IF308" s="68">
        <f t="shared" si="2037"/>
        <v>0</v>
      </c>
      <c r="IG308" s="68">
        <f t="shared" si="2037"/>
        <v>0</v>
      </c>
      <c r="IH308" s="68">
        <f t="shared" si="2037"/>
        <v>0</v>
      </c>
      <c r="II308" s="68">
        <f t="shared" si="2037"/>
        <v>0</v>
      </c>
      <c r="IJ308" s="67">
        <f t="shared" si="2038"/>
        <v>0</v>
      </c>
      <c r="IK308" s="63"/>
      <c r="IL308" s="63"/>
      <c r="IM308" s="63"/>
      <c r="IN308" s="63"/>
      <c r="IO308" s="67">
        <f t="shared" si="2039"/>
        <v>0</v>
      </c>
      <c r="IP308" s="63"/>
      <c r="IQ308" s="63"/>
      <c r="IR308" s="63"/>
      <c r="IS308" s="63"/>
      <c r="IT308" s="67">
        <f t="shared" si="2040"/>
        <v>0</v>
      </c>
      <c r="IU308" s="63"/>
      <c r="IV308" s="63"/>
    </row>
    <row r="309" spans="1:256" s="48" customFormat="1" x14ac:dyDescent="0.2">
      <c r="A309" s="109" t="s">
        <v>244</v>
      </c>
      <c r="B309" s="50"/>
      <c r="C309" s="164">
        <f t="shared" ref="C309:K309" si="2041">SUM(C310, )</f>
        <v>0</v>
      </c>
      <c r="D309" s="164">
        <f t="shared" si="2041"/>
        <v>0</v>
      </c>
      <c r="E309" s="164">
        <f t="shared" si="2041"/>
        <v>0</v>
      </c>
      <c r="F309" s="164">
        <f t="shared" si="2041"/>
        <v>0</v>
      </c>
      <c r="G309" s="164">
        <f t="shared" si="2041"/>
        <v>0</v>
      </c>
      <c r="H309" s="164">
        <f t="shared" si="2041"/>
        <v>0</v>
      </c>
      <c r="I309" s="164">
        <f t="shared" si="2041"/>
        <v>0</v>
      </c>
      <c r="J309" s="164">
        <f t="shared" si="2041"/>
        <v>0</v>
      </c>
      <c r="K309" s="164">
        <f t="shared" si="2041"/>
        <v>0</v>
      </c>
      <c r="L309" s="164">
        <f>SUM(L310, )</f>
        <v>0</v>
      </c>
      <c r="M309" s="50"/>
      <c r="N309" s="164">
        <f t="shared" ref="N309:V309" si="2042">SUM(N310, )</f>
        <v>0</v>
      </c>
      <c r="O309" s="164">
        <f t="shared" si="2042"/>
        <v>0</v>
      </c>
      <c r="P309" s="164">
        <f t="shared" si="2042"/>
        <v>0</v>
      </c>
      <c r="Q309" s="164">
        <f t="shared" si="2042"/>
        <v>0</v>
      </c>
      <c r="R309" s="164">
        <f t="shared" si="2042"/>
        <v>0</v>
      </c>
      <c r="S309" s="164">
        <f t="shared" si="2042"/>
        <v>0</v>
      </c>
      <c r="T309" s="164">
        <f t="shared" si="2042"/>
        <v>0</v>
      </c>
      <c r="U309" s="164">
        <f t="shared" si="2042"/>
        <v>0</v>
      </c>
      <c r="V309" s="164">
        <f t="shared" si="2042"/>
        <v>0</v>
      </c>
      <c r="W309" s="164">
        <f>SUM(W310, )</f>
        <v>0</v>
      </c>
      <c r="X309" s="50"/>
      <c r="Y309" s="164">
        <f t="shared" ref="Y309:AG309" si="2043">SUM(Y310, )</f>
        <v>0</v>
      </c>
      <c r="Z309" s="164">
        <f t="shared" si="2043"/>
        <v>0</v>
      </c>
      <c r="AA309" s="164">
        <f t="shared" si="2043"/>
        <v>0</v>
      </c>
      <c r="AB309" s="164">
        <f t="shared" si="2043"/>
        <v>0</v>
      </c>
      <c r="AC309" s="164">
        <f t="shared" si="2043"/>
        <v>0</v>
      </c>
      <c r="AD309" s="164">
        <f t="shared" si="2043"/>
        <v>0</v>
      </c>
      <c r="AE309" s="164">
        <f t="shared" si="2043"/>
        <v>0</v>
      </c>
      <c r="AF309" s="164">
        <f t="shared" si="2043"/>
        <v>0</v>
      </c>
      <c r="AG309" s="164">
        <f t="shared" si="2043"/>
        <v>0</v>
      </c>
      <c r="AH309" s="164">
        <f>SUM(AH310, )</f>
        <v>0</v>
      </c>
      <c r="AI309" s="50"/>
      <c r="AJ309" s="164">
        <f t="shared" ref="AJ309:AR309" si="2044">SUM(AJ310, )</f>
        <v>0</v>
      </c>
      <c r="AK309" s="164">
        <f t="shared" si="2044"/>
        <v>0</v>
      </c>
      <c r="AL309" s="164">
        <f t="shared" si="2044"/>
        <v>0</v>
      </c>
      <c r="AM309" s="164">
        <f t="shared" si="2044"/>
        <v>0</v>
      </c>
      <c r="AN309" s="164">
        <f t="shared" si="2044"/>
        <v>0</v>
      </c>
      <c r="AO309" s="164">
        <f t="shared" si="2044"/>
        <v>0</v>
      </c>
      <c r="AP309" s="164">
        <f t="shared" si="2044"/>
        <v>0</v>
      </c>
      <c r="AQ309" s="164">
        <f t="shared" si="2044"/>
        <v>0</v>
      </c>
      <c r="AR309" s="164">
        <f t="shared" si="2044"/>
        <v>0</v>
      </c>
      <c r="AS309" s="164">
        <f>SUM(AS310, )</f>
        <v>0</v>
      </c>
      <c r="AT309" s="50"/>
      <c r="AU309" s="153">
        <f>SUM(AU310, )</f>
        <v>0</v>
      </c>
      <c r="AV309" s="153">
        <f t="shared" ref="AV309:BC309" si="2045">SUM(AV310, )</f>
        <v>0</v>
      </c>
      <c r="AW309" s="153">
        <f t="shared" si="2045"/>
        <v>0</v>
      </c>
      <c r="AX309" s="153">
        <f t="shared" si="2045"/>
        <v>0</v>
      </c>
      <c r="AY309" s="153">
        <f t="shared" si="2045"/>
        <v>0</v>
      </c>
      <c r="AZ309" s="153">
        <f t="shared" si="2045"/>
        <v>0</v>
      </c>
      <c r="BA309" s="153">
        <f t="shared" si="2045"/>
        <v>0</v>
      </c>
      <c r="BB309" s="153">
        <f t="shared" si="2045"/>
        <v>0</v>
      </c>
      <c r="BC309" s="153">
        <f t="shared" si="2045"/>
        <v>0</v>
      </c>
      <c r="BD309" s="164">
        <f>SUM(BD310, )</f>
        <v>0</v>
      </c>
      <c r="BE309" s="50"/>
      <c r="BF309" s="164">
        <f t="shared" ref="BF309:BN309" si="2046">SUM(BF310, )</f>
        <v>0</v>
      </c>
      <c r="BG309" s="164">
        <f t="shared" si="2046"/>
        <v>0</v>
      </c>
      <c r="BH309" s="164">
        <f t="shared" si="2046"/>
        <v>0</v>
      </c>
      <c r="BI309" s="164">
        <f t="shared" si="2046"/>
        <v>0</v>
      </c>
      <c r="BJ309" s="164">
        <f t="shared" si="2046"/>
        <v>0</v>
      </c>
      <c r="BK309" s="164">
        <f t="shared" si="2046"/>
        <v>0</v>
      </c>
      <c r="BL309" s="164">
        <f t="shared" si="2046"/>
        <v>0</v>
      </c>
      <c r="BM309" s="164">
        <f t="shared" si="2046"/>
        <v>0</v>
      </c>
      <c r="BN309" s="164">
        <f t="shared" si="2046"/>
        <v>0</v>
      </c>
      <c r="BO309" s="164">
        <f>SUM(BO310, )</f>
        <v>0</v>
      </c>
      <c r="BP309" s="50"/>
      <c r="BQ309" s="164">
        <f t="shared" ref="BQ309:BY309" si="2047">SUM(BQ310, )</f>
        <v>0</v>
      </c>
      <c r="BR309" s="164">
        <f t="shared" si="2047"/>
        <v>0</v>
      </c>
      <c r="BS309" s="164">
        <f t="shared" si="2047"/>
        <v>0</v>
      </c>
      <c r="BT309" s="164">
        <f t="shared" si="2047"/>
        <v>0</v>
      </c>
      <c r="BU309" s="164">
        <f t="shared" si="2047"/>
        <v>0</v>
      </c>
      <c r="BV309" s="164">
        <f t="shared" si="2047"/>
        <v>0</v>
      </c>
      <c r="BW309" s="164">
        <f t="shared" si="2047"/>
        <v>0</v>
      </c>
      <c r="BX309" s="164">
        <f t="shared" si="2047"/>
        <v>0</v>
      </c>
      <c r="BY309" s="164">
        <f t="shared" si="2047"/>
        <v>0</v>
      </c>
      <c r="BZ309" s="164">
        <f>SUM(BZ310, )</f>
        <v>0</v>
      </c>
      <c r="CA309" s="50"/>
      <c r="CB309" s="164">
        <f t="shared" ref="CB309:CJ309" si="2048">SUM(CB310, )</f>
        <v>0</v>
      </c>
      <c r="CC309" s="164">
        <f t="shared" si="2048"/>
        <v>0</v>
      </c>
      <c r="CD309" s="164">
        <f t="shared" si="2048"/>
        <v>0</v>
      </c>
      <c r="CE309" s="164">
        <f t="shared" si="2048"/>
        <v>0</v>
      </c>
      <c r="CF309" s="164">
        <f t="shared" si="2048"/>
        <v>0</v>
      </c>
      <c r="CG309" s="164">
        <f t="shared" si="2048"/>
        <v>0</v>
      </c>
      <c r="CH309" s="164">
        <f t="shared" si="2048"/>
        <v>0</v>
      </c>
      <c r="CI309" s="164">
        <f t="shared" si="2048"/>
        <v>0</v>
      </c>
      <c r="CJ309" s="164">
        <f t="shared" si="2048"/>
        <v>0</v>
      </c>
      <c r="CK309" s="164">
        <f>SUM(CK310, )</f>
        <v>0</v>
      </c>
      <c r="CL309" s="50"/>
      <c r="CM309" s="153">
        <f>SUM(CM310, )</f>
        <v>0</v>
      </c>
      <c r="CN309" s="153">
        <f t="shared" ref="CN309:CU309" si="2049">SUM(CN310, )</f>
        <v>0</v>
      </c>
      <c r="CO309" s="153">
        <f t="shared" si="2049"/>
        <v>0</v>
      </c>
      <c r="CP309" s="153">
        <f t="shared" si="2049"/>
        <v>0</v>
      </c>
      <c r="CQ309" s="153">
        <f t="shared" si="2049"/>
        <v>0</v>
      </c>
      <c r="CR309" s="153">
        <f t="shared" si="2049"/>
        <v>0</v>
      </c>
      <c r="CS309" s="153">
        <f t="shared" si="2049"/>
        <v>0</v>
      </c>
      <c r="CT309" s="153">
        <f t="shared" si="2049"/>
        <v>0</v>
      </c>
      <c r="CU309" s="153">
        <f t="shared" si="2049"/>
        <v>0</v>
      </c>
      <c r="CV309" s="164">
        <f>SUM(CV310, )</f>
        <v>0</v>
      </c>
      <c r="CW309" s="50"/>
      <c r="CX309" s="164">
        <f t="shared" ref="CX309:DF309" si="2050">SUM(CX310, )</f>
        <v>0</v>
      </c>
      <c r="CY309" s="164">
        <f t="shared" si="2050"/>
        <v>0</v>
      </c>
      <c r="CZ309" s="164">
        <f t="shared" si="2050"/>
        <v>0</v>
      </c>
      <c r="DA309" s="164">
        <f t="shared" si="2050"/>
        <v>0</v>
      </c>
      <c r="DB309" s="164">
        <f t="shared" si="2050"/>
        <v>0</v>
      </c>
      <c r="DC309" s="164">
        <f t="shared" si="2050"/>
        <v>0</v>
      </c>
      <c r="DD309" s="164">
        <f t="shared" si="2050"/>
        <v>0</v>
      </c>
      <c r="DE309" s="164">
        <f t="shared" si="2050"/>
        <v>0</v>
      </c>
      <c r="DF309" s="164">
        <f t="shared" si="2050"/>
        <v>0</v>
      </c>
      <c r="DG309" s="164">
        <f>SUM(DG310, )</f>
        <v>0</v>
      </c>
      <c r="DH309" s="50"/>
      <c r="DI309" s="164">
        <f t="shared" ref="DI309:DQ309" si="2051">SUM(DI310, )</f>
        <v>0</v>
      </c>
      <c r="DJ309" s="164">
        <f t="shared" si="2051"/>
        <v>0</v>
      </c>
      <c r="DK309" s="164">
        <f t="shared" si="2051"/>
        <v>0</v>
      </c>
      <c r="DL309" s="164">
        <f t="shared" si="2051"/>
        <v>0</v>
      </c>
      <c r="DM309" s="164">
        <f t="shared" si="2051"/>
        <v>0</v>
      </c>
      <c r="DN309" s="164">
        <f t="shared" si="2051"/>
        <v>0</v>
      </c>
      <c r="DO309" s="164">
        <f t="shared" si="2051"/>
        <v>0</v>
      </c>
      <c r="DP309" s="164">
        <f t="shared" si="2051"/>
        <v>0</v>
      </c>
      <c r="DQ309" s="164">
        <f t="shared" si="2051"/>
        <v>0</v>
      </c>
      <c r="DR309" s="164">
        <f>SUM(DR310, )</f>
        <v>0</v>
      </c>
      <c r="DS309" s="50"/>
      <c r="DT309" s="164">
        <f t="shared" ref="DT309:EB309" si="2052">SUM(DT310, )</f>
        <v>0</v>
      </c>
      <c r="DU309" s="164">
        <f t="shared" si="2052"/>
        <v>0</v>
      </c>
      <c r="DV309" s="164">
        <f t="shared" si="2052"/>
        <v>0</v>
      </c>
      <c r="DW309" s="164">
        <f t="shared" si="2052"/>
        <v>0</v>
      </c>
      <c r="DX309" s="164">
        <f t="shared" si="2052"/>
        <v>0</v>
      </c>
      <c r="DY309" s="164">
        <f t="shared" si="2052"/>
        <v>0</v>
      </c>
      <c r="DZ309" s="164">
        <f t="shared" si="2052"/>
        <v>0</v>
      </c>
      <c r="EA309" s="164">
        <f t="shared" si="2052"/>
        <v>0</v>
      </c>
      <c r="EB309" s="164">
        <f t="shared" si="2052"/>
        <v>0</v>
      </c>
      <c r="EC309" s="164">
        <f>SUM(EC310, )</f>
        <v>0</v>
      </c>
      <c r="ED309" s="50"/>
      <c r="EE309" s="153">
        <f>SUM(EE310, )</f>
        <v>0</v>
      </c>
      <c r="EF309" s="153">
        <f t="shared" ref="EF309:EM309" si="2053">SUM(EF310, )</f>
        <v>0</v>
      </c>
      <c r="EG309" s="153">
        <f t="shared" si="2053"/>
        <v>0</v>
      </c>
      <c r="EH309" s="153">
        <f t="shared" si="2053"/>
        <v>0</v>
      </c>
      <c r="EI309" s="153">
        <f t="shared" si="2053"/>
        <v>0</v>
      </c>
      <c r="EJ309" s="153">
        <f t="shared" si="2053"/>
        <v>0</v>
      </c>
      <c r="EK309" s="153">
        <f t="shared" si="2053"/>
        <v>0</v>
      </c>
      <c r="EL309" s="153">
        <f t="shared" si="2053"/>
        <v>0</v>
      </c>
      <c r="EM309" s="153">
        <f t="shared" si="2053"/>
        <v>0</v>
      </c>
      <c r="EN309" s="164">
        <f>SUM(EN310, )</f>
        <v>0</v>
      </c>
      <c r="EO309" s="50"/>
      <c r="EP309" s="164">
        <f t="shared" ref="EP309:EX309" si="2054">SUM(EP310, )</f>
        <v>0</v>
      </c>
      <c r="EQ309" s="164">
        <f t="shared" si="2054"/>
        <v>0</v>
      </c>
      <c r="ER309" s="164">
        <f t="shared" si="2054"/>
        <v>0</v>
      </c>
      <c r="ES309" s="164">
        <f t="shared" si="2054"/>
        <v>0</v>
      </c>
      <c r="ET309" s="164">
        <f t="shared" si="2054"/>
        <v>0</v>
      </c>
      <c r="EU309" s="164">
        <f t="shared" si="2054"/>
        <v>0</v>
      </c>
      <c r="EV309" s="164">
        <f t="shared" si="2054"/>
        <v>0</v>
      </c>
      <c r="EW309" s="164">
        <f t="shared" si="2054"/>
        <v>0</v>
      </c>
      <c r="EX309" s="164">
        <f t="shared" si="2054"/>
        <v>0</v>
      </c>
      <c r="EY309" s="164">
        <f>SUM(EY310, )</f>
        <v>0</v>
      </c>
      <c r="EZ309" s="50"/>
      <c r="FA309" s="164">
        <f t="shared" ref="FA309:FI309" si="2055">SUM(FA310, )</f>
        <v>0</v>
      </c>
      <c r="FB309" s="164">
        <f t="shared" si="2055"/>
        <v>0</v>
      </c>
      <c r="FC309" s="164">
        <f t="shared" si="2055"/>
        <v>0</v>
      </c>
      <c r="FD309" s="164">
        <f t="shared" si="2055"/>
        <v>0</v>
      </c>
      <c r="FE309" s="164">
        <f t="shared" si="2055"/>
        <v>0</v>
      </c>
      <c r="FF309" s="164">
        <f t="shared" si="2055"/>
        <v>0</v>
      </c>
      <c r="FG309" s="164">
        <f t="shared" si="2055"/>
        <v>0</v>
      </c>
      <c r="FH309" s="164">
        <f t="shared" si="2055"/>
        <v>0</v>
      </c>
      <c r="FI309" s="164">
        <f t="shared" si="2055"/>
        <v>0</v>
      </c>
      <c r="FJ309" s="164">
        <f>SUM(FJ310, )</f>
        <v>0</v>
      </c>
      <c r="FK309" s="50"/>
      <c r="FL309" s="164">
        <f t="shared" ref="FL309:FT309" si="2056">SUM(FL310, )</f>
        <v>0</v>
      </c>
      <c r="FM309" s="164">
        <f t="shared" si="2056"/>
        <v>0</v>
      </c>
      <c r="FN309" s="164">
        <f t="shared" si="2056"/>
        <v>0</v>
      </c>
      <c r="FO309" s="164">
        <f t="shared" si="2056"/>
        <v>0</v>
      </c>
      <c r="FP309" s="164">
        <f t="shared" si="2056"/>
        <v>0</v>
      </c>
      <c r="FQ309" s="164">
        <f t="shared" si="2056"/>
        <v>0</v>
      </c>
      <c r="FR309" s="164">
        <f t="shared" si="2056"/>
        <v>0</v>
      </c>
      <c r="FS309" s="164">
        <f t="shared" si="2056"/>
        <v>0</v>
      </c>
      <c r="FT309" s="164">
        <f t="shared" si="2056"/>
        <v>0</v>
      </c>
      <c r="FU309" s="164">
        <f>SUM(FU310, )</f>
        <v>0</v>
      </c>
      <c r="FV309" s="50"/>
      <c r="FW309" s="153">
        <f>SUM(FW310, )</f>
        <v>0</v>
      </c>
      <c r="FX309" s="153">
        <f t="shared" ref="FX309:GE309" si="2057">SUM(FX310, )</f>
        <v>0</v>
      </c>
      <c r="FY309" s="153">
        <f t="shared" si="2057"/>
        <v>0</v>
      </c>
      <c r="FZ309" s="153">
        <f t="shared" si="2057"/>
        <v>0</v>
      </c>
      <c r="GA309" s="153">
        <f t="shared" si="2057"/>
        <v>0</v>
      </c>
      <c r="GB309" s="153">
        <f t="shared" si="2057"/>
        <v>0</v>
      </c>
      <c r="GC309" s="153">
        <f t="shared" si="2057"/>
        <v>0</v>
      </c>
      <c r="GD309" s="153">
        <f t="shared" si="2057"/>
        <v>0</v>
      </c>
      <c r="GE309" s="153">
        <f t="shared" si="2057"/>
        <v>0</v>
      </c>
      <c r="GF309" s="164">
        <f>SUM(GF310, )</f>
        <v>0</v>
      </c>
      <c r="GG309" s="50"/>
      <c r="GH309" s="164">
        <f t="shared" ref="GH309:GP309" si="2058">SUM(GH310, )</f>
        <v>0</v>
      </c>
      <c r="GI309" s="164">
        <f t="shared" si="2058"/>
        <v>0</v>
      </c>
      <c r="GJ309" s="164">
        <f t="shared" si="2058"/>
        <v>0</v>
      </c>
      <c r="GK309" s="164">
        <f t="shared" si="2058"/>
        <v>0</v>
      </c>
      <c r="GL309" s="164">
        <f t="shared" si="2058"/>
        <v>0</v>
      </c>
      <c r="GM309" s="164">
        <f t="shared" si="2058"/>
        <v>0</v>
      </c>
      <c r="GN309" s="164">
        <f t="shared" si="2058"/>
        <v>0</v>
      </c>
      <c r="GO309" s="164">
        <f t="shared" si="2058"/>
        <v>0</v>
      </c>
      <c r="GP309" s="164">
        <f t="shared" si="2058"/>
        <v>0</v>
      </c>
      <c r="GQ309" s="164">
        <f t="shared" ref="GQ309:GV309" si="2059">SUM(GQ310, )</f>
        <v>0</v>
      </c>
      <c r="GR309" s="164">
        <f t="shared" si="2059"/>
        <v>0</v>
      </c>
      <c r="GS309" s="164">
        <f t="shared" si="2059"/>
        <v>0</v>
      </c>
      <c r="GT309" s="164">
        <f t="shared" si="2059"/>
        <v>0</v>
      </c>
      <c r="GU309" s="164">
        <f t="shared" si="2059"/>
        <v>0</v>
      </c>
      <c r="GV309" s="164">
        <f t="shared" si="2059"/>
        <v>0</v>
      </c>
      <c r="GW309" s="164">
        <f t="shared" ref="GW309:HJ309" si="2060">SUM(GW310, )</f>
        <v>0</v>
      </c>
      <c r="GX309" s="164">
        <f t="shared" si="2060"/>
        <v>0</v>
      </c>
      <c r="GY309" s="164">
        <f t="shared" si="2060"/>
        <v>0</v>
      </c>
      <c r="GZ309" s="164">
        <f t="shared" si="2060"/>
        <v>0</v>
      </c>
      <c r="HA309" s="164">
        <f>SUM(HA310, )</f>
        <v>0</v>
      </c>
      <c r="HB309" s="164">
        <f t="shared" si="2060"/>
        <v>0</v>
      </c>
      <c r="HC309" s="164">
        <f t="shared" si="2060"/>
        <v>0</v>
      </c>
      <c r="HD309" s="164">
        <f t="shared" si="2060"/>
        <v>0</v>
      </c>
      <c r="HE309" s="164">
        <f t="shared" si="2060"/>
        <v>0</v>
      </c>
      <c r="HF309" s="164">
        <f>SUM(HF310, )</f>
        <v>0</v>
      </c>
      <c r="HG309" s="164">
        <f t="shared" si="2060"/>
        <v>0</v>
      </c>
      <c r="HH309" s="164">
        <f t="shared" si="2060"/>
        <v>0</v>
      </c>
      <c r="HI309" s="164">
        <f t="shared" si="2060"/>
        <v>0</v>
      </c>
      <c r="HJ309" s="164">
        <f t="shared" si="2060"/>
        <v>0</v>
      </c>
      <c r="HK309" s="164">
        <f t="shared" ref="HK309:HP309" si="2061">SUM(HK310, )</f>
        <v>0</v>
      </c>
      <c r="HL309" s="164">
        <f t="shared" si="2061"/>
        <v>0</v>
      </c>
      <c r="HM309" s="164">
        <f t="shared" si="2061"/>
        <v>0</v>
      </c>
      <c r="HN309" s="164">
        <f t="shared" si="2061"/>
        <v>0</v>
      </c>
      <c r="HO309" s="164">
        <f t="shared" si="2061"/>
        <v>0</v>
      </c>
      <c r="HP309" s="164">
        <f t="shared" si="2061"/>
        <v>0</v>
      </c>
      <c r="HQ309" s="164">
        <f t="shared" ref="HQ309:ID309" si="2062">SUM(HQ310, )</f>
        <v>0</v>
      </c>
      <c r="HR309" s="164">
        <f t="shared" si="2062"/>
        <v>0</v>
      </c>
      <c r="HS309" s="164">
        <f t="shared" si="2062"/>
        <v>0</v>
      </c>
      <c r="HT309" s="164">
        <f t="shared" si="2062"/>
        <v>0</v>
      </c>
      <c r="HU309" s="164">
        <f>SUM(HU310, )</f>
        <v>0</v>
      </c>
      <c r="HV309" s="164">
        <f t="shared" si="2062"/>
        <v>0</v>
      </c>
      <c r="HW309" s="164">
        <f t="shared" si="2062"/>
        <v>0</v>
      </c>
      <c r="HX309" s="164">
        <f t="shared" si="2062"/>
        <v>0</v>
      </c>
      <c r="HY309" s="164">
        <f t="shared" si="2062"/>
        <v>0</v>
      </c>
      <c r="HZ309" s="164">
        <f>SUM(HZ310, )</f>
        <v>0</v>
      </c>
      <c r="IA309" s="164">
        <f t="shared" si="2062"/>
        <v>0</v>
      </c>
      <c r="IB309" s="164">
        <f t="shared" si="2062"/>
        <v>0</v>
      </c>
      <c r="IC309" s="164">
        <f t="shared" si="2062"/>
        <v>0</v>
      </c>
      <c r="ID309" s="164">
        <f t="shared" si="2062"/>
        <v>0</v>
      </c>
      <c r="IE309" s="164">
        <f t="shared" ref="IE309:IJ309" si="2063">SUM(IE310, )</f>
        <v>0</v>
      </c>
      <c r="IF309" s="164">
        <f t="shared" si="2063"/>
        <v>0</v>
      </c>
      <c r="IG309" s="164">
        <f t="shared" si="2063"/>
        <v>0</v>
      </c>
      <c r="IH309" s="164">
        <f t="shared" si="2063"/>
        <v>0</v>
      </c>
      <c r="II309" s="164">
        <f t="shared" si="2063"/>
        <v>0</v>
      </c>
      <c r="IJ309" s="164">
        <f t="shared" si="2063"/>
        <v>0</v>
      </c>
      <c r="IK309" s="164">
        <f t="shared" ref="IK309:IV309" si="2064">SUM(IK310, )</f>
        <v>0</v>
      </c>
      <c r="IL309" s="164">
        <f t="shared" si="2064"/>
        <v>0</v>
      </c>
      <c r="IM309" s="164">
        <f t="shared" si="2064"/>
        <v>0</v>
      </c>
      <c r="IN309" s="164">
        <f t="shared" si="2064"/>
        <v>0</v>
      </c>
      <c r="IO309" s="164">
        <f>SUM(IO310, )</f>
        <v>0</v>
      </c>
      <c r="IP309" s="164">
        <f t="shared" si="2064"/>
        <v>0</v>
      </c>
      <c r="IQ309" s="164">
        <f t="shared" si="2064"/>
        <v>0</v>
      </c>
      <c r="IR309" s="164">
        <f t="shared" si="2064"/>
        <v>0</v>
      </c>
      <c r="IS309" s="164">
        <f t="shared" si="2064"/>
        <v>0</v>
      </c>
      <c r="IT309" s="164">
        <f>SUM(IT310, )</f>
        <v>0</v>
      </c>
      <c r="IU309" s="164">
        <f t="shared" si="2064"/>
        <v>0</v>
      </c>
      <c r="IV309" s="164">
        <f t="shared" si="2064"/>
        <v>0</v>
      </c>
    </row>
    <row r="310" spans="1:256" s="57" customFormat="1" ht="26.1" customHeight="1" x14ac:dyDescent="0.25">
      <c r="A310" s="77" t="s">
        <v>245</v>
      </c>
      <c r="B310" s="60"/>
      <c r="C310" s="59">
        <f t="shared" ref="C310:K310" si="2065">SUM(C312,C316,C320,C323,C325,C311)</f>
        <v>0</v>
      </c>
      <c r="D310" s="59">
        <f t="shared" si="2065"/>
        <v>0</v>
      </c>
      <c r="E310" s="59">
        <f t="shared" si="2065"/>
        <v>0</v>
      </c>
      <c r="F310" s="59">
        <f t="shared" si="2065"/>
        <v>0</v>
      </c>
      <c r="G310" s="59">
        <f t="shared" si="2065"/>
        <v>0</v>
      </c>
      <c r="H310" s="59">
        <f t="shared" si="2065"/>
        <v>0</v>
      </c>
      <c r="I310" s="59">
        <f t="shared" si="2065"/>
        <v>0</v>
      </c>
      <c r="J310" s="59">
        <f t="shared" si="2065"/>
        <v>0</v>
      </c>
      <c r="K310" s="59">
        <f t="shared" si="2065"/>
        <v>0</v>
      </c>
      <c r="L310" s="59">
        <f>SUM(L312,L316,L320,L323,L325)</f>
        <v>0</v>
      </c>
      <c r="M310" s="60"/>
      <c r="N310" s="59">
        <f t="shared" ref="N310:V310" si="2066">SUM(N312,N316,N320,N323,N325,N311)</f>
        <v>0</v>
      </c>
      <c r="O310" s="59">
        <f t="shared" si="2066"/>
        <v>0</v>
      </c>
      <c r="P310" s="59">
        <f t="shared" si="2066"/>
        <v>0</v>
      </c>
      <c r="Q310" s="59">
        <f t="shared" si="2066"/>
        <v>0</v>
      </c>
      <c r="R310" s="59">
        <f t="shared" si="2066"/>
        <v>0</v>
      </c>
      <c r="S310" s="59">
        <f t="shared" si="2066"/>
        <v>0</v>
      </c>
      <c r="T310" s="59">
        <f t="shared" si="2066"/>
        <v>0</v>
      </c>
      <c r="U310" s="59">
        <f t="shared" si="2066"/>
        <v>0</v>
      </c>
      <c r="V310" s="59">
        <f t="shared" si="2066"/>
        <v>0</v>
      </c>
      <c r="W310" s="59">
        <f>SUM(W312,W316,W320,W323,W325)</f>
        <v>0</v>
      </c>
      <c r="X310" s="60"/>
      <c r="Y310" s="59">
        <f t="shared" ref="Y310:AG310" si="2067">SUM(Y312,Y316,Y320,Y323,Y325,Y311)</f>
        <v>0</v>
      </c>
      <c r="Z310" s="59">
        <f t="shared" si="2067"/>
        <v>0</v>
      </c>
      <c r="AA310" s="59">
        <f t="shared" si="2067"/>
        <v>0</v>
      </c>
      <c r="AB310" s="59">
        <f t="shared" si="2067"/>
        <v>0</v>
      </c>
      <c r="AC310" s="59">
        <f t="shared" si="2067"/>
        <v>0</v>
      </c>
      <c r="AD310" s="59">
        <f t="shared" si="2067"/>
        <v>0</v>
      </c>
      <c r="AE310" s="59">
        <f t="shared" si="2067"/>
        <v>0</v>
      </c>
      <c r="AF310" s="59">
        <f t="shared" si="2067"/>
        <v>0</v>
      </c>
      <c r="AG310" s="59">
        <f t="shared" si="2067"/>
        <v>0</v>
      </c>
      <c r="AH310" s="59">
        <f>SUM(AH312,AH316,AH320,AH323,AH325)</f>
        <v>0</v>
      </c>
      <c r="AI310" s="60"/>
      <c r="AJ310" s="59">
        <f t="shared" ref="AJ310:AR310" si="2068">SUM(AJ312,AJ316,AJ320,AJ323,AJ325,AJ311)</f>
        <v>0</v>
      </c>
      <c r="AK310" s="59">
        <f t="shared" si="2068"/>
        <v>0</v>
      </c>
      <c r="AL310" s="59">
        <f t="shared" si="2068"/>
        <v>0</v>
      </c>
      <c r="AM310" s="59">
        <f t="shared" si="2068"/>
        <v>0</v>
      </c>
      <c r="AN310" s="59">
        <f t="shared" si="2068"/>
        <v>0</v>
      </c>
      <c r="AO310" s="59">
        <f t="shared" si="2068"/>
        <v>0</v>
      </c>
      <c r="AP310" s="59">
        <f t="shared" si="2068"/>
        <v>0</v>
      </c>
      <c r="AQ310" s="59">
        <f t="shared" si="2068"/>
        <v>0</v>
      </c>
      <c r="AR310" s="59">
        <f t="shared" si="2068"/>
        <v>0</v>
      </c>
      <c r="AS310" s="59">
        <f>SUM(AS312,AS316,AS320,AS323,AS325)</f>
        <v>0</v>
      </c>
      <c r="AT310" s="60"/>
      <c r="AU310" s="72">
        <f>SUM(AU312,AU316,AU320,AU323,AU325)</f>
        <v>0</v>
      </c>
      <c r="AV310" s="72">
        <f t="shared" ref="AV310:BC310" si="2069">SUM(AV312,AV316,AV320,AV323,AV325)</f>
        <v>0</v>
      </c>
      <c r="AW310" s="72">
        <f t="shared" si="2069"/>
        <v>0</v>
      </c>
      <c r="AX310" s="72">
        <f t="shared" si="2069"/>
        <v>0</v>
      </c>
      <c r="AY310" s="72">
        <f t="shared" si="2069"/>
        <v>0</v>
      </c>
      <c r="AZ310" s="72">
        <f t="shared" si="2069"/>
        <v>0</v>
      </c>
      <c r="BA310" s="72">
        <f t="shared" si="2069"/>
        <v>0</v>
      </c>
      <c r="BB310" s="72">
        <f t="shared" si="2069"/>
        <v>0</v>
      </c>
      <c r="BC310" s="72">
        <f t="shared" si="2069"/>
        <v>0</v>
      </c>
      <c r="BD310" s="59">
        <f>SUM(BD312,BD316,BD320,BD323,BD325)</f>
        <v>0</v>
      </c>
      <c r="BE310" s="60"/>
      <c r="BF310" s="59">
        <f t="shared" ref="BF310:BN310" si="2070">SUM(BF312,BF316,BF320,BF323,BF325,BF311)</f>
        <v>0</v>
      </c>
      <c r="BG310" s="59">
        <f t="shared" si="2070"/>
        <v>0</v>
      </c>
      <c r="BH310" s="59">
        <f t="shared" si="2070"/>
        <v>0</v>
      </c>
      <c r="BI310" s="59">
        <f t="shared" si="2070"/>
        <v>0</v>
      </c>
      <c r="BJ310" s="59">
        <f t="shared" si="2070"/>
        <v>0</v>
      </c>
      <c r="BK310" s="59">
        <f t="shared" si="2070"/>
        <v>0</v>
      </c>
      <c r="BL310" s="59">
        <f t="shared" si="2070"/>
        <v>0</v>
      </c>
      <c r="BM310" s="59">
        <f t="shared" si="2070"/>
        <v>0</v>
      </c>
      <c r="BN310" s="59">
        <f t="shared" si="2070"/>
        <v>0</v>
      </c>
      <c r="BO310" s="59">
        <f>SUM(BO312,BO316,BO320,BO323,BO325)</f>
        <v>0</v>
      </c>
      <c r="BP310" s="60"/>
      <c r="BQ310" s="59">
        <f t="shared" ref="BQ310:BY310" si="2071">SUM(BQ312,BQ316,BQ320,BQ323,BQ325,BQ311)</f>
        <v>0</v>
      </c>
      <c r="BR310" s="59">
        <f t="shared" si="2071"/>
        <v>0</v>
      </c>
      <c r="BS310" s="59">
        <f t="shared" si="2071"/>
        <v>0</v>
      </c>
      <c r="BT310" s="59">
        <f t="shared" si="2071"/>
        <v>0</v>
      </c>
      <c r="BU310" s="59">
        <f t="shared" si="2071"/>
        <v>0</v>
      </c>
      <c r="BV310" s="59">
        <f t="shared" si="2071"/>
        <v>0</v>
      </c>
      <c r="BW310" s="59">
        <f t="shared" si="2071"/>
        <v>0</v>
      </c>
      <c r="BX310" s="59">
        <f t="shared" si="2071"/>
        <v>0</v>
      </c>
      <c r="BY310" s="59">
        <f t="shared" si="2071"/>
        <v>0</v>
      </c>
      <c r="BZ310" s="59">
        <f>SUM(BZ312,BZ316,BZ320,BZ323,BZ325)</f>
        <v>0</v>
      </c>
      <c r="CA310" s="60"/>
      <c r="CB310" s="59">
        <f t="shared" ref="CB310:CJ310" si="2072">SUM(CB312,CB316,CB320,CB323,CB325,CB311)</f>
        <v>0</v>
      </c>
      <c r="CC310" s="59">
        <f t="shared" si="2072"/>
        <v>0</v>
      </c>
      <c r="CD310" s="59">
        <f t="shared" si="2072"/>
        <v>0</v>
      </c>
      <c r="CE310" s="59">
        <f t="shared" si="2072"/>
        <v>0</v>
      </c>
      <c r="CF310" s="59">
        <f t="shared" si="2072"/>
        <v>0</v>
      </c>
      <c r="CG310" s="59">
        <f t="shared" si="2072"/>
        <v>0</v>
      </c>
      <c r="CH310" s="59">
        <f t="shared" si="2072"/>
        <v>0</v>
      </c>
      <c r="CI310" s="59">
        <f t="shared" si="2072"/>
        <v>0</v>
      </c>
      <c r="CJ310" s="59">
        <f t="shared" si="2072"/>
        <v>0</v>
      </c>
      <c r="CK310" s="59">
        <f>SUM(CK312,CK316,CK320,CK323,CK325)</f>
        <v>0</v>
      </c>
      <c r="CL310" s="60"/>
      <c r="CM310" s="72">
        <f>SUM(CM312,CM316,CM320,CM323,CM325)</f>
        <v>0</v>
      </c>
      <c r="CN310" s="72">
        <f t="shared" ref="CN310:CU310" si="2073">SUM(CN312,CN316,CN320,CN323,CN325)</f>
        <v>0</v>
      </c>
      <c r="CO310" s="72">
        <f t="shared" si="2073"/>
        <v>0</v>
      </c>
      <c r="CP310" s="72">
        <f t="shared" si="2073"/>
        <v>0</v>
      </c>
      <c r="CQ310" s="72">
        <f t="shared" si="2073"/>
        <v>0</v>
      </c>
      <c r="CR310" s="72">
        <f t="shared" si="2073"/>
        <v>0</v>
      </c>
      <c r="CS310" s="72">
        <f t="shared" si="2073"/>
        <v>0</v>
      </c>
      <c r="CT310" s="72">
        <f t="shared" si="2073"/>
        <v>0</v>
      </c>
      <c r="CU310" s="72">
        <f t="shared" si="2073"/>
        <v>0</v>
      </c>
      <c r="CV310" s="59">
        <f>SUM(CV312,CV316,CV320,CV323,CV325)</f>
        <v>0</v>
      </c>
      <c r="CW310" s="60"/>
      <c r="CX310" s="59">
        <f t="shared" ref="CX310:DF310" si="2074">SUM(CX312,CX316,CX320,CX323,CX325,CX311)</f>
        <v>0</v>
      </c>
      <c r="CY310" s="59">
        <f t="shared" si="2074"/>
        <v>0</v>
      </c>
      <c r="CZ310" s="59">
        <f t="shared" si="2074"/>
        <v>0</v>
      </c>
      <c r="DA310" s="59">
        <f t="shared" si="2074"/>
        <v>0</v>
      </c>
      <c r="DB310" s="59">
        <f t="shared" si="2074"/>
        <v>0</v>
      </c>
      <c r="DC310" s="59">
        <f t="shared" si="2074"/>
        <v>0</v>
      </c>
      <c r="DD310" s="59">
        <f t="shared" si="2074"/>
        <v>0</v>
      </c>
      <c r="DE310" s="59">
        <f t="shared" si="2074"/>
        <v>0</v>
      </c>
      <c r="DF310" s="59">
        <f t="shared" si="2074"/>
        <v>0</v>
      </c>
      <c r="DG310" s="59">
        <f>SUM(DG312,DG316,DG320,DG323,DG325)</f>
        <v>0</v>
      </c>
      <c r="DH310" s="60"/>
      <c r="DI310" s="59">
        <f t="shared" ref="DI310:DQ310" si="2075">SUM(DI312,DI316,DI320,DI323,DI325,DI311)</f>
        <v>0</v>
      </c>
      <c r="DJ310" s="59">
        <f t="shared" si="2075"/>
        <v>0</v>
      </c>
      <c r="DK310" s="59">
        <f t="shared" si="2075"/>
        <v>0</v>
      </c>
      <c r="DL310" s="59">
        <f t="shared" si="2075"/>
        <v>0</v>
      </c>
      <c r="DM310" s="59">
        <f t="shared" si="2075"/>
        <v>0</v>
      </c>
      <c r="DN310" s="59">
        <f t="shared" si="2075"/>
        <v>0</v>
      </c>
      <c r="DO310" s="59">
        <f t="shared" si="2075"/>
        <v>0</v>
      </c>
      <c r="DP310" s="59">
        <f t="shared" si="2075"/>
        <v>0</v>
      </c>
      <c r="DQ310" s="59">
        <f t="shared" si="2075"/>
        <v>0</v>
      </c>
      <c r="DR310" s="59">
        <f>SUM(DR312,DR316,DR320,DR323,DR325)</f>
        <v>0</v>
      </c>
      <c r="DS310" s="60"/>
      <c r="DT310" s="59">
        <f t="shared" ref="DT310:EB310" si="2076">SUM(DT312,DT316,DT320,DT323,DT325,DT311)</f>
        <v>0</v>
      </c>
      <c r="DU310" s="59">
        <f t="shared" si="2076"/>
        <v>0</v>
      </c>
      <c r="DV310" s="59">
        <f t="shared" si="2076"/>
        <v>0</v>
      </c>
      <c r="DW310" s="59">
        <f t="shared" si="2076"/>
        <v>0</v>
      </c>
      <c r="DX310" s="59">
        <f t="shared" si="2076"/>
        <v>0</v>
      </c>
      <c r="DY310" s="59">
        <f t="shared" si="2076"/>
        <v>0</v>
      </c>
      <c r="DZ310" s="59">
        <f t="shared" si="2076"/>
        <v>0</v>
      </c>
      <c r="EA310" s="59">
        <f t="shared" si="2076"/>
        <v>0</v>
      </c>
      <c r="EB310" s="59">
        <f t="shared" si="2076"/>
        <v>0</v>
      </c>
      <c r="EC310" s="59">
        <f>SUM(EC312,EC316,EC320,EC323,EC325,EC311)</f>
        <v>0</v>
      </c>
      <c r="ED310" s="60"/>
      <c r="EE310" s="72">
        <f>SUM(EE312,EE316,EE320,EE323,EE325)</f>
        <v>0</v>
      </c>
      <c r="EF310" s="72">
        <f t="shared" ref="EF310:EM310" si="2077">SUM(EF312,EF316,EF320,EF323,EF325)</f>
        <v>0</v>
      </c>
      <c r="EG310" s="72">
        <f t="shared" si="2077"/>
        <v>0</v>
      </c>
      <c r="EH310" s="72">
        <f t="shared" si="2077"/>
        <v>0</v>
      </c>
      <c r="EI310" s="72">
        <f t="shared" si="2077"/>
        <v>0</v>
      </c>
      <c r="EJ310" s="72">
        <f t="shared" si="2077"/>
        <v>0</v>
      </c>
      <c r="EK310" s="72">
        <f t="shared" si="2077"/>
        <v>0</v>
      </c>
      <c r="EL310" s="72">
        <f t="shared" si="2077"/>
        <v>0</v>
      </c>
      <c r="EM310" s="72">
        <f t="shared" si="2077"/>
        <v>0</v>
      </c>
      <c r="EN310" s="59">
        <f>SUM(EN312,EN316,EN320,EN323,EN325)</f>
        <v>0</v>
      </c>
      <c r="EO310" s="60"/>
      <c r="EP310" s="59">
        <f t="shared" ref="EP310:EX310" si="2078">SUM(EP312,EP316,EP320,EP323,EP325,EP311)</f>
        <v>0</v>
      </c>
      <c r="EQ310" s="59">
        <f t="shared" si="2078"/>
        <v>0</v>
      </c>
      <c r="ER310" s="59">
        <f t="shared" si="2078"/>
        <v>0</v>
      </c>
      <c r="ES310" s="59">
        <f t="shared" si="2078"/>
        <v>0</v>
      </c>
      <c r="ET310" s="59">
        <f t="shared" si="2078"/>
        <v>0</v>
      </c>
      <c r="EU310" s="59">
        <f t="shared" si="2078"/>
        <v>0</v>
      </c>
      <c r="EV310" s="59">
        <f t="shared" si="2078"/>
        <v>0</v>
      </c>
      <c r="EW310" s="59">
        <f t="shared" si="2078"/>
        <v>0</v>
      </c>
      <c r="EX310" s="59">
        <f t="shared" si="2078"/>
        <v>0</v>
      </c>
      <c r="EY310" s="59">
        <f>SUM(EY312,EY316,EY320,EY323,EY325)</f>
        <v>0</v>
      </c>
      <c r="EZ310" s="60"/>
      <c r="FA310" s="59">
        <f t="shared" ref="FA310:FI310" si="2079">SUM(FA312,FA316,FA320,FA323,FA325,FA311)</f>
        <v>0</v>
      </c>
      <c r="FB310" s="59">
        <f t="shared" si="2079"/>
        <v>0</v>
      </c>
      <c r="FC310" s="59">
        <f t="shared" si="2079"/>
        <v>0</v>
      </c>
      <c r="FD310" s="59">
        <f t="shared" si="2079"/>
        <v>0</v>
      </c>
      <c r="FE310" s="59">
        <f t="shared" si="2079"/>
        <v>0</v>
      </c>
      <c r="FF310" s="59">
        <f t="shared" si="2079"/>
        <v>0</v>
      </c>
      <c r="FG310" s="59">
        <f t="shared" si="2079"/>
        <v>0</v>
      </c>
      <c r="FH310" s="59">
        <f t="shared" si="2079"/>
        <v>0</v>
      </c>
      <c r="FI310" s="59">
        <f t="shared" si="2079"/>
        <v>0</v>
      </c>
      <c r="FJ310" s="59">
        <f>SUM(FJ312,FJ316,FJ320,FJ323,FJ325)</f>
        <v>0</v>
      </c>
      <c r="FK310" s="60"/>
      <c r="FL310" s="59">
        <f t="shared" ref="FL310:FT310" si="2080">SUM(FL312,FL316,FL320,FL323,FL325,FL311)</f>
        <v>0</v>
      </c>
      <c r="FM310" s="59">
        <f t="shared" si="2080"/>
        <v>0</v>
      </c>
      <c r="FN310" s="59">
        <f t="shared" si="2080"/>
        <v>0</v>
      </c>
      <c r="FO310" s="59">
        <f t="shared" si="2080"/>
        <v>0</v>
      </c>
      <c r="FP310" s="59">
        <f t="shared" si="2080"/>
        <v>0</v>
      </c>
      <c r="FQ310" s="59">
        <f t="shared" si="2080"/>
        <v>0</v>
      </c>
      <c r="FR310" s="59">
        <f t="shared" si="2080"/>
        <v>0</v>
      </c>
      <c r="FS310" s="59">
        <f t="shared" si="2080"/>
        <v>0</v>
      </c>
      <c r="FT310" s="59">
        <f t="shared" si="2080"/>
        <v>0</v>
      </c>
      <c r="FU310" s="59">
        <f>SUM(FU312,FU316,FU320,FU323,FU325)</f>
        <v>0</v>
      </c>
      <c r="FV310" s="60"/>
      <c r="FW310" s="72">
        <f>SUM(FW312,FW316,FW320,FW323,FW325)</f>
        <v>0</v>
      </c>
      <c r="FX310" s="72">
        <f t="shared" ref="FX310:GE310" si="2081">SUM(FX312,FX316,FX320,FX323,FX325)</f>
        <v>0</v>
      </c>
      <c r="FY310" s="72">
        <f t="shared" si="2081"/>
        <v>0</v>
      </c>
      <c r="FZ310" s="72">
        <f t="shared" si="2081"/>
        <v>0</v>
      </c>
      <c r="GA310" s="72">
        <f t="shared" si="2081"/>
        <v>0</v>
      </c>
      <c r="GB310" s="72">
        <f t="shared" si="2081"/>
        <v>0</v>
      </c>
      <c r="GC310" s="72">
        <f t="shared" si="2081"/>
        <v>0</v>
      </c>
      <c r="GD310" s="72">
        <f t="shared" si="2081"/>
        <v>0</v>
      </c>
      <c r="GE310" s="72">
        <f t="shared" si="2081"/>
        <v>0</v>
      </c>
      <c r="GF310" s="59">
        <f>SUM(GF312,GF316,GF320,GF323,GF325)</f>
        <v>0</v>
      </c>
      <c r="GG310" s="60"/>
      <c r="GH310" s="59">
        <f t="shared" ref="GH310:GP310" si="2082">SUM(GH312,GH316,GH320,GH323,GH325,GH311)</f>
        <v>0</v>
      </c>
      <c r="GI310" s="59">
        <f t="shared" si="2082"/>
        <v>0</v>
      </c>
      <c r="GJ310" s="59">
        <f t="shared" si="2082"/>
        <v>0</v>
      </c>
      <c r="GK310" s="59">
        <f t="shared" si="2082"/>
        <v>0</v>
      </c>
      <c r="GL310" s="59">
        <f t="shared" si="2082"/>
        <v>0</v>
      </c>
      <c r="GM310" s="59">
        <f t="shared" si="2082"/>
        <v>0</v>
      </c>
      <c r="GN310" s="59">
        <f t="shared" si="2082"/>
        <v>0</v>
      </c>
      <c r="GO310" s="59">
        <f t="shared" si="2082"/>
        <v>0</v>
      </c>
      <c r="GP310" s="59">
        <f t="shared" si="2082"/>
        <v>0</v>
      </c>
      <c r="GQ310" s="59">
        <f>SUM(GQ312,GQ316,GQ320,GQ323,GQ325)</f>
        <v>0</v>
      </c>
      <c r="GR310" s="59">
        <f>SUM(GR312,GR316,GR320,GR323,GR325,GR311)</f>
        <v>0</v>
      </c>
      <c r="GS310" s="59">
        <f>SUM(GS312,GS316,GS320,GS323,GS325,GS311)</f>
        <v>0</v>
      </c>
      <c r="GT310" s="59">
        <f>SUM(GT312,GT316,GT320,GT323,GT325,GT311)</f>
        <v>0</v>
      </c>
      <c r="GU310" s="59">
        <f>SUM(GU312,GU316,GU320,GU323,GU325,GU311)</f>
        <v>0</v>
      </c>
      <c r="GV310" s="59">
        <f>SUM(GV312,GV316,GV320,GV323,GV325)</f>
        <v>0</v>
      </c>
      <c r="GW310" s="59">
        <f>SUM(GW312,GW316,GW320,GW323,GW325,GW311)</f>
        <v>0</v>
      </c>
      <c r="GX310" s="59">
        <f>SUM(GX312,GX316,GX320,GX323,GX325,GX311)</f>
        <v>0</v>
      </c>
      <c r="GY310" s="59">
        <f>SUM(GY312,GY316,GY320,GY323,GY325,GY311)</f>
        <v>0</v>
      </c>
      <c r="GZ310" s="59">
        <f>SUM(GZ312,GZ316,GZ320,GZ323,GZ325,GZ311)</f>
        <v>0</v>
      </c>
      <c r="HA310" s="59">
        <f>SUM(HA312,HA316,HA320,HA323,HA325)</f>
        <v>0</v>
      </c>
      <c r="HB310" s="59">
        <f>SUM(HB312,HB316,HB320,HB323,HB325,HB311)</f>
        <v>0</v>
      </c>
      <c r="HC310" s="59">
        <f>SUM(HC312,HC316,HC320,HC323,HC325,HC311)</f>
        <v>0</v>
      </c>
      <c r="HD310" s="59">
        <f>SUM(HD312,HD316,HD320,HD323,HD325,HD311)</f>
        <v>0</v>
      </c>
      <c r="HE310" s="59">
        <f>SUM(HE312,HE316,HE320,HE323,HE325,HE311)</f>
        <v>0</v>
      </c>
      <c r="HF310" s="59">
        <f>SUM(HF312,HF316,HF320,HF323,HF325)</f>
        <v>0</v>
      </c>
      <c r="HG310" s="59">
        <f>SUM(HG312,HG316,HG320,HG323,HG325,HG311)</f>
        <v>0</v>
      </c>
      <c r="HH310" s="59">
        <f>SUM(HH312,HH316,HH320,HH323,HH325,HH311)</f>
        <v>0</v>
      </c>
      <c r="HI310" s="59">
        <f>SUM(HI312,HI316,HI320,HI323,HI325,HI311)</f>
        <v>0</v>
      </c>
      <c r="HJ310" s="59">
        <f>SUM(HJ312,HJ316,HJ320,HJ323,HJ325,HJ311)</f>
        <v>0</v>
      </c>
      <c r="HK310" s="59">
        <f>SUM(HK312,HK316,HK320,HK323,HK325)</f>
        <v>0</v>
      </c>
      <c r="HL310" s="59">
        <f>SUM(HL312,HL316,HL320,HL323,HL325,HL311)</f>
        <v>0</v>
      </c>
      <c r="HM310" s="59">
        <f>SUM(HM312,HM316,HM320,HM323,HM325,HM311)</f>
        <v>0</v>
      </c>
      <c r="HN310" s="59">
        <f>SUM(HN312,HN316,HN320,HN323,HN325,HN311)</f>
        <v>0</v>
      </c>
      <c r="HO310" s="59">
        <f>SUM(HO312,HO316,HO320,HO323,HO325,HO311)</f>
        <v>0</v>
      </c>
      <c r="HP310" s="59">
        <f>SUM(HP312,HP316,HP320,HP323,HP325)</f>
        <v>0</v>
      </c>
      <c r="HQ310" s="59">
        <f>SUM(HQ312,HQ316,HQ320,HQ323,HQ325,HQ311)</f>
        <v>0</v>
      </c>
      <c r="HR310" s="59">
        <f>SUM(HR312,HR316,HR320,HR323,HR325,HR311)</f>
        <v>0</v>
      </c>
      <c r="HS310" s="59">
        <f>SUM(HS312,HS316,HS320,HS323,HS325,HS311)</f>
        <v>0</v>
      </c>
      <c r="HT310" s="59">
        <f>SUM(HT312,HT316,HT320,HT323,HT325,HT311)</f>
        <v>0</v>
      </c>
      <c r="HU310" s="59">
        <f>SUM(HU312,HU316,HU320,HU323,HU325)</f>
        <v>0</v>
      </c>
      <c r="HV310" s="59">
        <f>SUM(HV312,HV316,HV320,HV323,HV325,HV311)</f>
        <v>0</v>
      </c>
      <c r="HW310" s="59">
        <f>SUM(HW312,HW316,HW320,HW323,HW325,HW311)</f>
        <v>0</v>
      </c>
      <c r="HX310" s="59">
        <f>SUM(HX312,HX316,HX320,HX323,HX325,HX311)</f>
        <v>0</v>
      </c>
      <c r="HY310" s="59">
        <f>SUM(HY312,HY316,HY320,HY323,HY325,HY311)</f>
        <v>0</v>
      </c>
      <c r="HZ310" s="59">
        <f>SUM(HZ312,HZ316,HZ320,HZ323,HZ325)</f>
        <v>0</v>
      </c>
      <c r="IA310" s="59">
        <f>SUM(IA312,IA316,IA320,IA323,IA325,IA311)</f>
        <v>0</v>
      </c>
      <c r="IB310" s="59">
        <f>SUM(IB312,IB316,IB320,IB323,IB325,IB311)</f>
        <v>0</v>
      </c>
      <c r="IC310" s="59">
        <f>SUM(IC312,IC316,IC320,IC323,IC325,IC311)</f>
        <v>0</v>
      </c>
      <c r="ID310" s="59">
        <f>SUM(ID312,ID316,ID320,ID323,ID325,ID311)</f>
        <v>0</v>
      </c>
      <c r="IE310" s="59">
        <f>SUM(IE312,IE316,IE320,IE323,IE325)</f>
        <v>0</v>
      </c>
      <c r="IF310" s="59">
        <f>SUM(IF312,IF316,IF320,IF323,IF325,IF311)</f>
        <v>0</v>
      </c>
      <c r="IG310" s="59">
        <f>SUM(IG312,IG316,IG320,IG323,IG325,IG311)</f>
        <v>0</v>
      </c>
      <c r="IH310" s="59">
        <f>SUM(IH312,IH316,IH320,IH323,IH325,IH311)</f>
        <v>0</v>
      </c>
      <c r="II310" s="59">
        <f>SUM(II312,II316,II320,II323,II325,II311)</f>
        <v>0</v>
      </c>
      <c r="IJ310" s="59">
        <f>SUM(IJ312,IJ316,IJ320,IJ323,IJ325)</f>
        <v>0</v>
      </c>
      <c r="IK310" s="59">
        <f>SUM(IK312,IK316,IK320,IK323,IK325,IK311)</f>
        <v>0</v>
      </c>
      <c r="IL310" s="59">
        <f>SUM(IL312,IL316,IL320,IL323,IL325,IL311)</f>
        <v>0</v>
      </c>
      <c r="IM310" s="59">
        <f>SUM(IM312,IM316,IM320,IM323,IM325,IM311)</f>
        <v>0</v>
      </c>
      <c r="IN310" s="59">
        <f>SUM(IN312,IN316,IN320,IN323,IN325,IN311)</f>
        <v>0</v>
      </c>
      <c r="IO310" s="59">
        <f>SUM(IO312,IO316,IO320,IO323,IO325)</f>
        <v>0</v>
      </c>
      <c r="IP310" s="59">
        <f>SUM(IP312,IP316,IP320,IP323,IP325,IP311)</f>
        <v>0</v>
      </c>
      <c r="IQ310" s="59">
        <f>SUM(IQ312,IQ316,IQ320,IQ323,IQ325,IQ311)</f>
        <v>0</v>
      </c>
      <c r="IR310" s="59">
        <f>SUM(IR312,IR316,IR320,IR323,IR325,IR311)</f>
        <v>0</v>
      </c>
      <c r="IS310" s="59">
        <f>SUM(IS312,IS316,IS320,IS323,IS325,IS311)</f>
        <v>0</v>
      </c>
      <c r="IT310" s="59">
        <f>SUM(IT312,IT316,IT320,IT323,IT325)</f>
        <v>0</v>
      </c>
      <c r="IU310" s="59">
        <f>SUM(IU312,IU316,IU320,IU323,IU325,IU311)</f>
        <v>0</v>
      </c>
      <c r="IV310" s="59">
        <f>SUM(IV312,IV316,IV320,IV323,IV325,IV311)</f>
        <v>0</v>
      </c>
    </row>
    <row r="311" spans="1:256" s="57" customFormat="1" ht="12.95" customHeight="1" x14ac:dyDescent="0.2">
      <c r="A311" s="157" t="s">
        <v>29</v>
      </c>
      <c r="B311" s="62"/>
      <c r="C311" s="63"/>
      <c r="D311" s="63"/>
      <c r="E311" s="63"/>
      <c r="F311" s="63"/>
      <c r="G311" s="63"/>
      <c r="H311" s="63"/>
      <c r="I311" s="63"/>
      <c r="J311" s="63"/>
      <c r="K311" s="63"/>
      <c r="L311" s="64">
        <f>SUM(C311:F311,H311:K311)</f>
        <v>0</v>
      </c>
      <c r="M311" s="62"/>
      <c r="N311" s="63"/>
      <c r="O311" s="63"/>
      <c r="P311" s="63"/>
      <c r="Q311" s="63"/>
      <c r="R311" s="63"/>
      <c r="S311" s="63"/>
      <c r="T311" s="63"/>
      <c r="U311" s="63"/>
      <c r="V311" s="63"/>
      <c r="W311" s="64">
        <f>SUM(N311:Q311,S311:V311)</f>
        <v>0</v>
      </c>
      <c r="X311" s="62"/>
      <c r="Y311" s="63"/>
      <c r="Z311" s="63"/>
      <c r="AA311" s="63"/>
      <c r="AB311" s="63"/>
      <c r="AC311" s="63"/>
      <c r="AD311" s="63"/>
      <c r="AE311" s="63"/>
      <c r="AF311" s="63"/>
      <c r="AG311" s="63"/>
      <c r="AH311" s="64">
        <f>SUM(Y311:AB311,AD311:AG311)</f>
        <v>0</v>
      </c>
      <c r="AI311" s="62"/>
      <c r="AJ311" s="63"/>
      <c r="AK311" s="63"/>
      <c r="AL311" s="63"/>
      <c r="AM311" s="63"/>
      <c r="AN311" s="63"/>
      <c r="AO311" s="63"/>
      <c r="AP311" s="63"/>
      <c r="AQ311" s="63"/>
      <c r="AR311" s="63"/>
      <c r="AS311" s="64">
        <f>SUM(AJ311:AM311,AO311:AR311)</f>
        <v>0</v>
      </c>
      <c r="AT311" s="65">
        <f>SUM(M311,AI311,X311)</f>
        <v>0</v>
      </c>
      <c r="AU311" s="65">
        <f t="shared" ref="AU311:BC311" si="2083">SUM(N311,AJ311,Y311)</f>
        <v>0</v>
      </c>
      <c r="AV311" s="65">
        <f t="shared" si="2083"/>
        <v>0</v>
      </c>
      <c r="AW311" s="65">
        <f t="shared" si="2083"/>
        <v>0</v>
      </c>
      <c r="AX311" s="65">
        <f t="shared" si="2083"/>
        <v>0</v>
      </c>
      <c r="AY311" s="65">
        <f t="shared" si="2083"/>
        <v>0</v>
      </c>
      <c r="AZ311" s="65">
        <f t="shared" si="2083"/>
        <v>0</v>
      </c>
      <c r="BA311" s="65">
        <f t="shared" si="2083"/>
        <v>0</v>
      </c>
      <c r="BB311" s="65">
        <f t="shared" si="2083"/>
        <v>0</v>
      </c>
      <c r="BC311" s="65">
        <f t="shared" si="2083"/>
        <v>0</v>
      </c>
      <c r="BD311" s="64">
        <f>SUM(AU311:AX311,AZ311:BC311)</f>
        <v>0</v>
      </c>
      <c r="BE311" s="62"/>
      <c r="BF311" s="63"/>
      <c r="BG311" s="63"/>
      <c r="BH311" s="63"/>
      <c r="BI311" s="63"/>
      <c r="BJ311" s="63"/>
      <c r="BK311" s="63"/>
      <c r="BL311" s="63"/>
      <c r="BM311" s="63"/>
      <c r="BN311" s="63"/>
      <c r="BO311" s="64">
        <f>SUM(BF311:BI311,BK311:BN311)</f>
        <v>0</v>
      </c>
      <c r="BP311" s="62"/>
      <c r="BQ311" s="63"/>
      <c r="BR311" s="63"/>
      <c r="BS311" s="63"/>
      <c r="BT311" s="63"/>
      <c r="BU311" s="63"/>
      <c r="BV311" s="63"/>
      <c r="BW311" s="63"/>
      <c r="BX311" s="63"/>
      <c r="BY311" s="63"/>
      <c r="BZ311" s="64">
        <f>SUM(BQ311:BT311,BV311:BY311)</f>
        <v>0</v>
      </c>
      <c r="CA311" s="62"/>
      <c r="CB311" s="63"/>
      <c r="CC311" s="63"/>
      <c r="CD311" s="63"/>
      <c r="CE311" s="63"/>
      <c r="CF311" s="63"/>
      <c r="CG311" s="63"/>
      <c r="CH311" s="63"/>
      <c r="CI311" s="63"/>
      <c r="CJ311" s="63"/>
      <c r="CK311" s="64">
        <f>SUM(CB311:CE311,CG311:CJ311)</f>
        <v>0</v>
      </c>
      <c r="CL311" s="65">
        <f t="shared" ref="CL311:CU311" si="2084">SUM(BE311,CA311,BP311)</f>
        <v>0</v>
      </c>
      <c r="CM311" s="65">
        <f t="shared" si="2084"/>
        <v>0</v>
      </c>
      <c r="CN311" s="65">
        <f t="shared" si="2084"/>
        <v>0</v>
      </c>
      <c r="CO311" s="65">
        <f t="shared" si="2084"/>
        <v>0</v>
      </c>
      <c r="CP311" s="65">
        <f t="shared" si="2084"/>
        <v>0</v>
      </c>
      <c r="CQ311" s="65">
        <f t="shared" si="2084"/>
        <v>0</v>
      </c>
      <c r="CR311" s="65">
        <f t="shared" si="2084"/>
        <v>0</v>
      </c>
      <c r="CS311" s="65">
        <f t="shared" si="2084"/>
        <v>0</v>
      </c>
      <c r="CT311" s="65">
        <f t="shared" si="2084"/>
        <v>0</v>
      </c>
      <c r="CU311" s="65">
        <f t="shared" si="2084"/>
        <v>0</v>
      </c>
      <c r="CV311" s="64">
        <f>SUM(CM311:CP311,CR311:CU311)</f>
        <v>0</v>
      </c>
      <c r="CW311" s="62"/>
      <c r="CX311" s="63"/>
      <c r="CY311" s="63"/>
      <c r="CZ311" s="63"/>
      <c r="DA311" s="63"/>
      <c r="DB311" s="63"/>
      <c r="DC311" s="63"/>
      <c r="DD311" s="63"/>
      <c r="DE311" s="63"/>
      <c r="DF311" s="63"/>
      <c r="DG311" s="64">
        <f>SUM(CX311:DA311,DC311:DF311)</f>
        <v>0</v>
      </c>
      <c r="DH311" s="62"/>
      <c r="DI311" s="63"/>
      <c r="DJ311" s="63"/>
      <c r="DK311" s="63"/>
      <c r="DL311" s="63"/>
      <c r="DM311" s="63"/>
      <c r="DN311" s="63"/>
      <c r="DO311" s="63"/>
      <c r="DP311" s="63"/>
      <c r="DQ311" s="63"/>
      <c r="DR311" s="64">
        <f>SUM(DI311:DL311,DN311:DQ311)</f>
        <v>0</v>
      </c>
      <c r="DS311" s="62"/>
      <c r="DT311" s="63"/>
      <c r="DU311" s="63"/>
      <c r="DV311" s="63"/>
      <c r="DW311" s="63"/>
      <c r="DX311" s="63"/>
      <c r="DY311" s="63"/>
      <c r="DZ311" s="63"/>
      <c r="EA311" s="63"/>
      <c r="EB311" s="63"/>
      <c r="EC311" s="63"/>
      <c r="ED311" s="65">
        <f t="shared" ref="ED311:EM311" si="2085">SUM(CW311,DS311,DH311)</f>
        <v>0</v>
      </c>
      <c r="EE311" s="65">
        <f t="shared" si="2085"/>
        <v>0</v>
      </c>
      <c r="EF311" s="65">
        <f t="shared" si="2085"/>
        <v>0</v>
      </c>
      <c r="EG311" s="65">
        <f t="shared" si="2085"/>
        <v>0</v>
      </c>
      <c r="EH311" s="65">
        <f t="shared" si="2085"/>
        <v>0</v>
      </c>
      <c r="EI311" s="65">
        <f t="shared" si="2085"/>
        <v>0</v>
      </c>
      <c r="EJ311" s="65">
        <f t="shared" si="2085"/>
        <v>0</v>
      </c>
      <c r="EK311" s="65">
        <f t="shared" si="2085"/>
        <v>0</v>
      </c>
      <c r="EL311" s="65">
        <f t="shared" si="2085"/>
        <v>0</v>
      </c>
      <c r="EM311" s="65">
        <f t="shared" si="2085"/>
        <v>0</v>
      </c>
      <c r="EN311" s="64">
        <f>SUM(EE311:EH311,EJ311:EM311)</f>
        <v>0</v>
      </c>
      <c r="EO311" s="62"/>
      <c r="EP311" s="63"/>
      <c r="EQ311" s="63"/>
      <c r="ER311" s="63"/>
      <c r="ES311" s="63"/>
      <c r="ET311" s="63"/>
      <c r="EU311" s="63"/>
      <c r="EV311" s="63"/>
      <c r="EW311" s="63"/>
      <c r="EX311" s="63"/>
      <c r="EY311" s="64">
        <f>SUM(EP311:ES311,EU311:EX311)</f>
        <v>0</v>
      </c>
      <c r="EZ311" s="62"/>
      <c r="FA311" s="63"/>
      <c r="FB311" s="63"/>
      <c r="FC311" s="63"/>
      <c r="FD311" s="63"/>
      <c r="FE311" s="63"/>
      <c r="FF311" s="63"/>
      <c r="FG311" s="63"/>
      <c r="FH311" s="63"/>
      <c r="FI311" s="63"/>
      <c r="FJ311" s="64">
        <f>SUM(FA311:FD311,FF311:FI311)</f>
        <v>0</v>
      </c>
      <c r="FK311" s="62"/>
      <c r="FL311" s="63"/>
      <c r="FM311" s="63"/>
      <c r="FN311" s="63"/>
      <c r="FO311" s="63"/>
      <c r="FP311" s="63"/>
      <c r="FQ311" s="63"/>
      <c r="FR311" s="63"/>
      <c r="FS311" s="63"/>
      <c r="FT311" s="63"/>
      <c r="FU311" s="64">
        <f>SUM(FL311:FO311,FQ311:FT311)</f>
        <v>0</v>
      </c>
      <c r="FV311" s="65">
        <f t="shared" ref="FV311:GE311" si="2086">SUM(EO311,FK311,EZ311)</f>
        <v>0</v>
      </c>
      <c r="FW311" s="65">
        <f t="shared" si="2086"/>
        <v>0</v>
      </c>
      <c r="FX311" s="65">
        <f t="shared" si="2086"/>
        <v>0</v>
      </c>
      <c r="FY311" s="65">
        <f t="shared" si="2086"/>
        <v>0</v>
      </c>
      <c r="FZ311" s="65">
        <f t="shared" si="2086"/>
        <v>0</v>
      </c>
      <c r="GA311" s="65">
        <f t="shared" si="2086"/>
        <v>0</v>
      </c>
      <c r="GB311" s="65">
        <f t="shared" si="2086"/>
        <v>0</v>
      </c>
      <c r="GC311" s="65">
        <f t="shared" si="2086"/>
        <v>0</v>
      </c>
      <c r="GD311" s="65">
        <f t="shared" si="2086"/>
        <v>0</v>
      </c>
      <c r="GE311" s="65">
        <f t="shared" si="2086"/>
        <v>0</v>
      </c>
      <c r="GF311" s="64">
        <f>SUM(FW311:FZ311,GB311:GE311)</f>
        <v>0</v>
      </c>
      <c r="GG311" s="66">
        <f t="shared" ref="GG311:GP311" si="2087">SUM(AT311,CL311,ED311,FV311)</f>
        <v>0</v>
      </c>
      <c r="GH311" s="66">
        <f t="shared" si="2087"/>
        <v>0</v>
      </c>
      <c r="GI311" s="66">
        <f t="shared" si="2087"/>
        <v>0</v>
      </c>
      <c r="GJ311" s="66">
        <f t="shared" si="2087"/>
        <v>0</v>
      </c>
      <c r="GK311" s="66">
        <f t="shared" si="2087"/>
        <v>0</v>
      </c>
      <c r="GL311" s="66">
        <f t="shared" si="2087"/>
        <v>0</v>
      </c>
      <c r="GM311" s="66">
        <f t="shared" si="2087"/>
        <v>0</v>
      </c>
      <c r="GN311" s="66">
        <f t="shared" si="2087"/>
        <v>0</v>
      </c>
      <c r="GO311" s="66">
        <f t="shared" si="2087"/>
        <v>0</v>
      </c>
      <c r="GP311" s="66">
        <f t="shared" si="2087"/>
        <v>0</v>
      </c>
      <c r="GQ311" s="64">
        <f>SUM(GH311:GK311,GM311:GP311)</f>
        <v>0</v>
      </c>
      <c r="GR311" s="63"/>
      <c r="GS311" s="63"/>
      <c r="GT311" s="63"/>
      <c r="GU311" s="63"/>
      <c r="GV311" s="67">
        <f>SUM(GR311:GU311)</f>
        <v>0</v>
      </c>
      <c r="GW311" s="63"/>
      <c r="GX311" s="63"/>
      <c r="GY311" s="63"/>
      <c r="GZ311" s="63"/>
      <c r="HA311" s="67">
        <f>SUM(GW311:GZ311)</f>
        <v>0</v>
      </c>
      <c r="HB311" s="63"/>
      <c r="HC311" s="63"/>
      <c r="HD311" s="63"/>
      <c r="HE311" s="63"/>
      <c r="HF311" s="67">
        <f>SUM(HB311:HE311)</f>
        <v>0</v>
      </c>
      <c r="HG311" s="63"/>
      <c r="HH311" s="63"/>
      <c r="HI311" s="63"/>
      <c r="HJ311" s="63"/>
      <c r="HK311" s="67">
        <f>SUM(HG311:HJ311)</f>
        <v>0</v>
      </c>
      <c r="HL311" s="68">
        <f>SUM(GW311,HB311,HG311)</f>
        <v>0</v>
      </c>
      <c r="HM311" s="68">
        <f>SUM(GX311,HC311,HH311)</f>
        <v>0</v>
      </c>
      <c r="HN311" s="68">
        <f>SUM(GY311,HD311,HI311)</f>
        <v>0</v>
      </c>
      <c r="HO311" s="68">
        <f>SUM(GZ311,HE311,HJ311)</f>
        <v>0</v>
      </c>
      <c r="HP311" s="67">
        <f>SUM(HL311:HO311)</f>
        <v>0</v>
      </c>
      <c r="HQ311" s="63"/>
      <c r="HR311" s="63"/>
      <c r="HS311" s="63"/>
      <c r="HT311" s="63"/>
      <c r="HU311" s="67">
        <f>SUM(HQ311:HT311)</f>
        <v>0</v>
      </c>
      <c r="HV311" s="63"/>
      <c r="HW311" s="63"/>
      <c r="HX311" s="63"/>
      <c r="HY311" s="63"/>
      <c r="HZ311" s="67">
        <f>SUM(HV311:HY311)</f>
        <v>0</v>
      </c>
      <c r="IA311" s="63"/>
      <c r="IB311" s="63"/>
      <c r="IC311" s="63"/>
      <c r="ID311" s="63"/>
      <c r="IE311" s="67">
        <f>SUM(IA311:ID311)</f>
        <v>0</v>
      </c>
      <c r="IF311" s="68">
        <f>SUM(HQ311,HV311,IA311)</f>
        <v>0</v>
      </c>
      <c r="IG311" s="68">
        <f>SUM(HR311,HW311,IB311)</f>
        <v>0</v>
      </c>
      <c r="IH311" s="68">
        <f>SUM(HS311,HX311,IC311)</f>
        <v>0</v>
      </c>
      <c r="II311" s="68">
        <f>SUM(HT311,HY311,ID311)</f>
        <v>0</v>
      </c>
      <c r="IJ311" s="67">
        <f>SUM(IF311:II311)</f>
        <v>0</v>
      </c>
      <c r="IK311" s="63"/>
      <c r="IL311" s="63"/>
      <c r="IM311" s="63"/>
      <c r="IN311" s="63"/>
      <c r="IO311" s="67">
        <f>SUM(IK311:IN311)</f>
        <v>0</v>
      </c>
      <c r="IP311" s="63"/>
      <c r="IQ311" s="63"/>
      <c r="IR311" s="63"/>
      <c r="IS311" s="63"/>
      <c r="IT311" s="67">
        <f>SUM(IP311:IS311)</f>
        <v>0</v>
      </c>
      <c r="IU311" s="63"/>
      <c r="IV311" s="63"/>
    </row>
    <row r="312" spans="1:256" s="78" customFormat="1" x14ac:dyDescent="0.25">
      <c r="A312" s="79" t="s">
        <v>246</v>
      </c>
      <c r="B312" s="80"/>
      <c r="C312" s="81">
        <f t="shared" ref="C312:K312" si="2088">SUM(C313:C315)</f>
        <v>0</v>
      </c>
      <c r="D312" s="81">
        <f t="shared" si="2088"/>
        <v>0</v>
      </c>
      <c r="E312" s="81">
        <f t="shared" si="2088"/>
        <v>0</v>
      </c>
      <c r="F312" s="81">
        <f t="shared" si="2088"/>
        <v>0</v>
      </c>
      <c r="G312" s="81">
        <f t="shared" si="2088"/>
        <v>0</v>
      </c>
      <c r="H312" s="81">
        <f t="shared" si="2088"/>
        <v>0</v>
      </c>
      <c r="I312" s="81">
        <f t="shared" si="2088"/>
        <v>0</v>
      </c>
      <c r="J312" s="81">
        <f t="shared" si="2088"/>
        <v>0</v>
      </c>
      <c r="K312" s="81">
        <f t="shared" si="2088"/>
        <v>0</v>
      </c>
      <c r="L312" s="82">
        <f>SUM(L313:L315)</f>
        <v>0</v>
      </c>
      <c r="M312" s="80"/>
      <c r="N312" s="81">
        <f t="shared" ref="N312:V312" si="2089">SUM(N313:N315)</f>
        <v>0</v>
      </c>
      <c r="O312" s="81">
        <f t="shared" si="2089"/>
        <v>0</v>
      </c>
      <c r="P312" s="81">
        <f t="shared" si="2089"/>
        <v>0</v>
      </c>
      <c r="Q312" s="81">
        <f t="shared" si="2089"/>
        <v>0</v>
      </c>
      <c r="R312" s="81">
        <f t="shared" si="2089"/>
        <v>0</v>
      </c>
      <c r="S312" s="81">
        <f t="shared" si="2089"/>
        <v>0</v>
      </c>
      <c r="T312" s="81">
        <f t="shared" si="2089"/>
        <v>0</v>
      </c>
      <c r="U312" s="81">
        <f t="shared" si="2089"/>
        <v>0</v>
      </c>
      <c r="V312" s="81">
        <f t="shared" si="2089"/>
        <v>0</v>
      </c>
      <c r="W312" s="82">
        <f>SUM(W313:W315)</f>
        <v>0</v>
      </c>
      <c r="X312" s="80"/>
      <c r="Y312" s="81">
        <f t="shared" ref="Y312:AG312" si="2090">SUM(Y313:Y315)</f>
        <v>0</v>
      </c>
      <c r="Z312" s="81">
        <f t="shared" si="2090"/>
        <v>0</v>
      </c>
      <c r="AA312" s="81">
        <f t="shared" si="2090"/>
        <v>0</v>
      </c>
      <c r="AB312" s="81">
        <f t="shared" si="2090"/>
        <v>0</v>
      </c>
      <c r="AC312" s="81">
        <f t="shared" si="2090"/>
        <v>0</v>
      </c>
      <c r="AD312" s="81">
        <f t="shared" si="2090"/>
        <v>0</v>
      </c>
      <c r="AE312" s="81">
        <f t="shared" si="2090"/>
        <v>0</v>
      </c>
      <c r="AF312" s="81">
        <f t="shared" si="2090"/>
        <v>0</v>
      </c>
      <c r="AG312" s="81">
        <f t="shared" si="2090"/>
        <v>0</v>
      </c>
      <c r="AH312" s="82">
        <f>SUM(AH313:AH315)</f>
        <v>0</v>
      </c>
      <c r="AI312" s="80"/>
      <c r="AJ312" s="81">
        <f t="shared" ref="AJ312:AR312" si="2091">SUM(AJ313:AJ315)</f>
        <v>0</v>
      </c>
      <c r="AK312" s="81">
        <f t="shared" si="2091"/>
        <v>0</v>
      </c>
      <c r="AL312" s="81">
        <f t="shared" si="2091"/>
        <v>0</v>
      </c>
      <c r="AM312" s="81">
        <f t="shared" si="2091"/>
        <v>0</v>
      </c>
      <c r="AN312" s="81">
        <f t="shared" si="2091"/>
        <v>0</v>
      </c>
      <c r="AO312" s="81">
        <f t="shared" si="2091"/>
        <v>0</v>
      </c>
      <c r="AP312" s="81">
        <f t="shared" si="2091"/>
        <v>0</v>
      </c>
      <c r="AQ312" s="81">
        <f t="shared" si="2091"/>
        <v>0</v>
      </c>
      <c r="AR312" s="81">
        <f t="shared" si="2091"/>
        <v>0</v>
      </c>
      <c r="AS312" s="82">
        <f>SUM(AS313:AS315)</f>
        <v>0</v>
      </c>
      <c r="AT312" s="80"/>
      <c r="AU312" s="81">
        <f>SUM(AU313:AU315)</f>
        <v>0</v>
      </c>
      <c r="AV312" s="81">
        <f t="shared" ref="AV312:BC312" si="2092">SUM(AV313:AV315)</f>
        <v>0</v>
      </c>
      <c r="AW312" s="81">
        <f t="shared" si="2092"/>
        <v>0</v>
      </c>
      <c r="AX312" s="81">
        <f t="shared" si="2092"/>
        <v>0</v>
      </c>
      <c r="AY312" s="81">
        <f t="shared" si="2092"/>
        <v>0</v>
      </c>
      <c r="AZ312" s="81">
        <f t="shared" si="2092"/>
        <v>0</v>
      </c>
      <c r="BA312" s="81">
        <f t="shared" si="2092"/>
        <v>0</v>
      </c>
      <c r="BB312" s="81">
        <f t="shared" si="2092"/>
        <v>0</v>
      </c>
      <c r="BC312" s="81">
        <f t="shared" si="2092"/>
        <v>0</v>
      </c>
      <c r="BD312" s="82">
        <f>SUM(BD313:BD315)</f>
        <v>0</v>
      </c>
      <c r="BE312" s="80"/>
      <c r="BF312" s="81">
        <f t="shared" ref="BF312:BN312" si="2093">SUM(BF313:BF315)</f>
        <v>0</v>
      </c>
      <c r="BG312" s="81">
        <f t="shared" si="2093"/>
        <v>0</v>
      </c>
      <c r="BH312" s="81">
        <f t="shared" si="2093"/>
        <v>0</v>
      </c>
      <c r="BI312" s="81">
        <f t="shared" si="2093"/>
        <v>0</v>
      </c>
      <c r="BJ312" s="81">
        <f t="shared" si="2093"/>
        <v>0</v>
      </c>
      <c r="BK312" s="81">
        <f t="shared" si="2093"/>
        <v>0</v>
      </c>
      <c r="BL312" s="81">
        <f t="shared" si="2093"/>
        <v>0</v>
      </c>
      <c r="BM312" s="81">
        <f t="shared" si="2093"/>
        <v>0</v>
      </c>
      <c r="BN312" s="81">
        <f t="shared" si="2093"/>
        <v>0</v>
      </c>
      <c r="BO312" s="82">
        <f>SUM(BO313:BO315)</f>
        <v>0</v>
      </c>
      <c r="BP312" s="80"/>
      <c r="BQ312" s="81">
        <f t="shared" ref="BQ312:BY312" si="2094">SUM(BQ313:BQ315)</f>
        <v>0</v>
      </c>
      <c r="BR312" s="81">
        <f t="shared" si="2094"/>
        <v>0</v>
      </c>
      <c r="BS312" s="81">
        <f t="shared" si="2094"/>
        <v>0</v>
      </c>
      <c r="BT312" s="81">
        <f t="shared" si="2094"/>
        <v>0</v>
      </c>
      <c r="BU312" s="81">
        <f t="shared" si="2094"/>
        <v>0</v>
      </c>
      <c r="BV312" s="81">
        <f t="shared" si="2094"/>
        <v>0</v>
      </c>
      <c r="BW312" s="81">
        <f t="shared" si="2094"/>
        <v>0</v>
      </c>
      <c r="BX312" s="81">
        <f t="shared" si="2094"/>
        <v>0</v>
      </c>
      <c r="BY312" s="81">
        <f t="shared" si="2094"/>
        <v>0</v>
      </c>
      <c r="BZ312" s="82">
        <f>SUM(BZ313:BZ315)</f>
        <v>0</v>
      </c>
      <c r="CA312" s="80"/>
      <c r="CB312" s="81">
        <f t="shared" ref="CB312:CJ312" si="2095">SUM(CB313:CB315)</f>
        <v>0</v>
      </c>
      <c r="CC312" s="81">
        <f t="shared" si="2095"/>
        <v>0</v>
      </c>
      <c r="CD312" s="81">
        <f t="shared" si="2095"/>
        <v>0</v>
      </c>
      <c r="CE312" s="81">
        <f t="shared" si="2095"/>
        <v>0</v>
      </c>
      <c r="CF312" s="81">
        <f t="shared" si="2095"/>
        <v>0</v>
      </c>
      <c r="CG312" s="81">
        <f t="shared" si="2095"/>
        <v>0</v>
      </c>
      <c r="CH312" s="81">
        <f t="shared" si="2095"/>
        <v>0</v>
      </c>
      <c r="CI312" s="81">
        <f t="shared" si="2095"/>
        <v>0</v>
      </c>
      <c r="CJ312" s="81">
        <f t="shared" si="2095"/>
        <v>0</v>
      </c>
      <c r="CK312" s="82">
        <f>SUM(CK313:CK315)</f>
        <v>0</v>
      </c>
      <c r="CL312" s="80"/>
      <c r="CM312" s="81">
        <f>SUM(CM313:CM315)</f>
        <v>0</v>
      </c>
      <c r="CN312" s="81">
        <f t="shared" ref="CN312:CU312" si="2096">SUM(CN313:CN315)</f>
        <v>0</v>
      </c>
      <c r="CO312" s="81">
        <f t="shared" si="2096"/>
        <v>0</v>
      </c>
      <c r="CP312" s="81">
        <f t="shared" si="2096"/>
        <v>0</v>
      </c>
      <c r="CQ312" s="81">
        <f t="shared" si="2096"/>
        <v>0</v>
      </c>
      <c r="CR312" s="81">
        <f t="shared" si="2096"/>
        <v>0</v>
      </c>
      <c r="CS312" s="81">
        <f t="shared" si="2096"/>
        <v>0</v>
      </c>
      <c r="CT312" s="81">
        <f t="shared" si="2096"/>
        <v>0</v>
      </c>
      <c r="CU312" s="81">
        <f t="shared" si="2096"/>
        <v>0</v>
      </c>
      <c r="CV312" s="82">
        <f>SUM(CV313:CV315)</f>
        <v>0</v>
      </c>
      <c r="CW312" s="80"/>
      <c r="CX312" s="81">
        <f t="shared" ref="CX312:DF312" si="2097">SUM(CX313:CX315)</f>
        <v>0</v>
      </c>
      <c r="CY312" s="81">
        <f t="shared" si="2097"/>
        <v>0</v>
      </c>
      <c r="CZ312" s="81">
        <f t="shared" si="2097"/>
        <v>0</v>
      </c>
      <c r="DA312" s="81">
        <f t="shared" si="2097"/>
        <v>0</v>
      </c>
      <c r="DB312" s="81">
        <f t="shared" si="2097"/>
        <v>0</v>
      </c>
      <c r="DC312" s="81">
        <f t="shared" si="2097"/>
        <v>0</v>
      </c>
      <c r="DD312" s="81">
        <f t="shared" si="2097"/>
        <v>0</v>
      </c>
      <c r="DE312" s="81">
        <f t="shared" si="2097"/>
        <v>0</v>
      </c>
      <c r="DF312" s="81">
        <f t="shared" si="2097"/>
        <v>0</v>
      </c>
      <c r="DG312" s="82">
        <f>SUM(DG313:DG315)</f>
        <v>0</v>
      </c>
      <c r="DH312" s="80"/>
      <c r="DI312" s="81">
        <f t="shared" ref="DI312:DQ312" si="2098">SUM(DI313:DI315)</f>
        <v>0</v>
      </c>
      <c r="DJ312" s="81">
        <f t="shared" si="2098"/>
        <v>0</v>
      </c>
      <c r="DK312" s="81">
        <f t="shared" si="2098"/>
        <v>0</v>
      </c>
      <c r="DL312" s="81">
        <f t="shared" si="2098"/>
        <v>0</v>
      </c>
      <c r="DM312" s="81">
        <f t="shared" si="2098"/>
        <v>0</v>
      </c>
      <c r="DN312" s="81">
        <f t="shared" si="2098"/>
        <v>0</v>
      </c>
      <c r="DO312" s="81">
        <f t="shared" si="2098"/>
        <v>0</v>
      </c>
      <c r="DP312" s="81">
        <f t="shared" si="2098"/>
        <v>0</v>
      </c>
      <c r="DQ312" s="81">
        <f t="shared" si="2098"/>
        <v>0</v>
      </c>
      <c r="DR312" s="82">
        <f>SUM(DR313:DR315)</f>
        <v>0</v>
      </c>
      <c r="DS312" s="80"/>
      <c r="DT312" s="81">
        <f t="shared" ref="DT312:EB312" si="2099">SUM(DT313:DT315)</f>
        <v>0</v>
      </c>
      <c r="DU312" s="81">
        <f t="shared" si="2099"/>
        <v>0</v>
      </c>
      <c r="DV312" s="81">
        <f t="shared" si="2099"/>
        <v>0</v>
      </c>
      <c r="DW312" s="81">
        <f t="shared" si="2099"/>
        <v>0</v>
      </c>
      <c r="DX312" s="81">
        <f t="shared" si="2099"/>
        <v>0</v>
      </c>
      <c r="DY312" s="81">
        <f t="shared" si="2099"/>
        <v>0</v>
      </c>
      <c r="DZ312" s="81">
        <f t="shared" si="2099"/>
        <v>0</v>
      </c>
      <c r="EA312" s="81">
        <f t="shared" si="2099"/>
        <v>0</v>
      </c>
      <c r="EB312" s="81">
        <f t="shared" si="2099"/>
        <v>0</v>
      </c>
      <c r="EC312" s="81">
        <f>SUM(EC313:EC315)</f>
        <v>0</v>
      </c>
      <c r="ED312" s="80"/>
      <c r="EE312" s="81">
        <f>SUM(EE313:EE315)</f>
        <v>0</v>
      </c>
      <c r="EF312" s="81">
        <f t="shared" ref="EF312:EM312" si="2100">SUM(EF313:EF315)</f>
        <v>0</v>
      </c>
      <c r="EG312" s="81">
        <f t="shared" si="2100"/>
        <v>0</v>
      </c>
      <c r="EH312" s="81">
        <f t="shared" si="2100"/>
        <v>0</v>
      </c>
      <c r="EI312" s="81">
        <f t="shared" si="2100"/>
        <v>0</v>
      </c>
      <c r="EJ312" s="81">
        <f t="shared" si="2100"/>
        <v>0</v>
      </c>
      <c r="EK312" s="81">
        <f t="shared" si="2100"/>
        <v>0</v>
      </c>
      <c r="EL312" s="81">
        <f t="shared" si="2100"/>
        <v>0</v>
      </c>
      <c r="EM312" s="81">
        <f t="shared" si="2100"/>
        <v>0</v>
      </c>
      <c r="EN312" s="82">
        <f>SUM(EN313:EN315)</f>
        <v>0</v>
      </c>
      <c r="EO312" s="80"/>
      <c r="EP312" s="81">
        <f t="shared" ref="EP312:EX312" si="2101">SUM(EP313:EP315)</f>
        <v>0</v>
      </c>
      <c r="EQ312" s="81">
        <f t="shared" si="2101"/>
        <v>0</v>
      </c>
      <c r="ER312" s="81">
        <f t="shared" si="2101"/>
        <v>0</v>
      </c>
      <c r="ES312" s="81">
        <f t="shared" si="2101"/>
        <v>0</v>
      </c>
      <c r="ET312" s="81">
        <f t="shared" si="2101"/>
        <v>0</v>
      </c>
      <c r="EU312" s="81">
        <f t="shared" si="2101"/>
        <v>0</v>
      </c>
      <c r="EV312" s="81">
        <f t="shared" si="2101"/>
        <v>0</v>
      </c>
      <c r="EW312" s="81">
        <f t="shared" si="2101"/>
        <v>0</v>
      </c>
      <c r="EX312" s="81">
        <f t="shared" si="2101"/>
        <v>0</v>
      </c>
      <c r="EY312" s="82">
        <f>SUM(EY313:EY315)</f>
        <v>0</v>
      </c>
      <c r="EZ312" s="80"/>
      <c r="FA312" s="81">
        <f t="shared" ref="FA312:FI312" si="2102">SUM(FA313:FA315)</f>
        <v>0</v>
      </c>
      <c r="FB312" s="81">
        <f t="shared" si="2102"/>
        <v>0</v>
      </c>
      <c r="FC312" s="81">
        <f t="shared" si="2102"/>
        <v>0</v>
      </c>
      <c r="FD312" s="81">
        <f t="shared" si="2102"/>
        <v>0</v>
      </c>
      <c r="FE312" s="81">
        <f t="shared" si="2102"/>
        <v>0</v>
      </c>
      <c r="FF312" s="81">
        <f t="shared" si="2102"/>
        <v>0</v>
      </c>
      <c r="FG312" s="81">
        <f t="shared" si="2102"/>
        <v>0</v>
      </c>
      <c r="FH312" s="81">
        <f t="shared" si="2102"/>
        <v>0</v>
      </c>
      <c r="FI312" s="81">
        <f t="shared" si="2102"/>
        <v>0</v>
      </c>
      <c r="FJ312" s="82">
        <f>SUM(FJ313:FJ315)</f>
        <v>0</v>
      </c>
      <c r="FK312" s="80"/>
      <c r="FL312" s="81">
        <f t="shared" ref="FL312:FT312" si="2103">SUM(FL313:FL315)</f>
        <v>0</v>
      </c>
      <c r="FM312" s="81">
        <f t="shared" si="2103"/>
        <v>0</v>
      </c>
      <c r="FN312" s="81">
        <f t="shared" si="2103"/>
        <v>0</v>
      </c>
      <c r="FO312" s="81">
        <f t="shared" si="2103"/>
        <v>0</v>
      </c>
      <c r="FP312" s="81">
        <f t="shared" si="2103"/>
        <v>0</v>
      </c>
      <c r="FQ312" s="81">
        <f t="shared" si="2103"/>
        <v>0</v>
      </c>
      <c r="FR312" s="81">
        <f t="shared" si="2103"/>
        <v>0</v>
      </c>
      <c r="FS312" s="81">
        <f t="shared" si="2103"/>
        <v>0</v>
      </c>
      <c r="FT312" s="81">
        <f t="shared" si="2103"/>
        <v>0</v>
      </c>
      <c r="FU312" s="82">
        <f>SUM(FU313:FU315)</f>
        <v>0</v>
      </c>
      <c r="FV312" s="80"/>
      <c r="FW312" s="81">
        <f>SUM(FW313:FW315)</f>
        <v>0</v>
      </c>
      <c r="FX312" s="81">
        <f t="shared" ref="FX312:GE312" si="2104">SUM(FX313:FX315)</f>
        <v>0</v>
      </c>
      <c r="FY312" s="81">
        <f t="shared" si="2104"/>
        <v>0</v>
      </c>
      <c r="FZ312" s="81">
        <f t="shared" si="2104"/>
        <v>0</v>
      </c>
      <c r="GA312" s="81">
        <f t="shared" si="2104"/>
        <v>0</v>
      </c>
      <c r="GB312" s="81">
        <f t="shared" si="2104"/>
        <v>0</v>
      </c>
      <c r="GC312" s="81">
        <f t="shared" si="2104"/>
        <v>0</v>
      </c>
      <c r="GD312" s="81">
        <f t="shared" si="2104"/>
        <v>0</v>
      </c>
      <c r="GE312" s="81">
        <f t="shared" si="2104"/>
        <v>0</v>
      </c>
      <c r="GF312" s="82">
        <f>SUM(GF313:GF315)</f>
        <v>0</v>
      </c>
      <c r="GG312" s="80"/>
      <c r="GH312" s="81">
        <f t="shared" ref="GH312:GP312" si="2105">SUM(GH313:GH315)</f>
        <v>0</v>
      </c>
      <c r="GI312" s="81">
        <f t="shared" si="2105"/>
        <v>0</v>
      </c>
      <c r="GJ312" s="81">
        <f t="shared" si="2105"/>
        <v>0</v>
      </c>
      <c r="GK312" s="81">
        <f t="shared" si="2105"/>
        <v>0</v>
      </c>
      <c r="GL312" s="81">
        <f t="shared" si="2105"/>
        <v>0</v>
      </c>
      <c r="GM312" s="81">
        <f t="shared" si="2105"/>
        <v>0</v>
      </c>
      <c r="GN312" s="81">
        <f t="shared" si="2105"/>
        <v>0</v>
      </c>
      <c r="GO312" s="81">
        <f t="shared" si="2105"/>
        <v>0</v>
      </c>
      <c r="GP312" s="81">
        <f t="shared" si="2105"/>
        <v>0</v>
      </c>
      <c r="GQ312" s="82">
        <f t="shared" ref="GQ312:HV312" si="2106">SUM(GQ313:GQ315)</f>
        <v>0</v>
      </c>
      <c r="GR312" s="81">
        <f t="shared" si="2106"/>
        <v>0</v>
      </c>
      <c r="GS312" s="81">
        <f t="shared" si="2106"/>
        <v>0</v>
      </c>
      <c r="GT312" s="81">
        <f t="shared" si="2106"/>
        <v>0</v>
      </c>
      <c r="GU312" s="81">
        <f t="shared" si="2106"/>
        <v>0</v>
      </c>
      <c r="GV312" s="81">
        <f t="shared" si="2106"/>
        <v>0</v>
      </c>
      <c r="GW312" s="81">
        <f t="shared" si="2106"/>
        <v>0</v>
      </c>
      <c r="GX312" s="81">
        <f t="shared" si="2106"/>
        <v>0</v>
      </c>
      <c r="GY312" s="81">
        <f t="shared" si="2106"/>
        <v>0</v>
      </c>
      <c r="GZ312" s="81">
        <f t="shared" si="2106"/>
        <v>0</v>
      </c>
      <c r="HA312" s="81">
        <f t="shared" si="2106"/>
        <v>0</v>
      </c>
      <c r="HB312" s="81">
        <f t="shared" si="2106"/>
        <v>0</v>
      </c>
      <c r="HC312" s="81">
        <f t="shared" si="2106"/>
        <v>0</v>
      </c>
      <c r="HD312" s="81">
        <f t="shared" si="2106"/>
        <v>0</v>
      </c>
      <c r="HE312" s="81">
        <f t="shared" si="2106"/>
        <v>0</v>
      </c>
      <c r="HF312" s="81">
        <f t="shared" si="2106"/>
        <v>0</v>
      </c>
      <c r="HG312" s="81">
        <f t="shared" si="2106"/>
        <v>0</v>
      </c>
      <c r="HH312" s="81">
        <f t="shared" si="2106"/>
        <v>0</v>
      </c>
      <c r="HI312" s="81">
        <f t="shared" si="2106"/>
        <v>0</v>
      </c>
      <c r="HJ312" s="81">
        <f t="shared" si="2106"/>
        <v>0</v>
      </c>
      <c r="HK312" s="81">
        <f t="shared" si="2106"/>
        <v>0</v>
      </c>
      <c r="HL312" s="81">
        <f t="shared" si="2106"/>
        <v>0</v>
      </c>
      <c r="HM312" s="81">
        <f t="shared" si="2106"/>
        <v>0</v>
      </c>
      <c r="HN312" s="81">
        <f t="shared" si="2106"/>
        <v>0</v>
      </c>
      <c r="HO312" s="81">
        <f t="shared" si="2106"/>
        <v>0</v>
      </c>
      <c r="HP312" s="81">
        <f t="shared" si="2106"/>
        <v>0</v>
      </c>
      <c r="HQ312" s="81">
        <f t="shared" si="2106"/>
        <v>0</v>
      </c>
      <c r="HR312" s="81">
        <f t="shared" si="2106"/>
        <v>0</v>
      </c>
      <c r="HS312" s="81">
        <f t="shared" si="2106"/>
        <v>0</v>
      </c>
      <c r="HT312" s="81">
        <f t="shared" si="2106"/>
        <v>0</v>
      </c>
      <c r="HU312" s="81">
        <f t="shared" si="2106"/>
        <v>0</v>
      </c>
      <c r="HV312" s="81">
        <f t="shared" si="2106"/>
        <v>0</v>
      </c>
      <c r="HW312" s="81">
        <f t="shared" ref="HW312:IV312" si="2107">SUM(HW313:HW315)</f>
        <v>0</v>
      </c>
      <c r="HX312" s="81">
        <f t="shared" si="2107"/>
        <v>0</v>
      </c>
      <c r="HY312" s="81">
        <f t="shared" si="2107"/>
        <v>0</v>
      </c>
      <c r="HZ312" s="81">
        <f t="shared" si="2107"/>
        <v>0</v>
      </c>
      <c r="IA312" s="81">
        <f t="shared" si="2107"/>
        <v>0</v>
      </c>
      <c r="IB312" s="81">
        <f t="shared" si="2107"/>
        <v>0</v>
      </c>
      <c r="IC312" s="81">
        <f t="shared" si="2107"/>
        <v>0</v>
      </c>
      <c r="ID312" s="81">
        <f t="shared" si="2107"/>
        <v>0</v>
      </c>
      <c r="IE312" s="81">
        <f t="shared" si="2107"/>
        <v>0</v>
      </c>
      <c r="IF312" s="81">
        <f t="shared" si="2107"/>
        <v>0</v>
      </c>
      <c r="IG312" s="81">
        <f t="shared" si="2107"/>
        <v>0</v>
      </c>
      <c r="IH312" s="81">
        <f t="shared" si="2107"/>
        <v>0</v>
      </c>
      <c r="II312" s="81">
        <f t="shared" si="2107"/>
        <v>0</v>
      </c>
      <c r="IJ312" s="81">
        <f t="shared" si="2107"/>
        <v>0</v>
      </c>
      <c r="IK312" s="81">
        <f t="shared" si="2107"/>
        <v>0</v>
      </c>
      <c r="IL312" s="81">
        <f t="shared" si="2107"/>
        <v>0</v>
      </c>
      <c r="IM312" s="81">
        <f t="shared" si="2107"/>
        <v>0</v>
      </c>
      <c r="IN312" s="81">
        <f t="shared" si="2107"/>
        <v>0</v>
      </c>
      <c r="IO312" s="81">
        <f t="shared" si="2107"/>
        <v>0</v>
      </c>
      <c r="IP312" s="81">
        <f t="shared" si="2107"/>
        <v>0</v>
      </c>
      <c r="IQ312" s="81">
        <f t="shared" si="2107"/>
        <v>0</v>
      </c>
      <c r="IR312" s="81">
        <f t="shared" si="2107"/>
        <v>0</v>
      </c>
      <c r="IS312" s="81">
        <f t="shared" si="2107"/>
        <v>0</v>
      </c>
      <c r="IT312" s="81">
        <f t="shared" si="2107"/>
        <v>0</v>
      </c>
      <c r="IU312" s="81">
        <f t="shared" si="2107"/>
        <v>0</v>
      </c>
      <c r="IV312" s="81">
        <f t="shared" si="2107"/>
        <v>0</v>
      </c>
    </row>
    <row r="313" spans="1:256" x14ac:dyDescent="0.25">
      <c r="A313" s="84" t="s">
        <v>247</v>
      </c>
      <c r="B313" s="62"/>
      <c r="C313" s="63"/>
      <c r="D313" s="63"/>
      <c r="E313" s="63"/>
      <c r="F313" s="63"/>
      <c r="G313" s="63"/>
      <c r="H313" s="63"/>
      <c r="I313" s="63"/>
      <c r="J313" s="63"/>
      <c r="K313" s="63"/>
      <c r="L313" s="64">
        <f>SUM(C313:F313,H313:K313)</f>
        <v>0</v>
      </c>
      <c r="M313" s="62"/>
      <c r="N313" s="63"/>
      <c r="O313" s="63"/>
      <c r="P313" s="63"/>
      <c r="Q313" s="63"/>
      <c r="R313" s="63"/>
      <c r="S313" s="63"/>
      <c r="T313" s="63"/>
      <c r="U313" s="63"/>
      <c r="V313" s="63"/>
      <c r="W313" s="64">
        <f>SUM(N313:Q313,S313:V313)</f>
        <v>0</v>
      </c>
      <c r="X313" s="62"/>
      <c r="Y313" s="63"/>
      <c r="Z313" s="63"/>
      <c r="AA313" s="63"/>
      <c r="AB313" s="63"/>
      <c r="AC313" s="63"/>
      <c r="AD313" s="63"/>
      <c r="AE313" s="63"/>
      <c r="AF313" s="63"/>
      <c r="AG313" s="63"/>
      <c r="AH313" s="64">
        <f>SUM(Y313:AB313,AD313:AG313)</f>
        <v>0</v>
      </c>
      <c r="AI313" s="62"/>
      <c r="AJ313" s="63"/>
      <c r="AK313" s="63"/>
      <c r="AL313" s="63"/>
      <c r="AM313" s="63"/>
      <c r="AN313" s="63"/>
      <c r="AO313" s="63"/>
      <c r="AP313" s="63"/>
      <c r="AQ313" s="63"/>
      <c r="AR313" s="63"/>
      <c r="AS313" s="64">
        <f>SUM(AJ313:AM313,AO313:AR313)</f>
        <v>0</v>
      </c>
      <c r="AT313" s="65">
        <f t="shared" ref="AT313:BC315" si="2108">SUM(M313,AI313,X313)</f>
        <v>0</v>
      </c>
      <c r="AU313" s="65">
        <f t="shared" si="2108"/>
        <v>0</v>
      </c>
      <c r="AV313" s="65">
        <f t="shared" si="2108"/>
        <v>0</v>
      </c>
      <c r="AW313" s="65">
        <f t="shared" si="2108"/>
        <v>0</v>
      </c>
      <c r="AX313" s="65">
        <f t="shared" si="2108"/>
        <v>0</v>
      </c>
      <c r="AY313" s="65">
        <f t="shared" si="2108"/>
        <v>0</v>
      </c>
      <c r="AZ313" s="65">
        <f t="shared" si="2108"/>
        <v>0</v>
      </c>
      <c r="BA313" s="65">
        <f t="shared" si="2108"/>
        <v>0</v>
      </c>
      <c r="BB313" s="65">
        <f t="shared" si="2108"/>
        <v>0</v>
      </c>
      <c r="BC313" s="65">
        <f t="shared" si="2108"/>
        <v>0</v>
      </c>
      <c r="BD313" s="64">
        <f>SUM(AU313:AX313,AZ313:BC313)</f>
        <v>0</v>
      </c>
      <c r="BE313" s="62"/>
      <c r="BF313" s="63"/>
      <c r="BG313" s="63"/>
      <c r="BH313" s="63"/>
      <c r="BI313" s="63"/>
      <c r="BJ313" s="63"/>
      <c r="BK313" s="63"/>
      <c r="BL313" s="63"/>
      <c r="BM313" s="63"/>
      <c r="BN313" s="63"/>
      <c r="BO313" s="64">
        <f>SUM(BF313:BI313,BK313:BN313)</f>
        <v>0</v>
      </c>
      <c r="BP313" s="62"/>
      <c r="BQ313" s="63"/>
      <c r="BR313" s="63"/>
      <c r="BS313" s="63"/>
      <c r="BT313" s="63"/>
      <c r="BU313" s="63"/>
      <c r="BV313" s="63"/>
      <c r="BW313" s="63"/>
      <c r="BX313" s="63"/>
      <c r="BY313" s="63"/>
      <c r="BZ313" s="64">
        <f>SUM(BQ313:BT313,BV313:BY313)</f>
        <v>0</v>
      </c>
      <c r="CA313" s="62"/>
      <c r="CB313" s="63"/>
      <c r="CC313" s="63"/>
      <c r="CD313" s="63"/>
      <c r="CE313" s="63"/>
      <c r="CF313" s="63"/>
      <c r="CG313" s="63"/>
      <c r="CH313" s="63"/>
      <c r="CI313" s="63"/>
      <c r="CJ313" s="63"/>
      <c r="CK313" s="64">
        <f>SUM(CB313:CE313,CG313:CJ313)</f>
        <v>0</v>
      </c>
      <c r="CL313" s="65">
        <f t="shared" ref="CL313:CU315" si="2109">SUM(BE313,CA313,BP313)</f>
        <v>0</v>
      </c>
      <c r="CM313" s="65">
        <f t="shared" si="2109"/>
        <v>0</v>
      </c>
      <c r="CN313" s="65">
        <f t="shared" si="2109"/>
        <v>0</v>
      </c>
      <c r="CO313" s="65">
        <f t="shared" si="2109"/>
        <v>0</v>
      </c>
      <c r="CP313" s="65">
        <f t="shared" si="2109"/>
        <v>0</v>
      </c>
      <c r="CQ313" s="65">
        <f t="shared" si="2109"/>
        <v>0</v>
      </c>
      <c r="CR313" s="65">
        <f t="shared" si="2109"/>
        <v>0</v>
      </c>
      <c r="CS313" s="65">
        <f t="shared" si="2109"/>
        <v>0</v>
      </c>
      <c r="CT313" s="65">
        <f t="shared" si="2109"/>
        <v>0</v>
      </c>
      <c r="CU313" s="65">
        <f t="shared" si="2109"/>
        <v>0</v>
      </c>
      <c r="CV313" s="64">
        <f>SUM(CM313:CP313,CR313:CU313)</f>
        <v>0</v>
      </c>
      <c r="CW313" s="62"/>
      <c r="CX313" s="63"/>
      <c r="CY313" s="63"/>
      <c r="CZ313" s="63"/>
      <c r="DA313" s="63"/>
      <c r="DB313" s="63"/>
      <c r="DC313" s="63"/>
      <c r="DD313" s="63"/>
      <c r="DE313" s="63"/>
      <c r="DF313" s="63"/>
      <c r="DG313" s="64">
        <f>SUM(CX313:DA313,DC313:DF313)</f>
        <v>0</v>
      </c>
      <c r="DH313" s="62"/>
      <c r="DI313" s="63"/>
      <c r="DJ313" s="63"/>
      <c r="DK313" s="63"/>
      <c r="DL313" s="63"/>
      <c r="DM313" s="63"/>
      <c r="DN313" s="63"/>
      <c r="DO313" s="63"/>
      <c r="DP313" s="63"/>
      <c r="DQ313" s="63"/>
      <c r="DR313" s="64">
        <f>SUM(DI313:DL313,DN313:DQ313)</f>
        <v>0</v>
      </c>
      <c r="DS313" s="62"/>
      <c r="DT313" s="63"/>
      <c r="DU313" s="63"/>
      <c r="DV313" s="63"/>
      <c r="DW313" s="63"/>
      <c r="DX313" s="63"/>
      <c r="DY313" s="63"/>
      <c r="DZ313" s="63"/>
      <c r="EA313" s="63"/>
      <c r="EB313" s="63"/>
      <c r="EC313" s="63"/>
      <c r="ED313" s="65">
        <f t="shared" ref="ED313:EM315" si="2110">SUM(CW313,DS313,DH313)</f>
        <v>0</v>
      </c>
      <c r="EE313" s="65">
        <f t="shared" si="2110"/>
        <v>0</v>
      </c>
      <c r="EF313" s="65">
        <f t="shared" si="2110"/>
        <v>0</v>
      </c>
      <c r="EG313" s="65">
        <f t="shared" si="2110"/>
        <v>0</v>
      </c>
      <c r="EH313" s="65">
        <f t="shared" si="2110"/>
        <v>0</v>
      </c>
      <c r="EI313" s="65">
        <f t="shared" si="2110"/>
        <v>0</v>
      </c>
      <c r="EJ313" s="65">
        <f t="shared" si="2110"/>
        <v>0</v>
      </c>
      <c r="EK313" s="65">
        <f t="shared" si="2110"/>
        <v>0</v>
      </c>
      <c r="EL313" s="65">
        <f t="shared" si="2110"/>
        <v>0</v>
      </c>
      <c r="EM313" s="65">
        <f t="shared" si="2110"/>
        <v>0</v>
      </c>
      <c r="EN313" s="64">
        <f>SUM(EE313:EH313,EJ313:EM313)</f>
        <v>0</v>
      </c>
      <c r="EO313" s="62"/>
      <c r="EP313" s="63"/>
      <c r="EQ313" s="63"/>
      <c r="ER313" s="63"/>
      <c r="ES313" s="63"/>
      <c r="ET313" s="63"/>
      <c r="EU313" s="63"/>
      <c r="EV313" s="63"/>
      <c r="EW313" s="63"/>
      <c r="EX313" s="63"/>
      <c r="EY313" s="64">
        <f>SUM(EP313:ES313,EU313:EX313)</f>
        <v>0</v>
      </c>
      <c r="EZ313" s="62"/>
      <c r="FA313" s="63"/>
      <c r="FB313" s="63"/>
      <c r="FC313" s="63"/>
      <c r="FD313" s="63"/>
      <c r="FE313" s="63"/>
      <c r="FF313" s="63"/>
      <c r="FG313" s="63"/>
      <c r="FH313" s="63"/>
      <c r="FI313" s="63"/>
      <c r="FJ313" s="64">
        <f>SUM(FA313:FD313,FF313:FI313)</f>
        <v>0</v>
      </c>
      <c r="FK313" s="62"/>
      <c r="FL313" s="63"/>
      <c r="FM313" s="63"/>
      <c r="FN313" s="63"/>
      <c r="FO313" s="63"/>
      <c r="FP313" s="63"/>
      <c r="FQ313" s="63"/>
      <c r="FR313" s="63"/>
      <c r="FS313" s="63"/>
      <c r="FT313" s="63"/>
      <c r="FU313" s="64">
        <f>SUM(FL313:FO313,FQ313:FT313)</f>
        <v>0</v>
      </c>
      <c r="FV313" s="65">
        <f t="shared" ref="FV313:GE315" si="2111">SUM(EO313,FK313,EZ313)</f>
        <v>0</v>
      </c>
      <c r="FW313" s="65">
        <f t="shared" si="2111"/>
        <v>0</v>
      </c>
      <c r="FX313" s="65">
        <f t="shared" si="2111"/>
        <v>0</v>
      </c>
      <c r="FY313" s="65">
        <f t="shared" si="2111"/>
        <v>0</v>
      </c>
      <c r="FZ313" s="65">
        <f t="shared" si="2111"/>
        <v>0</v>
      </c>
      <c r="GA313" s="65">
        <f t="shared" si="2111"/>
        <v>0</v>
      </c>
      <c r="GB313" s="65">
        <f t="shared" si="2111"/>
        <v>0</v>
      </c>
      <c r="GC313" s="65">
        <f t="shared" si="2111"/>
        <v>0</v>
      </c>
      <c r="GD313" s="65">
        <f t="shared" si="2111"/>
        <v>0</v>
      </c>
      <c r="GE313" s="65">
        <f t="shared" si="2111"/>
        <v>0</v>
      </c>
      <c r="GF313" s="64">
        <f>SUM(FW313:FZ313,GB313:GE313)</f>
        <v>0</v>
      </c>
      <c r="GG313" s="66">
        <f t="shared" ref="GG313:GP315" si="2112">SUM(AT313,CL313,ED313,FV313)</f>
        <v>0</v>
      </c>
      <c r="GH313" s="66">
        <f t="shared" si="2112"/>
        <v>0</v>
      </c>
      <c r="GI313" s="66">
        <f t="shared" si="2112"/>
        <v>0</v>
      </c>
      <c r="GJ313" s="66">
        <f t="shared" si="2112"/>
        <v>0</v>
      </c>
      <c r="GK313" s="66">
        <f t="shared" si="2112"/>
        <v>0</v>
      </c>
      <c r="GL313" s="66">
        <f t="shared" si="2112"/>
        <v>0</v>
      </c>
      <c r="GM313" s="66">
        <f t="shared" si="2112"/>
        <v>0</v>
      </c>
      <c r="GN313" s="66">
        <f t="shared" si="2112"/>
        <v>0</v>
      </c>
      <c r="GO313" s="66">
        <f t="shared" si="2112"/>
        <v>0</v>
      </c>
      <c r="GP313" s="66">
        <f t="shared" si="2112"/>
        <v>0</v>
      </c>
      <c r="GQ313" s="64">
        <f>SUM(GH313:GK313,GM313:GP313)</f>
        <v>0</v>
      </c>
      <c r="GR313" s="63"/>
      <c r="GS313" s="63"/>
      <c r="GT313" s="63"/>
      <c r="GU313" s="63"/>
      <c r="GV313" s="67">
        <f>SUM(GR313:GU313)</f>
        <v>0</v>
      </c>
      <c r="GW313" s="63"/>
      <c r="GX313" s="63"/>
      <c r="GY313" s="63"/>
      <c r="GZ313" s="63"/>
      <c r="HA313" s="67">
        <f>SUM(GW313:GZ313)</f>
        <v>0</v>
      </c>
      <c r="HB313" s="63"/>
      <c r="HC313" s="63"/>
      <c r="HD313" s="63"/>
      <c r="HE313" s="63"/>
      <c r="HF313" s="67">
        <f>SUM(HB313:HE313)</f>
        <v>0</v>
      </c>
      <c r="HG313" s="63"/>
      <c r="HH313" s="63"/>
      <c r="HI313" s="63"/>
      <c r="HJ313" s="63"/>
      <c r="HK313" s="67">
        <f>SUM(HG313:HJ313)</f>
        <v>0</v>
      </c>
      <c r="HL313" s="68">
        <f t="shared" ref="HL313:HO315" si="2113">SUM(GW313,HB313,HG313)</f>
        <v>0</v>
      </c>
      <c r="HM313" s="68">
        <f t="shared" si="2113"/>
        <v>0</v>
      </c>
      <c r="HN313" s="68">
        <f t="shared" si="2113"/>
        <v>0</v>
      </c>
      <c r="HO313" s="68">
        <f t="shared" si="2113"/>
        <v>0</v>
      </c>
      <c r="HP313" s="67">
        <f>SUM(HL313:HO313)</f>
        <v>0</v>
      </c>
      <c r="HQ313" s="63"/>
      <c r="HR313" s="63"/>
      <c r="HS313" s="63"/>
      <c r="HT313" s="63"/>
      <c r="HU313" s="67">
        <f>SUM(HQ313:HT313)</f>
        <v>0</v>
      </c>
      <c r="HV313" s="63"/>
      <c r="HW313" s="63"/>
      <c r="HX313" s="63"/>
      <c r="HY313" s="63"/>
      <c r="HZ313" s="67">
        <f>SUM(HV313:HY313)</f>
        <v>0</v>
      </c>
      <c r="IA313" s="63"/>
      <c r="IB313" s="63"/>
      <c r="IC313" s="63"/>
      <c r="ID313" s="63"/>
      <c r="IE313" s="67">
        <f>SUM(IA313:ID313)</f>
        <v>0</v>
      </c>
      <c r="IF313" s="68">
        <f t="shared" ref="IF313:II315" si="2114">SUM(HQ313,HV313,IA313)</f>
        <v>0</v>
      </c>
      <c r="IG313" s="68">
        <f t="shared" si="2114"/>
        <v>0</v>
      </c>
      <c r="IH313" s="68">
        <f t="shared" si="2114"/>
        <v>0</v>
      </c>
      <c r="II313" s="68">
        <f t="shared" si="2114"/>
        <v>0</v>
      </c>
      <c r="IJ313" s="67">
        <f>SUM(IF313:II313)</f>
        <v>0</v>
      </c>
      <c r="IK313" s="63"/>
      <c r="IL313" s="63"/>
      <c r="IM313" s="63"/>
      <c r="IN313" s="63"/>
      <c r="IO313" s="67">
        <f>SUM(IK313:IN313)</f>
        <v>0</v>
      </c>
      <c r="IP313" s="63"/>
      <c r="IQ313" s="63"/>
      <c r="IR313" s="63"/>
      <c r="IS313" s="63"/>
      <c r="IT313" s="67">
        <f>SUM(IP313:IS313)</f>
        <v>0</v>
      </c>
      <c r="IU313" s="63"/>
      <c r="IV313" s="63"/>
    </row>
    <row r="314" spans="1:256" x14ac:dyDescent="0.25">
      <c r="A314" s="84" t="s">
        <v>248</v>
      </c>
      <c r="B314" s="62"/>
      <c r="C314" s="63"/>
      <c r="D314" s="63"/>
      <c r="E314" s="63"/>
      <c r="F314" s="63"/>
      <c r="G314" s="63"/>
      <c r="H314" s="63"/>
      <c r="I314" s="63"/>
      <c r="J314" s="63"/>
      <c r="K314" s="63"/>
      <c r="L314" s="64">
        <f>SUM(C314:F314,H314:K314)</f>
        <v>0</v>
      </c>
      <c r="M314" s="62"/>
      <c r="N314" s="63"/>
      <c r="O314" s="63"/>
      <c r="P314" s="63"/>
      <c r="Q314" s="63"/>
      <c r="R314" s="63"/>
      <c r="S314" s="63"/>
      <c r="T314" s="63"/>
      <c r="U314" s="63"/>
      <c r="V314" s="63"/>
      <c r="W314" s="64">
        <f>SUM(N314:Q314,S314:V314)</f>
        <v>0</v>
      </c>
      <c r="X314" s="62"/>
      <c r="Y314" s="63"/>
      <c r="Z314" s="63"/>
      <c r="AA314" s="63"/>
      <c r="AB314" s="63"/>
      <c r="AC314" s="63"/>
      <c r="AD314" s="63"/>
      <c r="AE314" s="63"/>
      <c r="AF314" s="63"/>
      <c r="AG314" s="63"/>
      <c r="AH314" s="64">
        <f>SUM(Y314:AB314,AD314:AG314)</f>
        <v>0</v>
      </c>
      <c r="AI314" s="62"/>
      <c r="AJ314" s="63"/>
      <c r="AK314" s="63"/>
      <c r="AL314" s="63"/>
      <c r="AM314" s="63"/>
      <c r="AN314" s="63"/>
      <c r="AO314" s="63"/>
      <c r="AP314" s="63"/>
      <c r="AQ314" s="63"/>
      <c r="AR314" s="63"/>
      <c r="AS314" s="64">
        <f>SUM(AJ314:AM314,AO314:AR314)</f>
        <v>0</v>
      </c>
      <c r="AT314" s="65">
        <f t="shared" si="2108"/>
        <v>0</v>
      </c>
      <c r="AU314" s="65">
        <f t="shared" si="2108"/>
        <v>0</v>
      </c>
      <c r="AV314" s="65">
        <f t="shared" si="2108"/>
        <v>0</v>
      </c>
      <c r="AW314" s="65">
        <f t="shared" si="2108"/>
        <v>0</v>
      </c>
      <c r="AX314" s="65">
        <f t="shared" si="2108"/>
        <v>0</v>
      </c>
      <c r="AY314" s="65">
        <f t="shared" si="2108"/>
        <v>0</v>
      </c>
      <c r="AZ314" s="65">
        <f t="shared" si="2108"/>
        <v>0</v>
      </c>
      <c r="BA314" s="65">
        <f t="shared" si="2108"/>
        <v>0</v>
      </c>
      <c r="BB314" s="65">
        <f t="shared" si="2108"/>
        <v>0</v>
      </c>
      <c r="BC314" s="65">
        <f t="shared" si="2108"/>
        <v>0</v>
      </c>
      <c r="BD314" s="64">
        <f>SUM(AU314:AX314,AZ314:BC314)</f>
        <v>0</v>
      </c>
      <c r="BE314" s="62"/>
      <c r="BF314" s="63"/>
      <c r="BG314" s="63"/>
      <c r="BH314" s="63"/>
      <c r="BI314" s="63"/>
      <c r="BJ314" s="63"/>
      <c r="BK314" s="63"/>
      <c r="BL314" s="63"/>
      <c r="BM314" s="63"/>
      <c r="BN314" s="63"/>
      <c r="BO314" s="64">
        <f>SUM(BF314:BI314,BK314:BN314)</f>
        <v>0</v>
      </c>
      <c r="BP314" s="62"/>
      <c r="BQ314" s="63"/>
      <c r="BR314" s="63"/>
      <c r="BS314" s="63"/>
      <c r="BT314" s="63"/>
      <c r="BU314" s="63"/>
      <c r="BV314" s="63"/>
      <c r="BW314" s="63"/>
      <c r="BX314" s="63"/>
      <c r="BY314" s="63"/>
      <c r="BZ314" s="64">
        <f>SUM(BQ314:BT314,BV314:BY314)</f>
        <v>0</v>
      </c>
      <c r="CA314" s="62"/>
      <c r="CB314" s="63"/>
      <c r="CC314" s="63"/>
      <c r="CD314" s="63"/>
      <c r="CE314" s="63"/>
      <c r="CF314" s="63"/>
      <c r="CG314" s="63"/>
      <c r="CH314" s="63"/>
      <c r="CI314" s="63"/>
      <c r="CJ314" s="63"/>
      <c r="CK314" s="64">
        <f>SUM(CB314:CE314,CG314:CJ314)</f>
        <v>0</v>
      </c>
      <c r="CL314" s="65">
        <f t="shared" si="2109"/>
        <v>0</v>
      </c>
      <c r="CM314" s="65">
        <f t="shared" si="2109"/>
        <v>0</v>
      </c>
      <c r="CN314" s="65">
        <f t="shared" si="2109"/>
        <v>0</v>
      </c>
      <c r="CO314" s="65">
        <f t="shared" si="2109"/>
        <v>0</v>
      </c>
      <c r="CP314" s="65">
        <f t="shared" si="2109"/>
        <v>0</v>
      </c>
      <c r="CQ314" s="65">
        <f t="shared" si="2109"/>
        <v>0</v>
      </c>
      <c r="CR314" s="65">
        <f t="shared" si="2109"/>
        <v>0</v>
      </c>
      <c r="CS314" s="65">
        <f t="shared" si="2109"/>
        <v>0</v>
      </c>
      <c r="CT314" s="65">
        <f t="shared" si="2109"/>
        <v>0</v>
      </c>
      <c r="CU314" s="65">
        <f t="shared" si="2109"/>
        <v>0</v>
      </c>
      <c r="CV314" s="64">
        <f>SUM(CM314:CP314,CR314:CU314)</f>
        <v>0</v>
      </c>
      <c r="CW314" s="62"/>
      <c r="CX314" s="63"/>
      <c r="CY314" s="63"/>
      <c r="CZ314" s="63"/>
      <c r="DA314" s="63"/>
      <c r="DB314" s="63"/>
      <c r="DC314" s="63"/>
      <c r="DD314" s="63"/>
      <c r="DE314" s="63"/>
      <c r="DF314" s="63"/>
      <c r="DG314" s="64">
        <f>SUM(CX314:DA314,DC314:DF314)</f>
        <v>0</v>
      </c>
      <c r="DH314" s="62"/>
      <c r="DI314" s="63"/>
      <c r="DJ314" s="63"/>
      <c r="DK314" s="63"/>
      <c r="DL314" s="63"/>
      <c r="DM314" s="63"/>
      <c r="DN314" s="63"/>
      <c r="DO314" s="63"/>
      <c r="DP314" s="63"/>
      <c r="DQ314" s="63"/>
      <c r="DR314" s="64">
        <f>SUM(DI314:DL314,DN314:DQ314)</f>
        <v>0</v>
      </c>
      <c r="DS314" s="62"/>
      <c r="DT314" s="63"/>
      <c r="DU314" s="63"/>
      <c r="DV314" s="63"/>
      <c r="DW314" s="63"/>
      <c r="DX314" s="63"/>
      <c r="DY314" s="63"/>
      <c r="DZ314" s="63"/>
      <c r="EA314" s="63"/>
      <c r="EB314" s="63"/>
      <c r="EC314" s="63"/>
      <c r="ED314" s="65">
        <f t="shared" si="2110"/>
        <v>0</v>
      </c>
      <c r="EE314" s="65">
        <f t="shared" si="2110"/>
        <v>0</v>
      </c>
      <c r="EF314" s="65">
        <f t="shared" si="2110"/>
        <v>0</v>
      </c>
      <c r="EG314" s="65">
        <f t="shared" si="2110"/>
        <v>0</v>
      </c>
      <c r="EH314" s="65">
        <f t="shared" si="2110"/>
        <v>0</v>
      </c>
      <c r="EI314" s="65">
        <f t="shared" si="2110"/>
        <v>0</v>
      </c>
      <c r="EJ314" s="65">
        <f t="shared" si="2110"/>
        <v>0</v>
      </c>
      <c r="EK314" s="65">
        <f t="shared" si="2110"/>
        <v>0</v>
      </c>
      <c r="EL314" s="65">
        <f t="shared" si="2110"/>
        <v>0</v>
      </c>
      <c r="EM314" s="65">
        <f t="shared" si="2110"/>
        <v>0</v>
      </c>
      <c r="EN314" s="64">
        <f>SUM(EE314:EH314,EJ314:EM314)</f>
        <v>0</v>
      </c>
      <c r="EO314" s="62"/>
      <c r="EP314" s="63"/>
      <c r="EQ314" s="63"/>
      <c r="ER314" s="63"/>
      <c r="ES314" s="63"/>
      <c r="ET314" s="63"/>
      <c r="EU314" s="63"/>
      <c r="EV314" s="63"/>
      <c r="EW314" s="63"/>
      <c r="EX314" s="63"/>
      <c r="EY314" s="64">
        <f>SUM(EP314:ES314,EU314:EX314)</f>
        <v>0</v>
      </c>
      <c r="EZ314" s="62"/>
      <c r="FA314" s="63"/>
      <c r="FB314" s="63"/>
      <c r="FC314" s="63"/>
      <c r="FD314" s="63"/>
      <c r="FE314" s="63"/>
      <c r="FF314" s="63"/>
      <c r="FG314" s="63"/>
      <c r="FH314" s="63"/>
      <c r="FI314" s="63"/>
      <c r="FJ314" s="64">
        <f>SUM(FA314:FD314,FF314:FI314)</f>
        <v>0</v>
      </c>
      <c r="FK314" s="62"/>
      <c r="FL314" s="63"/>
      <c r="FM314" s="63"/>
      <c r="FN314" s="63"/>
      <c r="FO314" s="63"/>
      <c r="FP314" s="63"/>
      <c r="FQ314" s="63"/>
      <c r="FR314" s="63"/>
      <c r="FS314" s="63"/>
      <c r="FT314" s="63"/>
      <c r="FU314" s="64">
        <f>SUM(FL314:FO314,FQ314:FT314)</f>
        <v>0</v>
      </c>
      <c r="FV314" s="65">
        <f t="shared" si="2111"/>
        <v>0</v>
      </c>
      <c r="FW314" s="65">
        <f t="shared" si="2111"/>
        <v>0</v>
      </c>
      <c r="FX314" s="65">
        <f t="shared" si="2111"/>
        <v>0</v>
      </c>
      <c r="FY314" s="65">
        <f t="shared" si="2111"/>
        <v>0</v>
      </c>
      <c r="FZ314" s="65">
        <f t="shared" si="2111"/>
        <v>0</v>
      </c>
      <c r="GA314" s="65">
        <f t="shared" si="2111"/>
        <v>0</v>
      </c>
      <c r="GB314" s="65">
        <f t="shared" si="2111"/>
        <v>0</v>
      </c>
      <c r="GC314" s="65">
        <f t="shared" si="2111"/>
        <v>0</v>
      </c>
      <c r="GD314" s="65">
        <f t="shared" si="2111"/>
        <v>0</v>
      </c>
      <c r="GE314" s="65">
        <f t="shared" si="2111"/>
        <v>0</v>
      </c>
      <c r="GF314" s="64">
        <f>SUM(FW314:FZ314,GB314:GE314)</f>
        <v>0</v>
      </c>
      <c r="GG314" s="66">
        <f t="shared" si="2112"/>
        <v>0</v>
      </c>
      <c r="GH314" s="66">
        <f t="shared" si="2112"/>
        <v>0</v>
      </c>
      <c r="GI314" s="66">
        <f t="shared" si="2112"/>
        <v>0</v>
      </c>
      <c r="GJ314" s="66">
        <f t="shared" si="2112"/>
        <v>0</v>
      </c>
      <c r="GK314" s="66">
        <f t="shared" si="2112"/>
        <v>0</v>
      </c>
      <c r="GL314" s="66">
        <f t="shared" si="2112"/>
        <v>0</v>
      </c>
      <c r="GM314" s="66">
        <f t="shared" si="2112"/>
        <v>0</v>
      </c>
      <c r="GN314" s="66">
        <f t="shared" si="2112"/>
        <v>0</v>
      </c>
      <c r="GO314" s="66">
        <f t="shared" si="2112"/>
        <v>0</v>
      </c>
      <c r="GP314" s="66">
        <f t="shared" si="2112"/>
        <v>0</v>
      </c>
      <c r="GQ314" s="64">
        <f>SUM(GH314:GK314,GM314:GP314)</f>
        <v>0</v>
      </c>
      <c r="GR314" s="63"/>
      <c r="GS314" s="63"/>
      <c r="GT314" s="63"/>
      <c r="GU314" s="63"/>
      <c r="GV314" s="67">
        <f>SUM(GR314:GU314)</f>
        <v>0</v>
      </c>
      <c r="GW314" s="63"/>
      <c r="GX314" s="63"/>
      <c r="GY314" s="63"/>
      <c r="GZ314" s="63"/>
      <c r="HA314" s="67">
        <f>SUM(GW314:GZ314)</f>
        <v>0</v>
      </c>
      <c r="HB314" s="63"/>
      <c r="HC314" s="63"/>
      <c r="HD314" s="63"/>
      <c r="HE314" s="63"/>
      <c r="HF314" s="67">
        <f>SUM(HB314:HE314)</f>
        <v>0</v>
      </c>
      <c r="HG314" s="63"/>
      <c r="HH314" s="63"/>
      <c r="HI314" s="63"/>
      <c r="HJ314" s="63"/>
      <c r="HK314" s="67">
        <f>SUM(HG314:HJ314)</f>
        <v>0</v>
      </c>
      <c r="HL314" s="68">
        <f t="shared" si="2113"/>
        <v>0</v>
      </c>
      <c r="HM314" s="68">
        <f t="shared" si="2113"/>
        <v>0</v>
      </c>
      <c r="HN314" s="68">
        <f t="shared" si="2113"/>
        <v>0</v>
      </c>
      <c r="HO314" s="68">
        <f t="shared" si="2113"/>
        <v>0</v>
      </c>
      <c r="HP314" s="67">
        <f>SUM(HL314:HO314)</f>
        <v>0</v>
      </c>
      <c r="HQ314" s="63"/>
      <c r="HR314" s="63"/>
      <c r="HS314" s="63"/>
      <c r="HT314" s="63"/>
      <c r="HU314" s="67">
        <f>SUM(HQ314:HT314)</f>
        <v>0</v>
      </c>
      <c r="HV314" s="63"/>
      <c r="HW314" s="63"/>
      <c r="HX314" s="63"/>
      <c r="HY314" s="63"/>
      <c r="HZ314" s="67">
        <f>SUM(HV314:HY314)</f>
        <v>0</v>
      </c>
      <c r="IA314" s="63"/>
      <c r="IB314" s="63"/>
      <c r="IC314" s="63"/>
      <c r="ID314" s="63"/>
      <c r="IE314" s="67">
        <f>SUM(IA314:ID314)</f>
        <v>0</v>
      </c>
      <c r="IF314" s="68">
        <f t="shared" si="2114"/>
        <v>0</v>
      </c>
      <c r="IG314" s="68">
        <f t="shared" si="2114"/>
        <v>0</v>
      </c>
      <c r="IH314" s="68">
        <f t="shared" si="2114"/>
        <v>0</v>
      </c>
      <c r="II314" s="68">
        <f t="shared" si="2114"/>
        <v>0</v>
      </c>
      <c r="IJ314" s="67">
        <f>SUM(IF314:II314)</f>
        <v>0</v>
      </c>
      <c r="IK314" s="63"/>
      <c r="IL314" s="63"/>
      <c r="IM314" s="63"/>
      <c r="IN314" s="63"/>
      <c r="IO314" s="67">
        <f>SUM(IK314:IN314)</f>
        <v>0</v>
      </c>
      <c r="IP314" s="63"/>
      <c r="IQ314" s="63"/>
      <c r="IR314" s="63"/>
      <c r="IS314" s="63"/>
      <c r="IT314" s="67">
        <f>SUM(IP314:IS314)</f>
        <v>0</v>
      </c>
      <c r="IU314" s="63"/>
      <c r="IV314" s="63"/>
    </row>
    <row r="315" spans="1:256" x14ac:dyDescent="0.25">
      <c r="A315" s="84" t="s">
        <v>249</v>
      </c>
      <c r="B315" s="62"/>
      <c r="C315" s="63"/>
      <c r="D315" s="63"/>
      <c r="E315" s="63"/>
      <c r="F315" s="63"/>
      <c r="G315" s="63"/>
      <c r="H315" s="63"/>
      <c r="I315" s="63"/>
      <c r="J315" s="63"/>
      <c r="K315" s="63"/>
      <c r="L315" s="64">
        <f>SUM(C315:F315,H315:K315)</f>
        <v>0</v>
      </c>
      <c r="M315" s="62"/>
      <c r="N315" s="63"/>
      <c r="O315" s="63"/>
      <c r="P315" s="63"/>
      <c r="Q315" s="63"/>
      <c r="R315" s="63"/>
      <c r="S315" s="63"/>
      <c r="T315" s="63"/>
      <c r="U315" s="63"/>
      <c r="V315" s="63"/>
      <c r="W315" s="64">
        <f>SUM(N315:Q315,S315:V315)</f>
        <v>0</v>
      </c>
      <c r="X315" s="62"/>
      <c r="Y315" s="63"/>
      <c r="Z315" s="63"/>
      <c r="AA315" s="63"/>
      <c r="AB315" s="63"/>
      <c r="AC315" s="63"/>
      <c r="AD315" s="63"/>
      <c r="AE315" s="63"/>
      <c r="AF315" s="63"/>
      <c r="AG315" s="63"/>
      <c r="AH315" s="64">
        <f>SUM(Y315:AB315,AD315:AG315)</f>
        <v>0</v>
      </c>
      <c r="AI315" s="62"/>
      <c r="AJ315" s="63"/>
      <c r="AK315" s="63"/>
      <c r="AL315" s="63"/>
      <c r="AM315" s="63"/>
      <c r="AN315" s="63"/>
      <c r="AO315" s="63"/>
      <c r="AP315" s="63"/>
      <c r="AQ315" s="63"/>
      <c r="AR315" s="63"/>
      <c r="AS315" s="64">
        <f>SUM(AJ315:AM315,AO315:AR315)</f>
        <v>0</v>
      </c>
      <c r="AT315" s="65">
        <f t="shared" si="2108"/>
        <v>0</v>
      </c>
      <c r="AU315" s="65">
        <f t="shared" si="2108"/>
        <v>0</v>
      </c>
      <c r="AV315" s="65">
        <f t="shared" si="2108"/>
        <v>0</v>
      </c>
      <c r="AW315" s="65">
        <f t="shared" si="2108"/>
        <v>0</v>
      </c>
      <c r="AX315" s="65">
        <f t="shared" si="2108"/>
        <v>0</v>
      </c>
      <c r="AY315" s="65">
        <f t="shared" si="2108"/>
        <v>0</v>
      </c>
      <c r="AZ315" s="65">
        <f t="shared" si="2108"/>
        <v>0</v>
      </c>
      <c r="BA315" s="65">
        <f t="shared" si="2108"/>
        <v>0</v>
      </c>
      <c r="BB315" s="65">
        <f t="shared" si="2108"/>
        <v>0</v>
      </c>
      <c r="BC315" s="65">
        <f t="shared" si="2108"/>
        <v>0</v>
      </c>
      <c r="BD315" s="64">
        <f>SUM(AU315:AX315,AZ315:BC315)</f>
        <v>0</v>
      </c>
      <c r="BE315" s="62"/>
      <c r="BF315" s="63"/>
      <c r="BG315" s="63"/>
      <c r="BH315" s="63"/>
      <c r="BI315" s="63"/>
      <c r="BJ315" s="63"/>
      <c r="BK315" s="63"/>
      <c r="BL315" s="63"/>
      <c r="BM315" s="63"/>
      <c r="BN315" s="63"/>
      <c r="BO315" s="64">
        <f>SUM(BF315:BI315,BK315:BN315)</f>
        <v>0</v>
      </c>
      <c r="BP315" s="62"/>
      <c r="BQ315" s="63"/>
      <c r="BR315" s="63"/>
      <c r="BS315" s="63"/>
      <c r="BT315" s="63"/>
      <c r="BU315" s="63"/>
      <c r="BV315" s="63"/>
      <c r="BW315" s="63"/>
      <c r="BX315" s="63"/>
      <c r="BY315" s="63"/>
      <c r="BZ315" s="64">
        <f>SUM(BQ315:BT315,BV315:BY315)</f>
        <v>0</v>
      </c>
      <c r="CA315" s="62"/>
      <c r="CB315" s="63"/>
      <c r="CC315" s="63"/>
      <c r="CD315" s="63"/>
      <c r="CE315" s="63"/>
      <c r="CF315" s="63"/>
      <c r="CG315" s="63"/>
      <c r="CH315" s="63"/>
      <c r="CI315" s="63"/>
      <c r="CJ315" s="63"/>
      <c r="CK315" s="64">
        <f>SUM(CB315:CE315,CG315:CJ315)</f>
        <v>0</v>
      </c>
      <c r="CL315" s="65">
        <f t="shared" si="2109"/>
        <v>0</v>
      </c>
      <c r="CM315" s="65">
        <f t="shared" si="2109"/>
        <v>0</v>
      </c>
      <c r="CN315" s="65">
        <f t="shared" si="2109"/>
        <v>0</v>
      </c>
      <c r="CO315" s="65">
        <f t="shared" si="2109"/>
        <v>0</v>
      </c>
      <c r="CP315" s="65">
        <f t="shared" si="2109"/>
        <v>0</v>
      </c>
      <c r="CQ315" s="65">
        <f t="shared" si="2109"/>
        <v>0</v>
      </c>
      <c r="CR315" s="65">
        <f t="shared" si="2109"/>
        <v>0</v>
      </c>
      <c r="CS315" s="65">
        <f t="shared" si="2109"/>
        <v>0</v>
      </c>
      <c r="CT315" s="65">
        <f t="shared" si="2109"/>
        <v>0</v>
      </c>
      <c r="CU315" s="65">
        <f t="shared" si="2109"/>
        <v>0</v>
      </c>
      <c r="CV315" s="64">
        <f>SUM(CM315:CP315,CR315:CU315)</f>
        <v>0</v>
      </c>
      <c r="CW315" s="62"/>
      <c r="CX315" s="63"/>
      <c r="CY315" s="63"/>
      <c r="CZ315" s="63"/>
      <c r="DA315" s="63"/>
      <c r="DB315" s="63"/>
      <c r="DC315" s="63"/>
      <c r="DD315" s="63"/>
      <c r="DE315" s="63"/>
      <c r="DF315" s="63"/>
      <c r="DG315" s="64">
        <f>SUM(CX315:DA315,DC315:DF315)</f>
        <v>0</v>
      </c>
      <c r="DH315" s="62"/>
      <c r="DI315" s="63"/>
      <c r="DJ315" s="63"/>
      <c r="DK315" s="63"/>
      <c r="DL315" s="63"/>
      <c r="DM315" s="63"/>
      <c r="DN315" s="63"/>
      <c r="DO315" s="63"/>
      <c r="DP315" s="63"/>
      <c r="DQ315" s="63"/>
      <c r="DR315" s="64">
        <f>SUM(DI315:DL315,DN315:DQ315)</f>
        <v>0</v>
      </c>
      <c r="DS315" s="62"/>
      <c r="DT315" s="63"/>
      <c r="DU315" s="63"/>
      <c r="DV315" s="63"/>
      <c r="DW315" s="63"/>
      <c r="DX315" s="63"/>
      <c r="DY315" s="63"/>
      <c r="DZ315" s="63"/>
      <c r="EA315" s="63"/>
      <c r="EB315" s="63"/>
      <c r="EC315" s="63"/>
      <c r="ED315" s="65">
        <f t="shared" si="2110"/>
        <v>0</v>
      </c>
      <c r="EE315" s="65">
        <f t="shared" si="2110"/>
        <v>0</v>
      </c>
      <c r="EF315" s="65">
        <f t="shared" si="2110"/>
        <v>0</v>
      </c>
      <c r="EG315" s="65">
        <f t="shared" si="2110"/>
        <v>0</v>
      </c>
      <c r="EH315" s="65">
        <f t="shared" si="2110"/>
        <v>0</v>
      </c>
      <c r="EI315" s="65">
        <f t="shared" si="2110"/>
        <v>0</v>
      </c>
      <c r="EJ315" s="65">
        <f t="shared" si="2110"/>
        <v>0</v>
      </c>
      <c r="EK315" s="65">
        <f t="shared" si="2110"/>
        <v>0</v>
      </c>
      <c r="EL315" s="65">
        <f t="shared" si="2110"/>
        <v>0</v>
      </c>
      <c r="EM315" s="65">
        <f t="shared" si="2110"/>
        <v>0</v>
      </c>
      <c r="EN315" s="64">
        <f>SUM(EE315:EH315,EJ315:EM315)</f>
        <v>0</v>
      </c>
      <c r="EO315" s="62"/>
      <c r="EP315" s="63"/>
      <c r="EQ315" s="63"/>
      <c r="ER315" s="63"/>
      <c r="ES315" s="63"/>
      <c r="ET315" s="63"/>
      <c r="EU315" s="63"/>
      <c r="EV315" s="63"/>
      <c r="EW315" s="63"/>
      <c r="EX315" s="63"/>
      <c r="EY315" s="64">
        <f>SUM(EP315:ES315,EU315:EX315)</f>
        <v>0</v>
      </c>
      <c r="EZ315" s="62"/>
      <c r="FA315" s="63"/>
      <c r="FB315" s="63"/>
      <c r="FC315" s="63"/>
      <c r="FD315" s="63"/>
      <c r="FE315" s="63"/>
      <c r="FF315" s="63"/>
      <c r="FG315" s="63"/>
      <c r="FH315" s="63"/>
      <c r="FI315" s="63"/>
      <c r="FJ315" s="64">
        <f>SUM(FA315:FD315,FF315:FI315)</f>
        <v>0</v>
      </c>
      <c r="FK315" s="62"/>
      <c r="FL315" s="63"/>
      <c r="FM315" s="63"/>
      <c r="FN315" s="63"/>
      <c r="FO315" s="63"/>
      <c r="FP315" s="63"/>
      <c r="FQ315" s="63"/>
      <c r="FR315" s="63"/>
      <c r="FS315" s="63"/>
      <c r="FT315" s="63"/>
      <c r="FU315" s="64">
        <f>SUM(FL315:FO315,FQ315:FT315)</f>
        <v>0</v>
      </c>
      <c r="FV315" s="65">
        <f t="shared" si="2111"/>
        <v>0</v>
      </c>
      <c r="FW315" s="65">
        <f t="shared" si="2111"/>
        <v>0</v>
      </c>
      <c r="FX315" s="65">
        <f t="shared" si="2111"/>
        <v>0</v>
      </c>
      <c r="FY315" s="65">
        <f t="shared" si="2111"/>
        <v>0</v>
      </c>
      <c r="FZ315" s="65">
        <f t="shared" si="2111"/>
        <v>0</v>
      </c>
      <c r="GA315" s="65">
        <f t="shared" si="2111"/>
        <v>0</v>
      </c>
      <c r="GB315" s="65">
        <f t="shared" si="2111"/>
        <v>0</v>
      </c>
      <c r="GC315" s="65">
        <f t="shared" si="2111"/>
        <v>0</v>
      </c>
      <c r="GD315" s="65">
        <f t="shared" si="2111"/>
        <v>0</v>
      </c>
      <c r="GE315" s="65">
        <f t="shared" si="2111"/>
        <v>0</v>
      </c>
      <c r="GF315" s="64">
        <f>SUM(FW315:FZ315,GB315:GE315)</f>
        <v>0</v>
      </c>
      <c r="GG315" s="66">
        <f t="shared" si="2112"/>
        <v>0</v>
      </c>
      <c r="GH315" s="66">
        <f t="shared" si="2112"/>
        <v>0</v>
      </c>
      <c r="GI315" s="66">
        <f t="shared" si="2112"/>
        <v>0</v>
      </c>
      <c r="GJ315" s="66">
        <f t="shared" si="2112"/>
        <v>0</v>
      </c>
      <c r="GK315" s="66">
        <f t="shared" si="2112"/>
        <v>0</v>
      </c>
      <c r="GL315" s="66">
        <f t="shared" si="2112"/>
        <v>0</v>
      </c>
      <c r="GM315" s="66">
        <f t="shared" si="2112"/>
        <v>0</v>
      </c>
      <c r="GN315" s="66">
        <f t="shared" si="2112"/>
        <v>0</v>
      </c>
      <c r="GO315" s="66">
        <f t="shared" si="2112"/>
        <v>0</v>
      </c>
      <c r="GP315" s="66">
        <f t="shared" si="2112"/>
        <v>0</v>
      </c>
      <c r="GQ315" s="64">
        <f>SUM(GH315:GK315,GM315:GP315)</f>
        <v>0</v>
      </c>
      <c r="GR315" s="63"/>
      <c r="GS315" s="63"/>
      <c r="GT315" s="63"/>
      <c r="GU315" s="63"/>
      <c r="GV315" s="67">
        <f>SUM(GR315:GU315)</f>
        <v>0</v>
      </c>
      <c r="GW315" s="63"/>
      <c r="GX315" s="63"/>
      <c r="GY315" s="63"/>
      <c r="GZ315" s="63"/>
      <c r="HA315" s="67">
        <f>SUM(GW315:GZ315)</f>
        <v>0</v>
      </c>
      <c r="HB315" s="63"/>
      <c r="HC315" s="63"/>
      <c r="HD315" s="63"/>
      <c r="HE315" s="63"/>
      <c r="HF315" s="67">
        <f>SUM(HB315:HE315)</f>
        <v>0</v>
      </c>
      <c r="HG315" s="63"/>
      <c r="HH315" s="63"/>
      <c r="HI315" s="63"/>
      <c r="HJ315" s="63"/>
      <c r="HK315" s="67">
        <f>SUM(HG315:HJ315)</f>
        <v>0</v>
      </c>
      <c r="HL315" s="68">
        <f t="shared" si="2113"/>
        <v>0</v>
      </c>
      <c r="HM315" s="68">
        <f t="shared" si="2113"/>
        <v>0</v>
      </c>
      <c r="HN315" s="68">
        <f t="shared" si="2113"/>
        <v>0</v>
      </c>
      <c r="HO315" s="68">
        <f t="shared" si="2113"/>
        <v>0</v>
      </c>
      <c r="HP315" s="67">
        <f>SUM(HL315:HO315)</f>
        <v>0</v>
      </c>
      <c r="HQ315" s="63"/>
      <c r="HR315" s="63"/>
      <c r="HS315" s="63"/>
      <c r="HT315" s="63"/>
      <c r="HU315" s="67">
        <f>SUM(HQ315:HT315)</f>
        <v>0</v>
      </c>
      <c r="HV315" s="63"/>
      <c r="HW315" s="63"/>
      <c r="HX315" s="63"/>
      <c r="HY315" s="63"/>
      <c r="HZ315" s="67">
        <f>SUM(HV315:HY315)</f>
        <v>0</v>
      </c>
      <c r="IA315" s="63"/>
      <c r="IB315" s="63"/>
      <c r="IC315" s="63"/>
      <c r="ID315" s="63"/>
      <c r="IE315" s="67">
        <f>SUM(IA315:ID315)</f>
        <v>0</v>
      </c>
      <c r="IF315" s="68">
        <f t="shared" si="2114"/>
        <v>0</v>
      </c>
      <c r="IG315" s="68">
        <f t="shared" si="2114"/>
        <v>0</v>
      </c>
      <c r="IH315" s="68">
        <f t="shared" si="2114"/>
        <v>0</v>
      </c>
      <c r="II315" s="68">
        <f t="shared" si="2114"/>
        <v>0</v>
      </c>
      <c r="IJ315" s="67">
        <f>SUM(IF315:II315)</f>
        <v>0</v>
      </c>
      <c r="IK315" s="63"/>
      <c r="IL315" s="63"/>
      <c r="IM315" s="63"/>
      <c r="IN315" s="63"/>
      <c r="IO315" s="67">
        <f>SUM(IK315:IN315)</f>
        <v>0</v>
      </c>
      <c r="IP315" s="63"/>
      <c r="IQ315" s="63"/>
      <c r="IR315" s="63"/>
      <c r="IS315" s="63"/>
      <c r="IT315" s="67">
        <f>SUM(IP315:IS315)</f>
        <v>0</v>
      </c>
      <c r="IU315" s="63"/>
      <c r="IV315" s="63"/>
    </row>
    <row r="316" spans="1:256" s="78" customFormat="1" x14ac:dyDescent="0.25">
      <c r="A316" s="79" t="s">
        <v>250</v>
      </c>
      <c r="B316" s="80"/>
      <c r="C316" s="81">
        <f t="shared" ref="C316:K316" si="2115">SUM(C317:C319)</f>
        <v>0</v>
      </c>
      <c r="D316" s="81">
        <f t="shared" si="2115"/>
        <v>0</v>
      </c>
      <c r="E316" s="81">
        <f t="shared" si="2115"/>
        <v>0</v>
      </c>
      <c r="F316" s="81">
        <f t="shared" si="2115"/>
        <v>0</v>
      </c>
      <c r="G316" s="81">
        <f t="shared" si="2115"/>
        <v>0</v>
      </c>
      <c r="H316" s="81">
        <f t="shared" si="2115"/>
        <v>0</v>
      </c>
      <c r="I316" s="81">
        <f t="shared" si="2115"/>
        <v>0</v>
      </c>
      <c r="J316" s="81">
        <f t="shared" si="2115"/>
        <v>0</v>
      </c>
      <c r="K316" s="81">
        <f t="shared" si="2115"/>
        <v>0</v>
      </c>
      <c r="L316" s="82">
        <f>SUM(L317:L319)</f>
        <v>0</v>
      </c>
      <c r="M316" s="80"/>
      <c r="N316" s="81">
        <f t="shared" ref="N316:V316" si="2116">SUM(N317:N319)</f>
        <v>0</v>
      </c>
      <c r="O316" s="81">
        <f t="shared" si="2116"/>
        <v>0</v>
      </c>
      <c r="P316" s="81">
        <f t="shared" si="2116"/>
        <v>0</v>
      </c>
      <c r="Q316" s="81">
        <f t="shared" si="2116"/>
        <v>0</v>
      </c>
      <c r="R316" s="81">
        <f t="shared" si="2116"/>
        <v>0</v>
      </c>
      <c r="S316" s="81">
        <f t="shared" si="2116"/>
        <v>0</v>
      </c>
      <c r="T316" s="81">
        <f t="shared" si="2116"/>
        <v>0</v>
      </c>
      <c r="U316" s="81">
        <f t="shared" si="2116"/>
        <v>0</v>
      </c>
      <c r="V316" s="81">
        <f t="shared" si="2116"/>
        <v>0</v>
      </c>
      <c r="W316" s="82">
        <f>SUM(W317:W319)</f>
        <v>0</v>
      </c>
      <c r="X316" s="80"/>
      <c r="Y316" s="81">
        <f t="shared" ref="Y316:AG316" si="2117">SUM(Y317:Y319)</f>
        <v>0</v>
      </c>
      <c r="Z316" s="81">
        <f t="shared" si="2117"/>
        <v>0</v>
      </c>
      <c r="AA316" s="81">
        <f t="shared" si="2117"/>
        <v>0</v>
      </c>
      <c r="AB316" s="81">
        <f t="shared" si="2117"/>
        <v>0</v>
      </c>
      <c r="AC316" s="81">
        <f t="shared" si="2117"/>
        <v>0</v>
      </c>
      <c r="AD316" s="81">
        <f t="shared" si="2117"/>
        <v>0</v>
      </c>
      <c r="AE316" s="81">
        <f t="shared" si="2117"/>
        <v>0</v>
      </c>
      <c r="AF316" s="81">
        <f t="shared" si="2117"/>
        <v>0</v>
      </c>
      <c r="AG316" s="81">
        <f t="shared" si="2117"/>
        <v>0</v>
      </c>
      <c r="AH316" s="82">
        <f>SUM(AH317:AH319)</f>
        <v>0</v>
      </c>
      <c r="AI316" s="80"/>
      <c r="AJ316" s="81">
        <f t="shared" ref="AJ316:AR316" si="2118">SUM(AJ317:AJ319)</f>
        <v>0</v>
      </c>
      <c r="AK316" s="81">
        <f t="shared" si="2118"/>
        <v>0</v>
      </c>
      <c r="AL316" s="81">
        <f t="shared" si="2118"/>
        <v>0</v>
      </c>
      <c r="AM316" s="81">
        <f t="shared" si="2118"/>
        <v>0</v>
      </c>
      <c r="AN316" s="81">
        <f t="shared" si="2118"/>
        <v>0</v>
      </c>
      <c r="AO316" s="81">
        <f t="shared" si="2118"/>
        <v>0</v>
      </c>
      <c r="AP316" s="81">
        <f t="shared" si="2118"/>
        <v>0</v>
      </c>
      <c r="AQ316" s="81">
        <f t="shared" si="2118"/>
        <v>0</v>
      </c>
      <c r="AR316" s="81">
        <f t="shared" si="2118"/>
        <v>0</v>
      </c>
      <c r="AS316" s="82">
        <f>SUM(AS317:AS319)</f>
        <v>0</v>
      </c>
      <c r="AT316" s="80"/>
      <c r="AU316" s="81">
        <f>SUM(AU317:AU319)</f>
        <v>0</v>
      </c>
      <c r="AV316" s="81">
        <f t="shared" ref="AV316:BC316" si="2119">SUM(AV317:AV319)</f>
        <v>0</v>
      </c>
      <c r="AW316" s="81">
        <f t="shared" si="2119"/>
        <v>0</v>
      </c>
      <c r="AX316" s="81">
        <f t="shared" si="2119"/>
        <v>0</v>
      </c>
      <c r="AY316" s="81">
        <f t="shared" si="2119"/>
        <v>0</v>
      </c>
      <c r="AZ316" s="81">
        <f t="shared" si="2119"/>
        <v>0</v>
      </c>
      <c r="BA316" s="81">
        <f t="shared" si="2119"/>
        <v>0</v>
      </c>
      <c r="BB316" s="81">
        <f t="shared" si="2119"/>
        <v>0</v>
      </c>
      <c r="BC316" s="81">
        <f t="shared" si="2119"/>
        <v>0</v>
      </c>
      <c r="BD316" s="82">
        <f>SUM(BD317:BD319)</f>
        <v>0</v>
      </c>
      <c r="BE316" s="80"/>
      <c r="BF316" s="81">
        <f t="shared" ref="BF316:BN316" si="2120">SUM(BF317:BF319)</f>
        <v>0</v>
      </c>
      <c r="BG316" s="81">
        <f t="shared" si="2120"/>
        <v>0</v>
      </c>
      <c r="BH316" s="81">
        <f t="shared" si="2120"/>
        <v>0</v>
      </c>
      <c r="BI316" s="81">
        <f t="shared" si="2120"/>
        <v>0</v>
      </c>
      <c r="BJ316" s="81">
        <f t="shared" si="2120"/>
        <v>0</v>
      </c>
      <c r="BK316" s="81">
        <f t="shared" si="2120"/>
        <v>0</v>
      </c>
      <c r="BL316" s="81">
        <f t="shared" si="2120"/>
        <v>0</v>
      </c>
      <c r="BM316" s="81">
        <f t="shared" si="2120"/>
        <v>0</v>
      </c>
      <c r="BN316" s="81">
        <f t="shared" si="2120"/>
        <v>0</v>
      </c>
      <c r="BO316" s="82">
        <f>SUM(BO317:BO319)</f>
        <v>0</v>
      </c>
      <c r="BP316" s="80"/>
      <c r="BQ316" s="81">
        <f t="shared" ref="BQ316:BY316" si="2121">SUM(BQ317:BQ319)</f>
        <v>0</v>
      </c>
      <c r="BR316" s="81">
        <f t="shared" si="2121"/>
        <v>0</v>
      </c>
      <c r="BS316" s="81">
        <f t="shared" si="2121"/>
        <v>0</v>
      </c>
      <c r="BT316" s="81">
        <f t="shared" si="2121"/>
        <v>0</v>
      </c>
      <c r="BU316" s="81">
        <f t="shared" si="2121"/>
        <v>0</v>
      </c>
      <c r="BV316" s="81">
        <f t="shared" si="2121"/>
        <v>0</v>
      </c>
      <c r="BW316" s="81">
        <f t="shared" si="2121"/>
        <v>0</v>
      </c>
      <c r="BX316" s="81">
        <f t="shared" si="2121"/>
        <v>0</v>
      </c>
      <c r="BY316" s="81">
        <f t="shared" si="2121"/>
        <v>0</v>
      </c>
      <c r="BZ316" s="82">
        <f>SUM(BZ317:BZ319)</f>
        <v>0</v>
      </c>
      <c r="CA316" s="80"/>
      <c r="CB316" s="81">
        <f t="shared" ref="CB316:CJ316" si="2122">SUM(CB317:CB319)</f>
        <v>0</v>
      </c>
      <c r="CC316" s="81">
        <f t="shared" si="2122"/>
        <v>0</v>
      </c>
      <c r="CD316" s="81">
        <f t="shared" si="2122"/>
        <v>0</v>
      </c>
      <c r="CE316" s="81">
        <f t="shared" si="2122"/>
        <v>0</v>
      </c>
      <c r="CF316" s="81">
        <f t="shared" si="2122"/>
        <v>0</v>
      </c>
      <c r="CG316" s="81">
        <f t="shared" si="2122"/>
        <v>0</v>
      </c>
      <c r="CH316" s="81">
        <f t="shared" si="2122"/>
        <v>0</v>
      </c>
      <c r="CI316" s="81">
        <f t="shared" si="2122"/>
        <v>0</v>
      </c>
      <c r="CJ316" s="81">
        <f t="shared" si="2122"/>
        <v>0</v>
      </c>
      <c r="CK316" s="82">
        <f>SUM(CK317:CK319)</f>
        <v>0</v>
      </c>
      <c r="CL316" s="80"/>
      <c r="CM316" s="81">
        <f>SUM(CM317:CM319)</f>
        <v>0</v>
      </c>
      <c r="CN316" s="81">
        <f t="shared" ref="CN316:CU316" si="2123">SUM(CN317:CN319)</f>
        <v>0</v>
      </c>
      <c r="CO316" s="81">
        <f t="shared" si="2123"/>
        <v>0</v>
      </c>
      <c r="CP316" s="81">
        <f t="shared" si="2123"/>
        <v>0</v>
      </c>
      <c r="CQ316" s="81">
        <f t="shared" si="2123"/>
        <v>0</v>
      </c>
      <c r="CR316" s="81">
        <f t="shared" si="2123"/>
        <v>0</v>
      </c>
      <c r="CS316" s="81">
        <f t="shared" si="2123"/>
        <v>0</v>
      </c>
      <c r="CT316" s="81">
        <f t="shared" si="2123"/>
        <v>0</v>
      </c>
      <c r="CU316" s="81">
        <f t="shared" si="2123"/>
        <v>0</v>
      </c>
      <c r="CV316" s="82">
        <f>SUM(CV317:CV319)</f>
        <v>0</v>
      </c>
      <c r="CW316" s="80"/>
      <c r="CX316" s="81">
        <f t="shared" ref="CX316:DF316" si="2124">SUM(CX317:CX319)</f>
        <v>0</v>
      </c>
      <c r="CY316" s="81">
        <f t="shared" si="2124"/>
        <v>0</v>
      </c>
      <c r="CZ316" s="81">
        <f t="shared" si="2124"/>
        <v>0</v>
      </c>
      <c r="DA316" s="81">
        <f t="shared" si="2124"/>
        <v>0</v>
      </c>
      <c r="DB316" s="81">
        <f t="shared" si="2124"/>
        <v>0</v>
      </c>
      <c r="DC316" s="81">
        <f t="shared" si="2124"/>
        <v>0</v>
      </c>
      <c r="DD316" s="81">
        <f t="shared" si="2124"/>
        <v>0</v>
      </c>
      <c r="DE316" s="81">
        <f t="shared" si="2124"/>
        <v>0</v>
      </c>
      <c r="DF316" s="81">
        <f t="shared" si="2124"/>
        <v>0</v>
      </c>
      <c r="DG316" s="82">
        <f>SUM(DG317:DG319)</f>
        <v>0</v>
      </c>
      <c r="DH316" s="80"/>
      <c r="DI316" s="81">
        <f t="shared" ref="DI316:DQ316" si="2125">SUM(DI317:DI319)</f>
        <v>0</v>
      </c>
      <c r="DJ316" s="81">
        <f t="shared" si="2125"/>
        <v>0</v>
      </c>
      <c r="DK316" s="81">
        <f t="shared" si="2125"/>
        <v>0</v>
      </c>
      <c r="DL316" s="81">
        <f t="shared" si="2125"/>
        <v>0</v>
      </c>
      <c r="DM316" s="81">
        <f t="shared" si="2125"/>
        <v>0</v>
      </c>
      <c r="DN316" s="81">
        <f t="shared" si="2125"/>
        <v>0</v>
      </c>
      <c r="DO316" s="81">
        <f t="shared" si="2125"/>
        <v>0</v>
      </c>
      <c r="DP316" s="81">
        <f t="shared" si="2125"/>
        <v>0</v>
      </c>
      <c r="DQ316" s="81">
        <f t="shared" si="2125"/>
        <v>0</v>
      </c>
      <c r="DR316" s="82">
        <f>SUM(DR317:DR319)</f>
        <v>0</v>
      </c>
      <c r="DS316" s="80"/>
      <c r="DT316" s="81">
        <f t="shared" ref="DT316:EB316" si="2126">SUM(DT317:DT319)</f>
        <v>0</v>
      </c>
      <c r="DU316" s="81">
        <f t="shared" si="2126"/>
        <v>0</v>
      </c>
      <c r="DV316" s="81">
        <f t="shared" si="2126"/>
        <v>0</v>
      </c>
      <c r="DW316" s="81">
        <f t="shared" si="2126"/>
        <v>0</v>
      </c>
      <c r="DX316" s="81">
        <f t="shared" si="2126"/>
        <v>0</v>
      </c>
      <c r="DY316" s="81">
        <f t="shared" si="2126"/>
        <v>0</v>
      </c>
      <c r="DZ316" s="81">
        <f t="shared" si="2126"/>
        <v>0</v>
      </c>
      <c r="EA316" s="81">
        <f t="shared" si="2126"/>
        <v>0</v>
      </c>
      <c r="EB316" s="81">
        <f t="shared" si="2126"/>
        <v>0</v>
      </c>
      <c r="EC316" s="81">
        <f>SUM(EC317:EC319)</f>
        <v>0</v>
      </c>
      <c r="ED316" s="80"/>
      <c r="EE316" s="81">
        <f>SUM(EE317:EE319)</f>
        <v>0</v>
      </c>
      <c r="EF316" s="81">
        <f t="shared" ref="EF316:EM316" si="2127">SUM(EF317:EF319)</f>
        <v>0</v>
      </c>
      <c r="EG316" s="81">
        <f t="shared" si="2127"/>
        <v>0</v>
      </c>
      <c r="EH316" s="81">
        <f t="shared" si="2127"/>
        <v>0</v>
      </c>
      <c r="EI316" s="81">
        <f t="shared" si="2127"/>
        <v>0</v>
      </c>
      <c r="EJ316" s="81">
        <f t="shared" si="2127"/>
        <v>0</v>
      </c>
      <c r="EK316" s="81">
        <f t="shared" si="2127"/>
        <v>0</v>
      </c>
      <c r="EL316" s="81">
        <f t="shared" si="2127"/>
        <v>0</v>
      </c>
      <c r="EM316" s="81">
        <f t="shared" si="2127"/>
        <v>0</v>
      </c>
      <c r="EN316" s="82">
        <f>SUM(EN317:EN319)</f>
        <v>0</v>
      </c>
      <c r="EO316" s="80"/>
      <c r="EP316" s="81">
        <f t="shared" ref="EP316:EX316" si="2128">SUM(EP317:EP319)</f>
        <v>0</v>
      </c>
      <c r="EQ316" s="81">
        <f t="shared" si="2128"/>
        <v>0</v>
      </c>
      <c r="ER316" s="81">
        <f t="shared" si="2128"/>
        <v>0</v>
      </c>
      <c r="ES316" s="81">
        <f t="shared" si="2128"/>
        <v>0</v>
      </c>
      <c r="ET316" s="81">
        <f t="shared" si="2128"/>
        <v>0</v>
      </c>
      <c r="EU316" s="81">
        <f t="shared" si="2128"/>
        <v>0</v>
      </c>
      <c r="EV316" s="81">
        <f t="shared" si="2128"/>
        <v>0</v>
      </c>
      <c r="EW316" s="81">
        <f t="shared" si="2128"/>
        <v>0</v>
      </c>
      <c r="EX316" s="81">
        <f t="shared" si="2128"/>
        <v>0</v>
      </c>
      <c r="EY316" s="82">
        <f>SUM(EY317:EY319)</f>
        <v>0</v>
      </c>
      <c r="EZ316" s="80"/>
      <c r="FA316" s="81">
        <f t="shared" ref="FA316:FI316" si="2129">SUM(FA317:FA319)</f>
        <v>0</v>
      </c>
      <c r="FB316" s="81">
        <f t="shared" si="2129"/>
        <v>0</v>
      </c>
      <c r="FC316" s="81">
        <f t="shared" si="2129"/>
        <v>0</v>
      </c>
      <c r="FD316" s="81">
        <f t="shared" si="2129"/>
        <v>0</v>
      </c>
      <c r="FE316" s="81">
        <f t="shared" si="2129"/>
        <v>0</v>
      </c>
      <c r="FF316" s="81">
        <f t="shared" si="2129"/>
        <v>0</v>
      </c>
      <c r="FG316" s="81">
        <f t="shared" si="2129"/>
        <v>0</v>
      </c>
      <c r="FH316" s="81">
        <f t="shared" si="2129"/>
        <v>0</v>
      </c>
      <c r="FI316" s="81">
        <f t="shared" si="2129"/>
        <v>0</v>
      </c>
      <c r="FJ316" s="82">
        <f>SUM(FJ317:FJ319)</f>
        <v>0</v>
      </c>
      <c r="FK316" s="80"/>
      <c r="FL316" s="81">
        <f t="shared" ref="FL316:FT316" si="2130">SUM(FL317:FL319)</f>
        <v>0</v>
      </c>
      <c r="FM316" s="81">
        <f t="shared" si="2130"/>
        <v>0</v>
      </c>
      <c r="FN316" s="81">
        <f t="shared" si="2130"/>
        <v>0</v>
      </c>
      <c r="FO316" s="81">
        <f t="shared" si="2130"/>
        <v>0</v>
      </c>
      <c r="FP316" s="81">
        <f t="shared" si="2130"/>
        <v>0</v>
      </c>
      <c r="FQ316" s="81">
        <f t="shared" si="2130"/>
        <v>0</v>
      </c>
      <c r="FR316" s="81">
        <f t="shared" si="2130"/>
        <v>0</v>
      </c>
      <c r="FS316" s="81">
        <f t="shared" si="2130"/>
        <v>0</v>
      </c>
      <c r="FT316" s="81">
        <f t="shared" si="2130"/>
        <v>0</v>
      </c>
      <c r="FU316" s="82">
        <f>SUM(FU317:FU319)</f>
        <v>0</v>
      </c>
      <c r="FV316" s="80"/>
      <c r="FW316" s="81">
        <f>SUM(FW317:FW319)</f>
        <v>0</v>
      </c>
      <c r="FX316" s="81">
        <f t="shared" ref="FX316:GE316" si="2131">SUM(FX317:FX319)</f>
        <v>0</v>
      </c>
      <c r="FY316" s="81">
        <f t="shared" si="2131"/>
        <v>0</v>
      </c>
      <c r="FZ316" s="81">
        <f t="shared" si="2131"/>
        <v>0</v>
      </c>
      <c r="GA316" s="81">
        <f t="shared" si="2131"/>
        <v>0</v>
      </c>
      <c r="GB316" s="81">
        <f t="shared" si="2131"/>
        <v>0</v>
      </c>
      <c r="GC316" s="81">
        <f t="shared" si="2131"/>
        <v>0</v>
      </c>
      <c r="GD316" s="81">
        <f t="shared" si="2131"/>
        <v>0</v>
      </c>
      <c r="GE316" s="81">
        <f t="shared" si="2131"/>
        <v>0</v>
      </c>
      <c r="GF316" s="82">
        <f>SUM(GF317:GF319)</f>
        <v>0</v>
      </c>
      <c r="GG316" s="80"/>
      <c r="GH316" s="81">
        <f t="shared" ref="GH316:GP316" si="2132">SUM(GH317:GH319)</f>
        <v>0</v>
      </c>
      <c r="GI316" s="81">
        <f t="shared" si="2132"/>
        <v>0</v>
      </c>
      <c r="GJ316" s="81">
        <f t="shared" si="2132"/>
        <v>0</v>
      </c>
      <c r="GK316" s="81">
        <f t="shared" si="2132"/>
        <v>0</v>
      </c>
      <c r="GL316" s="81">
        <f t="shared" si="2132"/>
        <v>0</v>
      </c>
      <c r="GM316" s="81">
        <f t="shared" si="2132"/>
        <v>0</v>
      </c>
      <c r="GN316" s="81">
        <f t="shared" si="2132"/>
        <v>0</v>
      </c>
      <c r="GO316" s="81">
        <f t="shared" si="2132"/>
        <v>0</v>
      </c>
      <c r="GP316" s="81">
        <f t="shared" si="2132"/>
        <v>0</v>
      </c>
      <c r="GQ316" s="82">
        <f t="shared" ref="GQ316:HV316" si="2133">SUM(GQ317:GQ319)</f>
        <v>0</v>
      </c>
      <c r="GR316" s="81">
        <f t="shared" si="2133"/>
        <v>0</v>
      </c>
      <c r="GS316" s="81">
        <f t="shared" si="2133"/>
        <v>0</v>
      </c>
      <c r="GT316" s="81">
        <f t="shared" si="2133"/>
        <v>0</v>
      </c>
      <c r="GU316" s="81">
        <f t="shared" si="2133"/>
        <v>0</v>
      </c>
      <c r="GV316" s="81">
        <f t="shared" si="2133"/>
        <v>0</v>
      </c>
      <c r="GW316" s="81">
        <f t="shared" si="2133"/>
        <v>0</v>
      </c>
      <c r="GX316" s="81">
        <f t="shared" si="2133"/>
        <v>0</v>
      </c>
      <c r="GY316" s="81">
        <f t="shared" si="2133"/>
        <v>0</v>
      </c>
      <c r="GZ316" s="81">
        <f t="shared" si="2133"/>
        <v>0</v>
      </c>
      <c r="HA316" s="81">
        <f t="shared" si="2133"/>
        <v>0</v>
      </c>
      <c r="HB316" s="81">
        <f t="shared" si="2133"/>
        <v>0</v>
      </c>
      <c r="HC316" s="81">
        <f t="shared" si="2133"/>
        <v>0</v>
      </c>
      <c r="HD316" s="81">
        <f t="shared" si="2133"/>
        <v>0</v>
      </c>
      <c r="HE316" s="81">
        <f t="shared" si="2133"/>
        <v>0</v>
      </c>
      <c r="HF316" s="81">
        <f t="shared" si="2133"/>
        <v>0</v>
      </c>
      <c r="HG316" s="81">
        <f t="shared" si="2133"/>
        <v>0</v>
      </c>
      <c r="HH316" s="81">
        <f t="shared" si="2133"/>
        <v>0</v>
      </c>
      <c r="HI316" s="81">
        <f t="shared" si="2133"/>
        <v>0</v>
      </c>
      <c r="HJ316" s="81">
        <f t="shared" si="2133"/>
        <v>0</v>
      </c>
      <c r="HK316" s="81">
        <f t="shared" si="2133"/>
        <v>0</v>
      </c>
      <c r="HL316" s="81">
        <f t="shared" si="2133"/>
        <v>0</v>
      </c>
      <c r="HM316" s="81">
        <f t="shared" si="2133"/>
        <v>0</v>
      </c>
      <c r="HN316" s="81">
        <f t="shared" si="2133"/>
        <v>0</v>
      </c>
      <c r="HO316" s="81">
        <f t="shared" si="2133"/>
        <v>0</v>
      </c>
      <c r="HP316" s="81">
        <f t="shared" si="2133"/>
        <v>0</v>
      </c>
      <c r="HQ316" s="81">
        <f t="shared" si="2133"/>
        <v>0</v>
      </c>
      <c r="HR316" s="81">
        <f t="shared" si="2133"/>
        <v>0</v>
      </c>
      <c r="HS316" s="81">
        <f t="shared" si="2133"/>
        <v>0</v>
      </c>
      <c r="HT316" s="81">
        <f t="shared" si="2133"/>
        <v>0</v>
      </c>
      <c r="HU316" s="81">
        <f t="shared" si="2133"/>
        <v>0</v>
      </c>
      <c r="HV316" s="81">
        <f t="shared" si="2133"/>
        <v>0</v>
      </c>
      <c r="HW316" s="81">
        <f t="shared" ref="HW316:IV316" si="2134">SUM(HW317:HW319)</f>
        <v>0</v>
      </c>
      <c r="HX316" s="81">
        <f t="shared" si="2134"/>
        <v>0</v>
      </c>
      <c r="HY316" s="81">
        <f t="shared" si="2134"/>
        <v>0</v>
      </c>
      <c r="HZ316" s="81">
        <f t="shared" si="2134"/>
        <v>0</v>
      </c>
      <c r="IA316" s="81">
        <f t="shared" si="2134"/>
        <v>0</v>
      </c>
      <c r="IB316" s="81">
        <f t="shared" si="2134"/>
        <v>0</v>
      </c>
      <c r="IC316" s="81">
        <f t="shared" si="2134"/>
        <v>0</v>
      </c>
      <c r="ID316" s="81">
        <f t="shared" si="2134"/>
        <v>0</v>
      </c>
      <c r="IE316" s="81">
        <f t="shared" si="2134"/>
        <v>0</v>
      </c>
      <c r="IF316" s="81">
        <f t="shared" si="2134"/>
        <v>0</v>
      </c>
      <c r="IG316" s="81">
        <f t="shared" si="2134"/>
        <v>0</v>
      </c>
      <c r="IH316" s="81">
        <f t="shared" si="2134"/>
        <v>0</v>
      </c>
      <c r="II316" s="81">
        <f t="shared" si="2134"/>
        <v>0</v>
      </c>
      <c r="IJ316" s="81">
        <f t="shared" si="2134"/>
        <v>0</v>
      </c>
      <c r="IK316" s="81">
        <f t="shared" si="2134"/>
        <v>0</v>
      </c>
      <c r="IL316" s="81">
        <f t="shared" si="2134"/>
        <v>0</v>
      </c>
      <c r="IM316" s="81">
        <f t="shared" si="2134"/>
        <v>0</v>
      </c>
      <c r="IN316" s="81">
        <f t="shared" si="2134"/>
        <v>0</v>
      </c>
      <c r="IO316" s="81">
        <f t="shared" si="2134"/>
        <v>0</v>
      </c>
      <c r="IP316" s="81">
        <f t="shared" si="2134"/>
        <v>0</v>
      </c>
      <c r="IQ316" s="81">
        <f t="shared" si="2134"/>
        <v>0</v>
      </c>
      <c r="IR316" s="81">
        <f t="shared" si="2134"/>
        <v>0</v>
      </c>
      <c r="IS316" s="81">
        <f t="shared" si="2134"/>
        <v>0</v>
      </c>
      <c r="IT316" s="81">
        <f t="shared" si="2134"/>
        <v>0</v>
      </c>
      <c r="IU316" s="81">
        <f t="shared" si="2134"/>
        <v>0</v>
      </c>
      <c r="IV316" s="81">
        <f t="shared" si="2134"/>
        <v>0</v>
      </c>
    </row>
    <row r="317" spans="1:256" x14ac:dyDescent="0.25">
      <c r="A317" s="84" t="s">
        <v>251</v>
      </c>
      <c r="B317" s="62"/>
      <c r="C317" s="63"/>
      <c r="D317" s="63"/>
      <c r="E317" s="63"/>
      <c r="F317" s="63"/>
      <c r="G317" s="63"/>
      <c r="H317" s="63"/>
      <c r="I317" s="63"/>
      <c r="J317" s="63"/>
      <c r="K317" s="63"/>
      <c r="L317" s="64">
        <f>SUM(C317:F317,H317:K317)</f>
        <v>0</v>
      </c>
      <c r="M317" s="62"/>
      <c r="N317" s="63"/>
      <c r="O317" s="63"/>
      <c r="P317" s="63"/>
      <c r="Q317" s="63"/>
      <c r="R317" s="63"/>
      <c r="S317" s="63"/>
      <c r="T317" s="63"/>
      <c r="U317" s="63"/>
      <c r="V317" s="63"/>
      <c r="W317" s="64">
        <f>SUM(N317:Q317,S317:V317)</f>
        <v>0</v>
      </c>
      <c r="X317" s="62"/>
      <c r="Y317" s="63"/>
      <c r="Z317" s="63"/>
      <c r="AA317" s="63"/>
      <c r="AB317" s="63"/>
      <c r="AC317" s="63"/>
      <c r="AD317" s="63"/>
      <c r="AE317" s="63"/>
      <c r="AF317" s="63"/>
      <c r="AG317" s="63"/>
      <c r="AH317" s="64">
        <f>SUM(Y317:AB317,AD317:AG317)</f>
        <v>0</v>
      </c>
      <c r="AI317" s="62"/>
      <c r="AJ317" s="63"/>
      <c r="AK317" s="63"/>
      <c r="AL317" s="63"/>
      <c r="AM317" s="63"/>
      <c r="AN317" s="63"/>
      <c r="AO317" s="63"/>
      <c r="AP317" s="63"/>
      <c r="AQ317" s="63"/>
      <c r="AR317" s="63"/>
      <c r="AS317" s="64">
        <f>SUM(AJ317:AM317,AO317:AR317)</f>
        <v>0</v>
      </c>
      <c r="AT317" s="65">
        <f t="shared" ref="AT317:BC319" si="2135">SUM(M317,AI317,X317)</f>
        <v>0</v>
      </c>
      <c r="AU317" s="65">
        <f t="shared" si="2135"/>
        <v>0</v>
      </c>
      <c r="AV317" s="65">
        <f t="shared" si="2135"/>
        <v>0</v>
      </c>
      <c r="AW317" s="65">
        <f t="shared" si="2135"/>
        <v>0</v>
      </c>
      <c r="AX317" s="65">
        <f t="shared" si="2135"/>
        <v>0</v>
      </c>
      <c r="AY317" s="65">
        <f t="shared" si="2135"/>
        <v>0</v>
      </c>
      <c r="AZ317" s="65">
        <f t="shared" si="2135"/>
        <v>0</v>
      </c>
      <c r="BA317" s="65">
        <f t="shared" si="2135"/>
        <v>0</v>
      </c>
      <c r="BB317" s="65">
        <f t="shared" si="2135"/>
        <v>0</v>
      </c>
      <c r="BC317" s="65">
        <f t="shared" si="2135"/>
        <v>0</v>
      </c>
      <c r="BD317" s="64">
        <f>SUM(AU317:AX317,AZ317:BC317)</f>
        <v>0</v>
      </c>
      <c r="BE317" s="62"/>
      <c r="BF317" s="63"/>
      <c r="BG317" s="63"/>
      <c r="BH317" s="63"/>
      <c r="BI317" s="63"/>
      <c r="BJ317" s="63"/>
      <c r="BK317" s="63"/>
      <c r="BL317" s="63"/>
      <c r="BM317" s="63"/>
      <c r="BN317" s="63"/>
      <c r="BO317" s="64">
        <f>SUM(BF317:BI317,BK317:BN317)</f>
        <v>0</v>
      </c>
      <c r="BP317" s="62"/>
      <c r="BQ317" s="63"/>
      <c r="BR317" s="63"/>
      <c r="BS317" s="63"/>
      <c r="BT317" s="63"/>
      <c r="BU317" s="63"/>
      <c r="BV317" s="63"/>
      <c r="BW317" s="63"/>
      <c r="BX317" s="63"/>
      <c r="BY317" s="63"/>
      <c r="BZ317" s="64">
        <f>SUM(BQ317:BT317,BV317:BY317)</f>
        <v>0</v>
      </c>
      <c r="CA317" s="62"/>
      <c r="CB317" s="63"/>
      <c r="CC317" s="63"/>
      <c r="CD317" s="63"/>
      <c r="CE317" s="63"/>
      <c r="CF317" s="63"/>
      <c r="CG317" s="63"/>
      <c r="CH317" s="63"/>
      <c r="CI317" s="63"/>
      <c r="CJ317" s="63"/>
      <c r="CK317" s="64">
        <f>SUM(CB317:CE317,CG317:CJ317)</f>
        <v>0</v>
      </c>
      <c r="CL317" s="65">
        <f t="shared" ref="CL317:CU319" si="2136">SUM(BE317,CA317,BP317)</f>
        <v>0</v>
      </c>
      <c r="CM317" s="65">
        <f t="shared" si="2136"/>
        <v>0</v>
      </c>
      <c r="CN317" s="65">
        <f t="shared" si="2136"/>
        <v>0</v>
      </c>
      <c r="CO317" s="65">
        <f t="shared" si="2136"/>
        <v>0</v>
      </c>
      <c r="CP317" s="65">
        <f t="shared" si="2136"/>
        <v>0</v>
      </c>
      <c r="CQ317" s="65">
        <f t="shared" si="2136"/>
        <v>0</v>
      </c>
      <c r="CR317" s="65">
        <f t="shared" si="2136"/>
        <v>0</v>
      </c>
      <c r="CS317" s="65">
        <f t="shared" si="2136"/>
        <v>0</v>
      </c>
      <c r="CT317" s="65">
        <f t="shared" si="2136"/>
        <v>0</v>
      </c>
      <c r="CU317" s="65">
        <f t="shared" si="2136"/>
        <v>0</v>
      </c>
      <c r="CV317" s="64">
        <f>SUM(CM317:CP317,CR317:CU317)</f>
        <v>0</v>
      </c>
      <c r="CW317" s="62"/>
      <c r="CX317" s="63"/>
      <c r="CY317" s="63"/>
      <c r="CZ317" s="63"/>
      <c r="DA317" s="63"/>
      <c r="DB317" s="63"/>
      <c r="DC317" s="63"/>
      <c r="DD317" s="63"/>
      <c r="DE317" s="63"/>
      <c r="DF317" s="63"/>
      <c r="DG317" s="64">
        <f>SUM(CX317:DA317,DC317:DF317)</f>
        <v>0</v>
      </c>
      <c r="DH317" s="62"/>
      <c r="DI317" s="63"/>
      <c r="DJ317" s="63"/>
      <c r="DK317" s="63"/>
      <c r="DL317" s="63"/>
      <c r="DM317" s="63"/>
      <c r="DN317" s="63"/>
      <c r="DO317" s="63"/>
      <c r="DP317" s="63"/>
      <c r="DQ317" s="63"/>
      <c r="DR317" s="64">
        <f>SUM(DI317:DL317,DN317:DQ317)</f>
        <v>0</v>
      </c>
      <c r="DS317" s="62"/>
      <c r="DT317" s="63"/>
      <c r="DU317" s="63"/>
      <c r="DV317" s="63"/>
      <c r="DW317" s="63"/>
      <c r="DX317" s="63"/>
      <c r="DY317" s="63"/>
      <c r="DZ317" s="63"/>
      <c r="EA317" s="63"/>
      <c r="EB317" s="63"/>
      <c r="EC317" s="63"/>
      <c r="ED317" s="65">
        <f t="shared" ref="ED317:EM319" si="2137">SUM(CW317,DS317,DH317)</f>
        <v>0</v>
      </c>
      <c r="EE317" s="65">
        <f t="shared" si="2137"/>
        <v>0</v>
      </c>
      <c r="EF317" s="65">
        <f t="shared" si="2137"/>
        <v>0</v>
      </c>
      <c r="EG317" s="65">
        <f t="shared" si="2137"/>
        <v>0</v>
      </c>
      <c r="EH317" s="65">
        <f t="shared" si="2137"/>
        <v>0</v>
      </c>
      <c r="EI317" s="65">
        <f t="shared" si="2137"/>
        <v>0</v>
      </c>
      <c r="EJ317" s="65">
        <f t="shared" si="2137"/>
        <v>0</v>
      </c>
      <c r="EK317" s="65">
        <f t="shared" si="2137"/>
        <v>0</v>
      </c>
      <c r="EL317" s="65">
        <f t="shared" si="2137"/>
        <v>0</v>
      </c>
      <c r="EM317" s="65">
        <f t="shared" si="2137"/>
        <v>0</v>
      </c>
      <c r="EN317" s="64">
        <f>SUM(EE317:EH317,EJ317:EM317)</f>
        <v>0</v>
      </c>
      <c r="EO317" s="62"/>
      <c r="EP317" s="63"/>
      <c r="EQ317" s="63"/>
      <c r="ER317" s="63"/>
      <c r="ES317" s="63"/>
      <c r="ET317" s="63"/>
      <c r="EU317" s="63"/>
      <c r="EV317" s="63"/>
      <c r="EW317" s="63"/>
      <c r="EX317" s="63"/>
      <c r="EY317" s="64">
        <f>SUM(EP317:ES317,EU317:EX317)</f>
        <v>0</v>
      </c>
      <c r="EZ317" s="62"/>
      <c r="FA317" s="63"/>
      <c r="FB317" s="63"/>
      <c r="FC317" s="63"/>
      <c r="FD317" s="63"/>
      <c r="FE317" s="63"/>
      <c r="FF317" s="63"/>
      <c r="FG317" s="63"/>
      <c r="FH317" s="63"/>
      <c r="FI317" s="63"/>
      <c r="FJ317" s="64">
        <f>SUM(FA317:FD317,FF317:FI317)</f>
        <v>0</v>
      </c>
      <c r="FK317" s="62"/>
      <c r="FL317" s="63"/>
      <c r="FM317" s="63"/>
      <c r="FN317" s="63"/>
      <c r="FO317" s="63"/>
      <c r="FP317" s="63"/>
      <c r="FQ317" s="63"/>
      <c r="FR317" s="63"/>
      <c r="FS317" s="63"/>
      <c r="FT317" s="63"/>
      <c r="FU317" s="64">
        <f>SUM(FL317:FO317,FQ317:FT317)</f>
        <v>0</v>
      </c>
      <c r="FV317" s="65">
        <f t="shared" ref="FV317:GE319" si="2138">SUM(EO317,FK317,EZ317)</f>
        <v>0</v>
      </c>
      <c r="FW317" s="65">
        <f t="shared" si="2138"/>
        <v>0</v>
      </c>
      <c r="FX317" s="65">
        <f t="shared" si="2138"/>
        <v>0</v>
      </c>
      <c r="FY317" s="65">
        <f t="shared" si="2138"/>
        <v>0</v>
      </c>
      <c r="FZ317" s="65">
        <f t="shared" si="2138"/>
        <v>0</v>
      </c>
      <c r="GA317" s="65">
        <f t="shared" si="2138"/>
        <v>0</v>
      </c>
      <c r="GB317" s="65">
        <f t="shared" si="2138"/>
        <v>0</v>
      </c>
      <c r="GC317" s="65">
        <f t="shared" si="2138"/>
        <v>0</v>
      </c>
      <c r="GD317" s="65">
        <f t="shared" si="2138"/>
        <v>0</v>
      </c>
      <c r="GE317" s="65">
        <f t="shared" si="2138"/>
        <v>0</v>
      </c>
      <c r="GF317" s="64">
        <f>SUM(FW317:FZ317,GB317:GE317)</f>
        <v>0</v>
      </c>
      <c r="GG317" s="66">
        <f t="shared" ref="GG317:GP319" si="2139">SUM(AT317,CL317,ED317,FV317)</f>
        <v>0</v>
      </c>
      <c r="GH317" s="66">
        <f t="shared" si="2139"/>
        <v>0</v>
      </c>
      <c r="GI317" s="66">
        <f t="shared" si="2139"/>
        <v>0</v>
      </c>
      <c r="GJ317" s="66">
        <f t="shared" si="2139"/>
        <v>0</v>
      </c>
      <c r="GK317" s="66">
        <f t="shared" si="2139"/>
        <v>0</v>
      </c>
      <c r="GL317" s="66">
        <f t="shared" si="2139"/>
        <v>0</v>
      </c>
      <c r="GM317" s="66">
        <f t="shared" si="2139"/>
        <v>0</v>
      </c>
      <c r="GN317" s="66">
        <f t="shared" si="2139"/>
        <v>0</v>
      </c>
      <c r="GO317" s="66">
        <f t="shared" si="2139"/>
        <v>0</v>
      </c>
      <c r="GP317" s="66">
        <f t="shared" si="2139"/>
        <v>0</v>
      </c>
      <c r="GQ317" s="64">
        <f>SUM(GH317:GK317,GM317:GP317)</f>
        <v>0</v>
      </c>
      <c r="GR317" s="63"/>
      <c r="GS317" s="63"/>
      <c r="GT317" s="63"/>
      <c r="GU317" s="63"/>
      <c r="GV317" s="67">
        <f>SUM(GR317:GU317)</f>
        <v>0</v>
      </c>
      <c r="GW317" s="63"/>
      <c r="GX317" s="63"/>
      <c r="GY317" s="63"/>
      <c r="GZ317" s="63"/>
      <c r="HA317" s="67">
        <f>SUM(GW317:GZ317)</f>
        <v>0</v>
      </c>
      <c r="HB317" s="63"/>
      <c r="HC317" s="63"/>
      <c r="HD317" s="63"/>
      <c r="HE317" s="63"/>
      <c r="HF317" s="67">
        <f>SUM(HB317:HE317)</f>
        <v>0</v>
      </c>
      <c r="HG317" s="63"/>
      <c r="HH317" s="63"/>
      <c r="HI317" s="63"/>
      <c r="HJ317" s="63"/>
      <c r="HK317" s="67">
        <f>SUM(HG317:HJ317)</f>
        <v>0</v>
      </c>
      <c r="HL317" s="68">
        <f t="shared" ref="HL317:HO319" si="2140">SUM(GW317,HB317,HG317)</f>
        <v>0</v>
      </c>
      <c r="HM317" s="68">
        <f t="shared" si="2140"/>
        <v>0</v>
      </c>
      <c r="HN317" s="68">
        <f t="shared" si="2140"/>
        <v>0</v>
      </c>
      <c r="HO317" s="68">
        <f t="shared" si="2140"/>
        <v>0</v>
      </c>
      <c r="HP317" s="67">
        <f>SUM(HL317:HO317)</f>
        <v>0</v>
      </c>
      <c r="HQ317" s="63"/>
      <c r="HR317" s="63"/>
      <c r="HS317" s="63"/>
      <c r="HT317" s="63"/>
      <c r="HU317" s="67">
        <f>SUM(HQ317:HT317)</f>
        <v>0</v>
      </c>
      <c r="HV317" s="63"/>
      <c r="HW317" s="63"/>
      <c r="HX317" s="63"/>
      <c r="HY317" s="63"/>
      <c r="HZ317" s="67">
        <f>SUM(HV317:HY317)</f>
        <v>0</v>
      </c>
      <c r="IA317" s="63"/>
      <c r="IB317" s="63"/>
      <c r="IC317" s="63"/>
      <c r="ID317" s="63"/>
      <c r="IE317" s="67">
        <f>SUM(IA317:ID317)</f>
        <v>0</v>
      </c>
      <c r="IF317" s="68">
        <f t="shared" ref="IF317:II319" si="2141">SUM(HQ317,HV317,IA317)</f>
        <v>0</v>
      </c>
      <c r="IG317" s="68">
        <f t="shared" si="2141"/>
        <v>0</v>
      </c>
      <c r="IH317" s="68">
        <f t="shared" si="2141"/>
        <v>0</v>
      </c>
      <c r="II317" s="68">
        <f t="shared" si="2141"/>
        <v>0</v>
      </c>
      <c r="IJ317" s="67">
        <f>SUM(IF317:II317)</f>
        <v>0</v>
      </c>
      <c r="IK317" s="63"/>
      <c r="IL317" s="63"/>
      <c r="IM317" s="63"/>
      <c r="IN317" s="63"/>
      <c r="IO317" s="67">
        <f>SUM(IK317:IN317)</f>
        <v>0</v>
      </c>
      <c r="IP317" s="63"/>
      <c r="IQ317" s="63"/>
      <c r="IR317" s="63"/>
      <c r="IS317" s="63"/>
      <c r="IT317" s="67">
        <f>SUM(IP317:IS317)</f>
        <v>0</v>
      </c>
      <c r="IU317" s="63"/>
      <c r="IV317" s="63"/>
    </row>
    <row r="318" spans="1:256" x14ac:dyDescent="0.25">
      <c r="A318" s="84" t="s">
        <v>252</v>
      </c>
      <c r="B318" s="62"/>
      <c r="C318" s="63"/>
      <c r="D318" s="63"/>
      <c r="E318" s="63"/>
      <c r="F318" s="63"/>
      <c r="G318" s="63"/>
      <c r="H318" s="63"/>
      <c r="I318" s="63"/>
      <c r="J318" s="63"/>
      <c r="K318" s="63"/>
      <c r="L318" s="64">
        <f>SUM(C318:F318,H318:K318)</f>
        <v>0</v>
      </c>
      <c r="M318" s="62"/>
      <c r="N318" s="63"/>
      <c r="O318" s="63"/>
      <c r="P318" s="63"/>
      <c r="Q318" s="63"/>
      <c r="R318" s="63"/>
      <c r="S318" s="63"/>
      <c r="T318" s="63"/>
      <c r="U318" s="63"/>
      <c r="V318" s="63"/>
      <c r="W318" s="64">
        <f>SUM(N318:Q318,S318:V318)</f>
        <v>0</v>
      </c>
      <c r="X318" s="62"/>
      <c r="Y318" s="63"/>
      <c r="Z318" s="63"/>
      <c r="AA318" s="63"/>
      <c r="AB318" s="63"/>
      <c r="AC318" s="63"/>
      <c r="AD318" s="63"/>
      <c r="AE318" s="63"/>
      <c r="AF318" s="63"/>
      <c r="AG318" s="63"/>
      <c r="AH318" s="64">
        <f>SUM(Y318:AB318,AD318:AG318)</f>
        <v>0</v>
      </c>
      <c r="AI318" s="62"/>
      <c r="AJ318" s="63"/>
      <c r="AK318" s="63"/>
      <c r="AL318" s="63"/>
      <c r="AM318" s="63"/>
      <c r="AN318" s="63"/>
      <c r="AO318" s="63"/>
      <c r="AP318" s="63"/>
      <c r="AQ318" s="63"/>
      <c r="AR318" s="63"/>
      <c r="AS318" s="64">
        <f>SUM(AJ318:AM318,AO318:AR318)</f>
        <v>0</v>
      </c>
      <c r="AT318" s="65">
        <f t="shared" si="2135"/>
        <v>0</v>
      </c>
      <c r="AU318" s="65">
        <f t="shared" si="2135"/>
        <v>0</v>
      </c>
      <c r="AV318" s="65">
        <f t="shared" si="2135"/>
        <v>0</v>
      </c>
      <c r="AW318" s="65">
        <f t="shared" si="2135"/>
        <v>0</v>
      </c>
      <c r="AX318" s="65">
        <f t="shared" si="2135"/>
        <v>0</v>
      </c>
      <c r="AY318" s="65">
        <f t="shared" si="2135"/>
        <v>0</v>
      </c>
      <c r="AZ318" s="65">
        <f t="shared" si="2135"/>
        <v>0</v>
      </c>
      <c r="BA318" s="65">
        <f t="shared" si="2135"/>
        <v>0</v>
      </c>
      <c r="BB318" s="65">
        <f t="shared" si="2135"/>
        <v>0</v>
      </c>
      <c r="BC318" s="65">
        <f t="shared" si="2135"/>
        <v>0</v>
      </c>
      <c r="BD318" s="64">
        <f>SUM(AU318:AX318,AZ318:BC318)</f>
        <v>0</v>
      </c>
      <c r="BE318" s="62"/>
      <c r="BF318" s="63"/>
      <c r="BG318" s="63"/>
      <c r="BH318" s="63"/>
      <c r="BI318" s="63"/>
      <c r="BJ318" s="63"/>
      <c r="BK318" s="63"/>
      <c r="BL318" s="63"/>
      <c r="BM318" s="63"/>
      <c r="BN318" s="63"/>
      <c r="BO318" s="64">
        <f>SUM(BF318:BI318,BK318:BN318)</f>
        <v>0</v>
      </c>
      <c r="BP318" s="62"/>
      <c r="BQ318" s="63"/>
      <c r="BR318" s="63"/>
      <c r="BS318" s="63"/>
      <c r="BT318" s="63"/>
      <c r="BU318" s="63"/>
      <c r="BV318" s="63"/>
      <c r="BW318" s="63"/>
      <c r="BX318" s="63"/>
      <c r="BY318" s="63"/>
      <c r="BZ318" s="64">
        <f>SUM(BQ318:BT318,BV318:BY318)</f>
        <v>0</v>
      </c>
      <c r="CA318" s="62"/>
      <c r="CB318" s="63"/>
      <c r="CC318" s="63"/>
      <c r="CD318" s="63"/>
      <c r="CE318" s="63"/>
      <c r="CF318" s="63"/>
      <c r="CG318" s="63"/>
      <c r="CH318" s="63"/>
      <c r="CI318" s="63"/>
      <c r="CJ318" s="63"/>
      <c r="CK318" s="64">
        <f>SUM(CB318:CE318,CG318:CJ318)</f>
        <v>0</v>
      </c>
      <c r="CL318" s="65">
        <f t="shared" si="2136"/>
        <v>0</v>
      </c>
      <c r="CM318" s="65">
        <f t="shared" si="2136"/>
        <v>0</v>
      </c>
      <c r="CN318" s="65">
        <f t="shared" si="2136"/>
        <v>0</v>
      </c>
      <c r="CO318" s="65">
        <f t="shared" si="2136"/>
        <v>0</v>
      </c>
      <c r="CP318" s="65">
        <f t="shared" si="2136"/>
        <v>0</v>
      </c>
      <c r="CQ318" s="65">
        <f t="shared" si="2136"/>
        <v>0</v>
      </c>
      <c r="CR318" s="65">
        <f t="shared" si="2136"/>
        <v>0</v>
      </c>
      <c r="CS318" s="65">
        <f t="shared" si="2136"/>
        <v>0</v>
      </c>
      <c r="CT318" s="65">
        <f t="shared" si="2136"/>
        <v>0</v>
      </c>
      <c r="CU318" s="65">
        <f t="shared" si="2136"/>
        <v>0</v>
      </c>
      <c r="CV318" s="64">
        <f>SUM(CM318:CP318,CR318:CU318)</f>
        <v>0</v>
      </c>
      <c r="CW318" s="62"/>
      <c r="CX318" s="63"/>
      <c r="CY318" s="63"/>
      <c r="CZ318" s="63"/>
      <c r="DA318" s="63"/>
      <c r="DB318" s="63"/>
      <c r="DC318" s="63"/>
      <c r="DD318" s="63"/>
      <c r="DE318" s="63"/>
      <c r="DF318" s="63"/>
      <c r="DG318" s="64">
        <f>SUM(CX318:DA318,DC318:DF318)</f>
        <v>0</v>
      </c>
      <c r="DH318" s="62"/>
      <c r="DI318" s="63"/>
      <c r="DJ318" s="63"/>
      <c r="DK318" s="63"/>
      <c r="DL318" s="63"/>
      <c r="DM318" s="63"/>
      <c r="DN318" s="63"/>
      <c r="DO318" s="63"/>
      <c r="DP318" s="63"/>
      <c r="DQ318" s="63"/>
      <c r="DR318" s="64">
        <f>SUM(DI318:DL318,DN318:DQ318)</f>
        <v>0</v>
      </c>
      <c r="DS318" s="62"/>
      <c r="DT318" s="63"/>
      <c r="DU318" s="63"/>
      <c r="DV318" s="63"/>
      <c r="DW318" s="63"/>
      <c r="DX318" s="63"/>
      <c r="DY318" s="63"/>
      <c r="DZ318" s="63"/>
      <c r="EA318" s="63"/>
      <c r="EB318" s="63"/>
      <c r="EC318" s="63"/>
      <c r="ED318" s="65">
        <f t="shared" si="2137"/>
        <v>0</v>
      </c>
      <c r="EE318" s="65">
        <f t="shared" si="2137"/>
        <v>0</v>
      </c>
      <c r="EF318" s="65">
        <f t="shared" si="2137"/>
        <v>0</v>
      </c>
      <c r="EG318" s="65">
        <f t="shared" si="2137"/>
        <v>0</v>
      </c>
      <c r="EH318" s="65">
        <f t="shared" si="2137"/>
        <v>0</v>
      </c>
      <c r="EI318" s="65">
        <f t="shared" si="2137"/>
        <v>0</v>
      </c>
      <c r="EJ318" s="65">
        <f t="shared" si="2137"/>
        <v>0</v>
      </c>
      <c r="EK318" s="65">
        <f t="shared" si="2137"/>
        <v>0</v>
      </c>
      <c r="EL318" s="65">
        <f t="shared" si="2137"/>
        <v>0</v>
      </c>
      <c r="EM318" s="65">
        <f t="shared" si="2137"/>
        <v>0</v>
      </c>
      <c r="EN318" s="64">
        <f>SUM(EE318:EH318,EJ318:EM318)</f>
        <v>0</v>
      </c>
      <c r="EO318" s="62"/>
      <c r="EP318" s="63"/>
      <c r="EQ318" s="63"/>
      <c r="ER318" s="63"/>
      <c r="ES318" s="63"/>
      <c r="ET318" s="63"/>
      <c r="EU318" s="63"/>
      <c r="EV318" s="63"/>
      <c r="EW318" s="63"/>
      <c r="EX318" s="63"/>
      <c r="EY318" s="64">
        <f>SUM(EP318:ES318,EU318:EX318)</f>
        <v>0</v>
      </c>
      <c r="EZ318" s="62"/>
      <c r="FA318" s="63"/>
      <c r="FB318" s="63"/>
      <c r="FC318" s="63"/>
      <c r="FD318" s="63"/>
      <c r="FE318" s="63"/>
      <c r="FF318" s="63"/>
      <c r="FG318" s="63"/>
      <c r="FH318" s="63"/>
      <c r="FI318" s="63"/>
      <c r="FJ318" s="64">
        <f>SUM(FA318:FD318,FF318:FI318)</f>
        <v>0</v>
      </c>
      <c r="FK318" s="62"/>
      <c r="FL318" s="63"/>
      <c r="FM318" s="63"/>
      <c r="FN318" s="63"/>
      <c r="FO318" s="63"/>
      <c r="FP318" s="63"/>
      <c r="FQ318" s="63"/>
      <c r="FR318" s="63"/>
      <c r="FS318" s="63"/>
      <c r="FT318" s="63"/>
      <c r="FU318" s="64">
        <f>SUM(FL318:FO318,FQ318:FT318)</f>
        <v>0</v>
      </c>
      <c r="FV318" s="65">
        <f t="shared" si="2138"/>
        <v>0</v>
      </c>
      <c r="FW318" s="65">
        <f t="shared" si="2138"/>
        <v>0</v>
      </c>
      <c r="FX318" s="65">
        <f t="shared" si="2138"/>
        <v>0</v>
      </c>
      <c r="FY318" s="65">
        <f t="shared" si="2138"/>
        <v>0</v>
      </c>
      <c r="FZ318" s="65">
        <f t="shared" si="2138"/>
        <v>0</v>
      </c>
      <c r="GA318" s="65">
        <f t="shared" si="2138"/>
        <v>0</v>
      </c>
      <c r="GB318" s="65">
        <f t="shared" si="2138"/>
        <v>0</v>
      </c>
      <c r="GC318" s="65">
        <f t="shared" si="2138"/>
        <v>0</v>
      </c>
      <c r="GD318" s="65">
        <f t="shared" si="2138"/>
        <v>0</v>
      </c>
      <c r="GE318" s="65">
        <f t="shared" si="2138"/>
        <v>0</v>
      </c>
      <c r="GF318" s="64">
        <f>SUM(FW318:FZ318,GB318:GE318)</f>
        <v>0</v>
      </c>
      <c r="GG318" s="66">
        <f t="shared" si="2139"/>
        <v>0</v>
      </c>
      <c r="GH318" s="66">
        <f t="shared" si="2139"/>
        <v>0</v>
      </c>
      <c r="GI318" s="66">
        <f t="shared" si="2139"/>
        <v>0</v>
      </c>
      <c r="GJ318" s="66">
        <f t="shared" si="2139"/>
        <v>0</v>
      </c>
      <c r="GK318" s="66">
        <f t="shared" si="2139"/>
        <v>0</v>
      </c>
      <c r="GL318" s="66">
        <f t="shared" si="2139"/>
        <v>0</v>
      </c>
      <c r="GM318" s="66">
        <f t="shared" si="2139"/>
        <v>0</v>
      </c>
      <c r="GN318" s="66">
        <f t="shared" si="2139"/>
        <v>0</v>
      </c>
      <c r="GO318" s="66">
        <f t="shared" si="2139"/>
        <v>0</v>
      </c>
      <c r="GP318" s="66">
        <f t="shared" si="2139"/>
        <v>0</v>
      </c>
      <c r="GQ318" s="64">
        <f>SUM(GH318:GK318,GM318:GP318)</f>
        <v>0</v>
      </c>
      <c r="GR318" s="63"/>
      <c r="GS318" s="63"/>
      <c r="GT318" s="63"/>
      <c r="GU318" s="63"/>
      <c r="GV318" s="67">
        <f>SUM(GR318:GU318)</f>
        <v>0</v>
      </c>
      <c r="GW318" s="63"/>
      <c r="GX318" s="63"/>
      <c r="GY318" s="63"/>
      <c r="GZ318" s="63"/>
      <c r="HA318" s="67">
        <f>SUM(GW318:GZ318)</f>
        <v>0</v>
      </c>
      <c r="HB318" s="63"/>
      <c r="HC318" s="63"/>
      <c r="HD318" s="63"/>
      <c r="HE318" s="63"/>
      <c r="HF318" s="67">
        <f>SUM(HB318:HE318)</f>
        <v>0</v>
      </c>
      <c r="HG318" s="63"/>
      <c r="HH318" s="63"/>
      <c r="HI318" s="63"/>
      <c r="HJ318" s="63"/>
      <c r="HK318" s="67">
        <f>SUM(HG318:HJ318)</f>
        <v>0</v>
      </c>
      <c r="HL318" s="68">
        <f t="shared" si="2140"/>
        <v>0</v>
      </c>
      <c r="HM318" s="68">
        <f t="shared" si="2140"/>
        <v>0</v>
      </c>
      <c r="HN318" s="68">
        <f t="shared" si="2140"/>
        <v>0</v>
      </c>
      <c r="HO318" s="68">
        <f t="shared" si="2140"/>
        <v>0</v>
      </c>
      <c r="HP318" s="67">
        <f>SUM(HL318:HO318)</f>
        <v>0</v>
      </c>
      <c r="HQ318" s="63"/>
      <c r="HR318" s="63"/>
      <c r="HS318" s="63"/>
      <c r="HT318" s="63"/>
      <c r="HU318" s="67">
        <f>SUM(HQ318:HT318)</f>
        <v>0</v>
      </c>
      <c r="HV318" s="63"/>
      <c r="HW318" s="63"/>
      <c r="HX318" s="63"/>
      <c r="HY318" s="63"/>
      <c r="HZ318" s="67">
        <f>SUM(HV318:HY318)</f>
        <v>0</v>
      </c>
      <c r="IA318" s="63"/>
      <c r="IB318" s="63"/>
      <c r="IC318" s="63"/>
      <c r="ID318" s="63"/>
      <c r="IE318" s="67">
        <f>SUM(IA318:ID318)</f>
        <v>0</v>
      </c>
      <c r="IF318" s="68">
        <f t="shared" si="2141"/>
        <v>0</v>
      </c>
      <c r="IG318" s="68">
        <f t="shared" si="2141"/>
        <v>0</v>
      </c>
      <c r="IH318" s="68">
        <f t="shared" si="2141"/>
        <v>0</v>
      </c>
      <c r="II318" s="68">
        <f t="shared" si="2141"/>
        <v>0</v>
      </c>
      <c r="IJ318" s="67">
        <f>SUM(IF318:II318)</f>
        <v>0</v>
      </c>
      <c r="IK318" s="63"/>
      <c r="IL318" s="63"/>
      <c r="IM318" s="63"/>
      <c r="IN318" s="63"/>
      <c r="IO318" s="67">
        <f>SUM(IK318:IN318)</f>
        <v>0</v>
      </c>
      <c r="IP318" s="63"/>
      <c r="IQ318" s="63"/>
      <c r="IR318" s="63"/>
      <c r="IS318" s="63"/>
      <c r="IT318" s="67">
        <f>SUM(IP318:IS318)</f>
        <v>0</v>
      </c>
      <c r="IU318" s="63"/>
      <c r="IV318" s="63"/>
    </row>
    <row r="319" spans="1:256" x14ac:dyDescent="0.25">
      <c r="A319" s="84" t="s">
        <v>253</v>
      </c>
      <c r="B319" s="62"/>
      <c r="C319" s="63"/>
      <c r="D319" s="63"/>
      <c r="E319" s="63"/>
      <c r="F319" s="63"/>
      <c r="G319" s="63"/>
      <c r="H319" s="63"/>
      <c r="I319" s="63"/>
      <c r="J319" s="63"/>
      <c r="K319" s="63"/>
      <c r="L319" s="64">
        <f>SUM(C319:F319,H319:K319)</f>
        <v>0</v>
      </c>
      <c r="M319" s="62"/>
      <c r="N319" s="63"/>
      <c r="O319" s="63"/>
      <c r="P319" s="63"/>
      <c r="Q319" s="63"/>
      <c r="R319" s="63"/>
      <c r="S319" s="63"/>
      <c r="T319" s="63"/>
      <c r="U319" s="63"/>
      <c r="V319" s="63"/>
      <c r="W319" s="64">
        <f>SUM(N319:Q319,S319:V319)</f>
        <v>0</v>
      </c>
      <c r="X319" s="62"/>
      <c r="Y319" s="63"/>
      <c r="Z319" s="63"/>
      <c r="AA319" s="63"/>
      <c r="AB319" s="63"/>
      <c r="AC319" s="63"/>
      <c r="AD319" s="63"/>
      <c r="AE319" s="63"/>
      <c r="AF319" s="63"/>
      <c r="AG319" s="63"/>
      <c r="AH319" s="64">
        <f>SUM(Y319:AB319,AD319:AG319)</f>
        <v>0</v>
      </c>
      <c r="AI319" s="62"/>
      <c r="AJ319" s="63"/>
      <c r="AK319" s="63"/>
      <c r="AL319" s="63"/>
      <c r="AM319" s="63"/>
      <c r="AN319" s="63"/>
      <c r="AO319" s="63"/>
      <c r="AP319" s="63"/>
      <c r="AQ319" s="63"/>
      <c r="AR319" s="63"/>
      <c r="AS319" s="64">
        <f>SUM(AJ319:AM319,AO319:AR319)</f>
        <v>0</v>
      </c>
      <c r="AT319" s="65">
        <f t="shared" si="2135"/>
        <v>0</v>
      </c>
      <c r="AU319" s="65">
        <f t="shared" si="2135"/>
        <v>0</v>
      </c>
      <c r="AV319" s="65">
        <f t="shared" si="2135"/>
        <v>0</v>
      </c>
      <c r="AW319" s="65">
        <f t="shared" si="2135"/>
        <v>0</v>
      </c>
      <c r="AX319" s="65">
        <f t="shared" si="2135"/>
        <v>0</v>
      </c>
      <c r="AY319" s="65">
        <f t="shared" si="2135"/>
        <v>0</v>
      </c>
      <c r="AZ319" s="65">
        <f t="shared" si="2135"/>
        <v>0</v>
      </c>
      <c r="BA319" s="65">
        <f t="shared" si="2135"/>
        <v>0</v>
      </c>
      <c r="BB319" s="65">
        <f t="shared" si="2135"/>
        <v>0</v>
      </c>
      <c r="BC319" s="65">
        <f t="shared" si="2135"/>
        <v>0</v>
      </c>
      <c r="BD319" s="64">
        <f>SUM(AU319:AX319,AZ319:BC319)</f>
        <v>0</v>
      </c>
      <c r="BE319" s="62"/>
      <c r="BF319" s="63"/>
      <c r="BG319" s="63"/>
      <c r="BH319" s="63"/>
      <c r="BI319" s="63"/>
      <c r="BJ319" s="63"/>
      <c r="BK319" s="63"/>
      <c r="BL319" s="63"/>
      <c r="BM319" s="63"/>
      <c r="BN319" s="63"/>
      <c r="BO319" s="64">
        <f>SUM(BF319:BI319,BK319:BN319)</f>
        <v>0</v>
      </c>
      <c r="BP319" s="62"/>
      <c r="BQ319" s="63"/>
      <c r="BR319" s="63"/>
      <c r="BS319" s="63"/>
      <c r="BT319" s="63"/>
      <c r="BU319" s="63"/>
      <c r="BV319" s="63"/>
      <c r="BW319" s="63"/>
      <c r="BX319" s="63"/>
      <c r="BY319" s="63"/>
      <c r="BZ319" s="64">
        <f>SUM(BQ319:BT319,BV319:BY319)</f>
        <v>0</v>
      </c>
      <c r="CA319" s="62"/>
      <c r="CB319" s="63"/>
      <c r="CC319" s="63"/>
      <c r="CD319" s="63"/>
      <c r="CE319" s="63"/>
      <c r="CF319" s="63"/>
      <c r="CG319" s="63"/>
      <c r="CH319" s="63"/>
      <c r="CI319" s="63"/>
      <c r="CJ319" s="63"/>
      <c r="CK319" s="64">
        <f>SUM(CB319:CE319,CG319:CJ319)</f>
        <v>0</v>
      </c>
      <c r="CL319" s="65">
        <f t="shared" si="2136"/>
        <v>0</v>
      </c>
      <c r="CM319" s="65">
        <f t="shared" si="2136"/>
        <v>0</v>
      </c>
      <c r="CN319" s="65">
        <f t="shared" si="2136"/>
        <v>0</v>
      </c>
      <c r="CO319" s="65">
        <f t="shared" si="2136"/>
        <v>0</v>
      </c>
      <c r="CP319" s="65">
        <f t="shared" si="2136"/>
        <v>0</v>
      </c>
      <c r="CQ319" s="65">
        <f t="shared" si="2136"/>
        <v>0</v>
      </c>
      <c r="CR319" s="65">
        <f t="shared" si="2136"/>
        <v>0</v>
      </c>
      <c r="CS319" s="65">
        <f t="shared" si="2136"/>
        <v>0</v>
      </c>
      <c r="CT319" s="65">
        <f t="shared" si="2136"/>
        <v>0</v>
      </c>
      <c r="CU319" s="65">
        <f t="shared" si="2136"/>
        <v>0</v>
      </c>
      <c r="CV319" s="64">
        <f>SUM(CM319:CP319,CR319:CU319)</f>
        <v>0</v>
      </c>
      <c r="CW319" s="62"/>
      <c r="CX319" s="63"/>
      <c r="CY319" s="63"/>
      <c r="CZ319" s="63"/>
      <c r="DA319" s="63"/>
      <c r="DB319" s="63"/>
      <c r="DC319" s="63"/>
      <c r="DD319" s="63"/>
      <c r="DE319" s="63"/>
      <c r="DF319" s="63"/>
      <c r="DG319" s="64">
        <f>SUM(CX319:DA319,DC319:DF319)</f>
        <v>0</v>
      </c>
      <c r="DH319" s="62"/>
      <c r="DI319" s="63"/>
      <c r="DJ319" s="63"/>
      <c r="DK319" s="63"/>
      <c r="DL319" s="63"/>
      <c r="DM319" s="63"/>
      <c r="DN319" s="63"/>
      <c r="DO319" s="63"/>
      <c r="DP319" s="63"/>
      <c r="DQ319" s="63"/>
      <c r="DR319" s="64">
        <f>SUM(DI319:DL319,DN319:DQ319)</f>
        <v>0</v>
      </c>
      <c r="DS319" s="62"/>
      <c r="DT319" s="63"/>
      <c r="DU319" s="63"/>
      <c r="DV319" s="63"/>
      <c r="DW319" s="63"/>
      <c r="DX319" s="63"/>
      <c r="DY319" s="63"/>
      <c r="DZ319" s="63"/>
      <c r="EA319" s="63"/>
      <c r="EB319" s="63"/>
      <c r="EC319" s="63"/>
      <c r="ED319" s="65">
        <f t="shared" si="2137"/>
        <v>0</v>
      </c>
      <c r="EE319" s="65">
        <f t="shared" si="2137"/>
        <v>0</v>
      </c>
      <c r="EF319" s="65">
        <f t="shared" si="2137"/>
        <v>0</v>
      </c>
      <c r="EG319" s="65">
        <f t="shared" si="2137"/>
        <v>0</v>
      </c>
      <c r="EH319" s="65">
        <f t="shared" si="2137"/>
        <v>0</v>
      </c>
      <c r="EI319" s="65">
        <f t="shared" si="2137"/>
        <v>0</v>
      </c>
      <c r="EJ319" s="65">
        <f t="shared" si="2137"/>
        <v>0</v>
      </c>
      <c r="EK319" s="65">
        <f t="shared" si="2137"/>
        <v>0</v>
      </c>
      <c r="EL319" s="65">
        <f t="shared" si="2137"/>
        <v>0</v>
      </c>
      <c r="EM319" s="65">
        <f t="shared" si="2137"/>
        <v>0</v>
      </c>
      <c r="EN319" s="64">
        <f>SUM(EE319:EH319,EJ319:EM319)</f>
        <v>0</v>
      </c>
      <c r="EO319" s="62"/>
      <c r="EP319" s="63"/>
      <c r="EQ319" s="63"/>
      <c r="ER319" s="63"/>
      <c r="ES319" s="63"/>
      <c r="ET319" s="63"/>
      <c r="EU319" s="63"/>
      <c r="EV319" s="63"/>
      <c r="EW319" s="63"/>
      <c r="EX319" s="63"/>
      <c r="EY319" s="64">
        <f>SUM(EP319:ES319,EU319:EX319)</f>
        <v>0</v>
      </c>
      <c r="EZ319" s="62"/>
      <c r="FA319" s="63"/>
      <c r="FB319" s="63"/>
      <c r="FC319" s="63"/>
      <c r="FD319" s="63"/>
      <c r="FE319" s="63"/>
      <c r="FF319" s="63"/>
      <c r="FG319" s="63"/>
      <c r="FH319" s="63"/>
      <c r="FI319" s="63"/>
      <c r="FJ319" s="64">
        <f>SUM(FA319:FD319,FF319:FI319)</f>
        <v>0</v>
      </c>
      <c r="FK319" s="62"/>
      <c r="FL319" s="63"/>
      <c r="FM319" s="63"/>
      <c r="FN319" s="63"/>
      <c r="FO319" s="63"/>
      <c r="FP319" s="63"/>
      <c r="FQ319" s="63"/>
      <c r="FR319" s="63"/>
      <c r="FS319" s="63"/>
      <c r="FT319" s="63"/>
      <c r="FU319" s="64">
        <f>SUM(FL319:FO319,FQ319:FT319)</f>
        <v>0</v>
      </c>
      <c r="FV319" s="65">
        <f t="shared" si="2138"/>
        <v>0</v>
      </c>
      <c r="FW319" s="65">
        <f t="shared" si="2138"/>
        <v>0</v>
      </c>
      <c r="FX319" s="65">
        <f t="shared" si="2138"/>
        <v>0</v>
      </c>
      <c r="FY319" s="65">
        <f t="shared" si="2138"/>
        <v>0</v>
      </c>
      <c r="FZ319" s="65">
        <f t="shared" si="2138"/>
        <v>0</v>
      </c>
      <c r="GA319" s="65">
        <f t="shared" si="2138"/>
        <v>0</v>
      </c>
      <c r="GB319" s="65">
        <f t="shared" si="2138"/>
        <v>0</v>
      </c>
      <c r="GC319" s="65">
        <f t="shared" si="2138"/>
        <v>0</v>
      </c>
      <c r="GD319" s="65">
        <f t="shared" si="2138"/>
        <v>0</v>
      </c>
      <c r="GE319" s="65">
        <f t="shared" si="2138"/>
        <v>0</v>
      </c>
      <c r="GF319" s="64">
        <f>SUM(FW319:FZ319,GB319:GE319)</f>
        <v>0</v>
      </c>
      <c r="GG319" s="66">
        <f t="shared" si="2139"/>
        <v>0</v>
      </c>
      <c r="GH319" s="66">
        <f t="shared" si="2139"/>
        <v>0</v>
      </c>
      <c r="GI319" s="66">
        <f t="shared" si="2139"/>
        <v>0</v>
      </c>
      <c r="GJ319" s="66">
        <f t="shared" si="2139"/>
        <v>0</v>
      </c>
      <c r="GK319" s="66">
        <f t="shared" si="2139"/>
        <v>0</v>
      </c>
      <c r="GL319" s="66">
        <f t="shared" si="2139"/>
        <v>0</v>
      </c>
      <c r="GM319" s="66">
        <f t="shared" si="2139"/>
        <v>0</v>
      </c>
      <c r="GN319" s="66">
        <f t="shared" si="2139"/>
        <v>0</v>
      </c>
      <c r="GO319" s="66">
        <f t="shared" si="2139"/>
        <v>0</v>
      </c>
      <c r="GP319" s="66">
        <f t="shared" si="2139"/>
        <v>0</v>
      </c>
      <c r="GQ319" s="64">
        <f>SUM(GH319:GK319,GM319:GP319)</f>
        <v>0</v>
      </c>
      <c r="GR319" s="63"/>
      <c r="GS319" s="63"/>
      <c r="GT319" s="63"/>
      <c r="GU319" s="63"/>
      <c r="GV319" s="67">
        <f>SUM(GR319:GU319)</f>
        <v>0</v>
      </c>
      <c r="GW319" s="63"/>
      <c r="GX319" s="63"/>
      <c r="GY319" s="63"/>
      <c r="GZ319" s="63"/>
      <c r="HA319" s="67">
        <f>SUM(GW319:GZ319)</f>
        <v>0</v>
      </c>
      <c r="HB319" s="63"/>
      <c r="HC319" s="63"/>
      <c r="HD319" s="63"/>
      <c r="HE319" s="63"/>
      <c r="HF319" s="67">
        <f>SUM(HB319:HE319)</f>
        <v>0</v>
      </c>
      <c r="HG319" s="63"/>
      <c r="HH319" s="63"/>
      <c r="HI319" s="63"/>
      <c r="HJ319" s="63"/>
      <c r="HK319" s="67">
        <f>SUM(HG319:HJ319)</f>
        <v>0</v>
      </c>
      <c r="HL319" s="68">
        <f t="shared" si="2140"/>
        <v>0</v>
      </c>
      <c r="HM319" s="68">
        <f t="shared" si="2140"/>
        <v>0</v>
      </c>
      <c r="HN319" s="68">
        <f t="shared" si="2140"/>
        <v>0</v>
      </c>
      <c r="HO319" s="68">
        <f t="shared" si="2140"/>
        <v>0</v>
      </c>
      <c r="HP319" s="67">
        <f>SUM(HL319:HO319)</f>
        <v>0</v>
      </c>
      <c r="HQ319" s="63"/>
      <c r="HR319" s="63"/>
      <c r="HS319" s="63"/>
      <c r="HT319" s="63"/>
      <c r="HU319" s="67">
        <f>SUM(HQ319:HT319)</f>
        <v>0</v>
      </c>
      <c r="HV319" s="63"/>
      <c r="HW319" s="63"/>
      <c r="HX319" s="63"/>
      <c r="HY319" s="63"/>
      <c r="HZ319" s="67">
        <f>SUM(HV319:HY319)</f>
        <v>0</v>
      </c>
      <c r="IA319" s="63"/>
      <c r="IB319" s="63"/>
      <c r="IC319" s="63"/>
      <c r="ID319" s="63"/>
      <c r="IE319" s="67">
        <f>SUM(IA319:ID319)</f>
        <v>0</v>
      </c>
      <c r="IF319" s="68">
        <f t="shared" si="2141"/>
        <v>0</v>
      </c>
      <c r="IG319" s="68">
        <f t="shared" si="2141"/>
        <v>0</v>
      </c>
      <c r="IH319" s="68">
        <f t="shared" si="2141"/>
        <v>0</v>
      </c>
      <c r="II319" s="68">
        <f t="shared" si="2141"/>
        <v>0</v>
      </c>
      <c r="IJ319" s="67">
        <f>SUM(IF319:II319)</f>
        <v>0</v>
      </c>
      <c r="IK319" s="63"/>
      <c r="IL319" s="63"/>
      <c r="IM319" s="63"/>
      <c r="IN319" s="63"/>
      <c r="IO319" s="67">
        <f>SUM(IK319:IN319)</f>
        <v>0</v>
      </c>
      <c r="IP319" s="63"/>
      <c r="IQ319" s="63"/>
      <c r="IR319" s="63"/>
      <c r="IS319" s="63"/>
      <c r="IT319" s="67">
        <f>SUM(IP319:IS319)</f>
        <v>0</v>
      </c>
      <c r="IU319" s="63"/>
      <c r="IV319" s="63"/>
    </row>
    <row r="320" spans="1:256" s="78" customFormat="1" x14ac:dyDescent="0.25">
      <c r="A320" s="79" t="s">
        <v>300</v>
      </c>
      <c r="B320" s="91"/>
      <c r="C320" s="81">
        <f t="shared" ref="C320:K320" si="2142">SUM(C321:C322)</f>
        <v>0</v>
      </c>
      <c r="D320" s="81">
        <f t="shared" si="2142"/>
        <v>0</v>
      </c>
      <c r="E320" s="81">
        <f t="shared" si="2142"/>
        <v>0</v>
      </c>
      <c r="F320" s="81">
        <f t="shared" si="2142"/>
        <v>0</v>
      </c>
      <c r="G320" s="81">
        <f t="shared" si="2142"/>
        <v>0</v>
      </c>
      <c r="H320" s="81">
        <f t="shared" si="2142"/>
        <v>0</v>
      </c>
      <c r="I320" s="81">
        <f t="shared" si="2142"/>
        <v>0</v>
      </c>
      <c r="J320" s="81">
        <f t="shared" si="2142"/>
        <v>0</v>
      </c>
      <c r="K320" s="81">
        <f t="shared" si="2142"/>
        <v>0</v>
      </c>
      <c r="L320" s="82">
        <f>SUM(L321:L322)</f>
        <v>0</v>
      </c>
      <c r="M320" s="91"/>
      <c r="N320" s="81">
        <f t="shared" ref="N320:V320" si="2143">SUM(N321:N322)</f>
        <v>0</v>
      </c>
      <c r="O320" s="81">
        <f t="shared" si="2143"/>
        <v>0</v>
      </c>
      <c r="P320" s="81">
        <f t="shared" si="2143"/>
        <v>0</v>
      </c>
      <c r="Q320" s="81">
        <f t="shared" si="2143"/>
        <v>0</v>
      </c>
      <c r="R320" s="81">
        <f t="shared" si="2143"/>
        <v>0</v>
      </c>
      <c r="S320" s="81">
        <f t="shared" si="2143"/>
        <v>0</v>
      </c>
      <c r="T320" s="81">
        <f t="shared" si="2143"/>
        <v>0</v>
      </c>
      <c r="U320" s="81">
        <f t="shared" si="2143"/>
        <v>0</v>
      </c>
      <c r="V320" s="81">
        <f t="shared" si="2143"/>
        <v>0</v>
      </c>
      <c r="W320" s="82">
        <f>SUM(W321:W322)</f>
        <v>0</v>
      </c>
      <c r="X320" s="91"/>
      <c r="Y320" s="81">
        <f t="shared" ref="Y320:AG320" si="2144">SUM(Y321:Y322)</f>
        <v>0</v>
      </c>
      <c r="Z320" s="81">
        <f t="shared" si="2144"/>
        <v>0</v>
      </c>
      <c r="AA320" s="81">
        <f t="shared" si="2144"/>
        <v>0</v>
      </c>
      <c r="AB320" s="81">
        <f t="shared" si="2144"/>
        <v>0</v>
      </c>
      <c r="AC320" s="81">
        <f t="shared" si="2144"/>
        <v>0</v>
      </c>
      <c r="AD320" s="81">
        <f t="shared" si="2144"/>
        <v>0</v>
      </c>
      <c r="AE320" s="81">
        <f t="shared" si="2144"/>
        <v>0</v>
      </c>
      <c r="AF320" s="81">
        <f t="shared" si="2144"/>
        <v>0</v>
      </c>
      <c r="AG320" s="81">
        <f t="shared" si="2144"/>
        <v>0</v>
      </c>
      <c r="AH320" s="82">
        <f>SUM(AH321:AH322)</f>
        <v>0</v>
      </c>
      <c r="AI320" s="91"/>
      <c r="AJ320" s="81">
        <f t="shared" ref="AJ320:AR320" si="2145">SUM(AJ321:AJ322)</f>
        <v>0</v>
      </c>
      <c r="AK320" s="81">
        <f t="shared" si="2145"/>
        <v>0</v>
      </c>
      <c r="AL320" s="81">
        <f t="shared" si="2145"/>
        <v>0</v>
      </c>
      <c r="AM320" s="81">
        <f t="shared" si="2145"/>
        <v>0</v>
      </c>
      <c r="AN320" s="81">
        <f t="shared" si="2145"/>
        <v>0</v>
      </c>
      <c r="AO320" s="81">
        <f t="shared" si="2145"/>
        <v>0</v>
      </c>
      <c r="AP320" s="81">
        <f t="shared" si="2145"/>
        <v>0</v>
      </c>
      <c r="AQ320" s="81">
        <f t="shared" si="2145"/>
        <v>0</v>
      </c>
      <c r="AR320" s="81">
        <f t="shared" si="2145"/>
        <v>0</v>
      </c>
      <c r="AS320" s="82">
        <f>SUM(AS321:AS322)</f>
        <v>0</v>
      </c>
      <c r="AT320" s="91"/>
      <c r="AU320" s="81">
        <f>SUM(AU321:AU322)</f>
        <v>0</v>
      </c>
      <c r="AV320" s="81">
        <f t="shared" ref="AV320:BC320" si="2146">SUM(AV321:AV322)</f>
        <v>0</v>
      </c>
      <c r="AW320" s="81">
        <f t="shared" si="2146"/>
        <v>0</v>
      </c>
      <c r="AX320" s="81">
        <f t="shared" si="2146"/>
        <v>0</v>
      </c>
      <c r="AY320" s="81">
        <f t="shared" si="2146"/>
        <v>0</v>
      </c>
      <c r="AZ320" s="81">
        <f t="shared" si="2146"/>
        <v>0</v>
      </c>
      <c r="BA320" s="81">
        <f t="shared" si="2146"/>
        <v>0</v>
      </c>
      <c r="BB320" s="81">
        <f t="shared" si="2146"/>
        <v>0</v>
      </c>
      <c r="BC320" s="81">
        <f t="shared" si="2146"/>
        <v>0</v>
      </c>
      <c r="BD320" s="82">
        <f>SUM(BD321:BD322)</f>
        <v>0</v>
      </c>
      <c r="BE320" s="91"/>
      <c r="BF320" s="81">
        <f t="shared" ref="BF320:BN320" si="2147">SUM(BF321:BF322)</f>
        <v>0</v>
      </c>
      <c r="BG320" s="81">
        <f t="shared" si="2147"/>
        <v>0</v>
      </c>
      <c r="BH320" s="81">
        <f t="shared" si="2147"/>
        <v>0</v>
      </c>
      <c r="BI320" s="81">
        <f t="shared" si="2147"/>
        <v>0</v>
      </c>
      <c r="BJ320" s="81">
        <f t="shared" si="2147"/>
        <v>0</v>
      </c>
      <c r="BK320" s="81">
        <f t="shared" si="2147"/>
        <v>0</v>
      </c>
      <c r="BL320" s="81">
        <f t="shared" si="2147"/>
        <v>0</v>
      </c>
      <c r="BM320" s="81">
        <f t="shared" si="2147"/>
        <v>0</v>
      </c>
      <c r="BN320" s="81">
        <f t="shared" si="2147"/>
        <v>0</v>
      </c>
      <c r="BO320" s="82">
        <f>SUM(BO321:BO322)</f>
        <v>0</v>
      </c>
      <c r="BP320" s="91"/>
      <c r="BQ320" s="81">
        <f t="shared" ref="BQ320:BY320" si="2148">SUM(BQ321:BQ322)</f>
        <v>0</v>
      </c>
      <c r="BR320" s="81">
        <f t="shared" si="2148"/>
        <v>0</v>
      </c>
      <c r="BS320" s="81">
        <f t="shared" si="2148"/>
        <v>0</v>
      </c>
      <c r="BT320" s="81">
        <f t="shared" si="2148"/>
        <v>0</v>
      </c>
      <c r="BU320" s="81">
        <f t="shared" si="2148"/>
        <v>0</v>
      </c>
      <c r="BV320" s="81">
        <f t="shared" si="2148"/>
        <v>0</v>
      </c>
      <c r="BW320" s="81">
        <f t="shared" si="2148"/>
        <v>0</v>
      </c>
      <c r="BX320" s="81">
        <f t="shared" si="2148"/>
        <v>0</v>
      </c>
      <c r="BY320" s="81">
        <f t="shared" si="2148"/>
        <v>0</v>
      </c>
      <c r="BZ320" s="82">
        <f>SUM(BZ321:BZ322)</f>
        <v>0</v>
      </c>
      <c r="CA320" s="91"/>
      <c r="CB320" s="81">
        <f t="shared" ref="CB320:CJ320" si="2149">SUM(CB321:CB322)</f>
        <v>0</v>
      </c>
      <c r="CC320" s="81">
        <f t="shared" si="2149"/>
        <v>0</v>
      </c>
      <c r="CD320" s="81">
        <f t="shared" si="2149"/>
        <v>0</v>
      </c>
      <c r="CE320" s="81">
        <f t="shared" si="2149"/>
        <v>0</v>
      </c>
      <c r="CF320" s="81">
        <f t="shared" si="2149"/>
        <v>0</v>
      </c>
      <c r="CG320" s="81">
        <f t="shared" si="2149"/>
        <v>0</v>
      </c>
      <c r="CH320" s="81">
        <f t="shared" si="2149"/>
        <v>0</v>
      </c>
      <c r="CI320" s="81">
        <f t="shared" si="2149"/>
        <v>0</v>
      </c>
      <c r="CJ320" s="81">
        <f t="shared" si="2149"/>
        <v>0</v>
      </c>
      <c r="CK320" s="82">
        <f>SUM(CK321:CK322)</f>
        <v>0</v>
      </c>
      <c r="CL320" s="91"/>
      <c r="CM320" s="81">
        <f>SUM(CM321:CM322)</f>
        <v>0</v>
      </c>
      <c r="CN320" s="81">
        <f t="shared" ref="CN320:CU320" si="2150">SUM(CN321:CN322)</f>
        <v>0</v>
      </c>
      <c r="CO320" s="81">
        <f t="shared" si="2150"/>
        <v>0</v>
      </c>
      <c r="CP320" s="81">
        <f t="shared" si="2150"/>
        <v>0</v>
      </c>
      <c r="CQ320" s="81">
        <f t="shared" si="2150"/>
        <v>0</v>
      </c>
      <c r="CR320" s="81">
        <f t="shared" si="2150"/>
        <v>0</v>
      </c>
      <c r="CS320" s="81">
        <f t="shared" si="2150"/>
        <v>0</v>
      </c>
      <c r="CT320" s="81">
        <f t="shared" si="2150"/>
        <v>0</v>
      </c>
      <c r="CU320" s="81">
        <f t="shared" si="2150"/>
        <v>0</v>
      </c>
      <c r="CV320" s="82">
        <f>SUM(CV321:CV322)</f>
        <v>0</v>
      </c>
      <c r="CW320" s="91"/>
      <c r="CX320" s="81">
        <f t="shared" ref="CX320:DF320" si="2151">SUM(CX321:CX322)</f>
        <v>0</v>
      </c>
      <c r="CY320" s="81">
        <f t="shared" si="2151"/>
        <v>0</v>
      </c>
      <c r="CZ320" s="81">
        <f t="shared" si="2151"/>
        <v>0</v>
      </c>
      <c r="DA320" s="81">
        <f t="shared" si="2151"/>
        <v>0</v>
      </c>
      <c r="DB320" s="81">
        <f t="shared" si="2151"/>
        <v>0</v>
      </c>
      <c r="DC320" s="81">
        <f t="shared" si="2151"/>
        <v>0</v>
      </c>
      <c r="DD320" s="81">
        <f t="shared" si="2151"/>
        <v>0</v>
      </c>
      <c r="DE320" s="81">
        <f t="shared" si="2151"/>
        <v>0</v>
      </c>
      <c r="DF320" s="81">
        <f t="shared" si="2151"/>
        <v>0</v>
      </c>
      <c r="DG320" s="82">
        <f>SUM(DG321:DG322)</f>
        <v>0</v>
      </c>
      <c r="DH320" s="91"/>
      <c r="DI320" s="81">
        <f t="shared" ref="DI320:DQ320" si="2152">SUM(DI321:DI322)</f>
        <v>0</v>
      </c>
      <c r="DJ320" s="81">
        <f t="shared" si="2152"/>
        <v>0</v>
      </c>
      <c r="DK320" s="81">
        <f t="shared" si="2152"/>
        <v>0</v>
      </c>
      <c r="DL320" s="81">
        <f t="shared" si="2152"/>
        <v>0</v>
      </c>
      <c r="DM320" s="81">
        <f t="shared" si="2152"/>
        <v>0</v>
      </c>
      <c r="DN320" s="81">
        <f t="shared" si="2152"/>
        <v>0</v>
      </c>
      <c r="DO320" s="81">
        <f t="shared" si="2152"/>
        <v>0</v>
      </c>
      <c r="DP320" s="81">
        <f t="shared" si="2152"/>
        <v>0</v>
      </c>
      <c r="DQ320" s="81">
        <f t="shared" si="2152"/>
        <v>0</v>
      </c>
      <c r="DR320" s="82">
        <f>SUM(DR321:DR322)</f>
        <v>0</v>
      </c>
      <c r="DS320" s="91"/>
      <c r="DT320" s="81">
        <f t="shared" ref="DT320:EB320" si="2153">SUM(DT321:DT322)</f>
        <v>0</v>
      </c>
      <c r="DU320" s="81">
        <f t="shared" si="2153"/>
        <v>0</v>
      </c>
      <c r="DV320" s="81">
        <f t="shared" si="2153"/>
        <v>0</v>
      </c>
      <c r="DW320" s="81">
        <f t="shared" si="2153"/>
        <v>0</v>
      </c>
      <c r="DX320" s="81">
        <f t="shared" si="2153"/>
        <v>0</v>
      </c>
      <c r="DY320" s="81">
        <f t="shared" si="2153"/>
        <v>0</v>
      </c>
      <c r="DZ320" s="81">
        <f t="shared" si="2153"/>
        <v>0</v>
      </c>
      <c r="EA320" s="81">
        <f t="shared" si="2153"/>
        <v>0</v>
      </c>
      <c r="EB320" s="81">
        <f t="shared" si="2153"/>
        <v>0</v>
      </c>
      <c r="EC320" s="81">
        <f>SUM(EC321:EC322)</f>
        <v>0</v>
      </c>
      <c r="ED320" s="91"/>
      <c r="EE320" s="81">
        <f>SUM(EE321:EE322)</f>
        <v>0</v>
      </c>
      <c r="EF320" s="81">
        <f t="shared" ref="EF320:EM320" si="2154">SUM(EF321:EF322)</f>
        <v>0</v>
      </c>
      <c r="EG320" s="81">
        <f t="shared" si="2154"/>
        <v>0</v>
      </c>
      <c r="EH320" s="81">
        <f t="shared" si="2154"/>
        <v>0</v>
      </c>
      <c r="EI320" s="81">
        <f t="shared" si="2154"/>
        <v>0</v>
      </c>
      <c r="EJ320" s="81">
        <f t="shared" si="2154"/>
        <v>0</v>
      </c>
      <c r="EK320" s="81">
        <f t="shared" si="2154"/>
        <v>0</v>
      </c>
      <c r="EL320" s="81">
        <f t="shared" si="2154"/>
        <v>0</v>
      </c>
      <c r="EM320" s="81">
        <f t="shared" si="2154"/>
        <v>0</v>
      </c>
      <c r="EN320" s="82">
        <f>SUM(EN321:EN322)</f>
        <v>0</v>
      </c>
      <c r="EO320" s="91"/>
      <c r="EP320" s="81">
        <f t="shared" ref="EP320:EX320" si="2155">SUM(EP321:EP322)</f>
        <v>0</v>
      </c>
      <c r="EQ320" s="81">
        <f t="shared" si="2155"/>
        <v>0</v>
      </c>
      <c r="ER320" s="81">
        <f t="shared" si="2155"/>
        <v>0</v>
      </c>
      <c r="ES320" s="81">
        <f t="shared" si="2155"/>
        <v>0</v>
      </c>
      <c r="ET320" s="81">
        <f t="shared" si="2155"/>
        <v>0</v>
      </c>
      <c r="EU320" s="81">
        <f t="shared" si="2155"/>
        <v>0</v>
      </c>
      <c r="EV320" s="81">
        <f t="shared" si="2155"/>
        <v>0</v>
      </c>
      <c r="EW320" s="81">
        <f t="shared" si="2155"/>
        <v>0</v>
      </c>
      <c r="EX320" s="81">
        <f t="shared" si="2155"/>
        <v>0</v>
      </c>
      <c r="EY320" s="82">
        <f>SUM(EY321:EY322)</f>
        <v>0</v>
      </c>
      <c r="EZ320" s="91"/>
      <c r="FA320" s="81">
        <f t="shared" ref="FA320:FI320" si="2156">SUM(FA321:FA322)</f>
        <v>0</v>
      </c>
      <c r="FB320" s="81">
        <f t="shared" si="2156"/>
        <v>0</v>
      </c>
      <c r="FC320" s="81">
        <f t="shared" si="2156"/>
        <v>0</v>
      </c>
      <c r="FD320" s="81">
        <f t="shared" si="2156"/>
        <v>0</v>
      </c>
      <c r="FE320" s="81">
        <f t="shared" si="2156"/>
        <v>0</v>
      </c>
      <c r="FF320" s="81">
        <f t="shared" si="2156"/>
        <v>0</v>
      </c>
      <c r="FG320" s="81">
        <f t="shared" si="2156"/>
        <v>0</v>
      </c>
      <c r="FH320" s="81">
        <f t="shared" si="2156"/>
        <v>0</v>
      </c>
      <c r="FI320" s="81">
        <f t="shared" si="2156"/>
        <v>0</v>
      </c>
      <c r="FJ320" s="82">
        <f>SUM(FJ321:FJ322)</f>
        <v>0</v>
      </c>
      <c r="FK320" s="91"/>
      <c r="FL320" s="81">
        <f t="shared" ref="FL320:FT320" si="2157">SUM(FL321:FL322)</f>
        <v>0</v>
      </c>
      <c r="FM320" s="81">
        <f t="shared" si="2157"/>
        <v>0</v>
      </c>
      <c r="FN320" s="81">
        <f t="shared" si="2157"/>
        <v>0</v>
      </c>
      <c r="FO320" s="81">
        <f t="shared" si="2157"/>
        <v>0</v>
      </c>
      <c r="FP320" s="81">
        <f t="shared" si="2157"/>
        <v>0</v>
      </c>
      <c r="FQ320" s="81">
        <f t="shared" si="2157"/>
        <v>0</v>
      </c>
      <c r="FR320" s="81">
        <f t="shared" si="2157"/>
        <v>0</v>
      </c>
      <c r="FS320" s="81">
        <f t="shared" si="2157"/>
        <v>0</v>
      </c>
      <c r="FT320" s="81">
        <f t="shared" si="2157"/>
        <v>0</v>
      </c>
      <c r="FU320" s="82">
        <f>SUM(FU321:FU322)</f>
        <v>0</v>
      </c>
      <c r="FV320" s="91"/>
      <c r="FW320" s="81">
        <f>SUM(FW321:FW322)</f>
        <v>0</v>
      </c>
      <c r="FX320" s="81">
        <f t="shared" ref="FX320:GE320" si="2158">SUM(FX321:FX322)</f>
        <v>0</v>
      </c>
      <c r="FY320" s="81">
        <f t="shared" si="2158"/>
        <v>0</v>
      </c>
      <c r="FZ320" s="81">
        <f t="shared" si="2158"/>
        <v>0</v>
      </c>
      <c r="GA320" s="81">
        <f t="shared" si="2158"/>
        <v>0</v>
      </c>
      <c r="GB320" s="81">
        <f t="shared" si="2158"/>
        <v>0</v>
      </c>
      <c r="GC320" s="81">
        <f t="shared" si="2158"/>
        <v>0</v>
      </c>
      <c r="GD320" s="81">
        <f t="shared" si="2158"/>
        <v>0</v>
      </c>
      <c r="GE320" s="81">
        <f t="shared" si="2158"/>
        <v>0</v>
      </c>
      <c r="GF320" s="82">
        <f>SUM(GF321:GF322)</f>
        <v>0</v>
      </c>
      <c r="GG320" s="91"/>
      <c r="GH320" s="81">
        <f t="shared" ref="GH320:GP320" si="2159">SUM(GH321:GH322)</f>
        <v>0</v>
      </c>
      <c r="GI320" s="81">
        <f t="shared" si="2159"/>
        <v>0</v>
      </c>
      <c r="GJ320" s="81">
        <f t="shared" si="2159"/>
        <v>0</v>
      </c>
      <c r="GK320" s="81">
        <f t="shared" si="2159"/>
        <v>0</v>
      </c>
      <c r="GL320" s="81">
        <f t="shared" si="2159"/>
        <v>0</v>
      </c>
      <c r="GM320" s="81">
        <f t="shared" si="2159"/>
        <v>0</v>
      </c>
      <c r="GN320" s="81">
        <f t="shared" si="2159"/>
        <v>0</v>
      </c>
      <c r="GO320" s="81">
        <f t="shared" si="2159"/>
        <v>0</v>
      </c>
      <c r="GP320" s="81">
        <f t="shared" si="2159"/>
        <v>0</v>
      </c>
      <c r="GQ320" s="82">
        <f t="shared" ref="GQ320:HV320" si="2160">SUM(GQ321:GQ322)</f>
        <v>0</v>
      </c>
      <c r="GR320" s="81">
        <f t="shared" si="2160"/>
        <v>0</v>
      </c>
      <c r="GS320" s="81">
        <f t="shared" si="2160"/>
        <v>0</v>
      </c>
      <c r="GT320" s="81">
        <f t="shared" si="2160"/>
        <v>0</v>
      </c>
      <c r="GU320" s="81">
        <f t="shared" si="2160"/>
        <v>0</v>
      </c>
      <c r="GV320" s="81">
        <f t="shared" si="2160"/>
        <v>0</v>
      </c>
      <c r="GW320" s="81">
        <f t="shared" si="2160"/>
        <v>0</v>
      </c>
      <c r="GX320" s="81">
        <f t="shared" si="2160"/>
        <v>0</v>
      </c>
      <c r="GY320" s="81">
        <f t="shared" si="2160"/>
        <v>0</v>
      </c>
      <c r="GZ320" s="81">
        <f t="shared" si="2160"/>
        <v>0</v>
      </c>
      <c r="HA320" s="81">
        <f t="shared" si="2160"/>
        <v>0</v>
      </c>
      <c r="HB320" s="81">
        <f t="shared" si="2160"/>
        <v>0</v>
      </c>
      <c r="HC320" s="81">
        <f t="shared" si="2160"/>
        <v>0</v>
      </c>
      <c r="HD320" s="81">
        <f t="shared" si="2160"/>
        <v>0</v>
      </c>
      <c r="HE320" s="81">
        <f t="shared" si="2160"/>
        <v>0</v>
      </c>
      <c r="HF320" s="81">
        <f t="shared" si="2160"/>
        <v>0</v>
      </c>
      <c r="HG320" s="81">
        <f t="shared" si="2160"/>
        <v>0</v>
      </c>
      <c r="HH320" s="81">
        <f t="shared" si="2160"/>
        <v>0</v>
      </c>
      <c r="HI320" s="81">
        <f t="shared" si="2160"/>
        <v>0</v>
      </c>
      <c r="HJ320" s="81">
        <f t="shared" si="2160"/>
        <v>0</v>
      </c>
      <c r="HK320" s="81">
        <f t="shared" si="2160"/>
        <v>0</v>
      </c>
      <c r="HL320" s="81">
        <f t="shared" si="2160"/>
        <v>0</v>
      </c>
      <c r="HM320" s="81">
        <f t="shared" si="2160"/>
        <v>0</v>
      </c>
      <c r="HN320" s="81">
        <f t="shared" si="2160"/>
        <v>0</v>
      </c>
      <c r="HO320" s="81">
        <f t="shared" si="2160"/>
        <v>0</v>
      </c>
      <c r="HP320" s="81">
        <f t="shared" si="2160"/>
        <v>0</v>
      </c>
      <c r="HQ320" s="81">
        <f t="shared" si="2160"/>
        <v>0</v>
      </c>
      <c r="HR320" s="81">
        <f t="shared" si="2160"/>
        <v>0</v>
      </c>
      <c r="HS320" s="81">
        <f t="shared" si="2160"/>
        <v>0</v>
      </c>
      <c r="HT320" s="81">
        <f t="shared" si="2160"/>
        <v>0</v>
      </c>
      <c r="HU320" s="81">
        <f t="shared" si="2160"/>
        <v>0</v>
      </c>
      <c r="HV320" s="81">
        <f t="shared" si="2160"/>
        <v>0</v>
      </c>
      <c r="HW320" s="81">
        <f t="shared" ref="HW320:IV320" si="2161">SUM(HW321:HW322)</f>
        <v>0</v>
      </c>
      <c r="HX320" s="81">
        <f t="shared" si="2161"/>
        <v>0</v>
      </c>
      <c r="HY320" s="81">
        <f t="shared" si="2161"/>
        <v>0</v>
      </c>
      <c r="HZ320" s="81">
        <f t="shared" si="2161"/>
        <v>0</v>
      </c>
      <c r="IA320" s="81">
        <f t="shared" si="2161"/>
        <v>0</v>
      </c>
      <c r="IB320" s="81">
        <f t="shared" si="2161"/>
        <v>0</v>
      </c>
      <c r="IC320" s="81">
        <f t="shared" si="2161"/>
        <v>0</v>
      </c>
      <c r="ID320" s="81">
        <f t="shared" si="2161"/>
        <v>0</v>
      </c>
      <c r="IE320" s="81">
        <f t="shared" si="2161"/>
        <v>0</v>
      </c>
      <c r="IF320" s="81">
        <f t="shared" si="2161"/>
        <v>0</v>
      </c>
      <c r="IG320" s="81">
        <f t="shared" si="2161"/>
        <v>0</v>
      </c>
      <c r="IH320" s="81">
        <f t="shared" si="2161"/>
        <v>0</v>
      </c>
      <c r="II320" s="81">
        <f t="shared" si="2161"/>
        <v>0</v>
      </c>
      <c r="IJ320" s="81">
        <f t="shared" si="2161"/>
        <v>0</v>
      </c>
      <c r="IK320" s="81">
        <f t="shared" si="2161"/>
        <v>0</v>
      </c>
      <c r="IL320" s="81">
        <f t="shared" si="2161"/>
        <v>0</v>
      </c>
      <c r="IM320" s="81">
        <f t="shared" si="2161"/>
        <v>0</v>
      </c>
      <c r="IN320" s="81">
        <f t="shared" si="2161"/>
        <v>0</v>
      </c>
      <c r="IO320" s="81">
        <f t="shared" si="2161"/>
        <v>0</v>
      </c>
      <c r="IP320" s="81">
        <f t="shared" si="2161"/>
        <v>0</v>
      </c>
      <c r="IQ320" s="81">
        <f t="shared" si="2161"/>
        <v>0</v>
      </c>
      <c r="IR320" s="81">
        <f t="shared" si="2161"/>
        <v>0</v>
      </c>
      <c r="IS320" s="81">
        <f t="shared" si="2161"/>
        <v>0</v>
      </c>
      <c r="IT320" s="81">
        <f t="shared" si="2161"/>
        <v>0</v>
      </c>
      <c r="IU320" s="81">
        <f t="shared" si="2161"/>
        <v>0</v>
      </c>
      <c r="IV320" s="81">
        <f t="shared" si="2161"/>
        <v>0</v>
      </c>
    </row>
    <row r="321" spans="1:256" x14ac:dyDescent="0.25">
      <c r="A321" s="84" t="s">
        <v>254</v>
      </c>
      <c r="B321" s="62"/>
      <c r="C321" s="63"/>
      <c r="D321" s="63"/>
      <c r="E321" s="63"/>
      <c r="F321" s="63"/>
      <c r="G321" s="63"/>
      <c r="H321" s="63"/>
      <c r="I321" s="63"/>
      <c r="J321" s="63"/>
      <c r="K321" s="63"/>
      <c r="L321" s="64">
        <f>SUM(C321:F321,H321:K321)</f>
        <v>0</v>
      </c>
      <c r="M321" s="62"/>
      <c r="N321" s="63"/>
      <c r="O321" s="63"/>
      <c r="P321" s="63"/>
      <c r="Q321" s="63"/>
      <c r="R321" s="63"/>
      <c r="S321" s="63"/>
      <c r="T321" s="63"/>
      <c r="U321" s="63"/>
      <c r="V321" s="63"/>
      <c r="W321" s="64">
        <f>SUM(N321:Q321,S321:V321)</f>
        <v>0</v>
      </c>
      <c r="X321" s="62"/>
      <c r="Y321" s="63"/>
      <c r="Z321" s="63"/>
      <c r="AA321" s="63"/>
      <c r="AB321" s="63"/>
      <c r="AC321" s="63"/>
      <c r="AD321" s="63"/>
      <c r="AE321" s="63"/>
      <c r="AF321" s="63"/>
      <c r="AG321" s="63"/>
      <c r="AH321" s="64">
        <f>SUM(Y321:AB321,AD321:AG321)</f>
        <v>0</v>
      </c>
      <c r="AI321" s="62"/>
      <c r="AJ321" s="63"/>
      <c r="AK321" s="63"/>
      <c r="AL321" s="63"/>
      <c r="AM321" s="63"/>
      <c r="AN321" s="63"/>
      <c r="AO321" s="63"/>
      <c r="AP321" s="63"/>
      <c r="AQ321" s="63"/>
      <c r="AR321" s="63"/>
      <c r="AS321" s="64">
        <f>SUM(AJ321:AM321,AO321:AR321)</f>
        <v>0</v>
      </c>
      <c r="AT321" s="65">
        <f t="shared" ref="AT321:BC322" si="2162">SUM(M321,AI321,X321)</f>
        <v>0</v>
      </c>
      <c r="AU321" s="65">
        <f t="shared" si="2162"/>
        <v>0</v>
      </c>
      <c r="AV321" s="65">
        <f t="shared" si="2162"/>
        <v>0</v>
      </c>
      <c r="AW321" s="65">
        <f t="shared" si="2162"/>
        <v>0</v>
      </c>
      <c r="AX321" s="65">
        <f t="shared" si="2162"/>
        <v>0</v>
      </c>
      <c r="AY321" s="65">
        <f t="shared" si="2162"/>
        <v>0</v>
      </c>
      <c r="AZ321" s="65">
        <f t="shared" si="2162"/>
        <v>0</v>
      </c>
      <c r="BA321" s="65">
        <f t="shared" si="2162"/>
        <v>0</v>
      </c>
      <c r="BB321" s="65">
        <f t="shared" si="2162"/>
        <v>0</v>
      </c>
      <c r="BC321" s="65">
        <f t="shared" si="2162"/>
        <v>0</v>
      </c>
      <c r="BD321" s="64">
        <f>SUM(AU321:AX321,AZ321:BC321)</f>
        <v>0</v>
      </c>
      <c r="BE321" s="62"/>
      <c r="BF321" s="63"/>
      <c r="BG321" s="63"/>
      <c r="BH321" s="63"/>
      <c r="BI321" s="63"/>
      <c r="BJ321" s="63"/>
      <c r="BK321" s="63"/>
      <c r="BL321" s="63"/>
      <c r="BM321" s="63"/>
      <c r="BN321" s="63"/>
      <c r="BO321" s="64">
        <f>SUM(BF321:BI321,BK321:BN321)</f>
        <v>0</v>
      </c>
      <c r="BP321" s="62"/>
      <c r="BQ321" s="63"/>
      <c r="BR321" s="63"/>
      <c r="BS321" s="63"/>
      <c r="BT321" s="63"/>
      <c r="BU321" s="63"/>
      <c r="BV321" s="63"/>
      <c r="BW321" s="63"/>
      <c r="BX321" s="63"/>
      <c r="BY321" s="63"/>
      <c r="BZ321" s="64">
        <f>SUM(BQ321:BT321,BV321:BY321)</f>
        <v>0</v>
      </c>
      <c r="CA321" s="62"/>
      <c r="CB321" s="63"/>
      <c r="CC321" s="63"/>
      <c r="CD321" s="63"/>
      <c r="CE321" s="63"/>
      <c r="CF321" s="63"/>
      <c r="CG321" s="63"/>
      <c r="CH321" s="63"/>
      <c r="CI321" s="63"/>
      <c r="CJ321" s="63"/>
      <c r="CK321" s="64">
        <f>SUM(CB321:CE321,CG321:CJ321)</f>
        <v>0</v>
      </c>
      <c r="CL321" s="65">
        <f t="shared" ref="CL321:CU322" si="2163">SUM(BE321,CA321,BP321)</f>
        <v>0</v>
      </c>
      <c r="CM321" s="65">
        <f t="shared" si="2163"/>
        <v>0</v>
      </c>
      <c r="CN321" s="65">
        <f t="shared" si="2163"/>
        <v>0</v>
      </c>
      <c r="CO321" s="65">
        <f t="shared" si="2163"/>
        <v>0</v>
      </c>
      <c r="CP321" s="65">
        <f t="shared" si="2163"/>
        <v>0</v>
      </c>
      <c r="CQ321" s="65">
        <f t="shared" si="2163"/>
        <v>0</v>
      </c>
      <c r="CR321" s="65">
        <f t="shared" si="2163"/>
        <v>0</v>
      </c>
      <c r="CS321" s="65">
        <f t="shared" si="2163"/>
        <v>0</v>
      </c>
      <c r="CT321" s="65">
        <f t="shared" si="2163"/>
        <v>0</v>
      </c>
      <c r="CU321" s="65">
        <f t="shared" si="2163"/>
        <v>0</v>
      </c>
      <c r="CV321" s="64">
        <f>SUM(CM321:CP321,CR321:CU321)</f>
        <v>0</v>
      </c>
      <c r="CW321" s="62"/>
      <c r="CX321" s="63"/>
      <c r="CY321" s="63"/>
      <c r="CZ321" s="63"/>
      <c r="DA321" s="63"/>
      <c r="DB321" s="63"/>
      <c r="DC321" s="63"/>
      <c r="DD321" s="63"/>
      <c r="DE321" s="63"/>
      <c r="DF321" s="63"/>
      <c r="DG321" s="64">
        <f>SUM(CX321:DA321,DC321:DF321)</f>
        <v>0</v>
      </c>
      <c r="DH321" s="62"/>
      <c r="DI321" s="63"/>
      <c r="DJ321" s="63"/>
      <c r="DK321" s="63"/>
      <c r="DL321" s="63"/>
      <c r="DM321" s="63"/>
      <c r="DN321" s="63"/>
      <c r="DO321" s="63"/>
      <c r="DP321" s="63"/>
      <c r="DQ321" s="63"/>
      <c r="DR321" s="64">
        <f>SUM(DI321:DL321,DN321:DQ321)</f>
        <v>0</v>
      </c>
      <c r="DS321" s="62"/>
      <c r="DT321" s="63"/>
      <c r="DU321" s="63"/>
      <c r="DV321" s="63"/>
      <c r="DW321" s="63"/>
      <c r="DX321" s="63"/>
      <c r="DY321" s="63"/>
      <c r="DZ321" s="63"/>
      <c r="EA321" s="63"/>
      <c r="EB321" s="63"/>
      <c r="EC321" s="63"/>
      <c r="ED321" s="65">
        <f t="shared" ref="ED321:EM322" si="2164">SUM(CW321,DS321,DH321)</f>
        <v>0</v>
      </c>
      <c r="EE321" s="65">
        <f t="shared" si="2164"/>
        <v>0</v>
      </c>
      <c r="EF321" s="65">
        <f t="shared" si="2164"/>
        <v>0</v>
      </c>
      <c r="EG321" s="65">
        <f t="shared" si="2164"/>
        <v>0</v>
      </c>
      <c r="EH321" s="65">
        <f t="shared" si="2164"/>
        <v>0</v>
      </c>
      <c r="EI321" s="65">
        <f t="shared" si="2164"/>
        <v>0</v>
      </c>
      <c r="EJ321" s="65">
        <f t="shared" si="2164"/>
        <v>0</v>
      </c>
      <c r="EK321" s="65">
        <f t="shared" si="2164"/>
        <v>0</v>
      </c>
      <c r="EL321" s="65">
        <f t="shared" si="2164"/>
        <v>0</v>
      </c>
      <c r="EM321" s="65">
        <f t="shared" si="2164"/>
        <v>0</v>
      </c>
      <c r="EN321" s="64">
        <f>SUM(EE321:EH321,EJ321:EM321)</f>
        <v>0</v>
      </c>
      <c r="EO321" s="62"/>
      <c r="EP321" s="63"/>
      <c r="EQ321" s="63"/>
      <c r="ER321" s="63"/>
      <c r="ES321" s="63"/>
      <c r="ET321" s="63"/>
      <c r="EU321" s="63"/>
      <c r="EV321" s="63"/>
      <c r="EW321" s="63"/>
      <c r="EX321" s="63"/>
      <c r="EY321" s="64">
        <f>SUM(EP321:ES321,EU321:EX321)</f>
        <v>0</v>
      </c>
      <c r="EZ321" s="62"/>
      <c r="FA321" s="63"/>
      <c r="FB321" s="63"/>
      <c r="FC321" s="63"/>
      <c r="FD321" s="63"/>
      <c r="FE321" s="63"/>
      <c r="FF321" s="63"/>
      <c r="FG321" s="63"/>
      <c r="FH321" s="63"/>
      <c r="FI321" s="63"/>
      <c r="FJ321" s="64">
        <f>SUM(FA321:FD321,FF321:FI321)</f>
        <v>0</v>
      </c>
      <c r="FK321" s="62"/>
      <c r="FL321" s="63"/>
      <c r="FM321" s="63"/>
      <c r="FN321" s="63"/>
      <c r="FO321" s="63"/>
      <c r="FP321" s="63"/>
      <c r="FQ321" s="63"/>
      <c r="FR321" s="63"/>
      <c r="FS321" s="63"/>
      <c r="FT321" s="63"/>
      <c r="FU321" s="64">
        <f>SUM(FL321:FO321,FQ321:FT321)</f>
        <v>0</v>
      </c>
      <c r="FV321" s="65">
        <f t="shared" ref="FV321:GE322" si="2165">SUM(EO321,FK321,EZ321)</f>
        <v>0</v>
      </c>
      <c r="FW321" s="65">
        <f t="shared" si="2165"/>
        <v>0</v>
      </c>
      <c r="FX321" s="65">
        <f t="shared" si="2165"/>
        <v>0</v>
      </c>
      <c r="FY321" s="65">
        <f t="shared" si="2165"/>
        <v>0</v>
      </c>
      <c r="FZ321" s="65">
        <f t="shared" si="2165"/>
        <v>0</v>
      </c>
      <c r="GA321" s="65">
        <f t="shared" si="2165"/>
        <v>0</v>
      </c>
      <c r="GB321" s="65">
        <f t="shared" si="2165"/>
        <v>0</v>
      </c>
      <c r="GC321" s="65">
        <f t="shared" si="2165"/>
        <v>0</v>
      </c>
      <c r="GD321" s="65">
        <f t="shared" si="2165"/>
        <v>0</v>
      </c>
      <c r="GE321" s="65">
        <f t="shared" si="2165"/>
        <v>0</v>
      </c>
      <c r="GF321" s="64">
        <f>SUM(FW321:FZ321,GB321:GE321)</f>
        <v>0</v>
      </c>
      <c r="GG321" s="66">
        <f t="shared" ref="GG321:GP322" si="2166">SUM(AT321,CL321,ED321,FV321)</f>
        <v>0</v>
      </c>
      <c r="GH321" s="66">
        <f t="shared" si="2166"/>
        <v>0</v>
      </c>
      <c r="GI321" s="66">
        <f t="shared" si="2166"/>
        <v>0</v>
      </c>
      <c r="GJ321" s="66">
        <f t="shared" si="2166"/>
        <v>0</v>
      </c>
      <c r="GK321" s="66">
        <f t="shared" si="2166"/>
        <v>0</v>
      </c>
      <c r="GL321" s="66">
        <f t="shared" si="2166"/>
        <v>0</v>
      </c>
      <c r="GM321" s="66">
        <f t="shared" si="2166"/>
        <v>0</v>
      </c>
      <c r="GN321" s="66">
        <f t="shared" si="2166"/>
        <v>0</v>
      </c>
      <c r="GO321" s="66">
        <f t="shared" si="2166"/>
        <v>0</v>
      </c>
      <c r="GP321" s="66">
        <f t="shared" si="2166"/>
        <v>0</v>
      </c>
      <c r="GQ321" s="64">
        <f>SUM(GH321:GK321,GM321:GP321)</f>
        <v>0</v>
      </c>
      <c r="GR321" s="63"/>
      <c r="GS321" s="63"/>
      <c r="GT321" s="63"/>
      <c r="GU321" s="63"/>
      <c r="GV321" s="67">
        <f>SUM(GR321:GU321)</f>
        <v>0</v>
      </c>
      <c r="GW321" s="63"/>
      <c r="GX321" s="63"/>
      <c r="GY321" s="63"/>
      <c r="GZ321" s="63"/>
      <c r="HA321" s="67">
        <f>SUM(GW321:GZ321)</f>
        <v>0</v>
      </c>
      <c r="HB321" s="63"/>
      <c r="HC321" s="63"/>
      <c r="HD321" s="63"/>
      <c r="HE321" s="63"/>
      <c r="HF321" s="67">
        <f>SUM(HB321:HE321)</f>
        <v>0</v>
      </c>
      <c r="HG321" s="63"/>
      <c r="HH321" s="63"/>
      <c r="HI321" s="63"/>
      <c r="HJ321" s="63"/>
      <c r="HK321" s="67">
        <f>SUM(HG321:HJ321)</f>
        <v>0</v>
      </c>
      <c r="HL321" s="68">
        <f t="shared" ref="HL321:HO322" si="2167">SUM(GW321,HB321,HG321)</f>
        <v>0</v>
      </c>
      <c r="HM321" s="68">
        <f t="shared" si="2167"/>
        <v>0</v>
      </c>
      <c r="HN321" s="68">
        <f t="shared" si="2167"/>
        <v>0</v>
      </c>
      <c r="HO321" s="68">
        <f t="shared" si="2167"/>
        <v>0</v>
      </c>
      <c r="HP321" s="67">
        <f>SUM(HL321:HO321)</f>
        <v>0</v>
      </c>
      <c r="HQ321" s="63"/>
      <c r="HR321" s="63"/>
      <c r="HS321" s="63"/>
      <c r="HT321" s="63"/>
      <c r="HU321" s="67">
        <f>SUM(HQ321:HT321)</f>
        <v>0</v>
      </c>
      <c r="HV321" s="63"/>
      <c r="HW321" s="63"/>
      <c r="HX321" s="63"/>
      <c r="HY321" s="63"/>
      <c r="HZ321" s="67">
        <f>SUM(HV321:HY321)</f>
        <v>0</v>
      </c>
      <c r="IA321" s="63"/>
      <c r="IB321" s="63"/>
      <c r="IC321" s="63"/>
      <c r="ID321" s="63"/>
      <c r="IE321" s="67">
        <f>SUM(IA321:ID321)</f>
        <v>0</v>
      </c>
      <c r="IF321" s="68">
        <f t="shared" ref="IF321:II322" si="2168">SUM(HQ321,HV321,IA321)</f>
        <v>0</v>
      </c>
      <c r="IG321" s="68">
        <f t="shared" si="2168"/>
        <v>0</v>
      </c>
      <c r="IH321" s="68">
        <f t="shared" si="2168"/>
        <v>0</v>
      </c>
      <c r="II321" s="68">
        <f t="shared" si="2168"/>
        <v>0</v>
      </c>
      <c r="IJ321" s="67">
        <f>SUM(IF321:II321)</f>
        <v>0</v>
      </c>
      <c r="IK321" s="63"/>
      <c r="IL321" s="63"/>
      <c r="IM321" s="63"/>
      <c r="IN321" s="63"/>
      <c r="IO321" s="67">
        <f>SUM(IK321:IN321)</f>
        <v>0</v>
      </c>
      <c r="IP321" s="63"/>
      <c r="IQ321" s="63"/>
      <c r="IR321" s="63"/>
      <c r="IS321" s="63"/>
      <c r="IT321" s="67">
        <f>SUM(IP321:IS321)</f>
        <v>0</v>
      </c>
      <c r="IU321" s="63"/>
      <c r="IV321" s="63"/>
    </row>
    <row r="322" spans="1:256" x14ac:dyDescent="0.25">
      <c r="A322" s="84" t="s">
        <v>255</v>
      </c>
      <c r="B322" s="62"/>
      <c r="C322" s="63"/>
      <c r="D322" s="63"/>
      <c r="E322" s="63"/>
      <c r="F322" s="63"/>
      <c r="G322" s="63"/>
      <c r="H322" s="63"/>
      <c r="I322" s="63"/>
      <c r="J322" s="63"/>
      <c r="K322" s="63"/>
      <c r="L322" s="64">
        <f>SUM(C322:F322,H322:K322)</f>
        <v>0</v>
      </c>
      <c r="M322" s="62"/>
      <c r="N322" s="63"/>
      <c r="O322" s="63"/>
      <c r="P322" s="63"/>
      <c r="Q322" s="63"/>
      <c r="R322" s="63"/>
      <c r="S322" s="63"/>
      <c r="T322" s="63"/>
      <c r="U322" s="63"/>
      <c r="V322" s="63"/>
      <c r="W322" s="64">
        <f>SUM(N322:Q322,S322:V322)</f>
        <v>0</v>
      </c>
      <c r="X322" s="62"/>
      <c r="Y322" s="63"/>
      <c r="Z322" s="63"/>
      <c r="AA322" s="63"/>
      <c r="AB322" s="63"/>
      <c r="AC322" s="63"/>
      <c r="AD322" s="63"/>
      <c r="AE322" s="63"/>
      <c r="AF322" s="63"/>
      <c r="AG322" s="63"/>
      <c r="AH322" s="64">
        <f>SUM(Y322:AB322,AD322:AG322)</f>
        <v>0</v>
      </c>
      <c r="AI322" s="62"/>
      <c r="AJ322" s="63"/>
      <c r="AK322" s="63"/>
      <c r="AL322" s="63"/>
      <c r="AM322" s="63"/>
      <c r="AN322" s="63"/>
      <c r="AO322" s="63"/>
      <c r="AP322" s="63"/>
      <c r="AQ322" s="63"/>
      <c r="AR322" s="63"/>
      <c r="AS322" s="64">
        <f>SUM(AJ322:AM322,AO322:AR322)</f>
        <v>0</v>
      </c>
      <c r="AT322" s="65">
        <f t="shared" si="2162"/>
        <v>0</v>
      </c>
      <c r="AU322" s="65">
        <f t="shared" si="2162"/>
        <v>0</v>
      </c>
      <c r="AV322" s="65">
        <f t="shared" si="2162"/>
        <v>0</v>
      </c>
      <c r="AW322" s="65">
        <f t="shared" si="2162"/>
        <v>0</v>
      </c>
      <c r="AX322" s="65">
        <f t="shared" si="2162"/>
        <v>0</v>
      </c>
      <c r="AY322" s="65">
        <f t="shared" si="2162"/>
        <v>0</v>
      </c>
      <c r="AZ322" s="65">
        <f t="shared" si="2162"/>
        <v>0</v>
      </c>
      <c r="BA322" s="65">
        <f t="shared" si="2162"/>
        <v>0</v>
      </c>
      <c r="BB322" s="65">
        <f t="shared" si="2162"/>
        <v>0</v>
      </c>
      <c r="BC322" s="65">
        <f t="shared" si="2162"/>
        <v>0</v>
      </c>
      <c r="BD322" s="64">
        <f>SUM(AU322:AX322,AZ322:BC322)</f>
        <v>0</v>
      </c>
      <c r="BE322" s="62"/>
      <c r="BF322" s="63"/>
      <c r="BG322" s="63"/>
      <c r="BH322" s="63"/>
      <c r="BI322" s="63"/>
      <c r="BJ322" s="63"/>
      <c r="BK322" s="63"/>
      <c r="BL322" s="63"/>
      <c r="BM322" s="63"/>
      <c r="BN322" s="63"/>
      <c r="BO322" s="64">
        <f>SUM(BF322:BI322,BK322:BN322)</f>
        <v>0</v>
      </c>
      <c r="BP322" s="62"/>
      <c r="BQ322" s="63"/>
      <c r="BR322" s="63"/>
      <c r="BS322" s="63"/>
      <c r="BT322" s="63"/>
      <c r="BU322" s="63"/>
      <c r="BV322" s="63"/>
      <c r="BW322" s="63"/>
      <c r="BX322" s="63"/>
      <c r="BY322" s="63"/>
      <c r="BZ322" s="64">
        <f>SUM(BQ322:BT322,BV322:BY322)</f>
        <v>0</v>
      </c>
      <c r="CA322" s="62"/>
      <c r="CB322" s="63"/>
      <c r="CC322" s="63"/>
      <c r="CD322" s="63"/>
      <c r="CE322" s="63"/>
      <c r="CF322" s="63"/>
      <c r="CG322" s="63"/>
      <c r="CH322" s="63"/>
      <c r="CI322" s="63"/>
      <c r="CJ322" s="63"/>
      <c r="CK322" s="64">
        <f>SUM(CB322:CE322,CG322:CJ322)</f>
        <v>0</v>
      </c>
      <c r="CL322" s="65">
        <f t="shared" si="2163"/>
        <v>0</v>
      </c>
      <c r="CM322" s="65">
        <f t="shared" si="2163"/>
        <v>0</v>
      </c>
      <c r="CN322" s="65">
        <f t="shared" si="2163"/>
        <v>0</v>
      </c>
      <c r="CO322" s="65">
        <f t="shared" si="2163"/>
        <v>0</v>
      </c>
      <c r="CP322" s="65">
        <f t="shared" si="2163"/>
        <v>0</v>
      </c>
      <c r="CQ322" s="65">
        <f t="shared" si="2163"/>
        <v>0</v>
      </c>
      <c r="CR322" s="65">
        <f t="shared" si="2163"/>
        <v>0</v>
      </c>
      <c r="CS322" s="65">
        <f t="shared" si="2163"/>
        <v>0</v>
      </c>
      <c r="CT322" s="65">
        <f t="shared" si="2163"/>
        <v>0</v>
      </c>
      <c r="CU322" s="65">
        <f t="shared" si="2163"/>
        <v>0</v>
      </c>
      <c r="CV322" s="64">
        <f>SUM(CM322:CP322,CR322:CU322)</f>
        <v>0</v>
      </c>
      <c r="CW322" s="62"/>
      <c r="CX322" s="63"/>
      <c r="CY322" s="63"/>
      <c r="CZ322" s="63"/>
      <c r="DA322" s="63"/>
      <c r="DB322" s="63"/>
      <c r="DC322" s="63"/>
      <c r="DD322" s="63"/>
      <c r="DE322" s="63"/>
      <c r="DF322" s="63"/>
      <c r="DG322" s="64">
        <f>SUM(CX322:DA322,DC322:DF322)</f>
        <v>0</v>
      </c>
      <c r="DH322" s="62"/>
      <c r="DI322" s="63"/>
      <c r="DJ322" s="63"/>
      <c r="DK322" s="63"/>
      <c r="DL322" s="63"/>
      <c r="DM322" s="63"/>
      <c r="DN322" s="63"/>
      <c r="DO322" s="63"/>
      <c r="DP322" s="63"/>
      <c r="DQ322" s="63"/>
      <c r="DR322" s="64">
        <f>SUM(DI322:DL322,DN322:DQ322)</f>
        <v>0</v>
      </c>
      <c r="DS322" s="62"/>
      <c r="DT322" s="63"/>
      <c r="DU322" s="63"/>
      <c r="DV322" s="63"/>
      <c r="DW322" s="63"/>
      <c r="DX322" s="63"/>
      <c r="DY322" s="63"/>
      <c r="DZ322" s="63"/>
      <c r="EA322" s="63"/>
      <c r="EB322" s="63"/>
      <c r="EC322" s="63"/>
      <c r="ED322" s="65">
        <f t="shared" si="2164"/>
        <v>0</v>
      </c>
      <c r="EE322" s="65">
        <f t="shared" si="2164"/>
        <v>0</v>
      </c>
      <c r="EF322" s="65">
        <f t="shared" si="2164"/>
        <v>0</v>
      </c>
      <c r="EG322" s="65">
        <f t="shared" si="2164"/>
        <v>0</v>
      </c>
      <c r="EH322" s="65">
        <f t="shared" si="2164"/>
        <v>0</v>
      </c>
      <c r="EI322" s="65">
        <f t="shared" si="2164"/>
        <v>0</v>
      </c>
      <c r="EJ322" s="65">
        <f t="shared" si="2164"/>
        <v>0</v>
      </c>
      <c r="EK322" s="65">
        <f t="shared" si="2164"/>
        <v>0</v>
      </c>
      <c r="EL322" s="65">
        <f t="shared" si="2164"/>
        <v>0</v>
      </c>
      <c r="EM322" s="65">
        <f t="shared" si="2164"/>
        <v>0</v>
      </c>
      <c r="EN322" s="64">
        <f>SUM(EE322:EH322,EJ322:EM322)</f>
        <v>0</v>
      </c>
      <c r="EO322" s="62"/>
      <c r="EP322" s="63"/>
      <c r="EQ322" s="63"/>
      <c r="ER322" s="63"/>
      <c r="ES322" s="63"/>
      <c r="ET322" s="63"/>
      <c r="EU322" s="63"/>
      <c r="EV322" s="63"/>
      <c r="EW322" s="63"/>
      <c r="EX322" s="63"/>
      <c r="EY322" s="64">
        <f>SUM(EP322:ES322,EU322:EX322)</f>
        <v>0</v>
      </c>
      <c r="EZ322" s="62"/>
      <c r="FA322" s="63"/>
      <c r="FB322" s="63"/>
      <c r="FC322" s="63"/>
      <c r="FD322" s="63"/>
      <c r="FE322" s="63"/>
      <c r="FF322" s="63"/>
      <c r="FG322" s="63"/>
      <c r="FH322" s="63"/>
      <c r="FI322" s="63"/>
      <c r="FJ322" s="64">
        <f>SUM(FA322:FD322,FF322:FI322)</f>
        <v>0</v>
      </c>
      <c r="FK322" s="62"/>
      <c r="FL322" s="63"/>
      <c r="FM322" s="63"/>
      <c r="FN322" s="63"/>
      <c r="FO322" s="63"/>
      <c r="FP322" s="63"/>
      <c r="FQ322" s="63"/>
      <c r="FR322" s="63"/>
      <c r="FS322" s="63"/>
      <c r="FT322" s="63"/>
      <c r="FU322" s="64">
        <f>SUM(FL322:FO322,FQ322:FT322)</f>
        <v>0</v>
      </c>
      <c r="FV322" s="65">
        <f t="shared" si="2165"/>
        <v>0</v>
      </c>
      <c r="FW322" s="65">
        <f t="shared" si="2165"/>
        <v>0</v>
      </c>
      <c r="FX322" s="65">
        <f t="shared" si="2165"/>
        <v>0</v>
      </c>
      <c r="FY322" s="65">
        <f t="shared" si="2165"/>
        <v>0</v>
      </c>
      <c r="FZ322" s="65">
        <f t="shared" si="2165"/>
        <v>0</v>
      </c>
      <c r="GA322" s="65">
        <f t="shared" si="2165"/>
        <v>0</v>
      </c>
      <c r="GB322" s="65">
        <f t="shared" si="2165"/>
        <v>0</v>
      </c>
      <c r="GC322" s="65">
        <f t="shared" si="2165"/>
        <v>0</v>
      </c>
      <c r="GD322" s="65">
        <f t="shared" si="2165"/>
        <v>0</v>
      </c>
      <c r="GE322" s="65">
        <f t="shared" si="2165"/>
        <v>0</v>
      </c>
      <c r="GF322" s="64">
        <f>SUM(FW322:FZ322,GB322:GE322)</f>
        <v>0</v>
      </c>
      <c r="GG322" s="66">
        <f t="shared" si="2166"/>
        <v>0</v>
      </c>
      <c r="GH322" s="66">
        <f t="shared" si="2166"/>
        <v>0</v>
      </c>
      <c r="GI322" s="66">
        <f t="shared" si="2166"/>
        <v>0</v>
      </c>
      <c r="GJ322" s="66">
        <f t="shared" si="2166"/>
        <v>0</v>
      </c>
      <c r="GK322" s="66">
        <f t="shared" si="2166"/>
        <v>0</v>
      </c>
      <c r="GL322" s="66">
        <f t="shared" si="2166"/>
        <v>0</v>
      </c>
      <c r="GM322" s="66">
        <f t="shared" si="2166"/>
        <v>0</v>
      </c>
      <c r="GN322" s="66">
        <f t="shared" si="2166"/>
        <v>0</v>
      </c>
      <c r="GO322" s="66">
        <f t="shared" si="2166"/>
        <v>0</v>
      </c>
      <c r="GP322" s="66">
        <f t="shared" si="2166"/>
        <v>0</v>
      </c>
      <c r="GQ322" s="64">
        <f>SUM(GH322:GK322,GM322:GP322)</f>
        <v>0</v>
      </c>
      <c r="GR322" s="63"/>
      <c r="GS322" s="63"/>
      <c r="GT322" s="63"/>
      <c r="GU322" s="63"/>
      <c r="GV322" s="67">
        <f>SUM(GR322:GU322)</f>
        <v>0</v>
      </c>
      <c r="GW322" s="63"/>
      <c r="GX322" s="63"/>
      <c r="GY322" s="63"/>
      <c r="GZ322" s="63"/>
      <c r="HA322" s="67">
        <f>SUM(GW322:GZ322)</f>
        <v>0</v>
      </c>
      <c r="HB322" s="63"/>
      <c r="HC322" s="63"/>
      <c r="HD322" s="63"/>
      <c r="HE322" s="63"/>
      <c r="HF322" s="67">
        <f>SUM(HB322:HE322)</f>
        <v>0</v>
      </c>
      <c r="HG322" s="63"/>
      <c r="HH322" s="63"/>
      <c r="HI322" s="63"/>
      <c r="HJ322" s="63"/>
      <c r="HK322" s="67">
        <f>SUM(HG322:HJ322)</f>
        <v>0</v>
      </c>
      <c r="HL322" s="68">
        <f t="shared" si="2167"/>
        <v>0</v>
      </c>
      <c r="HM322" s="68">
        <f t="shared" si="2167"/>
        <v>0</v>
      </c>
      <c r="HN322" s="68">
        <f t="shared" si="2167"/>
        <v>0</v>
      </c>
      <c r="HO322" s="68">
        <f t="shared" si="2167"/>
        <v>0</v>
      </c>
      <c r="HP322" s="67">
        <f>SUM(HL322:HO322)</f>
        <v>0</v>
      </c>
      <c r="HQ322" s="63"/>
      <c r="HR322" s="63"/>
      <c r="HS322" s="63"/>
      <c r="HT322" s="63"/>
      <c r="HU322" s="67">
        <f>SUM(HQ322:HT322)</f>
        <v>0</v>
      </c>
      <c r="HV322" s="63"/>
      <c r="HW322" s="63"/>
      <c r="HX322" s="63"/>
      <c r="HY322" s="63"/>
      <c r="HZ322" s="67">
        <f>SUM(HV322:HY322)</f>
        <v>0</v>
      </c>
      <c r="IA322" s="63"/>
      <c r="IB322" s="63"/>
      <c r="IC322" s="63"/>
      <c r="ID322" s="63"/>
      <c r="IE322" s="67">
        <f>SUM(IA322:ID322)</f>
        <v>0</v>
      </c>
      <c r="IF322" s="68">
        <f t="shared" si="2168"/>
        <v>0</v>
      </c>
      <c r="IG322" s="68">
        <f t="shared" si="2168"/>
        <v>0</v>
      </c>
      <c r="IH322" s="68">
        <f t="shared" si="2168"/>
        <v>0</v>
      </c>
      <c r="II322" s="68">
        <f t="shared" si="2168"/>
        <v>0</v>
      </c>
      <c r="IJ322" s="67">
        <f>SUM(IF322:II322)</f>
        <v>0</v>
      </c>
      <c r="IK322" s="63"/>
      <c r="IL322" s="63"/>
      <c r="IM322" s="63"/>
      <c r="IN322" s="63"/>
      <c r="IO322" s="67">
        <f>SUM(IK322:IN322)</f>
        <v>0</v>
      </c>
      <c r="IP322" s="63"/>
      <c r="IQ322" s="63"/>
      <c r="IR322" s="63"/>
      <c r="IS322" s="63"/>
      <c r="IT322" s="67">
        <f>SUM(IP322:IS322)</f>
        <v>0</v>
      </c>
      <c r="IU322" s="63"/>
      <c r="IV322" s="63"/>
    </row>
    <row r="323" spans="1:256" s="78" customFormat="1" x14ac:dyDescent="0.25">
      <c r="A323" s="79" t="s">
        <v>256</v>
      </c>
      <c r="B323" s="148"/>
      <c r="C323" s="81">
        <f t="shared" ref="C323:K323" si="2169">SUM(C324)</f>
        <v>0</v>
      </c>
      <c r="D323" s="81">
        <f t="shared" si="2169"/>
        <v>0</v>
      </c>
      <c r="E323" s="81">
        <f t="shared" si="2169"/>
        <v>0</v>
      </c>
      <c r="F323" s="81">
        <f t="shared" si="2169"/>
        <v>0</v>
      </c>
      <c r="G323" s="81">
        <f t="shared" si="2169"/>
        <v>0</v>
      </c>
      <c r="H323" s="81">
        <f t="shared" si="2169"/>
        <v>0</v>
      </c>
      <c r="I323" s="81">
        <f t="shared" si="2169"/>
        <v>0</v>
      </c>
      <c r="J323" s="81">
        <f t="shared" si="2169"/>
        <v>0</v>
      </c>
      <c r="K323" s="81">
        <f t="shared" si="2169"/>
        <v>0</v>
      </c>
      <c r="L323" s="82">
        <f>SUM(L324)</f>
        <v>0</v>
      </c>
      <c r="M323" s="148"/>
      <c r="N323" s="81">
        <f t="shared" ref="N323:V323" si="2170">SUM(N324)</f>
        <v>0</v>
      </c>
      <c r="O323" s="81">
        <f t="shared" si="2170"/>
        <v>0</v>
      </c>
      <c r="P323" s="81">
        <f t="shared" si="2170"/>
        <v>0</v>
      </c>
      <c r="Q323" s="81">
        <f t="shared" si="2170"/>
        <v>0</v>
      </c>
      <c r="R323" s="81">
        <f t="shared" si="2170"/>
        <v>0</v>
      </c>
      <c r="S323" s="81">
        <f t="shared" si="2170"/>
        <v>0</v>
      </c>
      <c r="T323" s="81">
        <f t="shared" si="2170"/>
        <v>0</v>
      </c>
      <c r="U323" s="81">
        <f t="shared" si="2170"/>
        <v>0</v>
      </c>
      <c r="V323" s="81">
        <f t="shared" si="2170"/>
        <v>0</v>
      </c>
      <c r="W323" s="82">
        <f>SUM(W324)</f>
        <v>0</v>
      </c>
      <c r="X323" s="148"/>
      <c r="Y323" s="81">
        <f t="shared" ref="Y323:AG323" si="2171">SUM(Y324)</f>
        <v>0</v>
      </c>
      <c r="Z323" s="81">
        <f t="shared" si="2171"/>
        <v>0</v>
      </c>
      <c r="AA323" s="81">
        <f t="shared" si="2171"/>
        <v>0</v>
      </c>
      <c r="AB323" s="81">
        <f t="shared" si="2171"/>
        <v>0</v>
      </c>
      <c r="AC323" s="81">
        <f t="shared" si="2171"/>
        <v>0</v>
      </c>
      <c r="AD323" s="81">
        <f t="shared" si="2171"/>
        <v>0</v>
      </c>
      <c r="AE323" s="81">
        <f t="shared" si="2171"/>
        <v>0</v>
      </c>
      <c r="AF323" s="81">
        <f t="shared" si="2171"/>
        <v>0</v>
      </c>
      <c r="AG323" s="81">
        <f t="shared" si="2171"/>
        <v>0</v>
      </c>
      <c r="AH323" s="82">
        <f>SUM(AH324)</f>
        <v>0</v>
      </c>
      <c r="AI323" s="148"/>
      <c r="AJ323" s="81">
        <f t="shared" ref="AJ323:AR323" si="2172">SUM(AJ324)</f>
        <v>0</v>
      </c>
      <c r="AK323" s="81">
        <f t="shared" si="2172"/>
        <v>0</v>
      </c>
      <c r="AL323" s="81">
        <f t="shared" si="2172"/>
        <v>0</v>
      </c>
      <c r="AM323" s="81">
        <f t="shared" si="2172"/>
        <v>0</v>
      </c>
      <c r="AN323" s="81">
        <f t="shared" si="2172"/>
        <v>0</v>
      </c>
      <c r="AO323" s="81">
        <f t="shared" si="2172"/>
        <v>0</v>
      </c>
      <c r="AP323" s="81">
        <f t="shared" si="2172"/>
        <v>0</v>
      </c>
      <c r="AQ323" s="81">
        <f t="shared" si="2172"/>
        <v>0</v>
      </c>
      <c r="AR323" s="81">
        <f t="shared" si="2172"/>
        <v>0</v>
      </c>
      <c r="AS323" s="82">
        <f>SUM(AS324)</f>
        <v>0</v>
      </c>
      <c r="AT323" s="148"/>
      <c r="AU323" s="81">
        <f>SUM(AU324)</f>
        <v>0</v>
      </c>
      <c r="AV323" s="81">
        <f t="shared" ref="AV323:BC323" si="2173">SUM(AV324)</f>
        <v>0</v>
      </c>
      <c r="AW323" s="81">
        <f t="shared" si="2173"/>
        <v>0</v>
      </c>
      <c r="AX323" s="81">
        <f t="shared" si="2173"/>
        <v>0</v>
      </c>
      <c r="AY323" s="81">
        <f t="shared" si="2173"/>
        <v>0</v>
      </c>
      <c r="AZ323" s="81">
        <f t="shared" si="2173"/>
        <v>0</v>
      </c>
      <c r="BA323" s="81">
        <f t="shared" si="2173"/>
        <v>0</v>
      </c>
      <c r="BB323" s="81">
        <f t="shared" si="2173"/>
        <v>0</v>
      </c>
      <c r="BC323" s="81">
        <f t="shared" si="2173"/>
        <v>0</v>
      </c>
      <c r="BD323" s="82">
        <f>SUM(BD324)</f>
        <v>0</v>
      </c>
      <c r="BE323" s="148"/>
      <c r="BF323" s="81">
        <f t="shared" ref="BF323:BN323" si="2174">SUM(BF324)</f>
        <v>0</v>
      </c>
      <c r="BG323" s="81">
        <f t="shared" si="2174"/>
        <v>0</v>
      </c>
      <c r="BH323" s="81">
        <f t="shared" si="2174"/>
        <v>0</v>
      </c>
      <c r="BI323" s="81">
        <f t="shared" si="2174"/>
        <v>0</v>
      </c>
      <c r="BJ323" s="81">
        <f t="shared" si="2174"/>
        <v>0</v>
      </c>
      <c r="BK323" s="81">
        <f t="shared" si="2174"/>
        <v>0</v>
      </c>
      <c r="BL323" s="81">
        <f t="shared" si="2174"/>
        <v>0</v>
      </c>
      <c r="BM323" s="81">
        <f t="shared" si="2174"/>
        <v>0</v>
      </c>
      <c r="BN323" s="81">
        <f t="shared" si="2174"/>
        <v>0</v>
      </c>
      <c r="BO323" s="82">
        <f>SUM(BO324)</f>
        <v>0</v>
      </c>
      <c r="BP323" s="148"/>
      <c r="BQ323" s="81">
        <f t="shared" ref="BQ323:BY323" si="2175">SUM(BQ324)</f>
        <v>0</v>
      </c>
      <c r="BR323" s="81">
        <f t="shared" si="2175"/>
        <v>0</v>
      </c>
      <c r="BS323" s="81">
        <f t="shared" si="2175"/>
        <v>0</v>
      </c>
      <c r="BT323" s="81">
        <f t="shared" si="2175"/>
        <v>0</v>
      </c>
      <c r="BU323" s="81">
        <f t="shared" si="2175"/>
        <v>0</v>
      </c>
      <c r="BV323" s="81">
        <f t="shared" si="2175"/>
        <v>0</v>
      </c>
      <c r="BW323" s="81">
        <f t="shared" si="2175"/>
        <v>0</v>
      </c>
      <c r="BX323" s="81">
        <f t="shared" si="2175"/>
        <v>0</v>
      </c>
      <c r="BY323" s="81">
        <f t="shared" si="2175"/>
        <v>0</v>
      </c>
      <c r="BZ323" s="82">
        <f>SUM(BZ324)</f>
        <v>0</v>
      </c>
      <c r="CA323" s="148"/>
      <c r="CB323" s="81">
        <f t="shared" ref="CB323:CJ323" si="2176">SUM(CB324)</f>
        <v>0</v>
      </c>
      <c r="CC323" s="81">
        <f t="shared" si="2176"/>
        <v>0</v>
      </c>
      <c r="CD323" s="81">
        <f t="shared" si="2176"/>
        <v>0</v>
      </c>
      <c r="CE323" s="81">
        <f t="shared" si="2176"/>
        <v>0</v>
      </c>
      <c r="CF323" s="81">
        <f t="shared" si="2176"/>
        <v>0</v>
      </c>
      <c r="CG323" s="81">
        <f t="shared" si="2176"/>
        <v>0</v>
      </c>
      <c r="CH323" s="81">
        <f t="shared" si="2176"/>
        <v>0</v>
      </c>
      <c r="CI323" s="81">
        <f t="shared" si="2176"/>
        <v>0</v>
      </c>
      <c r="CJ323" s="81">
        <f t="shared" si="2176"/>
        <v>0</v>
      </c>
      <c r="CK323" s="82">
        <f>SUM(CK324)</f>
        <v>0</v>
      </c>
      <c r="CL323" s="148"/>
      <c r="CM323" s="81">
        <f>SUM(CM324)</f>
        <v>0</v>
      </c>
      <c r="CN323" s="81">
        <f t="shared" ref="CN323:CU323" si="2177">SUM(CN324)</f>
        <v>0</v>
      </c>
      <c r="CO323" s="81">
        <f t="shared" si="2177"/>
        <v>0</v>
      </c>
      <c r="CP323" s="81">
        <f t="shared" si="2177"/>
        <v>0</v>
      </c>
      <c r="CQ323" s="81">
        <f t="shared" si="2177"/>
        <v>0</v>
      </c>
      <c r="CR323" s="81">
        <f t="shared" si="2177"/>
        <v>0</v>
      </c>
      <c r="CS323" s="81">
        <f t="shared" si="2177"/>
        <v>0</v>
      </c>
      <c r="CT323" s="81">
        <f t="shared" si="2177"/>
        <v>0</v>
      </c>
      <c r="CU323" s="81">
        <f t="shared" si="2177"/>
        <v>0</v>
      </c>
      <c r="CV323" s="82">
        <f>SUM(CV324)</f>
        <v>0</v>
      </c>
      <c r="CW323" s="148"/>
      <c r="CX323" s="81">
        <f t="shared" ref="CX323:DF323" si="2178">SUM(CX324)</f>
        <v>0</v>
      </c>
      <c r="CY323" s="81">
        <f t="shared" si="2178"/>
        <v>0</v>
      </c>
      <c r="CZ323" s="81">
        <f t="shared" si="2178"/>
        <v>0</v>
      </c>
      <c r="DA323" s="81">
        <f t="shared" si="2178"/>
        <v>0</v>
      </c>
      <c r="DB323" s="81">
        <f t="shared" si="2178"/>
        <v>0</v>
      </c>
      <c r="DC323" s="81">
        <f t="shared" si="2178"/>
        <v>0</v>
      </c>
      <c r="DD323" s="81">
        <f t="shared" si="2178"/>
        <v>0</v>
      </c>
      <c r="DE323" s="81">
        <f t="shared" si="2178"/>
        <v>0</v>
      </c>
      <c r="DF323" s="81">
        <f t="shared" si="2178"/>
        <v>0</v>
      </c>
      <c r="DG323" s="82">
        <f>SUM(DG324)</f>
        <v>0</v>
      </c>
      <c r="DH323" s="148"/>
      <c r="DI323" s="81">
        <f t="shared" ref="DI323:DQ323" si="2179">SUM(DI324)</f>
        <v>0</v>
      </c>
      <c r="DJ323" s="81">
        <f t="shared" si="2179"/>
        <v>0</v>
      </c>
      <c r="DK323" s="81">
        <f t="shared" si="2179"/>
        <v>0</v>
      </c>
      <c r="DL323" s="81">
        <f t="shared" si="2179"/>
        <v>0</v>
      </c>
      <c r="DM323" s="81">
        <f t="shared" si="2179"/>
        <v>0</v>
      </c>
      <c r="DN323" s="81">
        <f t="shared" si="2179"/>
        <v>0</v>
      </c>
      <c r="DO323" s="81">
        <f t="shared" si="2179"/>
        <v>0</v>
      </c>
      <c r="DP323" s="81">
        <f t="shared" si="2179"/>
        <v>0</v>
      </c>
      <c r="DQ323" s="81">
        <f t="shared" si="2179"/>
        <v>0</v>
      </c>
      <c r="DR323" s="82">
        <f>SUM(DR324)</f>
        <v>0</v>
      </c>
      <c r="DS323" s="148"/>
      <c r="DT323" s="81">
        <f t="shared" ref="DT323:EB323" si="2180">SUM(DT324)</f>
        <v>0</v>
      </c>
      <c r="DU323" s="81">
        <f t="shared" si="2180"/>
        <v>0</v>
      </c>
      <c r="DV323" s="81">
        <f t="shared" si="2180"/>
        <v>0</v>
      </c>
      <c r="DW323" s="81">
        <f t="shared" si="2180"/>
        <v>0</v>
      </c>
      <c r="DX323" s="81">
        <f t="shared" si="2180"/>
        <v>0</v>
      </c>
      <c r="DY323" s="81">
        <f t="shared" si="2180"/>
        <v>0</v>
      </c>
      <c r="DZ323" s="81">
        <f t="shared" si="2180"/>
        <v>0</v>
      </c>
      <c r="EA323" s="81">
        <f t="shared" si="2180"/>
        <v>0</v>
      </c>
      <c r="EB323" s="81">
        <f t="shared" si="2180"/>
        <v>0</v>
      </c>
      <c r="EC323" s="81">
        <f>SUM(EC324)</f>
        <v>0</v>
      </c>
      <c r="ED323" s="148"/>
      <c r="EE323" s="81">
        <f>SUM(EE324)</f>
        <v>0</v>
      </c>
      <c r="EF323" s="81">
        <f t="shared" ref="EF323:EM323" si="2181">SUM(EF324)</f>
        <v>0</v>
      </c>
      <c r="EG323" s="81">
        <f t="shared" si="2181"/>
        <v>0</v>
      </c>
      <c r="EH323" s="81">
        <f t="shared" si="2181"/>
        <v>0</v>
      </c>
      <c r="EI323" s="81">
        <f t="shared" si="2181"/>
        <v>0</v>
      </c>
      <c r="EJ323" s="81">
        <f t="shared" si="2181"/>
        <v>0</v>
      </c>
      <c r="EK323" s="81">
        <f t="shared" si="2181"/>
        <v>0</v>
      </c>
      <c r="EL323" s="81">
        <f t="shared" si="2181"/>
        <v>0</v>
      </c>
      <c r="EM323" s="81">
        <f t="shared" si="2181"/>
        <v>0</v>
      </c>
      <c r="EN323" s="82">
        <f>SUM(EN324)</f>
        <v>0</v>
      </c>
      <c r="EO323" s="148"/>
      <c r="EP323" s="81">
        <f t="shared" ref="EP323:EX323" si="2182">SUM(EP324)</f>
        <v>0</v>
      </c>
      <c r="EQ323" s="81">
        <f t="shared" si="2182"/>
        <v>0</v>
      </c>
      <c r="ER323" s="81">
        <f t="shared" si="2182"/>
        <v>0</v>
      </c>
      <c r="ES323" s="81">
        <f t="shared" si="2182"/>
        <v>0</v>
      </c>
      <c r="ET323" s="81">
        <f t="shared" si="2182"/>
        <v>0</v>
      </c>
      <c r="EU323" s="81">
        <f t="shared" si="2182"/>
        <v>0</v>
      </c>
      <c r="EV323" s="81">
        <f t="shared" si="2182"/>
        <v>0</v>
      </c>
      <c r="EW323" s="81">
        <f t="shared" si="2182"/>
        <v>0</v>
      </c>
      <c r="EX323" s="81">
        <f t="shared" si="2182"/>
        <v>0</v>
      </c>
      <c r="EY323" s="82">
        <f>SUM(EY324)</f>
        <v>0</v>
      </c>
      <c r="EZ323" s="148"/>
      <c r="FA323" s="81">
        <f t="shared" ref="FA323:FI323" si="2183">SUM(FA324)</f>
        <v>0</v>
      </c>
      <c r="FB323" s="81">
        <f t="shared" si="2183"/>
        <v>0</v>
      </c>
      <c r="FC323" s="81">
        <f t="shared" si="2183"/>
        <v>0</v>
      </c>
      <c r="FD323" s="81">
        <f t="shared" si="2183"/>
        <v>0</v>
      </c>
      <c r="FE323" s="81">
        <f t="shared" si="2183"/>
        <v>0</v>
      </c>
      <c r="FF323" s="81">
        <f t="shared" si="2183"/>
        <v>0</v>
      </c>
      <c r="FG323" s="81">
        <f t="shared" si="2183"/>
        <v>0</v>
      </c>
      <c r="FH323" s="81">
        <f t="shared" si="2183"/>
        <v>0</v>
      </c>
      <c r="FI323" s="81">
        <f t="shared" si="2183"/>
        <v>0</v>
      </c>
      <c r="FJ323" s="82">
        <f>SUM(FJ324)</f>
        <v>0</v>
      </c>
      <c r="FK323" s="148"/>
      <c r="FL323" s="81">
        <f t="shared" ref="FL323:FT323" si="2184">SUM(FL324)</f>
        <v>0</v>
      </c>
      <c r="FM323" s="81">
        <f t="shared" si="2184"/>
        <v>0</v>
      </c>
      <c r="FN323" s="81">
        <f t="shared" si="2184"/>
        <v>0</v>
      </c>
      <c r="FO323" s="81">
        <f t="shared" si="2184"/>
        <v>0</v>
      </c>
      <c r="FP323" s="81">
        <f t="shared" si="2184"/>
        <v>0</v>
      </c>
      <c r="FQ323" s="81">
        <f t="shared" si="2184"/>
        <v>0</v>
      </c>
      <c r="FR323" s="81">
        <f t="shared" si="2184"/>
        <v>0</v>
      </c>
      <c r="FS323" s="81">
        <f t="shared" si="2184"/>
        <v>0</v>
      </c>
      <c r="FT323" s="81">
        <f t="shared" si="2184"/>
        <v>0</v>
      </c>
      <c r="FU323" s="82">
        <f>SUM(FU324)</f>
        <v>0</v>
      </c>
      <c r="FV323" s="148"/>
      <c r="FW323" s="81">
        <f>SUM(FW324)</f>
        <v>0</v>
      </c>
      <c r="FX323" s="81">
        <f t="shared" ref="FX323:GE323" si="2185">SUM(FX324)</f>
        <v>0</v>
      </c>
      <c r="FY323" s="81">
        <f t="shared" si="2185"/>
        <v>0</v>
      </c>
      <c r="FZ323" s="81">
        <f t="shared" si="2185"/>
        <v>0</v>
      </c>
      <c r="GA323" s="81">
        <f t="shared" si="2185"/>
        <v>0</v>
      </c>
      <c r="GB323" s="81">
        <f t="shared" si="2185"/>
        <v>0</v>
      </c>
      <c r="GC323" s="81">
        <f t="shared" si="2185"/>
        <v>0</v>
      </c>
      <c r="GD323" s="81">
        <f t="shared" si="2185"/>
        <v>0</v>
      </c>
      <c r="GE323" s="81">
        <f t="shared" si="2185"/>
        <v>0</v>
      </c>
      <c r="GF323" s="82">
        <f>SUM(GF324)</f>
        <v>0</v>
      </c>
      <c r="GG323" s="148"/>
      <c r="GH323" s="81">
        <f t="shared" ref="GH323:GP323" si="2186">SUM(GH324)</f>
        <v>0</v>
      </c>
      <c r="GI323" s="81">
        <f t="shared" si="2186"/>
        <v>0</v>
      </c>
      <c r="GJ323" s="81">
        <f t="shared" si="2186"/>
        <v>0</v>
      </c>
      <c r="GK323" s="81">
        <f t="shared" si="2186"/>
        <v>0</v>
      </c>
      <c r="GL323" s="81">
        <f t="shared" si="2186"/>
        <v>0</v>
      </c>
      <c r="GM323" s="81">
        <f t="shared" si="2186"/>
        <v>0</v>
      </c>
      <c r="GN323" s="81">
        <f t="shared" si="2186"/>
        <v>0</v>
      </c>
      <c r="GO323" s="81">
        <f t="shared" si="2186"/>
        <v>0</v>
      </c>
      <c r="GP323" s="81">
        <f t="shared" si="2186"/>
        <v>0</v>
      </c>
      <c r="GQ323" s="82">
        <f t="shared" ref="GQ323:GV323" si="2187">SUM(GQ324)</f>
        <v>0</v>
      </c>
      <c r="GR323" s="81">
        <f t="shared" si="2187"/>
        <v>0</v>
      </c>
      <c r="GS323" s="81">
        <f t="shared" si="2187"/>
        <v>0</v>
      </c>
      <c r="GT323" s="81">
        <f t="shared" si="2187"/>
        <v>0</v>
      </c>
      <c r="GU323" s="81">
        <f t="shared" si="2187"/>
        <v>0</v>
      </c>
      <c r="GV323" s="81">
        <f t="shared" si="2187"/>
        <v>0</v>
      </c>
      <c r="GW323" s="81">
        <f t="shared" ref="GW323:HJ323" si="2188">SUM(GW324)</f>
        <v>0</v>
      </c>
      <c r="GX323" s="81">
        <f t="shared" si="2188"/>
        <v>0</v>
      </c>
      <c r="GY323" s="81">
        <f t="shared" si="2188"/>
        <v>0</v>
      </c>
      <c r="GZ323" s="81">
        <f t="shared" si="2188"/>
        <v>0</v>
      </c>
      <c r="HA323" s="81">
        <f>SUM(HA324)</f>
        <v>0</v>
      </c>
      <c r="HB323" s="81">
        <f t="shared" si="2188"/>
        <v>0</v>
      </c>
      <c r="HC323" s="81">
        <f t="shared" si="2188"/>
        <v>0</v>
      </c>
      <c r="HD323" s="81">
        <f t="shared" si="2188"/>
        <v>0</v>
      </c>
      <c r="HE323" s="81">
        <f t="shared" si="2188"/>
        <v>0</v>
      </c>
      <c r="HF323" s="81">
        <f>SUM(HF324)</f>
        <v>0</v>
      </c>
      <c r="HG323" s="81">
        <f t="shared" si="2188"/>
        <v>0</v>
      </c>
      <c r="HH323" s="81">
        <f t="shared" si="2188"/>
        <v>0</v>
      </c>
      <c r="HI323" s="81">
        <f t="shared" si="2188"/>
        <v>0</v>
      </c>
      <c r="HJ323" s="81">
        <f t="shared" si="2188"/>
        <v>0</v>
      </c>
      <c r="HK323" s="81">
        <f t="shared" ref="HK323:HP323" si="2189">SUM(HK324)</f>
        <v>0</v>
      </c>
      <c r="HL323" s="81">
        <f t="shared" si="2189"/>
        <v>0</v>
      </c>
      <c r="HM323" s="81">
        <f t="shared" si="2189"/>
        <v>0</v>
      </c>
      <c r="HN323" s="81">
        <f t="shared" si="2189"/>
        <v>0</v>
      </c>
      <c r="HO323" s="81">
        <f t="shared" si="2189"/>
        <v>0</v>
      </c>
      <c r="HP323" s="81">
        <f t="shared" si="2189"/>
        <v>0</v>
      </c>
      <c r="HQ323" s="81">
        <f t="shared" ref="HQ323:ID323" si="2190">SUM(HQ324)</f>
        <v>0</v>
      </c>
      <c r="HR323" s="81">
        <f t="shared" si="2190"/>
        <v>0</v>
      </c>
      <c r="HS323" s="81">
        <f t="shared" si="2190"/>
        <v>0</v>
      </c>
      <c r="HT323" s="81">
        <f t="shared" si="2190"/>
        <v>0</v>
      </c>
      <c r="HU323" s="81">
        <f>SUM(HU324)</f>
        <v>0</v>
      </c>
      <c r="HV323" s="81">
        <f t="shared" si="2190"/>
        <v>0</v>
      </c>
      <c r="HW323" s="81">
        <f t="shared" si="2190"/>
        <v>0</v>
      </c>
      <c r="HX323" s="81">
        <f t="shared" si="2190"/>
        <v>0</v>
      </c>
      <c r="HY323" s="81">
        <f t="shared" si="2190"/>
        <v>0</v>
      </c>
      <c r="HZ323" s="81">
        <f>SUM(HZ324)</f>
        <v>0</v>
      </c>
      <c r="IA323" s="81">
        <f t="shared" si="2190"/>
        <v>0</v>
      </c>
      <c r="IB323" s="81">
        <f t="shared" si="2190"/>
        <v>0</v>
      </c>
      <c r="IC323" s="81">
        <f t="shared" si="2190"/>
        <v>0</v>
      </c>
      <c r="ID323" s="81">
        <f t="shared" si="2190"/>
        <v>0</v>
      </c>
      <c r="IE323" s="81">
        <f t="shared" ref="IE323:IJ323" si="2191">SUM(IE324)</f>
        <v>0</v>
      </c>
      <c r="IF323" s="81">
        <f t="shared" si="2191"/>
        <v>0</v>
      </c>
      <c r="IG323" s="81">
        <f t="shared" si="2191"/>
        <v>0</v>
      </c>
      <c r="IH323" s="81">
        <f t="shared" si="2191"/>
        <v>0</v>
      </c>
      <c r="II323" s="81">
        <f t="shared" si="2191"/>
        <v>0</v>
      </c>
      <c r="IJ323" s="81">
        <f t="shared" si="2191"/>
        <v>0</v>
      </c>
      <c r="IK323" s="81">
        <f t="shared" ref="IK323:IV323" si="2192">SUM(IK324)</f>
        <v>0</v>
      </c>
      <c r="IL323" s="81">
        <f t="shared" si="2192"/>
        <v>0</v>
      </c>
      <c r="IM323" s="81">
        <f t="shared" si="2192"/>
        <v>0</v>
      </c>
      <c r="IN323" s="81">
        <f t="shared" si="2192"/>
        <v>0</v>
      </c>
      <c r="IO323" s="81">
        <f>SUM(IO324)</f>
        <v>0</v>
      </c>
      <c r="IP323" s="81">
        <f t="shared" si="2192"/>
        <v>0</v>
      </c>
      <c r="IQ323" s="81">
        <f t="shared" si="2192"/>
        <v>0</v>
      </c>
      <c r="IR323" s="81">
        <f t="shared" si="2192"/>
        <v>0</v>
      </c>
      <c r="IS323" s="81">
        <f t="shared" si="2192"/>
        <v>0</v>
      </c>
      <c r="IT323" s="81">
        <f>SUM(IT324)</f>
        <v>0</v>
      </c>
      <c r="IU323" s="81">
        <f t="shared" si="2192"/>
        <v>0</v>
      </c>
      <c r="IV323" s="81">
        <f t="shared" si="2192"/>
        <v>0</v>
      </c>
    </row>
    <row r="324" spans="1:256" x14ac:dyDescent="0.25">
      <c r="A324" s="84" t="s">
        <v>257</v>
      </c>
      <c r="B324" s="62"/>
      <c r="C324" s="63"/>
      <c r="D324" s="63"/>
      <c r="E324" s="63"/>
      <c r="F324" s="63"/>
      <c r="G324" s="63"/>
      <c r="H324" s="63"/>
      <c r="I324" s="63"/>
      <c r="J324" s="63"/>
      <c r="K324" s="63"/>
      <c r="L324" s="64">
        <f>SUM(C324:F324,H324:K324)</f>
        <v>0</v>
      </c>
      <c r="M324" s="62"/>
      <c r="N324" s="63"/>
      <c r="O324" s="63"/>
      <c r="P324" s="63"/>
      <c r="Q324" s="63"/>
      <c r="R324" s="63"/>
      <c r="S324" s="63"/>
      <c r="T324" s="63"/>
      <c r="U324" s="63"/>
      <c r="V324" s="63"/>
      <c r="W324" s="64">
        <f>SUM(N324:Q324,S324:V324)</f>
        <v>0</v>
      </c>
      <c r="X324" s="62"/>
      <c r="Y324" s="63"/>
      <c r="Z324" s="63"/>
      <c r="AA324" s="63"/>
      <c r="AB324" s="63"/>
      <c r="AC324" s="63"/>
      <c r="AD324" s="63"/>
      <c r="AE324" s="63"/>
      <c r="AF324" s="63"/>
      <c r="AG324" s="63"/>
      <c r="AH324" s="64">
        <f>SUM(Y324:AB324,AD324:AG324)</f>
        <v>0</v>
      </c>
      <c r="AI324" s="62"/>
      <c r="AJ324" s="63"/>
      <c r="AK324" s="63"/>
      <c r="AL324" s="63"/>
      <c r="AM324" s="63"/>
      <c r="AN324" s="63"/>
      <c r="AO324" s="63"/>
      <c r="AP324" s="63"/>
      <c r="AQ324" s="63"/>
      <c r="AR324" s="63"/>
      <c r="AS324" s="64">
        <f>SUM(AJ324:AM324,AO324:AR324)</f>
        <v>0</v>
      </c>
      <c r="AT324" s="65">
        <f>SUM(M324,AI324,X324)</f>
        <v>0</v>
      </c>
      <c r="AU324" s="65">
        <f t="shared" ref="AU324:BC324" si="2193">SUM(N324,AJ324,Y324)</f>
        <v>0</v>
      </c>
      <c r="AV324" s="65">
        <f t="shared" si="2193"/>
        <v>0</v>
      </c>
      <c r="AW324" s="65">
        <f t="shared" si="2193"/>
        <v>0</v>
      </c>
      <c r="AX324" s="65">
        <f t="shared" si="2193"/>
        <v>0</v>
      </c>
      <c r="AY324" s="65">
        <f t="shared" si="2193"/>
        <v>0</v>
      </c>
      <c r="AZ324" s="65">
        <f t="shared" si="2193"/>
        <v>0</v>
      </c>
      <c r="BA324" s="65">
        <f t="shared" si="2193"/>
        <v>0</v>
      </c>
      <c r="BB324" s="65">
        <f t="shared" si="2193"/>
        <v>0</v>
      </c>
      <c r="BC324" s="65">
        <f t="shared" si="2193"/>
        <v>0</v>
      </c>
      <c r="BD324" s="64">
        <f>SUM(AU324:AX324,AZ324:BC324)</f>
        <v>0</v>
      </c>
      <c r="BE324" s="62"/>
      <c r="BF324" s="63"/>
      <c r="BG324" s="63"/>
      <c r="BH324" s="63"/>
      <c r="BI324" s="63"/>
      <c r="BJ324" s="63"/>
      <c r="BK324" s="63"/>
      <c r="BL324" s="63"/>
      <c r="BM324" s="63"/>
      <c r="BN324" s="63"/>
      <c r="BO324" s="64">
        <f>SUM(BF324:BI324,BK324:BN324)</f>
        <v>0</v>
      </c>
      <c r="BP324" s="62"/>
      <c r="BQ324" s="63"/>
      <c r="BR324" s="63"/>
      <c r="BS324" s="63"/>
      <c r="BT324" s="63"/>
      <c r="BU324" s="63"/>
      <c r="BV324" s="63"/>
      <c r="BW324" s="63"/>
      <c r="BX324" s="63"/>
      <c r="BY324" s="63"/>
      <c r="BZ324" s="64">
        <f>SUM(BQ324:BT324,BV324:BY324)</f>
        <v>0</v>
      </c>
      <c r="CA324" s="62"/>
      <c r="CB324" s="63"/>
      <c r="CC324" s="63"/>
      <c r="CD324" s="63"/>
      <c r="CE324" s="63"/>
      <c r="CF324" s="63"/>
      <c r="CG324" s="63"/>
      <c r="CH324" s="63"/>
      <c r="CI324" s="63"/>
      <c r="CJ324" s="63"/>
      <c r="CK324" s="64">
        <f>SUM(CB324:CE324,CG324:CJ324)</f>
        <v>0</v>
      </c>
      <c r="CL324" s="65">
        <f t="shared" ref="CL324:CU324" si="2194">SUM(BE324,CA324,BP324)</f>
        <v>0</v>
      </c>
      <c r="CM324" s="65">
        <f t="shared" si="2194"/>
        <v>0</v>
      </c>
      <c r="CN324" s="65">
        <f t="shared" si="2194"/>
        <v>0</v>
      </c>
      <c r="CO324" s="65">
        <f t="shared" si="2194"/>
        <v>0</v>
      </c>
      <c r="CP324" s="65">
        <f t="shared" si="2194"/>
        <v>0</v>
      </c>
      <c r="CQ324" s="65">
        <f t="shared" si="2194"/>
        <v>0</v>
      </c>
      <c r="CR324" s="65">
        <f t="shared" si="2194"/>
        <v>0</v>
      </c>
      <c r="CS324" s="65">
        <f t="shared" si="2194"/>
        <v>0</v>
      </c>
      <c r="CT324" s="65">
        <f t="shared" si="2194"/>
        <v>0</v>
      </c>
      <c r="CU324" s="65">
        <f t="shared" si="2194"/>
        <v>0</v>
      </c>
      <c r="CV324" s="64">
        <f>SUM(CM324:CP324,CR324:CU324)</f>
        <v>0</v>
      </c>
      <c r="CW324" s="62"/>
      <c r="CX324" s="63"/>
      <c r="CY324" s="63"/>
      <c r="CZ324" s="63"/>
      <c r="DA324" s="63"/>
      <c r="DB324" s="63"/>
      <c r="DC324" s="63"/>
      <c r="DD324" s="63"/>
      <c r="DE324" s="63"/>
      <c r="DF324" s="63"/>
      <c r="DG324" s="64">
        <f>SUM(CX324:DA324,DC324:DF324)</f>
        <v>0</v>
      </c>
      <c r="DH324" s="62"/>
      <c r="DI324" s="63"/>
      <c r="DJ324" s="63"/>
      <c r="DK324" s="63"/>
      <c r="DL324" s="63"/>
      <c r="DM324" s="63"/>
      <c r="DN324" s="63"/>
      <c r="DO324" s="63"/>
      <c r="DP324" s="63"/>
      <c r="DQ324" s="63"/>
      <c r="DR324" s="64">
        <f>SUM(DI324:DL324,DN324:DQ324)</f>
        <v>0</v>
      </c>
      <c r="DS324" s="62"/>
      <c r="DT324" s="63"/>
      <c r="DU324" s="63"/>
      <c r="DV324" s="63"/>
      <c r="DW324" s="63"/>
      <c r="DX324" s="63"/>
      <c r="DY324" s="63"/>
      <c r="DZ324" s="63"/>
      <c r="EA324" s="63"/>
      <c r="EB324" s="63"/>
      <c r="EC324" s="63"/>
      <c r="ED324" s="65">
        <f t="shared" ref="ED324:EM324" si="2195">SUM(CW324,DS324,DH324)</f>
        <v>0</v>
      </c>
      <c r="EE324" s="65">
        <f t="shared" si="2195"/>
        <v>0</v>
      </c>
      <c r="EF324" s="65">
        <f t="shared" si="2195"/>
        <v>0</v>
      </c>
      <c r="EG324" s="65">
        <f t="shared" si="2195"/>
        <v>0</v>
      </c>
      <c r="EH324" s="65">
        <f t="shared" si="2195"/>
        <v>0</v>
      </c>
      <c r="EI324" s="65">
        <f t="shared" si="2195"/>
        <v>0</v>
      </c>
      <c r="EJ324" s="65">
        <f t="shared" si="2195"/>
        <v>0</v>
      </c>
      <c r="EK324" s="65">
        <f t="shared" si="2195"/>
        <v>0</v>
      </c>
      <c r="EL324" s="65">
        <f t="shared" si="2195"/>
        <v>0</v>
      </c>
      <c r="EM324" s="65">
        <f t="shared" si="2195"/>
        <v>0</v>
      </c>
      <c r="EN324" s="64">
        <f>SUM(EE324:EH324,EJ324:EM324)</f>
        <v>0</v>
      </c>
      <c r="EO324" s="62"/>
      <c r="EP324" s="63"/>
      <c r="EQ324" s="63"/>
      <c r="ER324" s="63"/>
      <c r="ES324" s="63"/>
      <c r="ET324" s="63"/>
      <c r="EU324" s="63"/>
      <c r="EV324" s="63"/>
      <c r="EW324" s="63"/>
      <c r="EX324" s="63"/>
      <c r="EY324" s="64">
        <f>SUM(EP324:ES324,EU324:EX324)</f>
        <v>0</v>
      </c>
      <c r="EZ324" s="62"/>
      <c r="FA324" s="63"/>
      <c r="FB324" s="63"/>
      <c r="FC324" s="63"/>
      <c r="FD324" s="63"/>
      <c r="FE324" s="63"/>
      <c r="FF324" s="63"/>
      <c r="FG324" s="63"/>
      <c r="FH324" s="63"/>
      <c r="FI324" s="63"/>
      <c r="FJ324" s="64">
        <f>SUM(FA324:FD324,FF324:FI324)</f>
        <v>0</v>
      </c>
      <c r="FK324" s="62"/>
      <c r="FL324" s="63"/>
      <c r="FM324" s="63"/>
      <c r="FN324" s="63"/>
      <c r="FO324" s="63"/>
      <c r="FP324" s="63"/>
      <c r="FQ324" s="63"/>
      <c r="FR324" s="63"/>
      <c r="FS324" s="63"/>
      <c r="FT324" s="63"/>
      <c r="FU324" s="64">
        <f>SUM(FL324:FO324,FQ324:FT324)</f>
        <v>0</v>
      </c>
      <c r="FV324" s="65">
        <f t="shared" ref="FV324:GE324" si="2196">SUM(EO324,FK324,EZ324)</f>
        <v>0</v>
      </c>
      <c r="FW324" s="65">
        <f t="shared" si="2196"/>
        <v>0</v>
      </c>
      <c r="FX324" s="65">
        <f t="shared" si="2196"/>
        <v>0</v>
      </c>
      <c r="FY324" s="65">
        <f t="shared" si="2196"/>
        <v>0</v>
      </c>
      <c r="FZ324" s="65">
        <f t="shared" si="2196"/>
        <v>0</v>
      </c>
      <c r="GA324" s="65">
        <f t="shared" si="2196"/>
        <v>0</v>
      </c>
      <c r="GB324" s="65">
        <f t="shared" si="2196"/>
        <v>0</v>
      </c>
      <c r="GC324" s="65">
        <f t="shared" si="2196"/>
        <v>0</v>
      </c>
      <c r="GD324" s="65">
        <f t="shared" si="2196"/>
        <v>0</v>
      </c>
      <c r="GE324" s="65">
        <f t="shared" si="2196"/>
        <v>0</v>
      </c>
      <c r="GF324" s="64">
        <f>SUM(FW324:FZ324,GB324:GE324)</f>
        <v>0</v>
      </c>
      <c r="GG324" s="66">
        <f t="shared" ref="GG324:GP324" si="2197">SUM(AT324,CL324,ED324,FV324)</f>
        <v>0</v>
      </c>
      <c r="GH324" s="66">
        <f t="shared" si="2197"/>
        <v>0</v>
      </c>
      <c r="GI324" s="66">
        <f t="shared" si="2197"/>
        <v>0</v>
      </c>
      <c r="GJ324" s="66">
        <f t="shared" si="2197"/>
        <v>0</v>
      </c>
      <c r="GK324" s="66">
        <f t="shared" si="2197"/>
        <v>0</v>
      </c>
      <c r="GL324" s="66">
        <f t="shared" si="2197"/>
        <v>0</v>
      </c>
      <c r="GM324" s="66">
        <f t="shared" si="2197"/>
        <v>0</v>
      </c>
      <c r="GN324" s="66">
        <f t="shared" si="2197"/>
        <v>0</v>
      </c>
      <c r="GO324" s="66">
        <f t="shared" si="2197"/>
        <v>0</v>
      </c>
      <c r="GP324" s="66">
        <f t="shared" si="2197"/>
        <v>0</v>
      </c>
      <c r="GQ324" s="64">
        <f>SUM(GH324:GK324,GM324:GP324)</f>
        <v>0</v>
      </c>
      <c r="GR324" s="63"/>
      <c r="GS324" s="63"/>
      <c r="GT324" s="63"/>
      <c r="GU324" s="63"/>
      <c r="GV324" s="67">
        <f>SUM(GR324:GU324)</f>
        <v>0</v>
      </c>
      <c r="GW324" s="63"/>
      <c r="GX324" s="63"/>
      <c r="GY324" s="63"/>
      <c r="GZ324" s="63"/>
      <c r="HA324" s="67">
        <f>SUM(GW324:GZ324)</f>
        <v>0</v>
      </c>
      <c r="HB324" s="63"/>
      <c r="HC324" s="63"/>
      <c r="HD324" s="63"/>
      <c r="HE324" s="63"/>
      <c r="HF324" s="67">
        <f>SUM(HB324:HE324)</f>
        <v>0</v>
      </c>
      <c r="HG324" s="63"/>
      <c r="HH324" s="63"/>
      <c r="HI324" s="63"/>
      <c r="HJ324" s="63"/>
      <c r="HK324" s="67">
        <f>SUM(HG324:HJ324)</f>
        <v>0</v>
      </c>
      <c r="HL324" s="68">
        <f>SUM(GW324,HB324,HG324)</f>
        <v>0</v>
      </c>
      <c r="HM324" s="68">
        <f>SUM(GX324,HC324,HH324)</f>
        <v>0</v>
      </c>
      <c r="HN324" s="68">
        <f>SUM(GY324,HD324,HI324)</f>
        <v>0</v>
      </c>
      <c r="HO324" s="68">
        <f>SUM(GZ324,HE324,HJ324)</f>
        <v>0</v>
      </c>
      <c r="HP324" s="67">
        <f>SUM(HL324:HO324)</f>
        <v>0</v>
      </c>
      <c r="HQ324" s="63"/>
      <c r="HR324" s="63"/>
      <c r="HS324" s="63"/>
      <c r="HT324" s="63"/>
      <c r="HU324" s="67">
        <f>SUM(HQ324:HT324)</f>
        <v>0</v>
      </c>
      <c r="HV324" s="63"/>
      <c r="HW324" s="63"/>
      <c r="HX324" s="63"/>
      <c r="HY324" s="63"/>
      <c r="HZ324" s="67">
        <f>SUM(HV324:HY324)</f>
        <v>0</v>
      </c>
      <c r="IA324" s="63"/>
      <c r="IB324" s="63"/>
      <c r="IC324" s="63"/>
      <c r="ID324" s="63"/>
      <c r="IE324" s="67">
        <f>SUM(IA324:ID324)</f>
        <v>0</v>
      </c>
      <c r="IF324" s="68">
        <f>SUM(HQ324,HV324,IA324)</f>
        <v>0</v>
      </c>
      <c r="IG324" s="68">
        <f>SUM(HR324,HW324,IB324)</f>
        <v>0</v>
      </c>
      <c r="IH324" s="68">
        <f>SUM(HS324,HX324,IC324)</f>
        <v>0</v>
      </c>
      <c r="II324" s="68">
        <f>SUM(HT324,HY324,ID324)</f>
        <v>0</v>
      </c>
      <c r="IJ324" s="67">
        <f>SUM(IF324:II324)</f>
        <v>0</v>
      </c>
      <c r="IK324" s="63"/>
      <c r="IL324" s="63"/>
      <c r="IM324" s="63"/>
      <c r="IN324" s="63"/>
      <c r="IO324" s="67">
        <f>SUM(IK324:IN324)</f>
        <v>0</v>
      </c>
      <c r="IP324" s="63"/>
      <c r="IQ324" s="63"/>
      <c r="IR324" s="63"/>
      <c r="IS324" s="63"/>
      <c r="IT324" s="67">
        <f>SUM(IP324:IS324)</f>
        <v>0</v>
      </c>
      <c r="IU324" s="63"/>
      <c r="IV324" s="63"/>
    </row>
    <row r="325" spans="1:256" s="78" customFormat="1" x14ac:dyDescent="0.25">
      <c r="A325" s="169" t="s">
        <v>258</v>
      </c>
      <c r="B325" s="80"/>
      <c r="C325" s="81">
        <f t="shared" ref="C325:K325" si="2198">SUM(C326:C328)</f>
        <v>0</v>
      </c>
      <c r="D325" s="81">
        <f t="shared" si="2198"/>
        <v>0</v>
      </c>
      <c r="E325" s="81">
        <f t="shared" si="2198"/>
        <v>0</v>
      </c>
      <c r="F325" s="81">
        <f t="shared" si="2198"/>
        <v>0</v>
      </c>
      <c r="G325" s="81">
        <f t="shared" si="2198"/>
        <v>0</v>
      </c>
      <c r="H325" s="81">
        <f t="shared" si="2198"/>
        <v>0</v>
      </c>
      <c r="I325" s="81">
        <f t="shared" si="2198"/>
        <v>0</v>
      </c>
      <c r="J325" s="81">
        <f t="shared" si="2198"/>
        <v>0</v>
      </c>
      <c r="K325" s="81">
        <f t="shared" si="2198"/>
        <v>0</v>
      </c>
      <c r="L325" s="82">
        <f>SUM(L326:L328)</f>
        <v>0</v>
      </c>
      <c r="M325" s="80"/>
      <c r="N325" s="81">
        <f t="shared" ref="N325:V325" si="2199">SUM(N326:N328)</f>
        <v>0</v>
      </c>
      <c r="O325" s="81">
        <f t="shared" si="2199"/>
        <v>0</v>
      </c>
      <c r="P325" s="81">
        <f t="shared" si="2199"/>
        <v>0</v>
      </c>
      <c r="Q325" s="81">
        <f t="shared" si="2199"/>
        <v>0</v>
      </c>
      <c r="R325" s="81">
        <f t="shared" si="2199"/>
        <v>0</v>
      </c>
      <c r="S325" s="81">
        <f t="shared" si="2199"/>
        <v>0</v>
      </c>
      <c r="T325" s="81">
        <f t="shared" si="2199"/>
        <v>0</v>
      </c>
      <c r="U325" s="81">
        <f t="shared" si="2199"/>
        <v>0</v>
      </c>
      <c r="V325" s="81">
        <f t="shared" si="2199"/>
        <v>0</v>
      </c>
      <c r="W325" s="82">
        <f>SUM(W326:W328)</f>
        <v>0</v>
      </c>
      <c r="X325" s="80"/>
      <c r="Y325" s="81">
        <f t="shared" ref="Y325:AG325" si="2200">SUM(Y326:Y328)</f>
        <v>0</v>
      </c>
      <c r="Z325" s="81">
        <f t="shared" si="2200"/>
        <v>0</v>
      </c>
      <c r="AA325" s="81">
        <f t="shared" si="2200"/>
        <v>0</v>
      </c>
      <c r="AB325" s="81">
        <f t="shared" si="2200"/>
        <v>0</v>
      </c>
      <c r="AC325" s="81">
        <f t="shared" si="2200"/>
        <v>0</v>
      </c>
      <c r="AD325" s="81">
        <f t="shared" si="2200"/>
        <v>0</v>
      </c>
      <c r="AE325" s="81">
        <f t="shared" si="2200"/>
        <v>0</v>
      </c>
      <c r="AF325" s="81">
        <f t="shared" si="2200"/>
        <v>0</v>
      </c>
      <c r="AG325" s="81">
        <f t="shared" si="2200"/>
        <v>0</v>
      </c>
      <c r="AH325" s="82">
        <f>SUM(AH326:AH328)</f>
        <v>0</v>
      </c>
      <c r="AI325" s="80"/>
      <c r="AJ325" s="81">
        <f t="shared" ref="AJ325:AR325" si="2201">SUM(AJ326:AJ328)</f>
        <v>0</v>
      </c>
      <c r="AK325" s="81">
        <f t="shared" si="2201"/>
        <v>0</v>
      </c>
      <c r="AL325" s="81">
        <f t="shared" si="2201"/>
        <v>0</v>
      </c>
      <c r="AM325" s="81">
        <f t="shared" si="2201"/>
        <v>0</v>
      </c>
      <c r="AN325" s="81">
        <f t="shared" si="2201"/>
        <v>0</v>
      </c>
      <c r="AO325" s="81">
        <f t="shared" si="2201"/>
        <v>0</v>
      </c>
      <c r="AP325" s="81">
        <f t="shared" si="2201"/>
        <v>0</v>
      </c>
      <c r="AQ325" s="81">
        <f t="shared" si="2201"/>
        <v>0</v>
      </c>
      <c r="AR325" s="81">
        <f t="shared" si="2201"/>
        <v>0</v>
      </c>
      <c r="AS325" s="82">
        <f>SUM(AS326:AS328)</f>
        <v>0</v>
      </c>
      <c r="AT325" s="80"/>
      <c r="AU325" s="81">
        <f>SUM(AU326:AU328)</f>
        <v>0</v>
      </c>
      <c r="AV325" s="81">
        <f t="shared" ref="AV325:BC325" si="2202">SUM(AV326:AV328)</f>
        <v>0</v>
      </c>
      <c r="AW325" s="81">
        <f t="shared" si="2202"/>
        <v>0</v>
      </c>
      <c r="AX325" s="81">
        <f t="shared" si="2202"/>
        <v>0</v>
      </c>
      <c r="AY325" s="81">
        <f t="shared" si="2202"/>
        <v>0</v>
      </c>
      <c r="AZ325" s="81">
        <f t="shared" si="2202"/>
        <v>0</v>
      </c>
      <c r="BA325" s="81">
        <f t="shared" si="2202"/>
        <v>0</v>
      </c>
      <c r="BB325" s="81">
        <f t="shared" si="2202"/>
        <v>0</v>
      </c>
      <c r="BC325" s="81">
        <f t="shared" si="2202"/>
        <v>0</v>
      </c>
      <c r="BD325" s="82">
        <f>SUM(BD326:BD328)</f>
        <v>0</v>
      </c>
      <c r="BE325" s="80"/>
      <c r="BF325" s="81">
        <f t="shared" ref="BF325:BN325" si="2203">SUM(BF326:BF328)</f>
        <v>0</v>
      </c>
      <c r="BG325" s="81">
        <f t="shared" si="2203"/>
        <v>0</v>
      </c>
      <c r="BH325" s="81">
        <f t="shared" si="2203"/>
        <v>0</v>
      </c>
      <c r="BI325" s="81">
        <f t="shared" si="2203"/>
        <v>0</v>
      </c>
      <c r="BJ325" s="81">
        <f t="shared" si="2203"/>
        <v>0</v>
      </c>
      <c r="BK325" s="81">
        <f t="shared" si="2203"/>
        <v>0</v>
      </c>
      <c r="BL325" s="81">
        <f t="shared" si="2203"/>
        <v>0</v>
      </c>
      <c r="BM325" s="81">
        <f t="shared" si="2203"/>
        <v>0</v>
      </c>
      <c r="BN325" s="81">
        <f t="shared" si="2203"/>
        <v>0</v>
      </c>
      <c r="BO325" s="82">
        <f>SUM(BO326:BO328)</f>
        <v>0</v>
      </c>
      <c r="BP325" s="80"/>
      <c r="BQ325" s="81">
        <f t="shared" ref="BQ325:BY325" si="2204">SUM(BQ326:BQ328)</f>
        <v>0</v>
      </c>
      <c r="BR325" s="81">
        <f t="shared" si="2204"/>
        <v>0</v>
      </c>
      <c r="BS325" s="81">
        <f t="shared" si="2204"/>
        <v>0</v>
      </c>
      <c r="BT325" s="81">
        <f t="shared" si="2204"/>
        <v>0</v>
      </c>
      <c r="BU325" s="81">
        <f t="shared" si="2204"/>
        <v>0</v>
      </c>
      <c r="BV325" s="81">
        <f t="shared" si="2204"/>
        <v>0</v>
      </c>
      <c r="BW325" s="81">
        <f t="shared" si="2204"/>
        <v>0</v>
      </c>
      <c r="BX325" s="81">
        <f t="shared" si="2204"/>
        <v>0</v>
      </c>
      <c r="BY325" s="81">
        <f t="shared" si="2204"/>
        <v>0</v>
      </c>
      <c r="BZ325" s="82">
        <f>SUM(BZ326:BZ328)</f>
        <v>0</v>
      </c>
      <c r="CA325" s="80"/>
      <c r="CB325" s="81">
        <f t="shared" ref="CB325:CJ325" si="2205">SUM(CB326:CB328)</f>
        <v>0</v>
      </c>
      <c r="CC325" s="81">
        <f t="shared" si="2205"/>
        <v>0</v>
      </c>
      <c r="CD325" s="81">
        <f t="shared" si="2205"/>
        <v>0</v>
      </c>
      <c r="CE325" s="81">
        <f t="shared" si="2205"/>
        <v>0</v>
      </c>
      <c r="CF325" s="81">
        <f t="shared" si="2205"/>
        <v>0</v>
      </c>
      <c r="CG325" s="81">
        <f t="shared" si="2205"/>
        <v>0</v>
      </c>
      <c r="CH325" s="81">
        <f t="shared" si="2205"/>
        <v>0</v>
      </c>
      <c r="CI325" s="81">
        <f t="shared" si="2205"/>
        <v>0</v>
      </c>
      <c r="CJ325" s="81">
        <f t="shared" si="2205"/>
        <v>0</v>
      </c>
      <c r="CK325" s="82">
        <f>SUM(CK326:CK328)</f>
        <v>0</v>
      </c>
      <c r="CL325" s="80"/>
      <c r="CM325" s="81">
        <f>SUM(CM326:CM328)</f>
        <v>0</v>
      </c>
      <c r="CN325" s="81">
        <f t="shared" ref="CN325:CU325" si="2206">SUM(CN326:CN328)</f>
        <v>0</v>
      </c>
      <c r="CO325" s="81">
        <f t="shared" si="2206"/>
        <v>0</v>
      </c>
      <c r="CP325" s="81">
        <f t="shared" si="2206"/>
        <v>0</v>
      </c>
      <c r="CQ325" s="81">
        <f t="shared" si="2206"/>
        <v>0</v>
      </c>
      <c r="CR325" s="81">
        <f t="shared" si="2206"/>
        <v>0</v>
      </c>
      <c r="CS325" s="81">
        <f t="shared" si="2206"/>
        <v>0</v>
      </c>
      <c r="CT325" s="81">
        <f t="shared" si="2206"/>
        <v>0</v>
      </c>
      <c r="CU325" s="81">
        <f t="shared" si="2206"/>
        <v>0</v>
      </c>
      <c r="CV325" s="82">
        <f>SUM(CV326:CV328)</f>
        <v>0</v>
      </c>
      <c r="CW325" s="80"/>
      <c r="CX325" s="81">
        <f t="shared" ref="CX325:DF325" si="2207">SUM(CX326:CX328)</f>
        <v>0</v>
      </c>
      <c r="CY325" s="81">
        <f t="shared" si="2207"/>
        <v>0</v>
      </c>
      <c r="CZ325" s="81">
        <f t="shared" si="2207"/>
        <v>0</v>
      </c>
      <c r="DA325" s="81">
        <f t="shared" si="2207"/>
        <v>0</v>
      </c>
      <c r="DB325" s="81">
        <f t="shared" si="2207"/>
        <v>0</v>
      </c>
      <c r="DC325" s="81">
        <f t="shared" si="2207"/>
        <v>0</v>
      </c>
      <c r="DD325" s="81">
        <f t="shared" si="2207"/>
        <v>0</v>
      </c>
      <c r="DE325" s="81">
        <f t="shared" si="2207"/>
        <v>0</v>
      </c>
      <c r="DF325" s="81">
        <f t="shared" si="2207"/>
        <v>0</v>
      </c>
      <c r="DG325" s="82">
        <f>SUM(DG326:DG328)</f>
        <v>0</v>
      </c>
      <c r="DH325" s="80"/>
      <c r="DI325" s="81">
        <f t="shared" ref="DI325:DQ325" si="2208">SUM(DI326:DI328)</f>
        <v>0</v>
      </c>
      <c r="DJ325" s="81">
        <f t="shared" si="2208"/>
        <v>0</v>
      </c>
      <c r="DK325" s="81">
        <f t="shared" si="2208"/>
        <v>0</v>
      </c>
      <c r="DL325" s="81">
        <f t="shared" si="2208"/>
        <v>0</v>
      </c>
      <c r="DM325" s="81">
        <f t="shared" si="2208"/>
        <v>0</v>
      </c>
      <c r="DN325" s="81">
        <f t="shared" si="2208"/>
        <v>0</v>
      </c>
      <c r="DO325" s="81">
        <f t="shared" si="2208"/>
        <v>0</v>
      </c>
      <c r="DP325" s="81">
        <f t="shared" si="2208"/>
        <v>0</v>
      </c>
      <c r="DQ325" s="81">
        <f t="shared" si="2208"/>
        <v>0</v>
      </c>
      <c r="DR325" s="82">
        <f>SUM(DR326:DR328)</f>
        <v>0</v>
      </c>
      <c r="DS325" s="80"/>
      <c r="DT325" s="81">
        <f t="shared" ref="DT325:EB325" si="2209">SUM(DT326:DT328)</f>
        <v>0</v>
      </c>
      <c r="DU325" s="81">
        <f t="shared" si="2209"/>
        <v>0</v>
      </c>
      <c r="DV325" s="81">
        <f t="shared" si="2209"/>
        <v>0</v>
      </c>
      <c r="DW325" s="81">
        <f t="shared" si="2209"/>
        <v>0</v>
      </c>
      <c r="DX325" s="81">
        <f t="shared" si="2209"/>
        <v>0</v>
      </c>
      <c r="DY325" s="81">
        <f t="shared" si="2209"/>
        <v>0</v>
      </c>
      <c r="DZ325" s="81">
        <f t="shared" si="2209"/>
        <v>0</v>
      </c>
      <c r="EA325" s="81">
        <f t="shared" si="2209"/>
        <v>0</v>
      </c>
      <c r="EB325" s="81">
        <f t="shared" si="2209"/>
        <v>0</v>
      </c>
      <c r="EC325" s="81">
        <f>SUM(EC326:EC328)</f>
        <v>0</v>
      </c>
      <c r="ED325" s="80"/>
      <c r="EE325" s="81">
        <f>SUM(EE326:EE328)</f>
        <v>0</v>
      </c>
      <c r="EF325" s="81">
        <f t="shared" ref="EF325:EM325" si="2210">SUM(EF326:EF328)</f>
        <v>0</v>
      </c>
      <c r="EG325" s="81">
        <f t="shared" si="2210"/>
        <v>0</v>
      </c>
      <c r="EH325" s="81">
        <f t="shared" si="2210"/>
        <v>0</v>
      </c>
      <c r="EI325" s="81">
        <f t="shared" si="2210"/>
        <v>0</v>
      </c>
      <c r="EJ325" s="81">
        <f t="shared" si="2210"/>
        <v>0</v>
      </c>
      <c r="EK325" s="81">
        <f t="shared" si="2210"/>
        <v>0</v>
      </c>
      <c r="EL325" s="81">
        <f t="shared" si="2210"/>
        <v>0</v>
      </c>
      <c r="EM325" s="81">
        <f t="shared" si="2210"/>
        <v>0</v>
      </c>
      <c r="EN325" s="82">
        <f>SUM(EN326:EN328)</f>
        <v>0</v>
      </c>
      <c r="EO325" s="80"/>
      <c r="EP325" s="81">
        <f t="shared" ref="EP325:EX325" si="2211">SUM(EP326:EP328)</f>
        <v>0</v>
      </c>
      <c r="EQ325" s="81">
        <f t="shared" si="2211"/>
        <v>0</v>
      </c>
      <c r="ER325" s="81">
        <f t="shared" si="2211"/>
        <v>0</v>
      </c>
      <c r="ES325" s="81">
        <f t="shared" si="2211"/>
        <v>0</v>
      </c>
      <c r="ET325" s="81">
        <f t="shared" si="2211"/>
        <v>0</v>
      </c>
      <c r="EU325" s="81">
        <f t="shared" si="2211"/>
        <v>0</v>
      </c>
      <c r="EV325" s="81">
        <f t="shared" si="2211"/>
        <v>0</v>
      </c>
      <c r="EW325" s="81">
        <f t="shared" si="2211"/>
        <v>0</v>
      </c>
      <c r="EX325" s="81">
        <f t="shared" si="2211"/>
        <v>0</v>
      </c>
      <c r="EY325" s="82">
        <f>SUM(EY326:EY328)</f>
        <v>0</v>
      </c>
      <c r="EZ325" s="80"/>
      <c r="FA325" s="81">
        <f t="shared" ref="FA325:FI325" si="2212">SUM(FA326:FA328)</f>
        <v>0</v>
      </c>
      <c r="FB325" s="81">
        <f t="shared" si="2212"/>
        <v>0</v>
      </c>
      <c r="FC325" s="81">
        <f t="shared" si="2212"/>
        <v>0</v>
      </c>
      <c r="FD325" s="81">
        <f t="shared" si="2212"/>
        <v>0</v>
      </c>
      <c r="FE325" s="81">
        <f t="shared" si="2212"/>
        <v>0</v>
      </c>
      <c r="FF325" s="81">
        <f t="shared" si="2212"/>
        <v>0</v>
      </c>
      <c r="FG325" s="81">
        <f t="shared" si="2212"/>
        <v>0</v>
      </c>
      <c r="FH325" s="81">
        <f t="shared" si="2212"/>
        <v>0</v>
      </c>
      <c r="FI325" s="81">
        <f t="shared" si="2212"/>
        <v>0</v>
      </c>
      <c r="FJ325" s="82">
        <f>SUM(FJ326:FJ328)</f>
        <v>0</v>
      </c>
      <c r="FK325" s="80"/>
      <c r="FL325" s="81">
        <f t="shared" ref="FL325:FT325" si="2213">SUM(FL326:FL328)</f>
        <v>0</v>
      </c>
      <c r="FM325" s="81">
        <f t="shared" si="2213"/>
        <v>0</v>
      </c>
      <c r="FN325" s="81">
        <f t="shared" si="2213"/>
        <v>0</v>
      </c>
      <c r="FO325" s="81">
        <f t="shared" si="2213"/>
        <v>0</v>
      </c>
      <c r="FP325" s="81">
        <f t="shared" si="2213"/>
        <v>0</v>
      </c>
      <c r="FQ325" s="81">
        <f t="shared" si="2213"/>
        <v>0</v>
      </c>
      <c r="FR325" s="81">
        <f t="shared" si="2213"/>
        <v>0</v>
      </c>
      <c r="FS325" s="81">
        <f t="shared" si="2213"/>
        <v>0</v>
      </c>
      <c r="FT325" s="81">
        <f t="shared" si="2213"/>
        <v>0</v>
      </c>
      <c r="FU325" s="82">
        <f>SUM(FU326:FU328)</f>
        <v>0</v>
      </c>
      <c r="FV325" s="80"/>
      <c r="FW325" s="81">
        <f>SUM(FW326:FW328)</f>
        <v>0</v>
      </c>
      <c r="FX325" s="81">
        <f t="shared" ref="FX325:GE325" si="2214">SUM(FX326:FX328)</f>
        <v>0</v>
      </c>
      <c r="FY325" s="81">
        <f t="shared" si="2214"/>
        <v>0</v>
      </c>
      <c r="FZ325" s="81">
        <f t="shared" si="2214"/>
        <v>0</v>
      </c>
      <c r="GA325" s="81">
        <f t="shared" si="2214"/>
        <v>0</v>
      </c>
      <c r="GB325" s="81">
        <f t="shared" si="2214"/>
        <v>0</v>
      </c>
      <c r="GC325" s="81">
        <f t="shared" si="2214"/>
        <v>0</v>
      </c>
      <c r="GD325" s="81">
        <f t="shared" si="2214"/>
        <v>0</v>
      </c>
      <c r="GE325" s="81">
        <f t="shared" si="2214"/>
        <v>0</v>
      </c>
      <c r="GF325" s="82">
        <f>SUM(GF326:GF328)</f>
        <v>0</v>
      </c>
      <c r="GG325" s="80"/>
      <c r="GH325" s="81">
        <f t="shared" ref="GH325:GP325" si="2215">SUM(GH326:GH328)</f>
        <v>0</v>
      </c>
      <c r="GI325" s="81">
        <f t="shared" si="2215"/>
        <v>0</v>
      </c>
      <c r="GJ325" s="81">
        <f t="shared" si="2215"/>
        <v>0</v>
      </c>
      <c r="GK325" s="81">
        <f t="shared" si="2215"/>
        <v>0</v>
      </c>
      <c r="GL325" s="81">
        <f t="shared" si="2215"/>
        <v>0</v>
      </c>
      <c r="GM325" s="81">
        <f t="shared" si="2215"/>
        <v>0</v>
      </c>
      <c r="GN325" s="81">
        <f t="shared" si="2215"/>
        <v>0</v>
      </c>
      <c r="GO325" s="81">
        <f t="shared" si="2215"/>
        <v>0</v>
      </c>
      <c r="GP325" s="81">
        <f t="shared" si="2215"/>
        <v>0</v>
      </c>
      <c r="GQ325" s="82">
        <f t="shared" ref="GQ325:HV325" si="2216">SUM(GQ326:GQ328)</f>
        <v>0</v>
      </c>
      <c r="GR325" s="81">
        <f t="shared" si="2216"/>
        <v>0</v>
      </c>
      <c r="GS325" s="81">
        <f t="shared" si="2216"/>
        <v>0</v>
      </c>
      <c r="GT325" s="81">
        <f t="shared" si="2216"/>
        <v>0</v>
      </c>
      <c r="GU325" s="81">
        <f t="shared" si="2216"/>
        <v>0</v>
      </c>
      <c r="GV325" s="81">
        <f t="shared" si="2216"/>
        <v>0</v>
      </c>
      <c r="GW325" s="81">
        <f t="shared" si="2216"/>
        <v>0</v>
      </c>
      <c r="GX325" s="81">
        <f t="shared" si="2216"/>
        <v>0</v>
      </c>
      <c r="GY325" s="81">
        <f t="shared" si="2216"/>
        <v>0</v>
      </c>
      <c r="GZ325" s="81">
        <f t="shared" si="2216"/>
        <v>0</v>
      </c>
      <c r="HA325" s="81">
        <f t="shared" si="2216"/>
        <v>0</v>
      </c>
      <c r="HB325" s="81">
        <f t="shared" si="2216"/>
        <v>0</v>
      </c>
      <c r="HC325" s="81">
        <f t="shared" si="2216"/>
        <v>0</v>
      </c>
      <c r="HD325" s="81">
        <f t="shared" si="2216"/>
        <v>0</v>
      </c>
      <c r="HE325" s="81">
        <f t="shared" si="2216"/>
        <v>0</v>
      </c>
      <c r="HF325" s="81">
        <f t="shared" si="2216"/>
        <v>0</v>
      </c>
      <c r="HG325" s="81">
        <f t="shared" si="2216"/>
        <v>0</v>
      </c>
      <c r="HH325" s="81">
        <f t="shared" si="2216"/>
        <v>0</v>
      </c>
      <c r="HI325" s="81">
        <f t="shared" si="2216"/>
        <v>0</v>
      </c>
      <c r="HJ325" s="81">
        <f t="shared" si="2216"/>
        <v>0</v>
      </c>
      <c r="HK325" s="81">
        <f t="shared" si="2216"/>
        <v>0</v>
      </c>
      <c r="HL325" s="81">
        <f t="shared" si="2216"/>
        <v>0</v>
      </c>
      <c r="HM325" s="81">
        <f t="shared" si="2216"/>
        <v>0</v>
      </c>
      <c r="HN325" s="81">
        <f t="shared" si="2216"/>
        <v>0</v>
      </c>
      <c r="HO325" s="81">
        <f t="shared" si="2216"/>
        <v>0</v>
      </c>
      <c r="HP325" s="81">
        <f t="shared" si="2216"/>
        <v>0</v>
      </c>
      <c r="HQ325" s="81">
        <f t="shared" si="2216"/>
        <v>0</v>
      </c>
      <c r="HR325" s="81">
        <f t="shared" si="2216"/>
        <v>0</v>
      </c>
      <c r="HS325" s="81">
        <f t="shared" si="2216"/>
        <v>0</v>
      </c>
      <c r="HT325" s="81">
        <f t="shared" si="2216"/>
        <v>0</v>
      </c>
      <c r="HU325" s="81">
        <f t="shared" si="2216"/>
        <v>0</v>
      </c>
      <c r="HV325" s="81">
        <f t="shared" si="2216"/>
        <v>0</v>
      </c>
      <c r="HW325" s="81">
        <f t="shared" ref="HW325:IV325" si="2217">SUM(HW326:HW328)</f>
        <v>0</v>
      </c>
      <c r="HX325" s="81">
        <f t="shared" si="2217"/>
        <v>0</v>
      </c>
      <c r="HY325" s="81">
        <f t="shared" si="2217"/>
        <v>0</v>
      </c>
      <c r="HZ325" s="81">
        <f t="shared" si="2217"/>
        <v>0</v>
      </c>
      <c r="IA325" s="81">
        <f t="shared" si="2217"/>
        <v>0</v>
      </c>
      <c r="IB325" s="81">
        <f t="shared" si="2217"/>
        <v>0</v>
      </c>
      <c r="IC325" s="81">
        <f t="shared" si="2217"/>
        <v>0</v>
      </c>
      <c r="ID325" s="81">
        <f t="shared" si="2217"/>
        <v>0</v>
      </c>
      <c r="IE325" s="81">
        <f t="shared" si="2217"/>
        <v>0</v>
      </c>
      <c r="IF325" s="81">
        <f t="shared" si="2217"/>
        <v>0</v>
      </c>
      <c r="IG325" s="81">
        <f t="shared" si="2217"/>
        <v>0</v>
      </c>
      <c r="IH325" s="81">
        <f t="shared" si="2217"/>
        <v>0</v>
      </c>
      <c r="II325" s="81">
        <f t="shared" si="2217"/>
        <v>0</v>
      </c>
      <c r="IJ325" s="81">
        <f t="shared" si="2217"/>
        <v>0</v>
      </c>
      <c r="IK325" s="81">
        <f t="shared" si="2217"/>
        <v>0</v>
      </c>
      <c r="IL325" s="81">
        <f t="shared" si="2217"/>
        <v>0</v>
      </c>
      <c r="IM325" s="81">
        <f t="shared" si="2217"/>
        <v>0</v>
      </c>
      <c r="IN325" s="81">
        <f t="shared" si="2217"/>
        <v>0</v>
      </c>
      <c r="IO325" s="81">
        <f t="shared" si="2217"/>
        <v>0</v>
      </c>
      <c r="IP325" s="81">
        <f t="shared" si="2217"/>
        <v>0</v>
      </c>
      <c r="IQ325" s="81">
        <f t="shared" si="2217"/>
        <v>0</v>
      </c>
      <c r="IR325" s="81">
        <f t="shared" si="2217"/>
        <v>0</v>
      </c>
      <c r="IS325" s="81">
        <f t="shared" si="2217"/>
        <v>0</v>
      </c>
      <c r="IT325" s="81">
        <f t="shared" si="2217"/>
        <v>0</v>
      </c>
      <c r="IU325" s="81">
        <f t="shared" si="2217"/>
        <v>0</v>
      </c>
      <c r="IV325" s="81">
        <f t="shared" si="2217"/>
        <v>0</v>
      </c>
    </row>
    <row r="326" spans="1:256" x14ac:dyDescent="0.25">
      <c r="A326" s="84" t="s">
        <v>259</v>
      </c>
      <c r="B326" s="62"/>
      <c r="C326" s="63"/>
      <c r="D326" s="63"/>
      <c r="E326" s="63"/>
      <c r="F326" s="63"/>
      <c r="G326" s="63"/>
      <c r="H326" s="63"/>
      <c r="I326" s="63"/>
      <c r="J326" s="63"/>
      <c r="K326" s="63"/>
      <c r="L326" s="64">
        <f>SUM(C326:F326,H326:K326)</f>
        <v>0</v>
      </c>
      <c r="M326" s="62"/>
      <c r="N326" s="63"/>
      <c r="O326" s="63"/>
      <c r="P326" s="63"/>
      <c r="Q326" s="63"/>
      <c r="R326" s="63"/>
      <c r="S326" s="63"/>
      <c r="T326" s="63"/>
      <c r="U326" s="63"/>
      <c r="V326" s="63"/>
      <c r="W326" s="64">
        <f>SUM(N326:Q326,S326:V326)</f>
        <v>0</v>
      </c>
      <c r="X326" s="62"/>
      <c r="Y326" s="63"/>
      <c r="Z326" s="63"/>
      <c r="AA326" s="63"/>
      <c r="AB326" s="63"/>
      <c r="AC326" s="63"/>
      <c r="AD326" s="63"/>
      <c r="AE326" s="63"/>
      <c r="AF326" s="63"/>
      <c r="AG326" s="63"/>
      <c r="AH326" s="64">
        <f>SUM(Y326:AB326,AD326:AG326)</f>
        <v>0</v>
      </c>
      <c r="AI326" s="62"/>
      <c r="AJ326" s="63"/>
      <c r="AK326" s="63"/>
      <c r="AL326" s="63"/>
      <c r="AM326" s="63"/>
      <c r="AN326" s="63"/>
      <c r="AO326" s="63"/>
      <c r="AP326" s="63"/>
      <c r="AQ326" s="63"/>
      <c r="AR326" s="63"/>
      <c r="AS326" s="64">
        <f>SUM(AJ326:AM326,AO326:AR326)</f>
        <v>0</v>
      </c>
      <c r="AT326" s="65">
        <f t="shared" ref="AT326:BC328" si="2218">SUM(M326,AI326,X326)</f>
        <v>0</v>
      </c>
      <c r="AU326" s="65">
        <f t="shared" si="2218"/>
        <v>0</v>
      </c>
      <c r="AV326" s="65">
        <f t="shared" si="2218"/>
        <v>0</v>
      </c>
      <c r="AW326" s="65">
        <f t="shared" si="2218"/>
        <v>0</v>
      </c>
      <c r="AX326" s="65">
        <f t="shared" si="2218"/>
        <v>0</v>
      </c>
      <c r="AY326" s="65">
        <f t="shared" si="2218"/>
        <v>0</v>
      </c>
      <c r="AZ326" s="65">
        <f t="shared" si="2218"/>
        <v>0</v>
      </c>
      <c r="BA326" s="65">
        <f t="shared" si="2218"/>
        <v>0</v>
      </c>
      <c r="BB326" s="65">
        <f t="shared" si="2218"/>
        <v>0</v>
      </c>
      <c r="BC326" s="65">
        <f t="shared" si="2218"/>
        <v>0</v>
      </c>
      <c r="BD326" s="64">
        <f>SUM(AU326:AX326,AZ326:BC326)</f>
        <v>0</v>
      </c>
      <c r="BE326" s="62"/>
      <c r="BF326" s="63"/>
      <c r="BG326" s="63"/>
      <c r="BH326" s="63"/>
      <c r="BI326" s="63"/>
      <c r="BJ326" s="63"/>
      <c r="BK326" s="63"/>
      <c r="BL326" s="63"/>
      <c r="BM326" s="63"/>
      <c r="BN326" s="63"/>
      <c r="BO326" s="64">
        <f>SUM(BF326:BI326,BK326:BN326)</f>
        <v>0</v>
      </c>
      <c r="BP326" s="62"/>
      <c r="BQ326" s="63"/>
      <c r="BR326" s="63"/>
      <c r="BS326" s="63"/>
      <c r="BT326" s="63"/>
      <c r="BU326" s="63"/>
      <c r="BV326" s="63"/>
      <c r="BW326" s="63"/>
      <c r="BX326" s="63"/>
      <c r="BY326" s="63"/>
      <c r="BZ326" s="64">
        <f>SUM(BQ326:BT326,BV326:BY326)</f>
        <v>0</v>
      </c>
      <c r="CA326" s="62"/>
      <c r="CB326" s="63"/>
      <c r="CC326" s="63"/>
      <c r="CD326" s="63"/>
      <c r="CE326" s="63"/>
      <c r="CF326" s="63"/>
      <c r="CG326" s="63"/>
      <c r="CH326" s="63"/>
      <c r="CI326" s="63"/>
      <c r="CJ326" s="63"/>
      <c r="CK326" s="64">
        <f>SUM(CB326:CE326,CG326:CJ326)</f>
        <v>0</v>
      </c>
      <c r="CL326" s="65">
        <f t="shared" ref="CL326:CU328" si="2219">SUM(BE326,CA326,BP326)</f>
        <v>0</v>
      </c>
      <c r="CM326" s="65">
        <f t="shared" si="2219"/>
        <v>0</v>
      </c>
      <c r="CN326" s="65">
        <f t="shared" si="2219"/>
        <v>0</v>
      </c>
      <c r="CO326" s="65">
        <f t="shared" si="2219"/>
        <v>0</v>
      </c>
      <c r="CP326" s="65">
        <f t="shared" si="2219"/>
        <v>0</v>
      </c>
      <c r="CQ326" s="65">
        <f t="shared" si="2219"/>
        <v>0</v>
      </c>
      <c r="CR326" s="65">
        <f t="shared" si="2219"/>
        <v>0</v>
      </c>
      <c r="CS326" s="65">
        <f t="shared" si="2219"/>
        <v>0</v>
      </c>
      <c r="CT326" s="65">
        <f t="shared" si="2219"/>
        <v>0</v>
      </c>
      <c r="CU326" s="65">
        <f t="shared" si="2219"/>
        <v>0</v>
      </c>
      <c r="CV326" s="64">
        <f>SUM(CM326:CP326,CR326:CU326)</f>
        <v>0</v>
      </c>
      <c r="CW326" s="62"/>
      <c r="CX326" s="63"/>
      <c r="CY326" s="63"/>
      <c r="CZ326" s="63"/>
      <c r="DA326" s="63"/>
      <c r="DB326" s="63"/>
      <c r="DC326" s="63"/>
      <c r="DD326" s="63"/>
      <c r="DE326" s="63"/>
      <c r="DF326" s="63"/>
      <c r="DG326" s="64">
        <f>SUM(CX326:DA326,DC326:DF326)</f>
        <v>0</v>
      </c>
      <c r="DH326" s="62"/>
      <c r="DI326" s="63"/>
      <c r="DJ326" s="63"/>
      <c r="DK326" s="63"/>
      <c r="DL326" s="63"/>
      <c r="DM326" s="63"/>
      <c r="DN326" s="63"/>
      <c r="DO326" s="63"/>
      <c r="DP326" s="63"/>
      <c r="DQ326" s="63"/>
      <c r="DR326" s="64">
        <f>SUM(DI326:DL326,DN326:DQ326)</f>
        <v>0</v>
      </c>
      <c r="DS326" s="62"/>
      <c r="DT326" s="63"/>
      <c r="DU326" s="63"/>
      <c r="DV326" s="63"/>
      <c r="DW326" s="63"/>
      <c r="DX326" s="63"/>
      <c r="DY326" s="63"/>
      <c r="DZ326" s="63"/>
      <c r="EA326" s="63"/>
      <c r="EB326" s="63"/>
      <c r="EC326" s="63"/>
      <c r="ED326" s="65">
        <f t="shared" ref="ED326:EM328" si="2220">SUM(CW326,DS326,DH326)</f>
        <v>0</v>
      </c>
      <c r="EE326" s="65">
        <f t="shared" si="2220"/>
        <v>0</v>
      </c>
      <c r="EF326" s="65">
        <f t="shared" si="2220"/>
        <v>0</v>
      </c>
      <c r="EG326" s="65">
        <f t="shared" si="2220"/>
        <v>0</v>
      </c>
      <c r="EH326" s="65">
        <f t="shared" si="2220"/>
        <v>0</v>
      </c>
      <c r="EI326" s="65">
        <f t="shared" si="2220"/>
        <v>0</v>
      </c>
      <c r="EJ326" s="65">
        <f t="shared" si="2220"/>
        <v>0</v>
      </c>
      <c r="EK326" s="65">
        <f t="shared" si="2220"/>
        <v>0</v>
      </c>
      <c r="EL326" s="65">
        <f t="shared" si="2220"/>
        <v>0</v>
      </c>
      <c r="EM326" s="65">
        <f t="shared" si="2220"/>
        <v>0</v>
      </c>
      <c r="EN326" s="64">
        <f>SUM(EE326:EH326,EJ326:EM326)</f>
        <v>0</v>
      </c>
      <c r="EO326" s="62"/>
      <c r="EP326" s="63"/>
      <c r="EQ326" s="63"/>
      <c r="ER326" s="63"/>
      <c r="ES326" s="63"/>
      <c r="ET326" s="63"/>
      <c r="EU326" s="63"/>
      <c r="EV326" s="63"/>
      <c r="EW326" s="63"/>
      <c r="EX326" s="63"/>
      <c r="EY326" s="64">
        <f>SUM(EP326:ES326,EU326:EX326)</f>
        <v>0</v>
      </c>
      <c r="EZ326" s="62"/>
      <c r="FA326" s="63"/>
      <c r="FB326" s="63"/>
      <c r="FC326" s="63"/>
      <c r="FD326" s="63"/>
      <c r="FE326" s="63"/>
      <c r="FF326" s="63"/>
      <c r="FG326" s="63"/>
      <c r="FH326" s="63"/>
      <c r="FI326" s="63"/>
      <c r="FJ326" s="64">
        <f>SUM(FA326:FD326,FF326:FI326)</f>
        <v>0</v>
      </c>
      <c r="FK326" s="62"/>
      <c r="FL326" s="63"/>
      <c r="FM326" s="63"/>
      <c r="FN326" s="63"/>
      <c r="FO326" s="63"/>
      <c r="FP326" s="63"/>
      <c r="FQ326" s="63"/>
      <c r="FR326" s="63"/>
      <c r="FS326" s="63"/>
      <c r="FT326" s="63"/>
      <c r="FU326" s="64">
        <f>SUM(FL326:FO326,FQ326:FT326)</f>
        <v>0</v>
      </c>
      <c r="FV326" s="65">
        <f t="shared" ref="FV326:GE329" si="2221">SUM(EO326,FK326,EZ326)</f>
        <v>0</v>
      </c>
      <c r="FW326" s="65">
        <f t="shared" si="2221"/>
        <v>0</v>
      </c>
      <c r="FX326" s="65">
        <f t="shared" si="2221"/>
        <v>0</v>
      </c>
      <c r="FY326" s="65">
        <f t="shared" si="2221"/>
        <v>0</v>
      </c>
      <c r="FZ326" s="65">
        <f t="shared" si="2221"/>
        <v>0</v>
      </c>
      <c r="GA326" s="65">
        <f t="shared" si="2221"/>
        <v>0</v>
      </c>
      <c r="GB326" s="65">
        <f t="shared" si="2221"/>
        <v>0</v>
      </c>
      <c r="GC326" s="65">
        <f t="shared" si="2221"/>
        <v>0</v>
      </c>
      <c r="GD326" s="65">
        <f t="shared" si="2221"/>
        <v>0</v>
      </c>
      <c r="GE326" s="65">
        <f t="shared" si="2221"/>
        <v>0</v>
      </c>
      <c r="GF326" s="64">
        <f>SUM(FW326:FZ326,GB326:GE326)</f>
        <v>0</v>
      </c>
      <c r="GG326" s="66">
        <f t="shared" ref="GG326:GP329" si="2222">SUM(AT326,CL326,ED326,FV326)</f>
        <v>0</v>
      </c>
      <c r="GH326" s="66">
        <f t="shared" si="2222"/>
        <v>0</v>
      </c>
      <c r="GI326" s="66">
        <f t="shared" si="2222"/>
        <v>0</v>
      </c>
      <c r="GJ326" s="66">
        <f t="shared" si="2222"/>
        <v>0</v>
      </c>
      <c r="GK326" s="66">
        <f t="shared" si="2222"/>
        <v>0</v>
      </c>
      <c r="GL326" s="66">
        <f t="shared" si="2222"/>
        <v>0</v>
      </c>
      <c r="GM326" s="66">
        <f t="shared" si="2222"/>
        <v>0</v>
      </c>
      <c r="GN326" s="66">
        <f t="shared" si="2222"/>
        <v>0</v>
      </c>
      <c r="GO326" s="66">
        <f t="shared" si="2222"/>
        <v>0</v>
      </c>
      <c r="GP326" s="66">
        <f t="shared" si="2222"/>
        <v>0</v>
      </c>
      <c r="GQ326" s="64">
        <f>SUM(GH326:GK326,GM326:GP326)</f>
        <v>0</v>
      </c>
      <c r="GR326" s="63"/>
      <c r="GS326" s="63"/>
      <c r="GT326" s="63"/>
      <c r="GU326" s="63"/>
      <c r="GV326" s="67">
        <f t="shared" ref="GV326:GV331" si="2223">SUM(GR326:GU326)</f>
        <v>0</v>
      </c>
      <c r="GW326" s="63"/>
      <c r="GX326" s="63"/>
      <c r="GY326" s="63"/>
      <c r="GZ326" s="63"/>
      <c r="HA326" s="67">
        <f t="shared" ref="HA326:HA331" si="2224">SUM(GW326:GZ326)</f>
        <v>0</v>
      </c>
      <c r="HB326" s="63"/>
      <c r="HC326" s="63"/>
      <c r="HD326" s="63"/>
      <c r="HE326" s="63"/>
      <c r="HF326" s="67">
        <f t="shared" ref="HF326:HF331" si="2225">SUM(HB326:HE326)</f>
        <v>0</v>
      </c>
      <c r="HG326" s="63"/>
      <c r="HH326" s="63"/>
      <c r="HI326" s="63"/>
      <c r="HJ326" s="63"/>
      <c r="HK326" s="67">
        <f t="shared" ref="HK326:HK331" si="2226">SUM(HG326:HJ326)</f>
        <v>0</v>
      </c>
      <c r="HL326" s="68">
        <f t="shared" ref="HL326:HO329" si="2227">SUM(GW326,HB326,HG326)</f>
        <v>0</v>
      </c>
      <c r="HM326" s="68">
        <f t="shared" si="2227"/>
        <v>0</v>
      </c>
      <c r="HN326" s="68">
        <f t="shared" si="2227"/>
        <v>0</v>
      </c>
      <c r="HO326" s="68">
        <f t="shared" si="2227"/>
        <v>0</v>
      </c>
      <c r="HP326" s="67">
        <f t="shared" ref="HP326:HP331" si="2228">SUM(HL326:HO326)</f>
        <v>0</v>
      </c>
      <c r="HQ326" s="63"/>
      <c r="HR326" s="63"/>
      <c r="HS326" s="63"/>
      <c r="HT326" s="63"/>
      <c r="HU326" s="67">
        <f t="shared" ref="HU326:HU331" si="2229">SUM(HQ326:HT326)</f>
        <v>0</v>
      </c>
      <c r="HV326" s="63"/>
      <c r="HW326" s="63"/>
      <c r="HX326" s="63"/>
      <c r="HY326" s="63"/>
      <c r="HZ326" s="67">
        <f t="shared" ref="HZ326:HZ331" si="2230">SUM(HV326:HY326)</f>
        <v>0</v>
      </c>
      <c r="IA326" s="63"/>
      <c r="IB326" s="63"/>
      <c r="IC326" s="63"/>
      <c r="ID326" s="63"/>
      <c r="IE326" s="67">
        <f t="shared" ref="IE326:IE331" si="2231">SUM(IA326:ID326)</f>
        <v>0</v>
      </c>
      <c r="IF326" s="68">
        <f t="shared" ref="IF326:II329" si="2232">SUM(HQ326,HV326,IA326)</f>
        <v>0</v>
      </c>
      <c r="IG326" s="68">
        <f t="shared" si="2232"/>
        <v>0</v>
      </c>
      <c r="IH326" s="68">
        <f t="shared" si="2232"/>
        <v>0</v>
      </c>
      <c r="II326" s="68">
        <f t="shared" si="2232"/>
        <v>0</v>
      </c>
      <c r="IJ326" s="67">
        <f t="shared" ref="IJ326:IJ331" si="2233">SUM(IF326:II326)</f>
        <v>0</v>
      </c>
      <c r="IK326" s="63"/>
      <c r="IL326" s="63"/>
      <c r="IM326" s="63"/>
      <c r="IN326" s="63"/>
      <c r="IO326" s="67">
        <f t="shared" ref="IO326:IO331" si="2234">SUM(IK326:IN326)</f>
        <v>0</v>
      </c>
      <c r="IP326" s="63"/>
      <c r="IQ326" s="63"/>
      <c r="IR326" s="63"/>
      <c r="IS326" s="63"/>
      <c r="IT326" s="67">
        <f t="shared" ref="IT326:IT334" si="2235">SUM(IP326:IS326)</f>
        <v>0</v>
      </c>
      <c r="IU326" s="63"/>
      <c r="IV326" s="63"/>
    </row>
    <row r="327" spans="1:256" x14ac:dyDescent="0.25">
      <c r="A327" s="84" t="s">
        <v>260</v>
      </c>
      <c r="B327" s="62"/>
      <c r="C327" s="63"/>
      <c r="D327" s="63"/>
      <c r="E327" s="63"/>
      <c r="F327" s="63"/>
      <c r="G327" s="63"/>
      <c r="H327" s="63"/>
      <c r="I327" s="63"/>
      <c r="J327" s="63"/>
      <c r="K327" s="63"/>
      <c r="L327" s="64">
        <f>SUM(C327:F327,H327:K327)</f>
        <v>0</v>
      </c>
      <c r="M327" s="62"/>
      <c r="N327" s="63"/>
      <c r="O327" s="63"/>
      <c r="P327" s="63"/>
      <c r="Q327" s="63"/>
      <c r="R327" s="63"/>
      <c r="S327" s="63"/>
      <c r="T327" s="63"/>
      <c r="U327" s="63"/>
      <c r="V327" s="63"/>
      <c r="W327" s="64">
        <f>SUM(N327:Q327,S327:V327)</f>
        <v>0</v>
      </c>
      <c r="X327" s="62"/>
      <c r="Y327" s="63"/>
      <c r="Z327" s="63"/>
      <c r="AA327" s="63"/>
      <c r="AB327" s="63"/>
      <c r="AC327" s="63"/>
      <c r="AD327" s="63"/>
      <c r="AE327" s="63"/>
      <c r="AF327" s="63"/>
      <c r="AG327" s="63"/>
      <c r="AH327" s="64">
        <f>SUM(Y327:AB327,AD327:AG327)</f>
        <v>0</v>
      </c>
      <c r="AI327" s="62"/>
      <c r="AJ327" s="63"/>
      <c r="AK327" s="63"/>
      <c r="AL327" s="63"/>
      <c r="AM327" s="63"/>
      <c r="AN327" s="63"/>
      <c r="AO327" s="63"/>
      <c r="AP327" s="63"/>
      <c r="AQ327" s="63"/>
      <c r="AR327" s="63"/>
      <c r="AS327" s="64">
        <f>SUM(AJ327:AM327,AO327:AR327)</f>
        <v>0</v>
      </c>
      <c r="AT327" s="65">
        <f t="shared" si="2218"/>
        <v>0</v>
      </c>
      <c r="AU327" s="65">
        <f t="shared" si="2218"/>
        <v>0</v>
      </c>
      <c r="AV327" s="65">
        <f t="shared" si="2218"/>
        <v>0</v>
      </c>
      <c r="AW327" s="65">
        <f t="shared" si="2218"/>
        <v>0</v>
      </c>
      <c r="AX327" s="65">
        <f t="shared" si="2218"/>
        <v>0</v>
      </c>
      <c r="AY327" s="65">
        <f t="shared" si="2218"/>
        <v>0</v>
      </c>
      <c r="AZ327" s="65">
        <f t="shared" si="2218"/>
        <v>0</v>
      </c>
      <c r="BA327" s="65">
        <f t="shared" si="2218"/>
        <v>0</v>
      </c>
      <c r="BB327" s="65">
        <f t="shared" si="2218"/>
        <v>0</v>
      </c>
      <c r="BC327" s="65">
        <f t="shared" si="2218"/>
        <v>0</v>
      </c>
      <c r="BD327" s="64">
        <f>SUM(AU327:AX327,AZ327:BC327)</f>
        <v>0</v>
      </c>
      <c r="BE327" s="62"/>
      <c r="BF327" s="63"/>
      <c r="BG327" s="63"/>
      <c r="BH327" s="63"/>
      <c r="BI327" s="63"/>
      <c r="BJ327" s="63"/>
      <c r="BK327" s="63"/>
      <c r="BL327" s="63"/>
      <c r="BM327" s="63"/>
      <c r="BN327" s="63"/>
      <c r="BO327" s="64">
        <f>SUM(BF327:BI327,BK327:BN327)</f>
        <v>0</v>
      </c>
      <c r="BP327" s="62"/>
      <c r="BQ327" s="63"/>
      <c r="BR327" s="63"/>
      <c r="BS327" s="63"/>
      <c r="BT327" s="63"/>
      <c r="BU327" s="63"/>
      <c r="BV327" s="63"/>
      <c r="BW327" s="63"/>
      <c r="BX327" s="63"/>
      <c r="BY327" s="63"/>
      <c r="BZ327" s="64">
        <f>SUM(BQ327:BT327,BV327:BY327)</f>
        <v>0</v>
      </c>
      <c r="CA327" s="62"/>
      <c r="CB327" s="63"/>
      <c r="CC327" s="63"/>
      <c r="CD327" s="63"/>
      <c r="CE327" s="63"/>
      <c r="CF327" s="63"/>
      <c r="CG327" s="63"/>
      <c r="CH327" s="63"/>
      <c r="CI327" s="63"/>
      <c r="CJ327" s="63"/>
      <c r="CK327" s="64">
        <f>SUM(CB327:CE327,CG327:CJ327)</f>
        <v>0</v>
      </c>
      <c r="CL327" s="65">
        <f t="shared" si="2219"/>
        <v>0</v>
      </c>
      <c r="CM327" s="65">
        <f t="shared" si="2219"/>
        <v>0</v>
      </c>
      <c r="CN327" s="65">
        <f t="shared" si="2219"/>
        <v>0</v>
      </c>
      <c r="CO327" s="65">
        <f t="shared" si="2219"/>
        <v>0</v>
      </c>
      <c r="CP327" s="65">
        <f t="shared" si="2219"/>
        <v>0</v>
      </c>
      <c r="CQ327" s="65">
        <f t="shared" si="2219"/>
        <v>0</v>
      </c>
      <c r="CR327" s="65">
        <f t="shared" si="2219"/>
        <v>0</v>
      </c>
      <c r="CS327" s="65">
        <f t="shared" si="2219"/>
        <v>0</v>
      </c>
      <c r="CT327" s="65">
        <f t="shared" si="2219"/>
        <v>0</v>
      </c>
      <c r="CU327" s="65">
        <f t="shared" si="2219"/>
        <v>0</v>
      </c>
      <c r="CV327" s="64">
        <f>SUM(CM327:CP327,CR327:CU327)</f>
        <v>0</v>
      </c>
      <c r="CW327" s="62"/>
      <c r="CX327" s="63"/>
      <c r="CY327" s="63"/>
      <c r="CZ327" s="63"/>
      <c r="DA327" s="63"/>
      <c r="DB327" s="63"/>
      <c r="DC327" s="63"/>
      <c r="DD327" s="63"/>
      <c r="DE327" s="63"/>
      <c r="DF327" s="63"/>
      <c r="DG327" s="64">
        <f>SUM(CX327:DA327,DC327:DF327)</f>
        <v>0</v>
      </c>
      <c r="DH327" s="62"/>
      <c r="DI327" s="63"/>
      <c r="DJ327" s="63"/>
      <c r="DK327" s="63"/>
      <c r="DL327" s="63"/>
      <c r="DM327" s="63"/>
      <c r="DN327" s="63"/>
      <c r="DO327" s="63"/>
      <c r="DP327" s="63"/>
      <c r="DQ327" s="63"/>
      <c r="DR327" s="64">
        <f>SUM(DI327:DL327,DN327:DQ327)</f>
        <v>0</v>
      </c>
      <c r="DS327" s="62"/>
      <c r="DT327" s="63"/>
      <c r="DU327" s="63"/>
      <c r="DV327" s="63"/>
      <c r="DW327" s="63"/>
      <c r="DX327" s="63"/>
      <c r="DY327" s="63"/>
      <c r="DZ327" s="63"/>
      <c r="EA327" s="63"/>
      <c r="EB327" s="63"/>
      <c r="EC327" s="63"/>
      <c r="ED327" s="65">
        <f t="shared" si="2220"/>
        <v>0</v>
      </c>
      <c r="EE327" s="65">
        <f t="shared" si="2220"/>
        <v>0</v>
      </c>
      <c r="EF327" s="65">
        <f t="shared" si="2220"/>
        <v>0</v>
      </c>
      <c r="EG327" s="65">
        <f t="shared" si="2220"/>
        <v>0</v>
      </c>
      <c r="EH327" s="65">
        <f t="shared" si="2220"/>
        <v>0</v>
      </c>
      <c r="EI327" s="65">
        <f t="shared" si="2220"/>
        <v>0</v>
      </c>
      <c r="EJ327" s="65">
        <f t="shared" si="2220"/>
        <v>0</v>
      </c>
      <c r="EK327" s="65">
        <f t="shared" si="2220"/>
        <v>0</v>
      </c>
      <c r="EL327" s="65">
        <f t="shared" si="2220"/>
        <v>0</v>
      </c>
      <c r="EM327" s="65">
        <f t="shared" si="2220"/>
        <v>0</v>
      </c>
      <c r="EN327" s="64">
        <f>SUM(EE327:EH327,EJ327:EM327)</f>
        <v>0</v>
      </c>
      <c r="EO327" s="62"/>
      <c r="EP327" s="63"/>
      <c r="EQ327" s="63"/>
      <c r="ER327" s="63"/>
      <c r="ES327" s="63"/>
      <c r="ET327" s="63"/>
      <c r="EU327" s="63"/>
      <c r="EV327" s="63"/>
      <c r="EW327" s="63"/>
      <c r="EX327" s="63"/>
      <c r="EY327" s="64">
        <f>SUM(EP327:ES327,EU327:EX327)</f>
        <v>0</v>
      </c>
      <c r="EZ327" s="62"/>
      <c r="FA327" s="63"/>
      <c r="FB327" s="63"/>
      <c r="FC327" s="63"/>
      <c r="FD327" s="63"/>
      <c r="FE327" s="63"/>
      <c r="FF327" s="63"/>
      <c r="FG327" s="63"/>
      <c r="FH327" s="63"/>
      <c r="FI327" s="63"/>
      <c r="FJ327" s="64">
        <f>SUM(FA327:FD327,FF327:FI327)</f>
        <v>0</v>
      </c>
      <c r="FK327" s="62"/>
      <c r="FL327" s="63"/>
      <c r="FM327" s="63"/>
      <c r="FN327" s="63"/>
      <c r="FO327" s="63"/>
      <c r="FP327" s="63"/>
      <c r="FQ327" s="63"/>
      <c r="FR327" s="63"/>
      <c r="FS327" s="63"/>
      <c r="FT327" s="63"/>
      <c r="FU327" s="64">
        <f>SUM(FL327:FO327,FQ327:FT327)</f>
        <v>0</v>
      </c>
      <c r="FV327" s="65">
        <f t="shared" si="2221"/>
        <v>0</v>
      </c>
      <c r="FW327" s="65">
        <f t="shared" si="2221"/>
        <v>0</v>
      </c>
      <c r="FX327" s="65">
        <f t="shared" si="2221"/>
        <v>0</v>
      </c>
      <c r="FY327" s="65">
        <f t="shared" si="2221"/>
        <v>0</v>
      </c>
      <c r="FZ327" s="65">
        <f t="shared" si="2221"/>
        <v>0</v>
      </c>
      <c r="GA327" s="65">
        <f t="shared" si="2221"/>
        <v>0</v>
      </c>
      <c r="GB327" s="65">
        <f t="shared" si="2221"/>
        <v>0</v>
      </c>
      <c r="GC327" s="65">
        <f t="shared" si="2221"/>
        <v>0</v>
      </c>
      <c r="GD327" s="65">
        <f t="shared" si="2221"/>
        <v>0</v>
      </c>
      <c r="GE327" s="65">
        <f t="shared" si="2221"/>
        <v>0</v>
      </c>
      <c r="GF327" s="64">
        <f>SUM(FW327:FZ327,GB327:GE327)</f>
        <v>0</v>
      </c>
      <c r="GG327" s="66">
        <f t="shared" si="2222"/>
        <v>0</v>
      </c>
      <c r="GH327" s="66">
        <f t="shared" si="2222"/>
        <v>0</v>
      </c>
      <c r="GI327" s="66">
        <f t="shared" si="2222"/>
        <v>0</v>
      </c>
      <c r="GJ327" s="66">
        <f t="shared" si="2222"/>
        <v>0</v>
      </c>
      <c r="GK327" s="66">
        <f t="shared" si="2222"/>
        <v>0</v>
      </c>
      <c r="GL327" s="66">
        <f t="shared" si="2222"/>
        <v>0</v>
      </c>
      <c r="GM327" s="66">
        <f t="shared" si="2222"/>
        <v>0</v>
      </c>
      <c r="GN327" s="66">
        <f t="shared" si="2222"/>
        <v>0</v>
      </c>
      <c r="GO327" s="66">
        <f t="shared" si="2222"/>
        <v>0</v>
      </c>
      <c r="GP327" s="66">
        <f t="shared" si="2222"/>
        <v>0</v>
      </c>
      <c r="GQ327" s="64">
        <f>SUM(GH327:GK327,GM327:GP327)</f>
        <v>0</v>
      </c>
      <c r="GR327" s="63"/>
      <c r="GS327" s="63"/>
      <c r="GT327" s="63"/>
      <c r="GU327" s="63"/>
      <c r="GV327" s="67">
        <f t="shared" si="2223"/>
        <v>0</v>
      </c>
      <c r="GW327" s="63"/>
      <c r="GX327" s="63"/>
      <c r="GY327" s="63"/>
      <c r="GZ327" s="63"/>
      <c r="HA327" s="67">
        <f t="shared" si="2224"/>
        <v>0</v>
      </c>
      <c r="HB327" s="63"/>
      <c r="HC327" s="63"/>
      <c r="HD327" s="63"/>
      <c r="HE327" s="63"/>
      <c r="HF327" s="67">
        <f t="shared" si="2225"/>
        <v>0</v>
      </c>
      <c r="HG327" s="63"/>
      <c r="HH327" s="63"/>
      <c r="HI327" s="63"/>
      <c r="HJ327" s="63"/>
      <c r="HK327" s="67">
        <f t="shared" si="2226"/>
        <v>0</v>
      </c>
      <c r="HL327" s="68">
        <f t="shared" si="2227"/>
        <v>0</v>
      </c>
      <c r="HM327" s="68">
        <f t="shared" si="2227"/>
        <v>0</v>
      </c>
      <c r="HN327" s="68">
        <f t="shared" si="2227"/>
        <v>0</v>
      </c>
      <c r="HO327" s="68">
        <f t="shared" si="2227"/>
        <v>0</v>
      </c>
      <c r="HP327" s="67">
        <f t="shared" si="2228"/>
        <v>0</v>
      </c>
      <c r="HQ327" s="63"/>
      <c r="HR327" s="63"/>
      <c r="HS327" s="63"/>
      <c r="HT327" s="63"/>
      <c r="HU327" s="67">
        <f t="shared" si="2229"/>
        <v>0</v>
      </c>
      <c r="HV327" s="63"/>
      <c r="HW327" s="63"/>
      <c r="HX327" s="63"/>
      <c r="HY327" s="63"/>
      <c r="HZ327" s="67">
        <f t="shared" si="2230"/>
        <v>0</v>
      </c>
      <c r="IA327" s="63"/>
      <c r="IB327" s="63"/>
      <c r="IC327" s="63"/>
      <c r="ID327" s="63"/>
      <c r="IE327" s="67">
        <f t="shared" si="2231"/>
        <v>0</v>
      </c>
      <c r="IF327" s="68">
        <f t="shared" si="2232"/>
        <v>0</v>
      </c>
      <c r="IG327" s="68">
        <f t="shared" si="2232"/>
        <v>0</v>
      </c>
      <c r="IH327" s="68">
        <f t="shared" si="2232"/>
        <v>0</v>
      </c>
      <c r="II327" s="68">
        <f t="shared" si="2232"/>
        <v>0</v>
      </c>
      <c r="IJ327" s="67">
        <f t="shared" si="2233"/>
        <v>0</v>
      </c>
      <c r="IK327" s="63"/>
      <c r="IL327" s="63"/>
      <c r="IM327" s="63"/>
      <c r="IN327" s="63"/>
      <c r="IO327" s="67">
        <f t="shared" si="2234"/>
        <v>0</v>
      </c>
      <c r="IP327" s="63"/>
      <c r="IQ327" s="63"/>
      <c r="IR327" s="63"/>
      <c r="IS327" s="63"/>
      <c r="IT327" s="67">
        <f t="shared" si="2235"/>
        <v>0</v>
      </c>
      <c r="IU327" s="63"/>
      <c r="IV327" s="63"/>
    </row>
    <row r="328" spans="1:256" x14ac:dyDescent="0.25">
      <c r="A328" s="84" t="s">
        <v>261</v>
      </c>
      <c r="B328" s="62"/>
      <c r="C328" s="63"/>
      <c r="D328" s="63"/>
      <c r="E328" s="63"/>
      <c r="F328" s="63"/>
      <c r="G328" s="63"/>
      <c r="H328" s="63"/>
      <c r="I328" s="63"/>
      <c r="J328" s="63"/>
      <c r="K328" s="63"/>
      <c r="L328" s="64">
        <f>SUM(C328:F328,H328:K328)</f>
        <v>0</v>
      </c>
      <c r="M328" s="62"/>
      <c r="N328" s="63"/>
      <c r="O328" s="63"/>
      <c r="P328" s="63"/>
      <c r="Q328" s="63"/>
      <c r="R328" s="63"/>
      <c r="S328" s="63"/>
      <c r="T328" s="63"/>
      <c r="U328" s="63"/>
      <c r="V328" s="63"/>
      <c r="W328" s="64">
        <f>SUM(N328:Q328,S328:V328)</f>
        <v>0</v>
      </c>
      <c r="X328" s="62"/>
      <c r="Y328" s="63"/>
      <c r="Z328" s="63"/>
      <c r="AA328" s="63"/>
      <c r="AB328" s="63"/>
      <c r="AC328" s="63"/>
      <c r="AD328" s="63"/>
      <c r="AE328" s="63"/>
      <c r="AF328" s="63"/>
      <c r="AG328" s="63"/>
      <c r="AH328" s="64">
        <f>SUM(Y328:AB328,AD328:AG328)</f>
        <v>0</v>
      </c>
      <c r="AI328" s="62"/>
      <c r="AJ328" s="63"/>
      <c r="AK328" s="63"/>
      <c r="AL328" s="63"/>
      <c r="AM328" s="63"/>
      <c r="AN328" s="63"/>
      <c r="AO328" s="63"/>
      <c r="AP328" s="63"/>
      <c r="AQ328" s="63"/>
      <c r="AR328" s="63"/>
      <c r="AS328" s="64">
        <f>SUM(AJ328:AM328,AO328:AR328)</f>
        <v>0</v>
      </c>
      <c r="AT328" s="65">
        <f t="shared" si="2218"/>
        <v>0</v>
      </c>
      <c r="AU328" s="65">
        <f t="shared" si="2218"/>
        <v>0</v>
      </c>
      <c r="AV328" s="65">
        <f t="shared" si="2218"/>
        <v>0</v>
      </c>
      <c r="AW328" s="65">
        <f t="shared" si="2218"/>
        <v>0</v>
      </c>
      <c r="AX328" s="65">
        <f t="shared" si="2218"/>
        <v>0</v>
      </c>
      <c r="AY328" s="65">
        <f t="shared" si="2218"/>
        <v>0</v>
      </c>
      <c r="AZ328" s="65">
        <f t="shared" si="2218"/>
        <v>0</v>
      </c>
      <c r="BA328" s="65">
        <f t="shared" si="2218"/>
        <v>0</v>
      </c>
      <c r="BB328" s="65">
        <f t="shared" si="2218"/>
        <v>0</v>
      </c>
      <c r="BC328" s="65">
        <f t="shared" si="2218"/>
        <v>0</v>
      </c>
      <c r="BD328" s="64">
        <f>SUM(AU328:AX328,AZ328:BC328)</f>
        <v>0</v>
      </c>
      <c r="BE328" s="62"/>
      <c r="BF328" s="63"/>
      <c r="BG328" s="63"/>
      <c r="BH328" s="63"/>
      <c r="BI328" s="63"/>
      <c r="BJ328" s="63"/>
      <c r="BK328" s="63"/>
      <c r="BL328" s="63"/>
      <c r="BM328" s="63"/>
      <c r="BN328" s="63"/>
      <c r="BO328" s="64">
        <f>SUM(BF328:BI328,BK328:BN328)</f>
        <v>0</v>
      </c>
      <c r="BP328" s="62"/>
      <c r="BQ328" s="63"/>
      <c r="BR328" s="63"/>
      <c r="BS328" s="63"/>
      <c r="BT328" s="63"/>
      <c r="BU328" s="63"/>
      <c r="BV328" s="63"/>
      <c r="BW328" s="63"/>
      <c r="BX328" s="63"/>
      <c r="BY328" s="63"/>
      <c r="BZ328" s="64">
        <f>SUM(BQ328:BT328,BV328:BY328)</f>
        <v>0</v>
      </c>
      <c r="CA328" s="62"/>
      <c r="CB328" s="63"/>
      <c r="CC328" s="63"/>
      <c r="CD328" s="63"/>
      <c r="CE328" s="63"/>
      <c r="CF328" s="63"/>
      <c r="CG328" s="63"/>
      <c r="CH328" s="63"/>
      <c r="CI328" s="63"/>
      <c r="CJ328" s="63"/>
      <c r="CK328" s="64">
        <f>SUM(CB328:CE328,CG328:CJ328)</f>
        <v>0</v>
      </c>
      <c r="CL328" s="65">
        <f t="shared" si="2219"/>
        <v>0</v>
      </c>
      <c r="CM328" s="65">
        <f t="shared" si="2219"/>
        <v>0</v>
      </c>
      <c r="CN328" s="65">
        <f t="shared" si="2219"/>
        <v>0</v>
      </c>
      <c r="CO328" s="65">
        <f t="shared" si="2219"/>
        <v>0</v>
      </c>
      <c r="CP328" s="65">
        <f t="shared" si="2219"/>
        <v>0</v>
      </c>
      <c r="CQ328" s="65">
        <f t="shared" si="2219"/>
        <v>0</v>
      </c>
      <c r="CR328" s="65">
        <f t="shared" si="2219"/>
        <v>0</v>
      </c>
      <c r="CS328" s="65">
        <f t="shared" si="2219"/>
        <v>0</v>
      </c>
      <c r="CT328" s="65">
        <f t="shared" si="2219"/>
        <v>0</v>
      </c>
      <c r="CU328" s="65">
        <f t="shared" si="2219"/>
        <v>0</v>
      </c>
      <c r="CV328" s="64">
        <f>SUM(CM328:CP328,CR328:CU328)</f>
        <v>0</v>
      </c>
      <c r="CW328" s="62"/>
      <c r="CX328" s="63"/>
      <c r="CY328" s="63"/>
      <c r="CZ328" s="63"/>
      <c r="DA328" s="63"/>
      <c r="DB328" s="63"/>
      <c r="DC328" s="63"/>
      <c r="DD328" s="63"/>
      <c r="DE328" s="63"/>
      <c r="DF328" s="63"/>
      <c r="DG328" s="64">
        <f>SUM(CX328:DA328,DC328:DF328)</f>
        <v>0</v>
      </c>
      <c r="DH328" s="62"/>
      <c r="DI328" s="63"/>
      <c r="DJ328" s="63"/>
      <c r="DK328" s="63"/>
      <c r="DL328" s="63"/>
      <c r="DM328" s="63"/>
      <c r="DN328" s="63"/>
      <c r="DO328" s="63"/>
      <c r="DP328" s="63"/>
      <c r="DQ328" s="63"/>
      <c r="DR328" s="64">
        <f>SUM(DI328:DL328,DN328:DQ328)</f>
        <v>0</v>
      </c>
      <c r="DS328" s="62"/>
      <c r="DT328" s="63"/>
      <c r="DU328" s="63"/>
      <c r="DV328" s="63"/>
      <c r="DW328" s="63"/>
      <c r="DX328" s="63"/>
      <c r="DY328" s="63"/>
      <c r="DZ328" s="63"/>
      <c r="EA328" s="63"/>
      <c r="EB328" s="63"/>
      <c r="EC328" s="63"/>
      <c r="ED328" s="65">
        <f t="shared" si="2220"/>
        <v>0</v>
      </c>
      <c r="EE328" s="65">
        <f t="shared" si="2220"/>
        <v>0</v>
      </c>
      <c r="EF328" s="65">
        <f t="shared" si="2220"/>
        <v>0</v>
      </c>
      <c r="EG328" s="65">
        <f t="shared" si="2220"/>
        <v>0</v>
      </c>
      <c r="EH328" s="65">
        <f t="shared" si="2220"/>
        <v>0</v>
      </c>
      <c r="EI328" s="65">
        <f t="shared" si="2220"/>
        <v>0</v>
      </c>
      <c r="EJ328" s="65">
        <f t="shared" si="2220"/>
        <v>0</v>
      </c>
      <c r="EK328" s="65">
        <f t="shared" si="2220"/>
        <v>0</v>
      </c>
      <c r="EL328" s="65">
        <f t="shared" si="2220"/>
        <v>0</v>
      </c>
      <c r="EM328" s="65">
        <f t="shared" si="2220"/>
        <v>0</v>
      </c>
      <c r="EN328" s="64">
        <f>SUM(EE328:EH328,EJ328:EM328)</f>
        <v>0</v>
      </c>
      <c r="EO328" s="62"/>
      <c r="EP328" s="63"/>
      <c r="EQ328" s="63"/>
      <c r="ER328" s="63"/>
      <c r="ES328" s="63"/>
      <c r="ET328" s="63"/>
      <c r="EU328" s="63"/>
      <c r="EV328" s="63"/>
      <c r="EW328" s="63"/>
      <c r="EX328" s="63"/>
      <c r="EY328" s="64">
        <f>SUM(EP328:ES328,EU328:EX328)</f>
        <v>0</v>
      </c>
      <c r="EZ328" s="62"/>
      <c r="FA328" s="63"/>
      <c r="FB328" s="63"/>
      <c r="FC328" s="63"/>
      <c r="FD328" s="63"/>
      <c r="FE328" s="63"/>
      <c r="FF328" s="63"/>
      <c r="FG328" s="63"/>
      <c r="FH328" s="63"/>
      <c r="FI328" s="63"/>
      <c r="FJ328" s="64">
        <f>SUM(FA328:FD328,FF328:FI328)</f>
        <v>0</v>
      </c>
      <c r="FK328" s="62"/>
      <c r="FL328" s="63"/>
      <c r="FM328" s="63"/>
      <c r="FN328" s="63"/>
      <c r="FO328" s="63"/>
      <c r="FP328" s="63"/>
      <c r="FQ328" s="63"/>
      <c r="FR328" s="63"/>
      <c r="FS328" s="63"/>
      <c r="FT328" s="63"/>
      <c r="FU328" s="64">
        <f>SUM(FL328:FO328,FQ328:FT328)</f>
        <v>0</v>
      </c>
      <c r="FV328" s="65">
        <f t="shared" si="2221"/>
        <v>0</v>
      </c>
      <c r="FW328" s="65">
        <f t="shared" si="2221"/>
        <v>0</v>
      </c>
      <c r="FX328" s="65">
        <f t="shared" si="2221"/>
        <v>0</v>
      </c>
      <c r="FY328" s="65">
        <f t="shared" si="2221"/>
        <v>0</v>
      </c>
      <c r="FZ328" s="65">
        <f t="shared" si="2221"/>
        <v>0</v>
      </c>
      <c r="GA328" s="65">
        <f t="shared" si="2221"/>
        <v>0</v>
      </c>
      <c r="GB328" s="65">
        <f t="shared" si="2221"/>
        <v>0</v>
      </c>
      <c r="GC328" s="65">
        <f t="shared" si="2221"/>
        <v>0</v>
      </c>
      <c r="GD328" s="65">
        <f t="shared" si="2221"/>
        <v>0</v>
      </c>
      <c r="GE328" s="65">
        <f t="shared" si="2221"/>
        <v>0</v>
      </c>
      <c r="GF328" s="64">
        <f>SUM(FW328:FZ328,GB328:GE328)</f>
        <v>0</v>
      </c>
      <c r="GG328" s="66">
        <f t="shared" si="2222"/>
        <v>0</v>
      </c>
      <c r="GH328" s="66">
        <f t="shared" si="2222"/>
        <v>0</v>
      </c>
      <c r="GI328" s="66">
        <f t="shared" si="2222"/>
        <v>0</v>
      </c>
      <c r="GJ328" s="66">
        <f t="shared" si="2222"/>
        <v>0</v>
      </c>
      <c r="GK328" s="66">
        <f t="shared" si="2222"/>
        <v>0</v>
      </c>
      <c r="GL328" s="66">
        <f t="shared" si="2222"/>
        <v>0</v>
      </c>
      <c r="GM328" s="66">
        <f t="shared" si="2222"/>
        <v>0</v>
      </c>
      <c r="GN328" s="66">
        <f t="shared" si="2222"/>
        <v>0</v>
      </c>
      <c r="GO328" s="66">
        <f t="shared" si="2222"/>
        <v>0</v>
      </c>
      <c r="GP328" s="66">
        <f t="shared" si="2222"/>
        <v>0</v>
      </c>
      <c r="GQ328" s="64">
        <f>SUM(GH328:GK328,GM328:GP328)</f>
        <v>0</v>
      </c>
      <c r="GR328" s="63"/>
      <c r="GS328" s="63"/>
      <c r="GT328" s="63"/>
      <c r="GU328" s="63"/>
      <c r="GV328" s="67">
        <f t="shared" si="2223"/>
        <v>0</v>
      </c>
      <c r="GW328" s="63"/>
      <c r="GX328" s="63"/>
      <c r="GY328" s="63"/>
      <c r="GZ328" s="63"/>
      <c r="HA328" s="67">
        <f t="shared" si="2224"/>
        <v>0</v>
      </c>
      <c r="HB328" s="63"/>
      <c r="HC328" s="63"/>
      <c r="HD328" s="63"/>
      <c r="HE328" s="63"/>
      <c r="HF328" s="67">
        <f t="shared" si="2225"/>
        <v>0</v>
      </c>
      <c r="HG328" s="63"/>
      <c r="HH328" s="63"/>
      <c r="HI328" s="63"/>
      <c r="HJ328" s="63"/>
      <c r="HK328" s="67">
        <f t="shared" si="2226"/>
        <v>0</v>
      </c>
      <c r="HL328" s="68">
        <f t="shared" si="2227"/>
        <v>0</v>
      </c>
      <c r="HM328" s="68">
        <f t="shared" si="2227"/>
        <v>0</v>
      </c>
      <c r="HN328" s="68">
        <f t="shared" si="2227"/>
        <v>0</v>
      </c>
      <c r="HO328" s="68">
        <f t="shared" si="2227"/>
        <v>0</v>
      </c>
      <c r="HP328" s="67">
        <f t="shared" si="2228"/>
        <v>0</v>
      </c>
      <c r="HQ328" s="63"/>
      <c r="HR328" s="63"/>
      <c r="HS328" s="63"/>
      <c r="HT328" s="63"/>
      <c r="HU328" s="67">
        <f t="shared" si="2229"/>
        <v>0</v>
      </c>
      <c r="HV328" s="63"/>
      <c r="HW328" s="63"/>
      <c r="HX328" s="63"/>
      <c r="HY328" s="63"/>
      <c r="HZ328" s="67">
        <f t="shared" si="2230"/>
        <v>0</v>
      </c>
      <c r="IA328" s="63"/>
      <c r="IB328" s="63"/>
      <c r="IC328" s="63"/>
      <c r="ID328" s="63"/>
      <c r="IE328" s="67">
        <f t="shared" si="2231"/>
        <v>0</v>
      </c>
      <c r="IF328" s="68">
        <f t="shared" si="2232"/>
        <v>0</v>
      </c>
      <c r="IG328" s="68">
        <f t="shared" si="2232"/>
        <v>0</v>
      </c>
      <c r="IH328" s="68">
        <f t="shared" si="2232"/>
        <v>0</v>
      </c>
      <c r="II328" s="68">
        <f t="shared" si="2232"/>
        <v>0</v>
      </c>
      <c r="IJ328" s="67">
        <f t="shared" si="2233"/>
        <v>0</v>
      </c>
      <c r="IK328" s="63"/>
      <c r="IL328" s="63"/>
      <c r="IM328" s="63"/>
      <c r="IN328" s="63"/>
      <c r="IO328" s="67">
        <f t="shared" si="2234"/>
        <v>0</v>
      </c>
      <c r="IP328" s="63"/>
      <c r="IQ328" s="63"/>
      <c r="IR328" s="63"/>
      <c r="IS328" s="63"/>
      <c r="IT328" s="67">
        <f t="shared" si="2235"/>
        <v>0</v>
      </c>
      <c r="IU328" s="63"/>
      <c r="IV328" s="63"/>
    </row>
    <row r="329" spans="1:256" x14ac:dyDescent="0.25">
      <c r="A329" s="170" t="s">
        <v>379</v>
      </c>
      <c r="B329" s="62"/>
      <c r="C329" s="63"/>
      <c r="D329" s="63"/>
      <c r="E329" s="63"/>
      <c r="F329" s="63"/>
      <c r="G329" s="63"/>
      <c r="H329" s="63"/>
      <c r="I329" s="63"/>
      <c r="J329" s="63"/>
      <c r="K329" s="63"/>
      <c r="L329" s="64"/>
      <c r="M329" s="62"/>
      <c r="N329" s="63"/>
      <c r="O329" s="63"/>
      <c r="P329" s="63"/>
      <c r="Q329" s="63"/>
      <c r="R329" s="63"/>
      <c r="S329" s="63"/>
      <c r="T329" s="63"/>
      <c r="U329" s="63"/>
      <c r="V329" s="63"/>
      <c r="W329" s="64"/>
      <c r="X329" s="62"/>
      <c r="Y329" s="63"/>
      <c r="Z329" s="63"/>
      <c r="AA329" s="63"/>
      <c r="AB329" s="63"/>
      <c r="AC329" s="63"/>
      <c r="AD329" s="63"/>
      <c r="AE329" s="63"/>
      <c r="AF329" s="63"/>
      <c r="AG329" s="63"/>
      <c r="AH329" s="64"/>
      <c r="AI329" s="62"/>
      <c r="AJ329" s="63"/>
      <c r="AK329" s="63"/>
      <c r="AL329" s="63"/>
      <c r="AM329" s="63"/>
      <c r="AN329" s="63"/>
      <c r="AO329" s="63"/>
      <c r="AP329" s="63"/>
      <c r="AQ329" s="63"/>
      <c r="AR329" s="63"/>
      <c r="AS329" s="64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4"/>
      <c r="BE329" s="62"/>
      <c r="BF329" s="63"/>
      <c r="BG329" s="63"/>
      <c r="BH329" s="63"/>
      <c r="BI329" s="63"/>
      <c r="BJ329" s="63"/>
      <c r="BK329" s="63"/>
      <c r="BL329" s="63"/>
      <c r="BM329" s="63"/>
      <c r="BN329" s="63"/>
      <c r="BO329" s="64"/>
      <c r="BP329" s="62"/>
      <c r="BQ329" s="63"/>
      <c r="BR329" s="63"/>
      <c r="BS329" s="63"/>
      <c r="BT329" s="63"/>
      <c r="BU329" s="63"/>
      <c r="BV329" s="63"/>
      <c r="BW329" s="63"/>
      <c r="BX329" s="63"/>
      <c r="BY329" s="63"/>
      <c r="BZ329" s="64"/>
      <c r="CA329" s="62"/>
      <c r="CB329" s="63"/>
      <c r="CC329" s="63"/>
      <c r="CD329" s="63"/>
      <c r="CE329" s="63"/>
      <c r="CF329" s="63"/>
      <c r="CG329" s="63"/>
      <c r="CH329" s="63"/>
      <c r="CI329" s="63"/>
      <c r="CJ329" s="63"/>
      <c r="CK329" s="64"/>
      <c r="CL329" s="65"/>
      <c r="CM329" s="65"/>
      <c r="CN329" s="65"/>
      <c r="CO329" s="65"/>
      <c r="CP329" s="65"/>
      <c r="CQ329" s="65"/>
      <c r="CR329" s="65"/>
      <c r="CS329" s="65"/>
      <c r="CT329" s="65"/>
      <c r="CU329" s="65"/>
      <c r="CV329" s="64"/>
      <c r="CW329" s="62"/>
      <c r="CX329" s="63"/>
      <c r="CY329" s="63"/>
      <c r="CZ329" s="63"/>
      <c r="DA329" s="63"/>
      <c r="DB329" s="63"/>
      <c r="DC329" s="63"/>
      <c r="DD329" s="63"/>
      <c r="DE329" s="63"/>
      <c r="DF329" s="63"/>
      <c r="DG329" s="64"/>
      <c r="DH329" s="62"/>
      <c r="DI329" s="63"/>
      <c r="DJ329" s="63"/>
      <c r="DK329" s="63"/>
      <c r="DL329" s="63"/>
      <c r="DM329" s="63"/>
      <c r="DN329" s="63"/>
      <c r="DO329" s="63"/>
      <c r="DP329" s="63"/>
      <c r="DQ329" s="63"/>
      <c r="DR329" s="64"/>
      <c r="DS329" s="62"/>
      <c r="DT329" s="63"/>
      <c r="DU329" s="63"/>
      <c r="DV329" s="63"/>
      <c r="DW329" s="63"/>
      <c r="DX329" s="63"/>
      <c r="DY329" s="63"/>
      <c r="DZ329" s="63"/>
      <c r="EA329" s="63"/>
      <c r="EB329" s="63"/>
      <c r="EC329" s="64"/>
      <c r="ED329" s="65"/>
      <c r="EE329" s="65"/>
      <c r="EF329" s="65"/>
      <c r="EG329" s="65"/>
      <c r="EH329" s="65"/>
      <c r="EI329" s="65"/>
      <c r="EJ329" s="65"/>
      <c r="EK329" s="65"/>
      <c r="EL329" s="65"/>
      <c r="EM329" s="65"/>
      <c r="EN329" s="64"/>
      <c r="EO329" s="62"/>
      <c r="EP329" s="63"/>
      <c r="EQ329" s="63"/>
      <c r="ER329" s="63"/>
      <c r="ES329" s="63"/>
      <c r="ET329" s="63"/>
      <c r="EU329" s="63"/>
      <c r="EV329" s="63"/>
      <c r="EW329" s="63"/>
      <c r="EX329" s="63"/>
      <c r="EY329" s="64"/>
      <c r="EZ329" s="62"/>
      <c r="FA329" s="63"/>
      <c r="FB329" s="63"/>
      <c r="FC329" s="63"/>
      <c r="FD329" s="63"/>
      <c r="FE329" s="63"/>
      <c r="FF329" s="63"/>
      <c r="FG329" s="63"/>
      <c r="FH329" s="63"/>
      <c r="FI329" s="63"/>
      <c r="FJ329" s="64"/>
      <c r="FK329" s="62"/>
      <c r="FL329" s="63"/>
      <c r="FM329" s="63"/>
      <c r="FN329" s="63"/>
      <c r="FO329" s="63"/>
      <c r="FP329" s="63"/>
      <c r="FQ329" s="63"/>
      <c r="FR329" s="63"/>
      <c r="FS329" s="63"/>
      <c r="FT329" s="63"/>
      <c r="FU329" s="64"/>
      <c r="FV329" s="65">
        <f t="shared" si="2221"/>
        <v>0</v>
      </c>
      <c r="FW329" s="65">
        <f t="shared" si="2221"/>
        <v>0</v>
      </c>
      <c r="FX329" s="65">
        <f t="shared" si="2221"/>
        <v>0</v>
      </c>
      <c r="FY329" s="65">
        <f t="shared" si="2221"/>
        <v>0</v>
      </c>
      <c r="FZ329" s="65">
        <f t="shared" si="2221"/>
        <v>0</v>
      </c>
      <c r="GA329" s="65">
        <f t="shared" si="2221"/>
        <v>0</v>
      </c>
      <c r="GB329" s="65">
        <f t="shared" si="2221"/>
        <v>0</v>
      </c>
      <c r="GC329" s="65">
        <f t="shared" si="2221"/>
        <v>0</v>
      </c>
      <c r="GD329" s="65">
        <f t="shared" si="2221"/>
        <v>0</v>
      </c>
      <c r="GE329" s="65">
        <f t="shared" si="2221"/>
        <v>0</v>
      </c>
      <c r="GF329" s="64">
        <f>SUM(FW329:FZ329,GB329:GE329)</f>
        <v>0</v>
      </c>
      <c r="GG329" s="66">
        <f t="shared" si="2222"/>
        <v>0</v>
      </c>
      <c r="GH329" s="66">
        <f t="shared" si="2222"/>
        <v>0</v>
      </c>
      <c r="GI329" s="66">
        <f t="shared" si="2222"/>
        <v>0</v>
      </c>
      <c r="GJ329" s="66">
        <f t="shared" si="2222"/>
        <v>0</v>
      </c>
      <c r="GK329" s="66">
        <f t="shared" si="2222"/>
        <v>0</v>
      </c>
      <c r="GL329" s="66">
        <f t="shared" si="2222"/>
        <v>0</v>
      </c>
      <c r="GM329" s="66">
        <f t="shared" si="2222"/>
        <v>0</v>
      </c>
      <c r="GN329" s="66">
        <f t="shared" si="2222"/>
        <v>0</v>
      </c>
      <c r="GO329" s="66">
        <f t="shared" si="2222"/>
        <v>0</v>
      </c>
      <c r="GP329" s="66">
        <f t="shared" si="2222"/>
        <v>0</v>
      </c>
      <c r="GQ329" s="64">
        <f>SUM(GH329:GK329,GM329:GP329)</f>
        <v>0</v>
      </c>
      <c r="GR329" s="63"/>
      <c r="GS329" s="63"/>
      <c r="GT329" s="63"/>
      <c r="GU329" s="63"/>
      <c r="GV329" s="67">
        <f t="shared" si="2223"/>
        <v>0</v>
      </c>
      <c r="GW329" s="63"/>
      <c r="GX329" s="63"/>
      <c r="GY329" s="63"/>
      <c r="GZ329" s="63"/>
      <c r="HA329" s="67">
        <f t="shared" si="2224"/>
        <v>0</v>
      </c>
      <c r="HB329" s="63"/>
      <c r="HC329" s="63"/>
      <c r="HD329" s="63"/>
      <c r="HE329" s="63"/>
      <c r="HF329" s="67">
        <f t="shared" si="2225"/>
        <v>0</v>
      </c>
      <c r="HG329" s="63"/>
      <c r="HH329" s="63"/>
      <c r="HI329" s="63"/>
      <c r="HJ329" s="63"/>
      <c r="HK329" s="67">
        <f t="shared" si="2226"/>
        <v>0</v>
      </c>
      <c r="HL329" s="68">
        <f t="shared" si="2227"/>
        <v>0</v>
      </c>
      <c r="HM329" s="68">
        <f t="shared" si="2227"/>
        <v>0</v>
      </c>
      <c r="HN329" s="68">
        <f t="shared" si="2227"/>
        <v>0</v>
      </c>
      <c r="HO329" s="68">
        <f t="shared" si="2227"/>
        <v>0</v>
      </c>
      <c r="HP329" s="67">
        <f t="shared" si="2228"/>
        <v>0</v>
      </c>
      <c r="HQ329" s="63"/>
      <c r="HR329" s="63"/>
      <c r="HS329" s="63"/>
      <c r="HT329" s="63"/>
      <c r="HU329" s="67">
        <f t="shared" si="2229"/>
        <v>0</v>
      </c>
      <c r="HV329" s="63"/>
      <c r="HW329" s="63"/>
      <c r="HX329" s="63"/>
      <c r="HY329" s="63"/>
      <c r="HZ329" s="67">
        <f t="shared" si="2230"/>
        <v>0</v>
      </c>
      <c r="IA329" s="63"/>
      <c r="IB329" s="63"/>
      <c r="IC329" s="63"/>
      <c r="ID329" s="63"/>
      <c r="IE329" s="67">
        <f t="shared" si="2231"/>
        <v>0</v>
      </c>
      <c r="IF329" s="68">
        <f t="shared" si="2232"/>
        <v>0</v>
      </c>
      <c r="IG329" s="68">
        <f t="shared" si="2232"/>
        <v>0</v>
      </c>
      <c r="IH329" s="68">
        <f t="shared" si="2232"/>
        <v>0</v>
      </c>
      <c r="II329" s="68">
        <f t="shared" si="2232"/>
        <v>0</v>
      </c>
      <c r="IJ329" s="67">
        <f t="shared" si="2233"/>
        <v>0</v>
      </c>
      <c r="IK329" s="63"/>
      <c r="IL329" s="63"/>
      <c r="IM329" s="63"/>
      <c r="IN329" s="63"/>
      <c r="IO329" s="67">
        <f t="shared" si="2234"/>
        <v>0</v>
      </c>
      <c r="IP329" s="63"/>
      <c r="IQ329" s="63"/>
      <c r="IR329" s="63"/>
      <c r="IS329" s="63"/>
      <c r="IT329" s="67">
        <f t="shared" si="2235"/>
        <v>0</v>
      </c>
      <c r="IU329" s="63"/>
      <c r="IV329" s="63"/>
    </row>
    <row r="330" spans="1:256" s="171" customFormat="1" x14ac:dyDescent="0.25">
      <c r="A330" s="172" t="s">
        <v>262</v>
      </c>
      <c r="B330" s="173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3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3"/>
      <c r="Y330" s="174"/>
      <c r="Z330" s="174"/>
      <c r="AA330" s="174"/>
      <c r="AB330" s="174"/>
      <c r="AC330" s="174"/>
      <c r="AD330" s="174"/>
      <c r="AE330" s="174"/>
      <c r="AF330" s="174"/>
      <c r="AG330" s="174"/>
      <c r="AH330" s="174"/>
      <c r="AI330" s="173"/>
      <c r="AJ330" s="174"/>
      <c r="AK330" s="174"/>
      <c r="AL330" s="174"/>
      <c r="AM330" s="174"/>
      <c r="AN330" s="174"/>
      <c r="AO330" s="174"/>
      <c r="AP330" s="174"/>
      <c r="AQ330" s="174"/>
      <c r="AR330" s="174"/>
      <c r="AS330" s="174"/>
      <c r="AT330" s="173">
        <f>SUM(M330,AI330)</f>
        <v>0</v>
      </c>
      <c r="AU330" s="173"/>
      <c r="AV330" s="173"/>
      <c r="AW330" s="173"/>
      <c r="AX330" s="173"/>
      <c r="AY330" s="173"/>
      <c r="AZ330" s="173"/>
      <c r="BA330" s="173"/>
      <c r="BB330" s="173"/>
      <c r="BC330" s="173"/>
      <c r="BD330" s="174"/>
      <c r="BE330" s="173"/>
      <c r="BF330" s="174"/>
      <c r="BG330" s="174"/>
      <c r="BH330" s="174"/>
      <c r="BI330" s="174"/>
      <c r="BJ330" s="174"/>
      <c r="BK330" s="174"/>
      <c r="BL330" s="174"/>
      <c r="BM330" s="174"/>
      <c r="BN330" s="174"/>
      <c r="BO330" s="174"/>
      <c r="BP330" s="173"/>
      <c r="BQ330" s="174"/>
      <c r="BR330" s="174"/>
      <c r="BS330" s="174"/>
      <c r="BT330" s="174"/>
      <c r="BU330" s="174"/>
      <c r="BV330" s="174"/>
      <c r="BW330" s="174"/>
      <c r="BX330" s="174"/>
      <c r="BY330" s="174"/>
      <c r="BZ330" s="174"/>
      <c r="CA330" s="173"/>
      <c r="CB330" s="174"/>
      <c r="CC330" s="174"/>
      <c r="CD330" s="174"/>
      <c r="CE330" s="174"/>
      <c r="CF330" s="174"/>
      <c r="CG330" s="174"/>
      <c r="CH330" s="174"/>
      <c r="CI330" s="174"/>
      <c r="CJ330" s="174"/>
      <c r="CK330" s="174"/>
      <c r="CL330" s="173">
        <f>SUM(BE330,CA330)</f>
        <v>0</v>
      </c>
      <c r="CM330" s="173"/>
      <c r="CN330" s="173"/>
      <c r="CO330" s="173"/>
      <c r="CP330" s="173"/>
      <c r="CQ330" s="173"/>
      <c r="CR330" s="173"/>
      <c r="CS330" s="173"/>
      <c r="CT330" s="173"/>
      <c r="CU330" s="173"/>
      <c r="CV330" s="174"/>
      <c r="CW330" s="173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3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3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3">
        <f>SUM(CW330,DS330)</f>
        <v>0</v>
      </c>
      <c r="EE330" s="173"/>
      <c r="EF330" s="173"/>
      <c r="EG330" s="173"/>
      <c r="EH330" s="173"/>
      <c r="EI330" s="173"/>
      <c r="EJ330" s="173"/>
      <c r="EK330" s="173"/>
      <c r="EL330" s="173"/>
      <c r="EM330" s="173"/>
      <c r="EN330" s="174"/>
      <c r="EO330" s="173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3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3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3">
        <f>SUM(EO330,FK330)</f>
        <v>0</v>
      </c>
      <c r="FW330" s="173"/>
      <c r="FX330" s="173"/>
      <c r="FY330" s="173"/>
      <c r="FZ330" s="173"/>
      <c r="GA330" s="173"/>
      <c r="GB330" s="173"/>
      <c r="GC330" s="173"/>
      <c r="GD330" s="173"/>
      <c r="GE330" s="173"/>
      <c r="GF330" s="174"/>
      <c r="GG330" s="173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3">
        <f>SUM(GR331:GR332)</f>
        <v>0</v>
      </c>
      <c r="GS330" s="173">
        <f>SUM(GS331:GS332)</f>
        <v>0</v>
      </c>
      <c r="GT330" s="173">
        <f>SUM(GT331:GT332)</f>
        <v>0</v>
      </c>
      <c r="GU330" s="173">
        <f>SUM(GU331:GU332)</f>
        <v>0</v>
      </c>
      <c r="GV330" s="174">
        <f t="shared" si="2223"/>
        <v>0</v>
      </c>
      <c r="GW330" s="173">
        <f>SUM(GW331:GW332)</f>
        <v>0</v>
      </c>
      <c r="GX330" s="173">
        <f>SUM(GX331:GX332)</f>
        <v>0</v>
      </c>
      <c r="GY330" s="173">
        <f>SUM(GY331:GY332)</f>
        <v>0</v>
      </c>
      <c r="GZ330" s="173">
        <f>SUM(GZ331:GZ332)</f>
        <v>0</v>
      </c>
      <c r="HA330" s="174">
        <f t="shared" si="2224"/>
        <v>0</v>
      </c>
      <c r="HB330" s="173">
        <f>SUM(HB331:HB332)</f>
        <v>0</v>
      </c>
      <c r="HC330" s="173">
        <f>SUM(HC331:HC332)</f>
        <v>0</v>
      </c>
      <c r="HD330" s="173">
        <f>SUM(HD331:HD332)</f>
        <v>0</v>
      </c>
      <c r="HE330" s="173">
        <f>SUM(HE331:HE332)</f>
        <v>0</v>
      </c>
      <c r="HF330" s="174">
        <f t="shared" si="2225"/>
        <v>0</v>
      </c>
      <c r="HG330" s="173">
        <f>SUM(HG331:HG332)</f>
        <v>0</v>
      </c>
      <c r="HH330" s="173">
        <f>SUM(HH331:HH332)</f>
        <v>0</v>
      </c>
      <c r="HI330" s="173">
        <f>SUM(HI331:HI332)</f>
        <v>0</v>
      </c>
      <c r="HJ330" s="173">
        <f>SUM(HJ331:HJ332)</f>
        <v>0</v>
      </c>
      <c r="HK330" s="174">
        <f t="shared" si="2226"/>
        <v>0</v>
      </c>
      <c r="HL330" s="173">
        <f>SUM(HL331:HL332)</f>
        <v>0</v>
      </c>
      <c r="HM330" s="173">
        <f>SUM(HM331:HM332)</f>
        <v>0</v>
      </c>
      <c r="HN330" s="173">
        <f>SUM(HN331:HN332)</f>
        <v>0</v>
      </c>
      <c r="HO330" s="173">
        <f>SUM(HO331:HO332)</f>
        <v>0</v>
      </c>
      <c r="HP330" s="174">
        <f t="shared" si="2228"/>
        <v>0</v>
      </c>
      <c r="HQ330" s="173">
        <f>SUM(HQ331:HQ332)</f>
        <v>0</v>
      </c>
      <c r="HR330" s="173">
        <f>SUM(HR331:HR332)</f>
        <v>0</v>
      </c>
      <c r="HS330" s="173">
        <f>SUM(HS331:HS332)</f>
        <v>0</v>
      </c>
      <c r="HT330" s="173">
        <f>SUM(HT331:HT332)</f>
        <v>0</v>
      </c>
      <c r="HU330" s="174">
        <f t="shared" si="2229"/>
        <v>0</v>
      </c>
      <c r="HV330" s="173">
        <f>SUM(HV331:HV332)</f>
        <v>0</v>
      </c>
      <c r="HW330" s="173">
        <f>SUM(HW331:HW332)</f>
        <v>0</v>
      </c>
      <c r="HX330" s="173">
        <f>SUM(HX331:HX332)</f>
        <v>0</v>
      </c>
      <c r="HY330" s="173">
        <f>SUM(HY331:HY332)</f>
        <v>0</v>
      </c>
      <c r="HZ330" s="174">
        <f t="shared" si="2230"/>
        <v>0</v>
      </c>
      <c r="IA330" s="173">
        <f>SUM(IA331:IA332)</f>
        <v>0</v>
      </c>
      <c r="IB330" s="173">
        <f>SUM(IB331:IB332)</f>
        <v>0</v>
      </c>
      <c r="IC330" s="173">
        <f>SUM(IC331:IC332)</f>
        <v>0</v>
      </c>
      <c r="ID330" s="173">
        <f>SUM(ID331:ID332)</f>
        <v>0</v>
      </c>
      <c r="IE330" s="174">
        <f t="shared" si="2231"/>
        <v>0</v>
      </c>
      <c r="IF330" s="173">
        <f>SUM(IF331:IF332)</f>
        <v>0</v>
      </c>
      <c r="IG330" s="173">
        <f>SUM(IG331:IG332)</f>
        <v>0</v>
      </c>
      <c r="IH330" s="173">
        <f>SUM(IH331:IH332)</f>
        <v>0</v>
      </c>
      <c r="II330" s="173">
        <f>SUM(II331:II332)</f>
        <v>0</v>
      </c>
      <c r="IJ330" s="174">
        <f t="shared" si="2233"/>
        <v>0</v>
      </c>
      <c r="IK330" s="173">
        <f>SUM(IK331:IK332)</f>
        <v>0</v>
      </c>
      <c r="IL330" s="173">
        <f>SUM(IL331:IL332)</f>
        <v>0</v>
      </c>
      <c r="IM330" s="173">
        <f>SUM(IM331:IM332)</f>
        <v>0</v>
      </c>
      <c r="IN330" s="173">
        <f>SUM(IN331:IN332)</f>
        <v>0</v>
      </c>
      <c r="IO330" s="174">
        <f t="shared" si="2234"/>
        <v>0</v>
      </c>
      <c r="IP330" s="173">
        <f>SUM(IP331:IP332)</f>
        <v>0</v>
      </c>
      <c r="IQ330" s="173">
        <f>SUM(IQ331:IQ332)</f>
        <v>0</v>
      </c>
      <c r="IR330" s="173">
        <f>SUM(IR331:IR332)</f>
        <v>0</v>
      </c>
      <c r="IS330" s="173">
        <f>SUM(IS331:IS332)</f>
        <v>0</v>
      </c>
      <c r="IT330" s="174">
        <f t="shared" si="2235"/>
        <v>0</v>
      </c>
      <c r="IU330" s="173">
        <f>SUM(IU331:IU332)</f>
        <v>0</v>
      </c>
      <c r="IV330" s="173">
        <f>SUM(IV331:IV332)</f>
        <v>0</v>
      </c>
    </row>
    <row r="331" spans="1:256" s="175" customFormat="1" x14ac:dyDescent="0.25">
      <c r="A331" s="176" t="s">
        <v>263</v>
      </c>
      <c r="B331" s="62"/>
      <c r="C331" s="63"/>
      <c r="D331" s="63"/>
      <c r="E331" s="63"/>
      <c r="F331" s="63"/>
      <c r="G331" s="63"/>
      <c r="H331" s="63"/>
      <c r="I331" s="63"/>
      <c r="J331" s="63"/>
      <c r="K331" s="63"/>
      <c r="L331" s="64">
        <f>SUM(C331:F331,H331:K331)</f>
        <v>0</v>
      </c>
      <c r="M331" s="62"/>
      <c r="N331" s="63"/>
      <c r="O331" s="63"/>
      <c r="P331" s="63"/>
      <c r="Q331" s="63"/>
      <c r="R331" s="63"/>
      <c r="S331" s="63"/>
      <c r="T331" s="63"/>
      <c r="U331" s="63"/>
      <c r="V331" s="63"/>
      <c r="W331" s="64">
        <f>SUM(N331:Q331,S331:V331)</f>
        <v>0</v>
      </c>
      <c r="X331" s="62"/>
      <c r="Y331" s="63"/>
      <c r="Z331" s="63"/>
      <c r="AA331" s="63"/>
      <c r="AB331" s="63"/>
      <c r="AC331" s="63"/>
      <c r="AD331" s="63"/>
      <c r="AE331" s="63"/>
      <c r="AF331" s="63"/>
      <c r="AG331" s="63"/>
      <c r="AH331" s="64">
        <f>SUM(Y331:AB331,AD331:AG331)</f>
        <v>0</v>
      </c>
      <c r="AI331" s="62"/>
      <c r="AJ331" s="63"/>
      <c r="AK331" s="63"/>
      <c r="AL331" s="63"/>
      <c r="AM331" s="63"/>
      <c r="AN331" s="63"/>
      <c r="AO331" s="63"/>
      <c r="AP331" s="63"/>
      <c r="AQ331" s="63"/>
      <c r="AR331" s="63"/>
      <c r="AS331" s="64">
        <f>SUM(AJ331:AM331,AO331:AR331)</f>
        <v>0</v>
      </c>
      <c r="AT331" s="65">
        <f t="shared" ref="AT331:BC331" si="2236">SUM(M331,AI331,X331)</f>
        <v>0</v>
      </c>
      <c r="AU331" s="65">
        <f t="shared" si="2236"/>
        <v>0</v>
      </c>
      <c r="AV331" s="65">
        <f t="shared" si="2236"/>
        <v>0</v>
      </c>
      <c r="AW331" s="65">
        <f t="shared" si="2236"/>
        <v>0</v>
      </c>
      <c r="AX331" s="65">
        <f t="shared" si="2236"/>
        <v>0</v>
      </c>
      <c r="AY331" s="65">
        <f t="shared" si="2236"/>
        <v>0</v>
      </c>
      <c r="AZ331" s="65">
        <f t="shared" si="2236"/>
        <v>0</v>
      </c>
      <c r="BA331" s="65">
        <f t="shared" si="2236"/>
        <v>0</v>
      </c>
      <c r="BB331" s="65">
        <f t="shared" si="2236"/>
        <v>0</v>
      </c>
      <c r="BC331" s="65">
        <f t="shared" si="2236"/>
        <v>0</v>
      </c>
      <c r="BD331" s="64">
        <f>SUM(AU331:AX331,AZ331:BC331)</f>
        <v>0</v>
      </c>
      <c r="BE331" s="62"/>
      <c r="BF331" s="63"/>
      <c r="BG331" s="63"/>
      <c r="BH331" s="63"/>
      <c r="BI331" s="63"/>
      <c r="BJ331" s="63"/>
      <c r="BK331" s="63"/>
      <c r="BL331" s="63"/>
      <c r="BM331" s="63"/>
      <c r="BN331" s="63"/>
      <c r="BO331" s="64">
        <f>SUM(BF331:BI331,BK331:BN331)</f>
        <v>0</v>
      </c>
      <c r="BP331" s="62"/>
      <c r="BQ331" s="63"/>
      <c r="BR331" s="63"/>
      <c r="BS331" s="63"/>
      <c r="BT331" s="63"/>
      <c r="BU331" s="63"/>
      <c r="BV331" s="63"/>
      <c r="BW331" s="63"/>
      <c r="BX331" s="63"/>
      <c r="BY331" s="63"/>
      <c r="BZ331" s="64">
        <f>SUM(BQ331:BT331,BV331:BY331)</f>
        <v>0</v>
      </c>
      <c r="CA331" s="62"/>
      <c r="CB331" s="63"/>
      <c r="CC331" s="63"/>
      <c r="CD331" s="63"/>
      <c r="CE331" s="63"/>
      <c r="CF331" s="63"/>
      <c r="CG331" s="63"/>
      <c r="CH331" s="63"/>
      <c r="CI331" s="63"/>
      <c r="CJ331" s="63"/>
      <c r="CK331" s="64">
        <f>SUM(CB331:CE331,CG331:CJ331)</f>
        <v>0</v>
      </c>
      <c r="CL331" s="65">
        <f t="shared" ref="CL331:CU331" si="2237">SUM(BE331,CA331,BP331)</f>
        <v>0</v>
      </c>
      <c r="CM331" s="65">
        <f t="shared" si="2237"/>
        <v>0</v>
      </c>
      <c r="CN331" s="65">
        <f t="shared" si="2237"/>
        <v>0</v>
      </c>
      <c r="CO331" s="65">
        <f t="shared" si="2237"/>
        <v>0</v>
      </c>
      <c r="CP331" s="65">
        <f t="shared" si="2237"/>
        <v>0</v>
      </c>
      <c r="CQ331" s="65">
        <f t="shared" si="2237"/>
        <v>0</v>
      </c>
      <c r="CR331" s="65">
        <f t="shared" si="2237"/>
        <v>0</v>
      </c>
      <c r="CS331" s="65">
        <f t="shared" si="2237"/>
        <v>0</v>
      </c>
      <c r="CT331" s="65">
        <f t="shared" si="2237"/>
        <v>0</v>
      </c>
      <c r="CU331" s="65">
        <f t="shared" si="2237"/>
        <v>0</v>
      </c>
      <c r="CV331" s="64">
        <f>SUM(CM331:CP331,CR331:CU331)</f>
        <v>0</v>
      </c>
      <c r="CW331" s="62"/>
      <c r="CX331" s="63"/>
      <c r="CY331" s="63"/>
      <c r="CZ331" s="63"/>
      <c r="DA331" s="63"/>
      <c r="DB331" s="63"/>
      <c r="DC331" s="63"/>
      <c r="DD331" s="63"/>
      <c r="DE331" s="63"/>
      <c r="DF331" s="63"/>
      <c r="DG331" s="64">
        <f>SUM(CX331:DA331,DC331:DF331)</f>
        <v>0</v>
      </c>
      <c r="DH331" s="62"/>
      <c r="DI331" s="63"/>
      <c r="DJ331" s="63"/>
      <c r="DK331" s="63"/>
      <c r="DL331" s="63"/>
      <c r="DM331" s="63"/>
      <c r="DN331" s="63"/>
      <c r="DO331" s="63"/>
      <c r="DP331" s="63"/>
      <c r="DQ331" s="63"/>
      <c r="DR331" s="64">
        <f>SUM(DI331:DL331,DN331:DQ331)</f>
        <v>0</v>
      </c>
      <c r="DS331" s="62"/>
      <c r="DT331" s="63"/>
      <c r="DU331" s="63"/>
      <c r="DV331" s="63"/>
      <c r="DW331" s="63"/>
      <c r="DX331" s="63"/>
      <c r="DY331" s="63"/>
      <c r="DZ331" s="63"/>
      <c r="EA331" s="63"/>
      <c r="EB331" s="63"/>
      <c r="EC331" s="64">
        <f>SUM(DT331:DW331,DY331:EB331)</f>
        <v>0</v>
      </c>
      <c r="ED331" s="65">
        <f t="shared" ref="ED331:EM331" si="2238">SUM(CW331,DS331,DH331)</f>
        <v>0</v>
      </c>
      <c r="EE331" s="65">
        <f t="shared" si="2238"/>
        <v>0</v>
      </c>
      <c r="EF331" s="65">
        <f t="shared" si="2238"/>
        <v>0</v>
      </c>
      <c r="EG331" s="65">
        <f t="shared" si="2238"/>
        <v>0</v>
      </c>
      <c r="EH331" s="65">
        <f t="shared" si="2238"/>
        <v>0</v>
      </c>
      <c r="EI331" s="65">
        <f t="shared" si="2238"/>
        <v>0</v>
      </c>
      <c r="EJ331" s="65">
        <f t="shared" si="2238"/>
        <v>0</v>
      </c>
      <c r="EK331" s="65">
        <f t="shared" si="2238"/>
        <v>0</v>
      </c>
      <c r="EL331" s="65">
        <f t="shared" si="2238"/>
        <v>0</v>
      </c>
      <c r="EM331" s="65">
        <f t="shared" si="2238"/>
        <v>0</v>
      </c>
      <c r="EN331" s="64">
        <f>SUM(EE331:EH331,EJ331:EM331)</f>
        <v>0</v>
      </c>
      <c r="EO331" s="62"/>
      <c r="EP331" s="63"/>
      <c r="EQ331" s="63"/>
      <c r="ER331" s="63"/>
      <c r="ES331" s="63"/>
      <c r="ET331" s="63"/>
      <c r="EU331" s="63"/>
      <c r="EV331" s="63"/>
      <c r="EW331" s="63"/>
      <c r="EX331" s="63"/>
      <c r="EY331" s="64">
        <f>SUM(EP331:ES331,EU331:EX331)</f>
        <v>0</v>
      </c>
      <c r="EZ331" s="62"/>
      <c r="FA331" s="63"/>
      <c r="FB331" s="63"/>
      <c r="FC331" s="63"/>
      <c r="FD331" s="63"/>
      <c r="FE331" s="63"/>
      <c r="FF331" s="63"/>
      <c r="FG331" s="63"/>
      <c r="FH331" s="63"/>
      <c r="FI331" s="63"/>
      <c r="FJ331" s="64">
        <f>SUM(FA331:FD331,FF331:FI331)</f>
        <v>0</v>
      </c>
      <c r="FK331" s="62"/>
      <c r="FL331" s="63"/>
      <c r="FM331" s="63"/>
      <c r="FN331" s="63"/>
      <c r="FO331" s="63"/>
      <c r="FP331" s="63"/>
      <c r="FQ331" s="63"/>
      <c r="FR331" s="63"/>
      <c r="FS331" s="63"/>
      <c r="FT331" s="63"/>
      <c r="FU331" s="64">
        <f>SUM(FL331:FO331,FQ331:FT331)</f>
        <v>0</v>
      </c>
      <c r="FV331" s="65">
        <f t="shared" ref="FV331:GE331" si="2239">SUM(EO331,FK331,EZ331)</f>
        <v>0</v>
      </c>
      <c r="FW331" s="65">
        <f t="shared" si="2239"/>
        <v>0</v>
      </c>
      <c r="FX331" s="65">
        <f t="shared" si="2239"/>
        <v>0</v>
      </c>
      <c r="FY331" s="65">
        <f t="shared" si="2239"/>
        <v>0</v>
      </c>
      <c r="FZ331" s="65">
        <f t="shared" si="2239"/>
        <v>0</v>
      </c>
      <c r="GA331" s="65">
        <f t="shared" si="2239"/>
        <v>0</v>
      </c>
      <c r="GB331" s="65">
        <f t="shared" si="2239"/>
        <v>0</v>
      </c>
      <c r="GC331" s="65">
        <f t="shared" si="2239"/>
        <v>0</v>
      </c>
      <c r="GD331" s="65">
        <f t="shared" si="2239"/>
        <v>0</v>
      </c>
      <c r="GE331" s="65">
        <f t="shared" si="2239"/>
        <v>0</v>
      </c>
      <c r="GF331" s="64">
        <f>SUM(FW331:FZ331,GB331:GE331)</f>
        <v>0</v>
      </c>
      <c r="GG331" s="66">
        <f t="shared" ref="GG331:GP331" si="2240">SUM(AT331,CL331,ED331,FV331)</f>
        <v>0</v>
      </c>
      <c r="GH331" s="66">
        <f t="shared" si="2240"/>
        <v>0</v>
      </c>
      <c r="GI331" s="66">
        <f t="shared" si="2240"/>
        <v>0</v>
      </c>
      <c r="GJ331" s="66">
        <f t="shared" si="2240"/>
        <v>0</v>
      </c>
      <c r="GK331" s="66">
        <f t="shared" si="2240"/>
        <v>0</v>
      </c>
      <c r="GL331" s="66">
        <f t="shared" si="2240"/>
        <v>0</v>
      </c>
      <c r="GM331" s="66">
        <f t="shared" si="2240"/>
        <v>0</v>
      </c>
      <c r="GN331" s="66">
        <f t="shared" si="2240"/>
        <v>0</v>
      </c>
      <c r="GO331" s="66">
        <f t="shared" si="2240"/>
        <v>0</v>
      </c>
      <c r="GP331" s="66">
        <f t="shared" si="2240"/>
        <v>0</v>
      </c>
      <c r="GQ331" s="64">
        <f>SUM(GH331:GK331,GM331:GP331)</f>
        <v>0</v>
      </c>
      <c r="GR331" s="63"/>
      <c r="GS331" s="63"/>
      <c r="GT331" s="63"/>
      <c r="GU331" s="63"/>
      <c r="GV331" s="67">
        <f t="shared" si="2223"/>
        <v>0</v>
      </c>
      <c r="GW331" s="63"/>
      <c r="GX331" s="63"/>
      <c r="GY331" s="63"/>
      <c r="GZ331" s="63"/>
      <c r="HA331" s="67">
        <f t="shared" si="2224"/>
        <v>0</v>
      </c>
      <c r="HB331" s="63"/>
      <c r="HC331" s="63"/>
      <c r="HD331" s="63"/>
      <c r="HE331" s="63"/>
      <c r="HF331" s="67">
        <f t="shared" si="2225"/>
        <v>0</v>
      </c>
      <c r="HG331" s="63"/>
      <c r="HH331" s="63"/>
      <c r="HI331" s="63"/>
      <c r="HJ331" s="63"/>
      <c r="HK331" s="67">
        <f t="shared" si="2226"/>
        <v>0</v>
      </c>
      <c r="HL331" s="68">
        <f>SUM(GW331,HB331,HG331)</f>
        <v>0</v>
      </c>
      <c r="HM331" s="68">
        <f>SUM(GX331,HC331,HH331)</f>
        <v>0</v>
      </c>
      <c r="HN331" s="68">
        <f>SUM(GY331,HD331,HI331)</f>
        <v>0</v>
      </c>
      <c r="HO331" s="68">
        <f>SUM(GZ331,HE331,HJ331)</f>
        <v>0</v>
      </c>
      <c r="HP331" s="67">
        <f t="shared" si="2228"/>
        <v>0</v>
      </c>
      <c r="HQ331" s="63"/>
      <c r="HR331" s="63"/>
      <c r="HS331" s="63"/>
      <c r="HT331" s="63"/>
      <c r="HU331" s="67">
        <f t="shared" si="2229"/>
        <v>0</v>
      </c>
      <c r="HV331" s="63"/>
      <c r="HW331" s="63"/>
      <c r="HX331" s="63"/>
      <c r="HY331" s="63"/>
      <c r="HZ331" s="67">
        <f t="shared" si="2230"/>
        <v>0</v>
      </c>
      <c r="IA331" s="63"/>
      <c r="IB331" s="63"/>
      <c r="IC331" s="63"/>
      <c r="ID331" s="63"/>
      <c r="IE331" s="67">
        <f t="shared" si="2231"/>
        <v>0</v>
      </c>
      <c r="IF331" s="68">
        <f>SUM(HQ331,HV331,IA331)</f>
        <v>0</v>
      </c>
      <c r="IG331" s="68">
        <f>SUM(HR331,HW331,IB331)</f>
        <v>0</v>
      </c>
      <c r="IH331" s="68">
        <f>SUM(HS331,HX331,IC331)</f>
        <v>0</v>
      </c>
      <c r="II331" s="68">
        <f>SUM(HT331,HY331,ID331)</f>
        <v>0</v>
      </c>
      <c r="IJ331" s="67">
        <f t="shared" si="2233"/>
        <v>0</v>
      </c>
      <c r="IK331" s="63"/>
      <c r="IL331" s="63"/>
      <c r="IM331" s="63"/>
      <c r="IN331" s="63"/>
      <c r="IO331" s="67">
        <f t="shared" si="2234"/>
        <v>0</v>
      </c>
      <c r="IP331" s="63"/>
      <c r="IQ331" s="63"/>
      <c r="IR331" s="63"/>
      <c r="IS331" s="63"/>
      <c r="IT331" s="67">
        <f t="shared" si="2235"/>
        <v>0</v>
      </c>
      <c r="IU331" s="63"/>
      <c r="IV331" s="63"/>
    </row>
    <row r="332" spans="1:256" s="175" customFormat="1" x14ac:dyDescent="0.25">
      <c r="A332" s="177" t="s">
        <v>264</v>
      </c>
      <c r="B332" s="178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8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8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8"/>
      <c r="AJ332" s="179"/>
      <c r="AK332" s="179"/>
      <c r="AL332" s="179"/>
      <c r="AM332" s="179"/>
      <c r="AN332" s="179"/>
      <c r="AO332" s="179"/>
      <c r="AP332" s="179"/>
      <c r="AQ332" s="179"/>
      <c r="AR332" s="179"/>
      <c r="AS332" s="179"/>
      <c r="AT332" s="178"/>
      <c r="AU332" s="178"/>
      <c r="AV332" s="178"/>
      <c r="AW332" s="178"/>
      <c r="AX332" s="178"/>
      <c r="AY332" s="178"/>
      <c r="AZ332" s="178"/>
      <c r="BA332" s="178"/>
      <c r="BB332" s="178"/>
      <c r="BC332" s="178"/>
      <c r="BD332" s="179"/>
      <c r="BE332" s="178"/>
      <c r="BF332" s="179"/>
      <c r="BG332" s="179"/>
      <c r="BH332" s="179"/>
      <c r="BI332" s="179"/>
      <c r="BJ332" s="179"/>
      <c r="BK332" s="179"/>
      <c r="BL332" s="179"/>
      <c r="BM332" s="179"/>
      <c r="BN332" s="179"/>
      <c r="BO332" s="179"/>
      <c r="BP332" s="178"/>
      <c r="BQ332" s="179"/>
      <c r="BR332" s="179"/>
      <c r="BS332" s="179"/>
      <c r="BT332" s="179"/>
      <c r="BU332" s="179"/>
      <c r="BV332" s="179"/>
      <c r="BW332" s="179"/>
      <c r="BX332" s="179"/>
      <c r="BY332" s="179"/>
      <c r="BZ332" s="179"/>
      <c r="CA332" s="178"/>
      <c r="CB332" s="179"/>
      <c r="CC332" s="179"/>
      <c r="CD332" s="179"/>
      <c r="CE332" s="179"/>
      <c r="CF332" s="179"/>
      <c r="CG332" s="179"/>
      <c r="CH332" s="179"/>
      <c r="CI332" s="179"/>
      <c r="CJ332" s="179"/>
      <c r="CK332" s="179"/>
      <c r="CL332" s="178"/>
      <c r="CM332" s="178"/>
      <c r="CN332" s="178"/>
      <c r="CO332" s="178"/>
      <c r="CP332" s="178"/>
      <c r="CQ332" s="178"/>
      <c r="CR332" s="178"/>
      <c r="CS332" s="178"/>
      <c r="CT332" s="178"/>
      <c r="CU332" s="178"/>
      <c r="CV332" s="179"/>
      <c r="CW332" s="178"/>
      <c r="CX332" s="179"/>
      <c r="CY332" s="179"/>
      <c r="CZ332" s="179"/>
      <c r="DA332" s="179"/>
      <c r="DB332" s="179"/>
      <c r="DC332" s="179"/>
      <c r="DD332" s="179"/>
      <c r="DE332" s="179"/>
      <c r="DF332" s="179"/>
      <c r="DG332" s="179"/>
      <c r="DH332" s="178"/>
      <c r="DI332" s="179"/>
      <c r="DJ332" s="179"/>
      <c r="DK332" s="179"/>
      <c r="DL332" s="179"/>
      <c r="DM332" s="179"/>
      <c r="DN332" s="179"/>
      <c r="DO332" s="179"/>
      <c r="DP332" s="179"/>
      <c r="DQ332" s="179"/>
      <c r="DR332" s="179"/>
      <c r="DS332" s="178"/>
      <c r="DT332" s="179"/>
      <c r="DU332" s="179"/>
      <c r="DV332" s="179"/>
      <c r="DW332" s="179"/>
      <c r="DX332" s="179"/>
      <c r="DY332" s="179"/>
      <c r="DZ332" s="179"/>
      <c r="EA332" s="179"/>
      <c r="EB332" s="179"/>
      <c r="EC332" s="179"/>
      <c r="ED332" s="178"/>
      <c r="EE332" s="178"/>
      <c r="EF332" s="178"/>
      <c r="EG332" s="178"/>
      <c r="EH332" s="178"/>
      <c r="EI332" s="178"/>
      <c r="EJ332" s="178"/>
      <c r="EK332" s="178"/>
      <c r="EL332" s="178"/>
      <c r="EM332" s="178"/>
      <c r="EN332" s="179"/>
      <c r="EO332" s="178"/>
      <c r="EP332" s="179"/>
      <c r="EQ332" s="179"/>
      <c r="ER332" s="179"/>
      <c r="ES332" s="179"/>
      <c r="ET332" s="179"/>
      <c r="EU332" s="179"/>
      <c r="EV332" s="179"/>
      <c r="EW332" s="179"/>
      <c r="EX332" s="179"/>
      <c r="EY332" s="179"/>
      <c r="EZ332" s="178"/>
      <c r="FA332" s="179"/>
      <c r="FB332" s="179"/>
      <c r="FC332" s="179"/>
      <c r="FD332" s="179"/>
      <c r="FE332" s="179"/>
      <c r="FF332" s="179"/>
      <c r="FG332" s="179"/>
      <c r="FH332" s="179"/>
      <c r="FI332" s="179"/>
      <c r="FJ332" s="179"/>
      <c r="FK332" s="178"/>
      <c r="FL332" s="179"/>
      <c r="FM332" s="179"/>
      <c r="FN332" s="179"/>
      <c r="FO332" s="179"/>
      <c r="FP332" s="179"/>
      <c r="FQ332" s="179"/>
      <c r="FR332" s="179"/>
      <c r="FS332" s="179"/>
      <c r="FT332" s="179"/>
      <c r="FU332" s="179"/>
      <c r="FV332" s="178"/>
      <c r="FW332" s="178"/>
      <c r="FX332" s="178"/>
      <c r="FY332" s="178"/>
      <c r="FZ332" s="178"/>
      <c r="GA332" s="178"/>
      <c r="GB332" s="178"/>
      <c r="GC332" s="178"/>
      <c r="GD332" s="178"/>
      <c r="GE332" s="178"/>
      <c r="GF332" s="179"/>
      <c r="GG332" s="178"/>
      <c r="GH332" s="179"/>
      <c r="GI332" s="179"/>
      <c r="GJ332" s="179"/>
      <c r="GK332" s="179"/>
      <c r="GL332" s="179"/>
      <c r="GM332" s="179"/>
      <c r="GN332" s="179"/>
      <c r="GO332" s="179"/>
      <c r="GP332" s="179"/>
      <c r="GQ332" s="179"/>
      <c r="GR332" s="179">
        <f t="shared" ref="GR332:GW332" si="2241">SUM(GR333:GR334)</f>
        <v>0</v>
      </c>
      <c r="GS332" s="179">
        <f t="shared" si="2241"/>
        <v>0</v>
      </c>
      <c r="GT332" s="179">
        <f t="shared" si="2241"/>
        <v>0</v>
      </c>
      <c r="GU332" s="179">
        <f t="shared" si="2241"/>
        <v>0</v>
      </c>
      <c r="GV332" s="179">
        <f t="shared" si="2241"/>
        <v>0</v>
      </c>
      <c r="GW332" s="179">
        <f t="shared" si="2241"/>
        <v>0</v>
      </c>
      <c r="GX332" s="179">
        <f t="shared" ref="GX332:HP332" si="2242">SUM(GX333:GX334)</f>
        <v>0</v>
      </c>
      <c r="GY332" s="179">
        <f t="shared" si="2242"/>
        <v>0</v>
      </c>
      <c r="GZ332" s="179">
        <f t="shared" si="2242"/>
        <v>0</v>
      </c>
      <c r="HA332" s="179">
        <f t="shared" si="2242"/>
        <v>0</v>
      </c>
      <c r="HB332" s="179">
        <f>SUM(HB333:HB334)</f>
        <v>0</v>
      </c>
      <c r="HC332" s="179">
        <f>SUM(HC333:HC334)</f>
        <v>0</v>
      </c>
      <c r="HD332" s="179">
        <f>SUM(HD333:HD334)</f>
        <v>0</v>
      </c>
      <c r="HE332" s="179">
        <f>SUM(HE333:HE334)</f>
        <v>0</v>
      </c>
      <c r="HF332" s="179">
        <f t="shared" si="2242"/>
        <v>0</v>
      </c>
      <c r="HG332" s="179">
        <f>SUM(HG333:HG334)</f>
        <v>0</v>
      </c>
      <c r="HH332" s="179">
        <f>SUM(HH333:HH334)</f>
        <v>0</v>
      </c>
      <c r="HI332" s="179">
        <f>SUM(HI333:HI334)</f>
        <v>0</v>
      </c>
      <c r="HJ332" s="179">
        <f>SUM(HJ333:HJ334)</f>
        <v>0</v>
      </c>
      <c r="HK332" s="179">
        <f t="shared" si="2242"/>
        <v>0</v>
      </c>
      <c r="HL332" s="179">
        <f t="shared" si="2242"/>
        <v>0</v>
      </c>
      <c r="HM332" s="179">
        <f t="shared" si="2242"/>
        <v>0</v>
      </c>
      <c r="HN332" s="179">
        <f t="shared" si="2242"/>
        <v>0</v>
      </c>
      <c r="HO332" s="179">
        <f t="shared" si="2242"/>
        <v>0</v>
      </c>
      <c r="HP332" s="179">
        <f t="shared" si="2242"/>
        <v>0</v>
      </c>
      <c r="HQ332" s="179">
        <f>SUM(HQ333:HQ334)</f>
        <v>0</v>
      </c>
      <c r="HR332" s="179">
        <f>SUM(HR333:HR334)</f>
        <v>0</v>
      </c>
      <c r="HS332" s="179">
        <f>SUM(HS333:HS334)</f>
        <v>0</v>
      </c>
      <c r="HT332" s="179">
        <f>SUM(HT333:HT334)</f>
        <v>0</v>
      </c>
      <c r="HU332" s="179">
        <f t="shared" ref="HU332:IJ332" si="2243">SUM(HU333:HU334)</f>
        <v>0</v>
      </c>
      <c r="HV332" s="179">
        <f>SUM(HV333:HV334)</f>
        <v>0</v>
      </c>
      <c r="HW332" s="179">
        <f>SUM(HW333:HW334)</f>
        <v>0</v>
      </c>
      <c r="HX332" s="179">
        <f>SUM(HX333:HX334)</f>
        <v>0</v>
      </c>
      <c r="HY332" s="179">
        <f>SUM(HY333:HY334)</f>
        <v>0</v>
      </c>
      <c r="HZ332" s="179">
        <f t="shared" si="2243"/>
        <v>0</v>
      </c>
      <c r="IA332" s="179">
        <f>SUM(IA333:IA334)</f>
        <v>0</v>
      </c>
      <c r="IB332" s="179">
        <f>SUM(IB333:IB334)</f>
        <v>0</v>
      </c>
      <c r="IC332" s="179">
        <f>SUM(IC333:IC334)</f>
        <v>0</v>
      </c>
      <c r="ID332" s="179">
        <f>SUM(ID333:ID334)</f>
        <v>0</v>
      </c>
      <c r="IE332" s="179">
        <f t="shared" si="2243"/>
        <v>0</v>
      </c>
      <c r="IF332" s="179">
        <f t="shared" si="2243"/>
        <v>0</v>
      </c>
      <c r="IG332" s="179">
        <f t="shared" si="2243"/>
        <v>0</v>
      </c>
      <c r="IH332" s="179">
        <f t="shared" si="2243"/>
        <v>0</v>
      </c>
      <c r="II332" s="179">
        <f t="shared" si="2243"/>
        <v>0</v>
      </c>
      <c r="IJ332" s="179">
        <f t="shared" si="2243"/>
        <v>0</v>
      </c>
      <c r="IK332" s="179">
        <f t="shared" ref="IK332:IS332" si="2244">SUM(IK333:IK334)</f>
        <v>0</v>
      </c>
      <c r="IL332" s="179">
        <f t="shared" si="2244"/>
        <v>0</v>
      </c>
      <c r="IM332" s="179">
        <f t="shared" si="2244"/>
        <v>0</v>
      </c>
      <c r="IN332" s="179">
        <f t="shared" si="2244"/>
        <v>0</v>
      </c>
      <c r="IO332" s="179">
        <f t="shared" si="2244"/>
        <v>0</v>
      </c>
      <c r="IP332" s="179">
        <f t="shared" si="2244"/>
        <v>0</v>
      </c>
      <c r="IQ332" s="179">
        <f t="shared" si="2244"/>
        <v>0</v>
      </c>
      <c r="IR332" s="179">
        <f t="shared" si="2244"/>
        <v>0</v>
      </c>
      <c r="IS332" s="179">
        <f t="shared" si="2244"/>
        <v>0</v>
      </c>
      <c r="IT332" s="67">
        <f t="shared" si="2235"/>
        <v>0</v>
      </c>
      <c r="IU332" s="179">
        <f>SUM(IU333:IU334)</f>
        <v>0</v>
      </c>
      <c r="IV332" s="179">
        <f>SUM(IV333:IV334)</f>
        <v>0</v>
      </c>
    </row>
    <row r="333" spans="1:256" x14ac:dyDescent="0.25">
      <c r="A333" s="180" t="s">
        <v>265</v>
      </c>
      <c r="B333" s="62" t="s">
        <v>22</v>
      </c>
      <c r="C333" s="63"/>
      <c r="D333" s="63"/>
      <c r="E333" s="63"/>
      <c r="F333" s="63"/>
      <c r="G333" s="63"/>
      <c r="H333" s="63"/>
      <c r="I333" s="63"/>
      <c r="J333" s="63"/>
      <c r="K333" s="63"/>
      <c r="L333" s="64">
        <f>SUM(C333:F333,H333:K333)</f>
        <v>0</v>
      </c>
      <c r="M333" s="62"/>
      <c r="N333" s="63"/>
      <c r="O333" s="63"/>
      <c r="P333" s="63"/>
      <c r="Q333" s="63"/>
      <c r="R333" s="63"/>
      <c r="S333" s="63"/>
      <c r="T333" s="63"/>
      <c r="U333" s="63"/>
      <c r="V333" s="63"/>
      <c r="W333" s="64">
        <f>SUM(N333:Q333,S333:V333)</f>
        <v>0</v>
      </c>
      <c r="X333" s="62"/>
      <c r="Y333" s="63"/>
      <c r="Z333" s="63"/>
      <c r="AA333" s="63"/>
      <c r="AB333" s="63"/>
      <c r="AC333" s="63"/>
      <c r="AD333" s="63"/>
      <c r="AE333" s="63"/>
      <c r="AF333" s="63"/>
      <c r="AG333" s="63"/>
      <c r="AH333" s="64">
        <f>SUM(Y333:AB333,AD333:AG333)</f>
        <v>0</v>
      </c>
      <c r="AI333" s="62"/>
      <c r="AJ333" s="63"/>
      <c r="AK333" s="63"/>
      <c r="AL333" s="63"/>
      <c r="AM333" s="63"/>
      <c r="AN333" s="63"/>
      <c r="AO333" s="63"/>
      <c r="AP333" s="63"/>
      <c r="AQ333" s="63"/>
      <c r="AR333" s="63"/>
      <c r="AS333" s="64">
        <f>SUM(AJ333:AM333,AO333:AR333)</f>
        <v>0</v>
      </c>
      <c r="AT333" s="65">
        <f t="shared" ref="AT333:BC334" si="2245">SUM(M333,AI333,X333)</f>
        <v>0</v>
      </c>
      <c r="AU333" s="65">
        <f t="shared" si="2245"/>
        <v>0</v>
      </c>
      <c r="AV333" s="65">
        <f t="shared" si="2245"/>
        <v>0</v>
      </c>
      <c r="AW333" s="65">
        <f t="shared" si="2245"/>
        <v>0</v>
      </c>
      <c r="AX333" s="65">
        <f t="shared" si="2245"/>
        <v>0</v>
      </c>
      <c r="AY333" s="65">
        <f t="shared" si="2245"/>
        <v>0</v>
      </c>
      <c r="AZ333" s="65">
        <f t="shared" si="2245"/>
        <v>0</v>
      </c>
      <c r="BA333" s="65">
        <f t="shared" si="2245"/>
        <v>0</v>
      </c>
      <c r="BB333" s="65">
        <f t="shared" si="2245"/>
        <v>0</v>
      </c>
      <c r="BC333" s="65">
        <f t="shared" si="2245"/>
        <v>0</v>
      </c>
      <c r="BD333" s="64">
        <f>SUM(AU333:AX333,AZ333:BC333)</f>
        <v>0</v>
      </c>
      <c r="BE333" s="62"/>
      <c r="BF333" s="63"/>
      <c r="BG333" s="63"/>
      <c r="BH333" s="63"/>
      <c r="BI333" s="63"/>
      <c r="BJ333" s="63"/>
      <c r="BK333" s="63"/>
      <c r="BL333" s="63"/>
      <c r="BM333" s="63"/>
      <c r="BN333" s="63"/>
      <c r="BO333" s="64">
        <f>SUM(BF333:BI333,BK333:BN333)</f>
        <v>0</v>
      </c>
      <c r="BP333" s="62"/>
      <c r="BQ333" s="63"/>
      <c r="BR333" s="63"/>
      <c r="BS333" s="63"/>
      <c r="BT333" s="63"/>
      <c r="BU333" s="63"/>
      <c r="BV333" s="63"/>
      <c r="BW333" s="63"/>
      <c r="BX333" s="63"/>
      <c r="BY333" s="63"/>
      <c r="BZ333" s="64">
        <f>SUM(BQ333:BT333,BV333:BY333)</f>
        <v>0</v>
      </c>
      <c r="CA333" s="62"/>
      <c r="CB333" s="63"/>
      <c r="CC333" s="63"/>
      <c r="CD333" s="63"/>
      <c r="CE333" s="63"/>
      <c r="CF333" s="63"/>
      <c r="CG333" s="63"/>
      <c r="CH333" s="63"/>
      <c r="CI333" s="63"/>
      <c r="CJ333" s="63"/>
      <c r="CK333" s="64">
        <f>SUM(CB333:CE333,CG333:CJ333)</f>
        <v>0</v>
      </c>
      <c r="CL333" s="65">
        <f t="shared" ref="CL333:CU334" si="2246">SUM(BE333,CA333,BP333)</f>
        <v>0</v>
      </c>
      <c r="CM333" s="65">
        <f t="shared" si="2246"/>
        <v>0</v>
      </c>
      <c r="CN333" s="65">
        <f t="shared" si="2246"/>
        <v>0</v>
      </c>
      <c r="CO333" s="65">
        <f t="shared" si="2246"/>
        <v>0</v>
      </c>
      <c r="CP333" s="65">
        <f t="shared" si="2246"/>
        <v>0</v>
      </c>
      <c r="CQ333" s="65">
        <f t="shared" si="2246"/>
        <v>0</v>
      </c>
      <c r="CR333" s="65">
        <f t="shared" si="2246"/>
        <v>0</v>
      </c>
      <c r="CS333" s="65">
        <f t="shared" si="2246"/>
        <v>0</v>
      </c>
      <c r="CT333" s="65">
        <f t="shared" si="2246"/>
        <v>0</v>
      </c>
      <c r="CU333" s="65">
        <f t="shared" si="2246"/>
        <v>0</v>
      </c>
      <c r="CV333" s="64">
        <f>SUM(CM333:CP333,CR333:CU333)</f>
        <v>0</v>
      </c>
      <c r="CW333" s="62"/>
      <c r="CX333" s="63"/>
      <c r="CY333" s="63"/>
      <c r="CZ333" s="63"/>
      <c r="DA333" s="63"/>
      <c r="DB333" s="63"/>
      <c r="DC333" s="63"/>
      <c r="DD333" s="63"/>
      <c r="DE333" s="63"/>
      <c r="DF333" s="63"/>
      <c r="DG333" s="64">
        <f>SUM(CX333:DA333,DC333:DF333)</f>
        <v>0</v>
      </c>
      <c r="DH333" s="62"/>
      <c r="DI333" s="63"/>
      <c r="DJ333" s="63"/>
      <c r="DK333" s="63"/>
      <c r="DL333" s="63"/>
      <c r="DM333" s="63"/>
      <c r="DN333" s="63"/>
      <c r="DO333" s="63"/>
      <c r="DP333" s="63"/>
      <c r="DQ333" s="63"/>
      <c r="DR333" s="64">
        <f>SUM(DI333:DL333,DN333:DQ333)</f>
        <v>0</v>
      </c>
      <c r="DS333" s="62"/>
      <c r="DT333" s="63"/>
      <c r="DU333" s="63"/>
      <c r="DV333" s="63"/>
      <c r="DW333" s="63"/>
      <c r="DX333" s="63"/>
      <c r="DY333" s="63"/>
      <c r="DZ333" s="63"/>
      <c r="EA333" s="63"/>
      <c r="EB333" s="63"/>
      <c r="EC333" s="64">
        <f>SUM(DT333:DW333,DY333:EB333)</f>
        <v>0</v>
      </c>
      <c r="ED333" s="65">
        <f t="shared" ref="ED333:EM334" si="2247">SUM(CW333,DS333,DH333)</f>
        <v>0</v>
      </c>
      <c r="EE333" s="65">
        <f t="shared" si="2247"/>
        <v>0</v>
      </c>
      <c r="EF333" s="65">
        <f t="shared" si="2247"/>
        <v>0</v>
      </c>
      <c r="EG333" s="65">
        <f t="shared" si="2247"/>
        <v>0</v>
      </c>
      <c r="EH333" s="65">
        <f t="shared" si="2247"/>
        <v>0</v>
      </c>
      <c r="EI333" s="65">
        <f t="shared" si="2247"/>
        <v>0</v>
      </c>
      <c r="EJ333" s="65">
        <f t="shared" si="2247"/>
        <v>0</v>
      </c>
      <c r="EK333" s="65">
        <f t="shared" si="2247"/>
        <v>0</v>
      </c>
      <c r="EL333" s="65">
        <f t="shared" si="2247"/>
        <v>0</v>
      </c>
      <c r="EM333" s="65">
        <f t="shared" si="2247"/>
        <v>0</v>
      </c>
      <c r="EN333" s="64">
        <f>SUM(EE333:EH333,EJ333:EM333)</f>
        <v>0</v>
      </c>
      <c r="EO333" s="62"/>
      <c r="EP333" s="63"/>
      <c r="EQ333" s="63"/>
      <c r="ER333" s="63"/>
      <c r="ES333" s="63"/>
      <c r="ET333" s="63"/>
      <c r="EU333" s="63"/>
      <c r="EV333" s="63"/>
      <c r="EW333" s="63"/>
      <c r="EX333" s="63"/>
      <c r="EY333" s="64">
        <f>SUM(EP333:ES333,EU333:EX333)</f>
        <v>0</v>
      </c>
      <c r="EZ333" s="62"/>
      <c r="FA333" s="63"/>
      <c r="FB333" s="63"/>
      <c r="FC333" s="63"/>
      <c r="FD333" s="63"/>
      <c r="FE333" s="63"/>
      <c r="FF333" s="63"/>
      <c r="FG333" s="63"/>
      <c r="FH333" s="63"/>
      <c r="FI333" s="63"/>
      <c r="FJ333" s="64">
        <f>SUM(FA333:FD333,FF333:FI333)</f>
        <v>0</v>
      </c>
      <c r="FK333" s="62"/>
      <c r="FL333" s="63"/>
      <c r="FM333" s="63"/>
      <c r="FN333" s="63"/>
      <c r="FO333" s="63"/>
      <c r="FP333" s="63"/>
      <c r="FQ333" s="63"/>
      <c r="FR333" s="63"/>
      <c r="FS333" s="63"/>
      <c r="FT333" s="63"/>
      <c r="FU333" s="64">
        <f>SUM(FL333:FO333,FQ333:FT333)</f>
        <v>0</v>
      </c>
      <c r="FV333" s="65">
        <f t="shared" ref="FV333:GE334" si="2248">SUM(EO333,FK333,EZ333)</f>
        <v>0</v>
      </c>
      <c r="FW333" s="65">
        <f t="shared" si="2248"/>
        <v>0</v>
      </c>
      <c r="FX333" s="65">
        <f t="shared" si="2248"/>
        <v>0</v>
      </c>
      <c r="FY333" s="65">
        <f t="shared" si="2248"/>
        <v>0</v>
      </c>
      <c r="FZ333" s="65">
        <f t="shared" si="2248"/>
        <v>0</v>
      </c>
      <c r="GA333" s="65">
        <f t="shared" si="2248"/>
        <v>0</v>
      </c>
      <c r="GB333" s="65">
        <f t="shared" si="2248"/>
        <v>0</v>
      </c>
      <c r="GC333" s="65">
        <f t="shared" si="2248"/>
        <v>0</v>
      </c>
      <c r="GD333" s="65">
        <f t="shared" si="2248"/>
        <v>0</v>
      </c>
      <c r="GE333" s="65">
        <f t="shared" si="2248"/>
        <v>0</v>
      </c>
      <c r="GF333" s="64">
        <f>SUM(FW333:FZ333,GB333:GE333)</f>
        <v>0</v>
      </c>
      <c r="GG333" s="66">
        <f t="shared" ref="GG333:GP334" si="2249">SUM(AT333,CL333,ED333,FV333)</f>
        <v>0</v>
      </c>
      <c r="GH333" s="66">
        <f t="shared" si="2249"/>
        <v>0</v>
      </c>
      <c r="GI333" s="66">
        <f t="shared" si="2249"/>
        <v>0</v>
      </c>
      <c r="GJ333" s="66">
        <f t="shared" si="2249"/>
        <v>0</v>
      </c>
      <c r="GK333" s="66">
        <f t="shared" si="2249"/>
        <v>0</v>
      </c>
      <c r="GL333" s="66">
        <f t="shared" si="2249"/>
        <v>0</v>
      </c>
      <c r="GM333" s="66">
        <f t="shared" si="2249"/>
        <v>0</v>
      </c>
      <c r="GN333" s="66">
        <f t="shared" si="2249"/>
        <v>0</v>
      </c>
      <c r="GO333" s="66">
        <f t="shared" si="2249"/>
        <v>0</v>
      </c>
      <c r="GP333" s="66">
        <f t="shared" si="2249"/>
        <v>0</v>
      </c>
      <c r="GQ333" s="64">
        <f>SUM(GH333:GK333,GM333:GP333)</f>
        <v>0</v>
      </c>
      <c r="GR333" s="63"/>
      <c r="GS333" s="63"/>
      <c r="GT333" s="63"/>
      <c r="GU333" s="63"/>
      <c r="GV333" s="67">
        <f>SUM(GR333:GU333)</f>
        <v>0</v>
      </c>
      <c r="GW333" s="63"/>
      <c r="GX333" s="63"/>
      <c r="GY333" s="63"/>
      <c r="GZ333" s="63"/>
      <c r="HA333" s="67">
        <f>SUM(GW333:GZ333)</f>
        <v>0</v>
      </c>
      <c r="HB333" s="63"/>
      <c r="HC333" s="63"/>
      <c r="HD333" s="63"/>
      <c r="HE333" s="63"/>
      <c r="HF333" s="67">
        <f>SUM(HB333:HE333)</f>
        <v>0</v>
      </c>
      <c r="HG333" s="63"/>
      <c r="HH333" s="63"/>
      <c r="HI333" s="63"/>
      <c r="HJ333" s="63"/>
      <c r="HK333" s="67">
        <f>SUM(HG333:HJ333)</f>
        <v>0</v>
      </c>
      <c r="HL333" s="68">
        <f t="shared" ref="HL333:HO334" si="2250">SUM(GW333,HB333,HG333)</f>
        <v>0</v>
      </c>
      <c r="HM333" s="68">
        <f t="shared" si="2250"/>
        <v>0</v>
      </c>
      <c r="HN333" s="68">
        <f t="shared" si="2250"/>
        <v>0</v>
      </c>
      <c r="HO333" s="68">
        <f t="shared" si="2250"/>
        <v>0</v>
      </c>
      <c r="HP333" s="67">
        <f>SUM(HL333:HO333)</f>
        <v>0</v>
      </c>
      <c r="HQ333" s="63"/>
      <c r="HR333" s="63"/>
      <c r="HS333" s="63"/>
      <c r="HT333" s="63"/>
      <c r="HU333" s="67">
        <f>SUM(HQ333:HT333)</f>
        <v>0</v>
      </c>
      <c r="HV333" s="63"/>
      <c r="HW333" s="63"/>
      <c r="HX333" s="63"/>
      <c r="HY333" s="63"/>
      <c r="HZ333" s="67">
        <f>SUM(HV333:HY333)</f>
        <v>0</v>
      </c>
      <c r="IA333" s="63"/>
      <c r="IB333" s="63"/>
      <c r="IC333" s="63"/>
      <c r="ID333" s="63"/>
      <c r="IE333" s="67">
        <f>SUM(IA333:ID333)</f>
        <v>0</v>
      </c>
      <c r="IF333" s="68">
        <f t="shared" ref="IF333:II334" si="2251">SUM(HQ333,HV333,IA333)</f>
        <v>0</v>
      </c>
      <c r="IG333" s="68">
        <f t="shared" si="2251"/>
        <v>0</v>
      </c>
      <c r="IH333" s="68">
        <f t="shared" si="2251"/>
        <v>0</v>
      </c>
      <c r="II333" s="68">
        <f t="shared" si="2251"/>
        <v>0</v>
      </c>
      <c r="IJ333" s="67">
        <f>SUM(IF333:II333)</f>
        <v>0</v>
      </c>
      <c r="IK333" s="63"/>
      <c r="IL333" s="63"/>
      <c r="IM333" s="63"/>
      <c r="IN333" s="63"/>
      <c r="IO333" s="67">
        <f>SUM(IK333:IN333)</f>
        <v>0</v>
      </c>
      <c r="IP333" s="63"/>
      <c r="IQ333" s="63"/>
      <c r="IR333" s="63"/>
      <c r="IS333" s="63"/>
      <c r="IT333" s="67">
        <f t="shared" si="2235"/>
        <v>0</v>
      </c>
      <c r="IU333" s="63"/>
      <c r="IV333" s="63"/>
    </row>
    <row r="334" spans="1:256" x14ac:dyDescent="0.25">
      <c r="A334" s="180" t="s">
        <v>266</v>
      </c>
      <c r="B334" s="62"/>
      <c r="C334" s="63"/>
      <c r="D334" s="63"/>
      <c r="E334" s="63"/>
      <c r="F334" s="63"/>
      <c r="G334" s="63"/>
      <c r="H334" s="63"/>
      <c r="I334" s="63"/>
      <c r="J334" s="63"/>
      <c r="K334" s="63"/>
      <c r="L334" s="64">
        <f>SUM(C334:F334,H334:K334)</f>
        <v>0</v>
      </c>
      <c r="M334" s="62"/>
      <c r="N334" s="63"/>
      <c r="O334" s="63"/>
      <c r="P334" s="63"/>
      <c r="Q334" s="63"/>
      <c r="R334" s="63"/>
      <c r="S334" s="63"/>
      <c r="T334" s="63"/>
      <c r="U334" s="63"/>
      <c r="V334" s="63"/>
      <c r="W334" s="64">
        <f>SUM(N334:Q334,S334:V334)</f>
        <v>0</v>
      </c>
      <c r="X334" s="62"/>
      <c r="Y334" s="63"/>
      <c r="Z334" s="63"/>
      <c r="AA334" s="63"/>
      <c r="AB334" s="63"/>
      <c r="AC334" s="63"/>
      <c r="AD334" s="63"/>
      <c r="AE334" s="63"/>
      <c r="AF334" s="63"/>
      <c r="AG334" s="63"/>
      <c r="AH334" s="64">
        <f>SUM(Y334:AB334,AD334:AG334)</f>
        <v>0</v>
      </c>
      <c r="AI334" s="62"/>
      <c r="AJ334" s="63"/>
      <c r="AK334" s="63"/>
      <c r="AL334" s="63"/>
      <c r="AM334" s="63"/>
      <c r="AN334" s="63"/>
      <c r="AO334" s="63"/>
      <c r="AP334" s="63"/>
      <c r="AQ334" s="63"/>
      <c r="AR334" s="63"/>
      <c r="AS334" s="64">
        <f>SUM(AJ334:AM334,AO334:AR334)</f>
        <v>0</v>
      </c>
      <c r="AT334" s="65">
        <f t="shared" si="2245"/>
        <v>0</v>
      </c>
      <c r="AU334" s="65">
        <f t="shared" si="2245"/>
        <v>0</v>
      </c>
      <c r="AV334" s="65">
        <f t="shared" si="2245"/>
        <v>0</v>
      </c>
      <c r="AW334" s="65">
        <f t="shared" si="2245"/>
        <v>0</v>
      </c>
      <c r="AX334" s="65">
        <f t="shared" si="2245"/>
        <v>0</v>
      </c>
      <c r="AY334" s="65">
        <f t="shared" si="2245"/>
        <v>0</v>
      </c>
      <c r="AZ334" s="65">
        <f t="shared" si="2245"/>
        <v>0</v>
      </c>
      <c r="BA334" s="65">
        <f t="shared" si="2245"/>
        <v>0</v>
      </c>
      <c r="BB334" s="65">
        <f t="shared" si="2245"/>
        <v>0</v>
      </c>
      <c r="BC334" s="65">
        <f t="shared" si="2245"/>
        <v>0</v>
      </c>
      <c r="BD334" s="64">
        <f>SUM(AU334:AX334,AZ334:BC334)</f>
        <v>0</v>
      </c>
      <c r="BE334" s="62"/>
      <c r="BF334" s="63"/>
      <c r="BG334" s="63"/>
      <c r="BH334" s="63"/>
      <c r="BI334" s="63"/>
      <c r="BJ334" s="63"/>
      <c r="BK334" s="63"/>
      <c r="BL334" s="63"/>
      <c r="BM334" s="63"/>
      <c r="BN334" s="63"/>
      <c r="BO334" s="64">
        <f>SUM(BF334:BI334,BK334:BN334)</f>
        <v>0</v>
      </c>
      <c r="BP334" s="62"/>
      <c r="BQ334" s="63"/>
      <c r="BR334" s="63"/>
      <c r="BS334" s="63"/>
      <c r="BT334" s="63"/>
      <c r="BU334" s="63"/>
      <c r="BV334" s="63"/>
      <c r="BW334" s="63"/>
      <c r="BX334" s="63"/>
      <c r="BY334" s="63"/>
      <c r="BZ334" s="64">
        <f>SUM(BQ334:BT334,BV334:BY334)</f>
        <v>0</v>
      </c>
      <c r="CA334" s="62"/>
      <c r="CB334" s="63"/>
      <c r="CC334" s="63"/>
      <c r="CD334" s="63"/>
      <c r="CE334" s="63"/>
      <c r="CF334" s="63"/>
      <c r="CG334" s="63"/>
      <c r="CH334" s="63"/>
      <c r="CI334" s="63"/>
      <c r="CJ334" s="63"/>
      <c r="CK334" s="64">
        <f>SUM(CB334:CE334,CG334:CJ334)</f>
        <v>0</v>
      </c>
      <c r="CL334" s="65">
        <f t="shared" si="2246"/>
        <v>0</v>
      </c>
      <c r="CM334" s="65">
        <f t="shared" si="2246"/>
        <v>0</v>
      </c>
      <c r="CN334" s="65">
        <f t="shared" si="2246"/>
        <v>0</v>
      </c>
      <c r="CO334" s="65">
        <f t="shared" si="2246"/>
        <v>0</v>
      </c>
      <c r="CP334" s="65">
        <f t="shared" si="2246"/>
        <v>0</v>
      </c>
      <c r="CQ334" s="65">
        <f t="shared" si="2246"/>
        <v>0</v>
      </c>
      <c r="CR334" s="65">
        <f t="shared" si="2246"/>
        <v>0</v>
      </c>
      <c r="CS334" s="65">
        <f t="shared" si="2246"/>
        <v>0</v>
      </c>
      <c r="CT334" s="65">
        <f t="shared" si="2246"/>
        <v>0</v>
      </c>
      <c r="CU334" s="65">
        <f t="shared" si="2246"/>
        <v>0</v>
      </c>
      <c r="CV334" s="64">
        <f>SUM(CM334:CP334,CR334:CU334)</f>
        <v>0</v>
      </c>
      <c r="CW334" s="62"/>
      <c r="CX334" s="63"/>
      <c r="CY334" s="63"/>
      <c r="CZ334" s="63"/>
      <c r="DA334" s="63"/>
      <c r="DB334" s="63"/>
      <c r="DC334" s="63"/>
      <c r="DD334" s="63"/>
      <c r="DE334" s="63"/>
      <c r="DF334" s="63"/>
      <c r="DG334" s="64">
        <f>SUM(CX334:DA334,DC334:DF334)</f>
        <v>0</v>
      </c>
      <c r="DH334" s="62"/>
      <c r="DI334" s="63"/>
      <c r="DJ334" s="63"/>
      <c r="DK334" s="63"/>
      <c r="DL334" s="63"/>
      <c r="DM334" s="63"/>
      <c r="DN334" s="63"/>
      <c r="DO334" s="63"/>
      <c r="DP334" s="63"/>
      <c r="DQ334" s="63"/>
      <c r="DR334" s="64">
        <f>SUM(DI334:DL334,DN334:DQ334)</f>
        <v>0</v>
      </c>
      <c r="DS334" s="62"/>
      <c r="DT334" s="63"/>
      <c r="DU334" s="63"/>
      <c r="DV334" s="63"/>
      <c r="DW334" s="63"/>
      <c r="DX334" s="63"/>
      <c r="DY334" s="63"/>
      <c r="DZ334" s="63"/>
      <c r="EA334" s="63"/>
      <c r="EB334" s="63"/>
      <c r="EC334" s="64">
        <f>SUM(DT334:DW334,DY334:EB334)</f>
        <v>0</v>
      </c>
      <c r="ED334" s="65">
        <f t="shared" si="2247"/>
        <v>0</v>
      </c>
      <c r="EE334" s="65">
        <f t="shared" si="2247"/>
        <v>0</v>
      </c>
      <c r="EF334" s="65">
        <f t="shared" si="2247"/>
        <v>0</v>
      </c>
      <c r="EG334" s="65">
        <f t="shared" si="2247"/>
        <v>0</v>
      </c>
      <c r="EH334" s="65">
        <f t="shared" si="2247"/>
        <v>0</v>
      </c>
      <c r="EI334" s="65">
        <f t="shared" si="2247"/>
        <v>0</v>
      </c>
      <c r="EJ334" s="65">
        <f t="shared" si="2247"/>
        <v>0</v>
      </c>
      <c r="EK334" s="65">
        <f t="shared" si="2247"/>
        <v>0</v>
      </c>
      <c r="EL334" s="65">
        <f t="shared" si="2247"/>
        <v>0</v>
      </c>
      <c r="EM334" s="65">
        <f t="shared" si="2247"/>
        <v>0</v>
      </c>
      <c r="EN334" s="64">
        <f>SUM(EE334:EH334,EJ334:EM334)</f>
        <v>0</v>
      </c>
      <c r="EO334" s="62"/>
      <c r="EP334" s="63"/>
      <c r="EQ334" s="63"/>
      <c r="ER334" s="63"/>
      <c r="ES334" s="63"/>
      <c r="ET334" s="63"/>
      <c r="EU334" s="63"/>
      <c r="EV334" s="63"/>
      <c r="EW334" s="63"/>
      <c r="EX334" s="63"/>
      <c r="EY334" s="64">
        <f>SUM(EP334:ES334,EU334:EX334)</f>
        <v>0</v>
      </c>
      <c r="EZ334" s="62"/>
      <c r="FA334" s="63"/>
      <c r="FB334" s="63"/>
      <c r="FC334" s="63"/>
      <c r="FD334" s="63"/>
      <c r="FE334" s="63"/>
      <c r="FF334" s="63"/>
      <c r="FG334" s="63"/>
      <c r="FH334" s="63"/>
      <c r="FI334" s="63"/>
      <c r="FJ334" s="64">
        <f>SUM(FA334:FD334,FF334:FI334)</f>
        <v>0</v>
      </c>
      <c r="FK334" s="62"/>
      <c r="FL334" s="63"/>
      <c r="FM334" s="63"/>
      <c r="FN334" s="63"/>
      <c r="FO334" s="63"/>
      <c r="FP334" s="63"/>
      <c r="FQ334" s="63"/>
      <c r="FR334" s="63"/>
      <c r="FS334" s="63"/>
      <c r="FT334" s="63"/>
      <c r="FU334" s="64">
        <f>SUM(FL334:FO334,FQ334:FT334)</f>
        <v>0</v>
      </c>
      <c r="FV334" s="65">
        <f t="shared" si="2248"/>
        <v>0</v>
      </c>
      <c r="FW334" s="65">
        <f t="shared" si="2248"/>
        <v>0</v>
      </c>
      <c r="FX334" s="65">
        <f t="shared" si="2248"/>
        <v>0</v>
      </c>
      <c r="FY334" s="65">
        <f t="shared" si="2248"/>
        <v>0</v>
      </c>
      <c r="FZ334" s="65">
        <f t="shared" si="2248"/>
        <v>0</v>
      </c>
      <c r="GA334" s="65">
        <f t="shared" si="2248"/>
        <v>0</v>
      </c>
      <c r="GB334" s="65">
        <f t="shared" si="2248"/>
        <v>0</v>
      </c>
      <c r="GC334" s="65">
        <f t="shared" si="2248"/>
        <v>0</v>
      </c>
      <c r="GD334" s="65">
        <f t="shared" si="2248"/>
        <v>0</v>
      </c>
      <c r="GE334" s="65">
        <f t="shared" si="2248"/>
        <v>0</v>
      </c>
      <c r="GF334" s="64">
        <f>SUM(FW334:FZ334,GB334:GE334)</f>
        <v>0</v>
      </c>
      <c r="GG334" s="66">
        <f t="shared" si="2249"/>
        <v>0</v>
      </c>
      <c r="GH334" s="66">
        <f t="shared" si="2249"/>
        <v>0</v>
      </c>
      <c r="GI334" s="66">
        <f t="shared" si="2249"/>
        <v>0</v>
      </c>
      <c r="GJ334" s="66">
        <f t="shared" si="2249"/>
        <v>0</v>
      </c>
      <c r="GK334" s="66">
        <f t="shared" si="2249"/>
        <v>0</v>
      </c>
      <c r="GL334" s="66">
        <f t="shared" si="2249"/>
        <v>0</v>
      </c>
      <c r="GM334" s="66">
        <f t="shared" si="2249"/>
        <v>0</v>
      </c>
      <c r="GN334" s="66">
        <f t="shared" si="2249"/>
        <v>0</v>
      </c>
      <c r="GO334" s="66">
        <f t="shared" si="2249"/>
        <v>0</v>
      </c>
      <c r="GP334" s="66">
        <f t="shared" si="2249"/>
        <v>0</v>
      </c>
      <c r="GQ334" s="64">
        <f>SUM(GH334:GK334,GM334:GP334)</f>
        <v>0</v>
      </c>
      <c r="GR334" s="63"/>
      <c r="GS334" s="63"/>
      <c r="GT334" s="63"/>
      <c r="GU334" s="63"/>
      <c r="GV334" s="67">
        <f>SUM(GR334:GU334)</f>
        <v>0</v>
      </c>
      <c r="GW334" s="63"/>
      <c r="GX334" s="63"/>
      <c r="GY334" s="63"/>
      <c r="GZ334" s="63"/>
      <c r="HA334" s="67">
        <f>SUM(GW334:GZ334)</f>
        <v>0</v>
      </c>
      <c r="HB334" s="63"/>
      <c r="HC334" s="63"/>
      <c r="HD334" s="63"/>
      <c r="HE334" s="63"/>
      <c r="HF334" s="67">
        <f>SUM(HB334:HE334)</f>
        <v>0</v>
      </c>
      <c r="HG334" s="63"/>
      <c r="HH334" s="63"/>
      <c r="HI334" s="63"/>
      <c r="HJ334" s="63"/>
      <c r="HK334" s="67">
        <f>SUM(HG334:HJ334)</f>
        <v>0</v>
      </c>
      <c r="HL334" s="68">
        <f t="shared" si="2250"/>
        <v>0</v>
      </c>
      <c r="HM334" s="68">
        <f t="shared" si="2250"/>
        <v>0</v>
      </c>
      <c r="HN334" s="68">
        <f t="shared" si="2250"/>
        <v>0</v>
      </c>
      <c r="HO334" s="68">
        <f t="shared" si="2250"/>
        <v>0</v>
      </c>
      <c r="HP334" s="67">
        <f>SUM(HL334:HO334)</f>
        <v>0</v>
      </c>
      <c r="HQ334" s="63"/>
      <c r="HR334" s="63"/>
      <c r="HS334" s="63"/>
      <c r="HT334" s="63"/>
      <c r="HU334" s="67">
        <f>SUM(HQ334:HT334)</f>
        <v>0</v>
      </c>
      <c r="HV334" s="63"/>
      <c r="HW334" s="63"/>
      <c r="HX334" s="63"/>
      <c r="HY334" s="63"/>
      <c r="HZ334" s="67">
        <f>SUM(HV334:HY334)</f>
        <v>0</v>
      </c>
      <c r="IA334" s="63"/>
      <c r="IB334" s="63"/>
      <c r="IC334" s="63"/>
      <c r="ID334" s="63"/>
      <c r="IE334" s="67">
        <f>SUM(IA334:ID334)</f>
        <v>0</v>
      </c>
      <c r="IF334" s="68">
        <f t="shared" si="2251"/>
        <v>0</v>
      </c>
      <c r="IG334" s="68">
        <f t="shared" si="2251"/>
        <v>0</v>
      </c>
      <c r="IH334" s="68">
        <f t="shared" si="2251"/>
        <v>0</v>
      </c>
      <c r="II334" s="68">
        <f t="shared" si="2251"/>
        <v>0</v>
      </c>
      <c r="IJ334" s="67">
        <f>SUM(IF334:II334)</f>
        <v>0</v>
      </c>
      <c r="IK334" s="63"/>
      <c r="IL334" s="63"/>
      <c r="IM334" s="63"/>
      <c r="IN334" s="63"/>
      <c r="IO334" s="67">
        <f>SUM(IK334:IN334)</f>
        <v>0</v>
      </c>
      <c r="IP334" s="63"/>
      <c r="IQ334" s="63"/>
      <c r="IR334" s="63"/>
      <c r="IS334" s="63"/>
      <c r="IT334" s="67">
        <f t="shared" si="2235"/>
        <v>0</v>
      </c>
      <c r="IU334" s="63"/>
      <c r="IV334" s="63"/>
    </row>
    <row r="335" spans="1:256" s="181" customFormat="1" x14ac:dyDescent="0.25">
      <c r="A335" s="182" t="s">
        <v>21</v>
      </c>
      <c r="B335" s="183"/>
      <c r="C335" s="184">
        <f t="shared" ref="C335:K335" si="2252">C10</f>
        <v>11656</v>
      </c>
      <c r="D335" s="184">
        <f t="shared" si="2252"/>
        <v>1279</v>
      </c>
      <c r="E335" s="184">
        <f t="shared" si="2252"/>
        <v>745</v>
      </c>
      <c r="F335" s="184">
        <f t="shared" si="2252"/>
        <v>266</v>
      </c>
      <c r="G335" s="184">
        <f t="shared" si="2252"/>
        <v>198</v>
      </c>
      <c r="H335" s="184">
        <f t="shared" si="2252"/>
        <v>490</v>
      </c>
      <c r="I335" s="184">
        <f t="shared" si="2252"/>
        <v>0</v>
      </c>
      <c r="J335" s="184">
        <f t="shared" si="2252"/>
        <v>1050</v>
      </c>
      <c r="K335" s="184">
        <f t="shared" si="2252"/>
        <v>693</v>
      </c>
      <c r="L335" s="185"/>
      <c r="M335" s="183"/>
      <c r="N335" s="184">
        <f t="shared" ref="N335:V335" si="2253">N10</f>
        <v>0</v>
      </c>
      <c r="O335" s="184">
        <f t="shared" si="2253"/>
        <v>0</v>
      </c>
      <c r="P335" s="184">
        <f t="shared" si="2253"/>
        <v>0</v>
      </c>
      <c r="Q335" s="184">
        <f t="shared" si="2253"/>
        <v>0</v>
      </c>
      <c r="R335" s="184">
        <f t="shared" si="2253"/>
        <v>0</v>
      </c>
      <c r="S335" s="184">
        <f t="shared" si="2253"/>
        <v>0</v>
      </c>
      <c r="T335" s="184">
        <f t="shared" si="2253"/>
        <v>0</v>
      </c>
      <c r="U335" s="184">
        <f t="shared" si="2253"/>
        <v>0</v>
      </c>
      <c r="V335" s="184">
        <f t="shared" si="2253"/>
        <v>0</v>
      </c>
      <c r="W335" s="185"/>
      <c r="X335" s="183"/>
      <c r="Y335" s="184">
        <f t="shared" ref="Y335:AG335" si="2254">Y10</f>
        <v>0</v>
      </c>
      <c r="Z335" s="184">
        <f t="shared" si="2254"/>
        <v>0</v>
      </c>
      <c r="AA335" s="184">
        <f t="shared" si="2254"/>
        <v>0</v>
      </c>
      <c r="AB335" s="184">
        <f t="shared" si="2254"/>
        <v>0</v>
      </c>
      <c r="AC335" s="184">
        <f t="shared" si="2254"/>
        <v>0</v>
      </c>
      <c r="AD335" s="184">
        <f t="shared" si="2254"/>
        <v>0</v>
      </c>
      <c r="AE335" s="184">
        <f t="shared" si="2254"/>
        <v>0</v>
      </c>
      <c r="AF335" s="184">
        <f t="shared" si="2254"/>
        <v>0</v>
      </c>
      <c r="AG335" s="184">
        <f t="shared" si="2254"/>
        <v>0</v>
      </c>
      <c r="AH335" s="185"/>
      <c r="AI335" s="183"/>
      <c r="AJ335" s="184">
        <f t="shared" ref="AJ335:AR335" si="2255">AJ10</f>
        <v>0</v>
      </c>
      <c r="AK335" s="184">
        <f t="shared" si="2255"/>
        <v>0</v>
      </c>
      <c r="AL335" s="184">
        <f t="shared" si="2255"/>
        <v>0</v>
      </c>
      <c r="AM335" s="184">
        <f t="shared" si="2255"/>
        <v>0</v>
      </c>
      <c r="AN335" s="184">
        <f t="shared" si="2255"/>
        <v>0</v>
      </c>
      <c r="AO335" s="184">
        <f t="shared" si="2255"/>
        <v>0</v>
      </c>
      <c r="AP335" s="184">
        <f t="shared" si="2255"/>
        <v>0</v>
      </c>
      <c r="AQ335" s="184">
        <f t="shared" si="2255"/>
        <v>0</v>
      </c>
      <c r="AR335" s="184">
        <f t="shared" si="2255"/>
        <v>0</v>
      </c>
      <c r="AS335" s="185"/>
      <c r="AT335" s="183"/>
      <c r="AU335" s="183"/>
      <c r="AV335" s="183"/>
      <c r="AW335" s="183"/>
      <c r="AX335" s="183"/>
      <c r="AY335" s="183"/>
      <c r="AZ335" s="183"/>
      <c r="BA335" s="183"/>
      <c r="BB335" s="183"/>
      <c r="BC335" s="183"/>
      <c r="BD335" s="185"/>
      <c r="BE335" s="183"/>
      <c r="BF335" s="184">
        <f t="shared" ref="BF335:BN335" si="2256">BF10</f>
        <v>0</v>
      </c>
      <c r="BG335" s="184">
        <f t="shared" si="2256"/>
        <v>0</v>
      </c>
      <c r="BH335" s="184">
        <f t="shared" si="2256"/>
        <v>0</v>
      </c>
      <c r="BI335" s="184">
        <f t="shared" si="2256"/>
        <v>0</v>
      </c>
      <c r="BJ335" s="184">
        <f t="shared" si="2256"/>
        <v>0</v>
      </c>
      <c r="BK335" s="184">
        <f t="shared" si="2256"/>
        <v>0</v>
      </c>
      <c r="BL335" s="184">
        <f t="shared" si="2256"/>
        <v>0</v>
      </c>
      <c r="BM335" s="184">
        <f t="shared" si="2256"/>
        <v>0</v>
      </c>
      <c r="BN335" s="184">
        <f t="shared" si="2256"/>
        <v>0</v>
      </c>
      <c r="BO335" s="185"/>
      <c r="BP335" s="183"/>
      <c r="BQ335" s="184">
        <f t="shared" ref="BQ335:BY335" si="2257">BQ10</f>
        <v>0</v>
      </c>
      <c r="BR335" s="184">
        <f t="shared" si="2257"/>
        <v>0</v>
      </c>
      <c r="BS335" s="184">
        <f t="shared" si="2257"/>
        <v>0</v>
      </c>
      <c r="BT335" s="184">
        <f t="shared" si="2257"/>
        <v>0</v>
      </c>
      <c r="BU335" s="184">
        <f t="shared" si="2257"/>
        <v>0</v>
      </c>
      <c r="BV335" s="184">
        <f t="shared" si="2257"/>
        <v>0</v>
      </c>
      <c r="BW335" s="184">
        <f t="shared" si="2257"/>
        <v>0</v>
      </c>
      <c r="BX335" s="184">
        <f t="shared" si="2257"/>
        <v>0</v>
      </c>
      <c r="BY335" s="184">
        <f t="shared" si="2257"/>
        <v>0</v>
      </c>
      <c r="BZ335" s="185"/>
      <c r="CA335" s="183"/>
      <c r="CB335" s="184">
        <f t="shared" ref="CB335:CJ335" si="2258">CB10</f>
        <v>0</v>
      </c>
      <c r="CC335" s="184">
        <f t="shared" si="2258"/>
        <v>0</v>
      </c>
      <c r="CD335" s="184">
        <f t="shared" si="2258"/>
        <v>0</v>
      </c>
      <c r="CE335" s="184">
        <f t="shared" si="2258"/>
        <v>0</v>
      </c>
      <c r="CF335" s="184">
        <f t="shared" si="2258"/>
        <v>0</v>
      </c>
      <c r="CG335" s="184">
        <f t="shared" si="2258"/>
        <v>0</v>
      </c>
      <c r="CH335" s="184">
        <f t="shared" si="2258"/>
        <v>0</v>
      </c>
      <c r="CI335" s="184">
        <f t="shared" si="2258"/>
        <v>0</v>
      </c>
      <c r="CJ335" s="184">
        <f t="shared" si="2258"/>
        <v>0</v>
      </c>
      <c r="CK335" s="185"/>
      <c r="CL335" s="183"/>
      <c r="CM335" s="183"/>
      <c r="CN335" s="183"/>
      <c r="CO335" s="183"/>
      <c r="CP335" s="183"/>
      <c r="CQ335" s="183"/>
      <c r="CR335" s="183"/>
      <c r="CS335" s="183"/>
      <c r="CT335" s="183"/>
      <c r="CU335" s="183"/>
      <c r="CV335" s="185"/>
      <c r="CW335" s="183"/>
      <c r="CX335" s="184">
        <f t="shared" ref="CX335:DF335" si="2259">CX10</f>
        <v>0</v>
      </c>
      <c r="CY335" s="184">
        <f t="shared" si="2259"/>
        <v>0</v>
      </c>
      <c r="CZ335" s="184">
        <f t="shared" si="2259"/>
        <v>0</v>
      </c>
      <c r="DA335" s="184">
        <f t="shared" si="2259"/>
        <v>0</v>
      </c>
      <c r="DB335" s="184">
        <f t="shared" si="2259"/>
        <v>0</v>
      </c>
      <c r="DC335" s="184">
        <f t="shared" si="2259"/>
        <v>0</v>
      </c>
      <c r="DD335" s="184">
        <f t="shared" si="2259"/>
        <v>0</v>
      </c>
      <c r="DE335" s="184">
        <f t="shared" si="2259"/>
        <v>0</v>
      </c>
      <c r="DF335" s="184">
        <f t="shared" si="2259"/>
        <v>0</v>
      </c>
      <c r="DG335" s="185"/>
      <c r="DH335" s="183"/>
      <c r="DI335" s="184">
        <f t="shared" ref="DI335:DQ335" si="2260">DI10</f>
        <v>0</v>
      </c>
      <c r="DJ335" s="184">
        <f t="shared" si="2260"/>
        <v>0</v>
      </c>
      <c r="DK335" s="184">
        <f t="shared" si="2260"/>
        <v>0</v>
      </c>
      <c r="DL335" s="184">
        <f t="shared" si="2260"/>
        <v>0</v>
      </c>
      <c r="DM335" s="184">
        <f t="shared" si="2260"/>
        <v>0</v>
      </c>
      <c r="DN335" s="184">
        <f t="shared" si="2260"/>
        <v>0</v>
      </c>
      <c r="DO335" s="184">
        <f t="shared" si="2260"/>
        <v>0</v>
      </c>
      <c r="DP335" s="184">
        <f t="shared" si="2260"/>
        <v>0</v>
      </c>
      <c r="DQ335" s="184">
        <f t="shared" si="2260"/>
        <v>0</v>
      </c>
      <c r="DR335" s="185"/>
      <c r="DS335" s="183"/>
      <c r="DT335" s="184">
        <f t="shared" ref="DT335:EB335" si="2261">DT10</f>
        <v>0</v>
      </c>
      <c r="DU335" s="184">
        <f t="shared" si="2261"/>
        <v>0</v>
      </c>
      <c r="DV335" s="184">
        <f t="shared" si="2261"/>
        <v>0</v>
      </c>
      <c r="DW335" s="184">
        <f t="shared" si="2261"/>
        <v>0</v>
      </c>
      <c r="DX335" s="184">
        <f t="shared" si="2261"/>
        <v>0</v>
      </c>
      <c r="DY335" s="184">
        <f t="shared" si="2261"/>
        <v>0</v>
      </c>
      <c r="DZ335" s="184">
        <f t="shared" si="2261"/>
        <v>0</v>
      </c>
      <c r="EA335" s="184">
        <f t="shared" si="2261"/>
        <v>0</v>
      </c>
      <c r="EB335" s="184">
        <f t="shared" si="2261"/>
        <v>0</v>
      </c>
      <c r="EC335" s="185"/>
      <c r="ED335" s="183"/>
      <c r="EE335" s="183"/>
      <c r="EF335" s="183"/>
      <c r="EG335" s="183"/>
      <c r="EH335" s="183"/>
      <c r="EI335" s="183"/>
      <c r="EJ335" s="183"/>
      <c r="EK335" s="183"/>
      <c r="EL335" s="183"/>
      <c r="EM335" s="183"/>
      <c r="EN335" s="185"/>
      <c r="EO335" s="183"/>
      <c r="EP335" s="184">
        <f t="shared" ref="EP335:EX335" si="2262">EP10</f>
        <v>0</v>
      </c>
      <c r="EQ335" s="184">
        <f t="shared" si="2262"/>
        <v>0</v>
      </c>
      <c r="ER335" s="184">
        <f t="shared" si="2262"/>
        <v>0</v>
      </c>
      <c r="ES335" s="184">
        <f t="shared" si="2262"/>
        <v>0</v>
      </c>
      <c r="ET335" s="184">
        <f t="shared" si="2262"/>
        <v>0</v>
      </c>
      <c r="EU335" s="184">
        <f t="shared" si="2262"/>
        <v>0</v>
      </c>
      <c r="EV335" s="184">
        <f t="shared" si="2262"/>
        <v>0</v>
      </c>
      <c r="EW335" s="184">
        <f t="shared" si="2262"/>
        <v>0</v>
      </c>
      <c r="EX335" s="184">
        <f t="shared" si="2262"/>
        <v>0</v>
      </c>
      <c r="EY335" s="185"/>
      <c r="EZ335" s="183"/>
      <c r="FA335" s="184">
        <f t="shared" ref="FA335:FI335" si="2263">FA10</f>
        <v>0</v>
      </c>
      <c r="FB335" s="184">
        <f t="shared" si="2263"/>
        <v>0</v>
      </c>
      <c r="FC335" s="184">
        <f t="shared" si="2263"/>
        <v>0</v>
      </c>
      <c r="FD335" s="184">
        <f t="shared" si="2263"/>
        <v>0</v>
      </c>
      <c r="FE335" s="184">
        <f t="shared" si="2263"/>
        <v>0</v>
      </c>
      <c r="FF335" s="184">
        <f t="shared" si="2263"/>
        <v>0</v>
      </c>
      <c r="FG335" s="184">
        <f t="shared" si="2263"/>
        <v>0</v>
      </c>
      <c r="FH335" s="184">
        <f t="shared" si="2263"/>
        <v>0</v>
      </c>
      <c r="FI335" s="184">
        <f t="shared" si="2263"/>
        <v>0</v>
      </c>
      <c r="FJ335" s="185"/>
      <c r="FK335" s="183"/>
      <c r="FL335" s="184">
        <f t="shared" ref="FL335:FU335" si="2264">FL10</f>
        <v>0</v>
      </c>
      <c r="FM335" s="184">
        <f t="shared" si="2264"/>
        <v>0</v>
      </c>
      <c r="FN335" s="184">
        <f t="shared" si="2264"/>
        <v>0</v>
      </c>
      <c r="FO335" s="184">
        <f t="shared" si="2264"/>
        <v>0</v>
      </c>
      <c r="FP335" s="184">
        <f t="shared" si="2264"/>
        <v>0</v>
      </c>
      <c r="FQ335" s="184">
        <f t="shared" si="2264"/>
        <v>0</v>
      </c>
      <c r="FR335" s="184">
        <f t="shared" si="2264"/>
        <v>0</v>
      </c>
      <c r="FS335" s="184">
        <f t="shared" si="2264"/>
        <v>0</v>
      </c>
      <c r="FT335" s="184">
        <f t="shared" si="2264"/>
        <v>0</v>
      </c>
      <c r="FU335" s="184">
        <f t="shared" si="2264"/>
        <v>0</v>
      </c>
      <c r="FV335" s="183"/>
      <c r="FW335" s="183"/>
      <c r="FX335" s="183"/>
      <c r="FY335" s="183"/>
      <c r="FZ335" s="183"/>
      <c r="GA335" s="183"/>
      <c r="GB335" s="183"/>
      <c r="GC335" s="183"/>
      <c r="GD335" s="183"/>
      <c r="GE335" s="183"/>
      <c r="GF335" s="185"/>
      <c r="GG335" s="183"/>
      <c r="GH335" s="184">
        <f t="shared" ref="GH335:GQ335" si="2265">GH10</f>
        <v>0</v>
      </c>
      <c r="GI335" s="184">
        <f t="shared" si="2265"/>
        <v>0</v>
      </c>
      <c r="GJ335" s="184">
        <f t="shared" si="2265"/>
        <v>0</v>
      </c>
      <c r="GK335" s="184">
        <f t="shared" si="2265"/>
        <v>0</v>
      </c>
      <c r="GL335" s="184">
        <f t="shared" si="2265"/>
        <v>0</v>
      </c>
      <c r="GM335" s="184">
        <f t="shared" si="2265"/>
        <v>0</v>
      </c>
      <c r="GN335" s="184">
        <f t="shared" si="2265"/>
        <v>0</v>
      </c>
      <c r="GO335" s="184">
        <f t="shared" si="2265"/>
        <v>0</v>
      </c>
      <c r="GP335" s="184">
        <f t="shared" si="2265"/>
        <v>0</v>
      </c>
      <c r="GQ335" s="184">
        <f t="shared" si="2265"/>
        <v>0</v>
      </c>
      <c r="GR335" s="184">
        <f t="shared" ref="GR335:IV335" si="2266">GR10+GR330</f>
        <v>0</v>
      </c>
      <c r="GS335" s="184">
        <f t="shared" si="2266"/>
        <v>0</v>
      </c>
      <c r="GT335" s="184">
        <f t="shared" si="2266"/>
        <v>0</v>
      </c>
      <c r="GU335" s="184">
        <f t="shared" si="2266"/>
        <v>0</v>
      </c>
      <c r="GV335" s="184">
        <f t="shared" si="2266"/>
        <v>0</v>
      </c>
      <c r="GW335" s="184">
        <f t="shared" si="2266"/>
        <v>0</v>
      </c>
      <c r="GX335" s="184">
        <f t="shared" si="2266"/>
        <v>0</v>
      </c>
      <c r="GY335" s="184">
        <f t="shared" si="2266"/>
        <v>0</v>
      </c>
      <c r="GZ335" s="184">
        <f t="shared" si="2266"/>
        <v>0</v>
      </c>
      <c r="HA335" s="184">
        <f t="shared" si="2266"/>
        <v>0</v>
      </c>
      <c r="HB335" s="184">
        <f t="shared" si="2266"/>
        <v>0</v>
      </c>
      <c r="HC335" s="184">
        <f t="shared" si="2266"/>
        <v>0</v>
      </c>
      <c r="HD335" s="184">
        <f t="shared" si="2266"/>
        <v>0</v>
      </c>
      <c r="HE335" s="184">
        <f t="shared" si="2266"/>
        <v>0</v>
      </c>
      <c r="HF335" s="184">
        <f t="shared" si="2266"/>
        <v>0</v>
      </c>
      <c r="HG335" s="184">
        <f t="shared" si="2266"/>
        <v>0</v>
      </c>
      <c r="HH335" s="184">
        <f t="shared" si="2266"/>
        <v>0</v>
      </c>
      <c r="HI335" s="184">
        <f t="shared" si="2266"/>
        <v>0</v>
      </c>
      <c r="HJ335" s="184">
        <f t="shared" si="2266"/>
        <v>0</v>
      </c>
      <c r="HK335" s="184">
        <f t="shared" si="2266"/>
        <v>0</v>
      </c>
      <c r="HL335" s="184">
        <f t="shared" si="2266"/>
        <v>0</v>
      </c>
      <c r="HM335" s="184">
        <f t="shared" si="2266"/>
        <v>0</v>
      </c>
      <c r="HN335" s="184">
        <f t="shared" si="2266"/>
        <v>0</v>
      </c>
      <c r="HO335" s="184">
        <f t="shared" si="2266"/>
        <v>0</v>
      </c>
      <c r="HP335" s="184">
        <f t="shared" si="2266"/>
        <v>0</v>
      </c>
      <c r="HQ335" s="184">
        <f t="shared" si="2266"/>
        <v>0</v>
      </c>
      <c r="HR335" s="184">
        <f t="shared" si="2266"/>
        <v>0</v>
      </c>
      <c r="HS335" s="184">
        <f t="shared" si="2266"/>
        <v>0</v>
      </c>
      <c r="HT335" s="184">
        <f t="shared" si="2266"/>
        <v>0</v>
      </c>
      <c r="HU335" s="184">
        <f t="shared" si="2266"/>
        <v>0</v>
      </c>
      <c r="HV335" s="184">
        <f t="shared" si="2266"/>
        <v>0</v>
      </c>
      <c r="HW335" s="184">
        <f t="shared" si="2266"/>
        <v>0</v>
      </c>
      <c r="HX335" s="184">
        <f t="shared" si="2266"/>
        <v>0</v>
      </c>
      <c r="HY335" s="184">
        <f t="shared" si="2266"/>
        <v>0</v>
      </c>
      <c r="HZ335" s="184">
        <f t="shared" si="2266"/>
        <v>0</v>
      </c>
      <c r="IA335" s="184">
        <f t="shared" si="2266"/>
        <v>0</v>
      </c>
      <c r="IB335" s="184">
        <f t="shared" si="2266"/>
        <v>0</v>
      </c>
      <c r="IC335" s="184">
        <f t="shared" si="2266"/>
        <v>0</v>
      </c>
      <c r="ID335" s="184">
        <f t="shared" si="2266"/>
        <v>0</v>
      </c>
      <c r="IE335" s="184">
        <f t="shared" si="2266"/>
        <v>0</v>
      </c>
      <c r="IF335" s="184">
        <f t="shared" si="2266"/>
        <v>0</v>
      </c>
      <c r="IG335" s="184">
        <f t="shared" si="2266"/>
        <v>0</v>
      </c>
      <c r="IH335" s="184">
        <f t="shared" si="2266"/>
        <v>0</v>
      </c>
      <c r="II335" s="184">
        <f t="shared" si="2266"/>
        <v>0</v>
      </c>
      <c r="IJ335" s="184">
        <f t="shared" si="2266"/>
        <v>0</v>
      </c>
      <c r="IK335" s="184">
        <f t="shared" si="2266"/>
        <v>0</v>
      </c>
      <c r="IL335" s="184">
        <f t="shared" si="2266"/>
        <v>0</v>
      </c>
      <c r="IM335" s="184">
        <f t="shared" si="2266"/>
        <v>0</v>
      </c>
      <c r="IN335" s="184">
        <f t="shared" si="2266"/>
        <v>0</v>
      </c>
      <c r="IO335" s="184">
        <f t="shared" si="2266"/>
        <v>0</v>
      </c>
      <c r="IP335" s="184">
        <f t="shared" si="2266"/>
        <v>0</v>
      </c>
      <c r="IQ335" s="184">
        <f t="shared" si="2266"/>
        <v>0</v>
      </c>
      <c r="IR335" s="184">
        <f t="shared" si="2266"/>
        <v>0</v>
      </c>
      <c r="IS335" s="184">
        <f t="shared" si="2266"/>
        <v>0</v>
      </c>
      <c r="IT335" s="184">
        <f t="shared" si="2266"/>
        <v>0</v>
      </c>
      <c r="IU335" s="184">
        <f t="shared" si="2266"/>
        <v>0</v>
      </c>
      <c r="IV335" s="184">
        <f t="shared" si="2266"/>
        <v>0</v>
      </c>
    </row>
    <row r="336" spans="1:256" x14ac:dyDescent="0.2">
      <c r="A336" s="186"/>
      <c r="B336" s="187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7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7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7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7"/>
      <c r="AU336" s="187"/>
      <c r="AV336" s="187"/>
      <c r="AW336" s="187"/>
      <c r="AX336" s="187"/>
      <c r="AY336" s="187"/>
      <c r="AZ336" s="187"/>
      <c r="BA336" s="187"/>
      <c r="BB336" s="187"/>
      <c r="BC336" s="187"/>
      <c r="BD336" s="188"/>
      <c r="BE336" s="187"/>
      <c r="BF336" s="188"/>
      <c r="BG336" s="188"/>
      <c r="BH336" s="188"/>
      <c r="BI336" s="188"/>
      <c r="BJ336" s="188"/>
      <c r="BK336" s="188"/>
      <c r="BL336" s="188"/>
      <c r="BM336" s="188"/>
      <c r="BN336" s="188"/>
      <c r="BO336" s="188"/>
      <c r="BP336" s="187"/>
      <c r="BQ336" s="188"/>
      <c r="BR336" s="188"/>
      <c r="BS336" s="188"/>
      <c r="BT336" s="188"/>
      <c r="BU336" s="188"/>
      <c r="BV336" s="188"/>
      <c r="BW336" s="188"/>
      <c r="BX336" s="188"/>
      <c r="BY336" s="188"/>
      <c r="BZ336" s="188"/>
      <c r="CA336" s="187"/>
      <c r="CB336" s="188"/>
      <c r="CC336" s="188"/>
      <c r="CD336" s="188"/>
      <c r="CE336" s="188"/>
      <c r="CF336" s="188"/>
      <c r="CG336" s="188"/>
      <c r="CH336" s="188"/>
      <c r="CI336" s="188"/>
      <c r="CJ336" s="188"/>
      <c r="CK336" s="188"/>
      <c r="CL336" s="187"/>
      <c r="CM336" s="187"/>
      <c r="CN336" s="187"/>
      <c r="CO336" s="187"/>
      <c r="CP336" s="187"/>
      <c r="CQ336" s="187"/>
      <c r="CR336" s="187"/>
      <c r="CS336" s="187"/>
      <c r="CT336" s="187"/>
      <c r="CU336" s="187"/>
      <c r="CV336" s="188"/>
      <c r="CW336" s="187"/>
      <c r="CX336" s="188"/>
      <c r="CY336" s="188"/>
      <c r="CZ336" s="188"/>
      <c r="DA336" s="188"/>
      <c r="DB336" s="188"/>
      <c r="DC336" s="188"/>
      <c r="DD336" s="188"/>
      <c r="DE336" s="188"/>
      <c r="DF336" s="188"/>
      <c r="DG336" s="188"/>
      <c r="DH336" s="187"/>
      <c r="DI336" s="188"/>
      <c r="DJ336" s="188"/>
      <c r="DK336" s="188"/>
      <c r="DL336" s="188"/>
      <c r="DM336" s="188"/>
      <c r="DN336" s="188"/>
      <c r="DO336" s="188"/>
      <c r="DP336" s="188"/>
      <c r="DQ336" s="188"/>
      <c r="DR336" s="188"/>
      <c r="DS336" s="187"/>
      <c r="DT336" s="188"/>
      <c r="DU336" s="188"/>
      <c r="DV336" s="188"/>
      <c r="DW336" s="188"/>
      <c r="DX336" s="188"/>
      <c r="DY336" s="188"/>
      <c r="DZ336" s="188"/>
      <c r="EA336" s="188"/>
      <c r="EB336" s="188"/>
      <c r="EC336" s="188"/>
      <c r="ED336" s="187"/>
      <c r="EE336" s="187"/>
      <c r="EF336" s="187"/>
      <c r="EG336" s="187"/>
      <c r="EH336" s="187"/>
      <c r="EI336" s="187"/>
      <c r="EJ336" s="187"/>
      <c r="EK336" s="187"/>
      <c r="EL336" s="187"/>
      <c r="EM336" s="187"/>
      <c r="EN336" s="188"/>
      <c r="EO336" s="187"/>
      <c r="EP336" s="188"/>
      <c r="EQ336" s="188"/>
      <c r="ER336" s="188"/>
      <c r="ES336" s="188"/>
      <c r="ET336" s="188"/>
      <c r="EU336" s="188"/>
      <c r="EV336" s="188"/>
      <c r="EW336" s="188"/>
      <c r="EX336" s="188"/>
      <c r="EY336" s="188"/>
      <c r="EZ336" s="187"/>
      <c r="FA336" s="188"/>
      <c r="FB336" s="188"/>
      <c r="FC336" s="188"/>
      <c r="FD336" s="188"/>
      <c r="FE336" s="188"/>
      <c r="FF336" s="188"/>
      <c r="FG336" s="188"/>
      <c r="FH336" s="188"/>
      <c r="FI336" s="188"/>
      <c r="FJ336" s="188"/>
      <c r="FK336" s="187"/>
      <c r="FL336" s="188"/>
      <c r="FM336" s="188"/>
      <c r="FN336" s="188"/>
      <c r="FO336" s="188"/>
      <c r="FP336" s="188"/>
      <c r="FQ336" s="188"/>
      <c r="FR336" s="188"/>
      <c r="FS336" s="188"/>
      <c r="FT336" s="188"/>
      <c r="FU336" s="188"/>
      <c r="FV336" s="187"/>
      <c r="FW336" s="187"/>
      <c r="FX336" s="187"/>
      <c r="FY336" s="187"/>
      <c r="FZ336" s="187"/>
      <c r="GA336" s="187"/>
      <c r="GB336" s="187"/>
      <c r="GC336" s="187"/>
      <c r="GD336" s="187"/>
      <c r="GE336" s="187"/>
      <c r="GF336" s="188"/>
      <c r="GG336" s="187"/>
      <c r="GH336" s="188"/>
      <c r="GI336" s="188"/>
      <c r="GJ336" s="188"/>
      <c r="GK336" s="188"/>
      <c r="GL336" s="188"/>
      <c r="GM336" s="188"/>
      <c r="GN336" s="188"/>
      <c r="GO336" s="188"/>
      <c r="GP336" s="188"/>
      <c r="GQ336" s="188"/>
      <c r="GR336" s="188"/>
      <c r="GS336" s="188"/>
      <c r="GT336" s="188"/>
      <c r="GU336" s="188"/>
      <c r="GV336" s="188"/>
      <c r="GW336" s="188"/>
      <c r="GX336" s="188"/>
      <c r="GY336" s="188"/>
      <c r="GZ336" s="188"/>
      <c r="HA336" s="188"/>
      <c r="HB336" s="188"/>
      <c r="HC336" s="188"/>
      <c r="HD336" s="188"/>
      <c r="HE336" s="188"/>
      <c r="HF336" s="188"/>
      <c r="HG336" s="188"/>
      <c r="HH336" s="188"/>
      <c r="HI336" s="188"/>
      <c r="HJ336" s="188"/>
      <c r="HK336" s="188"/>
      <c r="HL336" s="188"/>
      <c r="HM336" s="188"/>
      <c r="HN336" s="188"/>
      <c r="HO336" s="188"/>
      <c r="HP336" s="188"/>
      <c r="HQ336" s="188"/>
      <c r="HR336" s="188"/>
      <c r="HS336" s="188"/>
      <c r="HT336" s="188"/>
      <c r="HU336" s="188"/>
      <c r="HV336" s="188"/>
      <c r="HW336" s="188"/>
      <c r="HX336" s="188"/>
      <c r="HY336" s="188"/>
      <c r="HZ336" s="188"/>
      <c r="IA336" s="188"/>
      <c r="IB336" s="188"/>
      <c r="IC336" s="188"/>
      <c r="ID336" s="188"/>
      <c r="IE336" s="188"/>
      <c r="IF336" s="188"/>
      <c r="IG336" s="188"/>
      <c r="IH336" s="188"/>
      <c r="II336" s="188"/>
      <c r="IJ336" s="188"/>
      <c r="IK336" s="188"/>
      <c r="IL336" s="188"/>
      <c r="IM336" s="188"/>
      <c r="IN336" s="188"/>
      <c r="IO336" s="188"/>
      <c r="IP336" s="188"/>
      <c r="IQ336" s="188"/>
      <c r="IR336" s="188"/>
      <c r="IS336" s="188"/>
      <c r="IT336" s="188"/>
      <c r="IU336" s="188"/>
      <c r="IV336" s="188"/>
    </row>
    <row r="337" spans="1:256" s="189" customFormat="1" ht="14.1" customHeight="1" x14ac:dyDescent="0.2">
      <c r="A337" s="190" t="s">
        <v>267</v>
      </c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  <c r="AL337" s="191"/>
      <c r="AM337" s="191"/>
      <c r="AN337" s="191"/>
      <c r="AO337" s="191"/>
      <c r="AP337" s="191"/>
      <c r="AQ337" s="191"/>
      <c r="AR337" s="191"/>
      <c r="AS337" s="191"/>
      <c r="AT337" s="192"/>
      <c r="AU337" s="192"/>
      <c r="AV337" s="192"/>
      <c r="AW337" s="192"/>
      <c r="AX337" s="192"/>
      <c r="AY337" s="192"/>
      <c r="AZ337" s="192"/>
      <c r="BA337" s="192"/>
      <c r="BB337" s="192"/>
      <c r="BC337" s="192"/>
      <c r="BD337" s="191"/>
      <c r="BE337" s="191"/>
      <c r="BF337" s="191"/>
      <c r="BG337" s="191"/>
      <c r="BH337" s="191"/>
      <c r="BI337" s="191"/>
      <c r="BJ337" s="191"/>
      <c r="BK337" s="191"/>
      <c r="BL337" s="191"/>
      <c r="BM337" s="191"/>
      <c r="BN337" s="191"/>
      <c r="BO337" s="191"/>
      <c r="BP337" s="191"/>
      <c r="BQ337" s="191"/>
      <c r="BR337" s="191"/>
      <c r="BS337" s="191"/>
      <c r="BT337" s="191"/>
      <c r="BU337" s="191"/>
      <c r="BV337" s="191"/>
      <c r="BW337" s="191"/>
      <c r="BX337" s="191"/>
      <c r="BY337" s="191"/>
      <c r="BZ337" s="191"/>
      <c r="CA337" s="191"/>
      <c r="CB337" s="191"/>
      <c r="CC337" s="191"/>
      <c r="CD337" s="191"/>
      <c r="CE337" s="191"/>
      <c r="CF337" s="191"/>
      <c r="CG337" s="191"/>
      <c r="CH337" s="191"/>
      <c r="CI337" s="191"/>
      <c r="CJ337" s="191"/>
      <c r="CK337" s="191"/>
      <c r="CL337" s="192"/>
      <c r="CM337" s="192"/>
      <c r="CN337" s="192"/>
      <c r="CO337" s="192"/>
      <c r="CP337" s="192"/>
      <c r="CQ337" s="192"/>
      <c r="CR337" s="192"/>
      <c r="CS337" s="192"/>
      <c r="CT337" s="192"/>
      <c r="CU337" s="192"/>
      <c r="CV337" s="191"/>
      <c r="CW337" s="191"/>
      <c r="CX337" s="191"/>
      <c r="CY337" s="191"/>
      <c r="CZ337" s="191"/>
      <c r="DA337" s="191"/>
      <c r="DB337" s="191"/>
      <c r="DC337" s="191"/>
      <c r="DD337" s="191"/>
      <c r="DE337" s="191"/>
      <c r="DF337" s="191"/>
      <c r="DG337" s="191"/>
      <c r="DH337" s="191"/>
      <c r="DI337" s="191"/>
      <c r="DJ337" s="191"/>
      <c r="DK337" s="191"/>
      <c r="DL337" s="191"/>
      <c r="DM337" s="191"/>
      <c r="DN337" s="191"/>
      <c r="DO337" s="191"/>
      <c r="DP337" s="191"/>
      <c r="DQ337" s="191"/>
      <c r="DR337" s="191"/>
      <c r="DS337" s="191"/>
      <c r="DT337" s="191"/>
      <c r="DU337" s="191"/>
      <c r="DV337" s="191"/>
      <c r="DW337" s="191"/>
      <c r="DX337" s="191"/>
      <c r="DY337" s="191"/>
      <c r="DZ337" s="191"/>
      <c r="EA337" s="191"/>
      <c r="EB337" s="191"/>
      <c r="EC337" s="191"/>
      <c r="ED337" s="192"/>
      <c r="EE337" s="192"/>
      <c r="EF337" s="192"/>
      <c r="EG337" s="192"/>
      <c r="EH337" s="192"/>
      <c r="EI337" s="192"/>
      <c r="EJ337" s="192"/>
      <c r="EK337" s="192"/>
      <c r="EL337" s="192"/>
      <c r="EM337" s="192"/>
      <c r="EN337" s="191"/>
      <c r="EO337" s="191"/>
      <c r="EP337" s="191"/>
      <c r="EQ337" s="191"/>
      <c r="ER337" s="191"/>
      <c r="ES337" s="191"/>
      <c r="ET337" s="191"/>
      <c r="EU337" s="191"/>
      <c r="EV337" s="191"/>
      <c r="EW337" s="191"/>
      <c r="EX337" s="191"/>
      <c r="EY337" s="191"/>
      <c r="EZ337" s="191"/>
      <c r="FA337" s="191"/>
      <c r="FB337" s="191"/>
      <c r="FC337" s="191"/>
      <c r="FD337" s="191"/>
      <c r="FE337" s="191"/>
      <c r="FF337" s="191"/>
      <c r="FG337" s="191"/>
      <c r="FH337" s="191"/>
      <c r="FI337" s="191"/>
      <c r="FJ337" s="191"/>
      <c r="FK337" s="191"/>
      <c r="FL337" s="191"/>
      <c r="FM337" s="191"/>
      <c r="FN337" s="191"/>
      <c r="FO337" s="191"/>
      <c r="FP337" s="191"/>
      <c r="FQ337" s="191"/>
      <c r="FR337" s="191"/>
      <c r="FS337" s="191"/>
      <c r="FT337" s="191"/>
      <c r="FU337" s="191"/>
      <c r="FV337" s="192"/>
      <c r="FW337" s="192"/>
      <c r="FX337" s="192"/>
      <c r="FY337" s="192"/>
      <c r="FZ337" s="192"/>
      <c r="GA337" s="192"/>
      <c r="GB337" s="192"/>
      <c r="GC337" s="192"/>
      <c r="GD337" s="192"/>
      <c r="GE337" s="192"/>
      <c r="GF337" s="191"/>
      <c r="GG337" s="191"/>
      <c r="GH337" s="191"/>
      <c r="GI337" s="191"/>
      <c r="GJ337" s="191"/>
      <c r="GK337" s="191"/>
      <c r="GL337" s="191"/>
      <c r="GM337" s="191"/>
      <c r="GN337" s="191"/>
      <c r="GO337" s="191"/>
      <c r="GP337" s="191"/>
      <c r="GQ337" s="191"/>
      <c r="GR337" s="191"/>
      <c r="GS337" s="191"/>
      <c r="GT337" s="191"/>
      <c r="GU337" s="191"/>
      <c r="GV337" s="191"/>
      <c r="GW337" s="191"/>
      <c r="GX337" s="191"/>
      <c r="GY337" s="191"/>
      <c r="GZ337" s="191"/>
      <c r="HA337" s="771" t="s">
        <v>301</v>
      </c>
      <c r="HB337" s="771"/>
      <c r="HC337" s="771"/>
      <c r="HD337" s="191"/>
      <c r="HE337" s="191"/>
      <c r="HF337" s="191"/>
      <c r="HG337" s="191"/>
      <c r="HH337" s="191"/>
      <c r="HI337" s="191"/>
      <c r="HJ337" s="191"/>
      <c r="HK337" s="191"/>
      <c r="HL337" s="191"/>
      <c r="HM337" s="191"/>
      <c r="HN337" s="191"/>
      <c r="HO337" s="191"/>
      <c r="HP337" s="191"/>
      <c r="HQ337" s="191"/>
      <c r="HR337" s="191"/>
      <c r="HS337" s="191"/>
      <c r="HT337" s="191"/>
      <c r="HU337" s="771" t="s">
        <v>301</v>
      </c>
      <c r="HV337" s="771"/>
      <c r="HW337" s="771"/>
      <c r="HX337" s="191"/>
      <c r="HY337" s="191"/>
      <c r="HZ337" s="191"/>
      <c r="IA337" s="191"/>
      <c r="IB337" s="191"/>
      <c r="IC337" s="191"/>
      <c r="ID337" s="191"/>
      <c r="IE337" s="191"/>
      <c r="IF337" s="191"/>
      <c r="IG337" s="191"/>
      <c r="IH337" s="191"/>
      <c r="II337" s="191"/>
      <c r="IJ337" s="191"/>
      <c r="IK337" s="191"/>
      <c r="IL337" s="191"/>
      <c r="IM337" s="191"/>
      <c r="IN337" s="191"/>
      <c r="IO337" s="771" t="s">
        <v>301</v>
      </c>
      <c r="IP337" s="771"/>
      <c r="IQ337" s="771"/>
      <c r="IR337" s="191"/>
      <c r="IS337" s="191"/>
      <c r="IT337" s="191"/>
      <c r="IU337" s="191"/>
      <c r="IV337" s="766"/>
    </row>
    <row r="338" spans="1:256" s="189" customFormat="1" x14ac:dyDescent="0.2">
      <c r="A338" s="190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  <c r="AL338" s="191"/>
      <c r="AM338" s="191"/>
      <c r="AN338" s="191"/>
      <c r="AO338" s="191"/>
      <c r="AP338" s="191"/>
      <c r="AQ338" s="191"/>
      <c r="AR338" s="191"/>
      <c r="AS338" s="191"/>
      <c r="AT338" s="192"/>
      <c r="AU338" s="192"/>
      <c r="AV338" s="192"/>
      <c r="AW338" s="192"/>
      <c r="AX338" s="192"/>
      <c r="AY338" s="192"/>
      <c r="AZ338" s="192"/>
      <c r="BA338" s="192"/>
      <c r="BB338" s="192"/>
      <c r="BC338" s="192"/>
      <c r="BD338" s="191"/>
      <c r="BE338" s="191"/>
      <c r="BF338" s="191"/>
      <c r="BG338" s="191"/>
      <c r="BH338" s="191"/>
      <c r="BI338" s="191"/>
      <c r="BJ338" s="191"/>
      <c r="BK338" s="191"/>
      <c r="BL338" s="191"/>
      <c r="BM338" s="191"/>
      <c r="BN338" s="191"/>
      <c r="BO338" s="191"/>
      <c r="BP338" s="191"/>
      <c r="BQ338" s="191"/>
      <c r="BR338" s="191"/>
      <c r="BS338" s="191"/>
      <c r="BT338" s="191"/>
      <c r="BU338" s="191"/>
      <c r="BV338" s="191"/>
      <c r="BW338" s="191"/>
      <c r="BX338" s="191"/>
      <c r="BY338" s="191"/>
      <c r="BZ338" s="191"/>
      <c r="CA338" s="191"/>
      <c r="CB338" s="191"/>
      <c r="CC338" s="191"/>
      <c r="CD338" s="191"/>
      <c r="CE338" s="191"/>
      <c r="CF338" s="191"/>
      <c r="CG338" s="191"/>
      <c r="CH338" s="191"/>
      <c r="CI338" s="191"/>
      <c r="CJ338" s="191"/>
      <c r="CK338" s="191"/>
      <c r="CL338" s="192"/>
      <c r="CM338" s="192"/>
      <c r="CN338" s="192"/>
      <c r="CO338" s="192"/>
      <c r="CP338" s="192"/>
      <c r="CQ338" s="192"/>
      <c r="CR338" s="192"/>
      <c r="CS338" s="192"/>
      <c r="CT338" s="192"/>
      <c r="CU338" s="192"/>
      <c r="CV338" s="191"/>
      <c r="CW338" s="191"/>
      <c r="CX338" s="191"/>
      <c r="CY338" s="191"/>
      <c r="CZ338" s="191"/>
      <c r="DA338" s="191"/>
      <c r="DB338" s="191"/>
      <c r="DC338" s="191"/>
      <c r="DD338" s="191"/>
      <c r="DE338" s="191"/>
      <c r="DF338" s="191"/>
      <c r="DG338" s="191"/>
      <c r="DH338" s="191"/>
      <c r="DI338" s="191"/>
      <c r="DJ338" s="191"/>
      <c r="DK338" s="191"/>
      <c r="DL338" s="191"/>
      <c r="DM338" s="191"/>
      <c r="DN338" s="191"/>
      <c r="DO338" s="191"/>
      <c r="DP338" s="191"/>
      <c r="DQ338" s="191"/>
      <c r="DR338" s="191"/>
      <c r="DS338" s="191"/>
      <c r="DT338" s="191"/>
      <c r="DU338" s="191"/>
      <c r="DV338" s="191"/>
      <c r="DW338" s="191"/>
      <c r="DX338" s="191"/>
      <c r="DY338" s="191"/>
      <c r="DZ338" s="191"/>
      <c r="EA338" s="191"/>
      <c r="EB338" s="191"/>
      <c r="EC338" s="191"/>
      <c r="ED338" s="192"/>
      <c r="EE338" s="192"/>
      <c r="EF338" s="192"/>
      <c r="EG338" s="192"/>
      <c r="EH338" s="192"/>
      <c r="EI338" s="192"/>
      <c r="EJ338" s="192"/>
      <c r="EK338" s="192"/>
      <c r="EL338" s="192"/>
      <c r="EM338" s="192"/>
      <c r="EN338" s="191"/>
      <c r="EO338" s="191"/>
      <c r="EP338" s="191"/>
      <c r="EQ338" s="191"/>
      <c r="ER338" s="191"/>
      <c r="ES338" s="191"/>
      <c r="ET338" s="191"/>
      <c r="EU338" s="191"/>
      <c r="EV338" s="191"/>
      <c r="EW338" s="191"/>
      <c r="EX338" s="191"/>
      <c r="EY338" s="191"/>
      <c r="EZ338" s="191"/>
      <c r="FA338" s="191"/>
      <c r="FB338" s="191"/>
      <c r="FC338" s="191"/>
      <c r="FD338" s="191"/>
      <c r="FE338" s="191"/>
      <c r="FF338" s="191"/>
      <c r="FG338" s="191"/>
      <c r="FH338" s="191"/>
      <c r="FI338" s="191"/>
      <c r="FJ338" s="191"/>
      <c r="FK338" s="191"/>
      <c r="FL338" s="191"/>
      <c r="FM338" s="191"/>
      <c r="FN338" s="191"/>
      <c r="FO338" s="191"/>
      <c r="FP338" s="191"/>
      <c r="FQ338" s="191"/>
      <c r="FR338" s="191"/>
      <c r="FS338" s="191"/>
      <c r="FT338" s="191"/>
      <c r="FU338" s="191"/>
      <c r="FV338" s="192"/>
      <c r="FW338" s="192"/>
      <c r="FX338" s="192"/>
      <c r="FY338" s="192"/>
      <c r="FZ338" s="192"/>
      <c r="GA338" s="192"/>
      <c r="GB338" s="192"/>
      <c r="GC338" s="192"/>
      <c r="GD338" s="192"/>
      <c r="GE338" s="192"/>
      <c r="GF338" s="191"/>
      <c r="GG338" s="191"/>
      <c r="GH338" s="191"/>
      <c r="GI338" s="191"/>
      <c r="GJ338" s="191"/>
      <c r="GK338" s="191"/>
      <c r="GL338" s="191"/>
      <c r="GM338" s="191"/>
      <c r="GN338" s="191"/>
      <c r="GO338" s="191"/>
      <c r="GP338" s="191"/>
      <c r="GQ338" s="191"/>
      <c r="GR338" s="191"/>
      <c r="GS338" s="191"/>
      <c r="GT338" s="191"/>
      <c r="GU338" s="191"/>
      <c r="GV338" s="191"/>
      <c r="GW338" s="191"/>
      <c r="GX338" s="191"/>
      <c r="GY338" s="191"/>
      <c r="GZ338" s="191"/>
      <c r="HA338" s="191"/>
      <c r="HB338" s="191"/>
      <c r="HC338" s="191"/>
      <c r="HD338" s="191"/>
      <c r="HE338" s="193"/>
      <c r="HF338" s="191"/>
      <c r="HG338" s="191"/>
      <c r="HH338" s="191"/>
      <c r="HI338" s="191"/>
      <c r="HJ338" s="193"/>
      <c r="HK338" s="191"/>
      <c r="HL338" s="191"/>
      <c r="HM338" s="191"/>
      <c r="HN338" s="191"/>
      <c r="HO338" s="191"/>
      <c r="HP338" s="191"/>
      <c r="HQ338" s="191"/>
      <c r="HR338" s="191"/>
      <c r="HS338" s="191"/>
      <c r="HT338" s="191"/>
      <c r="HU338" s="191"/>
      <c r="HV338" s="191"/>
      <c r="HW338" s="191"/>
      <c r="HX338" s="191"/>
      <c r="HY338" s="193"/>
      <c r="HZ338" s="191"/>
      <c r="IA338" s="191"/>
      <c r="IB338" s="191"/>
      <c r="IC338" s="191"/>
      <c r="ID338" s="193"/>
      <c r="IE338" s="191"/>
      <c r="IF338" s="191"/>
      <c r="IG338" s="191"/>
      <c r="IH338" s="191"/>
      <c r="II338" s="191"/>
      <c r="IJ338" s="191"/>
      <c r="IK338" s="191"/>
      <c r="IL338" s="191"/>
      <c r="IM338" s="191"/>
      <c r="IN338" s="191"/>
      <c r="IO338" s="191"/>
      <c r="IP338" s="191"/>
      <c r="IQ338" s="191"/>
      <c r="IR338" s="191"/>
      <c r="IS338" s="193"/>
      <c r="IT338" s="191"/>
      <c r="IU338" s="191"/>
      <c r="IV338" s="191"/>
    </row>
    <row r="339" spans="1:256" s="189" customFormat="1" x14ac:dyDescent="0.2">
      <c r="A339" s="190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  <c r="AL339" s="191"/>
      <c r="AM339" s="191"/>
      <c r="AN339" s="191"/>
      <c r="AO339" s="191"/>
      <c r="AP339" s="191"/>
      <c r="AQ339" s="191"/>
      <c r="AR339" s="191"/>
      <c r="AS339" s="191"/>
      <c r="AT339" s="192"/>
      <c r="AU339" s="192"/>
      <c r="AV339" s="192"/>
      <c r="AW339" s="192"/>
      <c r="AX339" s="192"/>
      <c r="AY339" s="192"/>
      <c r="AZ339" s="192"/>
      <c r="BA339" s="192"/>
      <c r="BB339" s="192"/>
      <c r="BC339" s="192"/>
      <c r="BD339" s="191"/>
      <c r="BE339" s="191"/>
      <c r="BF339" s="191"/>
      <c r="BG339" s="191"/>
      <c r="BH339" s="191"/>
      <c r="BI339" s="191"/>
      <c r="BJ339" s="191"/>
      <c r="BK339" s="191"/>
      <c r="BL339" s="191"/>
      <c r="BM339" s="191"/>
      <c r="BN339" s="191"/>
      <c r="BO339" s="191"/>
      <c r="BP339" s="191"/>
      <c r="BQ339" s="191"/>
      <c r="BR339" s="191"/>
      <c r="BS339" s="191"/>
      <c r="BT339" s="191"/>
      <c r="BU339" s="191"/>
      <c r="BV339" s="191"/>
      <c r="BW339" s="191"/>
      <c r="BX339" s="191"/>
      <c r="BY339" s="191"/>
      <c r="BZ339" s="191"/>
      <c r="CA339" s="191"/>
      <c r="CB339" s="191"/>
      <c r="CC339" s="191"/>
      <c r="CD339" s="191"/>
      <c r="CE339" s="191"/>
      <c r="CF339" s="191"/>
      <c r="CG339" s="191"/>
      <c r="CH339" s="191"/>
      <c r="CI339" s="191"/>
      <c r="CJ339" s="191"/>
      <c r="CK339" s="191"/>
      <c r="CL339" s="192"/>
      <c r="CM339" s="192"/>
      <c r="CN339" s="192"/>
      <c r="CO339" s="192"/>
      <c r="CP339" s="192"/>
      <c r="CQ339" s="192"/>
      <c r="CR339" s="192"/>
      <c r="CS339" s="192"/>
      <c r="CT339" s="192"/>
      <c r="CU339" s="192"/>
      <c r="CV339" s="191"/>
      <c r="CW339" s="191"/>
      <c r="CX339" s="191"/>
      <c r="CY339" s="191"/>
      <c r="CZ339" s="191"/>
      <c r="DA339" s="191"/>
      <c r="DB339" s="191"/>
      <c r="DC339" s="191"/>
      <c r="DD339" s="191"/>
      <c r="DE339" s="191"/>
      <c r="DF339" s="191"/>
      <c r="DG339" s="191"/>
      <c r="DH339" s="191"/>
      <c r="DI339" s="191"/>
      <c r="DJ339" s="191"/>
      <c r="DK339" s="191"/>
      <c r="DL339" s="191"/>
      <c r="DM339" s="191"/>
      <c r="DN339" s="191"/>
      <c r="DO339" s="191"/>
      <c r="DP339" s="191"/>
      <c r="DQ339" s="191"/>
      <c r="DR339" s="191"/>
      <c r="DS339" s="191"/>
      <c r="DT339" s="191"/>
      <c r="DU339" s="191"/>
      <c r="DV339" s="191"/>
      <c r="DW339" s="191"/>
      <c r="DX339" s="191"/>
      <c r="DY339" s="191"/>
      <c r="DZ339" s="191"/>
      <c r="EA339" s="191"/>
      <c r="EB339" s="191"/>
      <c r="EC339" s="191"/>
      <c r="ED339" s="192"/>
      <c r="EE339" s="192"/>
      <c r="EF339" s="192"/>
      <c r="EG339" s="192"/>
      <c r="EH339" s="192"/>
      <c r="EI339" s="192"/>
      <c r="EJ339" s="192"/>
      <c r="EK339" s="192"/>
      <c r="EL339" s="192"/>
      <c r="EM339" s="192"/>
      <c r="EN339" s="191"/>
      <c r="EO339" s="191"/>
      <c r="EP339" s="191"/>
      <c r="EQ339" s="191"/>
      <c r="ER339" s="191"/>
      <c r="ES339" s="191"/>
      <c r="ET339" s="191"/>
      <c r="EU339" s="191"/>
      <c r="EV339" s="191"/>
      <c r="EW339" s="191"/>
      <c r="EX339" s="191"/>
      <c r="EY339" s="191"/>
      <c r="EZ339" s="191"/>
      <c r="FA339" s="191"/>
      <c r="FB339" s="191"/>
      <c r="FC339" s="191"/>
      <c r="FD339" s="191"/>
      <c r="FE339" s="191"/>
      <c r="FF339" s="191"/>
      <c r="FG339" s="191"/>
      <c r="FH339" s="191"/>
      <c r="FI339" s="191"/>
      <c r="FJ339" s="191"/>
      <c r="FK339" s="191"/>
      <c r="FL339" s="191"/>
      <c r="FM339" s="191"/>
      <c r="FN339" s="191"/>
      <c r="FO339" s="191"/>
      <c r="FP339" s="191"/>
      <c r="FQ339" s="191"/>
      <c r="FR339" s="191"/>
      <c r="FS339" s="191"/>
      <c r="FT339" s="191"/>
      <c r="FU339" s="191"/>
      <c r="FV339" s="192"/>
      <c r="FW339" s="192"/>
      <c r="FX339" s="192"/>
      <c r="FY339" s="192"/>
      <c r="FZ339" s="192"/>
      <c r="GA339" s="192"/>
      <c r="GB339" s="192"/>
      <c r="GC339" s="192"/>
      <c r="GD339" s="192"/>
      <c r="GE339" s="192"/>
      <c r="GF339" s="191"/>
      <c r="GG339" s="191"/>
      <c r="GH339" s="191"/>
      <c r="GI339" s="191"/>
      <c r="GJ339" s="191"/>
      <c r="GK339" s="191"/>
      <c r="GL339" s="191"/>
      <c r="GM339" s="191"/>
      <c r="GN339" s="191"/>
      <c r="GO339" s="191"/>
      <c r="GP339" s="191"/>
      <c r="GQ339" s="191"/>
      <c r="GR339" s="191"/>
      <c r="GS339" s="191"/>
      <c r="GT339" s="191"/>
      <c r="GU339" s="191"/>
      <c r="GV339" s="191"/>
      <c r="GW339" s="191"/>
      <c r="GX339" s="191"/>
      <c r="GY339" s="191"/>
      <c r="GZ339" s="191"/>
      <c r="HA339" s="191"/>
      <c r="HB339" s="191"/>
      <c r="HC339" s="191"/>
      <c r="HD339" s="191"/>
      <c r="HE339" s="193"/>
      <c r="HF339" s="191"/>
      <c r="HG339" s="191"/>
      <c r="HH339" s="191"/>
      <c r="HI339" s="191"/>
      <c r="HJ339" s="193"/>
      <c r="HK339" s="191"/>
      <c r="HL339" s="191"/>
      <c r="HM339" s="191"/>
      <c r="HN339" s="191"/>
      <c r="HO339" s="191"/>
      <c r="HP339" s="191"/>
      <c r="HQ339" s="191"/>
      <c r="HR339" s="191"/>
      <c r="HS339" s="191"/>
      <c r="HT339" s="191"/>
      <c r="HU339" s="191"/>
      <c r="HV339" s="191"/>
      <c r="HW339" s="191"/>
      <c r="HX339" s="191"/>
      <c r="HY339" s="193"/>
      <c r="HZ339" s="191"/>
      <c r="IA339" s="191"/>
      <c r="IB339" s="191"/>
      <c r="IC339" s="191"/>
      <c r="ID339" s="193"/>
      <c r="IE339" s="191"/>
      <c r="IF339" s="191"/>
      <c r="IG339" s="191"/>
      <c r="IH339" s="191"/>
      <c r="II339" s="191"/>
      <c r="IJ339" s="191"/>
      <c r="IK339" s="191"/>
      <c r="IL339" s="191"/>
      <c r="IM339" s="191"/>
      <c r="IN339" s="191"/>
      <c r="IO339" s="191"/>
      <c r="IP339" s="191"/>
      <c r="IQ339" s="191"/>
      <c r="IR339" s="191"/>
      <c r="IS339" s="193"/>
      <c r="IT339" s="191"/>
      <c r="IU339" s="191"/>
      <c r="IV339" s="191"/>
    </row>
    <row r="340" spans="1:256" s="189" customFormat="1" x14ac:dyDescent="0.2">
      <c r="A340" s="190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  <c r="AL340" s="191"/>
      <c r="AM340" s="191"/>
      <c r="AN340" s="191"/>
      <c r="AO340" s="191"/>
      <c r="AP340" s="191"/>
      <c r="AQ340" s="191"/>
      <c r="AR340" s="191"/>
      <c r="AS340" s="191"/>
      <c r="AT340" s="192"/>
      <c r="AU340" s="192"/>
      <c r="AV340" s="192"/>
      <c r="AW340" s="192"/>
      <c r="AX340" s="192"/>
      <c r="AY340" s="192"/>
      <c r="AZ340" s="192"/>
      <c r="BA340" s="192"/>
      <c r="BB340" s="192"/>
      <c r="BC340" s="192"/>
      <c r="BD340" s="191"/>
      <c r="BE340" s="191"/>
      <c r="BF340" s="191"/>
      <c r="BG340" s="191"/>
      <c r="BH340" s="191"/>
      <c r="BI340" s="191"/>
      <c r="BJ340" s="191"/>
      <c r="BK340" s="191"/>
      <c r="BL340" s="191"/>
      <c r="BM340" s="191"/>
      <c r="BN340" s="191"/>
      <c r="BO340" s="191"/>
      <c r="BP340" s="191"/>
      <c r="BQ340" s="191"/>
      <c r="BR340" s="191"/>
      <c r="BS340" s="191"/>
      <c r="BT340" s="191"/>
      <c r="BU340" s="191"/>
      <c r="BV340" s="191"/>
      <c r="BW340" s="191"/>
      <c r="BX340" s="191"/>
      <c r="BY340" s="191"/>
      <c r="BZ340" s="191"/>
      <c r="CA340" s="191"/>
      <c r="CB340" s="191"/>
      <c r="CC340" s="191"/>
      <c r="CD340" s="191"/>
      <c r="CE340" s="191"/>
      <c r="CF340" s="191"/>
      <c r="CG340" s="191"/>
      <c r="CH340" s="191"/>
      <c r="CI340" s="191"/>
      <c r="CJ340" s="191"/>
      <c r="CK340" s="191"/>
      <c r="CL340" s="192"/>
      <c r="CM340" s="192"/>
      <c r="CN340" s="192"/>
      <c r="CO340" s="192"/>
      <c r="CP340" s="192"/>
      <c r="CQ340" s="192"/>
      <c r="CR340" s="192"/>
      <c r="CS340" s="192"/>
      <c r="CT340" s="192"/>
      <c r="CU340" s="192"/>
      <c r="CV340" s="191"/>
      <c r="CW340" s="191"/>
      <c r="CX340" s="191"/>
      <c r="CY340" s="191"/>
      <c r="CZ340" s="191"/>
      <c r="DA340" s="191"/>
      <c r="DB340" s="191"/>
      <c r="DC340" s="191"/>
      <c r="DD340" s="191"/>
      <c r="DE340" s="191"/>
      <c r="DF340" s="191"/>
      <c r="DG340" s="191"/>
      <c r="DH340" s="191"/>
      <c r="DI340" s="191"/>
      <c r="DJ340" s="191"/>
      <c r="DK340" s="191"/>
      <c r="DL340" s="191"/>
      <c r="DM340" s="191"/>
      <c r="DN340" s="191"/>
      <c r="DO340" s="191"/>
      <c r="DP340" s="191"/>
      <c r="DQ340" s="191"/>
      <c r="DR340" s="191"/>
      <c r="DS340" s="191"/>
      <c r="DT340" s="191"/>
      <c r="DU340" s="191"/>
      <c r="DV340" s="191"/>
      <c r="DW340" s="191"/>
      <c r="DX340" s="191"/>
      <c r="DY340" s="191"/>
      <c r="DZ340" s="191"/>
      <c r="EA340" s="191"/>
      <c r="EB340" s="191"/>
      <c r="EC340" s="191"/>
      <c r="ED340" s="192"/>
      <c r="EE340" s="192"/>
      <c r="EF340" s="192"/>
      <c r="EG340" s="192"/>
      <c r="EH340" s="192"/>
      <c r="EI340" s="192"/>
      <c r="EJ340" s="192"/>
      <c r="EK340" s="192"/>
      <c r="EL340" s="192"/>
      <c r="EM340" s="192"/>
      <c r="EN340" s="191"/>
      <c r="EO340" s="191"/>
      <c r="EP340" s="191"/>
      <c r="EQ340" s="191"/>
      <c r="ER340" s="191"/>
      <c r="ES340" s="191"/>
      <c r="ET340" s="191"/>
      <c r="EU340" s="191"/>
      <c r="EV340" s="191"/>
      <c r="EW340" s="191"/>
      <c r="EX340" s="191"/>
      <c r="EY340" s="191"/>
      <c r="EZ340" s="191"/>
      <c r="FA340" s="191"/>
      <c r="FB340" s="191"/>
      <c r="FC340" s="191"/>
      <c r="FD340" s="191"/>
      <c r="FE340" s="191"/>
      <c r="FF340" s="191"/>
      <c r="FG340" s="191"/>
      <c r="FH340" s="191"/>
      <c r="FI340" s="191"/>
      <c r="FJ340" s="191"/>
      <c r="FK340" s="191"/>
      <c r="FL340" s="191"/>
      <c r="FM340" s="191"/>
      <c r="FN340" s="191"/>
      <c r="FO340" s="191"/>
      <c r="FP340" s="191"/>
      <c r="FQ340" s="191"/>
      <c r="FR340" s="191"/>
      <c r="FS340" s="191"/>
      <c r="FT340" s="191"/>
      <c r="FU340" s="191"/>
      <c r="FV340" s="192"/>
      <c r="FW340" s="192"/>
      <c r="FX340" s="192"/>
      <c r="FY340" s="192"/>
      <c r="FZ340" s="192"/>
      <c r="GA340" s="192"/>
      <c r="GB340" s="192"/>
      <c r="GC340" s="192"/>
      <c r="GD340" s="192"/>
      <c r="GE340" s="192"/>
      <c r="GF340" s="191"/>
      <c r="GG340" s="191"/>
      <c r="GH340" s="191"/>
      <c r="GI340" s="191"/>
      <c r="GJ340" s="191"/>
      <c r="GK340" s="191"/>
      <c r="GL340" s="191"/>
      <c r="GM340" s="191"/>
      <c r="GN340" s="191"/>
      <c r="GO340" s="191"/>
      <c r="GP340" s="191"/>
      <c r="GQ340" s="191"/>
      <c r="GR340" s="191"/>
      <c r="GS340" s="191"/>
      <c r="GT340" s="191"/>
      <c r="GU340" s="191"/>
      <c r="GV340" s="191"/>
      <c r="GW340" s="191"/>
      <c r="GX340" s="191"/>
      <c r="GY340" s="191"/>
      <c r="GZ340" s="191"/>
      <c r="HA340" s="191"/>
      <c r="HB340" s="191"/>
      <c r="HC340" s="191"/>
      <c r="HD340" s="191"/>
      <c r="HE340" s="193"/>
      <c r="HF340" s="191"/>
      <c r="HG340" s="191"/>
      <c r="HH340" s="191"/>
      <c r="HI340" s="191"/>
      <c r="HJ340" s="193"/>
      <c r="HK340" s="191"/>
      <c r="HL340" s="191"/>
      <c r="HM340" s="191"/>
      <c r="HN340" s="191"/>
      <c r="HO340" s="191"/>
      <c r="HP340" s="191"/>
      <c r="HQ340" s="191"/>
      <c r="HR340" s="191"/>
      <c r="HS340" s="191"/>
      <c r="HT340" s="191"/>
      <c r="HU340" s="191"/>
      <c r="HV340" s="191"/>
      <c r="HW340" s="191"/>
      <c r="HX340" s="191"/>
      <c r="HY340" s="193"/>
      <c r="HZ340" s="191"/>
      <c r="IA340" s="191"/>
      <c r="IB340" s="191"/>
      <c r="IC340" s="191"/>
      <c r="ID340" s="193"/>
      <c r="IE340" s="191"/>
      <c r="IF340" s="191"/>
      <c r="IG340" s="191"/>
      <c r="IH340" s="191"/>
      <c r="II340" s="191"/>
      <c r="IJ340" s="191"/>
      <c r="IK340" s="191"/>
      <c r="IL340" s="191"/>
      <c r="IM340" s="191"/>
      <c r="IN340" s="191"/>
      <c r="IO340" s="191"/>
      <c r="IP340" s="191"/>
      <c r="IQ340" s="191"/>
      <c r="IR340" s="191"/>
      <c r="IS340" s="193"/>
      <c r="IT340" s="191"/>
      <c r="IU340" s="191"/>
      <c r="IV340" s="191"/>
    </row>
    <row r="341" spans="1:256" s="189" customFormat="1" x14ac:dyDescent="0.2">
      <c r="A341" s="190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  <c r="AL341" s="191"/>
      <c r="AM341" s="191"/>
      <c r="AN341" s="191"/>
      <c r="AO341" s="191"/>
      <c r="AP341" s="191"/>
      <c r="AQ341" s="191"/>
      <c r="AR341" s="191"/>
      <c r="AS341" s="191"/>
      <c r="AT341" s="192"/>
      <c r="AU341" s="192"/>
      <c r="AV341" s="192"/>
      <c r="AW341" s="192"/>
      <c r="AX341" s="192"/>
      <c r="AY341" s="192"/>
      <c r="AZ341" s="192"/>
      <c r="BA341" s="192"/>
      <c r="BB341" s="192"/>
      <c r="BC341" s="192"/>
      <c r="BD341" s="191"/>
      <c r="BE341" s="191"/>
      <c r="BF341" s="191"/>
      <c r="BG341" s="191"/>
      <c r="BH341" s="191"/>
      <c r="BI341" s="191"/>
      <c r="BJ341" s="191"/>
      <c r="BK341" s="191"/>
      <c r="BL341" s="191"/>
      <c r="BM341" s="191"/>
      <c r="BN341" s="191"/>
      <c r="BO341" s="191"/>
      <c r="BP341" s="191"/>
      <c r="BQ341" s="191"/>
      <c r="BR341" s="191"/>
      <c r="BS341" s="191"/>
      <c r="BT341" s="191"/>
      <c r="BU341" s="191"/>
      <c r="BV341" s="191"/>
      <c r="BW341" s="191"/>
      <c r="BX341" s="191"/>
      <c r="BY341" s="191"/>
      <c r="BZ341" s="191"/>
      <c r="CA341" s="191"/>
      <c r="CB341" s="191"/>
      <c r="CC341" s="191"/>
      <c r="CD341" s="191"/>
      <c r="CE341" s="191"/>
      <c r="CF341" s="191"/>
      <c r="CG341" s="191"/>
      <c r="CH341" s="191"/>
      <c r="CI341" s="191"/>
      <c r="CJ341" s="191"/>
      <c r="CK341" s="191"/>
      <c r="CL341" s="192"/>
      <c r="CM341" s="192"/>
      <c r="CN341" s="192"/>
      <c r="CO341" s="192"/>
      <c r="CP341" s="192"/>
      <c r="CQ341" s="192"/>
      <c r="CR341" s="192"/>
      <c r="CS341" s="192"/>
      <c r="CT341" s="192"/>
      <c r="CU341" s="192"/>
      <c r="CV341" s="191"/>
      <c r="CW341" s="191"/>
      <c r="CX341" s="191"/>
      <c r="CY341" s="191"/>
      <c r="CZ341" s="191"/>
      <c r="DA341" s="191"/>
      <c r="DB341" s="191"/>
      <c r="DC341" s="191"/>
      <c r="DD341" s="191"/>
      <c r="DE341" s="191"/>
      <c r="DF341" s="191"/>
      <c r="DG341" s="191"/>
      <c r="DH341" s="191"/>
      <c r="DI341" s="191"/>
      <c r="DJ341" s="191"/>
      <c r="DK341" s="191"/>
      <c r="DL341" s="191"/>
      <c r="DM341" s="191"/>
      <c r="DN341" s="191"/>
      <c r="DO341" s="191"/>
      <c r="DP341" s="191"/>
      <c r="DQ341" s="191"/>
      <c r="DR341" s="191"/>
      <c r="DS341" s="191"/>
      <c r="DT341" s="191"/>
      <c r="DU341" s="191"/>
      <c r="DV341" s="191"/>
      <c r="DW341" s="191"/>
      <c r="DX341" s="191"/>
      <c r="DY341" s="191"/>
      <c r="DZ341" s="191"/>
      <c r="EA341" s="191"/>
      <c r="EB341" s="191"/>
      <c r="EC341" s="191"/>
      <c r="ED341" s="192"/>
      <c r="EE341" s="192"/>
      <c r="EF341" s="192"/>
      <c r="EG341" s="192"/>
      <c r="EH341" s="192"/>
      <c r="EI341" s="192"/>
      <c r="EJ341" s="192"/>
      <c r="EK341" s="192"/>
      <c r="EL341" s="192"/>
      <c r="EM341" s="192"/>
      <c r="EN341" s="191"/>
      <c r="EO341" s="191"/>
      <c r="EP341" s="191"/>
      <c r="EQ341" s="191"/>
      <c r="ER341" s="191"/>
      <c r="ES341" s="191"/>
      <c r="ET341" s="191"/>
      <c r="EU341" s="191"/>
      <c r="EV341" s="191"/>
      <c r="EW341" s="191"/>
      <c r="EX341" s="191"/>
      <c r="EY341" s="191"/>
      <c r="EZ341" s="191"/>
      <c r="FA341" s="191"/>
      <c r="FB341" s="191"/>
      <c r="FC341" s="191"/>
      <c r="FD341" s="191"/>
      <c r="FE341" s="191"/>
      <c r="FF341" s="191"/>
      <c r="FG341" s="191"/>
      <c r="FH341" s="191"/>
      <c r="FI341" s="191"/>
      <c r="FJ341" s="191"/>
      <c r="FK341" s="191"/>
      <c r="FL341" s="191"/>
      <c r="FM341" s="191"/>
      <c r="FN341" s="191"/>
      <c r="FO341" s="191"/>
      <c r="FP341" s="191"/>
      <c r="FQ341" s="191"/>
      <c r="FR341" s="191"/>
      <c r="FS341" s="191"/>
      <c r="FT341" s="191"/>
      <c r="FU341" s="191"/>
      <c r="FV341" s="192"/>
      <c r="FW341" s="192"/>
      <c r="FX341" s="192"/>
      <c r="FY341" s="192"/>
      <c r="FZ341" s="192"/>
      <c r="GA341" s="192"/>
      <c r="GB341" s="192"/>
      <c r="GC341" s="192"/>
      <c r="GD341" s="192"/>
      <c r="GE341" s="192"/>
      <c r="GF341" s="191"/>
      <c r="GG341" s="191"/>
      <c r="GH341" s="191"/>
      <c r="GI341" s="191"/>
      <c r="GJ341" s="191"/>
      <c r="GK341" s="191"/>
      <c r="GL341" s="191"/>
      <c r="GM341" s="191"/>
      <c r="GN341" s="191"/>
      <c r="GO341" s="191"/>
      <c r="GP341" s="191"/>
      <c r="GQ341" s="191"/>
      <c r="GR341" s="191"/>
      <c r="GS341" s="191"/>
      <c r="GT341" s="191"/>
      <c r="GU341" s="191"/>
      <c r="GV341" s="191"/>
      <c r="GW341" s="191"/>
      <c r="GX341" s="191"/>
      <c r="GY341" s="191"/>
      <c r="GZ341" s="191"/>
      <c r="HA341" s="191"/>
      <c r="HB341" s="191"/>
      <c r="HC341" s="191"/>
      <c r="HD341" s="191"/>
      <c r="HE341" s="191"/>
      <c r="HF341" s="191"/>
      <c r="HG341" s="191"/>
      <c r="HH341" s="191"/>
      <c r="HI341" s="191"/>
      <c r="HJ341" s="191"/>
      <c r="HK341" s="191"/>
      <c r="HL341" s="191"/>
      <c r="HM341" s="191"/>
      <c r="HN341" s="191"/>
      <c r="HO341" s="191"/>
      <c r="HP341" s="191"/>
      <c r="HQ341" s="191"/>
      <c r="HR341" s="191"/>
      <c r="HS341" s="191"/>
      <c r="HT341" s="191"/>
      <c r="HU341" s="191"/>
      <c r="HV341" s="191"/>
      <c r="HW341" s="191"/>
      <c r="HX341" s="191"/>
      <c r="HY341" s="191"/>
      <c r="HZ341" s="191"/>
      <c r="IA341" s="191"/>
      <c r="IB341" s="191"/>
      <c r="IC341" s="191"/>
      <c r="ID341" s="191"/>
      <c r="IE341" s="191"/>
      <c r="IF341" s="191"/>
      <c r="IG341" s="191"/>
      <c r="IH341" s="191"/>
      <c r="II341" s="191"/>
      <c r="IJ341" s="191"/>
      <c r="IK341" s="191"/>
      <c r="IL341" s="191"/>
      <c r="IM341" s="191"/>
      <c r="IN341" s="191"/>
      <c r="IO341" s="191"/>
      <c r="IP341" s="191"/>
      <c r="IQ341" s="191"/>
      <c r="IR341" s="191"/>
      <c r="IS341" s="191"/>
      <c r="IT341" s="191"/>
      <c r="IU341" s="191"/>
      <c r="IV341" s="191"/>
    </row>
    <row r="342" spans="1:256" s="189" customFormat="1" x14ac:dyDescent="0.2">
      <c r="A342" s="190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  <c r="AL342" s="191"/>
      <c r="AM342" s="191"/>
      <c r="AN342" s="191"/>
      <c r="AO342" s="191"/>
      <c r="AP342" s="191"/>
      <c r="AQ342" s="191"/>
      <c r="AR342" s="191"/>
      <c r="AS342" s="191"/>
      <c r="AT342" s="192"/>
      <c r="AU342" s="192"/>
      <c r="AV342" s="192"/>
      <c r="AW342" s="192"/>
      <c r="AX342" s="192"/>
      <c r="AY342" s="192"/>
      <c r="AZ342" s="192"/>
      <c r="BA342" s="192"/>
      <c r="BB342" s="192"/>
      <c r="BC342" s="192"/>
      <c r="BD342" s="191"/>
      <c r="BE342" s="191"/>
      <c r="BF342" s="191"/>
      <c r="BG342" s="191"/>
      <c r="BH342" s="191"/>
      <c r="BI342" s="191"/>
      <c r="BJ342" s="191"/>
      <c r="BK342" s="191"/>
      <c r="BL342" s="191"/>
      <c r="BM342" s="191"/>
      <c r="BN342" s="191"/>
      <c r="BO342" s="191"/>
      <c r="BP342" s="191"/>
      <c r="BQ342" s="191"/>
      <c r="BR342" s="191"/>
      <c r="BS342" s="191"/>
      <c r="BT342" s="191"/>
      <c r="BU342" s="191"/>
      <c r="BV342" s="191"/>
      <c r="BW342" s="191"/>
      <c r="BX342" s="191"/>
      <c r="BY342" s="191"/>
      <c r="BZ342" s="191"/>
      <c r="CA342" s="191"/>
      <c r="CB342" s="191"/>
      <c r="CC342" s="191"/>
      <c r="CD342" s="191"/>
      <c r="CE342" s="191"/>
      <c r="CF342" s="191"/>
      <c r="CG342" s="191"/>
      <c r="CH342" s="191"/>
      <c r="CI342" s="191"/>
      <c r="CJ342" s="191"/>
      <c r="CK342" s="191"/>
      <c r="CL342" s="192"/>
      <c r="CM342" s="192"/>
      <c r="CN342" s="192"/>
      <c r="CO342" s="192"/>
      <c r="CP342" s="192"/>
      <c r="CQ342" s="192"/>
      <c r="CR342" s="192"/>
      <c r="CS342" s="192"/>
      <c r="CT342" s="192"/>
      <c r="CU342" s="192"/>
      <c r="CV342" s="191"/>
      <c r="CW342" s="191"/>
      <c r="CX342" s="191"/>
      <c r="CY342" s="191"/>
      <c r="CZ342" s="191"/>
      <c r="DA342" s="191"/>
      <c r="DB342" s="191"/>
      <c r="DC342" s="191"/>
      <c r="DD342" s="191"/>
      <c r="DE342" s="191"/>
      <c r="DF342" s="191"/>
      <c r="DG342" s="191"/>
      <c r="DH342" s="191"/>
      <c r="DI342" s="191"/>
      <c r="DJ342" s="191"/>
      <c r="DK342" s="191"/>
      <c r="DL342" s="191"/>
      <c r="DM342" s="191"/>
      <c r="DN342" s="191"/>
      <c r="DO342" s="191"/>
      <c r="DP342" s="191"/>
      <c r="DQ342" s="191"/>
      <c r="DR342" s="191"/>
      <c r="DS342" s="191"/>
      <c r="DT342" s="191"/>
      <c r="DU342" s="191"/>
      <c r="DV342" s="191"/>
      <c r="DW342" s="191"/>
      <c r="DX342" s="191"/>
      <c r="DY342" s="191"/>
      <c r="DZ342" s="191"/>
      <c r="EA342" s="191"/>
      <c r="EB342" s="191"/>
      <c r="EC342" s="191"/>
      <c r="ED342" s="192"/>
      <c r="EE342" s="192"/>
      <c r="EF342" s="192"/>
      <c r="EG342" s="192"/>
      <c r="EH342" s="192"/>
      <c r="EI342" s="192"/>
      <c r="EJ342" s="192"/>
      <c r="EK342" s="192"/>
      <c r="EL342" s="192"/>
      <c r="EM342" s="192"/>
      <c r="EN342" s="191"/>
      <c r="EO342" s="191"/>
      <c r="EP342" s="191"/>
      <c r="EQ342" s="191"/>
      <c r="ER342" s="191"/>
      <c r="ES342" s="191"/>
      <c r="ET342" s="191"/>
      <c r="EU342" s="191"/>
      <c r="EV342" s="191"/>
      <c r="EW342" s="191"/>
      <c r="EX342" s="191"/>
      <c r="EY342" s="191"/>
      <c r="EZ342" s="191"/>
      <c r="FA342" s="191"/>
      <c r="FB342" s="191"/>
      <c r="FC342" s="191"/>
      <c r="FD342" s="191"/>
      <c r="FE342" s="191"/>
      <c r="FF342" s="191"/>
      <c r="FG342" s="191"/>
      <c r="FH342" s="191"/>
      <c r="FI342" s="191"/>
      <c r="FJ342" s="191"/>
      <c r="FK342" s="191"/>
      <c r="FL342" s="191"/>
      <c r="FM342" s="191"/>
      <c r="FN342" s="191"/>
      <c r="FO342" s="191"/>
      <c r="FP342" s="191"/>
      <c r="FQ342" s="191"/>
      <c r="FR342" s="191"/>
      <c r="FS342" s="191"/>
      <c r="FT342" s="191"/>
      <c r="FU342" s="191"/>
      <c r="FV342" s="192"/>
      <c r="FW342" s="192"/>
      <c r="FX342" s="192"/>
      <c r="FY342" s="192"/>
      <c r="FZ342" s="192"/>
      <c r="GA342" s="192"/>
      <c r="GB342" s="192"/>
      <c r="GC342" s="192"/>
      <c r="GD342" s="192"/>
      <c r="GE342" s="192"/>
      <c r="GF342" s="191"/>
      <c r="GG342" s="191"/>
      <c r="GH342" s="191"/>
      <c r="GI342" s="191"/>
      <c r="GJ342" s="191"/>
      <c r="GK342" s="191"/>
      <c r="GL342" s="191"/>
      <c r="GM342" s="191"/>
      <c r="GN342" s="191"/>
      <c r="GO342" s="191"/>
      <c r="GP342" s="191"/>
      <c r="GQ342" s="191"/>
      <c r="GR342" s="191"/>
      <c r="GS342" s="191"/>
      <c r="GT342" s="191"/>
      <c r="GU342" s="191"/>
      <c r="GV342" s="191"/>
      <c r="GW342" s="191"/>
      <c r="GX342" s="191"/>
      <c r="GY342" s="191"/>
      <c r="GZ342" s="191"/>
      <c r="HA342" s="191"/>
      <c r="HB342" s="191"/>
      <c r="HC342" s="191"/>
      <c r="HD342" s="191"/>
      <c r="HE342" s="191"/>
      <c r="HF342" s="191"/>
      <c r="HG342" s="191"/>
      <c r="HH342" s="191"/>
      <c r="HI342" s="191"/>
      <c r="HJ342" s="191"/>
      <c r="HK342" s="191"/>
      <c r="HL342" s="191"/>
      <c r="HM342" s="191"/>
      <c r="HN342" s="191"/>
      <c r="HO342" s="191"/>
      <c r="HP342" s="191"/>
      <c r="HQ342" s="191"/>
      <c r="HR342" s="191"/>
      <c r="HS342" s="191"/>
      <c r="HT342" s="191"/>
      <c r="HU342" s="191"/>
      <c r="HV342" s="191"/>
      <c r="HW342" s="191"/>
      <c r="HX342" s="191"/>
      <c r="HY342" s="191"/>
      <c r="HZ342" s="191"/>
      <c r="IA342" s="191"/>
      <c r="IB342" s="191"/>
      <c r="IC342" s="191"/>
      <c r="ID342" s="191"/>
      <c r="IE342" s="191"/>
      <c r="IF342" s="191"/>
      <c r="IG342" s="191"/>
      <c r="IH342" s="191"/>
      <c r="II342" s="191"/>
      <c r="IJ342" s="191"/>
      <c r="IK342" s="191"/>
      <c r="IL342" s="191"/>
      <c r="IM342" s="191"/>
      <c r="IN342" s="191"/>
      <c r="IO342" s="191"/>
      <c r="IP342" s="191"/>
      <c r="IQ342" s="191"/>
      <c r="IR342" s="191"/>
      <c r="IS342" s="191"/>
      <c r="IT342" s="191"/>
      <c r="IU342" s="191"/>
      <c r="IV342" s="191"/>
    </row>
    <row r="343" spans="1:256" s="189" customFormat="1" ht="16.5" customHeight="1" x14ac:dyDescent="0.2">
      <c r="A343" s="194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5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749"/>
      <c r="X343" s="749"/>
      <c r="Y343" s="749"/>
      <c r="Z343" s="749"/>
      <c r="AA343" s="749"/>
      <c r="AB343" s="749"/>
      <c r="AC343" s="749"/>
      <c r="AD343" s="749"/>
      <c r="AE343" s="749"/>
      <c r="AF343" s="749"/>
      <c r="AG343" s="749"/>
      <c r="AH343" s="749"/>
      <c r="AI343" s="749"/>
      <c r="AJ343" s="749"/>
      <c r="AK343" s="749"/>
      <c r="AL343" s="749"/>
      <c r="AM343" s="749"/>
      <c r="AN343" s="749"/>
      <c r="AO343" s="749"/>
      <c r="AP343" s="749"/>
      <c r="AQ343" s="749"/>
      <c r="AR343" s="749"/>
      <c r="AS343" s="749"/>
      <c r="AT343" s="749"/>
      <c r="AU343" s="192"/>
      <c r="AV343" s="192"/>
      <c r="AW343" s="192"/>
      <c r="AX343" s="192"/>
      <c r="AY343" s="192"/>
      <c r="AZ343" s="192"/>
      <c r="BA343" s="192"/>
      <c r="BB343" s="192"/>
      <c r="BC343" s="192"/>
      <c r="BD343" s="191"/>
      <c r="BE343" s="191"/>
      <c r="BF343" s="191"/>
      <c r="BG343" s="191"/>
      <c r="BH343" s="191"/>
      <c r="BI343" s="191"/>
      <c r="BJ343" s="191"/>
      <c r="BK343" s="191"/>
      <c r="BL343" s="191"/>
      <c r="BM343" s="191"/>
      <c r="BN343" s="191"/>
      <c r="BO343" s="749"/>
      <c r="BP343" s="749"/>
      <c r="BQ343" s="749"/>
      <c r="BR343" s="749"/>
      <c r="BS343" s="749"/>
      <c r="BT343" s="749"/>
      <c r="BU343" s="749"/>
      <c r="BV343" s="749"/>
      <c r="BW343" s="749"/>
      <c r="BX343" s="749"/>
      <c r="BY343" s="749"/>
      <c r="BZ343" s="749"/>
      <c r="CA343" s="749"/>
      <c r="CB343" s="749"/>
      <c r="CC343" s="749"/>
      <c r="CD343" s="749"/>
      <c r="CE343" s="749"/>
      <c r="CF343" s="749"/>
      <c r="CG343" s="749"/>
      <c r="CH343" s="749"/>
      <c r="CI343" s="749"/>
      <c r="CJ343" s="749"/>
      <c r="CK343" s="749"/>
      <c r="CL343" s="749"/>
      <c r="CM343" s="192"/>
      <c r="CN343" s="192"/>
      <c r="CO343" s="192"/>
      <c r="CP343" s="192"/>
      <c r="CQ343" s="192"/>
      <c r="CR343" s="192"/>
      <c r="CS343" s="192"/>
      <c r="CT343" s="192"/>
      <c r="CU343" s="192"/>
      <c r="CV343" s="191"/>
      <c r="CW343" s="191"/>
      <c r="CX343" s="191"/>
      <c r="CY343" s="191"/>
      <c r="CZ343" s="191"/>
      <c r="DA343" s="191"/>
      <c r="DB343" s="191"/>
      <c r="DC343" s="191"/>
      <c r="DD343" s="191"/>
      <c r="DE343" s="191"/>
      <c r="DF343" s="191"/>
      <c r="DG343" s="749"/>
      <c r="DH343" s="749"/>
      <c r="DI343" s="749"/>
      <c r="DJ343" s="749"/>
      <c r="DK343" s="749"/>
      <c r="DL343" s="749"/>
      <c r="DM343" s="749"/>
      <c r="DN343" s="749"/>
      <c r="DO343" s="749"/>
      <c r="DP343" s="749"/>
      <c r="DQ343" s="749"/>
      <c r="DR343" s="749"/>
      <c r="DS343" s="749"/>
      <c r="DT343" s="749"/>
      <c r="DU343" s="749"/>
      <c r="DV343" s="749"/>
      <c r="DW343" s="749"/>
      <c r="DX343" s="749"/>
      <c r="DY343" s="749"/>
      <c r="DZ343" s="749"/>
      <c r="EA343" s="749"/>
      <c r="EB343" s="749"/>
      <c r="EC343" s="749"/>
      <c r="ED343" s="749"/>
      <c r="EE343" s="192"/>
      <c r="EF343" s="192"/>
      <c r="EG343" s="192"/>
      <c r="EH343" s="192"/>
      <c r="EI343" s="192"/>
      <c r="EJ343" s="192"/>
      <c r="EK343" s="192"/>
      <c r="EL343" s="192"/>
      <c r="EM343" s="192"/>
      <c r="EN343" s="191"/>
      <c r="EO343" s="191"/>
      <c r="EP343" s="191"/>
      <c r="EQ343" s="191"/>
      <c r="ER343" s="191"/>
      <c r="ES343" s="191"/>
      <c r="ET343" s="191"/>
      <c r="EU343" s="191"/>
      <c r="EV343" s="191"/>
      <c r="EW343" s="191"/>
      <c r="EX343" s="191"/>
      <c r="EY343" s="749"/>
      <c r="EZ343" s="749"/>
      <c r="FA343" s="749"/>
      <c r="FB343" s="749"/>
      <c r="FC343" s="749"/>
      <c r="FD343" s="749"/>
      <c r="FE343" s="749"/>
      <c r="FF343" s="749"/>
      <c r="FG343" s="749"/>
      <c r="FH343" s="749"/>
      <c r="FI343" s="749"/>
      <c r="FJ343" s="749"/>
      <c r="FK343" s="749"/>
      <c r="FL343" s="749"/>
      <c r="FM343" s="749"/>
      <c r="FN343" s="749"/>
      <c r="FO343" s="749"/>
      <c r="FP343" s="749"/>
      <c r="FQ343" s="749"/>
      <c r="FR343" s="749"/>
      <c r="FS343" s="749"/>
      <c r="FT343" s="749"/>
      <c r="FU343" s="749"/>
      <c r="FV343" s="749"/>
      <c r="FW343" s="192"/>
      <c r="FX343" s="192"/>
      <c r="FY343" s="192"/>
      <c r="FZ343" s="192"/>
      <c r="GA343" s="192"/>
      <c r="GB343" s="192"/>
      <c r="GC343" s="192"/>
      <c r="GD343" s="192"/>
      <c r="GE343" s="192"/>
      <c r="GF343" s="191"/>
      <c r="GG343" s="191"/>
      <c r="GH343" s="191"/>
      <c r="GI343" s="191"/>
      <c r="GJ343" s="191"/>
      <c r="GK343" s="191"/>
      <c r="GL343" s="191"/>
      <c r="GM343" s="191"/>
      <c r="GN343" s="191"/>
      <c r="GO343" s="191"/>
      <c r="GP343" s="191"/>
      <c r="GQ343" s="191"/>
      <c r="GR343" s="191"/>
      <c r="GS343" s="191"/>
      <c r="GT343" s="191"/>
      <c r="GU343" s="191"/>
      <c r="GV343" s="197"/>
      <c r="GW343" s="191"/>
      <c r="GX343" s="191"/>
      <c r="GY343" s="191"/>
      <c r="GZ343" s="191"/>
      <c r="HA343" s="197"/>
      <c r="HB343" s="191"/>
      <c r="HC343" s="749"/>
      <c r="HD343" s="749"/>
      <c r="HE343" s="749"/>
      <c r="HF343" s="749"/>
      <c r="HG343" s="749"/>
      <c r="HH343" s="749"/>
      <c r="HI343" s="749"/>
      <c r="HJ343" s="749"/>
      <c r="HK343" s="749"/>
      <c r="HL343" s="749"/>
      <c r="HM343" s="749"/>
      <c r="HN343" s="749"/>
      <c r="HO343" s="749"/>
      <c r="HP343" s="197"/>
      <c r="HQ343" s="191"/>
      <c r="HR343" s="191"/>
      <c r="HS343" s="191"/>
      <c r="HT343" s="191"/>
      <c r="HU343" s="197"/>
      <c r="HV343" s="191"/>
      <c r="HW343" s="749"/>
      <c r="HX343" s="749"/>
      <c r="HY343" s="749"/>
      <c r="HZ343" s="749"/>
      <c r="IA343" s="749"/>
      <c r="IB343" s="749"/>
      <c r="IC343" s="749"/>
      <c r="ID343" s="749"/>
      <c r="IE343" s="749"/>
      <c r="IF343" s="749"/>
      <c r="IG343" s="749"/>
      <c r="IH343" s="749"/>
      <c r="II343" s="749"/>
      <c r="IJ343" s="197"/>
      <c r="IK343" s="191"/>
      <c r="IL343" s="191"/>
      <c r="IM343" s="191"/>
      <c r="IN343" s="191"/>
      <c r="IO343" s="197"/>
      <c r="IP343" s="191"/>
      <c r="IQ343" s="749"/>
      <c r="IR343" s="749"/>
      <c r="IS343" s="749"/>
      <c r="IT343" s="749"/>
      <c r="IU343" s="749"/>
      <c r="IV343" s="749"/>
    </row>
    <row r="344" spans="1:256" s="198" customFormat="1" ht="12.75" customHeight="1" x14ac:dyDescent="0.2">
      <c r="A344" s="194" t="s">
        <v>380</v>
      </c>
      <c r="B344" s="193"/>
      <c r="C344" s="193"/>
      <c r="D344" s="193"/>
      <c r="E344" s="193"/>
      <c r="F344" s="193"/>
      <c r="G344" s="199"/>
      <c r="H344" s="193"/>
      <c r="I344" s="193"/>
      <c r="J344" s="193"/>
      <c r="K344" s="193"/>
      <c r="L344" s="195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749" t="s">
        <v>302</v>
      </c>
      <c r="X344" s="749"/>
      <c r="Y344" s="749"/>
      <c r="Z344" s="749"/>
      <c r="AA344" s="749"/>
      <c r="AB344" s="749"/>
      <c r="AC344" s="749"/>
      <c r="AD344" s="749"/>
      <c r="AE344" s="749"/>
      <c r="AF344" s="749"/>
      <c r="AG344" s="749"/>
      <c r="AH344" s="749"/>
      <c r="AI344" s="749"/>
      <c r="AJ344" s="749"/>
      <c r="AK344" s="749"/>
      <c r="AL344" s="749"/>
      <c r="AM344" s="749"/>
      <c r="AN344" s="749"/>
      <c r="AO344" s="749"/>
      <c r="AP344" s="749"/>
      <c r="AQ344" s="749"/>
      <c r="AR344" s="749"/>
      <c r="AS344" s="749"/>
      <c r="AT344" s="749"/>
      <c r="AU344" s="200"/>
      <c r="AV344" s="200"/>
      <c r="AW344" s="200"/>
      <c r="AX344" s="200"/>
      <c r="AY344" s="200"/>
      <c r="AZ344" s="200"/>
      <c r="BA344" s="200"/>
      <c r="BB344" s="200"/>
      <c r="BC344" s="200"/>
      <c r="BD344" s="193"/>
      <c r="BE344" s="193"/>
      <c r="BF344" s="193"/>
      <c r="BG344" s="193"/>
      <c r="BH344" s="193"/>
      <c r="BI344" s="193"/>
      <c r="BJ344" s="193"/>
      <c r="BK344" s="193"/>
      <c r="BL344" s="193"/>
      <c r="BM344" s="193"/>
      <c r="BN344" s="193"/>
      <c r="BO344" s="749" t="s">
        <v>302</v>
      </c>
      <c r="BP344" s="749"/>
      <c r="BQ344" s="749"/>
      <c r="BR344" s="749"/>
      <c r="BS344" s="749"/>
      <c r="BT344" s="749"/>
      <c r="BU344" s="749"/>
      <c r="BV344" s="749"/>
      <c r="BW344" s="749"/>
      <c r="BX344" s="749"/>
      <c r="BY344" s="749"/>
      <c r="BZ344" s="749"/>
      <c r="CA344" s="749"/>
      <c r="CB344" s="749"/>
      <c r="CC344" s="749"/>
      <c r="CD344" s="749"/>
      <c r="CE344" s="749"/>
      <c r="CF344" s="749"/>
      <c r="CG344" s="749"/>
      <c r="CH344" s="749"/>
      <c r="CI344" s="749"/>
      <c r="CJ344" s="749"/>
      <c r="CK344" s="749"/>
      <c r="CL344" s="749"/>
      <c r="CM344" s="200"/>
      <c r="CN344" s="200"/>
      <c r="CO344" s="200"/>
      <c r="CP344" s="200"/>
      <c r="CQ344" s="200"/>
      <c r="CR344" s="200"/>
      <c r="CS344" s="200"/>
      <c r="CT344" s="200"/>
      <c r="CU344" s="200"/>
      <c r="CV344" s="193"/>
      <c r="CW344" s="193"/>
      <c r="CX344" s="193"/>
      <c r="CY344" s="193"/>
      <c r="CZ344" s="193"/>
      <c r="DA344" s="193"/>
      <c r="DB344" s="193"/>
      <c r="DC344" s="193"/>
      <c r="DD344" s="193"/>
      <c r="DE344" s="193"/>
      <c r="DF344" s="193"/>
      <c r="DG344" s="749" t="s">
        <v>302</v>
      </c>
      <c r="DH344" s="749"/>
      <c r="DI344" s="749"/>
      <c r="DJ344" s="749"/>
      <c r="DK344" s="749"/>
      <c r="DL344" s="749"/>
      <c r="DM344" s="749"/>
      <c r="DN344" s="749"/>
      <c r="DO344" s="749"/>
      <c r="DP344" s="749"/>
      <c r="DQ344" s="749"/>
      <c r="DR344" s="749"/>
      <c r="DS344" s="749"/>
      <c r="DT344" s="749"/>
      <c r="DU344" s="749"/>
      <c r="DV344" s="749"/>
      <c r="DW344" s="749"/>
      <c r="DX344" s="749"/>
      <c r="DY344" s="749"/>
      <c r="DZ344" s="749"/>
      <c r="EA344" s="749"/>
      <c r="EB344" s="749"/>
      <c r="EC344" s="749"/>
      <c r="ED344" s="749"/>
      <c r="EE344" s="200"/>
      <c r="EF344" s="200"/>
      <c r="EG344" s="200"/>
      <c r="EH344" s="200"/>
      <c r="EI344" s="200"/>
      <c r="EJ344" s="200"/>
      <c r="EK344" s="200"/>
      <c r="EL344" s="200"/>
      <c r="EM344" s="200"/>
      <c r="EN344" s="193"/>
      <c r="EO344" s="193"/>
      <c r="EP344" s="193"/>
      <c r="EQ344" s="193"/>
      <c r="ER344" s="193"/>
      <c r="ES344" s="193"/>
      <c r="ET344" s="193"/>
      <c r="EU344" s="193"/>
      <c r="EV344" s="193"/>
      <c r="EW344" s="193"/>
      <c r="EX344" s="193"/>
      <c r="EY344" s="749" t="s">
        <v>302</v>
      </c>
      <c r="EZ344" s="749"/>
      <c r="FA344" s="749"/>
      <c r="FB344" s="749"/>
      <c r="FC344" s="749"/>
      <c r="FD344" s="749"/>
      <c r="FE344" s="749"/>
      <c r="FF344" s="749"/>
      <c r="FG344" s="749"/>
      <c r="FH344" s="749"/>
      <c r="FI344" s="749"/>
      <c r="FJ344" s="749"/>
      <c r="FK344" s="749"/>
      <c r="FL344" s="749"/>
      <c r="FM344" s="749"/>
      <c r="FN344" s="749"/>
      <c r="FO344" s="749"/>
      <c r="FP344" s="749"/>
      <c r="FQ344" s="749"/>
      <c r="FR344" s="749"/>
      <c r="FS344" s="749"/>
      <c r="FT344" s="749"/>
      <c r="FU344" s="749"/>
      <c r="FV344" s="749"/>
      <c r="FW344" s="200"/>
      <c r="FX344" s="200"/>
      <c r="FY344" s="200"/>
      <c r="FZ344" s="200"/>
      <c r="GA344" s="200"/>
      <c r="GB344" s="200"/>
      <c r="GC344" s="200"/>
      <c r="GD344" s="200"/>
      <c r="GE344" s="200"/>
      <c r="GF344" s="193"/>
      <c r="GG344" s="193"/>
      <c r="GH344" s="193"/>
      <c r="GI344" s="193"/>
      <c r="GJ344" s="193"/>
      <c r="GK344" s="193"/>
      <c r="GL344" s="193"/>
      <c r="GM344" s="193"/>
      <c r="GN344" s="193"/>
      <c r="GO344" s="193"/>
      <c r="GP344" s="193"/>
      <c r="GQ344" s="193"/>
      <c r="GR344" s="193"/>
      <c r="GS344" s="193"/>
      <c r="GT344" s="193"/>
      <c r="GU344" s="193"/>
      <c r="GV344" s="201"/>
      <c r="GW344" s="193"/>
      <c r="GX344" s="193"/>
      <c r="GY344" s="193"/>
      <c r="GZ344" s="193"/>
      <c r="HA344" s="201"/>
      <c r="HB344" s="193"/>
      <c r="HC344" s="193"/>
      <c r="HD344" s="193"/>
      <c r="HE344" s="749" t="s">
        <v>303</v>
      </c>
      <c r="HF344" s="749"/>
      <c r="HG344" s="749"/>
      <c r="HH344" s="749"/>
      <c r="HI344" s="749"/>
      <c r="HJ344" s="749"/>
      <c r="HK344" s="749"/>
      <c r="HL344" s="749"/>
      <c r="HM344" s="749"/>
      <c r="HN344" s="193"/>
      <c r="HO344" s="193"/>
      <c r="HP344" s="201"/>
      <c r="HQ344" s="193"/>
      <c r="HR344" s="193"/>
      <c r="HS344" s="193"/>
      <c r="HT344" s="193"/>
      <c r="HU344" s="201"/>
      <c r="HV344" s="193"/>
      <c r="HW344" s="193"/>
      <c r="HX344" s="193"/>
      <c r="HY344" s="749" t="s">
        <v>303</v>
      </c>
      <c r="HZ344" s="749"/>
      <c r="IA344" s="749"/>
      <c r="IB344" s="749"/>
      <c r="IC344" s="749"/>
      <c r="ID344" s="749"/>
      <c r="IE344" s="749"/>
      <c r="IF344" s="749"/>
      <c r="IG344" s="749"/>
      <c r="IH344" s="193"/>
      <c r="II344" s="193"/>
      <c r="IJ344" s="201"/>
      <c r="IK344" s="193"/>
      <c r="IL344" s="193"/>
      <c r="IM344" s="193"/>
      <c r="IN344" s="193"/>
      <c r="IO344" s="201"/>
      <c r="IP344" s="193"/>
      <c r="IQ344" s="193"/>
      <c r="IR344" s="193"/>
      <c r="IS344" s="196" t="s">
        <v>303</v>
      </c>
      <c r="IT344" s="196"/>
      <c r="IU344" s="196"/>
      <c r="IV344" s="749"/>
    </row>
    <row r="345" spans="1:256" s="189" customFormat="1" x14ac:dyDescent="0.2">
      <c r="A345" s="190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  <c r="AA345" s="202"/>
      <c r="AB345" s="202"/>
      <c r="AC345" s="202"/>
      <c r="AD345" s="202"/>
      <c r="AE345" s="202"/>
      <c r="AF345" s="202"/>
      <c r="AG345" s="202"/>
      <c r="AH345" s="202"/>
      <c r="AI345" s="202"/>
      <c r="AJ345" s="202"/>
      <c r="AK345" s="202"/>
      <c r="AL345" s="202"/>
      <c r="AM345" s="202"/>
      <c r="AN345" s="202"/>
      <c r="AO345" s="202"/>
      <c r="AP345" s="202"/>
      <c r="AQ345" s="202"/>
      <c r="AR345" s="202"/>
      <c r="AS345" s="202"/>
      <c r="AT345" s="203"/>
      <c r="AU345" s="202"/>
      <c r="AV345" s="202"/>
      <c r="AW345" s="202"/>
      <c r="AX345" s="202"/>
      <c r="AY345" s="202"/>
      <c r="AZ345" s="202"/>
      <c r="BA345" s="202"/>
      <c r="BB345" s="202"/>
      <c r="BC345" s="202"/>
      <c r="BD345" s="202"/>
      <c r="BE345" s="202"/>
      <c r="BF345" s="202"/>
      <c r="BG345" s="202"/>
      <c r="BH345" s="202"/>
      <c r="BI345" s="202"/>
      <c r="BJ345" s="202"/>
      <c r="BK345" s="202"/>
      <c r="BL345" s="202"/>
      <c r="BM345" s="202"/>
      <c r="BN345" s="202"/>
      <c r="BO345" s="202"/>
      <c r="BP345" s="202"/>
      <c r="BQ345" s="202"/>
      <c r="BR345" s="202"/>
      <c r="BS345" s="202"/>
      <c r="BT345" s="202"/>
      <c r="BU345" s="202"/>
      <c r="BV345" s="202"/>
      <c r="BW345" s="202"/>
      <c r="BX345" s="202"/>
      <c r="BY345" s="202"/>
      <c r="BZ345" s="202"/>
      <c r="CA345" s="202"/>
      <c r="CB345" s="202"/>
      <c r="CC345" s="202"/>
      <c r="CD345" s="202"/>
      <c r="CE345" s="202"/>
      <c r="CF345" s="202"/>
      <c r="CG345" s="202"/>
      <c r="CH345" s="202"/>
      <c r="CI345" s="202"/>
      <c r="CJ345" s="202"/>
      <c r="CK345" s="202"/>
      <c r="CL345" s="203"/>
      <c r="CM345" s="202"/>
      <c r="CN345" s="202"/>
      <c r="CO345" s="202"/>
      <c r="CP345" s="202"/>
      <c r="CQ345" s="202"/>
      <c r="CR345" s="202"/>
      <c r="CS345" s="202"/>
      <c r="CT345" s="202"/>
      <c r="CU345" s="202"/>
      <c r="CV345" s="202"/>
      <c r="CW345" s="202"/>
      <c r="CX345" s="202"/>
      <c r="CY345" s="202"/>
      <c r="CZ345" s="202"/>
      <c r="DA345" s="202"/>
      <c r="DB345" s="202"/>
      <c r="DC345" s="202"/>
      <c r="DD345" s="202"/>
      <c r="DE345" s="202"/>
      <c r="DF345" s="202"/>
      <c r="DG345" s="202"/>
      <c r="DH345" s="202"/>
      <c r="DI345" s="202"/>
      <c r="DJ345" s="202"/>
      <c r="DK345" s="202"/>
      <c r="DL345" s="202"/>
      <c r="DM345" s="202"/>
      <c r="DN345" s="202"/>
      <c r="DO345" s="202"/>
      <c r="DP345" s="202"/>
      <c r="DQ345" s="202"/>
      <c r="DR345" s="202"/>
      <c r="DS345" s="202"/>
      <c r="DT345" s="202"/>
      <c r="DU345" s="202"/>
      <c r="DV345" s="202"/>
      <c r="DW345" s="202"/>
      <c r="DX345" s="202"/>
      <c r="DY345" s="202"/>
      <c r="DZ345" s="202"/>
      <c r="EA345" s="202"/>
      <c r="EB345" s="202"/>
      <c r="EC345" s="202"/>
      <c r="ED345" s="203"/>
      <c r="EE345" s="202"/>
      <c r="EF345" s="202"/>
      <c r="EG345" s="202"/>
      <c r="EH345" s="202"/>
      <c r="EI345" s="202"/>
      <c r="EJ345" s="202"/>
      <c r="EK345" s="202"/>
      <c r="EL345" s="202"/>
      <c r="EM345" s="202"/>
      <c r="EN345" s="202"/>
      <c r="EO345" s="202"/>
      <c r="EP345" s="202"/>
      <c r="EQ345" s="202"/>
      <c r="ER345" s="202"/>
      <c r="ES345" s="202"/>
      <c r="ET345" s="202"/>
      <c r="EU345" s="202"/>
      <c r="EV345" s="202"/>
      <c r="EW345" s="202"/>
      <c r="EX345" s="202"/>
      <c r="EY345" s="202"/>
      <c r="EZ345" s="202"/>
      <c r="FA345" s="202"/>
      <c r="FB345" s="202"/>
      <c r="FC345" s="202"/>
      <c r="FD345" s="202"/>
      <c r="FE345" s="202"/>
      <c r="FF345" s="202"/>
      <c r="FG345" s="202"/>
      <c r="FH345" s="202"/>
      <c r="FI345" s="202"/>
      <c r="FJ345" s="202"/>
      <c r="FK345" s="202"/>
      <c r="FL345" s="202"/>
      <c r="FM345" s="202"/>
      <c r="FN345" s="202"/>
      <c r="FO345" s="202"/>
      <c r="FP345" s="202"/>
      <c r="FQ345" s="202"/>
      <c r="FR345" s="202"/>
      <c r="FS345" s="202"/>
      <c r="FT345" s="202"/>
      <c r="FU345" s="202"/>
      <c r="FV345" s="203"/>
      <c r="FW345" s="202"/>
      <c r="FX345" s="202"/>
      <c r="FY345" s="202"/>
      <c r="FZ345" s="202"/>
      <c r="GA345" s="202"/>
      <c r="GB345" s="202"/>
      <c r="GC345" s="202"/>
      <c r="GD345" s="202"/>
      <c r="GE345" s="202"/>
      <c r="GF345" s="202"/>
      <c r="GG345" s="202"/>
      <c r="GH345" s="202"/>
      <c r="GI345" s="202"/>
      <c r="GJ345" s="202"/>
      <c r="GK345" s="202"/>
      <c r="GL345" s="202"/>
      <c r="GM345" s="202"/>
      <c r="GN345" s="202"/>
      <c r="GO345" s="202"/>
      <c r="GP345" s="202"/>
      <c r="GQ345" s="202"/>
      <c r="GR345" s="202"/>
      <c r="GS345" s="202"/>
      <c r="GT345" s="202"/>
      <c r="GU345" s="202"/>
      <c r="GV345" s="202"/>
      <c r="GW345" s="202"/>
      <c r="GX345" s="202"/>
      <c r="GY345" s="202"/>
      <c r="GZ345" s="202"/>
      <c r="HA345" s="202"/>
      <c r="HB345" s="202"/>
      <c r="HC345" s="202"/>
      <c r="HD345" s="202"/>
      <c r="HE345" s="202"/>
      <c r="HF345" s="202"/>
      <c r="HG345" s="202"/>
      <c r="HH345" s="202"/>
      <c r="HI345" s="202"/>
      <c r="HJ345" s="202"/>
      <c r="HK345" s="202"/>
      <c r="HL345" s="202"/>
      <c r="HM345" s="202"/>
      <c r="HN345" s="202"/>
      <c r="HO345" s="202"/>
      <c r="HP345" s="202"/>
      <c r="HQ345" s="202"/>
      <c r="HR345" s="202"/>
      <c r="HS345" s="202"/>
      <c r="HT345" s="202"/>
      <c r="HU345" s="202"/>
      <c r="HV345" s="202"/>
      <c r="HW345" s="202"/>
      <c r="HX345" s="202"/>
      <c r="HY345" s="202"/>
      <c r="HZ345" s="202"/>
      <c r="IA345" s="202"/>
      <c r="IB345" s="202"/>
      <c r="IC345" s="202"/>
      <c r="ID345" s="202"/>
      <c r="IE345" s="202"/>
      <c r="IF345" s="202"/>
      <c r="IG345" s="202"/>
      <c r="IH345" s="202"/>
      <c r="II345" s="202"/>
      <c r="IJ345" s="202"/>
      <c r="IK345" s="202"/>
      <c r="IL345" s="202"/>
      <c r="IM345" s="202"/>
      <c r="IN345" s="202"/>
      <c r="IO345" s="202"/>
      <c r="IP345" s="202"/>
      <c r="IQ345" s="202"/>
      <c r="IR345" s="202"/>
      <c r="IS345" s="202"/>
      <c r="IT345" s="202"/>
      <c r="IU345" s="202"/>
      <c r="IV345" s="202"/>
    </row>
    <row r="346" spans="1:256" s="189" customFormat="1" x14ac:dyDescent="0.2">
      <c r="A346" s="190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  <c r="AL346" s="191"/>
      <c r="AM346" s="191"/>
      <c r="AN346" s="191"/>
      <c r="AO346" s="191"/>
      <c r="AP346" s="191"/>
      <c r="AQ346" s="191"/>
      <c r="AR346" s="191"/>
      <c r="AS346" s="191"/>
      <c r="AT346" s="192"/>
      <c r="AU346" s="192"/>
      <c r="AV346" s="192"/>
      <c r="AW346" s="192"/>
      <c r="AX346" s="192"/>
      <c r="AY346" s="192"/>
      <c r="AZ346" s="192"/>
      <c r="BA346" s="192"/>
      <c r="BB346" s="192"/>
      <c r="BC346" s="192"/>
      <c r="BD346" s="191"/>
      <c r="BE346" s="191"/>
      <c r="BF346" s="191"/>
      <c r="BG346" s="191"/>
      <c r="BH346" s="191"/>
      <c r="BI346" s="191"/>
      <c r="BJ346" s="191"/>
      <c r="BK346" s="191"/>
      <c r="BL346" s="191"/>
      <c r="BM346" s="191"/>
      <c r="BN346" s="191"/>
      <c r="BO346" s="191"/>
      <c r="BP346" s="191"/>
      <c r="BQ346" s="191"/>
      <c r="BR346" s="191"/>
      <c r="BS346" s="191"/>
      <c r="BT346" s="191"/>
      <c r="BU346" s="191"/>
      <c r="BV346" s="191"/>
      <c r="BW346" s="191"/>
      <c r="BX346" s="191"/>
      <c r="BY346" s="191"/>
      <c r="BZ346" s="191"/>
      <c r="CA346" s="191"/>
      <c r="CB346" s="191"/>
      <c r="CC346" s="191"/>
      <c r="CD346" s="191"/>
      <c r="CE346" s="191"/>
      <c r="CF346" s="191"/>
      <c r="CG346" s="191"/>
      <c r="CH346" s="191"/>
      <c r="CI346" s="191"/>
      <c r="CJ346" s="191"/>
      <c r="CK346" s="191"/>
      <c r="CL346" s="192"/>
      <c r="CM346" s="192"/>
      <c r="CN346" s="192"/>
      <c r="CO346" s="192"/>
      <c r="CP346" s="192"/>
      <c r="CQ346" s="192"/>
      <c r="CR346" s="192"/>
      <c r="CS346" s="192"/>
      <c r="CT346" s="192"/>
      <c r="CU346" s="192"/>
      <c r="CV346" s="191"/>
      <c r="CW346" s="191"/>
      <c r="CX346" s="191"/>
      <c r="CY346" s="191"/>
      <c r="CZ346" s="191"/>
      <c r="DA346" s="191"/>
      <c r="DB346" s="191"/>
      <c r="DC346" s="191"/>
      <c r="DD346" s="191"/>
      <c r="DE346" s="191"/>
      <c r="DF346" s="191"/>
      <c r="DG346" s="191"/>
      <c r="DH346" s="191"/>
      <c r="DI346" s="191"/>
      <c r="DJ346" s="191"/>
      <c r="DK346" s="191"/>
      <c r="DL346" s="191"/>
      <c r="DM346" s="191"/>
      <c r="DN346" s="191"/>
      <c r="DO346" s="191"/>
      <c r="DP346" s="191"/>
      <c r="DQ346" s="191"/>
      <c r="DR346" s="191"/>
      <c r="DS346" s="191"/>
      <c r="DT346" s="191"/>
      <c r="DU346" s="191"/>
      <c r="DV346" s="191"/>
      <c r="DW346" s="191"/>
      <c r="DX346" s="191"/>
      <c r="DY346" s="191"/>
      <c r="DZ346" s="191"/>
      <c r="EA346" s="191"/>
      <c r="EB346" s="191"/>
      <c r="EC346" s="191"/>
      <c r="ED346" s="192"/>
      <c r="EE346" s="192"/>
      <c r="EF346" s="192"/>
      <c r="EG346" s="192"/>
      <c r="EH346" s="192"/>
      <c r="EI346" s="192"/>
      <c r="EJ346" s="192"/>
      <c r="EK346" s="192"/>
      <c r="EL346" s="192"/>
      <c r="EM346" s="192"/>
      <c r="EN346" s="191"/>
      <c r="EO346" s="191"/>
      <c r="EP346" s="191"/>
      <c r="EQ346" s="191"/>
      <c r="ER346" s="191"/>
      <c r="ES346" s="191"/>
      <c r="ET346" s="191"/>
      <c r="EU346" s="191"/>
      <c r="EV346" s="191"/>
      <c r="EW346" s="191"/>
      <c r="EX346" s="191"/>
      <c r="EY346" s="191"/>
      <c r="EZ346" s="191"/>
      <c r="FA346" s="191"/>
      <c r="FB346" s="191"/>
      <c r="FC346" s="191"/>
      <c r="FD346" s="191"/>
      <c r="FE346" s="191"/>
      <c r="FF346" s="191"/>
      <c r="FG346" s="191"/>
      <c r="FH346" s="191"/>
      <c r="FI346" s="191"/>
      <c r="FJ346" s="191"/>
      <c r="FK346" s="191"/>
      <c r="FL346" s="191"/>
      <c r="FM346" s="191"/>
      <c r="FN346" s="191"/>
      <c r="FO346" s="191"/>
      <c r="FP346" s="191"/>
      <c r="FQ346" s="191"/>
      <c r="FR346" s="191"/>
      <c r="FS346" s="191"/>
      <c r="FT346" s="191"/>
      <c r="FU346" s="191"/>
      <c r="FV346" s="192"/>
      <c r="FW346" s="192"/>
      <c r="FX346" s="192"/>
      <c r="FY346" s="192"/>
      <c r="FZ346" s="192"/>
      <c r="GA346" s="192"/>
      <c r="GB346" s="192"/>
      <c r="GC346" s="192"/>
      <c r="GD346" s="192"/>
      <c r="GE346" s="192"/>
      <c r="GF346" s="191"/>
      <c r="GG346" s="191"/>
      <c r="GH346" s="191"/>
      <c r="GI346" s="191"/>
      <c r="GJ346" s="191"/>
      <c r="GK346" s="191"/>
      <c r="GL346" s="191"/>
      <c r="GM346" s="191"/>
      <c r="GN346" s="191"/>
      <c r="GO346" s="191"/>
      <c r="GP346" s="191"/>
      <c r="GQ346" s="191"/>
      <c r="GR346" s="191"/>
      <c r="GS346" s="191"/>
      <c r="GT346" s="191"/>
      <c r="GU346" s="191"/>
      <c r="GV346" s="191"/>
      <c r="GW346" s="191"/>
      <c r="GX346" s="191"/>
      <c r="GY346" s="191"/>
      <c r="GZ346" s="191"/>
      <c r="HA346" s="191"/>
      <c r="HB346" s="191"/>
      <c r="HC346" s="191"/>
      <c r="HD346" s="191"/>
      <c r="HE346" s="191"/>
      <c r="HF346" s="191"/>
      <c r="HG346" s="191"/>
      <c r="HH346" s="191"/>
      <c r="HI346" s="191"/>
      <c r="HJ346" s="191"/>
      <c r="HK346" s="191"/>
      <c r="HL346" s="191"/>
      <c r="HM346" s="191"/>
      <c r="HN346" s="191"/>
      <c r="HO346" s="191"/>
      <c r="HP346" s="191"/>
      <c r="HQ346" s="191"/>
      <c r="HR346" s="191"/>
      <c r="HS346" s="191"/>
      <c r="HT346" s="191"/>
      <c r="HU346" s="191"/>
      <c r="HV346" s="191"/>
      <c r="HW346" s="191"/>
      <c r="HX346" s="191"/>
      <c r="HY346" s="191"/>
      <c r="HZ346" s="191"/>
      <c r="IA346" s="191"/>
      <c r="IB346" s="191"/>
      <c r="IC346" s="191"/>
      <c r="ID346" s="191"/>
      <c r="IE346" s="191"/>
      <c r="IF346" s="191"/>
      <c r="IG346" s="191"/>
      <c r="IH346" s="191"/>
      <c r="II346" s="191"/>
      <c r="IJ346" s="191"/>
      <c r="IK346" s="191"/>
      <c r="IL346" s="191"/>
      <c r="IM346" s="191"/>
      <c r="IN346" s="191"/>
      <c r="IO346" s="191"/>
      <c r="IP346" s="191"/>
      <c r="IQ346" s="191"/>
      <c r="IR346" s="191"/>
      <c r="IS346" s="191"/>
      <c r="IT346" s="191"/>
      <c r="IU346" s="191"/>
      <c r="IV346" s="191"/>
    </row>
    <row r="347" spans="1:256" x14ac:dyDescent="0.2">
      <c r="A347" s="204"/>
      <c r="B347" s="192"/>
      <c r="M347" s="192"/>
      <c r="X347" s="192"/>
      <c r="AI347" s="192"/>
      <c r="AT347" s="192"/>
      <c r="AU347" s="192"/>
      <c r="AV347" s="192"/>
      <c r="AW347" s="192"/>
      <c r="AX347" s="192"/>
      <c r="AY347" s="192"/>
      <c r="AZ347" s="192"/>
      <c r="BA347" s="192"/>
      <c r="BB347" s="192"/>
      <c r="BC347" s="192"/>
      <c r="BE347" s="192"/>
      <c r="BP347" s="192"/>
      <c r="CA347" s="192"/>
      <c r="CL347" s="192"/>
      <c r="CM347" s="192"/>
      <c r="CN347" s="192"/>
      <c r="CO347" s="192"/>
      <c r="CP347" s="192"/>
      <c r="CQ347" s="192"/>
      <c r="CR347" s="192"/>
      <c r="CS347" s="192"/>
      <c r="CT347" s="192"/>
      <c r="CU347" s="192"/>
      <c r="CW347" s="192"/>
      <c r="DH347" s="192"/>
      <c r="DS347" s="192"/>
      <c r="ED347" s="192"/>
      <c r="EE347" s="192"/>
      <c r="EF347" s="192"/>
      <c r="EG347" s="192"/>
      <c r="EH347" s="192"/>
      <c r="EI347" s="192"/>
      <c r="EJ347" s="192"/>
      <c r="EK347" s="192"/>
      <c r="EL347" s="192"/>
      <c r="EM347" s="192"/>
      <c r="EO347" s="192"/>
      <c r="EZ347" s="192"/>
      <c r="FK347" s="192"/>
      <c r="FV347" s="192"/>
      <c r="FW347" s="192"/>
      <c r="FX347" s="192"/>
      <c r="FY347" s="192"/>
      <c r="FZ347" s="192"/>
      <c r="GA347" s="192"/>
      <c r="GB347" s="192"/>
      <c r="GC347" s="192"/>
      <c r="GD347" s="192"/>
      <c r="GE347" s="192"/>
      <c r="GG347" s="192"/>
      <c r="GV347" s="191"/>
      <c r="HA347" s="191"/>
      <c r="HF347" s="191"/>
      <c r="HK347" s="191"/>
      <c r="HP347" s="191"/>
      <c r="HU347" s="191"/>
      <c r="HZ347" s="191"/>
      <c r="IE347" s="191"/>
      <c r="IJ347" s="191"/>
      <c r="IO347" s="191"/>
      <c r="IT347" s="191"/>
    </row>
    <row r="348" spans="1:256" x14ac:dyDescent="0.2">
      <c r="A348" s="204"/>
      <c r="B348" s="192"/>
      <c r="M348" s="192"/>
      <c r="X348" s="192"/>
      <c r="AI348" s="192"/>
      <c r="AT348" s="192"/>
      <c r="AU348" s="192"/>
      <c r="AV348" s="192"/>
      <c r="AW348" s="192"/>
      <c r="AX348" s="192"/>
      <c r="AY348" s="192"/>
      <c r="AZ348" s="192"/>
      <c r="BA348" s="192"/>
      <c r="BB348" s="192"/>
      <c r="BC348" s="192"/>
      <c r="BE348" s="192"/>
      <c r="BP348" s="192"/>
      <c r="CA348" s="192"/>
      <c r="CL348" s="192"/>
      <c r="CM348" s="192"/>
      <c r="CN348" s="192"/>
      <c r="CO348" s="192"/>
      <c r="CP348" s="192"/>
      <c r="CQ348" s="192"/>
      <c r="CR348" s="192"/>
      <c r="CS348" s="192"/>
      <c r="CT348" s="192"/>
      <c r="CU348" s="192"/>
      <c r="CW348" s="192"/>
      <c r="DH348" s="192"/>
      <c r="DS348" s="192"/>
      <c r="ED348" s="192"/>
      <c r="EE348" s="192"/>
      <c r="EF348" s="192"/>
      <c r="EG348" s="192"/>
      <c r="EH348" s="192"/>
      <c r="EI348" s="192"/>
      <c r="EJ348" s="192"/>
      <c r="EK348" s="192"/>
      <c r="EL348" s="192"/>
      <c r="EM348" s="192"/>
      <c r="EO348" s="192"/>
      <c r="EZ348" s="192"/>
      <c r="FK348" s="192"/>
      <c r="FV348" s="192"/>
      <c r="FW348" s="192"/>
      <c r="FX348" s="192"/>
      <c r="FY348" s="192"/>
      <c r="FZ348" s="192"/>
      <c r="GA348" s="192"/>
      <c r="GB348" s="192"/>
      <c r="GC348" s="192"/>
      <c r="GD348" s="192"/>
      <c r="GE348" s="192"/>
      <c r="GG348" s="192"/>
      <c r="GV348" s="191"/>
      <c r="HA348" s="191"/>
      <c r="HF348" s="191"/>
      <c r="HK348" s="191"/>
      <c r="HP348" s="191"/>
      <c r="HU348" s="191"/>
      <c r="HZ348" s="191"/>
      <c r="IE348" s="191"/>
      <c r="IJ348" s="191"/>
      <c r="IO348" s="191"/>
      <c r="IT348" s="191"/>
    </row>
    <row r="349" spans="1:256" x14ac:dyDescent="0.2">
      <c r="A349" s="204"/>
      <c r="B349" s="192"/>
      <c r="M349" s="192"/>
      <c r="X349" s="192"/>
      <c r="AI349" s="192"/>
      <c r="AT349" s="192"/>
      <c r="AU349" s="192"/>
      <c r="AV349" s="192"/>
      <c r="AW349" s="192"/>
      <c r="AX349" s="192"/>
      <c r="AY349" s="192"/>
      <c r="AZ349" s="192"/>
      <c r="BA349" s="192"/>
      <c r="BB349" s="192"/>
      <c r="BC349" s="192"/>
      <c r="BE349" s="192"/>
      <c r="BP349" s="192"/>
      <c r="CA349" s="192"/>
      <c r="CL349" s="192"/>
      <c r="CM349" s="192"/>
      <c r="CN349" s="192"/>
      <c r="CO349" s="192"/>
      <c r="CP349" s="192"/>
      <c r="CQ349" s="192"/>
      <c r="CR349" s="192"/>
      <c r="CS349" s="192"/>
      <c r="CT349" s="192"/>
      <c r="CU349" s="192"/>
      <c r="CW349" s="192"/>
      <c r="DH349" s="192"/>
      <c r="DS349" s="192"/>
      <c r="ED349" s="192"/>
      <c r="EE349" s="192"/>
      <c r="EF349" s="192"/>
      <c r="EG349" s="192"/>
      <c r="EH349" s="192"/>
      <c r="EI349" s="192"/>
      <c r="EJ349" s="192"/>
      <c r="EK349" s="192"/>
      <c r="EL349" s="192"/>
      <c r="EM349" s="192"/>
      <c r="EO349" s="192"/>
      <c r="EZ349" s="192"/>
      <c r="FK349" s="192"/>
      <c r="FV349" s="192"/>
      <c r="FW349" s="192"/>
      <c r="FX349" s="192"/>
      <c r="FY349" s="192"/>
      <c r="FZ349" s="192"/>
      <c r="GA349" s="192"/>
      <c r="GB349" s="192"/>
      <c r="GC349" s="192"/>
      <c r="GD349" s="192"/>
      <c r="GE349" s="192"/>
      <c r="GG349" s="192"/>
      <c r="GV349" s="191"/>
      <c r="HA349" s="191"/>
      <c r="HF349" s="191"/>
      <c r="HK349" s="191"/>
      <c r="HP349" s="191"/>
      <c r="HU349" s="191"/>
      <c r="HZ349" s="191"/>
      <c r="IE349" s="191"/>
      <c r="IJ349" s="191"/>
      <c r="IO349" s="191"/>
      <c r="IT349" s="191"/>
    </row>
    <row r="350" spans="1:256" x14ac:dyDescent="0.2">
      <c r="A350" s="204"/>
      <c r="B350" s="192"/>
      <c r="M350" s="192"/>
      <c r="X350" s="192"/>
      <c r="AI350" s="192"/>
      <c r="AT350" s="192"/>
      <c r="AU350" s="192"/>
      <c r="AV350" s="192"/>
      <c r="AW350" s="192"/>
      <c r="AX350" s="192"/>
      <c r="AY350" s="192"/>
      <c r="AZ350" s="192"/>
      <c r="BA350" s="192"/>
      <c r="BB350" s="192"/>
      <c r="BC350" s="192"/>
      <c r="BE350" s="192"/>
      <c r="BP350" s="192"/>
      <c r="CA350" s="192"/>
      <c r="CL350" s="192"/>
      <c r="CM350" s="192"/>
      <c r="CN350" s="192"/>
      <c r="CO350" s="192"/>
      <c r="CP350" s="192"/>
      <c r="CQ350" s="192"/>
      <c r="CR350" s="192"/>
      <c r="CS350" s="192"/>
      <c r="CT350" s="192"/>
      <c r="CU350" s="192"/>
      <c r="CW350" s="192"/>
      <c r="DH350" s="192"/>
      <c r="DS350" s="192"/>
      <c r="ED350" s="192"/>
      <c r="EE350" s="192"/>
      <c r="EF350" s="192"/>
      <c r="EG350" s="192"/>
      <c r="EH350" s="192"/>
      <c r="EI350" s="192"/>
      <c r="EJ350" s="192"/>
      <c r="EK350" s="192"/>
      <c r="EL350" s="192"/>
      <c r="EM350" s="192"/>
      <c r="EO350" s="192"/>
      <c r="EZ350" s="192"/>
      <c r="FK350" s="192"/>
      <c r="FV350" s="192"/>
      <c r="FW350" s="192"/>
      <c r="FX350" s="192"/>
      <c r="FY350" s="192"/>
      <c r="FZ350" s="192"/>
      <c r="GA350" s="192"/>
      <c r="GB350" s="192"/>
      <c r="GC350" s="192"/>
      <c r="GD350" s="192"/>
      <c r="GE350" s="192"/>
      <c r="GG350" s="192"/>
      <c r="GV350" s="191"/>
      <c r="HA350" s="191"/>
      <c r="HF350" s="191"/>
      <c r="HK350" s="191"/>
      <c r="HP350" s="191"/>
      <c r="HU350" s="191"/>
      <c r="HZ350" s="191"/>
      <c r="IE350" s="191"/>
      <c r="IJ350" s="191"/>
      <c r="IO350" s="191"/>
      <c r="IT350" s="191"/>
    </row>
    <row r="351" spans="1:256" x14ac:dyDescent="0.2">
      <c r="A351" s="204"/>
      <c r="B351" s="203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3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3"/>
      <c r="Y351" s="202"/>
      <c r="Z351" s="202"/>
      <c r="AA351" s="202"/>
      <c r="AB351" s="202"/>
      <c r="AC351" s="202"/>
      <c r="AD351" s="202"/>
      <c r="AE351" s="202"/>
      <c r="AF351" s="202"/>
      <c r="AG351" s="202"/>
      <c r="AH351" s="202"/>
      <c r="AI351" s="203"/>
      <c r="AJ351" s="202"/>
      <c r="AK351" s="202"/>
      <c r="AL351" s="202"/>
      <c r="AM351" s="202"/>
      <c r="AN351" s="202"/>
      <c r="AO351" s="202"/>
      <c r="AP351" s="202"/>
      <c r="AQ351" s="202"/>
      <c r="AR351" s="202"/>
      <c r="AS351" s="202"/>
      <c r="AT351" s="203"/>
      <c r="AU351" s="202"/>
      <c r="AV351" s="202"/>
      <c r="AW351" s="202"/>
      <c r="AX351" s="202"/>
      <c r="AY351" s="202"/>
      <c r="AZ351" s="202"/>
      <c r="BA351" s="202"/>
      <c r="BB351" s="202"/>
      <c r="BC351" s="202"/>
      <c r="BD351" s="202"/>
      <c r="BE351" s="203"/>
      <c r="BF351" s="202"/>
      <c r="BG351" s="202"/>
      <c r="BH351" s="202"/>
      <c r="BI351" s="202"/>
      <c r="BJ351" s="202"/>
      <c r="BK351" s="202"/>
      <c r="BL351" s="202"/>
      <c r="BM351" s="202"/>
      <c r="BN351" s="202"/>
      <c r="BO351" s="202"/>
      <c r="BP351" s="203"/>
      <c r="BQ351" s="202"/>
      <c r="BR351" s="202"/>
      <c r="BS351" s="202"/>
      <c r="BT351" s="202"/>
      <c r="BU351" s="202"/>
      <c r="BV351" s="202"/>
      <c r="BW351" s="202"/>
      <c r="BX351" s="202"/>
      <c r="BY351" s="202"/>
      <c r="BZ351" s="202"/>
      <c r="CA351" s="203"/>
      <c r="CB351" s="202"/>
      <c r="CC351" s="202"/>
      <c r="CD351" s="202"/>
      <c r="CE351" s="202"/>
      <c r="CF351" s="202"/>
      <c r="CG351" s="202"/>
      <c r="CH351" s="202"/>
      <c r="CI351" s="202"/>
      <c r="CJ351" s="202"/>
      <c r="CK351" s="202"/>
      <c r="CL351" s="203"/>
      <c r="CM351" s="202"/>
      <c r="CN351" s="202"/>
      <c r="CO351" s="202"/>
      <c r="CP351" s="202"/>
      <c r="CQ351" s="202"/>
      <c r="CR351" s="202"/>
      <c r="CS351" s="202"/>
      <c r="CT351" s="202"/>
      <c r="CU351" s="202"/>
      <c r="CV351" s="202"/>
      <c r="CW351" s="203"/>
      <c r="CX351" s="202"/>
      <c r="CY351" s="202"/>
      <c r="CZ351" s="202"/>
      <c r="DA351" s="202"/>
      <c r="DB351" s="202"/>
      <c r="DC351" s="202"/>
      <c r="DD351" s="202"/>
      <c r="DE351" s="202"/>
      <c r="DF351" s="202"/>
      <c r="DG351" s="202"/>
      <c r="DH351" s="203"/>
      <c r="DI351" s="202"/>
      <c r="DJ351" s="202"/>
      <c r="DK351" s="202"/>
      <c r="DL351" s="202"/>
      <c r="DM351" s="202"/>
      <c r="DN351" s="202"/>
      <c r="DO351" s="202"/>
      <c r="DP351" s="202"/>
      <c r="DQ351" s="202"/>
      <c r="DR351" s="202"/>
      <c r="DS351" s="203"/>
      <c r="DT351" s="202"/>
      <c r="DU351" s="202"/>
      <c r="DV351" s="202"/>
      <c r="DW351" s="202"/>
      <c r="DX351" s="202"/>
      <c r="DY351" s="202"/>
      <c r="DZ351" s="202"/>
      <c r="EA351" s="202"/>
      <c r="EB351" s="202"/>
      <c r="EC351" s="202"/>
      <c r="ED351" s="203"/>
      <c r="EE351" s="202"/>
      <c r="EF351" s="202"/>
      <c r="EG351" s="202"/>
      <c r="EH351" s="202"/>
      <c r="EI351" s="202"/>
      <c r="EJ351" s="202"/>
      <c r="EK351" s="202"/>
      <c r="EL351" s="202"/>
      <c r="EM351" s="202"/>
      <c r="EN351" s="202"/>
      <c r="EO351" s="203"/>
      <c r="EP351" s="202"/>
      <c r="EQ351" s="202"/>
      <c r="ER351" s="202"/>
      <c r="ES351" s="202"/>
      <c r="ET351" s="202"/>
      <c r="EU351" s="202"/>
      <c r="EV351" s="202"/>
      <c r="EW351" s="202"/>
      <c r="EX351" s="202"/>
      <c r="EY351" s="202"/>
      <c r="EZ351" s="203"/>
      <c r="FA351" s="202"/>
      <c r="FB351" s="202"/>
      <c r="FC351" s="202"/>
      <c r="FD351" s="202"/>
      <c r="FE351" s="202"/>
      <c r="FF351" s="202"/>
      <c r="FG351" s="202"/>
      <c r="FH351" s="202"/>
      <c r="FI351" s="202"/>
      <c r="FJ351" s="202"/>
      <c r="FK351" s="203"/>
      <c r="FL351" s="202"/>
      <c r="FM351" s="202"/>
      <c r="FN351" s="202"/>
      <c r="FO351" s="202"/>
      <c r="FP351" s="202"/>
      <c r="FQ351" s="202"/>
      <c r="FR351" s="202"/>
      <c r="FS351" s="202"/>
      <c r="FT351" s="202"/>
      <c r="FU351" s="202"/>
      <c r="FV351" s="203"/>
      <c r="FW351" s="202"/>
      <c r="FX351" s="202"/>
      <c r="FY351" s="202"/>
      <c r="FZ351" s="202"/>
      <c r="GA351" s="202"/>
      <c r="GB351" s="202"/>
      <c r="GC351" s="202"/>
      <c r="GD351" s="202"/>
      <c r="GE351" s="202"/>
      <c r="GF351" s="202"/>
      <c r="GG351" s="203"/>
      <c r="GH351" s="202"/>
      <c r="GI351" s="202"/>
      <c r="GJ351" s="202"/>
      <c r="GK351" s="202"/>
      <c r="GL351" s="202"/>
      <c r="GM351" s="202"/>
      <c r="GN351" s="202"/>
      <c r="GO351" s="202"/>
      <c r="GP351" s="202"/>
      <c r="GQ351" s="202"/>
      <c r="GR351" s="202"/>
      <c r="GS351" s="202"/>
      <c r="GT351" s="202"/>
      <c r="GU351" s="202"/>
      <c r="GV351" s="202"/>
      <c r="GW351" s="202"/>
      <c r="GX351" s="202"/>
      <c r="GY351" s="202"/>
      <c r="GZ351" s="202"/>
      <c r="HA351" s="202"/>
      <c r="HB351" s="202"/>
      <c r="HC351" s="202"/>
      <c r="HD351" s="202"/>
      <c r="HE351" s="202"/>
      <c r="HF351" s="202"/>
      <c r="HG351" s="202"/>
      <c r="HH351" s="202"/>
      <c r="HI351" s="202"/>
      <c r="HJ351" s="202"/>
      <c r="HK351" s="202"/>
      <c r="HL351" s="202"/>
      <c r="HM351" s="202"/>
      <c r="HN351" s="202"/>
      <c r="HO351" s="202"/>
      <c r="HP351" s="202"/>
      <c r="HQ351" s="202"/>
      <c r="HR351" s="202"/>
      <c r="HS351" s="202"/>
      <c r="HT351" s="202"/>
      <c r="HU351" s="202"/>
      <c r="HV351" s="202"/>
      <c r="HW351" s="202"/>
      <c r="HX351" s="202"/>
      <c r="HY351" s="202"/>
      <c r="HZ351" s="202"/>
      <c r="IA351" s="202"/>
      <c r="IB351" s="202"/>
      <c r="IC351" s="202"/>
      <c r="ID351" s="202"/>
      <c r="IE351" s="202"/>
      <c r="IF351" s="202"/>
      <c r="IG351" s="202"/>
      <c r="IH351" s="202"/>
      <c r="II351" s="202"/>
      <c r="IJ351" s="202"/>
      <c r="IK351" s="202"/>
      <c r="IL351" s="202"/>
      <c r="IM351" s="202"/>
      <c r="IN351" s="202"/>
      <c r="IO351" s="202"/>
      <c r="IP351" s="202"/>
      <c r="IQ351" s="202"/>
      <c r="IR351" s="202"/>
      <c r="IS351" s="202"/>
      <c r="IT351" s="202"/>
      <c r="IU351" s="202"/>
      <c r="IV351" s="202"/>
    </row>
    <row r="352" spans="1:256" x14ac:dyDescent="0.2">
      <c r="A352" s="204"/>
      <c r="B352" s="192"/>
      <c r="M352" s="192"/>
      <c r="X352" s="192"/>
      <c r="AI352" s="192"/>
      <c r="AT352" s="192"/>
      <c r="AU352" s="192"/>
      <c r="AV352" s="192"/>
      <c r="AW352" s="192"/>
      <c r="AX352" s="192"/>
      <c r="AY352" s="192"/>
      <c r="AZ352" s="192"/>
      <c r="BA352" s="192"/>
      <c r="BB352" s="192"/>
      <c r="BC352" s="192"/>
      <c r="BE352" s="192"/>
      <c r="BP352" s="192"/>
      <c r="CA352" s="192"/>
      <c r="CL352" s="192"/>
      <c r="CM352" s="192"/>
      <c r="CN352" s="192"/>
      <c r="CO352" s="192"/>
      <c r="CP352" s="192"/>
      <c r="CQ352" s="192"/>
      <c r="CR352" s="192"/>
      <c r="CS352" s="192"/>
      <c r="CT352" s="192"/>
      <c r="CU352" s="192"/>
      <c r="CW352" s="192"/>
      <c r="DH352" s="192"/>
      <c r="DS352" s="192"/>
      <c r="ED352" s="192"/>
      <c r="EE352" s="192"/>
      <c r="EF352" s="192"/>
      <c r="EG352" s="192"/>
      <c r="EH352" s="192"/>
      <c r="EI352" s="192"/>
      <c r="EJ352" s="192"/>
      <c r="EK352" s="192"/>
      <c r="EL352" s="192"/>
      <c r="EM352" s="192"/>
      <c r="EO352" s="192"/>
      <c r="EZ352" s="192"/>
      <c r="FK352" s="192"/>
      <c r="FV352" s="192"/>
      <c r="FW352" s="192"/>
      <c r="FX352" s="192"/>
      <c r="FY352" s="192"/>
      <c r="FZ352" s="192"/>
      <c r="GA352" s="192"/>
      <c r="GB352" s="192"/>
      <c r="GC352" s="192"/>
      <c r="GD352" s="192"/>
      <c r="GE352" s="192"/>
      <c r="GG352" s="192"/>
      <c r="GV352" s="191"/>
      <c r="HA352" s="191"/>
      <c r="HF352" s="191"/>
      <c r="HK352" s="191"/>
      <c r="HP352" s="191"/>
      <c r="HU352" s="191"/>
      <c r="HZ352" s="191"/>
      <c r="IE352" s="191"/>
      <c r="IJ352" s="191"/>
      <c r="IO352" s="191"/>
      <c r="IT352" s="191"/>
    </row>
    <row r="353" spans="1:256" x14ac:dyDescent="0.2">
      <c r="A353" s="204"/>
      <c r="B353" s="192"/>
      <c r="M353" s="192"/>
      <c r="X353" s="192"/>
      <c r="AI353" s="192"/>
      <c r="AT353" s="192"/>
      <c r="AU353" s="192"/>
      <c r="AV353" s="192"/>
      <c r="AW353" s="192"/>
      <c r="AX353" s="192"/>
      <c r="AY353" s="192"/>
      <c r="AZ353" s="192"/>
      <c r="BA353" s="192"/>
      <c r="BB353" s="192"/>
      <c r="BC353" s="192"/>
      <c r="BE353" s="192"/>
      <c r="BP353" s="192"/>
      <c r="CA353" s="192"/>
      <c r="CL353" s="192"/>
      <c r="CM353" s="192"/>
      <c r="CN353" s="192"/>
      <c r="CO353" s="192"/>
      <c r="CP353" s="192"/>
      <c r="CQ353" s="192"/>
      <c r="CR353" s="192"/>
      <c r="CS353" s="192"/>
      <c r="CT353" s="192"/>
      <c r="CU353" s="192"/>
      <c r="CW353" s="192"/>
      <c r="DH353" s="192"/>
      <c r="DS353" s="192"/>
      <c r="ED353" s="192"/>
      <c r="EE353" s="192"/>
      <c r="EF353" s="192"/>
      <c r="EG353" s="192"/>
      <c r="EH353" s="192"/>
      <c r="EI353" s="192"/>
      <c r="EJ353" s="192"/>
      <c r="EK353" s="192"/>
      <c r="EL353" s="192"/>
      <c r="EM353" s="192"/>
      <c r="EO353" s="192"/>
      <c r="EZ353" s="192"/>
      <c r="FK353" s="192"/>
      <c r="FV353" s="192"/>
      <c r="FW353" s="192"/>
      <c r="FX353" s="192"/>
      <c r="FY353" s="192"/>
      <c r="FZ353" s="192"/>
      <c r="GA353" s="192"/>
      <c r="GB353" s="192"/>
      <c r="GC353" s="192"/>
      <c r="GD353" s="192"/>
      <c r="GE353" s="192"/>
      <c r="GG353" s="192"/>
      <c r="GV353" s="191"/>
      <c r="HA353" s="191"/>
      <c r="HF353" s="191"/>
      <c r="HK353" s="191"/>
      <c r="HP353" s="191"/>
      <c r="HU353" s="191"/>
      <c r="HZ353" s="191"/>
      <c r="IE353" s="191"/>
      <c r="IJ353" s="191"/>
      <c r="IO353" s="191"/>
      <c r="IT353" s="191"/>
    </row>
    <row r="354" spans="1:256" x14ac:dyDescent="0.2">
      <c r="A354" s="204"/>
      <c r="B354" s="192"/>
      <c r="M354" s="192"/>
      <c r="X354" s="192"/>
      <c r="AI354" s="192"/>
      <c r="AT354" s="192"/>
      <c r="AU354" s="192"/>
      <c r="AV354" s="192"/>
      <c r="AW354" s="192"/>
      <c r="AX354" s="192"/>
      <c r="AY354" s="192"/>
      <c r="AZ354" s="192"/>
      <c r="BA354" s="192"/>
      <c r="BB354" s="192"/>
      <c r="BC354" s="192"/>
      <c r="BE354" s="192"/>
      <c r="BP354" s="192"/>
      <c r="CA354" s="192"/>
      <c r="CL354" s="192"/>
      <c r="CM354" s="192"/>
      <c r="CN354" s="192"/>
      <c r="CO354" s="192"/>
      <c r="CP354" s="192"/>
      <c r="CQ354" s="192"/>
      <c r="CR354" s="192"/>
      <c r="CS354" s="192"/>
      <c r="CT354" s="192"/>
      <c r="CU354" s="192"/>
      <c r="CW354" s="192"/>
      <c r="DH354" s="192"/>
      <c r="DS354" s="192"/>
      <c r="ED354" s="192"/>
      <c r="EE354" s="192"/>
      <c r="EF354" s="192"/>
      <c r="EG354" s="192"/>
      <c r="EH354" s="192"/>
      <c r="EI354" s="192"/>
      <c r="EJ354" s="192"/>
      <c r="EK354" s="192"/>
      <c r="EL354" s="192"/>
      <c r="EM354" s="192"/>
      <c r="EO354" s="192"/>
      <c r="EZ354" s="192"/>
      <c r="FK354" s="192"/>
      <c r="FV354" s="192"/>
      <c r="FW354" s="192"/>
      <c r="FX354" s="192"/>
      <c r="FY354" s="192"/>
      <c r="FZ354" s="192"/>
      <c r="GA354" s="192"/>
      <c r="GB354" s="192"/>
      <c r="GC354" s="192"/>
      <c r="GD354" s="192"/>
      <c r="GE354" s="192"/>
      <c r="GG354" s="192"/>
      <c r="GV354" s="191"/>
      <c r="HA354" s="191"/>
      <c r="HF354" s="191"/>
      <c r="HK354" s="191"/>
      <c r="HP354" s="191"/>
      <c r="HU354" s="191"/>
      <c r="HZ354" s="191"/>
      <c r="IE354" s="191"/>
      <c r="IJ354" s="191"/>
      <c r="IO354" s="191"/>
      <c r="IT354" s="191"/>
    </row>
    <row r="355" spans="1:256" x14ac:dyDescent="0.2">
      <c r="A355" s="204"/>
      <c r="B355" s="192"/>
      <c r="M355" s="192"/>
      <c r="X355" s="192"/>
      <c r="AI355" s="192"/>
      <c r="AT355" s="192"/>
      <c r="AU355" s="192"/>
      <c r="AV355" s="192"/>
      <c r="AW355" s="192"/>
      <c r="AX355" s="192"/>
      <c r="AY355" s="192"/>
      <c r="AZ355" s="192"/>
      <c r="BA355" s="192"/>
      <c r="BB355" s="192"/>
      <c r="BC355" s="192"/>
      <c r="BE355" s="192"/>
      <c r="BP355" s="192"/>
      <c r="CA355" s="192"/>
      <c r="CL355" s="192"/>
      <c r="CM355" s="192"/>
      <c r="CN355" s="192"/>
      <c r="CO355" s="192"/>
      <c r="CP355" s="192"/>
      <c r="CQ355" s="192"/>
      <c r="CR355" s="192"/>
      <c r="CS355" s="192"/>
      <c r="CT355" s="192"/>
      <c r="CU355" s="192"/>
      <c r="CW355" s="192"/>
      <c r="DH355" s="192"/>
      <c r="DS355" s="192"/>
      <c r="ED355" s="192"/>
      <c r="EE355" s="192"/>
      <c r="EF355" s="192"/>
      <c r="EG355" s="192"/>
      <c r="EH355" s="192"/>
      <c r="EI355" s="192"/>
      <c r="EJ355" s="192"/>
      <c r="EK355" s="192"/>
      <c r="EL355" s="192"/>
      <c r="EM355" s="192"/>
      <c r="EO355" s="192"/>
      <c r="EZ355" s="192"/>
      <c r="FK355" s="192"/>
      <c r="FV355" s="192"/>
      <c r="FW355" s="192"/>
      <c r="FX355" s="192"/>
      <c r="FY355" s="192"/>
      <c r="FZ355" s="192"/>
      <c r="GA355" s="192"/>
      <c r="GB355" s="192"/>
      <c r="GC355" s="192"/>
      <c r="GD355" s="192"/>
      <c r="GE355" s="192"/>
      <c r="GG355" s="192"/>
      <c r="GV355" s="191"/>
      <c r="HA355" s="191"/>
      <c r="HF355" s="191"/>
      <c r="HK355" s="191"/>
      <c r="HP355" s="191"/>
      <c r="HU355" s="191"/>
      <c r="HZ355" s="191"/>
      <c r="IE355" s="191"/>
      <c r="IJ355" s="191"/>
      <c r="IO355" s="191"/>
      <c r="IT355" s="191"/>
    </row>
    <row r="356" spans="1:256" x14ac:dyDescent="0.2">
      <c r="A356" s="204"/>
      <c r="B356" s="192"/>
      <c r="M356" s="192"/>
      <c r="X356" s="192"/>
      <c r="AI356" s="192"/>
      <c r="AT356" s="192"/>
      <c r="AU356" s="192"/>
      <c r="AV356" s="192"/>
      <c r="AW356" s="192"/>
      <c r="AX356" s="192"/>
      <c r="AY356" s="192"/>
      <c r="AZ356" s="192"/>
      <c r="BA356" s="192"/>
      <c r="BB356" s="192"/>
      <c r="BC356" s="192"/>
      <c r="BE356" s="192"/>
      <c r="BP356" s="192"/>
      <c r="CA356" s="192"/>
      <c r="CL356" s="192"/>
      <c r="CM356" s="192"/>
      <c r="CN356" s="192"/>
      <c r="CO356" s="192"/>
      <c r="CP356" s="192"/>
      <c r="CQ356" s="192"/>
      <c r="CR356" s="192"/>
      <c r="CS356" s="192"/>
      <c r="CT356" s="192"/>
      <c r="CU356" s="192"/>
      <c r="CW356" s="192"/>
      <c r="DH356" s="192"/>
      <c r="DS356" s="192"/>
      <c r="ED356" s="192"/>
      <c r="EE356" s="192"/>
      <c r="EF356" s="192"/>
      <c r="EG356" s="192"/>
      <c r="EH356" s="192"/>
      <c r="EI356" s="192"/>
      <c r="EJ356" s="192"/>
      <c r="EK356" s="192"/>
      <c r="EL356" s="192"/>
      <c r="EM356" s="192"/>
      <c r="EO356" s="192"/>
      <c r="EZ356" s="192"/>
      <c r="FK356" s="192"/>
      <c r="FV356" s="192"/>
      <c r="FW356" s="192"/>
      <c r="FX356" s="192"/>
      <c r="FY356" s="192"/>
      <c r="FZ356" s="192"/>
      <c r="GA356" s="192"/>
      <c r="GB356" s="192"/>
      <c r="GC356" s="192"/>
      <c r="GD356" s="192"/>
      <c r="GE356" s="192"/>
      <c r="GG356" s="192"/>
      <c r="GV356" s="191"/>
      <c r="HA356" s="191"/>
      <c r="HF356" s="191"/>
      <c r="HK356" s="191"/>
      <c r="HP356" s="191"/>
      <c r="HU356" s="191"/>
      <c r="HZ356" s="191"/>
      <c r="IE356" s="191"/>
      <c r="IJ356" s="191"/>
      <c r="IO356" s="191"/>
      <c r="IT356" s="191"/>
    </row>
    <row r="357" spans="1:256" x14ac:dyDescent="0.2">
      <c r="A357" s="204"/>
      <c r="B357" s="192"/>
      <c r="M357" s="192"/>
      <c r="X357" s="192"/>
      <c r="AI357" s="192"/>
      <c r="AT357" s="192"/>
      <c r="AU357" s="192"/>
      <c r="AV357" s="192"/>
      <c r="AW357" s="192"/>
      <c r="AX357" s="192"/>
      <c r="AY357" s="192"/>
      <c r="AZ357" s="192"/>
      <c r="BA357" s="192"/>
      <c r="BB357" s="192"/>
      <c r="BC357" s="192"/>
      <c r="BE357" s="192"/>
      <c r="BP357" s="192"/>
      <c r="CA357" s="192"/>
      <c r="CL357" s="192"/>
      <c r="CM357" s="192"/>
      <c r="CN357" s="192"/>
      <c r="CO357" s="192"/>
      <c r="CP357" s="192"/>
      <c r="CQ357" s="192"/>
      <c r="CR357" s="192"/>
      <c r="CS357" s="192"/>
      <c r="CT357" s="192"/>
      <c r="CU357" s="192"/>
      <c r="CW357" s="192"/>
      <c r="DH357" s="192"/>
      <c r="DS357" s="192"/>
      <c r="ED357" s="192"/>
      <c r="EE357" s="192"/>
      <c r="EF357" s="192"/>
      <c r="EG357" s="192"/>
      <c r="EH357" s="192"/>
      <c r="EI357" s="192"/>
      <c r="EJ357" s="192"/>
      <c r="EK357" s="192"/>
      <c r="EL357" s="192"/>
      <c r="EM357" s="192"/>
      <c r="EO357" s="192"/>
      <c r="EZ357" s="192"/>
      <c r="FK357" s="192"/>
      <c r="FV357" s="192"/>
      <c r="FW357" s="192"/>
      <c r="FX357" s="192"/>
      <c r="FY357" s="192"/>
      <c r="FZ357" s="192"/>
      <c r="GA357" s="192"/>
      <c r="GB357" s="192"/>
      <c r="GC357" s="192"/>
      <c r="GD357" s="192"/>
      <c r="GE357" s="192"/>
      <c r="GG357" s="192"/>
      <c r="GV357" s="191"/>
      <c r="HA357" s="191"/>
      <c r="HF357" s="191"/>
      <c r="HK357" s="191"/>
      <c r="HP357" s="191"/>
      <c r="HU357" s="191"/>
      <c r="HZ357" s="191"/>
      <c r="IE357" s="191"/>
      <c r="IJ357" s="191"/>
      <c r="IO357" s="191"/>
      <c r="IT357" s="191"/>
    </row>
    <row r="358" spans="1:256" x14ac:dyDescent="0.2">
      <c r="A358" s="204"/>
      <c r="B358" s="192"/>
      <c r="M358" s="192"/>
      <c r="X358" s="192"/>
      <c r="AI358" s="192"/>
      <c r="AT358" s="192"/>
      <c r="AU358" s="192"/>
      <c r="AV358" s="192"/>
      <c r="AW358" s="192"/>
      <c r="AX358" s="192"/>
      <c r="AY358" s="192"/>
      <c r="AZ358" s="192"/>
      <c r="BA358" s="192"/>
      <c r="BB358" s="192"/>
      <c r="BC358" s="192"/>
      <c r="BE358" s="192"/>
      <c r="BP358" s="192"/>
      <c r="CA358" s="192"/>
      <c r="CL358" s="192"/>
      <c r="CM358" s="192"/>
      <c r="CN358" s="192"/>
      <c r="CO358" s="192"/>
      <c r="CP358" s="192"/>
      <c r="CQ358" s="192"/>
      <c r="CR358" s="192"/>
      <c r="CS358" s="192"/>
      <c r="CT358" s="192"/>
      <c r="CU358" s="192"/>
      <c r="CW358" s="192"/>
      <c r="DH358" s="192"/>
      <c r="DS358" s="192"/>
      <c r="ED358" s="192"/>
      <c r="EE358" s="192"/>
      <c r="EF358" s="192"/>
      <c r="EG358" s="192"/>
      <c r="EH358" s="192"/>
      <c r="EI358" s="192"/>
      <c r="EJ358" s="192"/>
      <c r="EK358" s="192"/>
      <c r="EL358" s="192"/>
      <c r="EM358" s="192"/>
      <c r="EO358" s="192"/>
      <c r="EZ358" s="192"/>
      <c r="FK358" s="192"/>
      <c r="FV358" s="192"/>
      <c r="FW358" s="192"/>
      <c r="FX358" s="192"/>
      <c r="FY358" s="192"/>
      <c r="FZ358" s="192"/>
      <c r="GA358" s="192"/>
      <c r="GB358" s="192"/>
      <c r="GC358" s="192"/>
      <c r="GD358" s="192"/>
      <c r="GE358" s="192"/>
      <c r="GG358" s="192"/>
      <c r="GV358" s="191"/>
      <c r="HA358" s="191"/>
      <c r="HF358" s="191"/>
      <c r="HK358" s="191"/>
      <c r="HP358" s="191"/>
      <c r="HU358" s="191"/>
      <c r="HZ358" s="191"/>
      <c r="IE358" s="191"/>
      <c r="IJ358" s="191"/>
      <c r="IO358" s="191"/>
      <c r="IT358" s="191"/>
    </row>
    <row r="359" spans="1:256" x14ac:dyDescent="0.2">
      <c r="A359" s="204"/>
      <c r="B359" s="203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3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3"/>
      <c r="Y359" s="202"/>
      <c r="Z359" s="202"/>
      <c r="AA359" s="202"/>
      <c r="AB359" s="202"/>
      <c r="AC359" s="202"/>
      <c r="AD359" s="202"/>
      <c r="AE359" s="202"/>
      <c r="AF359" s="202"/>
      <c r="AG359" s="202"/>
      <c r="AH359" s="202"/>
      <c r="AI359" s="203"/>
      <c r="AJ359" s="202"/>
      <c r="AK359" s="202"/>
      <c r="AL359" s="202"/>
      <c r="AM359" s="202"/>
      <c r="AN359" s="202"/>
      <c r="AO359" s="202"/>
      <c r="AP359" s="202"/>
      <c r="AQ359" s="202"/>
      <c r="AR359" s="202"/>
      <c r="AS359" s="202"/>
      <c r="AT359" s="203"/>
      <c r="AU359" s="202"/>
      <c r="AV359" s="202"/>
      <c r="AW359" s="202"/>
      <c r="AX359" s="202"/>
      <c r="AY359" s="202"/>
      <c r="AZ359" s="202"/>
      <c r="BA359" s="202"/>
      <c r="BB359" s="202"/>
      <c r="BC359" s="202"/>
      <c r="BD359" s="202"/>
      <c r="BE359" s="203"/>
      <c r="BF359" s="202"/>
      <c r="BG359" s="202"/>
      <c r="BH359" s="202"/>
      <c r="BI359" s="202"/>
      <c r="BJ359" s="202"/>
      <c r="BK359" s="202"/>
      <c r="BL359" s="202"/>
      <c r="BM359" s="202"/>
      <c r="BN359" s="202"/>
      <c r="BO359" s="202"/>
      <c r="BP359" s="203"/>
      <c r="BQ359" s="202"/>
      <c r="BR359" s="202"/>
      <c r="BS359" s="202"/>
      <c r="BT359" s="202"/>
      <c r="BU359" s="202"/>
      <c r="BV359" s="202"/>
      <c r="BW359" s="202"/>
      <c r="BX359" s="202"/>
      <c r="BY359" s="202"/>
      <c r="BZ359" s="202"/>
      <c r="CA359" s="203"/>
      <c r="CB359" s="202"/>
      <c r="CC359" s="202"/>
      <c r="CD359" s="202"/>
      <c r="CE359" s="202"/>
      <c r="CF359" s="202"/>
      <c r="CG359" s="202"/>
      <c r="CH359" s="202"/>
      <c r="CI359" s="202"/>
      <c r="CJ359" s="202"/>
      <c r="CK359" s="202"/>
      <c r="CL359" s="203"/>
      <c r="CM359" s="202"/>
      <c r="CN359" s="202"/>
      <c r="CO359" s="202"/>
      <c r="CP359" s="202"/>
      <c r="CQ359" s="202"/>
      <c r="CR359" s="202"/>
      <c r="CS359" s="202"/>
      <c r="CT359" s="202"/>
      <c r="CU359" s="202"/>
      <c r="CV359" s="202"/>
      <c r="CW359" s="203"/>
      <c r="CX359" s="202"/>
      <c r="CY359" s="202"/>
      <c r="CZ359" s="202"/>
      <c r="DA359" s="202"/>
      <c r="DB359" s="202"/>
      <c r="DC359" s="202"/>
      <c r="DD359" s="202"/>
      <c r="DE359" s="202"/>
      <c r="DF359" s="202"/>
      <c r="DG359" s="202"/>
      <c r="DH359" s="203"/>
      <c r="DI359" s="202"/>
      <c r="DJ359" s="202"/>
      <c r="DK359" s="202"/>
      <c r="DL359" s="202"/>
      <c r="DM359" s="202"/>
      <c r="DN359" s="202"/>
      <c r="DO359" s="202"/>
      <c r="DP359" s="202"/>
      <c r="DQ359" s="202"/>
      <c r="DR359" s="202"/>
      <c r="DS359" s="203"/>
      <c r="DT359" s="202"/>
      <c r="DU359" s="202"/>
      <c r="DV359" s="202"/>
      <c r="DW359" s="202"/>
      <c r="DX359" s="202"/>
      <c r="DY359" s="202"/>
      <c r="DZ359" s="202"/>
      <c r="EA359" s="202"/>
      <c r="EB359" s="202"/>
      <c r="EC359" s="202"/>
      <c r="ED359" s="203"/>
      <c r="EE359" s="202"/>
      <c r="EF359" s="202"/>
      <c r="EG359" s="202"/>
      <c r="EH359" s="202"/>
      <c r="EI359" s="202"/>
      <c r="EJ359" s="202"/>
      <c r="EK359" s="202"/>
      <c r="EL359" s="202"/>
      <c r="EM359" s="202"/>
      <c r="EN359" s="202"/>
      <c r="EO359" s="203"/>
      <c r="EP359" s="202"/>
      <c r="EQ359" s="202"/>
      <c r="ER359" s="202"/>
      <c r="ES359" s="202"/>
      <c r="ET359" s="202"/>
      <c r="EU359" s="202"/>
      <c r="EV359" s="202"/>
      <c r="EW359" s="202"/>
      <c r="EX359" s="202"/>
      <c r="EY359" s="202"/>
      <c r="EZ359" s="203"/>
      <c r="FA359" s="202"/>
      <c r="FB359" s="202"/>
      <c r="FC359" s="202"/>
      <c r="FD359" s="202"/>
      <c r="FE359" s="202"/>
      <c r="FF359" s="202"/>
      <c r="FG359" s="202"/>
      <c r="FH359" s="202"/>
      <c r="FI359" s="202"/>
      <c r="FJ359" s="202"/>
      <c r="FK359" s="203"/>
      <c r="FL359" s="202"/>
      <c r="FM359" s="202"/>
      <c r="FN359" s="202"/>
      <c r="FO359" s="202"/>
      <c r="FP359" s="202"/>
      <c r="FQ359" s="202"/>
      <c r="FR359" s="202"/>
      <c r="FS359" s="202"/>
      <c r="FT359" s="202"/>
      <c r="FU359" s="202"/>
      <c r="FV359" s="203"/>
      <c r="FW359" s="202"/>
      <c r="FX359" s="202"/>
      <c r="FY359" s="202"/>
      <c r="FZ359" s="202"/>
      <c r="GA359" s="202"/>
      <c r="GB359" s="202"/>
      <c r="GC359" s="202"/>
      <c r="GD359" s="202"/>
      <c r="GE359" s="202"/>
      <c r="GF359" s="202"/>
      <c r="GG359" s="203"/>
      <c r="GH359" s="202"/>
      <c r="GI359" s="202"/>
      <c r="GJ359" s="202"/>
      <c r="GK359" s="202"/>
      <c r="GL359" s="202"/>
      <c r="GM359" s="202"/>
      <c r="GN359" s="202"/>
      <c r="GO359" s="202"/>
      <c r="GP359" s="202"/>
      <c r="GQ359" s="202"/>
      <c r="GR359" s="202"/>
      <c r="GS359" s="202"/>
      <c r="GT359" s="202"/>
      <c r="GU359" s="202"/>
      <c r="GV359" s="202"/>
      <c r="GW359" s="202"/>
      <c r="GX359" s="202"/>
      <c r="GY359" s="202"/>
      <c r="GZ359" s="202"/>
      <c r="HA359" s="202"/>
      <c r="HB359" s="202"/>
      <c r="HC359" s="202"/>
      <c r="HD359" s="202"/>
      <c r="HE359" s="202"/>
      <c r="HF359" s="202"/>
      <c r="HG359" s="202"/>
      <c r="HH359" s="202"/>
      <c r="HI359" s="202"/>
      <c r="HJ359" s="202"/>
      <c r="HK359" s="202"/>
      <c r="HL359" s="202"/>
      <c r="HM359" s="202"/>
      <c r="HN359" s="202"/>
      <c r="HO359" s="202"/>
      <c r="HP359" s="202"/>
      <c r="HQ359" s="202"/>
      <c r="HR359" s="202"/>
      <c r="HS359" s="202"/>
      <c r="HT359" s="202"/>
      <c r="HU359" s="202"/>
      <c r="HV359" s="202"/>
      <c r="HW359" s="202"/>
      <c r="HX359" s="202"/>
      <c r="HY359" s="202"/>
      <c r="HZ359" s="202"/>
      <c r="IA359" s="202"/>
      <c r="IB359" s="202"/>
      <c r="IC359" s="202"/>
      <c r="ID359" s="202"/>
      <c r="IE359" s="202"/>
      <c r="IF359" s="202"/>
      <c r="IG359" s="202"/>
      <c r="IH359" s="202"/>
      <c r="II359" s="202"/>
      <c r="IJ359" s="202"/>
      <c r="IK359" s="202"/>
      <c r="IL359" s="202"/>
      <c r="IM359" s="202"/>
      <c r="IN359" s="202"/>
      <c r="IO359" s="202"/>
      <c r="IP359" s="202"/>
      <c r="IQ359" s="202"/>
      <c r="IR359" s="202"/>
      <c r="IS359" s="202"/>
      <c r="IT359" s="202"/>
      <c r="IU359" s="202"/>
      <c r="IV359" s="202"/>
    </row>
    <row r="360" spans="1:256" x14ac:dyDescent="0.2">
      <c r="A360" s="204"/>
      <c r="B360" s="192"/>
      <c r="M360" s="192"/>
      <c r="X360" s="192"/>
      <c r="AI360" s="192"/>
      <c r="AT360" s="192"/>
      <c r="AU360" s="192"/>
      <c r="AV360" s="192"/>
      <c r="AW360" s="192"/>
      <c r="AX360" s="192"/>
      <c r="AY360" s="192"/>
      <c r="AZ360" s="192"/>
      <c r="BA360" s="192"/>
      <c r="BB360" s="192"/>
      <c r="BC360" s="192"/>
      <c r="BE360" s="192"/>
      <c r="BP360" s="192"/>
      <c r="CA360" s="192"/>
      <c r="CL360" s="192"/>
      <c r="CM360" s="192"/>
      <c r="CN360" s="192"/>
      <c r="CO360" s="192"/>
      <c r="CP360" s="192"/>
      <c r="CQ360" s="192"/>
      <c r="CR360" s="192"/>
      <c r="CS360" s="192"/>
      <c r="CT360" s="192"/>
      <c r="CU360" s="192"/>
      <c r="CW360" s="192"/>
      <c r="DH360" s="192"/>
      <c r="DS360" s="192"/>
      <c r="ED360" s="192"/>
      <c r="EE360" s="192"/>
      <c r="EF360" s="192"/>
      <c r="EG360" s="192"/>
      <c r="EH360" s="192"/>
      <c r="EI360" s="192"/>
      <c r="EJ360" s="192"/>
      <c r="EK360" s="192"/>
      <c r="EL360" s="192"/>
      <c r="EM360" s="192"/>
      <c r="EO360" s="192"/>
      <c r="EZ360" s="192"/>
      <c r="FK360" s="192"/>
      <c r="FV360" s="192"/>
      <c r="FW360" s="192"/>
      <c r="FX360" s="192"/>
      <c r="FY360" s="192"/>
      <c r="FZ360" s="192"/>
      <c r="GA360" s="192"/>
      <c r="GB360" s="192"/>
      <c r="GC360" s="192"/>
      <c r="GD360" s="192"/>
      <c r="GE360" s="192"/>
      <c r="GG360" s="192"/>
      <c r="GV360" s="191"/>
      <c r="HA360" s="191"/>
      <c r="HF360" s="191"/>
      <c r="HK360" s="191"/>
      <c r="HP360" s="191"/>
      <c r="HU360" s="191"/>
      <c r="HZ360" s="191"/>
      <c r="IE360" s="191"/>
      <c r="IJ360" s="191"/>
      <c r="IO360" s="191"/>
      <c r="IT360" s="191"/>
    </row>
    <row r="361" spans="1:256" x14ac:dyDescent="0.2">
      <c r="A361" s="204"/>
      <c r="B361" s="192"/>
      <c r="M361" s="192"/>
      <c r="X361" s="192"/>
      <c r="AI361" s="192"/>
      <c r="AT361" s="192"/>
      <c r="AU361" s="192"/>
      <c r="AV361" s="192"/>
      <c r="AW361" s="192"/>
      <c r="AX361" s="192"/>
      <c r="AY361" s="192"/>
      <c r="AZ361" s="192"/>
      <c r="BA361" s="192"/>
      <c r="BB361" s="192"/>
      <c r="BC361" s="192"/>
      <c r="BE361" s="192"/>
      <c r="BP361" s="192"/>
      <c r="CA361" s="192"/>
      <c r="CL361" s="192"/>
      <c r="CM361" s="192"/>
      <c r="CN361" s="192"/>
      <c r="CO361" s="192"/>
      <c r="CP361" s="192"/>
      <c r="CQ361" s="192"/>
      <c r="CR361" s="192"/>
      <c r="CS361" s="192"/>
      <c r="CT361" s="192"/>
      <c r="CU361" s="192"/>
      <c r="CW361" s="192"/>
      <c r="DH361" s="192"/>
      <c r="DS361" s="192"/>
      <c r="ED361" s="192"/>
      <c r="EE361" s="192"/>
      <c r="EF361" s="192"/>
      <c r="EG361" s="192"/>
      <c r="EH361" s="192"/>
      <c r="EI361" s="192"/>
      <c r="EJ361" s="192"/>
      <c r="EK361" s="192"/>
      <c r="EL361" s="192"/>
      <c r="EM361" s="192"/>
      <c r="EO361" s="192"/>
      <c r="EZ361" s="192"/>
      <c r="FK361" s="192"/>
      <c r="FV361" s="192"/>
      <c r="FW361" s="192"/>
      <c r="FX361" s="192"/>
      <c r="FY361" s="192"/>
      <c r="FZ361" s="192"/>
      <c r="GA361" s="192"/>
      <c r="GB361" s="192"/>
      <c r="GC361" s="192"/>
      <c r="GD361" s="192"/>
      <c r="GE361" s="192"/>
      <c r="GG361" s="192"/>
      <c r="GV361" s="191"/>
      <c r="HA361" s="191"/>
      <c r="HF361" s="191"/>
      <c r="HK361" s="191"/>
      <c r="HP361" s="191"/>
      <c r="HU361" s="191"/>
      <c r="HZ361" s="191"/>
      <c r="IE361" s="191"/>
      <c r="IJ361" s="191"/>
      <c r="IO361" s="191"/>
      <c r="IT361" s="191"/>
    </row>
    <row r="362" spans="1:256" x14ac:dyDescent="0.2">
      <c r="A362" s="204"/>
      <c r="B362" s="192"/>
      <c r="M362" s="192"/>
      <c r="X362" s="192"/>
      <c r="AI362" s="192"/>
      <c r="AT362" s="192"/>
      <c r="AU362" s="192"/>
      <c r="AV362" s="192"/>
      <c r="AW362" s="192"/>
      <c r="AX362" s="192"/>
      <c r="AY362" s="192"/>
      <c r="AZ362" s="192"/>
      <c r="BA362" s="192"/>
      <c r="BB362" s="192"/>
      <c r="BC362" s="192"/>
      <c r="BE362" s="192"/>
      <c r="BP362" s="192"/>
      <c r="CA362" s="192"/>
      <c r="CL362" s="192"/>
      <c r="CM362" s="192"/>
      <c r="CN362" s="192"/>
      <c r="CO362" s="192"/>
      <c r="CP362" s="192"/>
      <c r="CQ362" s="192"/>
      <c r="CR362" s="192"/>
      <c r="CS362" s="192"/>
      <c r="CT362" s="192"/>
      <c r="CU362" s="192"/>
      <c r="CW362" s="192"/>
      <c r="DH362" s="192"/>
      <c r="DS362" s="192"/>
      <c r="ED362" s="192"/>
      <c r="EE362" s="192"/>
      <c r="EF362" s="192"/>
      <c r="EG362" s="192"/>
      <c r="EH362" s="192"/>
      <c r="EI362" s="192"/>
      <c r="EJ362" s="192"/>
      <c r="EK362" s="192"/>
      <c r="EL362" s="192"/>
      <c r="EM362" s="192"/>
      <c r="EO362" s="192"/>
      <c r="EZ362" s="192"/>
      <c r="FK362" s="192"/>
      <c r="FV362" s="192"/>
      <c r="FW362" s="192"/>
      <c r="FX362" s="192"/>
      <c r="FY362" s="192"/>
      <c r="FZ362" s="192"/>
      <c r="GA362" s="192"/>
      <c r="GB362" s="192"/>
      <c r="GC362" s="192"/>
      <c r="GD362" s="192"/>
      <c r="GE362" s="192"/>
      <c r="GG362" s="192"/>
      <c r="GV362" s="191"/>
      <c r="HA362" s="191"/>
      <c r="HF362" s="191"/>
      <c r="HK362" s="191"/>
      <c r="HP362" s="191"/>
      <c r="HU362" s="191"/>
      <c r="HZ362" s="191"/>
      <c r="IE362" s="191"/>
      <c r="IJ362" s="191"/>
      <c r="IO362" s="191"/>
      <c r="IT362" s="191"/>
    </row>
    <row r="363" spans="1:256" x14ac:dyDescent="0.2">
      <c r="A363" s="204"/>
      <c r="B363" s="192"/>
      <c r="M363" s="192"/>
      <c r="X363" s="192"/>
      <c r="AI363" s="192"/>
      <c r="AT363" s="192"/>
      <c r="AU363" s="192"/>
      <c r="AV363" s="192"/>
      <c r="AW363" s="192"/>
      <c r="AX363" s="192"/>
      <c r="AY363" s="192"/>
      <c r="AZ363" s="192"/>
      <c r="BA363" s="192"/>
      <c r="BB363" s="192"/>
      <c r="BC363" s="192"/>
      <c r="BE363" s="192"/>
      <c r="BP363" s="192"/>
      <c r="CA363" s="192"/>
      <c r="CL363" s="192"/>
      <c r="CM363" s="192"/>
      <c r="CN363" s="192"/>
      <c r="CO363" s="192"/>
      <c r="CP363" s="192"/>
      <c r="CQ363" s="192"/>
      <c r="CR363" s="192"/>
      <c r="CS363" s="192"/>
      <c r="CT363" s="192"/>
      <c r="CU363" s="192"/>
      <c r="CW363" s="192"/>
      <c r="DH363" s="192"/>
      <c r="DS363" s="192"/>
      <c r="ED363" s="192"/>
      <c r="EE363" s="192"/>
      <c r="EF363" s="192"/>
      <c r="EG363" s="192"/>
      <c r="EH363" s="192"/>
      <c r="EI363" s="192"/>
      <c r="EJ363" s="192"/>
      <c r="EK363" s="192"/>
      <c r="EL363" s="192"/>
      <c r="EM363" s="192"/>
      <c r="EO363" s="192"/>
      <c r="EZ363" s="192"/>
      <c r="FK363" s="192"/>
      <c r="FV363" s="192"/>
      <c r="FW363" s="192"/>
      <c r="FX363" s="192"/>
      <c r="FY363" s="192"/>
      <c r="FZ363" s="192"/>
      <c r="GA363" s="192"/>
      <c r="GB363" s="192"/>
      <c r="GC363" s="192"/>
      <c r="GD363" s="192"/>
      <c r="GE363" s="192"/>
      <c r="GG363" s="192"/>
      <c r="GV363" s="191"/>
      <c r="HA363" s="191"/>
      <c r="HF363" s="191"/>
      <c r="HK363" s="191"/>
      <c r="HP363" s="191"/>
      <c r="HU363" s="191"/>
      <c r="HZ363" s="191"/>
      <c r="IE363" s="191"/>
      <c r="IJ363" s="191"/>
      <c r="IO363" s="191"/>
      <c r="IT363" s="191"/>
    </row>
    <row r="364" spans="1:256" x14ac:dyDescent="0.2">
      <c r="A364" s="204"/>
      <c r="B364" s="192"/>
      <c r="M364" s="192"/>
      <c r="X364" s="192"/>
      <c r="AI364" s="192"/>
      <c r="AT364" s="192"/>
      <c r="AU364" s="192"/>
      <c r="AV364" s="192"/>
      <c r="AW364" s="192"/>
      <c r="AX364" s="192"/>
      <c r="AY364" s="192"/>
      <c r="AZ364" s="192"/>
      <c r="BA364" s="192"/>
      <c r="BB364" s="192"/>
      <c r="BC364" s="192"/>
      <c r="BE364" s="192"/>
      <c r="BP364" s="192"/>
      <c r="CA364" s="192"/>
      <c r="CL364" s="192"/>
      <c r="CM364" s="192"/>
      <c r="CN364" s="192"/>
      <c r="CO364" s="192"/>
      <c r="CP364" s="192"/>
      <c r="CQ364" s="192"/>
      <c r="CR364" s="192"/>
      <c r="CS364" s="192"/>
      <c r="CT364" s="192"/>
      <c r="CU364" s="192"/>
      <c r="CW364" s="192"/>
      <c r="DH364" s="192"/>
      <c r="DS364" s="192"/>
      <c r="ED364" s="192"/>
      <c r="EE364" s="192"/>
      <c r="EF364" s="192"/>
      <c r="EG364" s="192"/>
      <c r="EH364" s="192"/>
      <c r="EI364" s="192"/>
      <c r="EJ364" s="192"/>
      <c r="EK364" s="192"/>
      <c r="EL364" s="192"/>
      <c r="EM364" s="192"/>
      <c r="EO364" s="192"/>
      <c r="EZ364" s="192"/>
      <c r="FK364" s="192"/>
      <c r="FV364" s="192"/>
      <c r="FW364" s="192"/>
      <c r="FX364" s="192"/>
      <c r="FY364" s="192"/>
      <c r="FZ364" s="192"/>
      <c r="GA364" s="192"/>
      <c r="GB364" s="192"/>
      <c r="GC364" s="192"/>
      <c r="GD364" s="192"/>
      <c r="GE364" s="192"/>
      <c r="GG364" s="192"/>
      <c r="GV364" s="191"/>
      <c r="HA364" s="191"/>
      <c r="HF364" s="191"/>
      <c r="HK364" s="191"/>
      <c r="HP364" s="191"/>
      <c r="HU364" s="191"/>
      <c r="HZ364" s="191"/>
      <c r="IE364" s="191"/>
      <c r="IJ364" s="191"/>
      <c r="IO364" s="191"/>
      <c r="IT364" s="191"/>
    </row>
    <row r="365" spans="1:256" x14ac:dyDescent="0.2">
      <c r="A365" s="204"/>
      <c r="B365" s="192"/>
      <c r="M365" s="192"/>
      <c r="X365" s="192"/>
      <c r="AI365" s="192"/>
      <c r="AT365" s="192"/>
      <c r="AU365" s="192"/>
      <c r="AV365" s="192"/>
      <c r="AW365" s="192"/>
      <c r="AX365" s="192"/>
      <c r="AY365" s="192"/>
      <c r="AZ365" s="192"/>
      <c r="BA365" s="192"/>
      <c r="BB365" s="192"/>
      <c r="BC365" s="192"/>
      <c r="BE365" s="192"/>
      <c r="BP365" s="192"/>
      <c r="CA365" s="192"/>
      <c r="CL365" s="192"/>
      <c r="CM365" s="192"/>
      <c r="CN365" s="192"/>
      <c r="CO365" s="192"/>
      <c r="CP365" s="192"/>
      <c r="CQ365" s="192"/>
      <c r="CR365" s="192"/>
      <c r="CS365" s="192"/>
      <c r="CT365" s="192"/>
      <c r="CU365" s="192"/>
      <c r="CW365" s="192"/>
      <c r="DH365" s="192"/>
      <c r="DS365" s="192"/>
      <c r="ED365" s="192"/>
      <c r="EE365" s="192"/>
      <c r="EF365" s="192"/>
      <c r="EG365" s="192"/>
      <c r="EH365" s="192"/>
      <c r="EI365" s="192"/>
      <c r="EJ365" s="192"/>
      <c r="EK365" s="192"/>
      <c r="EL365" s="192"/>
      <c r="EM365" s="192"/>
      <c r="EO365" s="192"/>
      <c r="EZ365" s="192"/>
      <c r="FK365" s="192"/>
      <c r="FV365" s="192"/>
      <c r="FW365" s="192"/>
      <c r="FX365" s="192"/>
      <c r="FY365" s="192"/>
      <c r="FZ365" s="192"/>
      <c r="GA365" s="192"/>
      <c r="GB365" s="192"/>
      <c r="GC365" s="192"/>
      <c r="GD365" s="192"/>
      <c r="GE365" s="192"/>
      <c r="GG365" s="192"/>
      <c r="GV365" s="191"/>
      <c r="HA365" s="191"/>
      <c r="HF365" s="191"/>
      <c r="HK365" s="191"/>
      <c r="HP365" s="191"/>
      <c r="HU365" s="191"/>
      <c r="HZ365" s="191"/>
      <c r="IE365" s="191"/>
      <c r="IJ365" s="191"/>
      <c r="IO365" s="191"/>
      <c r="IT365" s="191"/>
    </row>
    <row r="366" spans="1:256" x14ac:dyDescent="0.2">
      <c r="A366" s="204"/>
      <c r="B366" s="192"/>
      <c r="M366" s="192"/>
      <c r="X366" s="192"/>
      <c r="AI366" s="192"/>
      <c r="AT366" s="192"/>
      <c r="AU366" s="192"/>
      <c r="AV366" s="192"/>
      <c r="AW366" s="192"/>
      <c r="AX366" s="192"/>
      <c r="AY366" s="192"/>
      <c r="AZ366" s="192"/>
      <c r="BA366" s="192"/>
      <c r="BB366" s="192"/>
      <c r="BC366" s="192"/>
      <c r="BE366" s="192"/>
      <c r="BP366" s="192"/>
      <c r="CA366" s="192"/>
      <c r="CL366" s="192"/>
      <c r="CM366" s="192"/>
      <c r="CN366" s="192"/>
      <c r="CO366" s="192"/>
      <c r="CP366" s="192"/>
      <c r="CQ366" s="192"/>
      <c r="CR366" s="192"/>
      <c r="CS366" s="192"/>
      <c r="CT366" s="192"/>
      <c r="CU366" s="192"/>
      <c r="CW366" s="192"/>
      <c r="DH366" s="192"/>
      <c r="DS366" s="192"/>
      <c r="ED366" s="192"/>
      <c r="EE366" s="192"/>
      <c r="EF366" s="192"/>
      <c r="EG366" s="192"/>
      <c r="EH366" s="192"/>
      <c r="EI366" s="192"/>
      <c r="EJ366" s="192"/>
      <c r="EK366" s="192"/>
      <c r="EL366" s="192"/>
      <c r="EM366" s="192"/>
      <c r="EO366" s="192"/>
      <c r="EZ366" s="192"/>
      <c r="FK366" s="192"/>
      <c r="FV366" s="192"/>
      <c r="FW366" s="192"/>
      <c r="FX366" s="192"/>
      <c r="FY366" s="192"/>
      <c r="FZ366" s="192"/>
      <c r="GA366" s="192"/>
      <c r="GB366" s="192"/>
      <c r="GC366" s="192"/>
      <c r="GD366" s="192"/>
      <c r="GE366" s="192"/>
      <c r="GG366" s="192"/>
      <c r="GV366" s="191"/>
      <c r="HA366" s="191"/>
      <c r="HF366" s="191"/>
      <c r="HK366" s="191"/>
      <c r="HP366" s="191"/>
      <c r="HU366" s="191"/>
      <c r="HZ366" s="191"/>
      <c r="IE366" s="191"/>
      <c r="IJ366" s="191"/>
      <c r="IO366" s="191"/>
      <c r="IT366" s="191"/>
    </row>
    <row r="367" spans="1:256" x14ac:dyDescent="0.2">
      <c r="A367" s="204"/>
      <c r="B367" s="205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5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5"/>
      <c r="Y367" s="206"/>
      <c r="Z367" s="206"/>
      <c r="AA367" s="206"/>
      <c r="AB367" s="206"/>
      <c r="AC367" s="206"/>
      <c r="AD367" s="206"/>
      <c r="AE367" s="206"/>
      <c r="AF367" s="206"/>
      <c r="AG367" s="206"/>
      <c r="AH367" s="206"/>
      <c r="AI367" s="205"/>
      <c r="AJ367" s="206"/>
      <c r="AK367" s="206"/>
      <c r="AL367" s="206"/>
      <c r="AM367" s="206"/>
      <c r="AN367" s="206"/>
      <c r="AO367" s="206"/>
      <c r="AP367" s="206"/>
      <c r="AQ367" s="206"/>
      <c r="AR367" s="206"/>
      <c r="AS367" s="206"/>
      <c r="AT367" s="205"/>
      <c r="AU367" s="206"/>
      <c r="AV367" s="206"/>
      <c r="AW367" s="206"/>
      <c r="AX367" s="206"/>
      <c r="AY367" s="206"/>
      <c r="AZ367" s="206"/>
      <c r="BA367" s="206"/>
      <c r="BB367" s="206"/>
      <c r="BC367" s="206"/>
      <c r="BD367" s="206"/>
      <c r="BE367" s="205"/>
      <c r="BF367" s="206"/>
      <c r="BG367" s="206"/>
      <c r="BH367" s="206"/>
      <c r="BI367" s="206"/>
      <c r="BJ367" s="206"/>
      <c r="BK367" s="206"/>
      <c r="BL367" s="206"/>
      <c r="BM367" s="206"/>
      <c r="BN367" s="206"/>
      <c r="BO367" s="206"/>
      <c r="BP367" s="205"/>
      <c r="BQ367" s="206"/>
      <c r="BR367" s="206"/>
      <c r="BS367" s="206"/>
      <c r="BT367" s="206"/>
      <c r="BU367" s="206"/>
      <c r="BV367" s="206"/>
      <c r="BW367" s="206"/>
      <c r="BX367" s="206"/>
      <c r="BY367" s="206"/>
      <c r="BZ367" s="206"/>
      <c r="CA367" s="205"/>
      <c r="CB367" s="206"/>
      <c r="CC367" s="206"/>
      <c r="CD367" s="206"/>
      <c r="CE367" s="206"/>
      <c r="CF367" s="206"/>
      <c r="CG367" s="206"/>
      <c r="CH367" s="206"/>
      <c r="CI367" s="206"/>
      <c r="CJ367" s="206"/>
      <c r="CK367" s="206"/>
      <c r="CL367" s="205"/>
      <c r="CM367" s="206"/>
      <c r="CN367" s="206"/>
      <c r="CO367" s="206"/>
      <c r="CP367" s="206"/>
      <c r="CQ367" s="206"/>
      <c r="CR367" s="206"/>
      <c r="CS367" s="206"/>
      <c r="CT367" s="206"/>
      <c r="CU367" s="206"/>
      <c r="CV367" s="206"/>
      <c r="CW367" s="205"/>
      <c r="CX367" s="206"/>
      <c r="CY367" s="206"/>
      <c r="CZ367" s="206"/>
      <c r="DA367" s="206"/>
      <c r="DB367" s="206"/>
      <c r="DC367" s="206"/>
      <c r="DD367" s="206"/>
      <c r="DE367" s="206"/>
      <c r="DF367" s="206"/>
      <c r="DG367" s="206"/>
      <c r="DH367" s="205"/>
      <c r="DI367" s="206"/>
      <c r="DJ367" s="206"/>
      <c r="DK367" s="206"/>
      <c r="DL367" s="206"/>
      <c r="DM367" s="206"/>
      <c r="DN367" s="206"/>
      <c r="DO367" s="206"/>
      <c r="DP367" s="206"/>
      <c r="DQ367" s="206"/>
      <c r="DR367" s="206"/>
      <c r="DS367" s="205"/>
      <c r="DT367" s="206"/>
      <c r="DU367" s="206"/>
      <c r="DV367" s="206"/>
      <c r="DW367" s="206"/>
      <c r="DX367" s="206"/>
      <c r="DY367" s="206"/>
      <c r="DZ367" s="206"/>
      <c r="EA367" s="206"/>
      <c r="EB367" s="206"/>
      <c r="EC367" s="206"/>
      <c r="ED367" s="205"/>
      <c r="EE367" s="206"/>
      <c r="EF367" s="206"/>
      <c r="EG367" s="206"/>
      <c r="EH367" s="206"/>
      <c r="EI367" s="206"/>
      <c r="EJ367" s="206"/>
      <c r="EK367" s="206"/>
      <c r="EL367" s="206"/>
      <c r="EM367" s="206"/>
      <c r="EN367" s="206"/>
      <c r="EO367" s="205"/>
      <c r="EP367" s="206"/>
      <c r="EQ367" s="206"/>
      <c r="ER367" s="206"/>
      <c r="ES367" s="206"/>
      <c r="ET367" s="206"/>
      <c r="EU367" s="206"/>
      <c r="EV367" s="206"/>
      <c r="EW367" s="206"/>
      <c r="EX367" s="206"/>
      <c r="EY367" s="206"/>
      <c r="EZ367" s="205"/>
      <c r="FA367" s="206"/>
      <c r="FB367" s="206"/>
      <c r="FC367" s="206"/>
      <c r="FD367" s="206"/>
      <c r="FE367" s="206"/>
      <c r="FF367" s="206"/>
      <c r="FG367" s="206"/>
      <c r="FH367" s="206"/>
      <c r="FI367" s="206"/>
      <c r="FJ367" s="206"/>
      <c r="FK367" s="205"/>
      <c r="FL367" s="206"/>
      <c r="FM367" s="206"/>
      <c r="FN367" s="206"/>
      <c r="FO367" s="206"/>
      <c r="FP367" s="206"/>
      <c r="FQ367" s="206"/>
      <c r="FR367" s="206"/>
      <c r="FS367" s="206"/>
      <c r="FT367" s="206"/>
      <c r="FU367" s="206"/>
      <c r="FV367" s="205"/>
      <c r="FW367" s="206"/>
      <c r="FX367" s="206"/>
      <c r="FY367" s="206"/>
      <c r="FZ367" s="206"/>
      <c r="GA367" s="206"/>
      <c r="GB367" s="206"/>
      <c r="GC367" s="206"/>
      <c r="GD367" s="206"/>
      <c r="GE367" s="206"/>
      <c r="GF367" s="206"/>
      <c r="GG367" s="205"/>
      <c r="GH367" s="206"/>
      <c r="GI367" s="206"/>
      <c r="GJ367" s="206"/>
      <c r="GK367" s="206"/>
      <c r="GL367" s="206"/>
      <c r="GM367" s="206"/>
      <c r="GN367" s="206"/>
      <c r="GO367" s="206"/>
      <c r="GP367" s="206"/>
      <c r="GQ367" s="206"/>
      <c r="GR367" s="206"/>
      <c r="GS367" s="206"/>
      <c r="GT367" s="206"/>
      <c r="GU367" s="206"/>
      <c r="GV367" s="206"/>
      <c r="GW367" s="206"/>
      <c r="GX367" s="206"/>
      <c r="GY367" s="206"/>
      <c r="GZ367" s="206"/>
      <c r="HA367" s="206"/>
      <c r="HB367" s="206"/>
      <c r="HC367" s="206"/>
      <c r="HD367" s="206"/>
      <c r="HE367" s="206"/>
      <c r="HF367" s="206"/>
      <c r="HG367" s="206"/>
      <c r="HH367" s="206"/>
      <c r="HI367" s="206"/>
      <c r="HJ367" s="206"/>
      <c r="HK367" s="206"/>
      <c r="HL367" s="206"/>
      <c r="HM367" s="206"/>
      <c r="HN367" s="206"/>
      <c r="HO367" s="206"/>
      <c r="HP367" s="206"/>
      <c r="HQ367" s="206"/>
      <c r="HR367" s="206"/>
      <c r="HS367" s="206"/>
      <c r="HT367" s="206"/>
      <c r="HU367" s="206"/>
      <c r="HV367" s="206"/>
      <c r="HW367" s="206"/>
      <c r="HX367" s="206"/>
      <c r="HY367" s="206"/>
      <c r="HZ367" s="206"/>
      <c r="IA367" s="206"/>
      <c r="IB367" s="206"/>
      <c r="IC367" s="206"/>
      <c r="ID367" s="206"/>
      <c r="IE367" s="206"/>
      <c r="IF367" s="206"/>
      <c r="IG367" s="206"/>
      <c r="IH367" s="206"/>
      <c r="II367" s="206"/>
      <c r="IJ367" s="206"/>
      <c r="IK367" s="206"/>
      <c r="IL367" s="206"/>
      <c r="IM367" s="206"/>
      <c r="IN367" s="206"/>
      <c r="IO367" s="206"/>
      <c r="IP367" s="206"/>
      <c r="IQ367" s="206"/>
      <c r="IR367" s="206"/>
      <c r="IS367" s="206"/>
      <c r="IT367" s="206"/>
      <c r="IU367" s="206"/>
      <c r="IV367" s="206"/>
    </row>
    <row r="368" spans="1:256" x14ac:dyDescent="0.2">
      <c r="A368" s="204"/>
      <c r="B368" s="207"/>
      <c r="C368" s="208"/>
      <c r="D368" s="208"/>
      <c r="E368" s="208"/>
      <c r="F368" s="208"/>
      <c r="G368" s="208"/>
      <c r="H368" s="208"/>
      <c r="I368" s="208"/>
      <c r="J368" s="208"/>
      <c r="K368" s="208"/>
      <c r="M368" s="207"/>
      <c r="N368" s="208"/>
      <c r="O368" s="208"/>
      <c r="P368" s="208"/>
      <c r="Q368" s="208"/>
      <c r="R368" s="208"/>
      <c r="S368" s="208"/>
      <c r="T368" s="208"/>
      <c r="U368" s="208"/>
      <c r="V368" s="208"/>
      <c r="X368" s="207"/>
      <c r="Y368" s="208"/>
      <c r="Z368" s="208"/>
      <c r="AA368" s="208"/>
      <c r="AB368" s="208"/>
      <c r="AC368" s="208"/>
      <c r="AD368" s="208"/>
      <c r="AE368" s="208"/>
      <c r="AF368" s="208"/>
      <c r="AG368" s="208"/>
      <c r="AI368" s="207"/>
      <c r="AJ368" s="208"/>
      <c r="AK368" s="208"/>
      <c r="AL368" s="208"/>
      <c r="AM368" s="208"/>
      <c r="AN368" s="208"/>
      <c r="AO368" s="208"/>
      <c r="AP368" s="208"/>
      <c r="AQ368" s="208"/>
      <c r="AR368" s="208"/>
      <c r="AT368" s="207"/>
      <c r="AU368" s="208"/>
      <c r="AV368" s="208"/>
      <c r="AW368" s="208"/>
      <c r="AX368" s="208"/>
      <c r="AY368" s="208"/>
      <c r="AZ368" s="208"/>
      <c r="BA368" s="208"/>
      <c r="BB368" s="208"/>
      <c r="BC368" s="208"/>
      <c r="BE368" s="207"/>
      <c r="BF368" s="208"/>
      <c r="BG368" s="208"/>
      <c r="BH368" s="208"/>
      <c r="BI368" s="208"/>
      <c r="BJ368" s="208"/>
      <c r="BK368" s="208"/>
      <c r="BL368" s="208"/>
      <c r="BM368" s="208"/>
      <c r="BN368" s="208"/>
      <c r="BP368" s="207"/>
      <c r="BQ368" s="208"/>
      <c r="BR368" s="208"/>
      <c r="BS368" s="208"/>
      <c r="BT368" s="208"/>
      <c r="BU368" s="208"/>
      <c r="BV368" s="208"/>
      <c r="BW368" s="208"/>
      <c r="BX368" s="208"/>
      <c r="BY368" s="208"/>
      <c r="CA368" s="207"/>
      <c r="CB368" s="208"/>
      <c r="CC368" s="208"/>
      <c r="CD368" s="208"/>
      <c r="CE368" s="208"/>
      <c r="CF368" s="208"/>
      <c r="CG368" s="208"/>
      <c r="CH368" s="208"/>
      <c r="CI368" s="208"/>
      <c r="CJ368" s="208"/>
      <c r="CL368" s="207"/>
      <c r="CM368" s="208"/>
      <c r="CN368" s="208"/>
      <c r="CO368" s="208"/>
      <c r="CP368" s="208"/>
      <c r="CQ368" s="208"/>
      <c r="CR368" s="208"/>
      <c r="CS368" s="208"/>
      <c r="CT368" s="208"/>
      <c r="CU368" s="208"/>
      <c r="CW368" s="207"/>
      <c r="CX368" s="208"/>
      <c r="CY368" s="208"/>
      <c r="CZ368" s="208"/>
      <c r="DA368" s="208"/>
      <c r="DB368" s="208"/>
      <c r="DC368" s="208"/>
      <c r="DD368" s="208"/>
      <c r="DE368" s="208"/>
      <c r="DF368" s="208"/>
      <c r="DH368" s="207"/>
      <c r="DI368" s="208"/>
      <c r="DJ368" s="208"/>
      <c r="DK368" s="208"/>
      <c r="DL368" s="208"/>
      <c r="DM368" s="208"/>
      <c r="DN368" s="208"/>
      <c r="DO368" s="208"/>
      <c r="DP368" s="208"/>
      <c r="DQ368" s="208"/>
      <c r="DS368" s="207"/>
      <c r="DT368" s="208"/>
      <c r="DU368" s="208"/>
      <c r="DV368" s="208"/>
      <c r="DW368" s="208"/>
      <c r="DX368" s="208"/>
      <c r="DY368" s="208"/>
      <c r="DZ368" s="208"/>
      <c r="EA368" s="208"/>
      <c r="EB368" s="208"/>
      <c r="ED368" s="207"/>
      <c r="EE368" s="208"/>
      <c r="EF368" s="208"/>
      <c r="EG368" s="208"/>
      <c r="EH368" s="208"/>
      <c r="EI368" s="208"/>
      <c r="EJ368" s="208"/>
      <c r="EK368" s="208"/>
      <c r="EL368" s="208"/>
      <c r="EM368" s="208"/>
      <c r="EO368" s="207"/>
      <c r="EP368" s="208"/>
      <c r="EQ368" s="208"/>
      <c r="ER368" s="208"/>
      <c r="ES368" s="208"/>
      <c r="ET368" s="208"/>
      <c r="EU368" s="208"/>
      <c r="EV368" s="208"/>
      <c r="EW368" s="208"/>
      <c r="EX368" s="208"/>
      <c r="EZ368" s="207"/>
      <c r="FA368" s="208"/>
      <c r="FB368" s="208"/>
      <c r="FC368" s="208"/>
      <c r="FD368" s="208"/>
      <c r="FE368" s="208"/>
      <c r="FF368" s="208"/>
      <c r="FG368" s="208"/>
      <c r="FH368" s="208"/>
      <c r="FI368" s="208"/>
      <c r="FK368" s="207"/>
      <c r="FL368" s="208"/>
      <c r="FM368" s="208"/>
      <c r="FN368" s="208"/>
      <c r="FO368" s="208"/>
      <c r="FP368" s="208"/>
      <c r="FQ368" s="208"/>
      <c r="FR368" s="208"/>
      <c r="FS368" s="208"/>
      <c r="FT368" s="208"/>
      <c r="FV368" s="207"/>
      <c r="FW368" s="208"/>
      <c r="FX368" s="208"/>
      <c r="FY368" s="208"/>
      <c r="FZ368" s="208"/>
      <c r="GA368" s="208"/>
      <c r="GB368" s="208"/>
      <c r="GC368" s="208"/>
      <c r="GD368" s="208"/>
      <c r="GE368" s="208"/>
      <c r="GG368" s="207"/>
      <c r="GH368" s="208"/>
      <c r="GI368" s="208"/>
      <c r="GJ368" s="208"/>
      <c r="GK368" s="208"/>
      <c r="GL368" s="208"/>
      <c r="GM368" s="208"/>
      <c r="GN368" s="208"/>
      <c r="GO368" s="208"/>
      <c r="GP368" s="208"/>
      <c r="GR368" s="208"/>
      <c r="GS368" s="208"/>
      <c r="GT368" s="208"/>
      <c r="GU368" s="208"/>
      <c r="GV368" s="208"/>
      <c r="GW368" s="208"/>
      <c r="GX368" s="208"/>
      <c r="GY368" s="208"/>
      <c r="GZ368" s="208"/>
      <c r="HA368" s="208"/>
      <c r="HB368" s="208"/>
      <c r="HC368" s="208"/>
      <c r="HD368" s="208"/>
      <c r="HE368" s="208"/>
      <c r="HF368" s="208"/>
      <c r="HG368" s="208"/>
      <c r="HH368" s="208"/>
      <c r="HI368" s="208"/>
      <c r="HJ368" s="208"/>
      <c r="HK368" s="208"/>
      <c r="HL368" s="208"/>
      <c r="HM368" s="208"/>
      <c r="HN368" s="208"/>
      <c r="HO368" s="208"/>
      <c r="HP368" s="208"/>
      <c r="HQ368" s="208"/>
      <c r="HR368" s="208"/>
      <c r="HS368" s="208"/>
      <c r="HT368" s="208"/>
      <c r="HU368" s="208"/>
      <c r="HV368" s="208"/>
      <c r="HW368" s="208"/>
      <c r="HX368" s="208"/>
      <c r="HY368" s="208"/>
      <c r="HZ368" s="208"/>
      <c r="IA368" s="208"/>
      <c r="IB368" s="208"/>
      <c r="IC368" s="208"/>
      <c r="ID368" s="208"/>
      <c r="IE368" s="208"/>
      <c r="IF368" s="208"/>
      <c r="IG368" s="208"/>
      <c r="IH368" s="208"/>
      <c r="II368" s="208"/>
      <c r="IJ368" s="208"/>
      <c r="IK368" s="208"/>
      <c r="IL368" s="208"/>
      <c r="IM368" s="208"/>
      <c r="IN368" s="208"/>
      <c r="IO368" s="208"/>
      <c r="IP368" s="208"/>
      <c r="IQ368" s="208"/>
      <c r="IR368" s="208"/>
      <c r="IS368" s="208"/>
      <c r="IT368" s="208"/>
      <c r="IU368" s="208"/>
      <c r="IV368" s="208"/>
    </row>
    <row r="369" spans="1:256" x14ac:dyDescent="0.2">
      <c r="A369" s="204"/>
      <c r="B369" s="207"/>
      <c r="C369" s="208"/>
      <c r="D369" s="208"/>
      <c r="E369" s="208"/>
      <c r="F369" s="208"/>
      <c r="G369" s="208"/>
      <c r="H369" s="208"/>
      <c r="I369" s="208"/>
      <c r="J369" s="208"/>
      <c r="K369" s="208"/>
      <c r="M369" s="207"/>
      <c r="N369" s="208"/>
      <c r="O369" s="208"/>
      <c r="P369" s="208"/>
      <c r="Q369" s="208"/>
      <c r="R369" s="208"/>
      <c r="S369" s="208"/>
      <c r="T369" s="208"/>
      <c r="U369" s="208"/>
      <c r="V369" s="208"/>
      <c r="X369" s="207"/>
      <c r="Y369" s="208"/>
      <c r="Z369" s="208"/>
      <c r="AA369" s="208"/>
      <c r="AB369" s="208"/>
      <c r="AC369" s="208"/>
      <c r="AD369" s="208"/>
      <c r="AE369" s="208"/>
      <c r="AF369" s="208"/>
      <c r="AG369" s="208"/>
      <c r="AI369" s="207"/>
      <c r="AJ369" s="208"/>
      <c r="AK369" s="208"/>
      <c r="AL369" s="208"/>
      <c r="AM369" s="208"/>
      <c r="AN369" s="208"/>
      <c r="AO369" s="208"/>
      <c r="AP369" s="208"/>
      <c r="AQ369" s="208"/>
      <c r="AR369" s="208"/>
      <c r="AT369" s="207"/>
      <c r="AU369" s="208"/>
      <c r="AV369" s="208"/>
      <c r="AW369" s="208"/>
      <c r="AX369" s="208"/>
      <c r="AY369" s="208"/>
      <c r="AZ369" s="208"/>
      <c r="BA369" s="208"/>
      <c r="BB369" s="208"/>
      <c r="BC369" s="208"/>
      <c r="BE369" s="207"/>
      <c r="BF369" s="208"/>
      <c r="BG369" s="208"/>
      <c r="BH369" s="208"/>
      <c r="BI369" s="208"/>
      <c r="BJ369" s="208"/>
      <c r="BK369" s="208"/>
      <c r="BL369" s="208"/>
      <c r="BM369" s="208"/>
      <c r="BN369" s="208"/>
      <c r="BP369" s="207"/>
      <c r="BQ369" s="208"/>
      <c r="BR369" s="208"/>
      <c r="BS369" s="208"/>
      <c r="BT369" s="208"/>
      <c r="BU369" s="208"/>
      <c r="BV369" s="208"/>
      <c r="BW369" s="208"/>
      <c r="BX369" s="208"/>
      <c r="BY369" s="208"/>
      <c r="CA369" s="207"/>
      <c r="CB369" s="208"/>
      <c r="CC369" s="208"/>
      <c r="CD369" s="208"/>
      <c r="CE369" s="208"/>
      <c r="CF369" s="208"/>
      <c r="CG369" s="208"/>
      <c r="CH369" s="208"/>
      <c r="CI369" s="208"/>
      <c r="CJ369" s="208"/>
      <c r="CL369" s="207"/>
      <c r="CM369" s="208"/>
      <c r="CN369" s="208"/>
      <c r="CO369" s="208"/>
      <c r="CP369" s="208"/>
      <c r="CQ369" s="208"/>
      <c r="CR369" s="208"/>
      <c r="CS369" s="208"/>
      <c r="CT369" s="208"/>
      <c r="CU369" s="208"/>
      <c r="CW369" s="207"/>
      <c r="CX369" s="208"/>
      <c r="CY369" s="208"/>
      <c r="CZ369" s="208"/>
      <c r="DA369" s="208"/>
      <c r="DB369" s="208"/>
      <c r="DC369" s="208"/>
      <c r="DD369" s="208"/>
      <c r="DE369" s="208"/>
      <c r="DF369" s="208"/>
      <c r="DH369" s="207"/>
      <c r="DI369" s="208"/>
      <c r="DJ369" s="208"/>
      <c r="DK369" s="208"/>
      <c r="DL369" s="208"/>
      <c r="DM369" s="208"/>
      <c r="DN369" s="208"/>
      <c r="DO369" s="208"/>
      <c r="DP369" s="208"/>
      <c r="DQ369" s="208"/>
      <c r="DS369" s="207"/>
      <c r="DT369" s="208"/>
      <c r="DU369" s="208"/>
      <c r="DV369" s="208"/>
      <c r="DW369" s="208"/>
      <c r="DX369" s="208"/>
      <c r="DY369" s="208"/>
      <c r="DZ369" s="208"/>
      <c r="EA369" s="208"/>
      <c r="EB369" s="208"/>
      <c r="ED369" s="207"/>
      <c r="EE369" s="208"/>
      <c r="EF369" s="208"/>
      <c r="EG369" s="208"/>
      <c r="EH369" s="208"/>
      <c r="EI369" s="208"/>
      <c r="EJ369" s="208"/>
      <c r="EK369" s="208"/>
      <c r="EL369" s="208"/>
      <c r="EM369" s="208"/>
      <c r="EO369" s="207"/>
      <c r="EP369" s="208"/>
      <c r="EQ369" s="208"/>
      <c r="ER369" s="208"/>
      <c r="ES369" s="208"/>
      <c r="ET369" s="208"/>
      <c r="EU369" s="208"/>
      <c r="EV369" s="208"/>
      <c r="EW369" s="208"/>
      <c r="EX369" s="208"/>
      <c r="EZ369" s="207"/>
      <c r="FA369" s="208"/>
      <c r="FB369" s="208"/>
      <c r="FC369" s="208"/>
      <c r="FD369" s="208"/>
      <c r="FE369" s="208"/>
      <c r="FF369" s="208"/>
      <c r="FG369" s="208"/>
      <c r="FH369" s="208"/>
      <c r="FI369" s="208"/>
      <c r="FK369" s="207"/>
      <c r="FL369" s="208"/>
      <c r="FM369" s="208"/>
      <c r="FN369" s="208"/>
      <c r="FO369" s="208"/>
      <c r="FP369" s="208"/>
      <c r="FQ369" s="208"/>
      <c r="FR369" s="208"/>
      <c r="FS369" s="208"/>
      <c r="FT369" s="208"/>
      <c r="FV369" s="207"/>
      <c r="FW369" s="208"/>
      <c r="FX369" s="208"/>
      <c r="FY369" s="208"/>
      <c r="FZ369" s="208"/>
      <c r="GA369" s="208"/>
      <c r="GB369" s="208"/>
      <c r="GC369" s="208"/>
      <c r="GD369" s="208"/>
      <c r="GE369" s="208"/>
      <c r="GG369" s="207"/>
      <c r="GH369" s="208"/>
      <c r="GI369" s="208"/>
      <c r="GJ369" s="208"/>
      <c r="GK369" s="208"/>
      <c r="GL369" s="208"/>
      <c r="GM369" s="208"/>
      <c r="GN369" s="208"/>
      <c r="GO369" s="208"/>
      <c r="GP369" s="208"/>
      <c r="GR369" s="208"/>
      <c r="GS369" s="208"/>
      <c r="GT369" s="208"/>
      <c r="GU369" s="208"/>
      <c r="GV369" s="208"/>
      <c r="GW369" s="208"/>
      <c r="GX369" s="208"/>
      <c r="GY369" s="208"/>
      <c r="GZ369" s="208"/>
      <c r="HA369" s="208"/>
      <c r="HB369" s="208"/>
      <c r="HC369" s="208"/>
      <c r="HD369" s="208"/>
      <c r="HE369" s="208"/>
      <c r="HF369" s="208"/>
      <c r="HG369" s="208"/>
      <c r="HH369" s="208"/>
      <c r="HI369" s="208"/>
      <c r="HJ369" s="208"/>
      <c r="HK369" s="208"/>
      <c r="HL369" s="208"/>
      <c r="HM369" s="208"/>
      <c r="HN369" s="208"/>
      <c r="HO369" s="208"/>
      <c r="HP369" s="208"/>
      <c r="HQ369" s="208"/>
      <c r="HR369" s="208"/>
      <c r="HS369" s="208"/>
      <c r="HT369" s="208"/>
      <c r="HU369" s="208"/>
      <c r="HV369" s="208"/>
      <c r="HW369" s="208"/>
      <c r="HX369" s="208"/>
      <c r="HY369" s="208"/>
      <c r="HZ369" s="208"/>
      <c r="IA369" s="208"/>
      <c r="IB369" s="208"/>
      <c r="IC369" s="208"/>
      <c r="ID369" s="208"/>
      <c r="IE369" s="208"/>
      <c r="IF369" s="208"/>
      <c r="IG369" s="208"/>
      <c r="IH369" s="208"/>
      <c r="II369" s="208"/>
      <c r="IJ369" s="208"/>
      <c r="IK369" s="208"/>
      <c r="IL369" s="208"/>
      <c r="IM369" s="208"/>
      <c r="IN369" s="208"/>
      <c r="IO369" s="208"/>
      <c r="IP369" s="208"/>
      <c r="IQ369" s="208"/>
      <c r="IR369" s="208"/>
      <c r="IS369" s="208"/>
      <c r="IT369" s="208"/>
      <c r="IU369" s="208"/>
      <c r="IV369" s="208"/>
    </row>
    <row r="370" spans="1:256" x14ac:dyDescent="0.2">
      <c r="A370" s="204"/>
      <c r="B370" s="207"/>
      <c r="C370" s="208"/>
      <c r="D370" s="208"/>
      <c r="E370" s="208"/>
      <c r="F370" s="208"/>
      <c r="G370" s="208"/>
      <c r="H370" s="208"/>
      <c r="I370" s="208"/>
      <c r="J370" s="208"/>
      <c r="K370" s="208"/>
      <c r="M370" s="207"/>
      <c r="N370" s="208"/>
      <c r="O370" s="208"/>
      <c r="P370" s="208"/>
      <c r="Q370" s="208"/>
      <c r="R370" s="208"/>
      <c r="S370" s="208"/>
      <c r="T370" s="208"/>
      <c r="U370" s="208"/>
      <c r="V370" s="208"/>
      <c r="X370" s="207"/>
      <c r="Y370" s="208"/>
      <c r="Z370" s="208"/>
      <c r="AA370" s="208"/>
      <c r="AB370" s="208"/>
      <c r="AC370" s="208"/>
      <c r="AD370" s="208"/>
      <c r="AE370" s="208"/>
      <c r="AF370" s="208"/>
      <c r="AG370" s="208"/>
      <c r="AI370" s="207"/>
      <c r="AJ370" s="208"/>
      <c r="AK370" s="208"/>
      <c r="AL370" s="208"/>
      <c r="AM370" s="208"/>
      <c r="AN370" s="208"/>
      <c r="AO370" s="208"/>
      <c r="AP370" s="208"/>
      <c r="AQ370" s="208"/>
      <c r="AR370" s="208"/>
      <c r="AT370" s="207"/>
      <c r="AU370" s="208"/>
      <c r="AV370" s="208"/>
      <c r="AW370" s="208"/>
      <c r="AX370" s="208"/>
      <c r="AY370" s="208"/>
      <c r="AZ370" s="208"/>
      <c r="BA370" s="208"/>
      <c r="BB370" s="208"/>
      <c r="BC370" s="208"/>
      <c r="BE370" s="207"/>
      <c r="BF370" s="208"/>
      <c r="BG370" s="208"/>
      <c r="BH370" s="208"/>
      <c r="BI370" s="208"/>
      <c r="BJ370" s="208"/>
      <c r="BK370" s="208"/>
      <c r="BL370" s="208"/>
      <c r="BM370" s="208"/>
      <c r="BN370" s="208"/>
      <c r="BP370" s="207"/>
      <c r="BQ370" s="208"/>
      <c r="BR370" s="208"/>
      <c r="BS370" s="208"/>
      <c r="BT370" s="208"/>
      <c r="BU370" s="208"/>
      <c r="BV370" s="208"/>
      <c r="BW370" s="208"/>
      <c r="BX370" s="208"/>
      <c r="BY370" s="208"/>
      <c r="CA370" s="207"/>
      <c r="CB370" s="208"/>
      <c r="CC370" s="208"/>
      <c r="CD370" s="208"/>
      <c r="CE370" s="208"/>
      <c r="CF370" s="208"/>
      <c r="CG370" s="208"/>
      <c r="CH370" s="208"/>
      <c r="CI370" s="208"/>
      <c r="CJ370" s="208"/>
      <c r="CL370" s="207"/>
      <c r="CM370" s="208"/>
      <c r="CN370" s="208"/>
      <c r="CO370" s="208"/>
      <c r="CP370" s="208"/>
      <c r="CQ370" s="208"/>
      <c r="CR370" s="208"/>
      <c r="CS370" s="208"/>
      <c r="CT370" s="208"/>
      <c r="CU370" s="208"/>
      <c r="CW370" s="207"/>
      <c r="CX370" s="208"/>
      <c r="CY370" s="208"/>
      <c r="CZ370" s="208"/>
      <c r="DA370" s="208"/>
      <c r="DB370" s="208"/>
      <c r="DC370" s="208"/>
      <c r="DD370" s="208"/>
      <c r="DE370" s="208"/>
      <c r="DF370" s="208"/>
      <c r="DH370" s="207"/>
      <c r="DI370" s="208"/>
      <c r="DJ370" s="208"/>
      <c r="DK370" s="208"/>
      <c r="DL370" s="208"/>
      <c r="DM370" s="208"/>
      <c r="DN370" s="208"/>
      <c r="DO370" s="208"/>
      <c r="DP370" s="208"/>
      <c r="DQ370" s="208"/>
      <c r="DS370" s="207"/>
      <c r="DT370" s="208"/>
      <c r="DU370" s="208"/>
      <c r="DV370" s="208"/>
      <c r="DW370" s="208"/>
      <c r="DX370" s="208"/>
      <c r="DY370" s="208"/>
      <c r="DZ370" s="208"/>
      <c r="EA370" s="208"/>
      <c r="EB370" s="208"/>
      <c r="ED370" s="207"/>
      <c r="EE370" s="208"/>
      <c r="EF370" s="208"/>
      <c r="EG370" s="208"/>
      <c r="EH370" s="208"/>
      <c r="EI370" s="208"/>
      <c r="EJ370" s="208"/>
      <c r="EK370" s="208"/>
      <c r="EL370" s="208"/>
      <c r="EM370" s="208"/>
      <c r="EO370" s="207"/>
      <c r="EP370" s="208"/>
      <c r="EQ370" s="208"/>
      <c r="ER370" s="208"/>
      <c r="ES370" s="208"/>
      <c r="ET370" s="208"/>
      <c r="EU370" s="208"/>
      <c r="EV370" s="208"/>
      <c r="EW370" s="208"/>
      <c r="EX370" s="208"/>
      <c r="EZ370" s="207"/>
      <c r="FA370" s="208"/>
      <c r="FB370" s="208"/>
      <c r="FC370" s="208"/>
      <c r="FD370" s="208"/>
      <c r="FE370" s="208"/>
      <c r="FF370" s="208"/>
      <c r="FG370" s="208"/>
      <c r="FH370" s="208"/>
      <c r="FI370" s="208"/>
      <c r="FK370" s="207"/>
      <c r="FL370" s="208"/>
      <c r="FM370" s="208"/>
      <c r="FN370" s="208"/>
      <c r="FO370" s="208"/>
      <c r="FP370" s="208"/>
      <c r="FQ370" s="208"/>
      <c r="FR370" s="208"/>
      <c r="FS370" s="208"/>
      <c r="FT370" s="208"/>
      <c r="FV370" s="207"/>
      <c r="FW370" s="208"/>
      <c r="FX370" s="208"/>
      <c r="FY370" s="208"/>
      <c r="FZ370" s="208"/>
      <c r="GA370" s="208"/>
      <c r="GB370" s="208"/>
      <c r="GC370" s="208"/>
      <c r="GD370" s="208"/>
      <c r="GE370" s="208"/>
      <c r="GG370" s="207"/>
      <c r="GH370" s="208"/>
      <c r="GI370" s="208"/>
      <c r="GJ370" s="208"/>
      <c r="GK370" s="208"/>
      <c r="GL370" s="208"/>
      <c r="GM370" s="208"/>
      <c r="GN370" s="208"/>
      <c r="GO370" s="208"/>
      <c r="GP370" s="208"/>
      <c r="GR370" s="208"/>
      <c r="GS370" s="208"/>
      <c r="GT370" s="208"/>
      <c r="GU370" s="208"/>
      <c r="GV370" s="208"/>
      <c r="GW370" s="208"/>
      <c r="GX370" s="208"/>
      <c r="GY370" s="208"/>
      <c r="GZ370" s="208"/>
      <c r="HA370" s="208"/>
      <c r="HB370" s="208"/>
      <c r="HC370" s="208"/>
      <c r="HD370" s="208"/>
      <c r="HE370" s="208"/>
      <c r="HF370" s="208"/>
      <c r="HG370" s="208"/>
      <c r="HH370" s="208"/>
      <c r="HI370" s="208"/>
      <c r="HJ370" s="208"/>
      <c r="HK370" s="208"/>
      <c r="HL370" s="208"/>
      <c r="HM370" s="208"/>
      <c r="HN370" s="208"/>
      <c r="HO370" s="208"/>
      <c r="HP370" s="208"/>
      <c r="HQ370" s="208"/>
      <c r="HR370" s="208"/>
      <c r="HS370" s="208"/>
      <c r="HT370" s="208"/>
      <c r="HU370" s="208"/>
      <c r="HV370" s="208"/>
      <c r="HW370" s="208"/>
      <c r="HX370" s="208"/>
      <c r="HY370" s="208"/>
      <c r="HZ370" s="208"/>
      <c r="IA370" s="208"/>
      <c r="IB370" s="208"/>
      <c r="IC370" s="208"/>
      <c r="ID370" s="208"/>
      <c r="IE370" s="208"/>
      <c r="IF370" s="208"/>
      <c r="IG370" s="208"/>
      <c r="IH370" s="208"/>
      <c r="II370" s="208"/>
      <c r="IJ370" s="208"/>
      <c r="IK370" s="208"/>
      <c r="IL370" s="208"/>
      <c r="IM370" s="208"/>
      <c r="IN370" s="208"/>
      <c r="IO370" s="208"/>
      <c r="IP370" s="208"/>
      <c r="IQ370" s="208"/>
      <c r="IR370" s="208"/>
      <c r="IS370" s="208"/>
      <c r="IT370" s="208"/>
      <c r="IU370" s="208"/>
      <c r="IV370" s="208"/>
    </row>
    <row r="371" spans="1:256" x14ac:dyDescent="0.2">
      <c r="A371" s="204"/>
      <c r="B371" s="207"/>
      <c r="C371" s="208"/>
      <c r="D371" s="208"/>
      <c r="E371" s="208"/>
      <c r="F371" s="208"/>
      <c r="G371" s="208"/>
      <c r="H371" s="208"/>
      <c r="I371" s="208"/>
      <c r="J371" s="208"/>
      <c r="K371" s="208"/>
      <c r="M371" s="207"/>
      <c r="N371" s="208"/>
      <c r="O371" s="208"/>
      <c r="P371" s="208"/>
      <c r="Q371" s="208"/>
      <c r="R371" s="208"/>
      <c r="S371" s="208"/>
      <c r="T371" s="208"/>
      <c r="U371" s="208"/>
      <c r="V371" s="208"/>
      <c r="X371" s="207"/>
      <c r="Y371" s="208"/>
      <c r="Z371" s="208"/>
      <c r="AA371" s="208"/>
      <c r="AB371" s="208"/>
      <c r="AC371" s="208"/>
      <c r="AD371" s="208"/>
      <c r="AE371" s="208"/>
      <c r="AF371" s="208"/>
      <c r="AG371" s="208"/>
      <c r="AI371" s="207"/>
      <c r="AJ371" s="208"/>
      <c r="AK371" s="208"/>
      <c r="AL371" s="208"/>
      <c r="AM371" s="208"/>
      <c r="AN371" s="208"/>
      <c r="AO371" s="208"/>
      <c r="AP371" s="208"/>
      <c r="AQ371" s="208"/>
      <c r="AR371" s="208"/>
      <c r="AT371" s="207"/>
      <c r="AU371" s="208"/>
      <c r="AV371" s="208"/>
      <c r="AW371" s="208"/>
      <c r="AX371" s="208"/>
      <c r="AY371" s="208"/>
      <c r="AZ371" s="208"/>
      <c r="BA371" s="208"/>
      <c r="BB371" s="208"/>
      <c r="BC371" s="208"/>
      <c r="BE371" s="207"/>
      <c r="BF371" s="208"/>
      <c r="BG371" s="208"/>
      <c r="BH371" s="208"/>
      <c r="BI371" s="208"/>
      <c r="BJ371" s="208"/>
      <c r="BK371" s="208"/>
      <c r="BL371" s="208"/>
      <c r="BM371" s="208"/>
      <c r="BN371" s="208"/>
      <c r="BP371" s="207"/>
      <c r="BQ371" s="208"/>
      <c r="BR371" s="208"/>
      <c r="BS371" s="208"/>
      <c r="BT371" s="208"/>
      <c r="BU371" s="208"/>
      <c r="BV371" s="208"/>
      <c r="BW371" s="208"/>
      <c r="BX371" s="208"/>
      <c r="BY371" s="208"/>
      <c r="CA371" s="207"/>
      <c r="CB371" s="208"/>
      <c r="CC371" s="208"/>
      <c r="CD371" s="208"/>
      <c r="CE371" s="208"/>
      <c r="CF371" s="208"/>
      <c r="CG371" s="208"/>
      <c r="CH371" s="208"/>
      <c r="CI371" s="208"/>
      <c r="CJ371" s="208"/>
      <c r="CL371" s="207"/>
      <c r="CM371" s="208"/>
      <c r="CN371" s="208"/>
      <c r="CO371" s="208"/>
      <c r="CP371" s="208"/>
      <c r="CQ371" s="208"/>
      <c r="CR371" s="208"/>
      <c r="CS371" s="208"/>
      <c r="CT371" s="208"/>
      <c r="CU371" s="208"/>
      <c r="CW371" s="207"/>
      <c r="CX371" s="208"/>
      <c r="CY371" s="208"/>
      <c r="CZ371" s="208"/>
      <c r="DA371" s="208"/>
      <c r="DB371" s="208"/>
      <c r="DC371" s="208"/>
      <c r="DD371" s="208"/>
      <c r="DE371" s="208"/>
      <c r="DF371" s="208"/>
      <c r="DH371" s="207"/>
      <c r="DI371" s="208"/>
      <c r="DJ371" s="208"/>
      <c r="DK371" s="208"/>
      <c r="DL371" s="208"/>
      <c r="DM371" s="208"/>
      <c r="DN371" s="208"/>
      <c r="DO371" s="208"/>
      <c r="DP371" s="208"/>
      <c r="DQ371" s="208"/>
      <c r="DS371" s="207"/>
      <c r="DT371" s="208"/>
      <c r="DU371" s="208"/>
      <c r="DV371" s="208"/>
      <c r="DW371" s="208"/>
      <c r="DX371" s="208"/>
      <c r="DY371" s="208"/>
      <c r="DZ371" s="208"/>
      <c r="EA371" s="208"/>
      <c r="EB371" s="208"/>
      <c r="ED371" s="207"/>
      <c r="EE371" s="208"/>
      <c r="EF371" s="208"/>
      <c r="EG371" s="208"/>
      <c r="EH371" s="208"/>
      <c r="EI371" s="208"/>
      <c r="EJ371" s="208"/>
      <c r="EK371" s="208"/>
      <c r="EL371" s="208"/>
      <c r="EM371" s="208"/>
      <c r="EO371" s="207"/>
      <c r="EP371" s="208"/>
      <c r="EQ371" s="208"/>
      <c r="ER371" s="208"/>
      <c r="ES371" s="208"/>
      <c r="ET371" s="208"/>
      <c r="EU371" s="208"/>
      <c r="EV371" s="208"/>
      <c r="EW371" s="208"/>
      <c r="EX371" s="208"/>
      <c r="EZ371" s="207"/>
      <c r="FA371" s="208"/>
      <c r="FB371" s="208"/>
      <c r="FC371" s="208"/>
      <c r="FD371" s="208"/>
      <c r="FE371" s="208"/>
      <c r="FF371" s="208"/>
      <c r="FG371" s="208"/>
      <c r="FH371" s="208"/>
      <c r="FI371" s="208"/>
      <c r="FK371" s="207"/>
      <c r="FL371" s="208"/>
      <c r="FM371" s="208"/>
      <c r="FN371" s="208"/>
      <c r="FO371" s="208"/>
      <c r="FP371" s="208"/>
      <c r="FQ371" s="208"/>
      <c r="FR371" s="208"/>
      <c r="FS371" s="208"/>
      <c r="FT371" s="208"/>
      <c r="FV371" s="207"/>
      <c r="FW371" s="208"/>
      <c r="FX371" s="208"/>
      <c r="FY371" s="208"/>
      <c r="FZ371" s="208"/>
      <c r="GA371" s="208"/>
      <c r="GB371" s="208"/>
      <c r="GC371" s="208"/>
      <c r="GD371" s="208"/>
      <c r="GE371" s="208"/>
      <c r="GG371" s="207"/>
      <c r="GH371" s="208"/>
      <c r="GI371" s="208"/>
      <c r="GJ371" s="208"/>
      <c r="GK371" s="208"/>
      <c r="GL371" s="208"/>
      <c r="GM371" s="208"/>
      <c r="GN371" s="208"/>
      <c r="GO371" s="208"/>
      <c r="GP371" s="208"/>
      <c r="GR371" s="208"/>
      <c r="GS371" s="208"/>
      <c r="GT371" s="208"/>
      <c r="GU371" s="208"/>
      <c r="GV371" s="208"/>
      <c r="GW371" s="208"/>
      <c r="GX371" s="208"/>
      <c r="GY371" s="208"/>
      <c r="GZ371" s="208"/>
      <c r="HA371" s="208"/>
      <c r="HB371" s="208"/>
      <c r="HC371" s="208"/>
      <c r="HD371" s="208"/>
      <c r="HE371" s="208"/>
      <c r="HF371" s="208"/>
      <c r="HG371" s="208"/>
      <c r="HH371" s="208"/>
      <c r="HI371" s="208"/>
      <c r="HJ371" s="208"/>
      <c r="HK371" s="208"/>
      <c r="HL371" s="208"/>
      <c r="HM371" s="208"/>
      <c r="HN371" s="208"/>
      <c r="HO371" s="208"/>
      <c r="HP371" s="208"/>
      <c r="HQ371" s="208"/>
      <c r="HR371" s="208"/>
      <c r="HS371" s="208"/>
      <c r="HT371" s="208"/>
      <c r="HU371" s="208"/>
      <c r="HV371" s="208"/>
      <c r="HW371" s="208"/>
      <c r="HX371" s="208"/>
      <c r="HY371" s="208"/>
      <c r="HZ371" s="208"/>
      <c r="IA371" s="208"/>
      <c r="IB371" s="208"/>
      <c r="IC371" s="208"/>
      <c r="ID371" s="208"/>
      <c r="IE371" s="208"/>
      <c r="IF371" s="208"/>
      <c r="IG371" s="208"/>
      <c r="IH371" s="208"/>
      <c r="II371" s="208"/>
      <c r="IJ371" s="208"/>
      <c r="IK371" s="208"/>
      <c r="IL371" s="208"/>
      <c r="IM371" s="208"/>
      <c r="IN371" s="208"/>
      <c r="IO371" s="208"/>
      <c r="IP371" s="208"/>
      <c r="IQ371" s="208"/>
      <c r="IR371" s="208"/>
      <c r="IS371" s="208"/>
      <c r="IT371" s="208"/>
      <c r="IU371" s="208"/>
      <c r="IV371" s="208"/>
    </row>
    <row r="372" spans="1:256" x14ac:dyDescent="0.2">
      <c r="A372" s="204"/>
      <c r="B372" s="192"/>
      <c r="M372" s="192"/>
      <c r="X372" s="192"/>
      <c r="AI372" s="192"/>
      <c r="AT372" s="192"/>
      <c r="BE372" s="192"/>
      <c r="BP372" s="192"/>
      <c r="CA372" s="192"/>
      <c r="CL372" s="192"/>
      <c r="CW372" s="192"/>
      <c r="DH372" s="192"/>
      <c r="DS372" s="192"/>
      <c r="ED372" s="192"/>
      <c r="EO372" s="192"/>
      <c r="EZ372" s="192"/>
      <c r="FK372" s="192"/>
      <c r="FV372" s="192"/>
      <c r="GG372" s="192"/>
      <c r="GV372" s="191"/>
      <c r="HA372" s="191"/>
      <c r="HF372" s="191"/>
      <c r="HK372" s="191"/>
      <c r="HP372" s="191"/>
      <c r="HU372" s="191"/>
      <c r="HZ372" s="191"/>
      <c r="IE372" s="191"/>
      <c r="IJ372" s="191"/>
      <c r="IO372" s="191"/>
      <c r="IT372" s="191"/>
    </row>
    <row r="373" spans="1:256" x14ac:dyDescent="0.2">
      <c r="A373" s="204"/>
      <c r="B373" s="203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3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3"/>
      <c r="Y373" s="202"/>
      <c r="Z373" s="202"/>
      <c r="AA373" s="202"/>
      <c r="AB373" s="202"/>
      <c r="AC373" s="202"/>
      <c r="AD373" s="202"/>
      <c r="AE373" s="202"/>
      <c r="AF373" s="202"/>
      <c r="AG373" s="202"/>
      <c r="AH373" s="202"/>
      <c r="AI373" s="203"/>
      <c r="AJ373" s="202"/>
      <c r="AK373" s="202"/>
      <c r="AL373" s="202"/>
      <c r="AM373" s="202"/>
      <c r="AN373" s="202"/>
      <c r="AO373" s="202"/>
      <c r="AP373" s="202"/>
      <c r="AQ373" s="202"/>
      <c r="AR373" s="202"/>
      <c r="AS373" s="202"/>
      <c r="AT373" s="203"/>
      <c r="AU373" s="202"/>
      <c r="AV373" s="202"/>
      <c r="AW373" s="202"/>
      <c r="AX373" s="202"/>
      <c r="AY373" s="202"/>
      <c r="AZ373" s="202"/>
      <c r="BA373" s="202"/>
      <c r="BB373" s="202"/>
      <c r="BC373" s="202"/>
      <c r="BD373" s="202"/>
      <c r="BE373" s="203"/>
      <c r="BF373" s="202"/>
      <c r="BG373" s="202"/>
      <c r="BH373" s="202"/>
      <c r="BI373" s="202"/>
      <c r="BJ373" s="202"/>
      <c r="BK373" s="202"/>
      <c r="BL373" s="202"/>
      <c r="BM373" s="202"/>
      <c r="BN373" s="202"/>
      <c r="BO373" s="202"/>
      <c r="BP373" s="203"/>
      <c r="BQ373" s="202"/>
      <c r="BR373" s="202"/>
      <c r="BS373" s="202"/>
      <c r="BT373" s="202"/>
      <c r="BU373" s="202"/>
      <c r="BV373" s="202"/>
      <c r="BW373" s="202"/>
      <c r="BX373" s="202"/>
      <c r="BY373" s="202"/>
      <c r="BZ373" s="202"/>
      <c r="CA373" s="203"/>
      <c r="CB373" s="202"/>
      <c r="CC373" s="202"/>
      <c r="CD373" s="202"/>
      <c r="CE373" s="202"/>
      <c r="CF373" s="202"/>
      <c r="CG373" s="202"/>
      <c r="CH373" s="202"/>
      <c r="CI373" s="202"/>
      <c r="CJ373" s="202"/>
      <c r="CK373" s="202"/>
      <c r="CL373" s="203"/>
      <c r="CM373" s="202"/>
      <c r="CN373" s="202"/>
      <c r="CO373" s="202"/>
      <c r="CP373" s="202"/>
      <c r="CQ373" s="202"/>
      <c r="CR373" s="202"/>
      <c r="CS373" s="202"/>
      <c r="CT373" s="202"/>
      <c r="CU373" s="202"/>
      <c r="CV373" s="202"/>
      <c r="CW373" s="203"/>
      <c r="CX373" s="202"/>
      <c r="CY373" s="202"/>
      <c r="CZ373" s="202"/>
      <c r="DA373" s="202"/>
      <c r="DB373" s="202"/>
      <c r="DC373" s="202"/>
      <c r="DD373" s="202"/>
      <c r="DE373" s="202"/>
      <c r="DF373" s="202"/>
      <c r="DG373" s="202"/>
      <c r="DH373" s="203"/>
      <c r="DI373" s="202"/>
      <c r="DJ373" s="202"/>
      <c r="DK373" s="202"/>
      <c r="DL373" s="202"/>
      <c r="DM373" s="202"/>
      <c r="DN373" s="202"/>
      <c r="DO373" s="202"/>
      <c r="DP373" s="202"/>
      <c r="DQ373" s="202"/>
      <c r="DR373" s="202"/>
      <c r="DS373" s="203"/>
      <c r="DT373" s="202"/>
      <c r="DU373" s="202"/>
      <c r="DV373" s="202"/>
      <c r="DW373" s="202"/>
      <c r="DX373" s="202"/>
      <c r="DY373" s="202"/>
      <c r="DZ373" s="202"/>
      <c r="EA373" s="202"/>
      <c r="EB373" s="202"/>
      <c r="EC373" s="202"/>
      <c r="ED373" s="203"/>
      <c r="EE373" s="202"/>
      <c r="EF373" s="202"/>
      <c r="EG373" s="202"/>
      <c r="EH373" s="202"/>
      <c r="EI373" s="202"/>
      <c r="EJ373" s="202"/>
      <c r="EK373" s="202"/>
      <c r="EL373" s="202"/>
      <c r="EM373" s="202"/>
      <c r="EN373" s="202"/>
      <c r="EO373" s="203"/>
      <c r="EP373" s="202"/>
      <c r="EQ373" s="202"/>
      <c r="ER373" s="202"/>
      <c r="ES373" s="202"/>
      <c r="ET373" s="202"/>
      <c r="EU373" s="202"/>
      <c r="EV373" s="202"/>
      <c r="EW373" s="202"/>
      <c r="EX373" s="202"/>
      <c r="EY373" s="202"/>
      <c r="EZ373" s="203"/>
      <c r="FA373" s="202"/>
      <c r="FB373" s="202"/>
      <c r="FC373" s="202"/>
      <c r="FD373" s="202"/>
      <c r="FE373" s="202"/>
      <c r="FF373" s="202"/>
      <c r="FG373" s="202"/>
      <c r="FH373" s="202"/>
      <c r="FI373" s="202"/>
      <c r="FJ373" s="202"/>
      <c r="FK373" s="203"/>
      <c r="FL373" s="202"/>
      <c r="FM373" s="202"/>
      <c r="FN373" s="202"/>
      <c r="FO373" s="202"/>
      <c r="FP373" s="202"/>
      <c r="FQ373" s="202"/>
      <c r="FR373" s="202"/>
      <c r="FS373" s="202"/>
      <c r="FT373" s="202"/>
      <c r="FU373" s="202"/>
      <c r="FV373" s="203"/>
      <c r="FW373" s="202"/>
      <c r="FX373" s="202"/>
      <c r="FY373" s="202"/>
      <c r="FZ373" s="202"/>
      <c r="GA373" s="202"/>
      <c r="GB373" s="202"/>
      <c r="GC373" s="202"/>
      <c r="GD373" s="202"/>
      <c r="GE373" s="202"/>
      <c r="GF373" s="202"/>
      <c r="GG373" s="203"/>
      <c r="GH373" s="202"/>
      <c r="GI373" s="202"/>
      <c r="GJ373" s="202"/>
      <c r="GK373" s="202"/>
      <c r="GL373" s="202"/>
      <c r="GM373" s="202"/>
      <c r="GN373" s="202"/>
      <c r="GO373" s="202"/>
      <c r="GP373" s="202"/>
      <c r="GQ373" s="202"/>
      <c r="GR373" s="202"/>
      <c r="GS373" s="202"/>
      <c r="GT373" s="202"/>
      <c r="GU373" s="202"/>
      <c r="GV373" s="202"/>
      <c r="GW373" s="202"/>
      <c r="GX373" s="202"/>
      <c r="GY373" s="202"/>
      <c r="GZ373" s="202"/>
      <c r="HA373" s="202"/>
      <c r="HB373" s="202"/>
      <c r="HC373" s="202"/>
      <c r="HD373" s="202"/>
      <c r="HE373" s="202"/>
      <c r="HF373" s="202"/>
      <c r="HG373" s="202"/>
      <c r="HH373" s="202"/>
      <c r="HI373" s="202"/>
      <c r="HJ373" s="202"/>
      <c r="HK373" s="202"/>
      <c r="HL373" s="202"/>
      <c r="HM373" s="202"/>
      <c r="HN373" s="202"/>
      <c r="HO373" s="202"/>
      <c r="HP373" s="202"/>
      <c r="HQ373" s="202"/>
      <c r="HR373" s="202"/>
      <c r="HS373" s="202"/>
      <c r="HT373" s="202"/>
      <c r="HU373" s="202"/>
      <c r="HV373" s="202"/>
      <c r="HW373" s="202"/>
      <c r="HX373" s="202"/>
      <c r="HY373" s="202"/>
      <c r="HZ373" s="202"/>
      <c r="IA373" s="202"/>
      <c r="IB373" s="202"/>
      <c r="IC373" s="202"/>
      <c r="ID373" s="202"/>
      <c r="IE373" s="202"/>
      <c r="IF373" s="202"/>
      <c r="IG373" s="202"/>
      <c r="IH373" s="202"/>
      <c r="II373" s="202"/>
      <c r="IJ373" s="202"/>
      <c r="IK373" s="202"/>
      <c r="IL373" s="202"/>
      <c r="IM373" s="202"/>
      <c r="IN373" s="202"/>
      <c r="IO373" s="202"/>
      <c r="IP373" s="202"/>
      <c r="IQ373" s="202"/>
      <c r="IR373" s="202"/>
      <c r="IS373" s="202"/>
      <c r="IT373" s="202"/>
      <c r="IU373" s="202"/>
      <c r="IV373" s="202"/>
    </row>
    <row r="374" spans="1:256" x14ac:dyDescent="0.2">
      <c r="A374" s="204"/>
      <c r="B374" s="192"/>
      <c r="M374" s="192"/>
      <c r="X374" s="192"/>
      <c r="AI374" s="192"/>
      <c r="AT374" s="192"/>
      <c r="AU374" s="192"/>
      <c r="AV374" s="192"/>
      <c r="AW374" s="192"/>
      <c r="AX374" s="192"/>
      <c r="AY374" s="192"/>
      <c r="AZ374" s="192"/>
      <c r="BA374" s="192"/>
      <c r="BB374" s="192"/>
      <c r="BC374" s="192"/>
      <c r="BE374" s="192"/>
      <c r="BP374" s="192"/>
      <c r="CA374" s="192"/>
      <c r="CL374" s="192"/>
      <c r="CM374" s="192"/>
      <c r="CN374" s="192"/>
      <c r="CO374" s="192"/>
      <c r="CP374" s="192"/>
      <c r="CQ374" s="192"/>
      <c r="CR374" s="192"/>
      <c r="CS374" s="192"/>
      <c r="CT374" s="192"/>
      <c r="CU374" s="192"/>
      <c r="CW374" s="192"/>
      <c r="DH374" s="192"/>
      <c r="DS374" s="192"/>
      <c r="ED374" s="192"/>
      <c r="EE374" s="192"/>
      <c r="EF374" s="192"/>
      <c r="EG374" s="192"/>
      <c r="EH374" s="192"/>
      <c r="EI374" s="192"/>
      <c r="EJ374" s="192"/>
      <c r="EK374" s="192"/>
      <c r="EL374" s="192"/>
      <c r="EM374" s="192"/>
      <c r="EO374" s="192"/>
      <c r="EZ374" s="192"/>
      <c r="FK374" s="192"/>
      <c r="FV374" s="192"/>
      <c r="FW374" s="192"/>
      <c r="FX374" s="192"/>
      <c r="FY374" s="192"/>
      <c r="FZ374" s="192"/>
      <c r="GA374" s="192"/>
      <c r="GB374" s="192"/>
      <c r="GC374" s="192"/>
      <c r="GD374" s="192"/>
      <c r="GE374" s="192"/>
      <c r="GG374" s="192"/>
      <c r="GV374" s="191"/>
      <c r="HA374" s="191"/>
      <c r="HF374" s="191"/>
      <c r="HK374" s="191"/>
      <c r="HP374" s="191"/>
      <c r="HU374" s="191"/>
      <c r="HZ374" s="191"/>
      <c r="IE374" s="191"/>
      <c r="IJ374" s="191"/>
      <c r="IO374" s="191"/>
      <c r="IT374" s="191"/>
    </row>
    <row r="375" spans="1:256" x14ac:dyDescent="0.2">
      <c r="A375" s="204"/>
      <c r="B375" s="203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3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3"/>
      <c r="Y375" s="202"/>
      <c r="Z375" s="202"/>
      <c r="AA375" s="202"/>
      <c r="AB375" s="202"/>
      <c r="AC375" s="202"/>
      <c r="AD375" s="202"/>
      <c r="AE375" s="202"/>
      <c r="AF375" s="202"/>
      <c r="AG375" s="202"/>
      <c r="AH375" s="202"/>
      <c r="AI375" s="203"/>
      <c r="AJ375" s="202"/>
      <c r="AK375" s="202"/>
      <c r="AL375" s="202"/>
      <c r="AM375" s="202"/>
      <c r="AN375" s="202"/>
      <c r="AO375" s="202"/>
      <c r="AP375" s="202"/>
      <c r="AQ375" s="202"/>
      <c r="AR375" s="202"/>
      <c r="AS375" s="202"/>
      <c r="AT375" s="203"/>
      <c r="AU375" s="202"/>
      <c r="AV375" s="202"/>
      <c r="AW375" s="202"/>
      <c r="AX375" s="202"/>
      <c r="AY375" s="202"/>
      <c r="AZ375" s="202"/>
      <c r="BA375" s="202"/>
      <c r="BB375" s="202"/>
      <c r="BC375" s="202"/>
      <c r="BD375" s="202"/>
      <c r="BE375" s="203"/>
      <c r="BF375" s="202"/>
      <c r="BG375" s="202"/>
      <c r="BH375" s="202"/>
      <c r="BI375" s="202"/>
      <c r="BJ375" s="202"/>
      <c r="BK375" s="202"/>
      <c r="BL375" s="202"/>
      <c r="BM375" s="202"/>
      <c r="BN375" s="202"/>
      <c r="BO375" s="202"/>
      <c r="BP375" s="203"/>
      <c r="BQ375" s="202"/>
      <c r="BR375" s="202"/>
      <c r="BS375" s="202"/>
      <c r="BT375" s="202"/>
      <c r="BU375" s="202"/>
      <c r="BV375" s="202"/>
      <c r="BW375" s="202"/>
      <c r="BX375" s="202"/>
      <c r="BY375" s="202"/>
      <c r="BZ375" s="202"/>
      <c r="CA375" s="203"/>
      <c r="CB375" s="202"/>
      <c r="CC375" s="202"/>
      <c r="CD375" s="202"/>
      <c r="CE375" s="202"/>
      <c r="CF375" s="202"/>
      <c r="CG375" s="202"/>
      <c r="CH375" s="202"/>
      <c r="CI375" s="202"/>
      <c r="CJ375" s="202"/>
      <c r="CK375" s="202"/>
      <c r="CL375" s="203"/>
      <c r="CM375" s="202"/>
      <c r="CN375" s="202"/>
      <c r="CO375" s="202"/>
      <c r="CP375" s="202"/>
      <c r="CQ375" s="202"/>
      <c r="CR375" s="202"/>
      <c r="CS375" s="202"/>
      <c r="CT375" s="202"/>
      <c r="CU375" s="202"/>
      <c r="CV375" s="202"/>
      <c r="CW375" s="203"/>
      <c r="CX375" s="202"/>
      <c r="CY375" s="202"/>
      <c r="CZ375" s="202"/>
      <c r="DA375" s="202"/>
      <c r="DB375" s="202"/>
      <c r="DC375" s="202"/>
      <c r="DD375" s="202"/>
      <c r="DE375" s="202"/>
      <c r="DF375" s="202"/>
      <c r="DG375" s="202"/>
      <c r="DH375" s="203"/>
      <c r="DI375" s="202"/>
      <c r="DJ375" s="202"/>
      <c r="DK375" s="202"/>
      <c r="DL375" s="202"/>
      <c r="DM375" s="202"/>
      <c r="DN375" s="202"/>
      <c r="DO375" s="202"/>
      <c r="DP375" s="202"/>
      <c r="DQ375" s="202"/>
      <c r="DR375" s="202"/>
      <c r="DS375" s="203"/>
      <c r="DT375" s="202"/>
      <c r="DU375" s="202"/>
      <c r="DV375" s="202"/>
      <c r="DW375" s="202"/>
      <c r="DX375" s="202"/>
      <c r="DY375" s="202"/>
      <c r="DZ375" s="202"/>
      <c r="EA375" s="202"/>
      <c r="EB375" s="202"/>
      <c r="EC375" s="202"/>
      <c r="ED375" s="203"/>
      <c r="EE375" s="202"/>
      <c r="EF375" s="202"/>
      <c r="EG375" s="202"/>
      <c r="EH375" s="202"/>
      <c r="EI375" s="202"/>
      <c r="EJ375" s="202"/>
      <c r="EK375" s="202"/>
      <c r="EL375" s="202"/>
      <c r="EM375" s="202"/>
      <c r="EN375" s="202"/>
      <c r="EO375" s="203"/>
      <c r="EP375" s="202"/>
      <c r="EQ375" s="202"/>
      <c r="ER375" s="202"/>
      <c r="ES375" s="202"/>
      <c r="ET375" s="202"/>
      <c r="EU375" s="202"/>
      <c r="EV375" s="202"/>
      <c r="EW375" s="202"/>
      <c r="EX375" s="202"/>
      <c r="EY375" s="202"/>
      <c r="EZ375" s="203"/>
      <c r="FA375" s="202"/>
      <c r="FB375" s="202"/>
      <c r="FC375" s="202"/>
      <c r="FD375" s="202"/>
      <c r="FE375" s="202"/>
      <c r="FF375" s="202"/>
      <c r="FG375" s="202"/>
      <c r="FH375" s="202"/>
      <c r="FI375" s="202"/>
      <c r="FJ375" s="202"/>
      <c r="FK375" s="203"/>
      <c r="FL375" s="202"/>
      <c r="FM375" s="202"/>
      <c r="FN375" s="202"/>
      <c r="FO375" s="202"/>
      <c r="FP375" s="202"/>
      <c r="FQ375" s="202"/>
      <c r="FR375" s="202"/>
      <c r="FS375" s="202"/>
      <c r="FT375" s="202"/>
      <c r="FU375" s="202"/>
      <c r="FV375" s="203"/>
      <c r="FW375" s="202"/>
      <c r="FX375" s="202"/>
      <c r="FY375" s="202"/>
      <c r="FZ375" s="202"/>
      <c r="GA375" s="202"/>
      <c r="GB375" s="202"/>
      <c r="GC375" s="202"/>
      <c r="GD375" s="202"/>
      <c r="GE375" s="202"/>
      <c r="GF375" s="202"/>
      <c r="GG375" s="203"/>
      <c r="GH375" s="202"/>
      <c r="GI375" s="202"/>
      <c r="GJ375" s="202"/>
      <c r="GK375" s="202"/>
      <c r="GL375" s="202"/>
      <c r="GM375" s="202"/>
      <c r="GN375" s="202"/>
      <c r="GO375" s="202"/>
      <c r="GP375" s="202"/>
      <c r="GQ375" s="202"/>
      <c r="GR375" s="202"/>
      <c r="GS375" s="202"/>
      <c r="GT375" s="202"/>
      <c r="GU375" s="202"/>
      <c r="GV375" s="202"/>
      <c r="GW375" s="202"/>
      <c r="GX375" s="202"/>
      <c r="GY375" s="202"/>
      <c r="GZ375" s="202"/>
      <c r="HA375" s="202"/>
      <c r="HB375" s="202"/>
      <c r="HC375" s="202"/>
      <c r="HD375" s="202"/>
      <c r="HE375" s="202"/>
      <c r="HF375" s="202"/>
      <c r="HG375" s="202"/>
      <c r="HH375" s="202"/>
      <c r="HI375" s="202"/>
      <c r="HJ375" s="202"/>
      <c r="HK375" s="202"/>
      <c r="HL375" s="202"/>
      <c r="HM375" s="202"/>
      <c r="HN375" s="202"/>
      <c r="HO375" s="202"/>
      <c r="HP375" s="202"/>
      <c r="HQ375" s="202"/>
      <c r="HR375" s="202"/>
      <c r="HS375" s="202"/>
      <c r="HT375" s="202"/>
      <c r="HU375" s="202"/>
      <c r="HV375" s="202"/>
      <c r="HW375" s="202"/>
      <c r="HX375" s="202"/>
      <c r="HY375" s="202"/>
      <c r="HZ375" s="202"/>
      <c r="IA375" s="202"/>
      <c r="IB375" s="202"/>
      <c r="IC375" s="202"/>
      <c r="ID375" s="202"/>
      <c r="IE375" s="202"/>
      <c r="IF375" s="202"/>
      <c r="IG375" s="202"/>
      <c r="IH375" s="202"/>
      <c r="II375" s="202"/>
      <c r="IJ375" s="202"/>
      <c r="IK375" s="202"/>
      <c r="IL375" s="202"/>
      <c r="IM375" s="202"/>
      <c r="IN375" s="202"/>
      <c r="IO375" s="202"/>
      <c r="IP375" s="202"/>
      <c r="IQ375" s="202"/>
      <c r="IR375" s="202"/>
      <c r="IS375" s="202"/>
      <c r="IT375" s="202"/>
      <c r="IU375" s="202"/>
      <c r="IV375" s="202"/>
    </row>
    <row r="376" spans="1:256" x14ac:dyDescent="0.2">
      <c r="A376" s="204"/>
      <c r="B376" s="192"/>
      <c r="M376" s="192"/>
      <c r="X376" s="192"/>
      <c r="AI376" s="192"/>
      <c r="AT376" s="192"/>
      <c r="AU376" s="192"/>
      <c r="AV376" s="192"/>
      <c r="AW376" s="192"/>
      <c r="AX376" s="192"/>
      <c r="AY376" s="192"/>
      <c r="AZ376" s="192"/>
      <c r="BA376" s="192"/>
      <c r="BB376" s="192"/>
      <c r="BC376" s="192"/>
      <c r="BE376" s="192"/>
      <c r="BP376" s="192"/>
      <c r="CA376" s="192"/>
      <c r="CL376" s="192"/>
      <c r="CM376" s="192"/>
      <c r="CN376" s="192"/>
      <c r="CO376" s="192"/>
      <c r="CP376" s="192"/>
      <c r="CQ376" s="192"/>
      <c r="CR376" s="192"/>
      <c r="CS376" s="192"/>
      <c r="CT376" s="192"/>
      <c r="CU376" s="192"/>
      <c r="CW376" s="192"/>
      <c r="DH376" s="192"/>
      <c r="DS376" s="192"/>
      <c r="ED376" s="192"/>
      <c r="EE376" s="192"/>
      <c r="EF376" s="192"/>
      <c r="EG376" s="192"/>
      <c r="EH376" s="192"/>
      <c r="EI376" s="192"/>
      <c r="EJ376" s="192"/>
      <c r="EK376" s="192"/>
      <c r="EL376" s="192"/>
      <c r="EM376" s="192"/>
      <c r="EO376" s="192"/>
      <c r="EZ376" s="192"/>
      <c r="FK376" s="192"/>
      <c r="FV376" s="192"/>
      <c r="FW376" s="192"/>
      <c r="FX376" s="192"/>
      <c r="FY376" s="192"/>
      <c r="FZ376" s="192"/>
      <c r="GA376" s="192"/>
      <c r="GB376" s="192"/>
      <c r="GC376" s="192"/>
      <c r="GD376" s="192"/>
      <c r="GE376" s="192"/>
      <c r="GG376" s="192"/>
      <c r="GV376" s="191"/>
      <c r="HA376" s="191"/>
      <c r="HF376" s="191"/>
      <c r="HK376" s="191"/>
      <c r="HP376" s="191"/>
      <c r="HU376" s="191"/>
      <c r="HZ376" s="191"/>
      <c r="IE376" s="191"/>
      <c r="IJ376" s="191"/>
      <c r="IO376" s="191"/>
      <c r="IT376" s="191"/>
    </row>
    <row r="377" spans="1:256" x14ac:dyDescent="0.2">
      <c r="A377" s="204"/>
      <c r="B377" s="192"/>
      <c r="M377" s="192"/>
      <c r="X377" s="192"/>
      <c r="AI377" s="192"/>
      <c r="AT377" s="192"/>
      <c r="AU377" s="192"/>
      <c r="AV377" s="192"/>
      <c r="AW377" s="192"/>
      <c r="AX377" s="192"/>
      <c r="AY377" s="192"/>
      <c r="AZ377" s="192"/>
      <c r="BA377" s="192"/>
      <c r="BB377" s="192"/>
      <c r="BC377" s="192"/>
      <c r="BE377" s="192"/>
      <c r="BP377" s="192"/>
      <c r="CA377" s="192"/>
      <c r="CL377" s="192"/>
      <c r="CM377" s="192"/>
      <c r="CN377" s="192"/>
      <c r="CO377" s="192"/>
      <c r="CP377" s="192"/>
      <c r="CQ377" s="192"/>
      <c r="CR377" s="192"/>
      <c r="CS377" s="192"/>
      <c r="CT377" s="192"/>
      <c r="CU377" s="192"/>
      <c r="CW377" s="192"/>
      <c r="DH377" s="192"/>
      <c r="DS377" s="192"/>
      <c r="ED377" s="192"/>
      <c r="EE377" s="192"/>
      <c r="EF377" s="192"/>
      <c r="EG377" s="192"/>
      <c r="EH377" s="192"/>
      <c r="EI377" s="192"/>
      <c r="EJ377" s="192"/>
      <c r="EK377" s="192"/>
      <c r="EL377" s="192"/>
      <c r="EM377" s="192"/>
      <c r="EO377" s="192"/>
      <c r="EZ377" s="192"/>
      <c r="FK377" s="192"/>
      <c r="FV377" s="192"/>
      <c r="FW377" s="192"/>
      <c r="FX377" s="192"/>
      <c r="FY377" s="192"/>
      <c r="FZ377" s="192"/>
      <c r="GA377" s="192"/>
      <c r="GB377" s="192"/>
      <c r="GC377" s="192"/>
      <c r="GD377" s="192"/>
      <c r="GE377" s="192"/>
      <c r="GG377" s="192"/>
      <c r="GV377" s="191"/>
      <c r="HA377" s="191"/>
      <c r="HF377" s="191"/>
      <c r="HK377" s="191"/>
      <c r="HP377" s="191"/>
      <c r="HU377" s="191"/>
      <c r="HZ377" s="191"/>
      <c r="IE377" s="191"/>
      <c r="IJ377" s="191"/>
      <c r="IO377" s="191"/>
      <c r="IT377" s="191"/>
    </row>
    <row r="378" spans="1:256" x14ac:dyDescent="0.2">
      <c r="A378" s="204"/>
      <c r="B378" s="192"/>
      <c r="M378" s="192"/>
      <c r="X378" s="192"/>
      <c r="AI378" s="192"/>
      <c r="AT378" s="192"/>
      <c r="AU378" s="192"/>
      <c r="AV378" s="192"/>
      <c r="AW378" s="192"/>
      <c r="AX378" s="192"/>
      <c r="AY378" s="192"/>
      <c r="AZ378" s="192"/>
      <c r="BA378" s="192"/>
      <c r="BB378" s="192"/>
      <c r="BC378" s="192"/>
      <c r="BE378" s="192"/>
      <c r="BP378" s="192"/>
      <c r="CA378" s="192"/>
      <c r="CL378" s="192"/>
      <c r="CM378" s="192"/>
      <c r="CN378" s="192"/>
      <c r="CO378" s="192"/>
      <c r="CP378" s="192"/>
      <c r="CQ378" s="192"/>
      <c r="CR378" s="192"/>
      <c r="CS378" s="192"/>
      <c r="CT378" s="192"/>
      <c r="CU378" s="192"/>
      <c r="CW378" s="192"/>
      <c r="DH378" s="192"/>
      <c r="DS378" s="192"/>
      <c r="ED378" s="192"/>
      <c r="EE378" s="192"/>
      <c r="EF378" s="192"/>
      <c r="EG378" s="192"/>
      <c r="EH378" s="192"/>
      <c r="EI378" s="192"/>
      <c r="EJ378" s="192"/>
      <c r="EK378" s="192"/>
      <c r="EL378" s="192"/>
      <c r="EM378" s="192"/>
      <c r="EO378" s="192"/>
      <c r="EZ378" s="192"/>
      <c r="FK378" s="192"/>
      <c r="FV378" s="192"/>
      <c r="FW378" s="192"/>
      <c r="FX378" s="192"/>
      <c r="FY378" s="192"/>
      <c r="FZ378" s="192"/>
      <c r="GA378" s="192"/>
      <c r="GB378" s="192"/>
      <c r="GC378" s="192"/>
      <c r="GD378" s="192"/>
      <c r="GE378" s="192"/>
      <c r="GG378" s="192"/>
      <c r="GV378" s="191"/>
      <c r="HA378" s="191"/>
      <c r="HF378" s="191"/>
      <c r="HK378" s="191"/>
      <c r="HP378" s="191"/>
      <c r="HU378" s="191"/>
      <c r="HZ378" s="191"/>
      <c r="IE378" s="191"/>
      <c r="IJ378" s="191"/>
      <c r="IO378" s="191"/>
      <c r="IT378" s="191"/>
    </row>
    <row r="379" spans="1:256" x14ac:dyDescent="0.2">
      <c r="A379" s="204"/>
      <c r="B379" s="203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3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3"/>
      <c r="Y379" s="202"/>
      <c r="Z379" s="202"/>
      <c r="AA379" s="202"/>
      <c r="AB379" s="202"/>
      <c r="AC379" s="202"/>
      <c r="AD379" s="202"/>
      <c r="AE379" s="202"/>
      <c r="AF379" s="202"/>
      <c r="AG379" s="202"/>
      <c r="AH379" s="202"/>
      <c r="AI379" s="203"/>
      <c r="AJ379" s="202"/>
      <c r="AK379" s="202"/>
      <c r="AL379" s="202"/>
      <c r="AM379" s="202"/>
      <c r="AN379" s="202"/>
      <c r="AO379" s="202"/>
      <c r="AP379" s="202"/>
      <c r="AQ379" s="202"/>
      <c r="AR379" s="202"/>
      <c r="AS379" s="202"/>
      <c r="AT379" s="203"/>
      <c r="AU379" s="202"/>
      <c r="AV379" s="202"/>
      <c r="AW379" s="202"/>
      <c r="AX379" s="202"/>
      <c r="AY379" s="202"/>
      <c r="AZ379" s="202"/>
      <c r="BA379" s="202"/>
      <c r="BB379" s="202"/>
      <c r="BC379" s="202"/>
      <c r="BD379" s="202"/>
      <c r="BE379" s="203"/>
      <c r="BF379" s="202"/>
      <c r="BG379" s="202"/>
      <c r="BH379" s="202"/>
      <c r="BI379" s="202"/>
      <c r="BJ379" s="202"/>
      <c r="BK379" s="202"/>
      <c r="BL379" s="202"/>
      <c r="BM379" s="202"/>
      <c r="BN379" s="202"/>
      <c r="BO379" s="202"/>
      <c r="BP379" s="203"/>
      <c r="BQ379" s="202"/>
      <c r="BR379" s="202"/>
      <c r="BS379" s="202"/>
      <c r="BT379" s="202"/>
      <c r="BU379" s="202"/>
      <c r="BV379" s="202"/>
      <c r="BW379" s="202"/>
      <c r="BX379" s="202"/>
      <c r="BY379" s="202"/>
      <c r="BZ379" s="202"/>
      <c r="CA379" s="203"/>
      <c r="CB379" s="202"/>
      <c r="CC379" s="202"/>
      <c r="CD379" s="202"/>
      <c r="CE379" s="202"/>
      <c r="CF379" s="202"/>
      <c r="CG379" s="202"/>
      <c r="CH379" s="202"/>
      <c r="CI379" s="202"/>
      <c r="CJ379" s="202"/>
      <c r="CK379" s="202"/>
      <c r="CL379" s="203"/>
      <c r="CM379" s="202"/>
      <c r="CN379" s="202"/>
      <c r="CO379" s="202"/>
      <c r="CP379" s="202"/>
      <c r="CQ379" s="202"/>
      <c r="CR379" s="202"/>
      <c r="CS379" s="202"/>
      <c r="CT379" s="202"/>
      <c r="CU379" s="202"/>
      <c r="CV379" s="202"/>
      <c r="CW379" s="203"/>
      <c r="CX379" s="202"/>
      <c r="CY379" s="202"/>
      <c r="CZ379" s="202"/>
      <c r="DA379" s="202"/>
      <c r="DB379" s="202"/>
      <c r="DC379" s="202"/>
      <c r="DD379" s="202"/>
      <c r="DE379" s="202"/>
      <c r="DF379" s="202"/>
      <c r="DG379" s="202"/>
      <c r="DH379" s="203"/>
      <c r="DI379" s="202"/>
      <c r="DJ379" s="202"/>
      <c r="DK379" s="202"/>
      <c r="DL379" s="202"/>
      <c r="DM379" s="202"/>
      <c r="DN379" s="202"/>
      <c r="DO379" s="202"/>
      <c r="DP379" s="202"/>
      <c r="DQ379" s="202"/>
      <c r="DR379" s="202"/>
      <c r="DS379" s="203"/>
      <c r="DT379" s="202"/>
      <c r="DU379" s="202"/>
      <c r="DV379" s="202"/>
      <c r="DW379" s="202"/>
      <c r="DX379" s="202"/>
      <c r="DY379" s="202"/>
      <c r="DZ379" s="202"/>
      <c r="EA379" s="202"/>
      <c r="EB379" s="202"/>
      <c r="EC379" s="202"/>
      <c r="ED379" s="203"/>
      <c r="EE379" s="202"/>
      <c r="EF379" s="202"/>
      <c r="EG379" s="202"/>
      <c r="EH379" s="202"/>
      <c r="EI379" s="202"/>
      <c r="EJ379" s="202"/>
      <c r="EK379" s="202"/>
      <c r="EL379" s="202"/>
      <c r="EM379" s="202"/>
      <c r="EN379" s="202"/>
      <c r="EO379" s="203"/>
      <c r="EP379" s="202"/>
      <c r="EQ379" s="202"/>
      <c r="ER379" s="202"/>
      <c r="ES379" s="202"/>
      <c r="ET379" s="202"/>
      <c r="EU379" s="202"/>
      <c r="EV379" s="202"/>
      <c r="EW379" s="202"/>
      <c r="EX379" s="202"/>
      <c r="EY379" s="202"/>
      <c r="EZ379" s="203"/>
      <c r="FA379" s="202"/>
      <c r="FB379" s="202"/>
      <c r="FC379" s="202"/>
      <c r="FD379" s="202"/>
      <c r="FE379" s="202"/>
      <c r="FF379" s="202"/>
      <c r="FG379" s="202"/>
      <c r="FH379" s="202"/>
      <c r="FI379" s="202"/>
      <c r="FJ379" s="202"/>
      <c r="FK379" s="203"/>
      <c r="FL379" s="202"/>
      <c r="FM379" s="202"/>
      <c r="FN379" s="202"/>
      <c r="FO379" s="202"/>
      <c r="FP379" s="202"/>
      <c r="FQ379" s="202"/>
      <c r="FR379" s="202"/>
      <c r="FS379" s="202"/>
      <c r="FT379" s="202"/>
      <c r="FU379" s="202"/>
      <c r="FV379" s="203"/>
      <c r="FW379" s="202"/>
      <c r="FX379" s="202"/>
      <c r="FY379" s="202"/>
      <c r="FZ379" s="202"/>
      <c r="GA379" s="202"/>
      <c r="GB379" s="202"/>
      <c r="GC379" s="202"/>
      <c r="GD379" s="202"/>
      <c r="GE379" s="202"/>
      <c r="GF379" s="202"/>
      <c r="GG379" s="203"/>
      <c r="GH379" s="202"/>
      <c r="GI379" s="202"/>
      <c r="GJ379" s="202"/>
      <c r="GK379" s="202"/>
      <c r="GL379" s="202"/>
      <c r="GM379" s="202"/>
      <c r="GN379" s="202"/>
      <c r="GO379" s="202"/>
      <c r="GP379" s="202"/>
      <c r="GQ379" s="202"/>
      <c r="GR379" s="202"/>
      <c r="GS379" s="202"/>
      <c r="GT379" s="202"/>
      <c r="GU379" s="202"/>
      <c r="GV379" s="202"/>
      <c r="GW379" s="202"/>
      <c r="GX379" s="202"/>
      <c r="GY379" s="202"/>
      <c r="GZ379" s="202"/>
      <c r="HA379" s="202"/>
      <c r="HB379" s="202"/>
      <c r="HC379" s="202"/>
      <c r="HD379" s="202"/>
      <c r="HE379" s="202"/>
      <c r="HF379" s="202"/>
      <c r="HG379" s="202"/>
      <c r="HH379" s="202"/>
      <c r="HI379" s="202"/>
      <c r="HJ379" s="202"/>
      <c r="HK379" s="202"/>
      <c r="HL379" s="202"/>
      <c r="HM379" s="202"/>
      <c r="HN379" s="202"/>
      <c r="HO379" s="202"/>
      <c r="HP379" s="202"/>
      <c r="HQ379" s="202"/>
      <c r="HR379" s="202"/>
      <c r="HS379" s="202"/>
      <c r="HT379" s="202"/>
      <c r="HU379" s="202"/>
      <c r="HV379" s="202"/>
      <c r="HW379" s="202"/>
      <c r="HX379" s="202"/>
      <c r="HY379" s="202"/>
      <c r="HZ379" s="202"/>
      <c r="IA379" s="202"/>
      <c r="IB379" s="202"/>
      <c r="IC379" s="202"/>
      <c r="ID379" s="202"/>
      <c r="IE379" s="202"/>
      <c r="IF379" s="202"/>
      <c r="IG379" s="202"/>
      <c r="IH379" s="202"/>
      <c r="II379" s="202"/>
      <c r="IJ379" s="202"/>
      <c r="IK379" s="202"/>
      <c r="IL379" s="202"/>
      <c r="IM379" s="202"/>
      <c r="IN379" s="202"/>
      <c r="IO379" s="202"/>
      <c r="IP379" s="202"/>
      <c r="IQ379" s="202"/>
      <c r="IR379" s="202"/>
      <c r="IS379" s="202"/>
      <c r="IT379" s="202"/>
      <c r="IU379" s="202"/>
      <c r="IV379" s="202"/>
    </row>
    <row r="380" spans="1:256" x14ac:dyDescent="0.2">
      <c r="A380" s="204"/>
      <c r="B380" s="192"/>
      <c r="M380" s="192"/>
      <c r="X380" s="192"/>
      <c r="AI380" s="192"/>
      <c r="AT380" s="192"/>
      <c r="AU380" s="192"/>
      <c r="AV380" s="192"/>
      <c r="AW380" s="192"/>
      <c r="AX380" s="192"/>
      <c r="AY380" s="192"/>
      <c r="AZ380" s="192"/>
      <c r="BA380" s="192"/>
      <c r="BB380" s="192"/>
      <c r="BC380" s="192"/>
      <c r="BE380" s="192"/>
      <c r="BP380" s="192"/>
      <c r="CA380" s="192"/>
      <c r="CL380" s="192"/>
      <c r="CM380" s="192"/>
      <c r="CN380" s="192"/>
      <c r="CO380" s="192"/>
      <c r="CP380" s="192"/>
      <c r="CQ380" s="192"/>
      <c r="CR380" s="192"/>
      <c r="CS380" s="192"/>
      <c r="CT380" s="192"/>
      <c r="CU380" s="192"/>
      <c r="CW380" s="192"/>
      <c r="DH380" s="192"/>
      <c r="DS380" s="192"/>
      <c r="ED380" s="192"/>
      <c r="EE380" s="192"/>
      <c r="EF380" s="192"/>
      <c r="EG380" s="192"/>
      <c r="EH380" s="192"/>
      <c r="EI380" s="192"/>
      <c r="EJ380" s="192"/>
      <c r="EK380" s="192"/>
      <c r="EL380" s="192"/>
      <c r="EM380" s="192"/>
      <c r="EO380" s="192"/>
      <c r="EZ380" s="192"/>
      <c r="FK380" s="192"/>
      <c r="FV380" s="192"/>
      <c r="FW380" s="192"/>
      <c r="FX380" s="192"/>
      <c r="FY380" s="192"/>
      <c r="FZ380" s="192"/>
      <c r="GA380" s="192"/>
      <c r="GB380" s="192"/>
      <c r="GC380" s="192"/>
      <c r="GD380" s="192"/>
      <c r="GE380" s="192"/>
      <c r="GG380" s="192"/>
      <c r="GV380" s="191"/>
      <c r="HA380" s="191"/>
      <c r="HF380" s="191"/>
      <c r="HK380" s="191"/>
      <c r="HP380" s="191"/>
      <c r="HU380" s="191"/>
      <c r="HZ380" s="191"/>
      <c r="IE380" s="191"/>
      <c r="IJ380" s="191"/>
      <c r="IO380" s="191"/>
      <c r="IT380" s="191"/>
    </row>
    <row r="381" spans="1:256" x14ac:dyDescent="0.2">
      <c r="A381" s="204"/>
      <c r="B381" s="192"/>
      <c r="M381" s="192"/>
      <c r="X381" s="192"/>
      <c r="AI381" s="192"/>
      <c r="AT381" s="192"/>
      <c r="AU381" s="192"/>
      <c r="AV381" s="192"/>
      <c r="AW381" s="192"/>
      <c r="AX381" s="192"/>
      <c r="AY381" s="192"/>
      <c r="AZ381" s="192"/>
      <c r="BA381" s="192"/>
      <c r="BB381" s="192"/>
      <c r="BC381" s="192"/>
      <c r="BE381" s="192"/>
      <c r="BP381" s="192"/>
      <c r="CA381" s="192"/>
      <c r="CL381" s="192"/>
      <c r="CM381" s="192"/>
      <c r="CN381" s="192"/>
      <c r="CO381" s="192"/>
      <c r="CP381" s="192"/>
      <c r="CQ381" s="192"/>
      <c r="CR381" s="192"/>
      <c r="CS381" s="192"/>
      <c r="CT381" s="192"/>
      <c r="CU381" s="192"/>
      <c r="CW381" s="192"/>
      <c r="DH381" s="192"/>
      <c r="DS381" s="192"/>
      <c r="ED381" s="192"/>
      <c r="EE381" s="192"/>
      <c r="EF381" s="192"/>
      <c r="EG381" s="192"/>
      <c r="EH381" s="192"/>
      <c r="EI381" s="192"/>
      <c r="EJ381" s="192"/>
      <c r="EK381" s="192"/>
      <c r="EL381" s="192"/>
      <c r="EM381" s="192"/>
      <c r="EO381" s="192"/>
      <c r="EZ381" s="192"/>
      <c r="FK381" s="192"/>
      <c r="FV381" s="192"/>
      <c r="FW381" s="192"/>
      <c r="FX381" s="192"/>
      <c r="FY381" s="192"/>
      <c r="FZ381" s="192"/>
      <c r="GA381" s="192"/>
      <c r="GB381" s="192"/>
      <c r="GC381" s="192"/>
      <c r="GD381" s="192"/>
      <c r="GE381" s="192"/>
      <c r="GG381" s="192"/>
      <c r="GV381" s="191"/>
      <c r="HA381" s="191"/>
      <c r="HF381" s="191"/>
      <c r="HK381" s="191"/>
      <c r="HP381" s="191"/>
      <c r="HU381" s="191"/>
      <c r="HZ381" s="191"/>
      <c r="IE381" s="191"/>
      <c r="IJ381" s="191"/>
      <c r="IO381" s="191"/>
      <c r="IT381" s="191"/>
    </row>
    <row r="382" spans="1:256" x14ac:dyDescent="0.2">
      <c r="A382" s="204"/>
      <c r="B382" s="192"/>
      <c r="M382" s="192"/>
      <c r="X382" s="192"/>
      <c r="AI382" s="192"/>
      <c r="AT382" s="192"/>
      <c r="AU382" s="192"/>
      <c r="AV382" s="192"/>
      <c r="AW382" s="192"/>
      <c r="AX382" s="192"/>
      <c r="AY382" s="192"/>
      <c r="AZ382" s="192"/>
      <c r="BA382" s="192"/>
      <c r="BB382" s="192"/>
      <c r="BC382" s="192"/>
      <c r="BE382" s="192"/>
      <c r="BP382" s="192"/>
      <c r="CA382" s="192"/>
      <c r="CL382" s="192"/>
      <c r="CM382" s="192"/>
      <c r="CN382" s="192"/>
      <c r="CO382" s="192"/>
      <c r="CP382" s="192"/>
      <c r="CQ382" s="192"/>
      <c r="CR382" s="192"/>
      <c r="CS382" s="192"/>
      <c r="CT382" s="192"/>
      <c r="CU382" s="192"/>
      <c r="CW382" s="192"/>
      <c r="DH382" s="192"/>
      <c r="DS382" s="192"/>
      <c r="ED382" s="192"/>
      <c r="EE382" s="192"/>
      <c r="EF382" s="192"/>
      <c r="EG382" s="192"/>
      <c r="EH382" s="192"/>
      <c r="EI382" s="192"/>
      <c r="EJ382" s="192"/>
      <c r="EK382" s="192"/>
      <c r="EL382" s="192"/>
      <c r="EM382" s="192"/>
      <c r="EO382" s="192"/>
      <c r="EZ382" s="192"/>
      <c r="FK382" s="192"/>
      <c r="FV382" s="192"/>
      <c r="FW382" s="192"/>
      <c r="FX382" s="192"/>
      <c r="FY382" s="192"/>
      <c r="FZ382" s="192"/>
      <c r="GA382" s="192"/>
      <c r="GB382" s="192"/>
      <c r="GC382" s="192"/>
      <c r="GD382" s="192"/>
      <c r="GE382" s="192"/>
      <c r="GG382" s="192"/>
      <c r="GV382" s="191"/>
      <c r="HA382" s="191"/>
      <c r="HF382" s="191"/>
      <c r="HK382" s="191"/>
      <c r="HP382" s="191"/>
      <c r="HU382" s="191"/>
      <c r="HZ382" s="191"/>
      <c r="IE382" s="191"/>
      <c r="IJ382" s="191"/>
      <c r="IO382" s="191"/>
      <c r="IT382" s="191"/>
    </row>
    <row r="383" spans="1:256" x14ac:dyDescent="0.2">
      <c r="A383" s="204"/>
      <c r="B383" s="203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3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3"/>
      <c r="Y383" s="202"/>
      <c r="Z383" s="202"/>
      <c r="AA383" s="202"/>
      <c r="AB383" s="202"/>
      <c r="AC383" s="202"/>
      <c r="AD383" s="202"/>
      <c r="AE383" s="202"/>
      <c r="AF383" s="202"/>
      <c r="AG383" s="202"/>
      <c r="AH383" s="202"/>
      <c r="AI383" s="203"/>
      <c r="AJ383" s="202"/>
      <c r="AK383" s="202"/>
      <c r="AL383" s="202"/>
      <c r="AM383" s="202"/>
      <c r="AN383" s="202"/>
      <c r="AO383" s="202"/>
      <c r="AP383" s="202"/>
      <c r="AQ383" s="202"/>
      <c r="AR383" s="202"/>
      <c r="AS383" s="202"/>
      <c r="AT383" s="203"/>
      <c r="AU383" s="202"/>
      <c r="AV383" s="202"/>
      <c r="AW383" s="202"/>
      <c r="AX383" s="202"/>
      <c r="AY383" s="202"/>
      <c r="AZ383" s="202"/>
      <c r="BA383" s="202"/>
      <c r="BB383" s="202"/>
      <c r="BC383" s="202"/>
      <c r="BD383" s="202"/>
      <c r="BE383" s="203"/>
      <c r="BF383" s="202"/>
      <c r="BG383" s="202"/>
      <c r="BH383" s="202"/>
      <c r="BI383" s="202"/>
      <c r="BJ383" s="202"/>
      <c r="BK383" s="202"/>
      <c r="BL383" s="202"/>
      <c r="BM383" s="202"/>
      <c r="BN383" s="202"/>
      <c r="BO383" s="202"/>
      <c r="BP383" s="203"/>
      <c r="BQ383" s="202"/>
      <c r="BR383" s="202"/>
      <c r="BS383" s="202"/>
      <c r="BT383" s="202"/>
      <c r="BU383" s="202"/>
      <c r="BV383" s="202"/>
      <c r="BW383" s="202"/>
      <c r="BX383" s="202"/>
      <c r="BY383" s="202"/>
      <c r="BZ383" s="202"/>
      <c r="CA383" s="203"/>
      <c r="CB383" s="202"/>
      <c r="CC383" s="202"/>
      <c r="CD383" s="202"/>
      <c r="CE383" s="202"/>
      <c r="CF383" s="202"/>
      <c r="CG383" s="202"/>
      <c r="CH383" s="202"/>
      <c r="CI383" s="202"/>
      <c r="CJ383" s="202"/>
      <c r="CK383" s="202"/>
      <c r="CL383" s="203"/>
      <c r="CM383" s="202"/>
      <c r="CN383" s="202"/>
      <c r="CO383" s="202"/>
      <c r="CP383" s="202"/>
      <c r="CQ383" s="202"/>
      <c r="CR383" s="202"/>
      <c r="CS383" s="202"/>
      <c r="CT383" s="202"/>
      <c r="CU383" s="202"/>
      <c r="CV383" s="202"/>
      <c r="CW383" s="203"/>
      <c r="CX383" s="202"/>
      <c r="CY383" s="202"/>
      <c r="CZ383" s="202"/>
      <c r="DA383" s="202"/>
      <c r="DB383" s="202"/>
      <c r="DC383" s="202"/>
      <c r="DD383" s="202"/>
      <c r="DE383" s="202"/>
      <c r="DF383" s="202"/>
      <c r="DG383" s="202"/>
      <c r="DH383" s="203"/>
      <c r="DI383" s="202"/>
      <c r="DJ383" s="202"/>
      <c r="DK383" s="202"/>
      <c r="DL383" s="202"/>
      <c r="DM383" s="202"/>
      <c r="DN383" s="202"/>
      <c r="DO383" s="202"/>
      <c r="DP383" s="202"/>
      <c r="DQ383" s="202"/>
      <c r="DR383" s="202"/>
      <c r="DS383" s="203"/>
      <c r="DT383" s="202"/>
      <c r="DU383" s="202"/>
      <c r="DV383" s="202"/>
      <c r="DW383" s="202"/>
      <c r="DX383" s="202"/>
      <c r="DY383" s="202"/>
      <c r="DZ383" s="202"/>
      <c r="EA383" s="202"/>
      <c r="EB383" s="202"/>
      <c r="EC383" s="202"/>
      <c r="ED383" s="203"/>
      <c r="EE383" s="202"/>
      <c r="EF383" s="202"/>
      <c r="EG383" s="202"/>
      <c r="EH383" s="202"/>
      <c r="EI383" s="202"/>
      <c r="EJ383" s="202"/>
      <c r="EK383" s="202"/>
      <c r="EL383" s="202"/>
      <c r="EM383" s="202"/>
      <c r="EN383" s="202"/>
      <c r="EO383" s="203"/>
      <c r="EP383" s="202"/>
      <c r="EQ383" s="202"/>
      <c r="ER383" s="202"/>
      <c r="ES383" s="202"/>
      <c r="ET383" s="202"/>
      <c r="EU383" s="202"/>
      <c r="EV383" s="202"/>
      <c r="EW383" s="202"/>
      <c r="EX383" s="202"/>
      <c r="EY383" s="202"/>
      <c r="EZ383" s="203"/>
      <c r="FA383" s="202"/>
      <c r="FB383" s="202"/>
      <c r="FC383" s="202"/>
      <c r="FD383" s="202"/>
      <c r="FE383" s="202"/>
      <c r="FF383" s="202"/>
      <c r="FG383" s="202"/>
      <c r="FH383" s="202"/>
      <c r="FI383" s="202"/>
      <c r="FJ383" s="202"/>
      <c r="FK383" s="203"/>
      <c r="FL383" s="202"/>
      <c r="FM383" s="202"/>
      <c r="FN383" s="202"/>
      <c r="FO383" s="202"/>
      <c r="FP383" s="202"/>
      <c r="FQ383" s="202"/>
      <c r="FR383" s="202"/>
      <c r="FS383" s="202"/>
      <c r="FT383" s="202"/>
      <c r="FU383" s="202"/>
      <c r="FV383" s="203"/>
      <c r="FW383" s="202"/>
      <c r="FX383" s="202"/>
      <c r="FY383" s="202"/>
      <c r="FZ383" s="202"/>
      <c r="GA383" s="202"/>
      <c r="GB383" s="202"/>
      <c r="GC383" s="202"/>
      <c r="GD383" s="202"/>
      <c r="GE383" s="202"/>
      <c r="GF383" s="202"/>
      <c r="GG383" s="203"/>
      <c r="GH383" s="202"/>
      <c r="GI383" s="202"/>
      <c r="GJ383" s="202"/>
      <c r="GK383" s="202"/>
      <c r="GL383" s="202"/>
      <c r="GM383" s="202"/>
      <c r="GN383" s="202"/>
      <c r="GO383" s="202"/>
      <c r="GP383" s="202"/>
      <c r="GQ383" s="202"/>
      <c r="GR383" s="202"/>
      <c r="GS383" s="202"/>
      <c r="GT383" s="202"/>
      <c r="GU383" s="202"/>
      <c r="GV383" s="202"/>
      <c r="GW383" s="202"/>
      <c r="GX383" s="202"/>
      <c r="GY383" s="202"/>
      <c r="GZ383" s="202"/>
      <c r="HA383" s="202"/>
      <c r="HB383" s="202"/>
      <c r="HC383" s="202"/>
      <c r="HD383" s="202"/>
      <c r="HE383" s="202"/>
      <c r="HF383" s="202"/>
      <c r="HG383" s="202"/>
      <c r="HH383" s="202"/>
      <c r="HI383" s="202"/>
      <c r="HJ383" s="202"/>
      <c r="HK383" s="202"/>
      <c r="HL383" s="202"/>
      <c r="HM383" s="202"/>
      <c r="HN383" s="202"/>
      <c r="HO383" s="202"/>
      <c r="HP383" s="202"/>
      <c r="HQ383" s="202"/>
      <c r="HR383" s="202"/>
      <c r="HS383" s="202"/>
      <c r="HT383" s="202"/>
      <c r="HU383" s="202"/>
      <c r="HV383" s="202"/>
      <c r="HW383" s="202"/>
      <c r="HX383" s="202"/>
      <c r="HY383" s="202"/>
      <c r="HZ383" s="202"/>
      <c r="IA383" s="202"/>
      <c r="IB383" s="202"/>
      <c r="IC383" s="202"/>
      <c r="ID383" s="202"/>
      <c r="IE383" s="202"/>
      <c r="IF383" s="202"/>
      <c r="IG383" s="202"/>
      <c r="IH383" s="202"/>
      <c r="II383" s="202"/>
      <c r="IJ383" s="202"/>
      <c r="IK383" s="202"/>
      <c r="IL383" s="202"/>
      <c r="IM383" s="202"/>
      <c r="IN383" s="202"/>
      <c r="IO383" s="202"/>
      <c r="IP383" s="202"/>
      <c r="IQ383" s="202"/>
      <c r="IR383" s="202"/>
      <c r="IS383" s="202"/>
      <c r="IT383" s="202"/>
      <c r="IU383" s="202"/>
      <c r="IV383" s="202"/>
    </row>
    <row r="384" spans="1:256" x14ac:dyDescent="0.2">
      <c r="A384" s="204"/>
      <c r="B384" s="207"/>
      <c r="C384" s="208"/>
      <c r="D384" s="208"/>
      <c r="E384" s="208"/>
      <c r="F384" s="208"/>
      <c r="G384" s="208"/>
      <c r="H384" s="208"/>
      <c r="I384" s="208"/>
      <c r="J384" s="208"/>
      <c r="K384" s="208"/>
      <c r="M384" s="207"/>
      <c r="N384" s="208"/>
      <c r="O384" s="208"/>
      <c r="P384" s="208"/>
      <c r="Q384" s="208"/>
      <c r="R384" s="208"/>
      <c r="S384" s="208"/>
      <c r="T384" s="208"/>
      <c r="U384" s="208"/>
      <c r="V384" s="208"/>
      <c r="X384" s="207"/>
      <c r="Y384" s="208"/>
      <c r="Z384" s="208"/>
      <c r="AA384" s="208"/>
      <c r="AB384" s="208"/>
      <c r="AC384" s="208"/>
      <c r="AD384" s="208"/>
      <c r="AE384" s="208"/>
      <c r="AF384" s="208"/>
      <c r="AG384" s="208"/>
      <c r="AI384" s="207"/>
      <c r="AJ384" s="208"/>
      <c r="AK384" s="208"/>
      <c r="AL384" s="208"/>
      <c r="AM384" s="208"/>
      <c r="AN384" s="208"/>
      <c r="AO384" s="208"/>
      <c r="AP384" s="208"/>
      <c r="AQ384" s="208"/>
      <c r="AR384" s="208"/>
      <c r="AT384" s="207"/>
      <c r="AU384" s="208"/>
      <c r="AV384" s="208"/>
      <c r="AW384" s="208"/>
      <c r="AX384" s="208"/>
      <c r="AY384" s="208"/>
      <c r="AZ384" s="208"/>
      <c r="BA384" s="208"/>
      <c r="BB384" s="208"/>
      <c r="BC384" s="208"/>
      <c r="BE384" s="207"/>
      <c r="BF384" s="208"/>
      <c r="BG384" s="208"/>
      <c r="BH384" s="208"/>
      <c r="BI384" s="208"/>
      <c r="BJ384" s="208"/>
      <c r="BK384" s="208"/>
      <c r="BL384" s="208"/>
      <c r="BM384" s="208"/>
      <c r="BN384" s="208"/>
      <c r="BP384" s="207"/>
      <c r="BQ384" s="208"/>
      <c r="BR384" s="208"/>
      <c r="BS384" s="208"/>
      <c r="BT384" s="208"/>
      <c r="BU384" s="208"/>
      <c r="BV384" s="208"/>
      <c r="BW384" s="208"/>
      <c r="BX384" s="208"/>
      <c r="BY384" s="208"/>
      <c r="CA384" s="207"/>
      <c r="CB384" s="208"/>
      <c r="CC384" s="208"/>
      <c r="CD384" s="208"/>
      <c r="CE384" s="208"/>
      <c r="CF384" s="208"/>
      <c r="CG384" s="208"/>
      <c r="CH384" s="208"/>
      <c r="CI384" s="208"/>
      <c r="CJ384" s="208"/>
      <c r="CL384" s="207"/>
      <c r="CM384" s="208"/>
      <c r="CN384" s="208"/>
      <c r="CO384" s="208"/>
      <c r="CP384" s="208"/>
      <c r="CQ384" s="208"/>
      <c r="CR384" s="208"/>
      <c r="CS384" s="208"/>
      <c r="CT384" s="208"/>
      <c r="CU384" s="208"/>
      <c r="CW384" s="207"/>
      <c r="CX384" s="208"/>
      <c r="CY384" s="208"/>
      <c r="CZ384" s="208"/>
      <c r="DA384" s="208"/>
      <c r="DB384" s="208"/>
      <c r="DC384" s="208"/>
      <c r="DD384" s="208"/>
      <c r="DE384" s="208"/>
      <c r="DF384" s="208"/>
      <c r="DH384" s="207"/>
      <c r="DI384" s="208"/>
      <c r="DJ384" s="208"/>
      <c r="DK384" s="208"/>
      <c r="DL384" s="208"/>
      <c r="DM384" s="208"/>
      <c r="DN384" s="208"/>
      <c r="DO384" s="208"/>
      <c r="DP384" s="208"/>
      <c r="DQ384" s="208"/>
      <c r="DS384" s="207"/>
      <c r="DT384" s="208"/>
      <c r="DU384" s="208"/>
      <c r="DV384" s="208"/>
      <c r="DW384" s="208"/>
      <c r="DX384" s="208"/>
      <c r="DY384" s="208"/>
      <c r="DZ384" s="208"/>
      <c r="EA384" s="208"/>
      <c r="EB384" s="208"/>
      <c r="ED384" s="207"/>
      <c r="EE384" s="208"/>
      <c r="EF384" s="208"/>
      <c r="EG384" s="208"/>
      <c r="EH384" s="208"/>
      <c r="EI384" s="208"/>
      <c r="EJ384" s="208"/>
      <c r="EK384" s="208"/>
      <c r="EL384" s="208"/>
      <c r="EM384" s="208"/>
      <c r="EO384" s="207"/>
      <c r="EP384" s="208"/>
      <c r="EQ384" s="208"/>
      <c r="ER384" s="208"/>
      <c r="ES384" s="208"/>
      <c r="ET384" s="208"/>
      <c r="EU384" s="208"/>
      <c r="EV384" s="208"/>
      <c r="EW384" s="208"/>
      <c r="EX384" s="208"/>
      <c r="EZ384" s="207"/>
      <c r="FA384" s="208"/>
      <c r="FB384" s="208"/>
      <c r="FC384" s="208"/>
      <c r="FD384" s="208"/>
      <c r="FE384" s="208"/>
      <c r="FF384" s="208"/>
      <c r="FG384" s="208"/>
      <c r="FH384" s="208"/>
      <c r="FI384" s="208"/>
      <c r="FK384" s="207"/>
      <c r="FL384" s="208"/>
      <c r="FM384" s="208"/>
      <c r="FN384" s="208"/>
      <c r="FO384" s="208"/>
      <c r="FP384" s="208"/>
      <c r="FQ384" s="208"/>
      <c r="FR384" s="208"/>
      <c r="FS384" s="208"/>
      <c r="FT384" s="208"/>
      <c r="FV384" s="207"/>
      <c r="FW384" s="208"/>
      <c r="FX384" s="208"/>
      <c r="FY384" s="208"/>
      <c r="FZ384" s="208"/>
      <c r="GA384" s="208"/>
      <c r="GB384" s="208"/>
      <c r="GC384" s="208"/>
      <c r="GD384" s="208"/>
      <c r="GE384" s="208"/>
      <c r="GG384" s="207"/>
      <c r="GH384" s="208"/>
      <c r="GI384" s="208"/>
      <c r="GJ384" s="208"/>
      <c r="GK384" s="208"/>
      <c r="GL384" s="208"/>
      <c r="GM384" s="208"/>
      <c r="GN384" s="208"/>
      <c r="GO384" s="208"/>
      <c r="GP384" s="208"/>
      <c r="GR384" s="208"/>
      <c r="GS384" s="208"/>
      <c r="GT384" s="208"/>
      <c r="GU384" s="208"/>
      <c r="GV384" s="208"/>
      <c r="GW384" s="208"/>
      <c r="GX384" s="208"/>
      <c r="GY384" s="208"/>
      <c r="GZ384" s="208"/>
      <c r="HA384" s="208"/>
      <c r="HB384" s="208"/>
      <c r="HC384" s="208"/>
      <c r="HD384" s="208"/>
      <c r="HE384" s="208"/>
      <c r="HF384" s="208"/>
      <c r="HG384" s="208"/>
      <c r="HH384" s="208"/>
      <c r="HI384" s="208"/>
      <c r="HJ384" s="208"/>
      <c r="HK384" s="208"/>
      <c r="HP384" s="208"/>
      <c r="HQ384" s="208"/>
      <c r="HR384" s="208"/>
      <c r="HS384" s="208"/>
      <c r="HT384" s="208"/>
      <c r="HU384" s="208"/>
      <c r="HV384" s="208"/>
      <c r="HW384" s="208"/>
      <c r="HX384" s="208"/>
      <c r="HY384" s="208"/>
      <c r="HZ384" s="208"/>
      <c r="IA384" s="208"/>
      <c r="IB384" s="208"/>
      <c r="IC384" s="208"/>
      <c r="ID384" s="208"/>
      <c r="IE384" s="208"/>
      <c r="IJ384" s="208"/>
      <c r="IK384" s="208"/>
      <c r="IL384" s="208"/>
      <c r="IM384" s="208"/>
      <c r="IN384" s="208"/>
      <c r="IO384" s="208"/>
      <c r="IP384" s="208"/>
      <c r="IQ384" s="208"/>
      <c r="IR384" s="208"/>
      <c r="IS384" s="208"/>
      <c r="IT384" s="208"/>
      <c r="IU384" s="208"/>
      <c r="IV384" s="208"/>
    </row>
    <row r="385" spans="1:256" x14ac:dyDescent="0.2">
      <c r="A385" s="204"/>
      <c r="B385" s="207"/>
      <c r="C385" s="208"/>
      <c r="D385" s="208"/>
      <c r="E385" s="208"/>
      <c r="F385" s="208"/>
      <c r="G385" s="208"/>
      <c r="H385" s="208"/>
      <c r="I385" s="208"/>
      <c r="J385" s="208"/>
      <c r="K385" s="208"/>
      <c r="M385" s="207"/>
      <c r="N385" s="208"/>
      <c r="O385" s="208"/>
      <c r="P385" s="208"/>
      <c r="Q385" s="208"/>
      <c r="R385" s="208"/>
      <c r="S385" s="208"/>
      <c r="T385" s="208"/>
      <c r="U385" s="208"/>
      <c r="V385" s="208"/>
      <c r="X385" s="207"/>
      <c r="Y385" s="208"/>
      <c r="Z385" s="208"/>
      <c r="AA385" s="208"/>
      <c r="AB385" s="208"/>
      <c r="AC385" s="208"/>
      <c r="AD385" s="208"/>
      <c r="AE385" s="208"/>
      <c r="AF385" s="208"/>
      <c r="AG385" s="208"/>
      <c r="AI385" s="207"/>
      <c r="AJ385" s="208"/>
      <c r="AK385" s="208"/>
      <c r="AL385" s="208"/>
      <c r="AM385" s="208"/>
      <c r="AN385" s="208"/>
      <c r="AO385" s="208"/>
      <c r="AP385" s="208"/>
      <c r="AQ385" s="208"/>
      <c r="AR385" s="208"/>
      <c r="AT385" s="207"/>
      <c r="AU385" s="208"/>
      <c r="AV385" s="208"/>
      <c r="AW385" s="208"/>
      <c r="AX385" s="208"/>
      <c r="AY385" s="208"/>
      <c r="AZ385" s="208"/>
      <c r="BA385" s="208"/>
      <c r="BB385" s="208"/>
      <c r="BC385" s="208"/>
      <c r="BE385" s="207"/>
      <c r="BF385" s="208"/>
      <c r="BG385" s="208"/>
      <c r="BH385" s="208"/>
      <c r="BI385" s="208"/>
      <c r="BJ385" s="208"/>
      <c r="BK385" s="208"/>
      <c r="BL385" s="208"/>
      <c r="BM385" s="208"/>
      <c r="BN385" s="208"/>
      <c r="BP385" s="207"/>
      <c r="BQ385" s="208"/>
      <c r="BR385" s="208"/>
      <c r="BS385" s="208"/>
      <c r="BT385" s="208"/>
      <c r="BU385" s="208"/>
      <c r="BV385" s="208"/>
      <c r="BW385" s="208"/>
      <c r="BX385" s="208"/>
      <c r="BY385" s="208"/>
      <c r="CA385" s="207"/>
      <c r="CB385" s="208"/>
      <c r="CC385" s="208"/>
      <c r="CD385" s="208"/>
      <c r="CE385" s="208"/>
      <c r="CF385" s="208"/>
      <c r="CG385" s="208"/>
      <c r="CH385" s="208"/>
      <c r="CI385" s="208"/>
      <c r="CJ385" s="208"/>
      <c r="CL385" s="207"/>
      <c r="CM385" s="208"/>
      <c r="CN385" s="208"/>
      <c r="CO385" s="208"/>
      <c r="CP385" s="208"/>
      <c r="CQ385" s="208"/>
      <c r="CR385" s="208"/>
      <c r="CS385" s="208"/>
      <c r="CT385" s="208"/>
      <c r="CU385" s="208"/>
      <c r="CW385" s="207"/>
      <c r="CX385" s="208"/>
      <c r="CY385" s="208"/>
      <c r="CZ385" s="208"/>
      <c r="DA385" s="208"/>
      <c r="DB385" s="208"/>
      <c r="DC385" s="208"/>
      <c r="DD385" s="208"/>
      <c r="DE385" s="208"/>
      <c r="DF385" s="208"/>
      <c r="DH385" s="207"/>
      <c r="DI385" s="208"/>
      <c r="DJ385" s="208"/>
      <c r="DK385" s="208"/>
      <c r="DL385" s="208"/>
      <c r="DM385" s="208"/>
      <c r="DN385" s="208"/>
      <c r="DO385" s="208"/>
      <c r="DP385" s="208"/>
      <c r="DQ385" s="208"/>
      <c r="DS385" s="207"/>
      <c r="DT385" s="208"/>
      <c r="DU385" s="208"/>
      <c r="DV385" s="208"/>
      <c r="DW385" s="208"/>
      <c r="DX385" s="208"/>
      <c r="DY385" s="208"/>
      <c r="DZ385" s="208"/>
      <c r="EA385" s="208"/>
      <c r="EB385" s="208"/>
      <c r="ED385" s="207"/>
      <c r="EE385" s="208"/>
      <c r="EF385" s="208"/>
      <c r="EG385" s="208"/>
      <c r="EH385" s="208"/>
      <c r="EI385" s="208"/>
      <c r="EJ385" s="208"/>
      <c r="EK385" s="208"/>
      <c r="EL385" s="208"/>
      <c r="EM385" s="208"/>
      <c r="EO385" s="207"/>
      <c r="EP385" s="208"/>
      <c r="EQ385" s="208"/>
      <c r="ER385" s="208"/>
      <c r="ES385" s="208"/>
      <c r="ET385" s="208"/>
      <c r="EU385" s="208"/>
      <c r="EV385" s="208"/>
      <c r="EW385" s="208"/>
      <c r="EX385" s="208"/>
      <c r="EZ385" s="207"/>
      <c r="FA385" s="208"/>
      <c r="FB385" s="208"/>
      <c r="FC385" s="208"/>
      <c r="FD385" s="208"/>
      <c r="FE385" s="208"/>
      <c r="FF385" s="208"/>
      <c r="FG385" s="208"/>
      <c r="FH385" s="208"/>
      <c r="FI385" s="208"/>
      <c r="FK385" s="207"/>
      <c r="FL385" s="208"/>
      <c r="FM385" s="208"/>
      <c r="FN385" s="208"/>
      <c r="FO385" s="208"/>
      <c r="FP385" s="208"/>
      <c r="FQ385" s="208"/>
      <c r="FR385" s="208"/>
      <c r="FS385" s="208"/>
      <c r="FT385" s="208"/>
      <c r="FV385" s="207"/>
      <c r="FW385" s="208"/>
      <c r="FX385" s="208"/>
      <c r="FY385" s="208"/>
      <c r="FZ385" s="208"/>
      <c r="GA385" s="208"/>
      <c r="GB385" s="208"/>
      <c r="GC385" s="208"/>
      <c r="GD385" s="208"/>
      <c r="GE385" s="208"/>
      <c r="GG385" s="207"/>
      <c r="GH385" s="208"/>
      <c r="GI385" s="208"/>
      <c r="GJ385" s="208"/>
      <c r="GK385" s="208"/>
      <c r="GL385" s="208"/>
      <c r="GM385" s="208"/>
      <c r="GN385" s="208"/>
      <c r="GO385" s="208"/>
      <c r="GP385" s="208"/>
      <c r="GR385" s="208"/>
      <c r="GS385" s="208"/>
      <c r="GT385" s="208"/>
      <c r="GU385" s="208"/>
      <c r="GV385" s="208"/>
      <c r="GW385" s="208"/>
      <c r="GX385" s="208"/>
      <c r="GY385" s="208"/>
      <c r="GZ385" s="208"/>
      <c r="HA385" s="208"/>
      <c r="HB385" s="208"/>
      <c r="HC385" s="208"/>
      <c r="HD385" s="208"/>
      <c r="HE385" s="208"/>
      <c r="HF385" s="208"/>
      <c r="HG385" s="208"/>
      <c r="HH385" s="208"/>
      <c r="HI385" s="208"/>
      <c r="HJ385" s="208"/>
      <c r="HK385" s="208"/>
      <c r="HP385" s="208"/>
      <c r="HQ385" s="208"/>
      <c r="HR385" s="208"/>
      <c r="HS385" s="208"/>
      <c r="HT385" s="208"/>
      <c r="HU385" s="208"/>
      <c r="HV385" s="208"/>
      <c r="HW385" s="208"/>
      <c r="HX385" s="208"/>
      <c r="HY385" s="208"/>
      <c r="HZ385" s="208"/>
      <c r="IA385" s="208"/>
      <c r="IB385" s="208"/>
      <c r="IC385" s="208"/>
      <c r="ID385" s="208"/>
      <c r="IE385" s="208"/>
      <c r="IJ385" s="208"/>
      <c r="IK385" s="208"/>
      <c r="IL385" s="208"/>
      <c r="IM385" s="208"/>
      <c r="IN385" s="208"/>
      <c r="IO385" s="208"/>
      <c r="IP385" s="208"/>
      <c r="IQ385" s="208"/>
      <c r="IR385" s="208"/>
      <c r="IS385" s="208"/>
      <c r="IT385" s="208"/>
      <c r="IU385" s="208"/>
      <c r="IV385" s="208"/>
    </row>
    <row r="386" spans="1:256" x14ac:dyDescent="0.2">
      <c r="A386" s="204"/>
      <c r="B386" s="207"/>
      <c r="C386" s="208"/>
      <c r="D386" s="208"/>
      <c r="E386" s="208"/>
      <c r="F386" s="208"/>
      <c r="G386" s="208"/>
      <c r="H386" s="208"/>
      <c r="I386" s="208"/>
      <c r="J386" s="208"/>
      <c r="K386" s="208"/>
      <c r="M386" s="207"/>
      <c r="N386" s="208"/>
      <c r="O386" s="208"/>
      <c r="P386" s="208"/>
      <c r="Q386" s="208"/>
      <c r="R386" s="208"/>
      <c r="S386" s="208"/>
      <c r="T386" s="208"/>
      <c r="U386" s="208"/>
      <c r="V386" s="208"/>
      <c r="X386" s="207"/>
      <c r="Y386" s="208"/>
      <c r="Z386" s="208"/>
      <c r="AA386" s="208"/>
      <c r="AB386" s="208"/>
      <c r="AC386" s="208"/>
      <c r="AD386" s="208"/>
      <c r="AE386" s="208"/>
      <c r="AF386" s="208"/>
      <c r="AG386" s="208"/>
      <c r="AI386" s="207"/>
      <c r="AJ386" s="208"/>
      <c r="AK386" s="208"/>
      <c r="AL386" s="208"/>
      <c r="AM386" s="208"/>
      <c r="AN386" s="208"/>
      <c r="AO386" s="208"/>
      <c r="AP386" s="208"/>
      <c r="AQ386" s="208"/>
      <c r="AR386" s="208"/>
      <c r="AT386" s="207"/>
      <c r="AU386" s="208"/>
      <c r="AV386" s="208"/>
      <c r="AW386" s="208"/>
      <c r="AX386" s="208"/>
      <c r="AY386" s="208"/>
      <c r="AZ386" s="208"/>
      <c r="BA386" s="208"/>
      <c r="BB386" s="208"/>
      <c r="BC386" s="208"/>
      <c r="BE386" s="207"/>
      <c r="BF386" s="208"/>
      <c r="BG386" s="208"/>
      <c r="BH386" s="208"/>
      <c r="BI386" s="208"/>
      <c r="BJ386" s="208"/>
      <c r="BK386" s="208"/>
      <c r="BL386" s="208"/>
      <c r="BM386" s="208"/>
      <c r="BN386" s="208"/>
      <c r="BP386" s="207"/>
      <c r="BQ386" s="208"/>
      <c r="BR386" s="208"/>
      <c r="BS386" s="208"/>
      <c r="BT386" s="208"/>
      <c r="BU386" s="208"/>
      <c r="BV386" s="208"/>
      <c r="BW386" s="208"/>
      <c r="BX386" s="208"/>
      <c r="BY386" s="208"/>
      <c r="CA386" s="207"/>
      <c r="CB386" s="208"/>
      <c r="CC386" s="208"/>
      <c r="CD386" s="208"/>
      <c r="CE386" s="208"/>
      <c r="CF386" s="208"/>
      <c r="CG386" s="208"/>
      <c r="CH386" s="208"/>
      <c r="CI386" s="208"/>
      <c r="CJ386" s="208"/>
      <c r="CL386" s="207"/>
      <c r="CM386" s="208"/>
      <c r="CN386" s="208"/>
      <c r="CO386" s="208"/>
      <c r="CP386" s="208"/>
      <c r="CQ386" s="208"/>
      <c r="CR386" s="208"/>
      <c r="CS386" s="208"/>
      <c r="CT386" s="208"/>
      <c r="CU386" s="208"/>
      <c r="CW386" s="207"/>
      <c r="CX386" s="208"/>
      <c r="CY386" s="208"/>
      <c r="CZ386" s="208"/>
      <c r="DA386" s="208"/>
      <c r="DB386" s="208"/>
      <c r="DC386" s="208"/>
      <c r="DD386" s="208"/>
      <c r="DE386" s="208"/>
      <c r="DF386" s="208"/>
      <c r="DH386" s="207"/>
      <c r="DI386" s="208"/>
      <c r="DJ386" s="208"/>
      <c r="DK386" s="208"/>
      <c r="DL386" s="208"/>
      <c r="DM386" s="208"/>
      <c r="DN386" s="208"/>
      <c r="DO386" s="208"/>
      <c r="DP386" s="208"/>
      <c r="DQ386" s="208"/>
      <c r="DS386" s="207"/>
      <c r="DT386" s="208"/>
      <c r="DU386" s="208"/>
      <c r="DV386" s="208"/>
      <c r="DW386" s="208"/>
      <c r="DX386" s="208"/>
      <c r="DY386" s="208"/>
      <c r="DZ386" s="208"/>
      <c r="EA386" s="208"/>
      <c r="EB386" s="208"/>
      <c r="ED386" s="207"/>
      <c r="EE386" s="208"/>
      <c r="EF386" s="208"/>
      <c r="EG386" s="208"/>
      <c r="EH386" s="208"/>
      <c r="EI386" s="208"/>
      <c r="EJ386" s="208"/>
      <c r="EK386" s="208"/>
      <c r="EL386" s="208"/>
      <c r="EM386" s="208"/>
      <c r="EO386" s="207"/>
      <c r="EP386" s="208"/>
      <c r="EQ386" s="208"/>
      <c r="ER386" s="208"/>
      <c r="ES386" s="208"/>
      <c r="ET386" s="208"/>
      <c r="EU386" s="208"/>
      <c r="EV386" s="208"/>
      <c r="EW386" s="208"/>
      <c r="EX386" s="208"/>
      <c r="EZ386" s="207"/>
      <c r="FA386" s="208"/>
      <c r="FB386" s="208"/>
      <c r="FC386" s="208"/>
      <c r="FD386" s="208"/>
      <c r="FE386" s="208"/>
      <c r="FF386" s="208"/>
      <c r="FG386" s="208"/>
      <c r="FH386" s="208"/>
      <c r="FI386" s="208"/>
      <c r="FK386" s="207"/>
      <c r="FL386" s="208"/>
      <c r="FM386" s="208"/>
      <c r="FN386" s="208"/>
      <c r="FO386" s="208"/>
      <c r="FP386" s="208"/>
      <c r="FQ386" s="208"/>
      <c r="FR386" s="208"/>
      <c r="FS386" s="208"/>
      <c r="FT386" s="208"/>
      <c r="FV386" s="207"/>
      <c r="FW386" s="208"/>
      <c r="FX386" s="208"/>
      <c r="FY386" s="208"/>
      <c r="FZ386" s="208"/>
      <c r="GA386" s="208"/>
      <c r="GB386" s="208"/>
      <c r="GC386" s="208"/>
      <c r="GD386" s="208"/>
      <c r="GE386" s="208"/>
      <c r="GG386" s="207"/>
      <c r="GH386" s="208"/>
      <c r="GI386" s="208"/>
      <c r="GJ386" s="208"/>
      <c r="GK386" s="208"/>
      <c r="GL386" s="208"/>
      <c r="GM386" s="208"/>
      <c r="GN386" s="208"/>
      <c r="GO386" s="208"/>
      <c r="GP386" s="208"/>
      <c r="GR386" s="208"/>
      <c r="GS386" s="208"/>
      <c r="GT386" s="208"/>
      <c r="GU386" s="208"/>
      <c r="GV386" s="208"/>
      <c r="GW386" s="208"/>
      <c r="GX386" s="208"/>
      <c r="GY386" s="208"/>
      <c r="GZ386" s="208"/>
      <c r="HA386" s="208"/>
      <c r="HB386" s="208"/>
      <c r="HC386" s="208"/>
      <c r="HD386" s="208"/>
      <c r="HE386" s="208"/>
      <c r="HF386" s="208"/>
      <c r="HG386" s="208"/>
      <c r="HH386" s="208"/>
      <c r="HI386" s="208"/>
      <c r="HJ386" s="208"/>
      <c r="HK386" s="208"/>
      <c r="HP386" s="208"/>
      <c r="HQ386" s="208"/>
      <c r="HR386" s="208"/>
      <c r="HS386" s="208"/>
      <c r="HT386" s="208"/>
      <c r="HU386" s="208"/>
      <c r="HV386" s="208"/>
      <c r="HW386" s="208"/>
      <c r="HX386" s="208"/>
      <c r="HY386" s="208"/>
      <c r="HZ386" s="208"/>
      <c r="IA386" s="208"/>
      <c r="IB386" s="208"/>
      <c r="IC386" s="208"/>
      <c r="ID386" s="208"/>
      <c r="IE386" s="208"/>
      <c r="IJ386" s="208"/>
      <c r="IK386" s="208"/>
      <c r="IL386" s="208"/>
      <c r="IM386" s="208"/>
      <c r="IN386" s="208"/>
      <c r="IO386" s="208"/>
      <c r="IP386" s="208"/>
      <c r="IQ386" s="208"/>
      <c r="IR386" s="208"/>
      <c r="IS386" s="208"/>
      <c r="IT386" s="208"/>
      <c r="IU386" s="208"/>
      <c r="IV386" s="208"/>
    </row>
    <row r="387" spans="1:256" x14ac:dyDescent="0.2">
      <c r="A387" s="204"/>
      <c r="B387" s="209"/>
      <c r="C387" s="208"/>
      <c r="D387" s="208"/>
      <c r="E387" s="208"/>
      <c r="F387" s="208"/>
      <c r="G387" s="208"/>
      <c r="H387" s="208"/>
      <c r="I387" s="208"/>
      <c r="J387" s="208"/>
      <c r="K387" s="208"/>
      <c r="M387" s="209"/>
      <c r="N387" s="208"/>
      <c r="O387" s="208"/>
      <c r="P387" s="208"/>
      <c r="Q387" s="208"/>
      <c r="R387" s="208"/>
      <c r="S387" s="208"/>
      <c r="T387" s="208"/>
      <c r="U387" s="208"/>
      <c r="V387" s="208"/>
      <c r="X387" s="209"/>
      <c r="Y387" s="208"/>
      <c r="Z387" s="208"/>
      <c r="AA387" s="208"/>
      <c r="AB387" s="208"/>
      <c r="AC387" s="208"/>
      <c r="AD387" s="208"/>
      <c r="AE387" s="208"/>
      <c r="AF387" s="208"/>
      <c r="AG387" s="208"/>
      <c r="AI387" s="209"/>
      <c r="AJ387" s="208"/>
      <c r="AK387" s="208"/>
      <c r="AL387" s="208"/>
      <c r="AM387" s="208"/>
      <c r="AN387" s="208"/>
      <c r="AO387" s="208"/>
      <c r="AP387" s="208"/>
      <c r="AQ387" s="208"/>
      <c r="AR387" s="208"/>
      <c r="AT387" s="209"/>
      <c r="AU387" s="208"/>
      <c r="AV387" s="208"/>
      <c r="AW387" s="208"/>
      <c r="AX387" s="208"/>
      <c r="AY387" s="208"/>
      <c r="AZ387" s="208"/>
      <c r="BA387" s="208"/>
      <c r="BB387" s="208"/>
      <c r="BC387" s="208"/>
      <c r="BE387" s="209"/>
      <c r="BF387" s="208"/>
      <c r="BG387" s="208"/>
      <c r="BH387" s="208"/>
      <c r="BI387" s="208"/>
      <c r="BJ387" s="208"/>
      <c r="BK387" s="208"/>
      <c r="BL387" s="208"/>
      <c r="BM387" s="208"/>
      <c r="BN387" s="208"/>
      <c r="BP387" s="209"/>
      <c r="BQ387" s="208"/>
      <c r="BR387" s="208"/>
      <c r="BS387" s="208"/>
      <c r="BT387" s="208"/>
      <c r="BU387" s="208"/>
      <c r="BV387" s="208"/>
      <c r="BW387" s="208"/>
      <c r="BX387" s="208"/>
      <c r="BY387" s="208"/>
      <c r="CA387" s="209"/>
      <c r="CB387" s="208"/>
      <c r="CC387" s="208"/>
      <c r="CD387" s="208"/>
      <c r="CE387" s="208"/>
      <c r="CF387" s="208"/>
      <c r="CG387" s="208"/>
      <c r="CH387" s="208"/>
      <c r="CI387" s="208"/>
      <c r="CJ387" s="208"/>
      <c r="CL387" s="209"/>
      <c r="CM387" s="208"/>
      <c r="CN387" s="208"/>
      <c r="CO387" s="208"/>
      <c r="CP387" s="208"/>
      <c r="CQ387" s="208"/>
      <c r="CR387" s="208"/>
      <c r="CS387" s="208"/>
      <c r="CT387" s="208"/>
      <c r="CU387" s="208"/>
      <c r="CW387" s="209"/>
      <c r="CX387" s="208"/>
      <c r="CY387" s="208"/>
      <c r="CZ387" s="208"/>
      <c r="DA387" s="208"/>
      <c r="DB387" s="208"/>
      <c r="DC387" s="208"/>
      <c r="DD387" s="208"/>
      <c r="DE387" s="208"/>
      <c r="DF387" s="208"/>
      <c r="DH387" s="209"/>
      <c r="DI387" s="208"/>
      <c r="DJ387" s="208"/>
      <c r="DK387" s="208"/>
      <c r="DL387" s="208"/>
      <c r="DM387" s="208"/>
      <c r="DN387" s="208"/>
      <c r="DO387" s="208"/>
      <c r="DP387" s="208"/>
      <c r="DQ387" s="208"/>
      <c r="DS387" s="209"/>
      <c r="DT387" s="208"/>
      <c r="DU387" s="208"/>
      <c r="DV387" s="208"/>
      <c r="DW387" s="208"/>
      <c r="DX387" s="208"/>
      <c r="DY387" s="208"/>
      <c r="DZ387" s="208"/>
      <c r="EA387" s="208"/>
      <c r="EB387" s="208"/>
      <c r="ED387" s="209"/>
      <c r="EE387" s="208"/>
      <c r="EF387" s="208"/>
      <c r="EG387" s="208"/>
      <c r="EH387" s="208"/>
      <c r="EI387" s="208"/>
      <c r="EJ387" s="208"/>
      <c r="EK387" s="208"/>
      <c r="EL387" s="208"/>
      <c r="EM387" s="208"/>
      <c r="EO387" s="209"/>
      <c r="EP387" s="208"/>
      <c r="EQ387" s="208"/>
      <c r="ER387" s="208"/>
      <c r="ES387" s="208"/>
      <c r="ET387" s="208"/>
      <c r="EU387" s="208"/>
      <c r="EV387" s="208"/>
      <c r="EW387" s="208"/>
      <c r="EX387" s="208"/>
      <c r="EZ387" s="209"/>
      <c r="FA387" s="208"/>
      <c r="FB387" s="208"/>
      <c r="FC387" s="208"/>
      <c r="FD387" s="208"/>
      <c r="FE387" s="208"/>
      <c r="FF387" s="208"/>
      <c r="FG387" s="208"/>
      <c r="FH387" s="208"/>
      <c r="FI387" s="208"/>
      <c r="FK387" s="209"/>
      <c r="FL387" s="208"/>
      <c r="FM387" s="208"/>
      <c r="FN387" s="208"/>
      <c r="FO387" s="208"/>
      <c r="FP387" s="208"/>
      <c r="FQ387" s="208"/>
      <c r="FR387" s="208"/>
      <c r="FS387" s="208"/>
      <c r="FT387" s="208"/>
      <c r="FV387" s="209"/>
      <c r="FW387" s="208"/>
      <c r="FX387" s="208"/>
      <c r="FY387" s="208"/>
      <c r="FZ387" s="208"/>
      <c r="GA387" s="208"/>
      <c r="GB387" s="208"/>
      <c r="GC387" s="208"/>
      <c r="GD387" s="208"/>
      <c r="GE387" s="208"/>
      <c r="GG387" s="209"/>
      <c r="GH387" s="208"/>
      <c r="GI387" s="208"/>
      <c r="GJ387" s="208"/>
      <c r="GK387" s="208"/>
      <c r="GL387" s="208"/>
      <c r="GM387" s="208"/>
      <c r="GN387" s="208"/>
      <c r="GO387" s="208"/>
      <c r="GP387" s="208"/>
      <c r="GR387" s="208"/>
      <c r="GS387" s="208"/>
      <c r="GT387" s="208"/>
      <c r="GU387" s="208"/>
      <c r="GV387" s="208"/>
      <c r="GW387" s="208"/>
      <c r="GX387" s="208"/>
      <c r="GY387" s="208"/>
      <c r="GZ387" s="208"/>
      <c r="HA387" s="208"/>
      <c r="HB387" s="208"/>
      <c r="HC387" s="208"/>
      <c r="HD387" s="208"/>
      <c r="HE387" s="208"/>
      <c r="HF387" s="208"/>
      <c r="HG387" s="208"/>
      <c r="HH387" s="208"/>
      <c r="HI387" s="208"/>
      <c r="HJ387" s="208"/>
      <c r="HK387" s="208"/>
      <c r="HP387" s="208"/>
      <c r="HQ387" s="208"/>
      <c r="HR387" s="208"/>
      <c r="HS387" s="208"/>
      <c r="HT387" s="208"/>
      <c r="HU387" s="208"/>
      <c r="HV387" s="208"/>
      <c r="HW387" s="208"/>
      <c r="HX387" s="208"/>
      <c r="HY387" s="208"/>
      <c r="HZ387" s="208"/>
      <c r="IA387" s="208"/>
      <c r="IB387" s="208"/>
      <c r="IC387" s="208"/>
      <c r="ID387" s="208"/>
      <c r="IE387" s="208"/>
      <c r="IJ387" s="208"/>
      <c r="IK387" s="208"/>
      <c r="IL387" s="208"/>
      <c r="IM387" s="208"/>
      <c r="IN387" s="208"/>
      <c r="IO387" s="208"/>
      <c r="IP387" s="208"/>
      <c r="IQ387" s="208"/>
      <c r="IR387" s="208"/>
      <c r="IS387" s="208"/>
      <c r="IT387" s="208"/>
      <c r="IU387" s="208"/>
      <c r="IV387" s="208"/>
    </row>
    <row r="388" spans="1:256" x14ac:dyDescent="0.2">
      <c r="A388" s="204"/>
      <c r="B388" s="209"/>
      <c r="C388" s="208"/>
      <c r="D388" s="208"/>
      <c r="E388" s="208"/>
      <c r="F388" s="208"/>
      <c r="G388" s="208"/>
      <c r="H388" s="208"/>
      <c r="I388" s="208"/>
      <c r="J388" s="208"/>
      <c r="K388" s="208"/>
      <c r="M388" s="209"/>
      <c r="N388" s="208"/>
      <c r="O388" s="208"/>
      <c r="P388" s="208"/>
      <c r="Q388" s="208"/>
      <c r="R388" s="208"/>
      <c r="S388" s="208"/>
      <c r="T388" s="208"/>
      <c r="U388" s="208"/>
      <c r="V388" s="208"/>
      <c r="X388" s="209"/>
      <c r="Y388" s="208"/>
      <c r="Z388" s="208"/>
      <c r="AA388" s="208"/>
      <c r="AB388" s="208"/>
      <c r="AC388" s="208"/>
      <c r="AD388" s="208"/>
      <c r="AE388" s="208"/>
      <c r="AF388" s="208"/>
      <c r="AG388" s="208"/>
      <c r="AI388" s="209"/>
      <c r="AJ388" s="208"/>
      <c r="AK388" s="208"/>
      <c r="AL388" s="208"/>
      <c r="AM388" s="208"/>
      <c r="AN388" s="208"/>
      <c r="AO388" s="208"/>
      <c r="AP388" s="208"/>
      <c r="AQ388" s="208"/>
      <c r="AR388" s="208"/>
      <c r="AT388" s="209"/>
      <c r="AU388" s="208"/>
      <c r="AV388" s="208"/>
      <c r="AW388" s="208"/>
      <c r="AX388" s="208"/>
      <c r="AY388" s="208"/>
      <c r="AZ388" s="208"/>
      <c r="BA388" s="208"/>
      <c r="BB388" s="208"/>
      <c r="BC388" s="208"/>
      <c r="BE388" s="209"/>
      <c r="BF388" s="208"/>
      <c r="BG388" s="208"/>
      <c r="BH388" s="208"/>
      <c r="BI388" s="208"/>
      <c r="BJ388" s="208"/>
      <c r="BK388" s="208"/>
      <c r="BL388" s="208"/>
      <c r="BM388" s="208"/>
      <c r="BN388" s="208"/>
      <c r="BP388" s="209"/>
      <c r="BQ388" s="208"/>
      <c r="BR388" s="208"/>
      <c r="BS388" s="208"/>
      <c r="BT388" s="208"/>
      <c r="BU388" s="208"/>
      <c r="BV388" s="208"/>
      <c r="BW388" s="208"/>
      <c r="BX388" s="208"/>
      <c r="BY388" s="208"/>
      <c r="CA388" s="209"/>
      <c r="CB388" s="208"/>
      <c r="CC388" s="208"/>
      <c r="CD388" s="208"/>
      <c r="CE388" s="208"/>
      <c r="CF388" s="208"/>
      <c r="CG388" s="208"/>
      <c r="CH388" s="208"/>
      <c r="CI388" s="208"/>
      <c r="CJ388" s="208"/>
      <c r="CL388" s="209"/>
      <c r="CM388" s="208"/>
      <c r="CN388" s="208"/>
      <c r="CO388" s="208"/>
      <c r="CP388" s="208"/>
      <c r="CQ388" s="208"/>
      <c r="CR388" s="208"/>
      <c r="CS388" s="208"/>
      <c r="CT388" s="208"/>
      <c r="CU388" s="208"/>
      <c r="CW388" s="209"/>
      <c r="CX388" s="208"/>
      <c r="CY388" s="208"/>
      <c r="CZ388" s="208"/>
      <c r="DA388" s="208"/>
      <c r="DB388" s="208"/>
      <c r="DC388" s="208"/>
      <c r="DD388" s="208"/>
      <c r="DE388" s="208"/>
      <c r="DF388" s="208"/>
      <c r="DH388" s="209"/>
      <c r="DI388" s="208"/>
      <c r="DJ388" s="208"/>
      <c r="DK388" s="208"/>
      <c r="DL388" s="208"/>
      <c r="DM388" s="208"/>
      <c r="DN388" s="208"/>
      <c r="DO388" s="208"/>
      <c r="DP388" s="208"/>
      <c r="DQ388" s="208"/>
      <c r="DS388" s="209"/>
      <c r="DT388" s="208"/>
      <c r="DU388" s="208"/>
      <c r="DV388" s="208"/>
      <c r="DW388" s="208"/>
      <c r="DX388" s="208"/>
      <c r="DY388" s="208"/>
      <c r="DZ388" s="208"/>
      <c r="EA388" s="208"/>
      <c r="EB388" s="208"/>
      <c r="ED388" s="209"/>
      <c r="EE388" s="208"/>
      <c r="EF388" s="208"/>
      <c r="EG388" s="208"/>
      <c r="EH388" s="208"/>
      <c r="EI388" s="208"/>
      <c r="EJ388" s="208"/>
      <c r="EK388" s="208"/>
      <c r="EL388" s="208"/>
      <c r="EM388" s="208"/>
      <c r="EO388" s="209"/>
      <c r="EP388" s="208"/>
      <c r="EQ388" s="208"/>
      <c r="ER388" s="208"/>
      <c r="ES388" s="208"/>
      <c r="ET388" s="208"/>
      <c r="EU388" s="208"/>
      <c r="EV388" s="208"/>
      <c r="EW388" s="208"/>
      <c r="EX388" s="208"/>
      <c r="EZ388" s="209"/>
      <c r="FA388" s="208"/>
      <c r="FB388" s="208"/>
      <c r="FC388" s="208"/>
      <c r="FD388" s="208"/>
      <c r="FE388" s="208"/>
      <c r="FF388" s="208"/>
      <c r="FG388" s="208"/>
      <c r="FH388" s="208"/>
      <c r="FI388" s="208"/>
      <c r="FK388" s="209"/>
      <c r="FL388" s="208"/>
      <c r="FM388" s="208"/>
      <c r="FN388" s="208"/>
      <c r="FO388" s="208"/>
      <c r="FP388" s="208"/>
      <c r="FQ388" s="208"/>
      <c r="FR388" s="208"/>
      <c r="FS388" s="208"/>
      <c r="FT388" s="208"/>
      <c r="FV388" s="209"/>
      <c r="FW388" s="208"/>
      <c r="FX388" s="208"/>
      <c r="FY388" s="208"/>
      <c r="FZ388" s="208"/>
      <c r="GA388" s="208"/>
      <c r="GB388" s="208"/>
      <c r="GC388" s="208"/>
      <c r="GD388" s="208"/>
      <c r="GE388" s="208"/>
      <c r="GG388" s="209"/>
      <c r="GH388" s="208"/>
      <c r="GI388" s="208"/>
      <c r="GJ388" s="208"/>
      <c r="GK388" s="208"/>
      <c r="GL388" s="208"/>
      <c r="GM388" s="208"/>
      <c r="GN388" s="208"/>
      <c r="GO388" s="208"/>
      <c r="GP388" s="208"/>
      <c r="GR388" s="208"/>
      <c r="GS388" s="208"/>
      <c r="GT388" s="208"/>
      <c r="GU388" s="208"/>
      <c r="GV388" s="208"/>
      <c r="GW388" s="208"/>
      <c r="GX388" s="208"/>
      <c r="GY388" s="208"/>
      <c r="GZ388" s="208"/>
      <c r="HA388" s="208"/>
      <c r="HB388" s="208"/>
      <c r="HC388" s="208"/>
      <c r="HD388" s="208"/>
      <c r="HE388" s="208"/>
      <c r="HF388" s="208"/>
      <c r="HG388" s="208"/>
      <c r="HH388" s="208"/>
      <c r="HI388" s="208"/>
      <c r="HJ388" s="208"/>
      <c r="HK388" s="208"/>
      <c r="HP388" s="208"/>
      <c r="HQ388" s="208"/>
      <c r="HR388" s="208"/>
      <c r="HS388" s="208"/>
      <c r="HT388" s="208"/>
      <c r="HU388" s="208"/>
      <c r="HV388" s="208"/>
      <c r="HW388" s="208"/>
      <c r="HX388" s="208"/>
      <c r="HY388" s="208"/>
      <c r="HZ388" s="208"/>
      <c r="IA388" s="208"/>
      <c r="IB388" s="208"/>
      <c r="IC388" s="208"/>
      <c r="ID388" s="208"/>
      <c r="IE388" s="208"/>
      <c r="IJ388" s="208"/>
      <c r="IK388" s="208"/>
      <c r="IL388" s="208"/>
      <c r="IM388" s="208"/>
      <c r="IN388" s="208"/>
      <c r="IO388" s="208"/>
      <c r="IP388" s="208"/>
      <c r="IQ388" s="208"/>
      <c r="IR388" s="208"/>
      <c r="IS388" s="208"/>
      <c r="IT388" s="208"/>
      <c r="IU388" s="208"/>
      <c r="IV388" s="208"/>
    </row>
    <row r="389" spans="1:256" x14ac:dyDescent="0.2">
      <c r="A389" s="204"/>
      <c r="B389" s="207"/>
      <c r="C389" s="208"/>
      <c r="D389" s="208"/>
      <c r="E389" s="208"/>
      <c r="F389" s="208"/>
      <c r="G389" s="208"/>
      <c r="H389" s="208"/>
      <c r="I389" s="208"/>
      <c r="J389" s="208"/>
      <c r="K389" s="208"/>
      <c r="M389" s="207"/>
      <c r="N389" s="208"/>
      <c r="O389" s="208"/>
      <c r="P389" s="208"/>
      <c r="Q389" s="208"/>
      <c r="R389" s="208"/>
      <c r="S389" s="208"/>
      <c r="T389" s="208"/>
      <c r="U389" s="208"/>
      <c r="V389" s="208"/>
      <c r="X389" s="207"/>
      <c r="Y389" s="208"/>
      <c r="Z389" s="208"/>
      <c r="AA389" s="208"/>
      <c r="AB389" s="208"/>
      <c r="AC389" s="208"/>
      <c r="AD389" s="208"/>
      <c r="AE389" s="208"/>
      <c r="AF389" s="208"/>
      <c r="AG389" s="208"/>
      <c r="AI389" s="207"/>
      <c r="AJ389" s="208"/>
      <c r="AK389" s="208"/>
      <c r="AL389" s="208"/>
      <c r="AM389" s="208"/>
      <c r="AN389" s="208"/>
      <c r="AO389" s="208"/>
      <c r="AP389" s="208"/>
      <c r="AQ389" s="208"/>
      <c r="AR389" s="208"/>
      <c r="AT389" s="207"/>
      <c r="AU389" s="208"/>
      <c r="AV389" s="208"/>
      <c r="AW389" s="208"/>
      <c r="AX389" s="208"/>
      <c r="AY389" s="208"/>
      <c r="AZ389" s="208"/>
      <c r="BA389" s="208"/>
      <c r="BB389" s="208"/>
      <c r="BC389" s="208"/>
      <c r="BE389" s="207"/>
      <c r="BF389" s="208"/>
      <c r="BG389" s="208"/>
      <c r="BH389" s="208"/>
      <c r="BI389" s="208"/>
      <c r="BJ389" s="208"/>
      <c r="BK389" s="208"/>
      <c r="BL389" s="208"/>
      <c r="BM389" s="208"/>
      <c r="BN389" s="208"/>
      <c r="BP389" s="207"/>
      <c r="BQ389" s="208"/>
      <c r="BR389" s="208"/>
      <c r="BS389" s="208"/>
      <c r="BT389" s="208"/>
      <c r="BU389" s="208"/>
      <c r="BV389" s="208"/>
      <c r="BW389" s="208"/>
      <c r="BX389" s="208"/>
      <c r="BY389" s="208"/>
      <c r="CA389" s="207"/>
      <c r="CB389" s="208"/>
      <c r="CC389" s="208"/>
      <c r="CD389" s="208"/>
      <c r="CE389" s="208"/>
      <c r="CF389" s="208"/>
      <c r="CG389" s="208"/>
      <c r="CH389" s="208"/>
      <c r="CI389" s="208"/>
      <c r="CJ389" s="208"/>
      <c r="CL389" s="207"/>
      <c r="CM389" s="208"/>
      <c r="CN389" s="208"/>
      <c r="CO389" s="208"/>
      <c r="CP389" s="208"/>
      <c r="CQ389" s="208"/>
      <c r="CR389" s="208"/>
      <c r="CS389" s="208"/>
      <c r="CT389" s="208"/>
      <c r="CU389" s="208"/>
      <c r="CW389" s="207"/>
      <c r="CX389" s="208"/>
      <c r="CY389" s="208"/>
      <c r="CZ389" s="208"/>
      <c r="DA389" s="208"/>
      <c r="DB389" s="208"/>
      <c r="DC389" s="208"/>
      <c r="DD389" s="208"/>
      <c r="DE389" s="208"/>
      <c r="DF389" s="208"/>
      <c r="DH389" s="207"/>
      <c r="DI389" s="208"/>
      <c r="DJ389" s="208"/>
      <c r="DK389" s="208"/>
      <c r="DL389" s="208"/>
      <c r="DM389" s="208"/>
      <c r="DN389" s="208"/>
      <c r="DO389" s="208"/>
      <c r="DP389" s="208"/>
      <c r="DQ389" s="208"/>
      <c r="DS389" s="207"/>
      <c r="DT389" s="208"/>
      <c r="DU389" s="208"/>
      <c r="DV389" s="208"/>
      <c r="DW389" s="208"/>
      <c r="DX389" s="208"/>
      <c r="DY389" s="208"/>
      <c r="DZ389" s="208"/>
      <c r="EA389" s="208"/>
      <c r="EB389" s="208"/>
      <c r="ED389" s="207"/>
      <c r="EE389" s="208"/>
      <c r="EF389" s="208"/>
      <c r="EG389" s="208"/>
      <c r="EH389" s="208"/>
      <c r="EI389" s="208"/>
      <c r="EJ389" s="208"/>
      <c r="EK389" s="208"/>
      <c r="EL389" s="208"/>
      <c r="EM389" s="208"/>
      <c r="EO389" s="207"/>
      <c r="EP389" s="208"/>
      <c r="EQ389" s="208"/>
      <c r="ER389" s="208"/>
      <c r="ES389" s="208"/>
      <c r="ET389" s="208"/>
      <c r="EU389" s="208"/>
      <c r="EV389" s="208"/>
      <c r="EW389" s="208"/>
      <c r="EX389" s="208"/>
      <c r="EZ389" s="207"/>
      <c r="FA389" s="208"/>
      <c r="FB389" s="208"/>
      <c r="FC389" s="208"/>
      <c r="FD389" s="208"/>
      <c r="FE389" s="208"/>
      <c r="FF389" s="208"/>
      <c r="FG389" s="208"/>
      <c r="FH389" s="208"/>
      <c r="FI389" s="208"/>
      <c r="FK389" s="207"/>
      <c r="FL389" s="208"/>
      <c r="FM389" s="208"/>
      <c r="FN389" s="208"/>
      <c r="FO389" s="208"/>
      <c r="FP389" s="208"/>
      <c r="FQ389" s="208"/>
      <c r="FR389" s="208"/>
      <c r="FS389" s="208"/>
      <c r="FT389" s="208"/>
      <c r="FV389" s="207"/>
      <c r="FW389" s="208"/>
      <c r="FX389" s="208"/>
      <c r="FY389" s="208"/>
      <c r="FZ389" s="208"/>
      <c r="GA389" s="208"/>
      <c r="GB389" s="208"/>
      <c r="GC389" s="208"/>
      <c r="GD389" s="208"/>
      <c r="GE389" s="208"/>
      <c r="GG389" s="207"/>
      <c r="GH389" s="208"/>
      <c r="GI389" s="208"/>
      <c r="GJ389" s="208"/>
      <c r="GK389" s="208"/>
      <c r="GL389" s="208"/>
      <c r="GM389" s="208"/>
      <c r="GN389" s="208"/>
      <c r="GO389" s="208"/>
      <c r="GP389" s="208"/>
      <c r="GR389" s="208"/>
      <c r="GS389" s="208"/>
      <c r="GT389" s="208"/>
      <c r="GU389" s="208"/>
      <c r="GV389" s="208"/>
      <c r="GW389" s="208"/>
      <c r="GX389" s="208"/>
      <c r="GY389" s="208"/>
      <c r="GZ389" s="208"/>
      <c r="HA389" s="208"/>
      <c r="HB389" s="208"/>
      <c r="HC389" s="208"/>
      <c r="HD389" s="208"/>
      <c r="HE389" s="208"/>
      <c r="HF389" s="208"/>
      <c r="HG389" s="208"/>
      <c r="HH389" s="208"/>
      <c r="HI389" s="208"/>
      <c r="HJ389" s="208"/>
      <c r="HK389" s="208"/>
      <c r="HP389" s="208"/>
      <c r="HQ389" s="208"/>
      <c r="HR389" s="208"/>
      <c r="HS389" s="208"/>
      <c r="HT389" s="208"/>
      <c r="HU389" s="208"/>
      <c r="HV389" s="208"/>
      <c r="HW389" s="208"/>
      <c r="HX389" s="208"/>
      <c r="HY389" s="208"/>
      <c r="HZ389" s="208"/>
      <c r="IA389" s="208"/>
      <c r="IB389" s="208"/>
      <c r="IC389" s="208"/>
      <c r="ID389" s="208"/>
      <c r="IE389" s="208"/>
      <c r="IJ389" s="208"/>
      <c r="IK389" s="208"/>
      <c r="IL389" s="208"/>
      <c r="IM389" s="208"/>
      <c r="IN389" s="208"/>
      <c r="IO389" s="208"/>
      <c r="IP389" s="208"/>
      <c r="IQ389" s="208"/>
      <c r="IR389" s="208"/>
      <c r="IS389" s="208"/>
      <c r="IT389" s="208"/>
      <c r="IU389" s="208"/>
      <c r="IV389" s="208"/>
    </row>
    <row r="390" spans="1:256" x14ac:dyDescent="0.2">
      <c r="A390" s="204"/>
      <c r="B390" s="207"/>
      <c r="C390" s="208"/>
      <c r="D390" s="208"/>
      <c r="E390" s="208"/>
      <c r="F390" s="208"/>
      <c r="G390" s="208"/>
      <c r="H390" s="208"/>
      <c r="I390" s="208"/>
      <c r="J390" s="208"/>
      <c r="K390" s="208"/>
      <c r="M390" s="207"/>
      <c r="N390" s="208"/>
      <c r="O390" s="208"/>
      <c r="P390" s="208"/>
      <c r="Q390" s="208"/>
      <c r="R390" s="208"/>
      <c r="S390" s="208"/>
      <c r="T390" s="208"/>
      <c r="U390" s="208"/>
      <c r="V390" s="208"/>
      <c r="X390" s="207"/>
      <c r="Y390" s="208"/>
      <c r="Z390" s="208"/>
      <c r="AA390" s="208"/>
      <c r="AB390" s="208"/>
      <c r="AC390" s="208"/>
      <c r="AD390" s="208"/>
      <c r="AE390" s="208"/>
      <c r="AF390" s="208"/>
      <c r="AG390" s="208"/>
      <c r="AI390" s="207"/>
      <c r="AJ390" s="208"/>
      <c r="AK390" s="208"/>
      <c r="AL390" s="208"/>
      <c r="AM390" s="208"/>
      <c r="AN390" s="208"/>
      <c r="AO390" s="208"/>
      <c r="AP390" s="208"/>
      <c r="AQ390" s="208"/>
      <c r="AR390" s="208"/>
      <c r="AT390" s="207"/>
      <c r="AU390" s="208"/>
      <c r="AV390" s="208"/>
      <c r="AW390" s="208"/>
      <c r="AX390" s="208"/>
      <c r="AY390" s="208"/>
      <c r="AZ390" s="208"/>
      <c r="BA390" s="208"/>
      <c r="BB390" s="208"/>
      <c r="BC390" s="208"/>
      <c r="BE390" s="207"/>
      <c r="BF390" s="208"/>
      <c r="BG390" s="208"/>
      <c r="BH390" s="208"/>
      <c r="BI390" s="208"/>
      <c r="BJ390" s="208"/>
      <c r="BK390" s="208"/>
      <c r="BL390" s="208"/>
      <c r="BM390" s="208"/>
      <c r="BN390" s="208"/>
      <c r="BP390" s="207"/>
      <c r="BQ390" s="208"/>
      <c r="BR390" s="208"/>
      <c r="BS390" s="208"/>
      <c r="BT390" s="208"/>
      <c r="BU390" s="208"/>
      <c r="BV390" s="208"/>
      <c r="BW390" s="208"/>
      <c r="BX390" s="208"/>
      <c r="BY390" s="208"/>
      <c r="CA390" s="207"/>
      <c r="CB390" s="208"/>
      <c r="CC390" s="208"/>
      <c r="CD390" s="208"/>
      <c r="CE390" s="208"/>
      <c r="CF390" s="208"/>
      <c r="CG390" s="208"/>
      <c r="CH390" s="208"/>
      <c r="CI390" s="208"/>
      <c r="CJ390" s="208"/>
      <c r="CL390" s="207"/>
      <c r="CM390" s="208"/>
      <c r="CN390" s="208"/>
      <c r="CO390" s="208"/>
      <c r="CP390" s="208"/>
      <c r="CQ390" s="208"/>
      <c r="CR390" s="208"/>
      <c r="CS390" s="208"/>
      <c r="CT390" s="208"/>
      <c r="CU390" s="208"/>
      <c r="CW390" s="207"/>
      <c r="CX390" s="208"/>
      <c r="CY390" s="208"/>
      <c r="CZ390" s="208"/>
      <c r="DA390" s="208"/>
      <c r="DB390" s="208"/>
      <c r="DC390" s="208"/>
      <c r="DD390" s="208"/>
      <c r="DE390" s="208"/>
      <c r="DF390" s="208"/>
      <c r="DH390" s="207"/>
      <c r="DI390" s="208"/>
      <c r="DJ390" s="208"/>
      <c r="DK390" s="208"/>
      <c r="DL390" s="208"/>
      <c r="DM390" s="208"/>
      <c r="DN390" s="208"/>
      <c r="DO390" s="208"/>
      <c r="DP390" s="208"/>
      <c r="DQ390" s="208"/>
      <c r="DS390" s="207"/>
      <c r="DT390" s="208"/>
      <c r="DU390" s="208"/>
      <c r="DV390" s="208"/>
      <c r="DW390" s="208"/>
      <c r="DX390" s="208"/>
      <c r="DY390" s="208"/>
      <c r="DZ390" s="208"/>
      <c r="EA390" s="208"/>
      <c r="EB390" s="208"/>
      <c r="ED390" s="207"/>
      <c r="EE390" s="208"/>
      <c r="EF390" s="208"/>
      <c r="EG390" s="208"/>
      <c r="EH390" s="208"/>
      <c r="EI390" s="208"/>
      <c r="EJ390" s="208"/>
      <c r="EK390" s="208"/>
      <c r="EL390" s="208"/>
      <c r="EM390" s="208"/>
      <c r="EO390" s="207"/>
      <c r="EP390" s="208"/>
      <c r="EQ390" s="208"/>
      <c r="ER390" s="208"/>
      <c r="ES390" s="208"/>
      <c r="ET390" s="208"/>
      <c r="EU390" s="208"/>
      <c r="EV390" s="208"/>
      <c r="EW390" s="208"/>
      <c r="EX390" s="208"/>
      <c r="EZ390" s="207"/>
      <c r="FA390" s="208"/>
      <c r="FB390" s="208"/>
      <c r="FC390" s="208"/>
      <c r="FD390" s="208"/>
      <c r="FE390" s="208"/>
      <c r="FF390" s="208"/>
      <c r="FG390" s="208"/>
      <c r="FH390" s="208"/>
      <c r="FI390" s="208"/>
      <c r="FK390" s="207"/>
      <c r="FL390" s="208"/>
      <c r="FM390" s="208"/>
      <c r="FN390" s="208"/>
      <c r="FO390" s="208"/>
      <c r="FP390" s="208"/>
      <c r="FQ390" s="208"/>
      <c r="FR390" s="208"/>
      <c r="FS390" s="208"/>
      <c r="FT390" s="208"/>
      <c r="FV390" s="207"/>
      <c r="FW390" s="208"/>
      <c r="FX390" s="208"/>
      <c r="FY390" s="208"/>
      <c r="FZ390" s="208"/>
      <c r="GA390" s="208"/>
      <c r="GB390" s="208"/>
      <c r="GC390" s="208"/>
      <c r="GD390" s="208"/>
      <c r="GE390" s="208"/>
      <c r="GG390" s="207"/>
      <c r="GH390" s="208"/>
      <c r="GI390" s="208"/>
      <c r="GJ390" s="208"/>
      <c r="GK390" s="208"/>
      <c r="GL390" s="208"/>
      <c r="GM390" s="208"/>
      <c r="GN390" s="208"/>
      <c r="GO390" s="208"/>
      <c r="GP390" s="208"/>
      <c r="GR390" s="208"/>
      <c r="GS390" s="208"/>
      <c r="GT390" s="208"/>
      <c r="GU390" s="208"/>
      <c r="GV390" s="208"/>
      <c r="GW390" s="208"/>
      <c r="GX390" s="208"/>
      <c r="GY390" s="208"/>
      <c r="GZ390" s="208"/>
      <c r="HA390" s="208"/>
      <c r="HB390" s="208"/>
      <c r="HC390" s="208"/>
      <c r="HD390" s="208"/>
      <c r="HE390" s="208"/>
      <c r="HF390" s="208"/>
      <c r="HG390" s="208"/>
      <c r="HH390" s="208"/>
      <c r="HI390" s="208"/>
      <c r="HJ390" s="208"/>
      <c r="HK390" s="208"/>
      <c r="HP390" s="208"/>
      <c r="HQ390" s="208"/>
      <c r="HR390" s="208"/>
      <c r="HS390" s="208"/>
      <c r="HT390" s="208"/>
      <c r="HU390" s="208"/>
      <c r="HV390" s="208"/>
      <c r="HW390" s="208"/>
      <c r="HX390" s="208"/>
      <c r="HY390" s="208"/>
      <c r="HZ390" s="208"/>
      <c r="IA390" s="208"/>
      <c r="IB390" s="208"/>
      <c r="IC390" s="208"/>
      <c r="ID390" s="208"/>
      <c r="IE390" s="208"/>
      <c r="IJ390" s="208"/>
      <c r="IK390" s="208"/>
      <c r="IL390" s="208"/>
      <c r="IM390" s="208"/>
      <c r="IN390" s="208"/>
      <c r="IO390" s="208"/>
      <c r="IP390" s="208"/>
      <c r="IQ390" s="208"/>
      <c r="IR390" s="208"/>
      <c r="IS390" s="208"/>
      <c r="IT390" s="208"/>
      <c r="IU390" s="208"/>
      <c r="IV390" s="208"/>
    </row>
    <row r="391" spans="1:256" x14ac:dyDescent="0.2">
      <c r="A391" s="204"/>
      <c r="B391" s="207"/>
      <c r="C391" s="208"/>
      <c r="D391" s="208"/>
      <c r="E391" s="208"/>
      <c r="F391" s="208"/>
      <c r="G391" s="208"/>
      <c r="H391" s="208"/>
      <c r="I391" s="208"/>
      <c r="J391" s="208"/>
      <c r="K391" s="208"/>
      <c r="M391" s="207"/>
      <c r="N391" s="208"/>
      <c r="O391" s="208"/>
      <c r="P391" s="208"/>
      <c r="Q391" s="208"/>
      <c r="R391" s="208"/>
      <c r="S391" s="208"/>
      <c r="T391" s="208"/>
      <c r="U391" s="208"/>
      <c r="V391" s="208"/>
      <c r="X391" s="207"/>
      <c r="Y391" s="208"/>
      <c r="Z391" s="208"/>
      <c r="AA391" s="208"/>
      <c r="AB391" s="208"/>
      <c r="AC391" s="208"/>
      <c r="AD391" s="208"/>
      <c r="AE391" s="208"/>
      <c r="AF391" s="208"/>
      <c r="AG391" s="208"/>
      <c r="AI391" s="207"/>
      <c r="AJ391" s="208"/>
      <c r="AK391" s="208"/>
      <c r="AL391" s="208"/>
      <c r="AM391" s="208"/>
      <c r="AN391" s="208"/>
      <c r="AO391" s="208"/>
      <c r="AP391" s="208"/>
      <c r="AQ391" s="208"/>
      <c r="AR391" s="208"/>
      <c r="AT391" s="207"/>
      <c r="AU391" s="208"/>
      <c r="AV391" s="208"/>
      <c r="AW391" s="208"/>
      <c r="AX391" s="208"/>
      <c r="AY391" s="208"/>
      <c r="AZ391" s="208"/>
      <c r="BA391" s="208"/>
      <c r="BB391" s="208"/>
      <c r="BC391" s="208"/>
      <c r="BE391" s="207"/>
      <c r="BF391" s="208"/>
      <c r="BG391" s="208"/>
      <c r="BH391" s="208"/>
      <c r="BI391" s="208"/>
      <c r="BJ391" s="208"/>
      <c r="BK391" s="208"/>
      <c r="BL391" s="208"/>
      <c r="BM391" s="208"/>
      <c r="BN391" s="208"/>
      <c r="BP391" s="207"/>
      <c r="BQ391" s="208"/>
      <c r="BR391" s="208"/>
      <c r="BS391" s="208"/>
      <c r="BT391" s="208"/>
      <c r="BU391" s="208"/>
      <c r="BV391" s="208"/>
      <c r="BW391" s="208"/>
      <c r="BX391" s="208"/>
      <c r="BY391" s="208"/>
      <c r="CA391" s="207"/>
      <c r="CB391" s="208"/>
      <c r="CC391" s="208"/>
      <c r="CD391" s="208"/>
      <c r="CE391" s="208"/>
      <c r="CF391" s="208"/>
      <c r="CG391" s="208"/>
      <c r="CH391" s="208"/>
      <c r="CI391" s="208"/>
      <c r="CJ391" s="208"/>
      <c r="CL391" s="207"/>
      <c r="CM391" s="208"/>
      <c r="CN391" s="208"/>
      <c r="CO391" s="208"/>
      <c r="CP391" s="208"/>
      <c r="CQ391" s="208"/>
      <c r="CR391" s="208"/>
      <c r="CS391" s="208"/>
      <c r="CT391" s="208"/>
      <c r="CU391" s="208"/>
      <c r="CW391" s="207"/>
      <c r="CX391" s="208"/>
      <c r="CY391" s="208"/>
      <c r="CZ391" s="208"/>
      <c r="DA391" s="208"/>
      <c r="DB391" s="208"/>
      <c r="DC391" s="208"/>
      <c r="DD391" s="208"/>
      <c r="DE391" s="208"/>
      <c r="DF391" s="208"/>
      <c r="DH391" s="207"/>
      <c r="DI391" s="208"/>
      <c r="DJ391" s="208"/>
      <c r="DK391" s="208"/>
      <c r="DL391" s="208"/>
      <c r="DM391" s="208"/>
      <c r="DN391" s="208"/>
      <c r="DO391" s="208"/>
      <c r="DP391" s="208"/>
      <c r="DQ391" s="208"/>
      <c r="DS391" s="207"/>
      <c r="DT391" s="208"/>
      <c r="DU391" s="208"/>
      <c r="DV391" s="208"/>
      <c r="DW391" s="208"/>
      <c r="DX391" s="208"/>
      <c r="DY391" s="208"/>
      <c r="DZ391" s="208"/>
      <c r="EA391" s="208"/>
      <c r="EB391" s="208"/>
      <c r="ED391" s="207"/>
      <c r="EE391" s="208"/>
      <c r="EF391" s="208"/>
      <c r="EG391" s="208"/>
      <c r="EH391" s="208"/>
      <c r="EI391" s="208"/>
      <c r="EJ391" s="208"/>
      <c r="EK391" s="208"/>
      <c r="EL391" s="208"/>
      <c r="EM391" s="208"/>
      <c r="EO391" s="207"/>
      <c r="EP391" s="208"/>
      <c r="EQ391" s="208"/>
      <c r="ER391" s="208"/>
      <c r="ES391" s="208"/>
      <c r="ET391" s="208"/>
      <c r="EU391" s="208"/>
      <c r="EV391" s="208"/>
      <c r="EW391" s="208"/>
      <c r="EX391" s="208"/>
      <c r="EZ391" s="207"/>
      <c r="FA391" s="208"/>
      <c r="FB391" s="208"/>
      <c r="FC391" s="208"/>
      <c r="FD391" s="208"/>
      <c r="FE391" s="208"/>
      <c r="FF391" s="208"/>
      <c r="FG391" s="208"/>
      <c r="FH391" s="208"/>
      <c r="FI391" s="208"/>
      <c r="FK391" s="207"/>
      <c r="FL391" s="208"/>
      <c r="FM391" s="208"/>
      <c r="FN391" s="208"/>
      <c r="FO391" s="208"/>
      <c r="FP391" s="208"/>
      <c r="FQ391" s="208"/>
      <c r="FR391" s="208"/>
      <c r="FS391" s="208"/>
      <c r="FT391" s="208"/>
      <c r="FV391" s="207"/>
      <c r="FW391" s="208"/>
      <c r="FX391" s="208"/>
      <c r="FY391" s="208"/>
      <c r="FZ391" s="208"/>
      <c r="GA391" s="208"/>
      <c r="GB391" s="208"/>
      <c r="GC391" s="208"/>
      <c r="GD391" s="208"/>
      <c r="GE391" s="208"/>
      <c r="GG391" s="207"/>
      <c r="GH391" s="208"/>
      <c r="GI391" s="208"/>
      <c r="GJ391" s="208"/>
      <c r="GK391" s="208"/>
      <c r="GL391" s="208"/>
      <c r="GM391" s="208"/>
      <c r="GN391" s="208"/>
      <c r="GO391" s="208"/>
      <c r="GP391" s="208"/>
      <c r="GR391" s="208"/>
      <c r="GS391" s="208"/>
      <c r="GT391" s="208"/>
      <c r="GU391" s="208"/>
      <c r="GV391" s="208"/>
      <c r="GW391" s="208"/>
      <c r="GX391" s="208"/>
      <c r="GY391" s="208"/>
      <c r="GZ391" s="208"/>
      <c r="HA391" s="208"/>
      <c r="HB391" s="208"/>
      <c r="HC391" s="208"/>
      <c r="HD391" s="208"/>
      <c r="HE391" s="208"/>
      <c r="HF391" s="208"/>
      <c r="HG391" s="208"/>
      <c r="HH391" s="208"/>
      <c r="HI391" s="208"/>
      <c r="HJ391" s="208"/>
      <c r="HK391" s="208"/>
      <c r="HP391" s="208"/>
      <c r="HQ391" s="208"/>
      <c r="HR391" s="208"/>
      <c r="HS391" s="208"/>
      <c r="HT391" s="208"/>
      <c r="HU391" s="208"/>
      <c r="HV391" s="208"/>
      <c r="HW391" s="208"/>
      <c r="HX391" s="208"/>
      <c r="HY391" s="208"/>
      <c r="HZ391" s="208"/>
      <c r="IA391" s="208"/>
      <c r="IB391" s="208"/>
      <c r="IC391" s="208"/>
      <c r="ID391" s="208"/>
      <c r="IE391" s="208"/>
      <c r="IJ391" s="208"/>
      <c r="IK391" s="208"/>
      <c r="IL391" s="208"/>
      <c r="IM391" s="208"/>
      <c r="IN391" s="208"/>
      <c r="IO391" s="208"/>
      <c r="IP391" s="208"/>
      <c r="IQ391" s="208"/>
      <c r="IR391" s="208"/>
      <c r="IS391" s="208"/>
      <c r="IT391" s="208"/>
      <c r="IU391" s="208"/>
      <c r="IV391" s="208"/>
    </row>
    <row r="392" spans="1:256" x14ac:dyDescent="0.2">
      <c r="A392" s="204"/>
      <c r="B392" s="210"/>
      <c r="C392" s="208"/>
      <c r="D392" s="208"/>
      <c r="E392" s="208"/>
      <c r="F392" s="208"/>
      <c r="G392" s="208"/>
      <c r="H392" s="208"/>
      <c r="I392" s="208"/>
      <c r="J392" s="208"/>
      <c r="K392" s="208"/>
      <c r="M392" s="210"/>
      <c r="N392" s="208"/>
      <c r="O392" s="208"/>
      <c r="P392" s="208"/>
      <c r="Q392" s="208"/>
      <c r="R392" s="208"/>
      <c r="S392" s="208"/>
      <c r="T392" s="208"/>
      <c r="U392" s="208"/>
      <c r="V392" s="208"/>
      <c r="X392" s="210"/>
      <c r="Y392" s="208"/>
      <c r="Z392" s="208"/>
      <c r="AA392" s="208"/>
      <c r="AB392" s="208"/>
      <c r="AC392" s="208"/>
      <c r="AD392" s="208"/>
      <c r="AE392" s="208"/>
      <c r="AF392" s="208"/>
      <c r="AG392" s="208"/>
      <c r="AI392" s="210"/>
      <c r="AJ392" s="208"/>
      <c r="AK392" s="208"/>
      <c r="AL392" s="208"/>
      <c r="AM392" s="208"/>
      <c r="AN392" s="208"/>
      <c r="AO392" s="208"/>
      <c r="AP392" s="208"/>
      <c r="AQ392" s="208"/>
      <c r="AR392" s="208"/>
      <c r="AT392" s="210"/>
      <c r="AU392" s="208"/>
      <c r="AV392" s="208"/>
      <c r="AW392" s="208"/>
      <c r="AX392" s="208"/>
      <c r="AY392" s="208"/>
      <c r="AZ392" s="208"/>
      <c r="BA392" s="208"/>
      <c r="BB392" s="208"/>
      <c r="BC392" s="208"/>
      <c r="BE392" s="210"/>
      <c r="BF392" s="208"/>
      <c r="BG392" s="208"/>
      <c r="BH392" s="208"/>
      <c r="BI392" s="208"/>
      <c r="BJ392" s="208"/>
      <c r="BK392" s="208"/>
      <c r="BL392" s="208"/>
      <c r="BM392" s="208"/>
      <c r="BN392" s="208"/>
      <c r="BP392" s="210"/>
      <c r="BQ392" s="208"/>
      <c r="BR392" s="208"/>
      <c r="BS392" s="208"/>
      <c r="BT392" s="208"/>
      <c r="BU392" s="208"/>
      <c r="BV392" s="208"/>
      <c r="BW392" s="208"/>
      <c r="BX392" s="208"/>
      <c r="BY392" s="208"/>
      <c r="CA392" s="210"/>
      <c r="CB392" s="208"/>
      <c r="CC392" s="208"/>
      <c r="CD392" s="208"/>
      <c r="CE392" s="208"/>
      <c r="CF392" s="208"/>
      <c r="CG392" s="208"/>
      <c r="CH392" s="208"/>
      <c r="CI392" s="208"/>
      <c r="CJ392" s="208"/>
      <c r="CL392" s="210"/>
      <c r="CM392" s="208"/>
      <c r="CN392" s="208"/>
      <c r="CO392" s="208"/>
      <c r="CP392" s="208"/>
      <c r="CQ392" s="208"/>
      <c r="CR392" s="208"/>
      <c r="CS392" s="208"/>
      <c r="CT392" s="208"/>
      <c r="CU392" s="208"/>
      <c r="CW392" s="210"/>
      <c r="CX392" s="208"/>
      <c r="CY392" s="208"/>
      <c r="CZ392" s="208"/>
      <c r="DA392" s="208"/>
      <c r="DB392" s="208"/>
      <c r="DC392" s="208"/>
      <c r="DD392" s="208"/>
      <c r="DE392" s="208"/>
      <c r="DF392" s="208"/>
      <c r="DH392" s="210"/>
      <c r="DI392" s="208"/>
      <c r="DJ392" s="208"/>
      <c r="DK392" s="208"/>
      <c r="DL392" s="208"/>
      <c r="DM392" s="208"/>
      <c r="DN392" s="208"/>
      <c r="DO392" s="208"/>
      <c r="DP392" s="208"/>
      <c r="DQ392" s="208"/>
      <c r="DS392" s="210"/>
      <c r="DT392" s="208"/>
      <c r="DU392" s="208"/>
      <c r="DV392" s="208"/>
      <c r="DW392" s="208"/>
      <c r="DX392" s="208"/>
      <c r="DY392" s="208"/>
      <c r="DZ392" s="208"/>
      <c r="EA392" s="208"/>
      <c r="EB392" s="208"/>
      <c r="ED392" s="210"/>
      <c r="EE392" s="208"/>
      <c r="EF392" s="208"/>
      <c r="EG392" s="208"/>
      <c r="EH392" s="208"/>
      <c r="EI392" s="208"/>
      <c r="EJ392" s="208"/>
      <c r="EK392" s="208"/>
      <c r="EL392" s="208"/>
      <c r="EM392" s="208"/>
      <c r="EO392" s="210"/>
      <c r="EP392" s="208"/>
      <c r="EQ392" s="208"/>
      <c r="ER392" s="208"/>
      <c r="ES392" s="208"/>
      <c r="ET392" s="208"/>
      <c r="EU392" s="208"/>
      <c r="EV392" s="208"/>
      <c r="EW392" s="208"/>
      <c r="EX392" s="208"/>
      <c r="EZ392" s="210"/>
      <c r="FA392" s="208"/>
      <c r="FB392" s="208"/>
      <c r="FC392" s="208"/>
      <c r="FD392" s="208"/>
      <c r="FE392" s="208"/>
      <c r="FF392" s="208"/>
      <c r="FG392" s="208"/>
      <c r="FH392" s="208"/>
      <c r="FI392" s="208"/>
      <c r="FK392" s="210"/>
      <c r="FL392" s="208"/>
      <c r="FM392" s="208"/>
      <c r="FN392" s="208"/>
      <c r="FO392" s="208"/>
      <c r="FP392" s="208"/>
      <c r="FQ392" s="208"/>
      <c r="FR392" s="208"/>
      <c r="FS392" s="208"/>
      <c r="FT392" s="208"/>
      <c r="FV392" s="210"/>
      <c r="FW392" s="208"/>
      <c r="FX392" s="208"/>
      <c r="FY392" s="208"/>
      <c r="FZ392" s="208"/>
      <c r="GA392" s="208"/>
      <c r="GB392" s="208"/>
      <c r="GC392" s="208"/>
      <c r="GD392" s="208"/>
      <c r="GE392" s="208"/>
      <c r="GG392" s="210"/>
      <c r="GH392" s="208"/>
      <c r="GI392" s="208"/>
      <c r="GJ392" s="208"/>
      <c r="GK392" s="208"/>
      <c r="GL392" s="208"/>
      <c r="GM392" s="208"/>
      <c r="GN392" s="208"/>
      <c r="GO392" s="208"/>
      <c r="GP392" s="208"/>
      <c r="GR392" s="208"/>
      <c r="GS392" s="208"/>
      <c r="GT392" s="208"/>
      <c r="GU392" s="208"/>
      <c r="GV392" s="208"/>
      <c r="GW392" s="208"/>
      <c r="GX392" s="208"/>
      <c r="GY392" s="208"/>
      <c r="GZ392" s="208"/>
      <c r="HA392" s="208"/>
      <c r="HB392" s="208"/>
      <c r="HC392" s="208"/>
      <c r="HD392" s="208"/>
      <c r="HE392" s="208"/>
      <c r="HF392" s="208"/>
      <c r="HG392" s="208"/>
      <c r="HH392" s="208"/>
      <c r="HI392" s="208"/>
      <c r="HJ392" s="208"/>
      <c r="HK392" s="208"/>
      <c r="HP392" s="208"/>
      <c r="HQ392" s="208"/>
      <c r="HR392" s="208"/>
      <c r="HS392" s="208"/>
      <c r="HT392" s="208"/>
      <c r="HU392" s="208"/>
      <c r="HV392" s="208"/>
      <c r="HW392" s="208"/>
      <c r="HX392" s="208"/>
      <c r="HY392" s="208"/>
      <c r="HZ392" s="208"/>
      <c r="IA392" s="208"/>
      <c r="IB392" s="208"/>
      <c r="IC392" s="208"/>
      <c r="ID392" s="208"/>
      <c r="IE392" s="208"/>
      <c r="IJ392" s="208"/>
      <c r="IK392" s="208"/>
      <c r="IL392" s="208"/>
      <c r="IM392" s="208"/>
      <c r="IN392" s="208"/>
      <c r="IO392" s="208"/>
      <c r="IP392" s="208"/>
      <c r="IQ392" s="208"/>
      <c r="IR392" s="208"/>
      <c r="IS392" s="208"/>
      <c r="IT392" s="208"/>
      <c r="IU392" s="208"/>
      <c r="IV392" s="208"/>
    </row>
    <row r="393" spans="1:256" x14ac:dyDescent="0.2">
      <c r="A393" s="204"/>
      <c r="B393" s="211"/>
      <c r="C393" s="208"/>
      <c r="D393" s="208"/>
      <c r="E393" s="208"/>
      <c r="F393" s="208"/>
      <c r="G393" s="208"/>
      <c r="H393" s="208"/>
      <c r="I393" s="208"/>
      <c r="J393" s="208"/>
      <c r="K393" s="208"/>
      <c r="M393" s="211"/>
      <c r="N393" s="208"/>
      <c r="O393" s="208"/>
      <c r="P393" s="208"/>
      <c r="Q393" s="208"/>
      <c r="R393" s="208"/>
      <c r="S393" s="208"/>
      <c r="T393" s="208"/>
      <c r="U393" s="208"/>
      <c r="V393" s="208"/>
      <c r="X393" s="211"/>
      <c r="Y393" s="208"/>
      <c r="Z393" s="208"/>
      <c r="AA393" s="208"/>
      <c r="AB393" s="208"/>
      <c r="AC393" s="208"/>
      <c r="AD393" s="208"/>
      <c r="AE393" s="208"/>
      <c r="AF393" s="208"/>
      <c r="AG393" s="208"/>
      <c r="AI393" s="211"/>
      <c r="AJ393" s="208"/>
      <c r="AK393" s="208"/>
      <c r="AL393" s="208"/>
      <c r="AM393" s="208"/>
      <c r="AN393" s="208"/>
      <c r="AO393" s="208"/>
      <c r="AP393" s="208"/>
      <c r="AQ393" s="208"/>
      <c r="AR393" s="208"/>
      <c r="AT393" s="211"/>
      <c r="AU393" s="208"/>
      <c r="AV393" s="208"/>
      <c r="AW393" s="208"/>
      <c r="AX393" s="208"/>
      <c r="AY393" s="208"/>
      <c r="AZ393" s="208"/>
      <c r="BA393" s="208"/>
      <c r="BB393" s="208"/>
      <c r="BC393" s="208"/>
      <c r="BE393" s="211"/>
      <c r="BF393" s="208"/>
      <c r="BG393" s="208"/>
      <c r="BH393" s="208"/>
      <c r="BI393" s="208"/>
      <c r="BJ393" s="208"/>
      <c r="BK393" s="208"/>
      <c r="BL393" s="208"/>
      <c r="BM393" s="208"/>
      <c r="BN393" s="208"/>
      <c r="BP393" s="211"/>
      <c r="BQ393" s="208"/>
      <c r="BR393" s="208"/>
      <c r="BS393" s="208"/>
      <c r="BT393" s="208"/>
      <c r="BU393" s="208"/>
      <c r="BV393" s="208"/>
      <c r="BW393" s="208"/>
      <c r="BX393" s="208"/>
      <c r="BY393" s="208"/>
      <c r="CA393" s="211"/>
      <c r="CB393" s="208"/>
      <c r="CC393" s="208"/>
      <c r="CD393" s="208"/>
      <c r="CE393" s="208"/>
      <c r="CF393" s="208"/>
      <c r="CG393" s="208"/>
      <c r="CH393" s="208"/>
      <c r="CI393" s="208"/>
      <c r="CJ393" s="208"/>
      <c r="CL393" s="211"/>
      <c r="CM393" s="208"/>
      <c r="CN393" s="208"/>
      <c r="CO393" s="208"/>
      <c r="CP393" s="208"/>
      <c r="CQ393" s="208"/>
      <c r="CR393" s="208"/>
      <c r="CS393" s="208"/>
      <c r="CT393" s="208"/>
      <c r="CU393" s="208"/>
      <c r="CW393" s="211"/>
      <c r="CX393" s="208"/>
      <c r="CY393" s="208"/>
      <c r="CZ393" s="208"/>
      <c r="DA393" s="208"/>
      <c r="DB393" s="208"/>
      <c r="DC393" s="208"/>
      <c r="DD393" s="208"/>
      <c r="DE393" s="208"/>
      <c r="DF393" s="208"/>
      <c r="DH393" s="211"/>
      <c r="DI393" s="208"/>
      <c r="DJ393" s="208"/>
      <c r="DK393" s="208"/>
      <c r="DL393" s="208"/>
      <c r="DM393" s="208"/>
      <c r="DN393" s="208"/>
      <c r="DO393" s="208"/>
      <c r="DP393" s="208"/>
      <c r="DQ393" s="208"/>
      <c r="DS393" s="211"/>
      <c r="DT393" s="208"/>
      <c r="DU393" s="208"/>
      <c r="DV393" s="208"/>
      <c r="DW393" s="208"/>
      <c r="DX393" s="208"/>
      <c r="DY393" s="208"/>
      <c r="DZ393" s="208"/>
      <c r="EA393" s="208"/>
      <c r="EB393" s="208"/>
      <c r="ED393" s="211"/>
      <c r="EE393" s="208"/>
      <c r="EF393" s="208"/>
      <c r="EG393" s="208"/>
      <c r="EH393" s="208"/>
      <c r="EI393" s="208"/>
      <c r="EJ393" s="208"/>
      <c r="EK393" s="208"/>
      <c r="EL393" s="208"/>
      <c r="EM393" s="208"/>
      <c r="EO393" s="211"/>
      <c r="EP393" s="208"/>
      <c r="EQ393" s="208"/>
      <c r="ER393" s="208"/>
      <c r="ES393" s="208"/>
      <c r="ET393" s="208"/>
      <c r="EU393" s="208"/>
      <c r="EV393" s="208"/>
      <c r="EW393" s="208"/>
      <c r="EX393" s="208"/>
      <c r="EZ393" s="211"/>
      <c r="FA393" s="208"/>
      <c r="FB393" s="208"/>
      <c r="FC393" s="208"/>
      <c r="FD393" s="208"/>
      <c r="FE393" s="208"/>
      <c r="FF393" s="208"/>
      <c r="FG393" s="208"/>
      <c r="FH393" s="208"/>
      <c r="FI393" s="208"/>
      <c r="FK393" s="211"/>
      <c r="FL393" s="208"/>
      <c r="FM393" s="208"/>
      <c r="FN393" s="208"/>
      <c r="FO393" s="208"/>
      <c r="FP393" s="208"/>
      <c r="FQ393" s="208"/>
      <c r="FR393" s="208"/>
      <c r="FS393" s="208"/>
      <c r="FT393" s="208"/>
      <c r="FV393" s="211"/>
      <c r="FW393" s="208"/>
      <c r="FX393" s="208"/>
      <c r="FY393" s="208"/>
      <c r="FZ393" s="208"/>
      <c r="GA393" s="208"/>
      <c r="GB393" s="208"/>
      <c r="GC393" s="208"/>
      <c r="GD393" s="208"/>
      <c r="GE393" s="208"/>
      <c r="GG393" s="211"/>
      <c r="GH393" s="208"/>
      <c r="GI393" s="208"/>
      <c r="GJ393" s="208"/>
      <c r="GK393" s="208"/>
      <c r="GL393" s="208"/>
      <c r="GM393" s="208"/>
      <c r="GN393" s="208"/>
      <c r="GO393" s="208"/>
      <c r="GP393" s="208"/>
      <c r="GR393" s="208"/>
      <c r="GS393" s="208"/>
      <c r="GT393" s="208"/>
      <c r="GU393" s="208"/>
      <c r="GV393" s="208"/>
      <c r="GW393" s="208"/>
      <c r="GX393" s="208"/>
      <c r="GY393" s="208"/>
      <c r="GZ393" s="208"/>
      <c r="HA393" s="208"/>
      <c r="HB393" s="208"/>
      <c r="HC393" s="208"/>
      <c r="HD393" s="208"/>
      <c r="HE393" s="208"/>
      <c r="HF393" s="208"/>
      <c r="HG393" s="208"/>
      <c r="HH393" s="208"/>
      <c r="HI393" s="208"/>
      <c r="HJ393" s="208"/>
      <c r="HK393" s="208"/>
      <c r="HP393" s="208"/>
      <c r="HQ393" s="208"/>
      <c r="HR393" s="208"/>
      <c r="HS393" s="208"/>
      <c r="HT393" s="208"/>
      <c r="HU393" s="208"/>
      <c r="HV393" s="208"/>
      <c r="HW393" s="208"/>
      <c r="HX393" s="208"/>
      <c r="HY393" s="208"/>
      <c r="HZ393" s="208"/>
      <c r="IA393" s="208"/>
      <c r="IB393" s="208"/>
      <c r="IC393" s="208"/>
      <c r="ID393" s="208"/>
      <c r="IE393" s="208"/>
      <c r="IJ393" s="208"/>
      <c r="IK393" s="208"/>
      <c r="IL393" s="208"/>
      <c r="IM393" s="208"/>
      <c r="IN393" s="208"/>
      <c r="IO393" s="208"/>
      <c r="IP393" s="208"/>
      <c r="IQ393" s="208"/>
      <c r="IR393" s="208"/>
      <c r="IS393" s="208"/>
      <c r="IT393" s="208"/>
      <c r="IU393" s="208"/>
      <c r="IV393" s="208"/>
    </row>
    <row r="394" spans="1:256" x14ac:dyDescent="0.2">
      <c r="A394" s="204"/>
      <c r="B394" s="209"/>
      <c r="C394" s="208"/>
      <c r="D394" s="208"/>
      <c r="E394" s="208"/>
      <c r="F394" s="208"/>
      <c r="G394" s="208"/>
      <c r="H394" s="208"/>
      <c r="I394" s="208"/>
      <c r="J394" s="208"/>
      <c r="K394" s="208"/>
      <c r="M394" s="209"/>
      <c r="N394" s="208"/>
      <c r="O394" s="208"/>
      <c r="P394" s="208"/>
      <c r="Q394" s="208"/>
      <c r="R394" s="208"/>
      <c r="S394" s="208"/>
      <c r="T394" s="208"/>
      <c r="U394" s="208"/>
      <c r="V394" s="208"/>
      <c r="X394" s="209"/>
      <c r="Y394" s="208"/>
      <c r="Z394" s="208"/>
      <c r="AA394" s="208"/>
      <c r="AB394" s="208"/>
      <c r="AC394" s="208"/>
      <c r="AD394" s="208"/>
      <c r="AE394" s="208"/>
      <c r="AF394" s="208"/>
      <c r="AG394" s="208"/>
      <c r="AI394" s="209"/>
      <c r="AJ394" s="208"/>
      <c r="AK394" s="208"/>
      <c r="AL394" s="208"/>
      <c r="AM394" s="208"/>
      <c r="AN394" s="208"/>
      <c r="AO394" s="208"/>
      <c r="AP394" s="208"/>
      <c r="AQ394" s="208"/>
      <c r="AR394" s="208"/>
      <c r="AT394" s="209"/>
      <c r="AU394" s="208"/>
      <c r="AV394" s="208"/>
      <c r="AW394" s="208"/>
      <c r="AX394" s="208"/>
      <c r="AY394" s="208"/>
      <c r="AZ394" s="208"/>
      <c r="BA394" s="208"/>
      <c r="BB394" s="208"/>
      <c r="BC394" s="208"/>
      <c r="BE394" s="209"/>
      <c r="BF394" s="208"/>
      <c r="BG394" s="208"/>
      <c r="BH394" s="208"/>
      <c r="BI394" s="208"/>
      <c r="BJ394" s="208"/>
      <c r="BK394" s="208"/>
      <c r="BL394" s="208"/>
      <c r="BM394" s="208"/>
      <c r="BN394" s="208"/>
      <c r="BP394" s="209"/>
      <c r="BQ394" s="208"/>
      <c r="BR394" s="208"/>
      <c r="BS394" s="208"/>
      <c r="BT394" s="208"/>
      <c r="BU394" s="208"/>
      <c r="BV394" s="208"/>
      <c r="BW394" s="208"/>
      <c r="BX394" s="208"/>
      <c r="BY394" s="208"/>
      <c r="CA394" s="209"/>
      <c r="CB394" s="208"/>
      <c r="CC394" s="208"/>
      <c r="CD394" s="208"/>
      <c r="CE394" s="208"/>
      <c r="CF394" s="208"/>
      <c r="CG394" s="208"/>
      <c r="CH394" s="208"/>
      <c r="CI394" s="208"/>
      <c r="CJ394" s="208"/>
      <c r="CL394" s="209"/>
      <c r="CM394" s="208"/>
      <c r="CN394" s="208"/>
      <c r="CO394" s="208"/>
      <c r="CP394" s="208"/>
      <c r="CQ394" s="208"/>
      <c r="CR394" s="208"/>
      <c r="CS394" s="208"/>
      <c r="CT394" s="208"/>
      <c r="CU394" s="208"/>
      <c r="CW394" s="209"/>
      <c r="CX394" s="208"/>
      <c r="CY394" s="208"/>
      <c r="CZ394" s="208"/>
      <c r="DA394" s="208"/>
      <c r="DB394" s="208"/>
      <c r="DC394" s="208"/>
      <c r="DD394" s="208"/>
      <c r="DE394" s="208"/>
      <c r="DF394" s="208"/>
      <c r="DH394" s="209"/>
      <c r="DI394" s="208"/>
      <c r="DJ394" s="208"/>
      <c r="DK394" s="208"/>
      <c r="DL394" s="208"/>
      <c r="DM394" s="208"/>
      <c r="DN394" s="208"/>
      <c r="DO394" s="208"/>
      <c r="DP394" s="208"/>
      <c r="DQ394" s="208"/>
      <c r="DS394" s="209"/>
      <c r="DT394" s="208"/>
      <c r="DU394" s="208"/>
      <c r="DV394" s="208"/>
      <c r="DW394" s="208"/>
      <c r="DX394" s="208"/>
      <c r="DY394" s="208"/>
      <c r="DZ394" s="208"/>
      <c r="EA394" s="208"/>
      <c r="EB394" s="208"/>
      <c r="ED394" s="209"/>
      <c r="EE394" s="208"/>
      <c r="EF394" s="208"/>
      <c r="EG394" s="208"/>
      <c r="EH394" s="208"/>
      <c r="EI394" s="208"/>
      <c r="EJ394" s="208"/>
      <c r="EK394" s="208"/>
      <c r="EL394" s="208"/>
      <c r="EM394" s="208"/>
      <c r="EO394" s="209"/>
      <c r="EP394" s="208"/>
      <c r="EQ394" s="208"/>
      <c r="ER394" s="208"/>
      <c r="ES394" s="208"/>
      <c r="ET394" s="208"/>
      <c r="EU394" s="208"/>
      <c r="EV394" s="208"/>
      <c r="EW394" s="208"/>
      <c r="EX394" s="208"/>
      <c r="EZ394" s="209"/>
      <c r="FA394" s="208"/>
      <c r="FB394" s="208"/>
      <c r="FC394" s="208"/>
      <c r="FD394" s="208"/>
      <c r="FE394" s="208"/>
      <c r="FF394" s="208"/>
      <c r="FG394" s="208"/>
      <c r="FH394" s="208"/>
      <c r="FI394" s="208"/>
      <c r="FK394" s="209"/>
      <c r="FL394" s="208"/>
      <c r="FM394" s="208"/>
      <c r="FN394" s="208"/>
      <c r="FO394" s="208"/>
      <c r="FP394" s="208"/>
      <c r="FQ394" s="208"/>
      <c r="FR394" s="208"/>
      <c r="FS394" s="208"/>
      <c r="FT394" s="208"/>
      <c r="FV394" s="209"/>
      <c r="FW394" s="208"/>
      <c r="FX394" s="208"/>
      <c r="FY394" s="208"/>
      <c r="FZ394" s="208"/>
      <c r="GA394" s="208"/>
      <c r="GB394" s="208"/>
      <c r="GC394" s="208"/>
      <c r="GD394" s="208"/>
      <c r="GE394" s="208"/>
      <c r="GG394" s="209"/>
      <c r="GH394" s="208"/>
      <c r="GI394" s="208"/>
      <c r="GJ394" s="208"/>
      <c r="GK394" s="208"/>
      <c r="GL394" s="208"/>
      <c r="GM394" s="208"/>
      <c r="GN394" s="208"/>
      <c r="GO394" s="208"/>
      <c r="GP394" s="208"/>
      <c r="GR394" s="208"/>
      <c r="GS394" s="208"/>
      <c r="GT394" s="208"/>
      <c r="GU394" s="208"/>
      <c r="GV394" s="208"/>
      <c r="GW394" s="208"/>
      <c r="GX394" s="208"/>
      <c r="GY394" s="208"/>
      <c r="GZ394" s="208"/>
      <c r="HA394" s="208"/>
      <c r="HB394" s="208"/>
      <c r="HC394" s="208"/>
      <c r="HD394" s="208"/>
      <c r="HE394" s="208"/>
      <c r="HF394" s="208"/>
      <c r="HG394" s="208"/>
      <c r="HH394" s="208"/>
      <c r="HI394" s="208"/>
      <c r="HJ394" s="208"/>
      <c r="HK394" s="208"/>
      <c r="HP394" s="208"/>
      <c r="HQ394" s="208"/>
      <c r="HR394" s="208"/>
      <c r="HS394" s="208"/>
      <c r="HT394" s="208"/>
      <c r="HU394" s="208"/>
      <c r="HV394" s="208"/>
      <c r="HW394" s="208"/>
      <c r="HX394" s="208"/>
      <c r="HY394" s="208"/>
      <c r="HZ394" s="208"/>
      <c r="IA394" s="208"/>
      <c r="IB394" s="208"/>
      <c r="IC394" s="208"/>
      <c r="ID394" s="208"/>
      <c r="IE394" s="208"/>
      <c r="IJ394" s="208"/>
      <c r="IK394" s="208"/>
      <c r="IL394" s="208"/>
      <c r="IM394" s="208"/>
      <c r="IN394" s="208"/>
      <c r="IO394" s="208"/>
      <c r="IP394" s="208"/>
      <c r="IQ394" s="208"/>
      <c r="IR394" s="208"/>
      <c r="IS394" s="208"/>
      <c r="IT394" s="208"/>
      <c r="IU394" s="208"/>
      <c r="IV394" s="208"/>
    </row>
    <row r="395" spans="1:256" x14ac:dyDescent="0.2">
      <c r="A395" s="204"/>
      <c r="B395" s="207"/>
      <c r="C395" s="208"/>
      <c r="D395" s="208"/>
      <c r="E395" s="208"/>
      <c r="F395" s="208"/>
      <c r="G395" s="208"/>
      <c r="H395" s="208"/>
      <c r="I395" s="208"/>
      <c r="J395" s="208"/>
      <c r="K395" s="208"/>
      <c r="M395" s="207"/>
      <c r="N395" s="208"/>
      <c r="O395" s="208"/>
      <c r="P395" s="208"/>
      <c r="Q395" s="208"/>
      <c r="R395" s="208"/>
      <c r="S395" s="208"/>
      <c r="T395" s="208"/>
      <c r="U395" s="208"/>
      <c r="V395" s="208"/>
      <c r="X395" s="207"/>
      <c r="Y395" s="208"/>
      <c r="Z395" s="208"/>
      <c r="AA395" s="208"/>
      <c r="AB395" s="208"/>
      <c r="AC395" s="208"/>
      <c r="AD395" s="208"/>
      <c r="AE395" s="208"/>
      <c r="AF395" s="208"/>
      <c r="AG395" s="208"/>
      <c r="AI395" s="207"/>
      <c r="AJ395" s="208"/>
      <c r="AK395" s="208"/>
      <c r="AL395" s="208"/>
      <c r="AM395" s="208"/>
      <c r="AN395" s="208"/>
      <c r="AO395" s="208"/>
      <c r="AP395" s="208"/>
      <c r="AQ395" s="208"/>
      <c r="AR395" s="208"/>
      <c r="AT395" s="207"/>
      <c r="AU395" s="208"/>
      <c r="AV395" s="208"/>
      <c r="AW395" s="208"/>
      <c r="AX395" s="208"/>
      <c r="AY395" s="208"/>
      <c r="AZ395" s="208"/>
      <c r="BA395" s="208"/>
      <c r="BB395" s="208"/>
      <c r="BC395" s="208"/>
      <c r="BE395" s="207"/>
      <c r="BF395" s="208"/>
      <c r="BG395" s="208"/>
      <c r="BH395" s="208"/>
      <c r="BI395" s="208"/>
      <c r="BJ395" s="208"/>
      <c r="BK395" s="208"/>
      <c r="BL395" s="208"/>
      <c r="BM395" s="208"/>
      <c r="BN395" s="208"/>
      <c r="BP395" s="207"/>
      <c r="BQ395" s="208"/>
      <c r="BR395" s="208"/>
      <c r="BS395" s="208"/>
      <c r="BT395" s="208"/>
      <c r="BU395" s="208"/>
      <c r="BV395" s="208"/>
      <c r="BW395" s="208"/>
      <c r="BX395" s="208"/>
      <c r="BY395" s="208"/>
      <c r="CA395" s="207"/>
      <c r="CB395" s="208"/>
      <c r="CC395" s="208"/>
      <c r="CD395" s="208"/>
      <c r="CE395" s="208"/>
      <c r="CF395" s="208"/>
      <c r="CG395" s="208"/>
      <c r="CH395" s="208"/>
      <c r="CI395" s="208"/>
      <c r="CJ395" s="208"/>
      <c r="CL395" s="207"/>
      <c r="CM395" s="208"/>
      <c r="CN395" s="208"/>
      <c r="CO395" s="208"/>
      <c r="CP395" s="208"/>
      <c r="CQ395" s="208"/>
      <c r="CR395" s="208"/>
      <c r="CS395" s="208"/>
      <c r="CT395" s="208"/>
      <c r="CU395" s="208"/>
      <c r="CW395" s="207"/>
      <c r="CX395" s="208"/>
      <c r="CY395" s="208"/>
      <c r="CZ395" s="208"/>
      <c r="DA395" s="208"/>
      <c r="DB395" s="208"/>
      <c r="DC395" s="208"/>
      <c r="DD395" s="208"/>
      <c r="DE395" s="208"/>
      <c r="DF395" s="208"/>
      <c r="DH395" s="207"/>
      <c r="DI395" s="208"/>
      <c r="DJ395" s="208"/>
      <c r="DK395" s="208"/>
      <c r="DL395" s="208"/>
      <c r="DM395" s="208"/>
      <c r="DN395" s="208"/>
      <c r="DO395" s="208"/>
      <c r="DP395" s="208"/>
      <c r="DQ395" s="208"/>
      <c r="DS395" s="207"/>
      <c r="DT395" s="208"/>
      <c r="DU395" s="208"/>
      <c r="DV395" s="208"/>
      <c r="DW395" s="208"/>
      <c r="DX395" s="208"/>
      <c r="DY395" s="208"/>
      <c r="DZ395" s="208"/>
      <c r="EA395" s="208"/>
      <c r="EB395" s="208"/>
      <c r="ED395" s="207"/>
      <c r="EE395" s="208"/>
      <c r="EF395" s="208"/>
      <c r="EG395" s="208"/>
      <c r="EH395" s="208"/>
      <c r="EI395" s="208"/>
      <c r="EJ395" s="208"/>
      <c r="EK395" s="208"/>
      <c r="EL395" s="208"/>
      <c r="EM395" s="208"/>
      <c r="EO395" s="207"/>
      <c r="EP395" s="208"/>
      <c r="EQ395" s="208"/>
      <c r="ER395" s="208"/>
      <c r="ES395" s="208"/>
      <c r="ET395" s="208"/>
      <c r="EU395" s="208"/>
      <c r="EV395" s="208"/>
      <c r="EW395" s="208"/>
      <c r="EX395" s="208"/>
      <c r="EZ395" s="207"/>
      <c r="FA395" s="208"/>
      <c r="FB395" s="208"/>
      <c r="FC395" s="208"/>
      <c r="FD395" s="208"/>
      <c r="FE395" s="208"/>
      <c r="FF395" s="208"/>
      <c r="FG395" s="208"/>
      <c r="FH395" s="208"/>
      <c r="FI395" s="208"/>
      <c r="FK395" s="207"/>
      <c r="FL395" s="208"/>
      <c r="FM395" s="208"/>
      <c r="FN395" s="208"/>
      <c r="FO395" s="208"/>
      <c r="FP395" s="208"/>
      <c r="FQ395" s="208"/>
      <c r="FR395" s="208"/>
      <c r="FS395" s="208"/>
      <c r="FT395" s="208"/>
      <c r="FV395" s="207"/>
      <c r="FW395" s="208"/>
      <c r="FX395" s="208"/>
      <c r="FY395" s="208"/>
      <c r="FZ395" s="208"/>
      <c r="GA395" s="208"/>
      <c r="GB395" s="208"/>
      <c r="GC395" s="208"/>
      <c r="GD395" s="208"/>
      <c r="GE395" s="208"/>
      <c r="GG395" s="207"/>
      <c r="GH395" s="208"/>
      <c r="GI395" s="208"/>
      <c r="GJ395" s="208"/>
      <c r="GK395" s="208"/>
      <c r="GL395" s="208"/>
      <c r="GM395" s="208"/>
      <c r="GN395" s="208"/>
      <c r="GO395" s="208"/>
      <c r="GP395" s="208"/>
      <c r="GR395" s="208"/>
      <c r="GS395" s="208"/>
      <c r="GT395" s="208"/>
      <c r="GU395" s="208"/>
      <c r="GV395" s="208"/>
      <c r="GW395" s="208"/>
      <c r="GX395" s="208"/>
      <c r="GY395" s="208"/>
      <c r="GZ395" s="208"/>
      <c r="HA395" s="208"/>
      <c r="HB395" s="208"/>
      <c r="HC395" s="208"/>
      <c r="HD395" s="208"/>
      <c r="HE395" s="208"/>
      <c r="HF395" s="208"/>
      <c r="HG395" s="208"/>
      <c r="HH395" s="208"/>
      <c r="HI395" s="208"/>
      <c r="HJ395" s="208"/>
      <c r="HK395" s="208"/>
      <c r="HP395" s="208"/>
      <c r="HQ395" s="208"/>
      <c r="HR395" s="208"/>
      <c r="HS395" s="208"/>
      <c r="HT395" s="208"/>
      <c r="HU395" s="208"/>
      <c r="HV395" s="208"/>
      <c r="HW395" s="208"/>
      <c r="HX395" s="208"/>
      <c r="HY395" s="208"/>
      <c r="HZ395" s="208"/>
      <c r="IA395" s="208"/>
      <c r="IB395" s="208"/>
      <c r="IC395" s="208"/>
      <c r="ID395" s="208"/>
      <c r="IE395" s="208"/>
      <c r="IJ395" s="208"/>
      <c r="IK395" s="208"/>
      <c r="IL395" s="208"/>
      <c r="IM395" s="208"/>
      <c r="IN395" s="208"/>
      <c r="IO395" s="208"/>
      <c r="IP395" s="208"/>
      <c r="IQ395" s="208"/>
      <c r="IR395" s="208"/>
      <c r="IS395" s="208"/>
      <c r="IT395" s="208"/>
      <c r="IU395" s="208"/>
      <c r="IV395" s="208"/>
    </row>
    <row r="396" spans="1:256" x14ac:dyDescent="0.2">
      <c r="A396" s="204"/>
      <c r="B396" s="207"/>
      <c r="C396" s="208"/>
      <c r="D396" s="208"/>
      <c r="E396" s="208"/>
      <c r="F396" s="208"/>
      <c r="G396" s="208"/>
      <c r="H396" s="208"/>
      <c r="I396" s="208"/>
      <c r="J396" s="208"/>
      <c r="K396" s="208"/>
      <c r="M396" s="207"/>
      <c r="N396" s="208"/>
      <c r="O396" s="208"/>
      <c r="P396" s="208"/>
      <c r="Q396" s="208"/>
      <c r="R396" s="208"/>
      <c r="S396" s="208"/>
      <c r="T396" s="208"/>
      <c r="U396" s="208"/>
      <c r="V396" s="208"/>
      <c r="X396" s="207"/>
      <c r="Y396" s="208"/>
      <c r="Z396" s="208"/>
      <c r="AA396" s="208"/>
      <c r="AB396" s="208"/>
      <c r="AC396" s="208"/>
      <c r="AD396" s="208"/>
      <c r="AE396" s="208"/>
      <c r="AF396" s="208"/>
      <c r="AG396" s="208"/>
      <c r="AI396" s="207"/>
      <c r="AJ396" s="208"/>
      <c r="AK396" s="208"/>
      <c r="AL396" s="208"/>
      <c r="AM396" s="208"/>
      <c r="AN396" s="208"/>
      <c r="AO396" s="208"/>
      <c r="AP396" s="208"/>
      <c r="AQ396" s="208"/>
      <c r="AR396" s="208"/>
      <c r="AT396" s="207"/>
      <c r="AU396" s="208"/>
      <c r="AV396" s="208"/>
      <c r="AW396" s="208"/>
      <c r="AX396" s="208"/>
      <c r="AY396" s="208"/>
      <c r="AZ396" s="208"/>
      <c r="BA396" s="208"/>
      <c r="BB396" s="208"/>
      <c r="BC396" s="208"/>
      <c r="BE396" s="207"/>
      <c r="BF396" s="208"/>
      <c r="BG396" s="208"/>
      <c r="BH396" s="208"/>
      <c r="BI396" s="208"/>
      <c r="BJ396" s="208"/>
      <c r="BK396" s="208"/>
      <c r="BL396" s="208"/>
      <c r="BM396" s="208"/>
      <c r="BN396" s="208"/>
      <c r="BP396" s="207"/>
      <c r="BQ396" s="208"/>
      <c r="BR396" s="208"/>
      <c r="BS396" s="208"/>
      <c r="BT396" s="208"/>
      <c r="BU396" s="208"/>
      <c r="BV396" s="208"/>
      <c r="BW396" s="208"/>
      <c r="BX396" s="208"/>
      <c r="BY396" s="208"/>
      <c r="CA396" s="207"/>
      <c r="CB396" s="208"/>
      <c r="CC396" s="208"/>
      <c r="CD396" s="208"/>
      <c r="CE396" s="208"/>
      <c r="CF396" s="208"/>
      <c r="CG396" s="208"/>
      <c r="CH396" s="208"/>
      <c r="CI396" s="208"/>
      <c r="CJ396" s="208"/>
      <c r="CL396" s="207"/>
      <c r="CM396" s="208"/>
      <c r="CN396" s="208"/>
      <c r="CO396" s="208"/>
      <c r="CP396" s="208"/>
      <c r="CQ396" s="208"/>
      <c r="CR396" s="208"/>
      <c r="CS396" s="208"/>
      <c r="CT396" s="208"/>
      <c r="CU396" s="208"/>
      <c r="CW396" s="207"/>
      <c r="CX396" s="208"/>
      <c r="CY396" s="208"/>
      <c r="CZ396" s="208"/>
      <c r="DA396" s="208"/>
      <c r="DB396" s="208"/>
      <c r="DC396" s="208"/>
      <c r="DD396" s="208"/>
      <c r="DE396" s="208"/>
      <c r="DF396" s="208"/>
      <c r="DH396" s="207"/>
      <c r="DI396" s="208"/>
      <c r="DJ396" s="208"/>
      <c r="DK396" s="208"/>
      <c r="DL396" s="208"/>
      <c r="DM396" s="208"/>
      <c r="DN396" s="208"/>
      <c r="DO396" s="208"/>
      <c r="DP396" s="208"/>
      <c r="DQ396" s="208"/>
      <c r="DS396" s="207"/>
      <c r="DT396" s="208"/>
      <c r="DU396" s="208"/>
      <c r="DV396" s="208"/>
      <c r="DW396" s="208"/>
      <c r="DX396" s="208"/>
      <c r="DY396" s="208"/>
      <c r="DZ396" s="208"/>
      <c r="EA396" s="208"/>
      <c r="EB396" s="208"/>
      <c r="ED396" s="207"/>
      <c r="EE396" s="208"/>
      <c r="EF396" s="208"/>
      <c r="EG396" s="208"/>
      <c r="EH396" s="208"/>
      <c r="EI396" s="208"/>
      <c r="EJ396" s="208"/>
      <c r="EK396" s="208"/>
      <c r="EL396" s="208"/>
      <c r="EM396" s="208"/>
      <c r="EO396" s="207"/>
      <c r="EP396" s="208"/>
      <c r="EQ396" s="208"/>
      <c r="ER396" s="208"/>
      <c r="ES396" s="208"/>
      <c r="ET396" s="208"/>
      <c r="EU396" s="208"/>
      <c r="EV396" s="208"/>
      <c r="EW396" s="208"/>
      <c r="EX396" s="208"/>
      <c r="EZ396" s="207"/>
      <c r="FA396" s="208"/>
      <c r="FB396" s="208"/>
      <c r="FC396" s="208"/>
      <c r="FD396" s="208"/>
      <c r="FE396" s="208"/>
      <c r="FF396" s="208"/>
      <c r="FG396" s="208"/>
      <c r="FH396" s="208"/>
      <c r="FI396" s="208"/>
      <c r="FK396" s="207"/>
      <c r="FL396" s="208"/>
      <c r="FM396" s="208"/>
      <c r="FN396" s="208"/>
      <c r="FO396" s="208"/>
      <c r="FP396" s="208"/>
      <c r="FQ396" s="208"/>
      <c r="FR396" s="208"/>
      <c r="FS396" s="208"/>
      <c r="FT396" s="208"/>
      <c r="FV396" s="207"/>
      <c r="FW396" s="208"/>
      <c r="FX396" s="208"/>
      <c r="FY396" s="208"/>
      <c r="FZ396" s="208"/>
      <c r="GA396" s="208"/>
      <c r="GB396" s="208"/>
      <c r="GC396" s="208"/>
      <c r="GD396" s="208"/>
      <c r="GE396" s="208"/>
      <c r="GG396" s="207"/>
      <c r="GH396" s="208"/>
      <c r="GI396" s="208"/>
      <c r="GJ396" s="208"/>
      <c r="GK396" s="208"/>
      <c r="GL396" s="208"/>
      <c r="GM396" s="208"/>
      <c r="GN396" s="208"/>
      <c r="GO396" s="208"/>
      <c r="GP396" s="208"/>
      <c r="GR396" s="208"/>
      <c r="GS396" s="208"/>
      <c r="GT396" s="208"/>
      <c r="GU396" s="208"/>
      <c r="GV396" s="208"/>
      <c r="GW396" s="208"/>
      <c r="GX396" s="208"/>
      <c r="GY396" s="208"/>
      <c r="GZ396" s="208"/>
      <c r="HA396" s="208"/>
      <c r="HB396" s="208"/>
      <c r="HC396" s="208"/>
      <c r="HD396" s="208"/>
      <c r="HE396" s="208"/>
      <c r="HF396" s="208"/>
      <c r="HG396" s="208"/>
      <c r="HH396" s="208"/>
      <c r="HI396" s="208"/>
      <c r="HJ396" s="208"/>
      <c r="HK396" s="208"/>
      <c r="HP396" s="208"/>
      <c r="HQ396" s="208"/>
      <c r="HR396" s="208"/>
      <c r="HS396" s="208"/>
      <c r="HT396" s="208"/>
      <c r="HU396" s="208"/>
      <c r="HV396" s="208"/>
      <c r="HW396" s="208"/>
      <c r="HX396" s="208"/>
      <c r="HY396" s="208"/>
      <c r="HZ396" s="208"/>
      <c r="IA396" s="208"/>
      <c r="IB396" s="208"/>
      <c r="IC396" s="208"/>
      <c r="ID396" s="208"/>
      <c r="IE396" s="208"/>
      <c r="IJ396" s="208"/>
      <c r="IK396" s="208"/>
      <c r="IL396" s="208"/>
      <c r="IM396" s="208"/>
      <c r="IN396" s="208"/>
      <c r="IO396" s="208"/>
      <c r="IP396" s="208"/>
      <c r="IQ396" s="208"/>
      <c r="IR396" s="208"/>
      <c r="IS396" s="208"/>
      <c r="IT396" s="208"/>
      <c r="IU396" s="208"/>
      <c r="IV396" s="208"/>
    </row>
    <row r="397" spans="1:256" x14ac:dyDescent="0.2">
      <c r="A397" s="204"/>
      <c r="B397" s="192"/>
      <c r="M397" s="192"/>
      <c r="X397" s="192"/>
      <c r="AI397" s="192"/>
      <c r="AT397" s="192"/>
      <c r="AU397" s="192"/>
      <c r="AV397" s="192"/>
      <c r="AW397" s="192"/>
      <c r="AX397" s="192"/>
      <c r="AY397" s="192"/>
      <c r="AZ397" s="192"/>
      <c r="BA397" s="192"/>
      <c r="BB397" s="192"/>
      <c r="BC397" s="192"/>
      <c r="BE397" s="192"/>
      <c r="BP397" s="192"/>
      <c r="CA397" s="192"/>
      <c r="CL397" s="192"/>
      <c r="CM397" s="192"/>
      <c r="CN397" s="192"/>
      <c r="CO397" s="192"/>
      <c r="CP397" s="192"/>
      <c r="CQ397" s="192"/>
      <c r="CR397" s="192"/>
      <c r="CS397" s="192"/>
      <c r="CT397" s="192"/>
      <c r="CU397" s="192"/>
      <c r="CW397" s="192"/>
      <c r="DH397" s="192"/>
      <c r="DS397" s="192"/>
      <c r="ED397" s="192"/>
      <c r="EE397" s="192"/>
      <c r="EF397" s="192"/>
      <c r="EG397" s="192"/>
      <c r="EH397" s="192"/>
      <c r="EI397" s="192"/>
      <c r="EJ397" s="192"/>
      <c r="EK397" s="192"/>
      <c r="EL397" s="192"/>
      <c r="EM397" s="192"/>
      <c r="EO397" s="192"/>
      <c r="EZ397" s="192"/>
      <c r="FK397" s="192"/>
      <c r="FV397" s="192"/>
      <c r="FW397" s="192"/>
      <c r="FX397" s="192"/>
      <c r="FY397" s="192"/>
      <c r="FZ397" s="192"/>
      <c r="GA397" s="192"/>
      <c r="GB397" s="192"/>
      <c r="GC397" s="192"/>
      <c r="GD397" s="192"/>
      <c r="GE397" s="192"/>
      <c r="GG397" s="192"/>
      <c r="GV397" s="191"/>
      <c r="HA397" s="191"/>
      <c r="HF397" s="191"/>
      <c r="HK397" s="191"/>
      <c r="HP397" s="191"/>
      <c r="HU397" s="191"/>
      <c r="HZ397" s="191"/>
      <c r="IE397" s="191"/>
      <c r="IJ397" s="191"/>
      <c r="IO397" s="191"/>
      <c r="IT397" s="191"/>
    </row>
    <row r="398" spans="1:256" x14ac:dyDescent="0.2">
      <c r="A398" s="204"/>
      <c r="B398" s="203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3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3"/>
      <c r="Y398" s="202"/>
      <c r="Z398" s="202"/>
      <c r="AA398" s="202"/>
      <c r="AB398" s="202"/>
      <c r="AC398" s="202"/>
      <c r="AD398" s="202"/>
      <c r="AE398" s="202"/>
      <c r="AF398" s="202"/>
      <c r="AG398" s="202"/>
      <c r="AH398" s="202"/>
      <c r="AI398" s="203"/>
      <c r="AJ398" s="202"/>
      <c r="AK398" s="202"/>
      <c r="AL398" s="202"/>
      <c r="AM398" s="202"/>
      <c r="AN398" s="202"/>
      <c r="AO398" s="202"/>
      <c r="AP398" s="202"/>
      <c r="AQ398" s="202"/>
      <c r="AR398" s="202"/>
      <c r="AS398" s="202"/>
      <c r="AT398" s="203"/>
      <c r="AU398" s="202"/>
      <c r="AV398" s="202"/>
      <c r="AW398" s="202"/>
      <c r="AX398" s="202"/>
      <c r="AY398" s="202"/>
      <c r="AZ398" s="202"/>
      <c r="BA398" s="202"/>
      <c r="BB398" s="202"/>
      <c r="BC398" s="202"/>
      <c r="BD398" s="202"/>
      <c r="BE398" s="203"/>
      <c r="BF398" s="202"/>
      <c r="BG398" s="202"/>
      <c r="BH398" s="202"/>
      <c r="BI398" s="202"/>
      <c r="BJ398" s="202"/>
      <c r="BK398" s="202"/>
      <c r="BL398" s="202"/>
      <c r="BM398" s="202"/>
      <c r="BN398" s="202"/>
      <c r="BO398" s="202"/>
      <c r="BP398" s="203"/>
      <c r="BQ398" s="202"/>
      <c r="BR398" s="202"/>
      <c r="BS398" s="202"/>
      <c r="BT398" s="202"/>
      <c r="BU398" s="202"/>
      <c r="BV398" s="202"/>
      <c r="BW398" s="202"/>
      <c r="BX398" s="202"/>
      <c r="BY398" s="202"/>
      <c r="BZ398" s="202"/>
      <c r="CA398" s="203"/>
      <c r="CB398" s="202"/>
      <c r="CC398" s="202"/>
      <c r="CD398" s="202"/>
      <c r="CE398" s="202"/>
      <c r="CF398" s="202"/>
      <c r="CG398" s="202"/>
      <c r="CH398" s="202"/>
      <c r="CI398" s="202"/>
      <c r="CJ398" s="202"/>
      <c r="CK398" s="202"/>
      <c r="CL398" s="203"/>
      <c r="CM398" s="202"/>
      <c r="CN398" s="202"/>
      <c r="CO398" s="202"/>
      <c r="CP398" s="202"/>
      <c r="CQ398" s="202"/>
      <c r="CR398" s="202"/>
      <c r="CS398" s="202"/>
      <c r="CT398" s="202"/>
      <c r="CU398" s="202"/>
      <c r="CV398" s="202"/>
      <c r="CW398" s="203"/>
      <c r="CX398" s="202"/>
      <c r="CY398" s="202"/>
      <c r="CZ398" s="202"/>
      <c r="DA398" s="202"/>
      <c r="DB398" s="202"/>
      <c r="DC398" s="202"/>
      <c r="DD398" s="202"/>
      <c r="DE398" s="202"/>
      <c r="DF398" s="202"/>
      <c r="DG398" s="202"/>
      <c r="DH398" s="203"/>
      <c r="DI398" s="202"/>
      <c r="DJ398" s="202"/>
      <c r="DK398" s="202"/>
      <c r="DL398" s="202"/>
      <c r="DM398" s="202"/>
      <c r="DN398" s="202"/>
      <c r="DO398" s="202"/>
      <c r="DP398" s="202"/>
      <c r="DQ398" s="202"/>
      <c r="DR398" s="202"/>
      <c r="DS398" s="203"/>
      <c r="DT398" s="202"/>
      <c r="DU398" s="202"/>
      <c r="DV398" s="202"/>
      <c r="DW398" s="202"/>
      <c r="DX398" s="202"/>
      <c r="DY398" s="202"/>
      <c r="DZ398" s="202"/>
      <c r="EA398" s="202"/>
      <c r="EB398" s="202"/>
      <c r="EC398" s="202"/>
      <c r="ED398" s="203"/>
      <c r="EE398" s="202"/>
      <c r="EF398" s="202"/>
      <c r="EG398" s="202"/>
      <c r="EH398" s="202"/>
      <c r="EI398" s="202"/>
      <c r="EJ398" s="202"/>
      <c r="EK398" s="202"/>
      <c r="EL398" s="202"/>
      <c r="EM398" s="202"/>
      <c r="EN398" s="202"/>
      <c r="EO398" s="203"/>
      <c r="EP398" s="202"/>
      <c r="EQ398" s="202"/>
      <c r="ER398" s="202"/>
      <c r="ES398" s="202"/>
      <c r="ET398" s="202"/>
      <c r="EU398" s="202"/>
      <c r="EV398" s="202"/>
      <c r="EW398" s="202"/>
      <c r="EX398" s="202"/>
      <c r="EY398" s="202"/>
      <c r="EZ398" s="203"/>
      <c r="FA398" s="202"/>
      <c r="FB398" s="202"/>
      <c r="FC398" s="202"/>
      <c r="FD398" s="202"/>
      <c r="FE398" s="202"/>
      <c r="FF398" s="202"/>
      <c r="FG398" s="202"/>
      <c r="FH398" s="202"/>
      <c r="FI398" s="202"/>
      <c r="FJ398" s="202"/>
      <c r="FK398" s="203"/>
      <c r="FL398" s="202"/>
      <c r="FM398" s="202"/>
      <c r="FN398" s="202"/>
      <c r="FO398" s="202"/>
      <c r="FP398" s="202"/>
      <c r="FQ398" s="202"/>
      <c r="FR398" s="202"/>
      <c r="FS398" s="202"/>
      <c r="FT398" s="202"/>
      <c r="FU398" s="202"/>
      <c r="FV398" s="203"/>
      <c r="FW398" s="202"/>
      <c r="FX398" s="202"/>
      <c r="FY398" s="202"/>
      <c r="FZ398" s="202"/>
      <c r="GA398" s="202"/>
      <c r="GB398" s="202"/>
      <c r="GC398" s="202"/>
      <c r="GD398" s="202"/>
      <c r="GE398" s="202"/>
      <c r="GF398" s="202"/>
      <c r="GG398" s="203"/>
      <c r="GH398" s="202"/>
      <c r="GI398" s="202"/>
      <c r="GJ398" s="202"/>
      <c r="GK398" s="202"/>
      <c r="GL398" s="202"/>
      <c r="GM398" s="202"/>
      <c r="GN398" s="202"/>
      <c r="GO398" s="202"/>
      <c r="GP398" s="202"/>
      <c r="GQ398" s="202"/>
      <c r="GR398" s="202"/>
      <c r="GS398" s="202"/>
      <c r="GT398" s="202"/>
      <c r="GU398" s="202"/>
      <c r="GV398" s="202"/>
      <c r="GW398" s="202"/>
      <c r="GX398" s="202"/>
      <c r="GY398" s="202"/>
      <c r="GZ398" s="202"/>
      <c r="HA398" s="202"/>
      <c r="HB398" s="202"/>
      <c r="HC398" s="202"/>
      <c r="HD398" s="202"/>
      <c r="HE398" s="202"/>
      <c r="HF398" s="202"/>
      <c r="HG398" s="202"/>
      <c r="HH398" s="202"/>
      <c r="HI398" s="202"/>
      <c r="HJ398" s="202"/>
      <c r="HK398" s="202"/>
      <c r="HL398" s="202"/>
      <c r="HM398" s="202"/>
      <c r="HN398" s="202"/>
      <c r="HO398" s="202"/>
      <c r="HP398" s="202"/>
      <c r="HQ398" s="202"/>
      <c r="HR398" s="202"/>
      <c r="HS398" s="202"/>
      <c r="HT398" s="202"/>
      <c r="HU398" s="202"/>
      <c r="HV398" s="202"/>
      <c r="HW398" s="202"/>
      <c r="HX398" s="202"/>
      <c r="HY398" s="202"/>
      <c r="HZ398" s="202"/>
      <c r="IA398" s="202"/>
      <c r="IB398" s="202"/>
      <c r="IC398" s="202"/>
      <c r="ID398" s="202"/>
      <c r="IE398" s="202"/>
      <c r="IF398" s="202"/>
      <c r="IG398" s="202"/>
      <c r="IH398" s="202"/>
      <c r="II398" s="202"/>
      <c r="IJ398" s="202"/>
      <c r="IK398" s="202"/>
      <c r="IL398" s="202"/>
      <c r="IM398" s="202"/>
      <c r="IN398" s="202"/>
      <c r="IO398" s="202"/>
      <c r="IP398" s="202"/>
      <c r="IQ398" s="202"/>
      <c r="IR398" s="202"/>
      <c r="IS398" s="202"/>
      <c r="IT398" s="202"/>
      <c r="IU398" s="202"/>
      <c r="IV398" s="202"/>
    </row>
    <row r="399" spans="1:256" x14ac:dyDescent="0.2">
      <c r="A399" s="204"/>
      <c r="B399" s="212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2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2"/>
      <c r="Y399" s="213"/>
      <c r="Z399" s="213"/>
      <c r="AA399" s="213"/>
      <c r="AB399" s="213"/>
      <c r="AC399" s="213"/>
      <c r="AD399" s="213"/>
      <c r="AE399" s="213"/>
      <c r="AF399" s="213"/>
      <c r="AG399" s="213"/>
      <c r="AH399" s="213"/>
      <c r="AI399" s="212"/>
      <c r="AJ399" s="213"/>
      <c r="AK399" s="213"/>
      <c r="AL399" s="213"/>
      <c r="AM399" s="213"/>
      <c r="AN399" s="213"/>
      <c r="AO399" s="213"/>
      <c r="AP399" s="213"/>
      <c r="AQ399" s="213"/>
      <c r="AR399" s="213"/>
      <c r="AS399" s="213"/>
      <c r="AT399" s="192"/>
      <c r="AU399" s="192"/>
      <c r="AV399" s="192"/>
      <c r="AW399" s="192"/>
      <c r="AX399" s="192"/>
      <c r="AY399" s="192"/>
      <c r="AZ399" s="192"/>
      <c r="BA399" s="192"/>
      <c r="BB399" s="192"/>
      <c r="BC399" s="192"/>
      <c r="BD399" s="213"/>
      <c r="BE399" s="212"/>
      <c r="BF399" s="213"/>
      <c r="BG399" s="213"/>
      <c r="BH399" s="213"/>
      <c r="BI399" s="213"/>
      <c r="BJ399" s="213"/>
      <c r="BK399" s="213"/>
      <c r="BL399" s="213"/>
      <c r="BM399" s="213"/>
      <c r="BN399" s="213"/>
      <c r="BO399" s="213"/>
      <c r="BP399" s="212"/>
      <c r="BQ399" s="213"/>
      <c r="BR399" s="213"/>
      <c r="BS399" s="213"/>
      <c r="BT399" s="213"/>
      <c r="BU399" s="213"/>
      <c r="BV399" s="213"/>
      <c r="BW399" s="213"/>
      <c r="BX399" s="213"/>
      <c r="BY399" s="213"/>
      <c r="BZ399" s="213"/>
      <c r="CA399" s="212"/>
      <c r="CB399" s="213"/>
      <c r="CC399" s="213"/>
      <c r="CD399" s="213"/>
      <c r="CE399" s="213"/>
      <c r="CF399" s="213"/>
      <c r="CG399" s="213"/>
      <c r="CH399" s="213"/>
      <c r="CI399" s="213"/>
      <c r="CJ399" s="213"/>
      <c r="CK399" s="213"/>
      <c r="CL399" s="192"/>
      <c r="CM399" s="192"/>
      <c r="CN399" s="192"/>
      <c r="CO399" s="192"/>
      <c r="CP399" s="192"/>
      <c r="CQ399" s="192"/>
      <c r="CR399" s="192"/>
      <c r="CS399" s="192"/>
      <c r="CT399" s="192"/>
      <c r="CU399" s="192"/>
      <c r="CV399" s="213"/>
      <c r="CW399" s="212"/>
      <c r="CX399" s="213"/>
      <c r="CY399" s="213"/>
      <c r="CZ399" s="213"/>
      <c r="DA399" s="213"/>
      <c r="DB399" s="213"/>
      <c r="DC399" s="213"/>
      <c r="DD399" s="213"/>
      <c r="DE399" s="213"/>
      <c r="DF399" s="213"/>
      <c r="DG399" s="213"/>
      <c r="DH399" s="212"/>
      <c r="DI399" s="213"/>
      <c r="DJ399" s="213"/>
      <c r="DK399" s="213"/>
      <c r="DL399" s="213"/>
      <c r="DM399" s="213"/>
      <c r="DN399" s="213"/>
      <c r="DO399" s="213"/>
      <c r="DP399" s="213"/>
      <c r="DQ399" s="213"/>
      <c r="DR399" s="213"/>
      <c r="DS399" s="212"/>
      <c r="DT399" s="213"/>
      <c r="DU399" s="213"/>
      <c r="DV399" s="213"/>
      <c r="DW399" s="213"/>
      <c r="DX399" s="213"/>
      <c r="DY399" s="213"/>
      <c r="DZ399" s="213"/>
      <c r="EA399" s="213"/>
      <c r="EB399" s="213"/>
      <c r="EC399" s="213"/>
      <c r="ED399" s="192"/>
      <c r="EE399" s="192"/>
      <c r="EF399" s="192"/>
      <c r="EG399" s="192"/>
      <c r="EH399" s="192"/>
      <c r="EI399" s="192"/>
      <c r="EJ399" s="192"/>
      <c r="EK399" s="192"/>
      <c r="EL399" s="192"/>
      <c r="EM399" s="192"/>
      <c r="EN399" s="213"/>
      <c r="EO399" s="212"/>
      <c r="EP399" s="213"/>
      <c r="EQ399" s="213"/>
      <c r="ER399" s="213"/>
      <c r="ES399" s="213"/>
      <c r="ET399" s="213"/>
      <c r="EU399" s="213"/>
      <c r="EV399" s="213"/>
      <c r="EW399" s="213"/>
      <c r="EX399" s="213"/>
      <c r="EY399" s="213"/>
      <c r="EZ399" s="212"/>
      <c r="FA399" s="213"/>
      <c r="FB399" s="213"/>
      <c r="FC399" s="213"/>
      <c r="FD399" s="213"/>
      <c r="FE399" s="213"/>
      <c r="FF399" s="213"/>
      <c r="FG399" s="213"/>
      <c r="FH399" s="213"/>
      <c r="FI399" s="213"/>
      <c r="FJ399" s="213"/>
      <c r="FK399" s="212"/>
      <c r="FL399" s="213"/>
      <c r="FM399" s="213"/>
      <c r="FN399" s="213"/>
      <c r="FO399" s="213"/>
      <c r="FP399" s="213"/>
      <c r="FQ399" s="213"/>
      <c r="FR399" s="213"/>
      <c r="FS399" s="213"/>
      <c r="FT399" s="213"/>
      <c r="FU399" s="213"/>
      <c r="FV399" s="192"/>
      <c r="FW399" s="192"/>
      <c r="FX399" s="192"/>
      <c r="FY399" s="192"/>
      <c r="FZ399" s="192"/>
      <c r="GA399" s="192"/>
      <c r="GB399" s="192"/>
      <c r="GC399" s="192"/>
      <c r="GD399" s="192"/>
      <c r="GE399" s="192"/>
      <c r="GF399" s="213"/>
      <c r="GG399" s="212"/>
      <c r="GH399" s="213"/>
      <c r="GI399" s="213"/>
      <c r="GJ399" s="213"/>
      <c r="GK399" s="213"/>
      <c r="GL399" s="213"/>
      <c r="GM399" s="213"/>
      <c r="GN399" s="213"/>
      <c r="GO399" s="213"/>
      <c r="GP399" s="213"/>
      <c r="GQ399" s="213"/>
      <c r="GR399" s="213"/>
      <c r="GS399" s="213"/>
      <c r="GT399" s="213"/>
      <c r="GU399" s="213"/>
      <c r="GV399" s="213"/>
      <c r="GW399" s="213"/>
      <c r="GX399" s="213"/>
      <c r="GY399" s="213"/>
      <c r="GZ399" s="213"/>
      <c r="HA399" s="213"/>
      <c r="HB399" s="213"/>
      <c r="HC399" s="213"/>
      <c r="HD399" s="213"/>
      <c r="HE399" s="213"/>
      <c r="HF399" s="213"/>
      <c r="HG399" s="213"/>
      <c r="HH399" s="213"/>
      <c r="HI399" s="213"/>
      <c r="HJ399" s="213"/>
      <c r="HK399" s="213"/>
      <c r="HL399" s="213"/>
      <c r="HM399" s="213"/>
      <c r="HN399" s="213"/>
      <c r="HO399" s="213"/>
      <c r="HP399" s="213"/>
      <c r="HQ399" s="213"/>
      <c r="HR399" s="213"/>
      <c r="HS399" s="213"/>
      <c r="HT399" s="213"/>
      <c r="HU399" s="213"/>
      <c r="HV399" s="213"/>
      <c r="HW399" s="213"/>
      <c r="HX399" s="213"/>
      <c r="HY399" s="213"/>
      <c r="HZ399" s="213"/>
      <c r="IA399" s="213"/>
      <c r="IB399" s="213"/>
      <c r="IC399" s="213"/>
      <c r="ID399" s="213"/>
      <c r="IE399" s="213"/>
      <c r="IF399" s="213"/>
      <c r="IG399" s="213"/>
      <c r="IH399" s="213"/>
      <c r="II399" s="213"/>
      <c r="IJ399" s="213"/>
      <c r="IK399" s="213"/>
      <c r="IL399" s="213"/>
      <c r="IM399" s="213"/>
      <c r="IN399" s="213"/>
      <c r="IO399" s="213"/>
      <c r="IP399" s="213"/>
      <c r="IQ399" s="213"/>
      <c r="IR399" s="213"/>
      <c r="IS399" s="213"/>
      <c r="IT399" s="213"/>
      <c r="IU399" s="213"/>
      <c r="IV399" s="213"/>
    </row>
    <row r="400" spans="1:256" x14ac:dyDescent="0.2">
      <c r="A400" s="204"/>
      <c r="B400" s="192"/>
      <c r="M400" s="192"/>
      <c r="X400" s="192"/>
      <c r="AI400" s="192"/>
      <c r="AT400" s="192"/>
      <c r="AU400" s="192"/>
      <c r="AV400" s="192"/>
      <c r="AW400" s="192"/>
      <c r="AX400" s="192"/>
      <c r="AY400" s="192"/>
      <c r="AZ400" s="192"/>
      <c r="BA400" s="192"/>
      <c r="BB400" s="192"/>
      <c r="BC400" s="192"/>
      <c r="BE400" s="192"/>
      <c r="BP400" s="192"/>
      <c r="CA400" s="192"/>
      <c r="CL400" s="192"/>
      <c r="CM400" s="192"/>
      <c r="CN400" s="192"/>
      <c r="CO400" s="192"/>
      <c r="CP400" s="192"/>
      <c r="CQ400" s="192"/>
      <c r="CR400" s="192"/>
      <c r="CS400" s="192"/>
      <c r="CT400" s="192"/>
      <c r="CU400" s="192"/>
      <c r="CW400" s="192"/>
      <c r="DH400" s="192"/>
      <c r="DS400" s="192"/>
      <c r="ED400" s="192"/>
      <c r="EE400" s="192"/>
      <c r="EF400" s="192"/>
      <c r="EG400" s="192"/>
      <c r="EH400" s="192"/>
      <c r="EI400" s="192"/>
      <c r="EJ400" s="192"/>
      <c r="EK400" s="192"/>
      <c r="EL400" s="192"/>
      <c r="EM400" s="192"/>
      <c r="EO400" s="192"/>
      <c r="EZ400" s="192"/>
      <c r="FK400" s="192"/>
      <c r="FV400" s="192"/>
      <c r="FW400" s="192"/>
      <c r="FX400" s="192"/>
      <c r="FY400" s="192"/>
      <c r="FZ400" s="192"/>
      <c r="GA400" s="192"/>
      <c r="GB400" s="192"/>
      <c r="GC400" s="192"/>
      <c r="GD400" s="192"/>
      <c r="GE400" s="192"/>
      <c r="GG400" s="192"/>
      <c r="GV400" s="191"/>
      <c r="HA400" s="191"/>
      <c r="HF400" s="191"/>
      <c r="HK400" s="191"/>
      <c r="HP400" s="191"/>
      <c r="HU400" s="191"/>
      <c r="HZ400" s="191"/>
      <c r="IE400" s="191"/>
      <c r="IJ400" s="191"/>
      <c r="IO400" s="191"/>
      <c r="IT400" s="191"/>
    </row>
    <row r="401" spans="1:256" x14ac:dyDescent="0.2">
      <c r="A401" s="204"/>
      <c r="B401" s="192"/>
      <c r="M401" s="192"/>
      <c r="X401" s="192"/>
      <c r="AI401" s="192"/>
      <c r="AT401" s="192"/>
      <c r="AU401" s="192"/>
      <c r="AV401" s="192"/>
      <c r="AW401" s="192"/>
      <c r="AX401" s="192"/>
      <c r="AY401" s="192"/>
      <c r="AZ401" s="192"/>
      <c r="BA401" s="192"/>
      <c r="BB401" s="192"/>
      <c r="BC401" s="192"/>
      <c r="BE401" s="192"/>
      <c r="BP401" s="192"/>
      <c r="CA401" s="192"/>
      <c r="CL401" s="192"/>
      <c r="CM401" s="192"/>
      <c r="CN401" s="192"/>
      <c r="CO401" s="192"/>
      <c r="CP401" s="192"/>
      <c r="CQ401" s="192"/>
      <c r="CR401" s="192"/>
      <c r="CS401" s="192"/>
      <c r="CT401" s="192"/>
      <c r="CU401" s="192"/>
      <c r="CW401" s="192"/>
      <c r="DH401" s="192"/>
      <c r="DS401" s="192"/>
      <c r="ED401" s="192"/>
      <c r="EE401" s="192"/>
      <c r="EF401" s="192"/>
      <c r="EG401" s="192"/>
      <c r="EH401" s="192"/>
      <c r="EI401" s="192"/>
      <c r="EJ401" s="192"/>
      <c r="EK401" s="192"/>
      <c r="EL401" s="192"/>
      <c r="EM401" s="192"/>
      <c r="EO401" s="192"/>
      <c r="EZ401" s="192"/>
      <c r="FK401" s="192"/>
      <c r="FV401" s="192"/>
      <c r="FW401" s="192"/>
      <c r="FX401" s="192"/>
      <c r="FY401" s="192"/>
      <c r="FZ401" s="192"/>
      <c r="GA401" s="192"/>
      <c r="GB401" s="192"/>
      <c r="GC401" s="192"/>
      <c r="GD401" s="192"/>
      <c r="GE401" s="192"/>
      <c r="GG401" s="192"/>
      <c r="GV401" s="191"/>
      <c r="HA401" s="191"/>
      <c r="HF401" s="191"/>
      <c r="HK401" s="191"/>
      <c r="HP401" s="191"/>
      <c r="HU401" s="191"/>
      <c r="HZ401" s="191"/>
      <c r="IE401" s="191"/>
      <c r="IJ401" s="191"/>
      <c r="IO401" s="191"/>
      <c r="IT401" s="191"/>
    </row>
    <row r="402" spans="1:256" x14ac:dyDescent="0.2">
      <c r="A402" s="204"/>
      <c r="B402" s="192"/>
      <c r="M402" s="192"/>
      <c r="X402" s="192"/>
      <c r="AI402" s="192"/>
      <c r="AT402" s="192"/>
      <c r="AU402" s="192"/>
      <c r="AV402" s="192"/>
      <c r="AW402" s="192"/>
      <c r="AX402" s="192"/>
      <c r="AY402" s="192"/>
      <c r="AZ402" s="192"/>
      <c r="BA402" s="192"/>
      <c r="BB402" s="192"/>
      <c r="BC402" s="192"/>
      <c r="BE402" s="192"/>
      <c r="BP402" s="192"/>
      <c r="CA402" s="192"/>
      <c r="CL402" s="192"/>
      <c r="CM402" s="192"/>
      <c r="CN402" s="192"/>
      <c r="CO402" s="192"/>
      <c r="CP402" s="192"/>
      <c r="CQ402" s="192"/>
      <c r="CR402" s="192"/>
      <c r="CS402" s="192"/>
      <c r="CT402" s="192"/>
      <c r="CU402" s="192"/>
      <c r="CW402" s="192"/>
      <c r="DH402" s="192"/>
      <c r="DS402" s="192"/>
      <c r="ED402" s="192"/>
      <c r="EE402" s="192"/>
      <c r="EF402" s="192"/>
      <c r="EG402" s="192"/>
      <c r="EH402" s="192"/>
      <c r="EI402" s="192"/>
      <c r="EJ402" s="192"/>
      <c r="EK402" s="192"/>
      <c r="EL402" s="192"/>
      <c r="EM402" s="192"/>
      <c r="EO402" s="192"/>
      <c r="EZ402" s="192"/>
      <c r="FK402" s="192"/>
      <c r="FV402" s="192"/>
      <c r="FW402" s="192"/>
      <c r="FX402" s="192"/>
      <c r="FY402" s="192"/>
      <c r="FZ402" s="192"/>
      <c r="GA402" s="192"/>
      <c r="GB402" s="192"/>
      <c r="GC402" s="192"/>
      <c r="GD402" s="192"/>
      <c r="GE402" s="192"/>
      <c r="GG402" s="192"/>
      <c r="GV402" s="191"/>
      <c r="HA402" s="191"/>
      <c r="HF402" s="191"/>
      <c r="HK402" s="191"/>
      <c r="HP402" s="191"/>
      <c r="HU402" s="191"/>
      <c r="HZ402" s="191"/>
      <c r="IE402" s="191"/>
      <c r="IJ402" s="191"/>
      <c r="IO402" s="191"/>
      <c r="IT402" s="191"/>
    </row>
    <row r="403" spans="1:256" x14ac:dyDescent="0.2">
      <c r="A403" s="204"/>
      <c r="B403" s="192"/>
      <c r="M403" s="192"/>
      <c r="X403" s="192"/>
      <c r="AI403" s="192"/>
      <c r="AT403" s="192"/>
      <c r="AU403" s="192"/>
      <c r="AV403" s="192"/>
      <c r="AW403" s="192"/>
      <c r="AX403" s="192"/>
      <c r="AY403" s="192"/>
      <c r="AZ403" s="192"/>
      <c r="BA403" s="192"/>
      <c r="BB403" s="192"/>
      <c r="BC403" s="192"/>
      <c r="BE403" s="192"/>
      <c r="BP403" s="192"/>
      <c r="CA403" s="192"/>
      <c r="CL403" s="192"/>
      <c r="CM403" s="192"/>
      <c r="CN403" s="192"/>
      <c r="CO403" s="192"/>
      <c r="CP403" s="192"/>
      <c r="CQ403" s="192"/>
      <c r="CR403" s="192"/>
      <c r="CS403" s="192"/>
      <c r="CT403" s="192"/>
      <c r="CU403" s="192"/>
      <c r="CW403" s="192"/>
      <c r="DH403" s="192"/>
      <c r="DS403" s="192"/>
      <c r="ED403" s="192"/>
      <c r="EE403" s="192"/>
      <c r="EF403" s="192"/>
      <c r="EG403" s="192"/>
      <c r="EH403" s="192"/>
      <c r="EI403" s="192"/>
      <c r="EJ403" s="192"/>
      <c r="EK403" s="192"/>
      <c r="EL403" s="192"/>
      <c r="EM403" s="192"/>
      <c r="EO403" s="192"/>
      <c r="EZ403" s="192"/>
      <c r="FK403" s="192"/>
      <c r="FV403" s="192"/>
      <c r="FW403" s="192"/>
      <c r="FX403" s="192"/>
      <c r="FY403" s="192"/>
      <c r="FZ403" s="192"/>
      <c r="GA403" s="192"/>
      <c r="GB403" s="192"/>
      <c r="GC403" s="192"/>
      <c r="GD403" s="192"/>
      <c r="GE403" s="192"/>
      <c r="GG403" s="192"/>
      <c r="GV403" s="191"/>
      <c r="HA403" s="191"/>
      <c r="HF403" s="191"/>
      <c r="HK403" s="191"/>
      <c r="HP403" s="191"/>
      <c r="HU403" s="191"/>
      <c r="HZ403" s="191"/>
      <c r="IE403" s="191"/>
      <c r="IJ403" s="191"/>
      <c r="IO403" s="191"/>
      <c r="IT403" s="191"/>
    </row>
    <row r="404" spans="1:256" x14ac:dyDescent="0.2">
      <c r="A404" s="204"/>
      <c r="B404" s="212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2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2"/>
      <c r="Y404" s="213"/>
      <c r="Z404" s="213"/>
      <c r="AA404" s="213"/>
      <c r="AB404" s="213"/>
      <c r="AC404" s="213"/>
      <c r="AD404" s="213"/>
      <c r="AE404" s="213"/>
      <c r="AF404" s="213"/>
      <c r="AG404" s="213"/>
      <c r="AH404" s="213"/>
      <c r="AI404" s="212"/>
      <c r="AJ404" s="213"/>
      <c r="AK404" s="213"/>
      <c r="AL404" s="213"/>
      <c r="AM404" s="213"/>
      <c r="AN404" s="213"/>
      <c r="AO404" s="213"/>
      <c r="AP404" s="213"/>
      <c r="AQ404" s="213"/>
      <c r="AR404" s="213"/>
      <c r="AS404" s="213"/>
      <c r="AT404" s="212"/>
      <c r="AU404" s="213"/>
      <c r="AV404" s="213"/>
      <c r="AW404" s="213"/>
      <c r="AX404" s="213"/>
      <c r="AY404" s="213"/>
      <c r="AZ404" s="213"/>
      <c r="BA404" s="213"/>
      <c r="BB404" s="213"/>
      <c r="BC404" s="213"/>
      <c r="BD404" s="213"/>
      <c r="BE404" s="212"/>
      <c r="BF404" s="213"/>
      <c r="BG404" s="213"/>
      <c r="BH404" s="213"/>
      <c r="BI404" s="213"/>
      <c r="BJ404" s="213"/>
      <c r="BK404" s="213"/>
      <c r="BL404" s="213"/>
      <c r="BM404" s="213"/>
      <c r="BN404" s="213"/>
      <c r="BO404" s="213"/>
      <c r="BP404" s="212"/>
      <c r="BQ404" s="213"/>
      <c r="BR404" s="213"/>
      <c r="BS404" s="213"/>
      <c r="BT404" s="213"/>
      <c r="BU404" s="213"/>
      <c r="BV404" s="213"/>
      <c r="BW404" s="213"/>
      <c r="BX404" s="213"/>
      <c r="BY404" s="213"/>
      <c r="BZ404" s="213"/>
      <c r="CA404" s="212"/>
      <c r="CB404" s="213"/>
      <c r="CC404" s="213"/>
      <c r="CD404" s="213"/>
      <c r="CE404" s="213"/>
      <c r="CF404" s="213"/>
      <c r="CG404" s="213"/>
      <c r="CH404" s="213"/>
      <c r="CI404" s="213"/>
      <c r="CJ404" s="213"/>
      <c r="CK404" s="213"/>
      <c r="CL404" s="212"/>
      <c r="CM404" s="213"/>
      <c r="CN404" s="213"/>
      <c r="CO404" s="213"/>
      <c r="CP404" s="213"/>
      <c r="CQ404" s="213"/>
      <c r="CR404" s="213"/>
      <c r="CS404" s="213"/>
      <c r="CT404" s="213"/>
      <c r="CU404" s="213"/>
      <c r="CV404" s="213"/>
      <c r="CW404" s="212"/>
      <c r="CX404" s="213"/>
      <c r="CY404" s="213"/>
      <c r="CZ404" s="213"/>
      <c r="DA404" s="213"/>
      <c r="DB404" s="213"/>
      <c r="DC404" s="213"/>
      <c r="DD404" s="213"/>
      <c r="DE404" s="213"/>
      <c r="DF404" s="213"/>
      <c r="DG404" s="213"/>
      <c r="DH404" s="212"/>
      <c r="DI404" s="213"/>
      <c r="DJ404" s="213"/>
      <c r="DK404" s="213"/>
      <c r="DL404" s="213"/>
      <c r="DM404" s="213"/>
      <c r="DN404" s="213"/>
      <c r="DO404" s="213"/>
      <c r="DP404" s="213"/>
      <c r="DQ404" s="213"/>
      <c r="DR404" s="213"/>
      <c r="DS404" s="212"/>
      <c r="DT404" s="213"/>
      <c r="DU404" s="213"/>
      <c r="DV404" s="213"/>
      <c r="DW404" s="213"/>
      <c r="DX404" s="213"/>
      <c r="DY404" s="213"/>
      <c r="DZ404" s="213"/>
      <c r="EA404" s="213"/>
      <c r="EB404" s="213"/>
      <c r="EC404" s="213"/>
      <c r="ED404" s="212"/>
      <c r="EE404" s="213"/>
      <c r="EF404" s="213"/>
      <c r="EG404" s="213"/>
      <c r="EH404" s="213"/>
      <c r="EI404" s="213"/>
      <c r="EJ404" s="213"/>
      <c r="EK404" s="213"/>
      <c r="EL404" s="213"/>
      <c r="EM404" s="213"/>
      <c r="EN404" s="213"/>
      <c r="EO404" s="212"/>
      <c r="EP404" s="213"/>
      <c r="EQ404" s="213"/>
      <c r="ER404" s="213"/>
      <c r="ES404" s="213"/>
      <c r="ET404" s="213"/>
      <c r="EU404" s="213"/>
      <c r="EV404" s="213"/>
      <c r="EW404" s="213"/>
      <c r="EX404" s="213"/>
      <c r="EY404" s="213"/>
      <c r="EZ404" s="212"/>
      <c r="FA404" s="213"/>
      <c r="FB404" s="213"/>
      <c r="FC404" s="213"/>
      <c r="FD404" s="213"/>
      <c r="FE404" s="213"/>
      <c r="FF404" s="213"/>
      <c r="FG404" s="213"/>
      <c r="FH404" s="213"/>
      <c r="FI404" s="213"/>
      <c r="FJ404" s="213"/>
      <c r="FK404" s="212"/>
      <c r="FL404" s="213"/>
      <c r="FM404" s="213"/>
      <c r="FN404" s="213"/>
      <c r="FO404" s="213"/>
      <c r="FP404" s="213"/>
      <c r="FQ404" s="213"/>
      <c r="FR404" s="213"/>
      <c r="FS404" s="213"/>
      <c r="FT404" s="213"/>
      <c r="FU404" s="213"/>
      <c r="FV404" s="212"/>
      <c r="FW404" s="213"/>
      <c r="FX404" s="213"/>
      <c r="FY404" s="213"/>
      <c r="FZ404" s="213"/>
      <c r="GA404" s="213"/>
      <c r="GB404" s="213"/>
      <c r="GC404" s="213"/>
      <c r="GD404" s="213"/>
      <c r="GE404" s="213"/>
      <c r="GF404" s="213"/>
      <c r="GG404" s="212"/>
      <c r="GH404" s="213"/>
      <c r="GI404" s="213"/>
      <c r="GJ404" s="213"/>
      <c r="GK404" s="213"/>
      <c r="GL404" s="213"/>
      <c r="GM404" s="213"/>
      <c r="GN404" s="213"/>
      <c r="GO404" s="213"/>
      <c r="GP404" s="213"/>
      <c r="GQ404" s="213"/>
      <c r="GR404" s="213"/>
      <c r="GS404" s="213"/>
      <c r="GT404" s="213"/>
      <c r="GU404" s="213"/>
      <c r="GV404" s="213"/>
      <c r="GW404" s="213"/>
      <c r="GX404" s="213"/>
      <c r="GY404" s="213"/>
      <c r="GZ404" s="213"/>
      <c r="HA404" s="213"/>
      <c r="HB404" s="213"/>
      <c r="HC404" s="213"/>
      <c r="HD404" s="213"/>
      <c r="HE404" s="213"/>
      <c r="HF404" s="213"/>
      <c r="HG404" s="213"/>
      <c r="HH404" s="213"/>
      <c r="HI404" s="213"/>
      <c r="HJ404" s="213"/>
      <c r="HK404" s="213"/>
      <c r="HL404" s="213"/>
      <c r="HM404" s="213"/>
      <c r="HN404" s="213"/>
      <c r="HO404" s="213"/>
      <c r="HP404" s="213"/>
      <c r="HQ404" s="213"/>
      <c r="HR404" s="213"/>
      <c r="HS404" s="213"/>
      <c r="HT404" s="213"/>
      <c r="HU404" s="213"/>
      <c r="HV404" s="213"/>
      <c r="HW404" s="213"/>
      <c r="HX404" s="213"/>
      <c r="HY404" s="213"/>
      <c r="HZ404" s="213"/>
      <c r="IA404" s="213"/>
      <c r="IB404" s="213"/>
      <c r="IC404" s="213"/>
      <c r="ID404" s="213"/>
      <c r="IE404" s="213"/>
      <c r="IF404" s="213"/>
      <c r="IG404" s="213"/>
      <c r="IH404" s="213"/>
      <c r="II404" s="213"/>
      <c r="IJ404" s="213"/>
      <c r="IK404" s="213"/>
      <c r="IL404" s="213"/>
      <c r="IM404" s="213"/>
      <c r="IN404" s="213"/>
      <c r="IO404" s="213"/>
      <c r="IP404" s="213"/>
      <c r="IQ404" s="213"/>
      <c r="IR404" s="213"/>
      <c r="IS404" s="213"/>
      <c r="IT404" s="213"/>
      <c r="IU404" s="213"/>
      <c r="IV404" s="213"/>
    </row>
    <row r="405" spans="1:256" x14ac:dyDescent="0.2">
      <c r="A405" s="204"/>
      <c r="B405" s="192"/>
      <c r="M405" s="192"/>
      <c r="X405" s="192"/>
      <c r="AI405" s="192"/>
      <c r="AT405" s="192"/>
      <c r="AU405" s="192"/>
      <c r="AV405" s="192"/>
      <c r="AW405" s="192"/>
      <c r="AX405" s="192"/>
      <c r="AY405" s="192"/>
      <c r="AZ405" s="192"/>
      <c r="BA405" s="192"/>
      <c r="BB405" s="192"/>
      <c r="BC405" s="192"/>
      <c r="BE405" s="192"/>
      <c r="BP405" s="192"/>
      <c r="CA405" s="192"/>
      <c r="CL405" s="192"/>
      <c r="CM405" s="192"/>
      <c r="CN405" s="192"/>
      <c r="CO405" s="192"/>
      <c r="CP405" s="192"/>
      <c r="CQ405" s="192"/>
      <c r="CR405" s="192"/>
      <c r="CS405" s="192"/>
      <c r="CT405" s="192"/>
      <c r="CU405" s="192"/>
      <c r="CW405" s="192"/>
      <c r="DH405" s="192"/>
      <c r="DS405" s="192"/>
      <c r="ED405" s="192"/>
      <c r="EE405" s="192"/>
      <c r="EF405" s="192"/>
      <c r="EG405" s="192"/>
      <c r="EH405" s="192"/>
      <c r="EI405" s="192"/>
      <c r="EJ405" s="192"/>
      <c r="EK405" s="192"/>
      <c r="EL405" s="192"/>
      <c r="EM405" s="192"/>
      <c r="EO405" s="192"/>
      <c r="EZ405" s="192"/>
      <c r="FK405" s="192"/>
      <c r="FV405" s="192"/>
      <c r="FW405" s="192"/>
      <c r="FX405" s="192"/>
      <c r="FY405" s="192"/>
      <c r="FZ405" s="192"/>
      <c r="GA405" s="192"/>
      <c r="GB405" s="192"/>
      <c r="GC405" s="192"/>
      <c r="GD405" s="192"/>
      <c r="GE405" s="192"/>
      <c r="GG405" s="192"/>
      <c r="GV405" s="191"/>
      <c r="HA405" s="191"/>
      <c r="HF405" s="191"/>
      <c r="HK405" s="191"/>
      <c r="HP405" s="191"/>
      <c r="HU405" s="191"/>
      <c r="HZ405" s="191"/>
      <c r="IE405" s="191"/>
      <c r="IJ405" s="191"/>
      <c r="IO405" s="191"/>
      <c r="IT405" s="191"/>
    </row>
    <row r="406" spans="1:256" x14ac:dyDescent="0.2">
      <c r="A406" s="204"/>
      <c r="B406" s="192"/>
      <c r="M406" s="192"/>
      <c r="X406" s="192"/>
      <c r="AI406" s="192"/>
      <c r="AT406" s="192"/>
      <c r="AU406" s="192"/>
      <c r="AV406" s="192"/>
      <c r="AW406" s="192"/>
      <c r="AX406" s="192"/>
      <c r="AY406" s="192"/>
      <c r="AZ406" s="192"/>
      <c r="BA406" s="192"/>
      <c r="BB406" s="192"/>
      <c r="BC406" s="192"/>
      <c r="BE406" s="192"/>
      <c r="BP406" s="192"/>
      <c r="CA406" s="192"/>
      <c r="CL406" s="192"/>
      <c r="CM406" s="192"/>
      <c r="CN406" s="192"/>
      <c r="CO406" s="192"/>
      <c r="CP406" s="192"/>
      <c r="CQ406" s="192"/>
      <c r="CR406" s="192"/>
      <c r="CS406" s="192"/>
      <c r="CT406" s="192"/>
      <c r="CU406" s="192"/>
      <c r="CW406" s="192"/>
      <c r="DH406" s="192"/>
      <c r="DS406" s="192"/>
      <c r="ED406" s="192"/>
      <c r="EE406" s="192"/>
      <c r="EF406" s="192"/>
      <c r="EG406" s="192"/>
      <c r="EH406" s="192"/>
      <c r="EI406" s="192"/>
      <c r="EJ406" s="192"/>
      <c r="EK406" s="192"/>
      <c r="EL406" s="192"/>
      <c r="EM406" s="192"/>
      <c r="EO406" s="192"/>
      <c r="EZ406" s="192"/>
      <c r="FK406" s="192"/>
      <c r="FV406" s="192"/>
      <c r="FW406" s="192"/>
      <c r="FX406" s="192"/>
      <c r="FY406" s="192"/>
      <c r="FZ406" s="192"/>
      <c r="GA406" s="192"/>
      <c r="GB406" s="192"/>
      <c r="GC406" s="192"/>
      <c r="GD406" s="192"/>
      <c r="GE406" s="192"/>
      <c r="GG406" s="192"/>
      <c r="GV406" s="191"/>
      <c r="HA406" s="191"/>
      <c r="HF406" s="191"/>
      <c r="HK406" s="191"/>
      <c r="HP406" s="191"/>
      <c r="HU406" s="191"/>
      <c r="HZ406" s="191"/>
      <c r="IE406" s="191"/>
      <c r="IJ406" s="191"/>
      <c r="IO406" s="191"/>
      <c r="IT406" s="191"/>
    </row>
    <row r="407" spans="1:256" x14ac:dyDescent="0.2">
      <c r="A407" s="204"/>
      <c r="B407" s="192"/>
      <c r="M407" s="192"/>
      <c r="X407" s="192"/>
      <c r="AI407" s="192"/>
      <c r="AT407" s="192"/>
      <c r="AU407" s="192"/>
      <c r="AV407" s="192"/>
      <c r="AW407" s="192"/>
      <c r="AX407" s="192"/>
      <c r="AY407" s="192"/>
      <c r="AZ407" s="192"/>
      <c r="BA407" s="192"/>
      <c r="BB407" s="192"/>
      <c r="BC407" s="192"/>
      <c r="BE407" s="192"/>
      <c r="BP407" s="192"/>
      <c r="CA407" s="192"/>
      <c r="CL407" s="192"/>
      <c r="CM407" s="192"/>
      <c r="CN407" s="192"/>
      <c r="CO407" s="192"/>
      <c r="CP407" s="192"/>
      <c r="CQ407" s="192"/>
      <c r="CR407" s="192"/>
      <c r="CS407" s="192"/>
      <c r="CT407" s="192"/>
      <c r="CU407" s="192"/>
      <c r="CW407" s="192"/>
      <c r="DH407" s="192"/>
      <c r="DS407" s="192"/>
      <c r="ED407" s="192"/>
      <c r="EE407" s="192"/>
      <c r="EF407" s="192"/>
      <c r="EG407" s="192"/>
      <c r="EH407" s="192"/>
      <c r="EI407" s="192"/>
      <c r="EJ407" s="192"/>
      <c r="EK407" s="192"/>
      <c r="EL407" s="192"/>
      <c r="EM407" s="192"/>
      <c r="EO407" s="192"/>
      <c r="EZ407" s="192"/>
      <c r="FK407" s="192"/>
      <c r="FV407" s="192"/>
      <c r="FW407" s="192"/>
      <c r="FX407" s="192"/>
      <c r="FY407" s="192"/>
      <c r="FZ407" s="192"/>
      <c r="GA407" s="192"/>
      <c r="GB407" s="192"/>
      <c r="GC407" s="192"/>
      <c r="GD407" s="192"/>
      <c r="GE407" s="192"/>
      <c r="GG407" s="192"/>
      <c r="GV407" s="191"/>
      <c r="HA407" s="191"/>
      <c r="HF407" s="191"/>
      <c r="HK407" s="191"/>
      <c r="HP407" s="191"/>
      <c r="HU407" s="191"/>
      <c r="HZ407" s="191"/>
      <c r="IE407" s="191"/>
      <c r="IJ407" s="191"/>
      <c r="IO407" s="191"/>
      <c r="IT407" s="191"/>
    </row>
    <row r="408" spans="1:256" x14ac:dyDescent="0.2">
      <c r="A408" s="204"/>
      <c r="B408" s="192"/>
      <c r="M408" s="192"/>
      <c r="X408" s="192"/>
      <c r="AI408" s="192"/>
      <c r="AT408" s="192"/>
      <c r="AU408" s="192"/>
      <c r="AV408" s="192"/>
      <c r="AW408" s="192"/>
      <c r="AX408" s="192"/>
      <c r="AY408" s="192"/>
      <c r="AZ408" s="192"/>
      <c r="BA408" s="192"/>
      <c r="BB408" s="192"/>
      <c r="BC408" s="192"/>
      <c r="BE408" s="192"/>
      <c r="BP408" s="192"/>
      <c r="CA408" s="192"/>
      <c r="CL408" s="192"/>
      <c r="CM408" s="192"/>
      <c r="CN408" s="192"/>
      <c r="CO408" s="192"/>
      <c r="CP408" s="192"/>
      <c r="CQ408" s="192"/>
      <c r="CR408" s="192"/>
      <c r="CS408" s="192"/>
      <c r="CT408" s="192"/>
      <c r="CU408" s="192"/>
      <c r="CW408" s="192"/>
      <c r="DH408" s="192"/>
      <c r="DS408" s="192"/>
      <c r="ED408" s="192"/>
      <c r="EE408" s="192"/>
      <c r="EF408" s="192"/>
      <c r="EG408" s="192"/>
      <c r="EH408" s="192"/>
      <c r="EI408" s="192"/>
      <c r="EJ408" s="192"/>
      <c r="EK408" s="192"/>
      <c r="EL408" s="192"/>
      <c r="EM408" s="192"/>
      <c r="EO408" s="192"/>
      <c r="EZ408" s="192"/>
      <c r="FK408" s="192"/>
      <c r="FV408" s="192"/>
      <c r="FW408" s="192"/>
      <c r="FX408" s="192"/>
      <c r="FY408" s="192"/>
      <c r="FZ408" s="192"/>
      <c r="GA408" s="192"/>
      <c r="GB408" s="192"/>
      <c r="GC408" s="192"/>
      <c r="GD408" s="192"/>
      <c r="GE408" s="192"/>
      <c r="GG408" s="192"/>
      <c r="GV408" s="191"/>
      <c r="HA408" s="191"/>
      <c r="HF408" s="191"/>
      <c r="HK408" s="191"/>
      <c r="HP408" s="191"/>
      <c r="HU408" s="191"/>
      <c r="HZ408" s="191"/>
      <c r="IE408" s="191"/>
      <c r="IJ408" s="191"/>
      <c r="IO408" s="191"/>
      <c r="IT408" s="191"/>
    </row>
    <row r="409" spans="1:256" x14ac:dyDescent="0.2">
      <c r="A409" s="204"/>
      <c r="B409" s="192"/>
      <c r="M409" s="192"/>
      <c r="X409" s="192"/>
      <c r="AI409" s="192"/>
      <c r="AT409" s="192"/>
      <c r="AU409" s="192"/>
      <c r="AV409" s="192"/>
      <c r="AW409" s="192"/>
      <c r="AX409" s="192"/>
      <c r="AY409" s="192"/>
      <c r="AZ409" s="192"/>
      <c r="BA409" s="192"/>
      <c r="BB409" s="192"/>
      <c r="BC409" s="192"/>
      <c r="BE409" s="192"/>
      <c r="BP409" s="192"/>
      <c r="CA409" s="192"/>
      <c r="CL409" s="192"/>
      <c r="CM409" s="192"/>
      <c r="CN409" s="192"/>
      <c r="CO409" s="192"/>
      <c r="CP409" s="192"/>
      <c r="CQ409" s="192"/>
      <c r="CR409" s="192"/>
      <c r="CS409" s="192"/>
      <c r="CT409" s="192"/>
      <c r="CU409" s="192"/>
      <c r="CW409" s="192"/>
      <c r="DH409" s="192"/>
      <c r="DS409" s="192"/>
      <c r="ED409" s="192"/>
      <c r="EE409" s="192"/>
      <c r="EF409" s="192"/>
      <c r="EG409" s="192"/>
      <c r="EH409" s="192"/>
      <c r="EI409" s="192"/>
      <c r="EJ409" s="192"/>
      <c r="EK409" s="192"/>
      <c r="EL409" s="192"/>
      <c r="EM409" s="192"/>
      <c r="EO409" s="192"/>
      <c r="EZ409" s="192"/>
      <c r="FK409" s="192"/>
      <c r="FV409" s="192"/>
      <c r="FW409" s="192"/>
      <c r="FX409" s="192"/>
      <c r="FY409" s="192"/>
      <c r="FZ409" s="192"/>
      <c r="GA409" s="192"/>
      <c r="GB409" s="192"/>
      <c r="GC409" s="192"/>
      <c r="GD409" s="192"/>
      <c r="GE409" s="192"/>
      <c r="GG409" s="192"/>
      <c r="GV409" s="191"/>
      <c r="HA409" s="191"/>
      <c r="HF409" s="191"/>
      <c r="HK409" s="191"/>
      <c r="HP409" s="191"/>
      <c r="HU409" s="191"/>
      <c r="HZ409" s="191"/>
      <c r="IE409" s="191"/>
      <c r="IJ409" s="191"/>
      <c r="IO409" s="191"/>
      <c r="IT409" s="191"/>
    </row>
    <row r="410" spans="1:256" x14ac:dyDescent="0.2">
      <c r="A410" s="204"/>
      <c r="B410" s="203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3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3"/>
      <c r="Y410" s="202"/>
      <c r="Z410" s="202"/>
      <c r="AA410" s="202"/>
      <c r="AB410" s="202"/>
      <c r="AC410" s="202"/>
      <c r="AD410" s="202"/>
      <c r="AE410" s="202"/>
      <c r="AF410" s="202"/>
      <c r="AG410" s="202"/>
      <c r="AH410" s="202"/>
      <c r="AI410" s="203"/>
      <c r="AJ410" s="202"/>
      <c r="AK410" s="202"/>
      <c r="AL410" s="202"/>
      <c r="AM410" s="202"/>
      <c r="AN410" s="202"/>
      <c r="AO410" s="202"/>
      <c r="AP410" s="202"/>
      <c r="AQ410" s="202"/>
      <c r="AR410" s="202"/>
      <c r="AS410" s="202"/>
      <c r="AT410" s="203"/>
      <c r="AU410" s="202"/>
      <c r="AV410" s="202"/>
      <c r="AW410" s="202"/>
      <c r="AX410" s="202"/>
      <c r="AY410" s="202"/>
      <c r="AZ410" s="202"/>
      <c r="BA410" s="202"/>
      <c r="BB410" s="202"/>
      <c r="BC410" s="202"/>
      <c r="BD410" s="202"/>
      <c r="BE410" s="203"/>
      <c r="BF410" s="202"/>
      <c r="BG410" s="202"/>
      <c r="BH410" s="202"/>
      <c r="BI410" s="202"/>
      <c r="BJ410" s="202"/>
      <c r="BK410" s="202"/>
      <c r="BL410" s="202"/>
      <c r="BM410" s="202"/>
      <c r="BN410" s="202"/>
      <c r="BO410" s="202"/>
      <c r="BP410" s="203"/>
      <c r="BQ410" s="202"/>
      <c r="BR410" s="202"/>
      <c r="BS410" s="202"/>
      <c r="BT410" s="202"/>
      <c r="BU410" s="202"/>
      <c r="BV410" s="202"/>
      <c r="BW410" s="202"/>
      <c r="BX410" s="202"/>
      <c r="BY410" s="202"/>
      <c r="BZ410" s="202"/>
      <c r="CA410" s="203"/>
      <c r="CB410" s="202"/>
      <c r="CC410" s="202"/>
      <c r="CD410" s="202"/>
      <c r="CE410" s="202"/>
      <c r="CF410" s="202"/>
      <c r="CG410" s="202"/>
      <c r="CH410" s="202"/>
      <c r="CI410" s="202"/>
      <c r="CJ410" s="202"/>
      <c r="CK410" s="202"/>
      <c r="CL410" s="203"/>
      <c r="CM410" s="202"/>
      <c r="CN410" s="202"/>
      <c r="CO410" s="202"/>
      <c r="CP410" s="202"/>
      <c r="CQ410" s="202"/>
      <c r="CR410" s="202"/>
      <c r="CS410" s="202"/>
      <c r="CT410" s="202"/>
      <c r="CU410" s="202"/>
      <c r="CV410" s="202"/>
      <c r="CW410" s="203"/>
      <c r="CX410" s="202"/>
      <c r="CY410" s="202"/>
      <c r="CZ410" s="202"/>
      <c r="DA410" s="202"/>
      <c r="DB410" s="202"/>
      <c r="DC410" s="202"/>
      <c r="DD410" s="202"/>
      <c r="DE410" s="202"/>
      <c r="DF410" s="202"/>
      <c r="DG410" s="202"/>
      <c r="DH410" s="203"/>
      <c r="DI410" s="202"/>
      <c r="DJ410" s="202"/>
      <c r="DK410" s="202"/>
      <c r="DL410" s="202"/>
      <c r="DM410" s="202"/>
      <c r="DN410" s="202"/>
      <c r="DO410" s="202"/>
      <c r="DP410" s="202"/>
      <c r="DQ410" s="202"/>
      <c r="DR410" s="202"/>
      <c r="DS410" s="203"/>
      <c r="DT410" s="202"/>
      <c r="DU410" s="202"/>
      <c r="DV410" s="202"/>
      <c r="DW410" s="202"/>
      <c r="DX410" s="202"/>
      <c r="DY410" s="202"/>
      <c r="DZ410" s="202"/>
      <c r="EA410" s="202"/>
      <c r="EB410" s="202"/>
      <c r="EC410" s="202"/>
      <c r="ED410" s="203"/>
      <c r="EE410" s="202"/>
      <c r="EF410" s="202"/>
      <c r="EG410" s="202"/>
      <c r="EH410" s="202"/>
      <c r="EI410" s="202"/>
      <c r="EJ410" s="202"/>
      <c r="EK410" s="202"/>
      <c r="EL410" s="202"/>
      <c r="EM410" s="202"/>
      <c r="EN410" s="202"/>
      <c r="EO410" s="203"/>
      <c r="EP410" s="202"/>
      <c r="EQ410" s="202"/>
      <c r="ER410" s="202"/>
      <c r="ES410" s="202"/>
      <c r="ET410" s="202"/>
      <c r="EU410" s="202"/>
      <c r="EV410" s="202"/>
      <c r="EW410" s="202"/>
      <c r="EX410" s="202"/>
      <c r="EY410" s="202"/>
      <c r="EZ410" s="203"/>
      <c r="FA410" s="202"/>
      <c r="FB410" s="202"/>
      <c r="FC410" s="202"/>
      <c r="FD410" s="202"/>
      <c r="FE410" s="202"/>
      <c r="FF410" s="202"/>
      <c r="FG410" s="202"/>
      <c r="FH410" s="202"/>
      <c r="FI410" s="202"/>
      <c r="FJ410" s="202"/>
      <c r="FK410" s="203"/>
      <c r="FL410" s="202"/>
      <c r="FM410" s="202"/>
      <c r="FN410" s="202"/>
      <c r="FO410" s="202"/>
      <c r="FP410" s="202"/>
      <c r="FQ410" s="202"/>
      <c r="FR410" s="202"/>
      <c r="FS410" s="202"/>
      <c r="FT410" s="202"/>
      <c r="FU410" s="202"/>
      <c r="FV410" s="203"/>
      <c r="FW410" s="202"/>
      <c r="FX410" s="202"/>
      <c r="FY410" s="202"/>
      <c r="FZ410" s="202"/>
      <c r="GA410" s="202"/>
      <c r="GB410" s="202"/>
      <c r="GC410" s="202"/>
      <c r="GD410" s="202"/>
      <c r="GE410" s="202"/>
      <c r="GF410" s="202"/>
      <c r="GG410" s="203"/>
      <c r="GH410" s="202"/>
      <c r="GI410" s="202"/>
      <c r="GJ410" s="202"/>
      <c r="GK410" s="202"/>
      <c r="GL410" s="202"/>
      <c r="GM410" s="202"/>
      <c r="GN410" s="202"/>
      <c r="GO410" s="202"/>
      <c r="GP410" s="202"/>
      <c r="GQ410" s="202"/>
      <c r="GR410" s="202"/>
      <c r="GS410" s="202"/>
      <c r="GT410" s="202"/>
      <c r="GU410" s="202"/>
      <c r="GV410" s="202"/>
      <c r="GW410" s="202"/>
      <c r="GX410" s="202"/>
      <c r="GY410" s="202"/>
      <c r="GZ410" s="202"/>
      <c r="HA410" s="202"/>
      <c r="HB410" s="202"/>
      <c r="HC410" s="202"/>
      <c r="HD410" s="202"/>
      <c r="HE410" s="202"/>
      <c r="HF410" s="202"/>
      <c r="HG410" s="202"/>
      <c r="HH410" s="202"/>
      <c r="HI410" s="202"/>
      <c r="HJ410" s="202"/>
      <c r="HK410" s="202"/>
      <c r="HL410" s="202"/>
      <c r="HM410" s="202"/>
      <c r="HN410" s="202"/>
      <c r="HO410" s="202"/>
      <c r="HP410" s="202"/>
      <c r="HQ410" s="202"/>
      <c r="HR410" s="202"/>
      <c r="HS410" s="202"/>
      <c r="HT410" s="202"/>
      <c r="HU410" s="202"/>
      <c r="HV410" s="202"/>
      <c r="HW410" s="202"/>
      <c r="HX410" s="202"/>
      <c r="HY410" s="202"/>
      <c r="HZ410" s="202"/>
      <c r="IA410" s="202"/>
      <c r="IB410" s="202"/>
      <c r="IC410" s="202"/>
      <c r="ID410" s="202"/>
      <c r="IE410" s="202"/>
      <c r="IF410" s="202"/>
      <c r="IG410" s="202"/>
      <c r="IH410" s="202"/>
      <c r="II410" s="202"/>
      <c r="IJ410" s="202"/>
      <c r="IK410" s="202"/>
      <c r="IL410" s="202"/>
      <c r="IM410" s="202"/>
      <c r="IN410" s="202"/>
      <c r="IO410" s="202"/>
      <c r="IP410" s="202"/>
      <c r="IQ410" s="202"/>
      <c r="IR410" s="202"/>
      <c r="IS410" s="202"/>
      <c r="IT410" s="202"/>
      <c r="IU410" s="202"/>
      <c r="IV410" s="202"/>
    </row>
    <row r="411" spans="1:256" x14ac:dyDescent="0.2">
      <c r="A411" s="204"/>
      <c r="B411" s="207"/>
      <c r="C411" s="208"/>
      <c r="D411" s="208"/>
      <c r="E411" s="208"/>
      <c r="F411" s="208"/>
      <c r="G411" s="208"/>
      <c r="H411" s="208"/>
      <c r="I411" s="208"/>
      <c r="J411" s="208"/>
      <c r="K411" s="208"/>
      <c r="M411" s="207"/>
      <c r="N411" s="208"/>
      <c r="O411" s="208"/>
      <c r="P411" s="208"/>
      <c r="Q411" s="208"/>
      <c r="R411" s="208"/>
      <c r="S411" s="208"/>
      <c r="T411" s="208"/>
      <c r="U411" s="208"/>
      <c r="V411" s="208"/>
      <c r="X411" s="207"/>
      <c r="Y411" s="208"/>
      <c r="Z411" s="208"/>
      <c r="AA411" s="208"/>
      <c r="AB411" s="208"/>
      <c r="AC411" s="208"/>
      <c r="AD411" s="208"/>
      <c r="AE411" s="208"/>
      <c r="AF411" s="208"/>
      <c r="AG411" s="208"/>
      <c r="AI411" s="207"/>
      <c r="AJ411" s="208"/>
      <c r="AK411" s="208"/>
      <c r="AL411" s="208"/>
      <c r="AM411" s="208"/>
      <c r="AN411" s="208"/>
      <c r="AO411" s="208"/>
      <c r="AP411" s="208"/>
      <c r="AQ411" s="208"/>
      <c r="AR411" s="208"/>
      <c r="AT411" s="207"/>
      <c r="AU411" s="208"/>
      <c r="AV411" s="208"/>
      <c r="AW411" s="208"/>
      <c r="AX411" s="208"/>
      <c r="AY411" s="208"/>
      <c r="AZ411" s="208"/>
      <c r="BA411" s="208"/>
      <c r="BB411" s="208"/>
      <c r="BC411" s="208"/>
      <c r="BE411" s="207"/>
      <c r="BF411" s="208"/>
      <c r="BG411" s="208"/>
      <c r="BH411" s="208"/>
      <c r="BI411" s="208"/>
      <c r="BJ411" s="208"/>
      <c r="BK411" s="208"/>
      <c r="BL411" s="208"/>
      <c r="BM411" s="208"/>
      <c r="BN411" s="208"/>
      <c r="BP411" s="207"/>
      <c r="BQ411" s="208"/>
      <c r="BR411" s="208"/>
      <c r="BS411" s="208"/>
      <c r="BT411" s="208"/>
      <c r="BU411" s="208"/>
      <c r="BV411" s="208"/>
      <c r="BW411" s="208"/>
      <c r="BX411" s="208"/>
      <c r="BY411" s="208"/>
      <c r="CA411" s="207"/>
      <c r="CB411" s="208"/>
      <c r="CC411" s="208"/>
      <c r="CD411" s="208"/>
      <c r="CE411" s="208"/>
      <c r="CF411" s="208"/>
      <c r="CG411" s="208"/>
      <c r="CH411" s="208"/>
      <c r="CI411" s="208"/>
      <c r="CJ411" s="208"/>
      <c r="CL411" s="207"/>
      <c r="CM411" s="208"/>
      <c r="CN411" s="208"/>
      <c r="CO411" s="208"/>
      <c r="CP411" s="208"/>
      <c r="CQ411" s="208"/>
      <c r="CR411" s="208"/>
      <c r="CS411" s="208"/>
      <c r="CT411" s="208"/>
      <c r="CU411" s="208"/>
      <c r="CW411" s="207"/>
      <c r="CX411" s="208"/>
      <c r="CY411" s="208"/>
      <c r="CZ411" s="208"/>
      <c r="DA411" s="208"/>
      <c r="DB411" s="208"/>
      <c r="DC411" s="208"/>
      <c r="DD411" s="208"/>
      <c r="DE411" s="208"/>
      <c r="DF411" s="208"/>
      <c r="DH411" s="207"/>
      <c r="DI411" s="208"/>
      <c r="DJ411" s="208"/>
      <c r="DK411" s="208"/>
      <c r="DL411" s="208"/>
      <c r="DM411" s="208"/>
      <c r="DN411" s="208"/>
      <c r="DO411" s="208"/>
      <c r="DP411" s="208"/>
      <c r="DQ411" s="208"/>
      <c r="DS411" s="207"/>
      <c r="DT411" s="208"/>
      <c r="DU411" s="208"/>
      <c r="DV411" s="208"/>
      <c r="DW411" s="208"/>
      <c r="DX411" s="208"/>
      <c r="DY411" s="208"/>
      <c r="DZ411" s="208"/>
      <c r="EA411" s="208"/>
      <c r="EB411" s="208"/>
      <c r="ED411" s="207"/>
      <c r="EE411" s="208"/>
      <c r="EF411" s="208"/>
      <c r="EG411" s="208"/>
      <c r="EH411" s="208"/>
      <c r="EI411" s="208"/>
      <c r="EJ411" s="208"/>
      <c r="EK411" s="208"/>
      <c r="EL411" s="208"/>
      <c r="EM411" s="208"/>
      <c r="EO411" s="207"/>
      <c r="EP411" s="208"/>
      <c r="EQ411" s="208"/>
      <c r="ER411" s="208"/>
      <c r="ES411" s="208"/>
      <c r="ET411" s="208"/>
      <c r="EU411" s="208"/>
      <c r="EV411" s="208"/>
      <c r="EW411" s="208"/>
      <c r="EX411" s="208"/>
      <c r="EZ411" s="207"/>
      <c r="FA411" s="208"/>
      <c r="FB411" s="208"/>
      <c r="FC411" s="208"/>
      <c r="FD411" s="208"/>
      <c r="FE411" s="208"/>
      <c r="FF411" s="208"/>
      <c r="FG411" s="208"/>
      <c r="FH411" s="208"/>
      <c r="FI411" s="208"/>
      <c r="FK411" s="207"/>
      <c r="FL411" s="208"/>
      <c r="FM411" s="208"/>
      <c r="FN411" s="208"/>
      <c r="FO411" s="208"/>
      <c r="FP411" s="208"/>
      <c r="FQ411" s="208"/>
      <c r="FR411" s="208"/>
      <c r="FS411" s="208"/>
      <c r="FT411" s="208"/>
      <c r="FV411" s="207"/>
      <c r="FW411" s="208"/>
      <c r="FX411" s="208"/>
      <c r="FY411" s="208"/>
      <c r="FZ411" s="208"/>
      <c r="GA411" s="208"/>
      <c r="GB411" s="208"/>
      <c r="GC411" s="208"/>
      <c r="GD411" s="208"/>
      <c r="GE411" s="208"/>
      <c r="GG411" s="207"/>
      <c r="GH411" s="208"/>
      <c r="GI411" s="208"/>
      <c r="GJ411" s="208"/>
      <c r="GK411" s="208"/>
      <c r="GL411" s="208"/>
      <c r="GM411" s="208"/>
      <c r="GN411" s="208"/>
      <c r="GO411" s="208"/>
      <c r="GP411" s="208"/>
      <c r="GR411" s="208"/>
      <c r="GS411" s="208"/>
      <c r="GT411" s="208"/>
      <c r="GU411" s="208"/>
      <c r="GV411" s="208"/>
      <c r="GW411" s="208"/>
      <c r="GX411" s="208"/>
      <c r="GY411" s="208"/>
      <c r="GZ411" s="208"/>
      <c r="HA411" s="208"/>
      <c r="HB411" s="208"/>
      <c r="HC411" s="208"/>
      <c r="HD411" s="208"/>
      <c r="HE411" s="208"/>
      <c r="HF411" s="208"/>
      <c r="HG411" s="208"/>
      <c r="HH411" s="208"/>
      <c r="HI411" s="208"/>
      <c r="HJ411" s="208"/>
      <c r="HK411" s="208"/>
      <c r="HP411" s="208"/>
      <c r="HQ411" s="208"/>
      <c r="HR411" s="208"/>
      <c r="HS411" s="208"/>
      <c r="HT411" s="208"/>
      <c r="HU411" s="208"/>
      <c r="HV411" s="208"/>
      <c r="HW411" s="208"/>
      <c r="HX411" s="208"/>
      <c r="HY411" s="208"/>
      <c r="HZ411" s="208"/>
      <c r="IA411" s="208"/>
      <c r="IB411" s="208"/>
      <c r="IC411" s="208"/>
      <c r="ID411" s="208"/>
      <c r="IE411" s="208"/>
      <c r="IJ411" s="208"/>
      <c r="IK411" s="208"/>
      <c r="IL411" s="208"/>
      <c r="IM411" s="208"/>
      <c r="IN411" s="208"/>
      <c r="IO411" s="208"/>
      <c r="IP411" s="208"/>
      <c r="IQ411" s="208"/>
      <c r="IR411" s="208"/>
      <c r="IS411" s="208"/>
      <c r="IT411" s="208"/>
      <c r="IU411" s="208"/>
      <c r="IV411" s="208"/>
    </row>
    <row r="412" spans="1:256" x14ac:dyDescent="0.2">
      <c r="A412" s="204"/>
      <c r="B412" s="209"/>
      <c r="C412" s="208"/>
      <c r="D412" s="208"/>
      <c r="E412" s="208"/>
      <c r="F412" s="208"/>
      <c r="G412" s="208"/>
      <c r="H412" s="208"/>
      <c r="I412" s="208"/>
      <c r="J412" s="208"/>
      <c r="K412" s="208"/>
      <c r="M412" s="209"/>
      <c r="N412" s="208"/>
      <c r="O412" s="208"/>
      <c r="P412" s="208"/>
      <c r="Q412" s="208"/>
      <c r="R412" s="208"/>
      <c r="S412" s="208"/>
      <c r="T412" s="208"/>
      <c r="U412" s="208"/>
      <c r="V412" s="208"/>
      <c r="X412" s="209"/>
      <c r="Y412" s="208"/>
      <c r="Z412" s="208"/>
      <c r="AA412" s="208"/>
      <c r="AB412" s="208"/>
      <c r="AC412" s="208"/>
      <c r="AD412" s="208"/>
      <c r="AE412" s="208"/>
      <c r="AF412" s="208"/>
      <c r="AG412" s="208"/>
      <c r="AI412" s="209"/>
      <c r="AJ412" s="208"/>
      <c r="AK412" s="208"/>
      <c r="AL412" s="208"/>
      <c r="AM412" s="208"/>
      <c r="AN412" s="208"/>
      <c r="AO412" s="208"/>
      <c r="AP412" s="208"/>
      <c r="AQ412" s="208"/>
      <c r="AR412" s="208"/>
      <c r="AT412" s="209"/>
      <c r="AU412" s="208"/>
      <c r="AV412" s="208"/>
      <c r="AW412" s="208"/>
      <c r="AX412" s="208"/>
      <c r="AY412" s="208"/>
      <c r="AZ412" s="208"/>
      <c r="BA412" s="208"/>
      <c r="BB412" s="208"/>
      <c r="BC412" s="208"/>
      <c r="BE412" s="209"/>
      <c r="BF412" s="208"/>
      <c r="BG412" s="208"/>
      <c r="BH412" s="208"/>
      <c r="BI412" s="208"/>
      <c r="BJ412" s="208"/>
      <c r="BK412" s="208"/>
      <c r="BL412" s="208"/>
      <c r="BM412" s="208"/>
      <c r="BN412" s="208"/>
      <c r="BP412" s="209"/>
      <c r="BQ412" s="208"/>
      <c r="BR412" s="208"/>
      <c r="BS412" s="208"/>
      <c r="BT412" s="208"/>
      <c r="BU412" s="208"/>
      <c r="BV412" s="208"/>
      <c r="BW412" s="208"/>
      <c r="BX412" s="208"/>
      <c r="BY412" s="208"/>
      <c r="CA412" s="209"/>
      <c r="CB412" s="208"/>
      <c r="CC412" s="208"/>
      <c r="CD412" s="208"/>
      <c r="CE412" s="208"/>
      <c r="CF412" s="208"/>
      <c r="CG412" s="208"/>
      <c r="CH412" s="208"/>
      <c r="CI412" s="208"/>
      <c r="CJ412" s="208"/>
      <c r="CL412" s="209"/>
      <c r="CM412" s="208"/>
      <c r="CN412" s="208"/>
      <c r="CO412" s="208"/>
      <c r="CP412" s="208"/>
      <c r="CQ412" s="208"/>
      <c r="CR412" s="208"/>
      <c r="CS412" s="208"/>
      <c r="CT412" s="208"/>
      <c r="CU412" s="208"/>
      <c r="CW412" s="209"/>
      <c r="CX412" s="208"/>
      <c r="CY412" s="208"/>
      <c r="CZ412" s="208"/>
      <c r="DA412" s="208"/>
      <c r="DB412" s="208"/>
      <c r="DC412" s="208"/>
      <c r="DD412" s="208"/>
      <c r="DE412" s="208"/>
      <c r="DF412" s="208"/>
      <c r="DH412" s="209"/>
      <c r="DI412" s="208"/>
      <c r="DJ412" s="208"/>
      <c r="DK412" s="208"/>
      <c r="DL412" s="208"/>
      <c r="DM412" s="208"/>
      <c r="DN412" s="208"/>
      <c r="DO412" s="208"/>
      <c r="DP412" s="208"/>
      <c r="DQ412" s="208"/>
      <c r="DS412" s="209"/>
      <c r="DT412" s="208"/>
      <c r="DU412" s="208"/>
      <c r="DV412" s="208"/>
      <c r="DW412" s="208"/>
      <c r="DX412" s="208"/>
      <c r="DY412" s="208"/>
      <c r="DZ412" s="208"/>
      <c r="EA412" s="208"/>
      <c r="EB412" s="208"/>
      <c r="ED412" s="209"/>
      <c r="EE412" s="208"/>
      <c r="EF412" s="208"/>
      <c r="EG412" s="208"/>
      <c r="EH412" s="208"/>
      <c r="EI412" s="208"/>
      <c r="EJ412" s="208"/>
      <c r="EK412" s="208"/>
      <c r="EL412" s="208"/>
      <c r="EM412" s="208"/>
      <c r="EO412" s="209"/>
      <c r="EP412" s="208"/>
      <c r="EQ412" s="208"/>
      <c r="ER412" s="208"/>
      <c r="ES412" s="208"/>
      <c r="ET412" s="208"/>
      <c r="EU412" s="208"/>
      <c r="EV412" s="208"/>
      <c r="EW412" s="208"/>
      <c r="EX412" s="208"/>
      <c r="EZ412" s="209"/>
      <c r="FA412" s="208"/>
      <c r="FB412" s="208"/>
      <c r="FC412" s="208"/>
      <c r="FD412" s="208"/>
      <c r="FE412" s="208"/>
      <c r="FF412" s="208"/>
      <c r="FG412" s="208"/>
      <c r="FH412" s="208"/>
      <c r="FI412" s="208"/>
      <c r="FK412" s="209"/>
      <c r="FL412" s="208"/>
      <c r="FM412" s="208"/>
      <c r="FN412" s="208"/>
      <c r="FO412" s="208"/>
      <c r="FP412" s="208"/>
      <c r="FQ412" s="208"/>
      <c r="FR412" s="208"/>
      <c r="FS412" s="208"/>
      <c r="FT412" s="208"/>
      <c r="FV412" s="209"/>
      <c r="FW412" s="208"/>
      <c r="FX412" s="208"/>
      <c r="FY412" s="208"/>
      <c r="FZ412" s="208"/>
      <c r="GA412" s="208"/>
      <c r="GB412" s="208"/>
      <c r="GC412" s="208"/>
      <c r="GD412" s="208"/>
      <c r="GE412" s="208"/>
      <c r="GG412" s="209"/>
      <c r="GH412" s="208"/>
      <c r="GI412" s="208"/>
      <c r="GJ412" s="208"/>
      <c r="GK412" s="208"/>
      <c r="GL412" s="208"/>
      <c r="GM412" s="208"/>
      <c r="GN412" s="208"/>
      <c r="GO412" s="208"/>
      <c r="GP412" s="208"/>
      <c r="GR412" s="208"/>
      <c r="GS412" s="208"/>
      <c r="GT412" s="208"/>
      <c r="GU412" s="208"/>
      <c r="GV412" s="208"/>
      <c r="GW412" s="208"/>
      <c r="GX412" s="208"/>
      <c r="GY412" s="208"/>
      <c r="GZ412" s="208"/>
      <c r="HA412" s="208"/>
      <c r="HB412" s="208"/>
      <c r="HC412" s="208"/>
      <c r="HD412" s="208"/>
      <c r="HE412" s="208"/>
      <c r="HF412" s="208"/>
      <c r="HG412" s="208"/>
      <c r="HH412" s="208"/>
      <c r="HI412" s="208"/>
      <c r="HJ412" s="208"/>
      <c r="HK412" s="208"/>
      <c r="HP412" s="208"/>
      <c r="HQ412" s="208"/>
      <c r="HR412" s="208"/>
      <c r="HS412" s="208"/>
      <c r="HT412" s="208"/>
      <c r="HU412" s="208"/>
      <c r="HV412" s="208"/>
      <c r="HW412" s="208"/>
      <c r="HX412" s="208"/>
      <c r="HY412" s="208"/>
      <c r="HZ412" s="208"/>
      <c r="IA412" s="208"/>
      <c r="IB412" s="208"/>
      <c r="IC412" s="208"/>
      <c r="ID412" s="208"/>
      <c r="IE412" s="208"/>
      <c r="IJ412" s="208"/>
      <c r="IK412" s="208"/>
      <c r="IL412" s="208"/>
      <c r="IM412" s="208"/>
      <c r="IN412" s="208"/>
      <c r="IO412" s="208"/>
      <c r="IP412" s="208"/>
      <c r="IQ412" s="208"/>
      <c r="IR412" s="208"/>
      <c r="IS412" s="208"/>
      <c r="IT412" s="208"/>
      <c r="IU412" s="208"/>
      <c r="IV412" s="208"/>
    </row>
    <row r="413" spans="1:256" x14ac:dyDescent="0.2">
      <c r="A413" s="204"/>
      <c r="B413" s="209"/>
      <c r="C413" s="208"/>
      <c r="D413" s="208"/>
      <c r="E413" s="208"/>
      <c r="F413" s="208"/>
      <c r="G413" s="208"/>
      <c r="H413" s="208"/>
      <c r="I413" s="208"/>
      <c r="J413" s="208"/>
      <c r="K413" s="208"/>
      <c r="M413" s="209"/>
      <c r="N413" s="208"/>
      <c r="O413" s="208"/>
      <c r="P413" s="208"/>
      <c r="Q413" s="208"/>
      <c r="R413" s="208"/>
      <c r="S413" s="208"/>
      <c r="T413" s="208"/>
      <c r="U413" s="208"/>
      <c r="V413" s="208"/>
      <c r="X413" s="209"/>
      <c r="Y413" s="208"/>
      <c r="Z413" s="208"/>
      <c r="AA413" s="208"/>
      <c r="AB413" s="208"/>
      <c r="AC413" s="208"/>
      <c r="AD413" s="208"/>
      <c r="AE413" s="208"/>
      <c r="AF413" s="208"/>
      <c r="AG413" s="208"/>
      <c r="AI413" s="209"/>
      <c r="AJ413" s="208"/>
      <c r="AK413" s="208"/>
      <c r="AL413" s="208"/>
      <c r="AM413" s="208"/>
      <c r="AN413" s="208"/>
      <c r="AO413" s="208"/>
      <c r="AP413" s="208"/>
      <c r="AQ413" s="208"/>
      <c r="AR413" s="208"/>
      <c r="AT413" s="209"/>
      <c r="AU413" s="208"/>
      <c r="AV413" s="208"/>
      <c r="AW413" s="208"/>
      <c r="AX413" s="208"/>
      <c r="AY413" s="208"/>
      <c r="AZ413" s="208"/>
      <c r="BA413" s="208"/>
      <c r="BB413" s="208"/>
      <c r="BC413" s="208"/>
      <c r="BE413" s="209"/>
      <c r="BF413" s="208"/>
      <c r="BG413" s="208"/>
      <c r="BH413" s="208"/>
      <c r="BI413" s="208"/>
      <c r="BJ413" s="208"/>
      <c r="BK413" s="208"/>
      <c r="BL413" s="208"/>
      <c r="BM413" s="208"/>
      <c r="BN413" s="208"/>
      <c r="BP413" s="209"/>
      <c r="BQ413" s="208"/>
      <c r="BR413" s="208"/>
      <c r="BS413" s="208"/>
      <c r="BT413" s="208"/>
      <c r="BU413" s="208"/>
      <c r="BV413" s="208"/>
      <c r="BW413" s="208"/>
      <c r="BX413" s="208"/>
      <c r="BY413" s="208"/>
      <c r="CA413" s="209"/>
      <c r="CB413" s="208"/>
      <c r="CC413" s="208"/>
      <c r="CD413" s="208"/>
      <c r="CE413" s="208"/>
      <c r="CF413" s="208"/>
      <c r="CG413" s="208"/>
      <c r="CH413" s="208"/>
      <c r="CI413" s="208"/>
      <c r="CJ413" s="208"/>
      <c r="CL413" s="209"/>
      <c r="CM413" s="208"/>
      <c r="CN413" s="208"/>
      <c r="CO413" s="208"/>
      <c r="CP413" s="208"/>
      <c r="CQ413" s="208"/>
      <c r="CR413" s="208"/>
      <c r="CS413" s="208"/>
      <c r="CT413" s="208"/>
      <c r="CU413" s="208"/>
      <c r="CW413" s="209"/>
      <c r="CX413" s="208"/>
      <c r="CY413" s="208"/>
      <c r="CZ413" s="208"/>
      <c r="DA413" s="208"/>
      <c r="DB413" s="208"/>
      <c r="DC413" s="208"/>
      <c r="DD413" s="208"/>
      <c r="DE413" s="208"/>
      <c r="DF413" s="208"/>
      <c r="DH413" s="209"/>
      <c r="DI413" s="208"/>
      <c r="DJ413" s="208"/>
      <c r="DK413" s="208"/>
      <c r="DL413" s="208"/>
      <c r="DM413" s="208"/>
      <c r="DN413" s="208"/>
      <c r="DO413" s="208"/>
      <c r="DP413" s="208"/>
      <c r="DQ413" s="208"/>
      <c r="DS413" s="209"/>
      <c r="DT413" s="208"/>
      <c r="DU413" s="208"/>
      <c r="DV413" s="208"/>
      <c r="DW413" s="208"/>
      <c r="DX413" s="208"/>
      <c r="DY413" s="208"/>
      <c r="DZ413" s="208"/>
      <c r="EA413" s="208"/>
      <c r="EB413" s="208"/>
      <c r="ED413" s="209"/>
      <c r="EE413" s="208"/>
      <c r="EF413" s="208"/>
      <c r="EG413" s="208"/>
      <c r="EH413" s="208"/>
      <c r="EI413" s="208"/>
      <c r="EJ413" s="208"/>
      <c r="EK413" s="208"/>
      <c r="EL413" s="208"/>
      <c r="EM413" s="208"/>
      <c r="EO413" s="209"/>
      <c r="EP413" s="208"/>
      <c r="EQ413" s="208"/>
      <c r="ER413" s="208"/>
      <c r="ES413" s="208"/>
      <c r="ET413" s="208"/>
      <c r="EU413" s="208"/>
      <c r="EV413" s="208"/>
      <c r="EW413" s="208"/>
      <c r="EX413" s="208"/>
      <c r="EZ413" s="209"/>
      <c r="FA413" s="208"/>
      <c r="FB413" s="208"/>
      <c r="FC413" s="208"/>
      <c r="FD413" s="208"/>
      <c r="FE413" s="208"/>
      <c r="FF413" s="208"/>
      <c r="FG413" s="208"/>
      <c r="FH413" s="208"/>
      <c r="FI413" s="208"/>
      <c r="FK413" s="209"/>
      <c r="FL413" s="208"/>
      <c r="FM413" s="208"/>
      <c r="FN413" s="208"/>
      <c r="FO413" s="208"/>
      <c r="FP413" s="208"/>
      <c r="FQ413" s="208"/>
      <c r="FR413" s="208"/>
      <c r="FS413" s="208"/>
      <c r="FT413" s="208"/>
      <c r="FV413" s="209"/>
      <c r="FW413" s="208"/>
      <c r="FX413" s="208"/>
      <c r="FY413" s="208"/>
      <c r="FZ413" s="208"/>
      <c r="GA413" s="208"/>
      <c r="GB413" s="208"/>
      <c r="GC413" s="208"/>
      <c r="GD413" s="208"/>
      <c r="GE413" s="208"/>
      <c r="GG413" s="209"/>
      <c r="GH413" s="208"/>
      <c r="GI413" s="208"/>
      <c r="GJ413" s="208"/>
      <c r="GK413" s="208"/>
      <c r="GL413" s="208"/>
      <c r="GM413" s="208"/>
      <c r="GN413" s="208"/>
      <c r="GO413" s="208"/>
      <c r="GP413" s="208"/>
      <c r="GR413" s="208"/>
      <c r="GS413" s="208"/>
      <c r="GT413" s="208"/>
      <c r="GU413" s="208"/>
      <c r="GV413" s="208"/>
      <c r="GW413" s="208"/>
      <c r="GX413" s="208"/>
      <c r="GY413" s="208"/>
      <c r="GZ413" s="208"/>
      <c r="HA413" s="208"/>
      <c r="HB413" s="208"/>
      <c r="HC413" s="208"/>
      <c r="HD413" s="208"/>
      <c r="HE413" s="208"/>
      <c r="HF413" s="208"/>
      <c r="HG413" s="208"/>
      <c r="HH413" s="208"/>
      <c r="HI413" s="208"/>
      <c r="HJ413" s="208"/>
      <c r="HK413" s="208"/>
      <c r="HP413" s="208"/>
      <c r="HQ413" s="208"/>
      <c r="HR413" s="208"/>
      <c r="HS413" s="208"/>
      <c r="HT413" s="208"/>
      <c r="HU413" s="208"/>
      <c r="HV413" s="208"/>
      <c r="HW413" s="208"/>
      <c r="HX413" s="208"/>
      <c r="HY413" s="208"/>
      <c r="HZ413" s="208"/>
      <c r="IA413" s="208"/>
      <c r="IB413" s="208"/>
      <c r="IC413" s="208"/>
      <c r="ID413" s="208"/>
      <c r="IE413" s="208"/>
      <c r="IJ413" s="208"/>
      <c r="IK413" s="208"/>
      <c r="IL413" s="208"/>
      <c r="IM413" s="208"/>
      <c r="IN413" s="208"/>
      <c r="IO413" s="208"/>
      <c r="IP413" s="208"/>
      <c r="IQ413" s="208"/>
      <c r="IR413" s="208"/>
      <c r="IS413" s="208"/>
      <c r="IT413" s="208"/>
      <c r="IU413" s="208"/>
      <c r="IV413" s="208"/>
    </row>
    <row r="414" spans="1:256" x14ac:dyDescent="0.2">
      <c r="A414" s="204"/>
      <c r="B414" s="209"/>
      <c r="C414" s="208"/>
      <c r="D414" s="208"/>
      <c r="E414" s="208"/>
      <c r="F414" s="208"/>
      <c r="G414" s="208"/>
      <c r="H414" s="208"/>
      <c r="I414" s="208"/>
      <c r="J414" s="208"/>
      <c r="K414" s="208"/>
      <c r="M414" s="209"/>
      <c r="N414" s="208"/>
      <c r="O414" s="208"/>
      <c r="P414" s="208"/>
      <c r="Q414" s="208"/>
      <c r="R414" s="208"/>
      <c r="S414" s="208"/>
      <c r="T414" s="208"/>
      <c r="U414" s="208"/>
      <c r="V414" s="208"/>
      <c r="X414" s="209"/>
      <c r="Y414" s="208"/>
      <c r="Z414" s="208"/>
      <c r="AA414" s="208"/>
      <c r="AB414" s="208"/>
      <c r="AC414" s="208"/>
      <c r="AD414" s="208"/>
      <c r="AE414" s="208"/>
      <c r="AF414" s="208"/>
      <c r="AG414" s="208"/>
      <c r="AI414" s="209"/>
      <c r="AJ414" s="208"/>
      <c r="AK414" s="208"/>
      <c r="AL414" s="208"/>
      <c r="AM414" s="208"/>
      <c r="AN414" s="208"/>
      <c r="AO414" s="208"/>
      <c r="AP414" s="208"/>
      <c r="AQ414" s="208"/>
      <c r="AR414" s="208"/>
      <c r="AT414" s="209"/>
      <c r="AU414" s="208"/>
      <c r="AV414" s="208"/>
      <c r="AW414" s="208"/>
      <c r="AX414" s="208"/>
      <c r="AY414" s="208"/>
      <c r="AZ414" s="208"/>
      <c r="BA414" s="208"/>
      <c r="BB414" s="208"/>
      <c r="BC414" s="208"/>
      <c r="BE414" s="209"/>
      <c r="BF414" s="208"/>
      <c r="BG414" s="208"/>
      <c r="BH414" s="208"/>
      <c r="BI414" s="208"/>
      <c r="BJ414" s="208"/>
      <c r="BK414" s="208"/>
      <c r="BL414" s="208"/>
      <c r="BM414" s="208"/>
      <c r="BN414" s="208"/>
      <c r="BP414" s="209"/>
      <c r="BQ414" s="208"/>
      <c r="BR414" s="208"/>
      <c r="BS414" s="208"/>
      <c r="BT414" s="208"/>
      <c r="BU414" s="208"/>
      <c r="BV414" s="208"/>
      <c r="BW414" s="208"/>
      <c r="BX414" s="208"/>
      <c r="BY414" s="208"/>
      <c r="CA414" s="209"/>
      <c r="CB414" s="208"/>
      <c r="CC414" s="208"/>
      <c r="CD414" s="208"/>
      <c r="CE414" s="208"/>
      <c r="CF414" s="208"/>
      <c r="CG414" s="208"/>
      <c r="CH414" s="208"/>
      <c r="CI414" s="208"/>
      <c r="CJ414" s="208"/>
      <c r="CL414" s="209"/>
      <c r="CM414" s="208"/>
      <c r="CN414" s="208"/>
      <c r="CO414" s="208"/>
      <c r="CP414" s="208"/>
      <c r="CQ414" s="208"/>
      <c r="CR414" s="208"/>
      <c r="CS414" s="208"/>
      <c r="CT414" s="208"/>
      <c r="CU414" s="208"/>
      <c r="CW414" s="209"/>
      <c r="CX414" s="208"/>
      <c r="CY414" s="208"/>
      <c r="CZ414" s="208"/>
      <c r="DA414" s="208"/>
      <c r="DB414" s="208"/>
      <c r="DC414" s="208"/>
      <c r="DD414" s="208"/>
      <c r="DE414" s="208"/>
      <c r="DF414" s="208"/>
      <c r="DH414" s="209"/>
      <c r="DI414" s="208"/>
      <c r="DJ414" s="208"/>
      <c r="DK414" s="208"/>
      <c r="DL414" s="208"/>
      <c r="DM414" s="208"/>
      <c r="DN414" s="208"/>
      <c r="DO414" s="208"/>
      <c r="DP414" s="208"/>
      <c r="DQ414" s="208"/>
      <c r="DS414" s="209"/>
      <c r="DT414" s="208"/>
      <c r="DU414" s="208"/>
      <c r="DV414" s="208"/>
      <c r="DW414" s="208"/>
      <c r="DX414" s="208"/>
      <c r="DY414" s="208"/>
      <c r="DZ414" s="208"/>
      <c r="EA414" s="208"/>
      <c r="EB414" s="208"/>
      <c r="ED414" s="209"/>
      <c r="EE414" s="208"/>
      <c r="EF414" s="208"/>
      <c r="EG414" s="208"/>
      <c r="EH414" s="208"/>
      <c r="EI414" s="208"/>
      <c r="EJ414" s="208"/>
      <c r="EK414" s="208"/>
      <c r="EL414" s="208"/>
      <c r="EM414" s="208"/>
      <c r="EO414" s="209"/>
      <c r="EP414" s="208"/>
      <c r="EQ414" s="208"/>
      <c r="ER414" s="208"/>
      <c r="ES414" s="208"/>
      <c r="ET414" s="208"/>
      <c r="EU414" s="208"/>
      <c r="EV414" s="208"/>
      <c r="EW414" s="208"/>
      <c r="EX414" s="208"/>
      <c r="EZ414" s="209"/>
      <c r="FA414" s="208"/>
      <c r="FB414" s="208"/>
      <c r="FC414" s="208"/>
      <c r="FD414" s="208"/>
      <c r="FE414" s="208"/>
      <c r="FF414" s="208"/>
      <c r="FG414" s="208"/>
      <c r="FH414" s="208"/>
      <c r="FI414" s="208"/>
      <c r="FK414" s="209"/>
      <c r="FL414" s="208"/>
      <c r="FM414" s="208"/>
      <c r="FN414" s="208"/>
      <c r="FO414" s="208"/>
      <c r="FP414" s="208"/>
      <c r="FQ414" s="208"/>
      <c r="FR414" s="208"/>
      <c r="FS414" s="208"/>
      <c r="FT414" s="208"/>
      <c r="FV414" s="209"/>
      <c r="FW414" s="208"/>
      <c r="FX414" s="208"/>
      <c r="FY414" s="208"/>
      <c r="FZ414" s="208"/>
      <c r="GA414" s="208"/>
      <c r="GB414" s="208"/>
      <c r="GC414" s="208"/>
      <c r="GD414" s="208"/>
      <c r="GE414" s="208"/>
      <c r="GG414" s="209"/>
      <c r="GH414" s="208"/>
      <c r="GI414" s="208"/>
      <c r="GJ414" s="208"/>
      <c r="GK414" s="208"/>
      <c r="GL414" s="208"/>
      <c r="GM414" s="208"/>
      <c r="GN414" s="208"/>
      <c r="GO414" s="208"/>
      <c r="GP414" s="208"/>
      <c r="GR414" s="208"/>
      <c r="GS414" s="208"/>
      <c r="GT414" s="208"/>
      <c r="GU414" s="208"/>
      <c r="GV414" s="208"/>
      <c r="GW414" s="208"/>
      <c r="GX414" s="208"/>
      <c r="GY414" s="208"/>
      <c r="GZ414" s="208"/>
      <c r="HA414" s="208"/>
      <c r="HB414" s="208"/>
      <c r="HC414" s="208"/>
      <c r="HD414" s="208"/>
      <c r="HE414" s="208"/>
      <c r="HF414" s="208"/>
      <c r="HG414" s="208"/>
      <c r="HH414" s="208"/>
      <c r="HI414" s="208"/>
      <c r="HJ414" s="208"/>
      <c r="HK414" s="208"/>
      <c r="HP414" s="208"/>
      <c r="HQ414" s="208"/>
      <c r="HR414" s="208"/>
      <c r="HS414" s="208"/>
      <c r="HT414" s="208"/>
      <c r="HU414" s="208"/>
      <c r="HV414" s="208"/>
      <c r="HW414" s="208"/>
      <c r="HX414" s="208"/>
      <c r="HY414" s="208"/>
      <c r="HZ414" s="208"/>
      <c r="IA414" s="208"/>
      <c r="IB414" s="208"/>
      <c r="IC414" s="208"/>
      <c r="ID414" s="208"/>
      <c r="IE414" s="208"/>
      <c r="IJ414" s="208"/>
      <c r="IK414" s="208"/>
      <c r="IL414" s="208"/>
      <c r="IM414" s="208"/>
      <c r="IN414" s="208"/>
      <c r="IO414" s="208"/>
      <c r="IP414" s="208"/>
      <c r="IQ414" s="208"/>
      <c r="IR414" s="208"/>
      <c r="IS414" s="208"/>
      <c r="IT414" s="208"/>
      <c r="IU414" s="208"/>
      <c r="IV414" s="208"/>
    </row>
    <row r="415" spans="1:256" x14ac:dyDescent="0.2">
      <c r="A415" s="204"/>
      <c r="B415" s="192"/>
      <c r="M415" s="192"/>
      <c r="X415" s="192"/>
      <c r="AI415" s="192"/>
      <c r="AT415" s="192"/>
      <c r="AU415" s="192"/>
      <c r="AV415" s="192"/>
      <c r="AW415" s="192"/>
      <c r="AX415" s="192"/>
      <c r="AY415" s="192"/>
      <c r="AZ415" s="192"/>
      <c r="BA415" s="192"/>
      <c r="BB415" s="192"/>
      <c r="BC415" s="192"/>
      <c r="BE415" s="192"/>
      <c r="BP415" s="192"/>
      <c r="CA415" s="192"/>
      <c r="CL415" s="192"/>
      <c r="CM415" s="192"/>
      <c r="CN415" s="192"/>
      <c r="CO415" s="192"/>
      <c r="CP415" s="192"/>
      <c r="CQ415" s="192"/>
      <c r="CR415" s="192"/>
      <c r="CS415" s="192"/>
      <c r="CT415" s="192"/>
      <c r="CU415" s="192"/>
      <c r="CW415" s="192"/>
      <c r="DH415" s="192"/>
      <c r="DS415" s="192"/>
      <c r="ED415" s="192"/>
      <c r="EE415" s="192"/>
      <c r="EF415" s="192"/>
      <c r="EG415" s="192"/>
      <c r="EH415" s="192"/>
      <c r="EI415" s="192"/>
      <c r="EJ415" s="192"/>
      <c r="EK415" s="192"/>
      <c r="EL415" s="192"/>
      <c r="EM415" s="192"/>
      <c r="EO415" s="192"/>
      <c r="EZ415" s="192"/>
      <c r="FK415" s="192"/>
      <c r="FV415" s="192"/>
      <c r="FW415" s="192"/>
      <c r="FX415" s="192"/>
      <c r="FY415" s="192"/>
      <c r="FZ415" s="192"/>
      <c r="GA415" s="192"/>
      <c r="GB415" s="192"/>
      <c r="GC415" s="192"/>
      <c r="GD415" s="192"/>
      <c r="GE415" s="192"/>
      <c r="GG415" s="192"/>
      <c r="GV415" s="191"/>
      <c r="HA415" s="191"/>
      <c r="HF415" s="191"/>
      <c r="HK415" s="191"/>
      <c r="HP415" s="191"/>
      <c r="HU415" s="191"/>
      <c r="HZ415" s="191"/>
      <c r="IE415" s="191"/>
      <c r="IJ415" s="191"/>
      <c r="IO415" s="191"/>
      <c r="IT415" s="191"/>
    </row>
    <row r="416" spans="1:256" x14ac:dyDescent="0.2">
      <c r="A416" s="204"/>
      <c r="B416" s="203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3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3"/>
      <c r="Y416" s="202"/>
      <c r="Z416" s="202"/>
      <c r="AA416" s="202"/>
      <c r="AB416" s="202"/>
      <c r="AC416" s="202"/>
      <c r="AD416" s="202"/>
      <c r="AE416" s="202"/>
      <c r="AF416" s="202"/>
      <c r="AG416" s="202"/>
      <c r="AH416" s="202"/>
      <c r="AI416" s="203"/>
      <c r="AJ416" s="202"/>
      <c r="AK416" s="202"/>
      <c r="AL416" s="202"/>
      <c r="AM416" s="202"/>
      <c r="AN416" s="202"/>
      <c r="AO416" s="202"/>
      <c r="AP416" s="202"/>
      <c r="AQ416" s="202"/>
      <c r="AR416" s="202"/>
      <c r="AS416" s="202"/>
      <c r="AT416" s="203"/>
      <c r="AU416" s="202"/>
      <c r="AV416" s="202"/>
      <c r="AW416" s="202"/>
      <c r="AX416" s="202"/>
      <c r="AY416" s="202"/>
      <c r="AZ416" s="202"/>
      <c r="BA416" s="202"/>
      <c r="BB416" s="202"/>
      <c r="BC416" s="202"/>
      <c r="BD416" s="202"/>
      <c r="BE416" s="203"/>
      <c r="BF416" s="202"/>
      <c r="BG416" s="202"/>
      <c r="BH416" s="202"/>
      <c r="BI416" s="202"/>
      <c r="BJ416" s="202"/>
      <c r="BK416" s="202"/>
      <c r="BL416" s="202"/>
      <c r="BM416" s="202"/>
      <c r="BN416" s="202"/>
      <c r="BO416" s="202"/>
      <c r="BP416" s="203"/>
      <c r="BQ416" s="202"/>
      <c r="BR416" s="202"/>
      <c r="BS416" s="202"/>
      <c r="BT416" s="202"/>
      <c r="BU416" s="202"/>
      <c r="BV416" s="202"/>
      <c r="BW416" s="202"/>
      <c r="BX416" s="202"/>
      <c r="BY416" s="202"/>
      <c r="BZ416" s="202"/>
      <c r="CA416" s="203"/>
      <c r="CB416" s="202"/>
      <c r="CC416" s="202"/>
      <c r="CD416" s="202"/>
      <c r="CE416" s="202"/>
      <c r="CF416" s="202"/>
      <c r="CG416" s="202"/>
      <c r="CH416" s="202"/>
      <c r="CI416" s="202"/>
      <c r="CJ416" s="202"/>
      <c r="CK416" s="202"/>
      <c r="CL416" s="203"/>
      <c r="CM416" s="202"/>
      <c r="CN416" s="202"/>
      <c r="CO416" s="202"/>
      <c r="CP416" s="202"/>
      <c r="CQ416" s="202"/>
      <c r="CR416" s="202"/>
      <c r="CS416" s="202"/>
      <c r="CT416" s="202"/>
      <c r="CU416" s="202"/>
      <c r="CV416" s="202"/>
      <c r="CW416" s="203"/>
      <c r="CX416" s="202"/>
      <c r="CY416" s="202"/>
      <c r="CZ416" s="202"/>
      <c r="DA416" s="202"/>
      <c r="DB416" s="202"/>
      <c r="DC416" s="202"/>
      <c r="DD416" s="202"/>
      <c r="DE416" s="202"/>
      <c r="DF416" s="202"/>
      <c r="DG416" s="202"/>
      <c r="DH416" s="203"/>
      <c r="DI416" s="202"/>
      <c r="DJ416" s="202"/>
      <c r="DK416" s="202"/>
      <c r="DL416" s="202"/>
      <c r="DM416" s="202"/>
      <c r="DN416" s="202"/>
      <c r="DO416" s="202"/>
      <c r="DP416" s="202"/>
      <c r="DQ416" s="202"/>
      <c r="DR416" s="202"/>
      <c r="DS416" s="203"/>
      <c r="DT416" s="202"/>
      <c r="DU416" s="202"/>
      <c r="DV416" s="202"/>
      <c r="DW416" s="202"/>
      <c r="DX416" s="202"/>
      <c r="DY416" s="202"/>
      <c r="DZ416" s="202"/>
      <c r="EA416" s="202"/>
      <c r="EB416" s="202"/>
      <c r="EC416" s="202"/>
      <c r="ED416" s="203"/>
      <c r="EE416" s="202"/>
      <c r="EF416" s="202"/>
      <c r="EG416" s="202"/>
      <c r="EH416" s="202"/>
      <c r="EI416" s="202"/>
      <c r="EJ416" s="202"/>
      <c r="EK416" s="202"/>
      <c r="EL416" s="202"/>
      <c r="EM416" s="202"/>
      <c r="EN416" s="202"/>
      <c r="EO416" s="203"/>
      <c r="EP416" s="202"/>
      <c r="EQ416" s="202"/>
      <c r="ER416" s="202"/>
      <c r="ES416" s="202"/>
      <c r="ET416" s="202"/>
      <c r="EU416" s="202"/>
      <c r="EV416" s="202"/>
      <c r="EW416" s="202"/>
      <c r="EX416" s="202"/>
      <c r="EY416" s="202"/>
      <c r="EZ416" s="203"/>
      <c r="FA416" s="202"/>
      <c r="FB416" s="202"/>
      <c r="FC416" s="202"/>
      <c r="FD416" s="202"/>
      <c r="FE416" s="202"/>
      <c r="FF416" s="202"/>
      <c r="FG416" s="202"/>
      <c r="FH416" s="202"/>
      <c r="FI416" s="202"/>
      <c r="FJ416" s="202"/>
      <c r="FK416" s="203"/>
      <c r="FL416" s="202"/>
      <c r="FM416" s="202"/>
      <c r="FN416" s="202"/>
      <c r="FO416" s="202"/>
      <c r="FP416" s="202"/>
      <c r="FQ416" s="202"/>
      <c r="FR416" s="202"/>
      <c r="FS416" s="202"/>
      <c r="FT416" s="202"/>
      <c r="FU416" s="202"/>
      <c r="FV416" s="203"/>
      <c r="FW416" s="202"/>
      <c r="FX416" s="202"/>
      <c r="FY416" s="202"/>
      <c r="FZ416" s="202"/>
      <c r="GA416" s="202"/>
      <c r="GB416" s="202"/>
      <c r="GC416" s="202"/>
      <c r="GD416" s="202"/>
      <c r="GE416" s="202"/>
      <c r="GF416" s="202"/>
      <c r="GG416" s="203"/>
      <c r="GH416" s="202"/>
      <c r="GI416" s="202"/>
      <c r="GJ416" s="202"/>
      <c r="GK416" s="202"/>
      <c r="GL416" s="202"/>
      <c r="GM416" s="202"/>
      <c r="GN416" s="202"/>
      <c r="GO416" s="202"/>
      <c r="GP416" s="202"/>
      <c r="GQ416" s="202"/>
      <c r="GR416" s="202"/>
      <c r="GS416" s="202"/>
      <c r="GT416" s="202"/>
      <c r="GU416" s="202"/>
      <c r="GV416" s="202"/>
      <c r="GW416" s="202"/>
      <c r="GX416" s="202"/>
      <c r="GY416" s="202"/>
      <c r="GZ416" s="202"/>
      <c r="HA416" s="202"/>
      <c r="HB416" s="202"/>
      <c r="HC416" s="202"/>
      <c r="HD416" s="202"/>
      <c r="HE416" s="202"/>
      <c r="HF416" s="202"/>
      <c r="HG416" s="202"/>
      <c r="HH416" s="202"/>
      <c r="HI416" s="202"/>
      <c r="HJ416" s="202"/>
      <c r="HK416" s="202"/>
      <c r="HL416" s="202"/>
      <c r="HM416" s="202"/>
      <c r="HN416" s="202"/>
      <c r="HO416" s="202"/>
      <c r="HP416" s="202"/>
      <c r="HQ416" s="202"/>
      <c r="HR416" s="202"/>
      <c r="HS416" s="202"/>
      <c r="HT416" s="202"/>
      <c r="HU416" s="202"/>
      <c r="HV416" s="202"/>
      <c r="HW416" s="202"/>
      <c r="HX416" s="202"/>
      <c r="HY416" s="202"/>
      <c r="HZ416" s="202"/>
      <c r="IA416" s="202"/>
      <c r="IB416" s="202"/>
      <c r="IC416" s="202"/>
      <c r="ID416" s="202"/>
      <c r="IE416" s="202"/>
      <c r="IF416" s="202"/>
      <c r="IG416" s="202"/>
      <c r="IH416" s="202"/>
      <c r="II416" s="202"/>
      <c r="IJ416" s="202"/>
      <c r="IK416" s="202"/>
      <c r="IL416" s="202"/>
      <c r="IM416" s="202"/>
      <c r="IN416" s="202"/>
      <c r="IO416" s="202"/>
      <c r="IP416" s="202"/>
      <c r="IQ416" s="202"/>
      <c r="IR416" s="202"/>
      <c r="IS416" s="202"/>
      <c r="IT416" s="202"/>
      <c r="IU416" s="202"/>
      <c r="IV416" s="202"/>
    </row>
    <row r="417" spans="1:256" x14ac:dyDescent="0.2">
      <c r="A417" s="204"/>
      <c r="B417" s="192"/>
      <c r="M417" s="192"/>
      <c r="X417" s="192"/>
      <c r="AI417" s="192"/>
      <c r="AT417" s="192"/>
      <c r="AU417" s="192"/>
      <c r="AV417" s="192"/>
      <c r="AW417" s="192"/>
      <c r="AX417" s="192"/>
      <c r="AY417" s="192"/>
      <c r="AZ417" s="192"/>
      <c r="BA417" s="192"/>
      <c r="BB417" s="192"/>
      <c r="BC417" s="192"/>
      <c r="BE417" s="192"/>
      <c r="BP417" s="192"/>
      <c r="CA417" s="192"/>
      <c r="CL417" s="192"/>
      <c r="CM417" s="192"/>
      <c r="CN417" s="192"/>
      <c r="CO417" s="192"/>
      <c r="CP417" s="192"/>
      <c r="CQ417" s="192"/>
      <c r="CR417" s="192"/>
      <c r="CS417" s="192"/>
      <c r="CT417" s="192"/>
      <c r="CU417" s="192"/>
      <c r="CW417" s="192"/>
      <c r="DH417" s="192"/>
      <c r="DS417" s="192"/>
      <c r="ED417" s="192"/>
      <c r="EE417" s="192"/>
      <c r="EF417" s="192"/>
      <c r="EG417" s="192"/>
      <c r="EH417" s="192"/>
      <c r="EI417" s="192"/>
      <c r="EJ417" s="192"/>
      <c r="EK417" s="192"/>
      <c r="EL417" s="192"/>
      <c r="EM417" s="192"/>
      <c r="EO417" s="192"/>
      <c r="EZ417" s="192"/>
      <c r="FK417" s="192"/>
      <c r="FV417" s="192"/>
      <c r="FW417" s="192"/>
      <c r="FX417" s="192"/>
      <c r="FY417" s="192"/>
      <c r="FZ417" s="192"/>
      <c r="GA417" s="192"/>
      <c r="GB417" s="192"/>
      <c r="GC417" s="192"/>
      <c r="GD417" s="192"/>
      <c r="GE417" s="192"/>
      <c r="GG417" s="192"/>
      <c r="GV417" s="191"/>
      <c r="HA417" s="191"/>
      <c r="HF417" s="191"/>
      <c r="HK417" s="191"/>
      <c r="HP417" s="191"/>
      <c r="HU417" s="191"/>
      <c r="HZ417" s="191"/>
      <c r="IE417" s="191"/>
      <c r="IJ417" s="191"/>
      <c r="IO417" s="191"/>
      <c r="IT417" s="191"/>
    </row>
    <row r="418" spans="1:256" x14ac:dyDescent="0.2">
      <c r="A418" s="204"/>
      <c r="B418" s="192"/>
      <c r="M418" s="192"/>
      <c r="X418" s="192"/>
      <c r="AI418" s="192"/>
      <c r="AT418" s="192"/>
      <c r="AU418" s="192"/>
      <c r="AV418" s="192"/>
      <c r="AW418" s="192"/>
      <c r="AX418" s="192"/>
      <c r="AY418" s="192"/>
      <c r="AZ418" s="192"/>
      <c r="BA418" s="192"/>
      <c r="BB418" s="192"/>
      <c r="BC418" s="192"/>
      <c r="BE418" s="192"/>
      <c r="BP418" s="192"/>
      <c r="CA418" s="192"/>
      <c r="CL418" s="192"/>
      <c r="CM418" s="192"/>
      <c r="CN418" s="192"/>
      <c r="CO418" s="192"/>
      <c r="CP418" s="192"/>
      <c r="CQ418" s="192"/>
      <c r="CR418" s="192"/>
      <c r="CS418" s="192"/>
      <c r="CT418" s="192"/>
      <c r="CU418" s="192"/>
      <c r="CW418" s="192"/>
      <c r="DH418" s="192"/>
      <c r="DS418" s="192"/>
      <c r="ED418" s="192"/>
      <c r="EE418" s="192"/>
      <c r="EF418" s="192"/>
      <c r="EG418" s="192"/>
      <c r="EH418" s="192"/>
      <c r="EI418" s="192"/>
      <c r="EJ418" s="192"/>
      <c r="EK418" s="192"/>
      <c r="EL418" s="192"/>
      <c r="EM418" s="192"/>
      <c r="EO418" s="192"/>
      <c r="EZ418" s="192"/>
      <c r="FK418" s="192"/>
      <c r="FV418" s="192"/>
      <c r="FW418" s="192"/>
      <c r="FX418" s="192"/>
      <c r="FY418" s="192"/>
      <c r="FZ418" s="192"/>
      <c r="GA418" s="192"/>
      <c r="GB418" s="192"/>
      <c r="GC418" s="192"/>
      <c r="GD418" s="192"/>
      <c r="GE418" s="192"/>
      <c r="GG418" s="192"/>
      <c r="GV418" s="191"/>
      <c r="HA418" s="191"/>
      <c r="HF418" s="191"/>
      <c r="HK418" s="191"/>
      <c r="HP418" s="191"/>
      <c r="HU418" s="191"/>
      <c r="HZ418" s="191"/>
      <c r="IE418" s="191"/>
      <c r="IJ418" s="191"/>
      <c r="IO418" s="191"/>
      <c r="IT418" s="191"/>
    </row>
    <row r="419" spans="1:256" x14ac:dyDescent="0.2">
      <c r="A419" s="204"/>
      <c r="B419" s="192"/>
      <c r="M419" s="192"/>
      <c r="X419" s="192"/>
      <c r="AI419" s="192"/>
      <c r="AT419" s="192"/>
      <c r="AU419" s="192"/>
      <c r="AV419" s="192"/>
      <c r="AW419" s="192"/>
      <c r="AX419" s="192"/>
      <c r="AY419" s="192"/>
      <c r="AZ419" s="192"/>
      <c r="BA419" s="192"/>
      <c r="BB419" s="192"/>
      <c r="BC419" s="192"/>
      <c r="BE419" s="192"/>
      <c r="BP419" s="192"/>
      <c r="CA419" s="192"/>
      <c r="CL419" s="192"/>
      <c r="CM419" s="192"/>
      <c r="CN419" s="192"/>
      <c r="CO419" s="192"/>
      <c r="CP419" s="192"/>
      <c r="CQ419" s="192"/>
      <c r="CR419" s="192"/>
      <c r="CS419" s="192"/>
      <c r="CT419" s="192"/>
      <c r="CU419" s="192"/>
      <c r="CW419" s="192"/>
      <c r="DH419" s="192"/>
      <c r="DS419" s="192"/>
      <c r="ED419" s="192"/>
      <c r="EE419" s="192"/>
      <c r="EF419" s="192"/>
      <c r="EG419" s="192"/>
      <c r="EH419" s="192"/>
      <c r="EI419" s="192"/>
      <c r="EJ419" s="192"/>
      <c r="EK419" s="192"/>
      <c r="EL419" s="192"/>
      <c r="EM419" s="192"/>
      <c r="EO419" s="192"/>
      <c r="EZ419" s="192"/>
      <c r="FK419" s="192"/>
      <c r="FV419" s="192"/>
      <c r="FW419" s="192"/>
      <c r="FX419" s="192"/>
      <c r="FY419" s="192"/>
      <c r="FZ419" s="192"/>
      <c r="GA419" s="192"/>
      <c r="GB419" s="192"/>
      <c r="GC419" s="192"/>
      <c r="GD419" s="192"/>
      <c r="GE419" s="192"/>
      <c r="GG419" s="192"/>
      <c r="GV419" s="191"/>
      <c r="HA419" s="191"/>
      <c r="HF419" s="191"/>
      <c r="HK419" s="191"/>
      <c r="HP419" s="191"/>
      <c r="HU419" s="191"/>
      <c r="HZ419" s="191"/>
      <c r="IE419" s="191"/>
      <c r="IJ419" s="191"/>
      <c r="IO419" s="191"/>
      <c r="IT419" s="191"/>
    </row>
    <row r="420" spans="1:256" x14ac:dyDescent="0.2">
      <c r="A420" s="204"/>
      <c r="B420" s="192"/>
      <c r="M420" s="192"/>
      <c r="X420" s="192"/>
      <c r="AI420" s="192"/>
      <c r="AT420" s="192"/>
      <c r="AU420" s="192"/>
      <c r="AV420" s="192"/>
      <c r="AW420" s="192"/>
      <c r="AX420" s="192"/>
      <c r="AY420" s="192"/>
      <c r="AZ420" s="192"/>
      <c r="BA420" s="192"/>
      <c r="BB420" s="192"/>
      <c r="BC420" s="192"/>
      <c r="BE420" s="192"/>
      <c r="BP420" s="192"/>
      <c r="CA420" s="192"/>
      <c r="CL420" s="192"/>
      <c r="CM420" s="192"/>
      <c r="CN420" s="192"/>
      <c r="CO420" s="192"/>
      <c r="CP420" s="192"/>
      <c r="CQ420" s="192"/>
      <c r="CR420" s="192"/>
      <c r="CS420" s="192"/>
      <c r="CT420" s="192"/>
      <c r="CU420" s="192"/>
      <c r="CW420" s="192"/>
      <c r="DH420" s="192"/>
      <c r="DS420" s="192"/>
      <c r="ED420" s="192"/>
      <c r="EE420" s="192"/>
      <c r="EF420" s="192"/>
      <c r="EG420" s="192"/>
      <c r="EH420" s="192"/>
      <c r="EI420" s="192"/>
      <c r="EJ420" s="192"/>
      <c r="EK420" s="192"/>
      <c r="EL420" s="192"/>
      <c r="EM420" s="192"/>
      <c r="EO420" s="192"/>
      <c r="EZ420" s="192"/>
      <c r="FK420" s="192"/>
      <c r="FV420" s="192"/>
      <c r="FW420" s="192"/>
      <c r="FX420" s="192"/>
      <c r="FY420" s="192"/>
      <c r="FZ420" s="192"/>
      <c r="GA420" s="192"/>
      <c r="GB420" s="192"/>
      <c r="GC420" s="192"/>
      <c r="GD420" s="192"/>
      <c r="GE420" s="192"/>
      <c r="GG420" s="192"/>
      <c r="GV420" s="191"/>
      <c r="HA420" s="191"/>
      <c r="HF420" s="191"/>
      <c r="HK420" s="191"/>
      <c r="HP420" s="191"/>
      <c r="HU420" s="191"/>
      <c r="HZ420" s="191"/>
      <c r="IE420" s="191"/>
      <c r="IJ420" s="191"/>
      <c r="IO420" s="191"/>
      <c r="IT420" s="191"/>
    </row>
    <row r="421" spans="1:256" x14ac:dyDescent="0.2">
      <c r="A421" s="204"/>
      <c r="B421" s="192"/>
      <c r="M421" s="192"/>
      <c r="X421" s="192"/>
      <c r="AI421" s="192"/>
      <c r="AT421" s="192"/>
      <c r="AU421" s="192"/>
      <c r="AV421" s="192"/>
      <c r="AW421" s="192"/>
      <c r="AX421" s="192"/>
      <c r="AY421" s="192"/>
      <c r="AZ421" s="192"/>
      <c r="BA421" s="192"/>
      <c r="BB421" s="192"/>
      <c r="BC421" s="192"/>
      <c r="BE421" s="192"/>
      <c r="BP421" s="192"/>
      <c r="CA421" s="192"/>
      <c r="CL421" s="192"/>
      <c r="CM421" s="192"/>
      <c r="CN421" s="192"/>
      <c r="CO421" s="192"/>
      <c r="CP421" s="192"/>
      <c r="CQ421" s="192"/>
      <c r="CR421" s="192"/>
      <c r="CS421" s="192"/>
      <c r="CT421" s="192"/>
      <c r="CU421" s="192"/>
      <c r="CW421" s="192"/>
      <c r="DH421" s="192"/>
      <c r="DS421" s="192"/>
      <c r="ED421" s="192"/>
      <c r="EE421" s="192"/>
      <c r="EF421" s="192"/>
      <c r="EG421" s="192"/>
      <c r="EH421" s="192"/>
      <c r="EI421" s="192"/>
      <c r="EJ421" s="192"/>
      <c r="EK421" s="192"/>
      <c r="EL421" s="192"/>
      <c r="EM421" s="192"/>
      <c r="EO421" s="192"/>
      <c r="EZ421" s="192"/>
      <c r="FK421" s="192"/>
      <c r="FV421" s="192"/>
      <c r="FW421" s="192"/>
      <c r="FX421" s="192"/>
      <c r="FY421" s="192"/>
      <c r="FZ421" s="192"/>
      <c r="GA421" s="192"/>
      <c r="GB421" s="192"/>
      <c r="GC421" s="192"/>
      <c r="GD421" s="192"/>
      <c r="GE421" s="192"/>
      <c r="GG421" s="192"/>
      <c r="GV421" s="191"/>
      <c r="HA421" s="191"/>
      <c r="HF421" s="191"/>
      <c r="HK421" s="191"/>
      <c r="HP421" s="191"/>
      <c r="HU421" s="191"/>
      <c r="HZ421" s="191"/>
      <c r="IE421" s="191"/>
      <c r="IJ421" s="191"/>
      <c r="IO421" s="191"/>
      <c r="IT421" s="191"/>
    </row>
    <row r="422" spans="1:256" x14ac:dyDescent="0.2">
      <c r="A422" s="204"/>
      <c r="B422" s="192"/>
      <c r="M422" s="192"/>
      <c r="X422" s="192"/>
      <c r="AI422" s="192"/>
      <c r="AT422" s="192"/>
      <c r="AU422" s="192"/>
      <c r="AV422" s="192"/>
      <c r="AW422" s="192"/>
      <c r="AX422" s="192"/>
      <c r="AY422" s="192"/>
      <c r="AZ422" s="192"/>
      <c r="BA422" s="192"/>
      <c r="BB422" s="192"/>
      <c r="BC422" s="192"/>
      <c r="BE422" s="192"/>
      <c r="BP422" s="192"/>
      <c r="CA422" s="192"/>
      <c r="CL422" s="192"/>
      <c r="CM422" s="192"/>
      <c r="CN422" s="192"/>
      <c r="CO422" s="192"/>
      <c r="CP422" s="192"/>
      <c r="CQ422" s="192"/>
      <c r="CR422" s="192"/>
      <c r="CS422" s="192"/>
      <c r="CT422" s="192"/>
      <c r="CU422" s="192"/>
      <c r="CW422" s="192"/>
      <c r="DH422" s="192"/>
      <c r="DS422" s="192"/>
      <c r="ED422" s="192"/>
      <c r="EE422" s="192"/>
      <c r="EF422" s="192"/>
      <c r="EG422" s="192"/>
      <c r="EH422" s="192"/>
      <c r="EI422" s="192"/>
      <c r="EJ422" s="192"/>
      <c r="EK422" s="192"/>
      <c r="EL422" s="192"/>
      <c r="EM422" s="192"/>
      <c r="EO422" s="192"/>
      <c r="EZ422" s="192"/>
      <c r="FK422" s="192"/>
      <c r="FV422" s="192"/>
      <c r="FW422" s="192"/>
      <c r="FX422" s="192"/>
      <c r="FY422" s="192"/>
      <c r="FZ422" s="192"/>
      <c r="GA422" s="192"/>
      <c r="GB422" s="192"/>
      <c r="GC422" s="192"/>
      <c r="GD422" s="192"/>
      <c r="GE422" s="192"/>
      <c r="GG422" s="192"/>
      <c r="GV422" s="191"/>
      <c r="HA422" s="191"/>
      <c r="HF422" s="191"/>
      <c r="HK422" s="191"/>
      <c r="HP422" s="191"/>
      <c r="HU422" s="191"/>
      <c r="HZ422" s="191"/>
      <c r="IE422" s="191"/>
      <c r="IJ422" s="191"/>
      <c r="IO422" s="191"/>
      <c r="IT422" s="191"/>
    </row>
    <row r="423" spans="1:256" x14ac:dyDescent="0.2">
      <c r="A423" s="204"/>
      <c r="B423" s="192"/>
      <c r="M423" s="192"/>
      <c r="X423" s="192"/>
      <c r="AI423" s="192"/>
      <c r="AT423" s="192"/>
      <c r="AU423" s="192"/>
      <c r="AV423" s="192"/>
      <c r="AW423" s="192"/>
      <c r="AX423" s="192"/>
      <c r="AY423" s="192"/>
      <c r="AZ423" s="192"/>
      <c r="BA423" s="192"/>
      <c r="BB423" s="192"/>
      <c r="BC423" s="192"/>
      <c r="BE423" s="192"/>
      <c r="BP423" s="192"/>
      <c r="CA423" s="192"/>
      <c r="CL423" s="192"/>
      <c r="CM423" s="192"/>
      <c r="CN423" s="192"/>
      <c r="CO423" s="192"/>
      <c r="CP423" s="192"/>
      <c r="CQ423" s="192"/>
      <c r="CR423" s="192"/>
      <c r="CS423" s="192"/>
      <c r="CT423" s="192"/>
      <c r="CU423" s="192"/>
      <c r="CW423" s="192"/>
      <c r="DH423" s="192"/>
      <c r="DS423" s="192"/>
      <c r="ED423" s="192"/>
      <c r="EE423" s="192"/>
      <c r="EF423" s="192"/>
      <c r="EG423" s="192"/>
      <c r="EH423" s="192"/>
      <c r="EI423" s="192"/>
      <c r="EJ423" s="192"/>
      <c r="EK423" s="192"/>
      <c r="EL423" s="192"/>
      <c r="EM423" s="192"/>
      <c r="EO423" s="192"/>
      <c r="EZ423" s="192"/>
      <c r="FK423" s="192"/>
      <c r="FV423" s="192"/>
      <c r="FW423" s="192"/>
      <c r="FX423" s="192"/>
      <c r="FY423" s="192"/>
      <c r="FZ423" s="192"/>
      <c r="GA423" s="192"/>
      <c r="GB423" s="192"/>
      <c r="GC423" s="192"/>
      <c r="GD423" s="192"/>
      <c r="GE423" s="192"/>
      <c r="GG423" s="192"/>
      <c r="GV423" s="191"/>
      <c r="HA423" s="191"/>
      <c r="HF423" s="191"/>
      <c r="HK423" s="191"/>
      <c r="HP423" s="191"/>
      <c r="HU423" s="191"/>
      <c r="HZ423" s="191"/>
      <c r="IE423" s="191"/>
      <c r="IJ423" s="191"/>
      <c r="IO423" s="191"/>
      <c r="IT423" s="191"/>
    </row>
    <row r="424" spans="1:256" x14ac:dyDescent="0.2">
      <c r="A424" s="204"/>
      <c r="B424" s="192"/>
      <c r="M424" s="192"/>
      <c r="X424" s="192"/>
      <c r="AI424" s="192"/>
      <c r="AT424" s="192"/>
      <c r="AU424" s="192"/>
      <c r="AV424" s="192"/>
      <c r="AW424" s="192"/>
      <c r="AX424" s="192"/>
      <c r="AY424" s="192"/>
      <c r="AZ424" s="192"/>
      <c r="BA424" s="192"/>
      <c r="BB424" s="192"/>
      <c r="BC424" s="192"/>
      <c r="BE424" s="192"/>
      <c r="BP424" s="192"/>
      <c r="CA424" s="192"/>
      <c r="CL424" s="192"/>
      <c r="CM424" s="192"/>
      <c r="CN424" s="192"/>
      <c r="CO424" s="192"/>
      <c r="CP424" s="192"/>
      <c r="CQ424" s="192"/>
      <c r="CR424" s="192"/>
      <c r="CS424" s="192"/>
      <c r="CT424" s="192"/>
      <c r="CU424" s="192"/>
      <c r="CW424" s="192"/>
      <c r="DH424" s="192"/>
      <c r="DS424" s="192"/>
      <c r="ED424" s="192"/>
      <c r="EE424" s="192"/>
      <c r="EF424" s="192"/>
      <c r="EG424" s="192"/>
      <c r="EH424" s="192"/>
      <c r="EI424" s="192"/>
      <c r="EJ424" s="192"/>
      <c r="EK424" s="192"/>
      <c r="EL424" s="192"/>
      <c r="EM424" s="192"/>
      <c r="EO424" s="192"/>
      <c r="EZ424" s="192"/>
      <c r="FK424" s="192"/>
      <c r="FV424" s="192"/>
      <c r="FW424" s="192"/>
      <c r="FX424" s="192"/>
      <c r="FY424" s="192"/>
      <c r="FZ424" s="192"/>
      <c r="GA424" s="192"/>
      <c r="GB424" s="192"/>
      <c r="GC424" s="192"/>
      <c r="GD424" s="192"/>
      <c r="GE424" s="192"/>
      <c r="GG424" s="192"/>
      <c r="GV424" s="191"/>
      <c r="HA424" s="191"/>
      <c r="HF424" s="191"/>
      <c r="HK424" s="191"/>
      <c r="HP424" s="191"/>
      <c r="HU424" s="191"/>
      <c r="HZ424" s="191"/>
      <c r="IE424" s="191"/>
      <c r="IJ424" s="191"/>
      <c r="IO424" s="191"/>
      <c r="IT424" s="191"/>
    </row>
    <row r="425" spans="1:256" x14ac:dyDescent="0.2">
      <c r="A425" s="204"/>
      <c r="B425" s="192"/>
      <c r="M425" s="192"/>
      <c r="X425" s="192"/>
      <c r="AI425" s="192"/>
      <c r="AT425" s="192"/>
      <c r="AU425" s="192"/>
      <c r="AV425" s="192"/>
      <c r="AW425" s="192"/>
      <c r="AX425" s="192"/>
      <c r="AY425" s="192"/>
      <c r="AZ425" s="192"/>
      <c r="BA425" s="192"/>
      <c r="BB425" s="192"/>
      <c r="BC425" s="192"/>
      <c r="BE425" s="192"/>
      <c r="BP425" s="192"/>
      <c r="CA425" s="192"/>
      <c r="CL425" s="192"/>
      <c r="CM425" s="192"/>
      <c r="CN425" s="192"/>
      <c r="CO425" s="192"/>
      <c r="CP425" s="192"/>
      <c r="CQ425" s="192"/>
      <c r="CR425" s="192"/>
      <c r="CS425" s="192"/>
      <c r="CT425" s="192"/>
      <c r="CU425" s="192"/>
      <c r="CW425" s="192"/>
      <c r="DH425" s="192"/>
      <c r="DS425" s="192"/>
      <c r="ED425" s="192"/>
      <c r="EE425" s="192"/>
      <c r="EF425" s="192"/>
      <c r="EG425" s="192"/>
      <c r="EH425" s="192"/>
      <c r="EI425" s="192"/>
      <c r="EJ425" s="192"/>
      <c r="EK425" s="192"/>
      <c r="EL425" s="192"/>
      <c r="EM425" s="192"/>
      <c r="EO425" s="192"/>
      <c r="EZ425" s="192"/>
      <c r="FK425" s="192"/>
      <c r="FV425" s="192"/>
      <c r="FW425" s="192"/>
      <c r="FX425" s="192"/>
      <c r="FY425" s="192"/>
      <c r="FZ425" s="192"/>
      <c r="GA425" s="192"/>
      <c r="GB425" s="192"/>
      <c r="GC425" s="192"/>
      <c r="GD425" s="192"/>
      <c r="GE425" s="192"/>
      <c r="GG425" s="192"/>
      <c r="GV425" s="191"/>
      <c r="HA425" s="191"/>
      <c r="HF425" s="191"/>
      <c r="HK425" s="191"/>
      <c r="HP425" s="191"/>
      <c r="HU425" s="191"/>
      <c r="HZ425" s="191"/>
      <c r="IE425" s="191"/>
      <c r="IJ425" s="191"/>
      <c r="IO425" s="191"/>
      <c r="IT425" s="191"/>
    </row>
    <row r="426" spans="1:256" x14ac:dyDescent="0.2">
      <c r="A426" s="204"/>
      <c r="B426" s="192"/>
      <c r="M426" s="192"/>
      <c r="X426" s="192"/>
      <c r="AI426" s="192"/>
      <c r="AT426" s="192"/>
      <c r="AU426" s="192"/>
      <c r="AV426" s="192"/>
      <c r="AW426" s="192"/>
      <c r="AX426" s="192"/>
      <c r="AY426" s="192"/>
      <c r="AZ426" s="192"/>
      <c r="BA426" s="192"/>
      <c r="BB426" s="192"/>
      <c r="BC426" s="192"/>
      <c r="BE426" s="192"/>
      <c r="BP426" s="192"/>
      <c r="CA426" s="192"/>
      <c r="CL426" s="192"/>
      <c r="CM426" s="192"/>
      <c r="CN426" s="192"/>
      <c r="CO426" s="192"/>
      <c r="CP426" s="192"/>
      <c r="CQ426" s="192"/>
      <c r="CR426" s="192"/>
      <c r="CS426" s="192"/>
      <c r="CT426" s="192"/>
      <c r="CU426" s="192"/>
      <c r="CW426" s="192"/>
      <c r="DH426" s="192"/>
      <c r="DS426" s="192"/>
      <c r="ED426" s="192"/>
      <c r="EE426" s="192"/>
      <c r="EF426" s="192"/>
      <c r="EG426" s="192"/>
      <c r="EH426" s="192"/>
      <c r="EI426" s="192"/>
      <c r="EJ426" s="192"/>
      <c r="EK426" s="192"/>
      <c r="EL426" s="192"/>
      <c r="EM426" s="192"/>
      <c r="EO426" s="192"/>
      <c r="EZ426" s="192"/>
      <c r="FK426" s="192"/>
      <c r="FV426" s="192"/>
      <c r="FW426" s="192"/>
      <c r="FX426" s="192"/>
      <c r="FY426" s="192"/>
      <c r="FZ426" s="192"/>
      <c r="GA426" s="192"/>
      <c r="GB426" s="192"/>
      <c r="GC426" s="192"/>
      <c r="GD426" s="192"/>
      <c r="GE426" s="192"/>
      <c r="GG426" s="192"/>
      <c r="GV426" s="191"/>
      <c r="HA426" s="191"/>
      <c r="HF426" s="191"/>
      <c r="HK426" s="191"/>
      <c r="HP426" s="191"/>
      <c r="HU426" s="191"/>
      <c r="HZ426" s="191"/>
      <c r="IE426" s="191"/>
      <c r="IJ426" s="191"/>
      <c r="IO426" s="191"/>
      <c r="IT426" s="191"/>
    </row>
    <row r="427" spans="1:256" x14ac:dyDescent="0.2">
      <c r="A427" s="204"/>
      <c r="B427" s="203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3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3"/>
      <c r="Y427" s="202"/>
      <c r="Z427" s="202"/>
      <c r="AA427" s="202"/>
      <c r="AB427" s="202"/>
      <c r="AC427" s="202"/>
      <c r="AD427" s="202"/>
      <c r="AE427" s="202"/>
      <c r="AF427" s="202"/>
      <c r="AG427" s="202"/>
      <c r="AH427" s="202"/>
      <c r="AI427" s="203"/>
      <c r="AJ427" s="202"/>
      <c r="AK427" s="202"/>
      <c r="AL427" s="202"/>
      <c r="AM427" s="202"/>
      <c r="AN427" s="202"/>
      <c r="AO427" s="202"/>
      <c r="AP427" s="202"/>
      <c r="AQ427" s="202"/>
      <c r="AR427" s="202"/>
      <c r="AS427" s="202"/>
      <c r="AT427" s="203"/>
      <c r="AU427" s="202"/>
      <c r="AV427" s="202"/>
      <c r="AW427" s="202"/>
      <c r="AX427" s="202"/>
      <c r="AY427" s="202"/>
      <c r="AZ427" s="202"/>
      <c r="BA427" s="202"/>
      <c r="BB427" s="202"/>
      <c r="BC427" s="202"/>
      <c r="BD427" s="202"/>
      <c r="BE427" s="203"/>
      <c r="BF427" s="202"/>
      <c r="BG427" s="202"/>
      <c r="BH427" s="202"/>
      <c r="BI427" s="202"/>
      <c r="BJ427" s="202"/>
      <c r="BK427" s="202"/>
      <c r="BL427" s="202"/>
      <c r="BM427" s="202"/>
      <c r="BN427" s="202"/>
      <c r="BO427" s="202"/>
      <c r="BP427" s="203"/>
      <c r="BQ427" s="202"/>
      <c r="BR427" s="202"/>
      <c r="BS427" s="202"/>
      <c r="BT427" s="202"/>
      <c r="BU427" s="202"/>
      <c r="BV427" s="202"/>
      <c r="BW427" s="202"/>
      <c r="BX427" s="202"/>
      <c r="BY427" s="202"/>
      <c r="BZ427" s="202"/>
      <c r="CA427" s="203"/>
      <c r="CB427" s="202"/>
      <c r="CC427" s="202"/>
      <c r="CD427" s="202"/>
      <c r="CE427" s="202"/>
      <c r="CF427" s="202"/>
      <c r="CG427" s="202"/>
      <c r="CH427" s="202"/>
      <c r="CI427" s="202"/>
      <c r="CJ427" s="202"/>
      <c r="CK427" s="202"/>
      <c r="CL427" s="203"/>
      <c r="CM427" s="202"/>
      <c r="CN427" s="202"/>
      <c r="CO427" s="202"/>
      <c r="CP427" s="202"/>
      <c r="CQ427" s="202"/>
      <c r="CR427" s="202"/>
      <c r="CS427" s="202"/>
      <c r="CT427" s="202"/>
      <c r="CU427" s="202"/>
      <c r="CV427" s="202"/>
      <c r="CW427" s="203"/>
      <c r="CX427" s="202"/>
      <c r="CY427" s="202"/>
      <c r="CZ427" s="202"/>
      <c r="DA427" s="202"/>
      <c r="DB427" s="202"/>
      <c r="DC427" s="202"/>
      <c r="DD427" s="202"/>
      <c r="DE427" s="202"/>
      <c r="DF427" s="202"/>
      <c r="DG427" s="202"/>
      <c r="DH427" s="203"/>
      <c r="DI427" s="202"/>
      <c r="DJ427" s="202"/>
      <c r="DK427" s="202"/>
      <c r="DL427" s="202"/>
      <c r="DM427" s="202"/>
      <c r="DN427" s="202"/>
      <c r="DO427" s="202"/>
      <c r="DP427" s="202"/>
      <c r="DQ427" s="202"/>
      <c r="DR427" s="202"/>
      <c r="DS427" s="203"/>
      <c r="DT427" s="202"/>
      <c r="DU427" s="202"/>
      <c r="DV427" s="202"/>
      <c r="DW427" s="202"/>
      <c r="DX427" s="202"/>
      <c r="DY427" s="202"/>
      <c r="DZ427" s="202"/>
      <c r="EA427" s="202"/>
      <c r="EB427" s="202"/>
      <c r="EC427" s="202"/>
      <c r="ED427" s="203"/>
      <c r="EE427" s="202"/>
      <c r="EF427" s="202"/>
      <c r="EG427" s="202"/>
      <c r="EH427" s="202"/>
      <c r="EI427" s="202"/>
      <c r="EJ427" s="202"/>
      <c r="EK427" s="202"/>
      <c r="EL427" s="202"/>
      <c r="EM427" s="202"/>
      <c r="EN427" s="202"/>
      <c r="EO427" s="203"/>
      <c r="EP427" s="202"/>
      <c r="EQ427" s="202"/>
      <c r="ER427" s="202"/>
      <c r="ES427" s="202"/>
      <c r="ET427" s="202"/>
      <c r="EU427" s="202"/>
      <c r="EV427" s="202"/>
      <c r="EW427" s="202"/>
      <c r="EX427" s="202"/>
      <c r="EY427" s="202"/>
      <c r="EZ427" s="203"/>
      <c r="FA427" s="202"/>
      <c r="FB427" s="202"/>
      <c r="FC427" s="202"/>
      <c r="FD427" s="202"/>
      <c r="FE427" s="202"/>
      <c r="FF427" s="202"/>
      <c r="FG427" s="202"/>
      <c r="FH427" s="202"/>
      <c r="FI427" s="202"/>
      <c r="FJ427" s="202"/>
      <c r="FK427" s="203"/>
      <c r="FL427" s="202"/>
      <c r="FM427" s="202"/>
      <c r="FN427" s="202"/>
      <c r="FO427" s="202"/>
      <c r="FP427" s="202"/>
      <c r="FQ427" s="202"/>
      <c r="FR427" s="202"/>
      <c r="FS427" s="202"/>
      <c r="FT427" s="202"/>
      <c r="FU427" s="202"/>
      <c r="FV427" s="203"/>
      <c r="FW427" s="202"/>
      <c r="FX427" s="202"/>
      <c r="FY427" s="202"/>
      <c r="FZ427" s="202"/>
      <c r="GA427" s="202"/>
      <c r="GB427" s="202"/>
      <c r="GC427" s="202"/>
      <c r="GD427" s="202"/>
      <c r="GE427" s="202"/>
      <c r="GF427" s="202"/>
      <c r="GG427" s="203"/>
      <c r="GH427" s="202"/>
      <c r="GI427" s="202"/>
      <c r="GJ427" s="202"/>
      <c r="GK427" s="202"/>
      <c r="GL427" s="202"/>
      <c r="GM427" s="202"/>
      <c r="GN427" s="202"/>
      <c r="GO427" s="202"/>
      <c r="GP427" s="202"/>
      <c r="GQ427" s="202"/>
      <c r="GR427" s="202"/>
      <c r="GS427" s="202"/>
      <c r="GT427" s="202"/>
      <c r="GU427" s="202"/>
      <c r="GV427" s="202"/>
      <c r="GW427" s="202"/>
      <c r="GX427" s="202"/>
      <c r="GY427" s="202"/>
      <c r="GZ427" s="202"/>
      <c r="HA427" s="202"/>
      <c r="HB427" s="202"/>
      <c r="HC427" s="202"/>
      <c r="HD427" s="202"/>
      <c r="HE427" s="202"/>
      <c r="HF427" s="202"/>
      <c r="HG427" s="202"/>
      <c r="HH427" s="202"/>
      <c r="HI427" s="202"/>
      <c r="HJ427" s="202"/>
      <c r="HK427" s="202"/>
      <c r="HL427" s="202"/>
      <c r="HM427" s="202"/>
      <c r="HN427" s="202"/>
      <c r="HO427" s="202"/>
      <c r="HP427" s="202"/>
      <c r="HQ427" s="202"/>
      <c r="HR427" s="202"/>
      <c r="HS427" s="202"/>
      <c r="HT427" s="202"/>
      <c r="HU427" s="202"/>
      <c r="HV427" s="202"/>
      <c r="HW427" s="202"/>
      <c r="HX427" s="202"/>
      <c r="HY427" s="202"/>
      <c r="HZ427" s="202"/>
      <c r="IA427" s="202"/>
      <c r="IB427" s="202"/>
      <c r="IC427" s="202"/>
      <c r="ID427" s="202"/>
      <c r="IE427" s="202"/>
      <c r="IF427" s="202"/>
      <c r="IG427" s="202"/>
      <c r="IH427" s="202"/>
      <c r="II427" s="202"/>
      <c r="IJ427" s="202"/>
      <c r="IK427" s="202"/>
      <c r="IL427" s="202"/>
      <c r="IM427" s="202"/>
      <c r="IN427" s="202"/>
      <c r="IO427" s="202"/>
      <c r="IP427" s="202"/>
      <c r="IQ427" s="202"/>
      <c r="IR427" s="202"/>
      <c r="IS427" s="202"/>
      <c r="IT427" s="202"/>
      <c r="IU427" s="202"/>
      <c r="IV427" s="202"/>
    </row>
    <row r="428" spans="1:256" x14ac:dyDescent="0.2">
      <c r="A428" s="204"/>
      <c r="B428" s="192"/>
      <c r="M428" s="192"/>
      <c r="X428" s="192"/>
      <c r="AI428" s="192"/>
      <c r="AT428" s="192"/>
      <c r="AU428" s="192"/>
      <c r="AV428" s="192"/>
      <c r="AW428" s="192"/>
      <c r="AX428" s="192"/>
      <c r="AY428" s="192"/>
      <c r="AZ428" s="192"/>
      <c r="BA428" s="192"/>
      <c r="BB428" s="192"/>
      <c r="BC428" s="192"/>
      <c r="BE428" s="192"/>
      <c r="BP428" s="192"/>
      <c r="CA428" s="192"/>
      <c r="CL428" s="192"/>
      <c r="CM428" s="192"/>
      <c r="CN428" s="192"/>
      <c r="CO428" s="192"/>
      <c r="CP428" s="192"/>
      <c r="CQ428" s="192"/>
      <c r="CR428" s="192"/>
      <c r="CS428" s="192"/>
      <c r="CT428" s="192"/>
      <c r="CU428" s="192"/>
      <c r="CW428" s="192"/>
      <c r="DH428" s="192"/>
      <c r="DS428" s="192"/>
      <c r="ED428" s="192"/>
      <c r="EE428" s="192"/>
      <c r="EF428" s="192"/>
      <c r="EG428" s="192"/>
      <c r="EH428" s="192"/>
      <c r="EI428" s="192"/>
      <c r="EJ428" s="192"/>
      <c r="EK428" s="192"/>
      <c r="EL428" s="192"/>
      <c r="EM428" s="192"/>
      <c r="EO428" s="192"/>
      <c r="EZ428" s="192"/>
      <c r="FK428" s="192"/>
      <c r="FV428" s="192"/>
      <c r="FW428" s="192"/>
      <c r="FX428" s="192"/>
      <c r="FY428" s="192"/>
      <c r="FZ428" s="192"/>
      <c r="GA428" s="192"/>
      <c r="GB428" s="192"/>
      <c r="GC428" s="192"/>
      <c r="GD428" s="192"/>
      <c r="GE428" s="192"/>
      <c r="GG428" s="192"/>
      <c r="GV428" s="191"/>
      <c r="HA428" s="191"/>
      <c r="HF428" s="191"/>
      <c r="HK428" s="191"/>
      <c r="HP428" s="191"/>
      <c r="HU428" s="191"/>
      <c r="HZ428" s="191"/>
      <c r="IE428" s="191"/>
      <c r="IJ428" s="191"/>
      <c r="IO428" s="191"/>
      <c r="IT428" s="191"/>
    </row>
    <row r="429" spans="1:256" x14ac:dyDescent="0.2">
      <c r="A429" s="204"/>
      <c r="B429" s="192"/>
      <c r="M429" s="192"/>
      <c r="X429" s="192"/>
      <c r="AI429" s="192"/>
      <c r="AT429" s="192"/>
      <c r="AU429" s="192"/>
      <c r="AV429" s="192"/>
      <c r="AW429" s="192"/>
      <c r="AX429" s="192"/>
      <c r="AY429" s="192"/>
      <c r="AZ429" s="192"/>
      <c r="BA429" s="192"/>
      <c r="BB429" s="192"/>
      <c r="BC429" s="192"/>
      <c r="BE429" s="192"/>
      <c r="BP429" s="192"/>
      <c r="CA429" s="192"/>
      <c r="CL429" s="192"/>
      <c r="CM429" s="192"/>
      <c r="CN429" s="192"/>
      <c r="CO429" s="192"/>
      <c r="CP429" s="192"/>
      <c r="CQ429" s="192"/>
      <c r="CR429" s="192"/>
      <c r="CS429" s="192"/>
      <c r="CT429" s="192"/>
      <c r="CU429" s="192"/>
      <c r="CW429" s="192"/>
      <c r="DH429" s="192"/>
      <c r="DS429" s="192"/>
      <c r="ED429" s="192"/>
      <c r="EE429" s="192"/>
      <c r="EF429" s="192"/>
      <c r="EG429" s="192"/>
      <c r="EH429" s="192"/>
      <c r="EI429" s="192"/>
      <c r="EJ429" s="192"/>
      <c r="EK429" s="192"/>
      <c r="EL429" s="192"/>
      <c r="EM429" s="192"/>
      <c r="EO429" s="192"/>
      <c r="EZ429" s="192"/>
      <c r="FK429" s="192"/>
      <c r="FV429" s="192"/>
      <c r="FW429" s="192"/>
      <c r="FX429" s="192"/>
      <c r="FY429" s="192"/>
      <c r="FZ429" s="192"/>
      <c r="GA429" s="192"/>
      <c r="GB429" s="192"/>
      <c r="GC429" s="192"/>
      <c r="GD429" s="192"/>
      <c r="GE429" s="192"/>
      <c r="GG429" s="192"/>
      <c r="GV429" s="191"/>
      <c r="HA429" s="191"/>
      <c r="HF429" s="191"/>
      <c r="HK429" s="191"/>
      <c r="HP429" s="191"/>
      <c r="HU429" s="191"/>
      <c r="HZ429" s="191"/>
      <c r="IE429" s="191"/>
      <c r="IJ429" s="191"/>
      <c r="IO429" s="191"/>
      <c r="IT429" s="191"/>
    </row>
    <row r="430" spans="1:256" x14ac:dyDescent="0.2">
      <c r="A430" s="204"/>
      <c r="B430" s="203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3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3"/>
      <c r="Y430" s="202"/>
      <c r="Z430" s="202"/>
      <c r="AA430" s="202"/>
      <c r="AB430" s="202"/>
      <c r="AC430" s="202"/>
      <c r="AD430" s="202"/>
      <c r="AE430" s="202"/>
      <c r="AF430" s="202"/>
      <c r="AG430" s="202"/>
      <c r="AH430" s="202"/>
      <c r="AI430" s="203"/>
      <c r="AJ430" s="202"/>
      <c r="AK430" s="202"/>
      <c r="AL430" s="202"/>
      <c r="AM430" s="202"/>
      <c r="AN430" s="202"/>
      <c r="AO430" s="202"/>
      <c r="AP430" s="202"/>
      <c r="AQ430" s="202"/>
      <c r="AR430" s="202"/>
      <c r="AS430" s="202"/>
      <c r="AT430" s="203"/>
      <c r="AU430" s="202"/>
      <c r="AV430" s="202"/>
      <c r="AW430" s="202"/>
      <c r="AX430" s="202"/>
      <c r="AY430" s="202"/>
      <c r="AZ430" s="202"/>
      <c r="BA430" s="202"/>
      <c r="BB430" s="202"/>
      <c r="BC430" s="202"/>
      <c r="BD430" s="202"/>
      <c r="BE430" s="203"/>
      <c r="BF430" s="202"/>
      <c r="BG430" s="202"/>
      <c r="BH430" s="202"/>
      <c r="BI430" s="202"/>
      <c r="BJ430" s="202"/>
      <c r="BK430" s="202"/>
      <c r="BL430" s="202"/>
      <c r="BM430" s="202"/>
      <c r="BN430" s="202"/>
      <c r="BO430" s="202"/>
      <c r="BP430" s="203"/>
      <c r="BQ430" s="202"/>
      <c r="BR430" s="202"/>
      <c r="BS430" s="202"/>
      <c r="BT430" s="202"/>
      <c r="BU430" s="202"/>
      <c r="BV430" s="202"/>
      <c r="BW430" s="202"/>
      <c r="BX430" s="202"/>
      <c r="BY430" s="202"/>
      <c r="BZ430" s="202"/>
      <c r="CA430" s="203"/>
      <c r="CB430" s="202"/>
      <c r="CC430" s="202"/>
      <c r="CD430" s="202"/>
      <c r="CE430" s="202"/>
      <c r="CF430" s="202"/>
      <c r="CG430" s="202"/>
      <c r="CH430" s="202"/>
      <c r="CI430" s="202"/>
      <c r="CJ430" s="202"/>
      <c r="CK430" s="202"/>
      <c r="CL430" s="203"/>
      <c r="CM430" s="202"/>
      <c r="CN430" s="202"/>
      <c r="CO430" s="202"/>
      <c r="CP430" s="202"/>
      <c r="CQ430" s="202"/>
      <c r="CR430" s="202"/>
      <c r="CS430" s="202"/>
      <c r="CT430" s="202"/>
      <c r="CU430" s="202"/>
      <c r="CV430" s="202"/>
      <c r="CW430" s="203"/>
      <c r="CX430" s="202"/>
      <c r="CY430" s="202"/>
      <c r="CZ430" s="202"/>
      <c r="DA430" s="202"/>
      <c r="DB430" s="202"/>
      <c r="DC430" s="202"/>
      <c r="DD430" s="202"/>
      <c r="DE430" s="202"/>
      <c r="DF430" s="202"/>
      <c r="DG430" s="202"/>
      <c r="DH430" s="203"/>
      <c r="DI430" s="202"/>
      <c r="DJ430" s="202"/>
      <c r="DK430" s="202"/>
      <c r="DL430" s="202"/>
      <c r="DM430" s="202"/>
      <c r="DN430" s="202"/>
      <c r="DO430" s="202"/>
      <c r="DP430" s="202"/>
      <c r="DQ430" s="202"/>
      <c r="DR430" s="202"/>
      <c r="DS430" s="203"/>
      <c r="DT430" s="202"/>
      <c r="DU430" s="202"/>
      <c r="DV430" s="202"/>
      <c r="DW430" s="202"/>
      <c r="DX430" s="202"/>
      <c r="DY430" s="202"/>
      <c r="DZ430" s="202"/>
      <c r="EA430" s="202"/>
      <c r="EB430" s="202"/>
      <c r="EC430" s="202"/>
      <c r="ED430" s="203"/>
      <c r="EE430" s="202"/>
      <c r="EF430" s="202"/>
      <c r="EG430" s="202"/>
      <c r="EH430" s="202"/>
      <c r="EI430" s="202"/>
      <c r="EJ430" s="202"/>
      <c r="EK430" s="202"/>
      <c r="EL430" s="202"/>
      <c r="EM430" s="202"/>
      <c r="EN430" s="202"/>
      <c r="EO430" s="203"/>
      <c r="EP430" s="202"/>
      <c r="EQ430" s="202"/>
      <c r="ER430" s="202"/>
      <c r="ES430" s="202"/>
      <c r="ET430" s="202"/>
      <c r="EU430" s="202"/>
      <c r="EV430" s="202"/>
      <c r="EW430" s="202"/>
      <c r="EX430" s="202"/>
      <c r="EY430" s="202"/>
      <c r="EZ430" s="203"/>
      <c r="FA430" s="202"/>
      <c r="FB430" s="202"/>
      <c r="FC430" s="202"/>
      <c r="FD430" s="202"/>
      <c r="FE430" s="202"/>
      <c r="FF430" s="202"/>
      <c r="FG430" s="202"/>
      <c r="FH430" s="202"/>
      <c r="FI430" s="202"/>
      <c r="FJ430" s="202"/>
      <c r="FK430" s="203"/>
      <c r="FL430" s="202"/>
      <c r="FM430" s="202"/>
      <c r="FN430" s="202"/>
      <c r="FO430" s="202"/>
      <c r="FP430" s="202"/>
      <c r="FQ430" s="202"/>
      <c r="FR430" s="202"/>
      <c r="FS430" s="202"/>
      <c r="FT430" s="202"/>
      <c r="FU430" s="202"/>
      <c r="FV430" s="203"/>
      <c r="FW430" s="202"/>
      <c r="FX430" s="202"/>
      <c r="FY430" s="202"/>
      <c r="FZ430" s="202"/>
      <c r="GA430" s="202"/>
      <c r="GB430" s="202"/>
      <c r="GC430" s="202"/>
      <c r="GD430" s="202"/>
      <c r="GE430" s="202"/>
      <c r="GF430" s="202"/>
      <c r="GG430" s="203"/>
      <c r="GH430" s="202"/>
      <c r="GI430" s="202"/>
      <c r="GJ430" s="202"/>
      <c r="GK430" s="202"/>
      <c r="GL430" s="202"/>
      <c r="GM430" s="202"/>
      <c r="GN430" s="202"/>
      <c r="GO430" s="202"/>
      <c r="GP430" s="202"/>
      <c r="GQ430" s="202"/>
      <c r="GR430" s="202"/>
      <c r="GS430" s="202"/>
      <c r="GT430" s="202"/>
      <c r="GU430" s="202"/>
      <c r="GV430" s="202"/>
      <c r="GW430" s="202"/>
      <c r="GX430" s="202"/>
      <c r="GY430" s="202"/>
      <c r="GZ430" s="202"/>
      <c r="HA430" s="202"/>
      <c r="HB430" s="202"/>
      <c r="HC430" s="202"/>
      <c r="HD430" s="202"/>
      <c r="HE430" s="202"/>
      <c r="HF430" s="202"/>
      <c r="HG430" s="202"/>
      <c r="HH430" s="202"/>
      <c r="HI430" s="202"/>
      <c r="HJ430" s="202"/>
      <c r="HK430" s="202"/>
      <c r="HL430" s="202"/>
      <c r="HM430" s="202"/>
      <c r="HN430" s="202"/>
      <c r="HO430" s="202"/>
      <c r="HP430" s="202"/>
      <c r="HQ430" s="202"/>
      <c r="HR430" s="202"/>
      <c r="HS430" s="202"/>
      <c r="HT430" s="202"/>
      <c r="HU430" s="202"/>
      <c r="HV430" s="202"/>
      <c r="HW430" s="202"/>
      <c r="HX430" s="202"/>
      <c r="HY430" s="202"/>
      <c r="HZ430" s="202"/>
      <c r="IA430" s="202"/>
      <c r="IB430" s="202"/>
      <c r="IC430" s="202"/>
      <c r="ID430" s="202"/>
      <c r="IE430" s="202"/>
      <c r="IF430" s="202"/>
      <c r="IG430" s="202"/>
      <c r="IH430" s="202"/>
      <c r="II430" s="202"/>
      <c r="IJ430" s="202"/>
      <c r="IK430" s="202"/>
      <c r="IL430" s="202"/>
      <c r="IM430" s="202"/>
      <c r="IN430" s="202"/>
      <c r="IO430" s="202"/>
      <c r="IP430" s="202"/>
      <c r="IQ430" s="202"/>
      <c r="IR430" s="202"/>
      <c r="IS430" s="202"/>
      <c r="IT430" s="202"/>
      <c r="IU430" s="202"/>
      <c r="IV430" s="202"/>
    </row>
    <row r="431" spans="1:256" x14ac:dyDescent="0.2">
      <c r="A431" s="204"/>
      <c r="B431" s="192"/>
      <c r="M431" s="192"/>
      <c r="X431" s="192"/>
      <c r="AI431" s="192"/>
      <c r="AT431" s="192"/>
      <c r="AU431" s="192"/>
      <c r="AV431" s="192"/>
      <c r="AW431" s="192"/>
      <c r="AX431" s="192"/>
      <c r="AY431" s="192"/>
      <c r="AZ431" s="192"/>
      <c r="BA431" s="192"/>
      <c r="BB431" s="192"/>
      <c r="BC431" s="192"/>
      <c r="BE431" s="192"/>
      <c r="BP431" s="192"/>
      <c r="CA431" s="192"/>
      <c r="CL431" s="192"/>
      <c r="CM431" s="192"/>
      <c r="CN431" s="192"/>
      <c r="CO431" s="192"/>
      <c r="CP431" s="192"/>
      <c r="CQ431" s="192"/>
      <c r="CR431" s="192"/>
      <c r="CS431" s="192"/>
      <c r="CT431" s="192"/>
      <c r="CU431" s="192"/>
      <c r="CW431" s="192"/>
      <c r="DH431" s="192"/>
      <c r="DS431" s="192"/>
      <c r="ED431" s="192"/>
      <c r="EE431" s="192"/>
      <c r="EF431" s="192"/>
      <c r="EG431" s="192"/>
      <c r="EH431" s="192"/>
      <c r="EI431" s="192"/>
      <c r="EJ431" s="192"/>
      <c r="EK431" s="192"/>
      <c r="EL431" s="192"/>
      <c r="EM431" s="192"/>
      <c r="EO431" s="192"/>
      <c r="EZ431" s="192"/>
      <c r="FK431" s="192"/>
      <c r="FV431" s="192"/>
      <c r="FW431" s="192"/>
      <c r="FX431" s="192"/>
      <c r="FY431" s="192"/>
      <c r="FZ431" s="192"/>
      <c r="GA431" s="192"/>
      <c r="GB431" s="192"/>
      <c r="GC431" s="192"/>
      <c r="GD431" s="192"/>
      <c r="GE431" s="192"/>
      <c r="GG431" s="192"/>
      <c r="GV431" s="191"/>
      <c r="HA431" s="191"/>
      <c r="HF431" s="191"/>
      <c r="HK431" s="191"/>
      <c r="HP431" s="191"/>
      <c r="HU431" s="191"/>
      <c r="HZ431" s="191"/>
      <c r="IE431" s="191"/>
      <c r="IJ431" s="191"/>
      <c r="IO431" s="191"/>
      <c r="IT431" s="191"/>
    </row>
    <row r="432" spans="1:256" x14ac:dyDescent="0.2">
      <c r="A432" s="204"/>
      <c r="B432" s="192"/>
      <c r="M432" s="192"/>
      <c r="X432" s="192"/>
      <c r="AI432" s="192"/>
      <c r="AT432" s="192"/>
      <c r="AU432" s="192"/>
      <c r="AV432" s="192"/>
      <c r="AW432" s="192"/>
      <c r="AX432" s="192"/>
      <c r="AY432" s="192"/>
      <c r="AZ432" s="192"/>
      <c r="BA432" s="192"/>
      <c r="BB432" s="192"/>
      <c r="BC432" s="192"/>
      <c r="BE432" s="192"/>
      <c r="BP432" s="192"/>
      <c r="CA432" s="192"/>
      <c r="CL432" s="192"/>
      <c r="CM432" s="192"/>
      <c r="CN432" s="192"/>
      <c r="CO432" s="192"/>
      <c r="CP432" s="192"/>
      <c r="CQ432" s="192"/>
      <c r="CR432" s="192"/>
      <c r="CS432" s="192"/>
      <c r="CT432" s="192"/>
      <c r="CU432" s="192"/>
      <c r="CW432" s="192"/>
      <c r="DH432" s="192"/>
      <c r="DS432" s="192"/>
      <c r="ED432" s="192"/>
      <c r="EE432" s="192"/>
      <c r="EF432" s="192"/>
      <c r="EG432" s="192"/>
      <c r="EH432" s="192"/>
      <c r="EI432" s="192"/>
      <c r="EJ432" s="192"/>
      <c r="EK432" s="192"/>
      <c r="EL432" s="192"/>
      <c r="EM432" s="192"/>
      <c r="EO432" s="192"/>
      <c r="EZ432" s="192"/>
      <c r="FK432" s="192"/>
      <c r="FV432" s="192"/>
      <c r="FW432" s="192"/>
      <c r="FX432" s="192"/>
      <c r="FY432" s="192"/>
      <c r="FZ432" s="192"/>
      <c r="GA432" s="192"/>
      <c r="GB432" s="192"/>
      <c r="GC432" s="192"/>
      <c r="GD432" s="192"/>
      <c r="GE432" s="192"/>
      <c r="GG432" s="192"/>
      <c r="GV432" s="191"/>
      <c r="HA432" s="191"/>
      <c r="HF432" s="191"/>
      <c r="HK432" s="191"/>
      <c r="HP432" s="191"/>
      <c r="HU432" s="191"/>
      <c r="HZ432" s="191"/>
      <c r="IE432" s="191"/>
      <c r="IJ432" s="191"/>
      <c r="IO432" s="191"/>
      <c r="IT432" s="191"/>
    </row>
    <row r="433" spans="1:256" x14ac:dyDescent="0.2">
      <c r="A433" s="204"/>
      <c r="B433" s="192"/>
      <c r="M433" s="192"/>
      <c r="X433" s="192"/>
      <c r="AI433" s="192"/>
      <c r="AT433" s="192"/>
      <c r="AU433" s="192"/>
      <c r="AV433" s="192"/>
      <c r="AW433" s="192"/>
      <c r="AX433" s="192"/>
      <c r="AY433" s="192"/>
      <c r="AZ433" s="192"/>
      <c r="BA433" s="192"/>
      <c r="BB433" s="192"/>
      <c r="BC433" s="192"/>
      <c r="BE433" s="192"/>
      <c r="BP433" s="192"/>
      <c r="CA433" s="192"/>
      <c r="CL433" s="192"/>
      <c r="CM433" s="192"/>
      <c r="CN433" s="192"/>
      <c r="CO433" s="192"/>
      <c r="CP433" s="192"/>
      <c r="CQ433" s="192"/>
      <c r="CR433" s="192"/>
      <c r="CS433" s="192"/>
      <c r="CT433" s="192"/>
      <c r="CU433" s="192"/>
      <c r="CW433" s="192"/>
      <c r="DH433" s="192"/>
      <c r="DS433" s="192"/>
      <c r="ED433" s="192"/>
      <c r="EE433" s="192"/>
      <c r="EF433" s="192"/>
      <c r="EG433" s="192"/>
      <c r="EH433" s="192"/>
      <c r="EI433" s="192"/>
      <c r="EJ433" s="192"/>
      <c r="EK433" s="192"/>
      <c r="EL433" s="192"/>
      <c r="EM433" s="192"/>
      <c r="EO433" s="192"/>
      <c r="EZ433" s="192"/>
      <c r="FK433" s="192"/>
      <c r="FV433" s="192"/>
      <c r="FW433" s="192"/>
      <c r="FX433" s="192"/>
      <c r="FY433" s="192"/>
      <c r="FZ433" s="192"/>
      <c r="GA433" s="192"/>
      <c r="GB433" s="192"/>
      <c r="GC433" s="192"/>
      <c r="GD433" s="192"/>
      <c r="GE433" s="192"/>
      <c r="GG433" s="192"/>
      <c r="GV433" s="191"/>
      <c r="HA433" s="191"/>
      <c r="HF433" s="191"/>
      <c r="HK433" s="191"/>
      <c r="HP433" s="191"/>
      <c r="HU433" s="191"/>
      <c r="HZ433" s="191"/>
      <c r="IE433" s="191"/>
      <c r="IJ433" s="191"/>
      <c r="IO433" s="191"/>
      <c r="IT433" s="191"/>
    </row>
    <row r="434" spans="1:256" x14ac:dyDescent="0.2">
      <c r="A434" s="204"/>
      <c r="B434" s="192"/>
      <c r="M434" s="192"/>
      <c r="X434" s="192"/>
      <c r="AI434" s="192"/>
      <c r="AT434" s="192"/>
      <c r="BE434" s="192"/>
      <c r="BP434" s="192"/>
      <c r="CA434" s="192"/>
      <c r="CL434" s="192"/>
      <c r="CW434" s="192"/>
      <c r="DH434" s="192"/>
      <c r="DS434" s="192"/>
      <c r="ED434" s="192"/>
      <c r="EO434" s="192"/>
      <c r="EZ434" s="192"/>
      <c r="FK434" s="192"/>
      <c r="FV434" s="192"/>
      <c r="GG434" s="192"/>
      <c r="GV434" s="191"/>
      <c r="HA434" s="191"/>
      <c r="HF434" s="191"/>
      <c r="HK434" s="191"/>
      <c r="HP434" s="191"/>
      <c r="HU434" s="191"/>
      <c r="HZ434" s="191"/>
      <c r="IE434" s="191"/>
      <c r="IJ434" s="191"/>
      <c r="IO434" s="191"/>
      <c r="IT434" s="191"/>
    </row>
    <row r="435" spans="1:256" x14ac:dyDescent="0.2">
      <c r="A435" s="204"/>
      <c r="B435" s="214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4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4"/>
      <c r="Y435" s="215"/>
      <c r="Z435" s="215"/>
      <c r="AA435" s="215"/>
      <c r="AB435" s="215"/>
      <c r="AC435" s="215"/>
      <c r="AD435" s="215"/>
      <c r="AE435" s="215"/>
      <c r="AF435" s="215"/>
      <c r="AG435" s="215"/>
      <c r="AH435" s="215"/>
      <c r="AI435" s="214"/>
      <c r="AJ435" s="215"/>
      <c r="AK435" s="215"/>
      <c r="AL435" s="215"/>
      <c r="AM435" s="215"/>
      <c r="AN435" s="215"/>
      <c r="AO435" s="215"/>
      <c r="AP435" s="215"/>
      <c r="AQ435" s="215"/>
      <c r="AR435" s="215"/>
      <c r="AS435" s="215"/>
      <c r="AT435" s="214"/>
      <c r="AU435" s="215"/>
      <c r="AV435" s="215"/>
      <c r="AW435" s="215"/>
      <c r="AX435" s="215"/>
      <c r="AY435" s="215"/>
      <c r="AZ435" s="215"/>
      <c r="BA435" s="215"/>
      <c r="BB435" s="215"/>
      <c r="BC435" s="215"/>
      <c r="BD435" s="215"/>
      <c r="BE435" s="214"/>
      <c r="BF435" s="215"/>
      <c r="BG435" s="215"/>
      <c r="BH435" s="215"/>
      <c r="BI435" s="215"/>
      <c r="BJ435" s="215"/>
      <c r="BK435" s="215"/>
      <c r="BL435" s="215"/>
      <c r="BM435" s="215"/>
      <c r="BN435" s="215"/>
      <c r="BO435" s="215"/>
      <c r="BP435" s="214"/>
      <c r="BQ435" s="215"/>
      <c r="BR435" s="215"/>
      <c r="BS435" s="215"/>
      <c r="BT435" s="215"/>
      <c r="BU435" s="215"/>
      <c r="BV435" s="215"/>
      <c r="BW435" s="215"/>
      <c r="BX435" s="215"/>
      <c r="BY435" s="215"/>
      <c r="BZ435" s="215"/>
      <c r="CA435" s="214"/>
      <c r="CB435" s="215"/>
      <c r="CC435" s="215"/>
      <c r="CD435" s="215"/>
      <c r="CE435" s="215"/>
      <c r="CF435" s="215"/>
      <c r="CG435" s="215"/>
      <c r="CH435" s="215"/>
      <c r="CI435" s="215"/>
      <c r="CJ435" s="215"/>
      <c r="CK435" s="215"/>
      <c r="CL435" s="214"/>
      <c r="CM435" s="215"/>
      <c r="CN435" s="215"/>
      <c r="CO435" s="215"/>
      <c r="CP435" s="215"/>
      <c r="CQ435" s="215"/>
      <c r="CR435" s="215"/>
      <c r="CS435" s="215"/>
      <c r="CT435" s="215"/>
      <c r="CU435" s="215"/>
      <c r="CV435" s="215"/>
      <c r="CW435" s="214"/>
      <c r="CX435" s="215"/>
      <c r="CY435" s="215"/>
      <c r="CZ435" s="215"/>
      <c r="DA435" s="215"/>
      <c r="DB435" s="215"/>
      <c r="DC435" s="215"/>
      <c r="DD435" s="215"/>
      <c r="DE435" s="215"/>
      <c r="DF435" s="215"/>
      <c r="DG435" s="215"/>
      <c r="DH435" s="214"/>
      <c r="DI435" s="215"/>
      <c r="DJ435" s="215"/>
      <c r="DK435" s="215"/>
      <c r="DL435" s="215"/>
      <c r="DM435" s="215"/>
      <c r="DN435" s="215"/>
      <c r="DO435" s="215"/>
      <c r="DP435" s="215"/>
      <c r="DQ435" s="215"/>
      <c r="DR435" s="215"/>
      <c r="DS435" s="214"/>
      <c r="DT435" s="215"/>
      <c r="DU435" s="215"/>
      <c r="DV435" s="215"/>
      <c r="DW435" s="215"/>
      <c r="DX435" s="215"/>
      <c r="DY435" s="215"/>
      <c r="DZ435" s="215"/>
      <c r="EA435" s="215"/>
      <c r="EB435" s="215"/>
      <c r="EC435" s="215"/>
      <c r="ED435" s="214"/>
      <c r="EE435" s="215"/>
      <c r="EF435" s="215"/>
      <c r="EG435" s="215"/>
      <c r="EH435" s="215"/>
      <c r="EI435" s="215"/>
      <c r="EJ435" s="215"/>
      <c r="EK435" s="215"/>
      <c r="EL435" s="215"/>
      <c r="EM435" s="215"/>
      <c r="EN435" s="215"/>
      <c r="EO435" s="214"/>
      <c r="EP435" s="215"/>
      <c r="EQ435" s="215"/>
      <c r="ER435" s="215"/>
      <c r="ES435" s="215"/>
      <c r="ET435" s="215"/>
      <c r="EU435" s="215"/>
      <c r="EV435" s="215"/>
      <c r="EW435" s="215"/>
      <c r="EX435" s="215"/>
      <c r="EY435" s="215"/>
      <c r="EZ435" s="214"/>
      <c r="FA435" s="215"/>
      <c r="FB435" s="215"/>
      <c r="FC435" s="215"/>
      <c r="FD435" s="215"/>
      <c r="FE435" s="215"/>
      <c r="FF435" s="215"/>
      <c r="FG435" s="215"/>
      <c r="FH435" s="215"/>
      <c r="FI435" s="215"/>
      <c r="FJ435" s="215"/>
      <c r="FK435" s="214"/>
      <c r="FL435" s="215"/>
      <c r="FM435" s="215"/>
      <c r="FN435" s="215"/>
      <c r="FO435" s="215"/>
      <c r="FP435" s="215"/>
      <c r="FQ435" s="215"/>
      <c r="FR435" s="215"/>
      <c r="FS435" s="215"/>
      <c r="FT435" s="215"/>
      <c r="FU435" s="215"/>
      <c r="FV435" s="214"/>
      <c r="FW435" s="215"/>
      <c r="FX435" s="215"/>
      <c r="FY435" s="215"/>
      <c r="FZ435" s="215"/>
      <c r="GA435" s="215"/>
      <c r="GB435" s="215"/>
      <c r="GC435" s="215"/>
      <c r="GD435" s="215"/>
      <c r="GE435" s="215"/>
      <c r="GF435" s="215"/>
      <c r="GG435" s="214"/>
      <c r="GH435" s="215"/>
      <c r="GI435" s="215"/>
      <c r="GJ435" s="215"/>
      <c r="GK435" s="215"/>
      <c r="GL435" s="215"/>
      <c r="GM435" s="215"/>
      <c r="GN435" s="215"/>
      <c r="GO435" s="215"/>
      <c r="GP435" s="215"/>
      <c r="GQ435" s="215"/>
      <c r="GR435" s="215"/>
      <c r="GS435" s="215"/>
      <c r="GT435" s="215"/>
      <c r="GU435" s="215"/>
      <c r="GV435" s="215"/>
      <c r="GW435" s="215"/>
      <c r="GX435" s="215"/>
      <c r="GY435" s="215"/>
      <c r="GZ435" s="215"/>
      <c r="HA435" s="215"/>
      <c r="HB435" s="215"/>
      <c r="HC435" s="215"/>
      <c r="HD435" s="215"/>
      <c r="HE435" s="215"/>
      <c r="HF435" s="215"/>
      <c r="HG435" s="215"/>
      <c r="HH435" s="215"/>
      <c r="HI435" s="215"/>
      <c r="HJ435" s="215"/>
      <c r="HK435" s="215"/>
      <c r="HL435" s="215"/>
      <c r="HM435" s="215"/>
      <c r="HN435" s="215"/>
      <c r="HO435" s="215"/>
      <c r="HP435" s="215"/>
      <c r="HQ435" s="215"/>
      <c r="HR435" s="215"/>
      <c r="HS435" s="215"/>
      <c r="HT435" s="215"/>
      <c r="HU435" s="215"/>
      <c r="HV435" s="215"/>
      <c r="HW435" s="215"/>
      <c r="HX435" s="215"/>
      <c r="HY435" s="215"/>
      <c r="HZ435" s="215"/>
      <c r="IA435" s="215"/>
      <c r="IB435" s="215"/>
      <c r="IC435" s="215"/>
      <c r="ID435" s="215"/>
      <c r="IE435" s="215"/>
      <c r="IF435" s="215"/>
      <c r="IG435" s="215"/>
      <c r="IH435" s="215"/>
      <c r="II435" s="215"/>
      <c r="IJ435" s="215"/>
      <c r="IK435" s="215"/>
      <c r="IL435" s="215"/>
      <c r="IM435" s="215"/>
      <c r="IN435" s="215"/>
      <c r="IO435" s="215"/>
      <c r="IP435" s="215"/>
      <c r="IQ435" s="215"/>
      <c r="IR435" s="215"/>
      <c r="IS435" s="215"/>
      <c r="IT435" s="215"/>
      <c r="IU435" s="215"/>
      <c r="IV435" s="215"/>
    </row>
    <row r="436" spans="1:256" x14ac:dyDescent="0.2">
      <c r="A436" s="204"/>
      <c r="B436" s="216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6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6"/>
      <c r="Y436" s="213"/>
      <c r="Z436" s="213"/>
      <c r="AA436" s="213"/>
      <c r="AB436" s="213"/>
      <c r="AC436" s="213"/>
      <c r="AD436" s="213"/>
      <c r="AE436" s="213"/>
      <c r="AF436" s="213"/>
      <c r="AG436" s="213"/>
      <c r="AH436" s="213"/>
      <c r="AI436" s="216"/>
      <c r="AJ436" s="213"/>
      <c r="AK436" s="213"/>
      <c r="AL436" s="213"/>
      <c r="AM436" s="213"/>
      <c r="AN436" s="213"/>
      <c r="AO436" s="213"/>
      <c r="AP436" s="213"/>
      <c r="AQ436" s="213"/>
      <c r="AR436" s="213"/>
      <c r="AS436" s="213"/>
      <c r="AT436" s="216"/>
      <c r="AU436" s="213"/>
      <c r="AV436" s="213"/>
      <c r="AW436" s="213"/>
      <c r="AX436" s="213"/>
      <c r="AY436" s="213"/>
      <c r="AZ436" s="213"/>
      <c r="BA436" s="213"/>
      <c r="BB436" s="213"/>
      <c r="BC436" s="213"/>
      <c r="BD436" s="213"/>
      <c r="BE436" s="216"/>
      <c r="BF436" s="213"/>
      <c r="BG436" s="213"/>
      <c r="BH436" s="213"/>
      <c r="BI436" s="213"/>
      <c r="BJ436" s="213"/>
      <c r="BK436" s="213"/>
      <c r="BL436" s="213"/>
      <c r="BM436" s="213"/>
      <c r="BN436" s="213"/>
      <c r="BO436" s="213"/>
      <c r="BP436" s="216"/>
      <c r="BQ436" s="213"/>
      <c r="BR436" s="213"/>
      <c r="BS436" s="213"/>
      <c r="BT436" s="213"/>
      <c r="BU436" s="213"/>
      <c r="BV436" s="213"/>
      <c r="BW436" s="213"/>
      <c r="BX436" s="213"/>
      <c r="BY436" s="213"/>
      <c r="BZ436" s="213"/>
      <c r="CA436" s="216"/>
      <c r="CB436" s="213"/>
      <c r="CC436" s="213"/>
      <c r="CD436" s="213"/>
      <c r="CE436" s="213"/>
      <c r="CF436" s="213"/>
      <c r="CG436" s="213"/>
      <c r="CH436" s="213"/>
      <c r="CI436" s="213"/>
      <c r="CJ436" s="213"/>
      <c r="CK436" s="213"/>
      <c r="CL436" s="216"/>
      <c r="CM436" s="213"/>
      <c r="CN436" s="213"/>
      <c r="CO436" s="213"/>
      <c r="CP436" s="213"/>
      <c r="CQ436" s="213"/>
      <c r="CR436" s="213"/>
      <c r="CS436" s="213"/>
      <c r="CT436" s="213"/>
      <c r="CU436" s="213"/>
      <c r="CV436" s="213"/>
      <c r="CW436" s="216"/>
      <c r="CX436" s="213"/>
      <c r="CY436" s="213"/>
      <c r="CZ436" s="213"/>
      <c r="DA436" s="213"/>
      <c r="DB436" s="213"/>
      <c r="DC436" s="213"/>
      <c r="DD436" s="213"/>
      <c r="DE436" s="213"/>
      <c r="DF436" s="213"/>
      <c r="DG436" s="213"/>
      <c r="DH436" s="216"/>
      <c r="DI436" s="213"/>
      <c r="DJ436" s="213"/>
      <c r="DK436" s="213"/>
      <c r="DL436" s="213"/>
      <c r="DM436" s="213"/>
      <c r="DN436" s="213"/>
      <c r="DO436" s="213"/>
      <c r="DP436" s="213"/>
      <c r="DQ436" s="213"/>
      <c r="DR436" s="213"/>
      <c r="DS436" s="216"/>
      <c r="DT436" s="213"/>
      <c r="DU436" s="213"/>
      <c r="DV436" s="213"/>
      <c r="DW436" s="213"/>
      <c r="DX436" s="213"/>
      <c r="DY436" s="213"/>
      <c r="DZ436" s="213"/>
      <c r="EA436" s="213"/>
      <c r="EB436" s="213"/>
      <c r="EC436" s="213"/>
      <c r="ED436" s="216"/>
      <c r="EE436" s="213"/>
      <c r="EF436" s="213"/>
      <c r="EG436" s="213"/>
      <c r="EH436" s="213"/>
      <c r="EI436" s="213"/>
      <c r="EJ436" s="213"/>
      <c r="EK436" s="213"/>
      <c r="EL436" s="213"/>
      <c r="EM436" s="213"/>
      <c r="EN436" s="213"/>
      <c r="EO436" s="216"/>
      <c r="EP436" s="213"/>
      <c r="EQ436" s="213"/>
      <c r="ER436" s="213"/>
      <c r="ES436" s="213"/>
      <c r="ET436" s="213"/>
      <c r="EU436" s="213"/>
      <c r="EV436" s="213"/>
      <c r="EW436" s="213"/>
      <c r="EX436" s="213"/>
      <c r="EY436" s="213"/>
      <c r="EZ436" s="216"/>
      <c r="FA436" s="213"/>
      <c r="FB436" s="213"/>
      <c r="FC436" s="213"/>
      <c r="FD436" s="213"/>
      <c r="FE436" s="213"/>
      <c r="FF436" s="213"/>
      <c r="FG436" s="213"/>
      <c r="FH436" s="213"/>
      <c r="FI436" s="213"/>
      <c r="FJ436" s="213"/>
      <c r="FK436" s="216"/>
      <c r="FL436" s="213"/>
      <c r="FM436" s="213"/>
      <c r="FN436" s="213"/>
      <c r="FO436" s="213"/>
      <c r="FP436" s="213"/>
      <c r="FQ436" s="213"/>
      <c r="FR436" s="213"/>
      <c r="FS436" s="213"/>
      <c r="FT436" s="213"/>
      <c r="FU436" s="213"/>
      <c r="FV436" s="216"/>
      <c r="FW436" s="213"/>
      <c r="FX436" s="213"/>
      <c r="FY436" s="213"/>
      <c r="FZ436" s="213"/>
      <c r="GA436" s="213"/>
      <c r="GB436" s="213"/>
      <c r="GC436" s="213"/>
      <c r="GD436" s="213"/>
      <c r="GE436" s="213"/>
      <c r="GF436" s="213"/>
      <c r="GG436" s="216"/>
      <c r="GH436" s="213"/>
      <c r="GI436" s="213"/>
      <c r="GJ436" s="213"/>
      <c r="GK436" s="213"/>
      <c r="GL436" s="213"/>
      <c r="GM436" s="213"/>
      <c r="GN436" s="213"/>
      <c r="GO436" s="213"/>
      <c r="GP436" s="213"/>
      <c r="GQ436" s="213"/>
      <c r="GR436" s="213"/>
      <c r="GS436" s="213"/>
      <c r="GT436" s="213"/>
      <c r="GU436" s="213"/>
      <c r="GV436" s="213"/>
      <c r="GW436" s="213"/>
      <c r="GX436" s="213"/>
      <c r="GY436" s="213"/>
      <c r="GZ436" s="213"/>
      <c r="HA436" s="213"/>
      <c r="HB436" s="213"/>
      <c r="HC436" s="213"/>
      <c r="HD436" s="213"/>
      <c r="HE436" s="213"/>
      <c r="HF436" s="213"/>
      <c r="HG436" s="213"/>
      <c r="HH436" s="213"/>
      <c r="HI436" s="213"/>
      <c r="HJ436" s="213"/>
      <c r="HK436" s="213"/>
      <c r="HL436" s="213"/>
      <c r="HM436" s="213"/>
      <c r="HN436" s="213"/>
      <c r="HO436" s="213"/>
      <c r="HP436" s="213"/>
      <c r="HQ436" s="213"/>
      <c r="HR436" s="213"/>
      <c r="HS436" s="213"/>
      <c r="HT436" s="213"/>
      <c r="HU436" s="213"/>
      <c r="HV436" s="213"/>
      <c r="HW436" s="213"/>
      <c r="HX436" s="213"/>
      <c r="HY436" s="213"/>
      <c r="HZ436" s="213"/>
      <c r="IA436" s="213"/>
      <c r="IB436" s="213"/>
      <c r="IC436" s="213"/>
      <c r="ID436" s="213"/>
      <c r="IE436" s="213"/>
      <c r="IF436" s="213"/>
      <c r="IG436" s="213"/>
      <c r="IH436" s="213"/>
      <c r="II436" s="213"/>
      <c r="IJ436" s="213"/>
      <c r="IK436" s="213"/>
      <c r="IL436" s="213"/>
      <c r="IM436" s="213"/>
      <c r="IN436" s="213"/>
      <c r="IO436" s="213"/>
      <c r="IP436" s="213"/>
      <c r="IQ436" s="213"/>
      <c r="IR436" s="213"/>
      <c r="IS436" s="213"/>
      <c r="IT436" s="213"/>
      <c r="IU436" s="213"/>
      <c r="IV436" s="213"/>
    </row>
    <row r="437" spans="1:256" x14ac:dyDescent="0.2">
      <c r="A437" s="204"/>
      <c r="B437" s="216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6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6"/>
      <c r="Y437" s="213"/>
      <c r="Z437" s="213"/>
      <c r="AA437" s="213"/>
      <c r="AB437" s="213"/>
      <c r="AC437" s="213"/>
      <c r="AD437" s="213"/>
      <c r="AE437" s="213"/>
      <c r="AF437" s="213"/>
      <c r="AG437" s="213"/>
      <c r="AH437" s="213"/>
      <c r="AI437" s="216"/>
      <c r="AJ437" s="213"/>
      <c r="AK437" s="213"/>
      <c r="AL437" s="213"/>
      <c r="AM437" s="213"/>
      <c r="AN437" s="213"/>
      <c r="AO437" s="213"/>
      <c r="AP437" s="213"/>
      <c r="AQ437" s="213"/>
      <c r="AR437" s="213"/>
      <c r="AS437" s="213"/>
      <c r="AT437" s="216"/>
      <c r="AU437" s="213"/>
      <c r="AV437" s="213"/>
      <c r="AW437" s="213"/>
      <c r="AX437" s="213"/>
      <c r="AY437" s="213"/>
      <c r="AZ437" s="213"/>
      <c r="BA437" s="213"/>
      <c r="BB437" s="213"/>
      <c r="BC437" s="213"/>
      <c r="BD437" s="213"/>
      <c r="BE437" s="216"/>
      <c r="BF437" s="213"/>
      <c r="BG437" s="213"/>
      <c r="BH437" s="213"/>
      <c r="BI437" s="213"/>
      <c r="BJ437" s="213"/>
      <c r="BK437" s="213"/>
      <c r="BL437" s="213"/>
      <c r="BM437" s="213"/>
      <c r="BN437" s="213"/>
      <c r="BO437" s="213"/>
      <c r="BP437" s="216"/>
      <c r="BQ437" s="213"/>
      <c r="BR437" s="213"/>
      <c r="BS437" s="213"/>
      <c r="BT437" s="213"/>
      <c r="BU437" s="213"/>
      <c r="BV437" s="213"/>
      <c r="BW437" s="213"/>
      <c r="BX437" s="213"/>
      <c r="BY437" s="213"/>
      <c r="BZ437" s="213"/>
      <c r="CA437" s="216"/>
      <c r="CB437" s="213"/>
      <c r="CC437" s="213"/>
      <c r="CD437" s="213"/>
      <c r="CE437" s="213"/>
      <c r="CF437" s="213"/>
      <c r="CG437" s="213"/>
      <c r="CH437" s="213"/>
      <c r="CI437" s="213"/>
      <c r="CJ437" s="213"/>
      <c r="CK437" s="213"/>
      <c r="CL437" s="216"/>
      <c r="CM437" s="213"/>
      <c r="CN437" s="213"/>
      <c r="CO437" s="213"/>
      <c r="CP437" s="213"/>
      <c r="CQ437" s="213"/>
      <c r="CR437" s="213"/>
      <c r="CS437" s="213"/>
      <c r="CT437" s="213"/>
      <c r="CU437" s="213"/>
      <c r="CV437" s="213"/>
      <c r="CW437" s="216"/>
      <c r="CX437" s="213"/>
      <c r="CY437" s="213"/>
      <c r="CZ437" s="213"/>
      <c r="DA437" s="213"/>
      <c r="DB437" s="213"/>
      <c r="DC437" s="213"/>
      <c r="DD437" s="213"/>
      <c r="DE437" s="213"/>
      <c r="DF437" s="213"/>
      <c r="DG437" s="213"/>
      <c r="DH437" s="216"/>
      <c r="DI437" s="213"/>
      <c r="DJ437" s="213"/>
      <c r="DK437" s="213"/>
      <c r="DL437" s="213"/>
      <c r="DM437" s="213"/>
      <c r="DN437" s="213"/>
      <c r="DO437" s="213"/>
      <c r="DP437" s="213"/>
      <c r="DQ437" s="213"/>
      <c r="DR437" s="213"/>
      <c r="DS437" s="216"/>
      <c r="DT437" s="213"/>
      <c r="DU437" s="213"/>
      <c r="DV437" s="213"/>
      <c r="DW437" s="213"/>
      <c r="DX437" s="213"/>
      <c r="DY437" s="213"/>
      <c r="DZ437" s="213"/>
      <c r="EA437" s="213"/>
      <c r="EB437" s="213"/>
      <c r="EC437" s="213"/>
      <c r="ED437" s="216"/>
      <c r="EE437" s="213"/>
      <c r="EF437" s="213"/>
      <c r="EG437" s="213"/>
      <c r="EH437" s="213"/>
      <c r="EI437" s="213"/>
      <c r="EJ437" s="213"/>
      <c r="EK437" s="213"/>
      <c r="EL437" s="213"/>
      <c r="EM437" s="213"/>
      <c r="EN437" s="213"/>
      <c r="EO437" s="216"/>
      <c r="EP437" s="213"/>
      <c r="EQ437" s="213"/>
      <c r="ER437" s="213"/>
      <c r="ES437" s="213"/>
      <c r="ET437" s="213"/>
      <c r="EU437" s="213"/>
      <c r="EV437" s="213"/>
      <c r="EW437" s="213"/>
      <c r="EX437" s="213"/>
      <c r="EY437" s="213"/>
      <c r="EZ437" s="216"/>
      <c r="FA437" s="213"/>
      <c r="FB437" s="213"/>
      <c r="FC437" s="213"/>
      <c r="FD437" s="213"/>
      <c r="FE437" s="213"/>
      <c r="FF437" s="213"/>
      <c r="FG437" s="213"/>
      <c r="FH437" s="213"/>
      <c r="FI437" s="213"/>
      <c r="FJ437" s="213"/>
      <c r="FK437" s="216"/>
      <c r="FL437" s="213"/>
      <c r="FM437" s="213"/>
      <c r="FN437" s="213"/>
      <c r="FO437" s="213"/>
      <c r="FP437" s="213"/>
      <c r="FQ437" s="213"/>
      <c r="FR437" s="213"/>
      <c r="FS437" s="213"/>
      <c r="FT437" s="213"/>
      <c r="FU437" s="213"/>
      <c r="FV437" s="216"/>
      <c r="FW437" s="213"/>
      <c r="FX437" s="213"/>
      <c r="FY437" s="213"/>
      <c r="FZ437" s="213"/>
      <c r="GA437" s="213"/>
      <c r="GB437" s="213"/>
      <c r="GC437" s="213"/>
      <c r="GD437" s="213"/>
      <c r="GE437" s="213"/>
      <c r="GF437" s="213"/>
      <c r="GG437" s="216"/>
      <c r="GH437" s="213"/>
      <c r="GI437" s="213"/>
      <c r="GJ437" s="213"/>
      <c r="GK437" s="213"/>
      <c r="GL437" s="213"/>
      <c r="GM437" s="213"/>
      <c r="GN437" s="213"/>
      <c r="GO437" s="213"/>
      <c r="GP437" s="213"/>
      <c r="GQ437" s="213"/>
      <c r="GR437" s="213"/>
      <c r="GS437" s="213"/>
      <c r="GT437" s="213"/>
      <c r="GU437" s="213"/>
      <c r="GV437" s="213"/>
      <c r="GW437" s="213"/>
      <c r="GX437" s="213"/>
      <c r="GY437" s="213"/>
      <c r="GZ437" s="213"/>
      <c r="HA437" s="213"/>
      <c r="HB437" s="213"/>
      <c r="HC437" s="213"/>
      <c r="HD437" s="213"/>
      <c r="HE437" s="213"/>
      <c r="HF437" s="213"/>
      <c r="HG437" s="213"/>
      <c r="HH437" s="213"/>
      <c r="HI437" s="213"/>
      <c r="HJ437" s="213"/>
      <c r="HK437" s="213"/>
      <c r="HL437" s="213"/>
      <c r="HM437" s="213"/>
      <c r="HN437" s="213"/>
      <c r="HO437" s="213"/>
      <c r="HP437" s="213"/>
      <c r="HQ437" s="213"/>
      <c r="HR437" s="213"/>
      <c r="HS437" s="213"/>
      <c r="HT437" s="213"/>
      <c r="HU437" s="213"/>
      <c r="HV437" s="213"/>
      <c r="HW437" s="213"/>
      <c r="HX437" s="213"/>
      <c r="HY437" s="213"/>
      <c r="HZ437" s="213"/>
      <c r="IA437" s="213"/>
      <c r="IB437" s="213"/>
      <c r="IC437" s="213"/>
      <c r="ID437" s="213"/>
      <c r="IE437" s="213"/>
      <c r="IF437" s="213"/>
      <c r="IG437" s="213"/>
      <c r="IH437" s="213"/>
      <c r="II437" s="213"/>
      <c r="IJ437" s="213"/>
      <c r="IK437" s="213"/>
      <c r="IL437" s="213"/>
      <c r="IM437" s="213"/>
      <c r="IN437" s="213"/>
      <c r="IO437" s="213"/>
      <c r="IP437" s="213"/>
      <c r="IQ437" s="213"/>
      <c r="IR437" s="213"/>
      <c r="IS437" s="213"/>
      <c r="IT437" s="213"/>
      <c r="IU437" s="213"/>
      <c r="IV437" s="213"/>
    </row>
    <row r="438" spans="1:256" x14ac:dyDescent="0.2">
      <c r="A438" s="204"/>
      <c r="B438" s="192"/>
      <c r="M438" s="192"/>
      <c r="X438" s="192"/>
      <c r="AI438" s="192"/>
      <c r="AT438" s="192"/>
      <c r="AU438" s="192"/>
      <c r="AV438" s="192"/>
      <c r="AW438" s="192"/>
      <c r="AX438" s="192"/>
      <c r="AY438" s="192"/>
      <c r="AZ438" s="192"/>
      <c r="BA438" s="192"/>
      <c r="BB438" s="192"/>
      <c r="BC438" s="192"/>
      <c r="BE438" s="192"/>
      <c r="BP438" s="192"/>
      <c r="CA438" s="192"/>
      <c r="CL438" s="192"/>
      <c r="CM438" s="192"/>
      <c r="CN438" s="192"/>
      <c r="CO438" s="192"/>
      <c r="CP438" s="192"/>
      <c r="CQ438" s="192"/>
      <c r="CR438" s="192"/>
      <c r="CS438" s="192"/>
      <c r="CT438" s="192"/>
      <c r="CU438" s="192"/>
      <c r="CW438" s="192"/>
      <c r="DH438" s="192"/>
      <c r="DS438" s="192"/>
      <c r="ED438" s="192"/>
      <c r="EE438" s="192"/>
      <c r="EF438" s="192"/>
      <c r="EG438" s="192"/>
      <c r="EH438" s="192"/>
      <c r="EI438" s="192"/>
      <c r="EJ438" s="192"/>
      <c r="EK438" s="192"/>
      <c r="EL438" s="192"/>
      <c r="EM438" s="192"/>
      <c r="EO438" s="192"/>
      <c r="EZ438" s="192"/>
      <c r="FK438" s="192"/>
      <c r="FV438" s="192"/>
      <c r="FW438" s="192"/>
      <c r="FX438" s="192"/>
      <c r="FY438" s="192"/>
      <c r="FZ438" s="192"/>
      <c r="GA438" s="192"/>
      <c r="GB438" s="192"/>
      <c r="GC438" s="192"/>
      <c r="GD438" s="192"/>
      <c r="GE438" s="192"/>
      <c r="GG438" s="192"/>
      <c r="GV438" s="191"/>
      <c r="HA438" s="191"/>
      <c r="HF438" s="191"/>
      <c r="HK438" s="191"/>
      <c r="HP438" s="191"/>
      <c r="HU438" s="191"/>
      <c r="HZ438" s="191"/>
      <c r="IE438" s="191"/>
      <c r="IJ438" s="191"/>
      <c r="IO438" s="191"/>
      <c r="IT438" s="191"/>
    </row>
    <row r="439" spans="1:256" x14ac:dyDescent="0.2">
      <c r="A439" s="204"/>
      <c r="B439" s="192"/>
      <c r="M439" s="192"/>
      <c r="X439" s="192"/>
      <c r="AI439" s="192"/>
      <c r="AT439" s="192"/>
      <c r="AU439" s="192"/>
      <c r="AV439" s="192"/>
      <c r="AW439" s="192"/>
      <c r="AX439" s="192"/>
      <c r="AY439" s="192"/>
      <c r="AZ439" s="192"/>
      <c r="BA439" s="192"/>
      <c r="BB439" s="192"/>
      <c r="BC439" s="192"/>
      <c r="BE439" s="192"/>
      <c r="BP439" s="192"/>
      <c r="CA439" s="192"/>
      <c r="CL439" s="192"/>
      <c r="CM439" s="192"/>
      <c r="CN439" s="192"/>
      <c r="CO439" s="192"/>
      <c r="CP439" s="192"/>
      <c r="CQ439" s="192"/>
      <c r="CR439" s="192"/>
      <c r="CS439" s="192"/>
      <c r="CT439" s="192"/>
      <c r="CU439" s="192"/>
      <c r="CW439" s="192"/>
      <c r="DH439" s="192"/>
      <c r="DS439" s="192"/>
      <c r="ED439" s="192"/>
      <c r="EE439" s="192"/>
      <c r="EF439" s="192"/>
      <c r="EG439" s="192"/>
      <c r="EH439" s="192"/>
      <c r="EI439" s="192"/>
      <c r="EJ439" s="192"/>
      <c r="EK439" s="192"/>
      <c r="EL439" s="192"/>
      <c r="EM439" s="192"/>
      <c r="EO439" s="192"/>
      <c r="EZ439" s="192"/>
      <c r="FK439" s="192"/>
      <c r="FV439" s="192"/>
      <c r="FW439" s="192"/>
      <c r="FX439" s="192"/>
      <c r="FY439" s="192"/>
      <c r="FZ439" s="192"/>
      <c r="GA439" s="192"/>
      <c r="GB439" s="192"/>
      <c r="GC439" s="192"/>
      <c r="GD439" s="192"/>
      <c r="GE439" s="192"/>
      <c r="GG439" s="192"/>
      <c r="GV439" s="191"/>
      <c r="HA439" s="191"/>
      <c r="HF439" s="191"/>
      <c r="HK439" s="191"/>
      <c r="HP439" s="191"/>
      <c r="HU439" s="191"/>
      <c r="HZ439" s="191"/>
      <c r="IE439" s="191"/>
      <c r="IJ439" s="191"/>
      <c r="IO439" s="191"/>
      <c r="IT439" s="191"/>
    </row>
    <row r="440" spans="1:256" x14ac:dyDescent="0.2">
      <c r="A440" s="204"/>
      <c r="B440" s="217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7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7"/>
      <c r="Y440" s="218"/>
      <c r="Z440" s="218"/>
      <c r="AA440" s="218"/>
      <c r="AB440" s="218"/>
      <c r="AC440" s="218"/>
      <c r="AD440" s="218"/>
      <c r="AE440" s="218"/>
      <c r="AF440" s="218"/>
      <c r="AG440" s="218"/>
      <c r="AH440" s="218"/>
      <c r="AI440" s="217"/>
      <c r="AJ440" s="218"/>
      <c r="AK440" s="218"/>
      <c r="AL440" s="218"/>
      <c r="AM440" s="218"/>
      <c r="AN440" s="218"/>
      <c r="AO440" s="218"/>
      <c r="AP440" s="218"/>
      <c r="AQ440" s="218"/>
      <c r="AR440" s="218"/>
      <c r="AS440" s="218"/>
      <c r="AT440" s="217"/>
      <c r="AU440" s="218"/>
      <c r="AV440" s="218"/>
      <c r="AW440" s="218"/>
      <c r="AX440" s="218"/>
      <c r="AY440" s="218"/>
      <c r="AZ440" s="218"/>
      <c r="BA440" s="218"/>
      <c r="BB440" s="218"/>
      <c r="BC440" s="218"/>
      <c r="BD440" s="218"/>
      <c r="BE440" s="217"/>
      <c r="BF440" s="218"/>
      <c r="BG440" s="218"/>
      <c r="BH440" s="218"/>
      <c r="BI440" s="218"/>
      <c r="BJ440" s="218"/>
      <c r="BK440" s="218"/>
      <c r="BL440" s="218"/>
      <c r="BM440" s="218"/>
      <c r="BN440" s="218"/>
      <c r="BO440" s="218"/>
      <c r="BP440" s="217"/>
      <c r="BQ440" s="218"/>
      <c r="BR440" s="218"/>
      <c r="BS440" s="218"/>
      <c r="BT440" s="218"/>
      <c r="BU440" s="218"/>
      <c r="BV440" s="218"/>
      <c r="BW440" s="218"/>
      <c r="BX440" s="218"/>
      <c r="BY440" s="218"/>
      <c r="BZ440" s="218"/>
      <c r="CA440" s="217"/>
      <c r="CB440" s="218"/>
      <c r="CC440" s="218"/>
      <c r="CD440" s="218"/>
      <c r="CE440" s="218"/>
      <c r="CF440" s="218"/>
      <c r="CG440" s="218"/>
      <c r="CH440" s="218"/>
      <c r="CI440" s="218"/>
      <c r="CJ440" s="218"/>
      <c r="CK440" s="218"/>
      <c r="CL440" s="217"/>
      <c r="CM440" s="218"/>
      <c r="CN440" s="218"/>
      <c r="CO440" s="218"/>
      <c r="CP440" s="218"/>
      <c r="CQ440" s="218"/>
      <c r="CR440" s="218"/>
      <c r="CS440" s="218"/>
      <c r="CT440" s="218"/>
      <c r="CU440" s="218"/>
      <c r="CV440" s="218"/>
      <c r="CW440" s="217"/>
      <c r="CX440" s="218"/>
      <c r="CY440" s="218"/>
      <c r="CZ440" s="218"/>
      <c r="DA440" s="218"/>
      <c r="DB440" s="218"/>
      <c r="DC440" s="218"/>
      <c r="DD440" s="218"/>
      <c r="DE440" s="218"/>
      <c r="DF440" s="218"/>
      <c r="DG440" s="218"/>
      <c r="DH440" s="217"/>
      <c r="DI440" s="218"/>
      <c r="DJ440" s="218"/>
      <c r="DK440" s="218"/>
      <c r="DL440" s="218"/>
      <c r="DM440" s="218"/>
      <c r="DN440" s="218"/>
      <c r="DO440" s="218"/>
      <c r="DP440" s="218"/>
      <c r="DQ440" s="218"/>
      <c r="DR440" s="218"/>
      <c r="DS440" s="217"/>
      <c r="DT440" s="218"/>
      <c r="DU440" s="218"/>
      <c r="DV440" s="218"/>
      <c r="DW440" s="218"/>
      <c r="DX440" s="218"/>
      <c r="DY440" s="218"/>
      <c r="DZ440" s="218"/>
      <c r="EA440" s="218"/>
      <c r="EB440" s="218"/>
      <c r="EC440" s="218"/>
      <c r="ED440" s="217"/>
      <c r="EE440" s="218"/>
      <c r="EF440" s="218"/>
      <c r="EG440" s="218"/>
      <c r="EH440" s="218"/>
      <c r="EI440" s="218"/>
      <c r="EJ440" s="218"/>
      <c r="EK440" s="218"/>
      <c r="EL440" s="218"/>
      <c r="EM440" s="218"/>
      <c r="EN440" s="218"/>
      <c r="EO440" s="217"/>
      <c r="EP440" s="218"/>
      <c r="EQ440" s="218"/>
      <c r="ER440" s="218"/>
      <c r="ES440" s="218"/>
      <c r="ET440" s="218"/>
      <c r="EU440" s="218"/>
      <c r="EV440" s="218"/>
      <c r="EW440" s="218"/>
      <c r="EX440" s="218"/>
      <c r="EY440" s="218"/>
      <c r="EZ440" s="217"/>
      <c r="FA440" s="218"/>
      <c r="FB440" s="218"/>
      <c r="FC440" s="218"/>
      <c r="FD440" s="218"/>
      <c r="FE440" s="218"/>
      <c r="FF440" s="218"/>
      <c r="FG440" s="218"/>
      <c r="FH440" s="218"/>
      <c r="FI440" s="218"/>
      <c r="FJ440" s="218"/>
      <c r="FK440" s="217"/>
      <c r="FL440" s="218"/>
      <c r="FM440" s="218"/>
      <c r="FN440" s="218"/>
      <c r="FO440" s="218"/>
      <c r="FP440" s="218"/>
      <c r="FQ440" s="218"/>
      <c r="FR440" s="218"/>
      <c r="FS440" s="218"/>
      <c r="FT440" s="218"/>
      <c r="FU440" s="218"/>
      <c r="FV440" s="217"/>
      <c r="FW440" s="218"/>
      <c r="FX440" s="218"/>
      <c r="FY440" s="218"/>
      <c r="FZ440" s="218"/>
      <c r="GA440" s="218"/>
      <c r="GB440" s="218"/>
      <c r="GC440" s="218"/>
      <c r="GD440" s="218"/>
      <c r="GE440" s="218"/>
      <c r="GF440" s="218"/>
      <c r="GG440" s="217"/>
      <c r="GH440" s="218"/>
      <c r="GI440" s="218"/>
      <c r="GJ440" s="218"/>
      <c r="GK440" s="218"/>
      <c r="GL440" s="218"/>
      <c r="GM440" s="218"/>
      <c r="GN440" s="218"/>
      <c r="GO440" s="218"/>
      <c r="GP440" s="218"/>
      <c r="GQ440" s="218"/>
      <c r="GR440" s="218"/>
      <c r="GS440" s="218"/>
      <c r="GT440" s="218"/>
      <c r="GU440" s="218"/>
      <c r="GV440" s="218"/>
      <c r="GW440" s="218"/>
      <c r="GX440" s="218"/>
      <c r="GY440" s="218"/>
      <c r="GZ440" s="218"/>
      <c r="HA440" s="218"/>
      <c r="HB440" s="218"/>
      <c r="HC440" s="218"/>
      <c r="HD440" s="218"/>
      <c r="HE440" s="218"/>
      <c r="HF440" s="218"/>
      <c r="HG440" s="218"/>
      <c r="HH440" s="218"/>
      <c r="HI440" s="218"/>
      <c r="HJ440" s="218"/>
      <c r="HK440" s="218"/>
      <c r="HL440" s="218"/>
      <c r="HM440" s="218"/>
      <c r="HN440" s="218"/>
      <c r="HO440" s="218"/>
      <c r="HP440" s="218"/>
      <c r="HQ440" s="218"/>
      <c r="HR440" s="218"/>
      <c r="HS440" s="218"/>
      <c r="HT440" s="218"/>
      <c r="HU440" s="218"/>
      <c r="HV440" s="218"/>
      <c r="HW440" s="218"/>
      <c r="HX440" s="218"/>
      <c r="HY440" s="218"/>
      <c r="HZ440" s="218"/>
      <c r="IA440" s="218"/>
      <c r="IB440" s="218"/>
      <c r="IC440" s="218"/>
      <c r="ID440" s="218"/>
      <c r="IE440" s="218"/>
      <c r="IF440" s="218"/>
      <c r="IG440" s="218"/>
      <c r="IH440" s="218"/>
      <c r="II440" s="218"/>
      <c r="IJ440" s="218"/>
      <c r="IK440" s="218"/>
      <c r="IL440" s="218"/>
      <c r="IM440" s="218"/>
      <c r="IN440" s="218"/>
      <c r="IO440" s="218"/>
      <c r="IP440" s="218"/>
      <c r="IQ440" s="218"/>
      <c r="IR440" s="218"/>
      <c r="IS440" s="218"/>
      <c r="IT440" s="218"/>
      <c r="IU440" s="218"/>
      <c r="IV440" s="218"/>
    </row>
    <row r="441" spans="1:256" x14ac:dyDescent="0.2">
      <c r="A441" s="204"/>
      <c r="B441" s="192"/>
      <c r="M441" s="192"/>
      <c r="X441" s="192"/>
      <c r="AI441" s="192"/>
      <c r="AT441" s="192"/>
      <c r="BE441" s="192"/>
      <c r="BP441" s="192"/>
      <c r="CA441" s="192"/>
      <c r="CL441" s="192"/>
      <c r="CW441" s="192"/>
      <c r="DH441" s="192"/>
      <c r="DS441" s="192"/>
      <c r="ED441" s="192"/>
      <c r="EO441" s="192"/>
      <c r="EZ441" s="192"/>
      <c r="FK441" s="192"/>
      <c r="FV441" s="192"/>
      <c r="GG441" s="192"/>
      <c r="GV441" s="191"/>
      <c r="HA441" s="191"/>
      <c r="HF441" s="191"/>
      <c r="HK441" s="191"/>
      <c r="HP441" s="191"/>
      <c r="HU441" s="191"/>
      <c r="HZ441" s="191"/>
      <c r="IE441" s="191"/>
      <c r="IJ441" s="191"/>
      <c r="IO441" s="191"/>
      <c r="IT441" s="191"/>
    </row>
    <row r="442" spans="1:256" x14ac:dyDescent="0.2">
      <c r="A442" s="204"/>
      <c r="B442" s="192"/>
      <c r="M442" s="192"/>
      <c r="X442" s="192"/>
      <c r="AI442" s="192"/>
      <c r="AT442" s="192"/>
      <c r="AU442" s="192"/>
      <c r="AV442" s="192"/>
      <c r="AW442" s="192"/>
      <c r="AX442" s="192"/>
      <c r="AY442" s="192"/>
      <c r="AZ442" s="192"/>
      <c r="BA442" s="192"/>
      <c r="BB442" s="192"/>
      <c r="BC442" s="192"/>
      <c r="BE442" s="192"/>
      <c r="BP442" s="192"/>
      <c r="CA442" s="192"/>
      <c r="CL442" s="192"/>
      <c r="CM442" s="192"/>
      <c r="CN442" s="192"/>
      <c r="CO442" s="192"/>
      <c r="CP442" s="192"/>
      <c r="CQ442" s="192"/>
      <c r="CR442" s="192"/>
      <c r="CS442" s="192"/>
      <c r="CT442" s="192"/>
      <c r="CU442" s="192"/>
      <c r="CW442" s="192"/>
      <c r="DH442" s="192"/>
      <c r="DS442" s="192"/>
      <c r="ED442" s="192"/>
      <c r="EE442" s="192"/>
      <c r="EF442" s="192"/>
      <c r="EG442" s="192"/>
      <c r="EH442" s="192"/>
      <c r="EI442" s="192"/>
      <c r="EJ442" s="192"/>
      <c r="EK442" s="192"/>
      <c r="EL442" s="192"/>
      <c r="EM442" s="192"/>
      <c r="EO442" s="192"/>
      <c r="EZ442" s="192"/>
      <c r="FK442" s="192"/>
      <c r="FV442" s="192"/>
      <c r="FW442" s="192"/>
      <c r="FX442" s="192"/>
      <c r="FY442" s="192"/>
      <c r="FZ442" s="192"/>
      <c r="GA442" s="192"/>
      <c r="GB442" s="192"/>
      <c r="GC442" s="192"/>
      <c r="GD442" s="192"/>
      <c r="GE442" s="192"/>
      <c r="GG442" s="192"/>
      <c r="GV442" s="191"/>
      <c r="HA442" s="191"/>
      <c r="HF442" s="191"/>
      <c r="HK442" s="191"/>
      <c r="HP442" s="191"/>
      <c r="HU442" s="191"/>
      <c r="HZ442" s="191"/>
      <c r="IE442" s="191"/>
      <c r="IJ442" s="191"/>
      <c r="IO442" s="191"/>
      <c r="IT442" s="191"/>
    </row>
    <row r="443" spans="1:256" x14ac:dyDescent="0.2">
      <c r="A443" s="204"/>
      <c r="B443" s="216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6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6"/>
      <c r="Y443" s="213"/>
      <c r="Z443" s="213"/>
      <c r="AA443" s="213"/>
      <c r="AB443" s="213"/>
      <c r="AC443" s="213"/>
      <c r="AD443" s="213"/>
      <c r="AE443" s="213"/>
      <c r="AF443" s="213"/>
      <c r="AG443" s="213"/>
      <c r="AH443" s="213"/>
      <c r="AI443" s="216"/>
      <c r="AJ443" s="213"/>
      <c r="AK443" s="213"/>
      <c r="AL443" s="213"/>
      <c r="AM443" s="213"/>
      <c r="AN443" s="213"/>
      <c r="AO443" s="213"/>
      <c r="AP443" s="213"/>
      <c r="AQ443" s="213"/>
      <c r="AR443" s="213"/>
      <c r="AS443" s="213"/>
      <c r="AT443" s="216"/>
      <c r="AU443" s="213"/>
      <c r="AV443" s="213"/>
      <c r="AW443" s="213"/>
      <c r="AX443" s="213"/>
      <c r="AY443" s="213"/>
      <c r="AZ443" s="213"/>
      <c r="BA443" s="213"/>
      <c r="BB443" s="213"/>
      <c r="BC443" s="213"/>
      <c r="BD443" s="213"/>
      <c r="BE443" s="216"/>
      <c r="BF443" s="213"/>
      <c r="BG443" s="213"/>
      <c r="BH443" s="213"/>
      <c r="BI443" s="213"/>
      <c r="BJ443" s="213"/>
      <c r="BK443" s="213"/>
      <c r="BL443" s="213"/>
      <c r="BM443" s="213"/>
      <c r="BN443" s="213"/>
      <c r="BO443" s="213"/>
      <c r="BP443" s="216"/>
      <c r="BQ443" s="213"/>
      <c r="BR443" s="213"/>
      <c r="BS443" s="213"/>
      <c r="BT443" s="213"/>
      <c r="BU443" s="213"/>
      <c r="BV443" s="213"/>
      <c r="BW443" s="213"/>
      <c r="BX443" s="213"/>
      <c r="BY443" s="213"/>
      <c r="BZ443" s="213"/>
      <c r="CA443" s="216"/>
      <c r="CB443" s="213"/>
      <c r="CC443" s="213"/>
      <c r="CD443" s="213"/>
      <c r="CE443" s="213"/>
      <c r="CF443" s="213"/>
      <c r="CG443" s="213"/>
      <c r="CH443" s="213"/>
      <c r="CI443" s="213"/>
      <c r="CJ443" s="213"/>
      <c r="CK443" s="213"/>
      <c r="CL443" s="216"/>
      <c r="CM443" s="213"/>
      <c r="CN443" s="213"/>
      <c r="CO443" s="213"/>
      <c r="CP443" s="213"/>
      <c r="CQ443" s="213"/>
      <c r="CR443" s="213"/>
      <c r="CS443" s="213"/>
      <c r="CT443" s="213"/>
      <c r="CU443" s="213"/>
      <c r="CV443" s="213"/>
      <c r="CW443" s="216"/>
      <c r="CX443" s="213"/>
      <c r="CY443" s="213"/>
      <c r="CZ443" s="213"/>
      <c r="DA443" s="213"/>
      <c r="DB443" s="213"/>
      <c r="DC443" s="213"/>
      <c r="DD443" s="213"/>
      <c r="DE443" s="213"/>
      <c r="DF443" s="213"/>
      <c r="DG443" s="213"/>
      <c r="DH443" s="216"/>
      <c r="DI443" s="213"/>
      <c r="DJ443" s="213"/>
      <c r="DK443" s="213"/>
      <c r="DL443" s="213"/>
      <c r="DM443" s="213"/>
      <c r="DN443" s="213"/>
      <c r="DO443" s="213"/>
      <c r="DP443" s="213"/>
      <c r="DQ443" s="213"/>
      <c r="DR443" s="213"/>
      <c r="DS443" s="216"/>
      <c r="DT443" s="213"/>
      <c r="DU443" s="213"/>
      <c r="DV443" s="213"/>
      <c r="DW443" s="213"/>
      <c r="DX443" s="213"/>
      <c r="DY443" s="213"/>
      <c r="DZ443" s="213"/>
      <c r="EA443" s="213"/>
      <c r="EB443" s="213"/>
      <c r="EC443" s="213"/>
      <c r="ED443" s="216"/>
      <c r="EE443" s="213"/>
      <c r="EF443" s="213"/>
      <c r="EG443" s="213"/>
      <c r="EH443" s="213"/>
      <c r="EI443" s="213"/>
      <c r="EJ443" s="213"/>
      <c r="EK443" s="213"/>
      <c r="EL443" s="213"/>
      <c r="EM443" s="213"/>
      <c r="EN443" s="213"/>
      <c r="EO443" s="216"/>
      <c r="EP443" s="213"/>
      <c r="EQ443" s="213"/>
      <c r="ER443" s="213"/>
      <c r="ES443" s="213"/>
      <c r="ET443" s="213"/>
      <c r="EU443" s="213"/>
      <c r="EV443" s="213"/>
      <c r="EW443" s="213"/>
      <c r="EX443" s="213"/>
      <c r="EY443" s="213"/>
      <c r="EZ443" s="216"/>
      <c r="FA443" s="213"/>
      <c r="FB443" s="213"/>
      <c r="FC443" s="213"/>
      <c r="FD443" s="213"/>
      <c r="FE443" s="213"/>
      <c r="FF443" s="213"/>
      <c r="FG443" s="213"/>
      <c r="FH443" s="213"/>
      <c r="FI443" s="213"/>
      <c r="FJ443" s="213"/>
      <c r="FK443" s="216"/>
      <c r="FL443" s="213"/>
      <c r="FM443" s="213"/>
      <c r="FN443" s="213"/>
      <c r="FO443" s="213"/>
      <c r="FP443" s="213"/>
      <c r="FQ443" s="213"/>
      <c r="FR443" s="213"/>
      <c r="FS443" s="213"/>
      <c r="FT443" s="213"/>
      <c r="FU443" s="213"/>
      <c r="FV443" s="216"/>
      <c r="FW443" s="213"/>
      <c r="FX443" s="213"/>
      <c r="FY443" s="213"/>
      <c r="FZ443" s="213"/>
      <c r="GA443" s="213"/>
      <c r="GB443" s="213"/>
      <c r="GC443" s="213"/>
      <c r="GD443" s="213"/>
      <c r="GE443" s="213"/>
      <c r="GF443" s="213"/>
      <c r="GG443" s="216"/>
      <c r="GH443" s="213"/>
      <c r="GI443" s="213"/>
      <c r="GJ443" s="213"/>
      <c r="GK443" s="213"/>
      <c r="GL443" s="213"/>
      <c r="GM443" s="213"/>
      <c r="GN443" s="213"/>
      <c r="GO443" s="213"/>
      <c r="GP443" s="213"/>
      <c r="GQ443" s="213"/>
      <c r="GR443" s="213"/>
      <c r="GS443" s="213"/>
      <c r="GT443" s="213"/>
      <c r="GU443" s="213"/>
      <c r="GV443" s="213"/>
      <c r="GW443" s="213"/>
      <c r="GX443" s="213"/>
      <c r="GY443" s="213"/>
      <c r="GZ443" s="213"/>
      <c r="HA443" s="213"/>
      <c r="HB443" s="213"/>
      <c r="HC443" s="213"/>
      <c r="HD443" s="213"/>
      <c r="HE443" s="213"/>
      <c r="HF443" s="213"/>
      <c r="HG443" s="213"/>
      <c r="HH443" s="213"/>
      <c r="HI443" s="213"/>
      <c r="HJ443" s="213"/>
      <c r="HK443" s="213"/>
      <c r="HL443" s="213"/>
      <c r="HM443" s="213"/>
      <c r="HN443" s="213"/>
      <c r="HO443" s="213"/>
      <c r="HP443" s="213"/>
      <c r="HQ443" s="213"/>
      <c r="HR443" s="213"/>
      <c r="HS443" s="213"/>
      <c r="HT443" s="213"/>
      <c r="HU443" s="213"/>
      <c r="HV443" s="213"/>
      <c r="HW443" s="213"/>
      <c r="HX443" s="213"/>
      <c r="HY443" s="213"/>
      <c r="HZ443" s="213"/>
      <c r="IA443" s="213"/>
      <c r="IB443" s="213"/>
      <c r="IC443" s="213"/>
      <c r="ID443" s="213"/>
      <c r="IE443" s="213"/>
      <c r="IF443" s="213"/>
      <c r="IG443" s="213"/>
      <c r="IH443" s="213"/>
      <c r="II443" s="213"/>
      <c r="IJ443" s="213"/>
      <c r="IK443" s="213"/>
      <c r="IL443" s="213"/>
      <c r="IM443" s="213"/>
      <c r="IN443" s="213"/>
      <c r="IO443" s="213"/>
      <c r="IP443" s="213"/>
      <c r="IQ443" s="213"/>
      <c r="IR443" s="213"/>
      <c r="IS443" s="213"/>
      <c r="IT443" s="213"/>
      <c r="IU443" s="213"/>
      <c r="IV443" s="213"/>
    </row>
    <row r="444" spans="1:256" x14ac:dyDescent="0.2">
      <c r="A444" s="204"/>
      <c r="B444" s="192"/>
      <c r="M444" s="192"/>
      <c r="X444" s="192"/>
      <c r="AI444" s="192"/>
      <c r="AT444" s="192"/>
      <c r="AU444" s="192"/>
      <c r="AV444" s="192"/>
      <c r="AW444" s="192"/>
      <c r="AX444" s="192"/>
      <c r="AY444" s="192"/>
      <c r="AZ444" s="192"/>
      <c r="BA444" s="192"/>
      <c r="BB444" s="192"/>
      <c r="BC444" s="192"/>
      <c r="BE444" s="192"/>
      <c r="BP444" s="192"/>
      <c r="CA444" s="192"/>
      <c r="CL444" s="192"/>
      <c r="CM444" s="192"/>
      <c r="CN444" s="192"/>
      <c r="CO444" s="192"/>
      <c r="CP444" s="192"/>
      <c r="CQ444" s="192"/>
      <c r="CR444" s="192"/>
      <c r="CS444" s="192"/>
      <c r="CT444" s="192"/>
      <c r="CU444" s="192"/>
      <c r="CW444" s="192"/>
      <c r="DH444" s="192"/>
      <c r="DS444" s="192"/>
      <c r="ED444" s="192"/>
      <c r="EE444" s="192"/>
      <c r="EF444" s="192"/>
      <c r="EG444" s="192"/>
      <c r="EH444" s="192"/>
      <c r="EI444" s="192"/>
      <c r="EJ444" s="192"/>
      <c r="EK444" s="192"/>
      <c r="EL444" s="192"/>
      <c r="EM444" s="192"/>
      <c r="EO444" s="192"/>
      <c r="EZ444" s="192"/>
      <c r="FK444" s="192"/>
      <c r="FV444" s="192"/>
      <c r="FW444" s="192"/>
      <c r="FX444" s="192"/>
      <c r="FY444" s="192"/>
      <c r="FZ444" s="192"/>
      <c r="GA444" s="192"/>
      <c r="GB444" s="192"/>
      <c r="GC444" s="192"/>
      <c r="GD444" s="192"/>
      <c r="GE444" s="192"/>
      <c r="GG444" s="192"/>
      <c r="GV444" s="191"/>
      <c r="HA444" s="191"/>
      <c r="HF444" s="191"/>
      <c r="HK444" s="191"/>
      <c r="HP444" s="191"/>
      <c r="HU444" s="191"/>
      <c r="HZ444" s="191"/>
      <c r="IE444" s="191"/>
      <c r="IJ444" s="191"/>
      <c r="IO444" s="191"/>
      <c r="IT444" s="191"/>
    </row>
    <row r="445" spans="1:256" x14ac:dyDescent="0.2">
      <c r="A445" s="204"/>
      <c r="B445" s="192"/>
      <c r="M445" s="192"/>
      <c r="X445" s="192"/>
      <c r="AI445" s="192"/>
      <c r="AT445" s="192"/>
      <c r="AU445" s="192"/>
      <c r="AV445" s="192"/>
      <c r="AW445" s="192"/>
      <c r="AX445" s="192"/>
      <c r="AY445" s="192"/>
      <c r="AZ445" s="192"/>
      <c r="BA445" s="192"/>
      <c r="BB445" s="192"/>
      <c r="BC445" s="192"/>
      <c r="BE445" s="192"/>
      <c r="BP445" s="192"/>
      <c r="CA445" s="192"/>
      <c r="CL445" s="192"/>
      <c r="CM445" s="192"/>
      <c r="CN445" s="192"/>
      <c r="CO445" s="192"/>
      <c r="CP445" s="192"/>
      <c r="CQ445" s="192"/>
      <c r="CR445" s="192"/>
      <c r="CS445" s="192"/>
      <c r="CT445" s="192"/>
      <c r="CU445" s="192"/>
      <c r="CW445" s="192"/>
      <c r="DH445" s="192"/>
      <c r="DS445" s="192"/>
      <c r="ED445" s="192"/>
      <c r="EE445" s="192"/>
      <c r="EF445" s="192"/>
      <c r="EG445" s="192"/>
      <c r="EH445" s="192"/>
      <c r="EI445" s="192"/>
      <c r="EJ445" s="192"/>
      <c r="EK445" s="192"/>
      <c r="EL445" s="192"/>
      <c r="EM445" s="192"/>
      <c r="EO445" s="192"/>
      <c r="EZ445" s="192"/>
      <c r="FK445" s="192"/>
      <c r="FV445" s="192"/>
      <c r="FW445" s="192"/>
      <c r="FX445" s="192"/>
      <c r="FY445" s="192"/>
      <c r="FZ445" s="192"/>
      <c r="GA445" s="192"/>
      <c r="GB445" s="192"/>
      <c r="GC445" s="192"/>
      <c r="GD445" s="192"/>
      <c r="GE445" s="192"/>
      <c r="GG445" s="192"/>
      <c r="GV445" s="191"/>
      <c r="HA445" s="191"/>
      <c r="HF445" s="191"/>
      <c r="HK445" s="191"/>
      <c r="HP445" s="191"/>
      <c r="HU445" s="191"/>
      <c r="HZ445" s="191"/>
      <c r="IE445" s="191"/>
      <c r="IJ445" s="191"/>
      <c r="IO445" s="191"/>
      <c r="IT445" s="191"/>
    </row>
    <row r="446" spans="1:256" x14ac:dyDescent="0.2">
      <c r="A446" s="204"/>
      <c r="B446" s="192"/>
      <c r="M446" s="192"/>
      <c r="X446" s="192"/>
      <c r="AI446" s="192"/>
      <c r="AT446" s="192"/>
      <c r="AU446" s="192"/>
      <c r="AV446" s="192"/>
      <c r="AW446" s="192"/>
      <c r="AX446" s="192"/>
      <c r="AY446" s="192"/>
      <c r="AZ446" s="192"/>
      <c r="BA446" s="192"/>
      <c r="BB446" s="192"/>
      <c r="BC446" s="192"/>
      <c r="BE446" s="192"/>
      <c r="BP446" s="192"/>
      <c r="CA446" s="192"/>
      <c r="CL446" s="192"/>
      <c r="CM446" s="192"/>
      <c r="CN446" s="192"/>
      <c r="CO446" s="192"/>
      <c r="CP446" s="192"/>
      <c r="CQ446" s="192"/>
      <c r="CR446" s="192"/>
      <c r="CS446" s="192"/>
      <c r="CT446" s="192"/>
      <c r="CU446" s="192"/>
      <c r="CW446" s="192"/>
      <c r="DH446" s="192"/>
      <c r="DS446" s="192"/>
      <c r="ED446" s="192"/>
      <c r="EE446" s="192"/>
      <c r="EF446" s="192"/>
      <c r="EG446" s="192"/>
      <c r="EH446" s="192"/>
      <c r="EI446" s="192"/>
      <c r="EJ446" s="192"/>
      <c r="EK446" s="192"/>
      <c r="EL446" s="192"/>
      <c r="EM446" s="192"/>
      <c r="EO446" s="192"/>
      <c r="EZ446" s="192"/>
      <c r="FK446" s="192"/>
      <c r="FV446" s="192"/>
      <c r="FW446" s="192"/>
      <c r="FX446" s="192"/>
      <c r="FY446" s="192"/>
      <c r="FZ446" s="192"/>
      <c r="GA446" s="192"/>
      <c r="GB446" s="192"/>
      <c r="GC446" s="192"/>
      <c r="GD446" s="192"/>
      <c r="GE446" s="192"/>
      <c r="GG446" s="192"/>
      <c r="GV446" s="191"/>
      <c r="HA446" s="191"/>
      <c r="HF446" s="191"/>
      <c r="HK446" s="191"/>
      <c r="HP446" s="191"/>
      <c r="HU446" s="191"/>
      <c r="HZ446" s="191"/>
      <c r="IE446" s="191"/>
      <c r="IJ446" s="191"/>
      <c r="IO446" s="191"/>
      <c r="IT446" s="191"/>
    </row>
    <row r="447" spans="1:256" x14ac:dyDescent="0.2">
      <c r="A447" s="204"/>
      <c r="B447" s="192"/>
      <c r="M447" s="192"/>
      <c r="X447" s="192"/>
      <c r="AI447" s="192"/>
      <c r="AT447" s="192"/>
      <c r="AU447" s="192"/>
      <c r="AV447" s="192"/>
      <c r="AW447" s="192"/>
      <c r="AX447" s="192"/>
      <c r="AY447" s="192"/>
      <c r="AZ447" s="192"/>
      <c r="BA447" s="192"/>
      <c r="BB447" s="192"/>
      <c r="BC447" s="192"/>
      <c r="BE447" s="192"/>
      <c r="BP447" s="192"/>
      <c r="CA447" s="192"/>
      <c r="CL447" s="192"/>
      <c r="CM447" s="192"/>
      <c r="CN447" s="192"/>
      <c r="CO447" s="192"/>
      <c r="CP447" s="192"/>
      <c r="CQ447" s="192"/>
      <c r="CR447" s="192"/>
      <c r="CS447" s="192"/>
      <c r="CT447" s="192"/>
      <c r="CU447" s="192"/>
      <c r="CW447" s="192"/>
      <c r="DH447" s="192"/>
      <c r="DS447" s="192"/>
      <c r="ED447" s="192"/>
      <c r="EE447" s="192"/>
      <c r="EF447" s="192"/>
      <c r="EG447" s="192"/>
      <c r="EH447" s="192"/>
      <c r="EI447" s="192"/>
      <c r="EJ447" s="192"/>
      <c r="EK447" s="192"/>
      <c r="EL447" s="192"/>
      <c r="EM447" s="192"/>
      <c r="EO447" s="192"/>
      <c r="EZ447" s="192"/>
      <c r="FK447" s="192"/>
      <c r="FV447" s="192"/>
      <c r="FW447" s="192"/>
      <c r="FX447" s="192"/>
      <c r="FY447" s="192"/>
      <c r="FZ447" s="192"/>
      <c r="GA447" s="192"/>
      <c r="GB447" s="192"/>
      <c r="GC447" s="192"/>
      <c r="GD447" s="192"/>
      <c r="GE447" s="192"/>
      <c r="GG447" s="192"/>
      <c r="GV447" s="191"/>
      <c r="HA447" s="191"/>
      <c r="HF447" s="191"/>
      <c r="HK447" s="191"/>
      <c r="HP447" s="191"/>
      <c r="HU447" s="191"/>
      <c r="HZ447" s="191"/>
      <c r="IE447" s="191"/>
      <c r="IJ447" s="191"/>
      <c r="IO447" s="191"/>
      <c r="IT447" s="191"/>
    </row>
    <row r="448" spans="1:256" x14ac:dyDescent="0.2">
      <c r="A448" s="204"/>
      <c r="B448" s="200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200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200"/>
      <c r="Y448" s="193"/>
      <c r="Z448" s="193"/>
      <c r="AA448" s="193"/>
      <c r="AB448" s="193"/>
      <c r="AC448" s="193"/>
      <c r="AD448" s="193"/>
      <c r="AE448" s="193"/>
      <c r="AF448" s="193"/>
      <c r="AG448" s="193"/>
      <c r="AH448" s="193"/>
      <c r="AI448" s="200"/>
      <c r="AJ448" s="193"/>
      <c r="AK448" s="193"/>
      <c r="AL448" s="193"/>
      <c r="AM448" s="193"/>
      <c r="AN448" s="193"/>
      <c r="AO448" s="193"/>
      <c r="AP448" s="193"/>
      <c r="AQ448" s="193"/>
      <c r="AR448" s="193"/>
      <c r="AS448" s="193"/>
      <c r="AT448" s="200"/>
      <c r="AU448" s="193"/>
      <c r="AV448" s="193"/>
      <c r="AW448" s="193"/>
      <c r="AX448" s="193"/>
      <c r="AY448" s="193"/>
      <c r="AZ448" s="193"/>
      <c r="BA448" s="193"/>
      <c r="BB448" s="193"/>
      <c r="BC448" s="193"/>
      <c r="BD448" s="193"/>
      <c r="BE448" s="200"/>
      <c r="BF448" s="193"/>
      <c r="BG448" s="193"/>
      <c r="BH448" s="193"/>
      <c r="BI448" s="193"/>
      <c r="BJ448" s="193"/>
      <c r="BK448" s="193"/>
      <c r="BL448" s="193"/>
      <c r="BM448" s="193"/>
      <c r="BN448" s="193"/>
      <c r="BO448" s="193"/>
      <c r="BP448" s="200"/>
      <c r="BQ448" s="193"/>
      <c r="BR448" s="193"/>
      <c r="BS448" s="193"/>
      <c r="BT448" s="193"/>
      <c r="BU448" s="193"/>
      <c r="BV448" s="193"/>
      <c r="BW448" s="193"/>
      <c r="BX448" s="193"/>
      <c r="BY448" s="193"/>
      <c r="BZ448" s="193"/>
      <c r="CA448" s="200"/>
      <c r="CB448" s="193"/>
      <c r="CC448" s="193"/>
      <c r="CD448" s="193"/>
      <c r="CE448" s="193"/>
      <c r="CF448" s="193"/>
      <c r="CG448" s="193"/>
      <c r="CH448" s="193"/>
      <c r="CI448" s="193"/>
      <c r="CJ448" s="193"/>
      <c r="CK448" s="193"/>
      <c r="CL448" s="200"/>
      <c r="CM448" s="193"/>
      <c r="CN448" s="193"/>
      <c r="CO448" s="193"/>
      <c r="CP448" s="193"/>
      <c r="CQ448" s="193"/>
      <c r="CR448" s="193"/>
      <c r="CS448" s="193"/>
      <c r="CT448" s="193"/>
      <c r="CU448" s="193"/>
      <c r="CV448" s="193"/>
      <c r="CW448" s="200"/>
      <c r="CX448" s="193"/>
      <c r="CY448" s="193"/>
      <c r="CZ448" s="193"/>
      <c r="DA448" s="193"/>
      <c r="DB448" s="193"/>
      <c r="DC448" s="193"/>
      <c r="DD448" s="193"/>
      <c r="DE448" s="193"/>
      <c r="DF448" s="193"/>
      <c r="DG448" s="193"/>
      <c r="DH448" s="200"/>
      <c r="DI448" s="193"/>
      <c r="DJ448" s="193"/>
      <c r="DK448" s="193"/>
      <c r="DL448" s="193"/>
      <c r="DM448" s="193"/>
      <c r="DN448" s="193"/>
      <c r="DO448" s="193"/>
      <c r="DP448" s="193"/>
      <c r="DQ448" s="193"/>
      <c r="DR448" s="193"/>
      <c r="DS448" s="200"/>
      <c r="DT448" s="193"/>
      <c r="DU448" s="193"/>
      <c r="DV448" s="193"/>
      <c r="DW448" s="193"/>
      <c r="DX448" s="193"/>
      <c r="DY448" s="193"/>
      <c r="DZ448" s="193"/>
      <c r="EA448" s="193"/>
      <c r="EB448" s="193"/>
      <c r="EC448" s="193"/>
      <c r="ED448" s="200"/>
      <c r="EE448" s="193"/>
      <c r="EF448" s="193"/>
      <c r="EG448" s="193"/>
      <c r="EH448" s="193"/>
      <c r="EI448" s="193"/>
      <c r="EJ448" s="193"/>
      <c r="EK448" s="193"/>
      <c r="EL448" s="193"/>
      <c r="EM448" s="193"/>
      <c r="EN448" s="193"/>
      <c r="EO448" s="200"/>
      <c r="EP448" s="193"/>
      <c r="EQ448" s="193"/>
      <c r="ER448" s="193"/>
      <c r="ES448" s="193"/>
      <c r="ET448" s="193"/>
      <c r="EU448" s="193"/>
      <c r="EV448" s="193"/>
      <c r="EW448" s="193"/>
      <c r="EX448" s="193"/>
      <c r="EY448" s="193"/>
      <c r="EZ448" s="200"/>
      <c r="FA448" s="193"/>
      <c r="FB448" s="193"/>
      <c r="FC448" s="193"/>
      <c r="FD448" s="193"/>
      <c r="FE448" s="193"/>
      <c r="FF448" s="193"/>
      <c r="FG448" s="193"/>
      <c r="FH448" s="193"/>
      <c r="FI448" s="193"/>
      <c r="FJ448" s="193"/>
      <c r="FK448" s="200"/>
      <c r="FL448" s="193"/>
      <c r="FM448" s="193"/>
      <c r="FN448" s="193"/>
      <c r="FO448" s="193"/>
      <c r="FP448" s="193"/>
      <c r="FQ448" s="193"/>
      <c r="FR448" s="193"/>
      <c r="FS448" s="193"/>
      <c r="FT448" s="193"/>
      <c r="FU448" s="193"/>
      <c r="FV448" s="200"/>
      <c r="FW448" s="193"/>
      <c r="FX448" s="193"/>
      <c r="FY448" s="193"/>
      <c r="FZ448" s="193"/>
      <c r="GA448" s="193"/>
      <c r="GB448" s="193"/>
      <c r="GC448" s="193"/>
      <c r="GD448" s="193"/>
      <c r="GE448" s="193"/>
      <c r="GF448" s="193"/>
      <c r="GG448" s="200"/>
      <c r="GH448" s="193"/>
      <c r="GI448" s="193"/>
      <c r="GJ448" s="193"/>
      <c r="GK448" s="193"/>
      <c r="GL448" s="193"/>
      <c r="GM448" s="193"/>
      <c r="GN448" s="193"/>
      <c r="GO448" s="193"/>
      <c r="GP448" s="193"/>
      <c r="GQ448" s="193"/>
      <c r="GR448" s="193"/>
      <c r="GS448" s="193"/>
      <c r="GT448" s="193"/>
      <c r="GU448" s="193"/>
      <c r="GW448" s="193"/>
      <c r="GX448" s="193"/>
      <c r="GY448" s="193"/>
      <c r="GZ448" s="193"/>
      <c r="HB448" s="193"/>
      <c r="HC448" s="193"/>
      <c r="HD448" s="193"/>
      <c r="HE448" s="193"/>
      <c r="HG448" s="193"/>
      <c r="HH448" s="193"/>
      <c r="HI448" s="193"/>
      <c r="HJ448" s="193"/>
      <c r="HL448" s="193"/>
      <c r="HM448" s="193"/>
      <c r="HN448" s="193"/>
      <c r="HO448" s="193"/>
      <c r="HQ448" s="193"/>
      <c r="HR448" s="193"/>
      <c r="HS448" s="193"/>
      <c r="HT448" s="193"/>
      <c r="HV448" s="193"/>
      <c r="HW448" s="193"/>
      <c r="HX448" s="193"/>
      <c r="HY448" s="193"/>
      <c r="IA448" s="193"/>
      <c r="IB448" s="193"/>
      <c r="IC448" s="193"/>
      <c r="ID448" s="193"/>
      <c r="IF448" s="193"/>
      <c r="IG448" s="193"/>
      <c r="IH448" s="193"/>
      <c r="II448" s="193"/>
      <c r="IK448" s="193"/>
      <c r="IL448" s="193"/>
      <c r="IM448" s="193"/>
      <c r="IN448" s="193"/>
      <c r="IP448" s="193"/>
      <c r="IQ448" s="193"/>
      <c r="IR448" s="193"/>
      <c r="IS448" s="193"/>
      <c r="IU448" s="193"/>
      <c r="IV448" s="193"/>
    </row>
    <row r="449" spans="1:256" x14ac:dyDescent="0.2">
      <c r="A449" s="204"/>
      <c r="B449" s="192"/>
      <c r="M449" s="192"/>
      <c r="X449" s="192"/>
      <c r="AI449" s="192"/>
      <c r="AT449" s="192"/>
      <c r="BE449" s="192"/>
      <c r="BP449" s="192"/>
      <c r="CA449" s="192"/>
      <c r="CL449" s="192"/>
      <c r="CW449" s="192"/>
      <c r="DH449" s="192"/>
      <c r="DS449" s="192"/>
      <c r="ED449" s="192"/>
      <c r="EO449" s="192"/>
      <c r="EZ449" s="192"/>
      <c r="FK449" s="192"/>
      <c r="FV449" s="192"/>
      <c r="GG449" s="192"/>
      <c r="GV449" s="191"/>
      <c r="HA449" s="191"/>
      <c r="HF449" s="191"/>
      <c r="HK449" s="191"/>
      <c r="HP449" s="191"/>
      <c r="HU449" s="191"/>
      <c r="HZ449" s="191"/>
      <c r="IE449" s="191"/>
      <c r="IJ449" s="191"/>
      <c r="IO449" s="191"/>
      <c r="IT449" s="191"/>
    </row>
    <row r="450" spans="1:256" x14ac:dyDescent="0.2">
      <c r="A450" s="204"/>
    </row>
    <row r="451" spans="1:256" x14ac:dyDescent="0.2">
      <c r="A451" s="204"/>
    </row>
    <row r="452" spans="1:256" x14ac:dyDescent="0.2">
      <c r="A452" s="204"/>
    </row>
    <row r="453" spans="1:256" x14ac:dyDescent="0.2">
      <c r="A453" s="204"/>
    </row>
    <row r="454" spans="1:256" x14ac:dyDescent="0.2">
      <c r="A454" s="204"/>
    </row>
    <row r="455" spans="1:256" x14ac:dyDescent="0.2">
      <c r="A455" s="204"/>
    </row>
    <row r="456" spans="1:256" x14ac:dyDescent="0.2">
      <c r="A456" s="204"/>
    </row>
    <row r="457" spans="1:256" x14ac:dyDescent="0.2">
      <c r="A457" s="204"/>
    </row>
    <row r="458" spans="1:256" x14ac:dyDescent="0.2">
      <c r="A458" s="204"/>
    </row>
    <row r="459" spans="1:256" x14ac:dyDescent="0.2">
      <c r="A459" s="204"/>
    </row>
    <row r="460" spans="1:256" x14ac:dyDescent="0.2">
      <c r="A460" s="204"/>
    </row>
    <row r="461" spans="1:256" x14ac:dyDescent="0.2">
      <c r="A461" s="204"/>
    </row>
    <row r="462" spans="1:256" x14ac:dyDescent="0.2">
      <c r="A462" s="204"/>
    </row>
    <row r="463" spans="1:256" x14ac:dyDescent="0.2">
      <c r="A463" s="204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  <c r="AD463" s="219"/>
      <c r="AE463" s="219"/>
      <c r="AF463" s="219"/>
      <c r="AG463" s="219"/>
      <c r="AH463" s="219"/>
      <c r="AI463" s="219"/>
      <c r="AJ463" s="219"/>
      <c r="AK463" s="219"/>
      <c r="AL463" s="219"/>
      <c r="AM463" s="219"/>
      <c r="AN463" s="219"/>
      <c r="AO463" s="219"/>
      <c r="AP463" s="219"/>
      <c r="AQ463" s="219"/>
      <c r="AR463" s="219"/>
      <c r="AS463" s="219"/>
      <c r="AT463" s="219"/>
      <c r="AU463" s="219"/>
      <c r="AV463" s="219"/>
      <c r="AW463" s="219"/>
      <c r="AX463" s="219"/>
      <c r="AY463" s="219"/>
      <c r="AZ463" s="219"/>
      <c r="BA463" s="219"/>
      <c r="BB463" s="219"/>
      <c r="BC463" s="219"/>
      <c r="BD463" s="219"/>
      <c r="BE463" s="219"/>
      <c r="BF463" s="219"/>
      <c r="BG463" s="219"/>
      <c r="BH463" s="219"/>
      <c r="BI463" s="219"/>
      <c r="BJ463" s="219"/>
      <c r="BK463" s="219"/>
      <c r="BL463" s="219"/>
      <c r="BM463" s="219"/>
      <c r="BN463" s="219"/>
      <c r="BO463" s="219"/>
      <c r="BP463" s="219"/>
      <c r="BQ463" s="219"/>
      <c r="BR463" s="219"/>
      <c r="BS463" s="219"/>
      <c r="BT463" s="219"/>
      <c r="BU463" s="219"/>
      <c r="BV463" s="219"/>
      <c r="BW463" s="219"/>
      <c r="BX463" s="219"/>
      <c r="BY463" s="219"/>
      <c r="BZ463" s="219"/>
      <c r="CA463" s="219"/>
      <c r="CB463" s="219"/>
      <c r="CC463" s="219"/>
      <c r="CD463" s="219"/>
      <c r="CE463" s="219"/>
      <c r="CF463" s="219"/>
      <c r="CG463" s="219"/>
      <c r="CH463" s="219"/>
      <c r="CI463" s="219"/>
      <c r="CJ463" s="219"/>
      <c r="CK463" s="219"/>
      <c r="CL463" s="219"/>
      <c r="CM463" s="219"/>
      <c r="CN463" s="219"/>
      <c r="CO463" s="219"/>
      <c r="CP463" s="219"/>
      <c r="CQ463" s="219"/>
      <c r="CR463" s="219"/>
      <c r="CS463" s="219"/>
      <c r="CT463" s="219"/>
      <c r="CU463" s="219"/>
      <c r="CV463" s="219"/>
      <c r="CW463" s="219"/>
      <c r="CX463" s="219"/>
      <c r="CY463" s="219"/>
      <c r="CZ463" s="219"/>
      <c r="DA463" s="219"/>
      <c r="DB463" s="219"/>
      <c r="DC463" s="219"/>
      <c r="DD463" s="219"/>
      <c r="DE463" s="219"/>
      <c r="DF463" s="219"/>
      <c r="DG463" s="219"/>
      <c r="DH463" s="219"/>
      <c r="DI463" s="219"/>
      <c r="DJ463" s="219"/>
      <c r="DK463" s="219"/>
      <c r="DL463" s="219"/>
      <c r="DM463" s="219"/>
      <c r="DN463" s="219"/>
      <c r="DO463" s="219"/>
      <c r="DP463" s="219"/>
      <c r="DQ463" s="219"/>
      <c r="DR463" s="219"/>
      <c r="DS463" s="219"/>
      <c r="DT463" s="219"/>
      <c r="DU463" s="219"/>
      <c r="DV463" s="219"/>
      <c r="DW463" s="219"/>
      <c r="DX463" s="219"/>
      <c r="DY463" s="219"/>
      <c r="DZ463" s="219"/>
      <c r="EA463" s="219"/>
      <c r="EB463" s="219"/>
      <c r="EC463" s="219"/>
      <c r="ED463" s="219"/>
      <c r="EE463" s="219"/>
      <c r="EF463" s="219"/>
      <c r="EG463" s="219"/>
      <c r="EH463" s="219"/>
      <c r="EI463" s="219"/>
      <c r="EJ463" s="219"/>
      <c r="EK463" s="219"/>
      <c r="EL463" s="219"/>
      <c r="EM463" s="219"/>
      <c r="EN463" s="219"/>
      <c r="EO463" s="219"/>
      <c r="EP463" s="219"/>
      <c r="EQ463" s="219"/>
      <c r="ER463" s="219"/>
      <c r="ES463" s="219"/>
      <c r="ET463" s="219"/>
      <c r="EU463" s="219"/>
      <c r="EV463" s="219"/>
      <c r="EW463" s="219"/>
      <c r="EX463" s="219"/>
      <c r="EY463" s="219"/>
      <c r="EZ463" s="219"/>
      <c r="FA463" s="219"/>
      <c r="FB463" s="219"/>
      <c r="FC463" s="219"/>
      <c r="FD463" s="219"/>
      <c r="FE463" s="219"/>
      <c r="FF463" s="219"/>
      <c r="FG463" s="219"/>
      <c r="FH463" s="219"/>
      <c r="FI463" s="219"/>
      <c r="FJ463" s="219"/>
      <c r="FK463" s="219"/>
      <c r="FL463" s="219"/>
      <c r="FM463" s="219"/>
      <c r="FN463" s="219"/>
      <c r="FO463" s="219"/>
      <c r="FP463" s="219"/>
      <c r="FQ463" s="219"/>
      <c r="FR463" s="219"/>
      <c r="FS463" s="219"/>
      <c r="FT463" s="219"/>
      <c r="FU463" s="219"/>
      <c r="FV463" s="219"/>
      <c r="FW463" s="219"/>
      <c r="FX463" s="219"/>
      <c r="FY463" s="219"/>
      <c r="FZ463" s="219"/>
      <c r="GA463" s="219"/>
      <c r="GB463" s="219"/>
      <c r="GC463" s="219"/>
      <c r="GD463" s="219"/>
      <c r="GE463" s="219"/>
      <c r="GF463" s="219"/>
      <c r="GG463" s="219"/>
      <c r="GH463" s="219"/>
      <c r="GI463" s="219"/>
      <c r="GJ463" s="219"/>
      <c r="GK463" s="219"/>
      <c r="GL463" s="219"/>
      <c r="GM463" s="219"/>
      <c r="GN463" s="219"/>
      <c r="GO463" s="219"/>
      <c r="GP463" s="219"/>
      <c r="GQ463" s="219"/>
      <c r="GR463" s="219"/>
      <c r="GS463" s="219"/>
      <c r="GT463" s="219"/>
      <c r="GU463" s="219"/>
      <c r="GV463" s="219"/>
      <c r="GW463" s="219"/>
      <c r="GX463" s="219"/>
      <c r="GY463" s="219"/>
      <c r="GZ463" s="219"/>
      <c r="HA463" s="219"/>
      <c r="HB463" s="219"/>
      <c r="HC463" s="219"/>
      <c r="HD463" s="219"/>
      <c r="HE463" s="219"/>
      <c r="HF463" s="219"/>
      <c r="HG463" s="219"/>
      <c r="HH463" s="219"/>
      <c r="HI463" s="219"/>
      <c r="HJ463" s="219"/>
      <c r="HK463" s="219"/>
      <c r="HL463" s="219"/>
      <c r="HM463" s="219"/>
      <c r="HN463" s="219"/>
      <c r="HO463" s="219"/>
      <c r="HP463" s="219"/>
      <c r="HQ463" s="219"/>
      <c r="HR463" s="219"/>
      <c r="HS463" s="219"/>
      <c r="HT463" s="219"/>
      <c r="HU463" s="219"/>
      <c r="HV463" s="219"/>
      <c r="HW463" s="219"/>
      <c r="HX463" s="219"/>
      <c r="HY463" s="219"/>
      <c r="HZ463" s="219"/>
      <c r="IA463" s="219"/>
      <c r="IB463" s="219"/>
      <c r="IC463" s="219"/>
      <c r="ID463" s="219"/>
      <c r="IE463" s="219"/>
      <c r="IF463" s="219"/>
      <c r="IG463" s="219"/>
      <c r="IH463" s="219"/>
      <c r="II463" s="219"/>
      <c r="IJ463" s="219"/>
      <c r="IK463" s="219"/>
      <c r="IL463" s="219"/>
      <c r="IM463" s="219"/>
      <c r="IN463" s="219"/>
      <c r="IO463" s="219"/>
      <c r="IP463" s="219"/>
      <c r="IQ463" s="219"/>
      <c r="IR463" s="219"/>
      <c r="IS463" s="219"/>
      <c r="IT463" s="219"/>
      <c r="IU463" s="219"/>
      <c r="IV463" s="219"/>
    </row>
    <row r="464" spans="1:256" x14ac:dyDescent="0.2">
      <c r="A464" s="204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19"/>
      <c r="AJ464" s="219"/>
      <c r="AK464" s="219"/>
      <c r="AL464" s="219"/>
      <c r="AM464" s="219"/>
      <c r="AN464" s="219"/>
      <c r="AO464" s="219"/>
      <c r="AP464" s="219"/>
      <c r="AQ464" s="219"/>
      <c r="AR464" s="219"/>
      <c r="AS464" s="219"/>
      <c r="AT464" s="219"/>
      <c r="AU464" s="219"/>
      <c r="AV464" s="219"/>
      <c r="AW464" s="219"/>
      <c r="AX464" s="219"/>
      <c r="AY464" s="219"/>
      <c r="AZ464" s="219"/>
      <c r="BA464" s="219"/>
      <c r="BB464" s="219"/>
      <c r="BC464" s="219"/>
      <c r="BD464" s="219"/>
      <c r="BE464" s="219"/>
      <c r="BF464" s="219"/>
      <c r="BG464" s="219"/>
      <c r="BH464" s="219"/>
      <c r="BI464" s="219"/>
      <c r="BJ464" s="219"/>
      <c r="BK464" s="219"/>
      <c r="BL464" s="219"/>
      <c r="BM464" s="219"/>
      <c r="BN464" s="219"/>
      <c r="BO464" s="219"/>
      <c r="BP464" s="219"/>
      <c r="BQ464" s="219"/>
      <c r="BR464" s="219"/>
      <c r="BS464" s="219"/>
      <c r="BT464" s="219"/>
      <c r="BU464" s="219"/>
      <c r="BV464" s="219"/>
      <c r="BW464" s="219"/>
      <c r="BX464" s="219"/>
      <c r="BY464" s="219"/>
      <c r="BZ464" s="219"/>
      <c r="CA464" s="219"/>
      <c r="CB464" s="219"/>
      <c r="CC464" s="219"/>
      <c r="CD464" s="219"/>
      <c r="CE464" s="219"/>
      <c r="CF464" s="219"/>
      <c r="CG464" s="219"/>
      <c r="CH464" s="219"/>
      <c r="CI464" s="219"/>
      <c r="CJ464" s="219"/>
      <c r="CK464" s="219"/>
      <c r="CL464" s="219"/>
      <c r="CM464" s="219"/>
      <c r="CN464" s="219"/>
      <c r="CO464" s="219"/>
      <c r="CP464" s="219"/>
      <c r="CQ464" s="219"/>
      <c r="CR464" s="219"/>
      <c r="CS464" s="219"/>
      <c r="CT464" s="219"/>
      <c r="CU464" s="219"/>
      <c r="CV464" s="219"/>
      <c r="CW464" s="219"/>
      <c r="CX464" s="219"/>
      <c r="CY464" s="219"/>
      <c r="CZ464" s="219"/>
      <c r="DA464" s="219"/>
      <c r="DB464" s="219"/>
      <c r="DC464" s="219"/>
      <c r="DD464" s="219"/>
      <c r="DE464" s="219"/>
      <c r="DF464" s="219"/>
      <c r="DG464" s="219"/>
      <c r="DH464" s="219"/>
      <c r="DI464" s="219"/>
      <c r="DJ464" s="219"/>
      <c r="DK464" s="219"/>
      <c r="DL464" s="219"/>
      <c r="DM464" s="219"/>
      <c r="DN464" s="219"/>
      <c r="DO464" s="219"/>
      <c r="DP464" s="219"/>
      <c r="DQ464" s="219"/>
      <c r="DR464" s="219"/>
      <c r="DS464" s="219"/>
      <c r="DT464" s="219"/>
      <c r="DU464" s="219"/>
      <c r="DV464" s="219"/>
      <c r="DW464" s="219"/>
      <c r="DX464" s="219"/>
      <c r="DY464" s="219"/>
      <c r="DZ464" s="219"/>
      <c r="EA464" s="219"/>
      <c r="EB464" s="219"/>
      <c r="EC464" s="219"/>
      <c r="ED464" s="219"/>
      <c r="EE464" s="219"/>
      <c r="EF464" s="219"/>
      <c r="EG464" s="219"/>
      <c r="EH464" s="219"/>
      <c r="EI464" s="219"/>
      <c r="EJ464" s="219"/>
      <c r="EK464" s="219"/>
      <c r="EL464" s="219"/>
      <c r="EM464" s="219"/>
      <c r="EN464" s="219"/>
      <c r="EO464" s="219"/>
      <c r="EP464" s="219"/>
      <c r="EQ464" s="219"/>
      <c r="ER464" s="219"/>
      <c r="ES464" s="219"/>
      <c r="ET464" s="219"/>
      <c r="EU464" s="219"/>
      <c r="EV464" s="219"/>
      <c r="EW464" s="219"/>
      <c r="EX464" s="219"/>
      <c r="EY464" s="219"/>
      <c r="EZ464" s="219"/>
      <c r="FA464" s="219"/>
      <c r="FB464" s="219"/>
      <c r="FC464" s="219"/>
      <c r="FD464" s="219"/>
      <c r="FE464" s="219"/>
      <c r="FF464" s="219"/>
      <c r="FG464" s="219"/>
      <c r="FH464" s="219"/>
      <c r="FI464" s="219"/>
      <c r="FJ464" s="219"/>
      <c r="FK464" s="219"/>
      <c r="FL464" s="219"/>
      <c r="FM464" s="219"/>
      <c r="FN464" s="219"/>
      <c r="FO464" s="219"/>
      <c r="FP464" s="219"/>
      <c r="FQ464" s="219"/>
      <c r="FR464" s="219"/>
      <c r="FS464" s="219"/>
      <c r="FT464" s="219"/>
      <c r="FU464" s="219"/>
      <c r="FV464" s="219"/>
      <c r="FW464" s="219"/>
      <c r="FX464" s="219"/>
      <c r="FY464" s="219"/>
      <c r="FZ464" s="219"/>
      <c r="GA464" s="219"/>
      <c r="GB464" s="219"/>
      <c r="GC464" s="219"/>
      <c r="GD464" s="219"/>
      <c r="GE464" s="219"/>
      <c r="GF464" s="219"/>
      <c r="GG464" s="219"/>
      <c r="GH464" s="219"/>
      <c r="GI464" s="219"/>
      <c r="GJ464" s="219"/>
      <c r="GK464" s="219"/>
      <c r="GL464" s="219"/>
      <c r="GM464" s="219"/>
      <c r="GN464" s="219"/>
      <c r="GO464" s="219"/>
      <c r="GP464" s="219"/>
      <c r="GQ464" s="219"/>
      <c r="GR464" s="219"/>
      <c r="GS464" s="219"/>
      <c r="GT464" s="219"/>
      <c r="GU464" s="219"/>
      <c r="GV464" s="219"/>
      <c r="GW464" s="219"/>
      <c r="GX464" s="219"/>
      <c r="GY464" s="219"/>
      <c r="GZ464" s="219"/>
      <c r="HA464" s="219"/>
      <c r="HB464" s="219"/>
      <c r="HC464" s="219"/>
      <c r="HD464" s="219"/>
      <c r="HE464" s="219"/>
      <c r="HF464" s="219"/>
      <c r="HG464" s="219"/>
      <c r="HH464" s="219"/>
      <c r="HI464" s="219"/>
      <c r="HJ464" s="219"/>
      <c r="HK464" s="219"/>
      <c r="HL464" s="219"/>
      <c r="HM464" s="219"/>
      <c r="HN464" s="219"/>
      <c r="HO464" s="219"/>
      <c r="HP464" s="219"/>
      <c r="HQ464" s="219"/>
      <c r="HR464" s="219"/>
      <c r="HS464" s="219"/>
      <c r="HT464" s="219"/>
      <c r="HU464" s="219"/>
      <c r="HV464" s="219"/>
      <c r="HW464" s="219"/>
      <c r="HX464" s="219"/>
      <c r="HY464" s="219"/>
      <c r="HZ464" s="219"/>
      <c r="IA464" s="219"/>
      <c r="IB464" s="219"/>
      <c r="IC464" s="219"/>
      <c r="ID464" s="219"/>
      <c r="IE464" s="219"/>
      <c r="IF464" s="219"/>
      <c r="IG464" s="219"/>
      <c r="IH464" s="219"/>
      <c r="II464" s="219"/>
      <c r="IJ464" s="219"/>
      <c r="IK464" s="219"/>
      <c r="IL464" s="219"/>
      <c r="IM464" s="219"/>
      <c r="IN464" s="219"/>
      <c r="IO464" s="219"/>
      <c r="IP464" s="219"/>
      <c r="IQ464" s="219"/>
      <c r="IR464" s="219"/>
      <c r="IS464" s="219"/>
      <c r="IT464" s="219"/>
      <c r="IU464" s="219"/>
      <c r="IV464" s="219"/>
    </row>
    <row r="465" spans="1:256" x14ac:dyDescent="0.2">
      <c r="A465" s="204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19"/>
      <c r="AJ465" s="219"/>
      <c r="AK465" s="219"/>
      <c r="AL465" s="219"/>
      <c r="AM465" s="219"/>
      <c r="AN465" s="219"/>
      <c r="AO465" s="219"/>
      <c r="AP465" s="219"/>
      <c r="AQ465" s="219"/>
      <c r="AR465" s="219"/>
      <c r="AS465" s="219"/>
      <c r="AT465" s="219"/>
      <c r="AU465" s="219"/>
      <c r="AV465" s="219"/>
      <c r="AW465" s="219"/>
      <c r="AX465" s="219"/>
      <c r="AY465" s="219"/>
      <c r="AZ465" s="219"/>
      <c r="BA465" s="219"/>
      <c r="BB465" s="219"/>
      <c r="BC465" s="219"/>
      <c r="BD465" s="219"/>
      <c r="BE465" s="219"/>
      <c r="BF465" s="219"/>
      <c r="BG465" s="219"/>
      <c r="BH465" s="219"/>
      <c r="BI465" s="219"/>
      <c r="BJ465" s="219"/>
      <c r="BK465" s="219"/>
      <c r="BL465" s="219"/>
      <c r="BM465" s="219"/>
      <c r="BN465" s="219"/>
      <c r="BO465" s="219"/>
      <c r="BP465" s="219"/>
      <c r="BQ465" s="219"/>
      <c r="BR465" s="219"/>
      <c r="BS465" s="219"/>
      <c r="BT465" s="219"/>
      <c r="BU465" s="219"/>
      <c r="BV465" s="219"/>
      <c r="BW465" s="219"/>
      <c r="BX465" s="219"/>
      <c r="BY465" s="219"/>
      <c r="BZ465" s="219"/>
      <c r="CA465" s="219"/>
      <c r="CB465" s="219"/>
      <c r="CC465" s="219"/>
      <c r="CD465" s="219"/>
      <c r="CE465" s="219"/>
      <c r="CF465" s="219"/>
      <c r="CG465" s="219"/>
      <c r="CH465" s="219"/>
      <c r="CI465" s="219"/>
      <c r="CJ465" s="219"/>
      <c r="CK465" s="219"/>
      <c r="CL465" s="219"/>
      <c r="CM465" s="219"/>
      <c r="CN465" s="219"/>
      <c r="CO465" s="219"/>
      <c r="CP465" s="219"/>
      <c r="CQ465" s="219"/>
      <c r="CR465" s="219"/>
      <c r="CS465" s="219"/>
      <c r="CT465" s="219"/>
      <c r="CU465" s="219"/>
      <c r="CV465" s="219"/>
      <c r="CW465" s="219"/>
      <c r="CX465" s="219"/>
      <c r="CY465" s="219"/>
      <c r="CZ465" s="219"/>
      <c r="DA465" s="219"/>
      <c r="DB465" s="219"/>
      <c r="DC465" s="219"/>
      <c r="DD465" s="219"/>
      <c r="DE465" s="219"/>
      <c r="DF465" s="219"/>
      <c r="DG465" s="219"/>
      <c r="DH465" s="219"/>
      <c r="DI465" s="219"/>
      <c r="DJ465" s="219"/>
      <c r="DK465" s="219"/>
      <c r="DL465" s="219"/>
      <c r="DM465" s="219"/>
      <c r="DN465" s="219"/>
      <c r="DO465" s="219"/>
      <c r="DP465" s="219"/>
      <c r="DQ465" s="219"/>
      <c r="DR465" s="219"/>
      <c r="DS465" s="219"/>
      <c r="DT465" s="219"/>
      <c r="DU465" s="219"/>
      <c r="DV465" s="219"/>
      <c r="DW465" s="219"/>
      <c r="DX465" s="219"/>
      <c r="DY465" s="219"/>
      <c r="DZ465" s="219"/>
      <c r="EA465" s="219"/>
      <c r="EB465" s="219"/>
      <c r="EC465" s="219"/>
      <c r="ED465" s="219"/>
      <c r="EE465" s="219"/>
      <c r="EF465" s="219"/>
      <c r="EG465" s="219"/>
      <c r="EH465" s="219"/>
      <c r="EI465" s="219"/>
      <c r="EJ465" s="219"/>
      <c r="EK465" s="219"/>
      <c r="EL465" s="219"/>
      <c r="EM465" s="219"/>
      <c r="EN465" s="219"/>
      <c r="EO465" s="219"/>
      <c r="EP465" s="219"/>
      <c r="EQ465" s="219"/>
      <c r="ER465" s="219"/>
      <c r="ES465" s="219"/>
      <c r="ET465" s="219"/>
      <c r="EU465" s="219"/>
      <c r="EV465" s="219"/>
      <c r="EW465" s="219"/>
      <c r="EX465" s="219"/>
      <c r="EY465" s="219"/>
      <c r="EZ465" s="219"/>
      <c r="FA465" s="219"/>
      <c r="FB465" s="219"/>
      <c r="FC465" s="219"/>
      <c r="FD465" s="219"/>
      <c r="FE465" s="219"/>
      <c r="FF465" s="219"/>
      <c r="FG465" s="219"/>
      <c r="FH465" s="219"/>
      <c r="FI465" s="219"/>
      <c r="FJ465" s="219"/>
      <c r="FK465" s="219"/>
      <c r="FL465" s="219"/>
      <c r="FM465" s="219"/>
      <c r="FN465" s="219"/>
      <c r="FO465" s="219"/>
      <c r="FP465" s="219"/>
      <c r="FQ465" s="219"/>
      <c r="FR465" s="219"/>
      <c r="FS465" s="219"/>
      <c r="FT465" s="219"/>
      <c r="FU465" s="219"/>
      <c r="FV465" s="219"/>
      <c r="FW465" s="219"/>
      <c r="FX465" s="219"/>
      <c r="FY465" s="219"/>
      <c r="FZ465" s="219"/>
      <c r="GA465" s="219"/>
      <c r="GB465" s="219"/>
      <c r="GC465" s="219"/>
      <c r="GD465" s="219"/>
      <c r="GE465" s="219"/>
      <c r="GF465" s="219"/>
      <c r="GG465" s="219"/>
      <c r="GH465" s="219"/>
      <c r="GI465" s="219"/>
      <c r="GJ465" s="219"/>
      <c r="GK465" s="219"/>
      <c r="GL465" s="219"/>
      <c r="GM465" s="219"/>
      <c r="GN465" s="219"/>
      <c r="GO465" s="219"/>
      <c r="GP465" s="219"/>
      <c r="GQ465" s="219"/>
      <c r="GR465" s="219"/>
      <c r="GS465" s="219"/>
      <c r="GT465" s="219"/>
      <c r="GU465" s="219"/>
      <c r="GV465" s="219"/>
      <c r="GW465" s="219"/>
      <c r="GX465" s="219"/>
      <c r="GY465" s="219"/>
      <c r="GZ465" s="219"/>
      <c r="HA465" s="219"/>
      <c r="HB465" s="219"/>
      <c r="HC465" s="219"/>
      <c r="HD465" s="219"/>
      <c r="HE465" s="219"/>
      <c r="HF465" s="219"/>
      <c r="HG465" s="219"/>
      <c r="HH465" s="219"/>
      <c r="HI465" s="219"/>
      <c r="HJ465" s="219"/>
      <c r="HK465" s="219"/>
      <c r="HL465" s="219"/>
      <c r="HM465" s="219"/>
      <c r="HN465" s="219"/>
      <c r="HO465" s="219"/>
      <c r="HP465" s="219"/>
      <c r="HQ465" s="219"/>
      <c r="HR465" s="219"/>
      <c r="HS465" s="219"/>
      <c r="HT465" s="219"/>
      <c r="HU465" s="219"/>
      <c r="HV465" s="219"/>
      <c r="HW465" s="219"/>
      <c r="HX465" s="219"/>
      <c r="HY465" s="219"/>
      <c r="HZ465" s="219"/>
      <c r="IA465" s="219"/>
      <c r="IB465" s="219"/>
      <c r="IC465" s="219"/>
      <c r="ID465" s="219"/>
      <c r="IE465" s="219"/>
      <c r="IF465" s="219"/>
      <c r="IG465" s="219"/>
      <c r="IH465" s="219"/>
      <c r="II465" s="219"/>
      <c r="IJ465" s="219"/>
      <c r="IK465" s="219"/>
      <c r="IL465" s="219"/>
      <c r="IM465" s="219"/>
      <c r="IN465" s="219"/>
      <c r="IO465" s="219"/>
      <c r="IP465" s="219"/>
      <c r="IQ465" s="219"/>
      <c r="IR465" s="219"/>
      <c r="IS465" s="219"/>
      <c r="IT465" s="219"/>
      <c r="IU465" s="219"/>
      <c r="IV465" s="219"/>
    </row>
    <row r="466" spans="1:256" x14ac:dyDescent="0.2">
      <c r="A466" s="204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19"/>
      <c r="AJ466" s="219"/>
      <c r="AK466" s="219"/>
      <c r="AL466" s="219"/>
      <c r="AM466" s="219"/>
      <c r="AN466" s="219"/>
      <c r="AO466" s="219"/>
      <c r="AP466" s="219"/>
      <c r="AQ466" s="219"/>
      <c r="AR466" s="219"/>
      <c r="AS466" s="219"/>
      <c r="AT466" s="219"/>
      <c r="AU466" s="219"/>
      <c r="AV466" s="219"/>
      <c r="AW466" s="219"/>
      <c r="AX466" s="219"/>
      <c r="AY466" s="219"/>
      <c r="AZ466" s="219"/>
      <c r="BA466" s="219"/>
      <c r="BB466" s="219"/>
      <c r="BC466" s="219"/>
      <c r="BD466" s="219"/>
      <c r="BE466" s="219"/>
      <c r="BF466" s="219"/>
      <c r="BG466" s="219"/>
      <c r="BH466" s="219"/>
      <c r="BI466" s="219"/>
      <c r="BJ466" s="219"/>
      <c r="BK466" s="219"/>
      <c r="BL466" s="219"/>
      <c r="BM466" s="219"/>
      <c r="BN466" s="219"/>
      <c r="BO466" s="219"/>
      <c r="BP466" s="219"/>
      <c r="BQ466" s="219"/>
      <c r="BR466" s="219"/>
      <c r="BS466" s="219"/>
      <c r="BT466" s="219"/>
      <c r="BU466" s="219"/>
      <c r="BV466" s="219"/>
      <c r="BW466" s="219"/>
      <c r="BX466" s="219"/>
      <c r="BY466" s="219"/>
      <c r="BZ466" s="219"/>
      <c r="CA466" s="219"/>
      <c r="CB466" s="219"/>
      <c r="CC466" s="219"/>
      <c r="CD466" s="219"/>
      <c r="CE466" s="219"/>
      <c r="CF466" s="219"/>
      <c r="CG466" s="219"/>
      <c r="CH466" s="219"/>
      <c r="CI466" s="219"/>
      <c r="CJ466" s="219"/>
      <c r="CK466" s="219"/>
      <c r="CL466" s="219"/>
      <c r="CM466" s="219"/>
      <c r="CN466" s="219"/>
      <c r="CO466" s="219"/>
      <c r="CP466" s="219"/>
      <c r="CQ466" s="219"/>
      <c r="CR466" s="219"/>
      <c r="CS466" s="219"/>
      <c r="CT466" s="219"/>
      <c r="CU466" s="219"/>
      <c r="CV466" s="219"/>
      <c r="CW466" s="219"/>
      <c r="CX466" s="219"/>
      <c r="CY466" s="219"/>
      <c r="CZ466" s="219"/>
      <c r="DA466" s="219"/>
      <c r="DB466" s="219"/>
      <c r="DC466" s="219"/>
      <c r="DD466" s="219"/>
      <c r="DE466" s="219"/>
      <c r="DF466" s="219"/>
      <c r="DG466" s="219"/>
      <c r="DH466" s="219"/>
      <c r="DI466" s="219"/>
      <c r="DJ466" s="219"/>
      <c r="DK466" s="219"/>
      <c r="DL466" s="219"/>
      <c r="DM466" s="219"/>
      <c r="DN466" s="219"/>
      <c r="DO466" s="219"/>
      <c r="DP466" s="219"/>
      <c r="DQ466" s="219"/>
      <c r="DR466" s="219"/>
      <c r="DS466" s="219"/>
      <c r="DT466" s="219"/>
      <c r="DU466" s="219"/>
      <c r="DV466" s="219"/>
      <c r="DW466" s="219"/>
      <c r="DX466" s="219"/>
      <c r="DY466" s="219"/>
      <c r="DZ466" s="219"/>
      <c r="EA466" s="219"/>
      <c r="EB466" s="219"/>
      <c r="EC466" s="219"/>
      <c r="ED466" s="219"/>
      <c r="EE466" s="219"/>
      <c r="EF466" s="219"/>
      <c r="EG466" s="219"/>
      <c r="EH466" s="219"/>
      <c r="EI466" s="219"/>
      <c r="EJ466" s="219"/>
      <c r="EK466" s="219"/>
      <c r="EL466" s="219"/>
      <c r="EM466" s="219"/>
      <c r="EN466" s="219"/>
      <c r="EO466" s="219"/>
      <c r="EP466" s="219"/>
      <c r="EQ466" s="219"/>
      <c r="ER466" s="219"/>
      <c r="ES466" s="219"/>
      <c r="ET466" s="219"/>
      <c r="EU466" s="219"/>
      <c r="EV466" s="219"/>
      <c r="EW466" s="219"/>
      <c r="EX466" s="219"/>
      <c r="EY466" s="219"/>
      <c r="EZ466" s="219"/>
      <c r="FA466" s="219"/>
      <c r="FB466" s="219"/>
      <c r="FC466" s="219"/>
      <c r="FD466" s="219"/>
      <c r="FE466" s="219"/>
      <c r="FF466" s="219"/>
      <c r="FG466" s="219"/>
      <c r="FH466" s="219"/>
      <c r="FI466" s="219"/>
      <c r="FJ466" s="219"/>
      <c r="FK466" s="219"/>
      <c r="FL466" s="219"/>
      <c r="FM466" s="219"/>
      <c r="FN466" s="219"/>
      <c r="FO466" s="219"/>
      <c r="FP466" s="219"/>
      <c r="FQ466" s="219"/>
      <c r="FR466" s="219"/>
      <c r="FS466" s="219"/>
      <c r="FT466" s="219"/>
      <c r="FU466" s="219"/>
      <c r="FV466" s="219"/>
      <c r="FW466" s="219"/>
      <c r="FX466" s="219"/>
      <c r="FY466" s="219"/>
      <c r="FZ466" s="219"/>
      <c r="GA466" s="219"/>
      <c r="GB466" s="219"/>
      <c r="GC466" s="219"/>
      <c r="GD466" s="219"/>
      <c r="GE466" s="219"/>
      <c r="GF466" s="219"/>
      <c r="GG466" s="219"/>
      <c r="GH466" s="219"/>
      <c r="GI466" s="219"/>
      <c r="GJ466" s="219"/>
      <c r="GK466" s="219"/>
      <c r="GL466" s="219"/>
      <c r="GM466" s="219"/>
      <c r="GN466" s="219"/>
      <c r="GO466" s="219"/>
      <c r="GP466" s="219"/>
      <c r="GQ466" s="219"/>
      <c r="GR466" s="219"/>
      <c r="GS466" s="219"/>
      <c r="GT466" s="219"/>
      <c r="GU466" s="219"/>
      <c r="GV466" s="219"/>
      <c r="GW466" s="219"/>
      <c r="GX466" s="219"/>
      <c r="GY466" s="219"/>
      <c r="GZ466" s="219"/>
      <c r="HA466" s="219"/>
      <c r="HB466" s="219"/>
      <c r="HC466" s="219"/>
      <c r="HD466" s="219"/>
      <c r="HE466" s="219"/>
      <c r="HF466" s="219"/>
      <c r="HG466" s="219"/>
      <c r="HH466" s="219"/>
      <c r="HI466" s="219"/>
      <c r="HJ466" s="219"/>
      <c r="HK466" s="219"/>
      <c r="HL466" s="219"/>
      <c r="HM466" s="219"/>
      <c r="HN466" s="219"/>
      <c r="HO466" s="219"/>
      <c r="HP466" s="219"/>
      <c r="HQ466" s="219"/>
      <c r="HR466" s="219"/>
      <c r="HS466" s="219"/>
      <c r="HT466" s="219"/>
      <c r="HU466" s="219"/>
      <c r="HV466" s="219"/>
      <c r="HW466" s="219"/>
      <c r="HX466" s="219"/>
      <c r="HY466" s="219"/>
      <c r="HZ466" s="219"/>
      <c r="IA466" s="219"/>
      <c r="IB466" s="219"/>
      <c r="IC466" s="219"/>
      <c r="ID466" s="219"/>
      <c r="IE466" s="219"/>
      <c r="IF466" s="219"/>
      <c r="IG466" s="219"/>
      <c r="IH466" s="219"/>
      <c r="II466" s="219"/>
      <c r="IJ466" s="219"/>
      <c r="IK466" s="219"/>
      <c r="IL466" s="219"/>
      <c r="IM466" s="219"/>
      <c r="IN466" s="219"/>
      <c r="IO466" s="219"/>
      <c r="IP466" s="219"/>
      <c r="IQ466" s="219"/>
      <c r="IR466" s="219"/>
      <c r="IS466" s="219"/>
      <c r="IT466" s="219"/>
      <c r="IU466" s="219"/>
      <c r="IV466" s="219"/>
    </row>
    <row r="467" spans="1:256" x14ac:dyDescent="0.2">
      <c r="A467" s="204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19"/>
      <c r="AJ467" s="219"/>
      <c r="AK467" s="219"/>
      <c r="AL467" s="219"/>
      <c r="AM467" s="219"/>
      <c r="AN467" s="219"/>
      <c r="AO467" s="219"/>
      <c r="AP467" s="219"/>
      <c r="AQ467" s="219"/>
      <c r="AR467" s="219"/>
      <c r="AS467" s="219"/>
      <c r="AT467" s="219"/>
      <c r="AU467" s="219"/>
      <c r="AV467" s="219"/>
      <c r="AW467" s="219"/>
      <c r="AX467" s="219"/>
      <c r="AY467" s="219"/>
      <c r="AZ467" s="219"/>
      <c r="BA467" s="219"/>
      <c r="BB467" s="219"/>
      <c r="BC467" s="219"/>
      <c r="BD467" s="219"/>
      <c r="BE467" s="219"/>
      <c r="BF467" s="219"/>
      <c r="BG467" s="219"/>
      <c r="BH467" s="219"/>
      <c r="BI467" s="219"/>
      <c r="BJ467" s="219"/>
      <c r="BK467" s="219"/>
      <c r="BL467" s="219"/>
      <c r="BM467" s="219"/>
      <c r="BN467" s="219"/>
      <c r="BO467" s="219"/>
      <c r="BP467" s="219"/>
      <c r="BQ467" s="219"/>
      <c r="BR467" s="219"/>
      <c r="BS467" s="219"/>
      <c r="BT467" s="219"/>
      <c r="BU467" s="219"/>
      <c r="BV467" s="219"/>
      <c r="BW467" s="219"/>
      <c r="BX467" s="219"/>
      <c r="BY467" s="219"/>
      <c r="BZ467" s="219"/>
      <c r="CA467" s="219"/>
      <c r="CB467" s="219"/>
      <c r="CC467" s="219"/>
      <c r="CD467" s="219"/>
      <c r="CE467" s="219"/>
      <c r="CF467" s="219"/>
      <c r="CG467" s="219"/>
      <c r="CH467" s="219"/>
      <c r="CI467" s="219"/>
      <c r="CJ467" s="219"/>
      <c r="CK467" s="219"/>
      <c r="CL467" s="219"/>
      <c r="CM467" s="219"/>
      <c r="CN467" s="219"/>
      <c r="CO467" s="219"/>
      <c r="CP467" s="219"/>
      <c r="CQ467" s="219"/>
      <c r="CR467" s="219"/>
      <c r="CS467" s="219"/>
      <c r="CT467" s="219"/>
      <c r="CU467" s="219"/>
      <c r="CV467" s="219"/>
      <c r="CW467" s="219"/>
      <c r="CX467" s="219"/>
      <c r="CY467" s="219"/>
      <c r="CZ467" s="219"/>
      <c r="DA467" s="219"/>
      <c r="DB467" s="219"/>
      <c r="DC467" s="219"/>
      <c r="DD467" s="219"/>
      <c r="DE467" s="219"/>
      <c r="DF467" s="219"/>
      <c r="DG467" s="219"/>
      <c r="DH467" s="219"/>
      <c r="DI467" s="219"/>
      <c r="DJ467" s="219"/>
      <c r="DK467" s="219"/>
      <c r="DL467" s="219"/>
      <c r="DM467" s="219"/>
      <c r="DN467" s="219"/>
      <c r="DO467" s="219"/>
      <c r="DP467" s="219"/>
      <c r="DQ467" s="219"/>
      <c r="DR467" s="219"/>
      <c r="DS467" s="219"/>
      <c r="DT467" s="219"/>
      <c r="DU467" s="219"/>
      <c r="DV467" s="219"/>
      <c r="DW467" s="219"/>
      <c r="DX467" s="219"/>
      <c r="DY467" s="219"/>
      <c r="DZ467" s="219"/>
      <c r="EA467" s="219"/>
      <c r="EB467" s="219"/>
      <c r="EC467" s="219"/>
      <c r="ED467" s="219"/>
      <c r="EE467" s="219"/>
      <c r="EF467" s="219"/>
      <c r="EG467" s="219"/>
      <c r="EH467" s="219"/>
      <c r="EI467" s="219"/>
      <c r="EJ467" s="219"/>
      <c r="EK467" s="219"/>
      <c r="EL467" s="219"/>
      <c r="EM467" s="219"/>
      <c r="EN467" s="219"/>
      <c r="EO467" s="219"/>
      <c r="EP467" s="219"/>
      <c r="EQ467" s="219"/>
      <c r="ER467" s="219"/>
      <c r="ES467" s="219"/>
      <c r="ET467" s="219"/>
      <c r="EU467" s="219"/>
      <c r="EV467" s="219"/>
      <c r="EW467" s="219"/>
      <c r="EX467" s="219"/>
      <c r="EY467" s="219"/>
      <c r="EZ467" s="219"/>
      <c r="FA467" s="219"/>
      <c r="FB467" s="219"/>
      <c r="FC467" s="219"/>
      <c r="FD467" s="219"/>
      <c r="FE467" s="219"/>
      <c r="FF467" s="219"/>
      <c r="FG467" s="219"/>
      <c r="FH467" s="219"/>
      <c r="FI467" s="219"/>
      <c r="FJ467" s="219"/>
      <c r="FK467" s="219"/>
      <c r="FL467" s="219"/>
      <c r="FM467" s="219"/>
      <c r="FN467" s="219"/>
      <c r="FO467" s="219"/>
      <c r="FP467" s="219"/>
      <c r="FQ467" s="219"/>
      <c r="FR467" s="219"/>
      <c r="FS467" s="219"/>
      <c r="FT467" s="219"/>
      <c r="FU467" s="219"/>
      <c r="FV467" s="219"/>
      <c r="FW467" s="219"/>
      <c r="FX467" s="219"/>
      <c r="FY467" s="219"/>
      <c r="FZ467" s="219"/>
      <c r="GA467" s="219"/>
      <c r="GB467" s="219"/>
      <c r="GC467" s="219"/>
      <c r="GD467" s="219"/>
      <c r="GE467" s="219"/>
      <c r="GF467" s="219"/>
      <c r="GG467" s="219"/>
      <c r="GH467" s="219"/>
      <c r="GI467" s="219"/>
      <c r="GJ467" s="219"/>
      <c r="GK467" s="219"/>
      <c r="GL467" s="219"/>
      <c r="GM467" s="219"/>
      <c r="GN467" s="219"/>
      <c r="GO467" s="219"/>
      <c r="GP467" s="219"/>
      <c r="GQ467" s="219"/>
      <c r="GR467" s="219"/>
      <c r="GS467" s="219"/>
      <c r="GT467" s="219"/>
      <c r="GU467" s="219"/>
      <c r="GV467" s="219"/>
      <c r="GW467" s="219"/>
      <c r="GX467" s="219"/>
      <c r="GY467" s="219"/>
      <c r="GZ467" s="219"/>
      <c r="HA467" s="219"/>
      <c r="HB467" s="219"/>
      <c r="HC467" s="219"/>
      <c r="HD467" s="219"/>
      <c r="HE467" s="219"/>
      <c r="HF467" s="219"/>
      <c r="HG467" s="219"/>
      <c r="HH467" s="219"/>
      <c r="HI467" s="219"/>
      <c r="HJ467" s="219"/>
      <c r="HK467" s="219"/>
      <c r="HL467" s="219"/>
      <c r="HM467" s="219"/>
      <c r="HN467" s="219"/>
      <c r="HO467" s="219"/>
      <c r="HP467" s="219"/>
      <c r="HQ467" s="219"/>
      <c r="HR467" s="219"/>
      <c r="HS467" s="219"/>
      <c r="HT467" s="219"/>
      <c r="HU467" s="219"/>
      <c r="HV467" s="219"/>
      <c r="HW467" s="219"/>
      <c r="HX467" s="219"/>
      <c r="HY467" s="219"/>
      <c r="HZ467" s="219"/>
      <c r="IA467" s="219"/>
      <c r="IB467" s="219"/>
      <c r="IC467" s="219"/>
      <c r="ID467" s="219"/>
      <c r="IE467" s="219"/>
      <c r="IF467" s="219"/>
      <c r="IG467" s="219"/>
      <c r="IH467" s="219"/>
      <c r="II467" s="219"/>
      <c r="IJ467" s="219"/>
      <c r="IK467" s="219"/>
      <c r="IL467" s="219"/>
      <c r="IM467" s="219"/>
      <c r="IN467" s="219"/>
      <c r="IO467" s="219"/>
      <c r="IP467" s="219"/>
      <c r="IQ467" s="219"/>
      <c r="IR467" s="219"/>
      <c r="IS467" s="219"/>
      <c r="IT467" s="219"/>
      <c r="IU467" s="219"/>
      <c r="IV467" s="219"/>
    </row>
    <row r="468" spans="1:256" x14ac:dyDescent="0.2">
      <c r="A468" s="204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19"/>
      <c r="AJ468" s="219"/>
      <c r="AK468" s="219"/>
      <c r="AL468" s="219"/>
      <c r="AM468" s="219"/>
      <c r="AN468" s="219"/>
      <c r="AO468" s="219"/>
      <c r="AP468" s="219"/>
      <c r="AQ468" s="219"/>
      <c r="AR468" s="219"/>
      <c r="AS468" s="219"/>
      <c r="AT468" s="219"/>
      <c r="AU468" s="219"/>
      <c r="AV468" s="219"/>
      <c r="AW468" s="219"/>
      <c r="AX468" s="219"/>
      <c r="AY468" s="219"/>
      <c r="AZ468" s="219"/>
      <c r="BA468" s="219"/>
      <c r="BB468" s="219"/>
      <c r="BC468" s="219"/>
      <c r="BD468" s="219"/>
      <c r="BE468" s="219"/>
      <c r="BF468" s="219"/>
      <c r="BG468" s="219"/>
      <c r="BH468" s="219"/>
      <c r="BI468" s="219"/>
      <c r="BJ468" s="219"/>
      <c r="BK468" s="219"/>
      <c r="BL468" s="219"/>
      <c r="BM468" s="219"/>
      <c r="BN468" s="219"/>
      <c r="BO468" s="219"/>
      <c r="BP468" s="219"/>
      <c r="BQ468" s="219"/>
      <c r="BR468" s="219"/>
      <c r="BS468" s="219"/>
      <c r="BT468" s="219"/>
      <c r="BU468" s="219"/>
      <c r="BV468" s="219"/>
      <c r="BW468" s="219"/>
      <c r="BX468" s="219"/>
      <c r="BY468" s="219"/>
      <c r="BZ468" s="219"/>
      <c r="CA468" s="219"/>
      <c r="CB468" s="219"/>
      <c r="CC468" s="219"/>
      <c r="CD468" s="219"/>
      <c r="CE468" s="219"/>
      <c r="CF468" s="219"/>
      <c r="CG468" s="219"/>
      <c r="CH468" s="219"/>
      <c r="CI468" s="219"/>
      <c r="CJ468" s="219"/>
      <c r="CK468" s="219"/>
      <c r="CL468" s="219"/>
      <c r="CM468" s="219"/>
      <c r="CN468" s="219"/>
      <c r="CO468" s="219"/>
      <c r="CP468" s="219"/>
      <c r="CQ468" s="219"/>
      <c r="CR468" s="219"/>
      <c r="CS468" s="219"/>
      <c r="CT468" s="219"/>
      <c r="CU468" s="219"/>
      <c r="CV468" s="219"/>
      <c r="CW468" s="219"/>
      <c r="CX468" s="219"/>
      <c r="CY468" s="219"/>
      <c r="CZ468" s="219"/>
      <c r="DA468" s="219"/>
      <c r="DB468" s="219"/>
      <c r="DC468" s="219"/>
      <c r="DD468" s="219"/>
      <c r="DE468" s="219"/>
      <c r="DF468" s="219"/>
      <c r="DG468" s="219"/>
      <c r="DH468" s="219"/>
      <c r="DI468" s="219"/>
      <c r="DJ468" s="219"/>
      <c r="DK468" s="219"/>
      <c r="DL468" s="219"/>
      <c r="DM468" s="219"/>
      <c r="DN468" s="219"/>
      <c r="DO468" s="219"/>
      <c r="DP468" s="219"/>
      <c r="DQ468" s="219"/>
      <c r="DR468" s="219"/>
      <c r="DS468" s="219"/>
      <c r="DT468" s="219"/>
      <c r="DU468" s="219"/>
      <c r="DV468" s="219"/>
      <c r="DW468" s="219"/>
      <c r="DX468" s="219"/>
      <c r="DY468" s="219"/>
      <c r="DZ468" s="219"/>
      <c r="EA468" s="219"/>
      <c r="EB468" s="219"/>
      <c r="EC468" s="219"/>
      <c r="ED468" s="219"/>
      <c r="EE468" s="219"/>
      <c r="EF468" s="219"/>
      <c r="EG468" s="219"/>
      <c r="EH468" s="219"/>
      <c r="EI468" s="219"/>
      <c r="EJ468" s="219"/>
      <c r="EK468" s="219"/>
      <c r="EL468" s="219"/>
      <c r="EM468" s="219"/>
      <c r="EN468" s="219"/>
      <c r="EO468" s="219"/>
      <c r="EP468" s="219"/>
      <c r="EQ468" s="219"/>
      <c r="ER468" s="219"/>
      <c r="ES468" s="219"/>
      <c r="ET468" s="219"/>
      <c r="EU468" s="219"/>
      <c r="EV468" s="219"/>
      <c r="EW468" s="219"/>
      <c r="EX468" s="219"/>
      <c r="EY468" s="219"/>
      <c r="EZ468" s="219"/>
      <c r="FA468" s="219"/>
      <c r="FB468" s="219"/>
      <c r="FC468" s="219"/>
      <c r="FD468" s="219"/>
      <c r="FE468" s="219"/>
      <c r="FF468" s="219"/>
      <c r="FG468" s="219"/>
      <c r="FH468" s="219"/>
      <c r="FI468" s="219"/>
      <c r="FJ468" s="219"/>
      <c r="FK468" s="219"/>
      <c r="FL468" s="219"/>
      <c r="FM468" s="219"/>
      <c r="FN468" s="219"/>
      <c r="FO468" s="219"/>
      <c r="FP468" s="219"/>
      <c r="FQ468" s="219"/>
      <c r="FR468" s="219"/>
      <c r="FS468" s="219"/>
      <c r="FT468" s="219"/>
      <c r="FU468" s="219"/>
      <c r="FV468" s="219"/>
      <c r="FW468" s="219"/>
      <c r="FX468" s="219"/>
      <c r="FY468" s="219"/>
      <c r="FZ468" s="219"/>
      <c r="GA468" s="219"/>
      <c r="GB468" s="219"/>
      <c r="GC468" s="219"/>
      <c r="GD468" s="219"/>
      <c r="GE468" s="219"/>
      <c r="GF468" s="219"/>
      <c r="GG468" s="219"/>
      <c r="GH468" s="219"/>
      <c r="GI468" s="219"/>
      <c r="GJ468" s="219"/>
      <c r="GK468" s="219"/>
      <c r="GL468" s="219"/>
      <c r="GM468" s="219"/>
      <c r="GN468" s="219"/>
      <c r="GO468" s="219"/>
      <c r="GP468" s="219"/>
      <c r="GQ468" s="219"/>
      <c r="GR468" s="219"/>
      <c r="GS468" s="219"/>
      <c r="GT468" s="219"/>
      <c r="GU468" s="219"/>
      <c r="GV468" s="219"/>
      <c r="GW468" s="219"/>
      <c r="GX468" s="219"/>
      <c r="GY468" s="219"/>
      <c r="GZ468" s="219"/>
      <c r="HA468" s="219"/>
      <c r="HB468" s="219"/>
      <c r="HC468" s="219"/>
      <c r="HD468" s="219"/>
      <c r="HE468" s="219"/>
      <c r="HF468" s="219"/>
      <c r="HG468" s="219"/>
      <c r="HH468" s="219"/>
      <c r="HI468" s="219"/>
      <c r="HJ468" s="219"/>
      <c r="HK468" s="219"/>
      <c r="HL468" s="219"/>
      <c r="HM468" s="219"/>
      <c r="HN468" s="219"/>
      <c r="HO468" s="219"/>
      <c r="HP468" s="219"/>
      <c r="HQ468" s="219"/>
      <c r="HR468" s="219"/>
      <c r="HS468" s="219"/>
      <c r="HT468" s="219"/>
      <c r="HU468" s="219"/>
      <c r="HV468" s="219"/>
      <c r="HW468" s="219"/>
      <c r="HX468" s="219"/>
      <c r="HY468" s="219"/>
      <c r="HZ468" s="219"/>
      <c r="IA468" s="219"/>
      <c r="IB468" s="219"/>
      <c r="IC468" s="219"/>
      <c r="ID468" s="219"/>
      <c r="IE468" s="219"/>
      <c r="IF468" s="219"/>
      <c r="IG468" s="219"/>
      <c r="IH468" s="219"/>
      <c r="II468" s="219"/>
      <c r="IJ468" s="219"/>
      <c r="IK468" s="219"/>
      <c r="IL468" s="219"/>
      <c r="IM468" s="219"/>
      <c r="IN468" s="219"/>
      <c r="IO468" s="219"/>
      <c r="IP468" s="219"/>
      <c r="IQ468" s="219"/>
      <c r="IR468" s="219"/>
      <c r="IS468" s="219"/>
      <c r="IT468" s="219"/>
      <c r="IU468" s="219"/>
      <c r="IV468" s="219"/>
    </row>
    <row r="469" spans="1:256" x14ac:dyDescent="0.2">
      <c r="A469" s="204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19"/>
      <c r="AJ469" s="219"/>
      <c r="AK469" s="219"/>
      <c r="AL469" s="219"/>
      <c r="AM469" s="219"/>
      <c r="AN469" s="219"/>
      <c r="AO469" s="219"/>
      <c r="AP469" s="219"/>
      <c r="AQ469" s="219"/>
      <c r="AR469" s="219"/>
      <c r="AS469" s="219"/>
      <c r="AT469" s="219"/>
      <c r="AU469" s="219"/>
      <c r="AV469" s="219"/>
      <c r="AW469" s="219"/>
      <c r="AX469" s="219"/>
      <c r="AY469" s="219"/>
      <c r="AZ469" s="219"/>
      <c r="BA469" s="219"/>
      <c r="BB469" s="219"/>
      <c r="BC469" s="219"/>
      <c r="BD469" s="219"/>
      <c r="BE469" s="219"/>
      <c r="BF469" s="219"/>
      <c r="BG469" s="219"/>
      <c r="BH469" s="219"/>
      <c r="BI469" s="219"/>
      <c r="BJ469" s="219"/>
      <c r="BK469" s="219"/>
      <c r="BL469" s="219"/>
      <c r="BM469" s="219"/>
      <c r="BN469" s="219"/>
      <c r="BO469" s="219"/>
      <c r="BP469" s="219"/>
      <c r="BQ469" s="219"/>
      <c r="BR469" s="219"/>
      <c r="BS469" s="219"/>
      <c r="BT469" s="219"/>
      <c r="BU469" s="219"/>
      <c r="BV469" s="219"/>
      <c r="BW469" s="219"/>
      <c r="BX469" s="219"/>
      <c r="BY469" s="219"/>
      <c r="BZ469" s="219"/>
      <c r="CA469" s="219"/>
      <c r="CB469" s="219"/>
      <c r="CC469" s="219"/>
      <c r="CD469" s="219"/>
      <c r="CE469" s="219"/>
      <c r="CF469" s="219"/>
      <c r="CG469" s="219"/>
      <c r="CH469" s="219"/>
      <c r="CI469" s="219"/>
      <c r="CJ469" s="219"/>
      <c r="CK469" s="219"/>
      <c r="CL469" s="219"/>
      <c r="CM469" s="219"/>
      <c r="CN469" s="219"/>
      <c r="CO469" s="219"/>
      <c r="CP469" s="219"/>
      <c r="CQ469" s="219"/>
      <c r="CR469" s="219"/>
      <c r="CS469" s="219"/>
      <c r="CT469" s="219"/>
      <c r="CU469" s="219"/>
      <c r="CV469" s="219"/>
      <c r="CW469" s="219"/>
      <c r="CX469" s="219"/>
      <c r="CY469" s="219"/>
      <c r="CZ469" s="219"/>
      <c r="DA469" s="219"/>
      <c r="DB469" s="219"/>
      <c r="DC469" s="219"/>
      <c r="DD469" s="219"/>
      <c r="DE469" s="219"/>
      <c r="DF469" s="219"/>
      <c r="DG469" s="219"/>
      <c r="DH469" s="219"/>
      <c r="DI469" s="219"/>
      <c r="DJ469" s="219"/>
      <c r="DK469" s="219"/>
      <c r="DL469" s="219"/>
      <c r="DM469" s="219"/>
      <c r="DN469" s="219"/>
      <c r="DO469" s="219"/>
      <c r="DP469" s="219"/>
      <c r="DQ469" s="219"/>
      <c r="DR469" s="219"/>
      <c r="DS469" s="219"/>
      <c r="DT469" s="219"/>
      <c r="DU469" s="219"/>
      <c r="DV469" s="219"/>
      <c r="DW469" s="219"/>
      <c r="DX469" s="219"/>
      <c r="DY469" s="219"/>
      <c r="DZ469" s="219"/>
      <c r="EA469" s="219"/>
      <c r="EB469" s="219"/>
      <c r="EC469" s="219"/>
      <c r="ED469" s="219"/>
      <c r="EE469" s="219"/>
      <c r="EF469" s="219"/>
      <c r="EG469" s="219"/>
      <c r="EH469" s="219"/>
      <c r="EI469" s="219"/>
      <c r="EJ469" s="219"/>
      <c r="EK469" s="219"/>
      <c r="EL469" s="219"/>
      <c r="EM469" s="219"/>
      <c r="EN469" s="219"/>
      <c r="EO469" s="219"/>
      <c r="EP469" s="219"/>
      <c r="EQ469" s="219"/>
      <c r="ER469" s="219"/>
      <c r="ES469" s="219"/>
      <c r="ET469" s="219"/>
      <c r="EU469" s="219"/>
      <c r="EV469" s="219"/>
      <c r="EW469" s="219"/>
      <c r="EX469" s="219"/>
      <c r="EY469" s="219"/>
      <c r="EZ469" s="219"/>
      <c r="FA469" s="219"/>
      <c r="FB469" s="219"/>
      <c r="FC469" s="219"/>
      <c r="FD469" s="219"/>
      <c r="FE469" s="219"/>
      <c r="FF469" s="219"/>
      <c r="FG469" s="219"/>
      <c r="FH469" s="219"/>
      <c r="FI469" s="219"/>
      <c r="FJ469" s="219"/>
      <c r="FK469" s="219"/>
      <c r="FL469" s="219"/>
      <c r="FM469" s="219"/>
      <c r="FN469" s="219"/>
      <c r="FO469" s="219"/>
      <c r="FP469" s="219"/>
      <c r="FQ469" s="219"/>
      <c r="FR469" s="219"/>
      <c r="FS469" s="219"/>
      <c r="FT469" s="219"/>
      <c r="FU469" s="219"/>
      <c r="FV469" s="219"/>
      <c r="FW469" s="219"/>
      <c r="FX469" s="219"/>
      <c r="FY469" s="219"/>
      <c r="FZ469" s="219"/>
      <c r="GA469" s="219"/>
      <c r="GB469" s="219"/>
      <c r="GC469" s="219"/>
      <c r="GD469" s="219"/>
      <c r="GE469" s="219"/>
      <c r="GF469" s="219"/>
      <c r="GG469" s="219"/>
      <c r="GH469" s="219"/>
      <c r="GI469" s="219"/>
      <c r="GJ469" s="219"/>
      <c r="GK469" s="219"/>
      <c r="GL469" s="219"/>
      <c r="GM469" s="219"/>
      <c r="GN469" s="219"/>
      <c r="GO469" s="219"/>
      <c r="GP469" s="219"/>
      <c r="GQ469" s="219"/>
      <c r="GR469" s="219"/>
      <c r="GS469" s="219"/>
      <c r="GT469" s="219"/>
      <c r="GU469" s="219"/>
      <c r="GV469" s="219"/>
      <c r="GW469" s="219"/>
      <c r="GX469" s="219"/>
      <c r="GY469" s="219"/>
      <c r="GZ469" s="219"/>
      <c r="HA469" s="219"/>
      <c r="HB469" s="219"/>
      <c r="HC469" s="219"/>
      <c r="HD469" s="219"/>
      <c r="HE469" s="219"/>
      <c r="HF469" s="219"/>
      <c r="HG469" s="219"/>
      <c r="HH469" s="219"/>
      <c r="HI469" s="219"/>
      <c r="HJ469" s="219"/>
      <c r="HK469" s="219"/>
      <c r="HL469" s="219"/>
      <c r="HM469" s="219"/>
      <c r="HN469" s="219"/>
      <c r="HO469" s="219"/>
      <c r="HP469" s="219"/>
      <c r="HQ469" s="219"/>
      <c r="HR469" s="219"/>
      <c r="HS469" s="219"/>
      <c r="HT469" s="219"/>
      <c r="HU469" s="219"/>
      <c r="HV469" s="219"/>
      <c r="HW469" s="219"/>
      <c r="HX469" s="219"/>
      <c r="HY469" s="219"/>
      <c r="HZ469" s="219"/>
      <c r="IA469" s="219"/>
      <c r="IB469" s="219"/>
      <c r="IC469" s="219"/>
      <c r="ID469" s="219"/>
      <c r="IE469" s="219"/>
      <c r="IF469" s="219"/>
      <c r="IG469" s="219"/>
      <c r="IH469" s="219"/>
      <c r="II469" s="219"/>
      <c r="IJ469" s="219"/>
      <c r="IK469" s="219"/>
      <c r="IL469" s="219"/>
      <c r="IM469" s="219"/>
      <c r="IN469" s="219"/>
      <c r="IO469" s="219"/>
      <c r="IP469" s="219"/>
      <c r="IQ469" s="219"/>
      <c r="IR469" s="219"/>
      <c r="IS469" s="219"/>
      <c r="IT469" s="219"/>
      <c r="IU469" s="219"/>
      <c r="IV469" s="219"/>
    </row>
    <row r="470" spans="1:256" x14ac:dyDescent="0.2">
      <c r="A470" s="204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19"/>
      <c r="AJ470" s="219"/>
      <c r="AK470" s="219"/>
      <c r="AL470" s="219"/>
      <c r="AM470" s="219"/>
      <c r="AN470" s="219"/>
      <c r="AO470" s="219"/>
      <c r="AP470" s="219"/>
      <c r="AQ470" s="219"/>
      <c r="AR470" s="219"/>
      <c r="AS470" s="219"/>
      <c r="AT470" s="219"/>
      <c r="AU470" s="219"/>
      <c r="AV470" s="219"/>
      <c r="AW470" s="219"/>
      <c r="AX470" s="219"/>
      <c r="AY470" s="219"/>
      <c r="AZ470" s="219"/>
      <c r="BA470" s="219"/>
      <c r="BB470" s="219"/>
      <c r="BC470" s="219"/>
      <c r="BD470" s="219"/>
      <c r="BE470" s="219"/>
      <c r="BF470" s="219"/>
      <c r="BG470" s="219"/>
      <c r="BH470" s="219"/>
      <c r="BI470" s="219"/>
      <c r="BJ470" s="219"/>
      <c r="BK470" s="219"/>
      <c r="BL470" s="219"/>
      <c r="BM470" s="219"/>
      <c r="BN470" s="219"/>
      <c r="BO470" s="219"/>
      <c r="BP470" s="219"/>
      <c r="BQ470" s="219"/>
      <c r="BR470" s="219"/>
      <c r="BS470" s="219"/>
      <c r="BT470" s="219"/>
      <c r="BU470" s="219"/>
      <c r="BV470" s="219"/>
      <c r="BW470" s="219"/>
      <c r="BX470" s="219"/>
      <c r="BY470" s="219"/>
      <c r="BZ470" s="219"/>
      <c r="CA470" s="219"/>
      <c r="CB470" s="219"/>
      <c r="CC470" s="219"/>
      <c r="CD470" s="219"/>
      <c r="CE470" s="219"/>
      <c r="CF470" s="219"/>
      <c r="CG470" s="219"/>
      <c r="CH470" s="219"/>
      <c r="CI470" s="219"/>
      <c r="CJ470" s="219"/>
      <c r="CK470" s="219"/>
      <c r="CL470" s="219"/>
      <c r="CM470" s="219"/>
      <c r="CN470" s="219"/>
      <c r="CO470" s="219"/>
      <c r="CP470" s="219"/>
      <c r="CQ470" s="219"/>
      <c r="CR470" s="219"/>
      <c r="CS470" s="219"/>
      <c r="CT470" s="219"/>
      <c r="CU470" s="219"/>
      <c r="CV470" s="219"/>
      <c r="CW470" s="219"/>
      <c r="CX470" s="219"/>
      <c r="CY470" s="219"/>
      <c r="CZ470" s="219"/>
      <c r="DA470" s="219"/>
      <c r="DB470" s="219"/>
      <c r="DC470" s="219"/>
      <c r="DD470" s="219"/>
      <c r="DE470" s="219"/>
      <c r="DF470" s="219"/>
      <c r="DG470" s="219"/>
      <c r="DH470" s="219"/>
      <c r="DI470" s="219"/>
      <c r="DJ470" s="219"/>
      <c r="DK470" s="219"/>
      <c r="DL470" s="219"/>
      <c r="DM470" s="219"/>
      <c r="DN470" s="219"/>
      <c r="DO470" s="219"/>
      <c r="DP470" s="219"/>
      <c r="DQ470" s="219"/>
      <c r="DR470" s="219"/>
      <c r="DS470" s="219"/>
      <c r="DT470" s="219"/>
      <c r="DU470" s="219"/>
      <c r="DV470" s="219"/>
      <c r="DW470" s="219"/>
      <c r="DX470" s="219"/>
      <c r="DY470" s="219"/>
      <c r="DZ470" s="219"/>
      <c r="EA470" s="219"/>
      <c r="EB470" s="219"/>
      <c r="EC470" s="219"/>
      <c r="ED470" s="219"/>
      <c r="EE470" s="219"/>
      <c r="EF470" s="219"/>
      <c r="EG470" s="219"/>
      <c r="EH470" s="219"/>
      <c r="EI470" s="219"/>
      <c r="EJ470" s="219"/>
      <c r="EK470" s="219"/>
      <c r="EL470" s="219"/>
      <c r="EM470" s="219"/>
      <c r="EN470" s="219"/>
      <c r="EO470" s="219"/>
      <c r="EP470" s="219"/>
      <c r="EQ470" s="219"/>
      <c r="ER470" s="219"/>
      <c r="ES470" s="219"/>
      <c r="ET470" s="219"/>
      <c r="EU470" s="219"/>
      <c r="EV470" s="219"/>
      <c r="EW470" s="219"/>
      <c r="EX470" s="219"/>
      <c r="EY470" s="219"/>
      <c r="EZ470" s="219"/>
      <c r="FA470" s="219"/>
      <c r="FB470" s="219"/>
      <c r="FC470" s="219"/>
      <c r="FD470" s="219"/>
      <c r="FE470" s="219"/>
      <c r="FF470" s="219"/>
      <c r="FG470" s="219"/>
      <c r="FH470" s="219"/>
      <c r="FI470" s="219"/>
      <c r="FJ470" s="219"/>
      <c r="FK470" s="219"/>
      <c r="FL470" s="219"/>
      <c r="FM470" s="219"/>
      <c r="FN470" s="219"/>
      <c r="FO470" s="219"/>
      <c r="FP470" s="219"/>
      <c r="FQ470" s="219"/>
      <c r="FR470" s="219"/>
      <c r="FS470" s="219"/>
      <c r="FT470" s="219"/>
      <c r="FU470" s="219"/>
      <c r="FV470" s="219"/>
      <c r="FW470" s="219"/>
      <c r="FX470" s="219"/>
      <c r="FY470" s="219"/>
      <c r="FZ470" s="219"/>
      <c r="GA470" s="219"/>
      <c r="GB470" s="219"/>
      <c r="GC470" s="219"/>
      <c r="GD470" s="219"/>
      <c r="GE470" s="219"/>
      <c r="GF470" s="219"/>
      <c r="GG470" s="219"/>
      <c r="GH470" s="219"/>
      <c r="GI470" s="219"/>
      <c r="GJ470" s="219"/>
      <c r="GK470" s="219"/>
      <c r="GL470" s="219"/>
      <c r="GM470" s="219"/>
      <c r="GN470" s="219"/>
      <c r="GO470" s="219"/>
      <c r="GP470" s="219"/>
      <c r="GQ470" s="219"/>
      <c r="GR470" s="219"/>
      <c r="GS470" s="219"/>
      <c r="GT470" s="219"/>
      <c r="GU470" s="219"/>
      <c r="GV470" s="219"/>
      <c r="GW470" s="219"/>
      <c r="GX470" s="219"/>
      <c r="GY470" s="219"/>
      <c r="GZ470" s="219"/>
      <c r="HA470" s="219"/>
      <c r="HB470" s="219"/>
      <c r="HC470" s="219"/>
      <c r="HD470" s="219"/>
      <c r="HE470" s="219"/>
      <c r="HF470" s="219"/>
      <c r="HG470" s="219"/>
      <c r="HH470" s="219"/>
      <c r="HI470" s="219"/>
      <c r="HJ470" s="219"/>
      <c r="HK470" s="219"/>
      <c r="HL470" s="219"/>
      <c r="HM470" s="219"/>
      <c r="HN470" s="219"/>
      <c r="HO470" s="219"/>
      <c r="HP470" s="219"/>
      <c r="HQ470" s="219"/>
      <c r="HR470" s="219"/>
      <c r="HS470" s="219"/>
      <c r="HT470" s="219"/>
      <c r="HU470" s="219"/>
      <c r="HV470" s="219"/>
      <c r="HW470" s="219"/>
      <c r="HX470" s="219"/>
      <c r="HY470" s="219"/>
      <c r="HZ470" s="219"/>
      <c r="IA470" s="219"/>
      <c r="IB470" s="219"/>
      <c r="IC470" s="219"/>
      <c r="ID470" s="219"/>
      <c r="IE470" s="219"/>
      <c r="IF470" s="219"/>
      <c r="IG470" s="219"/>
      <c r="IH470" s="219"/>
      <c r="II470" s="219"/>
      <c r="IJ470" s="219"/>
      <c r="IK470" s="219"/>
      <c r="IL470" s="219"/>
      <c r="IM470" s="219"/>
      <c r="IN470" s="219"/>
      <c r="IO470" s="219"/>
      <c r="IP470" s="219"/>
      <c r="IQ470" s="219"/>
      <c r="IR470" s="219"/>
      <c r="IS470" s="219"/>
      <c r="IT470" s="219"/>
      <c r="IU470" s="219"/>
      <c r="IV470" s="219"/>
    </row>
    <row r="471" spans="1:256" x14ac:dyDescent="0.2">
      <c r="A471" s="204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  <c r="AK471" s="219"/>
      <c r="AL471" s="219"/>
      <c r="AM471" s="219"/>
      <c r="AN471" s="219"/>
      <c r="AO471" s="219"/>
      <c r="AP471" s="219"/>
      <c r="AQ471" s="219"/>
      <c r="AR471" s="219"/>
      <c r="AS471" s="219"/>
      <c r="AT471" s="219"/>
      <c r="AU471" s="219"/>
      <c r="AV471" s="219"/>
      <c r="AW471" s="219"/>
      <c r="AX471" s="219"/>
      <c r="AY471" s="219"/>
      <c r="AZ471" s="219"/>
      <c r="BA471" s="219"/>
      <c r="BB471" s="219"/>
      <c r="BC471" s="219"/>
      <c r="BD471" s="219"/>
      <c r="BE471" s="219"/>
      <c r="BF471" s="219"/>
      <c r="BG471" s="219"/>
      <c r="BH471" s="219"/>
      <c r="BI471" s="219"/>
      <c r="BJ471" s="219"/>
      <c r="BK471" s="219"/>
      <c r="BL471" s="219"/>
      <c r="BM471" s="219"/>
      <c r="BN471" s="219"/>
      <c r="BO471" s="219"/>
      <c r="BP471" s="219"/>
      <c r="BQ471" s="219"/>
      <c r="BR471" s="219"/>
      <c r="BS471" s="219"/>
      <c r="BT471" s="219"/>
      <c r="BU471" s="219"/>
      <c r="BV471" s="219"/>
      <c r="BW471" s="219"/>
      <c r="BX471" s="219"/>
      <c r="BY471" s="219"/>
      <c r="BZ471" s="219"/>
      <c r="CA471" s="219"/>
      <c r="CB471" s="219"/>
      <c r="CC471" s="219"/>
      <c r="CD471" s="219"/>
      <c r="CE471" s="219"/>
      <c r="CF471" s="219"/>
      <c r="CG471" s="219"/>
      <c r="CH471" s="219"/>
      <c r="CI471" s="219"/>
      <c r="CJ471" s="219"/>
      <c r="CK471" s="219"/>
      <c r="CL471" s="219"/>
      <c r="CM471" s="219"/>
      <c r="CN471" s="219"/>
      <c r="CO471" s="219"/>
      <c r="CP471" s="219"/>
      <c r="CQ471" s="219"/>
      <c r="CR471" s="219"/>
      <c r="CS471" s="219"/>
      <c r="CT471" s="219"/>
      <c r="CU471" s="219"/>
      <c r="CV471" s="219"/>
      <c r="CW471" s="219"/>
      <c r="CX471" s="219"/>
      <c r="CY471" s="219"/>
      <c r="CZ471" s="219"/>
      <c r="DA471" s="219"/>
      <c r="DB471" s="219"/>
      <c r="DC471" s="219"/>
      <c r="DD471" s="219"/>
      <c r="DE471" s="219"/>
      <c r="DF471" s="219"/>
      <c r="DG471" s="219"/>
      <c r="DH471" s="219"/>
      <c r="DI471" s="219"/>
      <c r="DJ471" s="219"/>
      <c r="DK471" s="219"/>
      <c r="DL471" s="219"/>
      <c r="DM471" s="219"/>
      <c r="DN471" s="219"/>
      <c r="DO471" s="219"/>
      <c r="DP471" s="219"/>
      <c r="DQ471" s="219"/>
      <c r="DR471" s="219"/>
      <c r="DS471" s="219"/>
      <c r="DT471" s="219"/>
      <c r="DU471" s="219"/>
      <c r="DV471" s="219"/>
      <c r="DW471" s="219"/>
      <c r="DX471" s="219"/>
      <c r="DY471" s="219"/>
      <c r="DZ471" s="219"/>
      <c r="EA471" s="219"/>
      <c r="EB471" s="219"/>
      <c r="EC471" s="219"/>
      <c r="ED471" s="219"/>
      <c r="EE471" s="219"/>
      <c r="EF471" s="219"/>
      <c r="EG471" s="219"/>
      <c r="EH471" s="219"/>
      <c r="EI471" s="219"/>
      <c r="EJ471" s="219"/>
      <c r="EK471" s="219"/>
      <c r="EL471" s="219"/>
      <c r="EM471" s="219"/>
      <c r="EN471" s="219"/>
      <c r="EO471" s="219"/>
      <c r="EP471" s="219"/>
      <c r="EQ471" s="219"/>
      <c r="ER471" s="219"/>
      <c r="ES471" s="219"/>
      <c r="ET471" s="219"/>
      <c r="EU471" s="219"/>
      <c r="EV471" s="219"/>
      <c r="EW471" s="219"/>
      <c r="EX471" s="219"/>
      <c r="EY471" s="219"/>
      <c r="EZ471" s="219"/>
      <c r="FA471" s="219"/>
      <c r="FB471" s="219"/>
      <c r="FC471" s="219"/>
      <c r="FD471" s="219"/>
      <c r="FE471" s="219"/>
      <c r="FF471" s="219"/>
      <c r="FG471" s="219"/>
      <c r="FH471" s="219"/>
      <c r="FI471" s="219"/>
      <c r="FJ471" s="219"/>
      <c r="FK471" s="219"/>
      <c r="FL471" s="219"/>
      <c r="FM471" s="219"/>
      <c r="FN471" s="219"/>
      <c r="FO471" s="219"/>
      <c r="FP471" s="219"/>
      <c r="FQ471" s="219"/>
      <c r="FR471" s="219"/>
      <c r="FS471" s="219"/>
      <c r="FT471" s="219"/>
      <c r="FU471" s="219"/>
      <c r="FV471" s="219"/>
      <c r="FW471" s="219"/>
      <c r="FX471" s="219"/>
      <c r="FY471" s="219"/>
      <c r="FZ471" s="219"/>
      <c r="GA471" s="219"/>
      <c r="GB471" s="219"/>
      <c r="GC471" s="219"/>
      <c r="GD471" s="219"/>
      <c r="GE471" s="219"/>
      <c r="GF471" s="219"/>
      <c r="GG471" s="219"/>
      <c r="GH471" s="219"/>
      <c r="GI471" s="219"/>
      <c r="GJ471" s="219"/>
      <c r="GK471" s="219"/>
      <c r="GL471" s="219"/>
      <c r="GM471" s="219"/>
      <c r="GN471" s="219"/>
      <c r="GO471" s="219"/>
      <c r="GP471" s="219"/>
      <c r="GQ471" s="219"/>
      <c r="GR471" s="219"/>
      <c r="GS471" s="219"/>
      <c r="GT471" s="219"/>
      <c r="GU471" s="219"/>
      <c r="GV471" s="219"/>
      <c r="GW471" s="219"/>
      <c r="GX471" s="219"/>
      <c r="GY471" s="219"/>
      <c r="GZ471" s="219"/>
      <c r="HA471" s="219"/>
      <c r="HB471" s="219"/>
      <c r="HC471" s="219"/>
      <c r="HD471" s="219"/>
      <c r="HE471" s="219"/>
      <c r="HF471" s="219"/>
      <c r="HG471" s="219"/>
      <c r="HH471" s="219"/>
      <c r="HI471" s="219"/>
      <c r="HJ471" s="219"/>
      <c r="HK471" s="219"/>
      <c r="HL471" s="219"/>
      <c r="HM471" s="219"/>
      <c r="HN471" s="219"/>
      <c r="HO471" s="219"/>
      <c r="HP471" s="219"/>
      <c r="HQ471" s="219"/>
      <c r="HR471" s="219"/>
      <c r="HS471" s="219"/>
      <c r="HT471" s="219"/>
      <c r="HU471" s="219"/>
      <c r="HV471" s="219"/>
      <c r="HW471" s="219"/>
      <c r="HX471" s="219"/>
      <c r="HY471" s="219"/>
      <c r="HZ471" s="219"/>
      <c r="IA471" s="219"/>
      <c r="IB471" s="219"/>
      <c r="IC471" s="219"/>
      <c r="ID471" s="219"/>
      <c r="IE471" s="219"/>
      <c r="IF471" s="219"/>
      <c r="IG471" s="219"/>
      <c r="IH471" s="219"/>
      <c r="II471" s="219"/>
      <c r="IJ471" s="219"/>
      <c r="IK471" s="219"/>
      <c r="IL471" s="219"/>
      <c r="IM471" s="219"/>
      <c r="IN471" s="219"/>
      <c r="IO471" s="219"/>
      <c r="IP471" s="219"/>
      <c r="IQ471" s="219"/>
      <c r="IR471" s="219"/>
      <c r="IS471" s="219"/>
      <c r="IT471" s="219"/>
      <c r="IU471" s="219"/>
      <c r="IV471" s="219"/>
    </row>
    <row r="472" spans="1:256" x14ac:dyDescent="0.2">
      <c r="A472" s="204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19"/>
      <c r="AJ472" s="219"/>
      <c r="AK472" s="219"/>
      <c r="AL472" s="219"/>
      <c r="AM472" s="219"/>
      <c r="AN472" s="219"/>
      <c r="AO472" s="219"/>
      <c r="AP472" s="219"/>
      <c r="AQ472" s="219"/>
      <c r="AR472" s="219"/>
      <c r="AS472" s="219"/>
      <c r="AT472" s="219"/>
      <c r="AU472" s="219"/>
      <c r="AV472" s="219"/>
      <c r="AW472" s="219"/>
      <c r="AX472" s="219"/>
      <c r="AY472" s="219"/>
      <c r="AZ472" s="219"/>
      <c r="BA472" s="219"/>
      <c r="BB472" s="219"/>
      <c r="BC472" s="219"/>
      <c r="BD472" s="219"/>
      <c r="BE472" s="219"/>
      <c r="BF472" s="219"/>
      <c r="BG472" s="219"/>
      <c r="BH472" s="219"/>
      <c r="BI472" s="219"/>
      <c r="BJ472" s="219"/>
      <c r="BK472" s="219"/>
      <c r="BL472" s="219"/>
      <c r="BM472" s="219"/>
      <c r="BN472" s="219"/>
      <c r="BO472" s="219"/>
      <c r="BP472" s="219"/>
      <c r="BQ472" s="219"/>
      <c r="BR472" s="219"/>
      <c r="BS472" s="219"/>
      <c r="BT472" s="219"/>
      <c r="BU472" s="219"/>
      <c r="BV472" s="219"/>
      <c r="BW472" s="219"/>
      <c r="BX472" s="219"/>
      <c r="BY472" s="219"/>
      <c r="BZ472" s="219"/>
      <c r="CA472" s="219"/>
      <c r="CB472" s="219"/>
      <c r="CC472" s="219"/>
      <c r="CD472" s="219"/>
      <c r="CE472" s="219"/>
      <c r="CF472" s="219"/>
      <c r="CG472" s="219"/>
      <c r="CH472" s="219"/>
      <c r="CI472" s="219"/>
      <c r="CJ472" s="219"/>
      <c r="CK472" s="219"/>
      <c r="CL472" s="219"/>
      <c r="CM472" s="219"/>
      <c r="CN472" s="219"/>
      <c r="CO472" s="219"/>
      <c r="CP472" s="219"/>
      <c r="CQ472" s="219"/>
      <c r="CR472" s="219"/>
      <c r="CS472" s="219"/>
      <c r="CT472" s="219"/>
      <c r="CU472" s="219"/>
      <c r="CV472" s="219"/>
      <c r="CW472" s="219"/>
      <c r="CX472" s="219"/>
      <c r="CY472" s="219"/>
      <c r="CZ472" s="219"/>
      <c r="DA472" s="219"/>
      <c r="DB472" s="219"/>
      <c r="DC472" s="219"/>
      <c r="DD472" s="219"/>
      <c r="DE472" s="219"/>
      <c r="DF472" s="219"/>
      <c r="DG472" s="219"/>
      <c r="DH472" s="219"/>
      <c r="DI472" s="219"/>
      <c r="DJ472" s="219"/>
      <c r="DK472" s="219"/>
      <c r="DL472" s="219"/>
      <c r="DM472" s="219"/>
      <c r="DN472" s="219"/>
      <c r="DO472" s="219"/>
      <c r="DP472" s="219"/>
      <c r="DQ472" s="219"/>
      <c r="DR472" s="219"/>
      <c r="DS472" s="219"/>
      <c r="DT472" s="219"/>
      <c r="DU472" s="219"/>
      <c r="DV472" s="219"/>
      <c r="DW472" s="219"/>
      <c r="DX472" s="219"/>
      <c r="DY472" s="219"/>
      <c r="DZ472" s="219"/>
      <c r="EA472" s="219"/>
      <c r="EB472" s="219"/>
      <c r="EC472" s="219"/>
      <c r="ED472" s="219"/>
      <c r="EE472" s="219"/>
      <c r="EF472" s="219"/>
      <c r="EG472" s="219"/>
      <c r="EH472" s="219"/>
      <c r="EI472" s="219"/>
      <c r="EJ472" s="219"/>
      <c r="EK472" s="219"/>
      <c r="EL472" s="219"/>
      <c r="EM472" s="219"/>
      <c r="EN472" s="219"/>
      <c r="EO472" s="219"/>
      <c r="EP472" s="219"/>
      <c r="EQ472" s="219"/>
      <c r="ER472" s="219"/>
      <c r="ES472" s="219"/>
      <c r="ET472" s="219"/>
      <c r="EU472" s="219"/>
      <c r="EV472" s="219"/>
      <c r="EW472" s="219"/>
      <c r="EX472" s="219"/>
      <c r="EY472" s="219"/>
      <c r="EZ472" s="219"/>
      <c r="FA472" s="219"/>
      <c r="FB472" s="219"/>
      <c r="FC472" s="219"/>
      <c r="FD472" s="219"/>
      <c r="FE472" s="219"/>
      <c r="FF472" s="219"/>
      <c r="FG472" s="219"/>
      <c r="FH472" s="219"/>
      <c r="FI472" s="219"/>
      <c r="FJ472" s="219"/>
      <c r="FK472" s="219"/>
      <c r="FL472" s="219"/>
      <c r="FM472" s="219"/>
      <c r="FN472" s="219"/>
      <c r="FO472" s="219"/>
      <c r="FP472" s="219"/>
      <c r="FQ472" s="219"/>
      <c r="FR472" s="219"/>
      <c r="FS472" s="219"/>
      <c r="FT472" s="219"/>
      <c r="FU472" s="219"/>
      <c r="FV472" s="219"/>
      <c r="FW472" s="219"/>
      <c r="FX472" s="219"/>
      <c r="FY472" s="219"/>
      <c r="FZ472" s="219"/>
      <c r="GA472" s="219"/>
      <c r="GB472" s="219"/>
      <c r="GC472" s="219"/>
      <c r="GD472" s="219"/>
      <c r="GE472" s="219"/>
      <c r="GF472" s="219"/>
      <c r="GG472" s="219"/>
      <c r="GH472" s="219"/>
      <c r="GI472" s="219"/>
      <c r="GJ472" s="219"/>
      <c r="GK472" s="219"/>
      <c r="GL472" s="219"/>
      <c r="GM472" s="219"/>
      <c r="GN472" s="219"/>
      <c r="GO472" s="219"/>
      <c r="GP472" s="219"/>
      <c r="GQ472" s="219"/>
      <c r="GR472" s="219"/>
      <c r="GS472" s="219"/>
      <c r="GT472" s="219"/>
      <c r="GU472" s="219"/>
      <c r="GV472" s="219"/>
      <c r="GW472" s="219"/>
      <c r="GX472" s="219"/>
      <c r="GY472" s="219"/>
      <c r="GZ472" s="219"/>
      <c r="HA472" s="219"/>
      <c r="HB472" s="219"/>
      <c r="HC472" s="219"/>
      <c r="HD472" s="219"/>
      <c r="HE472" s="219"/>
      <c r="HF472" s="219"/>
      <c r="HG472" s="219"/>
      <c r="HH472" s="219"/>
      <c r="HI472" s="219"/>
      <c r="HJ472" s="219"/>
      <c r="HK472" s="219"/>
      <c r="HL472" s="219"/>
      <c r="HM472" s="219"/>
      <c r="HN472" s="219"/>
      <c r="HO472" s="219"/>
      <c r="HP472" s="219"/>
      <c r="HQ472" s="219"/>
      <c r="HR472" s="219"/>
      <c r="HS472" s="219"/>
      <c r="HT472" s="219"/>
      <c r="HU472" s="219"/>
      <c r="HV472" s="219"/>
      <c r="HW472" s="219"/>
      <c r="HX472" s="219"/>
      <c r="HY472" s="219"/>
      <c r="HZ472" s="219"/>
      <c r="IA472" s="219"/>
      <c r="IB472" s="219"/>
      <c r="IC472" s="219"/>
      <c r="ID472" s="219"/>
      <c r="IE472" s="219"/>
      <c r="IF472" s="219"/>
      <c r="IG472" s="219"/>
      <c r="IH472" s="219"/>
      <c r="II472" s="219"/>
      <c r="IJ472" s="219"/>
      <c r="IK472" s="219"/>
      <c r="IL472" s="219"/>
      <c r="IM472" s="219"/>
      <c r="IN472" s="219"/>
      <c r="IO472" s="219"/>
      <c r="IP472" s="219"/>
      <c r="IQ472" s="219"/>
      <c r="IR472" s="219"/>
      <c r="IS472" s="219"/>
      <c r="IT472" s="219"/>
      <c r="IU472" s="219"/>
      <c r="IV472" s="219"/>
    </row>
    <row r="473" spans="1:256" x14ac:dyDescent="0.2">
      <c r="A473" s="204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  <c r="AD473" s="219"/>
      <c r="AE473" s="219"/>
      <c r="AF473" s="219"/>
      <c r="AG473" s="219"/>
      <c r="AH473" s="219"/>
      <c r="AI473" s="219"/>
      <c r="AJ473" s="219"/>
      <c r="AK473" s="219"/>
      <c r="AL473" s="219"/>
      <c r="AM473" s="219"/>
      <c r="AN473" s="219"/>
      <c r="AO473" s="219"/>
      <c r="AP473" s="219"/>
      <c r="AQ473" s="219"/>
      <c r="AR473" s="219"/>
      <c r="AS473" s="219"/>
      <c r="AT473" s="219"/>
      <c r="AU473" s="219"/>
      <c r="AV473" s="219"/>
      <c r="AW473" s="219"/>
      <c r="AX473" s="219"/>
      <c r="AY473" s="219"/>
      <c r="AZ473" s="219"/>
      <c r="BA473" s="219"/>
      <c r="BB473" s="219"/>
      <c r="BC473" s="219"/>
      <c r="BD473" s="219"/>
      <c r="BE473" s="219"/>
      <c r="BF473" s="219"/>
      <c r="BG473" s="219"/>
      <c r="BH473" s="219"/>
      <c r="BI473" s="219"/>
      <c r="BJ473" s="219"/>
      <c r="BK473" s="219"/>
      <c r="BL473" s="219"/>
      <c r="BM473" s="219"/>
      <c r="BN473" s="219"/>
      <c r="BO473" s="219"/>
      <c r="BP473" s="219"/>
      <c r="BQ473" s="219"/>
      <c r="BR473" s="219"/>
      <c r="BS473" s="219"/>
      <c r="BT473" s="219"/>
      <c r="BU473" s="219"/>
      <c r="BV473" s="219"/>
      <c r="BW473" s="219"/>
      <c r="BX473" s="219"/>
      <c r="BY473" s="219"/>
      <c r="BZ473" s="219"/>
      <c r="CA473" s="219"/>
      <c r="CB473" s="219"/>
      <c r="CC473" s="219"/>
      <c r="CD473" s="219"/>
      <c r="CE473" s="219"/>
      <c r="CF473" s="219"/>
      <c r="CG473" s="219"/>
      <c r="CH473" s="219"/>
      <c r="CI473" s="219"/>
      <c r="CJ473" s="219"/>
      <c r="CK473" s="219"/>
      <c r="CL473" s="219"/>
      <c r="CM473" s="219"/>
      <c r="CN473" s="219"/>
      <c r="CO473" s="219"/>
      <c r="CP473" s="219"/>
      <c r="CQ473" s="219"/>
      <c r="CR473" s="219"/>
      <c r="CS473" s="219"/>
      <c r="CT473" s="219"/>
      <c r="CU473" s="219"/>
      <c r="CV473" s="219"/>
      <c r="CW473" s="219"/>
      <c r="CX473" s="219"/>
      <c r="CY473" s="219"/>
      <c r="CZ473" s="219"/>
      <c r="DA473" s="219"/>
      <c r="DB473" s="219"/>
      <c r="DC473" s="219"/>
      <c r="DD473" s="219"/>
      <c r="DE473" s="219"/>
      <c r="DF473" s="219"/>
      <c r="DG473" s="219"/>
      <c r="DH473" s="219"/>
      <c r="DI473" s="219"/>
      <c r="DJ473" s="219"/>
      <c r="DK473" s="219"/>
      <c r="DL473" s="219"/>
      <c r="DM473" s="219"/>
      <c r="DN473" s="219"/>
      <c r="DO473" s="219"/>
      <c r="DP473" s="219"/>
      <c r="DQ473" s="219"/>
      <c r="DR473" s="219"/>
      <c r="DS473" s="219"/>
      <c r="DT473" s="219"/>
      <c r="DU473" s="219"/>
      <c r="DV473" s="219"/>
      <c r="DW473" s="219"/>
      <c r="DX473" s="219"/>
      <c r="DY473" s="219"/>
      <c r="DZ473" s="219"/>
      <c r="EA473" s="219"/>
      <c r="EB473" s="219"/>
      <c r="EC473" s="219"/>
      <c r="ED473" s="219"/>
      <c r="EE473" s="219"/>
      <c r="EF473" s="219"/>
      <c r="EG473" s="219"/>
      <c r="EH473" s="219"/>
      <c r="EI473" s="219"/>
      <c r="EJ473" s="219"/>
      <c r="EK473" s="219"/>
      <c r="EL473" s="219"/>
      <c r="EM473" s="219"/>
      <c r="EN473" s="219"/>
      <c r="EO473" s="219"/>
      <c r="EP473" s="219"/>
      <c r="EQ473" s="219"/>
      <c r="ER473" s="219"/>
      <c r="ES473" s="219"/>
      <c r="ET473" s="219"/>
      <c r="EU473" s="219"/>
      <c r="EV473" s="219"/>
      <c r="EW473" s="219"/>
      <c r="EX473" s="219"/>
      <c r="EY473" s="219"/>
      <c r="EZ473" s="219"/>
      <c r="FA473" s="219"/>
      <c r="FB473" s="219"/>
      <c r="FC473" s="219"/>
      <c r="FD473" s="219"/>
      <c r="FE473" s="219"/>
      <c r="FF473" s="219"/>
      <c r="FG473" s="219"/>
      <c r="FH473" s="219"/>
      <c r="FI473" s="219"/>
      <c r="FJ473" s="219"/>
      <c r="FK473" s="219"/>
      <c r="FL473" s="219"/>
      <c r="FM473" s="219"/>
      <c r="FN473" s="219"/>
      <c r="FO473" s="219"/>
      <c r="FP473" s="219"/>
      <c r="FQ473" s="219"/>
      <c r="FR473" s="219"/>
      <c r="FS473" s="219"/>
      <c r="FT473" s="219"/>
      <c r="FU473" s="219"/>
      <c r="FV473" s="219"/>
      <c r="FW473" s="219"/>
      <c r="FX473" s="219"/>
      <c r="FY473" s="219"/>
      <c r="FZ473" s="219"/>
      <c r="GA473" s="219"/>
      <c r="GB473" s="219"/>
      <c r="GC473" s="219"/>
      <c r="GD473" s="219"/>
      <c r="GE473" s="219"/>
      <c r="GF473" s="219"/>
      <c r="GG473" s="219"/>
      <c r="GH473" s="219"/>
      <c r="GI473" s="219"/>
      <c r="GJ473" s="219"/>
      <c r="GK473" s="219"/>
      <c r="GL473" s="219"/>
      <c r="GM473" s="219"/>
      <c r="GN473" s="219"/>
      <c r="GO473" s="219"/>
      <c r="GP473" s="219"/>
      <c r="GQ473" s="219"/>
      <c r="GR473" s="219"/>
      <c r="GS473" s="219"/>
      <c r="GT473" s="219"/>
      <c r="GU473" s="219"/>
      <c r="GV473" s="219"/>
      <c r="GW473" s="219"/>
      <c r="GX473" s="219"/>
      <c r="GY473" s="219"/>
      <c r="GZ473" s="219"/>
      <c r="HA473" s="219"/>
      <c r="HB473" s="219"/>
      <c r="HC473" s="219"/>
      <c r="HD473" s="219"/>
      <c r="HE473" s="219"/>
      <c r="HF473" s="219"/>
      <c r="HG473" s="219"/>
      <c r="HH473" s="219"/>
      <c r="HI473" s="219"/>
      <c r="HJ473" s="219"/>
      <c r="HK473" s="219"/>
      <c r="HL473" s="219"/>
      <c r="HM473" s="219"/>
      <c r="HN473" s="219"/>
      <c r="HO473" s="219"/>
      <c r="HP473" s="219"/>
      <c r="HQ473" s="219"/>
      <c r="HR473" s="219"/>
      <c r="HS473" s="219"/>
      <c r="HT473" s="219"/>
      <c r="HU473" s="219"/>
      <c r="HV473" s="219"/>
      <c r="HW473" s="219"/>
      <c r="HX473" s="219"/>
      <c r="HY473" s="219"/>
      <c r="HZ473" s="219"/>
      <c r="IA473" s="219"/>
      <c r="IB473" s="219"/>
      <c r="IC473" s="219"/>
      <c r="ID473" s="219"/>
      <c r="IE473" s="219"/>
      <c r="IF473" s="219"/>
      <c r="IG473" s="219"/>
      <c r="IH473" s="219"/>
      <c r="II473" s="219"/>
      <c r="IJ473" s="219"/>
      <c r="IK473" s="219"/>
      <c r="IL473" s="219"/>
      <c r="IM473" s="219"/>
      <c r="IN473" s="219"/>
      <c r="IO473" s="219"/>
      <c r="IP473" s="219"/>
      <c r="IQ473" s="219"/>
      <c r="IR473" s="219"/>
      <c r="IS473" s="219"/>
      <c r="IT473" s="219"/>
      <c r="IU473" s="219"/>
      <c r="IV473" s="219"/>
    </row>
    <row r="474" spans="1:256" x14ac:dyDescent="0.2">
      <c r="A474" s="204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  <c r="AD474" s="219"/>
      <c r="AE474" s="219"/>
      <c r="AF474" s="219"/>
      <c r="AG474" s="219"/>
      <c r="AH474" s="219"/>
      <c r="AI474" s="219"/>
      <c r="AJ474" s="219"/>
      <c r="AK474" s="219"/>
      <c r="AL474" s="219"/>
      <c r="AM474" s="219"/>
      <c r="AN474" s="219"/>
      <c r="AO474" s="219"/>
      <c r="AP474" s="219"/>
      <c r="AQ474" s="219"/>
      <c r="AR474" s="219"/>
      <c r="AS474" s="219"/>
      <c r="AT474" s="219"/>
      <c r="AU474" s="219"/>
      <c r="AV474" s="219"/>
      <c r="AW474" s="219"/>
      <c r="AX474" s="219"/>
      <c r="AY474" s="219"/>
      <c r="AZ474" s="219"/>
      <c r="BA474" s="219"/>
      <c r="BB474" s="219"/>
      <c r="BC474" s="219"/>
      <c r="BD474" s="219"/>
      <c r="BE474" s="219"/>
      <c r="BF474" s="219"/>
      <c r="BG474" s="219"/>
      <c r="BH474" s="219"/>
      <c r="BI474" s="219"/>
      <c r="BJ474" s="219"/>
      <c r="BK474" s="219"/>
      <c r="BL474" s="219"/>
      <c r="BM474" s="219"/>
      <c r="BN474" s="219"/>
      <c r="BO474" s="219"/>
      <c r="BP474" s="219"/>
      <c r="BQ474" s="219"/>
      <c r="BR474" s="219"/>
      <c r="BS474" s="219"/>
      <c r="BT474" s="219"/>
      <c r="BU474" s="219"/>
      <c r="BV474" s="219"/>
      <c r="BW474" s="219"/>
      <c r="BX474" s="219"/>
      <c r="BY474" s="219"/>
      <c r="BZ474" s="219"/>
      <c r="CA474" s="219"/>
      <c r="CB474" s="219"/>
      <c r="CC474" s="219"/>
      <c r="CD474" s="219"/>
      <c r="CE474" s="219"/>
      <c r="CF474" s="219"/>
      <c r="CG474" s="219"/>
      <c r="CH474" s="219"/>
      <c r="CI474" s="219"/>
      <c r="CJ474" s="219"/>
      <c r="CK474" s="219"/>
      <c r="CL474" s="219"/>
      <c r="CM474" s="219"/>
      <c r="CN474" s="219"/>
      <c r="CO474" s="219"/>
      <c r="CP474" s="219"/>
      <c r="CQ474" s="219"/>
      <c r="CR474" s="219"/>
      <c r="CS474" s="219"/>
      <c r="CT474" s="219"/>
      <c r="CU474" s="219"/>
      <c r="CV474" s="219"/>
      <c r="CW474" s="219"/>
      <c r="CX474" s="219"/>
      <c r="CY474" s="219"/>
      <c r="CZ474" s="219"/>
      <c r="DA474" s="219"/>
      <c r="DB474" s="219"/>
      <c r="DC474" s="219"/>
      <c r="DD474" s="219"/>
      <c r="DE474" s="219"/>
      <c r="DF474" s="219"/>
      <c r="DG474" s="219"/>
      <c r="DH474" s="219"/>
      <c r="DI474" s="219"/>
      <c r="DJ474" s="219"/>
      <c r="DK474" s="219"/>
      <c r="DL474" s="219"/>
      <c r="DM474" s="219"/>
      <c r="DN474" s="219"/>
      <c r="DO474" s="219"/>
      <c r="DP474" s="219"/>
      <c r="DQ474" s="219"/>
      <c r="DR474" s="219"/>
      <c r="DS474" s="219"/>
      <c r="DT474" s="219"/>
      <c r="DU474" s="219"/>
      <c r="DV474" s="219"/>
      <c r="DW474" s="219"/>
      <c r="DX474" s="219"/>
      <c r="DY474" s="219"/>
      <c r="DZ474" s="219"/>
      <c r="EA474" s="219"/>
      <c r="EB474" s="219"/>
      <c r="EC474" s="219"/>
      <c r="ED474" s="219"/>
      <c r="EE474" s="219"/>
      <c r="EF474" s="219"/>
      <c r="EG474" s="219"/>
      <c r="EH474" s="219"/>
      <c r="EI474" s="219"/>
      <c r="EJ474" s="219"/>
      <c r="EK474" s="219"/>
      <c r="EL474" s="219"/>
      <c r="EM474" s="219"/>
      <c r="EN474" s="219"/>
      <c r="EO474" s="219"/>
      <c r="EP474" s="219"/>
      <c r="EQ474" s="219"/>
      <c r="ER474" s="219"/>
      <c r="ES474" s="219"/>
      <c r="ET474" s="219"/>
      <c r="EU474" s="219"/>
      <c r="EV474" s="219"/>
      <c r="EW474" s="219"/>
      <c r="EX474" s="219"/>
      <c r="EY474" s="219"/>
      <c r="EZ474" s="219"/>
      <c r="FA474" s="219"/>
      <c r="FB474" s="219"/>
      <c r="FC474" s="219"/>
      <c r="FD474" s="219"/>
      <c r="FE474" s="219"/>
      <c r="FF474" s="219"/>
      <c r="FG474" s="219"/>
      <c r="FH474" s="219"/>
      <c r="FI474" s="219"/>
      <c r="FJ474" s="219"/>
      <c r="FK474" s="219"/>
      <c r="FL474" s="219"/>
      <c r="FM474" s="219"/>
      <c r="FN474" s="219"/>
      <c r="FO474" s="219"/>
      <c r="FP474" s="219"/>
      <c r="FQ474" s="219"/>
      <c r="FR474" s="219"/>
      <c r="FS474" s="219"/>
      <c r="FT474" s="219"/>
      <c r="FU474" s="219"/>
      <c r="FV474" s="219"/>
      <c r="FW474" s="219"/>
      <c r="FX474" s="219"/>
      <c r="FY474" s="219"/>
      <c r="FZ474" s="219"/>
      <c r="GA474" s="219"/>
      <c r="GB474" s="219"/>
      <c r="GC474" s="219"/>
      <c r="GD474" s="219"/>
      <c r="GE474" s="219"/>
      <c r="GF474" s="219"/>
      <c r="GG474" s="219"/>
      <c r="GH474" s="219"/>
      <c r="GI474" s="219"/>
      <c r="GJ474" s="219"/>
      <c r="GK474" s="219"/>
      <c r="GL474" s="219"/>
      <c r="GM474" s="219"/>
      <c r="GN474" s="219"/>
      <c r="GO474" s="219"/>
      <c r="GP474" s="219"/>
      <c r="GQ474" s="219"/>
      <c r="GR474" s="219"/>
      <c r="GS474" s="219"/>
      <c r="GT474" s="219"/>
      <c r="GU474" s="219"/>
      <c r="GV474" s="219"/>
      <c r="GW474" s="219"/>
      <c r="GX474" s="219"/>
      <c r="GY474" s="219"/>
      <c r="GZ474" s="219"/>
      <c r="HA474" s="219"/>
      <c r="HB474" s="219"/>
      <c r="HC474" s="219"/>
      <c r="HD474" s="219"/>
      <c r="HE474" s="219"/>
      <c r="HF474" s="219"/>
      <c r="HG474" s="219"/>
      <c r="HH474" s="219"/>
      <c r="HI474" s="219"/>
      <c r="HJ474" s="219"/>
      <c r="HK474" s="219"/>
      <c r="HL474" s="219"/>
      <c r="HM474" s="219"/>
      <c r="HN474" s="219"/>
      <c r="HO474" s="219"/>
      <c r="HP474" s="219"/>
      <c r="HQ474" s="219"/>
      <c r="HR474" s="219"/>
      <c r="HS474" s="219"/>
      <c r="HT474" s="219"/>
      <c r="HU474" s="219"/>
      <c r="HV474" s="219"/>
      <c r="HW474" s="219"/>
      <c r="HX474" s="219"/>
      <c r="HY474" s="219"/>
      <c r="HZ474" s="219"/>
      <c r="IA474" s="219"/>
      <c r="IB474" s="219"/>
      <c r="IC474" s="219"/>
      <c r="ID474" s="219"/>
      <c r="IE474" s="219"/>
      <c r="IF474" s="219"/>
      <c r="IG474" s="219"/>
      <c r="IH474" s="219"/>
      <c r="II474" s="219"/>
      <c r="IJ474" s="219"/>
      <c r="IK474" s="219"/>
      <c r="IL474" s="219"/>
      <c r="IM474" s="219"/>
      <c r="IN474" s="219"/>
      <c r="IO474" s="219"/>
      <c r="IP474" s="219"/>
      <c r="IQ474" s="219"/>
      <c r="IR474" s="219"/>
      <c r="IS474" s="219"/>
      <c r="IT474" s="219"/>
      <c r="IU474" s="219"/>
      <c r="IV474" s="219"/>
    </row>
    <row r="475" spans="1:256" x14ac:dyDescent="0.2">
      <c r="A475" s="204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  <c r="AD475" s="219"/>
      <c r="AE475" s="219"/>
      <c r="AF475" s="219"/>
      <c r="AG475" s="219"/>
      <c r="AH475" s="219"/>
      <c r="AI475" s="219"/>
      <c r="AJ475" s="219"/>
      <c r="AK475" s="219"/>
      <c r="AL475" s="219"/>
      <c r="AM475" s="219"/>
      <c r="AN475" s="219"/>
      <c r="AO475" s="219"/>
      <c r="AP475" s="219"/>
      <c r="AQ475" s="219"/>
      <c r="AR475" s="219"/>
      <c r="AS475" s="219"/>
      <c r="AT475" s="219"/>
      <c r="AU475" s="219"/>
      <c r="AV475" s="219"/>
      <c r="AW475" s="219"/>
      <c r="AX475" s="219"/>
      <c r="AY475" s="219"/>
      <c r="AZ475" s="219"/>
      <c r="BA475" s="219"/>
      <c r="BB475" s="219"/>
      <c r="BC475" s="219"/>
      <c r="BD475" s="219"/>
      <c r="BE475" s="219"/>
      <c r="BF475" s="219"/>
      <c r="BG475" s="219"/>
      <c r="BH475" s="219"/>
      <c r="BI475" s="219"/>
      <c r="BJ475" s="219"/>
      <c r="BK475" s="219"/>
      <c r="BL475" s="219"/>
      <c r="BM475" s="219"/>
      <c r="BN475" s="219"/>
      <c r="BO475" s="219"/>
      <c r="BP475" s="219"/>
      <c r="BQ475" s="219"/>
      <c r="BR475" s="219"/>
      <c r="BS475" s="219"/>
      <c r="BT475" s="219"/>
      <c r="BU475" s="219"/>
      <c r="BV475" s="219"/>
      <c r="BW475" s="219"/>
      <c r="BX475" s="219"/>
      <c r="BY475" s="219"/>
      <c r="BZ475" s="219"/>
      <c r="CA475" s="219"/>
      <c r="CB475" s="219"/>
      <c r="CC475" s="219"/>
      <c r="CD475" s="219"/>
      <c r="CE475" s="219"/>
      <c r="CF475" s="219"/>
      <c r="CG475" s="219"/>
      <c r="CH475" s="219"/>
      <c r="CI475" s="219"/>
      <c r="CJ475" s="219"/>
      <c r="CK475" s="219"/>
      <c r="CL475" s="219"/>
      <c r="CM475" s="219"/>
      <c r="CN475" s="219"/>
      <c r="CO475" s="219"/>
      <c r="CP475" s="219"/>
      <c r="CQ475" s="219"/>
      <c r="CR475" s="219"/>
      <c r="CS475" s="219"/>
      <c r="CT475" s="219"/>
      <c r="CU475" s="219"/>
      <c r="CV475" s="219"/>
      <c r="CW475" s="219"/>
      <c r="CX475" s="219"/>
      <c r="CY475" s="219"/>
      <c r="CZ475" s="219"/>
      <c r="DA475" s="219"/>
      <c r="DB475" s="219"/>
      <c r="DC475" s="219"/>
      <c r="DD475" s="219"/>
      <c r="DE475" s="219"/>
      <c r="DF475" s="219"/>
      <c r="DG475" s="219"/>
      <c r="DH475" s="219"/>
      <c r="DI475" s="219"/>
      <c r="DJ475" s="219"/>
      <c r="DK475" s="219"/>
      <c r="DL475" s="219"/>
      <c r="DM475" s="219"/>
      <c r="DN475" s="219"/>
      <c r="DO475" s="219"/>
      <c r="DP475" s="219"/>
      <c r="DQ475" s="219"/>
      <c r="DR475" s="219"/>
      <c r="DS475" s="219"/>
      <c r="DT475" s="219"/>
      <c r="DU475" s="219"/>
      <c r="DV475" s="219"/>
      <c r="DW475" s="219"/>
      <c r="DX475" s="219"/>
      <c r="DY475" s="219"/>
      <c r="DZ475" s="219"/>
      <c r="EA475" s="219"/>
      <c r="EB475" s="219"/>
      <c r="EC475" s="219"/>
      <c r="ED475" s="219"/>
      <c r="EE475" s="219"/>
      <c r="EF475" s="219"/>
      <c r="EG475" s="219"/>
      <c r="EH475" s="219"/>
      <c r="EI475" s="219"/>
      <c r="EJ475" s="219"/>
      <c r="EK475" s="219"/>
      <c r="EL475" s="219"/>
      <c r="EM475" s="219"/>
      <c r="EN475" s="219"/>
      <c r="EO475" s="219"/>
      <c r="EP475" s="219"/>
      <c r="EQ475" s="219"/>
      <c r="ER475" s="219"/>
      <c r="ES475" s="219"/>
      <c r="ET475" s="219"/>
      <c r="EU475" s="219"/>
      <c r="EV475" s="219"/>
      <c r="EW475" s="219"/>
      <c r="EX475" s="219"/>
      <c r="EY475" s="219"/>
      <c r="EZ475" s="219"/>
      <c r="FA475" s="219"/>
      <c r="FB475" s="219"/>
      <c r="FC475" s="219"/>
      <c r="FD475" s="219"/>
      <c r="FE475" s="219"/>
      <c r="FF475" s="219"/>
      <c r="FG475" s="219"/>
      <c r="FH475" s="219"/>
      <c r="FI475" s="219"/>
      <c r="FJ475" s="219"/>
      <c r="FK475" s="219"/>
      <c r="FL475" s="219"/>
      <c r="FM475" s="219"/>
      <c r="FN475" s="219"/>
      <c r="FO475" s="219"/>
      <c r="FP475" s="219"/>
      <c r="FQ475" s="219"/>
      <c r="FR475" s="219"/>
      <c r="FS475" s="219"/>
      <c r="FT475" s="219"/>
      <c r="FU475" s="219"/>
      <c r="FV475" s="219"/>
      <c r="FW475" s="219"/>
      <c r="FX475" s="219"/>
      <c r="FY475" s="219"/>
      <c r="FZ475" s="219"/>
      <c r="GA475" s="219"/>
      <c r="GB475" s="219"/>
      <c r="GC475" s="219"/>
      <c r="GD475" s="219"/>
      <c r="GE475" s="219"/>
      <c r="GF475" s="219"/>
      <c r="GG475" s="219"/>
      <c r="GH475" s="219"/>
      <c r="GI475" s="219"/>
      <c r="GJ475" s="219"/>
      <c r="GK475" s="219"/>
      <c r="GL475" s="219"/>
      <c r="GM475" s="219"/>
      <c r="GN475" s="219"/>
      <c r="GO475" s="219"/>
      <c r="GP475" s="219"/>
      <c r="GQ475" s="219"/>
      <c r="GR475" s="219"/>
      <c r="GS475" s="219"/>
      <c r="GT475" s="219"/>
      <c r="GU475" s="219"/>
      <c r="GV475" s="219"/>
      <c r="GW475" s="219"/>
      <c r="GX475" s="219"/>
      <c r="GY475" s="219"/>
      <c r="GZ475" s="219"/>
      <c r="HA475" s="219"/>
      <c r="HB475" s="219"/>
      <c r="HC475" s="219"/>
      <c r="HD475" s="219"/>
      <c r="HE475" s="219"/>
      <c r="HF475" s="219"/>
      <c r="HG475" s="219"/>
      <c r="HH475" s="219"/>
      <c r="HI475" s="219"/>
      <c r="HJ475" s="219"/>
      <c r="HK475" s="219"/>
      <c r="HL475" s="219"/>
      <c r="HM475" s="219"/>
      <c r="HN475" s="219"/>
      <c r="HO475" s="219"/>
      <c r="HP475" s="219"/>
      <c r="HQ475" s="219"/>
      <c r="HR475" s="219"/>
      <c r="HS475" s="219"/>
      <c r="HT475" s="219"/>
      <c r="HU475" s="219"/>
      <c r="HV475" s="219"/>
      <c r="HW475" s="219"/>
      <c r="HX475" s="219"/>
      <c r="HY475" s="219"/>
      <c r="HZ475" s="219"/>
      <c r="IA475" s="219"/>
      <c r="IB475" s="219"/>
      <c r="IC475" s="219"/>
      <c r="ID475" s="219"/>
      <c r="IE475" s="219"/>
      <c r="IF475" s="219"/>
      <c r="IG475" s="219"/>
      <c r="IH475" s="219"/>
      <c r="II475" s="219"/>
      <c r="IJ475" s="219"/>
      <c r="IK475" s="219"/>
      <c r="IL475" s="219"/>
      <c r="IM475" s="219"/>
      <c r="IN475" s="219"/>
      <c r="IO475" s="219"/>
      <c r="IP475" s="219"/>
      <c r="IQ475" s="219"/>
      <c r="IR475" s="219"/>
      <c r="IS475" s="219"/>
      <c r="IT475" s="219"/>
      <c r="IU475" s="219"/>
      <c r="IV475" s="219"/>
    </row>
    <row r="476" spans="1:256" x14ac:dyDescent="0.2">
      <c r="A476" s="204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  <c r="AD476" s="219"/>
      <c r="AE476" s="219"/>
      <c r="AF476" s="219"/>
      <c r="AG476" s="219"/>
      <c r="AH476" s="219"/>
      <c r="AI476" s="219"/>
      <c r="AJ476" s="219"/>
      <c r="AK476" s="219"/>
      <c r="AL476" s="219"/>
      <c r="AM476" s="219"/>
      <c r="AN476" s="219"/>
      <c r="AO476" s="219"/>
      <c r="AP476" s="219"/>
      <c r="AQ476" s="219"/>
      <c r="AR476" s="219"/>
      <c r="AS476" s="219"/>
      <c r="AT476" s="219"/>
      <c r="AU476" s="219"/>
      <c r="AV476" s="219"/>
      <c r="AW476" s="219"/>
      <c r="AX476" s="219"/>
      <c r="AY476" s="219"/>
      <c r="AZ476" s="219"/>
      <c r="BA476" s="219"/>
      <c r="BB476" s="219"/>
      <c r="BC476" s="219"/>
      <c r="BD476" s="219"/>
      <c r="BE476" s="219"/>
      <c r="BF476" s="219"/>
      <c r="BG476" s="219"/>
      <c r="BH476" s="219"/>
      <c r="BI476" s="219"/>
      <c r="BJ476" s="219"/>
      <c r="BK476" s="219"/>
      <c r="BL476" s="219"/>
      <c r="BM476" s="219"/>
      <c r="BN476" s="219"/>
      <c r="BO476" s="219"/>
      <c r="BP476" s="219"/>
      <c r="BQ476" s="219"/>
      <c r="BR476" s="219"/>
      <c r="BS476" s="219"/>
      <c r="BT476" s="219"/>
      <c r="BU476" s="219"/>
      <c r="BV476" s="219"/>
      <c r="BW476" s="219"/>
      <c r="BX476" s="219"/>
      <c r="BY476" s="219"/>
      <c r="BZ476" s="219"/>
      <c r="CA476" s="219"/>
      <c r="CB476" s="219"/>
      <c r="CC476" s="219"/>
      <c r="CD476" s="219"/>
      <c r="CE476" s="219"/>
      <c r="CF476" s="219"/>
      <c r="CG476" s="219"/>
      <c r="CH476" s="219"/>
      <c r="CI476" s="219"/>
      <c r="CJ476" s="219"/>
      <c r="CK476" s="219"/>
      <c r="CL476" s="219"/>
      <c r="CM476" s="219"/>
      <c r="CN476" s="219"/>
      <c r="CO476" s="219"/>
      <c r="CP476" s="219"/>
      <c r="CQ476" s="219"/>
      <c r="CR476" s="219"/>
      <c r="CS476" s="219"/>
      <c r="CT476" s="219"/>
      <c r="CU476" s="219"/>
      <c r="CV476" s="219"/>
      <c r="CW476" s="219"/>
      <c r="CX476" s="219"/>
      <c r="CY476" s="219"/>
      <c r="CZ476" s="219"/>
      <c r="DA476" s="219"/>
      <c r="DB476" s="219"/>
      <c r="DC476" s="219"/>
      <c r="DD476" s="219"/>
      <c r="DE476" s="219"/>
      <c r="DF476" s="219"/>
      <c r="DG476" s="219"/>
      <c r="DH476" s="219"/>
      <c r="DI476" s="219"/>
      <c r="DJ476" s="219"/>
      <c r="DK476" s="219"/>
      <c r="DL476" s="219"/>
      <c r="DM476" s="219"/>
      <c r="DN476" s="219"/>
      <c r="DO476" s="219"/>
      <c r="DP476" s="219"/>
      <c r="DQ476" s="219"/>
      <c r="DR476" s="219"/>
      <c r="DS476" s="219"/>
      <c r="DT476" s="219"/>
      <c r="DU476" s="219"/>
      <c r="DV476" s="219"/>
      <c r="DW476" s="219"/>
      <c r="DX476" s="219"/>
      <c r="DY476" s="219"/>
      <c r="DZ476" s="219"/>
      <c r="EA476" s="219"/>
      <c r="EB476" s="219"/>
      <c r="EC476" s="219"/>
      <c r="ED476" s="219"/>
      <c r="EE476" s="219"/>
      <c r="EF476" s="219"/>
      <c r="EG476" s="219"/>
      <c r="EH476" s="219"/>
      <c r="EI476" s="219"/>
      <c r="EJ476" s="219"/>
      <c r="EK476" s="219"/>
      <c r="EL476" s="219"/>
      <c r="EM476" s="219"/>
      <c r="EN476" s="219"/>
      <c r="EO476" s="219"/>
      <c r="EP476" s="219"/>
      <c r="EQ476" s="219"/>
      <c r="ER476" s="219"/>
      <c r="ES476" s="219"/>
      <c r="ET476" s="219"/>
      <c r="EU476" s="219"/>
      <c r="EV476" s="219"/>
      <c r="EW476" s="219"/>
      <c r="EX476" s="219"/>
      <c r="EY476" s="219"/>
      <c r="EZ476" s="219"/>
      <c r="FA476" s="219"/>
      <c r="FB476" s="219"/>
      <c r="FC476" s="219"/>
      <c r="FD476" s="219"/>
      <c r="FE476" s="219"/>
      <c r="FF476" s="219"/>
      <c r="FG476" s="219"/>
      <c r="FH476" s="219"/>
      <c r="FI476" s="219"/>
      <c r="FJ476" s="219"/>
      <c r="FK476" s="219"/>
      <c r="FL476" s="219"/>
      <c r="FM476" s="219"/>
      <c r="FN476" s="219"/>
      <c r="FO476" s="219"/>
      <c r="FP476" s="219"/>
      <c r="FQ476" s="219"/>
      <c r="FR476" s="219"/>
      <c r="FS476" s="219"/>
      <c r="FT476" s="219"/>
      <c r="FU476" s="219"/>
      <c r="FV476" s="219"/>
      <c r="FW476" s="219"/>
      <c r="FX476" s="219"/>
      <c r="FY476" s="219"/>
      <c r="FZ476" s="219"/>
      <c r="GA476" s="219"/>
      <c r="GB476" s="219"/>
      <c r="GC476" s="219"/>
      <c r="GD476" s="219"/>
      <c r="GE476" s="219"/>
      <c r="GF476" s="219"/>
      <c r="GG476" s="219"/>
      <c r="GH476" s="219"/>
      <c r="GI476" s="219"/>
      <c r="GJ476" s="219"/>
      <c r="GK476" s="219"/>
      <c r="GL476" s="219"/>
      <c r="GM476" s="219"/>
      <c r="GN476" s="219"/>
      <c r="GO476" s="219"/>
      <c r="GP476" s="219"/>
      <c r="GQ476" s="219"/>
      <c r="GR476" s="219"/>
      <c r="GS476" s="219"/>
      <c r="GT476" s="219"/>
      <c r="GU476" s="219"/>
      <c r="GV476" s="219"/>
      <c r="GW476" s="219"/>
      <c r="GX476" s="219"/>
      <c r="GY476" s="219"/>
      <c r="GZ476" s="219"/>
      <c r="HA476" s="219"/>
      <c r="HB476" s="219"/>
      <c r="HC476" s="219"/>
      <c r="HD476" s="219"/>
      <c r="HE476" s="219"/>
      <c r="HF476" s="219"/>
      <c r="HG476" s="219"/>
      <c r="HH476" s="219"/>
      <c r="HI476" s="219"/>
      <c r="HJ476" s="219"/>
      <c r="HK476" s="219"/>
      <c r="HL476" s="219"/>
      <c r="HM476" s="219"/>
      <c r="HN476" s="219"/>
      <c r="HO476" s="219"/>
      <c r="HP476" s="219"/>
      <c r="HQ476" s="219"/>
      <c r="HR476" s="219"/>
      <c r="HS476" s="219"/>
      <c r="HT476" s="219"/>
      <c r="HU476" s="219"/>
      <c r="HV476" s="219"/>
      <c r="HW476" s="219"/>
      <c r="HX476" s="219"/>
      <c r="HY476" s="219"/>
      <c r="HZ476" s="219"/>
      <c r="IA476" s="219"/>
      <c r="IB476" s="219"/>
      <c r="IC476" s="219"/>
      <c r="ID476" s="219"/>
      <c r="IE476" s="219"/>
      <c r="IF476" s="219"/>
      <c r="IG476" s="219"/>
      <c r="IH476" s="219"/>
      <c r="II476" s="219"/>
      <c r="IJ476" s="219"/>
      <c r="IK476" s="219"/>
      <c r="IL476" s="219"/>
      <c r="IM476" s="219"/>
      <c r="IN476" s="219"/>
      <c r="IO476" s="219"/>
      <c r="IP476" s="219"/>
      <c r="IQ476" s="219"/>
      <c r="IR476" s="219"/>
      <c r="IS476" s="219"/>
      <c r="IT476" s="219"/>
      <c r="IU476" s="219"/>
      <c r="IV476" s="219"/>
    </row>
    <row r="477" spans="1:256" x14ac:dyDescent="0.2">
      <c r="A477" s="204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  <c r="AD477" s="219"/>
      <c r="AE477" s="219"/>
      <c r="AF477" s="219"/>
      <c r="AG477" s="219"/>
      <c r="AH477" s="219"/>
      <c r="AI477" s="219"/>
      <c r="AJ477" s="219"/>
      <c r="AK477" s="219"/>
      <c r="AL477" s="219"/>
      <c r="AM477" s="219"/>
      <c r="AN477" s="219"/>
      <c r="AO477" s="219"/>
      <c r="AP477" s="219"/>
      <c r="AQ477" s="219"/>
      <c r="AR477" s="219"/>
      <c r="AS477" s="219"/>
      <c r="AT477" s="219"/>
      <c r="AU477" s="219"/>
      <c r="AV477" s="219"/>
      <c r="AW477" s="219"/>
      <c r="AX477" s="219"/>
      <c r="AY477" s="219"/>
      <c r="AZ477" s="219"/>
      <c r="BA477" s="219"/>
      <c r="BB477" s="219"/>
      <c r="BC477" s="219"/>
      <c r="BD477" s="219"/>
      <c r="BE477" s="219"/>
      <c r="BF477" s="219"/>
      <c r="BG477" s="219"/>
      <c r="BH477" s="219"/>
      <c r="BI477" s="219"/>
      <c r="BJ477" s="219"/>
      <c r="BK477" s="219"/>
      <c r="BL477" s="219"/>
      <c r="BM477" s="219"/>
      <c r="BN477" s="219"/>
      <c r="BO477" s="219"/>
      <c r="BP477" s="219"/>
      <c r="BQ477" s="219"/>
      <c r="BR477" s="219"/>
      <c r="BS477" s="219"/>
      <c r="BT477" s="219"/>
      <c r="BU477" s="219"/>
      <c r="BV477" s="219"/>
      <c r="BW477" s="219"/>
      <c r="BX477" s="219"/>
      <c r="BY477" s="219"/>
      <c r="BZ477" s="219"/>
      <c r="CA477" s="219"/>
      <c r="CB477" s="219"/>
      <c r="CC477" s="219"/>
      <c r="CD477" s="219"/>
      <c r="CE477" s="219"/>
      <c r="CF477" s="219"/>
      <c r="CG477" s="219"/>
      <c r="CH477" s="219"/>
      <c r="CI477" s="219"/>
      <c r="CJ477" s="219"/>
      <c r="CK477" s="219"/>
      <c r="CL477" s="219"/>
      <c r="CM477" s="219"/>
      <c r="CN477" s="219"/>
      <c r="CO477" s="219"/>
      <c r="CP477" s="219"/>
      <c r="CQ477" s="219"/>
      <c r="CR477" s="219"/>
      <c r="CS477" s="219"/>
      <c r="CT477" s="219"/>
      <c r="CU477" s="219"/>
      <c r="CV477" s="219"/>
      <c r="CW477" s="219"/>
      <c r="CX477" s="219"/>
      <c r="CY477" s="219"/>
      <c r="CZ477" s="219"/>
      <c r="DA477" s="219"/>
      <c r="DB477" s="219"/>
      <c r="DC477" s="219"/>
      <c r="DD477" s="219"/>
      <c r="DE477" s="219"/>
      <c r="DF477" s="219"/>
      <c r="DG477" s="219"/>
      <c r="DH477" s="219"/>
      <c r="DI477" s="219"/>
      <c r="DJ477" s="219"/>
      <c r="DK477" s="219"/>
      <c r="DL477" s="219"/>
      <c r="DM477" s="219"/>
      <c r="DN477" s="219"/>
      <c r="DO477" s="219"/>
      <c r="DP477" s="219"/>
      <c r="DQ477" s="219"/>
      <c r="DR477" s="219"/>
      <c r="DS477" s="219"/>
      <c r="DT477" s="219"/>
      <c r="DU477" s="219"/>
      <c r="DV477" s="219"/>
      <c r="DW477" s="219"/>
      <c r="DX477" s="219"/>
      <c r="DY477" s="219"/>
      <c r="DZ477" s="219"/>
      <c r="EA477" s="219"/>
      <c r="EB477" s="219"/>
      <c r="EC477" s="219"/>
      <c r="ED477" s="219"/>
      <c r="EE477" s="219"/>
      <c r="EF477" s="219"/>
      <c r="EG477" s="219"/>
      <c r="EH477" s="219"/>
      <c r="EI477" s="219"/>
      <c r="EJ477" s="219"/>
      <c r="EK477" s="219"/>
      <c r="EL477" s="219"/>
      <c r="EM477" s="219"/>
      <c r="EN477" s="219"/>
      <c r="EO477" s="219"/>
      <c r="EP477" s="219"/>
      <c r="EQ477" s="219"/>
      <c r="ER477" s="219"/>
      <c r="ES477" s="219"/>
      <c r="ET477" s="219"/>
      <c r="EU477" s="219"/>
      <c r="EV477" s="219"/>
      <c r="EW477" s="219"/>
      <c r="EX477" s="219"/>
      <c r="EY477" s="219"/>
      <c r="EZ477" s="219"/>
      <c r="FA477" s="219"/>
      <c r="FB477" s="219"/>
      <c r="FC477" s="219"/>
      <c r="FD477" s="219"/>
      <c r="FE477" s="219"/>
      <c r="FF477" s="219"/>
      <c r="FG477" s="219"/>
      <c r="FH477" s="219"/>
      <c r="FI477" s="219"/>
      <c r="FJ477" s="219"/>
      <c r="FK477" s="219"/>
      <c r="FL477" s="219"/>
      <c r="FM477" s="219"/>
      <c r="FN477" s="219"/>
      <c r="FO477" s="219"/>
      <c r="FP477" s="219"/>
      <c r="FQ477" s="219"/>
      <c r="FR477" s="219"/>
      <c r="FS477" s="219"/>
      <c r="FT477" s="219"/>
      <c r="FU477" s="219"/>
      <c r="FV477" s="219"/>
      <c r="FW477" s="219"/>
      <c r="FX477" s="219"/>
      <c r="FY477" s="219"/>
      <c r="FZ477" s="219"/>
      <c r="GA477" s="219"/>
      <c r="GB477" s="219"/>
      <c r="GC477" s="219"/>
      <c r="GD477" s="219"/>
      <c r="GE477" s="219"/>
      <c r="GF477" s="219"/>
      <c r="GG477" s="219"/>
      <c r="GH477" s="219"/>
      <c r="GI477" s="219"/>
      <c r="GJ477" s="219"/>
      <c r="GK477" s="219"/>
      <c r="GL477" s="219"/>
      <c r="GM477" s="219"/>
      <c r="GN477" s="219"/>
      <c r="GO477" s="219"/>
      <c r="GP477" s="219"/>
      <c r="GQ477" s="219"/>
      <c r="GR477" s="219"/>
      <c r="GS477" s="219"/>
      <c r="GT477" s="219"/>
      <c r="GU477" s="219"/>
      <c r="GV477" s="219"/>
      <c r="GW477" s="219"/>
      <c r="GX477" s="219"/>
      <c r="GY477" s="219"/>
      <c r="GZ477" s="219"/>
      <c r="HA477" s="219"/>
      <c r="HB477" s="219"/>
      <c r="HC477" s="219"/>
      <c r="HD477" s="219"/>
      <c r="HE477" s="219"/>
      <c r="HF477" s="219"/>
      <c r="HG477" s="219"/>
      <c r="HH477" s="219"/>
      <c r="HI477" s="219"/>
      <c r="HJ477" s="219"/>
      <c r="HK477" s="219"/>
      <c r="HL477" s="219"/>
      <c r="HM477" s="219"/>
      <c r="HN477" s="219"/>
      <c r="HO477" s="219"/>
      <c r="HP477" s="219"/>
      <c r="HQ477" s="219"/>
      <c r="HR477" s="219"/>
      <c r="HS477" s="219"/>
      <c r="HT477" s="219"/>
      <c r="HU477" s="219"/>
      <c r="HV477" s="219"/>
      <c r="HW477" s="219"/>
      <c r="HX477" s="219"/>
      <c r="HY477" s="219"/>
      <c r="HZ477" s="219"/>
      <c r="IA477" s="219"/>
      <c r="IB477" s="219"/>
      <c r="IC477" s="219"/>
      <c r="ID477" s="219"/>
      <c r="IE477" s="219"/>
      <c r="IF477" s="219"/>
      <c r="IG477" s="219"/>
      <c r="IH477" s="219"/>
      <c r="II477" s="219"/>
      <c r="IJ477" s="219"/>
      <c r="IK477" s="219"/>
      <c r="IL477" s="219"/>
      <c r="IM477" s="219"/>
      <c r="IN477" s="219"/>
      <c r="IO477" s="219"/>
      <c r="IP477" s="219"/>
      <c r="IQ477" s="219"/>
      <c r="IR477" s="219"/>
      <c r="IS477" s="219"/>
      <c r="IT477" s="219"/>
      <c r="IU477" s="219"/>
      <c r="IV477" s="219"/>
    </row>
    <row r="478" spans="1:256" x14ac:dyDescent="0.2">
      <c r="A478" s="204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  <c r="AD478" s="219"/>
      <c r="AE478" s="219"/>
      <c r="AF478" s="219"/>
      <c r="AG478" s="219"/>
      <c r="AH478" s="219"/>
      <c r="AI478" s="219"/>
      <c r="AJ478" s="219"/>
      <c r="AK478" s="219"/>
      <c r="AL478" s="219"/>
      <c r="AM478" s="219"/>
      <c r="AN478" s="219"/>
      <c r="AO478" s="219"/>
      <c r="AP478" s="219"/>
      <c r="AQ478" s="219"/>
      <c r="AR478" s="219"/>
      <c r="AS478" s="219"/>
      <c r="AT478" s="219"/>
      <c r="AU478" s="219"/>
      <c r="AV478" s="219"/>
      <c r="AW478" s="219"/>
      <c r="AX478" s="219"/>
      <c r="AY478" s="219"/>
      <c r="AZ478" s="219"/>
      <c r="BA478" s="219"/>
      <c r="BB478" s="219"/>
      <c r="BC478" s="219"/>
      <c r="BD478" s="219"/>
      <c r="BE478" s="219"/>
      <c r="BF478" s="219"/>
      <c r="BG478" s="219"/>
      <c r="BH478" s="219"/>
      <c r="BI478" s="219"/>
      <c r="BJ478" s="219"/>
      <c r="BK478" s="219"/>
      <c r="BL478" s="219"/>
      <c r="BM478" s="219"/>
      <c r="BN478" s="219"/>
      <c r="BO478" s="219"/>
      <c r="BP478" s="219"/>
      <c r="BQ478" s="219"/>
      <c r="BR478" s="219"/>
      <c r="BS478" s="219"/>
      <c r="BT478" s="219"/>
      <c r="BU478" s="219"/>
      <c r="BV478" s="219"/>
      <c r="BW478" s="219"/>
      <c r="BX478" s="219"/>
      <c r="BY478" s="219"/>
      <c r="BZ478" s="219"/>
      <c r="CA478" s="219"/>
      <c r="CB478" s="219"/>
      <c r="CC478" s="219"/>
      <c r="CD478" s="219"/>
      <c r="CE478" s="219"/>
      <c r="CF478" s="219"/>
      <c r="CG478" s="219"/>
      <c r="CH478" s="219"/>
      <c r="CI478" s="219"/>
      <c r="CJ478" s="219"/>
      <c r="CK478" s="219"/>
      <c r="CL478" s="219"/>
      <c r="CM478" s="219"/>
      <c r="CN478" s="219"/>
      <c r="CO478" s="219"/>
      <c r="CP478" s="219"/>
      <c r="CQ478" s="219"/>
      <c r="CR478" s="219"/>
      <c r="CS478" s="219"/>
      <c r="CT478" s="219"/>
      <c r="CU478" s="219"/>
      <c r="CV478" s="219"/>
      <c r="CW478" s="219"/>
      <c r="CX478" s="219"/>
      <c r="CY478" s="219"/>
      <c r="CZ478" s="219"/>
      <c r="DA478" s="219"/>
      <c r="DB478" s="219"/>
      <c r="DC478" s="219"/>
      <c r="DD478" s="219"/>
      <c r="DE478" s="219"/>
      <c r="DF478" s="219"/>
      <c r="DG478" s="219"/>
      <c r="DH478" s="219"/>
      <c r="DI478" s="219"/>
      <c r="DJ478" s="219"/>
      <c r="DK478" s="219"/>
      <c r="DL478" s="219"/>
      <c r="DM478" s="219"/>
      <c r="DN478" s="219"/>
      <c r="DO478" s="219"/>
      <c r="DP478" s="219"/>
      <c r="DQ478" s="219"/>
      <c r="DR478" s="219"/>
      <c r="DS478" s="219"/>
      <c r="DT478" s="219"/>
      <c r="DU478" s="219"/>
      <c r="DV478" s="219"/>
      <c r="DW478" s="219"/>
      <c r="DX478" s="219"/>
      <c r="DY478" s="219"/>
      <c r="DZ478" s="219"/>
      <c r="EA478" s="219"/>
      <c r="EB478" s="219"/>
      <c r="EC478" s="219"/>
      <c r="ED478" s="219"/>
      <c r="EE478" s="219"/>
      <c r="EF478" s="219"/>
      <c r="EG478" s="219"/>
      <c r="EH478" s="219"/>
      <c r="EI478" s="219"/>
      <c r="EJ478" s="219"/>
      <c r="EK478" s="219"/>
      <c r="EL478" s="219"/>
      <c r="EM478" s="219"/>
      <c r="EN478" s="219"/>
      <c r="EO478" s="219"/>
      <c r="EP478" s="219"/>
      <c r="EQ478" s="219"/>
      <c r="ER478" s="219"/>
      <c r="ES478" s="219"/>
      <c r="ET478" s="219"/>
      <c r="EU478" s="219"/>
      <c r="EV478" s="219"/>
      <c r="EW478" s="219"/>
      <c r="EX478" s="219"/>
      <c r="EY478" s="219"/>
      <c r="EZ478" s="219"/>
      <c r="FA478" s="219"/>
      <c r="FB478" s="219"/>
      <c r="FC478" s="219"/>
      <c r="FD478" s="219"/>
      <c r="FE478" s="219"/>
      <c r="FF478" s="219"/>
      <c r="FG478" s="219"/>
      <c r="FH478" s="219"/>
      <c r="FI478" s="219"/>
      <c r="FJ478" s="219"/>
      <c r="FK478" s="219"/>
      <c r="FL478" s="219"/>
      <c r="FM478" s="219"/>
      <c r="FN478" s="219"/>
      <c r="FO478" s="219"/>
      <c r="FP478" s="219"/>
      <c r="FQ478" s="219"/>
      <c r="FR478" s="219"/>
      <c r="FS478" s="219"/>
      <c r="FT478" s="219"/>
      <c r="FU478" s="219"/>
      <c r="FV478" s="219"/>
      <c r="FW478" s="219"/>
      <c r="FX478" s="219"/>
      <c r="FY478" s="219"/>
      <c r="FZ478" s="219"/>
      <c r="GA478" s="219"/>
      <c r="GB478" s="219"/>
      <c r="GC478" s="219"/>
      <c r="GD478" s="219"/>
      <c r="GE478" s="219"/>
      <c r="GF478" s="219"/>
      <c r="GG478" s="219"/>
      <c r="GH478" s="219"/>
      <c r="GI478" s="219"/>
      <c r="GJ478" s="219"/>
      <c r="GK478" s="219"/>
      <c r="GL478" s="219"/>
      <c r="GM478" s="219"/>
      <c r="GN478" s="219"/>
      <c r="GO478" s="219"/>
      <c r="GP478" s="219"/>
      <c r="GQ478" s="219"/>
      <c r="GR478" s="219"/>
      <c r="GS478" s="219"/>
      <c r="GT478" s="219"/>
      <c r="GU478" s="219"/>
      <c r="GV478" s="219"/>
      <c r="GW478" s="219"/>
      <c r="GX478" s="219"/>
      <c r="GY478" s="219"/>
      <c r="GZ478" s="219"/>
      <c r="HA478" s="219"/>
      <c r="HB478" s="219"/>
      <c r="HC478" s="219"/>
      <c r="HD478" s="219"/>
      <c r="HE478" s="219"/>
      <c r="HF478" s="219"/>
      <c r="HG478" s="219"/>
      <c r="HH478" s="219"/>
      <c r="HI478" s="219"/>
      <c r="HJ478" s="219"/>
      <c r="HK478" s="219"/>
      <c r="HL478" s="219"/>
      <c r="HM478" s="219"/>
      <c r="HN478" s="219"/>
      <c r="HO478" s="219"/>
      <c r="HP478" s="219"/>
      <c r="HQ478" s="219"/>
      <c r="HR478" s="219"/>
      <c r="HS478" s="219"/>
      <c r="HT478" s="219"/>
      <c r="HU478" s="219"/>
      <c r="HV478" s="219"/>
      <c r="HW478" s="219"/>
      <c r="HX478" s="219"/>
      <c r="HY478" s="219"/>
      <c r="HZ478" s="219"/>
      <c r="IA478" s="219"/>
      <c r="IB478" s="219"/>
      <c r="IC478" s="219"/>
      <c r="ID478" s="219"/>
      <c r="IE478" s="219"/>
      <c r="IF478" s="219"/>
      <c r="IG478" s="219"/>
      <c r="IH478" s="219"/>
      <c r="II478" s="219"/>
      <c r="IJ478" s="219"/>
      <c r="IK478" s="219"/>
      <c r="IL478" s="219"/>
      <c r="IM478" s="219"/>
      <c r="IN478" s="219"/>
      <c r="IO478" s="219"/>
      <c r="IP478" s="219"/>
      <c r="IQ478" s="219"/>
      <c r="IR478" s="219"/>
      <c r="IS478" s="219"/>
      <c r="IT478" s="219"/>
      <c r="IU478" s="219"/>
      <c r="IV478" s="219"/>
    </row>
    <row r="479" spans="1:256" x14ac:dyDescent="0.2">
      <c r="A479" s="204"/>
      <c r="GR479" s="219"/>
      <c r="GS479" s="219"/>
      <c r="GT479" s="219"/>
      <c r="GU479" s="219"/>
      <c r="GV479" s="219"/>
      <c r="GW479" s="219"/>
      <c r="GX479" s="219"/>
      <c r="GY479" s="219"/>
      <c r="GZ479" s="219"/>
      <c r="HA479" s="219"/>
      <c r="HB479" s="219"/>
      <c r="HC479" s="219"/>
      <c r="HD479" s="219"/>
      <c r="HE479" s="219"/>
      <c r="HF479" s="219"/>
      <c r="HG479" s="219"/>
      <c r="HH479" s="219"/>
      <c r="HI479" s="219"/>
      <c r="HJ479" s="219"/>
      <c r="HK479" s="219"/>
      <c r="HL479" s="219"/>
      <c r="HM479" s="219"/>
      <c r="HN479" s="219"/>
      <c r="HO479" s="219"/>
      <c r="HP479" s="219"/>
      <c r="HQ479" s="219"/>
      <c r="HR479" s="219"/>
      <c r="HS479" s="219"/>
      <c r="HT479" s="219"/>
      <c r="HU479" s="219"/>
      <c r="HV479" s="219"/>
      <c r="HW479" s="219"/>
      <c r="HX479" s="219"/>
      <c r="HY479" s="219"/>
      <c r="HZ479" s="219"/>
      <c r="IA479" s="219"/>
      <c r="IB479" s="219"/>
      <c r="IC479" s="219"/>
      <c r="ID479" s="219"/>
      <c r="IE479" s="219"/>
      <c r="IF479" s="219"/>
      <c r="IG479" s="219"/>
      <c r="IH479" s="219"/>
      <c r="II479" s="219"/>
      <c r="IJ479" s="219"/>
      <c r="IK479" s="219"/>
      <c r="IL479" s="219"/>
      <c r="IM479" s="219"/>
      <c r="IN479" s="219"/>
      <c r="IO479" s="219"/>
      <c r="IP479" s="219"/>
      <c r="IQ479" s="219"/>
      <c r="IR479" s="219"/>
      <c r="IS479" s="219"/>
      <c r="IT479" s="219"/>
      <c r="IU479" s="219"/>
      <c r="IV479" s="219"/>
    </row>
    <row r="480" spans="1:256" x14ac:dyDescent="0.2">
      <c r="A480" s="204"/>
      <c r="GR480" s="219"/>
      <c r="GS480" s="219"/>
      <c r="GT480" s="219"/>
      <c r="GU480" s="219"/>
      <c r="GV480" s="219"/>
      <c r="GW480" s="219"/>
      <c r="GX480" s="219"/>
      <c r="GY480" s="219"/>
      <c r="GZ480" s="219"/>
      <c r="HA480" s="219"/>
      <c r="HB480" s="219"/>
      <c r="HC480" s="219"/>
      <c r="HD480" s="219"/>
      <c r="HE480" s="219"/>
      <c r="HF480" s="219"/>
      <c r="HG480" s="219"/>
      <c r="HH480" s="219"/>
      <c r="HI480" s="219"/>
      <c r="HJ480" s="219"/>
      <c r="HK480" s="219"/>
      <c r="HL480" s="219"/>
      <c r="HM480" s="219"/>
      <c r="HN480" s="219"/>
      <c r="HO480" s="219"/>
      <c r="HP480" s="219"/>
      <c r="HQ480" s="219"/>
      <c r="HR480" s="219"/>
      <c r="HS480" s="219"/>
      <c r="HT480" s="219"/>
      <c r="HU480" s="219"/>
      <c r="HV480" s="219"/>
      <c r="HW480" s="219"/>
      <c r="HX480" s="219"/>
      <c r="HY480" s="219"/>
      <c r="HZ480" s="219"/>
      <c r="IA480" s="219"/>
      <c r="IB480" s="219"/>
      <c r="IC480" s="219"/>
      <c r="ID480" s="219"/>
      <c r="IE480" s="219"/>
      <c r="IF480" s="219"/>
      <c r="IG480" s="219"/>
      <c r="IH480" s="219"/>
      <c r="II480" s="219"/>
      <c r="IJ480" s="219"/>
      <c r="IK480" s="219"/>
      <c r="IL480" s="219"/>
      <c r="IM480" s="219"/>
      <c r="IN480" s="219"/>
      <c r="IO480" s="219"/>
      <c r="IP480" s="219"/>
      <c r="IQ480" s="219"/>
      <c r="IR480" s="219"/>
      <c r="IS480" s="219"/>
      <c r="IT480" s="219"/>
      <c r="IU480" s="219"/>
      <c r="IV480" s="219"/>
    </row>
    <row r="481" spans="1:256" x14ac:dyDescent="0.2">
      <c r="A481" s="204"/>
      <c r="GR481" s="219"/>
      <c r="GS481" s="219"/>
      <c r="GT481" s="219"/>
      <c r="GU481" s="219"/>
      <c r="GV481" s="219"/>
      <c r="GW481" s="219"/>
      <c r="GX481" s="219"/>
      <c r="GY481" s="219"/>
      <c r="GZ481" s="219"/>
      <c r="HA481" s="219"/>
      <c r="HB481" s="219"/>
      <c r="HC481" s="219"/>
      <c r="HD481" s="219"/>
      <c r="HE481" s="219"/>
      <c r="HF481" s="219"/>
      <c r="HG481" s="219"/>
      <c r="HH481" s="219"/>
      <c r="HI481" s="219"/>
      <c r="HJ481" s="219"/>
      <c r="HK481" s="219"/>
      <c r="HL481" s="219"/>
      <c r="HM481" s="219"/>
      <c r="HN481" s="219"/>
      <c r="HO481" s="219"/>
      <c r="HP481" s="219"/>
      <c r="HQ481" s="219"/>
      <c r="HR481" s="219"/>
      <c r="HS481" s="219"/>
      <c r="HT481" s="219"/>
      <c r="HU481" s="219"/>
      <c r="HV481" s="219"/>
      <c r="HW481" s="219"/>
      <c r="HX481" s="219"/>
      <c r="HY481" s="219"/>
      <c r="HZ481" s="219"/>
      <c r="IA481" s="219"/>
      <c r="IB481" s="219"/>
      <c r="IC481" s="219"/>
      <c r="ID481" s="219"/>
      <c r="IE481" s="219"/>
      <c r="IF481" s="219"/>
      <c r="IG481" s="219"/>
      <c r="IH481" s="219"/>
      <c r="II481" s="219"/>
      <c r="IJ481" s="219"/>
      <c r="IK481" s="219"/>
      <c r="IL481" s="219"/>
      <c r="IM481" s="219"/>
      <c r="IN481" s="219"/>
      <c r="IO481" s="219"/>
      <c r="IP481" s="219"/>
      <c r="IQ481" s="219"/>
      <c r="IR481" s="219"/>
      <c r="IS481" s="219"/>
      <c r="IT481" s="219"/>
      <c r="IU481" s="219"/>
      <c r="IV481" s="219"/>
    </row>
    <row r="482" spans="1:256" x14ac:dyDescent="0.2">
      <c r="A482" s="204"/>
      <c r="GR482" s="219"/>
      <c r="GS482" s="219"/>
      <c r="GT482" s="219"/>
      <c r="GU482" s="219"/>
      <c r="GV482" s="219"/>
      <c r="GW482" s="219"/>
      <c r="GX482" s="219"/>
      <c r="GY482" s="219"/>
      <c r="GZ482" s="219"/>
      <c r="HA482" s="219"/>
      <c r="HB482" s="219"/>
      <c r="HC482" s="219"/>
      <c r="HD482" s="219"/>
      <c r="HE482" s="219"/>
      <c r="HF482" s="219"/>
      <c r="HG482" s="219"/>
      <c r="HH482" s="219"/>
      <c r="HI482" s="219"/>
      <c r="HJ482" s="219"/>
      <c r="HK482" s="219"/>
      <c r="HL482" s="219"/>
      <c r="HM482" s="219"/>
      <c r="HN482" s="219"/>
      <c r="HO482" s="219"/>
      <c r="HP482" s="219"/>
      <c r="HQ482" s="219"/>
      <c r="HR482" s="219"/>
      <c r="HS482" s="219"/>
      <c r="HT482" s="219"/>
      <c r="HU482" s="219"/>
      <c r="HV482" s="219"/>
      <c r="HW482" s="219"/>
      <c r="HX482" s="219"/>
      <c r="HY482" s="219"/>
      <c r="HZ482" s="219"/>
      <c r="IA482" s="219"/>
      <c r="IB482" s="219"/>
      <c r="IC482" s="219"/>
      <c r="ID482" s="219"/>
      <c r="IE482" s="219"/>
      <c r="IF482" s="219"/>
      <c r="IG482" s="219"/>
      <c r="IH482" s="219"/>
      <c r="II482" s="219"/>
      <c r="IJ482" s="219"/>
      <c r="IK482" s="219"/>
      <c r="IL482" s="219"/>
      <c r="IM482" s="219"/>
      <c r="IN482" s="219"/>
      <c r="IO482" s="219"/>
      <c r="IP482" s="219"/>
      <c r="IQ482" s="219"/>
      <c r="IR482" s="219"/>
      <c r="IS482" s="219"/>
      <c r="IT482" s="219"/>
      <c r="IU482" s="219"/>
      <c r="IV482" s="219"/>
    </row>
    <row r="483" spans="1:256" x14ac:dyDescent="0.2">
      <c r="A483" s="204"/>
      <c r="GR483" s="219"/>
      <c r="GS483" s="219"/>
      <c r="GT483" s="219"/>
      <c r="GU483" s="219"/>
      <c r="GV483" s="219"/>
      <c r="GW483" s="219"/>
      <c r="GX483" s="219"/>
      <c r="GY483" s="219"/>
      <c r="GZ483" s="219"/>
      <c r="HA483" s="219"/>
      <c r="HB483" s="219"/>
      <c r="HC483" s="219"/>
      <c r="HD483" s="219"/>
      <c r="HE483" s="219"/>
      <c r="HF483" s="219"/>
      <c r="HG483" s="219"/>
      <c r="HH483" s="219"/>
      <c r="HI483" s="219"/>
      <c r="HJ483" s="219"/>
      <c r="HK483" s="219"/>
      <c r="HL483" s="219"/>
      <c r="HM483" s="219"/>
      <c r="HN483" s="219"/>
      <c r="HO483" s="219"/>
      <c r="HP483" s="219"/>
      <c r="HQ483" s="219"/>
      <c r="HR483" s="219"/>
      <c r="HS483" s="219"/>
      <c r="HT483" s="219"/>
      <c r="HU483" s="219"/>
      <c r="HV483" s="219"/>
      <c r="HW483" s="219"/>
      <c r="HX483" s="219"/>
      <c r="HY483" s="219"/>
      <c r="HZ483" s="219"/>
      <c r="IA483" s="219"/>
      <c r="IB483" s="219"/>
      <c r="IC483" s="219"/>
      <c r="ID483" s="219"/>
      <c r="IE483" s="219"/>
      <c r="IF483" s="219"/>
      <c r="IG483" s="219"/>
      <c r="IH483" s="219"/>
      <c r="II483" s="219"/>
      <c r="IJ483" s="219"/>
      <c r="IK483" s="219"/>
      <c r="IL483" s="219"/>
      <c r="IM483" s="219"/>
      <c r="IN483" s="219"/>
      <c r="IO483" s="219"/>
      <c r="IP483" s="219"/>
      <c r="IQ483" s="219"/>
      <c r="IR483" s="219"/>
      <c r="IS483" s="219"/>
      <c r="IT483" s="219"/>
      <c r="IU483" s="219"/>
      <c r="IV483" s="219"/>
    </row>
    <row r="484" spans="1:256" x14ac:dyDescent="0.2">
      <c r="A484" s="204"/>
      <c r="GR484" s="219"/>
      <c r="GS484" s="219"/>
      <c r="GT484" s="219"/>
      <c r="GU484" s="219"/>
      <c r="GV484" s="219"/>
      <c r="GW484" s="219"/>
      <c r="GX484" s="219"/>
      <c r="GY484" s="219"/>
      <c r="GZ484" s="219"/>
      <c r="HA484" s="219"/>
      <c r="HB484" s="219"/>
      <c r="HC484" s="219"/>
      <c r="HD484" s="219"/>
      <c r="HE484" s="219"/>
      <c r="HF484" s="219"/>
      <c r="HG484" s="219"/>
      <c r="HH484" s="219"/>
      <c r="HI484" s="219"/>
      <c r="HJ484" s="219"/>
      <c r="HK484" s="219"/>
      <c r="HL484" s="219"/>
      <c r="HM484" s="219"/>
      <c r="HN484" s="219"/>
      <c r="HO484" s="219"/>
      <c r="HP484" s="219"/>
      <c r="HQ484" s="219"/>
      <c r="HR484" s="219"/>
      <c r="HS484" s="219"/>
      <c r="HT484" s="219"/>
      <c r="HU484" s="219"/>
      <c r="HV484" s="219"/>
      <c r="HW484" s="219"/>
      <c r="HX484" s="219"/>
      <c r="HY484" s="219"/>
      <c r="HZ484" s="219"/>
      <c r="IA484" s="219"/>
      <c r="IB484" s="219"/>
      <c r="IC484" s="219"/>
      <c r="ID484" s="219"/>
      <c r="IE484" s="219"/>
      <c r="IF484" s="219"/>
      <c r="IG484" s="219"/>
      <c r="IH484" s="219"/>
      <c r="II484" s="219"/>
      <c r="IJ484" s="219"/>
      <c r="IK484" s="219"/>
      <c r="IL484" s="219"/>
      <c r="IM484" s="219"/>
      <c r="IN484" s="219"/>
      <c r="IO484" s="219"/>
      <c r="IP484" s="219"/>
      <c r="IQ484" s="219"/>
      <c r="IR484" s="219"/>
      <c r="IS484" s="219"/>
      <c r="IT484" s="219"/>
      <c r="IU484" s="219"/>
      <c r="IV484" s="219"/>
    </row>
    <row r="485" spans="1:256" x14ac:dyDescent="0.2">
      <c r="A485" s="204"/>
      <c r="GR485" s="219"/>
      <c r="GS485" s="219"/>
      <c r="GT485" s="219"/>
      <c r="GU485" s="219"/>
      <c r="GV485" s="219"/>
      <c r="GW485" s="219"/>
      <c r="GX485" s="219"/>
      <c r="GY485" s="219"/>
      <c r="GZ485" s="219"/>
      <c r="HA485" s="219"/>
      <c r="HB485" s="219"/>
      <c r="HC485" s="219"/>
      <c r="HD485" s="219"/>
      <c r="HE485" s="219"/>
      <c r="HF485" s="219"/>
      <c r="HG485" s="219"/>
      <c r="HH485" s="219"/>
      <c r="HI485" s="219"/>
      <c r="HJ485" s="219"/>
      <c r="HK485" s="219"/>
      <c r="HL485" s="219"/>
      <c r="HM485" s="219"/>
      <c r="HN485" s="219"/>
      <c r="HO485" s="219"/>
      <c r="HP485" s="219"/>
      <c r="HQ485" s="219"/>
      <c r="HR485" s="219"/>
      <c r="HS485" s="219"/>
      <c r="HT485" s="219"/>
      <c r="HU485" s="219"/>
      <c r="HV485" s="219"/>
      <c r="HW485" s="219"/>
      <c r="HX485" s="219"/>
      <c r="HY485" s="219"/>
      <c r="HZ485" s="219"/>
      <c r="IA485" s="219"/>
      <c r="IB485" s="219"/>
      <c r="IC485" s="219"/>
      <c r="ID485" s="219"/>
      <c r="IE485" s="219"/>
      <c r="IF485" s="219"/>
      <c r="IG485" s="219"/>
      <c r="IH485" s="219"/>
      <c r="II485" s="219"/>
      <c r="IJ485" s="219"/>
      <c r="IK485" s="219"/>
      <c r="IL485" s="219"/>
      <c r="IM485" s="219"/>
      <c r="IN485" s="219"/>
      <c r="IO485" s="219"/>
      <c r="IP485" s="219"/>
      <c r="IQ485" s="219"/>
      <c r="IR485" s="219"/>
      <c r="IS485" s="219"/>
      <c r="IT485" s="219"/>
      <c r="IU485" s="219"/>
      <c r="IV485" s="219"/>
    </row>
    <row r="486" spans="1:256" x14ac:dyDescent="0.2">
      <c r="A486" s="204"/>
      <c r="GR486" s="219"/>
      <c r="GS486" s="219"/>
      <c r="GT486" s="219"/>
      <c r="GU486" s="219"/>
      <c r="GV486" s="219"/>
      <c r="GW486" s="219"/>
      <c r="GX486" s="219"/>
      <c r="GY486" s="219"/>
      <c r="GZ486" s="219"/>
      <c r="HA486" s="219"/>
      <c r="HB486" s="219"/>
      <c r="HC486" s="219"/>
      <c r="HD486" s="219"/>
      <c r="HE486" s="219"/>
      <c r="HF486" s="219"/>
      <c r="HG486" s="219"/>
      <c r="HH486" s="219"/>
      <c r="HI486" s="219"/>
      <c r="HJ486" s="219"/>
      <c r="HK486" s="219"/>
      <c r="HL486" s="219"/>
      <c r="HM486" s="219"/>
      <c r="HN486" s="219"/>
      <c r="HO486" s="219"/>
      <c r="HP486" s="219"/>
      <c r="HQ486" s="219"/>
      <c r="HR486" s="219"/>
      <c r="HS486" s="219"/>
      <c r="HT486" s="219"/>
      <c r="HU486" s="219"/>
      <c r="HV486" s="219"/>
      <c r="HW486" s="219"/>
      <c r="HX486" s="219"/>
      <c r="HY486" s="219"/>
      <c r="HZ486" s="219"/>
      <c r="IA486" s="219"/>
      <c r="IB486" s="219"/>
      <c r="IC486" s="219"/>
      <c r="ID486" s="219"/>
      <c r="IE486" s="219"/>
      <c r="IF486" s="219"/>
      <c r="IG486" s="219"/>
      <c r="IH486" s="219"/>
      <c r="II486" s="219"/>
      <c r="IJ486" s="219"/>
      <c r="IK486" s="219"/>
      <c r="IL486" s="219"/>
      <c r="IM486" s="219"/>
      <c r="IN486" s="219"/>
      <c r="IO486" s="219"/>
      <c r="IP486" s="219"/>
      <c r="IQ486" s="219"/>
      <c r="IR486" s="219"/>
      <c r="IS486" s="219"/>
      <c r="IT486" s="219"/>
      <c r="IU486" s="219"/>
      <c r="IV486" s="219"/>
    </row>
    <row r="487" spans="1:256" x14ac:dyDescent="0.2">
      <c r="A487" s="204"/>
      <c r="GR487" s="219"/>
      <c r="GS487" s="219"/>
      <c r="GT487" s="219"/>
      <c r="GU487" s="219"/>
      <c r="GV487" s="219"/>
      <c r="GW487" s="219"/>
      <c r="GX487" s="219"/>
      <c r="GY487" s="219"/>
      <c r="GZ487" s="219"/>
      <c r="HA487" s="219"/>
      <c r="HB487" s="219"/>
      <c r="HC487" s="219"/>
      <c r="HD487" s="219"/>
      <c r="HE487" s="219"/>
      <c r="HF487" s="219"/>
      <c r="HG487" s="219"/>
      <c r="HH487" s="219"/>
      <c r="HI487" s="219"/>
      <c r="HJ487" s="219"/>
      <c r="HK487" s="219"/>
      <c r="HL487" s="219"/>
      <c r="HM487" s="219"/>
      <c r="HN487" s="219"/>
      <c r="HO487" s="219"/>
      <c r="HP487" s="219"/>
      <c r="HQ487" s="219"/>
      <c r="HR487" s="219"/>
      <c r="HS487" s="219"/>
      <c r="HT487" s="219"/>
      <c r="HU487" s="219"/>
      <c r="HV487" s="219"/>
      <c r="HW487" s="219"/>
      <c r="HX487" s="219"/>
      <c r="HY487" s="219"/>
      <c r="HZ487" s="219"/>
      <c r="IA487" s="219"/>
      <c r="IB487" s="219"/>
      <c r="IC487" s="219"/>
      <c r="ID487" s="219"/>
      <c r="IE487" s="219"/>
      <c r="IF487" s="219"/>
      <c r="IG487" s="219"/>
      <c r="IH487" s="219"/>
      <c r="II487" s="219"/>
      <c r="IJ487" s="219"/>
      <c r="IK487" s="219"/>
      <c r="IL487" s="219"/>
      <c r="IM487" s="219"/>
      <c r="IN487" s="219"/>
      <c r="IO487" s="219"/>
      <c r="IP487" s="219"/>
      <c r="IQ487" s="219"/>
      <c r="IR487" s="219"/>
      <c r="IS487" s="219"/>
      <c r="IT487" s="219"/>
      <c r="IU487" s="219"/>
      <c r="IV487" s="219"/>
    </row>
    <row r="488" spans="1:256" x14ac:dyDescent="0.2">
      <c r="A488" s="204"/>
      <c r="GR488" s="219"/>
      <c r="GS488" s="219"/>
      <c r="GT488" s="219"/>
      <c r="GU488" s="219"/>
      <c r="GV488" s="219"/>
      <c r="GW488" s="219"/>
      <c r="GX488" s="219"/>
      <c r="GY488" s="219"/>
      <c r="GZ488" s="219"/>
      <c r="HA488" s="219"/>
      <c r="HB488" s="219"/>
      <c r="HC488" s="219"/>
      <c r="HD488" s="219"/>
      <c r="HE488" s="219"/>
      <c r="HF488" s="219"/>
      <c r="HG488" s="219"/>
      <c r="HH488" s="219"/>
      <c r="HI488" s="219"/>
      <c r="HJ488" s="219"/>
      <c r="HK488" s="219"/>
      <c r="HL488" s="219"/>
      <c r="HM488" s="219"/>
      <c r="HN488" s="219"/>
      <c r="HO488" s="219"/>
      <c r="HP488" s="219"/>
      <c r="HQ488" s="219"/>
      <c r="HR488" s="219"/>
      <c r="HS488" s="219"/>
      <c r="HT488" s="219"/>
      <c r="HU488" s="219"/>
      <c r="HV488" s="219"/>
      <c r="HW488" s="219"/>
      <c r="HX488" s="219"/>
      <c r="HY488" s="219"/>
      <c r="HZ488" s="219"/>
      <c r="IA488" s="219"/>
      <c r="IB488" s="219"/>
      <c r="IC488" s="219"/>
      <c r="ID488" s="219"/>
      <c r="IE488" s="219"/>
      <c r="IF488" s="219"/>
      <c r="IG488" s="219"/>
      <c r="IH488" s="219"/>
      <c r="II488" s="219"/>
      <c r="IJ488" s="219"/>
      <c r="IK488" s="219"/>
      <c r="IL488" s="219"/>
      <c r="IM488" s="219"/>
      <c r="IN488" s="219"/>
      <c r="IO488" s="219"/>
      <c r="IP488" s="219"/>
      <c r="IQ488" s="219"/>
      <c r="IR488" s="219"/>
      <c r="IS488" s="219"/>
      <c r="IT488" s="219"/>
      <c r="IU488" s="219"/>
      <c r="IV488" s="219"/>
    </row>
    <row r="489" spans="1:256" x14ac:dyDescent="0.2">
      <c r="A489" s="204"/>
      <c r="GR489" s="219"/>
      <c r="GS489" s="219"/>
      <c r="GT489" s="219"/>
      <c r="GU489" s="219"/>
      <c r="GV489" s="219"/>
      <c r="GW489" s="219"/>
      <c r="GX489" s="219"/>
      <c r="GY489" s="219"/>
      <c r="GZ489" s="219"/>
      <c r="HA489" s="219"/>
      <c r="HB489" s="219"/>
      <c r="HC489" s="219"/>
      <c r="HD489" s="219"/>
      <c r="HE489" s="219"/>
      <c r="HF489" s="219"/>
      <c r="HG489" s="219"/>
      <c r="HH489" s="219"/>
      <c r="HI489" s="219"/>
      <c r="HJ489" s="219"/>
      <c r="HK489" s="219"/>
      <c r="HL489" s="219"/>
      <c r="HM489" s="219"/>
      <c r="HN489" s="219"/>
      <c r="HO489" s="219"/>
      <c r="HP489" s="219"/>
      <c r="HQ489" s="219"/>
      <c r="HR489" s="219"/>
      <c r="HS489" s="219"/>
      <c r="HT489" s="219"/>
      <c r="HU489" s="219"/>
      <c r="HV489" s="219"/>
      <c r="HW489" s="219"/>
      <c r="HX489" s="219"/>
      <c r="HY489" s="219"/>
      <c r="HZ489" s="219"/>
      <c r="IA489" s="219"/>
      <c r="IB489" s="219"/>
      <c r="IC489" s="219"/>
      <c r="ID489" s="219"/>
      <c r="IE489" s="219"/>
      <c r="IF489" s="219"/>
      <c r="IG489" s="219"/>
      <c r="IH489" s="219"/>
      <c r="II489" s="219"/>
      <c r="IJ489" s="219"/>
      <c r="IK489" s="219"/>
      <c r="IL489" s="219"/>
      <c r="IM489" s="219"/>
      <c r="IN489" s="219"/>
      <c r="IO489" s="219"/>
      <c r="IP489" s="219"/>
      <c r="IQ489" s="219"/>
      <c r="IR489" s="219"/>
      <c r="IS489" s="219"/>
      <c r="IT489" s="219"/>
      <c r="IU489" s="219"/>
      <c r="IV489" s="219"/>
    </row>
    <row r="490" spans="1:256" x14ac:dyDescent="0.2">
      <c r="A490" s="204"/>
      <c r="GR490" s="219"/>
      <c r="GS490" s="219"/>
      <c r="GT490" s="219"/>
      <c r="GU490" s="219"/>
      <c r="GV490" s="219"/>
      <c r="GW490" s="219"/>
      <c r="GX490" s="219"/>
      <c r="GY490" s="219"/>
      <c r="GZ490" s="219"/>
      <c r="HA490" s="219"/>
      <c r="HB490" s="219"/>
      <c r="HC490" s="219"/>
      <c r="HD490" s="219"/>
      <c r="HE490" s="219"/>
      <c r="HF490" s="219"/>
      <c r="HG490" s="219"/>
      <c r="HH490" s="219"/>
      <c r="HI490" s="219"/>
      <c r="HJ490" s="219"/>
      <c r="HK490" s="219"/>
      <c r="HL490" s="219"/>
      <c r="HM490" s="219"/>
      <c r="HN490" s="219"/>
      <c r="HO490" s="219"/>
      <c r="HP490" s="219"/>
      <c r="HQ490" s="219"/>
      <c r="HR490" s="219"/>
      <c r="HS490" s="219"/>
      <c r="HT490" s="219"/>
      <c r="HU490" s="219"/>
      <c r="HV490" s="219"/>
      <c r="HW490" s="219"/>
      <c r="HX490" s="219"/>
      <c r="HY490" s="219"/>
      <c r="HZ490" s="219"/>
      <c r="IA490" s="219"/>
      <c r="IB490" s="219"/>
      <c r="IC490" s="219"/>
      <c r="ID490" s="219"/>
      <c r="IE490" s="219"/>
      <c r="IF490" s="219"/>
      <c r="IG490" s="219"/>
      <c r="IH490" s="219"/>
      <c r="II490" s="219"/>
      <c r="IJ490" s="219"/>
      <c r="IK490" s="219"/>
      <c r="IL490" s="219"/>
      <c r="IM490" s="219"/>
      <c r="IN490" s="219"/>
      <c r="IO490" s="219"/>
      <c r="IP490" s="219"/>
      <c r="IQ490" s="219"/>
      <c r="IR490" s="219"/>
      <c r="IS490" s="219"/>
      <c r="IT490" s="219"/>
      <c r="IU490" s="219"/>
      <c r="IV490" s="219"/>
    </row>
    <row r="491" spans="1:256" x14ac:dyDescent="0.2">
      <c r="A491" s="204"/>
      <c r="GR491" s="219"/>
      <c r="GS491" s="219"/>
      <c r="GT491" s="219"/>
      <c r="GU491" s="219"/>
      <c r="GV491" s="219"/>
      <c r="GW491" s="219"/>
      <c r="GX491" s="219"/>
      <c r="GY491" s="219"/>
      <c r="GZ491" s="219"/>
      <c r="HA491" s="219"/>
      <c r="HB491" s="219"/>
      <c r="HC491" s="219"/>
      <c r="HD491" s="219"/>
      <c r="HE491" s="219"/>
      <c r="HF491" s="219"/>
      <c r="HG491" s="219"/>
      <c r="HH491" s="219"/>
      <c r="HI491" s="219"/>
      <c r="HJ491" s="219"/>
      <c r="HK491" s="219"/>
      <c r="HL491" s="219"/>
      <c r="HM491" s="219"/>
      <c r="HN491" s="219"/>
      <c r="HO491" s="219"/>
      <c r="HP491" s="219"/>
      <c r="HQ491" s="219"/>
      <c r="HR491" s="219"/>
      <c r="HS491" s="219"/>
      <c r="HT491" s="219"/>
      <c r="HU491" s="219"/>
      <c r="HV491" s="219"/>
      <c r="HW491" s="219"/>
      <c r="HX491" s="219"/>
      <c r="HY491" s="219"/>
      <c r="HZ491" s="219"/>
      <c r="IA491" s="219"/>
      <c r="IB491" s="219"/>
      <c r="IC491" s="219"/>
      <c r="ID491" s="219"/>
      <c r="IE491" s="219"/>
      <c r="IF491" s="219"/>
      <c r="IG491" s="219"/>
      <c r="IH491" s="219"/>
      <c r="II491" s="219"/>
      <c r="IJ491" s="219"/>
      <c r="IK491" s="219"/>
      <c r="IL491" s="219"/>
      <c r="IM491" s="219"/>
      <c r="IN491" s="219"/>
      <c r="IO491" s="219"/>
      <c r="IP491" s="219"/>
      <c r="IQ491" s="219"/>
      <c r="IR491" s="219"/>
      <c r="IS491" s="219"/>
      <c r="IT491" s="219"/>
      <c r="IU491" s="219"/>
      <c r="IV491" s="219"/>
    </row>
    <row r="492" spans="1:256" x14ac:dyDescent="0.2">
      <c r="A492" s="204"/>
      <c r="GR492" s="219"/>
      <c r="GS492" s="219"/>
      <c r="GT492" s="219"/>
      <c r="GU492" s="219"/>
      <c r="GV492" s="219"/>
      <c r="GW492" s="219"/>
      <c r="GX492" s="219"/>
      <c r="GY492" s="219"/>
      <c r="GZ492" s="219"/>
      <c r="HA492" s="219"/>
      <c r="HB492" s="219"/>
      <c r="HC492" s="219"/>
      <c r="HD492" s="219"/>
      <c r="HE492" s="219"/>
      <c r="HF492" s="219"/>
      <c r="HG492" s="219"/>
      <c r="HH492" s="219"/>
      <c r="HI492" s="219"/>
      <c r="HJ492" s="219"/>
      <c r="HK492" s="219"/>
      <c r="HL492" s="219"/>
      <c r="HM492" s="219"/>
      <c r="HN492" s="219"/>
      <c r="HO492" s="219"/>
      <c r="HP492" s="219"/>
      <c r="HQ492" s="219"/>
      <c r="HR492" s="219"/>
      <c r="HS492" s="219"/>
      <c r="HT492" s="219"/>
      <c r="HU492" s="219"/>
      <c r="HV492" s="219"/>
      <c r="HW492" s="219"/>
      <c r="HX492" s="219"/>
      <c r="HY492" s="219"/>
      <c r="HZ492" s="219"/>
      <c r="IA492" s="219"/>
      <c r="IB492" s="219"/>
      <c r="IC492" s="219"/>
      <c r="ID492" s="219"/>
      <c r="IE492" s="219"/>
      <c r="IF492" s="219"/>
      <c r="IG492" s="219"/>
      <c r="IH492" s="219"/>
      <c r="II492" s="219"/>
      <c r="IJ492" s="219"/>
      <c r="IK492" s="219"/>
      <c r="IL492" s="219"/>
      <c r="IM492" s="219"/>
      <c r="IN492" s="219"/>
      <c r="IO492" s="219"/>
      <c r="IP492" s="219"/>
      <c r="IQ492" s="219"/>
      <c r="IR492" s="219"/>
      <c r="IS492" s="219"/>
      <c r="IT492" s="219"/>
      <c r="IU492" s="219"/>
      <c r="IV492" s="219"/>
    </row>
    <row r="493" spans="1:256" x14ac:dyDescent="0.2">
      <c r="A493" s="204"/>
      <c r="GR493" s="219"/>
      <c r="GS493" s="219"/>
      <c r="GT493" s="219"/>
      <c r="GU493" s="219"/>
      <c r="GV493" s="219"/>
      <c r="GW493" s="219"/>
      <c r="GX493" s="219"/>
      <c r="GY493" s="219"/>
      <c r="GZ493" s="219"/>
      <c r="HA493" s="219"/>
      <c r="HB493" s="219"/>
      <c r="HC493" s="219"/>
      <c r="HD493" s="219"/>
      <c r="HE493" s="219"/>
      <c r="HF493" s="219"/>
      <c r="HG493" s="219"/>
      <c r="HH493" s="219"/>
      <c r="HI493" s="219"/>
      <c r="HJ493" s="219"/>
      <c r="HK493" s="219"/>
      <c r="HL493" s="219"/>
      <c r="HM493" s="219"/>
      <c r="HN493" s="219"/>
      <c r="HO493" s="219"/>
      <c r="HP493" s="219"/>
      <c r="HQ493" s="219"/>
      <c r="HR493" s="219"/>
      <c r="HS493" s="219"/>
      <c r="HT493" s="219"/>
      <c r="HU493" s="219"/>
      <c r="HV493" s="219"/>
      <c r="HW493" s="219"/>
      <c r="HX493" s="219"/>
      <c r="HY493" s="219"/>
      <c r="HZ493" s="219"/>
      <c r="IA493" s="219"/>
      <c r="IB493" s="219"/>
      <c r="IC493" s="219"/>
      <c r="ID493" s="219"/>
      <c r="IE493" s="219"/>
      <c r="IF493" s="219"/>
      <c r="IG493" s="219"/>
      <c r="IH493" s="219"/>
      <c r="II493" s="219"/>
      <c r="IJ493" s="219"/>
      <c r="IK493" s="219"/>
      <c r="IL493" s="219"/>
      <c r="IM493" s="219"/>
      <c r="IN493" s="219"/>
      <c r="IO493" s="219"/>
      <c r="IP493" s="219"/>
      <c r="IQ493" s="219"/>
      <c r="IR493" s="219"/>
      <c r="IS493" s="219"/>
      <c r="IT493" s="219"/>
      <c r="IU493" s="219"/>
      <c r="IV493" s="219"/>
    </row>
    <row r="494" spans="1:256" x14ac:dyDescent="0.2">
      <c r="A494" s="204"/>
      <c r="GR494" s="219"/>
      <c r="GS494" s="219"/>
      <c r="GT494" s="219"/>
      <c r="GU494" s="219"/>
      <c r="GV494" s="219"/>
      <c r="GW494" s="219"/>
      <c r="GX494" s="219"/>
      <c r="GY494" s="219"/>
      <c r="GZ494" s="219"/>
      <c r="HA494" s="219"/>
      <c r="HB494" s="219"/>
      <c r="HC494" s="219"/>
      <c r="HD494" s="219"/>
      <c r="HE494" s="219"/>
      <c r="HF494" s="219"/>
      <c r="HG494" s="219"/>
      <c r="HH494" s="219"/>
      <c r="HI494" s="219"/>
      <c r="HJ494" s="219"/>
      <c r="HK494" s="219"/>
      <c r="HL494" s="219"/>
      <c r="HM494" s="219"/>
      <c r="HN494" s="219"/>
      <c r="HO494" s="219"/>
      <c r="HP494" s="219"/>
      <c r="HQ494" s="219"/>
      <c r="HR494" s="219"/>
      <c r="HS494" s="219"/>
      <c r="HT494" s="219"/>
      <c r="HU494" s="219"/>
      <c r="HV494" s="219"/>
      <c r="HW494" s="219"/>
      <c r="HX494" s="219"/>
      <c r="HY494" s="219"/>
      <c r="HZ494" s="219"/>
      <c r="IA494" s="219"/>
      <c r="IB494" s="219"/>
      <c r="IC494" s="219"/>
      <c r="ID494" s="219"/>
      <c r="IE494" s="219"/>
      <c r="IF494" s="219"/>
      <c r="IG494" s="219"/>
      <c r="IH494" s="219"/>
      <c r="II494" s="219"/>
      <c r="IJ494" s="219"/>
      <c r="IK494" s="219"/>
      <c r="IL494" s="219"/>
      <c r="IM494" s="219"/>
      <c r="IN494" s="219"/>
      <c r="IO494" s="219"/>
      <c r="IP494" s="219"/>
      <c r="IQ494" s="219"/>
      <c r="IR494" s="219"/>
      <c r="IS494" s="219"/>
      <c r="IT494" s="219"/>
      <c r="IU494" s="219"/>
      <c r="IV494" s="219"/>
    </row>
    <row r="495" spans="1:256" x14ac:dyDescent="0.2">
      <c r="A495" s="204"/>
      <c r="GR495" s="219"/>
      <c r="GS495" s="219"/>
      <c r="GT495" s="219"/>
      <c r="GU495" s="219"/>
      <c r="GV495" s="219"/>
      <c r="GW495" s="219"/>
      <c r="GX495" s="219"/>
      <c r="GY495" s="219"/>
      <c r="GZ495" s="219"/>
      <c r="HA495" s="219"/>
      <c r="HB495" s="219"/>
      <c r="HC495" s="219"/>
      <c r="HD495" s="219"/>
      <c r="HE495" s="219"/>
      <c r="HF495" s="219"/>
      <c r="HG495" s="219"/>
      <c r="HH495" s="219"/>
      <c r="HI495" s="219"/>
      <c r="HJ495" s="219"/>
      <c r="HK495" s="219"/>
      <c r="HL495" s="219"/>
      <c r="HM495" s="219"/>
      <c r="HN495" s="219"/>
      <c r="HO495" s="219"/>
      <c r="HP495" s="219"/>
      <c r="HQ495" s="219"/>
      <c r="HR495" s="219"/>
      <c r="HS495" s="219"/>
      <c r="HT495" s="219"/>
      <c r="HU495" s="219"/>
      <c r="HV495" s="219"/>
      <c r="HW495" s="219"/>
      <c r="HX495" s="219"/>
      <c r="HY495" s="219"/>
      <c r="HZ495" s="219"/>
      <c r="IA495" s="219"/>
      <c r="IB495" s="219"/>
      <c r="IC495" s="219"/>
      <c r="ID495" s="219"/>
      <c r="IE495" s="219"/>
      <c r="IF495" s="219"/>
      <c r="IG495" s="219"/>
      <c r="IH495" s="219"/>
      <c r="II495" s="219"/>
      <c r="IJ495" s="219"/>
      <c r="IK495" s="219"/>
      <c r="IL495" s="219"/>
      <c r="IM495" s="219"/>
      <c r="IN495" s="219"/>
      <c r="IO495" s="219"/>
      <c r="IP495" s="219"/>
      <c r="IQ495" s="219"/>
      <c r="IR495" s="219"/>
      <c r="IS495" s="219"/>
      <c r="IT495" s="219"/>
      <c r="IU495" s="219"/>
      <c r="IV495" s="219"/>
    </row>
    <row r="496" spans="1:256" x14ac:dyDescent="0.2">
      <c r="A496" s="204"/>
      <c r="GR496" s="219"/>
      <c r="GS496" s="219"/>
      <c r="GT496" s="219"/>
      <c r="GU496" s="219"/>
      <c r="GV496" s="219"/>
      <c r="GW496" s="219"/>
      <c r="GX496" s="219"/>
      <c r="GY496" s="219"/>
      <c r="GZ496" s="219"/>
      <c r="HA496" s="219"/>
      <c r="HB496" s="219"/>
      <c r="HC496" s="219"/>
      <c r="HD496" s="219"/>
      <c r="HE496" s="219"/>
      <c r="HF496" s="219"/>
      <c r="HG496" s="219"/>
      <c r="HH496" s="219"/>
      <c r="HI496" s="219"/>
      <c r="HJ496" s="219"/>
      <c r="HK496" s="219"/>
      <c r="HL496" s="219"/>
      <c r="HM496" s="219"/>
      <c r="HN496" s="219"/>
      <c r="HO496" s="219"/>
      <c r="HP496" s="219"/>
      <c r="HQ496" s="219"/>
      <c r="HR496" s="219"/>
      <c r="HS496" s="219"/>
      <c r="HT496" s="219"/>
      <c r="HU496" s="219"/>
      <c r="HV496" s="219"/>
      <c r="HW496" s="219"/>
      <c r="HX496" s="219"/>
      <c r="HY496" s="219"/>
      <c r="HZ496" s="219"/>
      <c r="IA496" s="219"/>
      <c r="IB496" s="219"/>
      <c r="IC496" s="219"/>
      <c r="ID496" s="219"/>
      <c r="IE496" s="219"/>
      <c r="IF496" s="219"/>
      <c r="IG496" s="219"/>
      <c r="IH496" s="219"/>
      <c r="II496" s="219"/>
      <c r="IJ496" s="219"/>
      <c r="IK496" s="219"/>
      <c r="IL496" s="219"/>
      <c r="IM496" s="219"/>
      <c r="IN496" s="219"/>
      <c r="IO496" s="219"/>
      <c r="IP496" s="219"/>
      <c r="IQ496" s="219"/>
      <c r="IR496" s="219"/>
      <c r="IS496" s="219"/>
      <c r="IT496" s="219"/>
      <c r="IU496" s="219"/>
      <c r="IV496" s="219"/>
    </row>
    <row r="497" spans="1:256" x14ac:dyDescent="0.2">
      <c r="A497" s="204"/>
      <c r="GR497" s="219"/>
      <c r="GS497" s="219"/>
      <c r="GT497" s="219"/>
      <c r="GU497" s="219"/>
      <c r="GV497" s="219"/>
      <c r="GW497" s="219"/>
      <c r="GX497" s="219"/>
      <c r="GY497" s="219"/>
      <c r="GZ497" s="219"/>
      <c r="HA497" s="219"/>
      <c r="HB497" s="219"/>
      <c r="HC497" s="219"/>
      <c r="HD497" s="219"/>
      <c r="HE497" s="219"/>
      <c r="HF497" s="219"/>
      <c r="HG497" s="219"/>
      <c r="HH497" s="219"/>
      <c r="HI497" s="219"/>
      <c r="HJ497" s="219"/>
      <c r="HK497" s="219"/>
      <c r="HL497" s="219"/>
      <c r="HM497" s="219"/>
      <c r="HN497" s="219"/>
      <c r="HO497" s="219"/>
      <c r="HP497" s="219"/>
      <c r="HQ497" s="219"/>
      <c r="HR497" s="219"/>
      <c r="HS497" s="219"/>
      <c r="HT497" s="219"/>
      <c r="HU497" s="219"/>
      <c r="HV497" s="219"/>
      <c r="HW497" s="219"/>
      <c r="HX497" s="219"/>
      <c r="HY497" s="219"/>
      <c r="HZ497" s="219"/>
      <c r="IA497" s="219"/>
      <c r="IB497" s="219"/>
      <c r="IC497" s="219"/>
      <c r="ID497" s="219"/>
      <c r="IE497" s="219"/>
      <c r="IF497" s="219"/>
      <c r="IG497" s="219"/>
      <c r="IH497" s="219"/>
      <c r="II497" s="219"/>
      <c r="IJ497" s="219"/>
      <c r="IK497" s="219"/>
      <c r="IL497" s="219"/>
      <c r="IM497" s="219"/>
      <c r="IN497" s="219"/>
      <c r="IO497" s="219"/>
      <c r="IP497" s="219"/>
      <c r="IQ497" s="219"/>
      <c r="IR497" s="219"/>
      <c r="IS497" s="219"/>
      <c r="IT497" s="219"/>
      <c r="IU497" s="219"/>
      <c r="IV497" s="219"/>
    </row>
    <row r="498" spans="1:256" x14ac:dyDescent="0.2">
      <c r="A498" s="204"/>
      <c r="GR498" s="219"/>
      <c r="GS498" s="219"/>
      <c r="GT498" s="219"/>
      <c r="GU498" s="219"/>
      <c r="GV498" s="219"/>
      <c r="GW498" s="219"/>
      <c r="GX498" s="219"/>
      <c r="GY498" s="219"/>
      <c r="GZ498" s="219"/>
      <c r="HA498" s="219"/>
      <c r="HB498" s="219"/>
      <c r="HC498" s="219"/>
      <c r="HD498" s="219"/>
      <c r="HE498" s="219"/>
      <c r="HF498" s="219"/>
      <c r="HG498" s="219"/>
      <c r="HH498" s="219"/>
      <c r="HI498" s="219"/>
      <c r="HJ498" s="219"/>
      <c r="HK498" s="219"/>
      <c r="HL498" s="219"/>
      <c r="HM498" s="219"/>
      <c r="HN498" s="219"/>
      <c r="HO498" s="219"/>
      <c r="HP498" s="219"/>
      <c r="HQ498" s="219"/>
      <c r="HR498" s="219"/>
      <c r="HS498" s="219"/>
      <c r="HT498" s="219"/>
      <c r="HU498" s="219"/>
      <c r="HV498" s="219"/>
      <c r="HW498" s="219"/>
      <c r="HX498" s="219"/>
      <c r="HY498" s="219"/>
      <c r="HZ498" s="219"/>
      <c r="IA498" s="219"/>
      <c r="IB498" s="219"/>
      <c r="IC498" s="219"/>
      <c r="ID498" s="219"/>
      <c r="IE498" s="219"/>
      <c r="IF498" s="219"/>
      <c r="IG498" s="219"/>
      <c r="IH498" s="219"/>
      <c r="II498" s="219"/>
      <c r="IJ498" s="219"/>
      <c r="IK498" s="219"/>
      <c r="IL498" s="219"/>
      <c r="IM498" s="219"/>
      <c r="IN498" s="219"/>
      <c r="IO498" s="219"/>
      <c r="IP498" s="219"/>
      <c r="IQ498" s="219"/>
      <c r="IR498" s="219"/>
      <c r="IS498" s="219"/>
      <c r="IT498" s="219"/>
      <c r="IU498" s="219"/>
      <c r="IV498" s="219"/>
    </row>
    <row r="499" spans="1:256" x14ac:dyDescent="0.2">
      <c r="A499" s="204"/>
      <c r="GR499" s="219"/>
      <c r="GS499" s="219"/>
      <c r="GT499" s="219"/>
      <c r="GU499" s="219"/>
      <c r="GV499" s="219"/>
      <c r="GW499" s="219"/>
      <c r="GX499" s="219"/>
      <c r="GY499" s="219"/>
      <c r="GZ499" s="219"/>
      <c r="HA499" s="219"/>
      <c r="HB499" s="219"/>
      <c r="HC499" s="219"/>
      <c r="HD499" s="219"/>
      <c r="HE499" s="219"/>
      <c r="HF499" s="219"/>
      <c r="HG499" s="219"/>
      <c r="HH499" s="219"/>
      <c r="HI499" s="219"/>
      <c r="HJ499" s="219"/>
      <c r="HK499" s="219"/>
      <c r="HL499" s="219"/>
      <c r="HM499" s="219"/>
      <c r="HN499" s="219"/>
      <c r="HO499" s="219"/>
      <c r="HP499" s="219"/>
      <c r="HQ499" s="219"/>
      <c r="HR499" s="219"/>
      <c r="HS499" s="219"/>
      <c r="HT499" s="219"/>
      <c r="HU499" s="219"/>
      <c r="HV499" s="219"/>
      <c r="HW499" s="219"/>
      <c r="HX499" s="219"/>
      <c r="HY499" s="219"/>
      <c r="HZ499" s="219"/>
      <c r="IA499" s="219"/>
      <c r="IB499" s="219"/>
      <c r="IC499" s="219"/>
      <c r="ID499" s="219"/>
      <c r="IE499" s="219"/>
      <c r="IF499" s="219"/>
      <c r="IG499" s="219"/>
      <c r="IH499" s="219"/>
      <c r="II499" s="219"/>
      <c r="IJ499" s="219"/>
      <c r="IK499" s="219"/>
      <c r="IL499" s="219"/>
      <c r="IM499" s="219"/>
      <c r="IN499" s="219"/>
      <c r="IO499" s="219"/>
      <c r="IP499" s="219"/>
      <c r="IQ499" s="219"/>
      <c r="IR499" s="219"/>
      <c r="IS499" s="219"/>
      <c r="IT499" s="219"/>
      <c r="IU499" s="219"/>
      <c r="IV499" s="219"/>
    </row>
    <row r="500" spans="1:256" x14ac:dyDescent="0.2">
      <c r="A500" s="204"/>
      <c r="GR500" s="219"/>
      <c r="GS500" s="219"/>
      <c r="GT500" s="219"/>
      <c r="GU500" s="219"/>
      <c r="GV500" s="219"/>
      <c r="GW500" s="219"/>
      <c r="GX500" s="219"/>
      <c r="GY500" s="219"/>
      <c r="GZ500" s="219"/>
      <c r="HA500" s="219"/>
      <c r="HB500" s="219"/>
      <c r="HC500" s="219"/>
      <c r="HD500" s="219"/>
      <c r="HE500" s="219"/>
      <c r="HF500" s="219"/>
      <c r="HG500" s="219"/>
      <c r="HH500" s="219"/>
      <c r="HI500" s="219"/>
      <c r="HJ500" s="219"/>
      <c r="HK500" s="219"/>
      <c r="HL500" s="219"/>
      <c r="HM500" s="219"/>
      <c r="HN500" s="219"/>
      <c r="HO500" s="219"/>
      <c r="HP500" s="219"/>
      <c r="HQ500" s="219"/>
      <c r="HR500" s="219"/>
      <c r="HS500" s="219"/>
      <c r="HT500" s="219"/>
      <c r="HU500" s="219"/>
      <c r="HV500" s="219"/>
      <c r="HW500" s="219"/>
      <c r="HX500" s="219"/>
      <c r="HY500" s="219"/>
      <c r="HZ500" s="219"/>
      <c r="IA500" s="219"/>
      <c r="IB500" s="219"/>
      <c r="IC500" s="219"/>
      <c r="ID500" s="219"/>
      <c r="IE500" s="219"/>
      <c r="IF500" s="219"/>
      <c r="IG500" s="219"/>
      <c r="IH500" s="219"/>
      <c r="II500" s="219"/>
      <c r="IJ500" s="219"/>
      <c r="IK500" s="219"/>
      <c r="IL500" s="219"/>
      <c r="IM500" s="219"/>
      <c r="IN500" s="219"/>
      <c r="IO500" s="219"/>
      <c r="IP500" s="219"/>
      <c r="IQ500" s="219"/>
      <c r="IR500" s="219"/>
      <c r="IS500" s="219"/>
      <c r="IT500" s="219"/>
      <c r="IU500" s="219"/>
      <c r="IV500" s="219"/>
    </row>
    <row r="501" spans="1:256" x14ac:dyDescent="0.2">
      <c r="A501" s="204"/>
      <c r="GR501" s="219"/>
      <c r="GS501" s="219"/>
      <c r="GT501" s="219"/>
      <c r="GU501" s="219"/>
      <c r="GV501" s="219"/>
      <c r="GW501" s="219"/>
      <c r="GX501" s="219"/>
      <c r="GY501" s="219"/>
      <c r="GZ501" s="219"/>
      <c r="HA501" s="219"/>
      <c r="HB501" s="219"/>
      <c r="HC501" s="219"/>
      <c r="HD501" s="219"/>
      <c r="HE501" s="219"/>
      <c r="HF501" s="219"/>
      <c r="HG501" s="219"/>
      <c r="HH501" s="219"/>
      <c r="HI501" s="219"/>
      <c r="HJ501" s="219"/>
      <c r="HK501" s="219"/>
      <c r="HL501" s="219"/>
      <c r="HM501" s="219"/>
      <c r="HN501" s="219"/>
      <c r="HO501" s="219"/>
      <c r="HP501" s="219"/>
      <c r="HQ501" s="219"/>
      <c r="HR501" s="219"/>
      <c r="HS501" s="219"/>
      <c r="HT501" s="219"/>
      <c r="HU501" s="219"/>
      <c r="HV501" s="219"/>
      <c r="HW501" s="219"/>
      <c r="HX501" s="219"/>
      <c r="HY501" s="219"/>
      <c r="HZ501" s="219"/>
      <c r="IA501" s="219"/>
      <c r="IB501" s="219"/>
      <c r="IC501" s="219"/>
      <c r="ID501" s="219"/>
      <c r="IE501" s="219"/>
      <c r="IF501" s="219"/>
      <c r="IG501" s="219"/>
      <c r="IH501" s="219"/>
      <c r="II501" s="219"/>
      <c r="IJ501" s="219"/>
      <c r="IK501" s="219"/>
      <c r="IL501" s="219"/>
      <c r="IM501" s="219"/>
      <c r="IN501" s="219"/>
      <c r="IO501" s="219"/>
      <c r="IP501" s="219"/>
      <c r="IQ501" s="219"/>
      <c r="IR501" s="219"/>
      <c r="IS501" s="219"/>
      <c r="IT501" s="219"/>
      <c r="IU501" s="219"/>
      <c r="IV501" s="219"/>
    </row>
    <row r="502" spans="1:256" x14ac:dyDescent="0.2">
      <c r="A502" s="204"/>
      <c r="GR502" s="219"/>
      <c r="GS502" s="219"/>
      <c r="GT502" s="219"/>
      <c r="GU502" s="219"/>
      <c r="GV502" s="219"/>
      <c r="GW502" s="219"/>
      <c r="GX502" s="219"/>
      <c r="GY502" s="219"/>
      <c r="GZ502" s="219"/>
      <c r="HA502" s="219"/>
      <c r="HB502" s="219"/>
      <c r="HC502" s="219"/>
      <c r="HD502" s="219"/>
      <c r="HE502" s="219"/>
      <c r="HF502" s="219"/>
      <c r="HG502" s="219"/>
      <c r="HH502" s="219"/>
      <c r="HI502" s="219"/>
      <c r="HJ502" s="219"/>
      <c r="HK502" s="219"/>
      <c r="HL502" s="219"/>
      <c r="HM502" s="219"/>
      <c r="HN502" s="219"/>
      <c r="HO502" s="219"/>
      <c r="HP502" s="219"/>
      <c r="HQ502" s="219"/>
      <c r="HR502" s="219"/>
      <c r="HS502" s="219"/>
      <c r="HT502" s="219"/>
      <c r="HU502" s="219"/>
      <c r="HV502" s="219"/>
      <c r="HW502" s="219"/>
      <c r="HX502" s="219"/>
      <c r="HY502" s="219"/>
      <c r="HZ502" s="219"/>
      <c r="IA502" s="219"/>
      <c r="IB502" s="219"/>
      <c r="IC502" s="219"/>
      <c r="ID502" s="219"/>
      <c r="IE502" s="219"/>
      <c r="IF502" s="219"/>
      <c r="IG502" s="219"/>
      <c r="IH502" s="219"/>
      <c r="II502" s="219"/>
      <c r="IJ502" s="219"/>
      <c r="IK502" s="219"/>
      <c r="IL502" s="219"/>
      <c r="IM502" s="219"/>
      <c r="IN502" s="219"/>
      <c r="IO502" s="219"/>
      <c r="IP502" s="219"/>
      <c r="IQ502" s="219"/>
      <c r="IR502" s="219"/>
      <c r="IS502" s="219"/>
      <c r="IT502" s="219"/>
      <c r="IU502" s="219"/>
      <c r="IV502" s="219"/>
    </row>
    <row r="503" spans="1:256" x14ac:dyDescent="0.2">
      <c r="A503" s="204"/>
      <c r="GR503" s="219"/>
      <c r="GS503" s="219"/>
      <c r="GT503" s="219"/>
      <c r="GU503" s="219"/>
      <c r="GV503" s="219"/>
      <c r="GW503" s="219"/>
      <c r="GX503" s="219"/>
      <c r="GY503" s="219"/>
      <c r="GZ503" s="219"/>
      <c r="HA503" s="219"/>
      <c r="HB503" s="219"/>
      <c r="HC503" s="219"/>
      <c r="HD503" s="219"/>
      <c r="HE503" s="219"/>
      <c r="HF503" s="219"/>
      <c r="HG503" s="219"/>
      <c r="HH503" s="219"/>
      <c r="HI503" s="219"/>
      <c r="HJ503" s="219"/>
      <c r="HK503" s="219"/>
      <c r="HL503" s="219"/>
      <c r="HM503" s="219"/>
      <c r="HN503" s="219"/>
      <c r="HO503" s="219"/>
      <c r="HP503" s="219"/>
      <c r="HQ503" s="219"/>
      <c r="HR503" s="219"/>
      <c r="HS503" s="219"/>
      <c r="HT503" s="219"/>
      <c r="HU503" s="219"/>
      <c r="HV503" s="219"/>
      <c r="HW503" s="219"/>
      <c r="HX503" s="219"/>
      <c r="HY503" s="219"/>
      <c r="HZ503" s="219"/>
      <c r="IA503" s="219"/>
      <c r="IB503" s="219"/>
      <c r="IC503" s="219"/>
      <c r="ID503" s="219"/>
      <c r="IE503" s="219"/>
      <c r="IF503" s="219"/>
      <c r="IG503" s="219"/>
      <c r="IH503" s="219"/>
      <c r="II503" s="219"/>
      <c r="IJ503" s="219"/>
      <c r="IK503" s="219"/>
      <c r="IL503" s="219"/>
      <c r="IM503" s="219"/>
      <c r="IN503" s="219"/>
      <c r="IO503" s="219"/>
      <c r="IP503" s="219"/>
      <c r="IQ503" s="219"/>
      <c r="IR503" s="219"/>
      <c r="IS503" s="219"/>
      <c r="IT503" s="219"/>
      <c r="IU503" s="219"/>
      <c r="IV503" s="219"/>
    </row>
    <row r="504" spans="1:256" x14ac:dyDescent="0.2">
      <c r="A504" s="204"/>
      <c r="GR504" s="219"/>
      <c r="GS504" s="219"/>
      <c r="GT504" s="219"/>
      <c r="GU504" s="219"/>
      <c r="GV504" s="219"/>
      <c r="GW504" s="219"/>
      <c r="GX504" s="219"/>
      <c r="GY504" s="219"/>
      <c r="GZ504" s="219"/>
      <c r="HA504" s="219"/>
      <c r="HB504" s="219"/>
      <c r="HC504" s="219"/>
      <c r="HD504" s="219"/>
      <c r="HE504" s="219"/>
      <c r="HF504" s="219"/>
      <c r="HG504" s="219"/>
      <c r="HH504" s="219"/>
      <c r="HI504" s="219"/>
      <c r="HJ504" s="219"/>
      <c r="HK504" s="219"/>
      <c r="HL504" s="219"/>
      <c r="HM504" s="219"/>
      <c r="HN504" s="219"/>
      <c r="HO504" s="219"/>
      <c r="HP504" s="219"/>
      <c r="HQ504" s="219"/>
      <c r="HR504" s="219"/>
      <c r="HS504" s="219"/>
      <c r="HT504" s="219"/>
      <c r="HU504" s="219"/>
      <c r="HV504" s="219"/>
      <c r="HW504" s="219"/>
      <c r="HX504" s="219"/>
      <c r="HY504" s="219"/>
      <c r="HZ504" s="219"/>
      <c r="IA504" s="219"/>
      <c r="IB504" s="219"/>
      <c r="IC504" s="219"/>
      <c r="ID504" s="219"/>
      <c r="IE504" s="219"/>
      <c r="IF504" s="219"/>
      <c r="IG504" s="219"/>
      <c r="IH504" s="219"/>
      <c r="II504" s="219"/>
      <c r="IJ504" s="219"/>
      <c r="IK504" s="219"/>
      <c r="IL504" s="219"/>
      <c r="IM504" s="219"/>
      <c r="IN504" s="219"/>
      <c r="IO504" s="219"/>
      <c r="IP504" s="219"/>
      <c r="IQ504" s="219"/>
      <c r="IR504" s="219"/>
      <c r="IS504" s="219"/>
      <c r="IT504" s="219"/>
      <c r="IU504" s="219"/>
      <c r="IV504" s="219"/>
    </row>
    <row r="505" spans="1:256" x14ac:dyDescent="0.2">
      <c r="A505" s="204"/>
      <c r="GR505" s="219"/>
      <c r="GS505" s="219"/>
      <c r="GT505" s="219"/>
      <c r="GU505" s="219"/>
      <c r="GV505" s="219"/>
      <c r="GW505" s="219"/>
      <c r="GX505" s="219"/>
      <c r="GY505" s="219"/>
      <c r="GZ505" s="219"/>
      <c r="HA505" s="219"/>
      <c r="HB505" s="219"/>
      <c r="HC505" s="219"/>
      <c r="HD505" s="219"/>
      <c r="HE505" s="219"/>
      <c r="HF505" s="219"/>
      <c r="HG505" s="219"/>
      <c r="HH505" s="219"/>
      <c r="HI505" s="219"/>
      <c r="HJ505" s="219"/>
      <c r="HK505" s="219"/>
      <c r="HL505" s="219"/>
      <c r="HM505" s="219"/>
      <c r="HN505" s="219"/>
      <c r="HO505" s="219"/>
      <c r="HP505" s="219"/>
      <c r="HQ505" s="219"/>
      <c r="HR505" s="219"/>
      <c r="HS505" s="219"/>
      <c r="HT505" s="219"/>
      <c r="HU505" s="219"/>
      <c r="HV505" s="219"/>
      <c r="HW505" s="219"/>
      <c r="HX505" s="219"/>
      <c r="HY505" s="219"/>
      <c r="HZ505" s="219"/>
      <c r="IA505" s="219"/>
      <c r="IB505" s="219"/>
      <c r="IC505" s="219"/>
      <c r="ID505" s="219"/>
      <c r="IE505" s="219"/>
      <c r="IF505" s="219"/>
      <c r="IG505" s="219"/>
      <c r="IH505" s="219"/>
      <c r="II505" s="219"/>
      <c r="IJ505" s="219"/>
      <c r="IK505" s="219"/>
      <c r="IL505" s="219"/>
      <c r="IM505" s="219"/>
      <c r="IN505" s="219"/>
      <c r="IO505" s="219"/>
      <c r="IP505" s="219"/>
      <c r="IQ505" s="219"/>
      <c r="IR505" s="219"/>
      <c r="IS505" s="219"/>
      <c r="IT505" s="219"/>
      <c r="IU505" s="219"/>
      <c r="IV505" s="219"/>
    </row>
    <row r="506" spans="1:256" x14ac:dyDescent="0.2">
      <c r="A506" s="204"/>
      <c r="GR506" s="219"/>
      <c r="GS506" s="219"/>
      <c r="GT506" s="219"/>
      <c r="GU506" s="219"/>
      <c r="GV506" s="219"/>
      <c r="GW506" s="219"/>
      <c r="GX506" s="219"/>
      <c r="GY506" s="219"/>
      <c r="GZ506" s="219"/>
      <c r="HA506" s="219"/>
      <c r="HB506" s="219"/>
      <c r="HC506" s="219"/>
      <c r="HD506" s="219"/>
      <c r="HE506" s="219"/>
      <c r="HF506" s="219"/>
      <c r="HG506" s="219"/>
      <c r="HH506" s="219"/>
      <c r="HI506" s="219"/>
      <c r="HJ506" s="219"/>
      <c r="HK506" s="219"/>
      <c r="HL506" s="219"/>
      <c r="HM506" s="219"/>
      <c r="HN506" s="219"/>
      <c r="HO506" s="219"/>
      <c r="HP506" s="219"/>
      <c r="HQ506" s="219"/>
      <c r="HR506" s="219"/>
      <c r="HS506" s="219"/>
      <c r="HT506" s="219"/>
      <c r="HU506" s="219"/>
      <c r="HV506" s="219"/>
      <c r="HW506" s="219"/>
      <c r="HX506" s="219"/>
      <c r="HY506" s="219"/>
      <c r="HZ506" s="219"/>
      <c r="IA506" s="219"/>
      <c r="IB506" s="219"/>
      <c r="IC506" s="219"/>
      <c r="ID506" s="219"/>
      <c r="IE506" s="219"/>
      <c r="IF506" s="219"/>
      <c r="IG506" s="219"/>
      <c r="IH506" s="219"/>
      <c r="II506" s="219"/>
      <c r="IJ506" s="219"/>
      <c r="IK506" s="219"/>
      <c r="IL506" s="219"/>
      <c r="IM506" s="219"/>
      <c r="IN506" s="219"/>
      <c r="IO506" s="219"/>
      <c r="IP506" s="219"/>
      <c r="IQ506" s="219"/>
      <c r="IR506" s="219"/>
      <c r="IS506" s="219"/>
      <c r="IT506" s="219"/>
      <c r="IU506" s="219"/>
      <c r="IV506" s="219"/>
    </row>
    <row r="507" spans="1:256" x14ac:dyDescent="0.2">
      <c r="A507" s="204"/>
      <c r="GR507" s="219"/>
      <c r="GS507" s="219"/>
      <c r="GT507" s="219"/>
      <c r="GU507" s="219"/>
      <c r="GV507" s="219"/>
      <c r="GW507" s="219"/>
      <c r="GX507" s="219"/>
      <c r="GY507" s="219"/>
      <c r="GZ507" s="219"/>
      <c r="HA507" s="219"/>
      <c r="HB507" s="219"/>
      <c r="HC507" s="219"/>
      <c r="HD507" s="219"/>
      <c r="HE507" s="219"/>
      <c r="HF507" s="219"/>
      <c r="HG507" s="219"/>
      <c r="HH507" s="219"/>
      <c r="HI507" s="219"/>
      <c r="HJ507" s="219"/>
      <c r="HK507" s="219"/>
      <c r="HL507" s="219"/>
      <c r="HM507" s="219"/>
      <c r="HN507" s="219"/>
      <c r="HO507" s="219"/>
      <c r="HP507" s="219"/>
      <c r="HQ507" s="219"/>
      <c r="HR507" s="219"/>
      <c r="HS507" s="219"/>
      <c r="HT507" s="219"/>
      <c r="HU507" s="219"/>
      <c r="HV507" s="219"/>
      <c r="HW507" s="219"/>
      <c r="HX507" s="219"/>
      <c r="HY507" s="219"/>
      <c r="HZ507" s="219"/>
      <c r="IA507" s="219"/>
      <c r="IB507" s="219"/>
      <c r="IC507" s="219"/>
      <c r="ID507" s="219"/>
      <c r="IE507" s="219"/>
      <c r="IF507" s="219"/>
      <c r="IG507" s="219"/>
      <c r="IH507" s="219"/>
      <c r="II507" s="219"/>
      <c r="IJ507" s="219"/>
      <c r="IK507" s="219"/>
      <c r="IL507" s="219"/>
      <c r="IM507" s="219"/>
      <c r="IN507" s="219"/>
      <c r="IO507" s="219"/>
      <c r="IP507" s="219"/>
      <c r="IQ507" s="219"/>
      <c r="IR507" s="219"/>
      <c r="IS507" s="219"/>
      <c r="IT507" s="219"/>
      <c r="IU507" s="219"/>
      <c r="IV507" s="219"/>
    </row>
    <row r="508" spans="1:256" x14ac:dyDescent="0.2">
      <c r="A508" s="204"/>
      <c r="GR508" s="219"/>
      <c r="GS508" s="219"/>
      <c r="GT508" s="219"/>
      <c r="GU508" s="219"/>
      <c r="GV508" s="219"/>
      <c r="GW508" s="219"/>
      <c r="GX508" s="219"/>
      <c r="GY508" s="219"/>
      <c r="GZ508" s="219"/>
      <c r="HA508" s="219"/>
      <c r="HB508" s="219"/>
      <c r="HC508" s="219"/>
      <c r="HD508" s="219"/>
      <c r="HE508" s="219"/>
      <c r="HF508" s="219"/>
      <c r="HG508" s="219"/>
      <c r="HH508" s="219"/>
      <c r="HI508" s="219"/>
      <c r="HJ508" s="219"/>
      <c r="HK508" s="219"/>
      <c r="HL508" s="219"/>
      <c r="HM508" s="219"/>
      <c r="HN508" s="219"/>
      <c r="HO508" s="219"/>
      <c r="HP508" s="219"/>
      <c r="HQ508" s="219"/>
      <c r="HR508" s="219"/>
      <c r="HS508" s="219"/>
      <c r="HT508" s="219"/>
      <c r="HU508" s="219"/>
      <c r="HV508" s="219"/>
      <c r="HW508" s="219"/>
      <c r="HX508" s="219"/>
      <c r="HY508" s="219"/>
      <c r="HZ508" s="219"/>
      <c r="IA508" s="219"/>
      <c r="IB508" s="219"/>
      <c r="IC508" s="219"/>
      <c r="ID508" s="219"/>
      <c r="IE508" s="219"/>
      <c r="IF508" s="219"/>
      <c r="IG508" s="219"/>
      <c r="IH508" s="219"/>
      <c r="II508" s="219"/>
      <c r="IJ508" s="219"/>
      <c r="IK508" s="219"/>
      <c r="IL508" s="219"/>
      <c r="IM508" s="219"/>
      <c r="IN508" s="219"/>
      <c r="IO508" s="219"/>
      <c r="IP508" s="219"/>
      <c r="IQ508" s="219"/>
      <c r="IR508" s="219"/>
      <c r="IS508" s="219"/>
      <c r="IT508" s="219"/>
      <c r="IU508" s="219"/>
      <c r="IV508" s="219"/>
    </row>
    <row r="509" spans="1:256" x14ac:dyDescent="0.2">
      <c r="A509" s="204"/>
      <c r="GR509" s="219"/>
      <c r="GS509" s="219"/>
      <c r="GT509" s="219"/>
      <c r="GU509" s="219"/>
      <c r="GV509" s="219"/>
      <c r="GW509" s="219"/>
      <c r="GX509" s="219"/>
      <c r="GY509" s="219"/>
      <c r="GZ509" s="219"/>
      <c r="HA509" s="219"/>
      <c r="HB509" s="219"/>
      <c r="HC509" s="219"/>
      <c r="HD509" s="219"/>
      <c r="HE509" s="219"/>
      <c r="HF509" s="219"/>
      <c r="HG509" s="219"/>
      <c r="HH509" s="219"/>
      <c r="HI509" s="219"/>
      <c r="HJ509" s="219"/>
      <c r="HK509" s="219"/>
      <c r="HL509" s="219"/>
      <c r="HM509" s="219"/>
      <c r="HN509" s="219"/>
      <c r="HO509" s="219"/>
      <c r="HP509" s="219"/>
      <c r="HQ509" s="219"/>
      <c r="HR509" s="219"/>
      <c r="HS509" s="219"/>
      <c r="HT509" s="219"/>
      <c r="HU509" s="219"/>
      <c r="HV509" s="219"/>
      <c r="HW509" s="219"/>
      <c r="HX509" s="219"/>
      <c r="HY509" s="219"/>
      <c r="HZ509" s="219"/>
      <c r="IA509" s="219"/>
      <c r="IB509" s="219"/>
      <c r="IC509" s="219"/>
      <c r="ID509" s="219"/>
      <c r="IE509" s="219"/>
      <c r="IF509" s="219"/>
      <c r="IG509" s="219"/>
      <c r="IH509" s="219"/>
      <c r="II509" s="219"/>
      <c r="IJ509" s="219"/>
      <c r="IK509" s="219"/>
      <c r="IL509" s="219"/>
      <c r="IM509" s="219"/>
      <c r="IN509" s="219"/>
      <c r="IO509" s="219"/>
      <c r="IP509" s="219"/>
      <c r="IQ509" s="219"/>
      <c r="IR509" s="219"/>
      <c r="IS509" s="219"/>
      <c r="IT509" s="219"/>
      <c r="IU509" s="219"/>
      <c r="IV509" s="219"/>
    </row>
    <row r="510" spans="1:256" x14ac:dyDescent="0.2">
      <c r="A510" s="204"/>
      <c r="GR510" s="219"/>
      <c r="GS510" s="219"/>
      <c r="GT510" s="219"/>
      <c r="GU510" s="219"/>
      <c r="GV510" s="219"/>
      <c r="GW510" s="219"/>
      <c r="GX510" s="219"/>
      <c r="GY510" s="219"/>
      <c r="GZ510" s="219"/>
      <c r="HA510" s="219"/>
      <c r="HB510" s="219"/>
      <c r="HC510" s="219"/>
      <c r="HD510" s="219"/>
      <c r="HE510" s="219"/>
      <c r="HF510" s="219"/>
      <c r="HG510" s="219"/>
      <c r="HH510" s="219"/>
      <c r="HI510" s="219"/>
      <c r="HJ510" s="219"/>
      <c r="HK510" s="219"/>
      <c r="HL510" s="219"/>
      <c r="HM510" s="219"/>
      <c r="HN510" s="219"/>
      <c r="HO510" s="219"/>
      <c r="HP510" s="219"/>
      <c r="HQ510" s="219"/>
      <c r="HR510" s="219"/>
      <c r="HS510" s="219"/>
      <c r="HT510" s="219"/>
      <c r="HU510" s="219"/>
      <c r="HV510" s="219"/>
      <c r="HW510" s="219"/>
      <c r="HX510" s="219"/>
      <c r="HY510" s="219"/>
      <c r="HZ510" s="219"/>
      <c r="IA510" s="219"/>
      <c r="IB510" s="219"/>
      <c r="IC510" s="219"/>
      <c r="ID510" s="219"/>
      <c r="IE510" s="219"/>
      <c r="IF510" s="219"/>
      <c r="IG510" s="219"/>
      <c r="IH510" s="219"/>
      <c r="II510" s="219"/>
      <c r="IJ510" s="219"/>
      <c r="IK510" s="219"/>
      <c r="IL510" s="219"/>
      <c r="IM510" s="219"/>
      <c r="IN510" s="219"/>
      <c r="IO510" s="219"/>
      <c r="IP510" s="219"/>
      <c r="IQ510" s="219"/>
      <c r="IR510" s="219"/>
      <c r="IS510" s="219"/>
      <c r="IT510" s="219"/>
      <c r="IU510" s="219"/>
      <c r="IV510" s="219"/>
    </row>
    <row r="511" spans="1:256" x14ac:dyDescent="0.2">
      <c r="A511" s="204"/>
      <c r="GR511" s="219"/>
      <c r="GS511" s="219"/>
      <c r="GT511" s="219"/>
      <c r="GU511" s="219"/>
      <c r="GV511" s="219"/>
      <c r="GW511" s="219"/>
      <c r="GX511" s="219"/>
      <c r="GY511" s="219"/>
      <c r="GZ511" s="219"/>
      <c r="HA511" s="219"/>
      <c r="HB511" s="219"/>
      <c r="HC511" s="219"/>
      <c r="HD511" s="219"/>
      <c r="HE511" s="219"/>
      <c r="HF511" s="219"/>
      <c r="HG511" s="219"/>
      <c r="HH511" s="219"/>
      <c r="HI511" s="219"/>
      <c r="HJ511" s="219"/>
      <c r="HK511" s="219"/>
      <c r="HL511" s="219"/>
      <c r="HM511" s="219"/>
      <c r="HN511" s="219"/>
      <c r="HO511" s="219"/>
      <c r="HP511" s="219"/>
      <c r="HQ511" s="219"/>
      <c r="HR511" s="219"/>
      <c r="HS511" s="219"/>
      <c r="HT511" s="219"/>
      <c r="HU511" s="219"/>
      <c r="HV511" s="219"/>
      <c r="HW511" s="219"/>
      <c r="HX511" s="219"/>
      <c r="HY511" s="219"/>
      <c r="HZ511" s="219"/>
      <c r="IA511" s="219"/>
      <c r="IB511" s="219"/>
      <c r="IC511" s="219"/>
      <c r="ID511" s="219"/>
      <c r="IE511" s="219"/>
      <c r="IF511" s="219"/>
      <c r="IG511" s="219"/>
      <c r="IH511" s="219"/>
      <c r="II511" s="219"/>
      <c r="IJ511" s="219"/>
      <c r="IK511" s="219"/>
      <c r="IL511" s="219"/>
      <c r="IM511" s="219"/>
      <c r="IN511" s="219"/>
      <c r="IO511" s="219"/>
      <c r="IP511" s="219"/>
      <c r="IQ511" s="219"/>
      <c r="IR511" s="219"/>
      <c r="IS511" s="219"/>
      <c r="IT511" s="219"/>
      <c r="IU511" s="219"/>
      <c r="IV511" s="219"/>
    </row>
    <row r="512" spans="1:256" x14ac:dyDescent="0.2">
      <c r="A512" s="204"/>
      <c r="GR512" s="219"/>
      <c r="GS512" s="219"/>
      <c r="GT512" s="219"/>
      <c r="GU512" s="219"/>
      <c r="GV512" s="219"/>
      <c r="GW512" s="219"/>
      <c r="GX512" s="219"/>
      <c r="GY512" s="219"/>
      <c r="GZ512" s="219"/>
      <c r="HA512" s="219"/>
      <c r="HB512" s="219"/>
      <c r="HC512" s="219"/>
      <c r="HD512" s="219"/>
      <c r="HE512" s="219"/>
      <c r="HF512" s="219"/>
      <c r="HG512" s="219"/>
      <c r="HH512" s="219"/>
      <c r="HI512" s="219"/>
      <c r="HJ512" s="219"/>
      <c r="HK512" s="219"/>
      <c r="HL512" s="219"/>
      <c r="HM512" s="219"/>
      <c r="HN512" s="219"/>
      <c r="HO512" s="219"/>
      <c r="HP512" s="219"/>
      <c r="HQ512" s="219"/>
      <c r="HR512" s="219"/>
      <c r="HS512" s="219"/>
      <c r="HT512" s="219"/>
      <c r="HU512" s="219"/>
      <c r="HV512" s="219"/>
      <c r="HW512" s="219"/>
      <c r="HX512" s="219"/>
      <c r="HY512" s="219"/>
      <c r="HZ512" s="219"/>
      <c r="IA512" s="219"/>
      <c r="IB512" s="219"/>
      <c r="IC512" s="219"/>
      <c r="ID512" s="219"/>
      <c r="IE512" s="219"/>
      <c r="IF512" s="219"/>
      <c r="IG512" s="219"/>
      <c r="IH512" s="219"/>
      <c r="II512" s="219"/>
      <c r="IJ512" s="219"/>
      <c r="IK512" s="219"/>
      <c r="IL512" s="219"/>
      <c r="IM512" s="219"/>
      <c r="IN512" s="219"/>
      <c r="IO512" s="219"/>
      <c r="IP512" s="219"/>
      <c r="IQ512" s="219"/>
      <c r="IR512" s="219"/>
      <c r="IS512" s="219"/>
      <c r="IT512" s="219"/>
      <c r="IU512" s="219"/>
      <c r="IV512" s="219"/>
    </row>
    <row r="513" spans="1:256" x14ac:dyDescent="0.2">
      <c r="A513" s="204"/>
      <c r="GR513" s="219"/>
      <c r="GS513" s="219"/>
      <c r="GT513" s="219"/>
      <c r="GU513" s="219"/>
      <c r="GV513" s="219"/>
      <c r="GW513" s="219"/>
      <c r="GX513" s="219"/>
      <c r="GY513" s="219"/>
      <c r="GZ513" s="219"/>
      <c r="HA513" s="219"/>
      <c r="HB513" s="219"/>
      <c r="HC513" s="219"/>
      <c r="HD513" s="219"/>
      <c r="HE513" s="219"/>
      <c r="HF513" s="219"/>
      <c r="HG513" s="219"/>
      <c r="HH513" s="219"/>
      <c r="HI513" s="219"/>
      <c r="HJ513" s="219"/>
      <c r="HK513" s="219"/>
      <c r="HL513" s="219"/>
      <c r="HM513" s="219"/>
      <c r="HN513" s="219"/>
      <c r="HO513" s="219"/>
      <c r="HP513" s="219"/>
      <c r="HQ513" s="219"/>
      <c r="HR513" s="219"/>
      <c r="HS513" s="219"/>
      <c r="HT513" s="219"/>
      <c r="HU513" s="219"/>
      <c r="HV513" s="219"/>
      <c r="HW513" s="219"/>
      <c r="HX513" s="219"/>
      <c r="HY513" s="219"/>
      <c r="HZ513" s="219"/>
      <c r="IA513" s="219"/>
      <c r="IB513" s="219"/>
      <c r="IC513" s="219"/>
      <c r="ID513" s="219"/>
      <c r="IE513" s="219"/>
      <c r="IF513" s="219"/>
      <c r="IG513" s="219"/>
      <c r="IH513" s="219"/>
      <c r="II513" s="219"/>
      <c r="IJ513" s="219"/>
      <c r="IK513" s="219"/>
      <c r="IL513" s="219"/>
      <c r="IM513" s="219"/>
      <c r="IN513" s="219"/>
      <c r="IO513" s="219"/>
      <c r="IP513" s="219"/>
      <c r="IQ513" s="219"/>
      <c r="IR513" s="219"/>
      <c r="IS513" s="219"/>
      <c r="IT513" s="219"/>
      <c r="IU513" s="219"/>
      <c r="IV513" s="219"/>
    </row>
    <row r="514" spans="1:256" x14ac:dyDescent="0.2">
      <c r="A514" s="204"/>
      <c r="GR514" s="219"/>
      <c r="GS514" s="219"/>
      <c r="GT514" s="219"/>
      <c r="GU514" s="219"/>
      <c r="GV514" s="219"/>
      <c r="GW514" s="219"/>
      <c r="GX514" s="219"/>
      <c r="GY514" s="219"/>
      <c r="GZ514" s="219"/>
      <c r="HA514" s="219"/>
      <c r="HB514" s="219"/>
      <c r="HC514" s="219"/>
      <c r="HD514" s="219"/>
      <c r="HE514" s="219"/>
      <c r="HF514" s="219"/>
      <c r="HG514" s="219"/>
      <c r="HH514" s="219"/>
      <c r="HI514" s="219"/>
      <c r="HJ514" s="219"/>
      <c r="HK514" s="219"/>
      <c r="HL514" s="219"/>
      <c r="HM514" s="219"/>
      <c r="HN514" s="219"/>
      <c r="HO514" s="219"/>
      <c r="HP514" s="219"/>
      <c r="HQ514" s="219"/>
      <c r="HR514" s="219"/>
      <c r="HS514" s="219"/>
      <c r="HT514" s="219"/>
      <c r="HU514" s="219"/>
      <c r="HV514" s="219"/>
      <c r="HW514" s="219"/>
      <c r="HX514" s="219"/>
      <c r="HY514" s="219"/>
      <c r="HZ514" s="219"/>
      <c r="IA514" s="219"/>
      <c r="IB514" s="219"/>
      <c r="IC514" s="219"/>
      <c r="ID514" s="219"/>
      <c r="IE514" s="219"/>
      <c r="IF514" s="219"/>
      <c r="IG514" s="219"/>
      <c r="IH514" s="219"/>
      <c r="II514" s="219"/>
      <c r="IJ514" s="219"/>
      <c r="IK514" s="219"/>
      <c r="IL514" s="219"/>
      <c r="IM514" s="219"/>
      <c r="IN514" s="219"/>
      <c r="IO514" s="219"/>
      <c r="IP514" s="219"/>
      <c r="IQ514" s="219"/>
      <c r="IR514" s="219"/>
      <c r="IS514" s="219"/>
      <c r="IT514" s="219"/>
      <c r="IU514" s="219"/>
      <c r="IV514" s="219"/>
    </row>
    <row r="515" spans="1:256" x14ac:dyDescent="0.2">
      <c r="A515" s="204"/>
      <c r="GR515" s="219"/>
      <c r="GS515" s="219"/>
      <c r="GT515" s="219"/>
      <c r="GU515" s="219"/>
      <c r="GV515" s="219"/>
      <c r="GW515" s="219"/>
      <c r="GX515" s="219"/>
      <c r="GY515" s="219"/>
      <c r="GZ515" s="219"/>
      <c r="HA515" s="219"/>
      <c r="HB515" s="219"/>
      <c r="HC515" s="219"/>
      <c r="HD515" s="219"/>
      <c r="HE515" s="219"/>
      <c r="HF515" s="219"/>
      <c r="HG515" s="219"/>
      <c r="HH515" s="219"/>
      <c r="HI515" s="219"/>
      <c r="HJ515" s="219"/>
      <c r="HK515" s="219"/>
      <c r="HL515" s="219"/>
      <c r="HM515" s="219"/>
      <c r="HN515" s="219"/>
      <c r="HO515" s="219"/>
      <c r="HP515" s="219"/>
      <c r="HQ515" s="219"/>
      <c r="HR515" s="219"/>
      <c r="HS515" s="219"/>
      <c r="HT515" s="219"/>
      <c r="HU515" s="219"/>
      <c r="HV515" s="219"/>
      <c r="HW515" s="219"/>
      <c r="HX515" s="219"/>
      <c r="HY515" s="219"/>
      <c r="HZ515" s="219"/>
      <c r="IA515" s="219"/>
      <c r="IB515" s="219"/>
      <c r="IC515" s="219"/>
      <c r="ID515" s="219"/>
      <c r="IE515" s="219"/>
      <c r="IF515" s="219"/>
      <c r="IG515" s="219"/>
      <c r="IH515" s="219"/>
      <c r="II515" s="219"/>
      <c r="IJ515" s="219"/>
      <c r="IK515" s="219"/>
      <c r="IL515" s="219"/>
      <c r="IM515" s="219"/>
      <c r="IN515" s="219"/>
      <c r="IO515" s="219"/>
      <c r="IP515" s="219"/>
      <c r="IQ515" s="219"/>
      <c r="IR515" s="219"/>
      <c r="IS515" s="219"/>
      <c r="IT515" s="219"/>
      <c r="IU515" s="219"/>
      <c r="IV515" s="219"/>
    </row>
    <row r="516" spans="1:256" x14ac:dyDescent="0.2">
      <c r="A516" s="204"/>
      <c r="GR516" s="219"/>
      <c r="GS516" s="219"/>
      <c r="GT516" s="219"/>
      <c r="GU516" s="219"/>
      <c r="GV516" s="219"/>
      <c r="GW516" s="219"/>
      <c r="GX516" s="219"/>
      <c r="GY516" s="219"/>
      <c r="GZ516" s="219"/>
      <c r="HA516" s="219"/>
      <c r="HB516" s="219"/>
      <c r="HC516" s="219"/>
      <c r="HD516" s="219"/>
      <c r="HE516" s="219"/>
      <c r="HF516" s="219"/>
      <c r="HG516" s="219"/>
      <c r="HH516" s="219"/>
      <c r="HI516" s="219"/>
      <c r="HJ516" s="219"/>
      <c r="HK516" s="219"/>
      <c r="HL516" s="219"/>
      <c r="HM516" s="219"/>
      <c r="HN516" s="219"/>
      <c r="HO516" s="219"/>
      <c r="HP516" s="219"/>
      <c r="HQ516" s="219"/>
      <c r="HR516" s="219"/>
      <c r="HS516" s="219"/>
      <c r="HT516" s="219"/>
      <c r="HU516" s="219"/>
      <c r="HV516" s="219"/>
      <c r="HW516" s="219"/>
      <c r="HX516" s="219"/>
      <c r="HY516" s="219"/>
      <c r="HZ516" s="219"/>
      <c r="IA516" s="219"/>
      <c r="IB516" s="219"/>
      <c r="IC516" s="219"/>
      <c r="ID516" s="219"/>
      <c r="IE516" s="219"/>
      <c r="IF516" s="219"/>
      <c r="IG516" s="219"/>
      <c r="IH516" s="219"/>
      <c r="II516" s="219"/>
      <c r="IJ516" s="219"/>
      <c r="IK516" s="219"/>
      <c r="IL516" s="219"/>
      <c r="IM516" s="219"/>
      <c r="IN516" s="219"/>
      <c r="IO516" s="219"/>
      <c r="IP516" s="219"/>
      <c r="IQ516" s="219"/>
      <c r="IR516" s="219"/>
      <c r="IS516" s="219"/>
      <c r="IT516" s="219"/>
      <c r="IU516" s="219"/>
      <c r="IV516" s="219"/>
    </row>
    <row r="517" spans="1:256" x14ac:dyDescent="0.2">
      <c r="A517" s="204"/>
      <c r="GR517" s="219"/>
      <c r="GS517" s="219"/>
      <c r="GT517" s="219"/>
      <c r="GU517" s="219"/>
      <c r="GV517" s="219"/>
      <c r="GW517" s="219"/>
      <c r="GX517" s="219"/>
      <c r="GY517" s="219"/>
      <c r="GZ517" s="219"/>
      <c r="HA517" s="219"/>
      <c r="HB517" s="219"/>
      <c r="HC517" s="219"/>
      <c r="HD517" s="219"/>
      <c r="HE517" s="219"/>
      <c r="HF517" s="219"/>
      <c r="HG517" s="219"/>
      <c r="HH517" s="219"/>
      <c r="HI517" s="219"/>
      <c r="HJ517" s="219"/>
      <c r="HK517" s="219"/>
      <c r="HL517" s="219"/>
      <c r="HM517" s="219"/>
      <c r="HN517" s="219"/>
      <c r="HO517" s="219"/>
      <c r="HP517" s="219"/>
      <c r="HQ517" s="219"/>
      <c r="HR517" s="219"/>
      <c r="HS517" s="219"/>
      <c r="HT517" s="219"/>
      <c r="HU517" s="219"/>
      <c r="HV517" s="219"/>
      <c r="HW517" s="219"/>
      <c r="HX517" s="219"/>
      <c r="HY517" s="219"/>
      <c r="HZ517" s="219"/>
      <c r="IA517" s="219"/>
      <c r="IB517" s="219"/>
      <c r="IC517" s="219"/>
      <c r="ID517" s="219"/>
      <c r="IE517" s="219"/>
      <c r="IF517" s="219"/>
      <c r="IG517" s="219"/>
      <c r="IH517" s="219"/>
      <c r="II517" s="219"/>
      <c r="IJ517" s="219"/>
      <c r="IK517" s="219"/>
      <c r="IL517" s="219"/>
      <c r="IM517" s="219"/>
      <c r="IN517" s="219"/>
      <c r="IO517" s="219"/>
      <c r="IP517" s="219"/>
      <c r="IQ517" s="219"/>
      <c r="IR517" s="219"/>
      <c r="IS517" s="219"/>
      <c r="IT517" s="219"/>
      <c r="IU517" s="219"/>
      <c r="IV517" s="219"/>
    </row>
    <row r="518" spans="1:256" x14ac:dyDescent="0.2">
      <c r="A518" s="204"/>
      <c r="GR518" s="219"/>
      <c r="GS518" s="219"/>
      <c r="GT518" s="219"/>
      <c r="GU518" s="219"/>
      <c r="GV518" s="219"/>
      <c r="GW518" s="219"/>
      <c r="GX518" s="219"/>
      <c r="GY518" s="219"/>
      <c r="GZ518" s="219"/>
      <c r="HA518" s="219"/>
      <c r="HB518" s="219"/>
      <c r="HC518" s="219"/>
      <c r="HD518" s="219"/>
      <c r="HE518" s="219"/>
      <c r="HF518" s="219"/>
      <c r="HG518" s="219"/>
      <c r="HH518" s="219"/>
      <c r="HI518" s="219"/>
      <c r="HJ518" s="219"/>
      <c r="HK518" s="219"/>
      <c r="HL518" s="219"/>
      <c r="HM518" s="219"/>
      <c r="HN518" s="219"/>
      <c r="HO518" s="219"/>
      <c r="HP518" s="219"/>
      <c r="HQ518" s="219"/>
      <c r="HR518" s="219"/>
      <c r="HS518" s="219"/>
      <c r="HT518" s="219"/>
      <c r="HU518" s="219"/>
      <c r="HV518" s="219"/>
      <c r="HW518" s="219"/>
      <c r="HX518" s="219"/>
      <c r="HY518" s="219"/>
      <c r="HZ518" s="219"/>
      <c r="IA518" s="219"/>
      <c r="IB518" s="219"/>
      <c r="IC518" s="219"/>
      <c r="ID518" s="219"/>
      <c r="IE518" s="219"/>
      <c r="IF518" s="219"/>
      <c r="IG518" s="219"/>
      <c r="IH518" s="219"/>
      <c r="II518" s="219"/>
      <c r="IJ518" s="219"/>
      <c r="IK518" s="219"/>
      <c r="IL518" s="219"/>
      <c r="IM518" s="219"/>
      <c r="IN518" s="219"/>
      <c r="IO518" s="219"/>
      <c r="IP518" s="219"/>
      <c r="IQ518" s="219"/>
      <c r="IR518" s="219"/>
      <c r="IS518" s="219"/>
      <c r="IT518" s="219"/>
      <c r="IU518" s="219"/>
      <c r="IV518" s="219"/>
    </row>
    <row r="519" spans="1:256" x14ac:dyDescent="0.2">
      <c r="A519" s="204"/>
      <c r="GR519" s="219"/>
      <c r="GS519" s="219"/>
      <c r="GT519" s="219"/>
      <c r="GU519" s="219"/>
      <c r="GV519" s="219"/>
      <c r="GW519" s="219"/>
      <c r="GX519" s="219"/>
      <c r="GY519" s="219"/>
      <c r="GZ519" s="219"/>
      <c r="HA519" s="219"/>
      <c r="HB519" s="219"/>
      <c r="HC519" s="219"/>
      <c r="HD519" s="219"/>
      <c r="HE519" s="219"/>
      <c r="HF519" s="219"/>
      <c r="HG519" s="219"/>
      <c r="HH519" s="219"/>
      <c r="HI519" s="219"/>
      <c r="HJ519" s="219"/>
      <c r="HK519" s="219"/>
      <c r="HL519" s="219"/>
      <c r="HM519" s="219"/>
      <c r="HN519" s="219"/>
      <c r="HO519" s="219"/>
      <c r="HP519" s="219"/>
      <c r="HQ519" s="219"/>
      <c r="HR519" s="219"/>
      <c r="HS519" s="219"/>
      <c r="HT519" s="219"/>
      <c r="HU519" s="219"/>
      <c r="HV519" s="219"/>
      <c r="HW519" s="219"/>
      <c r="HX519" s="219"/>
      <c r="HY519" s="219"/>
      <c r="HZ519" s="219"/>
      <c r="IA519" s="219"/>
      <c r="IB519" s="219"/>
      <c r="IC519" s="219"/>
      <c r="ID519" s="219"/>
      <c r="IE519" s="219"/>
      <c r="IF519" s="219"/>
      <c r="IG519" s="219"/>
      <c r="IH519" s="219"/>
      <c r="II519" s="219"/>
      <c r="IJ519" s="219"/>
      <c r="IK519" s="219"/>
      <c r="IL519" s="219"/>
      <c r="IM519" s="219"/>
      <c r="IN519" s="219"/>
      <c r="IO519" s="219"/>
      <c r="IP519" s="219"/>
      <c r="IQ519" s="219"/>
      <c r="IR519" s="219"/>
      <c r="IS519" s="219"/>
      <c r="IT519" s="219"/>
      <c r="IU519" s="219"/>
      <c r="IV519" s="219"/>
    </row>
    <row r="520" spans="1:256" x14ac:dyDescent="0.2">
      <c r="A520" s="204"/>
      <c r="GR520" s="219"/>
      <c r="GS520" s="219"/>
      <c r="GT520" s="219"/>
      <c r="GU520" s="219"/>
      <c r="GV520" s="219"/>
      <c r="GW520" s="219"/>
      <c r="GX520" s="219"/>
      <c r="GY520" s="219"/>
      <c r="GZ520" s="219"/>
      <c r="HA520" s="219"/>
      <c r="HB520" s="219"/>
      <c r="HC520" s="219"/>
      <c r="HD520" s="219"/>
      <c r="HE520" s="219"/>
      <c r="HF520" s="219"/>
      <c r="HG520" s="219"/>
      <c r="HH520" s="219"/>
      <c r="HI520" s="219"/>
      <c r="HJ520" s="219"/>
      <c r="HK520" s="219"/>
      <c r="HL520" s="219"/>
      <c r="HM520" s="219"/>
      <c r="HN520" s="219"/>
      <c r="HO520" s="219"/>
      <c r="HP520" s="219"/>
      <c r="HQ520" s="219"/>
      <c r="HR520" s="219"/>
      <c r="HS520" s="219"/>
      <c r="HT520" s="219"/>
      <c r="HU520" s="219"/>
      <c r="HV520" s="219"/>
      <c r="HW520" s="219"/>
      <c r="HX520" s="219"/>
      <c r="HY520" s="219"/>
      <c r="HZ520" s="219"/>
      <c r="IA520" s="219"/>
      <c r="IB520" s="219"/>
      <c r="IC520" s="219"/>
      <c r="ID520" s="219"/>
      <c r="IE520" s="219"/>
      <c r="IF520" s="219"/>
      <c r="IG520" s="219"/>
      <c r="IH520" s="219"/>
      <c r="II520" s="219"/>
      <c r="IJ520" s="219"/>
      <c r="IK520" s="219"/>
      <c r="IL520" s="219"/>
      <c r="IM520" s="219"/>
      <c r="IN520" s="219"/>
      <c r="IO520" s="219"/>
      <c r="IP520" s="219"/>
      <c r="IQ520" s="219"/>
      <c r="IR520" s="219"/>
      <c r="IS520" s="219"/>
      <c r="IT520" s="219"/>
      <c r="IU520" s="219"/>
      <c r="IV520" s="219"/>
    </row>
    <row r="521" spans="1:256" x14ac:dyDescent="0.2">
      <c r="A521" s="204"/>
      <c r="GR521" s="219"/>
      <c r="GS521" s="219"/>
      <c r="GT521" s="219"/>
      <c r="GU521" s="219"/>
      <c r="GV521" s="219"/>
      <c r="GW521" s="219"/>
      <c r="GX521" s="219"/>
      <c r="GY521" s="219"/>
      <c r="GZ521" s="219"/>
      <c r="HA521" s="219"/>
      <c r="HB521" s="219"/>
      <c r="HC521" s="219"/>
      <c r="HD521" s="219"/>
      <c r="HE521" s="219"/>
      <c r="HF521" s="219"/>
      <c r="HG521" s="219"/>
      <c r="HH521" s="219"/>
      <c r="HI521" s="219"/>
      <c r="HJ521" s="219"/>
      <c r="HK521" s="219"/>
      <c r="HL521" s="219"/>
      <c r="HM521" s="219"/>
      <c r="HN521" s="219"/>
      <c r="HO521" s="219"/>
      <c r="HP521" s="219"/>
      <c r="HQ521" s="219"/>
      <c r="HR521" s="219"/>
      <c r="HS521" s="219"/>
      <c r="HT521" s="219"/>
      <c r="HU521" s="219"/>
      <c r="HV521" s="219"/>
      <c r="HW521" s="219"/>
      <c r="HX521" s="219"/>
      <c r="HY521" s="219"/>
      <c r="HZ521" s="219"/>
      <c r="IA521" s="219"/>
      <c r="IB521" s="219"/>
      <c r="IC521" s="219"/>
      <c r="ID521" s="219"/>
      <c r="IE521" s="219"/>
      <c r="IF521" s="219"/>
      <c r="IG521" s="219"/>
      <c r="IH521" s="219"/>
      <c r="II521" s="219"/>
      <c r="IJ521" s="219"/>
      <c r="IK521" s="219"/>
      <c r="IL521" s="219"/>
      <c r="IM521" s="219"/>
      <c r="IN521" s="219"/>
      <c r="IO521" s="219"/>
      <c r="IP521" s="219"/>
      <c r="IQ521" s="219"/>
      <c r="IR521" s="219"/>
      <c r="IS521" s="219"/>
      <c r="IT521" s="219"/>
      <c r="IU521" s="219"/>
      <c r="IV521" s="219"/>
    </row>
    <row r="522" spans="1:256" x14ac:dyDescent="0.2">
      <c r="A522" s="204"/>
      <c r="GR522" s="219"/>
      <c r="GS522" s="219"/>
      <c r="GT522" s="219"/>
      <c r="GU522" s="219"/>
      <c r="GV522" s="219"/>
      <c r="GW522" s="219"/>
      <c r="GX522" s="219"/>
      <c r="GY522" s="219"/>
      <c r="GZ522" s="219"/>
      <c r="HA522" s="219"/>
      <c r="HB522" s="219"/>
      <c r="HC522" s="219"/>
      <c r="HD522" s="219"/>
      <c r="HE522" s="219"/>
      <c r="HF522" s="219"/>
      <c r="HG522" s="219"/>
      <c r="HH522" s="219"/>
      <c r="HI522" s="219"/>
      <c r="HJ522" s="219"/>
      <c r="HK522" s="219"/>
      <c r="HL522" s="219"/>
      <c r="HM522" s="219"/>
      <c r="HN522" s="219"/>
      <c r="HO522" s="219"/>
      <c r="HP522" s="219"/>
      <c r="HQ522" s="219"/>
      <c r="HR522" s="219"/>
      <c r="HS522" s="219"/>
      <c r="HT522" s="219"/>
      <c r="HU522" s="219"/>
      <c r="HV522" s="219"/>
      <c r="HW522" s="219"/>
      <c r="HX522" s="219"/>
      <c r="HY522" s="219"/>
      <c r="HZ522" s="219"/>
      <c r="IA522" s="219"/>
      <c r="IB522" s="219"/>
      <c r="IC522" s="219"/>
      <c r="ID522" s="219"/>
      <c r="IE522" s="219"/>
      <c r="IF522" s="219"/>
      <c r="IG522" s="219"/>
      <c r="IH522" s="219"/>
      <c r="II522" s="219"/>
      <c r="IJ522" s="219"/>
      <c r="IK522" s="219"/>
      <c r="IL522" s="219"/>
      <c r="IM522" s="219"/>
      <c r="IN522" s="219"/>
      <c r="IO522" s="219"/>
      <c r="IP522" s="219"/>
      <c r="IQ522" s="219"/>
      <c r="IR522" s="219"/>
      <c r="IS522" s="219"/>
      <c r="IT522" s="219"/>
      <c r="IU522" s="219"/>
      <c r="IV522" s="219"/>
    </row>
    <row r="523" spans="1:256" x14ac:dyDescent="0.2">
      <c r="A523" s="204"/>
      <c r="GR523" s="219"/>
      <c r="GS523" s="219"/>
      <c r="GT523" s="219"/>
      <c r="GU523" s="219"/>
      <c r="GV523" s="219"/>
      <c r="GW523" s="219"/>
      <c r="GX523" s="219"/>
      <c r="GY523" s="219"/>
      <c r="GZ523" s="219"/>
      <c r="HA523" s="219"/>
      <c r="HB523" s="219"/>
      <c r="HC523" s="219"/>
      <c r="HD523" s="219"/>
      <c r="HE523" s="219"/>
      <c r="HF523" s="219"/>
      <c r="HG523" s="219"/>
      <c r="HH523" s="219"/>
      <c r="HI523" s="219"/>
      <c r="HJ523" s="219"/>
      <c r="HK523" s="219"/>
      <c r="HL523" s="219"/>
      <c r="HM523" s="219"/>
      <c r="HN523" s="219"/>
      <c r="HO523" s="219"/>
      <c r="HP523" s="219"/>
      <c r="HQ523" s="219"/>
      <c r="HR523" s="219"/>
      <c r="HS523" s="219"/>
      <c r="HT523" s="219"/>
      <c r="HU523" s="219"/>
      <c r="HV523" s="219"/>
      <c r="HW523" s="219"/>
      <c r="HX523" s="219"/>
      <c r="HY523" s="219"/>
      <c r="HZ523" s="219"/>
      <c r="IA523" s="219"/>
      <c r="IB523" s="219"/>
      <c r="IC523" s="219"/>
      <c r="ID523" s="219"/>
      <c r="IE523" s="219"/>
      <c r="IF523" s="219"/>
      <c r="IG523" s="219"/>
      <c r="IH523" s="219"/>
      <c r="II523" s="219"/>
      <c r="IJ523" s="219"/>
      <c r="IK523" s="219"/>
      <c r="IL523" s="219"/>
      <c r="IM523" s="219"/>
      <c r="IN523" s="219"/>
      <c r="IO523" s="219"/>
      <c r="IP523" s="219"/>
      <c r="IQ523" s="219"/>
      <c r="IR523" s="219"/>
      <c r="IS523" s="219"/>
      <c r="IT523" s="219"/>
      <c r="IU523" s="219"/>
      <c r="IV523" s="219"/>
    </row>
    <row r="524" spans="1:256" x14ac:dyDescent="0.2">
      <c r="A524" s="204"/>
      <c r="GR524" s="219"/>
      <c r="GS524" s="219"/>
      <c r="GT524" s="219"/>
      <c r="GU524" s="219"/>
      <c r="GV524" s="219"/>
      <c r="GW524" s="219"/>
      <c r="GX524" s="219"/>
      <c r="GY524" s="219"/>
      <c r="GZ524" s="219"/>
      <c r="HA524" s="219"/>
      <c r="HB524" s="219"/>
      <c r="HC524" s="219"/>
      <c r="HD524" s="219"/>
      <c r="HE524" s="219"/>
      <c r="HF524" s="219"/>
      <c r="HG524" s="219"/>
      <c r="HH524" s="219"/>
      <c r="HI524" s="219"/>
      <c r="HJ524" s="219"/>
      <c r="HK524" s="219"/>
      <c r="HL524" s="219"/>
      <c r="HM524" s="219"/>
      <c r="HN524" s="219"/>
      <c r="HO524" s="219"/>
      <c r="HP524" s="219"/>
      <c r="HQ524" s="219"/>
      <c r="HR524" s="219"/>
      <c r="HS524" s="219"/>
      <c r="HT524" s="219"/>
      <c r="HU524" s="219"/>
      <c r="HV524" s="219"/>
      <c r="HW524" s="219"/>
      <c r="HX524" s="219"/>
      <c r="HY524" s="219"/>
      <c r="HZ524" s="219"/>
      <c r="IA524" s="219"/>
      <c r="IB524" s="219"/>
      <c r="IC524" s="219"/>
      <c r="ID524" s="219"/>
      <c r="IE524" s="219"/>
      <c r="IF524" s="219"/>
      <c r="IG524" s="219"/>
      <c r="IH524" s="219"/>
      <c r="II524" s="219"/>
      <c r="IJ524" s="219"/>
      <c r="IK524" s="219"/>
      <c r="IL524" s="219"/>
      <c r="IM524" s="219"/>
      <c r="IN524" s="219"/>
      <c r="IO524" s="219"/>
      <c r="IP524" s="219"/>
      <c r="IQ524" s="219"/>
      <c r="IR524" s="219"/>
      <c r="IS524" s="219"/>
      <c r="IT524" s="219"/>
      <c r="IU524" s="219"/>
      <c r="IV524" s="219"/>
    </row>
    <row r="525" spans="1:256" x14ac:dyDescent="0.2">
      <c r="A525" s="204"/>
      <c r="GR525" s="219"/>
      <c r="GS525" s="219"/>
      <c r="GT525" s="219"/>
      <c r="GU525" s="219"/>
      <c r="GV525" s="219"/>
      <c r="GW525" s="219"/>
      <c r="GX525" s="219"/>
      <c r="GY525" s="219"/>
      <c r="GZ525" s="219"/>
      <c r="HA525" s="219"/>
      <c r="HB525" s="219"/>
      <c r="HC525" s="219"/>
      <c r="HD525" s="219"/>
      <c r="HE525" s="219"/>
      <c r="HF525" s="219"/>
      <c r="HG525" s="219"/>
      <c r="HH525" s="219"/>
      <c r="HI525" s="219"/>
      <c r="HJ525" s="219"/>
      <c r="HK525" s="219"/>
      <c r="HL525" s="219"/>
      <c r="HM525" s="219"/>
      <c r="HN525" s="219"/>
      <c r="HO525" s="219"/>
      <c r="HP525" s="219"/>
      <c r="HQ525" s="219"/>
      <c r="HR525" s="219"/>
      <c r="HS525" s="219"/>
      <c r="HT525" s="219"/>
      <c r="HU525" s="219"/>
      <c r="HV525" s="219"/>
      <c r="HW525" s="219"/>
      <c r="HX525" s="219"/>
      <c r="HY525" s="219"/>
      <c r="HZ525" s="219"/>
      <c r="IA525" s="219"/>
      <c r="IB525" s="219"/>
      <c r="IC525" s="219"/>
      <c r="ID525" s="219"/>
      <c r="IE525" s="219"/>
      <c r="IF525" s="219"/>
      <c r="IG525" s="219"/>
      <c r="IH525" s="219"/>
      <c r="II525" s="219"/>
      <c r="IJ525" s="219"/>
      <c r="IK525" s="219"/>
      <c r="IL525" s="219"/>
      <c r="IM525" s="219"/>
      <c r="IN525" s="219"/>
      <c r="IO525" s="219"/>
      <c r="IP525" s="219"/>
      <c r="IQ525" s="219"/>
      <c r="IR525" s="219"/>
      <c r="IS525" s="219"/>
      <c r="IT525" s="219"/>
      <c r="IU525" s="219"/>
      <c r="IV525" s="219"/>
    </row>
    <row r="526" spans="1:256" x14ac:dyDescent="0.2">
      <c r="A526" s="204"/>
      <c r="GR526" s="219"/>
      <c r="GS526" s="219"/>
      <c r="GT526" s="219"/>
      <c r="GU526" s="219"/>
      <c r="GV526" s="219"/>
      <c r="GW526" s="219"/>
      <c r="GX526" s="219"/>
      <c r="GY526" s="219"/>
      <c r="GZ526" s="219"/>
      <c r="HA526" s="219"/>
      <c r="HB526" s="219"/>
      <c r="HC526" s="219"/>
      <c r="HD526" s="219"/>
      <c r="HE526" s="219"/>
      <c r="HF526" s="219"/>
      <c r="HG526" s="219"/>
      <c r="HH526" s="219"/>
      <c r="HI526" s="219"/>
      <c r="HJ526" s="219"/>
      <c r="HK526" s="219"/>
      <c r="HL526" s="219"/>
      <c r="HM526" s="219"/>
      <c r="HN526" s="219"/>
      <c r="HO526" s="219"/>
      <c r="HP526" s="219"/>
      <c r="HQ526" s="219"/>
      <c r="HR526" s="219"/>
      <c r="HS526" s="219"/>
      <c r="HT526" s="219"/>
      <c r="HU526" s="219"/>
      <c r="HV526" s="219"/>
      <c r="HW526" s="219"/>
      <c r="HX526" s="219"/>
      <c r="HY526" s="219"/>
      <c r="HZ526" s="219"/>
      <c r="IA526" s="219"/>
      <c r="IB526" s="219"/>
      <c r="IC526" s="219"/>
      <c r="ID526" s="219"/>
      <c r="IE526" s="219"/>
      <c r="IF526" s="219"/>
      <c r="IG526" s="219"/>
      <c r="IH526" s="219"/>
      <c r="II526" s="219"/>
      <c r="IJ526" s="219"/>
      <c r="IK526" s="219"/>
      <c r="IL526" s="219"/>
      <c r="IM526" s="219"/>
      <c r="IN526" s="219"/>
      <c r="IO526" s="219"/>
      <c r="IP526" s="219"/>
      <c r="IQ526" s="219"/>
      <c r="IR526" s="219"/>
      <c r="IS526" s="219"/>
      <c r="IT526" s="219"/>
      <c r="IU526" s="219"/>
      <c r="IV526" s="219"/>
    </row>
    <row r="527" spans="1:256" x14ac:dyDescent="0.2">
      <c r="A527" s="204"/>
      <c r="GR527" s="219"/>
      <c r="GS527" s="219"/>
      <c r="GT527" s="219"/>
      <c r="GU527" s="219"/>
      <c r="GV527" s="219"/>
      <c r="GW527" s="219"/>
      <c r="GX527" s="219"/>
      <c r="GY527" s="219"/>
      <c r="GZ527" s="219"/>
      <c r="HA527" s="219"/>
      <c r="HB527" s="219"/>
      <c r="HC527" s="219"/>
      <c r="HD527" s="219"/>
      <c r="HE527" s="219"/>
      <c r="HF527" s="219"/>
      <c r="HG527" s="219"/>
      <c r="HH527" s="219"/>
      <c r="HI527" s="219"/>
      <c r="HJ527" s="219"/>
      <c r="HK527" s="219"/>
      <c r="HL527" s="219"/>
      <c r="HM527" s="219"/>
      <c r="HN527" s="219"/>
      <c r="HO527" s="219"/>
      <c r="HP527" s="219"/>
      <c r="HQ527" s="219"/>
      <c r="HR527" s="219"/>
      <c r="HS527" s="219"/>
      <c r="HT527" s="219"/>
      <c r="HU527" s="219"/>
      <c r="HV527" s="219"/>
      <c r="HW527" s="219"/>
      <c r="HX527" s="219"/>
      <c r="HY527" s="219"/>
      <c r="HZ527" s="219"/>
      <c r="IA527" s="219"/>
      <c r="IB527" s="219"/>
      <c r="IC527" s="219"/>
      <c r="ID527" s="219"/>
      <c r="IE527" s="219"/>
      <c r="IF527" s="219"/>
      <c r="IG527" s="219"/>
      <c r="IH527" s="219"/>
      <c r="II527" s="219"/>
      <c r="IJ527" s="219"/>
      <c r="IK527" s="219"/>
      <c r="IL527" s="219"/>
      <c r="IM527" s="219"/>
      <c r="IN527" s="219"/>
      <c r="IO527" s="219"/>
      <c r="IP527" s="219"/>
      <c r="IQ527" s="219"/>
      <c r="IR527" s="219"/>
      <c r="IS527" s="219"/>
      <c r="IT527" s="219"/>
      <c r="IU527" s="219"/>
      <c r="IV527" s="219"/>
    </row>
    <row r="528" spans="1:256" x14ac:dyDescent="0.2">
      <c r="A528" s="204"/>
      <c r="GR528" s="219"/>
      <c r="GS528" s="219"/>
      <c r="GT528" s="219"/>
      <c r="GU528" s="219"/>
      <c r="GV528" s="219"/>
      <c r="GW528" s="219"/>
      <c r="GX528" s="219"/>
      <c r="GY528" s="219"/>
      <c r="GZ528" s="219"/>
      <c r="HA528" s="219"/>
      <c r="HB528" s="219"/>
      <c r="HC528" s="219"/>
      <c r="HD528" s="219"/>
      <c r="HE528" s="219"/>
      <c r="HF528" s="219"/>
      <c r="HG528" s="219"/>
      <c r="HH528" s="219"/>
      <c r="HI528" s="219"/>
      <c r="HJ528" s="219"/>
      <c r="HK528" s="219"/>
      <c r="HL528" s="219"/>
      <c r="HM528" s="219"/>
      <c r="HN528" s="219"/>
      <c r="HO528" s="219"/>
      <c r="HP528" s="219"/>
      <c r="HQ528" s="219"/>
      <c r="HR528" s="219"/>
      <c r="HS528" s="219"/>
      <c r="HT528" s="219"/>
      <c r="HU528" s="219"/>
      <c r="HV528" s="219"/>
      <c r="HW528" s="219"/>
      <c r="HX528" s="219"/>
      <c r="HY528" s="219"/>
      <c r="HZ528" s="219"/>
      <c r="IA528" s="219"/>
      <c r="IB528" s="219"/>
      <c r="IC528" s="219"/>
      <c r="ID528" s="219"/>
      <c r="IE528" s="219"/>
      <c r="IF528" s="219"/>
      <c r="IG528" s="219"/>
      <c r="IH528" s="219"/>
      <c r="II528" s="219"/>
      <c r="IJ528" s="219"/>
      <c r="IK528" s="219"/>
      <c r="IL528" s="219"/>
      <c r="IM528" s="219"/>
      <c r="IN528" s="219"/>
      <c r="IO528" s="219"/>
      <c r="IP528" s="219"/>
      <c r="IQ528" s="219"/>
      <c r="IR528" s="219"/>
      <c r="IS528" s="219"/>
      <c r="IT528" s="219"/>
      <c r="IU528" s="219"/>
      <c r="IV528" s="219"/>
    </row>
    <row r="529" spans="1:256" x14ac:dyDescent="0.2">
      <c r="A529" s="204"/>
      <c r="GR529" s="219"/>
      <c r="GS529" s="219"/>
      <c r="GT529" s="219"/>
      <c r="GU529" s="219"/>
      <c r="GV529" s="219"/>
      <c r="GW529" s="219"/>
      <c r="GX529" s="219"/>
      <c r="GY529" s="219"/>
      <c r="GZ529" s="219"/>
      <c r="HA529" s="219"/>
      <c r="HB529" s="219"/>
      <c r="HC529" s="219"/>
      <c r="HD529" s="219"/>
      <c r="HE529" s="219"/>
      <c r="HF529" s="219"/>
      <c r="HG529" s="219"/>
      <c r="HH529" s="219"/>
      <c r="HI529" s="219"/>
      <c r="HJ529" s="219"/>
      <c r="HK529" s="219"/>
      <c r="HL529" s="219"/>
      <c r="HM529" s="219"/>
      <c r="HN529" s="219"/>
      <c r="HO529" s="219"/>
      <c r="HP529" s="219"/>
      <c r="HQ529" s="219"/>
      <c r="HR529" s="219"/>
      <c r="HS529" s="219"/>
      <c r="HT529" s="219"/>
      <c r="HU529" s="219"/>
      <c r="HV529" s="219"/>
      <c r="HW529" s="219"/>
      <c r="HX529" s="219"/>
      <c r="HY529" s="219"/>
      <c r="HZ529" s="219"/>
      <c r="IA529" s="219"/>
      <c r="IB529" s="219"/>
      <c r="IC529" s="219"/>
      <c r="ID529" s="219"/>
      <c r="IE529" s="219"/>
      <c r="IF529" s="219"/>
      <c r="IG529" s="219"/>
      <c r="IH529" s="219"/>
      <c r="II529" s="219"/>
      <c r="IJ529" s="219"/>
      <c r="IK529" s="219"/>
      <c r="IL529" s="219"/>
      <c r="IM529" s="219"/>
      <c r="IN529" s="219"/>
      <c r="IO529" s="219"/>
      <c r="IP529" s="219"/>
      <c r="IQ529" s="219"/>
      <c r="IR529" s="219"/>
      <c r="IS529" s="219"/>
      <c r="IT529" s="219"/>
      <c r="IU529" s="219"/>
      <c r="IV529" s="219"/>
    </row>
    <row r="530" spans="1:256" x14ac:dyDescent="0.2">
      <c r="A530" s="204"/>
      <c r="GR530" s="219"/>
      <c r="GS530" s="219"/>
      <c r="GT530" s="219"/>
      <c r="GU530" s="219"/>
      <c r="GV530" s="219"/>
      <c r="GW530" s="219"/>
      <c r="GX530" s="219"/>
      <c r="GY530" s="219"/>
      <c r="GZ530" s="219"/>
      <c r="HA530" s="219"/>
      <c r="HB530" s="219"/>
      <c r="HC530" s="219"/>
      <c r="HD530" s="219"/>
      <c r="HE530" s="219"/>
      <c r="HF530" s="219"/>
      <c r="HG530" s="219"/>
      <c r="HH530" s="219"/>
      <c r="HI530" s="219"/>
      <c r="HJ530" s="219"/>
      <c r="HK530" s="219"/>
      <c r="HL530" s="219"/>
      <c r="HM530" s="219"/>
      <c r="HN530" s="219"/>
      <c r="HO530" s="219"/>
      <c r="HP530" s="219"/>
      <c r="HQ530" s="219"/>
      <c r="HR530" s="219"/>
      <c r="HS530" s="219"/>
      <c r="HT530" s="219"/>
      <c r="HU530" s="219"/>
      <c r="HV530" s="219"/>
      <c r="HW530" s="219"/>
      <c r="HX530" s="219"/>
      <c r="HY530" s="219"/>
      <c r="HZ530" s="219"/>
      <c r="IA530" s="219"/>
      <c r="IB530" s="219"/>
      <c r="IC530" s="219"/>
      <c r="ID530" s="219"/>
      <c r="IE530" s="219"/>
      <c r="IF530" s="219"/>
      <c r="IG530" s="219"/>
      <c r="IH530" s="219"/>
      <c r="II530" s="219"/>
      <c r="IJ530" s="219"/>
      <c r="IK530" s="219"/>
      <c r="IL530" s="219"/>
      <c r="IM530" s="219"/>
      <c r="IN530" s="219"/>
      <c r="IO530" s="219"/>
      <c r="IP530" s="219"/>
      <c r="IQ530" s="219"/>
      <c r="IR530" s="219"/>
      <c r="IS530" s="219"/>
      <c r="IT530" s="219"/>
      <c r="IU530" s="219"/>
      <c r="IV530" s="219"/>
    </row>
    <row r="531" spans="1:256" x14ac:dyDescent="0.2">
      <c r="A531" s="204"/>
      <c r="GR531" s="219"/>
      <c r="GS531" s="219"/>
      <c r="GT531" s="219"/>
      <c r="GU531" s="219"/>
      <c r="GV531" s="219"/>
      <c r="GW531" s="219"/>
      <c r="GX531" s="219"/>
      <c r="GY531" s="219"/>
      <c r="GZ531" s="219"/>
      <c r="HA531" s="219"/>
      <c r="HB531" s="219"/>
      <c r="HC531" s="219"/>
      <c r="HD531" s="219"/>
      <c r="HE531" s="219"/>
      <c r="HF531" s="219"/>
      <c r="HG531" s="219"/>
      <c r="HH531" s="219"/>
      <c r="HI531" s="219"/>
      <c r="HJ531" s="219"/>
      <c r="HK531" s="219"/>
      <c r="HL531" s="219"/>
      <c r="HM531" s="219"/>
      <c r="HN531" s="219"/>
      <c r="HO531" s="219"/>
      <c r="HP531" s="219"/>
      <c r="HQ531" s="219"/>
      <c r="HR531" s="219"/>
      <c r="HS531" s="219"/>
      <c r="HT531" s="219"/>
      <c r="HU531" s="219"/>
      <c r="HV531" s="219"/>
      <c r="HW531" s="219"/>
      <c r="HX531" s="219"/>
      <c r="HY531" s="219"/>
      <c r="HZ531" s="219"/>
      <c r="IA531" s="219"/>
      <c r="IB531" s="219"/>
      <c r="IC531" s="219"/>
      <c r="ID531" s="219"/>
      <c r="IE531" s="219"/>
      <c r="IF531" s="219"/>
      <c r="IG531" s="219"/>
      <c r="IH531" s="219"/>
      <c r="II531" s="219"/>
      <c r="IJ531" s="219"/>
      <c r="IK531" s="219"/>
      <c r="IL531" s="219"/>
      <c r="IM531" s="219"/>
      <c r="IN531" s="219"/>
      <c r="IO531" s="219"/>
      <c r="IP531" s="219"/>
      <c r="IQ531" s="219"/>
      <c r="IR531" s="219"/>
      <c r="IS531" s="219"/>
      <c r="IT531" s="219"/>
      <c r="IU531" s="219"/>
      <c r="IV531" s="219"/>
    </row>
    <row r="532" spans="1:256" x14ac:dyDescent="0.2">
      <c r="A532" s="204"/>
      <c r="GR532" s="219"/>
      <c r="GS532" s="219"/>
      <c r="GT532" s="219"/>
      <c r="GU532" s="219"/>
      <c r="GV532" s="219"/>
      <c r="GW532" s="219"/>
      <c r="GX532" s="219"/>
      <c r="GY532" s="219"/>
      <c r="GZ532" s="219"/>
      <c r="HA532" s="219"/>
      <c r="HB532" s="219"/>
      <c r="HC532" s="219"/>
      <c r="HD532" s="219"/>
      <c r="HE532" s="219"/>
      <c r="HF532" s="219"/>
      <c r="HG532" s="219"/>
      <c r="HH532" s="219"/>
      <c r="HI532" s="219"/>
      <c r="HJ532" s="219"/>
      <c r="HK532" s="219"/>
      <c r="HL532" s="219"/>
      <c r="HM532" s="219"/>
      <c r="HN532" s="219"/>
      <c r="HO532" s="219"/>
      <c r="HP532" s="219"/>
      <c r="HQ532" s="219"/>
      <c r="HR532" s="219"/>
      <c r="HS532" s="219"/>
      <c r="HT532" s="219"/>
      <c r="HU532" s="219"/>
      <c r="HV532" s="219"/>
      <c r="HW532" s="219"/>
      <c r="HX532" s="219"/>
      <c r="HY532" s="219"/>
      <c r="HZ532" s="219"/>
      <c r="IA532" s="219"/>
      <c r="IB532" s="219"/>
      <c r="IC532" s="219"/>
      <c r="ID532" s="219"/>
      <c r="IE532" s="219"/>
      <c r="IF532" s="219"/>
      <c r="IG532" s="219"/>
      <c r="IH532" s="219"/>
      <c r="II532" s="219"/>
      <c r="IJ532" s="219"/>
      <c r="IK532" s="219"/>
      <c r="IL532" s="219"/>
      <c r="IM532" s="219"/>
      <c r="IN532" s="219"/>
      <c r="IO532" s="219"/>
      <c r="IP532" s="219"/>
      <c r="IQ532" s="219"/>
      <c r="IR532" s="219"/>
      <c r="IS532" s="219"/>
      <c r="IT532" s="219"/>
      <c r="IU532" s="219"/>
      <c r="IV532" s="219"/>
    </row>
    <row r="533" spans="1:256" x14ac:dyDescent="0.2">
      <c r="A533" s="204"/>
      <c r="GR533" s="219"/>
      <c r="GS533" s="219"/>
      <c r="GT533" s="219"/>
      <c r="GU533" s="219"/>
      <c r="GV533" s="219"/>
      <c r="GW533" s="219"/>
      <c r="GX533" s="219"/>
      <c r="GY533" s="219"/>
      <c r="GZ533" s="219"/>
      <c r="HA533" s="219"/>
      <c r="HB533" s="219"/>
      <c r="HC533" s="219"/>
      <c r="HD533" s="219"/>
      <c r="HE533" s="219"/>
      <c r="HF533" s="219"/>
      <c r="HG533" s="219"/>
      <c r="HH533" s="219"/>
      <c r="HI533" s="219"/>
      <c r="HJ533" s="219"/>
      <c r="HK533" s="219"/>
      <c r="HL533" s="219"/>
      <c r="HM533" s="219"/>
      <c r="HN533" s="219"/>
      <c r="HO533" s="219"/>
      <c r="HP533" s="219"/>
      <c r="HQ533" s="219"/>
      <c r="HR533" s="219"/>
      <c r="HS533" s="219"/>
      <c r="HT533" s="219"/>
      <c r="HU533" s="219"/>
      <c r="HV533" s="219"/>
      <c r="HW533" s="219"/>
      <c r="HX533" s="219"/>
      <c r="HY533" s="219"/>
      <c r="HZ533" s="219"/>
      <c r="IA533" s="219"/>
      <c r="IB533" s="219"/>
      <c r="IC533" s="219"/>
      <c r="ID533" s="219"/>
      <c r="IE533" s="219"/>
      <c r="IF533" s="219"/>
      <c r="IG533" s="219"/>
      <c r="IH533" s="219"/>
      <c r="II533" s="219"/>
      <c r="IJ533" s="219"/>
      <c r="IK533" s="219"/>
      <c r="IL533" s="219"/>
      <c r="IM533" s="219"/>
      <c r="IN533" s="219"/>
      <c r="IO533" s="219"/>
      <c r="IP533" s="219"/>
      <c r="IQ533" s="219"/>
      <c r="IR533" s="219"/>
      <c r="IS533" s="219"/>
      <c r="IT533" s="219"/>
      <c r="IU533" s="219"/>
      <c r="IV533" s="219"/>
    </row>
    <row r="534" spans="1:256" x14ac:dyDescent="0.2">
      <c r="A534" s="204"/>
      <c r="GR534" s="219"/>
      <c r="GS534" s="219"/>
      <c r="GT534" s="219"/>
      <c r="GU534" s="219"/>
      <c r="GV534" s="219"/>
      <c r="GW534" s="219"/>
      <c r="GX534" s="219"/>
      <c r="GY534" s="219"/>
      <c r="GZ534" s="219"/>
      <c r="HA534" s="219"/>
      <c r="HB534" s="219"/>
      <c r="HC534" s="219"/>
      <c r="HD534" s="219"/>
      <c r="HE534" s="219"/>
      <c r="HF534" s="219"/>
      <c r="HG534" s="219"/>
      <c r="HH534" s="219"/>
      <c r="HI534" s="219"/>
      <c r="HJ534" s="219"/>
      <c r="HK534" s="219"/>
      <c r="HL534" s="219"/>
      <c r="HM534" s="219"/>
      <c r="HN534" s="219"/>
      <c r="HO534" s="219"/>
      <c r="HP534" s="219"/>
      <c r="HQ534" s="219"/>
      <c r="HR534" s="219"/>
      <c r="HS534" s="219"/>
      <c r="HT534" s="219"/>
      <c r="HU534" s="219"/>
      <c r="HV534" s="219"/>
      <c r="HW534" s="219"/>
      <c r="HX534" s="219"/>
      <c r="HY534" s="219"/>
      <c r="HZ534" s="219"/>
      <c r="IA534" s="219"/>
      <c r="IB534" s="219"/>
      <c r="IC534" s="219"/>
      <c r="ID534" s="219"/>
      <c r="IE534" s="219"/>
      <c r="IF534" s="219"/>
      <c r="IG534" s="219"/>
      <c r="IH534" s="219"/>
      <c r="II534" s="219"/>
      <c r="IJ534" s="219"/>
      <c r="IK534" s="219"/>
      <c r="IL534" s="219"/>
      <c r="IM534" s="219"/>
      <c r="IN534" s="219"/>
      <c r="IO534" s="219"/>
      <c r="IP534" s="219"/>
      <c r="IQ534" s="219"/>
      <c r="IR534" s="219"/>
      <c r="IS534" s="219"/>
      <c r="IT534" s="219"/>
      <c r="IU534" s="219"/>
      <c r="IV534" s="219"/>
    </row>
    <row r="535" spans="1:256" x14ac:dyDescent="0.2">
      <c r="A535" s="204"/>
      <c r="GR535" s="219"/>
      <c r="GS535" s="219"/>
      <c r="GT535" s="219"/>
      <c r="GU535" s="219"/>
      <c r="GV535" s="219"/>
      <c r="GW535" s="219"/>
      <c r="GX535" s="219"/>
      <c r="GY535" s="219"/>
      <c r="GZ535" s="219"/>
      <c r="HA535" s="219"/>
      <c r="HB535" s="219"/>
      <c r="HC535" s="219"/>
      <c r="HD535" s="219"/>
      <c r="HE535" s="219"/>
      <c r="HF535" s="219"/>
      <c r="HG535" s="219"/>
      <c r="HH535" s="219"/>
      <c r="HI535" s="219"/>
      <c r="HJ535" s="219"/>
      <c r="HK535" s="219"/>
      <c r="HL535" s="219"/>
      <c r="HM535" s="219"/>
      <c r="HN535" s="219"/>
      <c r="HO535" s="219"/>
      <c r="HP535" s="219"/>
      <c r="HQ535" s="219"/>
      <c r="HR535" s="219"/>
      <c r="HS535" s="219"/>
      <c r="HT535" s="219"/>
      <c r="HU535" s="219"/>
      <c r="HV535" s="219"/>
      <c r="HW535" s="219"/>
      <c r="HX535" s="219"/>
      <c r="HY535" s="219"/>
      <c r="HZ535" s="219"/>
      <c r="IA535" s="219"/>
      <c r="IB535" s="219"/>
      <c r="IC535" s="219"/>
      <c r="ID535" s="219"/>
      <c r="IE535" s="219"/>
      <c r="IF535" s="219"/>
      <c r="IG535" s="219"/>
      <c r="IH535" s="219"/>
      <c r="II535" s="219"/>
      <c r="IJ535" s="219"/>
      <c r="IK535" s="219"/>
      <c r="IL535" s="219"/>
      <c r="IM535" s="219"/>
      <c r="IN535" s="219"/>
      <c r="IO535" s="219"/>
      <c r="IP535" s="219"/>
      <c r="IQ535" s="219"/>
      <c r="IR535" s="219"/>
      <c r="IS535" s="219"/>
      <c r="IT535" s="219"/>
      <c r="IU535" s="219"/>
      <c r="IV535" s="219"/>
    </row>
    <row r="536" spans="1:256" x14ac:dyDescent="0.2">
      <c r="A536" s="204"/>
      <c r="GR536" s="219"/>
      <c r="GS536" s="219"/>
      <c r="GT536" s="219"/>
      <c r="GU536" s="219"/>
      <c r="GV536" s="219"/>
      <c r="GW536" s="219"/>
      <c r="GX536" s="219"/>
      <c r="GY536" s="219"/>
      <c r="GZ536" s="219"/>
      <c r="HA536" s="219"/>
      <c r="HB536" s="219"/>
      <c r="HC536" s="219"/>
      <c r="HD536" s="219"/>
      <c r="HE536" s="219"/>
      <c r="HF536" s="219"/>
      <c r="HG536" s="219"/>
      <c r="HH536" s="219"/>
      <c r="HI536" s="219"/>
      <c r="HJ536" s="219"/>
      <c r="HK536" s="219"/>
      <c r="HL536" s="219"/>
      <c r="HM536" s="219"/>
      <c r="HN536" s="219"/>
      <c r="HO536" s="219"/>
      <c r="HP536" s="219"/>
      <c r="HQ536" s="219"/>
      <c r="HR536" s="219"/>
      <c r="HS536" s="219"/>
      <c r="HT536" s="219"/>
      <c r="HU536" s="219"/>
      <c r="HV536" s="219"/>
      <c r="HW536" s="219"/>
      <c r="HX536" s="219"/>
      <c r="HY536" s="219"/>
      <c r="HZ536" s="219"/>
      <c r="IA536" s="219"/>
      <c r="IB536" s="219"/>
      <c r="IC536" s="219"/>
      <c r="ID536" s="219"/>
      <c r="IE536" s="219"/>
      <c r="IF536" s="219"/>
      <c r="IG536" s="219"/>
      <c r="IH536" s="219"/>
      <c r="II536" s="219"/>
      <c r="IJ536" s="219"/>
      <c r="IK536" s="219"/>
      <c r="IL536" s="219"/>
      <c r="IM536" s="219"/>
      <c r="IN536" s="219"/>
      <c r="IO536" s="219"/>
      <c r="IP536" s="219"/>
      <c r="IQ536" s="219"/>
      <c r="IR536" s="219"/>
      <c r="IS536" s="219"/>
      <c r="IT536" s="219"/>
      <c r="IU536" s="219"/>
      <c r="IV536" s="219"/>
    </row>
    <row r="537" spans="1:256" x14ac:dyDescent="0.2">
      <c r="A537" s="204"/>
      <c r="GR537" s="219"/>
      <c r="GS537" s="219"/>
      <c r="GT537" s="219"/>
      <c r="GU537" s="219"/>
      <c r="GV537" s="219"/>
      <c r="GW537" s="219"/>
      <c r="GX537" s="219"/>
      <c r="GY537" s="219"/>
      <c r="GZ537" s="219"/>
      <c r="HA537" s="219"/>
      <c r="HB537" s="219"/>
      <c r="HC537" s="219"/>
      <c r="HD537" s="219"/>
      <c r="HE537" s="219"/>
      <c r="HF537" s="219"/>
      <c r="HG537" s="219"/>
      <c r="HH537" s="219"/>
      <c r="HI537" s="219"/>
      <c r="HJ537" s="219"/>
      <c r="HK537" s="219"/>
      <c r="HL537" s="219"/>
      <c r="HM537" s="219"/>
      <c r="HN537" s="219"/>
      <c r="HO537" s="219"/>
      <c r="HP537" s="219"/>
      <c r="HQ537" s="219"/>
      <c r="HR537" s="219"/>
      <c r="HS537" s="219"/>
      <c r="HT537" s="219"/>
      <c r="HU537" s="219"/>
      <c r="HV537" s="219"/>
      <c r="HW537" s="219"/>
      <c r="HX537" s="219"/>
      <c r="HY537" s="219"/>
      <c r="HZ537" s="219"/>
      <c r="IA537" s="219"/>
      <c r="IB537" s="219"/>
      <c r="IC537" s="219"/>
      <c r="ID537" s="219"/>
      <c r="IE537" s="219"/>
      <c r="IF537" s="219"/>
      <c r="IG537" s="219"/>
      <c r="IH537" s="219"/>
      <c r="II537" s="219"/>
      <c r="IJ537" s="219"/>
      <c r="IK537" s="219"/>
      <c r="IL537" s="219"/>
      <c r="IM537" s="219"/>
      <c r="IN537" s="219"/>
      <c r="IO537" s="219"/>
      <c r="IP537" s="219"/>
      <c r="IQ537" s="219"/>
      <c r="IR537" s="219"/>
      <c r="IS537" s="219"/>
      <c r="IT537" s="219"/>
      <c r="IU537" s="219"/>
      <c r="IV537" s="219"/>
    </row>
    <row r="538" spans="1:256" x14ac:dyDescent="0.2">
      <c r="A538" s="204"/>
      <c r="GR538" s="219"/>
      <c r="GS538" s="219"/>
      <c r="GT538" s="219"/>
      <c r="GU538" s="219"/>
      <c r="GV538" s="219"/>
      <c r="GW538" s="219"/>
      <c r="GX538" s="219"/>
      <c r="GY538" s="219"/>
      <c r="GZ538" s="219"/>
      <c r="HA538" s="219"/>
      <c r="HB538" s="219"/>
      <c r="HC538" s="219"/>
      <c r="HD538" s="219"/>
      <c r="HE538" s="219"/>
      <c r="HF538" s="219"/>
      <c r="HG538" s="219"/>
      <c r="HH538" s="219"/>
      <c r="HI538" s="219"/>
      <c r="HJ538" s="219"/>
      <c r="HK538" s="219"/>
      <c r="HL538" s="219"/>
      <c r="HM538" s="219"/>
      <c r="HN538" s="219"/>
      <c r="HO538" s="219"/>
      <c r="HP538" s="219"/>
      <c r="HQ538" s="219"/>
      <c r="HR538" s="219"/>
      <c r="HS538" s="219"/>
      <c r="HT538" s="219"/>
      <c r="HU538" s="219"/>
      <c r="HV538" s="219"/>
      <c r="HW538" s="219"/>
      <c r="HX538" s="219"/>
      <c r="HY538" s="219"/>
      <c r="HZ538" s="219"/>
      <c r="IA538" s="219"/>
      <c r="IB538" s="219"/>
      <c r="IC538" s="219"/>
      <c r="ID538" s="219"/>
      <c r="IE538" s="219"/>
      <c r="IF538" s="219"/>
      <c r="IG538" s="219"/>
      <c r="IH538" s="219"/>
      <c r="II538" s="219"/>
      <c r="IJ538" s="219"/>
      <c r="IK538" s="219"/>
      <c r="IL538" s="219"/>
      <c r="IM538" s="219"/>
      <c r="IN538" s="219"/>
      <c r="IO538" s="219"/>
      <c r="IP538" s="219"/>
      <c r="IQ538" s="219"/>
      <c r="IR538" s="219"/>
      <c r="IS538" s="219"/>
      <c r="IT538" s="219"/>
      <c r="IU538" s="219"/>
      <c r="IV538" s="219"/>
    </row>
    <row r="539" spans="1:256" x14ac:dyDescent="0.2">
      <c r="A539" s="204"/>
      <c r="GR539" s="219"/>
      <c r="GS539" s="219"/>
      <c r="GT539" s="219"/>
      <c r="GU539" s="219"/>
      <c r="GV539" s="219"/>
      <c r="GW539" s="219"/>
      <c r="GX539" s="219"/>
      <c r="GY539" s="219"/>
      <c r="GZ539" s="219"/>
      <c r="HA539" s="219"/>
      <c r="HB539" s="219"/>
      <c r="HC539" s="219"/>
      <c r="HD539" s="219"/>
      <c r="HE539" s="219"/>
      <c r="HF539" s="219"/>
      <c r="HG539" s="219"/>
      <c r="HH539" s="219"/>
      <c r="HI539" s="219"/>
      <c r="HJ539" s="219"/>
      <c r="HK539" s="219"/>
      <c r="HL539" s="219"/>
      <c r="HM539" s="219"/>
      <c r="HN539" s="219"/>
      <c r="HO539" s="219"/>
      <c r="HP539" s="219"/>
      <c r="HQ539" s="219"/>
      <c r="HR539" s="219"/>
      <c r="HS539" s="219"/>
      <c r="HT539" s="219"/>
      <c r="HU539" s="219"/>
      <c r="HV539" s="219"/>
      <c r="HW539" s="219"/>
      <c r="HX539" s="219"/>
      <c r="HY539" s="219"/>
      <c r="HZ539" s="219"/>
      <c r="IA539" s="219"/>
      <c r="IB539" s="219"/>
      <c r="IC539" s="219"/>
      <c r="ID539" s="219"/>
      <c r="IE539" s="219"/>
      <c r="IF539" s="219"/>
      <c r="IG539" s="219"/>
      <c r="IH539" s="219"/>
      <c r="II539" s="219"/>
      <c r="IJ539" s="219"/>
      <c r="IK539" s="219"/>
      <c r="IL539" s="219"/>
      <c r="IM539" s="219"/>
      <c r="IN539" s="219"/>
      <c r="IO539" s="219"/>
      <c r="IP539" s="219"/>
      <c r="IQ539" s="219"/>
      <c r="IR539" s="219"/>
      <c r="IS539" s="219"/>
      <c r="IT539" s="219"/>
      <c r="IU539" s="219"/>
      <c r="IV539" s="219"/>
    </row>
    <row r="540" spans="1:256" x14ac:dyDescent="0.2">
      <c r="A540" s="204"/>
      <c r="GR540" s="219"/>
      <c r="GS540" s="219"/>
      <c r="GT540" s="219"/>
      <c r="GU540" s="219"/>
      <c r="GV540" s="219"/>
      <c r="GW540" s="219"/>
      <c r="GX540" s="219"/>
      <c r="GY540" s="219"/>
      <c r="GZ540" s="219"/>
      <c r="HA540" s="219"/>
      <c r="HB540" s="219"/>
      <c r="HC540" s="219"/>
      <c r="HD540" s="219"/>
      <c r="HE540" s="219"/>
      <c r="HF540" s="219"/>
      <c r="HG540" s="219"/>
      <c r="HH540" s="219"/>
      <c r="HI540" s="219"/>
      <c r="HJ540" s="219"/>
      <c r="HK540" s="219"/>
      <c r="HL540" s="219"/>
      <c r="HM540" s="219"/>
      <c r="HN540" s="219"/>
      <c r="HO540" s="219"/>
      <c r="HP540" s="219"/>
      <c r="HQ540" s="219"/>
      <c r="HR540" s="219"/>
      <c r="HS540" s="219"/>
      <c r="HT540" s="219"/>
      <c r="HU540" s="219"/>
      <c r="HV540" s="219"/>
      <c r="HW540" s="219"/>
      <c r="HX540" s="219"/>
      <c r="HY540" s="219"/>
      <c r="HZ540" s="219"/>
      <c r="IA540" s="219"/>
      <c r="IB540" s="219"/>
      <c r="IC540" s="219"/>
      <c r="ID540" s="219"/>
      <c r="IE540" s="219"/>
      <c r="IF540" s="219"/>
      <c r="IG540" s="219"/>
      <c r="IH540" s="219"/>
      <c r="II540" s="219"/>
      <c r="IJ540" s="219"/>
      <c r="IK540" s="219"/>
      <c r="IL540" s="219"/>
      <c r="IM540" s="219"/>
      <c r="IN540" s="219"/>
      <c r="IO540" s="219"/>
      <c r="IP540" s="219"/>
      <c r="IQ540" s="219"/>
      <c r="IR540" s="219"/>
      <c r="IS540" s="219"/>
      <c r="IT540" s="219"/>
      <c r="IU540" s="219"/>
      <c r="IV540" s="219"/>
    </row>
    <row r="541" spans="1:256" x14ac:dyDescent="0.2">
      <c r="A541" s="204"/>
      <c r="GR541" s="219"/>
      <c r="GS541" s="219"/>
      <c r="GT541" s="219"/>
      <c r="GU541" s="219"/>
      <c r="GV541" s="219"/>
      <c r="GW541" s="219"/>
      <c r="GX541" s="219"/>
      <c r="GY541" s="219"/>
      <c r="GZ541" s="219"/>
      <c r="HA541" s="219"/>
      <c r="HB541" s="219"/>
      <c r="HC541" s="219"/>
      <c r="HD541" s="219"/>
      <c r="HE541" s="219"/>
      <c r="HF541" s="219"/>
      <c r="HG541" s="219"/>
      <c r="HH541" s="219"/>
      <c r="HI541" s="219"/>
      <c r="HJ541" s="219"/>
      <c r="HK541" s="219"/>
      <c r="HL541" s="219"/>
      <c r="HM541" s="219"/>
      <c r="HN541" s="219"/>
      <c r="HO541" s="219"/>
      <c r="HP541" s="219"/>
      <c r="HQ541" s="219"/>
      <c r="HR541" s="219"/>
      <c r="HS541" s="219"/>
      <c r="HT541" s="219"/>
      <c r="HU541" s="219"/>
      <c r="HV541" s="219"/>
      <c r="HW541" s="219"/>
      <c r="HX541" s="219"/>
      <c r="HY541" s="219"/>
      <c r="HZ541" s="219"/>
      <c r="IA541" s="219"/>
      <c r="IB541" s="219"/>
      <c r="IC541" s="219"/>
      <c r="ID541" s="219"/>
      <c r="IE541" s="219"/>
      <c r="IF541" s="219"/>
      <c r="IG541" s="219"/>
      <c r="IH541" s="219"/>
      <c r="II541" s="219"/>
      <c r="IJ541" s="219"/>
      <c r="IK541" s="219"/>
      <c r="IL541" s="219"/>
      <c r="IM541" s="219"/>
      <c r="IN541" s="219"/>
      <c r="IO541" s="219"/>
      <c r="IP541" s="219"/>
      <c r="IQ541" s="219"/>
      <c r="IR541" s="219"/>
      <c r="IS541" s="219"/>
      <c r="IT541" s="219"/>
      <c r="IU541" s="219"/>
      <c r="IV541" s="219"/>
    </row>
    <row r="542" spans="1:256" x14ac:dyDescent="0.2">
      <c r="A542" s="204"/>
      <c r="GR542" s="219"/>
      <c r="GS542" s="219"/>
      <c r="GT542" s="219"/>
      <c r="GU542" s="219"/>
      <c r="GV542" s="219"/>
      <c r="GW542" s="219"/>
      <c r="GX542" s="219"/>
      <c r="GY542" s="219"/>
      <c r="GZ542" s="219"/>
      <c r="HA542" s="219"/>
      <c r="HB542" s="219"/>
      <c r="HC542" s="219"/>
      <c r="HD542" s="219"/>
      <c r="HE542" s="219"/>
      <c r="HF542" s="219"/>
      <c r="HG542" s="219"/>
      <c r="HH542" s="219"/>
      <c r="HI542" s="219"/>
      <c r="HJ542" s="219"/>
      <c r="HK542" s="219"/>
      <c r="HL542" s="219"/>
      <c r="HM542" s="219"/>
      <c r="HN542" s="219"/>
      <c r="HO542" s="219"/>
      <c r="HP542" s="219"/>
      <c r="HQ542" s="219"/>
      <c r="HR542" s="219"/>
      <c r="HS542" s="219"/>
      <c r="HT542" s="219"/>
      <c r="HU542" s="219"/>
      <c r="HV542" s="219"/>
      <c r="HW542" s="219"/>
      <c r="HX542" s="219"/>
      <c r="HY542" s="219"/>
      <c r="HZ542" s="219"/>
      <c r="IA542" s="219"/>
      <c r="IB542" s="219"/>
      <c r="IC542" s="219"/>
      <c r="ID542" s="219"/>
      <c r="IE542" s="219"/>
      <c r="IF542" s="219"/>
      <c r="IG542" s="219"/>
      <c r="IH542" s="219"/>
      <c r="II542" s="219"/>
      <c r="IJ542" s="219"/>
      <c r="IK542" s="219"/>
      <c r="IL542" s="219"/>
      <c r="IM542" s="219"/>
      <c r="IN542" s="219"/>
      <c r="IO542" s="219"/>
      <c r="IP542" s="219"/>
      <c r="IQ542" s="219"/>
      <c r="IR542" s="219"/>
      <c r="IS542" s="219"/>
      <c r="IT542" s="219"/>
      <c r="IU542" s="219"/>
      <c r="IV542" s="219"/>
    </row>
    <row r="543" spans="1:256" x14ac:dyDescent="0.2">
      <c r="A543" s="204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  <c r="AD543" s="219"/>
      <c r="AE543" s="219"/>
      <c r="AF543" s="219"/>
      <c r="AG543" s="219"/>
      <c r="AH543" s="219"/>
      <c r="AI543" s="219"/>
      <c r="AJ543" s="219"/>
      <c r="AK543" s="219"/>
      <c r="AL543" s="219"/>
      <c r="AM543" s="219"/>
      <c r="AN543" s="219"/>
      <c r="AO543" s="219"/>
      <c r="AP543" s="219"/>
      <c r="AQ543" s="219"/>
      <c r="AR543" s="219"/>
      <c r="AS543" s="219"/>
      <c r="AT543" s="219"/>
      <c r="AU543" s="219"/>
      <c r="AV543" s="219"/>
      <c r="AW543" s="219"/>
      <c r="AX543" s="219"/>
      <c r="AY543" s="219"/>
      <c r="AZ543" s="219"/>
      <c r="BA543" s="219"/>
      <c r="BB543" s="219"/>
      <c r="BC543" s="219"/>
      <c r="BD543" s="219"/>
      <c r="BE543" s="219"/>
      <c r="BF543" s="219"/>
      <c r="BG543" s="219"/>
      <c r="BH543" s="219"/>
      <c r="BI543" s="219"/>
      <c r="BJ543" s="219"/>
      <c r="BK543" s="219"/>
      <c r="BL543" s="219"/>
      <c r="BM543" s="219"/>
      <c r="BN543" s="219"/>
      <c r="BO543" s="219"/>
      <c r="BP543" s="219"/>
      <c r="BQ543" s="219"/>
      <c r="BR543" s="219"/>
      <c r="BS543" s="219"/>
      <c r="BT543" s="219"/>
      <c r="BU543" s="219"/>
      <c r="BV543" s="219"/>
      <c r="BW543" s="219"/>
      <c r="BX543" s="219"/>
      <c r="BY543" s="219"/>
      <c r="BZ543" s="219"/>
      <c r="CA543" s="219"/>
      <c r="CB543" s="219"/>
      <c r="CC543" s="219"/>
      <c r="CD543" s="219"/>
      <c r="CE543" s="219"/>
      <c r="CF543" s="219"/>
      <c r="CG543" s="219"/>
      <c r="CH543" s="219"/>
      <c r="CI543" s="219"/>
      <c r="CJ543" s="219"/>
      <c r="CK543" s="219"/>
      <c r="CL543" s="219"/>
      <c r="CM543" s="219"/>
      <c r="CN543" s="219"/>
      <c r="CO543" s="219"/>
      <c r="CP543" s="219"/>
      <c r="CQ543" s="219"/>
      <c r="CR543" s="219"/>
      <c r="CS543" s="219"/>
      <c r="CT543" s="219"/>
      <c r="CU543" s="219"/>
      <c r="CV543" s="219"/>
      <c r="CW543" s="219"/>
      <c r="CX543" s="219"/>
      <c r="CY543" s="219"/>
      <c r="CZ543" s="219"/>
      <c r="DA543" s="219"/>
      <c r="DB543" s="219"/>
      <c r="DC543" s="219"/>
      <c r="DD543" s="219"/>
      <c r="DE543" s="219"/>
      <c r="DF543" s="219"/>
      <c r="DG543" s="219"/>
      <c r="DH543" s="219"/>
      <c r="DI543" s="219"/>
      <c r="DJ543" s="219"/>
      <c r="DK543" s="219"/>
      <c r="DL543" s="219"/>
      <c r="DM543" s="219"/>
      <c r="DN543" s="219"/>
      <c r="DO543" s="219"/>
      <c r="DP543" s="219"/>
      <c r="DQ543" s="219"/>
      <c r="DR543" s="219"/>
      <c r="DS543" s="219"/>
      <c r="DT543" s="219"/>
      <c r="DU543" s="219"/>
      <c r="DV543" s="219"/>
      <c r="DW543" s="219"/>
      <c r="DX543" s="219"/>
      <c r="DY543" s="219"/>
      <c r="DZ543" s="219"/>
      <c r="EA543" s="219"/>
      <c r="EB543" s="219"/>
      <c r="EC543" s="219"/>
      <c r="ED543" s="219"/>
      <c r="EE543" s="219"/>
      <c r="EF543" s="219"/>
      <c r="EG543" s="219"/>
      <c r="EH543" s="219"/>
      <c r="EI543" s="219"/>
      <c r="EJ543" s="219"/>
      <c r="EK543" s="219"/>
      <c r="EL543" s="219"/>
      <c r="EM543" s="219"/>
      <c r="EN543" s="219"/>
      <c r="EO543" s="219"/>
      <c r="EP543" s="219"/>
      <c r="EQ543" s="219"/>
      <c r="ER543" s="219"/>
      <c r="ES543" s="219"/>
      <c r="ET543" s="219"/>
      <c r="EU543" s="219"/>
      <c r="EV543" s="219"/>
      <c r="EW543" s="219"/>
      <c r="EX543" s="219"/>
      <c r="EY543" s="219"/>
      <c r="EZ543" s="219"/>
      <c r="FA543" s="219"/>
      <c r="FB543" s="219"/>
      <c r="FC543" s="219"/>
      <c r="FD543" s="219"/>
      <c r="FE543" s="219"/>
      <c r="FF543" s="219"/>
      <c r="FG543" s="219"/>
      <c r="FH543" s="219"/>
      <c r="FI543" s="219"/>
      <c r="FJ543" s="219"/>
      <c r="FK543" s="219"/>
      <c r="FL543" s="219"/>
      <c r="FM543" s="219"/>
      <c r="FN543" s="219"/>
      <c r="FO543" s="219"/>
      <c r="FP543" s="219"/>
      <c r="FQ543" s="219"/>
      <c r="FR543" s="219"/>
      <c r="FS543" s="219"/>
      <c r="FT543" s="219"/>
      <c r="FU543" s="219"/>
      <c r="FV543" s="219"/>
      <c r="FW543" s="219"/>
      <c r="FX543" s="219"/>
      <c r="FY543" s="219"/>
      <c r="FZ543" s="219"/>
      <c r="GA543" s="219"/>
      <c r="GB543" s="219"/>
      <c r="GC543" s="219"/>
      <c r="GD543" s="219"/>
      <c r="GE543" s="219"/>
      <c r="GF543" s="219"/>
      <c r="GG543" s="219"/>
      <c r="GH543" s="219"/>
      <c r="GI543" s="219"/>
      <c r="GJ543" s="219"/>
      <c r="GK543" s="219"/>
      <c r="GL543" s="219"/>
      <c r="GM543" s="219"/>
      <c r="GN543" s="219"/>
      <c r="GO543" s="219"/>
      <c r="GP543" s="219"/>
      <c r="GQ543" s="219"/>
      <c r="GR543" s="219"/>
      <c r="GS543" s="219"/>
      <c r="GT543" s="219"/>
      <c r="GU543" s="219"/>
      <c r="GV543" s="219"/>
      <c r="GW543" s="219"/>
      <c r="GX543" s="219"/>
      <c r="GY543" s="219"/>
      <c r="GZ543" s="219"/>
      <c r="HA543" s="219"/>
      <c r="HB543" s="219"/>
      <c r="HC543" s="219"/>
      <c r="HD543" s="219"/>
      <c r="HE543" s="219"/>
      <c r="HF543" s="219"/>
      <c r="HG543" s="219"/>
      <c r="HH543" s="219"/>
      <c r="HI543" s="219"/>
      <c r="HJ543" s="219"/>
      <c r="HK543" s="219"/>
      <c r="HL543" s="219"/>
      <c r="HM543" s="219"/>
      <c r="HN543" s="219"/>
      <c r="HO543" s="219"/>
      <c r="HP543" s="219"/>
      <c r="HQ543" s="219"/>
      <c r="HR543" s="219"/>
      <c r="HS543" s="219"/>
      <c r="HT543" s="219"/>
      <c r="HU543" s="219"/>
      <c r="HV543" s="219"/>
      <c r="HW543" s="219"/>
      <c r="HX543" s="219"/>
      <c r="HY543" s="219"/>
      <c r="HZ543" s="219"/>
      <c r="IA543" s="219"/>
      <c r="IB543" s="219"/>
      <c r="IC543" s="219"/>
      <c r="ID543" s="219"/>
      <c r="IE543" s="219"/>
      <c r="IF543" s="219"/>
      <c r="IG543" s="219"/>
      <c r="IH543" s="219"/>
      <c r="II543" s="219"/>
      <c r="IJ543" s="219"/>
      <c r="IK543" s="219"/>
      <c r="IL543" s="219"/>
      <c r="IM543" s="219"/>
      <c r="IN543" s="219"/>
      <c r="IO543" s="219"/>
      <c r="IP543" s="219"/>
      <c r="IQ543" s="219"/>
      <c r="IR543" s="219"/>
      <c r="IS543" s="219"/>
      <c r="IT543" s="219"/>
      <c r="IU543" s="219"/>
      <c r="IV543" s="219"/>
    </row>
    <row r="544" spans="1:256" x14ac:dyDescent="0.2">
      <c r="A544" s="204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  <c r="AB544" s="219"/>
      <c r="AC544" s="219"/>
      <c r="AD544" s="219"/>
      <c r="AE544" s="219"/>
      <c r="AF544" s="219"/>
      <c r="AG544" s="219"/>
      <c r="AH544" s="219"/>
      <c r="AI544" s="219"/>
      <c r="AJ544" s="219"/>
      <c r="AK544" s="219"/>
      <c r="AL544" s="219"/>
      <c r="AM544" s="219"/>
      <c r="AN544" s="219"/>
      <c r="AO544" s="219"/>
      <c r="AP544" s="219"/>
      <c r="AQ544" s="219"/>
      <c r="AR544" s="219"/>
      <c r="AS544" s="219"/>
      <c r="AT544" s="219"/>
      <c r="AU544" s="219"/>
      <c r="AV544" s="219"/>
      <c r="AW544" s="219"/>
      <c r="AX544" s="219"/>
      <c r="AY544" s="219"/>
      <c r="AZ544" s="219"/>
      <c r="BA544" s="219"/>
      <c r="BB544" s="219"/>
      <c r="BC544" s="219"/>
      <c r="BD544" s="219"/>
      <c r="BE544" s="219"/>
      <c r="BF544" s="219"/>
      <c r="BG544" s="219"/>
      <c r="BH544" s="219"/>
      <c r="BI544" s="219"/>
      <c r="BJ544" s="219"/>
      <c r="BK544" s="219"/>
      <c r="BL544" s="219"/>
      <c r="BM544" s="219"/>
      <c r="BN544" s="219"/>
      <c r="BO544" s="219"/>
      <c r="BP544" s="219"/>
      <c r="BQ544" s="219"/>
      <c r="BR544" s="219"/>
      <c r="BS544" s="219"/>
      <c r="BT544" s="219"/>
      <c r="BU544" s="219"/>
      <c r="BV544" s="219"/>
      <c r="BW544" s="219"/>
      <c r="BX544" s="219"/>
      <c r="BY544" s="219"/>
      <c r="BZ544" s="219"/>
      <c r="CA544" s="219"/>
      <c r="CB544" s="219"/>
      <c r="CC544" s="219"/>
      <c r="CD544" s="219"/>
      <c r="CE544" s="219"/>
      <c r="CF544" s="219"/>
      <c r="CG544" s="219"/>
      <c r="CH544" s="219"/>
      <c r="CI544" s="219"/>
      <c r="CJ544" s="219"/>
      <c r="CK544" s="219"/>
      <c r="CL544" s="219"/>
      <c r="CM544" s="219"/>
      <c r="CN544" s="219"/>
      <c r="CO544" s="219"/>
      <c r="CP544" s="219"/>
      <c r="CQ544" s="219"/>
      <c r="CR544" s="219"/>
      <c r="CS544" s="219"/>
      <c r="CT544" s="219"/>
      <c r="CU544" s="219"/>
      <c r="CV544" s="219"/>
      <c r="CW544" s="219"/>
      <c r="CX544" s="219"/>
      <c r="CY544" s="219"/>
      <c r="CZ544" s="219"/>
      <c r="DA544" s="219"/>
      <c r="DB544" s="219"/>
      <c r="DC544" s="219"/>
      <c r="DD544" s="219"/>
      <c r="DE544" s="219"/>
      <c r="DF544" s="219"/>
      <c r="DG544" s="219"/>
      <c r="DH544" s="219"/>
      <c r="DI544" s="219"/>
      <c r="DJ544" s="219"/>
      <c r="DK544" s="219"/>
      <c r="DL544" s="219"/>
      <c r="DM544" s="219"/>
      <c r="DN544" s="219"/>
      <c r="DO544" s="219"/>
      <c r="DP544" s="219"/>
      <c r="DQ544" s="219"/>
      <c r="DR544" s="219"/>
      <c r="DS544" s="219"/>
      <c r="DT544" s="219"/>
      <c r="DU544" s="219"/>
      <c r="DV544" s="219"/>
      <c r="DW544" s="219"/>
      <c r="DX544" s="219"/>
      <c r="DY544" s="219"/>
      <c r="DZ544" s="219"/>
      <c r="EA544" s="219"/>
      <c r="EB544" s="219"/>
      <c r="EC544" s="219"/>
      <c r="ED544" s="219"/>
      <c r="EE544" s="219"/>
      <c r="EF544" s="219"/>
      <c r="EG544" s="219"/>
      <c r="EH544" s="219"/>
      <c r="EI544" s="219"/>
      <c r="EJ544" s="219"/>
      <c r="EK544" s="219"/>
      <c r="EL544" s="219"/>
      <c r="EM544" s="219"/>
      <c r="EN544" s="219"/>
      <c r="EO544" s="219"/>
      <c r="EP544" s="219"/>
      <c r="EQ544" s="219"/>
      <c r="ER544" s="219"/>
      <c r="ES544" s="219"/>
      <c r="ET544" s="219"/>
      <c r="EU544" s="219"/>
      <c r="EV544" s="219"/>
      <c r="EW544" s="219"/>
      <c r="EX544" s="219"/>
      <c r="EY544" s="219"/>
      <c r="EZ544" s="219"/>
      <c r="FA544" s="219"/>
      <c r="FB544" s="219"/>
      <c r="FC544" s="219"/>
      <c r="FD544" s="219"/>
      <c r="FE544" s="219"/>
      <c r="FF544" s="219"/>
      <c r="FG544" s="219"/>
      <c r="FH544" s="219"/>
      <c r="FI544" s="219"/>
      <c r="FJ544" s="219"/>
      <c r="FK544" s="219"/>
      <c r="FL544" s="219"/>
      <c r="FM544" s="219"/>
      <c r="FN544" s="219"/>
      <c r="FO544" s="219"/>
      <c r="FP544" s="219"/>
      <c r="FQ544" s="219"/>
      <c r="FR544" s="219"/>
      <c r="FS544" s="219"/>
      <c r="FT544" s="219"/>
      <c r="FU544" s="219"/>
      <c r="FV544" s="219"/>
      <c r="FW544" s="219"/>
      <c r="FX544" s="219"/>
      <c r="FY544" s="219"/>
      <c r="FZ544" s="219"/>
      <c r="GA544" s="219"/>
      <c r="GB544" s="219"/>
      <c r="GC544" s="219"/>
      <c r="GD544" s="219"/>
      <c r="GE544" s="219"/>
      <c r="GF544" s="219"/>
      <c r="GG544" s="219"/>
      <c r="GH544" s="219"/>
      <c r="GI544" s="219"/>
      <c r="GJ544" s="219"/>
      <c r="GK544" s="219"/>
      <c r="GL544" s="219"/>
      <c r="GM544" s="219"/>
      <c r="GN544" s="219"/>
      <c r="GO544" s="219"/>
      <c r="GP544" s="219"/>
      <c r="GQ544" s="219"/>
      <c r="GR544" s="219"/>
      <c r="GS544" s="219"/>
      <c r="GT544" s="219"/>
      <c r="GU544" s="219"/>
      <c r="GV544" s="219"/>
      <c r="GW544" s="219"/>
      <c r="GX544" s="219"/>
      <c r="GY544" s="219"/>
      <c r="GZ544" s="219"/>
      <c r="HA544" s="219"/>
      <c r="HB544" s="219"/>
      <c r="HC544" s="219"/>
      <c r="HD544" s="219"/>
      <c r="HE544" s="219"/>
      <c r="HF544" s="219"/>
      <c r="HG544" s="219"/>
      <c r="HH544" s="219"/>
      <c r="HI544" s="219"/>
      <c r="HJ544" s="219"/>
      <c r="HK544" s="219"/>
      <c r="HL544" s="219"/>
      <c r="HM544" s="219"/>
      <c r="HN544" s="219"/>
      <c r="HO544" s="219"/>
      <c r="HP544" s="219"/>
      <c r="HQ544" s="219"/>
      <c r="HR544" s="219"/>
      <c r="HS544" s="219"/>
      <c r="HT544" s="219"/>
      <c r="HU544" s="219"/>
      <c r="HV544" s="219"/>
      <c r="HW544" s="219"/>
      <c r="HX544" s="219"/>
      <c r="HY544" s="219"/>
      <c r="HZ544" s="219"/>
      <c r="IA544" s="219"/>
      <c r="IB544" s="219"/>
      <c r="IC544" s="219"/>
      <c r="ID544" s="219"/>
      <c r="IE544" s="219"/>
      <c r="IF544" s="219"/>
      <c r="IG544" s="219"/>
      <c r="IH544" s="219"/>
      <c r="II544" s="219"/>
      <c r="IJ544" s="219"/>
      <c r="IK544" s="219"/>
      <c r="IL544" s="219"/>
      <c r="IM544" s="219"/>
      <c r="IN544" s="219"/>
      <c r="IO544" s="219"/>
      <c r="IP544" s="219"/>
      <c r="IQ544" s="219"/>
      <c r="IR544" s="219"/>
      <c r="IS544" s="219"/>
      <c r="IT544" s="219"/>
      <c r="IU544" s="219"/>
      <c r="IV544" s="219"/>
    </row>
    <row r="545" spans="1:256" x14ac:dyDescent="0.2">
      <c r="A545" s="204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  <c r="AB545" s="219"/>
      <c r="AC545" s="219"/>
      <c r="AD545" s="219"/>
      <c r="AE545" s="219"/>
      <c r="AF545" s="219"/>
      <c r="AG545" s="219"/>
      <c r="AH545" s="219"/>
      <c r="AI545" s="219"/>
      <c r="AJ545" s="219"/>
      <c r="AK545" s="219"/>
      <c r="AL545" s="219"/>
      <c r="AM545" s="219"/>
      <c r="AN545" s="219"/>
      <c r="AO545" s="219"/>
      <c r="AP545" s="219"/>
      <c r="AQ545" s="219"/>
      <c r="AR545" s="219"/>
      <c r="AS545" s="219"/>
      <c r="AT545" s="219"/>
      <c r="AU545" s="219"/>
      <c r="AV545" s="219"/>
      <c r="AW545" s="219"/>
      <c r="AX545" s="219"/>
      <c r="AY545" s="219"/>
      <c r="AZ545" s="219"/>
      <c r="BA545" s="219"/>
      <c r="BB545" s="219"/>
      <c r="BC545" s="219"/>
      <c r="BD545" s="219"/>
      <c r="BE545" s="219"/>
      <c r="BF545" s="219"/>
      <c r="BG545" s="219"/>
      <c r="BH545" s="219"/>
      <c r="BI545" s="219"/>
      <c r="BJ545" s="219"/>
      <c r="BK545" s="219"/>
      <c r="BL545" s="219"/>
      <c r="BM545" s="219"/>
      <c r="BN545" s="219"/>
      <c r="BO545" s="219"/>
      <c r="BP545" s="219"/>
      <c r="BQ545" s="219"/>
      <c r="BR545" s="219"/>
      <c r="BS545" s="219"/>
      <c r="BT545" s="219"/>
      <c r="BU545" s="219"/>
      <c r="BV545" s="219"/>
      <c r="BW545" s="219"/>
      <c r="BX545" s="219"/>
      <c r="BY545" s="219"/>
      <c r="BZ545" s="219"/>
      <c r="CA545" s="219"/>
      <c r="CB545" s="219"/>
      <c r="CC545" s="219"/>
      <c r="CD545" s="219"/>
      <c r="CE545" s="219"/>
      <c r="CF545" s="219"/>
      <c r="CG545" s="219"/>
      <c r="CH545" s="219"/>
      <c r="CI545" s="219"/>
      <c r="CJ545" s="219"/>
      <c r="CK545" s="219"/>
      <c r="CL545" s="219"/>
      <c r="CM545" s="219"/>
      <c r="CN545" s="219"/>
      <c r="CO545" s="219"/>
      <c r="CP545" s="219"/>
      <c r="CQ545" s="219"/>
      <c r="CR545" s="219"/>
      <c r="CS545" s="219"/>
      <c r="CT545" s="219"/>
      <c r="CU545" s="219"/>
      <c r="CV545" s="219"/>
      <c r="CW545" s="219"/>
      <c r="CX545" s="219"/>
      <c r="CY545" s="219"/>
      <c r="CZ545" s="219"/>
      <c r="DA545" s="219"/>
      <c r="DB545" s="219"/>
      <c r="DC545" s="219"/>
      <c r="DD545" s="219"/>
      <c r="DE545" s="219"/>
      <c r="DF545" s="219"/>
      <c r="DG545" s="219"/>
      <c r="DH545" s="219"/>
      <c r="DI545" s="219"/>
      <c r="DJ545" s="219"/>
      <c r="DK545" s="219"/>
      <c r="DL545" s="219"/>
      <c r="DM545" s="219"/>
      <c r="DN545" s="219"/>
      <c r="DO545" s="219"/>
      <c r="DP545" s="219"/>
      <c r="DQ545" s="219"/>
      <c r="DR545" s="219"/>
      <c r="DS545" s="219"/>
      <c r="DT545" s="219"/>
      <c r="DU545" s="219"/>
      <c r="DV545" s="219"/>
      <c r="DW545" s="219"/>
      <c r="DX545" s="219"/>
      <c r="DY545" s="219"/>
      <c r="DZ545" s="219"/>
      <c r="EA545" s="219"/>
      <c r="EB545" s="219"/>
      <c r="EC545" s="219"/>
      <c r="ED545" s="219"/>
      <c r="EE545" s="219"/>
      <c r="EF545" s="219"/>
      <c r="EG545" s="219"/>
      <c r="EH545" s="219"/>
      <c r="EI545" s="219"/>
      <c r="EJ545" s="219"/>
      <c r="EK545" s="219"/>
      <c r="EL545" s="219"/>
      <c r="EM545" s="219"/>
      <c r="EN545" s="219"/>
      <c r="EO545" s="219"/>
      <c r="EP545" s="219"/>
      <c r="EQ545" s="219"/>
      <c r="ER545" s="219"/>
      <c r="ES545" s="219"/>
      <c r="ET545" s="219"/>
      <c r="EU545" s="219"/>
      <c r="EV545" s="219"/>
      <c r="EW545" s="219"/>
      <c r="EX545" s="219"/>
      <c r="EY545" s="219"/>
      <c r="EZ545" s="219"/>
      <c r="FA545" s="219"/>
      <c r="FB545" s="219"/>
      <c r="FC545" s="219"/>
      <c r="FD545" s="219"/>
      <c r="FE545" s="219"/>
      <c r="FF545" s="219"/>
      <c r="FG545" s="219"/>
      <c r="FH545" s="219"/>
      <c r="FI545" s="219"/>
      <c r="FJ545" s="219"/>
      <c r="FK545" s="219"/>
      <c r="FL545" s="219"/>
      <c r="FM545" s="219"/>
      <c r="FN545" s="219"/>
      <c r="FO545" s="219"/>
      <c r="FP545" s="219"/>
      <c r="FQ545" s="219"/>
      <c r="FR545" s="219"/>
      <c r="FS545" s="219"/>
      <c r="FT545" s="219"/>
      <c r="FU545" s="219"/>
      <c r="FV545" s="219"/>
      <c r="FW545" s="219"/>
      <c r="FX545" s="219"/>
      <c r="FY545" s="219"/>
      <c r="FZ545" s="219"/>
      <c r="GA545" s="219"/>
      <c r="GB545" s="219"/>
      <c r="GC545" s="219"/>
      <c r="GD545" s="219"/>
      <c r="GE545" s="219"/>
      <c r="GF545" s="219"/>
      <c r="GG545" s="219"/>
      <c r="GH545" s="219"/>
      <c r="GI545" s="219"/>
      <c r="GJ545" s="219"/>
      <c r="GK545" s="219"/>
      <c r="GL545" s="219"/>
      <c r="GM545" s="219"/>
      <c r="GN545" s="219"/>
      <c r="GO545" s="219"/>
      <c r="GP545" s="219"/>
      <c r="GQ545" s="219"/>
      <c r="GR545" s="219"/>
      <c r="GS545" s="219"/>
      <c r="GT545" s="219"/>
      <c r="GU545" s="219"/>
      <c r="GV545" s="219"/>
      <c r="GW545" s="219"/>
      <c r="GX545" s="219"/>
      <c r="GY545" s="219"/>
      <c r="GZ545" s="219"/>
      <c r="HA545" s="219"/>
      <c r="HB545" s="219"/>
      <c r="HC545" s="219"/>
      <c r="HD545" s="219"/>
      <c r="HE545" s="219"/>
      <c r="HF545" s="219"/>
      <c r="HG545" s="219"/>
      <c r="HH545" s="219"/>
      <c r="HI545" s="219"/>
      <c r="HJ545" s="219"/>
      <c r="HK545" s="219"/>
      <c r="HL545" s="219"/>
      <c r="HM545" s="219"/>
      <c r="HN545" s="219"/>
      <c r="HO545" s="219"/>
      <c r="HP545" s="219"/>
      <c r="HQ545" s="219"/>
      <c r="HR545" s="219"/>
      <c r="HS545" s="219"/>
      <c r="HT545" s="219"/>
      <c r="HU545" s="219"/>
      <c r="HV545" s="219"/>
      <c r="HW545" s="219"/>
      <c r="HX545" s="219"/>
      <c r="HY545" s="219"/>
      <c r="HZ545" s="219"/>
      <c r="IA545" s="219"/>
      <c r="IB545" s="219"/>
      <c r="IC545" s="219"/>
      <c r="ID545" s="219"/>
      <c r="IE545" s="219"/>
      <c r="IF545" s="219"/>
      <c r="IG545" s="219"/>
      <c r="IH545" s="219"/>
      <c r="II545" s="219"/>
      <c r="IJ545" s="219"/>
      <c r="IK545" s="219"/>
      <c r="IL545" s="219"/>
      <c r="IM545" s="219"/>
      <c r="IN545" s="219"/>
      <c r="IO545" s="219"/>
      <c r="IP545" s="219"/>
      <c r="IQ545" s="219"/>
      <c r="IR545" s="219"/>
      <c r="IS545" s="219"/>
      <c r="IT545" s="219"/>
      <c r="IU545" s="219"/>
      <c r="IV545" s="219"/>
    </row>
    <row r="546" spans="1:256" x14ac:dyDescent="0.2">
      <c r="A546" s="204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  <c r="AB546" s="219"/>
      <c r="AC546" s="219"/>
      <c r="AD546" s="219"/>
      <c r="AE546" s="219"/>
      <c r="AF546" s="219"/>
      <c r="AG546" s="219"/>
      <c r="AH546" s="219"/>
      <c r="AI546" s="219"/>
      <c r="AJ546" s="219"/>
      <c r="AK546" s="219"/>
      <c r="AL546" s="219"/>
      <c r="AM546" s="219"/>
      <c r="AN546" s="219"/>
      <c r="AO546" s="219"/>
      <c r="AP546" s="219"/>
      <c r="AQ546" s="219"/>
      <c r="AR546" s="219"/>
      <c r="AS546" s="219"/>
      <c r="AT546" s="219"/>
      <c r="AU546" s="219"/>
      <c r="AV546" s="219"/>
      <c r="AW546" s="219"/>
      <c r="AX546" s="219"/>
      <c r="AY546" s="219"/>
      <c r="AZ546" s="219"/>
      <c r="BA546" s="219"/>
      <c r="BB546" s="219"/>
      <c r="BC546" s="219"/>
      <c r="BD546" s="219"/>
      <c r="BE546" s="219"/>
      <c r="BF546" s="219"/>
      <c r="BG546" s="219"/>
      <c r="BH546" s="219"/>
      <c r="BI546" s="219"/>
      <c r="BJ546" s="219"/>
      <c r="BK546" s="219"/>
      <c r="BL546" s="219"/>
      <c r="BM546" s="219"/>
      <c r="BN546" s="219"/>
      <c r="BO546" s="219"/>
      <c r="BP546" s="219"/>
      <c r="BQ546" s="219"/>
      <c r="BR546" s="219"/>
      <c r="BS546" s="219"/>
      <c r="BT546" s="219"/>
      <c r="BU546" s="219"/>
      <c r="BV546" s="219"/>
      <c r="BW546" s="219"/>
      <c r="BX546" s="219"/>
      <c r="BY546" s="219"/>
      <c r="BZ546" s="219"/>
      <c r="CA546" s="219"/>
      <c r="CB546" s="219"/>
      <c r="CC546" s="219"/>
      <c r="CD546" s="219"/>
      <c r="CE546" s="219"/>
      <c r="CF546" s="219"/>
      <c r="CG546" s="219"/>
      <c r="CH546" s="219"/>
      <c r="CI546" s="219"/>
      <c r="CJ546" s="219"/>
      <c r="CK546" s="219"/>
      <c r="CL546" s="219"/>
      <c r="CM546" s="219"/>
      <c r="CN546" s="219"/>
      <c r="CO546" s="219"/>
      <c r="CP546" s="219"/>
      <c r="CQ546" s="219"/>
      <c r="CR546" s="219"/>
      <c r="CS546" s="219"/>
      <c r="CT546" s="219"/>
      <c r="CU546" s="219"/>
      <c r="CV546" s="219"/>
      <c r="CW546" s="219"/>
      <c r="CX546" s="219"/>
      <c r="CY546" s="219"/>
      <c r="CZ546" s="219"/>
      <c r="DA546" s="219"/>
      <c r="DB546" s="219"/>
      <c r="DC546" s="219"/>
      <c r="DD546" s="219"/>
      <c r="DE546" s="219"/>
      <c r="DF546" s="219"/>
      <c r="DG546" s="219"/>
      <c r="DH546" s="219"/>
      <c r="DI546" s="219"/>
      <c r="DJ546" s="219"/>
      <c r="DK546" s="219"/>
      <c r="DL546" s="219"/>
      <c r="DM546" s="219"/>
      <c r="DN546" s="219"/>
      <c r="DO546" s="219"/>
      <c r="DP546" s="219"/>
      <c r="DQ546" s="219"/>
      <c r="DR546" s="219"/>
      <c r="DS546" s="219"/>
      <c r="DT546" s="219"/>
      <c r="DU546" s="219"/>
      <c r="DV546" s="219"/>
      <c r="DW546" s="219"/>
      <c r="DX546" s="219"/>
      <c r="DY546" s="219"/>
      <c r="DZ546" s="219"/>
      <c r="EA546" s="219"/>
      <c r="EB546" s="219"/>
      <c r="EC546" s="219"/>
      <c r="ED546" s="219"/>
      <c r="EE546" s="219"/>
      <c r="EF546" s="219"/>
      <c r="EG546" s="219"/>
      <c r="EH546" s="219"/>
      <c r="EI546" s="219"/>
      <c r="EJ546" s="219"/>
      <c r="EK546" s="219"/>
      <c r="EL546" s="219"/>
      <c r="EM546" s="219"/>
      <c r="EN546" s="219"/>
      <c r="EO546" s="219"/>
      <c r="EP546" s="219"/>
      <c r="EQ546" s="219"/>
      <c r="ER546" s="219"/>
      <c r="ES546" s="219"/>
      <c r="ET546" s="219"/>
      <c r="EU546" s="219"/>
      <c r="EV546" s="219"/>
      <c r="EW546" s="219"/>
      <c r="EX546" s="219"/>
      <c r="EY546" s="219"/>
      <c r="EZ546" s="219"/>
      <c r="FA546" s="219"/>
      <c r="FB546" s="219"/>
      <c r="FC546" s="219"/>
      <c r="FD546" s="219"/>
      <c r="FE546" s="219"/>
      <c r="FF546" s="219"/>
      <c r="FG546" s="219"/>
      <c r="FH546" s="219"/>
      <c r="FI546" s="219"/>
      <c r="FJ546" s="219"/>
      <c r="FK546" s="219"/>
      <c r="FL546" s="219"/>
      <c r="FM546" s="219"/>
      <c r="FN546" s="219"/>
      <c r="FO546" s="219"/>
      <c r="FP546" s="219"/>
      <c r="FQ546" s="219"/>
      <c r="FR546" s="219"/>
      <c r="FS546" s="219"/>
      <c r="FT546" s="219"/>
      <c r="FU546" s="219"/>
      <c r="FV546" s="219"/>
      <c r="FW546" s="219"/>
      <c r="FX546" s="219"/>
      <c r="FY546" s="219"/>
      <c r="FZ546" s="219"/>
      <c r="GA546" s="219"/>
      <c r="GB546" s="219"/>
      <c r="GC546" s="219"/>
      <c r="GD546" s="219"/>
      <c r="GE546" s="219"/>
      <c r="GF546" s="219"/>
      <c r="GG546" s="219"/>
      <c r="GH546" s="219"/>
      <c r="GI546" s="219"/>
      <c r="GJ546" s="219"/>
      <c r="GK546" s="219"/>
      <c r="GL546" s="219"/>
      <c r="GM546" s="219"/>
      <c r="GN546" s="219"/>
      <c r="GO546" s="219"/>
      <c r="GP546" s="219"/>
      <c r="GQ546" s="219"/>
      <c r="GR546" s="219"/>
      <c r="GS546" s="219"/>
      <c r="GT546" s="219"/>
      <c r="GU546" s="219"/>
      <c r="GV546" s="219"/>
      <c r="GW546" s="219"/>
      <c r="GX546" s="219"/>
      <c r="GY546" s="219"/>
      <c r="GZ546" s="219"/>
      <c r="HA546" s="219"/>
      <c r="HB546" s="219"/>
      <c r="HC546" s="219"/>
      <c r="HD546" s="219"/>
      <c r="HE546" s="219"/>
      <c r="HF546" s="219"/>
      <c r="HG546" s="219"/>
      <c r="HH546" s="219"/>
      <c r="HI546" s="219"/>
      <c r="HJ546" s="219"/>
      <c r="HK546" s="219"/>
      <c r="HL546" s="219"/>
      <c r="HM546" s="219"/>
      <c r="HN546" s="219"/>
      <c r="HO546" s="219"/>
      <c r="HP546" s="219"/>
      <c r="HQ546" s="219"/>
      <c r="HR546" s="219"/>
      <c r="HS546" s="219"/>
      <c r="HT546" s="219"/>
      <c r="HU546" s="219"/>
      <c r="HV546" s="219"/>
      <c r="HW546" s="219"/>
      <c r="HX546" s="219"/>
      <c r="HY546" s="219"/>
      <c r="HZ546" s="219"/>
      <c r="IA546" s="219"/>
      <c r="IB546" s="219"/>
      <c r="IC546" s="219"/>
      <c r="ID546" s="219"/>
      <c r="IE546" s="219"/>
      <c r="IF546" s="219"/>
      <c r="IG546" s="219"/>
      <c r="IH546" s="219"/>
      <c r="II546" s="219"/>
      <c r="IJ546" s="219"/>
      <c r="IK546" s="219"/>
      <c r="IL546" s="219"/>
      <c r="IM546" s="219"/>
      <c r="IN546" s="219"/>
      <c r="IO546" s="219"/>
      <c r="IP546" s="219"/>
      <c r="IQ546" s="219"/>
      <c r="IR546" s="219"/>
      <c r="IS546" s="219"/>
      <c r="IT546" s="219"/>
      <c r="IU546" s="219"/>
      <c r="IV546" s="219"/>
    </row>
    <row r="547" spans="1:256" x14ac:dyDescent="0.2">
      <c r="A547" s="204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  <c r="AB547" s="219"/>
      <c r="AC547" s="219"/>
      <c r="AD547" s="219"/>
      <c r="AE547" s="219"/>
      <c r="AF547" s="219"/>
      <c r="AG547" s="219"/>
      <c r="AH547" s="219"/>
      <c r="AI547" s="219"/>
      <c r="AJ547" s="219"/>
      <c r="AK547" s="219"/>
      <c r="AL547" s="219"/>
      <c r="AM547" s="219"/>
      <c r="AN547" s="219"/>
      <c r="AO547" s="219"/>
      <c r="AP547" s="219"/>
      <c r="AQ547" s="219"/>
      <c r="AR547" s="219"/>
      <c r="AS547" s="219"/>
      <c r="AT547" s="219"/>
      <c r="AU547" s="219"/>
      <c r="AV547" s="219"/>
      <c r="AW547" s="219"/>
      <c r="AX547" s="219"/>
      <c r="AY547" s="219"/>
      <c r="AZ547" s="219"/>
      <c r="BA547" s="219"/>
      <c r="BB547" s="219"/>
      <c r="BC547" s="219"/>
      <c r="BD547" s="219"/>
      <c r="BE547" s="219"/>
      <c r="BF547" s="219"/>
      <c r="BG547" s="219"/>
      <c r="BH547" s="219"/>
      <c r="BI547" s="219"/>
      <c r="BJ547" s="219"/>
      <c r="BK547" s="219"/>
      <c r="BL547" s="219"/>
      <c r="BM547" s="219"/>
      <c r="BN547" s="219"/>
      <c r="BO547" s="219"/>
      <c r="BP547" s="219"/>
      <c r="BQ547" s="219"/>
      <c r="BR547" s="219"/>
      <c r="BS547" s="219"/>
      <c r="BT547" s="219"/>
      <c r="BU547" s="219"/>
      <c r="BV547" s="219"/>
      <c r="BW547" s="219"/>
      <c r="BX547" s="219"/>
      <c r="BY547" s="219"/>
      <c r="BZ547" s="219"/>
      <c r="CA547" s="219"/>
      <c r="CB547" s="219"/>
      <c r="CC547" s="219"/>
      <c r="CD547" s="219"/>
      <c r="CE547" s="219"/>
      <c r="CF547" s="219"/>
      <c r="CG547" s="219"/>
      <c r="CH547" s="219"/>
      <c r="CI547" s="219"/>
      <c r="CJ547" s="219"/>
      <c r="CK547" s="219"/>
      <c r="CL547" s="219"/>
      <c r="CM547" s="219"/>
      <c r="CN547" s="219"/>
      <c r="CO547" s="219"/>
      <c r="CP547" s="219"/>
      <c r="CQ547" s="219"/>
      <c r="CR547" s="219"/>
      <c r="CS547" s="219"/>
      <c r="CT547" s="219"/>
      <c r="CU547" s="219"/>
      <c r="CV547" s="219"/>
      <c r="CW547" s="219"/>
      <c r="CX547" s="219"/>
      <c r="CY547" s="219"/>
      <c r="CZ547" s="219"/>
      <c r="DA547" s="219"/>
      <c r="DB547" s="219"/>
      <c r="DC547" s="219"/>
      <c r="DD547" s="219"/>
      <c r="DE547" s="219"/>
      <c r="DF547" s="219"/>
      <c r="DG547" s="219"/>
      <c r="DH547" s="219"/>
      <c r="DI547" s="219"/>
      <c r="DJ547" s="219"/>
      <c r="DK547" s="219"/>
      <c r="DL547" s="219"/>
      <c r="DM547" s="219"/>
      <c r="DN547" s="219"/>
      <c r="DO547" s="219"/>
      <c r="DP547" s="219"/>
      <c r="DQ547" s="219"/>
      <c r="DR547" s="219"/>
      <c r="DS547" s="219"/>
      <c r="DT547" s="219"/>
      <c r="DU547" s="219"/>
      <c r="DV547" s="219"/>
      <c r="DW547" s="219"/>
      <c r="DX547" s="219"/>
      <c r="DY547" s="219"/>
      <c r="DZ547" s="219"/>
      <c r="EA547" s="219"/>
      <c r="EB547" s="219"/>
      <c r="EC547" s="219"/>
      <c r="ED547" s="219"/>
      <c r="EE547" s="219"/>
      <c r="EF547" s="219"/>
      <c r="EG547" s="219"/>
      <c r="EH547" s="219"/>
      <c r="EI547" s="219"/>
      <c r="EJ547" s="219"/>
      <c r="EK547" s="219"/>
      <c r="EL547" s="219"/>
      <c r="EM547" s="219"/>
      <c r="EN547" s="219"/>
      <c r="EO547" s="219"/>
      <c r="EP547" s="219"/>
      <c r="EQ547" s="219"/>
      <c r="ER547" s="219"/>
      <c r="ES547" s="219"/>
      <c r="ET547" s="219"/>
      <c r="EU547" s="219"/>
      <c r="EV547" s="219"/>
      <c r="EW547" s="219"/>
      <c r="EX547" s="219"/>
      <c r="EY547" s="219"/>
      <c r="EZ547" s="219"/>
      <c r="FA547" s="219"/>
      <c r="FB547" s="219"/>
      <c r="FC547" s="219"/>
      <c r="FD547" s="219"/>
      <c r="FE547" s="219"/>
      <c r="FF547" s="219"/>
      <c r="FG547" s="219"/>
      <c r="FH547" s="219"/>
      <c r="FI547" s="219"/>
      <c r="FJ547" s="219"/>
      <c r="FK547" s="219"/>
      <c r="FL547" s="219"/>
      <c r="FM547" s="219"/>
      <c r="FN547" s="219"/>
      <c r="FO547" s="219"/>
      <c r="FP547" s="219"/>
      <c r="FQ547" s="219"/>
      <c r="FR547" s="219"/>
      <c r="FS547" s="219"/>
      <c r="FT547" s="219"/>
      <c r="FU547" s="219"/>
      <c r="FV547" s="219"/>
      <c r="FW547" s="219"/>
      <c r="FX547" s="219"/>
      <c r="FY547" s="219"/>
      <c r="FZ547" s="219"/>
      <c r="GA547" s="219"/>
      <c r="GB547" s="219"/>
      <c r="GC547" s="219"/>
      <c r="GD547" s="219"/>
      <c r="GE547" s="219"/>
      <c r="GF547" s="219"/>
      <c r="GG547" s="219"/>
      <c r="GH547" s="219"/>
      <c r="GI547" s="219"/>
      <c r="GJ547" s="219"/>
      <c r="GK547" s="219"/>
      <c r="GL547" s="219"/>
      <c r="GM547" s="219"/>
      <c r="GN547" s="219"/>
      <c r="GO547" s="219"/>
      <c r="GP547" s="219"/>
      <c r="GQ547" s="219"/>
      <c r="GR547" s="219"/>
      <c r="GS547" s="219"/>
      <c r="GT547" s="219"/>
      <c r="GU547" s="219"/>
      <c r="GV547" s="219"/>
      <c r="GW547" s="219"/>
      <c r="GX547" s="219"/>
      <c r="GY547" s="219"/>
      <c r="GZ547" s="219"/>
      <c r="HA547" s="219"/>
      <c r="HB547" s="219"/>
      <c r="HC547" s="219"/>
      <c r="HD547" s="219"/>
      <c r="HE547" s="219"/>
      <c r="HF547" s="219"/>
      <c r="HG547" s="219"/>
      <c r="HH547" s="219"/>
      <c r="HI547" s="219"/>
      <c r="HJ547" s="219"/>
      <c r="HK547" s="219"/>
      <c r="HL547" s="219"/>
      <c r="HM547" s="219"/>
      <c r="HN547" s="219"/>
      <c r="HO547" s="219"/>
      <c r="HP547" s="219"/>
      <c r="HQ547" s="219"/>
      <c r="HR547" s="219"/>
      <c r="HS547" s="219"/>
      <c r="HT547" s="219"/>
      <c r="HU547" s="219"/>
      <c r="HV547" s="219"/>
      <c r="HW547" s="219"/>
      <c r="HX547" s="219"/>
      <c r="HY547" s="219"/>
      <c r="HZ547" s="219"/>
      <c r="IA547" s="219"/>
      <c r="IB547" s="219"/>
      <c r="IC547" s="219"/>
      <c r="ID547" s="219"/>
      <c r="IE547" s="219"/>
      <c r="IF547" s="219"/>
      <c r="IG547" s="219"/>
      <c r="IH547" s="219"/>
      <c r="II547" s="219"/>
      <c r="IJ547" s="219"/>
      <c r="IK547" s="219"/>
      <c r="IL547" s="219"/>
      <c r="IM547" s="219"/>
      <c r="IN547" s="219"/>
      <c r="IO547" s="219"/>
      <c r="IP547" s="219"/>
      <c r="IQ547" s="219"/>
      <c r="IR547" s="219"/>
      <c r="IS547" s="219"/>
      <c r="IT547" s="219"/>
      <c r="IU547" s="219"/>
      <c r="IV547" s="219"/>
    </row>
    <row r="548" spans="1:256" x14ac:dyDescent="0.2">
      <c r="A548" s="204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  <c r="AB548" s="219"/>
      <c r="AC548" s="219"/>
      <c r="AD548" s="219"/>
      <c r="AE548" s="219"/>
      <c r="AF548" s="219"/>
      <c r="AG548" s="219"/>
      <c r="AH548" s="219"/>
      <c r="AI548" s="219"/>
      <c r="AJ548" s="219"/>
      <c r="AK548" s="219"/>
      <c r="AL548" s="219"/>
      <c r="AM548" s="219"/>
      <c r="AN548" s="219"/>
      <c r="AO548" s="219"/>
      <c r="AP548" s="219"/>
      <c r="AQ548" s="219"/>
      <c r="AR548" s="219"/>
      <c r="AS548" s="219"/>
      <c r="AT548" s="219"/>
      <c r="AU548" s="219"/>
      <c r="AV548" s="219"/>
      <c r="AW548" s="219"/>
      <c r="AX548" s="219"/>
      <c r="AY548" s="219"/>
      <c r="AZ548" s="219"/>
      <c r="BA548" s="219"/>
      <c r="BB548" s="219"/>
      <c r="BC548" s="219"/>
      <c r="BD548" s="219"/>
      <c r="BE548" s="219"/>
      <c r="BF548" s="219"/>
      <c r="BG548" s="219"/>
      <c r="BH548" s="219"/>
      <c r="BI548" s="219"/>
      <c r="BJ548" s="219"/>
      <c r="BK548" s="219"/>
      <c r="BL548" s="219"/>
      <c r="BM548" s="219"/>
      <c r="BN548" s="219"/>
      <c r="BO548" s="219"/>
      <c r="BP548" s="219"/>
      <c r="BQ548" s="219"/>
      <c r="BR548" s="219"/>
      <c r="BS548" s="219"/>
      <c r="BT548" s="219"/>
      <c r="BU548" s="219"/>
      <c r="BV548" s="219"/>
      <c r="BW548" s="219"/>
      <c r="BX548" s="219"/>
      <c r="BY548" s="219"/>
      <c r="BZ548" s="219"/>
      <c r="CA548" s="219"/>
      <c r="CB548" s="219"/>
      <c r="CC548" s="219"/>
      <c r="CD548" s="219"/>
      <c r="CE548" s="219"/>
      <c r="CF548" s="219"/>
      <c r="CG548" s="219"/>
      <c r="CH548" s="219"/>
      <c r="CI548" s="219"/>
      <c r="CJ548" s="219"/>
      <c r="CK548" s="219"/>
      <c r="CL548" s="219"/>
      <c r="CM548" s="219"/>
      <c r="CN548" s="219"/>
      <c r="CO548" s="219"/>
      <c r="CP548" s="219"/>
      <c r="CQ548" s="219"/>
      <c r="CR548" s="219"/>
      <c r="CS548" s="219"/>
      <c r="CT548" s="219"/>
      <c r="CU548" s="219"/>
      <c r="CV548" s="219"/>
      <c r="CW548" s="219"/>
      <c r="CX548" s="219"/>
      <c r="CY548" s="219"/>
      <c r="CZ548" s="219"/>
      <c r="DA548" s="219"/>
      <c r="DB548" s="219"/>
      <c r="DC548" s="219"/>
      <c r="DD548" s="219"/>
      <c r="DE548" s="219"/>
      <c r="DF548" s="219"/>
      <c r="DG548" s="219"/>
      <c r="DH548" s="219"/>
      <c r="DI548" s="219"/>
      <c r="DJ548" s="219"/>
      <c r="DK548" s="219"/>
      <c r="DL548" s="219"/>
      <c r="DM548" s="219"/>
      <c r="DN548" s="219"/>
      <c r="DO548" s="219"/>
      <c r="DP548" s="219"/>
      <c r="DQ548" s="219"/>
      <c r="DR548" s="219"/>
      <c r="DS548" s="219"/>
      <c r="DT548" s="219"/>
      <c r="DU548" s="219"/>
      <c r="DV548" s="219"/>
      <c r="DW548" s="219"/>
      <c r="DX548" s="219"/>
      <c r="DY548" s="219"/>
      <c r="DZ548" s="219"/>
      <c r="EA548" s="219"/>
      <c r="EB548" s="219"/>
      <c r="EC548" s="219"/>
      <c r="ED548" s="219"/>
      <c r="EE548" s="219"/>
      <c r="EF548" s="219"/>
      <c r="EG548" s="219"/>
      <c r="EH548" s="219"/>
      <c r="EI548" s="219"/>
      <c r="EJ548" s="219"/>
      <c r="EK548" s="219"/>
      <c r="EL548" s="219"/>
      <c r="EM548" s="219"/>
      <c r="EN548" s="219"/>
      <c r="EO548" s="219"/>
      <c r="EP548" s="219"/>
      <c r="EQ548" s="219"/>
      <c r="ER548" s="219"/>
      <c r="ES548" s="219"/>
      <c r="ET548" s="219"/>
      <c r="EU548" s="219"/>
      <c r="EV548" s="219"/>
      <c r="EW548" s="219"/>
      <c r="EX548" s="219"/>
      <c r="EY548" s="219"/>
      <c r="EZ548" s="219"/>
      <c r="FA548" s="219"/>
      <c r="FB548" s="219"/>
      <c r="FC548" s="219"/>
      <c r="FD548" s="219"/>
      <c r="FE548" s="219"/>
      <c r="FF548" s="219"/>
      <c r="FG548" s="219"/>
      <c r="FH548" s="219"/>
      <c r="FI548" s="219"/>
      <c r="FJ548" s="219"/>
      <c r="FK548" s="219"/>
      <c r="FL548" s="219"/>
      <c r="FM548" s="219"/>
      <c r="FN548" s="219"/>
      <c r="FO548" s="219"/>
      <c r="FP548" s="219"/>
      <c r="FQ548" s="219"/>
      <c r="FR548" s="219"/>
      <c r="FS548" s="219"/>
      <c r="FT548" s="219"/>
      <c r="FU548" s="219"/>
      <c r="FV548" s="219"/>
      <c r="FW548" s="219"/>
      <c r="FX548" s="219"/>
      <c r="FY548" s="219"/>
      <c r="FZ548" s="219"/>
      <c r="GA548" s="219"/>
      <c r="GB548" s="219"/>
      <c r="GC548" s="219"/>
      <c r="GD548" s="219"/>
      <c r="GE548" s="219"/>
      <c r="GF548" s="219"/>
      <c r="GG548" s="219"/>
      <c r="GH548" s="219"/>
      <c r="GI548" s="219"/>
      <c r="GJ548" s="219"/>
      <c r="GK548" s="219"/>
      <c r="GL548" s="219"/>
      <c r="GM548" s="219"/>
      <c r="GN548" s="219"/>
      <c r="GO548" s="219"/>
      <c r="GP548" s="219"/>
      <c r="GQ548" s="219"/>
      <c r="GR548" s="219"/>
      <c r="GS548" s="219"/>
      <c r="GT548" s="219"/>
      <c r="GU548" s="219"/>
      <c r="GV548" s="219"/>
      <c r="GW548" s="219"/>
      <c r="GX548" s="219"/>
      <c r="GY548" s="219"/>
      <c r="GZ548" s="219"/>
      <c r="HA548" s="219"/>
      <c r="HB548" s="219"/>
      <c r="HC548" s="219"/>
      <c r="HD548" s="219"/>
      <c r="HE548" s="219"/>
      <c r="HF548" s="219"/>
      <c r="HG548" s="219"/>
      <c r="HH548" s="219"/>
      <c r="HI548" s="219"/>
      <c r="HJ548" s="219"/>
      <c r="HK548" s="219"/>
      <c r="HL548" s="219"/>
      <c r="HM548" s="219"/>
      <c r="HN548" s="219"/>
      <c r="HO548" s="219"/>
      <c r="HP548" s="219"/>
      <c r="HQ548" s="219"/>
      <c r="HR548" s="219"/>
      <c r="HS548" s="219"/>
      <c r="HT548" s="219"/>
      <c r="HU548" s="219"/>
      <c r="HV548" s="219"/>
      <c r="HW548" s="219"/>
      <c r="HX548" s="219"/>
      <c r="HY548" s="219"/>
      <c r="HZ548" s="219"/>
      <c r="IA548" s="219"/>
      <c r="IB548" s="219"/>
      <c r="IC548" s="219"/>
      <c r="ID548" s="219"/>
      <c r="IE548" s="219"/>
      <c r="IF548" s="219"/>
      <c r="IG548" s="219"/>
      <c r="IH548" s="219"/>
      <c r="II548" s="219"/>
      <c r="IJ548" s="219"/>
      <c r="IK548" s="219"/>
      <c r="IL548" s="219"/>
      <c r="IM548" s="219"/>
      <c r="IN548" s="219"/>
      <c r="IO548" s="219"/>
      <c r="IP548" s="219"/>
      <c r="IQ548" s="219"/>
      <c r="IR548" s="219"/>
      <c r="IS548" s="219"/>
      <c r="IT548" s="219"/>
      <c r="IU548" s="219"/>
      <c r="IV548" s="219"/>
    </row>
    <row r="549" spans="1:256" x14ac:dyDescent="0.2">
      <c r="A549" s="204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  <c r="AB549" s="219"/>
      <c r="AC549" s="219"/>
      <c r="AD549" s="219"/>
      <c r="AE549" s="219"/>
      <c r="AF549" s="219"/>
      <c r="AG549" s="219"/>
      <c r="AH549" s="219"/>
      <c r="AI549" s="219"/>
      <c r="AJ549" s="219"/>
      <c r="AK549" s="219"/>
      <c r="AL549" s="219"/>
      <c r="AM549" s="219"/>
      <c r="AN549" s="219"/>
      <c r="AO549" s="219"/>
      <c r="AP549" s="219"/>
      <c r="AQ549" s="219"/>
      <c r="AR549" s="219"/>
      <c r="AS549" s="219"/>
      <c r="AT549" s="219"/>
      <c r="AU549" s="219"/>
      <c r="AV549" s="219"/>
      <c r="AW549" s="219"/>
      <c r="AX549" s="219"/>
      <c r="AY549" s="219"/>
      <c r="AZ549" s="219"/>
      <c r="BA549" s="219"/>
      <c r="BB549" s="219"/>
      <c r="BC549" s="219"/>
      <c r="BD549" s="219"/>
      <c r="BE549" s="219"/>
      <c r="BF549" s="219"/>
      <c r="BG549" s="219"/>
      <c r="BH549" s="219"/>
      <c r="BI549" s="219"/>
      <c r="BJ549" s="219"/>
      <c r="BK549" s="219"/>
      <c r="BL549" s="219"/>
      <c r="BM549" s="219"/>
      <c r="BN549" s="219"/>
      <c r="BO549" s="219"/>
      <c r="BP549" s="219"/>
      <c r="BQ549" s="219"/>
      <c r="BR549" s="219"/>
      <c r="BS549" s="219"/>
      <c r="BT549" s="219"/>
      <c r="BU549" s="219"/>
      <c r="BV549" s="219"/>
      <c r="BW549" s="219"/>
      <c r="BX549" s="219"/>
      <c r="BY549" s="219"/>
      <c r="BZ549" s="219"/>
      <c r="CA549" s="219"/>
      <c r="CB549" s="219"/>
      <c r="CC549" s="219"/>
      <c r="CD549" s="219"/>
      <c r="CE549" s="219"/>
      <c r="CF549" s="219"/>
      <c r="CG549" s="219"/>
      <c r="CH549" s="219"/>
      <c r="CI549" s="219"/>
      <c r="CJ549" s="219"/>
      <c r="CK549" s="219"/>
      <c r="CL549" s="219"/>
      <c r="CM549" s="219"/>
      <c r="CN549" s="219"/>
      <c r="CO549" s="219"/>
      <c r="CP549" s="219"/>
      <c r="CQ549" s="219"/>
      <c r="CR549" s="219"/>
      <c r="CS549" s="219"/>
      <c r="CT549" s="219"/>
      <c r="CU549" s="219"/>
      <c r="CV549" s="219"/>
      <c r="CW549" s="219"/>
      <c r="CX549" s="219"/>
      <c r="CY549" s="219"/>
      <c r="CZ549" s="219"/>
      <c r="DA549" s="219"/>
      <c r="DB549" s="219"/>
      <c r="DC549" s="219"/>
      <c r="DD549" s="219"/>
      <c r="DE549" s="219"/>
      <c r="DF549" s="219"/>
      <c r="DG549" s="219"/>
      <c r="DH549" s="219"/>
      <c r="DI549" s="219"/>
      <c r="DJ549" s="219"/>
      <c r="DK549" s="219"/>
      <c r="DL549" s="219"/>
      <c r="DM549" s="219"/>
      <c r="DN549" s="219"/>
      <c r="DO549" s="219"/>
      <c r="DP549" s="219"/>
      <c r="DQ549" s="219"/>
      <c r="DR549" s="219"/>
      <c r="DS549" s="219"/>
      <c r="DT549" s="219"/>
      <c r="DU549" s="219"/>
      <c r="DV549" s="219"/>
      <c r="DW549" s="219"/>
      <c r="DX549" s="219"/>
      <c r="DY549" s="219"/>
      <c r="DZ549" s="219"/>
      <c r="EA549" s="219"/>
      <c r="EB549" s="219"/>
      <c r="EC549" s="219"/>
      <c r="ED549" s="219"/>
      <c r="EE549" s="219"/>
      <c r="EF549" s="219"/>
      <c r="EG549" s="219"/>
      <c r="EH549" s="219"/>
      <c r="EI549" s="219"/>
      <c r="EJ549" s="219"/>
      <c r="EK549" s="219"/>
      <c r="EL549" s="219"/>
      <c r="EM549" s="219"/>
      <c r="EN549" s="219"/>
      <c r="EO549" s="219"/>
      <c r="EP549" s="219"/>
      <c r="EQ549" s="219"/>
      <c r="ER549" s="219"/>
      <c r="ES549" s="219"/>
      <c r="ET549" s="219"/>
      <c r="EU549" s="219"/>
      <c r="EV549" s="219"/>
      <c r="EW549" s="219"/>
      <c r="EX549" s="219"/>
      <c r="EY549" s="219"/>
      <c r="EZ549" s="219"/>
      <c r="FA549" s="219"/>
      <c r="FB549" s="219"/>
      <c r="FC549" s="219"/>
      <c r="FD549" s="219"/>
      <c r="FE549" s="219"/>
      <c r="FF549" s="219"/>
      <c r="FG549" s="219"/>
      <c r="FH549" s="219"/>
      <c r="FI549" s="219"/>
      <c r="FJ549" s="219"/>
      <c r="FK549" s="219"/>
      <c r="FL549" s="219"/>
      <c r="FM549" s="219"/>
      <c r="FN549" s="219"/>
      <c r="FO549" s="219"/>
      <c r="FP549" s="219"/>
      <c r="FQ549" s="219"/>
      <c r="FR549" s="219"/>
      <c r="FS549" s="219"/>
      <c r="FT549" s="219"/>
      <c r="FU549" s="219"/>
      <c r="FV549" s="219"/>
      <c r="FW549" s="219"/>
      <c r="FX549" s="219"/>
      <c r="FY549" s="219"/>
      <c r="FZ549" s="219"/>
      <c r="GA549" s="219"/>
      <c r="GB549" s="219"/>
      <c r="GC549" s="219"/>
      <c r="GD549" s="219"/>
      <c r="GE549" s="219"/>
      <c r="GF549" s="219"/>
      <c r="GG549" s="219"/>
      <c r="GH549" s="219"/>
      <c r="GI549" s="219"/>
      <c r="GJ549" s="219"/>
      <c r="GK549" s="219"/>
      <c r="GL549" s="219"/>
      <c r="GM549" s="219"/>
      <c r="GN549" s="219"/>
      <c r="GO549" s="219"/>
      <c r="GP549" s="219"/>
      <c r="GQ549" s="219"/>
      <c r="GR549" s="219"/>
      <c r="GS549" s="219"/>
      <c r="GT549" s="219"/>
      <c r="GU549" s="219"/>
      <c r="GV549" s="219"/>
      <c r="GW549" s="219"/>
      <c r="GX549" s="219"/>
      <c r="GY549" s="219"/>
      <c r="GZ549" s="219"/>
      <c r="HA549" s="219"/>
      <c r="HB549" s="219"/>
      <c r="HC549" s="219"/>
      <c r="HD549" s="219"/>
      <c r="HE549" s="219"/>
      <c r="HF549" s="219"/>
      <c r="HG549" s="219"/>
      <c r="HH549" s="219"/>
      <c r="HI549" s="219"/>
      <c r="HJ549" s="219"/>
      <c r="HK549" s="219"/>
      <c r="HL549" s="219"/>
      <c r="HM549" s="219"/>
      <c r="HN549" s="219"/>
      <c r="HO549" s="219"/>
      <c r="HP549" s="219"/>
      <c r="HQ549" s="219"/>
      <c r="HR549" s="219"/>
      <c r="HS549" s="219"/>
      <c r="HT549" s="219"/>
      <c r="HU549" s="219"/>
      <c r="HV549" s="219"/>
      <c r="HW549" s="219"/>
      <c r="HX549" s="219"/>
      <c r="HY549" s="219"/>
      <c r="HZ549" s="219"/>
      <c r="IA549" s="219"/>
      <c r="IB549" s="219"/>
      <c r="IC549" s="219"/>
      <c r="ID549" s="219"/>
      <c r="IE549" s="219"/>
      <c r="IF549" s="219"/>
      <c r="IG549" s="219"/>
      <c r="IH549" s="219"/>
      <c r="II549" s="219"/>
      <c r="IJ549" s="219"/>
      <c r="IK549" s="219"/>
      <c r="IL549" s="219"/>
      <c r="IM549" s="219"/>
      <c r="IN549" s="219"/>
      <c r="IO549" s="219"/>
      <c r="IP549" s="219"/>
      <c r="IQ549" s="219"/>
      <c r="IR549" s="219"/>
      <c r="IS549" s="219"/>
      <c r="IT549" s="219"/>
      <c r="IU549" s="219"/>
      <c r="IV549" s="219"/>
    </row>
    <row r="550" spans="1:256" x14ac:dyDescent="0.2">
      <c r="A550" s="204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  <c r="AB550" s="219"/>
      <c r="AC550" s="219"/>
      <c r="AD550" s="219"/>
      <c r="AE550" s="219"/>
      <c r="AF550" s="219"/>
      <c r="AG550" s="219"/>
      <c r="AH550" s="219"/>
      <c r="AI550" s="219"/>
      <c r="AJ550" s="219"/>
      <c r="AK550" s="219"/>
      <c r="AL550" s="219"/>
      <c r="AM550" s="219"/>
      <c r="AN550" s="219"/>
      <c r="AO550" s="219"/>
      <c r="AP550" s="219"/>
      <c r="AQ550" s="219"/>
      <c r="AR550" s="219"/>
      <c r="AS550" s="219"/>
      <c r="AT550" s="219"/>
      <c r="AU550" s="219"/>
      <c r="AV550" s="219"/>
      <c r="AW550" s="219"/>
      <c r="AX550" s="219"/>
      <c r="AY550" s="219"/>
      <c r="AZ550" s="219"/>
      <c r="BA550" s="219"/>
      <c r="BB550" s="219"/>
      <c r="BC550" s="219"/>
      <c r="BD550" s="219"/>
      <c r="BE550" s="219"/>
      <c r="BF550" s="219"/>
      <c r="BG550" s="219"/>
      <c r="BH550" s="219"/>
      <c r="BI550" s="219"/>
      <c r="BJ550" s="219"/>
      <c r="BK550" s="219"/>
      <c r="BL550" s="219"/>
      <c r="BM550" s="219"/>
      <c r="BN550" s="219"/>
      <c r="BO550" s="219"/>
      <c r="BP550" s="219"/>
      <c r="BQ550" s="219"/>
      <c r="BR550" s="219"/>
      <c r="BS550" s="219"/>
      <c r="BT550" s="219"/>
      <c r="BU550" s="219"/>
      <c r="BV550" s="219"/>
      <c r="BW550" s="219"/>
      <c r="BX550" s="219"/>
      <c r="BY550" s="219"/>
      <c r="BZ550" s="219"/>
      <c r="CA550" s="219"/>
      <c r="CB550" s="219"/>
      <c r="CC550" s="219"/>
      <c r="CD550" s="219"/>
      <c r="CE550" s="219"/>
      <c r="CF550" s="219"/>
      <c r="CG550" s="219"/>
      <c r="CH550" s="219"/>
      <c r="CI550" s="219"/>
      <c r="CJ550" s="219"/>
      <c r="CK550" s="219"/>
      <c r="CL550" s="219"/>
      <c r="CM550" s="219"/>
      <c r="CN550" s="219"/>
      <c r="CO550" s="219"/>
      <c r="CP550" s="219"/>
      <c r="CQ550" s="219"/>
      <c r="CR550" s="219"/>
      <c r="CS550" s="219"/>
      <c r="CT550" s="219"/>
      <c r="CU550" s="219"/>
      <c r="CV550" s="219"/>
      <c r="CW550" s="219"/>
      <c r="CX550" s="219"/>
      <c r="CY550" s="219"/>
      <c r="CZ550" s="219"/>
      <c r="DA550" s="219"/>
      <c r="DB550" s="219"/>
      <c r="DC550" s="219"/>
      <c r="DD550" s="219"/>
      <c r="DE550" s="219"/>
      <c r="DF550" s="219"/>
      <c r="DG550" s="219"/>
      <c r="DH550" s="219"/>
      <c r="DI550" s="219"/>
      <c r="DJ550" s="219"/>
      <c r="DK550" s="219"/>
      <c r="DL550" s="219"/>
      <c r="DM550" s="219"/>
      <c r="DN550" s="219"/>
      <c r="DO550" s="219"/>
      <c r="DP550" s="219"/>
      <c r="DQ550" s="219"/>
      <c r="DR550" s="219"/>
      <c r="DS550" s="219"/>
      <c r="DT550" s="219"/>
      <c r="DU550" s="219"/>
      <c r="DV550" s="219"/>
      <c r="DW550" s="219"/>
      <c r="DX550" s="219"/>
      <c r="DY550" s="219"/>
      <c r="DZ550" s="219"/>
      <c r="EA550" s="219"/>
      <c r="EB550" s="219"/>
      <c r="EC550" s="219"/>
      <c r="ED550" s="219"/>
      <c r="EE550" s="219"/>
      <c r="EF550" s="219"/>
      <c r="EG550" s="219"/>
      <c r="EH550" s="219"/>
      <c r="EI550" s="219"/>
      <c r="EJ550" s="219"/>
      <c r="EK550" s="219"/>
      <c r="EL550" s="219"/>
      <c r="EM550" s="219"/>
      <c r="EN550" s="219"/>
      <c r="EO550" s="219"/>
      <c r="EP550" s="219"/>
      <c r="EQ550" s="219"/>
      <c r="ER550" s="219"/>
      <c r="ES550" s="219"/>
      <c r="ET550" s="219"/>
      <c r="EU550" s="219"/>
      <c r="EV550" s="219"/>
      <c r="EW550" s="219"/>
      <c r="EX550" s="219"/>
      <c r="EY550" s="219"/>
      <c r="EZ550" s="219"/>
      <c r="FA550" s="219"/>
      <c r="FB550" s="219"/>
      <c r="FC550" s="219"/>
      <c r="FD550" s="219"/>
      <c r="FE550" s="219"/>
      <c r="FF550" s="219"/>
      <c r="FG550" s="219"/>
      <c r="FH550" s="219"/>
      <c r="FI550" s="219"/>
      <c r="FJ550" s="219"/>
      <c r="FK550" s="219"/>
      <c r="FL550" s="219"/>
      <c r="FM550" s="219"/>
      <c r="FN550" s="219"/>
      <c r="FO550" s="219"/>
      <c r="FP550" s="219"/>
      <c r="FQ550" s="219"/>
      <c r="FR550" s="219"/>
      <c r="FS550" s="219"/>
      <c r="FT550" s="219"/>
      <c r="FU550" s="219"/>
      <c r="FV550" s="219"/>
      <c r="FW550" s="219"/>
      <c r="FX550" s="219"/>
      <c r="FY550" s="219"/>
      <c r="FZ550" s="219"/>
      <c r="GA550" s="219"/>
      <c r="GB550" s="219"/>
      <c r="GC550" s="219"/>
      <c r="GD550" s="219"/>
      <c r="GE550" s="219"/>
      <c r="GF550" s="219"/>
      <c r="GG550" s="219"/>
      <c r="GH550" s="219"/>
      <c r="GI550" s="219"/>
      <c r="GJ550" s="219"/>
      <c r="GK550" s="219"/>
      <c r="GL550" s="219"/>
      <c r="GM550" s="219"/>
      <c r="GN550" s="219"/>
      <c r="GO550" s="219"/>
      <c r="GP550" s="219"/>
      <c r="GQ550" s="219"/>
      <c r="GR550" s="219"/>
      <c r="GS550" s="219"/>
      <c r="GT550" s="219"/>
      <c r="GU550" s="219"/>
      <c r="GV550" s="219"/>
      <c r="GW550" s="219"/>
      <c r="GX550" s="219"/>
      <c r="GY550" s="219"/>
      <c r="GZ550" s="219"/>
      <c r="HA550" s="219"/>
      <c r="HB550" s="219"/>
      <c r="HC550" s="219"/>
      <c r="HD550" s="219"/>
      <c r="HE550" s="219"/>
      <c r="HF550" s="219"/>
      <c r="HG550" s="219"/>
      <c r="HH550" s="219"/>
      <c r="HI550" s="219"/>
      <c r="HJ550" s="219"/>
      <c r="HK550" s="219"/>
      <c r="HL550" s="219"/>
      <c r="HM550" s="219"/>
      <c r="HN550" s="219"/>
      <c r="HO550" s="219"/>
      <c r="HP550" s="219"/>
      <c r="HQ550" s="219"/>
      <c r="HR550" s="219"/>
      <c r="HS550" s="219"/>
      <c r="HT550" s="219"/>
      <c r="HU550" s="219"/>
      <c r="HV550" s="219"/>
      <c r="HW550" s="219"/>
      <c r="HX550" s="219"/>
      <c r="HY550" s="219"/>
      <c r="HZ550" s="219"/>
      <c r="IA550" s="219"/>
      <c r="IB550" s="219"/>
      <c r="IC550" s="219"/>
      <c r="ID550" s="219"/>
      <c r="IE550" s="219"/>
      <c r="IF550" s="219"/>
      <c r="IG550" s="219"/>
      <c r="IH550" s="219"/>
      <c r="II550" s="219"/>
      <c r="IJ550" s="219"/>
      <c r="IK550" s="219"/>
      <c r="IL550" s="219"/>
      <c r="IM550" s="219"/>
      <c r="IN550" s="219"/>
      <c r="IO550" s="219"/>
      <c r="IP550" s="219"/>
      <c r="IQ550" s="219"/>
      <c r="IR550" s="219"/>
      <c r="IS550" s="219"/>
      <c r="IT550" s="219"/>
      <c r="IU550" s="219"/>
      <c r="IV550" s="219"/>
    </row>
    <row r="551" spans="1:256" x14ac:dyDescent="0.2">
      <c r="A551" s="204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  <c r="AB551" s="219"/>
      <c r="AC551" s="219"/>
      <c r="AD551" s="219"/>
      <c r="AE551" s="219"/>
      <c r="AF551" s="219"/>
      <c r="AG551" s="219"/>
      <c r="AH551" s="219"/>
      <c r="AI551" s="219"/>
      <c r="AJ551" s="219"/>
      <c r="AK551" s="219"/>
      <c r="AL551" s="219"/>
      <c r="AM551" s="219"/>
      <c r="AN551" s="219"/>
      <c r="AO551" s="219"/>
      <c r="AP551" s="219"/>
      <c r="AQ551" s="219"/>
      <c r="AR551" s="219"/>
      <c r="AS551" s="219"/>
      <c r="AT551" s="219"/>
      <c r="AU551" s="219"/>
      <c r="AV551" s="219"/>
      <c r="AW551" s="219"/>
      <c r="AX551" s="219"/>
      <c r="AY551" s="219"/>
      <c r="AZ551" s="219"/>
      <c r="BA551" s="219"/>
      <c r="BB551" s="219"/>
      <c r="BC551" s="219"/>
      <c r="BD551" s="219"/>
      <c r="BE551" s="219"/>
      <c r="BF551" s="219"/>
      <c r="BG551" s="219"/>
      <c r="BH551" s="219"/>
      <c r="BI551" s="219"/>
      <c r="BJ551" s="219"/>
      <c r="BK551" s="219"/>
      <c r="BL551" s="219"/>
      <c r="BM551" s="219"/>
      <c r="BN551" s="219"/>
      <c r="BO551" s="219"/>
      <c r="BP551" s="219"/>
      <c r="BQ551" s="219"/>
      <c r="BR551" s="219"/>
      <c r="BS551" s="219"/>
      <c r="BT551" s="219"/>
      <c r="BU551" s="219"/>
      <c r="BV551" s="219"/>
      <c r="BW551" s="219"/>
      <c r="BX551" s="219"/>
      <c r="BY551" s="219"/>
      <c r="BZ551" s="219"/>
      <c r="CA551" s="219"/>
      <c r="CB551" s="219"/>
      <c r="CC551" s="219"/>
      <c r="CD551" s="219"/>
      <c r="CE551" s="219"/>
      <c r="CF551" s="219"/>
      <c r="CG551" s="219"/>
      <c r="CH551" s="219"/>
      <c r="CI551" s="219"/>
      <c r="CJ551" s="219"/>
      <c r="CK551" s="219"/>
      <c r="CL551" s="219"/>
      <c r="CM551" s="219"/>
      <c r="CN551" s="219"/>
      <c r="CO551" s="219"/>
      <c r="CP551" s="219"/>
      <c r="CQ551" s="219"/>
      <c r="CR551" s="219"/>
      <c r="CS551" s="219"/>
      <c r="CT551" s="219"/>
      <c r="CU551" s="219"/>
      <c r="CV551" s="219"/>
      <c r="CW551" s="219"/>
      <c r="CX551" s="219"/>
      <c r="CY551" s="219"/>
      <c r="CZ551" s="219"/>
      <c r="DA551" s="219"/>
      <c r="DB551" s="219"/>
      <c r="DC551" s="219"/>
      <c r="DD551" s="219"/>
      <c r="DE551" s="219"/>
      <c r="DF551" s="219"/>
      <c r="DG551" s="219"/>
      <c r="DH551" s="219"/>
      <c r="DI551" s="219"/>
      <c r="DJ551" s="219"/>
      <c r="DK551" s="219"/>
      <c r="DL551" s="219"/>
      <c r="DM551" s="219"/>
      <c r="DN551" s="219"/>
      <c r="DO551" s="219"/>
      <c r="DP551" s="219"/>
      <c r="DQ551" s="219"/>
      <c r="DR551" s="219"/>
      <c r="DS551" s="219"/>
      <c r="DT551" s="219"/>
      <c r="DU551" s="219"/>
      <c r="DV551" s="219"/>
      <c r="DW551" s="219"/>
      <c r="DX551" s="219"/>
      <c r="DY551" s="219"/>
      <c r="DZ551" s="219"/>
      <c r="EA551" s="219"/>
      <c r="EB551" s="219"/>
      <c r="EC551" s="219"/>
      <c r="ED551" s="219"/>
      <c r="EE551" s="219"/>
      <c r="EF551" s="219"/>
      <c r="EG551" s="219"/>
      <c r="EH551" s="219"/>
      <c r="EI551" s="219"/>
      <c r="EJ551" s="219"/>
      <c r="EK551" s="219"/>
      <c r="EL551" s="219"/>
      <c r="EM551" s="219"/>
      <c r="EN551" s="219"/>
      <c r="EO551" s="219"/>
      <c r="EP551" s="219"/>
      <c r="EQ551" s="219"/>
      <c r="ER551" s="219"/>
      <c r="ES551" s="219"/>
      <c r="ET551" s="219"/>
      <c r="EU551" s="219"/>
      <c r="EV551" s="219"/>
      <c r="EW551" s="219"/>
      <c r="EX551" s="219"/>
      <c r="EY551" s="219"/>
      <c r="EZ551" s="219"/>
      <c r="FA551" s="219"/>
      <c r="FB551" s="219"/>
      <c r="FC551" s="219"/>
      <c r="FD551" s="219"/>
      <c r="FE551" s="219"/>
      <c r="FF551" s="219"/>
      <c r="FG551" s="219"/>
      <c r="FH551" s="219"/>
      <c r="FI551" s="219"/>
      <c r="FJ551" s="219"/>
      <c r="FK551" s="219"/>
      <c r="FL551" s="219"/>
      <c r="FM551" s="219"/>
      <c r="FN551" s="219"/>
      <c r="FO551" s="219"/>
      <c r="FP551" s="219"/>
      <c r="FQ551" s="219"/>
      <c r="FR551" s="219"/>
      <c r="FS551" s="219"/>
      <c r="FT551" s="219"/>
      <c r="FU551" s="219"/>
      <c r="FV551" s="219"/>
      <c r="FW551" s="219"/>
      <c r="FX551" s="219"/>
      <c r="FY551" s="219"/>
      <c r="FZ551" s="219"/>
      <c r="GA551" s="219"/>
      <c r="GB551" s="219"/>
      <c r="GC551" s="219"/>
      <c r="GD551" s="219"/>
      <c r="GE551" s="219"/>
      <c r="GF551" s="219"/>
      <c r="GG551" s="219"/>
      <c r="GH551" s="219"/>
      <c r="GI551" s="219"/>
      <c r="GJ551" s="219"/>
      <c r="GK551" s="219"/>
      <c r="GL551" s="219"/>
      <c r="GM551" s="219"/>
      <c r="GN551" s="219"/>
      <c r="GO551" s="219"/>
      <c r="GP551" s="219"/>
      <c r="GQ551" s="219"/>
      <c r="GR551" s="219"/>
      <c r="GS551" s="219"/>
      <c r="GT551" s="219"/>
      <c r="GU551" s="219"/>
      <c r="GV551" s="219"/>
      <c r="GW551" s="219"/>
      <c r="GX551" s="219"/>
      <c r="GY551" s="219"/>
      <c r="GZ551" s="219"/>
      <c r="HA551" s="219"/>
      <c r="HB551" s="219"/>
      <c r="HC551" s="219"/>
      <c r="HD551" s="219"/>
      <c r="HE551" s="219"/>
      <c r="HF551" s="219"/>
      <c r="HG551" s="219"/>
      <c r="HH551" s="219"/>
      <c r="HI551" s="219"/>
      <c r="HJ551" s="219"/>
      <c r="HK551" s="219"/>
      <c r="HL551" s="219"/>
      <c r="HM551" s="219"/>
      <c r="HN551" s="219"/>
      <c r="HO551" s="219"/>
      <c r="HP551" s="219"/>
      <c r="HQ551" s="219"/>
      <c r="HR551" s="219"/>
      <c r="HS551" s="219"/>
      <c r="HT551" s="219"/>
      <c r="HU551" s="219"/>
      <c r="HV551" s="219"/>
      <c r="HW551" s="219"/>
      <c r="HX551" s="219"/>
      <c r="HY551" s="219"/>
      <c r="HZ551" s="219"/>
      <c r="IA551" s="219"/>
      <c r="IB551" s="219"/>
      <c r="IC551" s="219"/>
      <c r="ID551" s="219"/>
      <c r="IE551" s="219"/>
      <c r="IF551" s="219"/>
      <c r="IG551" s="219"/>
      <c r="IH551" s="219"/>
      <c r="II551" s="219"/>
      <c r="IJ551" s="219"/>
      <c r="IK551" s="219"/>
      <c r="IL551" s="219"/>
      <c r="IM551" s="219"/>
      <c r="IN551" s="219"/>
      <c r="IO551" s="219"/>
      <c r="IP551" s="219"/>
      <c r="IQ551" s="219"/>
      <c r="IR551" s="219"/>
      <c r="IS551" s="219"/>
      <c r="IT551" s="219"/>
      <c r="IU551" s="219"/>
      <c r="IV551" s="219"/>
    </row>
    <row r="552" spans="1:256" x14ac:dyDescent="0.2">
      <c r="A552" s="204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  <c r="AB552" s="219"/>
      <c r="AC552" s="219"/>
      <c r="AD552" s="219"/>
      <c r="AE552" s="219"/>
      <c r="AF552" s="219"/>
      <c r="AG552" s="219"/>
      <c r="AH552" s="219"/>
      <c r="AI552" s="219"/>
      <c r="AJ552" s="219"/>
      <c r="AK552" s="219"/>
      <c r="AL552" s="219"/>
      <c r="AM552" s="219"/>
      <c r="AN552" s="219"/>
      <c r="AO552" s="219"/>
      <c r="AP552" s="219"/>
      <c r="AQ552" s="219"/>
      <c r="AR552" s="219"/>
      <c r="AS552" s="219"/>
      <c r="AT552" s="219"/>
      <c r="AU552" s="219"/>
      <c r="AV552" s="219"/>
      <c r="AW552" s="219"/>
      <c r="AX552" s="219"/>
      <c r="AY552" s="219"/>
      <c r="AZ552" s="219"/>
      <c r="BA552" s="219"/>
      <c r="BB552" s="219"/>
      <c r="BC552" s="219"/>
      <c r="BD552" s="219"/>
      <c r="BE552" s="219"/>
      <c r="BF552" s="219"/>
      <c r="BG552" s="219"/>
      <c r="BH552" s="219"/>
      <c r="BI552" s="219"/>
      <c r="BJ552" s="219"/>
      <c r="BK552" s="219"/>
      <c r="BL552" s="219"/>
      <c r="BM552" s="219"/>
      <c r="BN552" s="219"/>
      <c r="BO552" s="219"/>
      <c r="BP552" s="219"/>
      <c r="BQ552" s="219"/>
      <c r="BR552" s="219"/>
      <c r="BS552" s="219"/>
      <c r="BT552" s="219"/>
      <c r="BU552" s="219"/>
      <c r="BV552" s="219"/>
      <c r="BW552" s="219"/>
      <c r="BX552" s="219"/>
      <c r="BY552" s="219"/>
      <c r="BZ552" s="219"/>
      <c r="CA552" s="219"/>
      <c r="CB552" s="219"/>
      <c r="CC552" s="219"/>
      <c r="CD552" s="219"/>
      <c r="CE552" s="219"/>
      <c r="CF552" s="219"/>
      <c r="CG552" s="219"/>
      <c r="CH552" s="219"/>
      <c r="CI552" s="219"/>
      <c r="CJ552" s="219"/>
      <c r="CK552" s="219"/>
      <c r="CL552" s="219"/>
      <c r="CM552" s="219"/>
      <c r="CN552" s="219"/>
      <c r="CO552" s="219"/>
      <c r="CP552" s="219"/>
      <c r="CQ552" s="219"/>
      <c r="CR552" s="219"/>
      <c r="CS552" s="219"/>
      <c r="CT552" s="219"/>
      <c r="CU552" s="219"/>
      <c r="CV552" s="219"/>
      <c r="CW552" s="219"/>
      <c r="CX552" s="219"/>
      <c r="CY552" s="219"/>
      <c r="CZ552" s="219"/>
      <c r="DA552" s="219"/>
      <c r="DB552" s="219"/>
      <c r="DC552" s="219"/>
      <c r="DD552" s="219"/>
      <c r="DE552" s="219"/>
      <c r="DF552" s="219"/>
      <c r="DG552" s="219"/>
      <c r="DH552" s="219"/>
      <c r="DI552" s="219"/>
      <c r="DJ552" s="219"/>
      <c r="DK552" s="219"/>
      <c r="DL552" s="219"/>
      <c r="DM552" s="219"/>
      <c r="DN552" s="219"/>
      <c r="DO552" s="219"/>
      <c r="DP552" s="219"/>
      <c r="DQ552" s="219"/>
      <c r="DR552" s="219"/>
      <c r="DS552" s="219"/>
      <c r="DT552" s="219"/>
      <c r="DU552" s="219"/>
      <c r="DV552" s="219"/>
      <c r="DW552" s="219"/>
      <c r="DX552" s="219"/>
      <c r="DY552" s="219"/>
      <c r="DZ552" s="219"/>
      <c r="EA552" s="219"/>
      <c r="EB552" s="219"/>
      <c r="EC552" s="219"/>
      <c r="ED552" s="219"/>
      <c r="EE552" s="219"/>
      <c r="EF552" s="219"/>
      <c r="EG552" s="219"/>
      <c r="EH552" s="219"/>
      <c r="EI552" s="219"/>
      <c r="EJ552" s="219"/>
      <c r="EK552" s="219"/>
      <c r="EL552" s="219"/>
      <c r="EM552" s="219"/>
      <c r="EN552" s="219"/>
      <c r="EO552" s="219"/>
      <c r="EP552" s="219"/>
      <c r="EQ552" s="219"/>
      <c r="ER552" s="219"/>
      <c r="ES552" s="219"/>
      <c r="ET552" s="219"/>
      <c r="EU552" s="219"/>
      <c r="EV552" s="219"/>
      <c r="EW552" s="219"/>
      <c r="EX552" s="219"/>
      <c r="EY552" s="219"/>
      <c r="EZ552" s="219"/>
      <c r="FA552" s="219"/>
      <c r="FB552" s="219"/>
      <c r="FC552" s="219"/>
      <c r="FD552" s="219"/>
      <c r="FE552" s="219"/>
      <c r="FF552" s="219"/>
      <c r="FG552" s="219"/>
      <c r="FH552" s="219"/>
      <c r="FI552" s="219"/>
      <c r="FJ552" s="219"/>
      <c r="FK552" s="219"/>
      <c r="FL552" s="219"/>
      <c r="FM552" s="219"/>
      <c r="FN552" s="219"/>
      <c r="FO552" s="219"/>
      <c r="FP552" s="219"/>
      <c r="FQ552" s="219"/>
      <c r="FR552" s="219"/>
      <c r="FS552" s="219"/>
      <c r="FT552" s="219"/>
      <c r="FU552" s="219"/>
      <c r="FV552" s="219"/>
      <c r="FW552" s="219"/>
      <c r="FX552" s="219"/>
      <c r="FY552" s="219"/>
      <c r="FZ552" s="219"/>
      <c r="GA552" s="219"/>
      <c r="GB552" s="219"/>
      <c r="GC552" s="219"/>
      <c r="GD552" s="219"/>
      <c r="GE552" s="219"/>
      <c r="GF552" s="219"/>
      <c r="GG552" s="219"/>
      <c r="GH552" s="219"/>
      <c r="GI552" s="219"/>
      <c r="GJ552" s="219"/>
      <c r="GK552" s="219"/>
      <c r="GL552" s="219"/>
      <c r="GM552" s="219"/>
      <c r="GN552" s="219"/>
      <c r="GO552" s="219"/>
      <c r="GP552" s="219"/>
      <c r="GQ552" s="219"/>
      <c r="GR552" s="219"/>
      <c r="GS552" s="219"/>
      <c r="GT552" s="219"/>
      <c r="GU552" s="219"/>
      <c r="GV552" s="219"/>
      <c r="GW552" s="219"/>
      <c r="GX552" s="219"/>
      <c r="GY552" s="219"/>
      <c r="GZ552" s="219"/>
      <c r="HA552" s="219"/>
      <c r="HB552" s="219"/>
      <c r="HC552" s="219"/>
      <c r="HD552" s="219"/>
      <c r="HE552" s="219"/>
      <c r="HF552" s="219"/>
      <c r="HG552" s="219"/>
      <c r="HH552" s="219"/>
      <c r="HI552" s="219"/>
      <c r="HJ552" s="219"/>
      <c r="HK552" s="219"/>
      <c r="HL552" s="219"/>
      <c r="HM552" s="219"/>
      <c r="HN552" s="219"/>
      <c r="HO552" s="219"/>
      <c r="HP552" s="219"/>
      <c r="HQ552" s="219"/>
      <c r="HR552" s="219"/>
      <c r="HS552" s="219"/>
      <c r="HT552" s="219"/>
      <c r="HU552" s="219"/>
      <c r="HV552" s="219"/>
      <c r="HW552" s="219"/>
      <c r="HX552" s="219"/>
      <c r="HY552" s="219"/>
      <c r="HZ552" s="219"/>
      <c r="IA552" s="219"/>
      <c r="IB552" s="219"/>
      <c r="IC552" s="219"/>
      <c r="ID552" s="219"/>
      <c r="IE552" s="219"/>
      <c r="IF552" s="219"/>
      <c r="IG552" s="219"/>
      <c r="IH552" s="219"/>
      <c r="II552" s="219"/>
      <c r="IJ552" s="219"/>
      <c r="IK552" s="219"/>
      <c r="IL552" s="219"/>
      <c r="IM552" s="219"/>
      <c r="IN552" s="219"/>
      <c r="IO552" s="219"/>
      <c r="IP552" s="219"/>
      <c r="IQ552" s="219"/>
      <c r="IR552" s="219"/>
      <c r="IS552" s="219"/>
      <c r="IT552" s="219"/>
      <c r="IU552" s="219"/>
      <c r="IV552" s="219"/>
    </row>
    <row r="553" spans="1:256" x14ac:dyDescent="0.2">
      <c r="A553" s="204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  <c r="AB553" s="219"/>
      <c r="AC553" s="219"/>
      <c r="AD553" s="219"/>
      <c r="AE553" s="219"/>
      <c r="AF553" s="219"/>
      <c r="AG553" s="219"/>
      <c r="AH553" s="219"/>
      <c r="AI553" s="219"/>
      <c r="AJ553" s="219"/>
      <c r="AK553" s="219"/>
      <c r="AL553" s="219"/>
      <c r="AM553" s="219"/>
      <c r="AN553" s="219"/>
      <c r="AO553" s="219"/>
      <c r="AP553" s="219"/>
      <c r="AQ553" s="219"/>
      <c r="AR553" s="219"/>
      <c r="AS553" s="219"/>
      <c r="AT553" s="219"/>
      <c r="AU553" s="219"/>
      <c r="AV553" s="219"/>
      <c r="AW553" s="219"/>
      <c r="AX553" s="219"/>
      <c r="AY553" s="219"/>
      <c r="AZ553" s="219"/>
      <c r="BA553" s="219"/>
      <c r="BB553" s="219"/>
      <c r="BC553" s="219"/>
      <c r="BD553" s="219"/>
      <c r="BE553" s="219"/>
      <c r="BF553" s="219"/>
      <c r="BG553" s="219"/>
      <c r="BH553" s="219"/>
      <c r="BI553" s="219"/>
      <c r="BJ553" s="219"/>
      <c r="BK553" s="219"/>
      <c r="BL553" s="219"/>
      <c r="BM553" s="219"/>
      <c r="BN553" s="219"/>
      <c r="BO553" s="219"/>
      <c r="BP553" s="219"/>
      <c r="BQ553" s="219"/>
      <c r="BR553" s="219"/>
      <c r="BS553" s="219"/>
      <c r="BT553" s="219"/>
      <c r="BU553" s="219"/>
      <c r="BV553" s="219"/>
      <c r="BW553" s="219"/>
      <c r="BX553" s="219"/>
      <c r="BY553" s="219"/>
      <c r="BZ553" s="219"/>
      <c r="CA553" s="219"/>
      <c r="CB553" s="219"/>
      <c r="CC553" s="219"/>
      <c r="CD553" s="219"/>
      <c r="CE553" s="219"/>
      <c r="CF553" s="219"/>
      <c r="CG553" s="219"/>
      <c r="CH553" s="219"/>
      <c r="CI553" s="219"/>
      <c r="CJ553" s="219"/>
      <c r="CK553" s="219"/>
      <c r="CL553" s="219"/>
      <c r="CM553" s="219"/>
      <c r="CN553" s="219"/>
      <c r="CO553" s="219"/>
      <c r="CP553" s="219"/>
      <c r="CQ553" s="219"/>
      <c r="CR553" s="219"/>
      <c r="CS553" s="219"/>
      <c r="CT553" s="219"/>
      <c r="CU553" s="219"/>
      <c r="CV553" s="219"/>
      <c r="CW553" s="219"/>
      <c r="CX553" s="219"/>
      <c r="CY553" s="219"/>
      <c r="CZ553" s="219"/>
      <c r="DA553" s="219"/>
      <c r="DB553" s="219"/>
      <c r="DC553" s="219"/>
      <c r="DD553" s="219"/>
      <c r="DE553" s="219"/>
      <c r="DF553" s="219"/>
      <c r="DG553" s="219"/>
      <c r="DH553" s="219"/>
      <c r="DI553" s="219"/>
      <c r="DJ553" s="219"/>
      <c r="DK553" s="219"/>
      <c r="DL553" s="219"/>
      <c r="DM553" s="219"/>
      <c r="DN553" s="219"/>
      <c r="DO553" s="219"/>
      <c r="DP553" s="219"/>
      <c r="DQ553" s="219"/>
      <c r="DR553" s="219"/>
      <c r="DS553" s="219"/>
      <c r="DT553" s="219"/>
      <c r="DU553" s="219"/>
      <c r="DV553" s="219"/>
      <c r="DW553" s="219"/>
      <c r="DX553" s="219"/>
      <c r="DY553" s="219"/>
      <c r="DZ553" s="219"/>
      <c r="EA553" s="219"/>
      <c r="EB553" s="219"/>
      <c r="EC553" s="219"/>
      <c r="ED553" s="219"/>
      <c r="EE553" s="219"/>
      <c r="EF553" s="219"/>
      <c r="EG553" s="219"/>
      <c r="EH553" s="219"/>
      <c r="EI553" s="219"/>
      <c r="EJ553" s="219"/>
      <c r="EK553" s="219"/>
      <c r="EL553" s="219"/>
      <c r="EM553" s="219"/>
      <c r="EN553" s="219"/>
      <c r="EO553" s="219"/>
      <c r="EP553" s="219"/>
      <c r="EQ553" s="219"/>
      <c r="ER553" s="219"/>
      <c r="ES553" s="219"/>
      <c r="ET553" s="219"/>
      <c r="EU553" s="219"/>
      <c r="EV553" s="219"/>
      <c r="EW553" s="219"/>
      <c r="EX553" s="219"/>
      <c r="EY553" s="219"/>
      <c r="EZ553" s="219"/>
      <c r="FA553" s="219"/>
      <c r="FB553" s="219"/>
      <c r="FC553" s="219"/>
      <c r="FD553" s="219"/>
      <c r="FE553" s="219"/>
      <c r="FF553" s="219"/>
      <c r="FG553" s="219"/>
      <c r="FH553" s="219"/>
      <c r="FI553" s="219"/>
      <c r="FJ553" s="219"/>
      <c r="FK553" s="219"/>
      <c r="FL553" s="219"/>
      <c r="FM553" s="219"/>
      <c r="FN553" s="219"/>
      <c r="FO553" s="219"/>
      <c r="FP553" s="219"/>
      <c r="FQ553" s="219"/>
      <c r="FR553" s="219"/>
      <c r="FS553" s="219"/>
      <c r="FT553" s="219"/>
      <c r="FU553" s="219"/>
      <c r="FV553" s="219"/>
      <c r="FW553" s="219"/>
      <c r="FX553" s="219"/>
      <c r="FY553" s="219"/>
      <c r="FZ553" s="219"/>
      <c r="GA553" s="219"/>
      <c r="GB553" s="219"/>
      <c r="GC553" s="219"/>
      <c r="GD553" s="219"/>
      <c r="GE553" s="219"/>
      <c r="GF553" s="219"/>
      <c r="GG553" s="219"/>
      <c r="GH553" s="219"/>
      <c r="GI553" s="219"/>
      <c r="GJ553" s="219"/>
      <c r="GK553" s="219"/>
      <c r="GL553" s="219"/>
      <c r="GM553" s="219"/>
      <c r="GN553" s="219"/>
      <c r="GO553" s="219"/>
      <c r="GP553" s="219"/>
      <c r="GQ553" s="219"/>
      <c r="GR553" s="219"/>
      <c r="GS553" s="219"/>
      <c r="GT553" s="219"/>
      <c r="GU553" s="219"/>
      <c r="GV553" s="219"/>
      <c r="GW553" s="219"/>
      <c r="GX553" s="219"/>
      <c r="GY553" s="219"/>
      <c r="GZ553" s="219"/>
      <c r="HA553" s="219"/>
      <c r="HB553" s="219"/>
      <c r="HC553" s="219"/>
      <c r="HD553" s="219"/>
      <c r="HE553" s="219"/>
      <c r="HF553" s="219"/>
      <c r="HG553" s="219"/>
      <c r="HH553" s="219"/>
      <c r="HI553" s="219"/>
      <c r="HJ553" s="219"/>
      <c r="HK553" s="219"/>
      <c r="HL553" s="219"/>
      <c r="HM553" s="219"/>
      <c r="HN553" s="219"/>
      <c r="HO553" s="219"/>
      <c r="HP553" s="219"/>
      <c r="HQ553" s="219"/>
      <c r="HR553" s="219"/>
      <c r="HS553" s="219"/>
      <c r="HT553" s="219"/>
      <c r="HU553" s="219"/>
      <c r="HV553" s="219"/>
      <c r="HW553" s="219"/>
      <c r="HX553" s="219"/>
      <c r="HY553" s="219"/>
      <c r="HZ553" s="219"/>
      <c r="IA553" s="219"/>
      <c r="IB553" s="219"/>
      <c r="IC553" s="219"/>
      <c r="ID553" s="219"/>
      <c r="IE553" s="219"/>
      <c r="IF553" s="219"/>
      <c r="IG553" s="219"/>
      <c r="IH553" s="219"/>
      <c r="II553" s="219"/>
      <c r="IJ553" s="219"/>
      <c r="IK553" s="219"/>
      <c r="IL553" s="219"/>
      <c r="IM553" s="219"/>
      <c r="IN553" s="219"/>
      <c r="IO553" s="219"/>
      <c r="IP553" s="219"/>
      <c r="IQ553" s="219"/>
      <c r="IR553" s="219"/>
      <c r="IS553" s="219"/>
      <c r="IT553" s="219"/>
      <c r="IU553" s="219"/>
      <c r="IV553" s="219"/>
    </row>
    <row r="554" spans="1:256" x14ac:dyDescent="0.2">
      <c r="A554" s="204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  <c r="AB554" s="219"/>
      <c r="AC554" s="219"/>
      <c r="AD554" s="219"/>
      <c r="AE554" s="219"/>
      <c r="AF554" s="219"/>
      <c r="AG554" s="219"/>
      <c r="AH554" s="219"/>
      <c r="AI554" s="219"/>
      <c r="AJ554" s="219"/>
      <c r="AK554" s="219"/>
      <c r="AL554" s="219"/>
      <c r="AM554" s="219"/>
      <c r="AN554" s="219"/>
      <c r="AO554" s="219"/>
      <c r="AP554" s="219"/>
      <c r="AQ554" s="219"/>
      <c r="AR554" s="219"/>
      <c r="AS554" s="219"/>
      <c r="AT554" s="219"/>
      <c r="AU554" s="219"/>
      <c r="AV554" s="219"/>
      <c r="AW554" s="219"/>
      <c r="AX554" s="219"/>
      <c r="AY554" s="219"/>
      <c r="AZ554" s="219"/>
      <c r="BA554" s="219"/>
      <c r="BB554" s="219"/>
      <c r="BC554" s="219"/>
      <c r="BD554" s="219"/>
      <c r="BE554" s="219"/>
      <c r="BF554" s="219"/>
      <c r="BG554" s="219"/>
      <c r="BH554" s="219"/>
      <c r="BI554" s="219"/>
      <c r="BJ554" s="219"/>
      <c r="BK554" s="219"/>
      <c r="BL554" s="219"/>
      <c r="BM554" s="219"/>
      <c r="BN554" s="219"/>
      <c r="BO554" s="219"/>
      <c r="BP554" s="219"/>
      <c r="BQ554" s="219"/>
      <c r="BR554" s="219"/>
      <c r="BS554" s="219"/>
      <c r="BT554" s="219"/>
      <c r="BU554" s="219"/>
      <c r="BV554" s="219"/>
      <c r="BW554" s="219"/>
      <c r="BX554" s="219"/>
      <c r="BY554" s="219"/>
      <c r="BZ554" s="219"/>
      <c r="CA554" s="219"/>
      <c r="CB554" s="219"/>
      <c r="CC554" s="219"/>
      <c r="CD554" s="219"/>
      <c r="CE554" s="219"/>
      <c r="CF554" s="219"/>
      <c r="CG554" s="219"/>
      <c r="CH554" s="219"/>
      <c r="CI554" s="219"/>
      <c r="CJ554" s="219"/>
      <c r="CK554" s="219"/>
      <c r="CL554" s="219"/>
      <c r="CM554" s="219"/>
      <c r="CN554" s="219"/>
      <c r="CO554" s="219"/>
      <c r="CP554" s="219"/>
      <c r="CQ554" s="219"/>
      <c r="CR554" s="219"/>
      <c r="CS554" s="219"/>
      <c r="CT554" s="219"/>
      <c r="CU554" s="219"/>
      <c r="CV554" s="219"/>
      <c r="CW554" s="219"/>
      <c r="CX554" s="219"/>
      <c r="CY554" s="219"/>
      <c r="CZ554" s="219"/>
      <c r="DA554" s="219"/>
      <c r="DB554" s="219"/>
      <c r="DC554" s="219"/>
      <c r="DD554" s="219"/>
      <c r="DE554" s="219"/>
      <c r="DF554" s="219"/>
      <c r="DG554" s="219"/>
      <c r="DH554" s="219"/>
      <c r="DI554" s="219"/>
      <c r="DJ554" s="219"/>
      <c r="DK554" s="219"/>
      <c r="DL554" s="219"/>
      <c r="DM554" s="219"/>
      <c r="DN554" s="219"/>
      <c r="DO554" s="219"/>
      <c r="DP554" s="219"/>
      <c r="DQ554" s="219"/>
      <c r="DR554" s="219"/>
      <c r="DS554" s="219"/>
      <c r="DT554" s="219"/>
      <c r="DU554" s="219"/>
      <c r="DV554" s="219"/>
      <c r="DW554" s="219"/>
      <c r="DX554" s="219"/>
      <c r="DY554" s="219"/>
      <c r="DZ554" s="219"/>
      <c r="EA554" s="219"/>
      <c r="EB554" s="219"/>
      <c r="EC554" s="219"/>
      <c r="ED554" s="219"/>
      <c r="EE554" s="219"/>
      <c r="EF554" s="219"/>
      <c r="EG554" s="219"/>
      <c r="EH554" s="219"/>
      <c r="EI554" s="219"/>
      <c r="EJ554" s="219"/>
      <c r="EK554" s="219"/>
      <c r="EL554" s="219"/>
      <c r="EM554" s="219"/>
      <c r="EN554" s="219"/>
      <c r="EO554" s="219"/>
      <c r="EP554" s="219"/>
      <c r="EQ554" s="219"/>
      <c r="ER554" s="219"/>
      <c r="ES554" s="219"/>
      <c r="ET554" s="219"/>
      <c r="EU554" s="219"/>
      <c r="EV554" s="219"/>
      <c r="EW554" s="219"/>
      <c r="EX554" s="219"/>
      <c r="EY554" s="219"/>
      <c r="EZ554" s="219"/>
      <c r="FA554" s="219"/>
      <c r="FB554" s="219"/>
      <c r="FC554" s="219"/>
      <c r="FD554" s="219"/>
      <c r="FE554" s="219"/>
      <c r="FF554" s="219"/>
      <c r="FG554" s="219"/>
      <c r="FH554" s="219"/>
      <c r="FI554" s="219"/>
      <c r="FJ554" s="219"/>
      <c r="FK554" s="219"/>
      <c r="FL554" s="219"/>
      <c r="FM554" s="219"/>
      <c r="FN554" s="219"/>
      <c r="FO554" s="219"/>
      <c r="FP554" s="219"/>
      <c r="FQ554" s="219"/>
      <c r="FR554" s="219"/>
      <c r="FS554" s="219"/>
      <c r="FT554" s="219"/>
      <c r="FU554" s="219"/>
      <c r="FV554" s="219"/>
      <c r="FW554" s="219"/>
      <c r="FX554" s="219"/>
      <c r="FY554" s="219"/>
      <c r="FZ554" s="219"/>
      <c r="GA554" s="219"/>
      <c r="GB554" s="219"/>
      <c r="GC554" s="219"/>
      <c r="GD554" s="219"/>
      <c r="GE554" s="219"/>
      <c r="GF554" s="219"/>
      <c r="GG554" s="219"/>
      <c r="GH554" s="219"/>
      <c r="GI554" s="219"/>
      <c r="GJ554" s="219"/>
      <c r="GK554" s="219"/>
      <c r="GL554" s="219"/>
      <c r="GM554" s="219"/>
      <c r="GN554" s="219"/>
      <c r="GO554" s="219"/>
      <c r="GP554" s="219"/>
      <c r="GQ554" s="219"/>
      <c r="GR554" s="219"/>
      <c r="GS554" s="219"/>
      <c r="GT554" s="219"/>
      <c r="GU554" s="219"/>
      <c r="GV554" s="219"/>
      <c r="GW554" s="219"/>
      <c r="GX554" s="219"/>
      <c r="GY554" s="219"/>
      <c r="GZ554" s="219"/>
      <c r="HA554" s="219"/>
      <c r="HB554" s="219"/>
      <c r="HC554" s="219"/>
      <c r="HD554" s="219"/>
      <c r="HE554" s="219"/>
      <c r="HF554" s="219"/>
      <c r="HG554" s="219"/>
      <c r="HH554" s="219"/>
      <c r="HI554" s="219"/>
      <c r="HJ554" s="219"/>
      <c r="HK554" s="219"/>
      <c r="HL554" s="219"/>
      <c r="HM554" s="219"/>
      <c r="HN554" s="219"/>
      <c r="HO554" s="219"/>
      <c r="HP554" s="219"/>
      <c r="HQ554" s="219"/>
      <c r="HR554" s="219"/>
      <c r="HS554" s="219"/>
      <c r="HT554" s="219"/>
      <c r="HU554" s="219"/>
      <c r="HV554" s="219"/>
      <c r="HW554" s="219"/>
      <c r="HX554" s="219"/>
      <c r="HY554" s="219"/>
      <c r="HZ554" s="219"/>
      <c r="IA554" s="219"/>
      <c r="IB554" s="219"/>
      <c r="IC554" s="219"/>
      <c r="ID554" s="219"/>
      <c r="IE554" s="219"/>
      <c r="IF554" s="219"/>
      <c r="IG554" s="219"/>
      <c r="IH554" s="219"/>
      <c r="II554" s="219"/>
      <c r="IJ554" s="219"/>
      <c r="IK554" s="219"/>
      <c r="IL554" s="219"/>
      <c r="IM554" s="219"/>
      <c r="IN554" s="219"/>
      <c r="IO554" s="219"/>
      <c r="IP554" s="219"/>
      <c r="IQ554" s="219"/>
      <c r="IR554" s="219"/>
      <c r="IS554" s="219"/>
      <c r="IT554" s="219"/>
      <c r="IU554" s="219"/>
      <c r="IV554" s="219"/>
    </row>
    <row r="555" spans="1:256" x14ac:dyDescent="0.2">
      <c r="A555" s="204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  <c r="AB555" s="219"/>
      <c r="AC555" s="219"/>
      <c r="AD555" s="219"/>
      <c r="AE555" s="219"/>
      <c r="AF555" s="219"/>
      <c r="AG555" s="219"/>
      <c r="AH555" s="219"/>
      <c r="AI555" s="219"/>
      <c r="AJ555" s="219"/>
      <c r="AK555" s="219"/>
      <c r="AL555" s="219"/>
      <c r="AM555" s="219"/>
      <c r="AN555" s="219"/>
      <c r="AO555" s="219"/>
      <c r="AP555" s="219"/>
      <c r="AQ555" s="219"/>
      <c r="AR555" s="219"/>
      <c r="AS555" s="219"/>
      <c r="AT555" s="219"/>
      <c r="AU555" s="219"/>
      <c r="AV555" s="219"/>
      <c r="AW555" s="219"/>
      <c r="AX555" s="219"/>
      <c r="AY555" s="219"/>
      <c r="AZ555" s="219"/>
      <c r="BA555" s="219"/>
      <c r="BB555" s="219"/>
      <c r="BC555" s="219"/>
      <c r="BD555" s="219"/>
      <c r="BE555" s="219"/>
      <c r="BF555" s="219"/>
      <c r="BG555" s="219"/>
      <c r="BH555" s="219"/>
      <c r="BI555" s="219"/>
      <c r="BJ555" s="219"/>
      <c r="BK555" s="219"/>
      <c r="BL555" s="219"/>
      <c r="BM555" s="219"/>
      <c r="BN555" s="219"/>
      <c r="BO555" s="219"/>
      <c r="BP555" s="219"/>
      <c r="BQ555" s="219"/>
      <c r="BR555" s="219"/>
      <c r="BS555" s="219"/>
      <c r="BT555" s="219"/>
      <c r="BU555" s="219"/>
      <c r="BV555" s="219"/>
      <c r="BW555" s="219"/>
      <c r="BX555" s="219"/>
      <c r="BY555" s="219"/>
      <c r="BZ555" s="219"/>
      <c r="CA555" s="219"/>
      <c r="CB555" s="219"/>
      <c r="CC555" s="219"/>
      <c r="CD555" s="219"/>
      <c r="CE555" s="219"/>
      <c r="CF555" s="219"/>
      <c r="CG555" s="219"/>
      <c r="CH555" s="219"/>
      <c r="CI555" s="219"/>
      <c r="CJ555" s="219"/>
      <c r="CK555" s="219"/>
      <c r="CL555" s="219"/>
      <c r="CM555" s="219"/>
      <c r="CN555" s="219"/>
      <c r="CO555" s="219"/>
      <c r="CP555" s="219"/>
      <c r="CQ555" s="219"/>
      <c r="CR555" s="219"/>
      <c r="CS555" s="219"/>
      <c r="CT555" s="219"/>
      <c r="CU555" s="219"/>
      <c r="CV555" s="219"/>
      <c r="CW555" s="219"/>
      <c r="CX555" s="219"/>
      <c r="CY555" s="219"/>
      <c r="CZ555" s="219"/>
      <c r="DA555" s="219"/>
      <c r="DB555" s="219"/>
      <c r="DC555" s="219"/>
      <c r="DD555" s="219"/>
      <c r="DE555" s="219"/>
      <c r="DF555" s="219"/>
      <c r="DG555" s="219"/>
      <c r="DH555" s="219"/>
      <c r="DI555" s="219"/>
      <c r="DJ555" s="219"/>
      <c r="DK555" s="219"/>
      <c r="DL555" s="219"/>
      <c r="DM555" s="219"/>
      <c r="DN555" s="219"/>
      <c r="DO555" s="219"/>
      <c r="DP555" s="219"/>
      <c r="DQ555" s="219"/>
      <c r="DR555" s="219"/>
      <c r="DS555" s="219"/>
      <c r="DT555" s="219"/>
      <c r="DU555" s="219"/>
      <c r="DV555" s="219"/>
      <c r="DW555" s="219"/>
      <c r="DX555" s="219"/>
      <c r="DY555" s="219"/>
      <c r="DZ555" s="219"/>
      <c r="EA555" s="219"/>
      <c r="EB555" s="219"/>
      <c r="EC555" s="219"/>
      <c r="ED555" s="219"/>
      <c r="EE555" s="219"/>
      <c r="EF555" s="219"/>
      <c r="EG555" s="219"/>
      <c r="EH555" s="219"/>
      <c r="EI555" s="219"/>
      <c r="EJ555" s="219"/>
      <c r="EK555" s="219"/>
      <c r="EL555" s="219"/>
      <c r="EM555" s="219"/>
      <c r="EN555" s="219"/>
      <c r="EO555" s="219"/>
      <c r="EP555" s="219"/>
      <c r="EQ555" s="219"/>
      <c r="ER555" s="219"/>
      <c r="ES555" s="219"/>
      <c r="ET555" s="219"/>
      <c r="EU555" s="219"/>
      <c r="EV555" s="219"/>
      <c r="EW555" s="219"/>
      <c r="EX555" s="219"/>
      <c r="EY555" s="219"/>
      <c r="EZ555" s="219"/>
      <c r="FA555" s="219"/>
      <c r="FB555" s="219"/>
      <c r="FC555" s="219"/>
      <c r="FD555" s="219"/>
      <c r="FE555" s="219"/>
      <c r="FF555" s="219"/>
      <c r="FG555" s="219"/>
      <c r="FH555" s="219"/>
      <c r="FI555" s="219"/>
      <c r="FJ555" s="219"/>
      <c r="FK555" s="219"/>
      <c r="FL555" s="219"/>
      <c r="FM555" s="219"/>
      <c r="FN555" s="219"/>
      <c r="FO555" s="219"/>
      <c r="FP555" s="219"/>
      <c r="FQ555" s="219"/>
      <c r="FR555" s="219"/>
      <c r="FS555" s="219"/>
      <c r="FT555" s="219"/>
      <c r="FU555" s="219"/>
      <c r="FV555" s="219"/>
      <c r="FW555" s="219"/>
      <c r="FX555" s="219"/>
      <c r="FY555" s="219"/>
      <c r="FZ555" s="219"/>
      <c r="GA555" s="219"/>
      <c r="GB555" s="219"/>
      <c r="GC555" s="219"/>
      <c r="GD555" s="219"/>
      <c r="GE555" s="219"/>
      <c r="GF555" s="219"/>
      <c r="GG555" s="219"/>
      <c r="GH555" s="219"/>
      <c r="GI555" s="219"/>
      <c r="GJ555" s="219"/>
      <c r="GK555" s="219"/>
      <c r="GL555" s="219"/>
      <c r="GM555" s="219"/>
      <c r="GN555" s="219"/>
      <c r="GO555" s="219"/>
      <c r="GP555" s="219"/>
      <c r="GQ555" s="219"/>
      <c r="GR555" s="219"/>
      <c r="GS555" s="219"/>
      <c r="GT555" s="219"/>
      <c r="GU555" s="219"/>
      <c r="GV555" s="219"/>
      <c r="GW555" s="219"/>
      <c r="GX555" s="219"/>
      <c r="GY555" s="219"/>
      <c r="GZ555" s="219"/>
      <c r="HA555" s="219"/>
      <c r="HB555" s="219"/>
      <c r="HC555" s="219"/>
      <c r="HD555" s="219"/>
      <c r="HE555" s="219"/>
      <c r="HF555" s="219"/>
      <c r="HG555" s="219"/>
      <c r="HH555" s="219"/>
      <c r="HI555" s="219"/>
      <c r="HJ555" s="219"/>
      <c r="HK555" s="219"/>
      <c r="HL555" s="219"/>
      <c r="HM555" s="219"/>
      <c r="HN555" s="219"/>
      <c r="HO555" s="219"/>
      <c r="HP555" s="219"/>
      <c r="HQ555" s="219"/>
      <c r="HR555" s="219"/>
      <c r="HS555" s="219"/>
      <c r="HT555" s="219"/>
      <c r="HU555" s="219"/>
      <c r="HV555" s="219"/>
      <c r="HW555" s="219"/>
      <c r="HX555" s="219"/>
      <c r="HY555" s="219"/>
      <c r="HZ555" s="219"/>
      <c r="IA555" s="219"/>
      <c r="IB555" s="219"/>
      <c r="IC555" s="219"/>
      <c r="ID555" s="219"/>
      <c r="IE555" s="219"/>
      <c r="IF555" s="219"/>
      <c r="IG555" s="219"/>
      <c r="IH555" s="219"/>
      <c r="II555" s="219"/>
      <c r="IJ555" s="219"/>
      <c r="IK555" s="219"/>
      <c r="IL555" s="219"/>
      <c r="IM555" s="219"/>
      <c r="IN555" s="219"/>
      <c r="IO555" s="219"/>
      <c r="IP555" s="219"/>
      <c r="IQ555" s="219"/>
      <c r="IR555" s="219"/>
      <c r="IS555" s="219"/>
      <c r="IT555" s="219"/>
      <c r="IU555" s="219"/>
      <c r="IV555" s="219"/>
    </row>
    <row r="556" spans="1:256" x14ac:dyDescent="0.2">
      <c r="A556" s="204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  <c r="AB556" s="219"/>
      <c r="AC556" s="219"/>
      <c r="AD556" s="219"/>
      <c r="AE556" s="219"/>
      <c r="AF556" s="219"/>
      <c r="AG556" s="219"/>
      <c r="AH556" s="219"/>
      <c r="AI556" s="219"/>
      <c r="AJ556" s="219"/>
      <c r="AK556" s="219"/>
      <c r="AL556" s="219"/>
      <c r="AM556" s="219"/>
      <c r="AN556" s="219"/>
      <c r="AO556" s="219"/>
      <c r="AP556" s="219"/>
      <c r="AQ556" s="219"/>
      <c r="AR556" s="219"/>
      <c r="AS556" s="219"/>
      <c r="AT556" s="219"/>
      <c r="AU556" s="219"/>
      <c r="AV556" s="219"/>
      <c r="AW556" s="219"/>
      <c r="AX556" s="219"/>
      <c r="AY556" s="219"/>
      <c r="AZ556" s="219"/>
      <c r="BA556" s="219"/>
      <c r="BB556" s="219"/>
      <c r="BC556" s="219"/>
      <c r="BD556" s="219"/>
      <c r="BE556" s="219"/>
      <c r="BF556" s="219"/>
      <c r="BG556" s="219"/>
      <c r="BH556" s="219"/>
      <c r="BI556" s="219"/>
      <c r="BJ556" s="219"/>
      <c r="BK556" s="219"/>
      <c r="BL556" s="219"/>
      <c r="BM556" s="219"/>
      <c r="BN556" s="219"/>
      <c r="BO556" s="219"/>
      <c r="BP556" s="219"/>
      <c r="BQ556" s="219"/>
      <c r="BR556" s="219"/>
      <c r="BS556" s="219"/>
      <c r="BT556" s="219"/>
      <c r="BU556" s="219"/>
      <c r="BV556" s="219"/>
      <c r="BW556" s="219"/>
      <c r="BX556" s="219"/>
      <c r="BY556" s="219"/>
      <c r="BZ556" s="219"/>
      <c r="CA556" s="219"/>
      <c r="CB556" s="219"/>
      <c r="CC556" s="219"/>
      <c r="CD556" s="219"/>
      <c r="CE556" s="219"/>
      <c r="CF556" s="219"/>
      <c r="CG556" s="219"/>
      <c r="CH556" s="219"/>
      <c r="CI556" s="219"/>
      <c r="CJ556" s="219"/>
      <c r="CK556" s="219"/>
      <c r="CL556" s="219"/>
      <c r="CM556" s="219"/>
      <c r="CN556" s="219"/>
      <c r="CO556" s="219"/>
      <c r="CP556" s="219"/>
      <c r="CQ556" s="219"/>
      <c r="CR556" s="219"/>
      <c r="CS556" s="219"/>
      <c r="CT556" s="219"/>
      <c r="CU556" s="219"/>
      <c r="CV556" s="219"/>
      <c r="CW556" s="219"/>
      <c r="CX556" s="219"/>
      <c r="CY556" s="219"/>
      <c r="CZ556" s="219"/>
      <c r="DA556" s="219"/>
      <c r="DB556" s="219"/>
      <c r="DC556" s="219"/>
      <c r="DD556" s="219"/>
      <c r="DE556" s="219"/>
      <c r="DF556" s="219"/>
      <c r="DG556" s="219"/>
      <c r="DH556" s="219"/>
      <c r="DI556" s="219"/>
      <c r="DJ556" s="219"/>
      <c r="DK556" s="219"/>
      <c r="DL556" s="219"/>
      <c r="DM556" s="219"/>
      <c r="DN556" s="219"/>
      <c r="DO556" s="219"/>
      <c r="DP556" s="219"/>
      <c r="DQ556" s="219"/>
      <c r="DR556" s="219"/>
      <c r="DS556" s="219"/>
      <c r="DT556" s="219"/>
      <c r="DU556" s="219"/>
      <c r="DV556" s="219"/>
      <c r="DW556" s="219"/>
      <c r="DX556" s="219"/>
      <c r="DY556" s="219"/>
      <c r="DZ556" s="219"/>
      <c r="EA556" s="219"/>
      <c r="EB556" s="219"/>
      <c r="EC556" s="219"/>
      <c r="ED556" s="219"/>
      <c r="EE556" s="219"/>
      <c r="EF556" s="219"/>
      <c r="EG556" s="219"/>
      <c r="EH556" s="219"/>
      <c r="EI556" s="219"/>
      <c r="EJ556" s="219"/>
      <c r="EK556" s="219"/>
      <c r="EL556" s="219"/>
      <c r="EM556" s="219"/>
      <c r="EN556" s="219"/>
      <c r="EO556" s="219"/>
      <c r="EP556" s="219"/>
      <c r="EQ556" s="219"/>
      <c r="ER556" s="219"/>
      <c r="ES556" s="219"/>
      <c r="ET556" s="219"/>
      <c r="EU556" s="219"/>
      <c r="EV556" s="219"/>
      <c r="EW556" s="219"/>
      <c r="EX556" s="219"/>
      <c r="EY556" s="219"/>
      <c r="EZ556" s="219"/>
      <c r="FA556" s="219"/>
      <c r="FB556" s="219"/>
      <c r="FC556" s="219"/>
      <c r="FD556" s="219"/>
      <c r="FE556" s="219"/>
      <c r="FF556" s="219"/>
      <c r="FG556" s="219"/>
      <c r="FH556" s="219"/>
      <c r="FI556" s="219"/>
      <c r="FJ556" s="219"/>
      <c r="FK556" s="219"/>
      <c r="FL556" s="219"/>
      <c r="FM556" s="219"/>
      <c r="FN556" s="219"/>
      <c r="FO556" s="219"/>
      <c r="FP556" s="219"/>
      <c r="FQ556" s="219"/>
      <c r="FR556" s="219"/>
      <c r="FS556" s="219"/>
      <c r="FT556" s="219"/>
      <c r="FU556" s="219"/>
      <c r="FV556" s="219"/>
      <c r="FW556" s="219"/>
      <c r="FX556" s="219"/>
      <c r="FY556" s="219"/>
      <c r="FZ556" s="219"/>
      <c r="GA556" s="219"/>
      <c r="GB556" s="219"/>
      <c r="GC556" s="219"/>
      <c r="GD556" s="219"/>
      <c r="GE556" s="219"/>
      <c r="GF556" s="219"/>
      <c r="GG556" s="219"/>
      <c r="GH556" s="219"/>
      <c r="GI556" s="219"/>
      <c r="GJ556" s="219"/>
      <c r="GK556" s="219"/>
      <c r="GL556" s="219"/>
      <c r="GM556" s="219"/>
      <c r="GN556" s="219"/>
      <c r="GO556" s="219"/>
      <c r="GP556" s="219"/>
      <c r="GQ556" s="219"/>
      <c r="GR556" s="219"/>
      <c r="GS556" s="219"/>
      <c r="GT556" s="219"/>
      <c r="GU556" s="219"/>
      <c r="GV556" s="219"/>
      <c r="GW556" s="219"/>
      <c r="GX556" s="219"/>
      <c r="GY556" s="219"/>
      <c r="GZ556" s="219"/>
      <c r="HA556" s="219"/>
      <c r="HB556" s="219"/>
      <c r="HC556" s="219"/>
      <c r="HD556" s="219"/>
      <c r="HE556" s="219"/>
      <c r="HF556" s="219"/>
      <c r="HG556" s="219"/>
      <c r="HH556" s="219"/>
      <c r="HI556" s="219"/>
      <c r="HJ556" s="219"/>
      <c r="HK556" s="219"/>
      <c r="HL556" s="219"/>
      <c r="HM556" s="219"/>
      <c r="HN556" s="219"/>
      <c r="HO556" s="219"/>
      <c r="HP556" s="219"/>
      <c r="HQ556" s="219"/>
      <c r="HR556" s="219"/>
      <c r="HS556" s="219"/>
      <c r="HT556" s="219"/>
      <c r="HU556" s="219"/>
      <c r="HV556" s="219"/>
      <c r="HW556" s="219"/>
      <c r="HX556" s="219"/>
      <c r="HY556" s="219"/>
      <c r="HZ556" s="219"/>
      <c r="IA556" s="219"/>
      <c r="IB556" s="219"/>
      <c r="IC556" s="219"/>
      <c r="ID556" s="219"/>
      <c r="IE556" s="219"/>
      <c r="IF556" s="219"/>
      <c r="IG556" s="219"/>
      <c r="IH556" s="219"/>
      <c r="II556" s="219"/>
      <c r="IJ556" s="219"/>
      <c r="IK556" s="219"/>
      <c r="IL556" s="219"/>
      <c r="IM556" s="219"/>
      <c r="IN556" s="219"/>
      <c r="IO556" s="219"/>
      <c r="IP556" s="219"/>
      <c r="IQ556" s="219"/>
      <c r="IR556" s="219"/>
      <c r="IS556" s="219"/>
      <c r="IT556" s="219"/>
      <c r="IU556" s="219"/>
      <c r="IV556" s="219"/>
    </row>
    <row r="557" spans="1:256" x14ac:dyDescent="0.2">
      <c r="A557" s="204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  <c r="AB557" s="219"/>
      <c r="AC557" s="219"/>
      <c r="AD557" s="219"/>
      <c r="AE557" s="219"/>
      <c r="AF557" s="219"/>
      <c r="AG557" s="219"/>
      <c r="AH557" s="219"/>
      <c r="AI557" s="219"/>
      <c r="AJ557" s="219"/>
      <c r="AK557" s="219"/>
      <c r="AL557" s="219"/>
      <c r="AM557" s="219"/>
      <c r="AN557" s="219"/>
      <c r="AO557" s="219"/>
      <c r="AP557" s="219"/>
      <c r="AQ557" s="219"/>
      <c r="AR557" s="219"/>
      <c r="AS557" s="219"/>
      <c r="AT557" s="219"/>
      <c r="AU557" s="219"/>
      <c r="AV557" s="219"/>
      <c r="AW557" s="219"/>
      <c r="AX557" s="219"/>
      <c r="AY557" s="219"/>
      <c r="AZ557" s="219"/>
      <c r="BA557" s="219"/>
      <c r="BB557" s="219"/>
      <c r="BC557" s="219"/>
      <c r="BD557" s="219"/>
      <c r="BE557" s="219"/>
      <c r="BF557" s="219"/>
      <c r="BG557" s="219"/>
      <c r="BH557" s="219"/>
      <c r="BI557" s="219"/>
      <c r="BJ557" s="219"/>
      <c r="BK557" s="219"/>
      <c r="BL557" s="219"/>
      <c r="BM557" s="219"/>
      <c r="BN557" s="219"/>
      <c r="BO557" s="219"/>
      <c r="BP557" s="219"/>
      <c r="BQ557" s="219"/>
      <c r="BR557" s="219"/>
      <c r="BS557" s="219"/>
      <c r="BT557" s="219"/>
      <c r="BU557" s="219"/>
      <c r="BV557" s="219"/>
      <c r="BW557" s="219"/>
      <c r="BX557" s="219"/>
      <c r="BY557" s="219"/>
      <c r="BZ557" s="219"/>
      <c r="CA557" s="219"/>
      <c r="CB557" s="219"/>
      <c r="CC557" s="219"/>
      <c r="CD557" s="219"/>
      <c r="CE557" s="219"/>
      <c r="CF557" s="219"/>
      <c r="CG557" s="219"/>
      <c r="CH557" s="219"/>
      <c r="CI557" s="219"/>
      <c r="CJ557" s="219"/>
      <c r="CK557" s="219"/>
      <c r="CL557" s="219"/>
      <c r="CM557" s="219"/>
      <c r="CN557" s="219"/>
      <c r="CO557" s="219"/>
      <c r="CP557" s="219"/>
      <c r="CQ557" s="219"/>
      <c r="CR557" s="219"/>
      <c r="CS557" s="219"/>
      <c r="CT557" s="219"/>
      <c r="CU557" s="219"/>
      <c r="CV557" s="219"/>
      <c r="CW557" s="219"/>
      <c r="CX557" s="219"/>
      <c r="CY557" s="219"/>
      <c r="CZ557" s="219"/>
      <c r="DA557" s="219"/>
      <c r="DB557" s="219"/>
      <c r="DC557" s="219"/>
      <c r="DD557" s="219"/>
      <c r="DE557" s="219"/>
      <c r="DF557" s="219"/>
      <c r="DG557" s="219"/>
      <c r="DH557" s="219"/>
      <c r="DI557" s="219"/>
      <c r="DJ557" s="219"/>
      <c r="DK557" s="219"/>
      <c r="DL557" s="219"/>
      <c r="DM557" s="219"/>
      <c r="DN557" s="219"/>
      <c r="DO557" s="219"/>
      <c r="DP557" s="219"/>
      <c r="DQ557" s="219"/>
      <c r="DR557" s="219"/>
      <c r="DS557" s="219"/>
      <c r="DT557" s="219"/>
      <c r="DU557" s="219"/>
      <c r="DV557" s="219"/>
      <c r="DW557" s="219"/>
      <c r="DX557" s="219"/>
      <c r="DY557" s="219"/>
      <c r="DZ557" s="219"/>
      <c r="EA557" s="219"/>
      <c r="EB557" s="219"/>
      <c r="EC557" s="219"/>
      <c r="ED557" s="219"/>
      <c r="EE557" s="219"/>
      <c r="EF557" s="219"/>
      <c r="EG557" s="219"/>
      <c r="EH557" s="219"/>
      <c r="EI557" s="219"/>
      <c r="EJ557" s="219"/>
      <c r="EK557" s="219"/>
      <c r="EL557" s="219"/>
      <c r="EM557" s="219"/>
      <c r="EN557" s="219"/>
      <c r="EO557" s="219"/>
      <c r="EP557" s="219"/>
      <c r="EQ557" s="219"/>
      <c r="ER557" s="219"/>
      <c r="ES557" s="219"/>
      <c r="ET557" s="219"/>
      <c r="EU557" s="219"/>
      <c r="EV557" s="219"/>
      <c r="EW557" s="219"/>
      <c r="EX557" s="219"/>
      <c r="EY557" s="219"/>
      <c r="EZ557" s="219"/>
      <c r="FA557" s="219"/>
      <c r="FB557" s="219"/>
      <c r="FC557" s="219"/>
      <c r="FD557" s="219"/>
      <c r="FE557" s="219"/>
      <c r="FF557" s="219"/>
      <c r="FG557" s="219"/>
      <c r="FH557" s="219"/>
      <c r="FI557" s="219"/>
      <c r="FJ557" s="219"/>
      <c r="FK557" s="219"/>
      <c r="FL557" s="219"/>
      <c r="FM557" s="219"/>
      <c r="FN557" s="219"/>
      <c r="FO557" s="219"/>
      <c r="FP557" s="219"/>
      <c r="FQ557" s="219"/>
      <c r="FR557" s="219"/>
      <c r="FS557" s="219"/>
      <c r="FT557" s="219"/>
      <c r="FU557" s="219"/>
      <c r="FV557" s="219"/>
      <c r="FW557" s="219"/>
      <c r="FX557" s="219"/>
      <c r="FY557" s="219"/>
      <c r="FZ557" s="219"/>
      <c r="GA557" s="219"/>
      <c r="GB557" s="219"/>
      <c r="GC557" s="219"/>
      <c r="GD557" s="219"/>
      <c r="GE557" s="219"/>
      <c r="GF557" s="219"/>
      <c r="GG557" s="219"/>
      <c r="GH557" s="219"/>
      <c r="GI557" s="219"/>
      <c r="GJ557" s="219"/>
      <c r="GK557" s="219"/>
      <c r="GL557" s="219"/>
      <c r="GM557" s="219"/>
      <c r="GN557" s="219"/>
      <c r="GO557" s="219"/>
      <c r="GP557" s="219"/>
      <c r="GQ557" s="219"/>
      <c r="GR557" s="219"/>
      <c r="GS557" s="219"/>
      <c r="GT557" s="219"/>
      <c r="GU557" s="219"/>
      <c r="GV557" s="219"/>
      <c r="GW557" s="219"/>
      <c r="GX557" s="219"/>
      <c r="GY557" s="219"/>
      <c r="GZ557" s="219"/>
      <c r="HA557" s="219"/>
      <c r="HB557" s="219"/>
      <c r="HC557" s="219"/>
      <c r="HD557" s="219"/>
      <c r="HE557" s="219"/>
      <c r="HF557" s="219"/>
      <c r="HG557" s="219"/>
      <c r="HH557" s="219"/>
      <c r="HI557" s="219"/>
      <c r="HJ557" s="219"/>
      <c r="HK557" s="219"/>
      <c r="HL557" s="219"/>
      <c r="HM557" s="219"/>
      <c r="HN557" s="219"/>
      <c r="HO557" s="219"/>
      <c r="HP557" s="219"/>
      <c r="HQ557" s="219"/>
      <c r="HR557" s="219"/>
      <c r="HS557" s="219"/>
      <c r="HT557" s="219"/>
      <c r="HU557" s="219"/>
      <c r="HV557" s="219"/>
      <c r="HW557" s="219"/>
      <c r="HX557" s="219"/>
      <c r="HY557" s="219"/>
      <c r="HZ557" s="219"/>
      <c r="IA557" s="219"/>
      <c r="IB557" s="219"/>
      <c r="IC557" s="219"/>
      <c r="ID557" s="219"/>
      <c r="IE557" s="219"/>
      <c r="IF557" s="219"/>
      <c r="IG557" s="219"/>
      <c r="IH557" s="219"/>
      <c r="II557" s="219"/>
      <c r="IJ557" s="219"/>
      <c r="IK557" s="219"/>
      <c r="IL557" s="219"/>
      <c r="IM557" s="219"/>
      <c r="IN557" s="219"/>
      <c r="IO557" s="219"/>
      <c r="IP557" s="219"/>
      <c r="IQ557" s="219"/>
      <c r="IR557" s="219"/>
      <c r="IS557" s="219"/>
      <c r="IT557" s="219"/>
      <c r="IU557" s="219"/>
      <c r="IV557" s="219"/>
    </row>
    <row r="558" spans="1:256" x14ac:dyDescent="0.2">
      <c r="A558" s="204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  <c r="AD558" s="219"/>
      <c r="AE558" s="219"/>
      <c r="AF558" s="219"/>
      <c r="AG558" s="219"/>
      <c r="AH558" s="219"/>
      <c r="AI558" s="219"/>
      <c r="AJ558" s="219"/>
      <c r="AK558" s="219"/>
      <c r="AL558" s="219"/>
      <c r="AM558" s="219"/>
      <c r="AN558" s="219"/>
      <c r="AO558" s="219"/>
      <c r="AP558" s="219"/>
      <c r="AQ558" s="219"/>
      <c r="AR558" s="219"/>
      <c r="AS558" s="219"/>
      <c r="AT558" s="219"/>
      <c r="AU558" s="219"/>
      <c r="AV558" s="219"/>
      <c r="AW558" s="219"/>
      <c r="AX558" s="219"/>
      <c r="AY558" s="219"/>
      <c r="AZ558" s="219"/>
      <c r="BA558" s="219"/>
      <c r="BB558" s="219"/>
      <c r="BC558" s="219"/>
      <c r="BD558" s="219"/>
      <c r="BE558" s="219"/>
      <c r="BF558" s="219"/>
      <c r="BG558" s="219"/>
      <c r="BH558" s="219"/>
      <c r="BI558" s="219"/>
      <c r="BJ558" s="219"/>
      <c r="BK558" s="219"/>
      <c r="BL558" s="219"/>
      <c r="BM558" s="219"/>
      <c r="BN558" s="219"/>
      <c r="BO558" s="219"/>
      <c r="BP558" s="219"/>
      <c r="BQ558" s="219"/>
      <c r="BR558" s="219"/>
      <c r="BS558" s="219"/>
      <c r="BT558" s="219"/>
      <c r="BU558" s="219"/>
      <c r="BV558" s="219"/>
      <c r="BW558" s="219"/>
      <c r="BX558" s="219"/>
      <c r="BY558" s="219"/>
      <c r="BZ558" s="219"/>
      <c r="CA558" s="219"/>
      <c r="CB558" s="219"/>
      <c r="CC558" s="219"/>
      <c r="CD558" s="219"/>
      <c r="CE558" s="219"/>
      <c r="CF558" s="219"/>
      <c r="CG558" s="219"/>
      <c r="CH558" s="219"/>
      <c r="CI558" s="219"/>
      <c r="CJ558" s="219"/>
      <c r="CK558" s="219"/>
      <c r="CL558" s="219"/>
      <c r="CM558" s="219"/>
      <c r="CN558" s="219"/>
      <c r="CO558" s="219"/>
      <c r="CP558" s="219"/>
      <c r="CQ558" s="219"/>
      <c r="CR558" s="219"/>
      <c r="CS558" s="219"/>
      <c r="CT558" s="219"/>
      <c r="CU558" s="219"/>
      <c r="CV558" s="219"/>
      <c r="CW558" s="219"/>
      <c r="CX558" s="219"/>
      <c r="CY558" s="219"/>
      <c r="CZ558" s="219"/>
      <c r="DA558" s="219"/>
      <c r="DB558" s="219"/>
      <c r="DC558" s="219"/>
      <c r="DD558" s="219"/>
      <c r="DE558" s="219"/>
      <c r="DF558" s="219"/>
      <c r="DG558" s="219"/>
      <c r="DH558" s="219"/>
      <c r="DI558" s="219"/>
      <c r="DJ558" s="219"/>
      <c r="DK558" s="219"/>
      <c r="DL558" s="219"/>
      <c r="DM558" s="219"/>
      <c r="DN558" s="219"/>
      <c r="DO558" s="219"/>
      <c r="DP558" s="219"/>
      <c r="DQ558" s="219"/>
      <c r="DR558" s="219"/>
      <c r="DS558" s="219"/>
      <c r="DT558" s="219"/>
      <c r="DU558" s="219"/>
      <c r="DV558" s="219"/>
      <c r="DW558" s="219"/>
      <c r="DX558" s="219"/>
      <c r="DY558" s="219"/>
      <c r="DZ558" s="219"/>
      <c r="EA558" s="219"/>
      <c r="EB558" s="219"/>
      <c r="EC558" s="219"/>
      <c r="ED558" s="219"/>
      <c r="EE558" s="219"/>
      <c r="EF558" s="219"/>
      <c r="EG558" s="219"/>
      <c r="EH558" s="219"/>
      <c r="EI558" s="219"/>
      <c r="EJ558" s="219"/>
      <c r="EK558" s="219"/>
      <c r="EL558" s="219"/>
      <c r="EM558" s="219"/>
      <c r="EN558" s="219"/>
      <c r="EO558" s="219"/>
      <c r="EP558" s="219"/>
      <c r="EQ558" s="219"/>
      <c r="ER558" s="219"/>
      <c r="ES558" s="219"/>
      <c r="ET558" s="219"/>
      <c r="EU558" s="219"/>
      <c r="EV558" s="219"/>
      <c r="EW558" s="219"/>
      <c r="EX558" s="219"/>
      <c r="EY558" s="219"/>
      <c r="EZ558" s="219"/>
      <c r="FA558" s="219"/>
      <c r="FB558" s="219"/>
      <c r="FC558" s="219"/>
      <c r="FD558" s="219"/>
      <c r="FE558" s="219"/>
      <c r="FF558" s="219"/>
      <c r="FG558" s="219"/>
      <c r="FH558" s="219"/>
      <c r="FI558" s="219"/>
      <c r="FJ558" s="219"/>
      <c r="FK558" s="219"/>
      <c r="FL558" s="219"/>
      <c r="FM558" s="219"/>
      <c r="FN558" s="219"/>
      <c r="FO558" s="219"/>
      <c r="FP558" s="219"/>
      <c r="FQ558" s="219"/>
      <c r="FR558" s="219"/>
      <c r="FS558" s="219"/>
      <c r="FT558" s="219"/>
      <c r="FU558" s="219"/>
      <c r="FV558" s="219"/>
      <c r="FW558" s="219"/>
      <c r="FX558" s="219"/>
      <c r="FY558" s="219"/>
      <c r="FZ558" s="219"/>
      <c r="GA558" s="219"/>
      <c r="GB558" s="219"/>
      <c r="GC558" s="219"/>
      <c r="GD558" s="219"/>
      <c r="GE558" s="219"/>
      <c r="GF558" s="219"/>
      <c r="GG558" s="219"/>
      <c r="GH558" s="219"/>
      <c r="GI558" s="219"/>
      <c r="GJ558" s="219"/>
      <c r="GK558" s="219"/>
      <c r="GL558" s="219"/>
      <c r="GM558" s="219"/>
      <c r="GN558" s="219"/>
      <c r="GO558" s="219"/>
      <c r="GP558" s="219"/>
      <c r="GQ558" s="219"/>
      <c r="GR558" s="219"/>
      <c r="GS558" s="219"/>
      <c r="GT558" s="219"/>
      <c r="GU558" s="219"/>
      <c r="GV558" s="219"/>
      <c r="GW558" s="219"/>
      <c r="GX558" s="219"/>
      <c r="GY558" s="219"/>
      <c r="GZ558" s="219"/>
      <c r="HA558" s="219"/>
      <c r="HB558" s="219"/>
      <c r="HC558" s="219"/>
      <c r="HD558" s="219"/>
      <c r="HE558" s="219"/>
      <c r="HF558" s="219"/>
      <c r="HG558" s="219"/>
      <c r="HH558" s="219"/>
      <c r="HI558" s="219"/>
      <c r="HJ558" s="219"/>
      <c r="HK558" s="219"/>
      <c r="HL558" s="219"/>
      <c r="HM558" s="219"/>
      <c r="HN558" s="219"/>
      <c r="HO558" s="219"/>
      <c r="HP558" s="219"/>
      <c r="HQ558" s="219"/>
      <c r="HR558" s="219"/>
      <c r="HS558" s="219"/>
      <c r="HT558" s="219"/>
      <c r="HU558" s="219"/>
      <c r="HV558" s="219"/>
      <c r="HW558" s="219"/>
      <c r="HX558" s="219"/>
      <c r="HY558" s="219"/>
      <c r="HZ558" s="219"/>
      <c r="IA558" s="219"/>
      <c r="IB558" s="219"/>
      <c r="IC558" s="219"/>
      <c r="ID558" s="219"/>
      <c r="IE558" s="219"/>
      <c r="IF558" s="219"/>
      <c r="IG558" s="219"/>
      <c r="IH558" s="219"/>
      <c r="II558" s="219"/>
      <c r="IJ558" s="219"/>
      <c r="IK558" s="219"/>
      <c r="IL558" s="219"/>
      <c r="IM558" s="219"/>
      <c r="IN558" s="219"/>
      <c r="IO558" s="219"/>
      <c r="IP558" s="219"/>
      <c r="IQ558" s="219"/>
      <c r="IR558" s="219"/>
      <c r="IS558" s="219"/>
      <c r="IT558" s="219"/>
      <c r="IU558" s="219"/>
      <c r="IV558" s="219"/>
    </row>
    <row r="559" spans="1:256" x14ac:dyDescent="0.2">
      <c r="A559" s="204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  <c r="AB559" s="219"/>
      <c r="AC559" s="219"/>
      <c r="AD559" s="219"/>
      <c r="AE559" s="219"/>
      <c r="AF559" s="219"/>
      <c r="AG559" s="219"/>
      <c r="AH559" s="219"/>
      <c r="AI559" s="219"/>
      <c r="AJ559" s="219"/>
      <c r="AK559" s="219"/>
      <c r="AL559" s="219"/>
      <c r="AM559" s="219"/>
      <c r="AN559" s="219"/>
      <c r="AO559" s="219"/>
      <c r="AP559" s="219"/>
      <c r="AQ559" s="219"/>
      <c r="AR559" s="219"/>
      <c r="AS559" s="219"/>
      <c r="AT559" s="219"/>
      <c r="AU559" s="219"/>
      <c r="AV559" s="219"/>
      <c r="AW559" s="219"/>
      <c r="AX559" s="219"/>
      <c r="AY559" s="219"/>
      <c r="AZ559" s="219"/>
      <c r="BA559" s="219"/>
      <c r="BB559" s="219"/>
      <c r="BC559" s="219"/>
      <c r="BD559" s="219"/>
      <c r="BE559" s="219"/>
      <c r="BF559" s="219"/>
      <c r="BG559" s="219"/>
      <c r="BH559" s="219"/>
      <c r="BI559" s="219"/>
      <c r="BJ559" s="219"/>
      <c r="BK559" s="219"/>
      <c r="BL559" s="219"/>
      <c r="BM559" s="219"/>
      <c r="BN559" s="219"/>
      <c r="BO559" s="219"/>
      <c r="BP559" s="219"/>
      <c r="BQ559" s="219"/>
      <c r="BR559" s="219"/>
      <c r="BS559" s="219"/>
      <c r="BT559" s="219"/>
      <c r="BU559" s="219"/>
      <c r="BV559" s="219"/>
      <c r="BW559" s="219"/>
      <c r="BX559" s="219"/>
      <c r="BY559" s="219"/>
      <c r="BZ559" s="219"/>
      <c r="CA559" s="219"/>
      <c r="CB559" s="219"/>
      <c r="CC559" s="219"/>
      <c r="CD559" s="219"/>
      <c r="CE559" s="219"/>
      <c r="CF559" s="219"/>
      <c r="CG559" s="219"/>
      <c r="CH559" s="219"/>
      <c r="CI559" s="219"/>
      <c r="CJ559" s="219"/>
      <c r="CK559" s="219"/>
      <c r="CL559" s="219"/>
      <c r="CM559" s="219"/>
      <c r="CN559" s="219"/>
      <c r="CO559" s="219"/>
      <c r="CP559" s="219"/>
      <c r="CQ559" s="219"/>
      <c r="CR559" s="219"/>
      <c r="CS559" s="219"/>
      <c r="CT559" s="219"/>
      <c r="CU559" s="219"/>
      <c r="CV559" s="219"/>
      <c r="CW559" s="219"/>
      <c r="CX559" s="219"/>
      <c r="CY559" s="219"/>
      <c r="CZ559" s="219"/>
      <c r="DA559" s="219"/>
      <c r="DB559" s="219"/>
      <c r="DC559" s="219"/>
      <c r="DD559" s="219"/>
      <c r="DE559" s="219"/>
      <c r="DF559" s="219"/>
      <c r="DG559" s="219"/>
      <c r="DH559" s="219"/>
      <c r="DI559" s="219"/>
      <c r="DJ559" s="219"/>
      <c r="DK559" s="219"/>
      <c r="DL559" s="219"/>
      <c r="DM559" s="219"/>
      <c r="DN559" s="219"/>
      <c r="DO559" s="219"/>
      <c r="DP559" s="219"/>
      <c r="DQ559" s="219"/>
      <c r="DR559" s="219"/>
      <c r="DS559" s="219"/>
      <c r="DT559" s="219"/>
      <c r="DU559" s="219"/>
      <c r="DV559" s="219"/>
      <c r="DW559" s="219"/>
      <c r="DX559" s="219"/>
      <c r="DY559" s="219"/>
      <c r="DZ559" s="219"/>
      <c r="EA559" s="219"/>
      <c r="EB559" s="219"/>
      <c r="EC559" s="219"/>
      <c r="ED559" s="219"/>
      <c r="EE559" s="219"/>
      <c r="EF559" s="219"/>
      <c r="EG559" s="219"/>
      <c r="EH559" s="219"/>
      <c r="EI559" s="219"/>
      <c r="EJ559" s="219"/>
      <c r="EK559" s="219"/>
      <c r="EL559" s="219"/>
      <c r="EM559" s="219"/>
      <c r="EN559" s="219"/>
      <c r="EO559" s="219"/>
      <c r="EP559" s="219"/>
      <c r="EQ559" s="219"/>
      <c r="ER559" s="219"/>
      <c r="ES559" s="219"/>
      <c r="ET559" s="219"/>
      <c r="EU559" s="219"/>
      <c r="EV559" s="219"/>
      <c r="EW559" s="219"/>
      <c r="EX559" s="219"/>
      <c r="EY559" s="219"/>
      <c r="EZ559" s="219"/>
      <c r="FA559" s="219"/>
      <c r="FB559" s="219"/>
      <c r="FC559" s="219"/>
      <c r="FD559" s="219"/>
      <c r="FE559" s="219"/>
      <c r="FF559" s="219"/>
      <c r="FG559" s="219"/>
      <c r="FH559" s="219"/>
      <c r="FI559" s="219"/>
      <c r="FJ559" s="219"/>
      <c r="FK559" s="219"/>
      <c r="FL559" s="219"/>
      <c r="FM559" s="219"/>
      <c r="FN559" s="219"/>
      <c r="FO559" s="219"/>
      <c r="FP559" s="219"/>
      <c r="FQ559" s="219"/>
      <c r="FR559" s="219"/>
      <c r="FS559" s="219"/>
      <c r="FT559" s="219"/>
      <c r="FU559" s="219"/>
      <c r="FV559" s="219"/>
      <c r="FW559" s="219"/>
      <c r="FX559" s="219"/>
      <c r="FY559" s="219"/>
      <c r="FZ559" s="219"/>
      <c r="GA559" s="219"/>
      <c r="GB559" s="219"/>
      <c r="GC559" s="219"/>
      <c r="GD559" s="219"/>
      <c r="GE559" s="219"/>
      <c r="GF559" s="219"/>
      <c r="GG559" s="219"/>
      <c r="GH559" s="219"/>
      <c r="GI559" s="219"/>
      <c r="GJ559" s="219"/>
      <c r="GK559" s="219"/>
      <c r="GL559" s="219"/>
      <c r="GM559" s="219"/>
      <c r="GN559" s="219"/>
      <c r="GO559" s="219"/>
      <c r="GP559" s="219"/>
      <c r="GQ559" s="219"/>
      <c r="GR559" s="219"/>
      <c r="GS559" s="219"/>
      <c r="GT559" s="219"/>
      <c r="GU559" s="219"/>
      <c r="GV559" s="219"/>
      <c r="GW559" s="219"/>
      <c r="GX559" s="219"/>
      <c r="GY559" s="219"/>
      <c r="GZ559" s="219"/>
      <c r="HA559" s="219"/>
      <c r="HB559" s="219"/>
      <c r="HC559" s="219"/>
      <c r="HD559" s="219"/>
      <c r="HE559" s="219"/>
      <c r="HF559" s="219"/>
      <c r="HG559" s="219"/>
      <c r="HH559" s="219"/>
      <c r="HI559" s="219"/>
      <c r="HJ559" s="219"/>
      <c r="HK559" s="219"/>
      <c r="HL559" s="219"/>
      <c r="HM559" s="219"/>
      <c r="HN559" s="219"/>
      <c r="HO559" s="219"/>
      <c r="HP559" s="219"/>
      <c r="HQ559" s="219"/>
      <c r="HR559" s="219"/>
      <c r="HS559" s="219"/>
      <c r="HT559" s="219"/>
      <c r="HU559" s="219"/>
      <c r="HV559" s="219"/>
      <c r="HW559" s="219"/>
      <c r="HX559" s="219"/>
      <c r="HY559" s="219"/>
      <c r="HZ559" s="219"/>
      <c r="IA559" s="219"/>
      <c r="IB559" s="219"/>
      <c r="IC559" s="219"/>
      <c r="ID559" s="219"/>
      <c r="IE559" s="219"/>
      <c r="IF559" s="219"/>
      <c r="IG559" s="219"/>
      <c r="IH559" s="219"/>
      <c r="II559" s="219"/>
      <c r="IJ559" s="219"/>
      <c r="IK559" s="219"/>
      <c r="IL559" s="219"/>
      <c r="IM559" s="219"/>
      <c r="IN559" s="219"/>
      <c r="IO559" s="219"/>
      <c r="IP559" s="219"/>
      <c r="IQ559" s="219"/>
      <c r="IR559" s="219"/>
      <c r="IS559" s="219"/>
      <c r="IT559" s="219"/>
      <c r="IU559" s="219"/>
      <c r="IV559" s="219"/>
    </row>
    <row r="560" spans="1:256" x14ac:dyDescent="0.2">
      <c r="A560" s="204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  <c r="AB560" s="219"/>
      <c r="AC560" s="219"/>
      <c r="AD560" s="219"/>
      <c r="AE560" s="219"/>
      <c r="AF560" s="219"/>
      <c r="AG560" s="219"/>
      <c r="AH560" s="219"/>
      <c r="AI560" s="219"/>
      <c r="AJ560" s="219"/>
      <c r="AK560" s="219"/>
      <c r="AL560" s="219"/>
      <c r="AM560" s="219"/>
      <c r="AN560" s="219"/>
      <c r="AO560" s="219"/>
      <c r="AP560" s="219"/>
      <c r="AQ560" s="219"/>
      <c r="AR560" s="219"/>
      <c r="AS560" s="219"/>
      <c r="AT560" s="219"/>
      <c r="AU560" s="219"/>
      <c r="AV560" s="219"/>
      <c r="AW560" s="219"/>
      <c r="AX560" s="219"/>
      <c r="AY560" s="219"/>
      <c r="AZ560" s="219"/>
      <c r="BA560" s="219"/>
      <c r="BB560" s="219"/>
      <c r="BC560" s="219"/>
      <c r="BD560" s="219"/>
      <c r="BE560" s="219"/>
      <c r="BF560" s="219"/>
      <c r="BG560" s="219"/>
      <c r="BH560" s="219"/>
      <c r="BI560" s="219"/>
      <c r="BJ560" s="219"/>
      <c r="BK560" s="219"/>
      <c r="BL560" s="219"/>
      <c r="BM560" s="219"/>
      <c r="BN560" s="219"/>
      <c r="BO560" s="219"/>
      <c r="BP560" s="219"/>
      <c r="BQ560" s="219"/>
      <c r="BR560" s="219"/>
      <c r="BS560" s="219"/>
      <c r="BT560" s="219"/>
      <c r="BU560" s="219"/>
      <c r="BV560" s="219"/>
      <c r="BW560" s="219"/>
      <c r="BX560" s="219"/>
      <c r="BY560" s="219"/>
      <c r="BZ560" s="219"/>
      <c r="CA560" s="219"/>
      <c r="CB560" s="219"/>
      <c r="CC560" s="219"/>
      <c r="CD560" s="219"/>
      <c r="CE560" s="219"/>
      <c r="CF560" s="219"/>
      <c r="CG560" s="219"/>
      <c r="CH560" s="219"/>
      <c r="CI560" s="219"/>
      <c r="CJ560" s="219"/>
      <c r="CK560" s="219"/>
      <c r="CL560" s="219"/>
      <c r="CM560" s="219"/>
      <c r="CN560" s="219"/>
      <c r="CO560" s="219"/>
      <c r="CP560" s="219"/>
      <c r="CQ560" s="219"/>
      <c r="CR560" s="219"/>
      <c r="CS560" s="219"/>
      <c r="CT560" s="219"/>
      <c r="CU560" s="219"/>
      <c r="CV560" s="219"/>
      <c r="CW560" s="219"/>
      <c r="CX560" s="219"/>
      <c r="CY560" s="219"/>
      <c r="CZ560" s="219"/>
      <c r="DA560" s="219"/>
      <c r="DB560" s="219"/>
      <c r="DC560" s="219"/>
      <c r="DD560" s="219"/>
      <c r="DE560" s="219"/>
      <c r="DF560" s="219"/>
      <c r="DG560" s="219"/>
      <c r="DH560" s="219"/>
      <c r="DI560" s="219"/>
      <c r="DJ560" s="219"/>
      <c r="DK560" s="219"/>
      <c r="DL560" s="219"/>
      <c r="DM560" s="219"/>
      <c r="DN560" s="219"/>
      <c r="DO560" s="219"/>
      <c r="DP560" s="219"/>
      <c r="DQ560" s="219"/>
      <c r="DR560" s="219"/>
      <c r="DS560" s="219"/>
      <c r="DT560" s="219"/>
      <c r="DU560" s="219"/>
      <c r="DV560" s="219"/>
      <c r="DW560" s="219"/>
      <c r="DX560" s="219"/>
      <c r="DY560" s="219"/>
      <c r="DZ560" s="219"/>
      <c r="EA560" s="219"/>
      <c r="EB560" s="219"/>
      <c r="EC560" s="219"/>
      <c r="ED560" s="219"/>
      <c r="EE560" s="219"/>
      <c r="EF560" s="219"/>
      <c r="EG560" s="219"/>
      <c r="EH560" s="219"/>
      <c r="EI560" s="219"/>
      <c r="EJ560" s="219"/>
      <c r="EK560" s="219"/>
      <c r="EL560" s="219"/>
      <c r="EM560" s="219"/>
      <c r="EN560" s="219"/>
      <c r="EO560" s="219"/>
      <c r="EP560" s="219"/>
      <c r="EQ560" s="219"/>
      <c r="ER560" s="219"/>
      <c r="ES560" s="219"/>
      <c r="ET560" s="219"/>
      <c r="EU560" s="219"/>
      <c r="EV560" s="219"/>
      <c r="EW560" s="219"/>
      <c r="EX560" s="219"/>
      <c r="EY560" s="219"/>
      <c r="EZ560" s="219"/>
      <c r="FA560" s="219"/>
      <c r="FB560" s="219"/>
      <c r="FC560" s="219"/>
      <c r="FD560" s="219"/>
      <c r="FE560" s="219"/>
      <c r="FF560" s="219"/>
      <c r="FG560" s="219"/>
      <c r="FH560" s="219"/>
      <c r="FI560" s="219"/>
      <c r="FJ560" s="219"/>
      <c r="FK560" s="219"/>
      <c r="FL560" s="219"/>
      <c r="FM560" s="219"/>
      <c r="FN560" s="219"/>
      <c r="FO560" s="219"/>
      <c r="FP560" s="219"/>
      <c r="FQ560" s="219"/>
      <c r="FR560" s="219"/>
      <c r="FS560" s="219"/>
      <c r="FT560" s="219"/>
      <c r="FU560" s="219"/>
      <c r="FV560" s="219"/>
      <c r="FW560" s="219"/>
      <c r="FX560" s="219"/>
      <c r="FY560" s="219"/>
      <c r="FZ560" s="219"/>
      <c r="GA560" s="219"/>
      <c r="GB560" s="219"/>
      <c r="GC560" s="219"/>
      <c r="GD560" s="219"/>
      <c r="GE560" s="219"/>
      <c r="GF560" s="219"/>
      <c r="GG560" s="219"/>
      <c r="GH560" s="219"/>
      <c r="GI560" s="219"/>
      <c r="GJ560" s="219"/>
      <c r="GK560" s="219"/>
      <c r="GL560" s="219"/>
      <c r="GM560" s="219"/>
      <c r="GN560" s="219"/>
      <c r="GO560" s="219"/>
      <c r="GP560" s="219"/>
      <c r="GQ560" s="219"/>
      <c r="GR560" s="219"/>
      <c r="GS560" s="219"/>
      <c r="GT560" s="219"/>
      <c r="GU560" s="219"/>
      <c r="GV560" s="219"/>
      <c r="GW560" s="219"/>
      <c r="GX560" s="219"/>
      <c r="GY560" s="219"/>
      <c r="GZ560" s="219"/>
      <c r="HA560" s="219"/>
      <c r="HB560" s="219"/>
      <c r="HC560" s="219"/>
      <c r="HD560" s="219"/>
      <c r="HE560" s="219"/>
      <c r="HF560" s="219"/>
      <c r="HG560" s="219"/>
      <c r="HH560" s="219"/>
      <c r="HI560" s="219"/>
      <c r="HJ560" s="219"/>
      <c r="HK560" s="219"/>
      <c r="HL560" s="219"/>
      <c r="HM560" s="219"/>
      <c r="HN560" s="219"/>
      <c r="HO560" s="219"/>
      <c r="HP560" s="219"/>
      <c r="HQ560" s="219"/>
      <c r="HR560" s="219"/>
      <c r="HS560" s="219"/>
      <c r="HT560" s="219"/>
      <c r="HU560" s="219"/>
      <c r="HV560" s="219"/>
      <c r="HW560" s="219"/>
      <c r="HX560" s="219"/>
      <c r="HY560" s="219"/>
      <c r="HZ560" s="219"/>
      <c r="IA560" s="219"/>
      <c r="IB560" s="219"/>
      <c r="IC560" s="219"/>
      <c r="ID560" s="219"/>
      <c r="IE560" s="219"/>
      <c r="IF560" s="219"/>
      <c r="IG560" s="219"/>
      <c r="IH560" s="219"/>
      <c r="II560" s="219"/>
      <c r="IJ560" s="219"/>
      <c r="IK560" s="219"/>
      <c r="IL560" s="219"/>
      <c r="IM560" s="219"/>
      <c r="IN560" s="219"/>
      <c r="IO560" s="219"/>
      <c r="IP560" s="219"/>
      <c r="IQ560" s="219"/>
      <c r="IR560" s="219"/>
      <c r="IS560" s="219"/>
      <c r="IT560" s="219"/>
      <c r="IU560" s="219"/>
      <c r="IV560" s="219"/>
    </row>
    <row r="561" spans="1:256" x14ac:dyDescent="0.2">
      <c r="A561" s="204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  <c r="AB561" s="219"/>
      <c r="AC561" s="219"/>
      <c r="AD561" s="219"/>
      <c r="AE561" s="219"/>
      <c r="AF561" s="219"/>
      <c r="AG561" s="219"/>
      <c r="AH561" s="219"/>
      <c r="AI561" s="219"/>
      <c r="AJ561" s="219"/>
      <c r="AK561" s="219"/>
      <c r="AL561" s="219"/>
      <c r="AM561" s="219"/>
      <c r="AN561" s="219"/>
      <c r="AO561" s="219"/>
      <c r="AP561" s="219"/>
      <c r="AQ561" s="219"/>
      <c r="AR561" s="219"/>
      <c r="AS561" s="219"/>
      <c r="AT561" s="219"/>
      <c r="AU561" s="219"/>
      <c r="AV561" s="219"/>
      <c r="AW561" s="219"/>
      <c r="AX561" s="219"/>
      <c r="AY561" s="219"/>
      <c r="AZ561" s="219"/>
      <c r="BA561" s="219"/>
      <c r="BB561" s="219"/>
      <c r="BC561" s="219"/>
      <c r="BD561" s="219"/>
      <c r="BE561" s="219"/>
      <c r="BF561" s="219"/>
      <c r="BG561" s="219"/>
      <c r="BH561" s="219"/>
      <c r="BI561" s="219"/>
      <c r="BJ561" s="219"/>
      <c r="BK561" s="219"/>
      <c r="BL561" s="219"/>
      <c r="BM561" s="219"/>
      <c r="BN561" s="219"/>
      <c r="BO561" s="219"/>
      <c r="BP561" s="219"/>
      <c r="BQ561" s="219"/>
      <c r="BR561" s="219"/>
      <c r="BS561" s="219"/>
      <c r="BT561" s="219"/>
      <c r="BU561" s="219"/>
      <c r="BV561" s="219"/>
      <c r="BW561" s="219"/>
      <c r="BX561" s="219"/>
      <c r="BY561" s="219"/>
      <c r="BZ561" s="219"/>
      <c r="CA561" s="219"/>
      <c r="CB561" s="219"/>
      <c r="CC561" s="219"/>
      <c r="CD561" s="219"/>
      <c r="CE561" s="219"/>
      <c r="CF561" s="219"/>
      <c r="CG561" s="219"/>
      <c r="CH561" s="219"/>
      <c r="CI561" s="219"/>
      <c r="CJ561" s="219"/>
      <c r="CK561" s="219"/>
      <c r="CL561" s="219"/>
      <c r="CM561" s="219"/>
      <c r="CN561" s="219"/>
      <c r="CO561" s="219"/>
      <c r="CP561" s="219"/>
      <c r="CQ561" s="219"/>
      <c r="CR561" s="219"/>
      <c r="CS561" s="219"/>
      <c r="CT561" s="219"/>
      <c r="CU561" s="219"/>
      <c r="CV561" s="219"/>
      <c r="CW561" s="219"/>
      <c r="CX561" s="219"/>
      <c r="CY561" s="219"/>
      <c r="CZ561" s="219"/>
      <c r="DA561" s="219"/>
      <c r="DB561" s="219"/>
      <c r="DC561" s="219"/>
      <c r="DD561" s="219"/>
      <c r="DE561" s="219"/>
      <c r="DF561" s="219"/>
      <c r="DG561" s="219"/>
      <c r="DH561" s="219"/>
      <c r="DI561" s="219"/>
      <c r="DJ561" s="219"/>
      <c r="DK561" s="219"/>
      <c r="DL561" s="219"/>
      <c r="DM561" s="219"/>
      <c r="DN561" s="219"/>
      <c r="DO561" s="219"/>
      <c r="DP561" s="219"/>
      <c r="DQ561" s="219"/>
      <c r="DR561" s="219"/>
      <c r="DS561" s="219"/>
      <c r="DT561" s="219"/>
      <c r="DU561" s="219"/>
      <c r="DV561" s="219"/>
      <c r="DW561" s="219"/>
      <c r="DX561" s="219"/>
      <c r="DY561" s="219"/>
      <c r="DZ561" s="219"/>
      <c r="EA561" s="219"/>
      <c r="EB561" s="219"/>
      <c r="EC561" s="219"/>
      <c r="ED561" s="219"/>
      <c r="EE561" s="219"/>
      <c r="EF561" s="219"/>
      <c r="EG561" s="219"/>
      <c r="EH561" s="219"/>
      <c r="EI561" s="219"/>
      <c r="EJ561" s="219"/>
      <c r="EK561" s="219"/>
      <c r="EL561" s="219"/>
      <c r="EM561" s="219"/>
      <c r="EN561" s="219"/>
      <c r="EO561" s="219"/>
      <c r="EP561" s="219"/>
      <c r="EQ561" s="219"/>
      <c r="ER561" s="219"/>
      <c r="ES561" s="219"/>
      <c r="ET561" s="219"/>
      <c r="EU561" s="219"/>
      <c r="EV561" s="219"/>
      <c r="EW561" s="219"/>
      <c r="EX561" s="219"/>
      <c r="EY561" s="219"/>
      <c r="EZ561" s="219"/>
      <c r="FA561" s="219"/>
      <c r="FB561" s="219"/>
      <c r="FC561" s="219"/>
      <c r="FD561" s="219"/>
      <c r="FE561" s="219"/>
      <c r="FF561" s="219"/>
      <c r="FG561" s="219"/>
      <c r="FH561" s="219"/>
      <c r="FI561" s="219"/>
      <c r="FJ561" s="219"/>
      <c r="FK561" s="219"/>
      <c r="FL561" s="219"/>
      <c r="FM561" s="219"/>
      <c r="FN561" s="219"/>
      <c r="FO561" s="219"/>
      <c r="FP561" s="219"/>
      <c r="FQ561" s="219"/>
      <c r="FR561" s="219"/>
      <c r="FS561" s="219"/>
      <c r="FT561" s="219"/>
      <c r="FU561" s="219"/>
      <c r="FV561" s="219"/>
      <c r="FW561" s="219"/>
      <c r="FX561" s="219"/>
      <c r="FY561" s="219"/>
      <c r="FZ561" s="219"/>
      <c r="GA561" s="219"/>
      <c r="GB561" s="219"/>
      <c r="GC561" s="219"/>
      <c r="GD561" s="219"/>
      <c r="GE561" s="219"/>
      <c r="GF561" s="219"/>
      <c r="GG561" s="219"/>
      <c r="GH561" s="219"/>
      <c r="GI561" s="219"/>
      <c r="GJ561" s="219"/>
      <c r="GK561" s="219"/>
      <c r="GL561" s="219"/>
      <c r="GM561" s="219"/>
      <c r="GN561" s="219"/>
      <c r="GO561" s="219"/>
      <c r="GP561" s="219"/>
      <c r="GQ561" s="219"/>
      <c r="GR561" s="219"/>
      <c r="GS561" s="219"/>
      <c r="GT561" s="219"/>
      <c r="GU561" s="219"/>
      <c r="GV561" s="219"/>
      <c r="GW561" s="219"/>
      <c r="GX561" s="219"/>
      <c r="GY561" s="219"/>
      <c r="GZ561" s="219"/>
      <c r="HA561" s="219"/>
      <c r="HB561" s="219"/>
      <c r="HC561" s="219"/>
      <c r="HD561" s="219"/>
      <c r="HE561" s="219"/>
      <c r="HF561" s="219"/>
      <c r="HG561" s="219"/>
      <c r="HH561" s="219"/>
      <c r="HI561" s="219"/>
      <c r="HJ561" s="219"/>
      <c r="HK561" s="219"/>
      <c r="HL561" s="219"/>
      <c r="HM561" s="219"/>
      <c r="HN561" s="219"/>
      <c r="HO561" s="219"/>
      <c r="HP561" s="219"/>
      <c r="HQ561" s="219"/>
      <c r="HR561" s="219"/>
      <c r="HS561" s="219"/>
      <c r="HT561" s="219"/>
      <c r="HU561" s="219"/>
      <c r="HV561" s="219"/>
      <c r="HW561" s="219"/>
      <c r="HX561" s="219"/>
      <c r="HY561" s="219"/>
      <c r="HZ561" s="219"/>
      <c r="IA561" s="219"/>
      <c r="IB561" s="219"/>
      <c r="IC561" s="219"/>
      <c r="ID561" s="219"/>
      <c r="IE561" s="219"/>
      <c r="IF561" s="219"/>
      <c r="IG561" s="219"/>
      <c r="IH561" s="219"/>
      <c r="II561" s="219"/>
      <c r="IJ561" s="219"/>
      <c r="IK561" s="219"/>
      <c r="IL561" s="219"/>
      <c r="IM561" s="219"/>
      <c r="IN561" s="219"/>
      <c r="IO561" s="219"/>
      <c r="IP561" s="219"/>
      <c r="IQ561" s="219"/>
      <c r="IR561" s="219"/>
      <c r="IS561" s="219"/>
      <c r="IT561" s="219"/>
      <c r="IU561" s="219"/>
      <c r="IV561" s="219"/>
    </row>
    <row r="562" spans="1:256" x14ac:dyDescent="0.2">
      <c r="A562" s="204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  <c r="AB562" s="219"/>
      <c r="AC562" s="219"/>
      <c r="AD562" s="219"/>
      <c r="AE562" s="219"/>
      <c r="AF562" s="219"/>
      <c r="AG562" s="219"/>
      <c r="AH562" s="219"/>
      <c r="AI562" s="219"/>
      <c r="AJ562" s="219"/>
      <c r="AK562" s="219"/>
      <c r="AL562" s="219"/>
      <c r="AM562" s="219"/>
      <c r="AN562" s="219"/>
      <c r="AO562" s="219"/>
      <c r="AP562" s="219"/>
      <c r="AQ562" s="219"/>
      <c r="AR562" s="219"/>
      <c r="AS562" s="219"/>
      <c r="AT562" s="219"/>
      <c r="AU562" s="219"/>
      <c r="AV562" s="219"/>
      <c r="AW562" s="219"/>
      <c r="AX562" s="219"/>
      <c r="AY562" s="219"/>
      <c r="AZ562" s="219"/>
      <c r="BA562" s="219"/>
      <c r="BB562" s="219"/>
      <c r="BC562" s="219"/>
      <c r="BD562" s="219"/>
      <c r="BE562" s="219"/>
      <c r="BF562" s="219"/>
      <c r="BG562" s="219"/>
      <c r="BH562" s="219"/>
      <c r="BI562" s="219"/>
      <c r="BJ562" s="219"/>
      <c r="BK562" s="219"/>
      <c r="BL562" s="219"/>
      <c r="BM562" s="219"/>
      <c r="BN562" s="219"/>
      <c r="BO562" s="219"/>
      <c r="BP562" s="219"/>
      <c r="BQ562" s="219"/>
      <c r="BR562" s="219"/>
      <c r="BS562" s="219"/>
      <c r="BT562" s="219"/>
      <c r="BU562" s="219"/>
      <c r="BV562" s="219"/>
      <c r="BW562" s="219"/>
      <c r="BX562" s="219"/>
      <c r="BY562" s="219"/>
      <c r="BZ562" s="219"/>
      <c r="CA562" s="219"/>
      <c r="CB562" s="219"/>
      <c r="CC562" s="219"/>
      <c r="CD562" s="219"/>
      <c r="CE562" s="219"/>
      <c r="CF562" s="219"/>
      <c r="CG562" s="219"/>
      <c r="CH562" s="219"/>
      <c r="CI562" s="219"/>
      <c r="CJ562" s="219"/>
      <c r="CK562" s="219"/>
      <c r="CL562" s="219"/>
      <c r="CM562" s="219"/>
      <c r="CN562" s="219"/>
      <c r="CO562" s="219"/>
      <c r="CP562" s="219"/>
      <c r="CQ562" s="219"/>
      <c r="CR562" s="219"/>
      <c r="CS562" s="219"/>
      <c r="CT562" s="219"/>
      <c r="CU562" s="219"/>
      <c r="CV562" s="219"/>
      <c r="CW562" s="219"/>
      <c r="CX562" s="219"/>
      <c r="CY562" s="219"/>
      <c r="CZ562" s="219"/>
      <c r="DA562" s="219"/>
      <c r="DB562" s="219"/>
      <c r="DC562" s="219"/>
      <c r="DD562" s="219"/>
      <c r="DE562" s="219"/>
      <c r="DF562" s="219"/>
      <c r="DG562" s="219"/>
      <c r="DH562" s="219"/>
      <c r="DI562" s="219"/>
      <c r="DJ562" s="219"/>
      <c r="DK562" s="219"/>
      <c r="DL562" s="219"/>
      <c r="DM562" s="219"/>
      <c r="DN562" s="219"/>
      <c r="DO562" s="219"/>
      <c r="DP562" s="219"/>
      <c r="DQ562" s="219"/>
      <c r="DR562" s="219"/>
      <c r="DS562" s="219"/>
      <c r="DT562" s="219"/>
      <c r="DU562" s="219"/>
      <c r="DV562" s="219"/>
      <c r="DW562" s="219"/>
      <c r="DX562" s="219"/>
      <c r="DY562" s="219"/>
      <c r="DZ562" s="219"/>
      <c r="EA562" s="219"/>
      <c r="EB562" s="219"/>
      <c r="EC562" s="219"/>
      <c r="ED562" s="219"/>
      <c r="EE562" s="219"/>
      <c r="EF562" s="219"/>
      <c r="EG562" s="219"/>
      <c r="EH562" s="219"/>
      <c r="EI562" s="219"/>
      <c r="EJ562" s="219"/>
      <c r="EK562" s="219"/>
      <c r="EL562" s="219"/>
      <c r="EM562" s="219"/>
      <c r="EN562" s="219"/>
      <c r="EO562" s="219"/>
      <c r="EP562" s="219"/>
      <c r="EQ562" s="219"/>
      <c r="ER562" s="219"/>
      <c r="ES562" s="219"/>
      <c r="ET562" s="219"/>
      <c r="EU562" s="219"/>
      <c r="EV562" s="219"/>
      <c r="EW562" s="219"/>
      <c r="EX562" s="219"/>
      <c r="EY562" s="219"/>
      <c r="EZ562" s="219"/>
      <c r="FA562" s="219"/>
      <c r="FB562" s="219"/>
      <c r="FC562" s="219"/>
      <c r="FD562" s="219"/>
      <c r="FE562" s="219"/>
      <c r="FF562" s="219"/>
      <c r="FG562" s="219"/>
      <c r="FH562" s="219"/>
      <c r="FI562" s="219"/>
      <c r="FJ562" s="219"/>
      <c r="FK562" s="219"/>
      <c r="FL562" s="219"/>
      <c r="FM562" s="219"/>
      <c r="FN562" s="219"/>
      <c r="FO562" s="219"/>
      <c r="FP562" s="219"/>
      <c r="FQ562" s="219"/>
      <c r="FR562" s="219"/>
      <c r="FS562" s="219"/>
      <c r="FT562" s="219"/>
      <c r="FU562" s="219"/>
      <c r="FV562" s="219"/>
      <c r="FW562" s="219"/>
      <c r="FX562" s="219"/>
      <c r="FY562" s="219"/>
      <c r="FZ562" s="219"/>
      <c r="GA562" s="219"/>
      <c r="GB562" s="219"/>
      <c r="GC562" s="219"/>
      <c r="GD562" s="219"/>
      <c r="GE562" s="219"/>
      <c r="GF562" s="219"/>
      <c r="GG562" s="219"/>
      <c r="GH562" s="219"/>
      <c r="GI562" s="219"/>
      <c r="GJ562" s="219"/>
      <c r="GK562" s="219"/>
      <c r="GL562" s="219"/>
      <c r="GM562" s="219"/>
      <c r="GN562" s="219"/>
      <c r="GO562" s="219"/>
      <c r="GP562" s="219"/>
      <c r="GQ562" s="219"/>
      <c r="GR562" s="219"/>
      <c r="GS562" s="219"/>
      <c r="GT562" s="219"/>
      <c r="GU562" s="219"/>
      <c r="GV562" s="219"/>
      <c r="GW562" s="219"/>
      <c r="GX562" s="219"/>
      <c r="GY562" s="219"/>
      <c r="GZ562" s="219"/>
      <c r="HA562" s="219"/>
      <c r="HB562" s="219"/>
      <c r="HC562" s="219"/>
      <c r="HD562" s="219"/>
      <c r="HE562" s="219"/>
      <c r="HF562" s="219"/>
      <c r="HG562" s="219"/>
      <c r="HH562" s="219"/>
      <c r="HI562" s="219"/>
      <c r="HJ562" s="219"/>
      <c r="HK562" s="219"/>
      <c r="HL562" s="219"/>
      <c r="HM562" s="219"/>
      <c r="HN562" s="219"/>
      <c r="HO562" s="219"/>
      <c r="HP562" s="219"/>
      <c r="HQ562" s="219"/>
      <c r="HR562" s="219"/>
      <c r="HS562" s="219"/>
      <c r="HT562" s="219"/>
      <c r="HU562" s="219"/>
      <c r="HV562" s="219"/>
      <c r="HW562" s="219"/>
      <c r="HX562" s="219"/>
      <c r="HY562" s="219"/>
      <c r="HZ562" s="219"/>
      <c r="IA562" s="219"/>
      <c r="IB562" s="219"/>
      <c r="IC562" s="219"/>
      <c r="ID562" s="219"/>
      <c r="IE562" s="219"/>
      <c r="IF562" s="219"/>
      <c r="IG562" s="219"/>
      <c r="IH562" s="219"/>
      <c r="II562" s="219"/>
      <c r="IJ562" s="219"/>
      <c r="IK562" s="219"/>
      <c r="IL562" s="219"/>
      <c r="IM562" s="219"/>
      <c r="IN562" s="219"/>
      <c r="IO562" s="219"/>
      <c r="IP562" s="219"/>
      <c r="IQ562" s="219"/>
      <c r="IR562" s="219"/>
      <c r="IS562" s="219"/>
      <c r="IT562" s="219"/>
      <c r="IU562" s="219"/>
      <c r="IV562" s="219"/>
    </row>
    <row r="563" spans="1:256" x14ac:dyDescent="0.2">
      <c r="A563" s="204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  <c r="AB563" s="219"/>
      <c r="AC563" s="219"/>
      <c r="AD563" s="219"/>
      <c r="AE563" s="219"/>
      <c r="AF563" s="219"/>
      <c r="AG563" s="219"/>
      <c r="AH563" s="219"/>
      <c r="AI563" s="219"/>
      <c r="AJ563" s="219"/>
      <c r="AK563" s="219"/>
      <c r="AL563" s="219"/>
      <c r="AM563" s="219"/>
      <c r="AN563" s="219"/>
      <c r="AO563" s="219"/>
      <c r="AP563" s="219"/>
      <c r="AQ563" s="219"/>
      <c r="AR563" s="219"/>
      <c r="AS563" s="219"/>
      <c r="AT563" s="219"/>
      <c r="AU563" s="219"/>
      <c r="AV563" s="219"/>
      <c r="AW563" s="219"/>
      <c r="AX563" s="219"/>
      <c r="AY563" s="219"/>
      <c r="AZ563" s="219"/>
      <c r="BA563" s="219"/>
      <c r="BB563" s="219"/>
      <c r="BC563" s="219"/>
      <c r="BD563" s="219"/>
      <c r="BE563" s="219"/>
      <c r="BF563" s="219"/>
      <c r="BG563" s="219"/>
      <c r="BH563" s="219"/>
      <c r="BI563" s="219"/>
      <c r="BJ563" s="219"/>
      <c r="BK563" s="219"/>
      <c r="BL563" s="219"/>
      <c r="BM563" s="219"/>
      <c r="BN563" s="219"/>
      <c r="BO563" s="219"/>
      <c r="BP563" s="219"/>
      <c r="BQ563" s="219"/>
      <c r="BR563" s="219"/>
      <c r="BS563" s="219"/>
      <c r="BT563" s="219"/>
      <c r="BU563" s="219"/>
      <c r="BV563" s="219"/>
      <c r="BW563" s="219"/>
      <c r="BX563" s="219"/>
      <c r="BY563" s="219"/>
      <c r="BZ563" s="219"/>
      <c r="CA563" s="219"/>
      <c r="CB563" s="219"/>
      <c r="CC563" s="219"/>
      <c r="CD563" s="219"/>
      <c r="CE563" s="219"/>
      <c r="CF563" s="219"/>
      <c r="CG563" s="219"/>
      <c r="CH563" s="219"/>
      <c r="CI563" s="219"/>
      <c r="CJ563" s="219"/>
      <c r="CK563" s="219"/>
      <c r="CL563" s="219"/>
      <c r="CM563" s="219"/>
      <c r="CN563" s="219"/>
      <c r="CO563" s="219"/>
      <c r="CP563" s="219"/>
      <c r="CQ563" s="219"/>
      <c r="CR563" s="219"/>
      <c r="CS563" s="219"/>
      <c r="CT563" s="219"/>
      <c r="CU563" s="219"/>
      <c r="CV563" s="219"/>
      <c r="CW563" s="219"/>
      <c r="CX563" s="219"/>
      <c r="CY563" s="219"/>
      <c r="CZ563" s="219"/>
      <c r="DA563" s="219"/>
      <c r="DB563" s="219"/>
      <c r="DC563" s="219"/>
      <c r="DD563" s="219"/>
      <c r="DE563" s="219"/>
      <c r="DF563" s="219"/>
      <c r="DG563" s="219"/>
      <c r="DH563" s="219"/>
      <c r="DI563" s="219"/>
      <c r="DJ563" s="219"/>
      <c r="DK563" s="219"/>
      <c r="DL563" s="219"/>
      <c r="DM563" s="219"/>
      <c r="DN563" s="219"/>
      <c r="DO563" s="219"/>
      <c r="DP563" s="219"/>
      <c r="DQ563" s="219"/>
      <c r="DR563" s="219"/>
      <c r="DS563" s="219"/>
      <c r="DT563" s="219"/>
      <c r="DU563" s="219"/>
      <c r="DV563" s="219"/>
      <c r="DW563" s="219"/>
      <c r="DX563" s="219"/>
      <c r="DY563" s="219"/>
      <c r="DZ563" s="219"/>
      <c r="EA563" s="219"/>
      <c r="EB563" s="219"/>
      <c r="EC563" s="219"/>
      <c r="ED563" s="219"/>
      <c r="EE563" s="219"/>
      <c r="EF563" s="219"/>
      <c r="EG563" s="219"/>
      <c r="EH563" s="219"/>
      <c r="EI563" s="219"/>
      <c r="EJ563" s="219"/>
      <c r="EK563" s="219"/>
      <c r="EL563" s="219"/>
      <c r="EM563" s="219"/>
      <c r="EN563" s="219"/>
      <c r="EO563" s="219"/>
      <c r="EP563" s="219"/>
      <c r="EQ563" s="219"/>
      <c r="ER563" s="219"/>
      <c r="ES563" s="219"/>
      <c r="ET563" s="219"/>
      <c r="EU563" s="219"/>
      <c r="EV563" s="219"/>
      <c r="EW563" s="219"/>
      <c r="EX563" s="219"/>
      <c r="EY563" s="219"/>
      <c r="EZ563" s="219"/>
      <c r="FA563" s="219"/>
      <c r="FB563" s="219"/>
      <c r="FC563" s="219"/>
      <c r="FD563" s="219"/>
      <c r="FE563" s="219"/>
      <c r="FF563" s="219"/>
      <c r="FG563" s="219"/>
      <c r="FH563" s="219"/>
      <c r="FI563" s="219"/>
      <c r="FJ563" s="219"/>
      <c r="FK563" s="219"/>
      <c r="FL563" s="219"/>
      <c r="FM563" s="219"/>
      <c r="FN563" s="219"/>
      <c r="FO563" s="219"/>
      <c r="FP563" s="219"/>
      <c r="FQ563" s="219"/>
      <c r="FR563" s="219"/>
      <c r="FS563" s="219"/>
      <c r="FT563" s="219"/>
      <c r="FU563" s="219"/>
      <c r="FV563" s="219"/>
      <c r="FW563" s="219"/>
      <c r="FX563" s="219"/>
      <c r="FY563" s="219"/>
      <c r="FZ563" s="219"/>
      <c r="GA563" s="219"/>
      <c r="GB563" s="219"/>
      <c r="GC563" s="219"/>
      <c r="GD563" s="219"/>
      <c r="GE563" s="219"/>
      <c r="GF563" s="219"/>
      <c r="GG563" s="219"/>
      <c r="GH563" s="219"/>
      <c r="GI563" s="219"/>
      <c r="GJ563" s="219"/>
      <c r="GK563" s="219"/>
      <c r="GL563" s="219"/>
      <c r="GM563" s="219"/>
      <c r="GN563" s="219"/>
      <c r="GO563" s="219"/>
      <c r="GP563" s="219"/>
      <c r="GQ563" s="219"/>
      <c r="GR563" s="219"/>
      <c r="GS563" s="219"/>
      <c r="GT563" s="219"/>
      <c r="GU563" s="219"/>
      <c r="GV563" s="219"/>
      <c r="GW563" s="219"/>
      <c r="GX563" s="219"/>
      <c r="GY563" s="219"/>
      <c r="GZ563" s="219"/>
      <c r="HA563" s="219"/>
      <c r="HB563" s="219"/>
      <c r="HC563" s="219"/>
      <c r="HD563" s="219"/>
      <c r="HE563" s="219"/>
      <c r="HF563" s="219"/>
      <c r="HG563" s="219"/>
      <c r="HH563" s="219"/>
      <c r="HI563" s="219"/>
      <c r="HJ563" s="219"/>
      <c r="HK563" s="219"/>
      <c r="HL563" s="219"/>
      <c r="HM563" s="219"/>
      <c r="HN563" s="219"/>
      <c r="HO563" s="219"/>
      <c r="HP563" s="219"/>
      <c r="HQ563" s="219"/>
      <c r="HR563" s="219"/>
      <c r="HS563" s="219"/>
      <c r="HT563" s="219"/>
      <c r="HU563" s="219"/>
      <c r="HV563" s="219"/>
      <c r="HW563" s="219"/>
      <c r="HX563" s="219"/>
      <c r="HY563" s="219"/>
      <c r="HZ563" s="219"/>
      <c r="IA563" s="219"/>
      <c r="IB563" s="219"/>
      <c r="IC563" s="219"/>
      <c r="ID563" s="219"/>
      <c r="IE563" s="219"/>
      <c r="IF563" s="219"/>
      <c r="IG563" s="219"/>
      <c r="IH563" s="219"/>
      <c r="II563" s="219"/>
      <c r="IJ563" s="219"/>
      <c r="IK563" s="219"/>
      <c r="IL563" s="219"/>
      <c r="IM563" s="219"/>
      <c r="IN563" s="219"/>
      <c r="IO563" s="219"/>
      <c r="IP563" s="219"/>
      <c r="IQ563" s="219"/>
      <c r="IR563" s="219"/>
      <c r="IS563" s="219"/>
      <c r="IT563" s="219"/>
      <c r="IU563" s="219"/>
      <c r="IV563" s="219"/>
    </row>
    <row r="564" spans="1:256" x14ac:dyDescent="0.2">
      <c r="A564" s="204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  <c r="AB564" s="219"/>
      <c r="AC564" s="219"/>
      <c r="AD564" s="219"/>
      <c r="AE564" s="219"/>
      <c r="AF564" s="219"/>
      <c r="AG564" s="219"/>
      <c r="AH564" s="219"/>
      <c r="AI564" s="219"/>
      <c r="AJ564" s="219"/>
      <c r="AK564" s="219"/>
      <c r="AL564" s="219"/>
      <c r="AM564" s="219"/>
      <c r="AN564" s="219"/>
      <c r="AO564" s="219"/>
      <c r="AP564" s="219"/>
      <c r="AQ564" s="219"/>
      <c r="AR564" s="219"/>
      <c r="AS564" s="219"/>
      <c r="AT564" s="219"/>
      <c r="AU564" s="219"/>
      <c r="AV564" s="219"/>
      <c r="AW564" s="219"/>
      <c r="AX564" s="219"/>
      <c r="AY564" s="219"/>
      <c r="AZ564" s="219"/>
      <c r="BA564" s="219"/>
      <c r="BB564" s="219"/>
      <c r="BC564" s="219"/>
      <c r="BD564" s="219"/>
      <c r="BE564" s="219"/>
      <c r="BF564" s="219"/>
      <c r="BG564" s="219"/>
      <c r="BH564" s="219"/>
      <c r="BI564" s="219"/>
      <c r="BJ564" s="219"/>
      <c r="BK564" s="219"/>
      <c r="BL564" s="219"/>
      <c r="BM564" s="219"/>
      <c r="BN564" s="219"/>
      <c r="BO564" s="219"/>
      <c r="BP564" s="219"/>
      <c r="BQ564" s="219"/>
      <c r="BR564" s="219"/>
      <c r="BS564" s="219"/>
      <c r="BT564" s="219"/>
      <c r="BU564" s="219"/>
      <c r="BV564" s="219"/>
      <c r="BW564" s="219"/>
      <c r="BX564" s="219"/>
      <c r="BY564" s="219"/>
      <c r="BZ564" s="219"/>
      <c r="CA564" s="219"/>
      <c r="CB564" s="219"/>
      <c r="CC564" s="219"/>
      <c r="CD564" s="219"/>
      <c r="CE564" s="219"/>
      <c r="CF564" s="219"/>
      <c r="CG564" s="219"/>
      <c r="CH564" s="219"/>
      <c r="CI564" s="219"/>
      <c r="CJ564" s="219"/>
      <c r="CK564" s="219"/>
      <c r="CL564" s="219"/>
      <c r="CM564" s="219"/>
      <c r="CN564" s="219"/>
      <c r="CO564" s="219"/>
      <c r="CP564" s="219"/>
      <c r="CQ564" s="219"/>
      <c r="CR564" s="219"/>
      <c r="CS564" s="219"/>
      <c r="CT564" s="219"/>
      <c r="CU564" s="219"/>
      <c r="CV564" s="219"/>
      <c r="CW564" s="219"/>
      <c r="CX564" s="219"/>
      <c r="CY564" s="219"/>
      <c r="CZ564" s="219"/>
      <c r="DA564" s="219"/>
      <c r="DB564" s="219"/>
      <c r="DC564" s="219"/>
      <c r="DD564" s="219"/>
      <c r="DE564" s="219"/>
      <c r="DF564" s="219"/>
      <c r="DG564" s="219"/>
      <c r="DH564" s="219"/>
      <c r="DI564" s="219"/>
      <c r="DJ564" s="219"/>
      <c r="DK564" s="219"/>
      <c r="DL564" s="219"/>
      <c r="DM564" s="219"/>
      <c r="DN564" s="219"/>
      <c r="DO564" s="219"/>
      <c r="DP564" s="219"/>
      <c r="DQ564" s="219"/>
      <c r="DR564" s="219"/>
      <c r="DS564" s="219"/>
      <c r="DT564" s="219"/>
      <c r="DU564" s="219"/>
      <c r="DV564" s="219"/>
      <c r="DW564" s="219"/>
      <c r="DX564" s="219"/>
      <c r="DY564" s="219"/>
      <c r="DZ564" s="219"/>
      <c r="EA564" s="219"/>
      <c r="EB564" s="219"/>
      <c r="EC564" s="219"/>
      <c r="ED564" s="219"/>
      <c r="EE564" s="219"/>
      <c r="EF564" s="219"/>
      <c r="EG564" s="219"/>
      <c r="EH564" s="219"/>
      <c r="EI564" s="219"/>
      <c r="EJ564" s="219"/>
      <c r="EK564" s="219"/>
      <c r="EL564" s="219"/>
      <c r="EM564" s="219"/>
      <c r="EN564" s="219"/>
      <c r="EO564" s="219"/>
      <c r="EP564" s="219"/>
      <c r="EQ564" s="219"/>
      <c r="ER564" s="219"/>
      <c r="ES564" s="219"/>
      <c r="ET564" s="219"/>
      <c r="EU564" s="219"/>
      <c r="EV564" s="219"/>
      <c r="EW564" s="219"/>
      <c r="EX564" s="219"/>
      <c r="EY564" s="219"/>
      <c r="EZ564" s="219"/>
      <c r="FA564" s="219"/>
      <c r="FB564" s="219"/>
      <c r="FC564" s="219"/>
      <c r="FD564" s="219"/>
      <c r="FE564" s="219"/>
      <c r="FF564" s="219"/>
      <c r="FG564" s="219"/>
      <c r="FH564" s="219"/>
      <c r="FI564" s="219"/>
      <c r="FJ564" s="219"/>
      <c r="FK564" s="219"/>
      <c r="FL564" s="219"/>
      <c r="FM564" s="219"/>
      <c r="FN564" s="219"/>
      <c r="FO564" s="219"/>
      <c r="FP564" s="219"/>
      <c r="FQ564" s="219"/>
      <c r="FR564" s="219"/>
      <c r="FS564" s="219"/>
      <c r="FT564" s="219"/>
      <c r="FU564" s="219"/>
      <c r="FV564" s="219"/>
      <c r="FW564" s="219"/>
      <c r="FX564" s="219"/>
      <c r="FY564" s="219"/>
      <c r="FZ564" s="219"/>
      <c r="GA564" s="219"/>
      <c r="GB564" s="219"/>
      <c r="GC564" s="219"/>
      <c r="GD564" s="219"/>
      <c r="GE564" s="219"/>
      <c r="GF564" s="219"/>
      <c r="GG564" s="219"/>
      <c r="GH564" s="219"/>
      <c r="GI564" s="219"/>
      <c r="GJ564" s="219"/>
      <c r="GK564" s="219"/>
      <c r="GL564" s="219"/>
      <c r="GM564" s="219"/>
      <c r="GN564" s="219"/>
      <c r="GO564" s="219"/>
      <c r="GP564" s="219"/>
      <c r="GQ564" s="219"/>
      <c r="GR564" s="219"/>
      <c r="GS564" s="219"/>
      <c r="GT564" s="219"/>
      <c r="GU564" s="219"/>
      <c r="GV564" s="219"/>
      <c r="GW564" s="219"/>
      <c r="GX564" s="219"/>
      <c r="GY564" s="219"/>
      <c r="GZ564" s="219"/>
      <c r="HA564" s="219"/>
      <c r="HB564" s="219"/>
      <c r="HC564" s="219"/>
      <c r="HD564" s="219"/>
      <c r="HE564" s="219"/>
      <c r="HF564" s="219"/>
      <c r="HG564" s="219"/>
      <c r="HH564" s="219"/>
      <c r="HI564" s="219"/>
      <c r="HJ564" s="219"/>
      <c r="HK564" s="219"/>
      <c r="HL564" s="219"/>
      <c r="HM564" s="219"/>
      <c r="HN564" s="219"/>
      <c r="HO564" s="219"/>
      <c r="HP564" s="219"/>
      <c r="HQ564" s="219"/>
      <c r="HR564" s="219"/>
      <c r="HS564" s="219"/>
      <c r="HT564" s="219"/>
      <c r="HU564" s="219"/>
      <c r="HV564" s="219"/>
      <c r="HW564" s="219"/>
      <c r="HX564" s="219"/>
      <c r="HY564" s="219"/>
      <c r="HZ564" s="219"/>
      <c r="IA564" s="219"/>
      <c r="IB564" s="219"/>
      <c r="IC564" s="219"/>
      <c r="ID564" s="219"/>
      <c r="IE564" s="219"/>
      <c r="IF564" s="219"/>
      <c r="IG564" s="219"/>
      <c r="IH564" s="219"/>
      <c r="II564" s="219"/>
      <c r="IJ564" s="219"/>
      <c r="IK564" s="219"/>
      <c r="IL564" s="219"/>
      <c r="IM564" s="219"/>
      <c r="IN564" s="219"/>
      <c r="IO564" s="219"/>
      <c r="IP564" s="219"/>
      <c r="IQ564" s="219"/>
      <c r="IR564" s="219"/>
      <c r="IS564" s="219"/>
      <c r="IT564" s="219"/>
      <c r="IU564" s="219"/>
      <c r="IV564" s="219"/>
    </row>
    <row r="565" spans="1:256" x14ac:dyDescent="0.2">
      <c r="A565" s="204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  <c r="AD565" s="219"/>
      <c r="AE565" s="219"/>
      <c r="AF565" s="219"/>
      <c r="AG565" s="219"/>
      <c r="AH565" s="219"/>
      <c r="AI565" s="219"/>
      <c r="AJ565" s="219"/>
      <c r="AK565" s="219"/>
      <c r="AL565" s="219"/>
      <c r="AM565" s="219"/>
      <c r="AN565" s="219"/>
      <c r="AO565" s="219"/>
      <c r="AP565" s="219"/>
      <c r="AQ565" s="219"/>
      <c r="AR565" s="219"/>
      <c r="AS565" s="219"/>
      <c r="AT565" s="219"/>
      <c r="AU565" s="219"/>
      <c r="AV565" s="219"/>
      <c r="AW565" s="219"/>
      <c r="AX565" s="219"/>
      <c r="AY565" s="219"/>
      <c r="AZ565" s="219"/>
      <c r="BA565" s="219"/>
      <c r="BB565" s="219"/>
      <c r="BC565" s="219"/>
      <c r="BD565" s="219"/>
      <c r="BE565" s="219"/>
      <c r="BF565" s="219"/>
      <c r="BG565" s="219"/>
      <c r="BH565" s="219"/>
      <c r="BI565" s="219"/>
      <c r="BJ565" s="219"/>
      <c r="BK565" s="219"/>
      <c r="BL565" s="219"/>
      <c r="BM565" s="219"/>
      <c r="BN565" s="219"/>
      <c r="BO565" s="219"/>
      <c r="BP565" s="219"/>
      <c r="BQ565" s="219"/>
      <c r="BR565" s="219"/>
      <c r="BS565" s="219"/>
      <c r="BT565" s="219"/>
      <c r="BU565" s="219"/>
      <c r="BV565" s="219"/>
      <c r="BW565" s="219"/>
      <c r="BX565" s="219"/>
      <c r="BY565" s="219"/>
      <c r="BZ565" s="219"/>
      <c r="CA565" s="219"/>
      <c r="CB565" s="219"/>
      <c r="CC565" s="219"/>
      <c r="CD565" s="219"/>
      <c r="CE565" s="219"/>
      <c r="CF565" s="219"/>
      <c r="CG565" s="219"/>
      <c r="CH565" s="219"/>
      <c r="CI565" s="219"/>
      <c r="CJ565" s="219"/>
      <c r="CK565" s="219"/>
      <c r="CL565" s="219"/>
      <c r="CM565" s="219"/>
      <c r="CN565" s="219"/>
      <c r="CO565" s="219"/>
      <c r="CP565" s="219"/>
      <c r="CQ565" s="219"/>
      <c r="CR565" s="219"/>
      <c r="CS565" s="219"/>
      <c r="CT565" s="219"/>
      <c r="CU565" s="219"/>
      <c r="CV565" s="219"/>
      <c r="CW565" s="219"/>
      <c r="CX565" s="219"/>
      <c r="CY565" s="219"/>
      <c r="CZ565" s="219"/>
      <c r="DA565" s="219"/>
      <c r="DB565" s="219"/>
      <c r="DC565" s="219"/>
      <c r="DD565" s="219"/>
      <c r="DE565" s="219"/>
      <c r="DF565" s="219"/>
      <c r="DG565" s="219"/>
      <c r="DH565" s="219"/>
      <c r="DI565" s="219"/>
      <c r="DJ565" s="219"/>
      <c r="DK565" s="219"/>
      <c r="DL565" s="219"/>
      <c r="DM565" s="219"/>
      <c r="DN565" s="219"/>
      <c r="DO565" s="219"/>
      <c r="DP565" s="219"/>
      <c r="DQ565" s="219"/>
      <c r="DR565" s="219"/>
      <c r="DS565" s="219"/>
      <c r="DT565" s="219"/>
      <c r="DU565" s="219"/>
      <c r="DV565" s="219"/>
      <c r="DW565" s="219"/>
      <c r="DX565" s="219"/>
      <c r="DY565" s="219"/>
      <c r="DZ565" s="219"/>
      <c r="EA565" s="219"/>
      <c r="EB565" s="219"/>
      <c r="EC565" s="219"/>
      <c r="ED565" s="219"/>
      <c r="EE565" s="219"/>
      <c r="EF565" s="219"/>
      <c r="EG565" s="219"/>
      <c r="EH565" s="219"/>
      <c r="EI565" s="219"/>
      <c r="EJ565" s="219"/>
      <c r="EK565" s="219"/>
      <c r="EL565" s="219"/>
      <c r="EM565" s="219"/>
      <c r="EN565" s="219"/>
      <c r="EO565" s="219"/>
      <c r="EP565" s="219"/>
      <c r="EQ565" s="219"/>
      <c r="ER565" s="219"/>
      <c r="ES565" s="219"/>
      <c r="ET565" s="219"/>
      <c r="EU565" s="219"/>
      <c r="EV565" s="219"/>
      <c r="EW565" s="219"/>
      <c r="EX565" s="219"/>
      <c r="EY565" s="219"/>
      <c r="EZ565" s="219"/>
      <c r="FA565" s="219"/>
      <c r="FB565" s="219"/>
      <c r="FC565" s="219"/>
      <c r="FD565" s="219"/>
      <c r="FE565" s="219"/>
      <c r="FF565" s="219"/>
      <c r="FG565" s="219"/>
      <c r="FH565" s="219"/>
      <c r="FI565" s="219"/>
      <c r="FJ565" s="219"/>
      <c r="FK565" s="219"/>
      <c r="FL565" s="219"/>
      <c r="FM565" s="219"/>
      <c r="FN565" s="219"/>
      <c r="FO565" s="219"/>
      <c r="FP565" s="219"/>
      <c r="FQ565" s="219"/>
      <c r="FR565" s="219"/>
      <c r="FS565" s="219"/>
      <c r="FT565" s="219"/>
      <c r="FU565" s="219"/>
      <c r="FV565" s="219"/>
      <c r="FW565" s="219"/>
      <c r="FX565" s="219"/>
      <c r="FY565" s="219"/>
      <c r="FZ565" s="219"/>
      <c r="GA565" s="219"/>
      <c r="GB565" s="219"/>
      <c r="GC565" s="219"/>
      <c r="GD565" s="219"/>
      <c r="GE565" s="219"/>
      <c r="GF565" s="219"/>
      <c r="GG565" s="219"/>
      <c r="GH565" s="219"/>
      <c r="GI565" s="219"/>
      <c r="GJ565" s="219"/>
      <c r="GK565" s="219"/>
      <c r="GL565" s="219"/>
      <c r="GM565" s="219"/>
      <c r="GN565" s="219"/>
      <c r="GO565" s="219"/>
      <c r="GP565" s="219"/>
      <c r="GQ565" s="219"/>
      <c r="GR565" s="219"/>
      <c r="GS565" s="219"/>
      <c r="GT565" s="219"/>
      <c r="GU565" s="219"/>
      <c r="GV565" s="219"/>
      <c r="GW565" s="219"/>
      <c r="GX565" s="219"/>
      <c r="GY565" s="219"/>
      <c r="GZ565" s="219"/>
      <c r="HA565" s="219"/>
      <c r="HB565" s="219"/>
      <c r="HC565" s="219"/>
      <c r="HD565" s="219"/>
      <c r="HE565" s="219"/>
      <c r="HF565" s="219"/>
      <c r="HG565" s="219"/>
      <c r="HH565" s="219"/>
      <c r="HI565" s="219"/>
      <c r="HJ565" s="219"/>
      <c r="HK565" s="219"/>
      <c r="HL565" s="219"/>
      <c r="HM565" s="219"/>
      <c r="HN565" s="219"/>
      <c r="HO565" s="219"/>
      <c r="HP565" s="219"/>
      <c r="HQ565" s="219"/>
      <c r="HR565" s="219"/>
      <c r="HS565" s="219"/>
      <c r="HT565" s="219"/>
      <c r="HU565" s="219"/>
      <c r="HV565" s="219"/>
      <c r="HW565" s="219"/>
      <c r="HX565" s="219"/>
      <c r="HY565" s="219"/>
      <c r="HZ565" s="219"/>
      <c r="IA565" s="219"/>
      <c r="IB565" s="219"/>
      <c r="IC565" s="219"/>
      <c r="ID565" s="219"/>
      <c r="IE565" s="219"/>
      <c r="IF565" s="219"/>
      <c r="IG565" s="219"/>
      <c r="IH565" s="219"/>
      <c r="II565" s="219"/>
      <c r="IJ565" s="219"/>
      <c r="IK565" s="219"/>
      <c r="IL565" s="219"/>
      <c r="IM565" s="219"/>
      <c r="IN565" s="219"/>
      <c r="IO565" s="219"/>
      <c r="IP565" s="219"/>
      <c r="IQ565" s="219"/>
      <c r="IR565" s="219"/>
      <c r="IS565" s="219"/>
      <c r="IT565" s="219"/>
      <c r="IU565" s="219"/>
      <c r="IV565" s="219"/>
    </row>
    <row r="566" spans="1:256" x14ac:dyDescent="0.2">
      <c r="A566" s="204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  <c r="AD566" s="219"/>
      <c r="AE566" s="219"/>
      <c r="AF566" s="219"/>
      <c r="AG566" s="219"/>
      <c r="AH566" s="219"/>
      <c r="AI566" s="219"/>
      <c r="AJ566" s="219"/>
      <c r="AK566" s="219"/>
      <c r="AL566" s="219"/>
      <c r="AM566" s="219"/>
      <c r="AN566" s="219"/>
      <c r="AO566" s="219"/>
      <c r="AP566" s="219"/>
      <c r="AQ566" s="219"/>
      <c r="AR566" s="219"/>
      <c r="AS566" s="219"/>
      <c r="AT566" s="219"/>
      <c r="AU566" s="219"/>
      <c r="AV566" s="219"/>
      <c r="AW566" s="219"/>
      <c r="AX566" s="219"/>
      <c r="AY566" s="219"/>
      <c r="AZ566" s="219"/>
      <c r="BA566" s="219"/>
      <c r="BB566" s="219"/>
      <c r="BC566" s="219"/>
      <c r="BD566" s="219"/>
      <c r="BE566" s="219"/>
      <c r="BF566" s="219"/>
      <c r="BG566" s="219"/>
      <c r="BH566" s="219"/>
      <c r="BI566" s="219"/>
      <c r="BJ566" s="219"/>
      <c r="BK566" s="219"/>
      <c r="BL566" s="219"/>
      <c r="BM566" s="219"/>
      <c r="BN566" s="219"/>
      <c r="BO566" s="219"/>
      <c r="BP566" s="219"/>
      <c r="BQ566" s="219"/>
      <c r="BR566" s="219"/>
      <c r="BS566" s="219"/>
      <c r="BT566" s="219"/>
      <c r="BU566" s="219"/>
      <c r="BV566" s="219"/>
      <c r="BW566" s="219"/>
      <c r="BX566" s="219"/>
      <c r="BY566" s="219"/>
      <c r="BZ566" s="219"/>
      <c r="CA566" s="219"/>
      <c r="CB566" s="219"/>
      <c r="CC566" s="219"/>
      <c r="CD566" s="219"/>
      <c r="CE566" s="219"/>
      <c r="CF566" s="219"/>
      <c r="CG566" s="219"/>
      <c r="CH566" s="219"/>
      <c r="CI566" s="219"/>
      <c r="CJ566" s="219"/>
      <c r="CK566" s="219"/>
      <c r="CL566" s="219"/>
      <c r="CM566" s="219"/>
      <c r="CN566" s="219"/>
      <c r="CO566" s="219"/>
      <c r="CP566" s="219"/>
      <c r="CQ566" s="219"/>
      <c r="CR566" s="219"/>
      <c r="CS566" s="219"/>
      <c r="CT566" s="219"/>
      <c r="CU566" s="219"/>
      <c r="CV566" s="219"/>
      <c r="CW566" s="219"/>
      <c r="CX566" s="219"/>
      <c r="CY566" s="219"/>
      <c r="CZ566" s="219"/>
      <c r="DA566" s="219"/>
      <c r="DB566" s="219"/>
      <c r="DC566" s="219"/>
      <c r="DD566" s="219"/>
      <c r="DE566" s="219"/>
      <c r="DF566" s="219"/>
      <c r="DG566" s="219"/>
      <c r="DH566" s="219"/>
      <c r="DI566" s="219"/>
      <c r="DJ566" s="219"/>
      <c r="DK566" s="219"/>
      <c r="DL566" s="219"/>
      <c r="DM566" s="219"/>
      <c r="DN566" s="219"/>
      <c r="DO566" s="219"/>
      <c r="DP566" s="219"/>
      <c r="DQ566" s="219"/>
      <c r="DR566" s="219"/>
      <c r="DS566" s="219"/>
      <c r="DT566" s="219"/>
      <c r="DU566" s="219"/>
      <c r="DV566" s="219"/>
      <c r="DW566" s="219"/>
      <c r="DX566" s="219"/>
      <c r="DY566" s="219"/>
      <c r="DZ566" s="219"/>
      <c r="EA566" s="219"/>
      <c r="EB566" s="219"/>
      <c r="EC566" s="219"/>
      <c r="ED566" s="219"/>
      <c r="EE566" s="219"/>
      <c r="EF566" s="219"/>
      <c r="EG566" s="219"/>
      <c r="EH566" s="219"/>
      <c r="EI566" s="219"/>
      <c r="EJ566" s="219"/>
      <c r="EK566" s="219"/>
      <c r="EL566" s="219"/>
      <c r="EM566" s="219"/>
      <c r="EN566" s="219"/>
      <c r="EO566" s="219"/>
      <c r="EP566" s="219"/>
      <c r="EQ566" s="219"/>
      <c r="ER566" s="219"/>
      <c r="ES566" s="219"/>
      <c r="ET566" s="219"/>
      <c r="EU566" s="219"/>
      <c r="EV566" s="219"/>
      <c r="EW566" s="219"/>
      <c r="EX566" s="219"/>
      <c r="EY566" s="219"/>
      <c r="EZ566" s="219"/>
      <c r="FA566" s="219"/>
      <c r="FB566" s="219"/>
      <c r="FC566" s="219"/>
      <c r="FD566" s="219"/>
      <c r="FE566" s="219"/>
      <c r="FF566" s="219"/>
      <c r="FG566" s="219"/>
      <c r="FH566" s="219"/>
      <c r="FI566" s="219"/>
      <c r="FJ566" s="219"/>
      <c r="FK566" s="219"/>
      <c r="FL566" s="219"/>
      <c r="FM566" s="219"/>
      <c r="FN566" s="219"/>
      <c r="FO566" s="219"/>
      <c r="FP566" s="219"/>
      <c r="FQ566" s="219"/>
      <c r="FR566" s="219"/>
      <c r="FS566" s="219"/>
      <c r="FT566" s="219"/>
      <c r="FU566" s="219"/>
      <c r="FV566" s="219"/>
      <c r="FW566" s="219"/>
      <c r="FX566" s="219"/>
      <c r="FY566" s="219"/>
      <c r="FZ566" s="219"/>
      <c r="GA566" s="219"/>
      <c r="GB566" s="219"/>
      <c r="GC566" s="219"/>
      <c r="GD566" s="219"/>
      <c r="GE566" s="219"/>
      <c r="GF566" s="219"/>
      <c r="GG566" s="219"/>
      <c r="GH566" s="219"/>
      <c r="GI566" s="219"/>
      <c r="GJ566" s="219"/>
      <c r="GK566" s="219"/>
      <c r="GL566" s="219"/>
      <c r="GM566" s="219"/>
      <c r="GN566" s="219"/>
      <c r="GO566" s="219"/>
      <c r="GP566" s="219"/>
      <c r="GQ566" s="219"/>
      <c r="GR566" s="219"/>
      <c r="GS566" s="219"/>
      <c r="GT566" s="219"/>
      <c r="GU566" s="219"/>
      <c r="GV566" s="219"/>
      <c r="GW566" s="219"/>
      <c r="GX566" s="219"/>
      <c r="GY566" s="219"/>
      <c r="GZ566" s="219"/>
      <c r="HA566" s="219"/>
      <c r="HB566" s="219"/>
      <c r="HC566" s="219"/>
      <c r="HD566" s="219"/>
      <c r="HE566" s="219"/>
      <c r="HF566" s="219"/>
      <c r="HG566" s="219"/>
      <c r="HH566" s="219"/>
      <c r="HI566" s="219"/>
      <c r="HJ566" s="219"/>
      <c r="HK566" s="219"/>
      <c r="HL566" s="219"/>
      <c r="HM566" s="219"/>
      <c r="HN566" s="219"/>
      <c r="HO566" s="219"/>
      <c r="HP566" s="219"/>
      <c r="HQ566" s="219"/>
      <c r="HR566" s="219"/>
      <c r="HS566" s="219"/>
      <c r="HT566" s="219"/>
      <c r="HU566" s="219"/>
      <c r="HV566" s="219"/>
      <c r="HW566" s="219"/>
      <c r="HX566" s="219"/>
      <c r="HY566" s="219"/>
      <c r="HZ566" s="219"/>
      <c r="IA566" s="219"/>
      <c r="IB566" s="219"/>
      <c r="IC566" s="219"/>
      <c r="ID566" s="219"/>
      <c r="IE566" s="219"/>
      <c r="IF566" s="219"/>
      <c r="IG566" s="219"/>
      <c r="IH566" s="219"/>
      <c r="II566" s="219"/>
      <c r="IJ566" s="219"/>
      <c r="IK566" s="219"/>
      <c r="IL566" s="219"/>
      <c r="IM566" s="219"/>
      <c r="IN566" s="219"/>
      <c r="IO566" s="219"/>
      <c r="IP566" s="219"/>
      <c r="IQ566" s="219"/>
      <c r="IR566" s="219"/>
      <c r="IS566" s="219"/>
      <c r="IT566" s="219"/>
      <c r="IU566" s="219"/>
      <c r="IV566" s="219"/>
    </row>
    <row r="567" spans="1:256" x14ac:dyDescent="0.2">
      <c r="A567" s="204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  <c r="AB567" s="219"/>
      <c r="AC567" s="219"/>
      <c r="AD567" s="219"/>
      <c r="AE567" s="219"/>
      <c r="AF567" s="219"/>
      <c r="AG567" s="219"/>
      <c r="AH567" s="219"/>
      <c r="AI567" s="219"/>
      <c r="AJ567" s="219"/>
      <c r="AK567" s="219"/>
      <c r="AL567" s="219"/>
      <c r="AM567" s="219"/>
      <c r="AN567" s="219"/>
      <c r="AO567" s="219"/>
      <c r="AP567" s="219"/>
      <c r="AQ567" s="219"/>
      <c r="AR567" s="219"/>
      <c r="AS567" s="219"/>
      <c r="AT567" s="219"/>
      <c r="AU567" s="219"/>
      <c r="AV567" s="219"/>
      <c r="AW567" s="219"/>
      <c r="AX567" s="219"/>
      <c r="AY567" s="219"/>
      <c r="AZ567" s="219"/>
      <c r="BA567" s="219"/>
      <c r="BB567" s="219"/>
      <c r="BC567" s="219"/>
      <c r="BD567" s="219"/>
      <c r="BE567" s="219"/>
      <c r="BF567" s="219"/>
      <c r="BG567" s="219"/>
      <c r="BH567" s="219"/>
      <c r="BI567" s="219"/>
      <c r="BJ567" s="219"/>
      <c r="BK567" s="219"/>
      <c r="BL567" s="219"/>
      <c r="BM567" s="219"/>
      <c r="BN567" s="219"/>
      <c r="BO567" s="219"/>
      <c r="BP567" s="219"/>
      <c r="BQ567" s="219"/>
      <c r="BR567" s="219"/>
      <c r="BS567" s="219"/>
      <c r="BT567" s="219"/>
      <c r="BU567" s="219"/>
      <c r="BV567" s="219"/>
      <c r="BW567" s="219"/>
      <c r="BX567" s="219"/>
      <c r="BY567" s="219"/>
      <c r="BZ567" s="219"/>
      <c r="CA567" s="219"/>
      <c r="CB567" s="219"/>
      <c r="CC567" s="219"/>
      <c r="CD567" s="219"/>
      <c r="CE567" s="219"/>
      <c r="CF567" s="219"/>
      <c r="CG567" s="219"/>
      <c r="CH567" s="219"/>
      <c r="CI567" s="219"/>
      <c r="CJ567" s="219"/>
      <c r="CK567" s="219"/>
      <c r="CL567" s="219"/>
      <c r="CM567" s="219"/>
      <c r="CN567" s="219"/>
      <c r="CO567" s="219"/>
      <c r="CP567" s="219"/>
      <c r="CQ567" s="219"/>
      <c r="CR567" s="219"/>
      <c r="CS567" s="219"/>
      <c r="CT567" s="219"/>
      <c r="CU567" s="219"/>
      <c r="CV567" s="219"/>
      <c r="CW567" s="219"/>
      <c r="CX567" s="219"/>
      <c r="CY567" s="219"/>
      <c r="CZ567" s="219"/>
      <c r="DA567" s="219"/>
      <c r="DB567" s="219"/>
      <c r="DC567" s="219"/>
      <c r="DD567" s="219"/>
      <c r="DE567" s="219"/>
      <c r="DF567" s="219"/>
      <c r="DG567" s="219"/>
      <c r="DH567" s="219"/>
      <c r="DI567" s="219"/>
      <c r="DJ567" s="219"/>
      <c r="DK567" s="219"/>
      <c r="DL567" s="219"/>
      <c r="DM567" s="219"/>
      <c r="DN567" s="219"/>
      <c r="DO567" s="219"/>
      <c r="DP567" s="219"/>
      <c r="DQ567" s="219"/>
      <c r="DR567" s="219"/>
      <c r="DS567" s="219"/>
      <c r="DT567" s="219"/>
      <c r="DU567" s="219"/>
      <c r="DV567" s="219"/>
      <c r="DW567" s="219"/>
      <c r="DX567" s="219"/>
      <c r="DY567" s="219"/>
      <c r="DZ567" s="219"/>
      <c r="EA567" s="219"/>
      <c r="EB567" s="219"/>
      <c r="EC567" s="219"/>
      <c r="ED567" s="219"/>
      <c r="EE567" s="219"/>
      <c r="EF567" s="219"/>
      <c r="EG567" s="219"/>
      <c r="EH567" s="219"/>
      <c r="EI567" s="219"/>
      <c r="EJ567" s="219"/>
      <c r="EK567" s="219"/>
      <c r="EL567" s="219"/>
      <c r="EM567" s="219"/>
      <c r="EN567" s="219"/>
      <c r="EO567" s="219"/>
      <c r="EP567" s="219"/>
      <c r="EQ567" s="219"/>
      <c r="ER567" s="219"/>
      <c r="ES567" s="219"/>
      <c r="ET567" s="219"/>
      <c r="EU567" s="219"/>
      <c r="EV567" s="219"/>
      <c r="EW567" s="219"/>
      <c r="EX567" s="219"/>
      <c r="EY567" s="219"/>
      <c r="EZ567" s="219"/>
      <c r="FA567" s="219"/>
      <c r="FB567" s="219"/>
      <c r="FC567" s="219"/>
      <c r="FD567" s="219"/>
      <c r="FE567" s="219"/>
      <c r="FF567" s="219"/>
      <c r="FG567" s="219"/>
      <c r="FH567" s="219"/>
      <c r="FI567" s="219"/>
      <c r="FJ567" s="219"/>
      <c r="FK567" s="219"/>
      <c r="FL567" s="219"/>
      <c r="FM567" s="219"/>
      <c r="FN567" s="219"/>
      <c r="FO567" s="219"/>
      <c r="FP567" s="219"/>
      <c r="FQ567" s="219"/>
      <c r="FR567" s="219"/>
      <c r="FS567" s="219"/>
      <c r="FT567" s="219"/>
      <c r="FU567" s="219"/>
      <c r="FV567" s="219"/>
      <c r="FW567" s="219"/>
      <c r="FX567" s="219"/>
      <c r="FY567" s="219"/>
      <c r="FZ567" s="219"/>
      <c r="GA567" s="219"/>
      <c r="GB567" s="219"/>
      <c r="GC567" s="219"/>
      <c r="GD567" s="219"/>
      <c r="GE567" s="219"/>
      <c r="GF567" s="219"/>
      <c r="GG567" s="219"/>
      <c r="GH567" s="219"/>
      <c r="GI567" s="219"/>
      <c r="GJ567" s="219"/>
      <c r="GK567" s="219"/>
      <c r="GL567" s="219"/>
      <c r="GM567" s="219"/>
      <c r="GN567" s="219"/>
      <c r="GO567" s="219"/>
      <c r="GP567" s="219"/>
      <c r="GQ567" s="219"/>
      <c r="GR567" s="219"/>
      <c r="GS567" s="219"/>
      <c r="GT567" s="219"/>
      <c r="GU567" s="219"/>
      <c r="GV567" s="219"/>
      <c r="GW567" s="219"/>
      <c r="GX567" s="219"/>
      <c r="GY567" s="219"/>
      <c r="GZ567" s="219"/>
      <c r="HA567" s="219"/>
      <c r="HB567" s="219"/>
      <c r="HC567" s="219"/>
      <c r="HD567" s="219"/>
      <c r="HE567" s="219"/>
      <c r="HF567" s="219"/>
      <c r="HG567" s="219"/>
      <c r="HH567" s="219"/>
      <c r="HI567" s="219"/>
      <c r="HJ567" s="219"/>
      <c r="HK567" s="219"/>
      <c r="HL567" s="219"/>
      <c r="HM567" s="219"/>
      <c r="HN567" s="219"/>
      <c r="HO567" s="219"/>
      <c r="HP567" s="219"/>
      <c r="HQ567" s="219"/>
      <c r="HR567" s="219"/>
      <c r="HS567" s="219"/>
      <c r="HT567" s="219"/>
      <c r="HU567" s="219"/>
      <c r="HV567" s="219"/>
      <c r="HW567" s="219"/>
      <c r="HX567" s="219"/>
      <c r="HY567" s="219"/>
      <c r="HZ567" s="219"/>
      <c r="IA567" s="219"/>
      <c r="IB567" s="219"/>
      <c r="IC567" s="219"/>
      <c r="ID567" s="219"/>
      <c r="IE567" s="219"/>
      <c r="IF567" s="219"/>
      <c r="IG567" s="219"/>
      <c r="IH567" s="219"/>
      <c r="II567" s="219"/>
      <c r="IJ567" s="219"/>
      <c r="IK567" s="219"/>
      <c r="IL567" s="219"/>
      <c r="IM567" s="219"/>
      <c r="IN567" s="219"/>
      <c r="IO567" s="219"/>
      <c r="IP567" s="219"/>
      <c r="IQ567" s="219"/>
      <c r="IR567" s="219"/>
      <c r="IS567" s="219"/>
      <c r="IT567" s="219"/>
      <c r="IU567" s="219"/>
      <c r="IV567" s="219"/>
    </row>
    <row r="568" spans="1:256" x14ac:dyDescent="0.2">
      <c r="A568" s="204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  <c r="AB568" s="219"/>
      <c r="AC568" s="219"/>
      <c r="AD568" s="219"/>
      <c r="AE568" s="219"/>
      <c r="AF568" s="219"/>
      <c r="AG568" s="219"/>
      <c r="AH568" s="219"/>
      <c r="AI568" s="219"/>
      <c r="AJ568" s="219"/>
      <c r="AK568" s="219"/>
      <c r="AL568" s="219"/>
      <c r="AM568" s="219"/>
      <c r="AN568" s="219"/>
      <c r="AO568" s="219"/>
      <c r="AP568" s="219"/>
      <c r="AQ568" s="219"/>
      <c r="AR568" s="219"/>
      <c r="AS568" s="219"/>
      <c r="AT568" s="219"/>
      <c r="AU568" s="219"/>
      <c r="AV568" s="219"/>
      <c r="AW568" s="219"/>
      <c r="AX568" s="219"/>
      <c r="AY568" s="219"/>
      <c r="AZ568" s="219"/>
      <c r="BA568" s="219"/>
      <c r="BB568" s="219"/>
      <c r="BC568" s="219"/>
      <c r="BD568" s="219"/>
      <c r="BE568" s="219"/>
      <c r="BF568" s="219"/>
      <c r="BG568" s="219"/>
      <c r="BH568" s="219"/>
      <c r="BI568" s="219"/>
      <c r="BJ568" s="219"/>
      <c r="BK568" s="219"/>
      <c r="BL568" s="219"/>
      <c r="BM568" s="219"/>
      <c r="BN568" s="219"/>
      <c r="BO568" s="219"/>
      <c r="BP568" s="219"/>
      <c r="BQ568" s="219"/>
      <c r="BR568" s="219"/>
      <c r="BS568" s="219"/>
      <c r="BT568" s="219"/>
      <c r="BU568" s="219"/>
      <c r="BV568" s="219"/>
      <c r="BW568" s="219"/>
      <c r="BX568" s="219"/>
      <c r="BY568" s="219"/>
      <c r="BZ568" s="219"/>
      <c r="CA568" s="219"/>
      <c r="CB568" s="219"/>
      <c r="CC568" s="219"/>
      <c r="CD568" s="219"/>
      <c r="CE568" s="219"/>
      <c r="CF568" s="219"/>
      <c r="CG568" s="219"/>
      <c r="CH568" s="219"/>
      <c r="CI568" s="219"/>
      <c r="CJ568" s="219"/>
      <c r="CK568" s="219"/>
      <c r="CL568" s="219"/>
      <c r="CM568" s="219"/>
      <c r="CN568" s="219"/>
      <c r="CO568" s="219"/>
      <c r="CP568" s="219"/>
      <c r="CQ568" s="219"/>
      <c r="CR568" s="219"/>
      <c r="CS568" s="219"/>
      <c r="CT568" s="219"/>
      <c r="CU568" s="219"/>
      <c r="CV568" s="219"/>
      <c r="CW568" s="219"/>
      <c r="CX568" s="219"/>
      <c r="CY568" s="219"/>
      <c r="CZ568" s="219"/>
      <c r="DA568" s="219"/>
      <c r="DB568" s="219"/>
      <c r="DC568" s="219"/>
      <c r="DD568" s="219"/>
      <c r="DE568" s="219"/>
      <c r="DF568" s="219"/>
      <c r="DG568" s="219"/>
      <c r="DH568" s="219"/>
      <c r="DI568" s="219"/>
      <c r="DJ568" s="219"/>
      <c r="DK568" s="219"/>
      <c r="DL568" s="219"/>
      <c r="DM568" s="219"/>
      <c r="DN568" s="219"/>
      <c r="DO568" s="219"/>
      <c r="DP568" s="219"/>
      <c r="DQ568" s="219"/>
      <c r="DR568" s="219"/>
      <c r="DS568" s="219"/>
      <c r="DT568" s="219"/>
      <c r="DU568" s="219"/>
      <c r="DV568" s="219"/>
      <c r="DW568" s="219"/>
      <c r="DX568" s="219"/>
      <c r="DY568" s="219"/>
      <c r="DZ568" s="219"/>
      <c r="EA568" s="219"/>
      <c r="EB568" s="219"/>
      <c r="EC568" s="219"/>
      <c r="ED568" s="219"/>
      <c r="EE568" s="219"/>
      <c r="EF568" s="219"/>
      <c r="EG568" s="219"/>
      <c r="EH568" s="219"/>
      <c r="EI568" s="219"/>
      <c r="EJ568" s="219"/>
      <c r="EK568" s="219"/>
      <c r="EL568" s="219"/>
      <c r="EM568" s="219"/>
      <c r="EN568" s="219"/>
      <c r="EO568" s="219"/>
      <c r="EP568" s="219"/>
      <c r="EQ568" s="219"/>
      <c r="ER568" s="219"/>
      <c r="ES568" s="219"/>
      <c r="ET568" s="219"/>
      <c r="EU568" s="219"/>
      <c r="EV568" s="219"/>
      <c r="EW568" s="219"/>
      <c r="EX568" s="219"/>
      <c r="EY568" s="219"/>
      <c r="EZ568" s="219"/>
      <c r="FA568" s="219"/>
      <c r="FB568" s="219"/>
      <c r="FC568" s="219"/>
      <c r="FD568" s="219"/>
      <c r="FE568" s="219"/>
      <c r="FF568" s="219"/>
      <c r="FG568" s="219"/>
      <c r="FH568" s="219"/>
      <c r="FI568" s="219"/>
      <c r="FJ568" s="219"/>
      <c r="FK568" s="219"/>
      <c r="FL568" s="219"/>
      <c r="FM568" s="219"/>
      <c r="FN568" s="219"/>
      <c r="FO568" s="219"/>
      <c r="FP568" s="219"/>
      <c r="FQ568" s="219"/>
      <c r="FR568" s="219"/>
      <c r="FS568" s="219"/>
      <c r="FT568" s="219"/>
      <c r="FU568" s="219"/>
      <c r="FV568" s="219"/>
      <c r="FW568" s="219"/>
      <c r="FX568" s="219"/>
      <c r="FY568" s="219"/>
      <c r="FZ568" s="219"/>
      <c r="GA568" s="219"/>
      <c r="GB568" s="219"/>
      <c r="GC568" s="219"/>
      <c r="GD568" s="219"/>
      <c r="GE568" s="219"/>
      <c r="GF568" s="219"/>
      <c r="GG568" s="219"/>
      <c r="GH568" s="219"/>
      <c r="GI568" s="219"/>
      <c r="GJ568" s="219"/>
      <c r="GK568" s="219"/>
      <c r="GL568" s="219"/>
      <c r="GM568" s="219"/>
      <c r="GN568" s="219"/>
      <c r="GO568" s="219"/>
      <c r="GP568" s="219"/>
      <c r="GQ568" s="219"/>
      <c r="GR568" s="219"/>
      <c r="GS568" s="219"/>
      <c r="GT568" s="219"/>
      <c r="GU568" s="219"/>
      <c r="GV568" s="219"/>
      <c r="GW568" s="219"/>
      <c r="GX568" s="219"/>
      <c r="GY568" s="219"/>
      <c r="GZ568" s="219"/>
      <c r="HA568" s="219"/>
      <c r="HB568" s="219"/>
      <c r="HC568" s="219"/>
      <c r="HD568" s="219"/>
      <c r="HE568" s="219"/>
      <c r="HF568" s="219"/>
      <c r="HG568" s="219"/>
      <c r="HH568" s="219"/>
      <c r="HI568" s="219"/>
      <c r="HJ568" s="219"/>
      <c r="HK568" s="219"/>
      <c r="HL568" s="219"/>
      <c r="HM568" s="219"/>
      <c r="HN568" s="219"/>
      <c r="HO568" s="219"/>
      <c r="HP568" s="219"/>
      <c r="HQ568" s="219"/>
      <c r="HR568" s="219"/>
      <c r="HS568" s="219"/>
      <c r="HT568" s="219"/>
      <c r="HU568" s="219"/>
      <c r="HV568" s="219"/>
      <c r="HW568" s="219"/>
      <c r="HX568" s="219"/>
      <c r="HY568" s="219"/>
      <c r="HZ568" s="219"/>
      <c r="IA568" s="219"/>
      <c r="IB568" s="219"/>
      <c r="IC568" s="219"/>
      <c r="ID568" s="219"/>
      <c r="IE568" s="219"/>
      <c r="IF568" s="219"/>
      <c r="IG568" s="219"/>
      <c r="IH568" s="219"/>
      <c r="II568" s="219"/>
      <c r="IJ568" s="219"/>
      <c r="IK568" s="219"/>
      <c r="IL568" s="219"/>
      <c r="IM568" s="219"/>
      <c r="IN568" s="219"/>
      <c r="IO568" s="219"/>
      <c r="IP568" s="219"/>
      <c r="IQ568" s="219"/>
      <c r="IR568" s="219"/>
      <c r="IS568" s="219"/>
      <c r="IT568" s="219"/>
      <c r="IU568" s="219"/>
      <c r="IV568" s="219"/>
    </row>
    <row r="569" spans="1:256" x14ac:dyDescent="0.2">
      <c r="A569" s="204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  <c r="AB569" s="219"/>
      <c r="AC569" s="219"/>
      <c r="AD569" s="219"/>
      <c r="AE569" s="219"/>
      <c r="AF569" s="219"/>
      <c r="AG569" s="219"/>
      <c r="AH569" s="219"/>
      <c r="AI569" s="219"/>
      <c r="AJ569" s="219"/>
      <c r="AK569" s="219"/>
      <c r="AL569" s="219"/>
      <c r="AM569" s="219"/>
      <c r="AN569" s="219"/>
      <c r="AO569" s="219"/>
      <c r="AP569" s="219"/>
      <c r="AQ569" s="219"/>
      <c r="AR569" s="219"/>
      <c r="AS569" s="219"/>
      <c r="AT569" s="219"/>
      <c r="AU569" s="219"/>
      <c r="AV569" s="219"/>
      <c r="AW569" s="219"/>
      <c r="AX569" s="219"/>
      <c r="AY569" s="219"/>
      <c r="AZ569" s="219"/>
      <c r="BA569" s="219"/>
      <c r="BB569" s="219"/>
      <c r="BC569" s="219"/>
      <c r="BD569" s="219"/>
      <c r="BE569" s="219"/>
      <c r="BF569" s="219"/>
      <c r="BG569" s="219"/>
      <c r="BH569" s="219"/>
      <c r="BI569" s="219"/>
      <c r="BJ569" s="219"/>
      <c r="BK569" s="219"/>
      <c r="BL569" s="219"/>
      <c r="BM569" s="219"/>
      <c r="BN569" s="219"/>
      <c r="BO569" s="219"/>
      <c r="BP569" s="219"/>
      <c r="BQ569" s="219"/>
      <c r="BR569" s="219"/>
      <c r="BS569" s="219"/>
      <c r="BT569" s="219"/>
      <c r="BU569" s="219"/>
      <c r="BV569" s="219"/>
      <c r="BW569" s="219"/>
      <c r="BX569" s="219"/>
      <c r="BY569" s="219"/>
      <c r="BZ569" s="219"/>
      <c r="CA569" s="219"/>
      <c r="CB569" s="219"/>
      <c r="CC569" s="219"/>
      <c r="CD569" s="219"/>
      <c r="CE569" s="219"/>
      <c r="CF569" s="219"/>
      <c r="CG569" s="219"/>
      <c r="CH569" s="219"/>
      <c r="CI569" s="219"/>
      <c r="CJ569" s="219"/>
      <c r="CK569" s="219"/>
      <c r="CL569" s="219"/>
      <c r="CM569" s="219"/>
      <c r="CN569" s="219"/>
      <c r="CO569" s="219"/>
      <c r="CP569" s="219"/>
      <c r="CQ569" s="219"/>
      <c r="CR569" s="219"/>
      <c r="CS569" s="219"/>
      <c r="CT569" s="219"/>
      <c r="CU569" s="219"/>
      <c r="CV569" s="219"/>
      <c r="CW569" s="219"/>
      <c r="CX569" s="219"/>
      <c r="CY569" s="219"/>
      <c r="CZ569" s="219"/>
      <c r="DA569" s="219"/>
      <c r="DB569" s="219"/>
      <c r="DC569" s="219"/>
      <c r="DD569" s="219"/>
      <c r="DE569" s="219"/>
      <c r="DF569" s="219"/>
      <c r="DG569" s="219"/>
      <c r="DH569" s="219"/>
      <c r="DI569" s="219"/>
      <c r="DJ569" s="219"/>
      <c r="DK569" s="219"/>
      <c r="DL569" s="219"/>
      <c r="DM569" s="219"/>
      <c r="DN569" s="219"/>
      <c r="DO569" s="219"/>
      <c r="DP569" s="219"/>
      <c r="DQ569" s="219"/>
      <c r="DR569" s="219"/>
      <c r="DS569" s="219"/>
      <c r="DT569" s="219"/>
      <c r="DU569" s="219"/>
      <c r="DV569" s="219"/>
      <c r="DW569" s="219"/>
      <c r="DX569" s="219"/>
      <c r="DY569" s="219"/>
      <c r="DZ569" s="219"/>
      <c r="EA569" s="219"/>
      <c r="EB569" s="219"/>
      <c r="EC569" s="219"/>
      <c r="ED569" s="219"/>
      <c r="EE569" s="219"/>
      <c r="EF569" s="219"/>
      <c r="EG569" s="219"/>
      <c r="EH569" s="219"/>
      <c r="EI569" s="219"/>
      <c r="EJ569" s="219"/>
      <c r="EK569" s="219"/>
      <c r="EL569" s="219"/>
      <c r="EM569" s="219"/>
      <c r="EN569" s="219"/>
      <c r="EO569" s="219"/>
      <c r="EP569" s="219"/>
      <c r="EQ569" s="219"/>
      <c r="ER569" s="219"/>
      <c r="ES569" s="219"/>
      <c r="ET569" s="219"/>
      <c r="EU569" s="219"/>
      <c r="EV569" s="219"/>
      <c r="EW569" s="219"/>
      <c r="EX569" s="219"/>
      <c r="EY569" s="219"/>
      <c r="EZ569" s="219"/>
      <c r="FA569" s="219"/>
      <c r="FB569" s="219"/>
      <c r="FC569" s="219"/>
      <c r="FD569" s="219"/>
      <c r="FE569" s="219"/>
      <c r="FF569" s="219"/>
      <c r="FG569" s="219"/>
      <c r="FH569" s="219"/>
      <c r="FI569" s="219"/>
      <c r="FJ569" s="219"/>
      <c r="FK569" s="219"/>
      <c r="FL569" s="219"/>
      <c r="FM569" s="219"/>
      <c r="FN569" s="219"/>
      <c r="FO569" s="219"/>
      <c r="FP569" s="219"/>
      <c r="FQ569" s="219"/>
      <c r="FR569" s="219"/>
      <c r="FS569" s="219"/>
      <c r="FT569" s="219"/>
      <c r="FU569" s="219"/>
      <c r="FV569" s="219"/>
      <c r="FW569" s="219"/>
      <c r="FX569" s="219"/>
      <c r="FY569" s="219"/>
      <c r="FZ569" s="219"/>
      <c r="GA569" s="219"/>
      <c r="GB569" s="219"/>
      <c r="GC569" s="219"/>
      <c r="GD569" s="219"/>
      <c r="GE569" s="219"/>
      <c r="GF569" s="219"/>
      <c r="GG569" s="219"/>
      <c r="GH569" s="219"/>
      <c r="GI569" s="219"/>
      <c r="GJ569" s="219"/>
      <c r="GK569" s="219"/>
      <c r="GL569" s="219"/>
      <c r="GM569" s="219"/>
      <c r="GN569" s="219"/>
      <c r="GO569" s="219"/>
      <c r="GP569" s="219"/>
      <c r="GQ569" s="219"/>
      <c r="GR569" s="219"/>
      <c r="GS569" s="219"/>
      <c r="GT569" s="219"/>
      <c r="GU569" s="219"/>
      <c r="GV569" s="219"/>
      <c r="GW569" s="219"/>
      <c r="GX569" s="219"/>
      <c r="GY569" s="219"/>
      <c r="GZ569" s="219"/>
      <c r="HA569" s="219"/>
      <c r="HB569" s="219"/>
      <c r="HC569" s="219"/>
      <c r="HD569" s="219"/>
      <c r="HE569" s="219"/>
      <c r="HF569" s="219"/>
      <c r="HG569" s="219"/>
      <c r="HH569" s="219"/>
      <c r="HI569" s="219"/>
      <c r="HJ569" s="219"/>
      <c r="HK569" s="219"/>
      <c r="HL569" s="219"/>
      <c r="HM569" s="219"/>
      <c r="HN569" s="219"/>
      <c r="HO569" s="219"/>
      <c r="HP569" s="219"/>
      <c r="HQ569" s="219"/>
      <c r="HR569" s="219"/>
      <c r="HS569" s="219"/>
      <c r="HT569" s="219"/>
      <c r="HU569" s="219"/>
      <c r="HV569" s="219"/>
      <c r="HW569" s="219"/>
      <c r="HX569" s="219"/>
      <c r="HY569" s="219"/>
      <c r="HZ569" s="219"/>
      <c r="IA569" s="219"/>
      <c r="IB569" s="219"/>
      <c r="IC569" s="219"/>
      <c r="ID569" s="219"/>
      <c r="IE569" s="219"/>
      <c r="IF569" s="219"/>
      <c r="IG569" s="219"/>
      <c r="IH569" s="219"/>
      <c r="II569" s="219"/>
      <c r="IJ569" s="219"/>
      <c r="IK569" s="219"/>
      <c r="IL569" s="219"/>
      <c r="IM569" s="219"/>
      <c r="IN569" s="219"/>
      <c r="IO569" s="219"/>
      <c r="IP569" s="219"/>
      <c r="IQ569" s="219"/>
      <c r="IR569" s="219"/>
      <c r="IS569" s="219"/>
      <c r="IT569" s="219"/>
      <c r="IU569" s="219"/>
      <c r="IV569" s="219"/>
    </row>
    <row r="570" spans="1:256" x14ac:dyDescent="0.2">
      <c r="A570" s="204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  <c r="AB570" s="219"/>
      <c r="AC570" s="219"/>
      <c r="AD570" s="219"/>
      <c r="AE570" s="219"/>
      <c r="AF570" s="219"/>
      <c r="AG570" s="219"/>
      <c r="AH570" s="219"/>
      <c r="AI570" s="219"/>
      <c r="AJ570" s="219"/>
      <c r="AK570" s="219"/>
      <c r="AL570" s="219"/>
      <c r="AM570" s="219"/>
      <c r="AN570" s="219"/>
      <c r="AO570" s="219"/>
      <c r="AP570" s="219"/>
      <c r="AQ570" s="219"/>
      <c r="AR570" s="219"/>
      <c r="AS570" s="219"/>
      <c r="AT570" s="219"/>
      <c r="AU570" s="219"/>
      <c r="AV570" s="219"/>
      <c r="AW570" s="219"/>
      <c r="AX570" s="219"/>
      <c r="AY570" s="219"/>
      <c r="AZ570" s="219"/>
      <c r="BA570" s="219"/>
      <c r="BB570" s="219"/>
      <c r="BC570" s="219"/>
      <c r="BD570" s="219"/>
      <c r="BE570" s="219"/>
      <c r="BF570" s="219"/>
      <c r="BG570" s="219"/>
      <c r="BH570" s="219"/>
      <c r="BI570" s="219"/>
      <c r="BJ570" s="219"/>
      <c r="BK570" s="219"/>
      <c r="BL570" s="219"/>
      <c r="BM570" s="219"/>
      <c r="BN570" s="219"/>
      <c r="BO570" s="219"/>
      <c r="BP570" s="219"/>
      <c r="BQ570" s="219"/>
      <c r="BR570" s="219"/>
      <c r="BS570" s="219"/>
      <c r="BT570" s="219"/>
      <c r="BU570" s="219"/>
      <c r="BV570" s="219"/>
      <c r="BW570" s="219"/>
      <c r="BX570" s="219"/>
      <c r="BY570" s="219"/>
      <c r="BZ570" s="219"/>
      <c r="CA570" s="219"/>
      <c r="CB570" s="219"/>
      <c r="CC570" s="219"/>
      <c r="CD570" s="219"/>
      <c r="CE570" s="219"/>
      <c r="CF570" s="219"/>
      <c r="CG570" s="219"/>
      <c r="CH570" s="219"/>
      <c r="CI570" s="219"/>
      <c r="CJ570" s="219"/>
      <c r="CK570" s="219"/>
      <c r="CL570" s="219"/>
      <c r="CM570" s="219"/>
      <c r="CN570" s="219"/>
      <c r="CO570" s="219"/>
      <c r="CP570" s="219"/>
      <c r="CQ570" s="219"/>
      <c r="CR570" s="219"/>
      <c r="CS570" s="219"/>
      <c r="CT570" s="219"/>
      <c r="CU570" s="219"/>
      <c r="CV570" s="219"/>
      <c r="CW570" s="219"/>
      <c r="CX570" s="219"/>
      <c r="CY570" s="219"/>
      <c r="CZ570" s="219"/>
      <c r="DA570" s="219"/>
      <c r="DB570" s="219"/>
      <c r="DC570" s="219"/>
      <c r="DD570" s="219"/>
      <c r="DE570" s="219"/>
      <c r="DF570" s="219"/>
      <c r="DG570" s="219"/>
      <c r="DH570" s="219"/>
      <c r="DI570" s="219"/>
      <c r="DJ570" s="219"/>
      <c r="DK570" s="219"/>
      <c r="DL570" s="219"/>
      <c r="DM570" s="219"/>
      <c r="DN570" s="219"/>
      <c r="DO570" s="219"/>
      <c r="DP570" s="219"/>
      <c r="DQ570" s="219"/>
      <c r="DR570" s="219"/>
      <c r="DS570" s="219"/>
      <c r="DT570" s="219"/>
      <c r="DU570" s="219"/>
      <c r="DV570" s="219"/>
      <c r="DW570" s="219"/>
      <c r="DX570" s="219"/>
      <c r="DY570" s="219"/>
      <c r="DZ570" s="219"/>
      <c r="EA570" s="219"/>
      <c r="EB570" s="219"/>
      <c r="EC570" s="219"/>
      <c r="ED570" s="219"/>
      <c r="EE570" s="219"/>
      <c r="EF570" s="219"/>
      <c r="EG570" s="219"/>
      <c r="EH570" s="219"/>
      <c r="EI570" s="219"/>
      <c r="EJ570" s="219"/>
      <c r="EK570" s="219"/>
      <c r="EL570" s="219"/>
      <c r="EM570" s="219"/>
      <c r="EN570" s="219"/>
      <c r="EO570" s="219"/>
      <c r="EP570" s="219"/>
      <c r="EQ570" s="219"/>
      <c r="ER570" s="219"/>
      <c r="ES570" s="219"/>
      <c r="ET570" s="219"/>
      <c r="EU570" s="219"/>
      <c r="EV570" s="219"/>
      <c r="EW570" s="219"/>
      <c r="EX570" s="219"/>
      <c r="EY570" s="219"/>
      <c r="EZ570" s="219"/>
      <c r="FA570" s="219"/>
      <c r="FB570" s="219"/>
      <c r="FC570" s="219"/>
      <c r="FD570" s="219"/>
      <c r="FE570" s="219"/>
      <c r="FF570" s="219"/>
      <c r="FG570" s="219"/>
      <c r="FH570" s="219"/>
      <c r="FI570" s="219"/>
      <c r="FJ570" s="219"/>
      <c r="FK570" s="219"/>
      <c r="FL570" s="219"/>
      <c r="FM570" s="219"/>
      <c r="FN570" s="219"/>
      <c r="FO570" s="219"/>
      <c r="FP570" s="219"/>
      <c r="FQ570" s="219"/>
      <c r="FR570" s="219"/>
      <c r="FS570" s="219"/>
      <c r="FT570" s="219"/>
      <c r="FU570" s="219"/>
      <c r="FV570" s="219"/>
      <c r="FW570" s="219"/>
      <c r="FX570" s="219"/>
      <c r="FY570" s="219"/>
      <c r="FZ570" s="219"/>
      <c r="GA570" s="219"/>
      <c r="GB570" s="219"/>
      <c r="GC570" s="219"/>
      <c r="GD570" s="219"/>
      <c r="GE570" s="219"/>
      <c r="GF570" s="219"/>
      <c r="GG570" s="219"/>
      <c r="GH570" s="219"/>
      <c r="GI570" s="219"/>
      <c r="GJ570" s="219"/>
      <c r="GK570" s="219"/>
      <c r="GL570" s="219"/>
      <c r="GM570" s="219"/>
      <c r="GN570" s="219"/>
      <c r="GO570" s="219"/>
      <c r="GP570" s="219"/>
      <c r="GQ570" s="219"/>
      <c r="GR570" s="219"/>
      <c r="GS570" s="219"/>
      <c r="GT570" s="219"/>
      <c r="GU570" s="219"/>
      <c r="GV570" s="219"/>
      <c r="GW570" s="219"/>
      <c r="GX570" s="219"/>
      <c r="GY570" s="219"/>
      <c r="GZ570" s="219"/>
      <c r="HA570" s="219"/>
      <c r="HB570" s="219"/>
      <c r="HC570" s="219"/>
      <c r="HD570" s="219"/>
      <c r="HE570" s="219"/>
      <c r="HF570" s="219"/>
      <c r="HG570" s="219"/>
      <c r="HH570" s="219"/>
      <c r="HI570" s="219"/>
      <c r="HJ570" s="219"/>
      <c r="HK570" s="219"/>
      <c r="HL570" s="219"/>
      <c r="HM570" s="219"/>
      <c r="HN570" s="219"/>
      <c r="HO570" s="219"/>
      <c r="HP570" s="219"/>
      <c r="HQ570" s="219"/>
      <c r="HR570" s="219"/>
      <c r="HS570" s="219"/>
      <c r="HT570" s="219"/>
      <c r="HU570" s="219"/>
      <c r="HV570" s="219"/>
      <c r="HW570" s="219"/>
      <c r="HX570" s="219"/>
      <c r="HY570" s="219"/>
      <c r="HZ570" s="219"/>
      <c r="IA570" s="219"/>
      <c r="IB570" s="219"/>
      <c r="IC570" s="219"/>
      <c r="ID570" s="219"/>
      <c r="IE570" s="219"/>
      <c r="IF570" s="219"/>
      <c r="IG570" s="219"/>
      <c r="IH570" s="219"/>
      <c r="II570" s="219"/>
      <c r="IJ570" s="219"/>
      <c r="IK570" s="219"/>
      <c r="IL570" s="219"/>
      <c r="IM570" s="219"/>
      <c r="IN570" s="219"/>
      <c r="IO570" s="219"/>
      <c r="IP570" s="219"/>
      <c r="IQ570" s="219"/>
      <c r="IR570" s="219"/>
      <c r="IS570" s="219"/>
      <c r="IT570" s="219"/>
      <c r="IU570" s="219"/>
      <c r="IV570" s="219"/>
    </row>
    <row r="571" spans="1:256" x14ac:dyDescent="0.2">
      <c r="A571" s="204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  <c r="AB571" s="219"/>
      <c r="AC571" s="219"/>
      <c r="AD571" s="219"/>
      <c r="AE571" s="219"/>
      <c r="AF571" s="219"/>
      <c r="AG571" s="219"/>
      <c r="AH571" s="219"/>
      <c r="AI571" s="219"/>
      <c r="AJ571" s="219"/>
      <c r="AK571" s="219"/>
      <c r="AL571" s="219"/>
      <c r="AM571" s="219"/>
      <c r="AN571" s="219"/>
      <c r="AO571" s="219"/>
      <c r="AP571" s="219"/>
      <c r="AQ571" s="219"/>
      <c r="AR571" s="219"/>
      <c r="AS571" s="219"/>
      <c r="AT571" s="219"/>
      <c r="AU571" s="219"/>
      <c r="AV571" s="219"/>
      <c r="AW571" s="219"/>
      <c r="AX571" s="219"/>
      <c r="AY571" s="219"/>
      <c r="AZ571" s="219"/>
      <c r="BA571" s="219"/>
      <c r="BB571" s="219"/>
      <c r="BC571" s="219"/>
      <c r="BD571" s="219"/>
      <c r="BE571" s="219"/>
      <c r="BF571" s="219"/>
      <c r="BG571" s="219"/>
      <c r="BH571" s="219"/>
      <c r="BI571" s="219"/>
      <c r="BJ571" s="219"/>
      <c r="BK571" s="219"/>
      <c r="BL571" s="219"/>
      <c r="BM571" s="219"/>
      <c r="BN571" s="219"/>
      <c r="BO571" s="219"/>
      <c r="BP571" s="219"/>
      <c r="BQ571" s="219"/>
      <c r="BR571" s="219"/>
      <c r="BS571" s="219"/>
      <c r="BT571" s="219"/>
      <c r="BU571" s="219"/>
      <c r="BV571" s="219"/>
      <c r="BW571" s="219"/>
      <c r="BX571" s="219"/>
      <c r="BY571" s="219"/>
      <c r="BZ571" s="219"/>
      <c r="CA571" s="219"/>
      <c r="CB571" s="219"/>
      <c r="CC571" s="219"/>
      <c r="CD571" s="219"/>
      <c r="CE571" s="219"/>
      <c r="CF571" s="219"/>
      <c r="CG571" s="219"/>
      <c r="CH571" s="219"/>
      <c r="CI571" s="219"/>
      <c r="CJ571" s="219"/>
      <c r="CK571" s="219"/>
      <c r="CL571" s="219"/>
      <c r="CM571" s="219"/>
      <c r="CN571" s="219"/>
      <c r="CO571" s="219"/>
      <c r="CP571" s="219"/>
      <c r="CQ571" s="219"/>
      <c r="CR571" s="219"/>
      <c r="CS571" s="219"/>
      <c r="CT571" s="219"/>
      <c r="CU571" s="219"/>
      <c r="CV571" s="219"/>
      <c r="CW571" s="219"/>
      <c r="CX571" s="219"/>
      <c r="CY571" s="219"/>
      <c r="CZ571" s="219"/>
      <c r="DA571" s="219"/>
      <c r="DB571" s="219"/>
      <c r="DC571" s="219"/>
      <c r="DD571" s="219"/>
      <c r="DE571" s="219"/>
      <c r="DF571" s="219"/>
      <c r="DG571" s="219"/>
      <c r="DH571" s="219"/>
      <c r="DI571" s="219"/>
      <c r="DJ571" s="219"/>
      <c r="DK571" s="219"/>
      <c r="DL571" s="219"/>
      <c r="DM571" s="219"/>
      <c r="DN571" s="219"/>
      <c r="DO571" s="219"/>
      <c r="DP571" s="219"/>
      <c r="DQ571" s="219"/>
      <c r="DR571" s="219"/>
      <c r="DS571" s="219"/>
      <c r="DT571" s="219"/>
      <c r="DU571" s="219"/>
      <c r="DV571" s="219"/>
      <c r="DW571" s="219"/>
      <c r="DX571" s="219"/>
      <c r="DY571" s="219"/>
      <c r="DZ571" s="219"/>
      <c r="EA571" s="219"/>
      <c r="EB571" s="219"/>
      <c r="EC571" s="219"/>
      <c r="ED571" s="219"/>
      <c r="EE571" s="219"/>
      <c r="EF571" s="219"/>
      <c r="EG571" s="219"/>
      <c r="EH571" s="219"/>
      <c r="EI571" s="219"/>
      <c r="EJ571" s="219"/>
      <c r="EK571" s="219"/>
      <c r="EL571" s="219"/>
      <c r="EM571" s="219"/>
      <c r="EN571" s="219"/>
      <c r="EO571" s="219"/>
      <c r="EP571" s="219"/>
      <c r="EQ571" s="219"/>
      <c r="ER571" s="219"/>
      <c r="ES571" s="219"/>
      <c r="ET571" s="219"/>
      <c r="EU571" s="219"/>
      <c r="EV571" s="219"/>
      <c r="EW571" s="219"/>
      <c r="EX571" s="219"/>
      <c r="EY571" s="219"/>
      <c r="EZ571" s="219"/>
      <c r="FA571" s="219"/>
      <c r="FB571" s="219"/>
      <c r="FC571" s="219"/>
      <c r="FD571" s="219"/>
      <c r="FE571" s="219"/>
      <c r="FF571" s="219"/>
      <c r="FG571" s="219"/>
      <c r="FH571" s="219"/>
      <c r="FI571" s="219"/>
      <c r="FJ571" s="219"/>
      <c r="FK571" s="219"/>
      <c r="FL571" s="219"/>
      <c r="FM571" s="219"/>
      <c r="FN571" s="219"/>
      <c r="FO571" s="219"/>
      <c r="FP571" s="219"/>
      <c r="FQ571" s="219"/>
      <c r="FR571" s="219"/>
      <c r="FS571" s="219"/>
      <c r="FT571" s="219"/>
      <c r="FU571" s="219"/>
      <c r="FV571" s="219"/>
      <c r="FW571" s="219"/>
      <c r="FX571" s="219"/>
      <c r="FY571" s="219"/>
      <c r="FZ571" s="219"/>
      <c r="GA571" s="219"/>
      <c r="GB571" s="219"/>
      <c r="GC571" s="219"/>
      <c r="GD571" s="219"/>
      <c r="GE571" s="219"/>
      <c r="GF571" s="219"/>
      <c r="GG571" s="219"/>
      <c r="GH571" s="219"/>
      <c r="GI571" s="219"/>
      <c r="GJ571" s="219"/>
      <c r="GK571" s="219"/>
      <c r="GL571" s="219"/>
      <c r="GM571" s="219"/>
      <c r="GN571" s="219"/>
      <c r="GO571" s="219"/>
      <c r="GP571" s="219"/>
      <c r="GQ571" s="219"/>
      <c r="GR571" s="219"/>
      <c r="GS571" s="219"/>
      <c r="GT571" s="219"/>
      <c r="GU571" s="219"/>
      <c r="GV571" s="219"/>
      <c r="GW571" s="219"/>
      <c r="GX571" s="219"/>
      <c r="GY571" s="219"/>
      <c r="GZ571" s="219"/>
      <c r="HA571" s="219"/>
      <c r="HB571" s="219"/>
      <c r="HC571" s="219"/>
      <c r="HD571" s="219"/>
      <c r="HE571" s="219"/>
      <c r="HF571" s="219"/>
      <c r="HG571" s="219"/>
      <c r="HH571" s="219"/>
      <c r="HI571" s="219"/>
      <c r="HJ571" s="219"/>
      <c r="HK571" s="219"/>
      <c r="HL571" s="219"/>
      <c r="HM571" s="219"/>
      <c r="HN571" s="219"/>
      <c r="HO571" s="219"/>
      <c r="HP571" s="219"/>
      <c r="HQ571" s="219"/>
      <c r="HR571" s="219"/>
      <c r="HS571" s="219"/>
      <c r="HT571" s="219"/>
      <c r="HU571" s="219"/>
      <c r="HV571" s="219"/>
      <c r="HW571" s="219"/>
      <c r="HX571" s="219"/>
      <c r="HY571" s="219"/>
      <c r="HZ571" s="219"/>
      <c r="IA571" s="219"/>
      <c r="IB571" s="219"/>
      <c r="IC571" s="219"/>
      <c r="ID571" s="219"/>
      <c r="IE571" s="219"/>
      <c r="IF571" s="219"/>
      <c r="IG571" s="219"/>
      <c r="IH571" s="219"/>
      <c r="II571" s="219"/>
      <c r="IJ571" s="219"/>
      <c r="IK571" s="219"/>
      <c r="IL571" s="219"/>
      <c r="IM571" s="219"/>
      <c r="IN571" s="219"/>
      <c r="IO571" s="219"/>
      <c r="IP571" s="219"/>
      <c r="IQ571" s="219"/>
      <c r="IR571" s="219"/>
      <c r="IS571" s="219"/>
      <c r="IT571" s="219"/>
      <c r="IU571" s="219"/>
      <c r="IV571" s="219"/>
    </row>
    <row r="572" spans="1:256" x14ac:dyDescent="0.2">
      <c r="A572" s="204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  <c r="AB572" s="219"/>
      <c r="AC572" s="219"/>
      <c r="AD572" s="219"/>
      <c r="AE572" s="219"/>
      <c r="AF572" s="219"/>
      <c r="AG572" s="219"/>
      <c r="AH572" s="219"/>
      <c r="AI572" s="219"/>
      <c r="AJ572" s="219"/>
      <c r="AK572" s="219"/>
      <c r="AL572" s="219"/>
      <c r="AM572" s="219"/>
      <c r="AN572" s="219"/>
      <c r="AO572" s="219"/>
      <c r="AP572" s="219"/>
      <c r="AQ572" s="219"/>
      <c r="AR572" s="219"/>
      <c r="AS572" s="219"/>
      <c r="AT572" s="219"/>
      <c r="AU572" s="219"/>
      <c r="AV572" s="219"/>
      <c r="AW572" s="219"/>
      <c r="AX572" s="219"/>
      <c r="AY572" s="219"/>
      <c r="AZ572" s="219"/>
      <c r="BA572" s="219"/>
      <c r="BB572" s="219"/>
      <c r="BC572" s="219"/>
      <c r="BD572" s="219"/>
      <c r="BE572" s="219"/>
      <c r="BF572" s="219"/>
      <c r="BG572" s="219"/>
      <c r="BH572" s="219"/>
      <c r="BI572" s="219"/>
      <c r="BJ572" s="219"/>
      <c r="BK572" s="219"/>
      <c r="BL572" s="219"/>
      <c r="BM572" s="219"/>
      <c r="BN572" s="219"/>
      <c r="BO572" s="219"/>
      <c r="BP572" s="219"/>
      <c r="BQ572" s="219"/>
      <c r="BR572" s="219"/>
      <c r="BS572" s="219"/>
      <c r="BT572" s="219"/>
      <c r="BU572" s="219"/>
      <c r="BV572" s="219"/>
      <c r="BW572" s="219"/>
      <c r="BX572" s="219"/>
      <c r="BY572" s="219"/>
      <c r="BZ572" s="219"/>
      <c r="CA572" s="219"/>
      <c r="CB572" s="219"/>
      <c r="CC572" s="219"/>
      <c r="CD572" s="219"/>
      <c r="CE572" s="219"/>
      <c r="CF572" s="219"/>
      <c r="CG572" s="219"/>
      <c r="CH572" s="219"/>
      <c r="CI572" s="219"/>
      <c r="CJ572" s="219"/>
      <c r="CK572" s="219"/>
      <c r="CL572" s="219"/>
      <c r="CM572" s="219"/>
      <c r="CN572" s="219"/>
      <c r="CO572" s="219"/>
      <c r="CP572" s="219"/>
      <c r="CQ572" s="219"/>
      <c r="CR572" s="219"/>
      <c r="CS572" s="219"/>
      <c r="CT572" s="219"/>
      <c r="CU572" s="219"/>
      <c r="CV572" s="219"/>
      <c r="CW572" s="219"/>
      <c r="CX572" s="219"/>
      <c r="CY572" s="219"/>
      <c r="CZ572" s="219"/>
      <c r="DA572" s="219"/>
      <c r="DB572" s="219"/>
      <c r="DC572" s="219"/>
      <c r="DD572" s="219"/>
      <c r="DE572" s="219"/>
      <c r="DF572" s="219"/>
      <c r="DG572" s="219"/>
      <c r="DH572" s="219"/>
      <c r="DI572" s="219"/>
      <c r="DJ572" s="219"/>
      <c r="DK572" s="219"/>
      <c r="DL572" s="219"/>
      <c r="DM572" s="219"/>
      <c r="DN572" s="219"/>
      <c r="DO572" s="219"/>
      <c r="DP572" s="219"/>
      <c r="DQ572" s="219"/>
      <c r="DR572" s="219"/>
      <c r="DS572" s="219"/>
      <c r="DT572" s="219"/>
      <c r="DU572" s="219"/>
      <c r="DV572" s="219"/>
      <c r="DW572" s="219"/>
      <c r="DX572" s="219"/>
      <c r="DY572" s="219"/>
      <c r="DZ572" s="219"/>
      <c r="EA572" s="219"/>
      <c r="EB572" s="219"/>
      <c r="EC572" s="219"/>
      <c r="ED572" s="219"/>
      <c r="EE572" s="219"/>
      <c r="EF572" s="219"/>
      <c r="EG572" s="219"/>
      <c r="EH572" s="219"/>
      <c r="EI572" s="219"/>
      <c r="EJ572" s="219"/>
      <c r="EK572" s="219"/>
      <c r="EL572" s="219"/>
      <c r="EM572" s="219"/>
      <c r="EN572" s="219"/>
      <c r="EO572" s="219"/>
      <c r="EP572" s="219"/>
      <c r="EQ572" s="219"/>
      <c r="ER572" s="219"/>
      <c r="ES572" s="219"/>
      <c r="ET572" s="219"/>
      <c r="EU572" s="219"/>
      <c r="EV572" s="219"/>
      <c r="EW572" s="219"/>
      <c r="EX572" s="219"/>
      <c r="EY572" s="219"/>
      <c r="EZ572" s="219"/>
      <c r="FA572" s="219"/>
      <c r="FB572" s="219"/>
      <c r="FC572" s="219"/>
      <c r="FD572" s="219"/>
      <c r="FE572" s="219"/>
      <c r="FF572" s="219"/>
      <c r="FG572" s="219"/>
      <c r="FH572" s="219"/>
      <c r="FI572" s="219"/>
      <c r="FJ572" s="219"/>
      <c r="FK572" s="219"/>
      <c r="FL572" s="219"/>
      <c r="FM572" s="219"/>
      <c r="FN572" s="219"/>
      <c r="FO572" s="219"/>
      <c r="FP572" s="219"/>
      <c r="FQ572" s="219"/>
      <c r="FR572" s="219"/>
      <c r="FS572" s="219"/>
      <c r="FT572" s="219"/>
      <c r="FU572" s="219"/>
      <c r="FV572" s="219"/>
      <c r="FW572" s="219"/>
      <c r="FX572" s="219"/>
      <c r="FY572" s="219"/>
      <c r="FZ572" s="219"/>
      <c r="GA572" s="219"/>
      <c r="GB572" s="219"/>
      <c r="GC572" s="219"/>
      <c r="GD572" s="219"/>
      <c r="GE572" s="219"/>
      <c r="GF572" s="219"/>
      <c r="GG572" s="219"/>
      <c r="GH572" s="219"/>
      <c r="GI572" s="219"/>
      <c r="GJ572" s="219"/>
      <c r="GK572" s="219"/>
      <c r="GL572" s="219"/>
      <c r="GM572" s="219"/>
      <c r="GN572" s="219"/>
      <c r="GO572" s="219"/>
      <c r="GP572" s="219"/>
      <c r="GQ572" s="219"/>
      <c r="GR572" s="219"/>
      <c r="GS572" s="219"/>
      <c r="GT572" s="219"/>
      <c r="GU572" s="219"/>
      <c r="GV572" s="219"/>
      <c r="GW572" s="219"/>
      <c r="GX572" s="219"/>
      <c r="GY572" s="219"/>
      <c r="GZ572" s="219"/>
      <c r="HA572" s="219"/>
      <c r="HB572" s="219"/>
      <c r="HC572" s="219"/>
      <c r="HD572" s="219"/>
      <c r="HE572" s="219"/>
      <c r="HF572" s="219"/>
      <c r="HG572" s="219"/>
      <c r="HH572" s="219"/>
      <c r="HI572" s="219"/>
      <c r="HJ572" s="219"/>
      <c r="HK572" s="219"/>
      <c r="HL572" s="219"/>
      <c r="HM572" s="219"/>
      <c r="HN572" s="219"/>
      <c r="HO572" s="219"/>
      <c r="HP572" s="219"/>
      <c r="HQ572" s="219"/>
      <c r="HR572" s="219"/>
      <c r="HS572" s="219"/>
      <c r="HT572" s="219"/>
      <c r="HU572" s="219"/>
      <c r="HV572" s="219"/>
      <c r="HW572" s="219"/>
      <c r="HX572" s="219"/>
      <c r="HY572" s="219"/>
      <c r="HZ572" s="219"/>
      <c r="IA572" s="219"/>
      <c r="IB572" s="219"/>
      <c r="IC572" s="219"/>
      <c r="ID572" s="219"/>
      <c r="IE572" s="219"/>
      <c r="IF572" s="219"/>
      <c r="IG572" s="219"/>
      <c r="IH572" s="219"/>
      <c r="II572" s="219"/>
      <c r="IJ572" s="219"/>
      <c r="IK572" s="219"/>
      <c r="IL572" s="219"/>
      <c r="IM572" s="219"/>
      <c r="IN572" s="219"/>
      <c r="IO572" s="219"/>
      <c r="IP572" s="219"/>
      <c r="IQ572" s="219"/>
      <c r="IR572" s="219"/>
      <c r="IS572" s="219"/>
      <c r="IT572" s="219"/>
      <c r="IU572" s="219"/>
      <c r="IV572" s="219"/>
    </row>
    <row r="573" spans="1:256" x14ac:dyDescent="0.2">
      <c r="A573" s="204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  <c r="AD573" s="219"/>
      <c r="AE573" s="219"/>
      <c r="AF573" s="219"/>
      <c r="AG573" s="219"/>
      <c r="AH573" s="219"/>
      <c r="AI573" s="219"/>
      <c r="AJ573" s="219"/>
      <c r="AK573" s="219"/>
      <c r="AL573" s="219"/>
      <c r="AM573" s="219"/>
      <c r="AN573" s="219"/>
      <c r="AO573" s="219"/>
      <c r="AP573" s="219"/>
      <c r="AQ573" s="219"/>
      <c r="AR573" s="219"/>
      <c r="AS573" s="219"/>
      <c r="AT573" s="219"/>
      <c r="AU573" s="219"/>
      <c r="AV573" s="219"/>
      <c r="AW573" s="219"/>
      <c r="AX573" s="219"/>
      <c r="AY573" s="219"/>
      <c r="AZ573" s="219"/>
      <c r="BA573" s="219"/>
      <c r="BB573" s="219"/>
      <c r="BC573" s="219"/>
      <c r="BD573" s="219"/>
      <c r="BE573" s="219"/>
      <c r="BF573" s="219"/>
      <c r="BG573" s="219"/>
      <c r="BH573" s="219"/>
      <c r="BI573" s="219"/>
      <c r="BJ573" s="219"/>
      <c r="BK573" s="219"/>
      <c r="BL573" s="219"/>
      <c r="BM573" s="219"/>
      <c r="BN573" s="219"/>
      <c r="BO573" s="219"/>
      <c r="BP573" s="219"/>
      <c r="BQ573" s="219"/>
      <c r="BR573" s="219"/>
      <c r="BS573" s="219"/>
      <c r="BT573" s="219"/>
      <c r="BU573" s="219"/>
      <c r="BV573" s="219"/>
      <c r="BW573" s="219"/>
      <c r="BX573" s="219"/>
      <c r="BY573" s="219"/>
      <c r="BZ573" s="219"/>
      <c r="CA573" s="219"/>
      <c r="CB573" s="219"/>
      <c r="CC573" s="219"/>
      <c r="CD573" s="219"/>
      <c r="CE573" s="219"/>
      <c r="CF573" s="219"/>
      <c r="CG573" s="219"/>
      <c r="CH573" s="219"/>
      <c r="CI573" s="219"/>
      <c r="CJ573" s="219"/>
      <c r="CK573" s="219"/>
      <c r="CL573" s="219"/>
      <c r="CM573" s="219"/>
      <c r="CN573" s="219"/>
      <c r="CO573" s="219"/>
      <c r="CP573" s="219"/>
      <c r="CQ573" s="219"/>
      <c r="CR573" s="219"/>
      <c r="CS573" s="219"/>
      <c r="CT573" s="219"/>
      <c r="CU573" s="219"/>
      <c r="CV573" s="219"/>
      <c r="CW573" s="219"/>
      <c r="CX573" s="219"/>
      <c r="CY573" s="219"/>
      <c r="CZ573" s="219"/>
      <c r="DA573" s="219"/>
      <c r="DB573" s="219"/>
      <c r="DC573" s="219"/>
      <c r="DD573" s="219"/>
      <c r="DE573" s="219"/>
      <c r="DF573" s="219"/>
      <c r="DG573" s="219"/>
      <c r="DH573" s="219"/>
      <c r="DI573" s="219"/>
      <c r="DJ573" s="219"/>
      <c r="DK573" s="219"/>
      <c r="DL573" s="219"/>
      <c r="DM573" s="219"/>
      <c r="DN573" s="219"/>
      <c r="DO573" s="219"/>
      <c r="DP573" s="219"/>
      <c r="DQ573" s="219"/>
      <c r="DR573" s="219"/>
      <c r="DS573" s="219"/>
      <c r="DT573" s="219"/>
      <c r="DU573" s="219"/>
      <c r="DV573" s="219"/>
      <c r="DW573" s="219"/>
      <c r="DX573" s="219"/>
      <c r="DY573" s="219"/>
      <c r="DZ573" s="219"/>
      <c r="EA573" s="219"/>
      <c r="EB573" s="219"/>
      <c r="EC573" s="219"/>
      <c r="ED573" s="219"/>
      <c r="EE573" s="219"/>
      <c r="EF573" s="219"/>
      <c r="EG573" s="219"/>
      <c r="EH573" s="219"/>
      <c r="EI573" s="219"/>
      <c r="EJ573" s="219"/>
      <c r="EK573" s="219"/>
      <c r="EL573" s="219"/>
      <c r="EM573" s="219"/>
      <c r="EN573" s="219"/>
      <c r="EO573" s="219"/>
      <c r="EP573" s="219"/>
      <c r="EQ573" s="219"/>
      <c r="ER573" s="219"/>
      <c r="ES573" s="219"/>
      <c r="ET573" s="219"/>
      <c r="EU573" s="219"/>
      <c r="EV573" s="219"/>
      <c r="EW573" s="219"/>
      <c r="EX573" s="219"/>
      <c r="EY573" s="219"/>
      <c r="EZ573" s="219"/>
      <c r="FA573" s="219"/>
      <c r="FB573" s="219"/>
      <c r="FC573" s="219"/>
      <c r="FD573" s="219"/>
      <c r="FE573" s="219"/>
      <c r="FF573" s="219"/>
      <c r="FG573" s="219"/>
      <c r="FH573" s="219"/>
      <c r="FI573" s="219"/>
      <c r="FJ573" s="219"/>
      <c r="FK573" s="219"/>
      <c r="FL573" s="219"/>
      <c r="FM573" s="219"/>
      <c r="FN573" s="219"/>
      <c r="FO573" s="219"/>
      <c r="FP573" s="219"/>
      <c r="FQ573" s="219"/>
      <c r="FR573" s="219"/>
      <c r="FS573" s="219"/>
      <c r="FT573" s="219"/>
      <c r="FU573" s="219"/>
      <c r="FV573" s="219"/>
      <c r="FW573" s="219"/>
      <c r="FX573" s="219"/>
      <c r="FY573" s="219"/>
      <c r="FZ573" s="219"/>
      <c r="GA573" s="219"/>
      <c r="GB573" s="219"/>
      <c r="GC573" s="219"/>
      <c r="GD573" s="219"/>
      <c r="GE573" s="219"/>
      <c r="GF573" s="219"/>
      <c r="GG573" s="219"/>
      <c r="GH573" s="219"/>
      <c r="GI573" s="219"/>
      <c r="GJ573" s="219"/>
      <c r="GK573" s="219"/>
      <c r="GL573" s="219"/>
      <c r="GM573" s="219"/>
      <c r="GN573" s="219"/>
      <c r="GO573" s="219"/>
      <c r="GP573" s="219"/>
      <c r="GQ573" s="219"/>
      <c r="GR573" s="219"/>
      <c r="GS573" s="219"/>
      <c r="GT573" s="219"/>
      <c r="GU573" s="219"/>
      <c r="GV573" s="219"/>
      <c r="GW573" s="219"/>
      <c r="GX573" s="219"/>
      <c r="GY573" s="219"/>
      <c r="GZ573" s="219"/>
      <c r="HA573" s="219"/>
      <c r="HB573" s="219"/>
      <c r="HC573" s="219"/>
      <c r="HD573" s="219"/>
      <c r="HE573" s="219"/>
      <c r="HF573" s="219"/>
      <c r="HG573" s="219"/>
      <c r="HH573" s="219"/>
      <c r="HI573" s="219"/>
      <c r="HJ573" s="219"/>
      <c r="HK573" s="219"/>
      <c r="HL573" s="219"/>
      <c r="HM573" s="219"/>
      <c r="HN573" s="219"/>
      <c r="HO573" s="219"/>
      <c r="HP573" s="219"/>
      <c r="HQ573" s="219"/>
      <c r="HR573" s="219"/>
      <c r="HS573" s="219"/>
      <c r="HT573" s="219"/>
      <c r="HU573" s="219"/>
      <c r="HV573" s="219"/>
      <c r="HW573" s="219"/>
      <c r="HX573" s="219"/>
      <c r="HY573" s="219"/>
      <c r="HZ573" s="219"/>
      <c r="IA573" s="219"/>
      <c r="IB573" s="219"/>
      <c r="IC573" s="219"/>
      <c r="ID573" s="219"/>
      <c r="IE573" s="219"/>
      <c r="IF573" s="219"/>
      <c r="IG573" s="219"/>
      <c r="IH573" s="219"/>
      <c r="II573" s="219"/>
      <c r="IJ573" s="219"/>
      <c r="IK573" s="219"/>
      <c r="IL573" s="219"/>
      <c r="IM573" s="219"/>
      <c r="IN573" s="219"/>
      <c r="IO573" s="219"/>
      <c r="IP573" s="219"/>
      <c r="IQ573" s="219"/>
      <c r="IR573" s="219"/>
      <c r="IS573" s="219"/>
      <c r="IT573" s="219"/>
      <c r="IU573" s="219"/>
      <c r="IV573" s="219"/>
    </row>
    <row r="574" spans="1:256" x14ac:dyDescent="0.2">
      <c r="A574" s="204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  <c r="AB574" s="219"/>
      <c r="AC574" s="219"/>
      <c r="AD574" s="219"/>
      <c r="AE574" s="219"/>
      <c r="AF574" s="219"/>
      <c r="AG574" s="219"/>
      <c r="AH574" s="219"/>
      <c r="AI574" s="219"/>
      <c r="AJ574" s="219"/>
      <c r="AK574" s="219"/>
      <c r="AL574" s="219"/>
      <c r="AM574" s="219"/>
      <c r="AN574" s="219"/>
      <c r="AO574" s="219"/>
      <c r="AP574" s="219"/>
      <c r="AQ574" s="219"/>
      <c r="AR574" s="219"/>
      <c r="AS574" s="219"/>
      <c r="AT574" s="219"/>
      <c r="AU574" s="219"/>
      <c r="AV574" s="219"/>
      <c r="AW574" s="219"/>
      <c r="AX574" s="219"/>
      <c r="AY574" s="219"/>
      <c r="AZ574" s="219"/>
      <c r="BA574" s="219"/>
      <c r="BB574" s="219"/>
      <c r="BC574" s="219"/>
      <c r="BD574" s="219"/>
      <c r="BE574" s="219"/>
      <c r="BF574" s="219"/>
      <c r="BG574" s="219"/>
      <c r="BH574" s="219"/>
      <c r="BI574" s="219"/>
      <c r="BJ574" s="219"/>
      <c r="BK574" s="219"/>
      <c r="BL574" s="219"/>
      <c r="BM574" s="219"/>
      <c r="BN574" s="219"/>
      <c r="BO574" s="219"/>
      <c r="BP574" s="219"/>
      <c r="BQ574" s="219"/>
      <c r="BR574" s="219"/>
      <c r="BS574" s="219"/>
      <c r="BT574" s="219"/>
      <c r="BU574" s="219"/>
      <c r="BV574" s="219"/>
      <c r="BW574" s="219"/>
      <c r="BX574" s="219"/>
      <c r="BY574" s="219"/>
      <c r="BZ574" s="219"/>
      <c r="CA574" s="219"/>
      <c r="CB574" s="219"/>
      <c r="CC574" s="219"/>
      <c r="CD574" s="219"/>
      <c r="CE574" s="219"/>
      <c r="CF574" s="219"/>
      <c r="CG574" s="219"/>
      <c r="CH574" s="219"/>
      <c r="CI574" s="219"/>
      <c r="CJ574" s="219"/>
      <c r="CK574" s="219"/>
      <c r="CL574" s="219"/>
      <c r="CM574" s="219"/>
      <c r="CN574" s="219"/>
      <c r="CO574" s="219"/>
      <c r="CP574" s="219"/>
      <c r="CQ574" s="219"/>
      <c r="CR574" s="219"/>
      <c r="CS574" s="219"/>
      <c r="CT574" s="219"/>
      <c r="CU574" s="219"/>
      <c r="CV574" s="219"/>
      <c r="CW574" s="219"/>
      <c r="CX574" s="219"/>
      <c r="CY574" s="219"/>
      <c r="CZ574" s="219"/>
      <c r="DA574" s="219"/>
      <c r="DB574" s="219"/>
      <c r="DC574" s="219"/>
      <c r="DD574" s="219"/>
      <c r="DE574" s="219"/>
      <c r="DF574" s="219"/>
      <c r="DG574" s="219"/>
      <c r="DH574" s="219"/>
      <c r="DI574" s="219"/>
      <c r="DJ574" s="219"/>
      <c r="DK574" s="219"/>
      <c r="DL574" s="219"/>
      <c r="DM574" s="219"/>
      <c r="DN574" s="219"/>
      <c r="DO574" s="219"/>
      <c r="DP574" s="219"/>
      <c r="DQ574" s="219"/>
      <c r="DR574" s="219"/>
      <c r="DS574" s="219"/>
      <c r="DT574" s="219"/>
      <c r="DU574" s="219"/>
      <c r="DV574" s="219"/>
      <c r="DW574" s="219"/>
      <c r="DX574" s="219"/>
      <c r="DY574" s="219"/>
      <c r="DZ574" s="219"/>
      <c r="EA574" s="219"/>
      <c r="EB574" s="219"/>
      <c r="EC574" s="219"/>
      <c r="ED574" s="219"/>
      <c r="EE574" s="219"/>
      <c r="EF574" s="219"/>
      <c r="EG574" s="219"/>
      <c r="EH574" s="219"/>
      <c r="EI574" s="219"/>
      <c r="EJ574" s="219"/>
      <c r="EK574" s="219"/>
      <c r="EL574" s="219"/>
      <c r="EM574" s="219"/>
      <c r="EN574" s="219"/>
      <c r="EO574" s="219"/>
      <c r="EP574" s="219"/>
      <c r="EQ574" s="219"/>
      <c r="ER574" s="219"/>
      <c r="ES574" s="219"/>
      <c r="ET574" s="219"/>
      <c r="EU574" s="219"/>
      <c r="EV574" s="219"/>
      <c r="EW574" s="219"/>
      <c r="EX574" s="219"/>
      <c r="EY574" s="219"/>
      <c r="EZ574" s="219"/>
      <c r="FA574" s="219"/>
      <c r="FB574" s="219"/>
      <c r="FC574" s="219"/>
      <c r="FD574" s="219"/>
      <c r="FE574" s="219"/>
      <c r="FF574" s="219"/>
      <c r="FG574" s="219"/>
      <c r="FH574" s="219"/>
      <c r="FI574" s="219"/>
      <c r="FJ574" s="219"/>
      <c r="FK574" s="219"/>
      <c r="FL574" s="219"/>
      <c r="FM574" s="219"/>
      <c r="FN574" s="219"/>
      <c r="FO574" s="219"/>
      <c r="FP574" s="219"/>
      <c r="FQ574" s="219"/>
      <c r="FR574" s="219"/>
      <c r="FS574" s="219"/>
      <c r="FT574" s="219"/>
      <c r="FU574" s="219"/>
      <c r="FV574" s="219"/>
      <c r="FW574" s="219"/>
      <c r="FX574" s="219"/>
      <c r="FY574" s="219"/>
      <c r="FZ574" s="219"/>
      <c r="GA574" s="219"/>
      <c r="GB574" s="219"/>
      <c r="GC574" s="219"/>
      <c r="GD574" s="219"/>
      <c r="GE574" s="219"/>
      <c r="GF574" s="219"/>
      <c r="GG574" s="219"/>
      <c r="GH574" s="219"/>
      <c r="GI574" s="219"/>
      <c r="GJ574" s="219"/>
      <c r="GK574" s="219"/>
      <c r="GL574" s="219"/>
      <c r="GM574" s="219"/>
      <c r="GN574" s="219"/>
      <c r="GO574" s="219"/>
      <c r="GP574" s="219"/>
      <c r="GQ574" s="219"/>
      <c r="GR574" s="219"/>
      <c r="GS574" s="219"/>
      <c r="GT574" s="219"/>
      <c r="GU574" s="219"/>
      <c r="GV574" s="219"/>
      <c r="GW574" s="219"/>
      <c r="GX574" s="219"/>
      <c r="GY574" s="219"/>
      <c r="GZ574" s="219"/>
      <c r="HA574" s="219"/>
      <c r="HB574" s="219"/>
      <c r="HC574" s="219"/>
      <c r="HD574" s="219"/>
      <c r="HE574" s="219"/>
      <c r="HF574" s="219"/>
      <c r="HG574" s="219"/>
      <c r="HH574" s="219"/>
      <c r="HI574" s="219"/>
      <c r="HJ574" s="219"/>
      <c r="HK574" s="219"/>
      <c r="HL574" s="219"/>
      <c r="HM574" s="219"/>
      <c r="HN574" s="219"/>
      <c r="HO574" s="219"/>
      <c r="HP574" s="219"/>
      <c r="HQ574" s="219"/>
      <c r="HR574" s="219"/>
      <c r="HS574" s="219"/>
      <c r="HT574" s="219"/>
      <c r="HU574" s="219"/>
      <c r="HV574" s="219"/>
      <c r="HW574" s="219"/>
      <c r="HX574" s="219"/>
      <c r="HY574" s="219"/>
      <c r="HZ574" s="219"/>
      <c r="IA574" s="219"/>
      <c r="IB574" s="219"/>
      <c r="IC574" s="219"/>
      <c r="ID574" s="219"/>
      <c r="IE574" s="219"/>
      <c r="IF574" s="219"/>
      <c r="IG574" s="219"/>
      <c r="IH574" s="219"/>
      <c r="II574" s="219"/>
      <c r="IJ574" s="219"/>
      <c r="IK574" s="219"/>
      <c r="IL574" s="219"/>
      <c r="IM574" s="219"/>
      <c r="IN574" s="219"/>
      <c r="IO574" s="219"/>
      <c r="IP574" s="219"/>
      <c r="IQ574" s="219"/>
      <c r="IR574" s="219"/>
      <c r="IS574" s="219"/>
      <c r="IT574" s="219"/>
      <c r="IU574" s="219"/>
      <c r="IV574" s="219"/>
    </row>
    <row r="575" spans="1:256" x14ac:dyDescent="0.2">
      <c r="A575" s="204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  <c r="AB575" s="219"/>
      <c r="AC575" s="219"/>
      <c r="AD575" s="219"/>
      <c r="AE575" s="219"/>
      <c r="AF575" s="219"/>
      <c r="AG575" s="219"/>
      <c r="AH575" s="219"/>
      <c r="AI575" s="219"/>
      <c r="AJ575" s="219"/>
      <c r="AK575" s="219"/>
      <c r="AL575" s="219"/>
      <c r="AM575" s="219"/>
      <c r="AN575" s="219"/>
      <c r="AO575" s="219"/>
      <c r="AP575" s="219"/>
      <c r="AQ575" s="219"/>
      <c r="AR575" s="219"/>
      <c r="AS575" s="219"/>
      <c r="AT575" s="219"/>
      <c r="AU575" s="219"/>
      <c r="AV575" s="219"/>
      <c r="AW575" s="219"/>
      <c r="AX575" s="219"/>
      <c r="AY575" s="219"/>
      <c r="AZ575" s="219"/>
      <c r="BA575" s="219"/>
      <c r="BB575" s="219"/>
      <c r="BC575" s="219"/>
      <c r="BD575" s="219"/>
      <c r="BE575" s="219"/>
      <c r="BF575" s="219"/>
      <c r="BG575" s="219"/>
      <c r="BH575" s="219"/>
      <c r="BI575" s="219"/>
      <c r="BJ575" s="219"/>
      <c r="BK575" s="219"/>
      <c r="BL575" s="219"/>
      <c r="BM575" s="219"/>
      <c r="BN575" s="219"/>
      <c r="BO575" s="219"/>
      <c r="BP575" s="219"/>
      <c r="BQ575" s="219"/>
      <c r="BR575" s="219"/>
      <c r="BS575" s="219"/>
      <c r="BT575" s="219"/>
      <c r="BU575" s="219"/>
      <c r="BV575" s="219"/>
      <c r="BW575" s="219"/>
      <c r="BX575" s="219"/>
      <c r="BY575" s="219"/>
      <c r="BZ575" s="219"/>
      <c r="CA575" s="219"/>
      <c r="CB575" s="219"/>
      <c r="CC575" s="219"/>
      <c r="CD575" s="219"/>
      <c r="CE575" s="219"/>
      <c r="CF575" s="219"/>
      <c r="CG575" s="219"/>
      <c r="CH575" s="219"/>
      <c r="CI575" s="219"/>
      <c r="CJ575" s="219"/>
      <c r="CK575" s="219"/>
      <c r="CL575" s="219"/>
      <c r="CM575" s="219"/>
      <c r="CN575" s="219"/>
      <c r="CO575" s="219"/>
      <c r="CP575" s="219"/>
      <c r="CQ575" s="219"/>
      <c r="CR575" s="219"/>
      <c r="CS575" s="219"/>
      <c r="CT575" s="219"/>
      <c r="CU575" s="219"/>
      <c r="CV575" s="219"/>
      <c r="CW575" s="219"/>
      <c r="CX575" s="219"/>
      <c r="CY575" s="219"/>
      <c r="CZ575" s="219"/>
      <c r="DA575" s="219"/>
      <c r="DB575" s="219"/>
      <c r="DC575" s="219"/>
      <c r="DD575" s="219"/>
      <c r="DE575" s="219"/>
      <c r="DF575" s="219"/>
      <c r="DG575" s="219"/>
      <c r="DH575" s="219"/>
      <c r="DI575" s="219"/>
      <c r="DJ575" s="219"/>
      <c r="DK575" s="219"/>
      <c r="DL575" s="219"/>
      <c r="DM575" s="219"/>
      <c r="DN575" s="219"/>
      <c r="DO575" s="219"/>
      <c r="DP575" s="219"/>
      <c r="DQ575" s="219"/>
      <c r="DR575" s="219"/>
      <c r="DS575" s="219"/>
      <c r="DT575" s="219"/>
      <c r="DU575" s="219"/>
      <c r="DV575" s="219"/>
      <c r="DW575" s="219"/>
      <c r="DX575" s="219"/>
      <c r="DY575" s="219"/>
      <c r="DZ575" s="219"/>
      <c r="EA575" s="219"/>
      <c r="EB575" s="219"/>
      <c r="EC575" s="219"/>
      <c r="ED575" s="219"/>
      <c r="EE575" s="219"/>
      <c r="EF575" s="219"/>
      <c r="EG575" s="219"/>
      <c r="EH575" s="219"/>
      <c r="EI575" s="219"/>
      <c r="EJ575" s="219"/>
      <c r="EK575" s="219"/>
      <c r="EL575" s="219"/>
      <c r="EM575" s="219"/>
      <c r="EN575" s="219"/>
      <c r="EO575" s="219"/>
      <c r="EP575" s="219"/>
      <c r="EQ575" s="219"/>
      <c r="ER575" s="219"/>
      <c r="ES575" s="219"/>
      <c r="ET575" s="219"/>
      <c r="EU575" s="219"/>
      <c r="EV575" s="219"/>
      <c r="EW575" s="219"/>
      <c r="EX575" s="219"/>
      <c r="EY575" s="219"/>
      <c r="EZ575" s="219"/>
      <c r="FA575" s="219"/>
      <c r="FB575" s="219"/>
      <c r="FC575" s="219"/>
      <c r="FD575" s="219"/>
      <c r="FE575" s="219"/>
      <c r="FF575" s="219"/>
      <c r="FG575" s="219"/>
      <c r="FH575" s="219"/>
      <c r="FI575" s="219"/>
      <c r="FJ575" s="219"/>
      <c r="FK575" s="219"/>
      <c r="FL575" s="219"/>
      <c r="FM575" s="219"/>
      <c r="FN575" s="219"/>
      <c r="FO575" s="219"/>
      <c r="FP575" s="219"/>
      <c r="FQ575" s="219"/>
      <c r="FR575" s="219"/>
      <c r="FS575" s="219"/>
      <c r="FT575" s="219"/>
      <c r="FU575" s="219"/>
      <c r="FV575" s="219"/>
      <c r="FW575" s="219"/>
      <c r="FX575" s="219"/>
      <c r="FY575" s="219"/>
      <c r="FZ575" s="219"/>
      <c r="GA575" s="219"/>
      <c r="GB575" s="219"/>
      <c r="GC575" s="219"/>
      <c r="GD575" s="219"/>
      <c r="GE575" s="219"/>
      <c r="GF575" s="219"/>
      <c r="GG575" s="219"/>
      <c r="GH575" s="219"/>
      <c r="GI575" s="219"/>
      <c r="GJ575" s="219"/>
      <c r="GK575" s="219"/>
      <c r="GL575" s="219"/>
      <c r="GM575" s="219"/>
      <c r="GN575" s="219"/>
      <c r="GO575" s="219"/>
      <c r="GP575" s="219"/>
      <c r="GQ575" s="219"/>
      <c r="GR575" s="219"/>
      <c r="GS575" s="219"/>
      <c r="GT575" s="219"/>
      <c r="GU575" s="219"/>
      <c r="GV575" s="219"/>
      <c r="GW575" s="219"/>
      <c r="GX575" s="219"/>
      <c r="GY575" s="219"/>
      <c r="GZ575" s="219"/>
      <c r="HA575" s="219"/>
      <c r="HB575" s="219"/>
      <c r="HC575" s="219"/>
      <c r="HD575" s="219"/>
      <c r="HE575" s="219"/>
      <c r="HF575" s="219"/>
      <c r="HG575" s="219"/>
      <c r="HH575" s="219"/>
      <c r="HI575" s="219"/>
      <c r="HJ575" s="219"/>
      <c r="HK575" s="219"/>
      <c r="HL575" s="219"/>
      <c r="HM575" s="219"/>
      <c r="HN575" s="219"/>
      <c r="HO575" s="219"/>
      <c r="HP575" s="219"/>
      <c r="HQ575" s="219"/>
      <c r="HR575" s="219"/>
      <c r="HS575" s="219"/>
      <c r="HT575" s="219"/>
      <c r="HU575" s="219"/>
      <c r="HV575" s="219"/>
      <c r="HW575" s="219"/>
      <c r="HX575" s="219"/>
      <c r="HY575" s="219"/>
      <c r="HZ575" s="219"/>
      <c r="IA575" s="219"/>
      <c r="IB575" s="219"/>
      <c r="IC575" s="219"/>
      <c r="ID575" s="219"/>
      <c r="IE575" s="219"/>
      <c r="IF575" s="219"/>
      <c r="IG575" s="219"/>
      <c r="IH575" s="219"/>
      <c r="II575" s="219"/>
      <c r="IJ575" s="219"/>
      <c r="IK575" s="219"/>
      <c r="IL575" s="219"/>
      <c r="IM575" s="219"/>
      <c r="IN575" s="219"/>
      <c r="IO575" s="219"/>
      <c r="IP575" s="219"/>
      <c r="IQ575" s="219"/>
      <c r="IR575" s="219"/>
      <c r="IS575" s="219"/>
      <c r="IT575" s="219"/>
      <c r="IU575" s="219"/>
      <c r="IV575" s="219"/>
    </row>
    <row r="576" spans="1:256" x14ac:dyDescent="0.2">
      <c r="A576" s="204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  <c r="AB576" s="219"/>
      <c r="AC576" s="219"/>
      <c r="AD576" s="219"/>
      <c r="AE576" s="219"/>
      <c r="AF576" s="219"/>
      <c r="AG576" s="219"/>
      <c r="AH576" s="219"/>
      <c r="AI576" s="219"/>
      <c r="AJ576" s="219"/>
      <c r="AK576" s="219"/>
      <c r="AL576" s="219"/>
      <c r="AM576" s="219"/>
      <c r="AN576" s="219"/>
      <c r="AO576" s="219"/>
      <c r="AP576" s="219"/>
      <c r="AQ576" s="219"/>
      <c r="AR576" s="219"/>
      <c r="AS576" s="219"/>
      <c r="AT576" s="219"/>
      <c r="AU576" s="219"/>
      <c r="AV576" s="219"/>
      <c r="AW576" s="219"/>
      <c r="AX576" s="219"/>
      <c r="AY576" s="219"/>
      <c r="AZ576" s="219"/>
      <c r="BA576" s="219"/>
      <c r="BB576" s="219"/>
      <c r="BC576" s="219"/>
      <c r="BD576" s="219"/>
      <c r="BE576" s="219"/>
      <c r="BF576" s="219"/>
      <c r="BG576" s="219"/>
      <c r="BH576" s="219"/>
      <c r="BI576" s="219"/>
      <c r="BJ576" s="219"/>
      <c r="BK576" s="219"/>
      <c r="BL576" s="219"/>
      <c r="BM576" s="219"/>
      <c r="BN576" s="219"/>
      <c r="BO576" s="219"/>
      <c r="BP576" s="219"/>
      <c r="BQ576" s="219"/>
      <c r="BR576" s="219"/>
      <c r="BS576" s="219"/>
      <c r="BT576" s="219"/>
      <c r="BU576" s="219"/>
      <c r="BV576" s="219"/>
      <c r="BW576" s="219"/>
      <c r="BX576" s="219"/>
      <c r="BY576" s="219"/>
      <c r="BZ576" s="219"/>
      <c r="CA576" s="219"/>
      <c r="CB576" s="219"/>
      <c r="CC576" s="219"/>
      <c r="CD576" s="219"/>
      <c r="CE576" s="219"/>
      <c r="CF576" s="219"/>
      <c r="CG576" s="219"/>
      <c r="CH576" s="219"/>
      <c r="CI576" s="219"/>
      <c r="CJ576" s="219"/>
      <c r="CK576" s="219"/>
      <c r="CL576" s="219"/>
      <c r="CM576" s="219"/>
      <c r="CN576" s="219"/>
      <c r="CO576" s="219"/>
      <c r="CP576" s="219"/>
      <c r="CQ576" s="219"/>
      <c r="CR576" s="219"/>
      <c r="CS576" s="219"/>
      <c r="CT576" s="219"/>
      <c r="CU576" s="219"/>
      <c r="CV576" s="219"/>
      <c r="CW576" s="219"/>
      <c r="CX576" s="219"/>
      <c r="CY576" s="219"/>
      <c r="CZ576" s="219"/>
      <c r="DA576" s="219"/>
      <c r="DB576" s="219"/>
      <c r="DC576" s="219"/>
      <c r="DD576" s="219"/>
      <c r="DE576" s="219"/>
      <c r="DF576" s="219"/>
      <c r="DG576" s="219"/>
      <c r="DH576" s="219"/>
      <c r="DI576" s="219"/>
      <c r="DJ576" s="219"/>
      <c r="DK576" s="219"/>
      <c r="DL576" s="219"/>
      <c r="DM576" s="219"/>
      <c r="DN576" s="219"/>
      <c r="DO576" s="219"/>
      <c r="DP576" s="219"/>
      <c r="DQ576" s="219"/>
      <c r="DR576" s="219"/>
      <c r="DS576" s="219"/>
      <c r="DT576" s="219"/>
      <c r="DU576" s="219"/>
      <c r="DV576" s="219"/>
      <c r="DW576" s="219"/>
      <c r="DX576" s="219"/>
      <c r="DY576" s="219"/>
      <c r="DZ576" s="219"/>
      <c r="EA576" s="219"/>
      <c r="EB576" s="219"/>
      <c r="EC576" s="219"/>
      <c r="ED576" s="219"/>
      <c r="EE576" s="219"/>
      <c r="EF576" s="219"/>
      <c r="EG576" s="219"/>
      <c r="EH576" s="219"/>
      <c r="EI576" s="219"/>
      <c r="EJ576" s="219"/>
      <c r="EK576" s="219"/>
      <c r="EL576" s="219"/>
      <c r="EM576" s="219"/>
      <c r="EN576" s="219"/>
      <c r="EO576" s="219"/>
      <c r="EP576" s="219"/>
      <c r="EQ576" s="219"/>
      <c r="ER576" s="219"/>
      <c r="ES576" s="219"/>
      <c r="ET576" s="219"/>
      <c r="EU576" s="219"/>
      <c r="EV576" s="219"/>
      <c r="EW576" s="219"/>
      <c r="EX576" s="219"/>
      <c r="EY576" s="219"/>
      <c r="EZ576" s="219"/>
      <c r="FA576" s="219"/>
      <c r="FB576" s="219"/>
      <c r="FC576" s="219"/>
      <c r="FD576" s="219"/>
      <c r="FE576" s="219"/>
      <c r="FF576" s="219"/>
      <c r="FG576" s="219"/>
      <c r="FH576" s="219"/>
      <c r="FI576" s="219"/>
      <c r="FJ576" s="219"/>
      <c r="FK576" s="219"/>
      <c r="FL576" s="219"/>
      <c r="FM576" s="219"/>
      <c r="FN576" s="219"/>
      <c r="FO576" s="219"/>
      <c r="FP576" s="219"/>
      <c r="FQ576" s="219"/>
      <c r="FR576" s="219"/>
      <c r="FS576" s="219"/>
      <c r="FT576" s="219"/>
      <c r="FU576" s="219"/>
      <c r="FV576" s="219"/>
      <c r="FW576" s="219"/>
      <c r="FX576" s="219"/>
      <c r="FY576" s="219"/>
      <c r="FZ576" s="219"/>
      <c r="GA576" s="219"/>
      <c r="GB576" s="219"/>
      <c r="GC576" s="219"/>
      <c r="GD576" s="219"/>
      <c r="GE576" s="219"/>
      <c r="GF576" s="219"/>
      <c r="GG576" s="219"/>
      <c r="GH576" s="219"/>
      <c r="GI576" s="219"/>
      <c r="GJ576" s="219"/>
      <c r="GK576" s="219"/>
      <c r="GL576" s="219"/>
      <c r="GM576" s="219"/>
      <c r="GN576" s="219"/>
      <c r="GO576" s="219"/>
      <c r="GP576" s="219"/>
      <c r="GQ576" s="219"/>
      <c r="GR576" s="219"/>
      <c r="GS576" s="219"/>
      <c r="GT576" s="219"/>
      <c r="GU576" s="219"/>
      <c r="GV576" s="219"/>
      <c r="GW576" s="219"/>
      <c r="GX576" s="219"/>
      <c r="GY576" s="219"/>
      <c r="GZ576" s="219"/>
      <c r="HA576" s="219"/>
      <c r="HB576" s="219"/>
      <c r="HC576" s="219"/>
      <c r="HD576" s="219"/>
      <c r="HE576" s="219"/>
      <c r="HF576" s="219"/>
      <c r="HG576" s="219"/>
      <c r="HH576" s="219"/>
      <c r="HI576" s="219"/>
      <c r="HJ576" s="219"/>
      <c r="HK576" s="219"/>
      <c r="HL576" s="219"/>
      <c r="HM576" s="219"/>
      <c r="HN576" s="219"/>
      <c r="HO576" s="219"/>
      <c r="HP576" s="219"/>
      <c r="HQ576" s="219"/>
      <c r="HR576" s="219"/>
      <c r="HS576" s="219"/>
      <c r="HT576" s="219"/>
      <c r="HU576" s="219"/>
      <c r="HV576" s="219"/>
      <c r="HW576" s="219"/>
      <c r="HX576" s="219"/>
      <c r="HY576" s="219"/>
      <c r="HZ576" s="219"/>
      <c r="IA576" s="219"/>
      <c r="IB576" s="219"/>
      <c r="IC576" s="219"/>
      <c r="ID576" s="219"/>
      <c r="IE576" s="219"/>
      <c r="IF576" s="219"/>
      <c r="IG576" s="219"/>
      <c r="IH576" s="219"/>
      <c r="II576" s="219"/>
      <c r="IJ576" s="219"/>
      <c r="IK576" s="219"/>
      <c r="IL576" s="219"/>
      <c r="IM576" s="219"/>
      <c r="IN576" s="219"/>
      <c r="IO576" s="219"/>
      <c r="IP576" s="219"/>
      <c r="IQ576" s="219"/>
      <c r="IR576" s="219"/>
      <c r="IS576" s="219"/>
      <c r="IT576" s="219"/>
      <c r="IU576" s="219"/>
      <c r="IV576" s="219"/>
    </row>
    <row r="577" spans="1:256" x14ac:dyDescent="0.2">
      <c r="A577" s="204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  <c r="AB577" s="219"/>
      <c r="AC577" s="219"/>
      <c r="AD577" s="219"/>
      <c r="AE577" s="219"/>
      <c r="AF577" s="219"/>
      <c r="AG577" s="219"/>
      <c r="AH577" s="219"/>
      <c r="AI577" s="219"/>
      <c r="AJ577" s="219"/>
      <c r="AK577" s="219"/>
      <c r="AL577" s="219"/>
      <c r="AM577" s="219"/>
      <c r="AN577" s="219"/>
      <c r="AO577" s="219"/>
      <c r="AP577" s="219"/>
      <c r="AQ577" s="219"/>
      <c r="AR577" s="219"/>
      <c r="AS577" s="219"/>
      <c r="AT577" s="219"/>
      <c r="AU577" s="219"/>
      <c r="AV577" s="219"/>
      <c r="AW577" s="219"/>
      <c r="AX577" s="219"/>
      <c r="AY577" s="219"/>
      <c r="AZ577" s="219"/>
      <c r="BA577" s="219"/>
      <c r="BB577" s="219"/>
      <c r="BC577" s="219"/>
      <c r="BD577" s="219"/>
      <c r="BE577" s="219"/>
      <c r="BF577" s="219"/>
      <c r="BG577" s="219"/>
      <c r="BH577" s="219"/>
      <c r="BI577" s="219"/>
      <c r="BJ577" s="219"/>
      <c r="BK577" s="219"/>
      <c r="BL577" s="219"/>
      <c r="BM577" s="219"/>
      <c r="BN577" s="219"/>
      <c r="BO577" s="219"/>
      <c r="BP577" s="219"/>
      <c r="BQ577" s="219"/>
      <c r="BR577" s="219"/>
      <c r="BS577" s="219"/>
      <c r="BT577" s="219"/>
      <c r="BU577" s="219"/>
      <c r="BV577" s="219"/>
      <c r="BW577" s="219"/>
      <c r="BX577" s="219"/>
      <c r="BY577" s="219"/>
      <c r="BZ577" s="219"/>
      <c r="CA577" s="219"/>
      <c r="CB577" s="219"/>
      <c r="CC577" s="219"/>
      <c r="CD577" s="219"/>
      <c r="CE577" s="219"/>
      <c r="CF577" s="219"/>
      <c r="CG577" s="219"/>
      <c r="CH577" s="219"/>
      <c r="CI577" s="219"/>
      <c r="CJ577" s="219"/>
      <c r="CK577" s="219"/>
      <c r="CL577" s="219"/>
      <c r="CM577" s="219"/>
      <c r="CN577" s="219"/>
      <c r="CO577" s="219"/>
      <c r="CP577" s="219"/>
      <c r="CQ577" s="219"/>
      <c r="CR577" s="219"/>
      <c r="CS577" s="219"/>
      <c r="CT577" s="219"/>
      <c r="CU577" s="219"/>
      <c r="CV577" s="219"/>
      <c r="CW577" s="219"/>
      <c r="CX577" s="219"/>
      <c r="CY577" s="219"/>
      <c r="CZ577" s="219"/>
      <c r="DA577" s="219"/>
      <c r="DB577" s="219"/>
      <c r="DC577" s="219"/>
      <c r="DD577" s="219"/>
      <c r="DE577" s="219"/>
      <c r="DF577" s="219"/>
      <c r="DG577" s="219"/>
      <c r="DH577" s="219"/>
      <c r="DI577" s="219"/>
      <c r="DJ577" s="219"/>
      <c r="DK577" s="219"/>
      <c r="DL577" s="219"/>
      <c r="DM577" s="219"/>
      <c r="DN577" s="219"/>
      <c r="DO577" s="219"/>
      <c r="DP577" s="219"/>
      <c r="DQ577" s="219"/>
      <c r="DR577" s="219"/>
      <c r="DS577" s="219"/>
      <c r="DT577" s="219"/>
      <c r="DU577" s="219"/>
      <c r="DV577" s="219"/>
      <c r="DW577" s="219"/>
      <c r="DX577" s="219"/>
      <c r="DY577" s="219"/>
      <c r="DZ577" s="219"/>
      <c r="EA577" s="219"/>
      <c r="EB577" s="219"/>
      <c r="EC577" s="219"/>
      <c r="ED577" s="219"/>
      <c r="EE577" s="219"/>
      <c r="EF577" s="219"/>
      <c r="EG577" s="219"/>
      <c r="EH577" s="219"/>
      <c r="EI577" s="219"/>
      <c r="EJ577" s="219"/>
      <c r="EK577" s="219"/>
      <c r="EL577" s="219"/>
      <c r="EM577" s="219"/>
      <c r="EN577" s="219"/>
      <c r="EO577" s="219"/>
      <c r="EP577" s="219"/>
      <c r="EQ577" s="219"/>
      <c r="ER577" s="219"/>
      <c r="ES577" s="219"/>
      <c r="ET577" s="219"/>
      <c r="EU577" s="219"/>
      <c r="EV577" s="219"/>
      <c r="EW577" s="219"/>
      <c r="EX577" s="219"/>
      <c r="EY577" s="219"/>
      <c r="EZ577" s="219"/>
      <c r="FA577" s="219"/>
      <c r="FB577" s="219"/>
      <c r="FC577" s="219"/>
      <c r="FD577" s="219"/>
      <c r="FE577" s="219"/>
      <c r="FF577" s="219"/>
      <c r="FG577" s="219"/>
      <c r="FH577" s="219"/>
      <c r="FI577" s="219"/>
      <c r="FJ577" s="219"/>
      <c r="FK577" s="219"/>
      <c r="FL577" s="219"/>
      <c r="FM577" s="219"/>
      <c r="FN577" s="219"/>
      <c r="FO577" s="219"/>
      <c r="FP577" s="219"/>
      <c r="FQ577" s="219"/>
      <c r="FR577" s="219"/>
      <c r="FS577" s="219"/>
      <c r="FT577" s="219"/>
      <c r="FU577" s="219"/>
      <c r="FV577" s="219"/>
      <c r="FW577" s="219"/>
      <c r="FX577" s="219"/>
      <c r="FY577" s="219"/>
      <c r="FZ577" s="219"/>
      <c r="GA577" s="219"/>
      <c r="GB577" s="219"/>
      <c r="GC577" s="219"/>
      <c r="GD577" s="219"/>
      <c r="GE577" s="219"/>
      <c r="GF577" s="219"/>
      <c r="GG577" s="219"/>
      <c r="GH577" s="219"/>
      <c r="GI577" s="219"/>
      <c r="GJ577" s="219"/>
      <c r="GK577" s="219"/>
      <c r="GL577" s="219"/>
      <c r="GM577" s="219"/>
      <c r="GN577" s="219"/>
      <c r="GO577" s="219"/>
      <c r="GP577" s="219"/>
      <c r="GQ577" s="219"/>
      <c r="GR577" s="219"/>
      <c r="GS577" s="219"/>
      <c r="GT577" s="219"/>
      <c r="GU577" s="219"/>
      <c r="GV577" s="219"/>
      <c r="GW577" s="219"/>
      <c r="GX577" s="219"/>
      <c r="GY577" s="219"/>
      <c r="GZ577" s="219"/>
      <c r="HA577" s="219"/>
      <c r="HB577" s="219"/>
      <c r="HC577" s="219"/>
      <c r="HD577" s="219"/>
      <c r="HE577" s="219"/>
      <c r="HF577" s="219"/>
      <c r="HG577" s="219"/>
      <c r="HH577" s="219"/>
      <c r="HI577" s="219"/>
      <c r="HJ577" s="219"/>
      <c r="HK577" s="219"/>
      <c r="HL577" s="219"/>
      <c r="HM577" s="219"/>
      <c r="HN577" s="219"/>
      <c r="HO577" s="219"/>
      <c r="HP577" s="219"/>
      <c r="HQ577" s="219"/>
      <c r="HR577" s="219"/>
      <c r="HS577" s="219"/>
      <c r="HT577" s="219"/>
      <c r="HU577" s="219"/>
      <c r="HV577" s="219"/>
      <c r="HW577" s="219"/>
      <c r="HX577" s="219"/>
      <c r="HY577" s="219"/>
      <c r="HZ577" s="219"/>
      <c r="IA577" s="219"/>
      <c r="IB577" s="219"/>
      <c r="IC577" s="219"/>
      <c r="ID577" s="219"/>
      <c r="IE577" s="219"/>
      <c r="IF577" s="219"/>
      <c r="IG577" s="219"/>
      <c r="IH577" s="219"/>
      <c r="II577" s="219"/>
      <c r="IJ577" s="219"/>
      <c r="IK577" s="219"/>
      <c r="IL577" s="219"/>
      <c r="IM577" s="219"/>
      <c r="IN577" s="219"/>
      <c r="IO577" s="219"/>
      <c r="IP577" s="219"/>
      <c r="IQ577" s="219"/>
      <c r="IR577" s="219"/>
      <c r="IS577" s="219"/>
      <c r="IT577" s="219"/>
      <c r="IU577" s="219"/>
      <c r="IV577" s="219"/>
    </row>
    <row r="578" spans="1:256" x14ac:dyDescent="0.2">
      <c r="A578" s="204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  <c r="AB578" s="219"/>
      <c r="AC578" s="219"/>
      <c r="AD578" s="219"/>
      <c r="AE578" s="219"/>
      <c r="AF578" s="219"/>
      <c r="AG578" s="219"/>
      <c r="AH578" s="219"/>
      <c r="AI578" s="219"/>
      <c r="AJ578" s="219"/>
      <c r="AK578" s="219"/>
      <c r="AL578" s="219"/>
      <c r="AM578" s="219"/>
      <c r="AN578" s="219"/>
      <c r="AO578" s="219"/>
      <c r="AP578" s="219"/>
      <c r="AQ578" s="219"/>
      <c r="AR578" s="219"/>
      <c r="AS578" s="219"/>
      <c r="AT578" s="219"/>
      <c r="AU578" s="219"/>
      <c r="AV578" s="219"/>
      <c r="AW578" s="219"/>
      <c r="AX578" s="219"/>
      <c r="AY578" s="219"/>
      <c r="AZ578" s="219"/>
      <c r="BA578" s="219"/>
      <c r="BB578" s="219"/>
      <c r="BC578" s="219"/>
      <c r="BD578" s="219"/>
      <c r="BE578" s="219"/>
      <c r="BF578" s="219"/>
      <c r="BG578" s="219"/>
      <c r="BH578" s="219"/>
      <c r="BI578" s="219"/>
      <c r="BJ578" s="219"/>
      <c r="BK578" s="219"/>
      <c r="BL578" s="219"/>
      <c r="BM578" s="219"/>
      <c r="BN578" s="219"/>
      <c r="BO578" s="219"/>
      <c r="BP578" s="219"/>
      <c r="BQ578" s="219"/>
      <c r="BR578" s="219"/>
      <c r="BS578" s="219"/>
      <c r="BT578" s="219"/>
      <c r="BU578" s="219"/>
      <c r="BV578" s="219"/>
      <c r="BW578" s="219"/>
      <c r="BX578" s="219"/>
      <c r="BY578" s="219"/>
      <c r="BZ578" s="219"/>
      <c r="CA578" s="219"/>
      <c r="CB578" s="219"/>
      <c r="CC578" s="219"/>
      <c r="CD578" s="219"/>
      <c r="CE578" s="219"/>
      <c r="CF578" s="219"/>
      <c r="CG578" s="219"/>
      <c r="CH578" s="219"/>
      <c r="CI578" s="219"/>
      <c r="CJ578" s="219"/>
      <c r="CK578" s="219"/>
      <c r="CL578" s="219"/>
      <c r="CM578" s="219"/>
      <c r="CN578" s="219"/>
      <c r="CO578" s="219"/>
      <c r="CP578" s="219"/>
      <c r="CQ578" s="219"/>
      <c r="CR578" s="219"/>
      <c r="CS578" s="219"/>
      <c r="CT578" s="219"/>
      <c r="CU578" s="219"/>
      <c r="CV578" s="219"/>
      <c r="CW578" s="219"/>
      <c r="CX578" s="219"/>
      <c r="CY578" s="219"/>
      <c r="CZ578" s="219"/>
      <c r="DA578" s="219"/>
      <c r="DB578" s="219"/>
      <c r="DC578" s="219"/>
      <c r="DD578" s="219"/>
      <c r="DE578" s="219"/>
      <c r="DF578" s="219"/>
      <c r="DG578" s="219"/>
      <c r="DH578" s="219"/>
      <c r="DI578" s="219"/>
      <c r="DJ578" s="219"/>
      <c r="DK578" s="219"/>
      <c r="DL578" s="219"/>
      <c r="DM578" s="219"/>
      <c r="DN578" s="219"/>
      <c r="DO578" s="219"/>
      <c r="DP578" s="219"/>
      <c r="DQ578" s="219"/>
      <c r="DR578" s="219"/>
      <c r="DS578" s="219"/>
      <c r="DT578" s="219"/>
      <c r="DU578" s="219"/>
      <c r="DV578" s="219"/>
      <c r="DW578" s="219"/>
      <c r="DX578" s="219"/>
      <c r="DY578" s="219"/>
      <c r="DZ578" s="219"/>
      <c r="EA578" s="219"/>
      <c r="EB578" s="219"/>
      <c r="EC578" s="219"/>
      <c r="ED578" s="219"/>
      <c r="EE578" s="219"/>
      <c r="EF578" s="219"/>
      <c r="EG578" s="219"/>
      <c r="EH578" s="219"/>
      <c r="EI578" s="219"/>
      <c r="EJ578" s="219"/>
      <c r="EK578" s="219"/>
      <c r="EL578" s="219"/>
      <c r="EM578" s="219"/>
      <c r="EN578" s="219"/>
      <c r="EO578" s="219"/>
      <c r="EP578" s="219"/>
      <c r="EQ578" s="219"/>
      <c r="ER578" s="219"/>
      <c r="ES578" s="219"/>
      <c r="ET578" s="219"/>
      <c r="EU578" s="219"/>
      <c r="EV578" s="219"/>
      <c r="EW578" s="219"/>
      <c r="EX578" s="219"/>
      <c r="EY578" s="219"/>
      <c r="EZ578" s="219"/>
      <c r="FA578" s="219"/>
      <c r="FB578" s="219"/>
      <c r="FC578" s="219"/>
      <c r="FD578" s="219"/>
      <c r="FE578" s="219"/>
      <c r="FF578" s="219"/>
      <c r="FG578" s="219"/>
      <c r="FH578" s="219"/>
      <c r="FI578" s="219"/>
      <c r="FJ578" s="219"/>
      <c r="FK578" s="219"/>
      <c r="FL578" s="219"/>
      <c r="FM578" s="219"/>
      <c r="FN578" s="219"/>
      <c r="FO578" s="219"/>
      <c r="FP578" s="219"/>
      <c r="FQ578" s="219"/>
      <c r="FR578" s="219"/>
      <c r="FS578" s="219"/>
      <c r="FT578" s="219"/>
      <c r="FU578" s="219"/>
      <c r="FV578" s="219"/>
      <c r="FW578" s="219"/>
      <c r="FX578" s="219"/>
      <c r="FY578" s="219"/>
      <c r="FZ578" s="219"/>
      <c r="GA578" s="219"/>
      <c r="GB578" s="219"/>
      <c r="GC578" s="219"/>
      <c r="GD578" s="219"/>
      <c r="GE578" s="219"/>
      <c r="GF578" s="219"/>
      <c r="GG578" s="219"/>
      <c r="GH578" s="219"/>
      <c r="GI578" s="219"/>
      <c r="GJ578" s="219"/>
      <c r="GK578" s="219"/>
      <c r="GL578" s="219"/>
      <c r="GM578" s="219"/>
      <c r="GN578" s="219"/>
      <c r="GO578" s="219"/>
      <c r="GP578" s="219"/>
      <c r="GQ578" s="219"/>
      <c r="GR578" s="219"/>
      <c r="GS578" s="219"/>
      <c r="GT578" s="219"/>
      <c r="GU578" s="219"/>
      <c r="GV578" s="219"/>
      <c r="GW578" s="219"/>
      <c r="GX578" s="219"/>
      <c r="GY578" s="219"/>
      <c r="GZ578" s="219"/>
      <c r="HA578" s="219"/>
      <c r="HB578" s="219"/>
      <c r="HC578" s="219"/>
      <c r="HD578" s="219"/>
      <c r="HE578" s="219"/>
      <c r="HF578" s="219"/>
      <c r="HG578" s="219"/>
      <c r="HH578" s="219"/>
      <c r="HI578" s="219"/>
      <c r="HJ578" s="219"/>
      <c r="HK578" s="219"/>
      <c r="HL578" s="219"/>
      <c r="HM578" s="219"/>
      <c r="HN578" s="219"/>
      <c r="HO578" s="219"/>
      <c r="HP578" s="219"/>
      <c r="HQ578" s="219"/>
      <c r="HR578" s="219"/>
      <c r="HS578" s="219"/>
      <c r="HT578" s="219"/>
      <c r="HU578" s="219"/>
      <c r="HV578" s="219"/>
      <c r="HW578" s="219"/>
      <c r="HX578" s="219"/>
      <c r="HY578" s="219"/>
      <c r="HZ578" s="219"/>
      <c r="IA578" s="219"/>
      <c r="IB578" s="219"/>
      <c r="IC578" s="219"/>
      <c r="ID578" s="219"/>
      <c r="IE578" s="219"/>
      <c r="IF578" s="219"/>
      <c r="IG578" s="219"/>
      <c r="IH578" s="219"/>
      <c r="II578" s="219"/>
      <c r="IJ578" s="219"/>
      <c r="IK578" s="219"/>
      <c r="IL578" s="219"/>
      <c r="IM578" s="219"/>
      <c r="IN578" s="219"/>
      <c r="IO578" s="219"/>
      <c r="IP578" s="219"/>
      <c r="IQ578" s="219"/>
      <c r="IR578" s="219"/>
      <c r="IS578" s="219"/>
      <c r="IT578" s="219"/>
      <c r="IU578" s="219"/>
      <c r="IV578" s="219"/>
    </row>
    <row r="579" spans="1:256" x14ac:dyDescent="0.2">
      <c r="A579" s="204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  <c r="AB579" s="219"/>
      <c r="AC579" s="219"/>
      <c r="AD579" s="219"/>
      <c r="AE579" s="219"/>
      <c r="AF579" s="219"/>
      <c r="AG579" s="219"/>
      <c r="AH579" s="219"/>
      <c r="AI579" s="219"/>
      <c r="AJ579" s="219"/>
      <c r="AK579" s="219"/>
      <c r="AL579" s="219"/>
      <c r="AM579" s="219"/>
      <c r="AN579" s="219"/>
      <c r="AO579" s="219"/>
      <c r="AP579" s="219"/>
      <c r="AQ579" s="219"/>
      <c r="AR579" s="219"/>
      <c r="AS579" s="219"/>
      <c r="AT579" s="219"/>
      <c r="AU579" s="219"/>
      <c r="AV579" s="219"/>
      <c r="AW579" s="219"/>
      <c r="AX579" s="219"/>
      <c r="AY579" s="219"/>
      <c r="AZ579" s="219"/>
      <c r="BA579" s="219"/>
      <c r="BB579" s="219"/>
      <c r="BC579" s="219"/>
      <c r="BD579" s="219"/>
      <c r="BE579" s="219"/>
      <c r="BF579" s="219"/>
      <c r="BG579" s="219"/>
      <c r="BH579" s="219"/>
      <c r="BI579" s="219"/>
      <c r="BJ579" s="219"/>
      <c r="BK579" s="219"/>
      <c r="BL579" s="219"/>
      <c r="BM579" s="219"/>
      <c r="BN579" s="219"/>
      <c r="BO579" s="219"/>
      <c r="BP579" s="219"/>
      <c r="BQ579" s="219"/>
      <c r="BR579" s="219"/>
      <c r="BS579" s="219"/>
      <c r="BT579" s="219"/>
      <c r="BU579" s="219"/>
      <c r="BV579" s="219"/>
      <c r="BW579" s="219"/>
      <c r="BX579" s="219"/>
      <c r="BY579" s="219"/>
      <c r="BZ579" s="219"/>
      <c r="CA579" s="219"/>
      <c r="CB579" s="219"/>
      <c r="CC579" s="219"/>
      <c r="CD579" s="219"/>
      <c r="CE579" s="219"/>
      <c r="CF579" s="219"/>
      <c r="CG579" s="219"/>
      <c r="CH579" s="219"/>
      <c r="CI579" s="219"/>
      <c r="CJ579" s="219"/>
      <c r="CK579" s="219"/>
      <c r="CL579" s="219"/>
      <c r="CM579" s="219"/>
      <c r="CN579" s="219"/>
      <c r="CO579" s="219"/>
      <c r="CP579" s="219"/>
      <c r="CQ579" s="219"/>
      <c r="CR579" s="219"/>
      <c r="CS579" s="219"/>
      <c r="CT579" s="219"/>
      <c r="CU579" s="219"/>
      <c r="CV579" s="219"/>
      <c r="CW579" s="219"/>
      <c r="CX579" s="219"/>
      <c r="CY579" s="219"/>
      <c r="CZ579" s="219"/>
      <c r="DA579" s="219"/>
      <c r="DB579" s="219"/>
      <c r="DC579" s="219"/>
      <c r="DD579" s="219"/>
      <c r="DE579" s="219"/>
      <c r="DF579" s="219"/>
      <c r="DG579" s="219"/>
      <c r="DH579" s="219"/>
      <c r="DI579" s="219"/>
      <c r="DJ579" s="219"/>
      <c r="DK579" s="219"/>
      <c r="DL579" s="219"/>
      <c r="DM579" s="219"/>
      <c r="DN579" s="219"/>
      <c r="DO579" s="219"/>
      <c r="DP579" s="219"/>
      <c r="DQ579" s="219"/>
      <c r="DR579" s="219"/>
      <c r="DS579" s="219"/>
      <c r="DT579" s="219"/>
      <c r="DU579" s="219"/>
      <c r="DV579" s="219"/>
      <c r="DW579" s="219"/>
      <c r="DX579" s="219"/>
      <c r="DY579" s="219"/>
      <c r="DZ579" s="219"/>
      <c r="EA579" s="219"/>
      <c r="EB579" s="219"/>
      <c r="EC579" s="219"/>
      <c r="ED579" s="219"/>
      <c r="EE579" s="219"/>
      <c r="EF579" s="219"/>
      <c r="EG579" s="219"/>
      <c r="EH579" s="219"/>
      <c r="EI579" s="219"/>
      <c r="EJ579" s="219"/>
      <c r="EK579" s="219"/>
      <c r="EL579" s="219"/>
      <c r="EM579" s="219"/>
      <c r="EN579" s="219"/>
      <c r="EO579" s="219"/>
      <c r="EP579" s="219"/>
      <c r="EQ579" s="219"/>
      <c r="ER579" s="219"/>
      <c r="ES579" s="219"/>
      <c r="ET579" s="219"/>
      <c r="EU579" s="219"/>
      <c r="EV579" s="219"/>
      <c r="EW579" s="219"/>
      <c r="EX579" s="219"/>
      <c r="EY579" s="219"/>
      <c r="EZ579" s="219"/>
      <c r="FA579" s="219"/>
      <c r="FB579" s="219"/>
      <c r="FC579" s="219"/>
      <c r="FD579" s="219"/>
      <c r="FE579" s="219"/>
      <c r="FF579" s="219"/>
      <c r="FG579" s="219"/>
      <c r="FH579" s="219"/>
      <c r="FI579" s="219"/>
      <c r="FJ579" s="219"/>
      <c r="FK579" s="219"/>
      <c r="FL579" s="219"/>
      <c r="FM579" s="219"/>
      <c r="FN579" s="219"/>
      <c r="FO579" s="219"/>
      <c r="FP579" s="219"/>
      <c r="FQ579" s="219"/>
      <c r="FR579" s="219"/>
      <c r="FS579" s="219"/>
      <c r="FT579" s="219"/>
      <c r="FU579" s="219"/>
      <c r="FV579" s="219"/>
      <c r="FW579" s="219"/>
      <c r="FX579" s="219"/>
      <c r="FY579" s="219"/>
      <c r="FZ579" s="219"/>
      <c r="GA579" s="219"/>
      <c r="GB579" s="219"/>
      <c r="GC579" s="219"/>
      <c r="GD579" s="219"/>
      <c r="GE579" s="219"/>
      <c r="GF579" s="219"/>
      <c r="GG579" s="219"/>
      <c r="GH579" s="219"/>
      <c r="GI579" s="219"/>
      <c r="GJ579" s="219"/>
      <c r="GK579" s="219"/>
      <c r="GL579" s="219"/>
      <c r="GM579" s="219"/>
      <c r="GN579" s="219"/>
      <c r="GO579" s="219"/>
      <c r="GP579" s="219"/>
      <c r="GQ579" s="219"/>
      <c r="GR579" s="219"/>
      <c r="GS579" s="219"/>
      <c r="GT579" s="219"/>
      <c r="GU579" s="219"/>
      <c r="GV579" s="219"/>
      <c r="GW579" s="219"/>
      <c r="GX579" s="219"/>
      <c r="GY579" s="219"/>
      <c r="GZ579" s="219"/>
      <c r="HA579" s="219"/>
      <c r="HB579" s="219"/>
      <c r="HC579" s="219"/>
      <c r="HD579" s="219"/>
      <c r="HE579" s="219"/>
      <c r="HF579" s="219"/>
      <c r="HG579" s="219"/>
      <c r="HH579" s="219"/>
      <c r="HI579" s="219"/>
      <c r="HJ579" s="219"/>
      <c r="HK579" s="219"/>
      <c r="HL579" s="219"/>
      <c r="HM579" s="219"/>
      <c r="HN579" s="219"/>
      <c r="HO579" s="219"/>
      <c r="HP579" s="219"/>
      <c r="HQ579" s="219"/>
      <c r="HR579" s="219"/>
      <c r="HS579" s="219"/>
      <c r="HT579" s="219"/>
      <c r="HU579" s="219"/>
      <c r="HV579" s="219"/>
      <c r="HW579" s="219"/>
      <c r="HX579" s="219"/>
      <c r="HY579" s="219"/>
      <c r="HZ579" s="219"/>
      <c r="IA579" s="219"/>
      <c r="IB579" s="219"/>
      <c r="IC579" s="219"/>
      <c r="ID579" s="219"/>
      <c r="IE579" s="219"/>
      <c r="IF579" s="219"/>
      <c r="IG579" s="219"/>
      <c r="IH579" s="219"/>
      <c r="II579" s="219"/>
      <c r="IJ579" s="219"/>
      <c r="IK579" s="219"/>
      <c r="IL579" s="219"/>
      <c r="IM579" s="219"/>
      <c r="IN579" s="219"/>
      <c r="IO579" s="219"/>
      <c r="IP579" s="219"/>
      <c r="IQ579" s="219"/>
      <c r="IR579" s="219"/>
      <c r="IS579" s="219"/>
      <c r="IT579" s="219"/>
      <c r="IU579" s="219"/>
      <c r="IV579" s="219"/>
    </row>
    <row r="580" spans="1:256" x14ac:dyDescent="0.2">
      <c r="A580" s="204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  <c r="AD580" s="219"/>
      <c r="AE580" s="219"/>
      <c r="AF580" s="219"/>
      <c r="AG580" s="219"/>
      <c r="AH580" s="219"/>
      <c r="AI580" s="219"/>
      <c r="AJ580" s="219"/>
      <c r="AK580" s="219"/>
      <c r="AL580" s="219"/>
      <c r="AM580" s="219"/>
      <c r="AN580" s="219"/>
      <c r="AO580" s="219"/>
      <c r="AP580" s="219"/>
      <c r="AQ580" s="219"/>
      <c r="AR580" s="219"/>
      <c r="AS580" s="219"/>
      <c r="AT580" s="219"/>
      <c r="AU580" s="219"/>
      <c r="AV580" s="219"/>
      <c r="AW580" s="219"/>
      <c r="AX580" s="219"/>
      <c r="AY580" s="219"/>
      <c r="AZ580" s="219"/>
      <c r="BA580" s="219"/>
      <c r="BB580" s="219"/>
      <c r="BC580" s="219"/>
      <c r="BD580" s="219"/>
      <c r="BE580" s="219"/>
      <c r="BF580" s="219"/>
      <c r="BG580" s="219"/>
      <c r="BH580" s="219"/>
      <c r="BI580" s="219"/>
      <c r="BJ580" s="219"/>
      <c r="BK580" s="219"/>
      <c r="BL580" s="219"/>
      <c r="BM580" s="219"/>
      <c r="BN580" s="219"/>
      <c r="BO580" s="219"/>
      <c r="BP580" s="219"/>
      <c r="BQ580" s="219"/>
      <c r="BR580" s="219"/>
      <c r="BS580" s="219"/>
      <c r="BT580" s="219"/>
      <c r="BU580" s="219"/>
      <c r="BV580" s="219"/>
      <c r="BW580" s="219"/>
      <c r="BX580" s="219"/>
      <c r="BY580" s="219"/>
      <c r="BZ580" s="219"/>
      <c r="CA580" s="219"/>
      <c r="CB580" s="219"/>
      <c r="CC580" s="219"/>
      <c r="CD580" s="219"/>
      <c r="CE580" s="219"/>
      <c r="CF580" s="219"/>
      <c r="CG580" s="219"/>
      <c r="CH580" s="219"/>
      <c r="CI580" s="219"/>
      <c r="CJ580" s="219"/>
      <c r="CK580" s="219"/>
      <c r="CL580" s="219"/>
      <c r="CM580" s="219"/>
      <c r="CN580" s="219"/>
      <c r="CO580" s="219"/>
      <c r="CP580" s="219"/>
      <c r="CQ580" s="219"/>
      <c r="CR580" s="219"/>
      <c r="CS580" s="219"/>
      <c r="CT580" s="219"/>
      <c r="CU580" s="219"/>
      <c r="CV580" s="219"/>
      <c r="CW580" s="219"/>
      <c r="CX580" s="219"/>
      <c r="CY580" s="219"/>
      <c r="CZ580" s="219"/>
      <c r="DA580" s="219"/>
      <c r="DB580" s="219"/>
      <c r="DC580" s="219"/>
      <c r="DD580" s="219"/>
      <c r="DE580" s="219"/>
      <c r="DF580" s="219"/>
      <c r="DG580" s="219"/>
      <c r="DH580" s="219"/>
      <c r="DI580" s="219"/>
      <c r="DJ580" s="219"/>
      <c r="DK580" s="219"/>
      <c r="DL580" s="219"/>
      <c r="DM580" s="219"/>
      <c r="DN580" s="219"/>
      <c r="DO580" s="219"/>
      <c r="DP580" s="219"/>
      <c r="DQ580" s="219"/>
      <c r="DR580" s="219"/>
      <c r="DS580" s="219"/>
      <c r="DT580" s="219"/>
      <c r="DU580" s="219"/>
      <c r="DV580" s="219"/>
      <c r="DW580" s="219"/>
      <c r="DX580" s="219"/>
      <c r="DY580" s="219"/>
      <c r="DZ580" s="219"/>
      <c r="EA580" s="219"/>
      <c r="EB580" s="219"/>
      <c r="EC580" s="219"/>
      <c r="ED580" s="219"/>
      <c r="EE580" s="219"/>
      <c r="EF580" s="219"/>
      <c r="EG580" s="219"/>
      <c r="EH580" s="219"/>
      <c r="EI580" s="219"/>
      <c r="EJ580" s="219"/>
      <c r="EK580" s="219"/>
      <c r="EL580" s="219"/>
      <c r="EM580" s="219"/>
      <c r="EN580" s="219"/>
      <c r="EO580" s="219"/>
      <c r="EP580" s="219"/>
      <c r="EQ580" s="219"/>
      <c r="ER580" s="219"/>
      <c r="ES580" s="219"/>
      <c r="ET580" s="219"/>
      <c r="EU580" s="219"/>
      <c r="EV580" s="219"/>
      <c r="EW580" s="219"/>
      <c r="EX580" s="219"/>
      <c r="EY580" s="219"/>
      <c r="EZ580" s="219"/>
      <c r="FA580" s="219"/>
      <c r="FB580" s="219"/>
      <c r="FC580" s="219"/>
      <c r="FD580" s="219"/>
      <c r="FE580" s="219"/>
      <c r="FF580" s="219"/>
      <c r="FG580" s="219"/>
      <c r="FH580" s="219"/>
      <c r="FI580" s="219"/>
      <c r="FJ580" s="219"/>
      <c r="FK580" s="219"/>
      <c r="FL580" s="219"/>
      <c r="FM580" s="219"/>
      <c r="FN580" s="219"/>
      <c r="FO580" s="219"/>
      <c r="FP580" s="219"/>
      <c r="FQ580" s="219"/>
      <c r="FR580" s="219"/>
      <c r="FS580" s="219"/>
      <c r="FT580" s="219"/>
      <c r="FU580" s="219"/>
      <c r="FV580" s="219"/>
      <c r="FW580" s="219"/>
      <c r="FX580" s="219"/>
      <c r="FY580" s="219"/>
      <c r="FZ580" s="219"/>
      <c r="GA580" s="219"/>
      <c r="GB580" s="219"/>
      <c r="GC580" s="219"/>
      <c r="GD580" s="219"/>
      <c r="GE580" s="219"/>
      <c r="GF580" s="219"/>
      <c r="GG580" s="219"/>
      <c r="GH580" s="219"/>
      <c r="GI580" s="219"/>
      <c r="GJ580" s="219"/>
      <c r="GK580" s="219"/>
      <c r="GL580" s="219"/>
      <c r="GM580" s="219"/>
      <c r="GN580" s="219"/>
      <c r="GO580" s="219"/>
      <c r="GP580" s="219"/>
      <c r="GQ580" s="219"/>
      <c r="GR580" s="219"/>
      <c r="GS580" s="219"/>
      <c r="GT580" s="219"/>
      <c r="GU580" s="219"/>
      <c r="GV580" s="219"/>
      <c r="GW580" s="219"/>
      <c r="GX580" s="219"/>
      <c r="GY580" s="219"/>
      <c r="GZ580" s="219"/>
      <c r="HA580" s="219"/>
      <c r="HB580" s="219"/>
      <c r="HC580" s="219"/>
      <c r="HD580" s="219"/>
      <c r="HE580" s="219"/>
      <c r="HF580" s="219"/>
      <c r="HG580" s="219"/>
      <c r="HH580" s="219"/>
      <c r="HI580" s="219"/>
      <c r="HJ580" s="219"/>
      <c r="HK580" s="219"/>
      <c r="HL580" s="219"/>
      <c r="HM580" s="219"/>
      <c r="HN580" s="219"/>
      <c r="HO580" s="219"/>
      <c r="HP580" s="219"/>
      <c r="HQ580" s="219"/>
      <c r="HR580" s="219"/>
      <c r="HS580" s="219"/>
      <c r="HT580" s="219"/>
      <c r="HU580" s="219"/>
      <c r="HV580" s="219"/>
      <c r="HW580" s="219"/>
      <c r="HX580" s="219"/>
      <c r="HY580" s="219"/>
      <c r="HZ580" s="219"/>
      <c r="IA580" s="219"/>
      <c r="IB580" s="219"/>
      <c r="IC580" s="219"/>
      <c r="ID580" s="219"/>
      <c r="IE580" s="219"/>
      <c r="IF580" s="219"/>
      <c r="IG580" s="219"/>
      <c r="IH580" s="219"/>
      <c r="II580" s="219"/>
      <c r="IJ580" s="219"/>
      <c r="IK580" s="219"/>
      <c r="IL580" s="219"/>
      <c r="IM580" s="219"/>
      <c r="IN580" s="219"/>
      <c r="IO580" s="219"/>
      <c r="IP580" s="219"/>
      <c r="IQ580" s="219"/>
      <c r="IR580" s="219"/>
      <c r="IS580" s="219"/>
      <c r="IT580" s="219"/>
      <c r="IU580" s="219"/>
      <c r="IV580" s="219"/>
    </row>
    <row r="581" spans="1:256" x14ac:dyDescent="0.2">
      <c r="A581" s="204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  <c r="AB581" s="219"/>
      <c r="AC581" s="219"/>
      <c r="AD581" s="219"/>
      <c r="AE581" s="219"/>
      <c r="AF581" s="219"/>
      <c r="AG581" s="219"/>
      <c r="AH581" s="219"/>
      <c r="AI581" s="219"/>
      <c r="AJ581" s="219"/>
      <c r="AK581" s="219"/>
      <c r="AL581" s="219"/>
      <c r="AM581" s="219"/>
      <c r="AN581" s="219"/>
      <c r="AO581" s="219"/>
      <c r="AP581" s="219"/>
      <c r="AQ581" s="219"/>
      <c r="AR581" s="219"/>
      <c r="AS581" s="219"/>
      <c r="AT581" s="219"/>
      <c r="AU581" s="219"/>
      <c r="AV581" s="219"/>
      <c r="AW581" s="219"/>
      <c r="AX581" s="219"/>
      <c r="AY581" s="219"/>
      <c r="AZ581" s="219"/>
      <c r="BA581" s="219"/>
      <c r="BB581" s="219"/>
      <c r="BC581" s="219"/>
      <c r="BD581" s="219"/>
      <c r="BE581" s="219"/>
      <c r="BF581" s="219"/>
      <c r="BG581" s="219"/>
      <c r="BH581" s="219"/>
      <c r="BI581" s="219"/>
      <c r="BJ581" s="219"/>
      <c r="BK581" s="219"/>
      <c r="BL581" s="219"/>
      <c r="BM581" s="219"/>
      <c r="BN581" s="219"/>
      <c r="BO581" s="219"/>
      <c r="BP581" s="219"/>
      <c r="BQ581" s="219"/>
      <c r="BR581" s="219"/>
      <c r="BS581" s="219"/>
      <c r="BT581" s="219"/>
      <c r="BU581" s="219"/>
      <c r="BV581" s="219"/>
      <c r="BW581" s="219"/>
      <c r="BX581" s="219"/>
      <c r="BY581" s="219"/>
      <c r="BZ581" s="219"/>
      <c r="CA581" s="219"/>
      <c r="CB581" s="219"/>
      <c r="CC581" s="219"/>
      <c r="CD581" s="219"/>
      <c r="CE581" s="219"/>
      <c r="CF581" s="219"/>
      <c r="CG581" s="219"/>
      <c r="CH581" s="219"/>
      <c r="CI581" s="219"/>
      <c r="CJ581" s="219"/>
      <c r="CK581" s="219"/>
      <c r="CL581" s="219"/>
      <c r="CM581" s="219"/>
      <c r="CN581" s="219"/>
      <c r="CO581" s="219"/>
      <c r="CP581" s="219"/>
      <c r="CQ581" s="219"/>
      <c r="CR581" s="219"/>
      <c r="CS581" s="219"/>
      <c r="CT581" s="219"/>
      <c r="CU581" s="219"/>
      <c r="CV581" s="219"/>
      <c r="CW581" s="219"/>
      <c r="CX581" s="219"/>
      <c r="CY581" s="219"/>
      <c r="CZ581" s="219"/>
      <c r="DA581" s="219"/>
      <c r="DB581" s="219"/>
      <c r="DC581" s="219"/>
      <c r="DD581" s="219"/>
      <c r="DE581" s="219"/>
      <c r="DF581" s="219"/>
      <c r="DG581" s="219"/>
      <c r="DH581" s="219"/>
      <c r="DI581" s="219"/>
      <c r="DJ581" s="219"/>
      <c r="DK581" s="219"/>
      <c r="DL581" s="219"/>
      <c r="DM581" s="219"/>
      <c r="DN581" s="219"/>
      <c r="DO581" s="219"/>
      <c r="DP581" s="219"/>
      <c r="DQ581" s="219"/>
      <c r="DR581" s="219"/>
      <c r="DS581" s="219"/>
      <c r="DT581" s="219"/>
      <c r="DU581" s="219"/>
      <c r="DV581" s="219"/>
      <c r="DW581" s="219"/>
      <c r="DX581" s="219"/>
      <c r="DY581" s="219"/>
      <c r="DZ581" s="219"/>
      <c r="EA581" s="219"/>
      <c r="EB581" s="219"/>
      <c r="EC581" s="219"/>
      <c r="ED581" s="219"/>
      <c r="EE581" s="219"/>
      <c r="EF581" s="219"/>
      <c r="EG581" s="219"/>
      <c r="EH581" s="219"/>
      <c r="EI581" s="219"/>
      <c r="EJ581" s="219"/>
      <c r="EK581" s="219"/>
      <c r="EL581" s="219"/>
      <c r="EM581" s="219"/>
      <c r="EN581" s="219"/>
      <c r="EO581" s="219"/>
      <c r="EP581" s="219"/>
      <c r="EQ581" s="219"/>
      <c r="ER581" s="219"/>
      <c r="ES581" s="219"/>
      <c r="ET581" s="219"/>
      <c r="EU581" s="219"/>
      <c r="EV581" s="219"/>
      <c r="EW581" s="219"/>
      <c r="EX581" s="219"/>
      <c r="EY581" s="219"/>
      <c r="EZ581" s="219"/>
      <c r="FA581" s="219"/>
      <c r="FB581" s="219"/>
      <c r="FC581" s="219"/>
      <c r="FD581" s="219"/>
      <c r="FE581" s="219"/>
      <c r="FF581" s="219"/>
      <c r="FG581" s="219"/>
      <c r="FH581" s="219"/>
      <c r="FI581" s="219"/>
      <c r="FJ581" s="219"/>
      <c r="FK581" s="219"/>
      <c r="FL581" s="219"/>
      <c r="FM581" s="219"/>
      <c r="FN581" s="219"/>
      <c r="FO581" s="219"/>
      <c r="FP581" s="219"/>
      <c r="FQ581" s="219"/>
      <c r="FR581" s="219"/>
      <c r="FS581" s="219"/>
      <c r="FT581" s="219"/>
      <c r="FU581" s="219"/>
      <c r="FV581" s="219"/>
      <c r="FW581" s="219"/>
      <c r="FX581" s="219"/>
      <c r="FY581" s="219"/>
      <c r="FZ581" s="219"/>
      <c r="GA581" s="219"/>
      <c r="GB581" s="219"/>
      <c r="GC581" s="219"/>
      <c r="GD581" s="219"/>
      <c r="GE581" s="219"/>
      <c r="GF581" s="219"/>
      <c r="GG581" s="219"/>
      <c r="GH581" s="219"/>
      <c r="GI581" s="219"/>
      <c r="GJ581" s="219"/>
      <c r="GK581" s="219"/>
      <c r="GL581" s="219"/>
      <c r="GM581" s="219"/>
      <c r="GN581" s="219"/>
      <c r="GO581" s="219"/>
      <c r="GP581" s="219"/>
      <c r="GQ581" s="219"/>
      <c r="GR581" s="219"/>
      <c r="GS581" s="219"/>
      <c r="GT581" s="219"/>
      <c r="GU581" s="219"/>
      <c r="GV581" s="219"/>
      <c r="GW581" s="219"/>
      <c r="GX581" s="219"/>
      <c r="GY581" s="219"/>
      <c r="GZ581" s="219"/>
      <c r="HA581" s="219"/>
      <c r="HB581" s="219"/>
      <c r="HC581" s="219"/>
      <c r="HD581" s="219"/>
      <c r="HE581" s="219"/>
      <c r="HF581" s="219"/>
      <c r="HG581" s="219"/>
      <c r="HH581" s="219"/>
      <c r="HI581" s="219"/>
      <c r="HJ581" s="219"/>
      <c r="HK581" s="219"/>
      <c r="HL581" s="219"/>
      <c r="HM581" s="219"/>
      <c r="HN581" s="219"/>
      <c r="HO581" s="219"/>
      <c r="HP581" s="219"/>
      <c r="HQ581" s="219"/>
      <c r="HR581" s="219"/>
      <c r="HS581" s="219"/>
      <c r="HT581" s="219"/>
      <c r="HU581" s="219"/>
      <c r="HV581" s="219"/>
      <c r="HW581" s="219"/>
      <c r="HX581" s="219"/>
      <c r="HY581" s="219"/>
      <c r="HZ581" s="219"/>
      <c r="IA581" s="219"/>
      <c r="IB581" s="219"/>
      <c r="IC581" s="219"/>
      <c r="ID581" s="219"/>
      <c r="IE581" s="219"/>
      <c r="IF581" s="219"/>
      <c r="IG581" s="219"/>
      <c r="IH581" s="219"/>
      <c r="II581" s="219"/>
      <c r="IJ581" s="219"/>
      <c r="IK581" s="219"/>
      <c r="IL581" s="219"/>
      <c r="IM581" s="219"/>
      <c r="IN581" s="219"/>
      <c r="IO581" s="219"/>
      <c r="IP581" s="219"/>
      <c r="IQ581" s="219"/>
      <c r="IR581" s="219"/>
      <c r="IS581" s="219"/>
      <c r="IT581" s="219"/>
      <c r="IU581" s="219"/>
      <c r="IV581" s="219"/>
    </row>
    <row r="582" spans="1:256" x14ac:dyDescent="0.2">
      <c r="A582" s="204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  <c r="AB582" s="219"/>
      <c r="AC582" s="219"/>
      <c r="AD582" s="219"/>
      <c r="AE582" s="219"/>
      <c r="AF582" s="219"/>
      <c r="AG582" s="219"/>
      <c r="AH582" s="219"/>
      <c r="AI582" s="219"/>
      <c r="AJ582" s="219"/>
      <c r="AK582" s="219"/>
      <c r="AL582" s="219"/>
      <c r="AM582" s="219"/>
      <c r="AN582" s="219"/>
      <c r="AO582" s="219"/>
      <c r="AP582" s="219"/>
      <c r="AQ582" s="219"/>
      <c r="AR582" s="219"/>
      <c r="AS582" s="219"/>
      <c r="AT582" s="219"/>
      <c r="AU582" s="219"/>
      <c r="AV582" s="219"/>
      <c r="AW582" s="219"/>
      <c r="AX582" s="219"/>
      <c r="AY582" s="219"/>
      <c r="AZ582" s="219"/>
      <c r="BA582" s="219"/>
      <c r="BB582" s="219"/>
      <c r="BC582" s="219"/>
      <c r="BD582" s="219"/>
      <c r="BE582" s="219"/>
      <c r="BF582" s="219"/>
      <c r="BG582" s="219"/>
      <c r="BH582" s="219"/>
      <c r="BI582" s="219"/>
      <c r="BJ582" s="219"/>
      <c r="BK582" s="219"/>
      <c r="BL582" s="219"/>
      <c r="BM582" s="219"/>
      <c r="BN582" s="219"/>
      <c r="BO582" s="219"/>
      <c r="BP582" s="219"/>
      <c r="BQ582" s="219"/>
      <c r="BR582" s="219"/>
      <c r="BS582" s="219"/>
      <c r="BT582" s="219"/>
      <c r="BU582" s="219"/>
      <c r="BV582" s="219"/>
      <c r="BW582" s="219"/>
      <c r="BX582" s="219"/>
      <c r="BY582" s="219"/>
      <c r="BZ582" s="219"/>
      <c r="CA582" s="219"/>
      <c r="CB582" s="219"/>
      <c r="CC582" s="219"/>
      <c r="CD582" s="219"/>
      <c r="CE582" s="219"/>
      <c r="CF582" s="219"/>
      <c r="CG582" s="219"/>
      <c r="CH582" s="219"/>
      <c r="CI582" s="219"/>
      <c r="CJ582" s="219"/>
      <c r="CK582" s="219"/>
      <c r="CL582" s="219"/>
      <c r="CM582" s="219"/>
      <c r="CN582" s="219"/>
      <c r="CO582" s="219"/>
      <c r="CP582" s="219"/>
      <c r="CQ582" s="219"/>
      <c r="CR582" s="219"/>
      <c r="CS582" s="219"/>
      <c r="CT582" s="219"/>
      <c r="CU582" s="219"/>
      <c r="CV582" s="219"/>
      <c r="CW582" s="219"/>
      <c r="CX582" s="219"/>
      <c r="CY582" s="219"/>
      <c r="CZ582" s="219"/>
      <c r="DA582" s="219"/>
      <c r="DB582" s="219"/>
      <c r="DC582" s="219"/>
      <c r="DD582" s="219"/>
      <c r="DE582" s="219"/>
      <c r="DF582" s="219"/>
      <c r="DG582" s="219"/>
      <c r="DH582" s="219"/>
      <c r="DI582" s="219"/>
      <c r="DJ582" s="219"/>
      <c r="DK582" s="219"/>
      <c r="DL582" s="219"/>
      <c r="DM582" s="219"/>
      <c r="DN582" s="219"/>
      <c r="DO582" s="219"/>
      <c r="DP582" s="219"/>
      <c r="DQ582" s="219"/>
      <c r="DR582" s="219"/>
      <c r="DS582" s="219"/>
      <c r="DT582" s="219"/>
      <c r="DU582" s="219"/>
      <c r="DV582" s="219"/>
      <c r="DW582" s="219"/>
      <c r="DX582" s="219"/>
      <c r="DY582" s="219"/>
      <c r="DZ582" s="219"/>
      <c r="EA582" s="219"/>
      <c r="EB582" s="219"/>
      <c r="EC582" s="219"/>
      <c r="ED582" s="219"/>
      <c r="EE582" s="219"/>
      <c r="EF582" s="219"/>
      <c r="EG582" s="219"/>
      <c r="EH582" s="219"/>
      <c r="EI582" s="219"/>
      <c r="EJ582" s="219"/>
      <c r="EK582" s="219"/>
      <c r="EL582" s="219"/>
      <c r="EM582" s="219"/>
      <c r="EN582" s="219"/>
      <c r="EO582" s="219"/>
      <c r="EP582" s="219"/>
      <c r="EQ582" s="219"/>
      <c r="ER582" s="219"/>
      <c r="ES582" s="219"/>
      <c r="ET582" s="219"/>
      <c r="EU582" s="219"/>
      <c r="EV582" s="219"/>
      <c r="EW582" s="219"/>
      <c r="EX582" s="219"/>
      <c r="EY582" s="219"/>
      <c r="EZ582" s="219"/>
      <c r="FA582" s="219"/>
      <c r="FB582" s="219"/>
      <c r="FC582" s="219"/>
      <c r="FD582" s="219"/>
      <c r="FE582" s="219"/>
      <c r="FF582" s="219"/>
      <c r="FG582" s="219"/>
      <c r="FH582" s="219"/>
      <c r="FI582" s="219"/>
      <c r="FJ582" s="219"/>
      <c r="FK582" s="219"/>
      <c r="FL582" s="219"/>
      <c r="FM582" s="219"/>
      <c r="FN582" s="219"/>
      <c r="FO582" s="219"/>
      <c r="FP582" s="219"/>
      <c r="FQ582" s="219"/>
      <c r="FR582" s="219"/>
      <c r="FS582" s="219"/>
      <c r="FT582" s="219"/>
      <c r="FU582" s="219"/>
      <c r="FV582" s="219"/>
      <c r="FW582" s="219"/>
      <c r="FX582" s="219"/>
      <c r="FY582" s="219"/>
      <c r="FZ582" s="219"/>
      <c r="GA582" s="219"/>
      <c r="GB582" s="219"/>
      <c r="GC582" s="219"/>
      <c r="GD582" s="219"/>
      <c r="GE582" s="219"/>
      <c r="GF582" s="219"/>
      <c r="GG582" s="219"/>
      <c r="GH582" s="219"/>
      <c r="GI582" s="219"/>
      <c r="GJ582" s="219"/>
      <c r="GK582" s="219"/>
      <c r="GL582" s="219"/>
      <c r="GM582" s="219"/>
      <c r="GN582" s="219"/>
      <c r="GO582" s="219"/>
      <c r="GP582" s="219"/>
      <c r="GQ582" s="219"/>
      <c r="GR582" s="219"/>
      <c r="GS582" s="219"/>
      <c r="GT582" s="219"/>
      <c r="GU582" s="219"/>
      <c r="GV582" s="219"/>
      <c r="GW582" s="219"/>
      <c r="GX582" s="219"/>
      <c r="GY582" s="219"/>
      <c r="GZ582" s="219"/>
      <c r="HA582" s="219"/>
      <c r="HB582" s="219"/>
      <c r="HC582" s="219"/>
      <c r="HD582" s="219"/>
      <c r="HE582" s="219"/>
      <c r="HF582" s="219"/>
      <c r="HG582" s="219"/>
      <c r="HH582" s="219"/>
      <c r="HI582" s="219"/>
      <c r="HJ582" s="219"/>
      <c r="HK582" s="219"/>
      <c r="HL582" s="219"/>
      <c r="HM582" s="219"/>
      <c r="HN582" s="219"/>
      <c r="HO582" s="219"/>
      <c r="HP582" s="219"/>
      <c r="HQ582" s="219"/>
      <c r="HR582" s="219"/>
      <c r="HS582" s="219"/>
      <c r="HT582" s="219"/>
      <c r="HU582" s="219"/>
      <c r="HV582" s="219"/>
      <c r="HW582" s="219"/>
      <c r="HX582" s="219"/>
      <c r="HY582" s="219"/>
      <c r="HZ582" s="219"/>
      <c r="IA582" s="219"/>
      <c r="IB582" s="219"/>
      <c r="IC582" s="219"/>
      <c r="ID582" s="219"/>
      <c r="IE582" s="219"/>
      <c r="IF582" s="219"/>
      <c r="IG582" s="219"/>
      <c r="IH582" s="219"/>
      <c r="II582" s="219"/>
      <c r="IJ582" s="219"/>
      <c r="IK582" s="219"/>
      <c r="IL582" s="219"/>
      <c r="IM582" s="219"/>
      <c r="IN582" s="219"/>
      <c r="IO582" s="219"/>
      <c r="IP582" s="219"/>
      <c r="IQ582" s="219"/>
      <c r="IR582" s="219"/>
      <c r="IS582" s="219"/>
      <c r="IT582" s="219"/>
      <c r="IU582" s="219"/>
      <c r="IV582" s="219"/>
    </row>
    <row r="583" spans="1:256" x14ac:dyDescent="0.2">
      <c r="A583" s="204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  <c r="AB583" s="219"/>
      <c r="AC583" s="219"/>
      <c r="AD583" s="219"/>
      <c r="AE583" s="219"/>
      <c r="AF583" s="219"/>
      <c r="AG583" s="219"/>
      <c r="AH583" s="219"/>
      <c r="AI583" s="219"/>
      <c r="AJ583" s="219"/>
      <c r="AK583" s="219"/>
      <c r="AL583" s="219"/>
      <c r="AM583" s="219"/>
      <c r="AN583" s="219"/>
      <c r="AO583" s="219"/>
      <c r="AP583" s="219"/>
      <c r="AQ583" s="219"/>
      <c r="AR583" s="219"/>
      <c r="AS583" s="219"/>
      <c r="AT583" s="219"/>
      <c r="AU583" s="219"/>
      <c r="AV583" s="219"/>
      <c r="AW583" s="219"/>
      <c r="AX583" s="219"/>
      <c r="AY583" s="219"/>
      <c r="AZ583" s="219"/>
      <c r="BA583" s="219"/>
      <c r="BB583" s="219"/>
      <c r="BC583" s="219"/>
      <c r="BD583" s="219"/>
      <c r="BE583" s="219"/>
      <c r="BF583" s="219"/>
      <c r="BG583" s="219"/>
      <c r="BH583" s="219"/>
      <c r="BI583" s="219"/>
      <c r="BJ583" s="219"/>
      <c r="BK583" s="219"/>
      <c r="BL583" s="219"/>
      <c r="BM583" s="219"/>
      <c r="BN583" s="219"/>
      <c r="BO583" s="219"/>
      <c r="BP583" s="219"/>
      <c r="BQ583" s="219"/>
      <c r="BR583" s="219"/>
      <c r="BS583" s="219"/>
      <c r="BT583" s="219"/>
      <c r="BU583" s="219"/>
      <c r="BV583" s="219"/>
      <c r="BW583" s="219"/>
      <c r="BX583" s="219"/>
      <c r="BY583" s="219"/>
      <c r="BZ583" s="219"/>
      <c r="CA583" s="219"/>
      <c r="CB583" s="219"/>
      <c r="CC583" s="219"/>
      <c r="CD583" s="219"/>
      <c r="CE583" s="219"/>
      <c r="CF583" s="219"/>
      <c r="CG583" s="219"/>
      <c r="CH583" s="219"/>
      <c r="CI583" s="219"/>
      <c r="CJ583" s="219"/>
      <c r="CK583" s="219"/>
      <c r="CL583" s="219"/>
      <c r="CM583" s="219"/>
      <c r="CN583" s="219"/>
      <c r="CO583" s="219"/>
      <c r="CP583" s="219"/>
      <c r="CQ583" s="219"/>
      <c r="CR583" s="219"/>
      <c r="CS583" s="219"/>
      <c r="CT583" s="219"/>
      <c r="CU583" s="219"/>
      <c r="CV583" s="219"/>
      <c r="CW583" s="219"/>
      <c r="CX583" s="219"/>
      <c r="CY583" s="219"/>
      <c r="CZ583" s="219"/>
      <c r="DA583" s="219"/>
      <c r="DB583" s="219"/>
      <c r="DC583" s="219"/>
      <c r="DD583" s="219"/>
      <c r="DE583" s="219"/>
      <c r="DF583" s="219"/>
      <c r="DG583" s="219"/>
      <c r="DH583" s="219"/>
      <c r="DI583" s="219"/>
      <c r="DJ583" s="219"/>
      <c r="DK583" s="219"/>
      <c r="DL583" s="219"/>
      <c r="DM583" s="219"/>
      <c r="DN583" s="219"/>
      <c r="DO583" s="219"/>
      <c r="DP583" s="219"/>
      <c r="DQ583" s="219"/>
      <c r="DR583" s="219"/>
      <c r="DS583" s="219"/>
      <c r="DT583" s="219"/>
      <c r="DU583" s="219"/>
      <c r="DV583" s="219"/>
      <c r="DW583" s="219"/>
      <c r="DX583" s="219"/>
      <c r="DY583" s="219"/>
      <c r="DZ583" s="219"/>
      <c r="EA583" s="219"/>
      <c r="EB583" s="219"/>
      <c r="EC583" s="219"/>
      <c r="ED583" s="219"/>
      <c r="EE583" s="219"/>
      <c r="EF583" s="219"/>
      <c r="EG583" s="219"/>
      <c r="EH583" s="219"/>
      <c r="EI583" s="219"/>
      <c r="EJ583" s="219"/>
      <c r="EK583" s="219"/>
      <c r="EL583" s="219"/>
      <c r="EM583" s="219"/>
      <c r="EN583" s="219"/>
      <c r="EO583" s="219"/>
      <c r="EP583" s="219"/>
      <c r="EQ583" s="219"/>
      <c r="ER583" s="219"/>
      <c r="ES583" s="219"/>
      <c r="ET583" s="219"/>
      <c r="EU583" s="219"/>
      <c r="EV583" s="219"/>
      <c r="EW583" s="219"/>
      <c r="EX583" s="219"/>
      <c r="EY583" s="219"/>
      <c r="EZ583" s="219"/>
      <c r="FA583" s="219"/>
      <c r="FB583" s="219"/>
      <c r="FC583" s="219"/>
      <c r="FD583" s="219"/>
      <c r="FE583" s="219"/>
      <c r="FF583" s="219"/>
      <c r="FG583" s="219"/>
      <c r="FH583" s="219"/>
      <c r="FI583" s="219"/>
      <c r="FJ583" s="219"/>
      <c r="FK583" s="219"/>
      <c r="FL583" s="219"/>
      <c r="FM583" s="219"/>
      <c r="FN583" s="219"/>
      <c r="FO583" s="219"/>
      <c r="FP583" s="219"/>
      <c r="FQ583" s="219"/>
      <c r="FR583" s="219"/>
      <c r="FS583" s="219"/>
      <c r="FT583" s="219"/>
      <c r="FU583" s="219"/>
      <c r="FV583" s="219"/>
      <c r="FW583" s="219"/>
      <c r="FX583" s="219"/>
      <c r="FY583" s="219"/>
      <c r="FZ583" s="219"/>
      <c r="GA583" s="219"/>
      <c r="GB583" s="219"/>
      <c r="GC583" s="219"/>
      <c r="GD583" s="219"/>
      <c r="GE583" s="219"/>
      <c r="GF583" s="219"/>
      <c r="GG583" s="219"/>
      <c r="GH583" s="219"/>
      <c r="GI583" s="219"/>
      <c r="GJ583" s="219"/>
      <c r="GK583" s="219"/>
      <c r="GL583" s="219"/>
      <c r="GM583" s="219"/>
      <c r="GN583" s="219"/>
      <c r="GO583" s="219"/>
      <c r="GP583" s="219"/>
      <c r="GQ583" s="219"/>
      <c r="GR583" s="219"/>
      <c r="GS583" s="219"/>
      <c r="GT583" s="219"/>
      <c r="GU583" s="219"/>
      <c r="GV583" s="219"/>
      <c r="GW583" s="219"/>
      <c r="GX583" s="219"/>
      <c r="GY583" s="219"/>
      <c r="GZ583" s="219"/>
      <c r="HA583" s="219"/>
      <c r="HB583" s="219"/>
      <c r="HC583" s="219"/>
      <c r="HD583" s="219"/>
      <c r="HE583" s="219"/>
      <c r="HF583" s="219"/>
      <c r="HG583" s="219"/>
      <c r="HH583" s="219"/>
      <c r="HI583" s="219"/>
      <c r="HJ583" s="219"/>
      <c r="HK583" s="219"/>
      <c r="HL583" s="219"/>
      <c r="HM583" s="219"/>
      <c r="HN583" s="219"/>
      <c r="HO583" s="219"/>
      <c r="HP583" s="219"/>
      <c r="HQ583" s="219"/>
      <c r="HR583" s="219"/>
      <c r="HS583" s="219"/>
      <c r="HT583" s="219"/>
      <c r="HU583" s="219"/>
      <c r="HV583" s="219"/>
      <c r="HW583" s="219"/>
      <c r="HX583" s="219"/>
      <c r="HY583" s="219"/>
      <c r="HZ583" s="219"/>
      <c r="IA583" s="219"/>
      <c r="IB583" s="219"/>
      <c r="IC583" s="219"/>
      <c r="ID583" s="219"/>
      <c r="IE583" s="219"/>
      <c r="IF583" s="219"/>
      <c r="IG583" s="219"/>
      <c r="IH583" s="219"/>
      <c r="II583" s="219"/>
      <c r="IJ583" s="219"/>
      <c r="IK583" s="219"/>
      <c r="IL583" s="219"/>
      <c r="IM583" s="219"/>
      <c r="IN583" s="219"/>
      <c r="IO583" s="219"/>
      <c r="IP583" s="219"/>
      <c r="IQ583" s="219"/>
      <c r="IR583" s="219"/>
      <c r="IS583" s="219"/>
      <c r="IT583" s="219"/>
      <c r="IU583" s="219"/>
      <c r="IV583" s="219"/>
    </row>
    <row r="584" spans="1:256" x14ac:dyDescent="0.2">
      <c r="A584" s="204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  <c r="AB584" s="219"/>
      <c r="AC584" s="219"/>
      <c r="AD584" s="219"/>
      <c r="AE584" s="219"/>
      <c r="AF584" s="219"/>
      <c r="AG584" s="219"/>
      <c r="AH584" s="219"/>
      <c r="AI584" s="219"/>
      <c r="AJ584" s="219"/>
      <c r="AK584" s="219"/>
      <c r="AL584" s="219"/>
      <c r="AM584" s="219"/>
      <c r="AN584" s="219"/>
      <c r="AO584" s="219"/>
      <c r="AP584" s="219"/>
      <c r="AQ584" s="219"/>
      <c r="AR584" s="219"/>
      <c r="AS584" s="219"/>
      <c r="AT584" s="219"/>
      <c r="AU584" s="219"/>
      <c r="AV584" s="219"/>
      <c r="AW584" s="219"/>
      <c r="AX584" s="219"/>
      <c r="AY584" s="219"/>
      <c r="AZ584" s="219"/>
      <c r="BA584" s="219"/>
      <c r="BB584" s="219"/>
      <c r="BC584" s="219"/>
      <c r="BD584" s="219"/>
      <c r="BE584" s="219"/>
      <c r="BF584" s="219"/>
      <c r="BG584" s="219"/>
      <c r="BH584" s="219"/>
      <c r="BI584" s="219"/>
      <c r="BJ584" s="219"/>
      <c r="BK584" s="219"/>
      <c r="BL584" s="219"/>
      <c r="BM584" s="219"/>
      <c r="BN584" s="219"/>
      <c r="BO584" s="219"/>
      <c r="BP584" s="219"/>
      <c r="BQ584" s="219"/>
      <c r="BR584" s="219"/>
      <c r="BS584" s="219"/>
      <c r="BT584" s="219"/>
      <c r="BU584" s="219"/>
      <c r="BV584" s="219"/>
      <c r="BW584" s="219"/>
      <c r="BX584" s="219"/>
      <c r="BY584" s="219"/>
      <c r="BZ584" s="219"/>
      <c r="CA584" s="219"/>
      <c r="CB584" s="219"/>
      <c r="CC584" s="219"/>
      <c r="CD584" s="219"/>
      <c r="CE584" s="219"/>
      <c r="CF584" s="219"/>
      <c r="CG584" s="219"/>
      <c r="CH584" s="219"/>
      <c r="CI584" s="219"/>
      <c r="CJ584" s="219"/>
      <c r="CK584" s="219"/>
      <c r="CL584" s="219"/>
      <c r="CM584" s="219"/>
      <c r="CN584" s="219"/>
      <c r="CO584" s="219"/>
      <c r="CP584" s="219"/>
      <c r="CQ584" s="219"/>
      <c r="CR584" s="219"/>
      <c r="CS584" s="219"/>
      <c r="CT584" s="219"/>
      <c r="CU584" s="219"/>
      <c r="CV584" s="219"/>
      <c r="CW584" s="219"/>
      <c r="CX584" s="219"/>
      <c r="CY584" s="219"/>
      <c r="CZ584" s="219"/>
      <c r="DA584" s="219"/>
      <c r="DB584" s="219"/>
      <c r="DC584" s="219"/>
      <c r="DD584" s="219"/>
      <c r="DE584" s="219"/>
      <c r="DF584" s="219"/>
      <c r="DG584" s="219"/>
      <c r="DH584" s="219"/>
      <c r="DI584" s="219"/>
      <c r="DJ584" s="219"/>
      <c r="DK584" s="219"/>
      <c r="DL584" s="219"/>
      <c r="DM584" s="219"/>
      <c r="DN584" s="219"/>
      <c r="DO584" s="219"/>
      <c r="DP584" s="219"/>
      <c r="DQ584" s="219"/>
      <c r="DR584" s="219"/>
      <c r="DS584" s="219"/>
      <c r="DT584" s="219"/>
      <c r="DU584" s="219"/>
      <c r="DV584" s="219"/>
      <c r="DW584" s="219"/>
      <c r="DX584" s="219"/>
      <c r="DY584" s="219"/>
      <c r="DZ584" s="219"/>
      <c r="EA584" s="219"/>
      <c r="EB584" s="219"/>
      <c r="EC584" s="219"/>
      <c r="ED584" s="219"/>
      <c r="EE584" s="219"/>
      <c r="EF584" s="219"/>
      <c r="EG584" s="219"/>
      <c r="EH584" s="219"/>
      <c r="EI584" s="219"/>
      <c r="EJ584" s="219"/>
      <c r="EK584" s="219"/>
      <c r="EL584" s="219"/>
      <c r="EM584" s="219"/>
      <c r="EN584" s="219"/>
      <c r="EO584" s="219"/>
      <c r="EP584" s="219"/>
      <c r="EQ584" s="219"/>
      <c r="ER584" s="219"/>
      <c r="ES584" s="219"/>
      <c r="ET584" s="219"/>
      <c r="EU584" s="219"/>
      <c r="EV584" s="219"/>
      <c r="EW584" s="219"/>
      <c r="EX584" s="219"/>
      <c r="EY584" s="219"/>
      <c r="EZ584" s="219"/>
      <c r="FA584" s="219"/>
      <c r="FB584" s="219"/>
      <c r="FC584" s="219"/>
      <c r="FD584" s="219"/>
      <c r="FE584" s="219"/>
      <c r="FF584" s="219"/>
      <c r="FG584" s="219"/>
      <c r="FH584" s="219"/>
      <c r="FI584" s="219"/>
      <c r="FJ584" s="219"/>
      <c r="FK584" s="219"/>
      <c r="FL584" s="219"/>
      <c r="FM584" s="219"/>
      <c r="FN584" s="219"/>
      <c r="FO584" s="219"/>
      <c r="FP584" s="219"/>
      <c r="FQ584" s="219"/>
      <c r="FR584" s="219"/>
      <c r="FS584" s="219"/>
      <c r="FT584" s="219"/>
      <c r="FU584" s="219"/>
      <c r="FV584" s="219"/>
      <c r="FW584" s="219"/>
      <c r="FX584" s="219"/>
      <c r="FY584" s="219"/>
      <c r="FZ584" s="219"/>
      <c r="GA584" s="219"/>
      <c r="GB584" s="219"/>
      <c r="GC584" s="219"/>
      <c r="GD584" s="219"/>
      <c r="GE584" s="219"/>
      <c r="GF584" s="219"/>
      <c r="GG584" s="219"/>
      <c r="GH584" s="219"/>
      <c r="GI584" s="219"/>
      <c r="GJ584" s="219"/>
      <c r="GK584" s="219"/>
      <c r="GL584" s="219"/>
      <c r="GM584" s="219"/>
      <c r="GN584" s="219"/>
      <c r="GO584" s="219"/>
      <c r="GP584" s="219"/>
      <c r="GQ584" s="219"/>
      <c r="GR584" s="219"/>
      <c r="GS584" s="219"/>
      <c r="GT584" s="219"/>
      <c r="GU584" s="219"/>
      <c r="GV584" s="219"/>
      <c r="GW584" s="219"/>
      <c r="GX584" s="219"/>
      <c r="GY584" s="219"/>
      <c r="GZ584" s="219"/>
      <c r="HA584" s="219"/>
      <c r="HB584" s="219"/>
      <c r="HC584" s="219"/>
      <c r="HD584" s="219"/>
      <c r="HE584" s="219"/>
      <c r="HF584" s="219"/>
      <c r="HG584" s="219"/>
      <c r="HH584" s="219"/>
      <c r="HI584" s="219"/>
      <c r="HJ584" s="219"/>
      <c r="HK584" s="219"/>
      <c r="HL584" s="219"/>
      <c r="HM584" s="219"/>
      <c r="HN584" s="219"/>
      <c r="HO584" s="219"/>
      <c r="HP584" s="219"/>
      <c r="HQ584" s="219"/>
      <c r="HR584" s="219"/>
      <c r="HS584" s="219"/>
      <c r="HT584" s="219"/>
      <c r="HU584" s="219"/>
      <c r="HV584" s="219"/>
      <c r="HW584" s="219"/>
      <c r="HX584" s="219"/>
      <c r="HY584" s="219"/>
      <c r="HZ584" s="219"/>
      <c r="IA584" s="219"/>
      <c r="IB584" s="219"/>
      <c r="IC584" s="219"/>
      <c r="ID584" s="219"/>
      <c r="IE584" s="219"/>
      <c r="IF584" s="219"/>
      <c r="IG584" s="219"/>
      <c r="IH584" s="219"/>
      <c r="II584" s="219"/>
      <c r="IJ584" s="219"/>
      <c r="IK584" s="219"/>
      <c r="IL584" s="219"/>
      <c r="IM584" s="219"/>
      <c r="IN584" s="219"/>
      <c r="IO584" s="219"/>
      <c r="IP584" s="219"/>
      <c r="IQ584" s="219"/>
      <c r="IR584" s="219"/>
      <c r="IS584" s="219"/>
      <c r="IT584" s="219"/>
      <c r="IU584" s="219"/>
      <c r="IV584" s="219"/>
    </row>
    <row r="585" spans="1:256" x14ac:dyDescent="0.2">
      <c r="A585" s="204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  <c r="AB585" s="219"/>
      <c r="AC585" s="219"/>
      <c r="AD585" s="219"/>
      <c r="AE585" s="219"/>
      <c r="AF585" s="219"/>
      <c r="AG585" s="219"/>
      <c r="AH585" s="219"/>
      <c r="AI585" s="219"/>
      <c r="AJ585" s="219"/>
      <c r="AK585" s="219"/>
      <c r="AL585" s="219"/>
      <c r="AM585" s="219"/>
      <c r="AN585" s="219"/>
      <c r="AO585" s="219"/>
      <c r="AP585" s="219"/>
      <c r="AQ585" s="219"/>
      <c r="AR585" s="219"/>
      <c r="AS585" s="219"/>
      <c r="AT585" s="219"/>
      <c r="AU585" s="219"/>
      <c r="AV585" s="219"/>
      <c r="AW585" s="219"/>
      <c r="AX585" s="219"/>
      <c r="AY585" s="219"/>
      <c r="AZ585" s="219"/>
      <c r="BA585" s="219"/>
      <c r="BB585" s="219"/>
      <c r="BC585" s="219"/>
      <c r="BD585" s="219"/>
      <c r="BE585" s="219"/>
      <c r="BF585" s="219"/>
      <c r="BG585" s="219"/>
      <c r="BH585" s="219"/>
      <c r="BI585" s="219"/>
      <c r="BJ585" s="219"/>
      <c r="BK585" s="219"/>
      <c r="BL585" s="219"/>
      <c r="BM585" s="219"/>
      <c r="BN585" s="219"/>
      <c r="BO585" s="219"/>
      <c r="BP585" s="219"/>
      <c r="BQ585" s="219"/>
      <c r="BR585" s="219"/>
      <c r="BS585" s="219"/>
      <c r="BT585" s="219"/>
      <c r="BU585" s="219"/>
      <c r="BV585" s="219"/>
      <c r="BW585" s="219"/>
      <c r="BX585" s="219"/>
      <c r="BY585" s="219"/>
      <c r="BZ585" s="219"/>
      <c r="CA585" s="219"/>
      <c r="CB585" s="219"/>
      <c r="CC585" s="219"/>
      <c r="CD585" s="219"/>
      <c r="CE585" s="219"/>
      <c r="CF585" s="219"/>
      <c r="CG585" s="219"/>
      <c r="CH585" s="219"/>
      <c r="CI585" s="219"/>
      <c r="CJ585" s="219"/>
      <c r="CK585" s="219"/>
      <c r="CL585" s="219"/>
      <c r="CM585" s="219"/>
      <c r="CN585" s="219"/>
      <c r="CO585" s="219"/>
      <c r="CP585" s="219"/>
      <c r="CQ585" s="219"/>
      <c r="CR585" s="219"/>
      <c r="CS585" s="219"/>
      <c r="CT585" s="219"/>
      <c r="CU585" s="219"/>
      <c r="CV585" s="219"/>
      <c r="CW585" s="219"/>
      <c r="CX585" s="219"/>
      <c r="CY585" s="219"/>
      <c r="CZ585" s="219"/>
      <c r="DA585" s="219"/>
      <c r="DB585" s="219"/>
      <c r="DC585" s="219"/>
      <c r="DD585" s="219"/>
      <c r="DE585" s="219"/>
      <c r="DF585" s="219"/>
      <c r="DG585" s="219"/>
      <c r="DH585" s="219"/>
      <c r="DI585" s="219"/>
      <c r="DJ585" s="219"/>
      <c r="DK585" s="219"/>
      <c r="DL585" s="219"/>
      <c r="DM585" s="219"/>
      <c r="DN585" s="219"/>
      <c r="DO585" s="219"/>
      <c r="DP585" s="219"/>
      <c r="DQ585" s="219"/>
      <c r="DR585" s="219"/>
      <c r="DS585" s="219"/>
      <c r="DT585" s="219"/>
      <c r="DU585" s="219"/>
      <c r="DV585" s="219"/>
      <c r="DW585" s="219"/>
      <c r="DX585" s="219"/>
      <c r="DY585" s="219"/>
      <c r="DZ585" s="219"/>
      <c r="EA585" s="219"/>
      <c r="EB585" s="219"/>
      <c r="EC585" s="219"/>
      <c r="ED585" s="219"/>
      <c r="EE585" s="219"/>
      <c r="EF585" s="219"/>
      <c r="EG585" s="219"/>
      <c r="EH585" s="219"/>
      <c r="EI585" s="219"/>
      <c r="EJ585" s="219"/>
      <c r="EK585" s="219"/>
      <c r="EL585" s="219"/>
      <c r="EM585" s="219"/>
      <c r="EN585" s="219"/>
      <c r="EO585" s="219"/>
      <c r="EP585" s="219"/>
      <c r="EQ585" s="219"/>
      <c r="ER585" s="219"/>
      <c r="ES585" s="219"/>
      <c r="ET585" s="219"/>
      <c r="EU585" s="219"/>
      <c r="EV585" s="219"/>
      <c r="EW585" s="219"/>
      <c r="EX585" s="219"/>
      <c r="EY585" s="219"/>
      <c r="EZ585" s="219"/>
      <c r="FA585" s="219"/>
      <c r="FB585" s="219"/>
      <c r="FC585" s="219"/>
      <c r="FD585" s="219"/>
      <c r="FE585" s="219"/>
      <c r="FF585" s="219"/>
      <c r="FG585" s="219"/>
      <c r="FH585" s="219"/>
      <c r="FI585" s="219"/>
      <c r="FJ585" s="219"/>
      <c r="FK585" s="219"/>
      <c r="FL585" s="219"/>
      <c r="FM585" s="219"/>
      <c r="FN585" s="219"/>
      <c r="FO585" s="219"/>
      <c r="FP585" s="219"/>
      <c r="FQ585" s="219"/>
      <c r="FR585" s="219"/>
      <c r="FS585" s="219"/>
      <c r="FT585" s="219"/>
      <c r="FU585" s="219"/>
      <c r="FV585" s="219"/>
      <c r="FW585" s="219"/>
      <c r="FX585" s="219"/>
      <c r="FY585" s="219"/>
      <c r="FZ585" s="219"/>
      <c r="GA585" s="219"/>
      <c r="GB585" s="219"/>
      <c r="GC585" s="219"/>
      <c r="GD585" s="219"/>
      <c r="GE585" s="219"/>
      <c r="GF585" s="219"/>
      <c r="GG585" s="219"/>
      <c r="GH585" s="219"/>
      <c r="GI585" s="219"/>
      <c r="GJ585" s="219"/>
      <c r="GK585" s="219"/>
      <c r="GL585" s="219"/>
      <c r="GM585" s="219"/>
      <c r="GN585" s="219"/>
      <c r="GO585" s="219"/>
      <c r="GP585" s="219"/>
      <c r="GQ585" s="219"/>
      <c r="GR585" s="219"/>
      <c r="GS585" s="219"/>
      <c r="GT585" s="219"/>
      <c r="GU585" s="219"/>
      <c r="GV585" s="219"/>
      <c r="GW585" s="219"/>
      <c r="GX585" s="219"/>
      <c r="GY585" s="219"/>
      <c r="GZ585" s="219"/>
      <c r="HA585" s="219"/>
      <c r="HB585" s="219"/>
      <c r="HC585" s="219"/>
      <c r="HD585" s="219"/>
      <c r="HE585" s="219"/>
      <c r="HF585" s="219"/>
      <c r="HG585" s="219"/>
      <c r="HH585" s="219"/>
      <c r="HI585" s="219"/>
      <c r="HJ585" s="219"/>
      <c r="HK585" s="219"/>
      <c r="HL585" s="219"/>
      <c r="HM585" s="219"/>
      <c r="HN585" s="219"/>
      <c r="HO585" s="219"/>
      <c r="HP585" s="219"/>
      <c r="HQ585" s="219"/>
      <c r="HR585" s="219"/>
      <c r="HS585" s="219"/>
      <c r="HT585" s="219"/>
      <c r="HU585" s="219"/>
      <c r="HV585" s="219"/>
      <c r="HW585" s="219"/>
      <c r="HX585" s="219"/>
      <c r="HY585" s="219"/>
      <c r="HZ585" s="219"/>
      <c r="IA585" s="219"/>
      <c r="IB585" s="219"/>
      <c r="IC585" s="219"/>
      <c r="ID585" s="219"/>
      <c r="IE585" s="219"/>
      <c r="IF585" s="219"/>
      <c r="IG585" s="219"/>
      <c r="IH585" s="219"/>
      <c r="II585" s="219"/>
      <c r="IJ585" s="219"/>
      <c r="IK585" s="219"/>
      <c r="IL585" s="219"/>
      <c r="IM585" s="219"/>
      <c r="IN585" s="219"/>
      <c r="IO585" s="219"/>
      <c r="IP585" s="219"/>
      <c r="IQ585" s="219"/>
      <c r="IR585" s="219"/>
      <c r="IS585" s="219"/>
      <c r="IT585" s="219"/>
      <c r="IU585" s="219"/>
      <c r="IV585" s="219"/>
    </row>
    <row r="586" spans="1:256" x14ac:dyDescent="0.2">
      <c r="A586" s="204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  <c r="AB586" s="219"/>
      <c r="AC586" s="219"/>
      <c r="AD586" s="219"/>
      <c r="AE586" s="219"/>
      <c r="AF586" s="219"/>
      <c r="AG586" s="219"/>
      <c r="AH586" s="219"/>
      <c r="AI586" s="219"/>
      <c r="AJ586" s="219"/>
      <c r="AK586" s="219"/>
      <c r="AL586" s="219"/>
      <c r="AM586" s="219"/>
      <c r="AN586" s="219"/>
      <c r="AO586" s="219"/>
      <c r="AP586" s="219"/>
      <c r="AQ586" s="219"/>
      <c r="AR586" s="219"/>
      <c r="AS586" s="219"/>
      <c r="AT586" s="219"/>
      <c r="AU586" s="219"/>
      <c r="AV586" s="219"/>
      <c r="AW586" s="219"/>
      <c r="AX586" s="219"/>
      <c r="AY586" s="219"/>
      <c r="AZ586" s="219"/>
      <c r="BA586" s="219"/>
      <c r="BB586" s="219"/>
      <c r="BC586" s="219"/>
      <c r="BD586" s="219"/>
      <c r="BE586" s="219"/>
      <c r="BF586" s="219"/>
      <c r="BG586" s="219"/>
      <c r="BH586" s="219"/>
      <c r="BI586" s="219"/>
      <c r="BJ586" s="219"/>
      <c r="BK586" s="219"/>
      <c r="BL586" s="219"/>
      <c r="BM586" s="219"/>
      <c r="BN586" s="219"/>
      <c r="BO586" s="219"/>
      <c r="BP586" s="219"/>
      <c r="BQ586" s="219"/>
      <c r="BR586" s="219"/>
      <c r="BS586" s="219"/>
      <c r="BT586" s="219"/>
      <c r="BU586" s="219"/>
      <c r="BV586" s="219"/>
      <c r="BW586" s="219"/>
      <c r="BX586" s="219"/>
      <c r="BY586" s="219"/>
      <c r="BZ586" s="219"/>
      <c r="CA586" s="219"/>
      <c r="CB586" s="219"/>
      <c r="CC586" s="219"/>
      <c r="CD586" s="219"/>
      <c r="CE586" s="219"/>
      <c r="CF586" s="219"/>
      <c r="CG586" s="219"/>
      <c r="CH586" s="219"/>
      <c r="CI586" s="219"/>
      <c r="CJ586" s="219"/>
      <c r="CK586" s="219"/>
      <c r="CL586" s="219"/>
      <c r="CM586" s="219"/>
      <c r="CN586" s="219"/>
      <c r="CO586" s="219"/>
      <c r="CP586" s="219"/>
      <c r="CQ586" s="219"/>
      <c r="CR586" s="219"/>
      <c r="CS586" s="219"/>
      <c r="CT586" s="219"/>
      <c r="CU586" s="219"/>
      <c r="CV586" s="219"/>
      <c r="CW586" s="219"/>
      <c r="CX586" s="219"/>
      <c r="CY586" s="219"/>
      <c r="CZ586" s="219"/>
      <c r="DA586" s="219"/>
      <c r="DB586" s="219"/>
      <c r="DC586" s="219"/>
      <c r="DD586" s="219"/>
      <c r="DE586" s="219"/>
      <c r="DF586" s="219"/>
      <c r="DG586" s="219"/>
      <c r="DH586" s="219"/>
      <c r="DI586" s="219"/>
      <c r="DJ586" s="219"/>
      <c r="DK586" s="219"/>
      <c r="DL586" s="219"/>
      <c r="DM586" s="219"/>
      <c r="DN586" s="219"/>
      <c r="DO586" s="219"/>
      <c r="DP586" s="219"/>
      <c r="DQ586" s="219"/>
      <c r="DR586" s="219"/>
      <c r="DS586" s="219"/>
      <c r="DT586" s="219"/>
      <c r="DU586" s="219"/>
      <c r="DV586" s="219"/>
      <c r="DW586" s="219"/>
      <c r="DX586" s="219"/>
      <c r="DY586" s="219"/>
      <c r="DZ586" s="219"/>
      <c r="EA586" s="219"/>
      <c r="EB586" s="219"/>
      <c r="EC586" s="219"/>
      <c r="ED586" s="219"/>
      <c r="EE586" s="219"/>
      <c r="EF586" s="219"/>
      <c r="EG586" s="219"/>
      <c r="EH586" s="219"/>
      <c r="EI586" s="219"/>
      <c r="EJ586" s="219"/>
      <c r="EK586" s="219"/>
      <c r="EL586" s="219"/>
      <c r="EM586" s="219"/>
      <c r="EN586" s="219"/>
      <c r="EO586" s="219"/>
      <c r="EP586" s="219"/>
      <c r="EQ586" s="219"/>
      <c r="ER586" s="219"/>
      <c r="ES586" s="219"/>
      <c r="ET586" s="219"/>
      <c r="EU586" s="219"/>
      <c r="EV586" s="219"/>
      <c r="EW586" s="219"/>
      <c r="EX586" s="219"/>
      <c r="EY586" s="219"/>
      <c r="EZ586" s="219"/>
      <c r="FA586" s="219"/>
      <c r="FB586" s="219"/>
      <c r="FC586" s="219"/>
      <c r="FD586" s="219"/>
      <c r="FE586" s="219"/>
      <c r="FF586" s="219"/>
      <c r="FG586" s="219"/>
      <c r="FH586" s="219"/>
      <c r="FI586" s="219"/>
      <c r="FJ586" s="219"/>
      <c r="FK586" s="219"/>
      <c r="FL586" s="219"/>
      <c r="FM586" s="219"/>
      <c r="FN586" s="219"/>
      <c r="FO586" s="219"/>
      <c r="FP586" s="219"/>
      <c r="FQ586" s="219"/>
      <c r="FR586" s="219"/>
      <c r="FS586" s="219"/>
      <c r="FT586" s="219"/>
      <c r="FU586" s="219"/>
      <c r="FV586" s="219"/>
      <c r="FW586" s="219"/>
      <c r="FX586" s="219"/>
      <c r="FY586" s="219"/>
      <c r="FZ586" s="219"/>
      <c r="GA586" s="219"/>
      <c r="GB586" s="219"/>
      <c r="GC586" s="219"/>
      <c r="GD586" s="219"/>
      <c r="GE586" s="219"/>
      <c r="GF586" s="219"/>
      <c r="GG586" s="219"/>
      <c r="GH586" s="219"/>
      <c r="GI586" s="219"/>
      <c r="GJ586" s="219"/>
      <c r="GK586" s="219"/>
      <c r="GL586" s="219"/>
      <c r="GM586" s="219"/>
      <c r="GN586" s="219"/>
      <c r="GO586" s="219"/>
      <c r="GP586" s="219"/>
      <c r="GQ586" s="219"/>
      <c r="GR586" s="219"/>
      <c r="GS586" s="219"/>
      <c r="GT586" s="219"/>
      <c r="GU586" s="219"/>
      <c r="GV586" s="219"/>
      <c r="GW586" s="219"/>
      <c r="GX586" s="219"/>
      <c r="GY586" s="219"/>
      <c r="GZ586" s="219"/>
      <c r="HA586" s="219"/>
      <c r="HB586" s="219"/>
      <c r="HC586" s="219"/>
      <c r="HD586" s="219"/>
      <c r="HE586" s="219"/>
      <c r="HF586" s="219"/>
      <c r="HG586" s="219"/>
      <c r="HH586" s="219"/>
      <c r="HI586" s="219"/>
      <c r="HJ586" s="219"/>
      <c r="HK586" s="219"/>
      <c r="HL586" s="219"/>
      <c r="HM586" s="219"/>
      <c r="HN586" s="219"/>
      <c r="HO586" s="219"/>
      <c r="HP586" s="219"/>
      <c r="HQ586" s="219"/>
      <c r="HR586" s="219"/>
      <c r="HS586" s="219"/>
      <c r="HT586" s="219"/>
      <c r="HU586" s="219"/>
      <c r="HV586" s="219"/>
      <c r="HW586" s="219"/>
      <c r="HX586" s="219"/>
      <c r="HY586" s="219"/>
      <c r="HZ586" s="219"/>
      <c r="IA586" s="219"/>
      <c r="IB586" s="219"/>
      <c r="IC586" s="219"/>
      <c r="ID586" s="219"/>
      <c r="IE586" s="219"/>
      <c r="IF586" s="219"/>
      <c r="IG586" s="219"/>
      <c r="IH586" s="219"/>
      <c r="II586" s="219"/>
      <c r="IJ586" s="219"/>
      <c r="IK586" s="219"/>
      <c r="IL586" s="219"/>
      <c r="IM586" s="219"/>
      <c r="IN586" s="219"/>
      <c r="IO586" s="219"/>
      <c r="IP586" s="219"/>
      <c r="IQ586" s="219"/>
      <c r="IR586" s="219"/>
      <c r="IS586" s="219"/>
      <c r="IT586" s="219"/>
      <c r="IU586" s="219"/>
      <c r="IV586" s="219"/>
    </row>
    <row r="587" spans="1:256" x14ac:dyDescent="0.2">
      <c r="A587" s="204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  <c r="AD587" s="219"/>
      <c r="AE587" s="219"/>
      <c r="AF587" s="219"/>
      <c r="AG587" s="219"/>
      <c r="AH587" s="219"/>
      <c r="AI587" s="219"/>
      <c r="AJ587" s="219"/>
      <c r="AK587" s="219"/>
      <c r="AL587" s="219"/>
      <c r="AM587" s="219"/>
      <c r="AN587" s="219"/>
      <c r="AO587" s="219"/>
      <c r="AP587" s="219"/>
      <c r="AQ587" s="219"/>
      <c r="AR587" s="219"/>
      <c r="AS587" s="219"/>
      <c r="AT587" s="219"/>
      <c r="AU587" s="219"/>
      <c r="AV587" s="219"/>
      <c r="AW587" s="219"/>
      <c r="AX587" s="219"/>
      <c r="AY587" s="219"/>
      <c r="AZ587" s="219"/>
      <c r="BA587" s="219"/>
      <c r="BB587" s="219"/>
      <c r="BC587" s="219"/>
      <c r="BD587" s="219"/>
      <c r="BE587" s="219"/>
      <c r="BF587" s="219"/>
      <c r="BG587" s="219"/>
      <c r="BH587" s="219"/>
      <c r="BI587" s="219"/>
      <c r="BJ587" s="219"/>
      <c r="BK587" s="219"/>
      <c r="BL587" s="219"/>
      <c r="BM587" s="219"/>
      <c r="BN587" s="219"/>
      <c r="BO587" s="219"/>
      <c r="BP587" s="219"/>
      <c r="BQ587" s="219"/>
      <c r="BR587" s="219"/>
      <c r="BS587" s="219"/>
      <c r="BT587" s="219"/>
      <c r="BU587" s="219"/>
      <c r="BV587" s="219"/>
      <c r="BW587" s="219"/>
      <c r="BX587" s="219"/>
      <c r="BY587" s="219"/>
      <c r="BZ587" s="219"/>
      <c r="CA587" s="219"/>
      <c r="CB587" s="219"/>
      <c r="CC587" s="219"/>
      <c r="CD587" s="219"/>
      <c r="CE587" s="219"/>
      <c r="CF587" s="219"/>
      <c r="CG587" s="219"/>
      <c r="CH587" s="219"/>
      <c r="CI587" s="219"/>
      <c r="CJ587" s="219"/>
      <c r="CK587" s="219"/>
      <c r="CL587" s="219"/>
      <c r="CM587" s="219"/>
      <c r="CN587" s="219"/>
      <c r="CO587" s="219"/>
      <c r="CP587" s="219"/>
      <c r="CQ587" s="219"/>
      <c r="CR587" s="219"/>
      <c r="CS587" s="219"/>
      <c r="CT587" s="219"/>
      <c r="CU587" s="219"/>
      <c r="CV587" s="219"/>
      <c r="CW587" s="219"/>
      <c r="CX587" s="219"/>
      <c r="CY587" s="219"/>
      <c r="CZ587" s="219"/>
      <c r="DA587" s="219"/>
      <c r="DB587" s="219"/>
      <c r="DC587" s="219"/>
      <c r="DD587" s="219"/>
      <c r="DE587" s="219"/>
      <c r="DF587" s="219"/>
      <c r="DG587" s="219"/>
      <c r="DH587" s="219"/>
      <c r="DI587" s="219"/>
      <c r="DJ587" s="219"/>
      <c r="DK587" s="219"/>
      <c r="DL587" s="219"/>
      <c r="DM587" s="219"/>
      <c r="DN587" s="219"/>
      <c r="DO587" s="219"/>
      <c r="DP587" s="219"/>
      <c r="DQ587" s="219"/>
      <c r="DR587" s="219"/>
      <c r="DS587" s="219"/>
      <c r="DT587" s="219"/>
      <c r="DU587" s="219"/>
      <c r="DV587" s="219"/>
      <c r="DW587" s="219"/>
      <c r="DX587" s="219"/>
      <c r="DY587" s="219"/>
      <c r="DZ587" s="219"/>
      <c r="EA587" s="219"/>
      <c r="EB587" s="219"/>
      <c r="EC587" s="219"/>
      <c r="ED587" s="219"/>
      <c r="EE587" s="219"/>
      <c r="EF587" s="219"/>
      <c r="EG587" s="219"/>
      <c r="EH587" s="219"/>
      <c r="EI587" s="219"/>
      <c r="EJ587" s="219"/>
      <c r="EK587" s="219"/>
      <c r="EL587" s="219"/>
      <c r="EM587" s="219"/>
      <c r="EN587" s="219"/>
      <c r="EO587" s="219"/>
      <c r="EP587" s="219"/>
      <c r="EQ587" s="219"/>
      <c r="ER587" s="219"/>
      <c r="ES587" s="219"/>
      <c r="ET587" s="219"/>
      <c r="EU587" s="219"/>
      <c r="EV587" s="219"/>
      <c r="EW587" s="219"/>
      <c r="EX587" s="219"/>
      <c r="EY587" s="219"/>
      <c r="EZ587" s="219"/>
      <c r="FA587" s="219"/>
      <c r="FB587" s="219"/>
      <c r="FC587" s="219"/>
      <c r="FD587" s="219"/>
      <c r="FE587" s="219"/>
      <c r="FF587" s="219"/>
      <c r="FG587" s="219"/>
      <c r="FH587" s="219"/>
      <c r="FI587" s="219"/>
      <c r="FJ587" s="219"/>
      <c r="FK587" s="219"/>
      <c r="FL587" s="219"/>
      <c r="FM587" s="219"/>
      <c r="FN587" s="219"/>
      <c r="FO587" s="219"/>
      <c r="FP587" s="219"/>
      <c r="FQ587" s="219"/>
      <c r="FR587" s="219"/>
      <c r="FS587" s="219"/>
      <c r="FT587" s="219"/>
      <c r="FU587" s="219"/>
      <c r="FV587" s="219"/>
      <c r="FW587" s="219"/>
      <c r="FX587" s="219"/>
      <c r="FY587" s="219"/>
      <c r="FZ587" s="219"/>
      <c r="GA587" s="219"/>
      <c r="GB587" s="219"/>
      <c r="GC587" s="219"/>
      <c r="GD587" s="219"/>
      <c r="GE587" s="219"/>
      <c r="GF587" s="219"/>
      <c r="GG587" s="219"/>
      <c r="GH587" s="219"/>
      <c r="GI587" s="219"/>
      <c r="GJ587" s="219"/>
      <c r="GK587" s="219"/>
      <c r="GL587" s="219"/>
      <c r="GM587" s="219"/>
      <c r="GN587" s="219"/>
      <c r="GO587" s="219"/>
      <c r="GP587" s="219"/>
      <c r="GQ587" s="219"/>
      <c r="GR587" s="219"/>
      <c r="GS587" s="219"/>
      <c r="GT587" s="219"/>
      <c r="GU587" s="219"/>
      <c r="GV587" s="219"/>
      <c r="GW587" s="219"/>
      <c r="GX587" s="219"/>
      <c r="GY587" s="219"/>
      <c r="GZ587" s="219"/>
      <c r="HA587" s="219"/>
      <c r="HB587" s="219"/>
      <c r="HC587" s="219"/>
      <c r="HD587" s="219"/>
      <c r="HE587" s="219"/>
      <c r="HF587" s="219"/>
      <c r="HG587" s="219"/>
      <c r="HH587" s="219"/>
      <c r="HI587" s="219"/>
      <c r="HJ587" s="219"/>
      <c r="HK587" s="219"/>
      <c r="HL587" s="219"/>
      <c r="HM587" s="219"/>
      <c r="HN587" s="219"/>
      <c r="HO587" s="219"/>
      <c r="HP587" s="219"/>
      <c r="HQ587" s="219"/>
      <c r="HR587" s="219"/>
      <c r="HS587" s="219"/>
      <c r="HT587" s="219"/>
      <c r="HU587" s="219"/>
      <c r="HV587" s="219"/>
      <c r="HW587" s="219"/>
      <c r="HX587" s="219"/>
      <c r="HY587" s="219"/>
      <c r="HZ587" s="219"/>
      <c r="IA587" s="219"/>
      <c r="IB587" s="219"/>
      <c r="IC587" s="219"/>
      <c r="ID587" s="219"/>
      <c r="IE587" s="219"/>
      <c r="IF587" s="219"/>
      <c r="IG587" s="219"/>
      <c r="IH587" s="219"/>
      <c r="II587" s="219"/>
      <c r="IJ587" s="219"/>
      <c r="IK587" s="219"/>
      <c r="IL587" s="219"/>
      <c r="IM587" s="219"/>
      <c r="IN587" s="219"/>
      <c r="IO587" s="219"/>
      <c r="IP587" s="219"/>
      <c r="IQ587" s="219"/>
      <c r="IR587" s="219"/>
      <c r="IS587" s="219"/>
      <c r="IT587" s="219"/>
      <c r="IU587" s="219"/>
      <c r="IV587" s="219"/>
    </row>
    <row r="588" spans="1:256" x14ac:dyDescent="0.2">
      <c r="A588" s="204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  <c r="AB588" s="219"/>
      <c r="AC588" s="219"/>
      <c r="AD588" s="219"/>
      <c r="AE588" s="219"/>
      <c r="AF588" s="219"/>
      <c r="AG588" s="219"/>
      <c r="AH588" s="219"/>
      <c r="AI588" s="219"/>
      <c r="AJ588" s="219"/>
      <c r="AK588" s="219"/>
      <c r="AL588" s="219"/>
      <c r="AM588" s="219"/>
      <c r="AN588" s="219"/>
      <c r="AO588" s="219"/>
      <c r="AP588" s="219"/>
      <c r="AQ588" s="219"/>
      <c r="AR588" s="219"/>
      <c r="AS588" s="219"/>
      <c r="AT588" s="219"/>
      <c r="AU588" s="219"/>
      <c r="AV588" s="219"/>
      <c r="AW588" s="219"/>
      <c r="AX588" s="219"/>
      <c r="AY588" s="219"/>
      <c r="AZ588" s="219"/>
      <c r="BA588" s="219"/>
      <c r="BB588" s="219"/>
      <c r="BC588" s="219"/>
      <c r="BD588" s="219"/>
      <c r="BE588" s="219"/>
      <c r="BF588" s="219"/>
      <c r="BG588" s="219"/>
      <c r="BH588" s="219"/>
      <c r="BI588" s="219"/>
      <c r="BJ588" s="219"/>
      <c r="BK588" s="219"/>
      <c r="BL588" s="219"/>
      <c r="BM588" s="219"/>
      <c r="BN588" s="219"/>
      <c r="BO588" s="219"/>
      <c r="BP588" s="219"/>
      <c r="BQ588" s="219"/>
      <c r="BR588" s="219"/>
      <c r="BS588" s="219"/>
      <c r="BT588" s="219"/>
      <c r="BU588" s="219"/>
      <c r="BV588" s="219"/>
      <c r="BW588" s="219"/>
      <c r="BX588" s="219"/>
      <c r="BY588" s="219"/>
      <c r="BZ588" s="219"/>
      <c r="CA588" s="219"/>
      <c r="CB588" s="219"/>
      <c r="CC588" s="219"/>
      <c r="CD588" s="219"/>
      <c r="CE588" s="219"/>
      <c r="CF588" s="219"/>
      <c r="CG588" s="219"/>
      <c r="CH588" s="219"/>
      <c r="CI588" s="219"/>
      <c r="CJ588" s="219"/>
      <c r="CK588" s="219"/>
      <c r="CL588" s="219"/>
      <c r="CM588" s="219"/>
      <c r="CN588" s="219"/>
      <c r="CO588" s="219"/>
      <c r="CP588" s="219"/>
      <c r="CQ588" s="219"/>
      <c r="CR588" s="219"/>
      <c r="CS588" s="219"/>
      <c r="CT588" s="219"/>
      <c r="CU588" s="219"/>
      <c r="CV588" s="219"/>
      <c r="CW588" s="219"/>
      <c r="CX588" s="219"/>
      <c r="CY588" s="219"/>
      <c r="CZ588" s="219"/>
      <c r="DA588" s="219"/>
      <c r="DB588" s="219"/>
      <c r="DC588" s="219"/>
      <c r="DD588" s="219"/>
      <c r="DE588" s="219"/>
      <c r="DF588" s="219"/>
      <c r="DG588" s="219"/>
      <c r="DH588" s="219"/>
      <c r="DI588" s="219"/>
      <c r="DJ588" s="219"/>
      <c r="DK588" s="219"/>
      <c r="DL588" s="219"/>
      <c r="DM588" s="219"/>
      <c r="DN588" s="219"/>
      <c r="DO588" s="219"/>
      <c r="DP588" s="219"/>
      <c r="DQ588" s="219"/>
      <c r="DR588" s="219"/>
      <c r="DS588" s="219"/>
      <c r="DT588" s="219"/>
      <c r="DU588" s="219"/>
      <c r="DV588" s="219"/>
      <c r="DW588" s="219"/>
      <c r="DX588" s="219"/>
      <c r="DY588" s="219"/>
      <c r="DZ588" s="219"/>
      <c r="EA588" s="219"/>
      <c r="EB588" s="219"/>
      <c r="EC588" s="219"/>
      <c r="ED588" s="219"/>
      <c r="EE588" s="219"/>
      <c r="EF588" s="219"/>
      <c r="EG588" s="219"/>
      <c r="EH588" s="219"/>
      <c r="EI588" s="219"/>
      <c r="EJ588" s="219"/>
      <c r="EK588" s="219"/>
      <c r="EL588" s="219"/>
      <c r="EM588" s="219"/>
      <c r="EN588" s="219"/>
      <c r="EO588" s="219"/>
      <c r="EP588" s="219"/>
      <c r="EQ588" s="219"/>
      <c r="ER588" s="219"/>
      <c r="ES588" s="219"/>
      <c r="ET588" s="219"/>
      <c r="EU588" s="219"/>
      <c r="EV588" s="219"/>
      <c r="EW588" s="219"/>
      <c r="EX588" s="219"/>
      <c r="EY588" s="219"/>
      <c r="EZ588" s="219"/>
      <c r="FA588" s="219"/>
      <c r="FB588" s="219"/>
      <c r="FC588" s="219"/>
      <c r="FD588" s="219"/>
      <c r="FE588" s="219"/>
      <c r="FF588" s="219"/>
      <c r="FG588" s="219"/>
      <c r="FH588" s="219"/>
      <c r="FI588" s="219"/>
      <c r="FJ588" s="219"/>
      <c r="FK588" s="219"/>
      <c r="FL588" s="219"/>
      <c r="FM588" s="219"/>
      <c r="FN588" s="219"/>
      <c r="FO588" s="219"/>
      <c r="FP588" s="219"/>
      <c r="FQ588" s="219"/>
      <c r="FR588" s="219"/>
      <c r="FS588" s="219"/>
      <c r="FT588" s="219"/>
      <c r="FU588" s="219"/>
      <c r="FV588" s="219"/>
      <c r="FW588" s="219"/>
      <c r="FX588" s="219"/>
      <c r="FY588" s="219"/>
      <c r="FZ588" s="219"/>
      <c r="GA588" s="219"/>
      <c r="GB588" s="219"/>
      <c r="GC588" s="219"/>
      <c r="GD588" s="219"/>
      <c r="GE588" s="219"/>
      <c r="GF588" s="219"/>
      <c r="GG588" s="219"/>
      <c r="GH588" s="219"/>
      <c r="GI588" s="219"/>
      <c r="GJ588" s="219"/>
      <c r="GK588" s="219"/>
      <c r="GL588" s="219"/>
      <c r="GM588" s="219"/>
      <c r="GN588" s="219"/>
      <c r="GO588" s="219"/>
      <c r="GP588" s="219"/>
      <c r="GQ588" s="219"/>
      <c r="GR588" s="219"/>
      <c r="GS588" s="219"/>
      <c r="GT588" s="219"/>
      <c r="GU588" s="219"/>
      <c r="GV588" s="219"/>
      <c r="GW588" s="219"/>
      <c r="GX588" s="219"/>
      <c r="GY588" s="219"/>
      <c r="GZ588" s="219"/>
      <c r="HA588" s="219"/>
      <c r="HB588" s="219"/>
      <c r="HC588" s="219"/>
      <c r="HD588" s="219"/>
      <c r="HE588" s="219"/>
      <c r="HF588" s="219"/>
      <c r="HG588" s="219"/>
      <c r="HH588" s="219"/>
      <c r="HI588" s="219"/>
      <c r="HJ588" s="219"/>
      <c r="HK588" s="219"/>
      <c r="HL588" s="219"/>
      <c r="HM588" s="219"/>
      <c r="HN588" s="219"/>
      <c r="HO588" s="219"/>
      <c r="HP588" s="219"/>
      <c r="HQ588" s="219"/>
      <c r="HR588" s="219"/>
      <c r="HS588" s="219"/>
      <c r="HT588" s="219"/>
      <c r="HU588" s="219"/>
      <c r="HV588" s="219"/>
      <c r="HW588" s="219"/>
      <c r="HX588" s="219"/>
      <c r="HY588" s="219"/>
      <c r="HZ588" s="219"/>
      <c r="IA588" s="219"/>
      <c r="IB588" s="219"/>
      <c r="IC588" s="219"/>
      <c r="ID588" s="219"/>
      <c r="IE588" s="219"/>
      <c r="IF588" s="219"/>
      <c r="IG588" s="219"/>
      <c r="IH588" s="219"/>
      <c r="II588" s="219"/>
      <c r="IJ588" s="219"/>
      <c r="IK588" s="219"/>
      <c r="IL588" s="219"/>
      <c r="IM588" s="219"/>
      <c r="IN588" s="219"/>
      <c r="IO588" s="219"/>
      <c r="IP588" s="219"/>
      <c r="IQ588" s="219"/>
      <c r="IR588" s="219"/>
      <c r="IS588" s="219"/>
      <c r="IT588" s="219"/>
      <c r="IU588" s="219"/>
      <c r="IV588" s="219"/>
    </row>
    <row r="589" spans="1:256" x14ac:dyDescent="0.2">
      <c r="A589" s="204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  <c r="AB589" s="219"/>
      <c r="AC589" s="219"/>
      <c r="AD589" s="219"/>
      <c r="AE589" s="219"/>
      <c r="AF589" s="219"/>
      <c r="AG589" s="219"/>
      <c r="AH589" s="219"/>
      <c r="AI589" s="219"/>
      <c r="AJ589" s="219"/>
      <c r="AK589" s="219"/>
      <c r="AL589" s="219"/>
      <c r="AM589" s="219"/>
      <c r="AN589" s="219"/>
      <c r="AO589" s="219"/>
      <c r="AP589" s="219"/>
      <c r="AQ589" s="219"/>
      <c r="AR589" s="219"/>
      <c r="AS589" s="219"/>
      <c r="AT589" s="219"/>
      <c r="AU589" s="219"/>
      <c r="AV589" s="219"/>
      <c r="AW589" s="219"/>
      <c r="AX589" s="219"/>
      <c r="AY589" s="219"/>
      <c r="AZ589" s="219"/>
      <c r="BA589" s="219"/>
      <c r="BB589" s="219"/>
      <c r="BC589" s="219"/>
      <c r="BD589" s="219"/>
      <c r="BE589" s="219"/>
      <c r="BF589" s="219"/>
      <c r="BG589" s="219"/>
      <c r="BH589" s="219"/>
      <c r="BI589" s="219"/>
      <c r="BJ589" s="219"/>
      <c r="BK589" s="219"/>
      <c r="BL589" s="219"/>
      <c r="BM589" s="219"/>
      <c r="BN589" s="219"/>
      <c r="BO589" s="219"/>
      <c r="BP589" s="219"/>
      <c r="BQ589" s="219"/>
      <c r="BR589" s="219"/>
      <c r="BS589" s="219"/>
      <c r="BT589" s="219"/>
      <c r="BU589" s="219"/>
      <c r="BV589" s="219"/>
      <c r="BW589" s="219"/>
      <c r="BX589" s="219"/>
      <c r="BY589" s="219"/>
      <c r="BZ589" s="219"/>
      <c r="CA589" s="219"/>
      <c r="CB589" s="219"/>
      <c r="CC589" s="219"/>
      <c r="CD589" s="219"/>
      <c r="CE589" s="219"/>
      <c r="CF589" s="219"/>
      <c r="CG589" s="219"/>
      <c r="CH589" s="219"/>
      <c r="CI589" s="219"/>
      <c r="CJ589" s="219"/>
      <c r="CK589" s="219"/>
      <c r="CL589" s="219"/>
      <c r="CM589" s="219"/>
      <c r="CN589" s="219"/>
      <c r="CO589" s="219"/>
      <c r="CP589" s="219"/>
      <c r="CQ589" s="219"/>
      <c r="CR589" s="219"/>
      <c r="CS589" s="219"/>
      <c r="CT589" s="219"/>
      <c r="CU589" s="219"/>
      <c r="CV589" s="219"/>
      <c r="CW589" s="219"/>
      <c r="CX589" s="219"/>
      <c r="CY589" s="219"/>
      <c r="CZ589" s="219"/>
      <c r="DA589" s="219"/>
      <c r="DB589" s="219"/>
      <c r="DC589" s="219"/>
      <c r="DD589" s="219"/>
      <c r="DE589" s="219"/>
      <c r="DF589" s="219"/>
      <c r="DG589" s="219"/>
      <c r="DH589" s="219"/>
      <c r="DI589" s="219"/>
      <c r="DJ589" s="219"/>
      <c r="DK589" s="219"/>
      <c r="DL589" s="219"/>
      <c r="DM589" s="219"/>
      <c r="DN589" s="219"/>
      <c r="DO589" s="219"/>
      <c r="DP589" s="219"/>
      <c r="DQ589" s="219"/>
      <c r="DR589" s="219"/>
      <c r="DS589" s="219"/>
      <c r="DT589" s="219"/>
      <c r="DU589" s="219"/>
      <c r="DV589" s="219"/>
      <c r="DW589" s="219"/>
      <c r="DX589" s="219"/>
      <c r="DY589" s="219"/>
      <c r="DZ589" s="219"/>
      <c r="EA589" s="219"/>
      <c r="EB589" s="219"/>
      <c r="EC589" s="219"/>
      <c r="ED589" s="219"/>
      <c r="EE589" s="219"/>
      <c r="EF589" s="219"/>
      <c r="EG589" s="219"/>
      <c r="EH589" s="219"/>
      <c r="EI589" s="219"/>
      <c r="EJ589" s="219"/>
      <c r="EK589" s="219"/>
      <c r="EL589" s="219"/>
      <c r="EM589" s="219"/>
      <c r="EN589" s="219"/>
      <c r="EO589" s="219"/>
      <c r="EP589" s="219"/>
      <c r="EQ589" s="219"/>
      <c r="ER589" s="219"/>
      <c r="ES589" s="219"/>
      <c r="ET589" s="219"/>
      <c r="EU589" s="219"/>
      <c r="EV589" s="219"/>
      <c r="EW589" s="219"/>
      <c r="EX589" s="219"/>
      <c r="EY589" s="219"/>
      <c r="EZ589" s="219"/>
      <c r="FA589" s="219"/>
      <c r="FB589" s="219"/>
      <c r="FC589" s="219"/>
      <c r="FD589" s="219"/>
      <c r="FE589" s="219"/>
      <c r="FF589" s="219"/>
      <c r="FG589" s="219"/>
      <c r="FH589" s="219"/>
      <c r="FI589" s="219"/>
      <c r="FJ589" s="219"/>
      <c r="FK589" s="219"/>
      <c r="FL589" s="219"/>
      <c r="FM589" s="219"/>
      <c r="FN589" s="219"/>
      <c r="FO589" s="219"/>
      <c r="FP589" s="219"/>
      <c r="FQ589" s="219"/>
      <c r="FR589" s="219"/>
      <c r="FS589" s="219"/>
      <c r="FT589" s="219"/>
      <c r="FU589" s="219"/>
      <c r="FV589" s="219"/>
      <c r="FW589" s="219"/>
      <c r="FX589" s="219"/>
      <c r="FY589" s="219"/>
      <c r="FZ589" s="219"/>
      <c r="GA589" s="219"/>
      <c r="GB589" s="219"/>
      <c r="GC589" s="219"/>
      <c r="GD589" s="219"/>
      <c r="GE589" s="219"/>
      <c r="GF589" s="219"/>
      <c r="GG589" s="219"/>
      <c r="GH589" s="219"/>
      <c r="GI589" s="219"/>
      <c r="GJ589" s="219"/>
      <c r="GK589" s="219"/>
      <c r="GL589" s="219"/>
      <c r="GM589" s="219"/>
      <c r="GN589" s="219"/>
      <c r="GO589" s="219"/>
      <c r="GP589" s="219"/>
      <c r="GQ589" s="219"/>
      <c r="GR589" s="219"/>
      <c r="GS589" s="219"/>
      <c r="GT589" s="219"/>
      <c r="GU589" s="219"/>
      <c r="GV589" s="219"/>
      <c r="GW589" s="219"/>
      <c r="GX589" s="219"/>
      <c r="GY589" s="219"/>
      <c r="GZ589" s="219"/>
      <c r="HA589" s="219"/>
      <c r="HB589" s="219"/>
      <c r="HC589" s="219"/>
      <c r="HD589" s="219"/>
      <c r="HE589" s="219"/>
      <c r="HF589" s="219"/>
      <c r="HG589" s="219"/>
      <c r="HH589" s="219"/>
      <c r="HI589" s="219"/>
      <c r="HJ589" s="219"/>
      <c r="HK589" s="219"/>
      <c r="HL589" s="219"/>
      <c r="HM589" s="219"/>
      <c r="HN589" s="219"/>
      <c r="HO589" s="219"/>
      <c r="HP589" s="219"/>
      <c r="HQ589" s="219"/>
      <c r="HR589" s="219"/>
      <c r="HS589" s="219"/>
      <c r="HT589" s="219"/>
      <c r="HU589" s="219"/>
      <c r="HV589" s="219"/>
      <c r="HW589" s="219"/>
      <c r="HX589" s="219"/>
      <c r="HY589" s="219"/>
      <c r="HZ589" s="219"/>
      <c r="IA589" s="219"/>
      <c r="IB589" s="219"/>
      <c r="IC589" s="219"/>
      <c r="ID589" s="219"/>
      <c r="IE589" s="219"/>
      <c r="IF589" s="219"/>
      <c r="IG589" s="219"/>
      <c r="IH589" s="219"/>
      <c r="II589" s="219"/>
      <c r="IJ589" s="219"/>
      <c r="IK589" s="219"/>
      <c r="IL589" s="219"/>
      <c r="IM589" s="219"/>
      <c r="IN589" s="219"/>
      <c r="IO589" s="219"/>
      <c r="IP589" s="219"/>
      <c r="IQ589" s="219"/>
      <c r="IR589" s="219"/>
      <c r="IS589" s="219"/>
      <c r="IT589" s="219"/>
      <c r="IU589" s="219"/>
      <c r="IV589" s="219"/>
    </row>
    <row r="590" spans="1:256" x14ac:dyDescent="0.2">
      <c r="A590" s="204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  <c r="AB590" s="219"/>
      <c r="AC590" s="219"/>
      <c r="AD590" s="219"/>
      <c r="AE590" s="219"/>
      <c r="AF590" s="219"/>
      <c r="AG590" s="219"/>
      <c r="AH590" s="219"/>
      <c r="AI590" s="219"/>
      <c r="AJ590" s="219"/>
      <c r="AK590" s="219"/>
      <c r="AL590" s="219"/>
      <c r="AM590" s="219"/>
      <c r="AN590" s="219"/>
      <c r="AO590" s="219"/>
      <c r="AP590" s="219"/>
      <c r="AQ590" s="219"/>
      <c r="AR590" s="219"/>
      <c r="AS590" s="219"/>
      <c r="AT590" s="219"/>
      <c r="AU590" s="219"/>
      <c r="AV590" s="219"/>
      <c r="AW590" s="219"/>
      <c r="AX590" s="219"/>
      <c r="AY590" s="219"/>
      <c r="AZ590" s="219"/>
      <c r="BA590" s="219"/>
      <c r="BB590" s="219"/>
      <c r="BC590" s="219"/>
      <c r="BD590" s="219"/>
      <c r="BE590" s="219"/>
      <c r="BF590" s="219"/>
      <c r="BG590" s="219"/>
      <c r="BH590" s="219"/>
      <c r="BI590" s="219"/>
      <c r="BJ590" s="219"/>
      <c r="BK590" s="219"/>
      <c r="BL590" s="219"/>
      <c r="BM590" s="219"/>
      <c r="BN590" s="219"/>
      <c r="BO590" s="219"/>
      <c r="BP590" s="219"/>
      <c r="BQ590" s="219"/>
      <c r="BR590" s="219"/>
      <c r="BS590" s="219"/>
      <c r="BT590" s="219"/>
      <c r="BU590" s="219"/>
      <c r="BV590" s="219"/>
      <c r="BW590" s="219"/>
      <c r="BX590" s="219"/>
      <c r="BY590" s="219"/>
      <c r="BZ590" s="219"/>
      <c r="CA590" s="219"/>
      <c r="CB590" s="219"/>
      <c r="CC590" s="219"/>
      <c r="CD590" s="219"/>
      <c r="CE590" s="219"/>
      <c r="CF590" s="219"/>
      <c r="CG590" s="219"/>
      <c r="CH590" s="219"/>
      <c r="CI590" s="219"/>
      <c r="CJ590" s="219"/>
      <c r="CK590" s="219"/>
      <c r="CL590" s="219"/>
      <c r="CM590" s="219"/>
      <c r="CN590" s="219"/>
      <c r="CO590" s="219"/>
      <c r="CP590" s="219"/>
      <c r="CQ590" s="219"/>
      <c r="CR590" s="219"/>
      <c r="CS590" s="219"/>
      <c r="CT590" s="219"/>
      <c r="CU590" s="219"/>
      <c r="CV590" s="219"/>
      <c r="CW590" s="219"/>
      <c r="CX590" s="219"/>
      <c r="CY590" s="219"/>
      <c r="CZ590" s="219"/>
      <c r="DA590" s="219"/>
      <c r="DB590" s="219"/>
      <c r="DC590" s="219"/>
      <c r="DD590" s="219"/>
      <c r="DE590" s="219"/>
      <c r="DF590" s="219"/>
      <c r="DG590" s="219"/>
      <c r="DH590" s="219"/>
      <c r="DI590" s="219"/>
      <c r="DJ590" s="219"/>
      <c r="DK590" s="219"/>
      <c r="DL590" s="219"/>
      <c r="DM590" s="219"/>
      <c r="DN590" s="219"/>
      <c r="DO590" s="219"/>
      <c r="DP590" s="219"/>
      <c r="DQ590" s="219"/>
      <c r="DR590" s="219"/>
      <c r="DS590" s="219"/>
      <c r="DT590" s="219"/>
      <c r="DU590" s="219"/>
      <c r="DV590" s="219"/>
      <c r="DW590" s="219"/>
      <c r="DX590" s="219"/>
      <c r="DY590" s="219"/>
      <c r="DZ590" s="219"/>
      <c r="EA590" s="219"/>
      <c r="EB590" s="219"/>
      <c r="EC590" s="219"/>
      <c r="ED590" s="219"/>
      <c r="EE590" s="219"/>
      <c r="EF590" s="219"/>
      <c r="EG590" s="219"/>
      <c r="EH590" s="219"/>
      <c r="EI590" s="219"/>
      <c r="EJ590" s="219"/>
      <c r="EK590" s="219"/>
      <c r="EL590" s="219"/>
      <c r="EM590" s="219"/>
      <c r="EN590" s="219"/>
      <c r="EO590" s="219"/>
      <c r="EP590" s="219"/>
      <c r="EQ590" s="219"/>
      <c r="ER590" s="219"/>
      <c r="ES590" s="219"/>
      <c r="ET590" s="219"/>
      <c r="EU590" s="219"/>
      <c r="EV590" s="219"/>
      <c r="EW590" s="219"/>
      <c r="EX590" s="219"/>
      <c r="EY590" s="219"/>
      <c r="EZ590" s="219"/>
      <c r="FA590" s="219"/>
      <c r="FB590" s="219"/>
      <c r="FC590" s="219"/>
      <c r="FD590" s="219"/>
      <c r="FE590" s="219"/>
      <c r="FF590" s="219"/>
      <c r="FG590" s="219"/>
      <c r="FH590" s="219"/>
      <c r="FI590" s="219"/>
      <c r="FJ590" s="219"/>
      <c r="FK590" s="219"/>
      <c r="FL590" s="219"/>
      <c r="FM590" s="219"/>
      <c r="FN590" s="219"/>
      <c r="FO590" s="219"/>
      <c r="FP590" s="219"/>
      <c r="FQ590" s="219"/>
      <c r="FR590" s="219"/>
      <c r="FS590" s="219"/>
      <c r="FT590" s="219"/>
      <c r="FU590" s="219"/>
      <c r="FV590" s="219"/>
      <c r="FW590" s="219"/>
      <c r="FX590" s="219"/>
      <c r="FY590" s="219"/>
      <c r="FZ590" s="219"/>
      <c r="GA590" s="219"/>
      <c r="GB590" s="219"/>
      <c r="GC590" s="219"/>
      <c r="GD590" s="219"/>
      <c r="GE590" s="219"/>
      <c r="GF590" s="219"/>
      <c r="GG590" s="219"/>
      <c r="GH590" s="219"/>
      <c r="GI590" s="219"/>
      <c r="GJ590" s="219"/>
      <c r="GK590" s="219"/>
      <c r="GL590" s="219"/>
      <c r="GM590" s="219"/>
      <c r="GN590" s="219"/>
      <c r="GO590" s="219"/>
      <c r="GP590" s="219"/>
      <c r="GQ590" s="219"/>
      <c r="GR590" s="219"/>
      <c r="GS590" s="219"/>
      <c r="GT590" s="219"/>
      <c r="GU590" s="219"/>
      <c r="GV590" s="219"/>
      <c r="GW590" s="219"/>
      <c r="GX590" s="219"/>
      <c r="GY590" s="219"/>
      <c r="GZ590" s="219"/>
      <c r="HA590" s="219"/>
      <c r="HB590" s="219"/>
      <c r="HC590" s="219"/>
      <c r="HD590" s="219"/>
      <c r="HE590" s="219"/>
      <c r="HF590" s="219"/>
      <c r="HG590" s="219"/>
      <c r="HH590" s="219"/>
      <c r="HI590" s="219"/>
      <c r="HJ590" s="219"/>
      <c r="HK590" s="219"/>
      <c r="HL590" s="219"/>
      <c r="HM590" s="219"/>
      <c r="HN590" s="219"/>
      <c r="HO590" s="219"/>
      <c r="HP590" s="219"/>
      <c r="HQ590" s="219"/>
      <c r="HR590" s="219"/>
      <c r="HS590" s="219"/>
      <c r="HT590" s="219"/>
      <c r="HU590" s="219"/>
      <c r="HV590" s="219"/>
      <c r="HW590" s="219"/>
      <c r="HX590" s="219"/>
      <c r="HY590" s="219"/>
      <c r="HZ590" s="219"/>
      <c r="IA590" s="219"/>
      <c r="IB590" s="219"/>
      <c r="IC590" s="219"/>
      <c r="ID590" s="219"/>
      <c r="IE590" s="219"/>
      <c r="IF590" s="219"/>
      <c r="IG590" s="219"/>
      <c r="IH590" s="219"/>
      <c r="II590" s="219"/>
      <c r="IJ590" s="219"/>
      <c r="IK590" s="219"/>
      <c r="IL590" s="219"/>
      <c r="IM590" s="219"/>
      <c r="IN590" s="219"/>
      <c r="IO590" s="219"/>
      <c r="IP590" s="219"/>
      <c r="IQ590" s="219"/>
      <c r="IR590" s="219"/>
      <c r="IS590" s="219"/>
      <c r="IT590" s="219"/>
      <c r="IU590" s="219"/>
      <c r="IV590" s="219"/>
    </row>
    <row r="591" spans="1:256" x14ac:dyDescent="0.2">
      <c r="A591" s="204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  <c r="AB591" s="219"/>
      <c r="AC591" s="219"/>
      <c r="AD591" s="219"/>
      <c r="AE591" s="219"/>
      <c r="AF591" s="219"/>
      <c r="AG591" s="219"/>
      <c r="AH591" s="219"/>
      <c r="AI591" s="219"/>
      <c r="AJ591" s="219"/>
      <c r="AK591" s="219"/>
      <c r="AL591" s="219"/>
      <c r="AM591" s="219"/>
      <c r="AN591" s="219"/>
      <c r="AO591" s="219"/>
      <c r="AP591" s="219"/>
      <c r="AQ591" s="219"/>
      <c r="AR591" s="219"/>
      <c r="AS591" s="219"/>
      <c r="AT591" s="219"/>
      <c r="AU591" s="219"/>
      <c r="AV591" s="219"/>
      <c r="AW591" s="219"/>
      <c r="AX591" s="219"/>
      <c r="AY591" s="219"/>
      <c r="AZ591" s="219"/>
      <c r="BA591" s="219"/>
      <c r="BB591" s="219"/>
      <c r="BC591" s="219"/>
      <c r="BD591" s="219"/>
      <c r="BE591" s="219"/>
      <c r="BF591" s="219"/>
      <c r="BG591" s="219"/>
      <c r="BH591" s="219"/>
      <c r="BI591" s="219"/>
      <c r="BJ591" s="219"/>
      <c r="BK591" s="219"/>
      <c r="BL591" s="219"/>
      <c r="BM591" s="219"/>
      <c r="BN591" s="219"/>
      <c r="BO591" s="219"/>
      <c r="BP591" s="219"/>
      <c r="BQ591" s="219"/>
      <c r="BR591" s="219"/>
      <c r="BS591" s="219"/>
      <c r="BT591" s="219"/>
      <c r="BU591" s="219"/>
      <c r="BV591" s="219"/>
      <c r="BW591" s="219"/>
      <c r="BX591" s="219"/>
      <c r="BY591" s="219"/>
      <c r="BZ591" s="219"/>
      <c r="CA591" s="219"/>
      <c r="CB591" s="219"/>
      <c r="CC591" s="219"/>
      <c r="CD591" s="219"/>
      <c r="CE591" s="219"/>
      <c r="CF591" s="219"/>
      <c r="CG591" s="219"/>
      <c r="CH591" s="219"/>
      <c r="CI591" s="219"/>
      <c r="CJ591" s="219"/>
      <c r="CK591" s="219"/>
      <c r="CL591" s="219"/>
      <c r="CM591" s="219"/>
      <c r="CN591" s="219"/>
      <c r="CO591" s="219"/>
      <c r="CP591" s="219"/>
      <c r="CQ591" s="219"/>
      <c r="CR591" s="219"/>
      <c r="CS591" s="219"/>
      <c r="CT591" s="219"/>
      <c r="CU591" s="219"/>
      <c r="CV591" s="219"/>
      <c r="CW591" s="219"/>
      <c r="CX591" s="219"/>
      <c r="CY591" s="219"/>
      <c r="CZ591" s="219"/>
      <c r="DA591" s="219"/>
      <c r="DB591" s="219"/>
      <c r="DC591" s="219"/>
      <c r="DD591" s="219"/>
      <c r="DE591" s="219"/>
      <c r="DF591" s="219"/>
      <c r="DG591" s="219"/>
      <c r="DH591" s="219"/>
      <c r="DI591" s="219"/>
      <c r="DJ591" s="219"/>
      <c r="DK591" s="219"/>
      <c r="DL591" s="219"/>
      <c r="DM591" s="219"/>
      <c r="DN591" s="219"/>
      <c r="DO591" s="219"/>
      <c r="DP591" s="219"/>
      <c r="DQ591" s="219"/>
      <c r="DR591" s="219"/>
      <c r="DS591" s="219"/>
      <c r="DT591" s="219"/>
      <c r="DU591" s="219"/>
      <c r="DV591" s="219"/>
      <c r="DW591" s="219"/>
      <c r="DX591" s="219"/>
      <c r="DY591" s="219"/>
      <c r="DZ591" s="219"/>
      <c r="EA591" s="219"/>
      <c r="EB591" s="219"/>
      <c r="EC591" s="219"/>
      <c r="ED591" s="219"/>
      <c r="EE591" s="219"/>
      <c r="EF591" s="219"/>
      <c r="EG591" s="219"/>
      <c r="EH591" s="219"/>
      <c r="EI591" s="219"/>
      <c r="EJ591" s="219"/>
      <c r="EK591" s="219"/>
      <c r="EL591" s="219"/>
      <c r="EM591" s="219"/>
      <c r="EN591" s="219"/>
      <c r="EO591" s="219"/>
      <c r="EP591" s="219"/>
      <c r="EQ591" s="219"/>
      <c r="ER591" s="219"/>
      <c r="ES591" s="219"/>
      <c r="ET591" s="219"/>
      <c r="EU591" s="219"/>
      <c r="EV591" s="219"/>
      <c r="EW591" s="219"/>
      <c r="EX591" s="219"/>
      <c r="EY591" s="219"/>
      <c r="EZ591" s="219"/>
      <c r="FA591" s="219"/>
      <c r="FB591" s="219"/>
      <c r="FC591" s="219"/>
      <c r="FD591" s="219"/>
      <c r="FE591" s="219"/>
      <c r="FF591" s="219"/>
      <c r="FG591" s="219"/>
      <c r="FH591" s="219"/>
      <c r="FI591" s="219"/>
      <c r="FJ591" s="219"/>
      <c r="FK591" s="219"/>
      <c r="FL591" s="219"/>
      <c r="FM591" s="219"/>
      <c r="FN591" s="219"/>
      <c r="FO591" s="219"/>
      <c r="FP591" s="219"/>
      <c r="FQ591" s="219"/>
      <c r="FR591" s="219"/>
      <c r="FS591" s="219"/>
      <c r="FT591" s="219"/>
      <c r="FU591" s="219"/>
      <c r="FV591" s="219"/>
      <c r="FW591" s="219"/>
      <c r="FX591" s="219"/>
      <c r="FY591" s="219"/>
      <c r="FZ591" s="219"/>
      <c r="GA591" s="219"/>
      <c r="GB591" s="219"/>
      <c r="GC591" s="219"/>
      <c r="GD591" s="219"/>
      <c r="GE591" s="219"/>
      <c r="GF591" s="219"/>
      <c r="GG591" s="219"/>
      <c r="GH591" s="219"/>
      <c r="GI591" s="219"/>
      <c r="GJ591" s="219"/>
      <c r="GK591" s="219"/>
      <c r="GL591" s="219"/>
      <c r="GM591" s="219"/>
      <c r="GN591" s="219"/>
      <c r="GO591" s="219"/>
      <c r="GP591" s="219"/>
      <c r="GQ591" s="219"/>
      <c r="GR591" s="219"/>
      <c r="GS591" s="219"/>
      <c r="GT591" s="219"/>
      <c r="GU591" s="219"/>
      <c r="GV591" s="219"/>
      <c r="GW591" s="219"/>
      <c r="GX591" s="219"/>
      <c r="GY591" s="219"/>
      <c r="GZ591" s="219"/>
      <c r="HA591" s="219"/>
      <c r="HB591" s="219"/>
      <c r="HC591" s="219"/>
      <c r="HD591" s="219"/>
      <c r="HE591" s="219"/>
      <c r="HF591" s="219"/>
      <c r="HG591" s="219"/>
      <c r="HH591" s="219"/>
      <c r="HI591" s="219"/>
      <c r="HJ591" s="219"/>
      <c r="HK591" s="219"/>
      <c r="HL591" s="219"/>
      <c r="HM591" s="219"/>
      <c r="HN591" s="219"/>
      <c r="HO591" s="219"/>
      <c r="HP591" s="219"/>
      <c r="HQ591" s="219"/>
      <c r="HR591" s="219"/>
      <c r="HS591" s="219"/>
      <c r="HT591" s="219"/>
      <c r="HU591" s="219"/>
      <c r="HV591" s="219"/>
      <c r="HW591" s="219"/>
      <c r="HX591" s="219"/>
      <c r="HY591" s="219"/>
      <c r="HZ591" s="219"/>
      <c r="IA591" s="219"/>
      <c r="IB591" s="219"/>
      <c r="IC591" s="219"/>
      <c r="ID591" s="219"/>
      <c r="IE591" s="219"/>
      <c r="IF591" s="219"/>
      <c r="IG591" s="219"/>
      <c r="IH591" s="219"/>
      <c r="II591" s="219"/>
      <c r="IJ591" s="219"/>
      <c r="IK591" s="219"/>
      <c r="IL591" s="219"/>
      <c r="IM591" s="219"/>
      <c r="IN591" s="219"/>
      <c r="IO591" s="219"/>
      <c r="IP591" s="219"/>
      <c r="IQ591" s="219"/>
      <c r="IR591" s="219"/>
      <c r="IS591" s="219"/>
      <c r="IT591" s="219"/>
      <c r="IU591" s="219"/>
      <c r="IV591" s="219"/>
    </row>
    <row r="592" spans="1:256" x14ac:dyDescent="0.2">
      <c r="A592" s="204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  <c r="AB592" s="219"/>
      <c r="AC592" s="219"/>
      <c r="AD592" s="219"/>
      <c r="AE592" s="219"/>
      <c r="AF592" s="219"/>
      <c r="AG592" s="219"/>
      <c r="AH592" s="219"/>
      <c r="AI592" s="219"/>
      <c r="AJ592" s="219"/>
      <c r="AK592" s="219"/>
      <c r="AL592" s="219"/>
      <c r="AM592" s="219"/>
      <c r="AN592" s="219"/>
      <c r="AO592" s="219"/>
      <c r="AP592" s="219"/>
      <c r="AQ592" s="219"/>
      <c r="AR592" s="219"/>
      <c r="AS592" s="219"/>
      <c r="AT592" s="219"/>
      <c r="AU592" s="219"/>
      <c r="AV592" s="219"/>
      <c r="AW592" s="219"/>
      <c r="AX592" s="219"/>
      <c r="AY592" s="219"/>
      <c r="AZ592" s="219"/>
      <c r="BA592" s="219"/>
      <c r="BB592" s="219"/>
      <c r="BC592" s="219"/>
      <c r="BD592" s="219"/>
      <c r="BE592" s="219"/>
      <c r="BF592" s="219"/>
      <c r="BG592" s="219"/>
      <c r="BH592" s="219"/>
      <c r="BI592" s="219"/>
      <c r="BJ592" s="219"/>
      <c r="BK592" s="219"/>
      <c r="BL592" s="219"/>
      <c r="BM592" s="219"/>
      <c r="BN592" s="219"/>
      <c r="BO592" s="219"/>
      <c r="BP592" s="219"/>
      <c r="BQ592" s="219"/>
      <c r="BR592" s="219"/>
      <c r="BS592" s="219"/>
      <c r="BT592" s="219"/>
      <c r="BU592" s="219"/>
      <c r="BV592" s="219"/>
      <c r="BW592" s="219"/>
      <c r="BX592" s="219"/>
      <c r="BY592" s="219"/>
      <c r="BZ592" s="219"/>
      <c r="CA592" s="219"/>
      <c r="CB592" s="219"/>
      <c r="CC592" s="219"/>
      <c r="CD592" s="219"/>
      <c r="CE592" s="219"/>
      <c r="CF592" s="219"/>
      <c r="CG592" s="219"/>
      <c r="CH592" s="219"/>
      <c r="CI592" s="219"/>
      <c r="CJ592" s="219"/>
      <c r="CK592" s="219"/>
      <c r="CL592" s="219"/>
      <c r="CM592" s="219"/>
      <c r="CN592" s="219"/>
      <c r="CO592" s="219"/>
      <c r="CP592" s="219"/>
      <c r="CQ592" s="219"/>
      <c r="CR592" s="219"/>
      <c r="CS592" s="219"/>
      <c r="CT592" s="219"/>
      <c r="CU592" s="219"/>
      <c r="CV592" s="219"/>
      <c r="CW592" s="219"/>
      <c r="CX592" s="219"/>
      <c r="CY592" s="219"/>
      <c r="CZ592" s="219"/>
      <c r="DA592" s="219"/>
      <c r="DB592" s="219"/>
      <c r="DC592" s="219"/>
      <c r="DD592" s="219"/>
      <c r="DE592" s="219"/>
      <c r="DF592" s="219"/>
      <c r="DG592" s="219"/>
      <c r="DH592" s="219"/>
      <c r="DI592" s="219"/>
      <c r="DJ592" s="219"/>
      <c r="DK592" s="219"/>
      <c r="DL592" s="219"/>
      <c r="DM592" s="219"/>
      <c r="DN592" s="219"/>
      <c r="DO592" s="219"/>
      <c r="DP592" s="219"/>
      <c r="DQ592" s="219"/>
      <c r="DR592" s="219"/>
      <c r="DS592" s="219"/>
      <c r="DT592" s="219"/>
      <c r="DU592" s="219"/>
      <c r="DV592" s="219"/>
      <c r="DW592" s="219"/>
      <c r="DX592" s="219"/>
      <c r="DY592" s="219"/>
      <c r="DZ592" s="219"/>
      <c r="EA592" s="219"/>
      <c r="EB592" s="219"/>
      <c r="EC592" s="219"/>
      <c r="ED592" s="219"/>
      <c r="EE592" s="219"/>
      <c r="EF592" s="219"/>
      <c r="EG592" s="219"/>
      <c r="EH592" s="219"/>
      <c r="EI592" s="219"/>
      <c r="EJ592" s="219"/>
      <c r="EK592" s="219"/>
      <c r="EL592" s="219"/>
      <c r="EM592" s="219"/>
      <c r="EN592" s="219"/>
      <c r="EO592" s="219"/>
      <c r="EP592" s="219"/>
      <c r="EQ592" s="219"/>
      <c r="ER592" s="219"/>
      <c r="ES592" s="219"/>
      <c r="ET592" s="219"/>
      <c r="EU592" s="219"/>
      <c r="EV592" s="219"/>
      <c r="EW592" s="219"/>
      <c r="EX592" s="219"/>
      <c r="EY592" s="219"/>
      <c r="EZ592" s="219"/>
      <c r="FA592" s="219"/>
      <c r="FB592" s="219"/>
      <c r="FC592" s="219"/>
      <c r="FD592" s="219"/>
      <c r="FE592" s="219"/>
      <c r="FF592" s="219"/>
      <c r="FG592" s="219"/>
      <c r="FH592" s="219"/>
      <c r="FI592" s="219"/>
      <c r="FJ592" s="219"/>
      <c r="FK592" s="219"/>
      <c r="FL592" s="219"/>
      <c r="FM592" s="219"/>
      <c r="FN592" s="219"/>
      <c r="FO592" s="219"/>
      <c r="FP592" s="219"/>
      <c r="FQ592" s="219"/>
      <c r="FR592" s="219"/>
      <c r="FS592" s="219"/>
      <c r="FT592" s="219"/>
      <c r="FU592" s="219"/>
      <c r="FV592" s="219"/>
      <c r="FW592" s="219"/>
      <c r="FX592" s="219"/>
      <c r="FY592" s="219"/>
      <c r="FZ592" s="219"/>
      <c r="GA592" s="219"/>
      <c r="GB592" s="219"/>
      <c r="GC592" s="219"/>
      <c r="GD592" s="219"/>
      <c r="GE592" s="219"/>
      <c r="GF592" s="219"/>
      <c r="GG592" s="219"/>
      <c r="GH592" s="219"/>
      <c r="GI592" s="219"/>
      <c r="GJ592" s="219"/>
      <c r="GK592" s="219"/>
      <c r="GL592" s="219"/>
      <c r="GM592" s="219"/>
      <c r="GN592" s="219"/>
      <c r="GO592" s="219"/>
      <c r="GP592" s="219"/>
      <c r="GQ592" s="219"/>
      <c r="GR592" s="219"/>
      <c r="GS592" s="219"/>
      <c r="GT592" s="219"/>
      <c r="GU592" s="219"/>
      <c r="GV592" s="219"/>
      <c r="GW592" s="219"/>
      <c r="GX592" s="219"/>
      <c r="GY592" s="219"/>
      <c r="GZ592" s="219"/>
      <c r="HA592" s="219"/>
      <c r="HB592" s="219"/>
      <c r="HC592" s="219"/>
      <c r="HD592" s="219"/>
      <c r="HE592" s="219"/>
      <c r="HF592" s="219"/>
      <c r="HG592" s="219"/>
      <c r="HH592" s="219"/>
      <c r="HI592" s="219"/>
      <c r="HJ592" s="219"/>
      <c r="HK592" s="219"/>
      <c r="HL592" s="219"/>
      <c r="HM592" s="219"/>
      <c r="HN592" s="219"/>
      <c r="HO592" s="219"/>
      <c r="HP592" s="219"/>
      <c r="HQ592" s="219"/>
      <c r="HR592" s="219"/>
      <c r="HS592" s="219"/>
      <c r="HT592" s="219"/>
      <c r="HU592" s="219"/>
      <c r="HV592" s="219"/>
      <c r="HW592" s="219"/>
      <c r="HX592" s="219"/>
      <c r="HY592" s="219"/>
      <c r="HZ592" s="219"/>
      <c r="IA592" s="219"/>
      <c r="IB592" s="219"/>
      <c r="IC592" s="219"/>
      <c r="ID592" s="219"/>
      <c r="IE592" s="219"/>
      <c r="IF592" s="219"/>
      <c r="IG592" s="219"/>
      <c r="IH592" s="219"/>
      <c r="II592" s="219"/>
      <c r="IJ592" s="219"/>
      <c r="IK592" s="219"/>
      <c r="IL592" s="219"/>
      <c r="IM592" s="219"/>
      <c r="IN592" s="219"/>
      <c r="IO592" s="219"/>
      <c r="IP592" s="219"/>
      <c r="IQ592" s="219"/>
      <c r="IR592" s="219"/>
      <c r="IS592" s="219"/>
      <c r="IT592" s="219"/>
      <c r="IU592" s="219"/>
      <c r="IV592" s="219"/>
    </row>
    <row r="593" spans="1:256" x14ac:dyDescent="0.2">
      <c r="A593" s="204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  <c r="AB593" s="219"/>
      <c r="AC593" s="219"/>
      <c r="AD593" s="219"/>
      <c r="AE593" s="219"/>
      <c r="AF593" s="219"/>
      <c r="AG593" s="219"/>
      <c r="AH593" s="219"/>
      <c r="AI593" s="219"/>
      <c r="AJ593" s="219"/>
      <c r="AK593" s="219"/>
      <c r="AL593" s="219"/>
      <c r="AM593" s="219"/>
      <c r="AN593" s="219"/>
      <c r="AO593" s="219"/>
      <c r="AP593" s="219"/>
      <c r="AQ593" s="219"/>
      <c r="AR593" s="219"/>
      <c r="AS593" s="219"/>
      <c r="AT593" s="219"/>
      <c r="AU593" s="219"/>
      <c r="AV593" s="219"/>
      <c r="AW593" s="219"/>
      <c r="AX593" s="219"/>
      <c r="AY593" s="219"/>
      <c r="AZ593" s="219"/>
      <c r="BA593" s="219"/>
      <c r="BB593" s="219"/>
      <c r="BC593" s="219"/>
      <c r="BD593" s="219"/>
      <c r="BE593" s="219"/>
      <c r="BF593" s="219"/>
      <c r="BG593" s="219"/>
      <c r="BH593" s="219"/>
      <c r="BI593" s="219"/>
      <c r="BJ593" s="219"/>
      <c r="BK593" s="219"/>
      <c r="BL593" s="219"/>
      <c r="BM593" s="219"/>
      <c r="BN593" s="219"/>
      <c r="BO593" s="219"/>
      <c r="BP593" s="219"/>
      <c r="BQ593" s="219"/>
      <c r="BR593" s="219"/>
      <c r="BS593" s="219"/>
      <c r="BT593" s="219"/>
      <c r="BU593" s="219"/>
      <c r="BV593" s="219"/>
      <c r="BW593" s="219"/>
      <c r="BX593" s="219"/>
      <c r="BY593" s="219"/>
      <c r="BZ593" s="219"/>
      <c r="CA593" s="219"/>
      <c r="CB593" s="219"/>
      <c r="CC593" s="219"/>
      <c r="CD593" s="219"/>
      <c r="CE593" s="219"/>
      <c r="CF593" s="219"/>
      <c r="CG593" s="219"/>
      <c r="CH593" s="219"/>
      <c r="CI593" s="219"/>
      <c r="CJ593" s="219"/>
      <c r="CK593" s="219"/>
      <c r="CL593" s="219"/>
      <c r="CM593" s="219"/>
      <c r="CN593" s="219"/>
      <c r="CO593" s="219"/>
      <c r="CP593" s="219"/>
      <c r="CQ593" s="219"/>
      <c r="CR593" s="219"/>
      <c r="CS593" s="219"/>
      <c r="CT593" s="219"/>
      <c r="CU593" s="219"/>
      <c r="CV593" s="219"/>
      <c r="CW593" s="219"/>
      <c r="CX593" s="219"/>
      <c r="CY593" s="219"/>
      <c r="CZ593" s="219"/>
      <c r="DA593" s="219"/>
      <c r="DB593" s="219"/>
      <c r="DC593" s="219"/>
      <c r="DD593" s="219"/>
      <c r="DE593" s="219"/>
      <c r="DF593" s="219"/>
      <c r="DG593" s="219"/>
      <c r="DH593" s="219"/>
      <c r="DI593" s="219"/>
      <c r="DJ593" s="219"/>
      <c r="DK593" s="219"/>
      <c r="DL593" s="219"/>
      <c r="DM593" s="219"/>
      <c r="DN593" s="219"/>
      <c r="DO593" s="219"/>
      <c r="DP593" s="219"/>
      <c r="DQ593" s="219"/>
      <c r="DR593" s="219"/>
      <c r="DS593" s="219"/>
      <c r="DT593" s="219"/>
      <c r="DU593" s="219"/>
      <c r="DV593" s="219"/>
      <c r="DW593" s="219"/>
      <c r="DX593" s="219"/>
      <c r="DY593" s="219"/>
      <c r="DZ593" s="219"/>
      <c r="EA593" s="219"/>
      <c r="EB593" s="219"/>
      <c r="EC593" s="219"/>
      <c r="ED593" s="219"/>
      <c r="EE593" s="219"/>
      <c r="EF593" s="219"/>
      <c r="EG593" s="219"/>
      <c r="EH593" s="219"/>
      <c r="EI593" s="219"/>
      <c r="EJ593" s="219"/>
      <c r="EK593" s="219"/>
      <c r="EL593" s="219"/>
      <c r="EM593" s="219"/>
      <c r="EN593" s="219"/>
      <c r="EO593" s="219"/>
      <c r="EP593" s="219"/>
      <c r="EQ593" s="219"/>
      <c r="ER593" s="219"/>
      <c r="ES593" s="219"/>
      <c r="ET593" s="219"/>
      <c r="EU593" s="219"/>
      <c r="EV593" s="219"/>
      <c r="EW593" s="219"/>
      <c r="EX593" s="219"/>
      <c r="EY593" s="219"/>
      <c r="EZ593" s="219"/>
      <c r="FA593" s="219"/>
      <c r="FB593" s="219"/>
      <c r="FC593" s="219"/>
      <c r="FD593" s="219"/>
      <c r="FE593" s="219"/>
      <c r="FF593" s="219"/>
      <c r="FG593" s="219"/>
      <c r="FH593" s="219"/>
      <c r="FI593" s="219"/>
      <c r="FJ593" s="219"/>
      <c r="FK593" s="219"/>
      <c r="FL593" s="219"/>
      <c r="FM593" s="219"/>
      <c r="FN593" s="219"/>
      <c r="FO593" s="219"/>
      <c r="FP593" s="219"/>
      <c r="FQ593" s="219"/>
      <c r="FR593" s="219"/>
      <c r="FS593" s="219"/>
      <c r="FT593" s="219"/>
      <c r="FU593" s="219"/>
      <c r="FV593" s="219"/>
      <c r="FW593" s="219"/>
      <c r="FX593" s="219"/>
      <c r="FY593" s="219"/>
      <c r="FZ593" s="219"/>
      <c r="GA593" s="219"/>
      <c r="GB593" s="219"/>
      <c r="GC593" s="219"/>
      <c r="GD593" s="219"/>
      <c r="GE593" s="219"/>
      <c r="GF593" s="219"/>
      <c r="GG593" s="219"/>
      <c r="GH593" s="219"/>
      <c r="GI593" s="219"/>
      <c r="GJ593" s="219"/>
      <c r="GK593" s="219"/>
      <c r="GL593" s="219"/>
      <c r="GM593" s="219"/>
      <c r="GN593" s="219"/>
      <c r="GO593" s="219"/>
      <c r="GP593" s="219"/>
      <c r="GQ593" s="219"/>
      <c r="GR593" s="219"/>
      <c r="GS593" s="219"/>
      <c r="GT593" s="219"/>
      <c r="GU593" s="219"/>
      <c r="GV593" s="219"/>
      <c r="GW593" s="219"/>
      <c r="GX593" s="219"/>
      <c r="GY593" s="219"/>
      <c r="GZ593" s="219"/>
      <c r="HA593" s="219"/>
      <c r="HB593" s="219"/>
      <c r="HC593" s="219"/>
      <c r="HD593" s="219"/>
      <c r="HE593" s="219"/>
      <c r="HF593" s="219"/>
      <c r="HG593" s="219"/>
      <c r="HH593" s="219"/>
      <c r="HI593" s="219"/>
      <c r="HJ593" s="219"/>
      <c r="HK593" s="219"/>
      <c r="HL593" s="219"/>
      <c r="HM593" s="219"/>
      <c r="HN593" s="219"/>
      <c r="HO593" s="219"/>
      <c r="HP593" s="219"/>
      <c r="HQ593" s="219"/>
      <c r="HR593" s="219"/>
      <c r="HS593" s="219"/>
      <c r="HT593" s="219"/>
      <c r="HU593" s="219"/>
      <c r="HV593" s="219"/>
      <c r="HW593" s="219"/>
      <c r="HX593" s="219"/>
      <c r="HY593" s="219"/>
      <c r="HZ593" s="219"/>
      <c r="IA593" s="219"/>
      <c r="IB593" s="219"/>
      <c r="IC593" s="219"/>
      <c r="ID593" s="219"/>
      <c r="IE593" s="219"/>
      <c r="IF593" s="219"/>
      <c r="IG593" s="219"/>
      <c r="IH593" s="219"/>
      <c r="II593" s="219"/>
      <c r="IJ593" s="219"/>
      <c r="IK593" s="219"/>
      <c r="IL593" s="219"/>
      <c r="IM593" s="219"/>
      <c r="IN593" s="219"/>
      <c r="IO593" s="219"/>
      <c r="IP593" s="219"/>
      <c r="IQ593" s="219"/>
      <c r="IR593" s="219"/>
      <c r="IS593" s="219"/>
      <c r="IT593" s="219"/>
      <c r="IU593" s="219"/>
      <c r="IV593" s="219"/>
    </row>
    <row r="594" spans="1:256" x14ac:dyDescent="0.2">
      <c r="A594" s="204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  <c r="AB594" s="219"/>
      <c r="AC594" s="219"/>
      <c r="AD594" s="219"/>
      <c r="AE594" s="219"/>
      <c r="AF594" s="219"/>
      <c r="AG594" s="219"/>
      <c r="AH594" s="219"/>
      <c r="AI594" s="219"/>
      <c r="AJ594" s="219"/>
      <c r="AK594" s="219"/>
      <c r="AL594" s="219"/>
      <c r="AM594" s="219"/>
      <c r="AN594" s="219"/>
      <c r="AO594" s="219"/>
      <c r="AP594" s="219"/>
      <c r="AQ594" s="219"/>
      <c r="AR594" s="219"/>
      <c r="AS594" s="219"/>
      <c r="AT594" s="219"/>
      <c r="AU594" s="219"/>
      <c r="AV594" s="219"/>
      <c r="AW594" s="219"/>
      <c r="AX594" s="219"/>
      <c r="AY594" s="219"/>
      <c r="AZ594" s="219"/>
      <c r="BA594" s="219"/>
      <c r="BB594" s="219"/>
      <c r="BC594" s="219"/>
      <c r="BD594" s="219"/>
      <c r="BE594" s="219"/>
      <c r="BF594" s="219"/>
      <c r="BG594" s="219"/>
      <c r="BH594" s="219"/>
      <c r="BI594" s="219"/>
      <c r="BJ594" s="219"/>
      <c r="BK594" s="219"/>
      <c r="BL594" s="219"/>
      <c r="BM594" s="219"/>
      <c r="BN594" s="219"/>
      <c r="BO594" s="219"/>
      <c r="BP594" s="219"/>
      <c r="BQ594" s="219"/>
      <c r="BR594" s="219"/>
      <c r="BS594" s="219"/>
      <c r="BT594" s="219"/>
      <c r="BU594" s="219"/>
      <c r="BV594" s="219"/>
      <c r="BW594" s="219"/>
      <c r="BX594" s="219"/>
      <c r="BY594" s="219"/>
      <c r="BZ594" s="219"/>
      <c r="CA594" s="219"/>
      <c r="CB594" s="219"/>
      <c r="CC594" s="219"/>
      <c r="CD594" s="219"/>
      <c r="CE594" s="219"/>
      <c r="CF594" s="219"/>
      <c r="CG594" s="219"/>
      <c r="CH594" s="219"/>
      <c r="CI594" s="219"/>
      <c r="CJ594" s="219"/>
      <c r="CK594" s="219"/>
      <c r="CL594" s="219"/>
      <c r="CM594" s="219"/>
      <c r="CN594" s="219"/>
      <c r="CO594" s="219"/>
      <c r="CP594" s="219"/>
      <c r="CQ594" s="219"/>
      <c r="CR594" s="219"/>
      <c r="CS594" s="219"/>
      <c r="CT594" s="219"/>
      <c r="CU594" s="219"/>
      <c r="CV594" s="219"/>
      <c r="CW594" s="219"/>
      <c r="CX594" s="219"/>
      <c r="CY594" s="219"/>
      <c r="CZ594" s="219"/>
      <c r="DA594" s="219"/>
      <c r="DB594" s="219"/>
      <c r="DC594" s="219"/>
      <c r="DD594" s="219"/>
      <c r="DE594" s="219"/>
      <c r="DF594" s="219"/>
      <c r="DG594" s="219"/>
      <c r="DH594" s="219"/>
      <c r="DI594" s="219"/>
      <c r="DJ594" s="219"/>
      <c r="DK594" s="219"/>
      <c r="DL594" s="219"/>
      <c r="DM594" s="219"/>
      <c r="DN594" s="219"/>
      <c r="DO594" s="219"/>
      <c r="DP594" s="219"/>
      <c r="DQ594" s="219"/>
      <c r="DR594" s="219"/>
      <c r="DS594" s="219"/>
      <c r="DT594" s="219"/>
      <c r="DU594" s="219"/>
      <c r="DV594" s="219"/>
      <c r="DW594" s="219"/>
      <c r="DX594" s="219"/>
      <c r="DY594" s="219"/>
      <c r="DZ594" s="219"/>
      <c r="EA594" s="219"/>
      <c r="EB594" s="219"/>
      <c r="EC594" s="219"/>
      <c r="ED594" s="219"/>
      <c r="EE594" s="219"/>
      <c r="EF594" s="219"/>
      <c r="EG594" s="219"/>
      <c r="EH594" s="219"/>
      <c r="EI594" s="219"/>
      <c r="EJ594" s="219"/>
      <c r="EK594" s="219"/>
      <c r="EL594" s="219"/>
      <c r="EM594" s="219"/>
      <c r="EN594" s="219"/>
      <c r="EO594" s="219"/>
      <c r="EP594" s="219"/>
      <c r="EQ594" s="219"/>
      <c r="ER594" s="219"/>
      <c r="ES594" s="219"/>
      <c r="ET594" s="219"/>
      <c r="EU594" s="219"/>
      <c r="EV594" s="219"/>
      <c r="EW594" s="219"/>
      <c r="EX594" s="219"/>
      <c r="EY594" s="219"/>
      <c r="EZ594" s="219"/>
      <c r="FA594" s="219"/>
      <c r="FB594" s="219"/>
      <c r="FC594" s="219"/>
      <c r="FD594" s="219"/>
      <c r="FE594" s="219"/>
      <c r="FF594" s="219"/>
      <c r="FG594" s="219"/>
      <c r="FH594" s="219"/>
      <c r="FI594" s="219"/>
      <c r="FJ594" s="219"/>
      <c r="FK594" s="219"/>
      <c r="FL594" s="219"/>
      <c r="FM594" s="219"/>
      <c r="FN594" s="219"/>
      <c r="FO594" s="219"/>
      <c r="FP594" s="219"/>
      <c r="FQ594" s="219"/>
      <c r="FR594" s="219"/>
      <c r="FS594" s="219"/>
      <c r="FT594" s="219"/>
      <c r="FU594" s="219"/>
      <c r="FV594" s="219"/>
      <c r="FW594" s="219"/>
      <c r="FX594" s="219"/>
      <c r="FY594" s="219"/>
      <c r="FZ594" s="219"/>
      <c r="GA594" s="219"/>
      <c r="GB594" s="219"/>
      <c r="GC594" s="219"/>
      <c r="GD594" s="219"/>
      <c r="GE594" s="219"/>
      <c r="GF594" s="219"/>
      <c r="GG594" s="219"/>
      <c r="GH594" s="219"/>
      <c r="GI594" s="219"/>
      <c r="GJ594" s="219"/>
      <c r="GK594" s="219"/>
      <c r="GL594" s="219"/>
      <c r="GM594" s="219"/>
      <c r="GN594" s="219"/>
      <c r="GO594" s="219"/>
      <c r="GP594" s="219"/>
      <c r="GQ594" s="219"/>
      <c r="GR594" s="219"/>
      <c r="GS594" s="219"/>
      <c r="GT594" s="219"/>
      <c r="GU594" s="219"/>
      <c r="GV594" s="219"/>
      <c r="GW594" s="219"/>
      <c r="GX594" s="219"/>
      <c r="GY594" s="219"/>
      <c r="GZ594" s="219"/>
      <c r="HA594" s="219"/>
      <c r="HB594" s="219"/>
      <c r="HC594" s="219"/>
      <c r="HD594" s="219"/>
      <c r="HE594" s="219"/>
      <c r="HF594" s="219"/>
      <c r="HG594" s="219"/>
      <c r="HH594" s="219"/>
      <c r="HI594" s="219"/>
      <c r="HJ594" s="219"/>
      <c r="HK594" s="219"/>
      <c r="HL594" s="219"/>
      <c r="HM594" s="219"/>
      <c r="HN594" s="219"/>
      <c r="HO594" s="219"/>
      <c r="HP594" s="219"/>
      <c r="HQ594" s="219"/>
      <c r="HR594" s="219"/>
      <c r="HS594" s="219"/>
      <c r="HT594" s="219"/>
      <c r="HU594" s="219"/>
      <c r="HV594" s="219"/>
      <c r="HW594" s="219"/>
      <c r="HX594" s="219"/>
      <c r="HY594" s="219"/>
      <c r="HZ594" s="219"/>
      <c r="IA594" s="219"/>
      <c r="IB594" s="219"/>
      <c r="IC594" s="219"/>
      <c r="ID594" s="219"/>
      <c r="IE594" s="219"/>
      <c r="IF594" s="219"/>
      <c r="IG594" s="219"/>
      <c r="IH594" s="219"/>
      <c r="II594" s="219"/>
      <c r="IJ594" s="219"/>
      <c r="IK594" s="219"/>
      <c r="IL594" s="219"/>
      <c r="IM594" s="219"/>
      <c r="IN594" s="219"/>
      <c r="IO594" s="219"/>
      <c r="IP594" s="219"/>
      <c r="IQ594" s="219"/>
      <c r="IR594" s="219"/>
      <c r="IS594" s="219"/>
      <c r="IT594" s="219"/>
      <c r="IU594" s="219"/>
      <c r="IV594" s="219"/>
    </row>
    <row r="595" spans="1:256" x14ac:dyDescent="0.2">
      <c r="A595" s="204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  <c r="AB595" s="219"/>
      <c r="AC595" s="219"/>
      <c r="AD595" s="219"/>
      <c r="AE595" s="219"/>
      <c r="AF595" s="219"/>
      <c r="AG595" s="219"/>
      <c r="AH595" s="219"/>
      <c r="AI595" s="219"/>
      <c r="AJ595" s="219"/>
      <c r="AK595" s="219"/>
      <c r="AL595" s="219"/>
      <c r="AM595" s="219"/>
      <c r="AN595" s="219"/>
      <c r="AO595" s="219"/>
      <c r="AP595" s="219"/>
      <c r="AQ595" s="219"/>
      <c r="AR595" s="219"/>
      <c r="AS595" s="219"/>
      <c r="AT595" s="219"/>
      <c r="AU595" s="219"/>
      <c r="AV595" s="219"/>
      <c r="AW595" s="219"/>
      <c r="AX595" s="219"/>
      <c r="AY595" s="219"/>
      <c r="AZ595" s="219"/>
      <c r="BA595" s="219"/>
      <c r="BB595" s="219"/>
      <c r="BC595" s="219"/>
      <c r="BD595" s="219"/>
      <c r="BE595" s="219"/>
      <c r="BF595" s="219"/>
      <c r="BG595" s="219"/>
      <c r="BH595" s="219"/>
      <c r="BI595" s="219"/>
      <c r="BJ595" s="219"/>
      <c r="BK595" s="219"/>
      <c r="BL595" s="219"/>
      <c r="BM595" s="219"/>
      <c r="BN595" s="219"/>
      <c r="BO595" s="219"/>
      <c r="BP595" s="219"/>
      <c r="BQ595" s="219"/>
      <c r="BR595" s="219"/>
      <c r="BS595" s="219"/>
      <c r="BT595" s="219"/>
      <c r="BU595" s="219"/>
      <c r="BV595" s="219"/>
      <c r="BW595" s="219"/>
      <c r="BX595" s="219"/>
      <c r="BY595" s="219"/>
      <c r="BZ595" s="219"/>
      <c r="CA595" s="219"/>
      <c r="CB595" s="219"/>
      <c r="CC595" s="219"/>
      <c r="CD595" s="219"/>
      <c r="CE595" s="219"/>
      <c r="CF595" s="219"/>
      <c r="CG595" s="219"/>
      <c r="CH595" s="219"/>
      <c r="CI595" s="219"/>
      <c r="CJ595" s="219"/>
      <c r="CK595" s="219"/>
      <c r="CL595" s="219"/>
      <c r="CM595" s="219"/>
      <c r="CN595" s="219"/>
      <c r="CO595" s="219"/>
      <c r="CP595" s="219"/>
      <c r="CQ595" s="219"/>
      <c r="CR595" s="219"/>
      <c r="CS595" s="219"/>
      <c r="CT595" s="219"/>
      <c r="CU595" s="219"/>
      <c r="CV595" s="219"/>
      <c r="CW595" s="219"/>
      <c r="CX595" s="219"/>
      <c r="CY595" s="219"/>
      <c r="CZ595" s="219"/>
      <c r="DA595" s="219"/>
      <c r="DB595" s="219"/>
      <c r="DC595" s="219"/>
      <c r="DD595" s="219"/>
      <c r="DE595" s="219"/>
      <c r="DF595" s="219"/>
      <c r="DG595" s="219"/>
      <c r="DH595" s="219"/>
      <c r="DI595" s="219"/>
      <c r="DJ595" s="219"/>
      <c r="DK595" s="219"/>
      <c r="DL595" s="219"/>
      <c r="DM595" s="219"/>
      <c r="DN595" s="219"/>
      <c r="DO595" s="219"/>
      <c r="DP595" s="219"/>
      <c r="DQ595" s="219"/>
      <c r="DR595" s="219"/>
      <c r="DS595" s="219"/>
      <c r="DT595" s="219"/>
      <c r="DU595" s="219"/>
      <c r="DV595" s="219"/>
      <c r="DW595" s="219"/>
      <c r="DX595" s="219"/>
      <c r="DY595" s="219"/>
      <c r="DZ595" s="219"/>
      <c r="EA595" s="219"/>
      <c r="EB595" s="219"/>
      <c r="EC595" s="219"/>
      <c r="ED595" s="219"/>
      <c r="EE595" s="219"/>
      <c r="EF595" s="219"/>
      <c r="EG595" s="219"/>
      <c r="EH595" s="219"/>
      <c r="EI595" s="219"/>
      <c r="EJ595" s="219"/>
      <c r="EK595" s="219"/>
      <c r="EL595" s="219"/>
      <c r="EM595" s="219"/>
      <c r="EN595" s="219"/>
      <c r="EO595" s="219"/>
      <c r="EP595" s="219"/>
      <c r="EQ595" s="219"/>
      <c r="ER595" s="219"/>
      <c r="ES595" s="219"/>
      <c r="ET595" s="219"/>
      <c r="EU595" s="219"/>
      <c r="EV595" s="219"/>
      <c r="EW595" s="219"/>
      <c r="EX595" s="219"/>
      <c r="EY595" s="219"/>
      <c r="EZ595" s="219"/>
      <c r="FA595" s="219"/>
      <c r="FB595" s="219"/>
      <c r="FC595" s="219"/>
      <c r="FD595" s="219"/>
      <c r="FE595" s="219"/>
      <c r="FF595" s="219"/>
      <c r="FG595" s="219"/>
      <c r="FH595" s="219"/>
      <c r="FI595" s="219"/>
      <c r="FJ595" s="219"/>
      <c r="FK595" s="219"/>
      <c r="FL595" s="219"/>
      <c r="FM595" s="219"/>
      <c r="FN595" s="219"/>
      <c r="FO595" s="219"/>
      <c r="FP595" s="219"/>
      <c r="FQ595" s="219"/>
      <c r="FR595" s="219"/>
      <c r="FS595" s="219"/>
      <c r="FT595" s="219"/>
      <c r="FU595" s="219"/>
      <c r="FV595" s="219"/>
      <c r="FW595" s="219"/>
      <c r="FX595" s="219"/>
      <c r="FY595" s="219"/>
      <c r="FZ595" s="219"/>
      <c r="GA595" s="219"/>
      <c r="GB595" s="219"/>
      <c r="GC595" s="219"/>
      <c r="GD595" s="219"/>
      <c r="GE595" s="219"/>
      <c r="GF595" s="219"/>
      <c r="GG595" s="219"/>
      <c r="GH595" s="219"/>
      <c r="GI595" s="219"/>
      <c r="GJ595" s="219"/>
      <c r="GK595" s="219"/>
      <c r="GL595" s="219"/>
      <c r="GM595" s="219"/>
      <c r="GN595" s="219"/>
      <c r="GO595" s="219"/>
      <c r="GP595" s="219"/>
      <c r="GQ595" s="219"/>
      <c r="GR595" s="219"/>
      <c r="GS595" s="219"/>
      <c r="GT595" s="219"/>
      <c r="GU595" s="219"/>
      <c r="GV595" s="219"/>
      <c r="GW595" s="219"/>
      <c r="GX595" s="219"/>
      <c r="GY595" s="219"/>
      <c r="GZ595" s="219"/>
      <c r="HA595" s="219"/>
      <c r="HB595" s="219"/>
      <c r="HC595" s="219"/>
      <c r="HD595" s="219"/>
      <c r="HE595" s="219"/>
      <c r="HF595" s="219"/>
      <c r="HG595" s="219"/>
      <c r="HH595" s="219"/>
      <c r="HI595" s="219"/>
      <c r="HJ595" s="219"/>
      <c r="HK595" s="219"/>
      <c r="HL595" s="219"/>
      <c r="HM595" s="219"/>
      <c r="HN595" s="219"/>
      <c r="HO595" s="219"/>
      <c r="HP595" s="219"/>
      <c r="HQ595" s="219"/>
      <c r="HR595" s="219"/>
      <c r="HS595" s="219"/>
      <c r="HT595" s="219"/>
      <c r="HU595" s="219"/>
      <c r="HV595" s="219"/>
      <c r="HW595" s="219"/>
      <c r="HX595" s="219"/>
      <c r="HY595" s="219"/>
      <c r="HZ595" s="219"/>
      <c r="IA595" s="219"/>
      <c r="IB595" s="219"/>
      <c r="IC595" s="219"/>
      <c r="ID595" s="219"/>
      <c r="IE595" s="219"/>
      <c r="IF595" s="219"/>
      <c r="IG595" s="219"/>
      <c r="IH595" s="219"/>
      <c r="II595" s="219"/>
      <c r="IJ595" s="219"/>
      <c r="IK595" s="219"/>
      <c r="IL595" s="219"/>
      <c r="IM595" s="219"/>
      <c r="IN595" s="219"/>
      <c r="IO595" s="219"/>
      <c r="IP595" s="219"/>
      <c r="IQ595" s="219"/>
      <c r="IR595" s="219"/>
      <c r="IS595" s="219"/>
      <c r="IT595" s="219"/>
      <c r="IU595" s="219"/>
      <c r="IV595" s="219"/>
    </row>
    <row r="596" spans="1:256" x14ac:dyDescent="0.2">
      <c r="A596" s="204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  <c r="AB596" s="219"/>
      <c r="AC596" s="219"/>
      <c r="AD596" s="219"/>
      <c r="AE596" s="219"/>
      <c r="AF596" s="219"/>
      <c r="AG596" s="219"/>
      <c r="AH596" s="219"/>
      <c r="AI596" s="219"/>
      <c r="AJ596" s="219"/>
      <c r="AK596" s="219"/>
      <c r="AL596" s="219"/>
      <c r="AM596" s="219"/>
      <c r="AN596" s="219"/>
      <c r="AO596" s="219"/>
      <c r="AP596" s="219"/>
      <c r="AQ596" s="219"/>
      <c r="AR596" s="219"/>
      <c r="AS596" s="219"/>
      <c r="AT596" s="219"/>
      <c r="AU596" s="219"/>
      <c r="AV596" s="219"/>
      <c r="AW596" s="219"/>
      <c r="AX596" s="219"/>
      <c r="AY596" s="219"/>
      <c r="AZ596" s="219"/>
      <c r="BA596" s="219"/>
      <c r="BB596" s="219"/>
      <c r="BC596" s="219"/>
      <c r="BD596" s="219"/>
      <c r="BE596" s="219"/>
      <c r="BF596" s="219"/>
      <c r="BG596" s="219"/>
      <c r="BH596" s="219"/>
      <c r="BI596" s="219"/>
      <c r="BJ596" s="219"/>
      <c r="BK596" s="219"/>
      <c r="BL596" s="219"/>
      <c r="BM596" s="219"/>
      <c r="BN596" s="219"/>
      <c r="BO596" s="219"/>
      <c r="BP596" s="219"/>
      <c r="BQ596" s="219"/>
      <c r="BR596" s="219"/>
      <c r="BS596" s="219"/>
      <c r="BT596" s="219"/>
      <c r="BU596" s="219"/>
      <c r="BV596" s="219"/>
      <c r="BW596" s="219"/>
      <c r="BX596" s="219"/>
      <c r="BY596" s="219"/>
      <c r="BZ596" s="219"/>
      <c r="CA596" s="219"/>
      <c r="CB596" s="219"/>
      <c r="CC596" s="219"/>
      <c r="CD596" s="219"/>
      <c r="CE596" s="219"/>
      <c r="CF596" s="219"/>
      <c r="CG596" s="219"/>
      <c r="CH596" s="219"/>
      <c r="CI596" s="219"/>
      <c r="CJ596" s="219"/>
      <c r="CK596" s="219"/>
      <c r="CL596" s="219"/>
      <c r="CM596" s="219"/>
      <c r="CN596" s="219"/>
      <c r="CO596" s="219"/>
      <c r="CP596" s="219"/>
      <c r="CQ596" s="219"/>
      <c r="CR596" s="219"/>
      <c r="CS596" s="219"/>
      <c r="CT596" s="219"/>
      <c r="CU596" s="219"/>
      <c r="CV596" s="219"/>
      <c r="CW596" s="219"/>
      <c r="CX596" s="219"/>
      <c r="CY596" s="219"/>
      <c r="CZ596" s="219"/>
      <c r="DA596" s="219"/>
      <c r="DB596" s="219"/>
      <c r="DC596" s="219"/>
      <c r="DD596" s="219"/>
      <c r="DE596" s="219"/>
      <c r="DF596" s="219"/>
      <c r="DG596" s="219"/>
      <c r="DH596" s="219"/>
      <c r="DI596" s="219"/>
      <c r="DJ596" s="219"/>
      <c r="DK596" s="219"/>
      <c r="DL596" s="219"/>
      <c r="DM596" s="219"/>
      <c r="DN596" s="219"/>
      <c r="DO596" s="219"/>
      <c r="DP596" s="219"/>
      <c r="DQ596" s="219"/>
      <c r="DR596" s="219"/>
      <c r="DS596" s="219"/>
      <c r="DT596" s="219"/>
      <c r="DU596" s="219"/>
      <c r="DV596" s="219"/>
      <c r="DW596" s="219"/>
      <c r="DX596" s="219"/>
      <c r="DY596" s="219"/>
      <c r="DZ596" s="219"/>
      <c r="EA596" s="219"/>
      <c r="EB596" s="219"/>
      <c r="EC596" s="219"/>
      <c r="ED596" s="219"/>
      <c r="EE596" s="219"/>
      <c r="EF596" s="219"/>
      <c r="EG596" s="219"/>
      <c r="EH596" s="219"/>
      <c r="EI596" s="219"/>
      <c r="EJ596" s="219"/>
      <c r="EK596" s="219"/>
      <c r="EL596" s="219"/>
      <c r="EM596" s="219"/>
      <c r="EN596" s="219"/>
      <c r="EO596" s="219"/>
      <c r="EP596" s="219"/>
      <c r="EQ596" s="219"/>
      <c r="ER596" s="219"/>
      <c r="ES596" s="219"/>
      <c r="ET596" s="219"/>
      <c r="EU596" s="219"/>
      <c r="EV596" s="219"/>
      <c r="EW596" s="219"/>
      <c r="EX596" s="219"/>
      <c r="EY596" s="219"/>
      <c r="EZ596" s="219"/>
      <c r="FA596" s="219"/>
      <c r="FB596" s="219"/>
      <c r="FC596" s="219"/>
      <c r="FD596" s="219"/>
      <c r="FE596" s="219"/>
      <c r="FF596" s="219"/>
      <c r="FG596" s="219"/>
      <c r="FH596" s="219"/>
      <c r="FI596" s="219"/>
      <c r="FJ596" s="219"/>
      <c r="FK596" s="219"/>
      <c r="FL596" s="219"/>
      <c r="FM596" s="219"/>
      <c r="FN596" s="219"/>
      <c r="FO596" s="219"/>
      <c r="FP596" s="219"/>
      <c r="FQ596" s="219"/>
      <c r="FR596" s="219"/>
      <c r="FS596" s="219"/>
      <c r="FT596" s="219"/>
      <c r="FU596" s="219"/>
      <c r="FV596" s="219"/>
      <c r="FW596" s="219"/>
      <c r="FX596" s="219"/>
      <c r="FY596" s="219"/>
      <c r="FZ596" s="219"/>
      <c r="GA596" s="219"/>
      <c r="GB596" s="219"/>
      <c r="GC596" s="219"/>
      <c r="GD596" s="219"/>
      <c r="GE596" s="219"/>
      <c r="GF596" s="219"/>
      <c r="GG596" s="219"/>
      <c r="GH596" s="219"/>
      <c r="GI596" s="219"/>
      <c r="GJ596" s="219"/>
      <c r="GK596" s="219"/>
      <c r="GL596" s="219"/>
      <c r="GM596" s="219"/>
      <c r="GN596" s="219"/>
      <c r="GO596" s="219"/>
      <c r="GP596" s="219"/>
      <c r="GQ596" s="219"/>
      <c r="GR596" s="219"/>
      <c r="GS596" s="219"/>
      <c r="GT596" s="219"/>
      <c r="GU596" s="219"/>
      <c r="GV596" s="219"/>
      <c r="GW596" s="219"/>
      <c r="GX596" s="219"/>
      <c r="GY596" s="219"/>
      <c r="GZ596" s="219"/>
      <c r="HA596" s="219"/>
      <c r="HB596" s="219"/>
      <c r="HC596" s="219"/>
      <c r="HD596" s="219"/>
      <c r="HE596" s="219"/>
      <c r="HF596" s="219"/>
      <c r="HG596" s="219"/>
      <c r="HH596" s="219"/>
      <c r="HI596" s="219"/>
      <c r="HJ596" s="219"/>
      <c r="HK596" s="219"/>
      <c r="HL596" s="219"/>
      <c r="HM596" s="219"/>
      <c r="HN596" s="219"/>
      <c r="HO596" s="219"/>
      <c r="HP596" s="219"/>
      <c r="HQ596" s="219"/>
      <c r="HR596" s="219"/>
      <c r="HS596" s="219"/>
      <c r="HT596" s="219"/>
      <c r="HU596" s="219"/>
      <c r="HV596" s="219"/>
      <c r="HW596" s="219"/>
      <c r="HX596" s="219"/>
      <c r="HY596" s="219"/>
      <c r="HZ596" s="219"/>
      <c r="IA596" s="219"/>
      <c r="IB596" s="219"/>
      <c r="IC596" s="219"/>
      <c r="ID596" s="219"/>
      <c r="IE596" s="219"/>
      <c r="IF596" s="219"/>
      <c r="IG596" s="219"/>
      <c r="IH596" s="219"/>
      <c r="II596" s="219"/>
      <c r="IJ596" s="219"/>
      <c r="IK596" s="219"/>
      <c r="IL596" s="219"/>
      <c r="IM596" s="219"/>
      <c r="IN596" s="219"/>
      <c r="IO596" s="219"/>
      <c r="IP596" s="219"/>
      <c r="IQ596" s="219"/>
      <c r="IR596" s="219"/>
      <c r="IS596" s="219"/>
      <c r="IT596" s="219"/>
      <c r="IU596" s="219"/>
      <c r="IV596" s="219"/>
    </row>
    <row r="597" spans="1:256" x14ac:dyDescent="0.2">
      <c r="A597" s="204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  <c r="AB597" s="219"/>
      <c r="AC597" s="219"/>
      <c r="AD597" s="219"/>
      <c r="AE597" s="219"/>
      <c r="AF597" s="219"/>
      <c r="AG597" s="219"/>
      <c r="AH597" s="219"/>
      <c r="AI597" s="219"/>
      <c r="AJ597" s="219"/>
      <c r="AK597" s="219"/>
      <c r="AL597" s="219"/>
      <c r="AM597" s="219"/>
      <c r="AN597" s="219"/>
      <c r="AO597" s="219"/>
      <c r="AP597" s="219"/>
      <c r="AQ597" s="219"/>
      <c r="AR597" s="219"/>
      <c r="AS597" s="219"/>
      <c r="AT597" s="219"/>
      <c r="AU597" s="219"/>
      <c r="AV597" s="219"/>
      <c r="AW597" s="219"/>
      <c r="AX597" s="219"/>
      <c r="AY597" s="219"/>
      <c r="AZ597" s="219"/>
      <c r="BA597" s="219"/>
      <c r="BB597" s="219"/>
      <c r="BC597" s="219"/>
      <c r="BD597" s="219"/>
      <c r="BE597" s="219"/>
      <c r="BF597" s="219"/>
      <c r="BG597" s="219"/>
      <c r="BH597" s="219"/>
      <c r="BI597" s="219"/>
      <c r="BJ597" s="219"/>
      <c r="BK597" s="219"/>
      <c r="BL597" s="219"/>
      <c r="BM597" s="219"/>
      <c r="BN597" s="219"/>
      <c r="BO597" s="219"/>
      <c r="BP597" s="219"/>
      <c r="BQ597" s="219"/>
      <c r="BR597" s="219"/>
      <c r="BS597" s="219"/>
      <c r="BT597" s="219"/>
      <c r="BU597" s="219"/>
      <c r="BV597" s="219"/>
      <c r="BW597" s="219"/>
      <c r="BX597" s="219"/>
      <c r="BY597" s="219"/>
      <c r="BZ597" s="219"/>
      <c r="CA597" s="219"/>
      <c r="CB597" s="219"/>
      <c r="CC597" s="219"/>
      <c r="CD597" s="219"/>
      <c r="CE597" s="219"/>
      <c r="CF597" s="219"/>
      <c r="CG597" s="219"/>
      <c r="CH597" s="219"/>
      <c r="CI597" s="219"/>
      <c r="CJ597" s="219"/>
      <c r="CK597" s="219"/>
      <c r="CL597" s="219"/>
      <c r="CM597" s="219"/>
      <c r="CN597" s="219"/>
      <c r="CO597" s="219"/>
      <c r="CP597" s="219"/>
      <c r="CQ597" s="219"/>
      <c r="CR597" s="219"/>
      <c r="CS597" s="219"/>
      <c r="CT597" s="219"/>
      <c r="CU597" s="219"/>
      <c r="CV597" s="219"/>
      <c r="CW597" s="219"/>
      <c r="CX597" s="219"/>
      <c r="CY597" s="219"/>
      <c r="CZ597" s="219"/>
      <c r="DA597" s="219"/>
      <c r="DB597" s="219"/>
      <c r="DC597" s="219"/>
      <c r="DD597" s="219"/>
      <c r="DE597" s="219"/>
      <c r="DF597" s="219"/>
      <c r="DG597" s="219"/>
      <c r="DH597" s="219"/>
      <c r="DI597" s="219"/>
      <c r="DJ597" s="219"/>
      <c r="DK597" s="219"/>
      <c r="DL597" s="219"/>
      <c r="DM597" s="219"/>
      <c r="DN597" s="219"/>
      <c r="DO597" s="219"/>
      <c r="DP597" s="219"/>
      <c r="DQ597" s="219"/>
      <c r="DR597" s="219"/>
      <c r="DS597" s="219"/>
      <c r="DT597" s="219"/>
      <c r="DU597" s="219"/>
      <c r="DV597" s="219"/>
      <c r="DW597" s="219"/>
      <c r="DX597" s="219"/>
      <c r="DY597" s="219"/>
      <c r="DZ597" s="219"/>
      <c r="EA597" s="219"/>
      <c r="EB597" s="219"/>
      <c r="EC597" s="219"/>
      <c r="ED597" s="219"/>
      <c r="EE597" s="219"/>
      <c r="EF597" s="219"/>
      <c r="EG597" s="219"/>
      <c r="EH597" s="219"/>
      <c r="EI597" s="219"/>
      <c r="EJ597" s="219"/>
      <c r="EK597" s="219"/>
      <c r="EL597" s="219"/>
      <c r="EM597" s="219"/>
      <c r="EN597" s="219"/>
      <c r="EO597" s="219"/>
      <c r="EP597" s="219"/>
      <c r="EQ597" s="219"/>
      <c r="ER597" s="219"/>
      <c r="ES597" s="219"/>
      <c r="ET597" s="219"/>
      <c r="EU597" s="219"/>
      <c r="EV597" s="219"/>
      <c r="EW597" s="219"/>
      <c r="EX597" s="219"/>
      <c r="EY597" s="219"/>
      <c r="EZ597" s="219"/>
      <c r="FA597" s="219"/>
      <c r="FB597" s="219"/>
      <c r="FC597" s="219"/>
      <c r="FD597" s="219"/>
      <c r="FE597" s="219"/>
      <c r="FF597" s="219"/>
      <c r="FG597" s="219"/>
      <c r="FH597" s="219"/>
      <c r="FI597" s="219"/>
      <c r="FJ597" s="219"/>
      <c r="FK597" s="219"/>
      <c r="FL597" s="219"/>
      <c r="FM597" s="219"/>
      <c r="FN597" s="219"/>
      <c r="FO597" s="219"/>
      <c r="FP597" s="219"/>
      <c r="FQ597" s="219"/>
      <c r="FR597" s="219"/>
      <c r="FS597" s="219"/>
      <c r="FT597" s="219"/>
      <c r="FU597" s="219"/>
      <c r="FV597" s="219"/>
      <c r="FW597" s="219"/>
      <c r="FX597" s="219"/>
      <c r="FY597" s="219"/>
      <c r="FZ597" s="219"/>
      <c r="GA597" s="219"/>
      <c r="GB597" s="219"/>
      <c r="GC597" s="219"/>
      <c r="GD597" s="219"/>
      <c r="GE597" s="219"/>
      <c r="GF597" s="219"/>
      <c r="GG597" s="219"/>
      <c r="GH597" s="219"/>
      <c r="GI597" s="219"/>
      <c r="GJ597" s="219"/>
      <c r="GK597" s="219"/>
      <c r="GL597" s="219"/>
      <c r="GM597" s="219"/>
      <c r="GN597" s="219"/>
      <c r="GO597" s="219"/>
      <c r="GP597" s="219"/>
      <c r="GQ597" s="219"/>
      <c r="GR597" s="219"/>
      <c r="GS597" s="219"/>
      <c r="GT597" s="219"/>
      <c r="GU597" s="219"/>
      <c r="GV597" s="219"/>
      <c r="GW597" s="219"/>
      <c r="GX597" s="219"/>
      <c r="GY597" s="219"/>
      <c r="GZ597" s="219"/>
      <c r="HA597" s="219"/>
      <c r="HB597" s="219"/>
      <c r="HC597" s="219"/>
      <c r="HD597" s="219"/>
      <c r="HE597" s="219"/>
      <c r="HF597" s="219"/>
      <c r="HG597" s="219"/>
      <c r="HH597" s="219"/>
      <c r="HI597" s="219"/>
      <c r="HJ597" s="219"/>
      <c r="HK597" s="219"/>
      <c r="HL597" s="219"/>
      <c r="HM597" s="219"/>
      <c r="HN597" s="219"/>
      <c r="HO597" s="219"/>
      <c r="HP597" s="219"/>
      <c r="HQ597" s="219"/>
      <c r="HR597" s="219"/>
      <c r="HS597" s="219"/>
      <c r="HT597" s="219"/>
      <c r="HU597" s="219"/>
      <c r="HV597" s="219"/>
      <c r="HW597" s="219"/>
      <c r="HX597" s="219"/>
      <c r="HY597" s="219"/>
      <c r="HZ597" s="219"/>
      <c r="IA597" s="219"/>
      <c r="IB597" s="219"/>
      <c r="IC597" s="219"/>
      <c r="ID597" s="219"/>
      <c r="IE597" s="219"/>
      <c r="IF597" s="219"/>
      <c r="IG597" s="219"/>
      <c r="IH597" s="219"/>
      <c r="II597" s="219"/>
      <c r="IJ597" s="219"/>
      <c r="IK597" s="219"/>
      <c r="IL597" s="219"/>
      <c r="IM597" s="219"/>
      <c r="IN597" s="219"/>
      <c r="IO597" s="219"/>
      <c r="IP597" s="219"/>
      <c r="IQ597" s="219"/>
      <c r="IR597" s="219"/>
      <c r="IS597" s="219"/>
      <c r="IT597" s="219"/>
      <c r="IU597" s="219"/>
      <c r="IV597" s="219"/>
    </row>
    <row r="598" spans="1:256" x14ac:dyDescent="0.2">
      <c r="A598" s="204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  <c r="AD598" s="219"/>
      <c r="AE598" s="219"/>
      <c r="AF598" s="219"/>
      <c r="AG598" s="219"/>
      <c r="AH598" s="219"/>
      <c r="AI598" s="219"/>
      <c r="AJ598" s="219"/>
      <c r="AK598" s="219"/>
      <c r="AL598" s="219"/>
      <c r="AM598" s="219"/>
      <c r="AN598" s="219"/>
      <c r="AO598" s="219"/>
      <c r="AP598" s="219"/>
      <c r="AQ598" s="219"/>
      <c r="AR598" s="219"/>
      <c r="AS598" s="219"/>
      <c r="AT598" s="219"/>
      <c r="AU598" s="219"/>
      <c r="AV598" s="219"/>
      <c r="AW598" s="219"/>
      <c r="AX598" s="219"/>
      <c r="AY598" s="219"/>
      <c r="AZ598" s="219"/>
      <c r="BA598" s="219"/>
      <c r="BB598" s="219"/>
      <c r="BC598" s="219"/>
      <c r="BD598" s="219"/>
      <c r="BE598" s="219"/>
      <c r="BF598" s="219"/>
      <c r="BG598" s="219"/>
      <c r="BH598" s="219"/>
      <c r="BI598" s="219"/>
      <c r="BJ598" s="219"/>
      <c r="BK598" s="219"/>
      <c r="BL598" s="219"/>
      <c r="BM598" s="219"/>
      <c r="BN598" s="219"/>
      <c r="BO598" s="219"/>
      <c r="BP598" s="219"/>
      <c r="BQ598" s="219"/>
      <c r="BR598" s="219"/>
      <c r="BS598" s="219"/>
      <c r="BT598" s="219"/>
      <c r="BU598" s="219"/>
      <c r="BV598" s="219"/>
      <c r="BW598" s="219"/>
      <c r="BX598" s="219"/>
      <c r="BY598" s="219"/>
      <c r="BZ598" s="219"/>
      <c r="CA598" s="219"/>
      <c r="CB598" s="219"/>
      <c r="CC598" s="219"/>
      <c r="CD598" s="219"/>
      <c r="CE598" s="219"/>
      <c r="CF598" s="219"/>
      <c r="CG598" s="219"/>
      <c r="CH598" s="219"/>
      <c r="CI598" s="219"/>
      <c r="CJ598" s="219"/>
      <c r="CK598" s="219"/>
      <c r="CL598" s="219"/>
      <c r="CM598" s="219"/>
      <c r="CN598" s="219"/>
      <c r="CO598" s="219"/>
      <c r="CP598" s="219"/>
      <c r="CQ598" s="219"/>
      <c r="CR598" s="219"/>
      <c r="CS598" s="219"/>
      <c r="CT598" s="219"/>
      <c r="CU598" s="219"/>
      <c r="CV598" s="219"/>
      <c r="CW598" s="219"/>
      <c r="CX598" s="219"/>
      <c r="CY598" s="219"/>
      <c r="CZ598" s="219"/>
      <c r="DA598" s="219"/>
      <c r="DB598" s="219"/>
      <c r="DC598" s="219"/>
      <c r="DD598" s="219"/>
      <c r="DE598" s="219"/>
      <c r="DF598" s="219"/>
      <c r="DG598" s="219"/>
      <c r="DH598" s="219"/>
      <c r="DI598" s="219"/>
      <c r="DJ598" s="219"/>
      <c r="DK598" s="219"/>
      <c r="DL598" s="219"/>
      <c r="DM598" s="219"/>
      <c r="DN598" s="219"/>
      <c r="DO598" s="219"/>
      <c r="DP598" s="219"/>
      <c r="DQ598" s="219"/>
      <c r="DR598" s="219"/>
      <c r="DS598" s="219"/>
      <c r="DT598" s="219"/>
      <c r="DU598" s="219"/>
      <c r="DV598" s="219"/>
      <c r="DW598" s="219"/>
      <c r="DX598" s="219"/>
      <c r="DY598" s="219"/>
      <c r="DZ598" s="219"/>
      <c r="EA598" s="219"/>
      <c r="EB598" s="219"/>
      <c r="EC598" s="219"/>
      <c r="ED598" s="219"/>
      <c r="EE598" s="219"/>
      <c r="EF598" s="219"/>
      <c r="EG598" s="219"/>
      <c r="EH598" s="219"/>
      <c r="EI598" s="219"/>
      <c r="EJ598" s="219"/>
      <c r="EK598" s="219"/>
      <c r="EL598" s="219"/>
      <c r="EM598" s="219"/>
      <c r="EN598" s="219"/>
      <c r="EO598" s="219"/>
      <c r="EP598" s="219"/>
      <c r="EQ598" s="219"/>
      <c r="ER598" s="219"/>
      <c r="ES598" s="219"/>
      <c r="ET598" s="219"/>
      <c r="EU598" s="219"/>
      <c r="EV598" s="219"/>
      <c r="EW598" s="219"/>
      <c r="EX598" s="219"/>
      <c r="EY598" s="219"/>
      <c r="EZ598" s="219"/>
      <c r="FA598" s="219"/>
      <c r="FB598" s="219"/>
      <c r="FC598" s="219"/>
      <c r="FD598" s="219"/>
      <c r="FE598" s="219"/>
      <c r="FF598" s="219"/>
      <c r="FG598" s="219"/>
      <c r="FH598" s="219"/>
      <c r="FI598" s="219"/>
      <c r="FJ598" s="219"/>
      <c r="FK598" s="219"/>
      <c r="FL598" s="219"/>
      <c r="FM598" s="219"/>
      <c r="FN598" s="219"/>
      <c r="FO598" s="219"/>
      <c r="FP598" s="219"/>
      <c r="FQ598" s="219"/>
      <c r="FR598" s="219"/>
      <c r="FS598" s="219"/>
      <c r="FT598" s="219"/>
      <c r="FU598" s="219"/>
      <c r="FV598" s="219"/>
      <c r="FW598" s="219"/>
      <c r="FX598" s="219"/>
      <c r="FY598" s="219"/>
      <c r="FZ598" s="219"/>
      <c r="GA598" s="219"/>
      <c r="GB598" s="219"/>
      <c r="GC598" s="219"/>
      <c r="GD598" s="219"/>
      <c r="GE598" s="219"/>
      <c r="GF598" s="219"/>
      <c r="GG598" s="219"/>
      <c r="GH598" s="219"/>
      <c r="GI598" s="219"/>
      <c r="GJ598" s="219"/>
      <c r="GK598" s="219"/>
      <c r="GL598" s="219"/>
      <c r="GM598" s="219"/>
      <c r="GN598" s="219"/>
      <c r="GO598" s="219"/>
      <c r="GP598" s="219"/>
      <c r="GQ598" s="219"/>
      <c r="GR598" s="219"/>
      <c r="GS598" s="219"/>
      <c r="GT598" s="219"/>
      <c r="GU598" s="219"/>
      <c r="GV598" s="219"/>
      <c r="GW598" s="219"/>
      <c r="GX598" s="219"/>
      <c r="GY598" s="219"/>
      <c r="GZ598" s="219"/>
      <c r="HA598" s="219"/>
      <c r="HB598" s="219"/>
      <c r="HC598" s="219"/>
      <c r="HD598" s="219"/>
      <c r="HE598" s="219"/>
      <c r="HF598" s="219"/>
      <c r="HG598" s="219"/>
      <c r="HH598" s="219"/>
      <c r="HI598" s="219"/>
      <c r="HJ598" s="219"/>
      <c r="HK598" s="219"/>
      <c r="HL598" s="219"/>
      <c r="HM598" s="219"/>
      <c r="HN598" s="219"/>
      <c r="HO598" s="219"/>
      <c r="HP598" s="219"/>
      <c r="HQ598" s="219"/>
      <c r="HR598" s="219"/>
      <c r="HS598" s="219"/>
      <c r="HT598" s="219"/>
      <c r="HU598" s="219"/>
      <c r="HV598" s="219"/>
      <c r="HW598" s="219"/>
      <c r="HX598" s="219"/>
      <c r="HY598" s="219"/>
      <c r="HZ598" s="219"/>
      <c r="IA598" s="219"/>
      <c r="IB598" s="219"/>
      <c r="IC598" s="219"/>
      <c r="ID598" s="219"/>
      <c r="IE598" s="219"/>
      <c r="IF598" s="219"/>
      <c r="IG598" s="219"/>
      <c r="IH598" s="219"/>
      <c r="II598" s="219"/>
      <c r="IJ598" s="219"/>
      <c r="IK598" s="219"/>
      <c r="IL598" s="219"/>
      <c r="IM598" s="219"/>
      <c r="IN598" s="219"/>
      <c r="IO598" s="219"/>
      <c r="IP598" s="219"/>
      <c r="IQ598" s="219"/>
      <c r="IR598" s="219"/>
      <c r="IS598" s="219"/>
      <c r="IT598" s="219"/>
      <c r="IU598" s="219"/>
      <c r="IV598" s="219"/>
    </row>
    <row r="599" spans="1:256" x14ac:dyDescent="0.2">
      <c r="A599" s="204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  <c r="AB599" s="219"/>
      <c r="AC599" s="219"/>
      <c r="AD599" s="219"/>
      <c r="AE599" s="219"/>
      <c r="AF599" s="219"/>
      <c r="AG599" s="219"/>
      <c r="AH599" s="219"/>
      <c r="AI599" s="219"/>
      <c r="AJ599" s="219"/>
      <c r="AK599" s="219"/>
      <c r="AL599" s="219"/>
      <c r="AM599" s="219"/>
      <c r="AN599" s="219"/>
      <c r="AO599" s="219"/>
      <c r="AP599" s="219"/>
      <c r="AQ599" s="219"/>
      <c r="AR599" s="219"/>
      <c r="AS599" s="219"/>
      <c r="AT599" s="219"/>
      <c r="AU599" s="219"/>
      <c r="AV599" s="219"/>
      <c r="AW599" s="219"/>
      <c r="AX599" s="219"/>
      <c r="AY599" s="219"/>
      <c r="AZ599" s="219"/>
      <c r="BA599" s="219"/>
      <c r="BB599" s="219"/>
      <c r="BC599" s="219"/>
      <c r="BD599" s="219"/>
      <c r="BE599" s="219"/>
      <c r="BF599" s="219"/>
      <c r="BG599" s="219"/>
      <c r="BH599" s="219"/>
      <c r="BI599" s="219"/>
      <c r="BJ599" s="219"/>
      <c r="BK599" s="219"/>
      <c r="BL599" s="219"/>
      <c r="BM599" s="219"/>
      <c r="BN599" s="219"/>
      <c r="BO599" s="219"/>
      <c r="BP599" s="219"/>
      <c r="BQ599" s="219"/>
      <c r="BR599" s="219"/>
      <c r="BS599" s="219"/>
      <c r="BT599" s="219"/>
      <c r="BU599" s="219"/>
      <c r="BV599" s="219"/>
      <c r="BW599" s="219"/>
      <c r="BX599" s="219"/>
      <c r="BY599" s="219"/>
      <c r="BZ599" s="219"/>
      <c r="CA599" s="219"/>
      <c r="CB599" s="219"/>
      <c r="CC599" s="219"/>
      <c r="CD599" s="219"/>
      <c r="CE599" s="219"/>
      <c r="CF599" s="219"/>
      <c r="CG599" s="219"/>
      <c r="CH599" s="219"/>
      <c r="CI599" s="219"/>
      <c r="CJ599" s="219"/>
      <c r="CK599" s="219"/>
      <c r="CL599" s="219"/>
      <c r="CM599" s="219"/>
      <c r="CN599" s="219"/>
      <c r="CO599" s="219"/>
      <c r="CP599" s="219"/>
      <c r="CQ599" s="219"/>
      <c r="CR599" s="219"/>
      <c r="CS599" s="219"/>
      <c r="CT599" s="219"/>
      <c r="CU599" s="219"/>
      <c r="CV599" s="219"/>
      <c r="CW599" s="219"/>
      <c r="CX599" s="219"/>
      <c r="CY599" s="219"/>
      <c r="CZ599" s="219"/>
      <c r="DA599" s="219"/>
      <c r="DB599" s="219"/>
      <c r="DC599" s="219"/>
      <c r="DD599" s="219"/>
      <c r="DE599" s="219"/>
      <c r="DF599" s="219"/>
      <c r="DG599" s="219"/>
      <c r="DH599" s="219"/>
      <c r="DI599" s="219"/>
      <c r="DJ599" s="219"/>
      <c r="DK599" s="219"/>
      <c r="DL599" s="219"/>
      <c r="DM599" s="219"/>
      <c r="DN599" s="219"/>
      <c r="DO599" s="219"/>
      <c r="DP599" s="219"/>
      <c r="DQ599" s="219"/>
      <c r="DR599" s="219"/>
      <c r="DS599" s="219"/>
      <c r="DT599" s="219"/>
      <c r="DU599" s="219"/>
      <c r="DV599" s="219"/>
      <c r="DW599" s="219"/>
      <c r="DX599" s="219"/>
      <c r="DY599" s="219"/>
      <c r="DZ599" s="219"/>
      <c r="EA599" s="219"/>
      <c r="EB599" s="219"/>
      <c r="EC599" s="219"/>
      <c r="ED599" s="219"/>
      <c r="EE599" s="219"/>
      <c r="EF599" s="219"/>
      <c r="EG599" s="219"/>
      <c r="EH599" s="219"/>
      <c r="EI599" s="219"/>
      <c r="EJ599" s="219"/>
      <c r="EK599" s="219"/>
      <c r="EL599" s="219"/>
      <c r="EM599" s="219"/>
      <c r="EN599" s="219"/>
      <c r="EO599" s="219"/>
      <c r="EP599" s="219"/>
      <c r="EQ599" s="219"/>
      <c r="ER599" s="219"/>
      <c r="ES599" s="219"/>
      <c r="ET599" s="219"/>
      <c r="EU599" s="219"/>
      <c r="EV599" s="219"/>
      <c r="EW599" s="219"/>
      <c r="EX599" s="219"/>
      <c r="EY599" s="219"/>
      <c r="EZ599" s="219"/>
      <c r="FA599" s="219"/>
      <c r="FB599" s="219"/>
      <c r="FC599" s="219"/>
      <c r="FD599" s="219"/>
      <c r="FE599" s="219"/>
      <c r="FF599" s="219"/>
      <c r="FG599" s="219"/>
      <c r="FH599" s="219"/>
      <c r="FI599" s="219"/>
      <c r="FJ599" s="219"/>
      <c r="FK599" s="219"/>
      <c r="FL599" s="219"/>
      <c r="FM599" s="219"/>
      <c r="FN599" s="219"/>
      <c r="FO599" s="219"/>
      <c r="FP599" s="219"/>
      <c r="FQ599" s="219"/>
      <c r="FR599" s="219"/>
      <c r="FS599" s="219"/>
      <c r="FT599" s="219"/>
      <c r="FU599" s="219"/>
      <c r="FV599" s="219"/>
      <c r="FW599" s="219"/>
      <c r="FX599" s="219"/>
      <c r="FY599" s="219"/>
      <c r="FZ599" s="219"/>
      <c r="GA599" s="219"/>
      <c r="GB599" s="219"/>
      <c r="GC599" s="219"/>
      <c r="GD599" s="219"/>
      <c r="GE599" s="219"/>
      <c r="GF599" s="219"/>
      <c r="GG599" s="219"/>
      <c r="GH599" s="219"/>
      <c r="GI599" s="219"/>
      <c r="GJ599" s="219"/>
      <c r="GK599" s="219"/>
      <c r="GL599" s="219"/>
      <c r="GM599" s="219"/>
      <c r="GN599" s="219"/>
      <c r="GO599" s="219"/>
      <c r="GP599" s="219"/>
      <c r="GQ599" s="219"/>
      <c r="GR599" s="219"/>
      <c r="GS599" s="219"/>
      <c r="GT599" s="219"/>
      <c r="GU599" s="219"/>
      <c r="GV599" s="219"/>
      <c r="GW599" s="219"/>
      <c r="GX599" s="219"/>
      <c r="GY599" s="219"/>
      <c r="GZ599" s="219"/>
      <c r="HA599" s="219"/>
      <c r="HB599" s="219"/>
      <c r="HC599" s="219"/>
      <c r="HD599" s="219"/>
      <c r="HE599" s="219"/>
      <c r="HF599" s="219"/>
      <c r="HG599" s="219"/>
      <c r="HH599" s="219"/>
      <c r="HI599" s="219"/>
      <c r="HJ599" s="219"/>
      <c r="HK599" s="219"/>
      <c r="HL599" s="219"/>
      <c r="HM599" s="219"/>
      <c r="HN599" s="219"/>
      <c r="HO599" s="219"/>
      <c r="HP599" s="219"/>
      <c r="HQ599" s="219"/>
      <c r="HR599" s="219"/>
      <c r="HS599" s="219"/>
      <c r="HT599" s="219"/>
      <c r="HU599" s="219"/>
      <c r="HV599" s="219"/>
      <c r="HW599" s="219"/>
      <c r="HX599" s="219"/>
      <c r="HY599" s="219"/>
      <c r="HZ599" s="219"/>
      <c r="IA599" s="219"/>
      <c r="IB599" s="219"/>
      <c r="IC599" s="219"/>
      <c r="ID599" s="219"/>
      <c r="IE599" s="219"/>
      <c r="IF599" s="219"/>
      <c r="IG599" s="219"/>
      <c r="IH599" s="219"/>
      <c r="II599" s="219"/>
      <c r="IJ599" s="219"/>
      <c r="IK599" s="219"/>
      <c r="IL599" s="219"/>
      <c r="IM599" s="219"/>
      <c r="IN599" s="219"/>
      <c r="IO599" s="219"/>
      <c r="IP599" s="219"/>
      <c r="IQ599" s="219"/>
      <c r="IR599" s="219"/>
      <c r="IS599" s="219"/>
      <c r="IT599" s="219"/>
      <c r="IU599" s="219"/>
      <c r="IV599" s="219"/>
    </row>
    <row r="600" spans="1:256" x14ac:dyDescent="0.2">
      <c r="A600" s="204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  <c r="AB600" s="219"/>
      <c r="AC600" s="219"/>
      <c r="AD600" s="219"/>
      <c r="AE600" s="219"/>
      <c r="AF600" s="219"/>
      <c r="AG600" s="219"/>
      <c r="AH600" s="219"/>
      <c r="AI600" s="219"/>
      <c r="AJ600" s="219"/>
      <c r="AK600" s="219"/>
      <c r="AL600" s="219"/>
      <c r="AM600" s="219"/>
      <c r="AN600" s="219"/>
      <c r="AO600" s="219"/>
      <c r="AP600" s="219"/>
      <c r="AQ600" s="219"/>
      <c r="AR600" s="219"/>
      <c r="AS600" s="219"/>
      <c r="AT600" s="219"/>
      <c r="AU600" s="219"/>
      <c r="AV600" s="219"/>
      <c r="AW600" s="219"/>
      <c r="AX600" s="219"/>
      <c r="AY600" s="219"/>
      <c r="AZ600" s="219"/>
      <c r="BA600" s="219"/>
      <c r="BB600" s="219"/>
      <c r="BC600" s="219"/>
      <c r="BD600" s="219"/>
      <c r="BE600" s="219"/>
      <c r="BF600" s="219"/>
      <c r="BG600" s="219"/>
      <c r="BH600" s="219"/>
      <c r="BI600" s="219"/>
      <c r="BJ600" s="219"/>
      <c r="BK600" s="219"/>
      <c r="BL600" s="219"/>
      <c r="BM600" s="219"/>
      <c r="BN600" s="219"/>
      <c r="BO600" s="219"/>
      <c r="BP600" s="219"/>
      <c r="BQ600" s="219"/>
      <c r="BR600" s="219"/>
      <c r="BS600" s="219"/>
      <c r="BT600" s="219"/>
      <c r="BU600" s="219"/>
      <c r="BV600" s="219"/>
      <c r="BW600" s="219"/>
      <c r="BX600" s="219"/>
      <c r="BY600" s="219"/>
      <c r="BZ600" s="219"/>
      <c r="CA600" s="219"/>
      <c r="CB600" s="219"/>
      <c r="CC600" s="219"/>
      <c r="CD600" s="219"/>
      <c r="CE600" s="219"/>
      <c r="CF600" s="219"/>
      <c r="CG600" s="219"/>
      <c r="CH600" s="219"/>
      <c r="CI600" s="219"/>
      <c r="CJ600" s="219"/>
      <c r="CK600" s="219"/>
      <c r="CL600" s="219"/>
      <c r="CM600" s="219"/>
      <c r="CN600" s="219"/>
      <c r="CO600" s="219"/>
      <c r="CP600" s="219"/>
      <c r="CQ600" s="219"/>
      <c r="CR600" s="219"/>
      <c r="CS600" s="219"/>
      <c r="CT600" s="219"/>
      <c r="CU600" s="219"/>
      <c r="CV600" s="219"/>
      <c r="CW600" s="219"/>
      <c r="CX600" s="219"/>
      <c r="CY600" s="219"/>
      <c r="CZ600" s="219"/>
      <c r="DA600" s="219"/>
      <c r="DB600" s="219"/>
      <c r="DC600" s="219"/>
      <c r="DD600" s="219"/>
      <c r="DE600" s="219"/>
      <c r="DF600" s="219"/>
      <c r="DG600" s="219"/>
      <c r="DH600" s="219"/>
      <c r="DI600" s="219"/>
      <c r="DJ600" s="219"/>
      <c r="DK600" s="219"/>
      <c r="DL600" s="219"/>
      <c r="DM600" s="219"/>
      <c r="DN600" s="219"/>
      <c r="DO600" s="219"/>
      <c r="DP600" s="219"/>
      <c r="DQ600" s="219"/>
      <c r="DR600" s="219"/>
      <c r="DS600" s="219"/>
      <c r="DT600" s="219"/>
      <c r="DU600" s="219"/>
      <c r="DV600" s="219"/>
      <c r="DW600" s="219"/>
      <c r="DX600" s="219"/>
      <c r="DY600" s="219"/>
      <c r="DZ600" s="219"/>
      <c r="EA600" s="219"/>
      <c r="EB600" s="219"/>
      <c r="EC600" s="219"/>
      <c r="ED600" s="219"/>
      <c r="EE600" s="219"/>
      <c r="EF600" s="219"/>
      <c r="EG600" s="219"/>
      <c r="EH600" s="219"/>
      <c r="EI600" s="219"/>
      <c r="EJ600" s="219"/>
      <c r="EK600" s="219"/>
      <c r="EL600" s="219"/>
      <c r="EM600" s="219"/>
      <c r="EN600" s="219"/>
      <c r="EO600" s="219"/>
      <c r="EP600" s="219"/>
      <c r="EQ600" s="219"/>
      <c r="ER600" s="219"/>
      <c r="ES600" s="219"/>
      <c r="ET600" s="219"/>
      <c r="EU600" s="219"/>
      <c r="EV600" s="219"/>
      <c r="EW600" s="219"/>
      <c r="EX600" s="219"/>
      <c r="EY600" s="219"/>
      <c r="EZ600" s="219"/>
      <c r="FA600" s="219"/>
      <c r="FB600" s="219"/>
      <c r="FC600" s="219"/>
      <c r="FD600" s="219"/>
      <c r="FE600" s="219"/>
      <c r="FF600" s="219"/>
      <c r="FG600" s="219"/>
      <c r="FH600" s="219"/>
      <c r="FI600" s="219"/>
      <c r="FJ600" s="219"/>
      <c r="FK600" s="219"/>
      <c r="FL600" s="219"/>
      <c r="FM600" s="219"/>
      <c r="FN600" s="219"/>
      <c r="FO600" s="219"/>
      <c r="FP600" s="219"/>
      <c r="FQ600" s="219"/>
      <c r="FR600" s="219"/>
      <c r="FS600" s="219"/>
      <c r="FT600" s="219"/>
      <c r="FU600" s="219"/>
      <c r="FV600" s="219"/>
      <c r="FW600" s="219"/>
      <c r="FX600" s="219"/>
      <c r="FY600" s="219"/>
      <c r="FZ600" s="219"/>
      <c r="GA600" s="219"/>
      <c r="GB600" s="219"/>
      <c r="GC600" s="219"/>
      <c r="GD600" s="219"/>
      <c r="GE600" s="219"/>
      <c r="GF600" s="219"/>
      <c r="GG600" s="219"/>
      <c r="GH600" s="219"/>
      <c r="GI600" s="219"/>
      <c r="GJ600" s="219"/>
      <c r="GK600" s="219"/>
      <c r="GL600" s="219"/>
      <c r="GM600" s="219"/>
      <c r="GN600" s="219"/>
      <c r="GO600" s="219"/>
      <c r="GP600" s="219"/>
      <c r="GQ600" s="219"/>
      <c r="GR600" s="219"/>
      <c r="GS600" s="219"/>
      <c r="GT600" s="219"/>
      <c r="GU600" s="219"/>
      <c r="GV600" s="219"/>
      <c r="GW600" s="219"/>
      <c r="GX600" s="219"/>
      <c r="GY600" s="219"/>
      <c r="GZ600" s="219"/>
      <c r="HA600" s="219"/>
      <c r="HB600" s="219"/>
      <c r="HC600" s="219"/>
      <c r="HD600" s="219"/>
      <c r="HE600" s="219"/>
      <c r="HF600" s="219"/>
      <c r="HG600" s="219"/>
      <c r="HH600" s="219"/>
      <c r="HI600" s="219"/>
      <c r="HJ600" s="219"/>
      <c r="HK600" s="219"/>
      <c r="HL600" s="219"/>
      <c r="HM600" s="219"/>
      <c r="HN600" s="219"/>
      <c r="HO600" s="219"/>
      <c r="HP600" s="219"/>
      <c r="HQ600" s="219"/>
      <c r="HR600" s="219"/>
      <c r="HS600" s="219"/>
      <c r="HT600" s="219"/>
      <c r="HU600" s="219"/>
      <c r="HV600" s="219"/>
      <c r="HW600" s="219"/>
      <c r="HX600" s="219"/>
      <c r="HY600" s="219"/>
      <c r="HZ600" s="219"/>
      <c r="IA600" s="219"/>
      <c r="IB600" s="219"/>
      <c r="IC600" s="219"/>
      <c r="ID600" s="219"/>
      <c r="IE600" s="219"/>
      <c r="IF600" s="219"/>
      <c r="IG600" s="219"/>
      <c r="IH600" s="219"/>
      <c r="II600" s="219"/>
      <c r="IJ600" s="219"/>
      <c r="IK600" s="219"/>
      <c r="IL600" s="219"/>
      <c r="IM600" s="219"/>
      <c r="IN600" s="219"/>
      <c r="IO600" s="219"/>
      <c r="IP600" s="219"/>
      <c r="IQ600" s="219"/>
      <c r="IR600" s="219"/>
      <c r="IS600" s="219"/>
      <c r="IT600" s="219"/>
      <c r="IU600" s="219"/>
      <c r="IV600" s="219"/>
    </row>
  </sheetData>
  <mergeCells count="89">
    <mergeCell ref="IV3"/>
    <mergeCell ref="DS6:EC6"/>
    <mergeCell ref="M6:W6"/>
    <mergeCell ref="AI6:AS6"/>
    <mergeCell ref="EO6:EY6"/>
    <mergeCell ref="HV6:HZ7"/>
    <mergeCell ref="GW5:IV5"/>
    <mergeCell ref="X6:AH6"/>
    <mergeCell ref="DH6:DR6"/>
    <mergeCell ref="AT6:BD6"/>
    <mergeCell ref="BE6:BO6"/>
    <mergeCell ref="BP6:BZ6"/>
    <mergeCell ref="CA6:CK6"/>
    <mergeCell ref="CL6:CV6"/>
    <mergeCell ref="CW6:DG6"/>
    <mergeCell ref="AJ7:AS7"/>
    <mergeCell ref="A5:A8"/>
    <mergeCell ref="B5:L6"/>
    <mergeCell ref="ED6:EN6"/>
    <mergeCell ref="GR6:GV7"/>
    <mergeCell ref="IA6:IE7"/>
    <mergeCell ref="M5:GQ5"/>
    <mergeCell ref="GW6:HA7"/>
    <mergeCell ref="GR5:GV5"/>
    <mergeCell ref="HB6:HF7"/>
    <mergeCell ref="HG6:HK7"/>
    <mergeCell ref="HL6:HP7"/>
    <mergeCell ref="GG6:GQ6"/>
    <mergeCell ref="EZ6:FJ6"/>
    <mergeCell ref="FK6:FU6"/>
    <mergeCell ref="X7:X8"/>
    <mergeCell ref="Y7:AH7"/>
    <mergeCell ref="BO344:CL344"/>
    <mergeCell ref="IO337:IQ337"/>
    <mergeCell ref="HA337:HC337"/>
    <mergeCell ref="HU337:HW337"/>
    <mergeCell ref="DS7:DS8"/>
    <mergeCell ref="FV7:FV8"/>
    <mergeCell ref="IF6:IJ7"/>
    <mergeCell ref="IK6:IO7"/>
    <mergeCell ref="IP6:IT7"/>
    <mergeCell ref="DG344:ED344"/>
    <mergeCell ref="EY344:FV344"/>
    <mergeCell ref="HY344:IG344"/>
    <mergeCell ref="ED7:ED8"/>
    <mergeCell ref="CM7:CV7"/>
    <mergeCell ref="CW7:CW8"/>
    <mergeCell ref="AT7:AT8"/>
    <mergeCell ref="AU7:BD7"/>
    <mergeCell ref="GG7:GG8"/>
    <mergeCell ref="GH7:GQ7"/>
    <mergeCell ref="BE7:BE8"/>
    <mergeCell ref="BF7:BO7"/>
    <mergeCell ref="BP7:BP8"/>
    <mergeCell ref="EE7:EN7"/>
    <mergeCell ref="EP7:EY7"/>
    <mergeCell ref="EZ7:EZ8"/>
    <mergeCell ref="B7:B8"/>
    <mergeCell ref="IV6:IV7"/>
    <mergeCell ref="CX7:DG7"/>
    <mergeCell ref="EO7:EO8"/>
    <mergeCell ref="W343:AT343"/>
    <mergeCell ref="N7:W7"/>
    <mergeCell ref="FV6:GF6"/>
    <mergeCell ref="BQ7:BZ7"/>
    <mergeCell ref="FA7:FJ7"/>
    <mergeCell ref="AI7:AI8"/>
    <mergeCell ref="C7:L7"/>
    <mergeCell ref="IV337"/>
    <mergeCell ref="M7:M8"/>
    <mergeCell ref="CL7:CL8"/>
    <mergeCell ref="FL7:FU7"/>
    <mergeCell ref="DT7:EC7"/>
    <mergeCell ref="W344:AT344"/>
    <mergeCell ref="HW343:II343"/>
    <mergeCell ref="IV344"/>
    <mergeCell ref="HQ6:HU7"/>
    <mergeCell ref="DH7:DH8"/>
    <mergeCell ref="FK7:FK8"/>
    <mergeCell ref="FW7:GF7"/>
    <mergeCell ref="DI7:DR7"/>
    <mergeCell ref="CA7:CA8"/>
    <mergeCell ref="CB7:CK7"/>
    <mergeCell ref="IQ343:IV343"/>
    <mergeCell ref="BO343:CL343"/>
    <mergeCell ref="HE344:HM344"/>
    <mergeCell ref="DG343:ED343"/>
    <mergeCell ref="EY343:FV343"/>
    <mergeCell ref="HC343:HO343"/>
  </mergeCells>
  <pageMargins left="0" right="0" top="0" bottom="0" header="0.05" footer="0.05"/>
  <pageSetup paperSize="5" scale="5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89"/>
  <sheetViews>
    <sheetView zoomScale="55" zoomScaleNormal="55" workbookViewId="0">
      <pane ySplit="7" topLeftCell="A38" activePane="bottomLeft" state="frozen"/>
      <selection pane="bottomLeft" activeCell="N81" sqref="N81"/>
    </sheetView>
  </sheetViews>
  <sheetFormatPr defaultColWidth="9" defaultRowHeight="15" x14ac:dyDescent="0.25"/>
  <cols>
    <col min="1" max="1" width="11.85546875" customWidth="1"/>
    <col min="2" max="2" width="14.42578125" hidden="1"/>
    <col min="3" max="3" width="13.85546875" customWidth="1"/>
    <col min="4" max="4" width="14.85546875" customWidth="1"/>
    <col min="5" max="5" width="31.28515625" customWidth="1"/>
    <col min="6" max="6" width="5.42578125" customWidth="1"/>
    <col min="7" max="7" width="18.85546875" customWidth="1"/>
    <col min="8" max="8" width="19.42578125" customWidth="1"/>
    <col min="9" max="9" width="22.28515625" customWidth="1"/>
    <col min="10" max="10" width="19" customWidth="1"/>
    <col min="11" max="11" width="11.140625" customWidth="1"/>
    <col min="12" max="12" width="10.140625" customWidth="1"/>
    <col min="13" max="13" width="20.7109375" customWidth="1"/>
    <col min="14" max="14" width="23.140625" customWidth="1"/>
    <col min="15" max="15" width="10.28515625" bestFit="1" customWidth="1"/>
    <col min="16" max="16" width="13.42578125" bestFit="1" customWidth="1"/>
    <col min="17" max="18" width="17.42578125" customWidth="1"/>
    <col min="19" max="19" width="27.7109375" customWidth="1"/>
    <col min="20" max="20" width="19.7109375" customWidth="1"/>
    <col min="21" max="21" width="15.42578125" customWidth="1"/>
    <col min="22" max="22" width="13.7109375" customWidth="1"/>
    <col min="23" max="23" width="11.140625" customWidth="1"/>
    <col min="24" max="24" width="10.7109375" customWidth="1"/>
    <col min="25" max="25" width="13" customWidth="1"/>
    <col min="26" max="30" width="9.140625" customWidth="1"/>
    <col min="31" max="256" width="8.7109375" customWidth="1"/>
  </cols>
  <sheetData>
    <row r="1" spans="1:30" x14ac:dyDescent="0.25">
      <c r="J1" s="220"/>
      <c r="K1" s="221" t="s">
        <v>304</v>
      </c>
      <c r="L1" s="221" t="s">
        <v>305</v>
      </c>
      <c r="M1" s="221" t="s">
        <v>21</v>
      </c>
    </row>
    <row r="2" spans="1:30" ht="17.25" x14ac:dyDescent="0.2">
      <c r="A2" s="797" t="s">
        <v>306</v>
      </c>
      <c r="B2" s="797"/>
      <c r="C2" s="797"/>
      <c r="D2" s="797"/>
      <c r="E2" s="797"/>
      <c r="F2" s="261"/>
      <c r="G2" s="261"/>
      <c r="H2" s="261"/>
      <c r="I2" s="261"/>
      <c r="J2" s="222" t="s">
        <v>307</v>
      </c>
      <c r="K2" s="223" t="e">
        <f>SUM(K60)</f>
        <v>#REF!</v>
      </c>
      <c r="L2" s="223" t="e">
        <f>SUM(L60)</f>
        <v>#REF!</v>
      </c>
      <c r="M2" s="222" t="e">
        <f>SUM(K2:L2)</f>
        <v>#REF!</v>
      </c>
      <c r="N2" s="261"/>
      <c r="O2" s="261"/>
      <c r="P2" s="261"/>
      <c r="Q2" s="261"/>
      <c r="R2" s="224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</row>
    <row r="3" spans="1:30" ht="17.25" x14ac:dyDescent="0.3">
      <c r="A3" s="797" t="s">
        <v>308</v>
      </c>
      <c r="B3" s="797"/>
      <c r="C3" s="797"/>
      <c r="D3" s="797"/>
      <c r="E3" s="797"/>
      <c r="F3" s="261"/>
      <c r="G3" s="225"/>
      <c r="H3" s="261"/>
      <c r="I3" s="261"/>
      <c r="J3" s="222" t="s">
        <v>309</v>
      </c>
      <c r="K3" s="223"/>
      <c r="L3" s="223"/>
      <c r="M3" s="222">
        <f>SUM(K3:L3)</f>
        <v>0</v>
      </c>
      <c r="N3" s="261"/>
      <c r="O3" s="261"/>
      <c r="P3" s="261"/>
      <c r="Q3" s="261"/>
      <c r="R3" s="224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</row>
    <row r="4" spans="1:30" ht="31.5" customHeight="1" x14ac:dyDescent="0.3">
      <c r="A4" s="263"/>
      <c r="B4" s="263"/>
      <c r="C4" s="263" t="s">
        <v>310</v>
      </c>
      <c r="D4" s="263"/>
      <c r="E4" s="263"/>
      <c r="F4" s="261"/>
      <c r="G4" s="225"/>
      <c r="H4" s="225"/>
      <c r="I4" s="261"/>
      <c r="J4" s="226"/>
      <c r="K4" s="223"/>
      <c r="L4" s="223"/>
      <c r="M4" s="222" t="e">
        <f>SUM(M2:M3)</f>
        <v>#REF!</v>
      </c>
      <c r="N4" s="261"/>
      <c r="O4" s="261"/>
      <c r="P4" s="261"/>
      <c r="Q4" s="261"/>
      <c r="R4" s="224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</row>
    <row r="5" spans="1:30" ht="15" customHeight="1" x14ac:dyDescent="0.25">
      <c r="A5" s="798" t="s">
        <v>311</v>
      </c>
      <c r="B5" s="798"/>
      <c r="C5" s="798"/>
      <c r="D5" s="798"/>
      <c r="E5" s="798"/>
      <c r="F5" s="798"/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9" t="s">
        <v>312</v>
      </c>
      <c r="T5" s="799"/>
      <c r="U5" s="799"/>
      <c r="V5" s="801" t="s">
        <v>313</v>
      </c>
      <c r="W5" s="801"/>
      <c r="X5" s="801"/>
      <c r="Y5" s="801"/>
      <c r="Z5" s="801"/>
      <c r="AA5" s="801"/>
      <c r="AB5" s="801"/>
      <c r="AC5" s="801"/>
      <c r="AD5" s="801"/>
    </row>
    <row r="6" spans="1:30" ht="57" customHeight="1" x14ac:dyDescent="0.25">
      <c r="A6" s="795" t="s">
        <v>314</v>
      </c>
      <c r="B6" s="795" t="s">
        <v>315</v>
      </c>
      <c r="C6" s="795" t="s">
        <v>316</v>
      </c>
      <c r="D6" s="264" t="s">
        <v>317</v>
      </c>
      <c r="E6" s="795" t="s">
        <v>318</v>
      </c>
      <c r="F6" s="800"/>
      <c r="G6" s="795" t="s">
        <v>319</v>
      </c>
      <c r="H6" s="795"/>
      <c r="I6" s="795"/>
      <c r="J6" s="795" t="s">
        <v>320</v>
      </c>
      <c r="K6" s="795" t="s">
        <v>321</v>
      </c>
      <c r="L6" s="795"/>
      <c r="M6" s="795" t="s">
        <v>322</v>
      </c>
      <c r="N6" s="795"/>
      <c r="O6" s="795"/>
      <c r="P6" s="795" t="s">
        <v>323</v>
      </c>
      <c r="Q6" s="795" t="s">
        <v>324</v>
      </c>
      <c r="R6" s="793" t="s">
        <v>325</v>
      </c>
      <c r="S6" s="796" t="s">
        <v>326</v>
      </c>
      <c r="T6" s="796" t="s">
        <v>327</v>
      </c>
      <c r="U6" s="796" t="s">
        <v>328</v>
      </c>
      <c r="V6" s="794" t="s">
        <v>329</v>
      </c>
      <c r="W6" s="794"/>
      <c r="X6" s="794"/>
      <c r="Y6" s="794" t="s">
        <v>330</v>
      </c>
      <c r="Z6" s="794"/>
      <c r="AA6" s="794"/>
      <c r="AB6" s="794" t="s">
        <v>331</v>
      </c>
      <c r="AC6" s="794"/>
      <c r="AD6" s="794"/>
    </row>
    <row r="7" spans="1:30" ht="60" x14ac:dyDescent="0.25">
      <c r="A7" s="795"/>
      <c r="B7" s="795"/>
      <c r="C7" s="795"/>
      <c r="D7" s="264" t="s">
        <v>332</v>
      </c>
      <c r="E7" s="795"/>
      <c r="F7" s="800"/>
      <c r="G7" s="264" t="s">
        <v>333</v>
      </c>
      <c r="H7" s="264" t="s">
        <v>334</v>
      </c>
      <c r="I7" s="264" t="s">
        <v>335</v>
      </c>
      <c r="J7" s="795"/>
      <c r="K7" s="264" t="s">
        <v>336</v>
      </c>
      <c r="L7" s="264" t="s">
        <v>337</v>
      </c>
      <c r="M7" s="264" t="s">
        <v>338</v>
      </c>
      <c r="N7" s="264" t="s">
        <v>339</v>
      </c>
      <c r="O7" s="264" t="s">
        <v>340</v>
      </c>
      <c r="P7" s="795"/>
      <c r="Q7" s="795"/>
      <c r="R7" s="793"/>
      <c r="S7" s="796"/>
      <c r="T7" s="796"/>
      <c r="U7" s="796"/>
      <c r="V7" s="227" t="s">
        <v>341</v>
      </c>
      <c r="W7" s="265" t="s">
        <v>342</v>
      </c>
      <c r="X7" s="265" t="s">
        <v>343</v>
      </c>
      <c r="Y7" s="227" t="s">
        <v>341</v>
      </c>
      <c r="Z7" s="265" t="s">
        <v>342</v>
      </c>
      <c r="AA7" s="265" t="s">
        <v>343</v>
      </c>
      <c r="AB7" s="227" t="s">
        <v>341</v>
      </c>
      <c r="AC7" s="265" t="s">
        <v>342</v>
      </c>
      <c r="AD7" s="265" t="s">
        <v>343</v>
      </c>
    </row>
    <row r="8" spans="1:30" ht="7.5" customHeight="1" x14ac:dyDescent="0.2">
      <c r="A8" s="261"/>
      <c r="B8" s="261"/>
      <c r="C8" s="261"/>
      <c r="D8" s="261"/>
      <c r="E8" s="261"/>
      <c r="F8" s="266"/>
      <c r="G8" s="261"/>
      <c r="H8" s="261"/>
      <c r="I8" s="261"/>
      <c r="J8" s="261"/>
      <c r="K8" s="267"/>
      <c r="L8" s="267"/>
      <c r="M8" s="261"/>
      <c r="N8" s="261"/>
      <c r="O8" s="261"/>
      <c r="P8" s="261"/>
      <c r="Q8" s="261"/>
      <c r="R8" s="224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</row>
    <row r="9" spans="1:30" ht="17.25" x14ac:dyDescent="0.2">
      <c r="A9" s="261"/>
      <c r="B9" s="261"/>
      <c r="C9" s="261"/>
      <c r="D9" s="261"/>
      <c r="E9" s="261"/>
      <c r="F9" s="266"/>
      <c r="G9" s="261"/>
      <c r="H9" s="261"/>
      <c r="I9" s="261"/>
      <c r="J9" s="261"/>
      <c r="K9" s="267"/>
      <c r="L9" s="267"/>
      <c r="M9" s="261"/>
      <c r="N9" s="261"/>
      <c r="O9" s="261"/>
      <c r="P9" s="261"/>
      <c r="Q9" s="261"/>
      <c r="R9" s="224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</row>
    <row r="10" spans="1:30" s="228" customFormat="1" ht="17.25" x14ac:dyDescent="0.2">
      <c r="A10" s="229" t="s">
        <v>281</v>
      </c>
      <c r="B10" s="230"/>
      <c r="C10" s="230"/>
      <c r="D10" s="230"/>
      <c r="E10" s="230"/>
      <c r="F10" s="231"/>
      <c r="G10" s="230"/>
      <c r="H10" s="230"/>
      <c r="I10" s="230"/>
      <c r="J10" s="230"/>
      <c r="K10" s="232"/>
      <c r="L10" s="232"/>
      <c r="M10" s="230"/>
      <c r="N10" s="230"/>
      <c r="O10" s="230"/>
      <c r="P10" s="230"/>
      <c r="Q10" s="230"/>
      <c r="R10" s="233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</row>
    <row r="11" spans="1:30" ht="17.25" x14ac:dyDescent="0.2">
      <c r="A11" s="234" t="s">
        <v>344</v>
      </c>
      <c r="B11" s="235"/>
      <c r="C11" s="235"/>
      <c r="D11" s="235"/>
      <c r="E11" s="235"/>
      <c r="F11" s="236"/>
      <c r="G11" s="235"/>
      <c r="H11" s="235"/>
      <c r="I11" s="235"/>
      <c r="J11" s="223" t="s">
        <v>16</v>
      </c>
      <c r="K11" s="223">
        <f>SUM(K12:K13)</f>
        <v>0</v>
      </c>
      <c r="L11" s="223">
        <f>SUM(L12:L13)</f>
        <v>0</v>
      </c>
      <c r="M11" s="261"/>
      <c r="N11" s="261"/>
      <c r="O11" s="261"/>
      <c r="P11" s="261"/>
      <c r="Q11" s="261"/>
      <c r="R11" s="224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</row>
    <row r="12" spans="1:30" s="237" customFormat="1" ht="17.25" x14ac:dyDescent="0.2">
      <c r="A12" s="238"/>
      <c r="B12" s="239"/>
      <c r="C12" s="239"/>
      <c r="D12" s="240"/>
      <c r="E12" s="240"/>
      <c r="F12" s="241"/>
      <c r="G12" s="239"/>
      <c r="H12" s="239"/>
      <c r="I12" s="239"/>
      <c r="J12" s="242"/>
      <c r="K12" s="243"/>
      <c r="L12" s="244"/>
      <c r="M12" s="239"/>
      <c r="N12" s="239"/>
      <c r="O12" s="239"/>
      <c r="P12" s="240"/>
      <c r="Q12" s="240"/>
      <c r="R12" s="245"/>
      <c r="S12" s="240"/>
      <c r="T12" s="246"/>
      <c r="U12" s="247"/>
      <c r="V12" s="248"/>
      <c r="W12" s="239"/>
      <c r="X12" s="239"/>
      <c r="Y12" s="239"/>
      <c r="Z12" s="239"/>
      <c r="AA12" s="239"/>
      <c r="AB12" s="239"/>
      <c r="AC12" s="239"/>
      <c r="AD12" s="239"/>
    </row>
    <row r="13" spans="1:30" ht="17.25" x14ac:dyDescent="0.2">
      <c r="A13" s="262"/>
      <c r="B13" s="261"/>
      <c r="C13" s="261"/>
      <c r="D13" s="249"/>
      <c r="E13" s="240"/>
      <c r="F13" s="241"/>
      <c r="G13" s="239"/>
      <c r="H13" s="239"/>
      <c r="I13" s="239"/>
      <c r="J13" s="250"/>
      <c r="K13" s="251"/>
      <c r="L13" s="251"/>
      <c r="M13" s="239"/>
      <c r="N13" s="239"/>
      <c r="O13" s="239"/>
      <c r="P13" s="240"/>
      <c r="Q13" s="240"/>
      <c r="R13" s="245"/>
      <c r="S13" s="240"/>
      <c r="T13" s="246"/>
      <c r="U13" s="247"/>
      <c r="V13" s="248"/>
      <c r="W13" s="261"/>
      <c r="X13" s="261"/>
      <c r="Y13" s="261"/>
      <c r="Z13" s="261"/>
      <c r="AA13" s="261"/>
      <c r="AB13" s="261"/>
      <c r="AC13" s="261"/>
      <c r="AD13" s="261"/>
    </row>
    <row r="14" spans="1:30" ht="17.25" x14ac:dyDescent="0.2">
      <c r="A14" s="252" t="s">
        <v>345</v>
      </c>
      <c r="B14" s="234"/>
      <c r="C14" s="234"/>
      <c r="D14" s="234"/>
      <c r="E14" s="234"/>
      <c r="F14" s="253"/>
      <c r="G14" s="234"/>
      <c r="H14" s="234"/>
      <c r="I14" s="234"/>
      <c r="J14" s="223" t="s">
        <v>16</v>
      </c>
      <c r="K14" s="223">
        <f>SUM(K15:K16)</f>
        <v>0</v>
      </c>
      <c r="L14" s="223">
        <f>SUM(L15:L16)</f>
        <v>0</v>
      </c>
      <c r="M14" s="261"/>
      <c r="N14" s="261"/>
      <c r="O14" s="261"/>
      <c r="P14" s="261"/>
      <c r="Q14" s="261"/>
      <c r="R14" s="224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</row>
    <row r="15" spans="1:30" ht="17.25" x14ac:dyDescent="0.2">
      <c r="A15" s="254"/>
      <c r="B15" s="261"/>
      <c r="C15" s="261"/>
      <c r="D15" s="240"/>
      <c r="E15" s="240"/>
      <c r="F15" s="241"/>
      <c r="G15" s="240"/>
      <c r="H15" s="240"/>
      <c r="I15" s="240"/>
      <c r="J15" s="250"/>
      <c r="K15" s="251"/>
      <c r="L15" s="251"/>
      <c r="M15" s="240"/>
      <c r="N15" s="240"/>
      <c r="O15" s="240"/>
      <c r="P15" s="240"/>
      <c r="Q15" s="240"/>
      <c r="R15" s="245"/>
      <c r="S15" s="240"/>
      <c r="T15" s="247"/>
      <c r="U15" s="240"/>
      <c r="V15" s="261"/>
      <c r="W15" s="261"/>
      <c r="X15" s="261"/>
      <c r="Y15" s="261"/>
      <c r="Z15" s="261"/>
      <c r="AA15" s="261"/>
      <c r="AB15" s="261"/>
      <c r="AC15" s="261"/>
      <c r="AD15" s="261"/>
    </row>
    <row r="16" spans="1:30" s="255" customFormat="1" ht="17.25" x14ac:dyDescent="0.2">
      <c r="A16" s="256"/>
      <c r="B16" s="239"/>
      <c r="C16" s="239"/>
      <c r="D16" s="239"/>
      <c r="E16" s="239"/>
      <c r="F16" s="257"/>
      <c r="G16" s="239"/>
      <c r="H16" s="239"/>
      <c r="I16" s="239"/>
      <c r="J16" s="258"/>
      <c r="K16" s="243"/>
      <c r="L16" s="243"/>
      <c r="M16" s="239"/>
      <c r="N16" s="239"/>
      <c r="O16" s="239"/>
      <c r="P16" s="239"/>
      <c r="Q16" s="239"/>
      <c r="R16" s="259"/>
      <c r="S16" s="239"/>
      <c r="T16" s="260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</row>
    <row r="17" spans="1:30" s="228" customFormat="1" ht="17.25" x14ac:dyDescent="0.2">
      <c r="A17" s="229" t="s">
        <v>282</v>
      </c>
      <c r="B17" s="230"/>
      <c r="C17" s="230"/>
      <c r="D17" s="230"/>
      <c r="E17" s="230"/>
      <c r="F17" s="231"/>
      <c r="G17" s="230"/>
      <c r="H17" s="230"/>
      <c r="I17" s="230"/>
      <c r="J17" s="230"/>
      <c r="K17" s="232"/>
      <c r="L17" s="232"/>
      <c r="M17" s="230"/>
      <c r="N17" s="230"/>
      <c r="O17" s="230"/>
      <c r="P17" s="230"/>
      <c r="Q17" s="230"/>
      <c r="R17" s="233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</row>
    <row r="18" spans="1:30" ht="17.25" x14ac:dyDescent="0.2">
      <c r="A18" s="234" t="s">
        <v>344</v>
      </c>
      <c r="B18" s="235"/>
      <c r="C18" s="235"/>
      <c r="D18" s="235"/>
      <c r="E18" s="235"/>
      <c r="F18" s="236"/>
      <c r="G18" s="235"/>
      <c r="H18" s="235"/>
      <c r="I18" s="235"/>
      <c r="J18" s="223" t="s">
        <v>16</v>
      </c>
      <c r="K18" s="223">
        <f>SUM(K19:K20)</f>
        <v>0</v>
      </c>
      <c r="L18" s="223">
        <f>SUM(L19:L20)</f>
        <v>0</v>
      </c>
      <c r="M18" s="261"/>
      <c r="N18" s="261"/>
      <c r="O18" s="261"/>
      <c r="P18" s="261"/>
      <c r="Q18" s="261"/>
      <c r="R18" s="224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</row>
    <row r="19" spans="1:30" s="237" customFormat="1" ht="17.25" x14ac:dyDescent="0.2">
      <c r="A19" s="238"/>
      <c r="B19" s="239"/>
      <c r="C19" s="239"/>
      <c r="D19" s="240"/>
      <c r="E19" s="240"/>
      <c r="F19" s="241"/>
      <c r="G19" s="239"/>
      <c r="H19" s="239"/>
      <c r="I19" s="239"/>
      <c r="J19" s="242"/>
      <c r="K19" s="243"/>
      <c r="L19" s="244"/>
      <c r="M19" s="239"/>
      <c r="N19" s="239"/>
      <c r="O19" s="239"/>
      <c r="P19" s="240"/>
      <c r="Q19" s="240"/>
      <c r="R19" s="245"/>
      <c r="S19" s="240"/>
      <c r="T19" s="246"/>
      <c r="U19" s="247"/>
      <c r="V19" s="248"/>
      <c r="W19" s="239"/>
      <c r="X19" s="239"/>
      <c r="Y19" s="239"/>
      <c r="Z19" s="239"/>
      <c r="AA19" s="239"/>
      <c r="AB19" s="239"/>
      <c r="AC19" s="239"/>
      <c r="AD19" s="239"/>
    </row>
    <row r="20" spans="1:30" ht="17.25" x14ac:dyDescent="0.2">
      <c r="A20" s="262"/>
      <c r="B20" s="261"/>
      <c r="C20" s="261"/>
      <c r="D20" s="249"/>
      <c r="E20" s="240"/>
      <c r="F20" s="241"/>
      <c r="G20" s="239"/>
      <c r="H20" s="239"/>
      <c r="I20" s="239"/>
      <c r="J20" s="250"/>
      <c r="K20" s="251"/>
      <c r="L20" s="251"/>
      <c r="M20" s="239"/>
      <c r="N20" s="239"/>
      <c r="O20" s="239"/>
      <c r="P20" s="240"/>
      <c r="Q20" s="240"/>
      <c r="R20" s="245"/>
      <c r="S20" s="240"/>
      <c r="T20" s="246"/>
      <c r="U20" s="247"/>
      <c r="V20" s="248"/>
      <c r="W20" s="261"/>
      <c r="X20" s="261"/>
      <c r="Y20" s="261"/>
      <c r="Z20" s="261"/>
      <c r="AA20" s="261"/>
      <c r="AB20" s="261"/>
      <c r="AC20" s="261"/>
      <c r="AD20" s="261"/>
    </row>
    <row r="21" spans="1:30" ht="17.25" x14ac:dyDescent="0.2">
      <c r="A21" s="252" t="s">
        <v>345</v>
      </c>
      <c r="B21" s="234"/>
      <c r="C21" s="234"/>
      <c r="D21" s="234"/>
      <c r="E21" s="234"/>
      <c r="F21" s="253"/>
      <c r="G21" s="234"/>
      <c r="H21" s="234"/>
      <c r="I21" s="234"/>
      <c r="J21" s="223" t="s">
        <v>16</v>
      </c>
      <c r="K21" s="223">
        <f>SUM(K22:K23)</f>
        <v>0</v>
      </c>
      <c r="L21" s="223">
        <f>SUM(L22:L23)</f>
        <v>0</v>
      </c>
      <c r="M21" s="261"/>
      <c r="N21" s="261"/>
      <c r="O21" s="261"/>
      <c r="P21" s="261"/>
      <c r="Q21" s="261"/>
      <c r="R21" s="224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</row>
    <row r="22" spans="1:30" ht="17.25" x14ac:dyDescent="0.2">
      <c r="A22" s="254"/>
      <c r="B22" s="261"/>
      <c r="C22" s="261"/>
      <c r="D22" s="240"/>
      <c r="E22" s="240"/>
      <c r="F22" s="241"/>
      <c r="G22" s="240"/>
      <c r="H22" s="240"/>
      <c r="I22" s="240"/>
      <c r="J22" s="250"/>
      <c r="K22" s="251"/>
      <c r="L22" s="251"/>
      <c r="M22" s="240"/>
      <c r="N22" s="240"/>
      <c r="O22" s="240"/>
      <c r="P22" s="240"/>
      <c r="Q22" s="240"/>
      <c r="R22" s="245"/>
      <c r="S22" s="240"/>
      <c r="T22" s="247"/>
      <c r="U22" s="240"/>
      <c r="V22" s="261"/>
      <c r="W22" s="261"/>
      <c r="X22" s="261"/>
      <c r="Y22" s="261"/>
      <c r="Z22" s="261"/>
      <c r="AA22" s="261"/>
      <c r="AB22" s="261"/>
      <c r="AC22" s="261"/>
      <c r="AD22" s="261"/>
    </row>
    <row r="23" spans="1:30" s="255" customFormat="1" ht="17.25" x14ac:dyDescent="0.2">
      <c r="A23" s="256"/>
      <c r="B23" s="239"/>
      <c r="C23" s="239"/>
      <c r="D23" s="239"/>
      <c r="E23" s="239"/>
      <c r="F23" s="257"/>
      <c r="G23" s="239"/>
      <c r="H23" s="239"/>
      <c r="I23" s="239"/>
      <c r="J23" s="258"/>
      <c r="K23" s="243"/>
      <c r="L23" s="243"/>
      <c r="M23" s="239"/>
      <c r="N23" s="239"/>
      <c r="O23" s="239"/>
      <c r="P23" s="239"/>
      <c r="Q23" s="239"/>
      <c r="R23" s="259"/>
      <c r="S23" s="239"/>
      <c r="T23" s="260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</row>
    <row r="24" spans="1:30" s="228" customFormat="1" ht="17.25" x14ac:dyDescent="0.2">
      <c r="A24" s="229" t="s">
        <v>283</v>
      </c>
      <c r="B24" s="230"/>
      <c r="C24" s="230"/>
      <c r="D24" s="230"/>
      <c r="E24" s="230"/>
      <c r="F24" s="231"/>
      <c r="G24" s="230"/>
      <c r="H24" s="230"/>
      <c r="I24" s="230"/>
      <c r="J24" s="230"/>
      <c r="K24" s="232"/>
      <c r="L24" s="232"/>
      <c r="M24" s="230"/>
      <c r="N24" s="230"/>
      <c r="O24" s="230"/>
      <c r="P24" s="230"/>
      <c r="Q24" s="230"/>
      <c r="R24" s="233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</row>
    <row r="25" spans="1:30" ht="17.25" x14ac:dyDescent="0.2">
      <c r="A25" s="234" t="s">
        <v>344</v>
      </c>
      <c r="B25" s="235"/>
      <c r="C25" s="235"/>
      <c r="D25" s="235"/>
      <c r="E25" s="235"/>
      <c r="F25" s="236"/>
      <c r="G25" s="235"/>
      <c r="H25" s="235"/>
      <c r="I25" s="235"/>
      <c r="J25" s="223" t="s">
        <v>16</v>
      </c>
      <c r="K25" s="223">
        <f>SUM(K26:K27)</f>
        <v>0</v>
      </c>
      <c r="L25" s="223">
        <f>SUM(L26:L27)</f>
        <v>0</v>
      </c>
      <c r="M25" s="261"/>
      <c r="N25" s="261"/>
      <c r="O25" s="261"/>
      <c r="P25" s="261"/>
      <c r="Q25" s="261"/>
      <c r="R25" s="224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</row>
    <row r="26" spans="1:30" s="237" customFormat="1" ht="17.25" x14ac:dyDescent="0.2">
      <c r="A26" s="238"/>
      <c r="B26" s="239"/>
      <c r="C26" s="239"/>
      <c r="D26" s="240"/>
      <c r="E26" s="240"/>
      <c r="F26" s="241"/>
      <c r="G26" s="239"/>
      <c r="H26" s="239"/>
      <c r="I26" s="239"/>
      <c r="J26" s="242"/>
      <c r="K26" s="243"/>
      <c r="L26" s="244"/>
      <c r="M26" s="239"/>
      <c r="N26" s="239"/>
      <c r="O26" s="239"/>
      <c r="P26" s="240"/>
      <c r="Q26" s="240"/>
      <c r="R26" s="245"/>
      <c r="S26" s="240"/>
      <c r="T26" s="246"/>
      <c r="U26" s="247"/>
      <c r="V26" s="248"/>
      <c r="W26" s="239"/>
      <c r="X26" s="239"/>
      <c r="Y26" s="239"/>
      <c r="Z26" s="239"/>
      <c r="AA26" s="239"/>
      <c r="AB26" s="239"/>
      <c r="AC26" s="239"/>
      <c r="AD26" s="239"/>
    </row>
    <row r="27" spans="1:30" ht="17.25" x14ac:dyDescent="0.2">
      <c r="A27" s="262"/>
      <c r="B27" s="261"/>
      <c r="C27" s="261"/>
      <c r="D27" s="249"/>
      <c r="E27" s="240"/>
      <c r="F27" s="241"/>
      <c r="G27" s="239"/>
      <c r="H27" s="239"/>
      <c r="I27" s="239"/>
      <c r="J27" s="250"/>
      <c r="K27" s="251"/>
      <c r="L27" s="251"/>
      <c r="M27" s="239"/>
      <c r="N27" s="239"/>
      <c r="O27" s="239"/>
      <c r="P27" s="240"/>
      <c r="Q27" s="240"/>
      <c r="R27" s="245"/>
      <c r="S27" s="240"/>
      <c r="T27" s="246"/>
      <c r="U27" s="247"/>
      <c r="V27" s="248"/>
      <c r="W27" s="261"/>
      <c r="X27" s="261"/>
      <c r="Y27" s="261"/>
      <c r="Z27" s="261"/>
      <c r="AA27" s="261"/>
      <c r="AB27" s="261"/>
      <c r="AC27" s="261"/>
      <c r="AD27" s="261"/>
    </row>
    <row r="28" spans="1:30" ht="17.25" x14ac:dyDescent="0.2">
      <c r="A28" s="252" t="s">
        <v>345</v>
      </c>
      <c r="B28" s="234"/>
      <c r="C28" s="234"/>
      <c r="D28" s="234"/>
      <c r="E28" s="234"/>
      <c r="F28" s="253"/>
      <c r="G28" s="234"/>
      <c r="H28" s="234"/>
      <c r="I28" s="234"/>
      <c r="J28" s="223" t="s">
        <v>16</v>
      </c>
      <c r="K28" s="223">
        <f>SUM(K29:K30)</f>
        <v>0</v>
      </c>
      <c r="L28" s="223">
        <f>SUM(L29:L30)</f>
        <v>0</v>
      </c>
      <c r="M28" s="261"/>
      <c r="N28" s="261"/>
      <c r="O28" s="261"/>
      <c r="P28" s="261"/>
      <c r="Q28" s="261"/>
      <c r="R28" s="224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</row>
    <row r="29" spans="1:30" ht="17.25" x14ac:dyDescent="0.2">
      <c r="A29" s="254"/>
      <c r="B29" s="261"/>
      <c r="C29" s="261"/>
      <c r="D29" s="240"/>
      <c r="E29" s="240"/>
      <c r="F29" s="241"/>
      <c r="G29" s="240"/>
      <c r="H29" s="240"/>
      <c r="I29" s="240"/>
      <c r="J29" s="250"/>
      <c r="K29" s="251"/>
      <c r="L29" s="251"/>
      <c r="M29" s="240"/>
      <c r="N29" s="240"/>
      <c r="O29" s="240"/>
      <c r="P29" s="240"/>
      <c r="Q29" s="240"/>
      <c r="R29" s="245"/>
      <c r="S29" s="240"/>
      <c r="T29" s="247"/>
      <c r="U29" s="240"/>
      <c r="V29" s="261"/>
      <c r="W29" s="261"/>
      <c r="X29" s="261"/>
      <c r="Y29" s="261"/>
      <c r="Z29" s="261"/>
      <c r="AA29" s="261"/>
      <c r="AB29" s="261"/>
      <c r="AC29" s="261"/>
      <c r="AD29" s="261"/>
    </row>
    <row r="30" spans="1:30" s="255" customFormat="1" ht="17.25" x14ac:dyDescent="0.2">
      <c r="A30" s="256"/>
      <c r="B30" s="239"/>
      <c r="C30" s="239"/>
      <c r="D30" s="239"/>
      <c r="E30" s="239"/>
      <c r="F30" s="257"/>
      <c r="G30" s="239"/>
      <c r="H30" s="239"/>
      <c r="I30" s="239"/>
      <c r="J30" s="258"/>
      <c r="K30" s="243"/>
      <c r="L30" s="243"/>
      <c r="M30" s="239"/>
      <c r="N30" s="239"/>
      <c r="O30" s="239"/>
      <c r="P30" s="239"/>
      <c r="Q30" s="239"/>
      <c r="R30" s="259"/>
      <c r="S30" s="239"/>
      <c r="T30" s="260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</row>
    <row r="31" spans="1:30" s="228" customFormat="1" ht="17.25" x14ac:dyDescent="0.2">
      <c r="A31" s="229" t="s">
        <v>284</v>
      </c>
      <c r="B31" s="230"/>
      <c r="C31" s="230"/>
      <c r="D31" s="230"/>
      <c r="E31" s="230"/>
      <c r="F31" s="231"/>
      <c r="G31" s="230"/>
      <c r="H31" s="230"/>
      <c r="I31" s="230"/>
      <c r="J31" s="230"/>
      <c r="K31" s="232"/>
      <c r="L31" s="232"/>
      <c r="M31" s="230"/>
      <c r="N31" s="230"/>
      <c r="O31" s="230"/>
      <c r="P31" s="230"/>
      <c r="Q31" s="230"/>
      <c r="R31" s="233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</row>
    <row r="32" spans="1:30" ht="17.25" x14ac:dyDescent="0.2">
      <c r="A32" s="234" t="s">
        <v>344</v>
      </c>
      <c r="B32" s="235"/>
      <c r="C32" s="235"/>
      <c r="D32" s="235"/>
      <c r="E32" s="235"/>
      <c r="F32" s="236"/>
      <c r="G32" s="235"/>
      <c r="H32" s="235"/>
      <c r="I32" s="235"/>
      <c r="J32" s="223" t="s">
        <v>16</v>
      </c>
      <c r="K32" s="223">
        <f>SUM(K33:K34)</f>
        <v>0</v>
      </c>
      <c r="L32" s="223">
        <f>SUM(L33:L34)</f>
        <v>0</v>
      </c>
      <c r="M32" s="261"/>
      <c r="N32" s="261"/>
      <c r="O32" s="261"/>
      <c r="P32" s="261"/>
      <c r="Q32" s="261"/>
      <c r="R32" s="224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</row>
    <row r="33" spans="1:30" s="237" customFormat="1" ht="17.25" x14ac:dyDescent="0.2">
      <c r="A33" s="238"/>
      <c r="B33" s="239"/>
      <c r="C33" s="239"/>
      <c r="D33" s="240"/>
      <c r="E33" s="240"/>
      <c r="F33" s="241"/>
      <c r="G33" s="239"/>
      <c r="H33" s="239"/>
      <c r="I33" s="239"/>
      <c r="J33" s="242"/>
      <c r="K33" s="243"/>
      <c r="L33" s="244"/>
      <c r="M33" s="239"/>
      <c r="N33" s="239"/>
      <c r="O33" s="239"/>
      <c r="P33" s="240"/>
      <c r="Q33" s="240"/>
      <c r="R33" s="245"/>
      <c r="S33" s="240"/>
      <c r="T33" s="246"/>
      <c r="U33" s="247"/>
      <c r="V33" s="248"/>
      <c r="W33" s="239"/>
      <c r="X33" s="239"/>
      <c r="Y33" s="239"/>
      <c r="Z33" s="239"/>
      <c r="AA33" s="239"/>
      <c r="AB33" s="239"/>
      <c r="AC33" s="239"/>
      <c r="AD33" s="239"/>
    </row>
    <row r="34" spans="1:30" ht="17.25" x14ac:dyDescent="0.2">
      <c r="A34" s="262"/>
      <c r="B34" s="261"/>
      <c r="C34" s="261"/>
      <c r="D34" s="249"/>
      <c r="E34" s="240"/>
      <c r="F34" s="241"/>
      <c r="G34" s="239"/>
      <c r="H34" s="239"/>
      <c r="I34" s="239"/>
      <c r="J34" s="250"/>
      <c r="K34" s="251"/>
      <c r="L34" s="251"/>
      <c r="M34" s="239"/>
      <c r="N34" s="239"/>
      <c r="O34" s="239"/>
      <c r="P34" s="240"/>
      <c r="Q34" s="240"/>
      <c r="R34" s="245"/>
      <c r="S34" s="240"/>
      <c r="T34" s="246"/>
      <c r="U34" s="247"/>
      <c r="V34" s="248"/>
      <c r="W34" s="261"/>
      <c r="X34" s="261"/>
      <c r="Y34" s="261"/>
      <c r="Z34" s="261"/>
      <c r="AA34" s="261"/>
      <c r="AB34" s="261"/>
      <c r="AC34" s="261"/>
      <c r="AD34" s="261"/>
    </row>
    <row r="35" spans="1:30" ht="17.25" x14ac:dyDescent="0.2">
      <c r="A35" s="252" t="s">
        <v>345</v>
      </c>
      <c r="B35" s="234"/>
      <c r="C35" s="234"/>
      <c r="D35" s="234"/>
      <c r="E35" s="234"/>
      <c r="F35" s="253"/>
      <c r="G35" s="234"/>
      <c r="H35" s="234"/>
      <c r="I35" s="234"/>
      <c r="J35" s="223" t="s">
        <v>16</v>
      </c>
      <c r="K35" s="223">
        <f>SUM(K36:K37)</f>
        <v>0</v>
      </c>
      <c r="L35" s="223">
        <f>SUM(L36:L37)</f>
        <v>0</v>
      </c>
      <c r="M35" s="261"/>
      <c r="N35" s="261"/>
      <c r="O35" s="261"/>
      <c r="P35" s="261"/>
      <c r="Q35" s="261"/>
      <c r="R35" s="224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</row>
    <row r="36" spans="1:30" ht="17.25" x14ac:dyDescent="0.2">
      <c r="A36" s="254"/>
      <c r="B36" s="261"/>
      <c r="C36" s="261"/>
      <c r="D36" s="240"/>
      <c r="E36" s="240"/>
      <c r="F36" s="241"/>
      <c r="G36" s="240"/>
      <c r="H36" s="240"/>
      <c r="I36" s="240"/>
      <c r="J36" s="250"/>
      <c r="K36" s="251"/>
      <c r="L36" s="251"/>
      <c r="M36" s="240"/>
      <c r="N36" s="240"/>
      <c r="O36" s="240"/>
      <c r="P36" s="240"/>
      <c r="Q36" s="240"/>
      <c r="R36" s="245"/>
      <c r="S36" s="240"/>
      <c r="T36" s="247"/>
      <c r="U36" s="240"/>
      <c r="V36" s="261"/>
      <c r="W36" s="261"/>
      <c r="X36" s="261"/>
      <c r="Y36" s="261"/>
      <c r="Z36" s="261"/>
      <c r="AA36" s="261"/>
      <c r="AB36" s="261"/>
      <c r="AC36" s="261"/>
      <c r="AD36" s="261"/>
    </row>
    <row r="37" spans="1:30" s="255" customFormat="1" ht="17.25" x14ac:dyDescent="0.2">
      <c r="A37" s="256"/>
      <c r="B37" s="239"/>
      <c r="C37" s="239"/>
      <c r="D37" s="239"/>
      <c r="E37" s="239"/>
      <c r="F37" s="257"/>
      <c r="G37" s="239"/>
      <c r="H37" s="239"/>
      <c r="I37" s="239"/>
      <c r="J37" s="258"/>
      <c r="K37" s="243"/>
      <c r="L37" s="243"/>
      <c r="M37" s="239"/>
      <c r="N37" s="239"/>
      <c r="O37" s="239"/>
      <c r="P37" s="239"/>
      <c r="Q37" s="239"/>
      <c r="R37" s="259"/>
      <c r="S37" s="239"/>
      <c r="T37" s="260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</row>
    <row r="38" spans="1:30" s="228" customFormat="1" ht="17.25" x14ac:dyDescent="0.2">
      <c r="A38" s="229" t="s">
        <v>285</v>
      </c>
      <c r="B38" s="230"/>
      <c r="C38" s="230"/>
      <c r="D38" s="230"/>
      <c r="E38" s="230"/>
      <c r="F38" s="231"/>
      <c r="G38" s="230"/>
      <c r="H38" s="230"/>
      <c r="I38" s="230"/>
      <c r="J38" s="230"/>
      <c r="K38" s="232"/>
      <c r="L38" s="232"/>
      <c r="M38" s="230"/>
      <c r="N38" s="230"/>
      <c r="O38" s="230"/>
      <c r="P38" s="230"/>
      <c r="Q38" s="230"/>
      <c r="R38" s="233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</row>
    <row r="39" spans="1:30" ht="17.25" x14ac:dyDescent="0.2">
      <c r="A39" s="234" t="s">
        <v>344</v>
      </c>
      <c r="B39" s="235"/>
      <c r="C39" s="235"/>
      <c r="D39" s="235"/>
      <c r="E39" s="235"/>
      <c r="F39" s="236"/>
      <c r="G39" s="235"/>
      <c r="H39" s="235"/>
      <c r="I39" s="235"/>
      <c r="J39" s="223" t="s">
        <v>16</v>
      </c>
      <c r="K39" s="223">
        <f>SUM(K40:K41)</f>
        <v>0</v>
      </c>
      <c r="L39" s="223">
        <f>SUM(L40:L41)</f>
        <v>0</v>
      </c>
      <c r="M39" s="261"/>
      <c r="N39" s="261"/>
      <c r="O39" s="261"/>
      <c r="P39" s="261"/>
      <c r="Q39" s="261"/>
      <c r="R39" s="224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</row>
    <row r="40" spans="1:30" s="237" customFormat="1" ht="17.25" x14ac:dyDescent="0.2">
      <c r="A40" s="238"/>
      <c r="B40" s="239"/>
      <c r="C40" s="239"/>
      <c r="D40" s="240"/>
      <c r="E40" s="240"/>
      <c r="F40" s="241"/>
      <c r="G40" s="239"/>
      <c r="H40" s="239"/>
      <c r="I40" s="239"/>
      <c r="J40" s="242"/>
      <c r="K40" s="243"/>
      <c r="L40" s="244"/>
      <c r="M40" s="239"/>
      <c r="N40" s="239"/>
      <c r="O40" s="239"/>
      <c r="P40" s="240"/>
      <c r="Q40" s="240"/>
      <c r="R40" s="245"/>
      <c r="S40" s="240"/>
      <c r="T40" s="246"/>
      <c r="U40" s="247"/>
      <c r="V40" s="248"/>
      <c r="W40" s="239"/>
      <c r="X40" s="239"/>
      <c r="Y40" s="239"/>
      <c r="Z40" s="239"/>
      <c r="AA40" s="239"/>
      <c r="AB40" s="239"/>
      <c r="AC40" s="239"/>
      <c r="AD40" s="239"/>
    </row>
    <row r="41" spans="1:30" ht="17.25" x14ac:dyDescent="0.2">
      <c r="A41" s="262"/>
      <c r="B41" s="261"/>
      <c r="C41" s="261"/>
      <c r="D41" s="249"/>
      <c r="E41" s="240"/>
      <c r="F41" s="241"/>
      <c r="G41" s="239"/>
      <c r="H41" s="239"/>
      <c r="I41" s="239"/>
      <c r="J41" s="250"/>
      <c r="K41" s="251"/>
      <c r="L41" s="251"/>
      <c r="M41" s="239"/>
      <c r="N41" s="239"/>
      <c r="O41" s="239"/>
      <c r="P41" s="240"/>
      <c r="Q41" s="240"/>
      <c r="R41" s="245"/>
      <c r="S41" s="240"/>
      <c r="T41" s="246"/>
      <c r="U41" s="247"/>
      <c r="V41" s="248"/>
      <c r="W41" s="261"/>
      <c r="X41" s="261"/>
      <c r="Y41" s="261"/>
      <c r="Z41" s="261"/>
      <c r="AA41" s="261"/>
      <c r="AB41" s="261"/>
      <c r="AC41" s="261"/>
      <c r="AD41" s="261"/>
    </row>
    <row r="42" spans="1:30" ht="17.25" x14ac:dyDescent="0.2">
      <c r="A42" s="252" t="s">
        <v>345</v>
      </c>
      <c r="B42" s="234"/>
      <c r="C42" s="234"/>
      <c r="D42" s="234"/>
      <c r="E42" s="234"/>
      <c r="F42" s="253"/>
      <c r="G42" s="234"/>
      <c r="H42" s="234"/>
      <c r="I42" s="234"/>
      <c r="J42" s="223" t="s">
        <v>16</v>
      </c>
      <c r="K42" s="223">
        <f>SUM(K43:K44)</f>
        <v>0</v>
      </c>
      <c r="L42" s="223">
        <f>SUM(L43:L44)</f>
        <v>0</v>
      </c>
      <c r="M42" s="261"/>
      <c r="N42" s="261"/>
      <c r="O42" s="261"/>
      <c r="P42" s="261"/>
      <c r="Q42" s="261"/>
      <c r="R42" s="224"/>
      <c r="S42" s="261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</row>
    <row r="43" spans="1:30" ht="17.25" x14ac:dyDescent="0.2">
      <c r="A43" s="254"/>
      <c r="B43" s="261"/>
      <c r="C43" s="261"/>
      <c r="D43" s="240"/>
      <c r="E43" s="240"/>
      <c r="F43" s="241"/>
      <c r="G43" s="240"/>
      <c r="H43" s="240"/>
      <c r="I43" s="240"/>
      <c r="J43" s="250"/>
      <c r="K43" s="251"/>
      <c r="L43" s="251"/>
      <c r="M43" s="240"/>
      <c r="N43" s="240"/>
      <c r="O43" s="240"/>
      <c r="P43" s="240"/>
      <c r="Q43" s="240"/>
      <c r="R43" s="245"/>
      <c r="S43" s="240"/>
      <c r="T43" s="247"/>
      <c r="U43" s="240"/>
      <c r="V43" s="261"/>
      <c r="W43" s="261"/>
      <c r="X43" s="261"/>
      <c r="Y43" s="261"/>
      <c r="Z43" s="261"/>
      <c r="AA43" s="261"/>
      <c r="AB43" s="261"/>
      <c r="AC43" s="261"/>
      <c r="AD43" s="261"/>
    </row>
    <row r="44" spans="1:30" s="255" customFormat="1" ht="17.25" x14ac:dyDescent="0.2">
      <c r="A44" s="256"/>
      <c r="B44" s="239"/>
      <c r="C44" s="239"/>
      <c r="D44" s="239"/>
      <c r="E44" s="239"/>
      <c r="F44" s="257"/>
      <c r="G44" s="239"/>
      <c r="H44" s="239"/>
      <c r="I44" s="239"/>
      <c r="J44" s="258"/>
      <c r="K44" s="243"/>
      <c r="L44" s="243"/>
      <c r="M44" s="239"/>
      <c r="N44" s="239"/>
      <c r="O44" s="239"/>
      <c r="P44" s="239"/>
      <c r="Q44" s="239"/>
      <c r="R44" s="259"/>
      <c r="S44" s="239"/>
      <c r="T44" s="260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</row>
    <row r="45" spans="1:30" s="228" customFormat="1" ht="17.25" x14ac:dyDescent="0.2">
      <c r="A45" s="229" t="s">
        <v>286</v>
      </c>
      <c r="B45" s="230"/>
      <c r="C45" s="230"/>
      <c r="D45" s="230"/>
      <c r="E45" s="230"/>
      <c r="F45" s="231"/>
      <c r="G45" s="230"/>
      <c r="H45" s="230"/>
      <c r="I45" s="230"/>
      <c r="J45" s="230"/>
      <c r="K45" s="232"/>
      <c r="L45" s="232"/>
      <c r="M45" s="230"/>
      <c r="N45" s="230"/>
      <c r="O45" s="230"/>
      <c r="P45" s="230"/>
      <c r="Q45" s="230"/>
      <c r="R45" s="233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</row>
    <row r="46" spans="1:30" ht="17.25" x14ac:dyDescent="0.2">
      <c r="A46" s="234" t="s">
        <v>344</v>
      </c>
      <c r="B46" s="235"/>
      <c r="C46" s="235"/>
      <c r="D46" s="235"/>
      <c r="E46" s="235"/>
      <c r="F46" s="236"/>
      <c r="G46" s="235"/>
      <c r="H46" s="235"/>
      <c r="I46" s="235"/>
      <c r="J46" s="223" t="s">
        <v>16</v>
      </c>
      <c r="K46" s="223">
        <f>SUM(K47:K48)</f>
        <v>0</v>
      </c>
      <c r="L46" s="223">
        <f>SUM(L47:L48)</f>
        <v>0</v>
      </c>
      <c r="M46" s="261"/>
      <c r="N46" s="261"/>
      <c r="O46" s="261"/>
      <c r="P46" s="261"/>
      <c r="Q46" s="261"/>
      <c r="R46" s="224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</row>
    <row r="47" spans="1:30" s="237" customFormat="1" ht="17.25" x14ac:dyDescent="0.2">
      <c r="A47" s="238"/>
      <c r="B47" s="239"/>
      <c r="C47" s="239"/>
      <c r="D47" s="240"/>
      <c r="E47" s="240"/>
      <c r="F47" s="241"/>
      <c r="G47" s="239"/>
      <c r="H47" s="239"/>
      <c r="I47" s="239"/>
      <c r="J47" s="242"/>
      <c r="K47" s="243"/>
      <c r="L47" s="244"/>
      <c r="M47" s="239"/>
      <c r="N47" s="239"/>
      <c r="O47" s="239"/>
      <c r="P47" s="240"/>
      <c r="Q47" s="240"/>
      <c r="R47" s="245"/>
      <c r="S47" s="240"/>
      <c r="T47" s="246"/>
      <c r="U47" s="247"/>
      <c r="V47" s="248"/>
      <c r="W47" s="239"/>
      <c r="X47" s="239"/>
      <c r="Y47" s="239"/>
      <c r="Z47" s="239"/>
      <c r="AA47" s="239"/>
      <c r="AB47" s="239"/>
      <c r="AC47" s="239"/>
      <c r="AD47" s="239"/>
    </row>
    <row r="48" spans="1:30" ht="17.25" x14ac:dyDescent="0.2">
      <c r="A48" s="262"/>
      <c r="B48" s="261"/>
      <c r="C48" s="261"/>
      <c r="D48" s="249"/>
      <c r="E48" s="240"/>
      <c r="F48" s="241"/>
      <c r="G48" s="239"/>
      <c r="H48" s="239"/>
      <c r="I48" s="239"/>
      <c r="J48" s="250"/>
      <c r="K48" s="251"/>
      <c r="L48" s="251"/>
      <c r="M48" s="239"/>
      <c r="N48" s="239"/>
      <c r="O48" s="239"/>
      <c r="P48" s="240"/>
      <c r="Q48" s="240"/>
      <c r="R48" s="245"/>
      <c r="S48" s="240"/>
      <c r="T48" s="246"/>
      <c r="U48" s="247"/>
      <c r="V48" s="248"/>
      <c r="W48" s="261"/>
      <c r="X48" s="261"/>
      <c r="Y48" s="261"/>
      <c r="Z48" s="261"/>
      <c r="AA48" s="261"/>
      <c r="AB48" s="261"/>
      <c r="AC48" s="261"/>
      <c r="AD48" s="261"/>
    </row>
    <row r="49" spans="1:30" ht="17.25" x14ac:dyDescent="0.2">
      <c r="A49" s="252" t="s">
        <v>345</v>
      </c>
      <c r="B49" s="234"/>
      <c r="C49" s="234"/>
      <c r="D49" s="234"/>
      <c r="E49" s="234"/>
      <c r="F49" s="253"/>
      <c r="G49" s="234"/>
      <c r="H49" s="234"/>
      <c r="I49" s="234"/>
      <c r="J49" s="223" t="s">
        <v>16</v>
      </c>
      <c r="K49" s="223">
        <f>SUM(K50:K51)</f>
        <v>0</v>
      </c>
      <c r="L49" s="223">
        <f>SUM(L50:L51)</f>
        <v>0</v>
      </c>
      <c r="M49" s="261"/>
      <c r="N49" s="261"/>
      <c r="O49" s="261"/>
      <c r="P49" s="261"/>
      <c r="Q49" s="261"/>
      <c r="R49" s="224"/>
      <c r="S49" s="261"/>
      <c r="T49" s="261"/>
      <c r="U49" s="261"/>
      <c r="V49" s="261"/>
      <c r="W49" s="261"/>
      <c r="X49" s="261"/>
      <c r="Y49" s="261"/>
      <c r="Z49" s="261"/>
      <c r="AA49" s="261"/>
      <c r="AB49" s="261"/>
      <c r="AC49" s="261"/>
      <c r="AD49" s="261"/>
    </row>
    <row r="50" spans="1:30" ht="17.25" x14ac:dyDescent="0.2">
      <c r="A50" s="254"/>
      <c r="B50" s="261"/>
      <c r="C50" s="261"/>
      <c r="D50" s="240"/>
      <c r="E50" s="240"/>
      <c r="F50" s="241"/>
      <c r="G50" s="240"/>
      <c r="H50" s="240"/>
      <c r="I50" s="240"/>
      <c r="J50" s="250"/>
      <c r="K50" s="251"/>
      <c r="L50" s="251"/>
      <c r="M50" s="240"/>
      <c r="N50" s="240"/>
      <c r="O50" s="240"/>
      <c r="P50" s="240"/>
      <c r="Q50" s="240"/>
      <c r="R50" s="245"/>
      <c r="S50" s="240"/>
      <c r="T50" s="247"/>
      <c r="U50" s="240"/>
      <c r="V50" s="261"/>
      <c r="W50" s="261"/>
      <c r="X50" s="261"/>
      <c r="Y50" s="261"/>
      <c r="Z50" s="261"/>
      <c r="AA50" s="261"/>
      <c r="AB50" s="261"/>
      <c r="AC50" s="261"/>
      <c r="AD50" s="261"/>
    </row>
    <row r="51" spans="1:30" s="255" customFormat="1" ht="17.25" x14ac:dyDescent="0.2">
      <c r="A51" s="256"/>
      <c r="B51" s="239"/>
      <c r="C51" s="239"/>
      <c r="D51" s="239"/>
      <c r="E51" s="239"/>
      <c r="F51" s="257"/>
      <c r="G51" s="239"/>
      <c r="H51" s="239"/>
      <c r="I51" s="239"/>
      <c r="J51" s="258"/>
      <c r="K51" s="243"/>
      <c r="L51" s="243"/>
      <c r="M51" s="239"/>
      <c r="N51" s="239"/>
      <c r="O51" s="239"/>
      <c r="P51" s="239"/>
      <c r="Q51" s="239"/>
      <c r="R51" s="259"/>
      <c r="S51" s="239"/>
      <c r="T51" s="260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</row>
    <row r="52" spans="1:30" s="228" customFormat="1" ht="17.25" x14ac:dyDescent="0.2">
      <c r="A52" s="229" t="s">
        <v>287</v>
      </c>
      <c r="B52" s="230"/>
      <c r="C52" s="230"/>
      <c r="D52" s="230"/>
      <c r="E52" s="230"/>
      <c r="F52" s="231"/>
      <c r="G52" s="230"/>
      <c r="H52" s="230"/>
      <c r="I52" s="230"/>
      <c r="J52" s="230"/>
      <c r="K52" s="232"/>
      <c r="L52" s="232"/>
      <c r="M52" s="230"/>
      <c r="N52" s="230"/>
      <c r="O52" s="230"/>
      <c r="P52" s="230"/>
      <c r="Q52" s="230"/>
      <c r="R52" s="233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</row>
    <row r="53" spans="1:30" ht="17.25" x14ac:dyDescent="0.2">
      <c r="A53" s="234" t="s">
        <v>344</v>
      </c>
      <c r="B53" s="235"/>
      <c r="C53" s="235"/>
      <c r="D53" s="235"/>
      <c r="E53" s="235"/>
      <c r="F53" s="236"/>
      <c r="G53" s="235"/>
      <c r="H53" s="235"/>
      <c r="I53" s="235"/>
      <c r="J53" s="223" t="s">
        <v>16</v>
      </c>
      <c r="K53" s="223">
        <f>SUM(K54:K55)</f>
        <v>0</v>
      </c>
      <c r="L53" s="223">
        <f>SUM(L54:L55)</f>
        <v>0</v>
      </c>
      <c r="M53" s="261"/>
      <c r="N53" s="261"/>
      <c r="O53" s="261"/>
      <c r="P53" s="261"/>
      <c r="Q53" s="261"/>
      <c r="R53" s="224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</row>
    <row r="54" spans="1:30" s="237" customFormat="1" ht="17.25" x14ac:dyDescent="0.2">
      <c r="A54" s="238"/>
      <c r="B54" s="239"/>
      <c r="C54" s="239"/>
      <c r="D54" s="240"/>
      <c r="E54" s="240"/>
      <c r="F54" s="241"/>
      <c r="G54" s="239"/>
      <c r="H54" s="239"/>
      <c r="I54" s="239"/>
      <c r="J54" s="242"/>
      <c r="K54" s="243"/>
      <c r="L54" s="244"/>
      <c r="M54" s="239"/>
      <c r="N54" s="239"/>
      <c r="O54" s="239"/>
      <c r="P54" s="240"/>
      <c r="Q54" s="240"/>
      <c r="R54" s="245"/>
      <c r="S54" s="240"/>
      <c r="T54" s="246"/>
      <c r="U54" s="247"/>
      <c r="V54" s="248"/>
      <c r="W54" s="239"/>
      <c r="X54" s="239"/>
      <c r="Y54" s="239"/>
      <c r="Z54" s="239"/>
      <c r="AA54" s="239"/>
      <c r="AB54" s="239"/>
      <c r="AC54" s="239"/>
      <c r="AD54" s="239"/>
    </row>
    <row r="55" spans="1:30" ht="17.25" x14ac:dyDescent="0.2">
      <c r="A55" s="262"/>
      <c r="B55" s="261"/>
      <c r="C55" s="261"/>
      <c r="D55" s="249"/>
      <c r="E55" s="240"/>
      <c r="F55" s="241"/>
      <c r="G55" s="239"/>
      <c r="H55" s="239"/>
      <c r="I55" s="239"/>
      <c r="J55" s="250"/>
      <c r="K55" s="251"/>
      <c r="L55" s="251"/>
      <c r="M55" s="239"/>
      <c r="N55" s="239"/>
      <c r="O55" s="239"/>
      <c r="P55" s="240"/>
      <c r="Q55" s="240"/>
      <c r="R55" s="245"/>
      <c r="S55" s="240"/>
      <c r="T55" s="246"/>
      <c r="U55" s="247"/>
      <c r="V55" s="248"/>
      <c r="W55" s="261"/>
      <c r="X55" s="261"/>
      <c r="Y55" s="261"/>
      <c r="Z55" s="261"/>
      <c r="AA55" s="261"/>
      <c r="AB55" s="261"/>
      <c r="AC55" s="261"/>
      <c r="AD55" s="261"/>
    </row>
    <row r="56" spans="1:30" ht="17.25" x14ac:dyDescent="0.2">
      <c r="A56" s="252" t="s">
        <v>345</v>
      </c>
      <c r="B56" s="234"/>
      <c r="C56" s="234"/>
      <c r="D56" s="234"/>
      <c r="E56" s="234"/>
      <c r="F56" s="253"/>
      <c r="G56" s="234"/>
      <c r="H56" s="234"/>
      <c r="I56" s="234"/>
      <c r="J56" s="223" t="s">
        <v>16</v>
      </c>
      <c r="K56" s="223">
        <f>SUM(K57:K58)</f>
        <v>0</v>
      </c>
      <c r="L56" s="223">
        <f>SUM(L57:L58)</f>
        <v>0</v>
      </c>
      <c r="M56" s="261"/>
      <c r="N56" s="261"/>
      <c r="O56" s="261"/>
      <c r="P56" s="261"/>
      <c r="Q56" s="261"/>
      <c r="R56" s="224"/>
      <c r="S56" s="261"/>
      <c r="T56" s="261"/>
      <c r="U56" s="261"/>
      <c r="V56" s="261"/>
      <c r="W56" s="261"/>
      <c r="X56" s="261"/>
      <c r="Y56" s="261"/>
      <c r="Z56" s="261"/>
      <c r="AA56" s="261"/>
      <c r="AB56" s="261"/>
      <c r="AC56" s="261"/>
      <c r="AD56" s="261"/>
    </row>
    <row r="57" spans="1:30" ht="17.25" x14ac:dyDescent="0.2">
      <c r="A57" s="254"/>
      <c r="B57" s="261"/>
      <c r="C57" s="261"/>
      <c r="D57" s="240"/>
      <c r="E57" s="240"/>
      <c r="F57" s="241"/>
      <c r="G57" s="240"/>
      <c r="H57" s="240"/>
      <c r="I57" s="240"/>
      <c r="J57" s="250"/>
      <c r="K57" s="251"/>
      <c r="L57" s="251"/>
      <c r="M57" s="240"/>
      <c r="N57" s="240"/>
      <c r="O57" s="240"/>
      <c r="P57" s="240"/>
      <c r="Q57" s="240"/>
      <c r="R57" s="245"/>
      <c r="S57" s="240"/>
      <c r="T57" s="247"/>
      <c r="U57" s="240"/>
      <c r="V57" s="261"/>
      <c r="W57" s="261"/>
      <c r="X57" s="261"/>
      <c r="Y57" s="261"/>
      <c r="Z57" s="261"/>
      <c r="AA57" s="261"/>
      <c r="AB57" s="261"/>
      <c r="AC57" s="261"/>
      <c r="AD57" s="261"/>
    </row>
    <row r="58" spans="1:30" s="255" customFormat="1" ht="17.25" x14ac:dyDescent="0.2">
      <c r="A58" s="256"/>
      <c r="B58" s="239"/>
      <c r="C58" s="239"/>
      <c r="D58" s="239"/>
      <c r="E58" s="239"/>
      <c r="F58" s="257"/>
      <c r="G58" s="239"/>
      <c r="H58" s="239"/>
      <c r="I58" s="239"/>
      <c r="J58" s="258"/>
      <c r="K58" s="243"/>
      <c r="L58" s="243"/>
      <c r="M58" s="239"/>
      <c r="N58" s="239"/>
      <c r="O58" s="239"/>
      <c r="P58" s="239"/>
      <c r="Q58" s="239"/>
      <c r="R58" s="259"/>
      <c r="S58" s="239"/>
      <c r="T58" s="260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</row>
    <row r="59" spans="1:30" s="228" customFormat="1" ht="17.25" x14ac:dyDescent="0.2">
      <c r="A59" s="229" t="s">
        <v>288</v>
      </c>
      <c r="B59" s="230"/>
      <c r="C59" s="230"/>
      <c r="D59" s="230"/>
      <c r="E59" s="230"/>
      <c r="F59" s="231"/>
      <c r="G59" s="230"/>
      <c r="H59" s="230"/>
      <c r="I59" s="230"/>
      <c r="J59" s="230"/>
      <c r="K59" s="232"/>
      <c r="L59" s="232"/>
      <c r="M59" s="230"/>
      <c r="N59" s="230"/>
      <c r="O59" s="230"/>
      <c r="P59" s="230"/>
      <c r="Q59" s="230"/>
      <c r="R59" s="233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</row>
    <row r="60" spans="1:30" ht="17.25" x14ac:dyDescent="0.2">
      <c r="A60" s="234" t="s">
        <v>344</v>
      </c>
      <c r="B60" s="235"/>
      <c r="C60" s="235"/>
      <c r="D60" s="235"/>
      <c r="E60" s="235"/>
      <c r="F60" s="236"/>
      <c r="G60" s="235"/>
      <c r="H60" s="235"/>
      <c r="I60" s="235"/>
      <c r="J60" s="223" t="s">
        <v>16</v>
      </c>
      <c r="K60" s="223" t="e">
        <f>SUM(#REF!)</f>
        <v>#REF!</v>
      </c>
      <c r="L60" s="223" t="e">
        <f>SUM(#REF!)</f>
        <v>#REF!</v>
      </c>
      <c r="M60" s="261"/>
      <c r="N60" s="261"/>
      <c r="O60" s="261"/>
      <c r="P60" s="261"/>
      <c r="Q60" s="261"/>
      <c r="R60" s="224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</row>
    <row r="61" spans="1:30" ht="17.25" x14ac:dyDescent="0.2">
      <c r="A61" s="252" t="s">
        <v>345</v>
      </c>
      <c r="B61" s="234"/>
      <c r="C61" s="234"/>
      <c r="D61" s="234"/>
      <c r="E61" s="234"/>
      <c r="F61" s="253"/>
      <c r="G61" s="234"/>
      <c r="H61" s="234"/>
      <c r="I61" s="234"/>
      <c r="J61" s="223" t="s">
        <v>16</v>
      </c>
      <c r="K61" s="223">
        <f>SUM(K62:K63)</f>
        <v>0</v>
      </c>
      <c r="L61" s="223">
        <f>SUM(L62:L63)</f>
        <v>0</v>
      </c>
      <c r="M61" s="261"/>
      <c r="N61" s="261"/>
      <c r="O61" s="261"/>
      <c r="P61" s="261"/>
      <c r="Q61" s="261"/>
      <c r="R61" s="224"/>
      <c r="S61" s="261"/>
      <c r="T61" s="261"/>
      <c r="U61" s="261"/>
      <c r="V61" s="261"/>
      <c r="W61" s="261"/>
      <c r="X61" s="261"/>
      <c r="Y61" s="261"/>
      <c r="Z61" s="261"/>
      <c r="AA61" s="261"/>
      <c r="AB61" s="261"/>
      <c r="AC61" s="261"/>
      <c r="AD61" s="261"/>
    </row>
    <row r="62" spans="1:30" ht="17.25" x14ac:dyDescent="0.2">
      <c r="A62" s="254"/>
      <c r="B62" s="261"/>
      <c r="C62" s="261"/>
      <c r="D62" s="240"/>
      <c r="E62" s="240"/>
      <c r="F62" s="241"/>
      <c r="G62" s="240"/>
      <c r="H62" s="240"/>
      <c r="I62" s="240"/>
      <c r="J62" s="250"/>
      <c r="K62" s="251"/>
      <c r="L62" s="251"/>
      <c r="M62" s="240"/>
      <c r="N62" s="240"/>
      <c r="O62" s="240"/>
      <c r="P62" s="240"/>
      <c r="Q62" s="240"/>
      <c r="R62" s="245"/>
      <c r="S62" s="240"/>
      <c r="T62" s="247"/>
      <c r="U62" s="240"/>
      <c r="V62" s="261"/>
      <c r="W62" s="261"/>
      <c r="X62" s="261"/>
      <c r="Y62" s="261"/>
      <c r="Z62" s="261"/>
      <c r="AA62" s="261"/>
      <c r="AB62" s="261"/>
      <c r="AC62" s="261"/>
      <c r="AD62" s="261"/>
    </row>
    <row r="63" spans="1:30" s="255" customFormat="1" ht="17.25" x14ac:dyDescent="0.2">
      <c r="A63" s="256"/>
      <c r="B63" s="239"/>
      <c r="C63" s="239"/>
      <c r="D63" s="239"/>
      <c r="E63" s="239"/>
      <c r="F63" s="257"/>
      <c r="G63" s="239"/>
      <c r="H63" s="239"/>
      <c r="I63" s="239"/>
      <c r="J63" s="258"/>
      <c r="K63" s="243"/>
      <c r="L63" s="243"/>
      <c r="M63" s="239"/>
      <c r="N63" s="239"/>
      <c r="O63" s="239"/>
      <c r="P63" s="239"/>
      <c r="Q63" s="239"/>
      <c r="R63" s="259"/>
      <c r="S63" s="239"/>
      <c r="T63" s="260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</row>
    <row r="64" spans="1:30" s="228" customFormat="1" ht="17.25" x14ac:dyDescent="0.2">
      <c r="A64" s="229" t="s">
        <v>289</v>
      </c>
      <c r="B64" s="230"/>
      <c r="C64" s="230"/>
      <c r="D64" s="230"/>
      <c r="E64" s="230"/>
      <c r="F64" s="231"/>
      <c r="G64" s="230"/>
      <c r="H64" s="230"/>
      <c r="I64" s="230"/>
      <c r="J64" s="230"/>
      <c r="K64" s="232"/>
      <c r="L64" s="232"/>
      <c r="M64" s="230"/>
      <c r="N64" s="230"/>
      <c r="O64" s="230"/>
      <c r="P64" s="230"/>
      <c r="Q64" s="230"/>
      <c r="R64" s="233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</row>
    <row r="65" spans="1:30" ht="17.25" x14ac:dyDescent="0.2">
      <c r="A65" s="234" t="s">
        <v>344</v>
      </c>
      <c r="B65" s="235"/>
      <c r="C65" s="235"/>
      <c r="D65" s="235"/>
      <c r="E65" s="235"/>
      <c r="F65" s="236"/>
      <c r="G65" s="235"/>
      <c r="H65" s="235"/>
      <c r="I65" s="235"/>
      <c r="J65" s="223" t="s">
        <v>16</v>
      </c>
      <c r="K65" s="223">
        <f>SUM(K66:K67)</f>
        <v>0</v>
      </c>
      <c r="L65" s="223">
        <f>SUM(L66:L67)</f>
        <v>0</v>
      </c>
      <c r="M65" s="261"/>
      <c r="N65" s="261"/>
      <c r="O65" s="261"/>
      <c r="P65" s="261"/>
      <c r="Q65" s="261"/>
      <c r="R65" s="224"/>
      <c r="S65" s="261"/>
      <c r="T65" s="261"/>
      <c r="U65" s="261"/>
      <c r="V65" s="261"/>
      <c r="W65" s="261"/>
      <c r="X65" s="261"/>
      <c r="Y65" s="261"/>
      <c r="Z65" s="261"/>
      <c r="AA65" s="261"/>
      <c r="AB65" s="261"/>
      <c r="AC65" s="261"/>
      <c r="AD65" s="261"/>
    </row>
    <row r="66" spans="1:30" s="237" customFormat="1" ht="17.25" x14ac:dyDescent="0.2">
      <c r="A66" s="238"/>
      <c r="B66" s="239"/>
      <c r="C66" s="239"/>
      <c r="D66" s="240"/>
      <c r="E66" s="240"/>
      <c r="F66" s="241"/>
      <c r="G66" s="239"/>
      <c r="H66" s="239"/>
      <c r="I66" s="239"/>
      <c r="J66" s="242"/>
      <c r="K66" s="243"/>
      <c r="L66" s="244"/>
      <c r="M66" s="239"/>
      <c r="N66" s="239"/>
      <c r="O66" s="239"/>
      <c r="P66" s="240"/>
      <c r="Q66" s="240"/>
      <c r="R66" s="245"/>
      <c r="S66" s="240"/>
      <c r="T66" s="246"/>
      <c r="U66" s="247"/>
      <c r="V66" s="248"/>
      <c r="W66" s="239"/>
      <c r="X66" s="239"/>
      <c r="Y66" s="239"/>
      <c r="Z66" s="239"/>
      <c r="AA66" s="239"/>
      <c r="AB66" s="239"/>
      <c r="AC66" s="239"/>
      <c r="AD66" s="239"/>
    </row>
    <row r="67" spans="1:30" ht="17.25" x14ac:dyDescent="0.2">
      <c r="A67" s="262"/>
      <c r="B67" s="261"/>
      <c r="C67" s="261"/>
      <c r="D67" s="249"/>
      <c r="E67" s="240"/>
      <c r="F67" s="241"/>
      <c r="G67" s="239"/>
      <c r="H67" s="239"/>
      <c r="I67" s="239"/>
      <c r="J67" s="250"/>
      <c r="K67" s="251"/>
      <c r="L67" s="251"/>
      <c r="M67" s="239"/>
      <c r="N67" s="239"/>
      <c r="O67" s="239"/>
      <c r="P67" s="240"/>
      <c r="Q67" s="240"/>
      <c r="R67" s="245"/>
      <c r="S67" s="240"/>
      <c r="T67" s="246"/>
      <c r="U67" s="247"/>
      <c r="V67" s="248"/>
      <c r="W67" s="261"/>
      <c r="X67" s="261"/>
      <c r="Y67" s="261"/>
      <c r="Z67" s="261"/>
      <c r="AA67" s="261"/>
      <c r="AB67" s="261"/>
      <c r="AC67" s="261"/>
      <c r="AD67" s="261"/>
    </row>
    <row r="68" spans="1:30" ht="17.25" x14ac:dyDescent="0.2">
      <c r="A68" s="252" t="s">
        <v>345</v>
      </c>
      <c r="B68" s="234"/>
      <c r="C68" s="234"/>
      <c r="D68" s="234"/>
      <c r="E68" s="234"/>
      <c r="F68" s="253"/>
      <c r="G68" s="234"/>
      <c r="H68" s="234"/>
      <c r="I68" s="234"/>
      <c r="J68" s="223" t="s">
        <v>16</v>
      </c>
      <c r="K68" s="223">
        <f>SUM(K69:K70)</f>
        <v>0</v>
      </c>
      <c r="L68" s="223">
        <f>SUM(L69:L70)</f>
        <v>0</v>
      </c>
      <c r="M68" s="261"/>
      <c r="N68" s="261"/>
      <c r="O68" s="261"/>
      <c r="P68" s="261"/>
      <c r="Q68" s="261"/>
      <c r="R68" s="224"/>
      <c r="S68" s="261"/>
      <c r="T68" s="261"/>
      <c r="U68" s="261"/>
      <c r="V68" s="261"/>
      <c r="W68" s="261"/>
      <c r="X68" s="261"/>
      <c r="Y68" s="261"/>
      <c r="Z68" s="261"/>
      <c r="AA68" s="261"/>
      <c r="AB68" s="261"/>
      <c r="AC68" s="261"/>
      <c r="AD68" s="261"/>
    </row>
    <row r="69" spans="1:30" ht="17.25" x14ac:dyDescent="0.2">
      <c r="A69" s="254"/>
      <c r="B69" s="261"/>
      <c r="C69" s="261"/>
      <c r="D69" s="240"/>
      <c r="E69" s="240"/>
      <c r="F69" s="241"/>
      <c r="G69" s="240"/>
      <c r="H69" s="240"/>
      <c r="I69" s="240"/>
      <c r="J69" s="250"/>
      <c r="K69" s="251"/>
      <c r="L69" s="251"/>
      <c r="M69" s="240"/>
      <c r="N69" s="240"/>
      <c r="O69" s="240"/>
      <c r="P69" s="240"/>
      <c r="Q69" s="240"/>
      <c r="R69" s="245"/>
      <c r="S69" s="240"/>
      <c r="T69" s="247"/>
      <c r="U69" s="240"/>
      <c r="V69" s="261"/>
      <c r="W69" s="261"/>
      <c r="X69" s="261"/>
      <c r="Y69" s="261"/>
      <c r="Z69" s="261"/>
      <c r="AA69" s="261"/>
      <c r="AB69" s="261"/>
      <c r="AC69" s="261"/>
      <c r="AD69" s="261"/>
    </row>
    <row r="70" spans="1:30" s="255" customFormat="1" ht="17.25" x14ac:dyDescent="0.2">
      <c r="A70" s="256"/>
      <c r="B70" s="239"/>
      <c r="C70" s="239"/>
      <c r="D70" s="239"/>
      <c r="E70" s="239"/>
      <c r="F70" s="257"/>
      <c r="G70" s="239"/>
      <c r="H70" s="239"/>
      <c r="I70" s="239"/>
      <c r="J70" s="258"/>
      <c r="K70" s="243"/>
      <c r="L70" s="243"/>
      <c r="M70" s="239"/>
      <c r="N70" s="239"/>
      <c r="O70" s="239"/>
      <c r="P70" s="239"/>
      <c r="Q70" s="239"/>
      <c r="R70" s="259"/>
      <c r="S70" s="239"/>
      <c r="T70" s="260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</row>
    <row r="71" spans="1:30" s="228" customFormat="1" ht="17.25" x14ac:dyDescent="0.2">
      <c r="A71" s="229" t="s">
        <v>291</v>
      </c>
      <c r="B71" s="230"/>
      <c r="C71" s="230"/>
      <c r="D71" s="230"/>
      <c r="E71" s="230"/>
      <c r="F71" s="231"/>
      <c r="G71" s="230"/>
      <c r="H71" s="230"/>
      <c r="I71" s="230"/>
      <c r="J71" s="230"/>
      <c r="K71" s="232"/>
      <c r="L71" s="232"/>
      <c r="M71" s="230"/>
      <c r="N71" s="230"/>
      <c r="O71" s="230"/>
      <c r="P71" s="230"/>
      <c r="Q71" s="230"/>
      <c r="R71" s="233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</row>
    <row r="72" spans="1:30" ht="17.25" x14ac:dyDescent="0.2">
      <c r="A72" s="234" t="s">
        <v>344</v>
      </c>
      <c r="B72" s="235"/>
      <c r="C72" s="235"/>
      <c r="D72" s="235"/>
      <c r="E72" s="235"/>
      <c r="F72" s="236"/>
      <c r="G72" s="235"/>
      <c r="H72" s="235"/>
      <c r="I72" s="235"/>
      <c r="J72" s="223" t="s">
        <v>16</v>
      </c>
      <c r="K72" s="223">
        <f>SUM(K73:K74)</f>
        <v>0</v>
      </c>
      <c r="L72" s="223">
        <f>SUM(L73:L74)</f>
        <v>0</v>
      </c>
      <c r="M72" s="261"/>
      <c r="N72" s="261"/>
      <c r="O72" s="261"/>
      <c r="P72" s="261"/>
      <c r="Q72" s="261"/>
      <c r="R72" s="224"/>
      <c r="S72" s="261"/>
      <c r="T72" s="261"/>
      <c r="U72" s="261"/>
      <c r="V72" s="261"/>
      <c r="W72" s="261"/>
      <c r="X72" s="261"/>
      <c r="Y72" s="261"/>
      <c r="Z72" s="261"/>
      <c r="AA72" s="261"/>
      <c r="AB72" s="261"/>
      <c r="AC72" s="261"/>
      <c r="AD72" s="261"/>
    </row>
    <row r="73" spans="1:30" s="237" customFormat="1" ht="17.25" x14ac:dyDescent="0.2">
      <c r="A73" s="238"/>
      <c r="B73" s="239"/>
      <c r="C73" s="239"/>
      <c r="D73" s="240"/>
      <c r="E73" s="240"/>
      <c r="F73" s="241"/>
      <c r="G73" s="239"/>
      <c r="H73" s="239"/>
      <c r="I73" s="239"/>
      <c r="J73" s="242"/>
      <c r="K73" s="243"/>
      <c r="L73" s="244"/>
      <c r="M73" s="239"/>
      <c r="N73" s="239"/>
      <c r="O73" s="239"/>
      <c r="P73" s="240"/>
      <c r="Q73" s="240"/>
      <c r="R73" s="245"/>
      <c r="S73" s="240"/>
      <c r="T73" s="246"/>
      <c r="U73" s="247"/>
      <c r="V73" s="248"/>
      <c r="W73" s="239"/>
      <c r="X73" s="239"/>
      <c r="Y73" s="239"/>
      <c r="Z73" s="239"/>
      <c r="AA73" s="239"/>
      <c r="AB73" s="239"/>
      <c r="AC73" s="239"/>
      <c r="AD73" s="239"/>
    </row>
    <row r="74" spans="1:30" ht="17.25" x14ac:dyDescent="0.2">
      <c r="A74" s="262"/>
      <c r="B74" s="261"/>
      <c r="C74" s="261"/>
      <c r="D74" s="249"/>
      <c r="E74" s="240"/>
      <c r="F74" s="241"/>
      <c r="G74" s="239"/>
      <c r="H74" s="239"/>
      <c r="I74" s="239"/>
      <c r="J74" s="250"/>
      <c r="K74" s="251"/>
      <c r="L74" s="251"/>
      <c r="M74" s="239"/>
      <c r="N74" s="239"/>
      <c r="O74" s="239"/>
      <c r="P74" s="240"/>
      <c r="Q74" s="240"/>
      <c r="R74" s="245"/>
      <c r="S74" s="240"/>
      <c r="T74" s="246"/>
      <c r="U74" s="247"/>
      <c r="V74" s="248"/>
      <c r="W74" s="261"/>
      <c r="X74" s="261"/>
      <c r="Y74" s="261"/>
      <c r="Z74" s="261"/>
      <c r="AA74" s="261"/>
      <c r="AB74" s="261"/>
      <c r="AC74" s="261"/>
      <c r="AD74" s="261"/>
    </row>
    <row r="75" spans="1:30" ht="17.25" x14ac:dyDescent="0.2">
      <c r="A75" s="252" t="s">
        <v>345</v>
      </c>
      <c r="B75" s="234"/>
      <c r="C75" s="234"/>
      <c r="D75" s="234"/>
      <c r="E75" s="234"/>
      <c r="F75" s="253"/>
      <c r="G75" s="234"/>
      <c r="H75" s="234"/>
      <c r="I75" s="234"/>
      <c r="J75" s="223" t="s">
        <v>16</v>
      </c>
      <c r="K75" s="223">
        <f>SUM(K76:K77)</f>
        <v>0</v>
      </c>
      <c r="L75" s="223">
        <f>SUM(L76:L77)</f>
        <v>0</v>
      </c>
      <c r="M75" s="261"/>
      <c r="N75" s="261"/>
      <c r="O75" s="261"/>
      <c r="P75" s="261"/>
      <c r="Q75" s="261"/>
      <c r="R75" s="224"/>
      <c r="S75" s="261"/>
      <c r="T75" s="261"/>
      <c r="U75" s="261"/>
      <c r="V75" s="261"/>
      <c r="W75" s="261"/>
      <c r="X75" s="261"/>
      <c r="Y75" s="261"/>
      <c r="Z75" s="261"/>
      <c r="AA75" s="261"/>
      <c r="AB75" s="261"/>
      <c r="AC75" s="261"/>
      <c r="AD75" s="261"/>
    </row>
    <row r="76" spans="1:30" ht="17.25" x14ac:dyDescent="0.2">
      <c r="A76" s="254"/>
      <c r="B76" s="261"/>
      <c r="C76" s="261"/>
      <c r="D76" s="240"/>
      <c r="E76" s="240"/>
      <c r="F76" s="241"/>
      <c r="G76" s="240"/>
      <c r="H76" s="240"/>
      <c r="I76" s="240"/>
      <c r="J76" s="250"/>
      <c r="K76" s="251"/>
      <c r="L76" s="251"/>
      <c r="M76" s="240"/>
      <c r="N76" s="240"/>
      <c r="O76" s="240"/>
      <c r="P76" s="240"/>
      <c r="Q76" s="240"/>
      <c r="R76" s="245"/>
      <c r="S76" s="240"/>
      <c r="T76" s="247"/>
      <c r="U76" s="240"/>
      <c r="V76" s="261"/>
      <c r="W76" s="261"/>
      <c r="X76" s="261"/>
      <c r="Y76" s="261"/>
      <c r="Z76" s="261"/>
      <c r="AA76" s="261"/>
      <c r="AB76" s="261"/>
      <c r="AC76" s="261"/>
      <c r="AD76" s="261"/>
    </row>
    <row r="77" spans="1:30" s="255" customFormat="1" ht="17.25" x14ac:dyDescent="0.2">
      <c r="A77" s="256"/>
      <c r="B77" s="239"/>
      <c r="C77" s="239"/>
      <c r="D77" s="239"/>
      <c r="E77" s="239"/>
      <c r="F77" s="257"/>
      <c r="G77" s="239"/>
      <c r="H77" s="239"/>
      <c r="I77" s="239"/>
      <c r="J77" s="258"/>
      <c r="K77" s="243"/>
      <c r="L77" s="243"/>
      <c r="M77" s="239"/>
      <c r="N77" s="239"/>
      <c r="O77" s="239"/>
      <c r="P77" s="239"/>
      <c r="Q77" s="239"/>
      <c r="R77" s="259"/>
      <c r="S77" s="239"/>
      <c r="T77" s="260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</row>
    <row r="78" spans="1:30" s="228" customFormat="1" ht="17.25" x14ac:dyDescent="0.2">
      <c r="A78" s="229" t="s">
        <v>292</v>
      </c>
      <c r="B78" s="230"/>
      <c r="C78" s="230"/>
      <c r="D78" s="230"/>
      <c r="E78" s="230"/>
      <c r="F78" s="231"/>
      <c r="G78" s="230"/>
      <c r="H78" s="230"/>
      <c r="I78" s="230"/>
      <c r="J78" s="230"/>
      <c r="K78" s="232"/>
      <c r="L78" s="232"/>
      <c r="M78" s="230"/>
      <c r="N78" s="230"/>
      <c r="O78" s="230"/>
      <c r="P78" s="230"/>
      <c r="Q78" s="230"/>
      <c r="R78" s="233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</row>
    <row r="79" spans="1:30" ht="17.25" x14ac:dyDescent="0.2">
      <c r="A79" s="234" t="s">
        <v>344</v>
      </c>
      <c r="B79" s="235"/>
      <c r="C79" s="235"/>
      <c r="D79" s="235"/>
      <c r="E79" s="235"/>
      <c r="F79" s="236"/>
      <c r="G79" s="235"/>
      <c r="H79" s="235"/>
      <c r="I79" s="235"/>
      <c r="J79" s="223" t="s">
        <v>16</v>
      </c>
      <c r="K79" s="223">
        <f>SUM(K80:K81)</f>
        <v>0</v>
      </c>
      <c r="L79" s="223">
        <f>SUM(L80:L81)</f>
        <v>0</v>
      </c>
      <c r="M79" s="261"/>
      <c r="N79" s="261"/>
      <c r="O79" s="261"/>
      <c r="P79" s="261"/>
      <c r="Q79" s="261"/>
      <c r="R79" s="224"/>
      <c r="S79" s="261"/>
      <c r="T79" s="261"/>
      <c r="U79" s="261"/>
      <c r="V79" s="261"/>
      <c r="W79" s="261"/>
      <c r="X79" s="261"/>
      <c r="Y79" s="261"/>
      <c r="Z79" s="261"/>
      <c r="AA79" s="261"/>
      <c r="AB79" s="261"/>
      <c r="AC79" s="261"/>
      <c r="AD79" s="261"/>
    </row>
    <row r="80" spans="1:30" s="237" customFormat="1" ht="17.25" x14ac:dyDescent="0.2">
      <c r="A80" s="238"/>
      <c r="B80" s="239"/>
      <c r="C80" s="239"/>
      <c r="D80" s="240"/>
      <c r="E80" s="240"/>
      <c r="F80" s="241"/>
      <c r="G80" s="239"/>
      <c r="H80" s="239"/>
      <c r="I80" s="239"/>
      <c r="J80" s="242"/>
      <c r="K80" s="243"/>
      <c r="L80" s="244"/>
      <c r="M80" s="239"/>
      <c r="N80" s="239"/>
      <c r="O80" s="239"/>
      <c r="P80" s="240"/>
      <c r="Q80" s="240"/>
      <c r="R80" s="245"/>
      <c r="S80" s="240"/>
      <c r="T80" s="246"/>
      <c r="U80" s="247"/>
      <c r="V80" s="248"/>
      <c r="W80" s="239"/>
      <c r="X80" s="239"/>
      <c r="Y80" s="239"/>
      <c r="Z80" s="239"/>
      <c r="AA80" s="239"/>
      <c r="AB80" s="239"/>
      <c r="AC80" s="239"/>
      <c r="AD80" s="239"/>
    </row>
    <row r="81" spans="1:30" ht="17.25" x14ac:dyDescent="0.2">
      <c r="A81" s="262"/>
      <c r="B81" s="261"/>
      <c r="C81" s="261"/>
      <c r="D81" s="249"/>
      <c r="E81" s="240"/>
      <c r="F81" s="241"/>
      <c r="G81" s="239"/>
      <c r="H81" s="239"/>
      <c r="I81" s="239"/>
      <c r="J81" s="250"/>
      <c r="K81" s="251"/>
      <c r="L81" s="251"/>
      <c r="M81" s="239"/>
      <c r="N81" s="239"/>
      <c r="O81" s="239"/>
      <c r="P81" s="240"/>
      <c r="Q81" s="240"/>
      <c r="R81" s="245"/>
      <c r="S81" s="240"/>
      <c r="T81" s="246"/>
      <c r="U81" s="247"/>
      <c r="V81" s="248"/>
      <c r="W81" s="261"/>
      <c r="X81" s="261"/>
      <c r="Y81" s="261"/>
      <c r="Z81" s="261"/>
      <c r="AA81" s="261"/>
      <c r="AB81" s="261"/>
      <c r="AC81" s="261"/>
      <c r="AD81" s="261"/>
    </row>
    <row r="82" spans="1:30" ht="17.25" x14ac:dyDescent="0.2">
      <c r="A82" s="252" t="s">
        <v>345</v>
      </c>
      <c r="B82" s="234"/>
      <c r="C82" s="234"/>
      <c r="D82" s="234"/>
      <c r="E82" s="234"/>
      <c r="F82" s="253"/>
      <c r="G82" s="234"/>
      <c r="H82" s="234"/>
      <c r="I82" s="234"/>
      <c r="J82" s="223" t="s">
        <v>16</v>
      </c>
      <c r="K82" s="223">
        <f>SUM(K83:K84)</f>
        <v>0</v>
      </c>
      <c r="L82" s="223">
        <f>SUM(L83:L84)</f>
        <v>0</v>
      </c>
      <c r="M82" s="261"/>
      <c r="N82" s="261"/>
      <c r="O82" s="261"/>
      <c r="P82" s="261"/>
      <c r="Q82" s="261"/>
      <c r="R82" s="224"/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</row>
    <row r="83" spans="1:30" ht="17.25" x14ac:dyDescent="0.2">
      <c r="A83" s="254"/>
      <c r="B83" s="261"/>
      <c r="C83" s="261"/>
      <c r="D83" s="240"/>
      <c r="E83" s="240"/>
      <c r="F83" s="241"/>
      <c r="G83" s="240"/>
      <c r="H83" s="240"/>
      <c r="I83" s="240"/>
      <c r="J83" s="250"/>
      <c r="K83" s="251"/>
      <c r="L83" s="251"/>
      <c r="M83" s="240"/>
      <c r="N83" s="240"/>
      <c r="O83" s="240"/>
      <c r="P83" s="240"/>
      <c r="Q83" s="240"/>
      <c r="R83" s="245"/>
      <c r="S83" s="240"/>
      <c r="T83" s="247"/>
      <c r="U83" s="240"/>
      <c r="V83" s="261"/>
      <c r="W83" s="261"/>
      <c r="X83" s="261"/>
      <c r="Y83" s="261"/>
      <c r="Z83" s="261"/>
      <c r="AA83" s="261"/>
      <c r="AB83" s="261"/>
      <c r="AC83" s="261"/>
      <c r="AD83" s="261"/>
    </row>
    <row r="84" spans="1:30" s="255" customFormat="1" ht="17.25" x14ac:dyDescent="0.2">
      <c r="A84" s="256"/>
      <c r="B84" s="239"/>
      <c r="C84" s="239"/>
      <c r="D84" s="239"/>
      <c r="E84" s="239"/>
      <c r="F84" s="257"/>
      <c r="G84" s="239"/>
      <c r="H84" s="239"/>
      <c r="I84" s="239"/>
      <c r="J84" s="258"/>
      <c r="K84" s="243"/>
      <c r="L84" s="243"/>
      <c r="M84" s="239"/>
      <c r="N84" s="239"/>
      <c r="O84" s="239"/>
      <c r="P84" s="239"/>
      <c r="Q84" s="239"/>
      <c r="R84" s="259"/>
      <c r="S84" s="239"/>
      <c r="T84" s="260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</row>
    <row r="85" spans="1:30" s="228" customFormat="1" ht="17.25" x14ac:dyDescent="0.2">
      <c r="A85" s="229" t="s">
        <v>293</v>
      </c>
      <c r="B85" s="230"/>
      <c r="C85" s="230"/>
      <c r="D85" s="230"/>
      <c r="E85" s="230"/>
      <c r="F85" s="231"/>
      <c r="G85" s="230"/>
      <c r="H85" s="230"/>
      <c r="I85" s="230"/>
      <c r="J85" s="230"/>
      <c r="K85" s="232"/>
      <c r="L85" s="232"/>
      <c r="M85" s="230"/>
      <c r="N85" s="230"/>
      <c r="O85" s="230"/>
      <c r="P85" s="230"/>
      <c r="Q85" s="230"/>
      <c r="R85" s="233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</row>
    <row r="86" spans="1:30" ht="17.25" x14ac:dyDescent="0.2">
      <c r="A86" s="234" t="s">
        <v>344</v>
      </c>
      <c r="B86" s="235"/>
      <c r="C86" s="235"/>
      <c r="D86" s="235"/>
      <c r="E86" s="235"/>
      <c r="F86" s="236"/>
      <c r="G86" s="235"/>
      <c r="H86" s="235"/>
      <c r="I86" s="235"/>
      <c r="J86" s="223" t="s">
        <v>16</v>
      </c>
      <c r="K86" s="223">
        <f>SUM(K87:K88)</f>
        <v>0</v>
      </c>
      <c r="L86" s="223">
        <f>SUM(L87:L88)</f>
        <v>0</v>
      </c>
      <c r="M86" s="261"/>
      <c r="N86" s="261"/>
      <c r="O86" s="261"/>
      <c r="P86" s="261"/>
      <c r="Q86" s="261"/>
      <c r="R86" s="224"/>
      <c r="S86" s="261"/>
      <c r="T86" s="261"/>
      <c r="U86" s="261"/>
      <c r="V86" s="261"/>
      <c r="W86" s="261"/>
      <c r="X86" s="261"/>
      <c r="Y86" s="261"/>
      <c r="Z86" s="261"/>
      <c r="AA86" s="261"/>
      <c r="AB86" s="261"/>
      <c r="AC86" s="261"/>
      <c r="AD86" s="261"/>
    </row>
    <row r="87" spans="1:30" s="237" customFormat="1" ht="17.25" x14ac:dyDescent="0.2">
      <c r="A87" s="238"/>
      <c r="B87" s="239"/>
      <c r="C87" s="239"/>
      <c r="D87" s="240"/>
      <c r="E87" s="240"/>
      <c r="F87" s="241"/>
      <c r="G87" s="239"/>
      <c r="H87" s="239"/>
      <c r="I87" s="239"/>
      <c r="J87" s="242"/>
      <c r="K87" s="243"/>
      <c r="L87" s="244"/>
      <c r="M87" s="239"/>
      <c r="N87" s="239"/>
      <c r="O87" s="239"/>
      <c r="P87" s="240"/>
      <c r="Q87" s="240"/>
      <c r="R87" s="245"/>
      <c r="S87" s="240"/>
      <c r="T87" s="246"/>
      <c r="U87" s="247"/>
      <c r="V87" s="248"/>
      <c r="W87" s="239"/>
      <c r="X87" s="239"/>
      <c r="Y87" s="239"/>
      <c r="Z87" s="239"/>
      <c r="AA87" s="239"/>
      <c r="AB87" s="239"/>
      <c r="AC87" s="239"/>
      <c r="AD87" s="239"/>
    </row>
    <row r="88" spans="1:30" ht="17.25" x14ac:dyDescent="0.2">
      <c r="A88" s="262"/>
      <c r="B88" s="261"/>
      <c r="C88" s="261"/>
      <c r="D88" s="249"/>
      <c r="E88" s="240"/>
      <c r="F88" s="241"/>
      <c r="G88" s="239"/>
      <c r="H88" s="239"/>
      <c r="I88" s="239"/>
      <c r="J88" s="250"/>
      <c r="K88" s="251"/>
      <c r="L88" s="251"/>
      <c r="M88" s="239"/>
      <c r="N88" s="239"/>
      <c r="O88" s="239"/>
      <c r="P88" s="240"/>
      <c r="Q88" s="240"/>
      <c r="R88" s="245"/>
      <c r="S88" s="240"/>
      <c r="T88" s="246"/>
      <c r="U88" s="247"/>
      <c r="V88" s="248"/>
      <c r="W88" s="261"/>
      <c r="X88" s="261"/>
      <c r="Y88" s="261"/>
      <c r="Z88" s="261"/>
      <c r="AA88" s="261"/>
      <c r="AB88" s="261"/>
      <c r="AC88" s="261"/>
      <c r="AD88" s="261"/>
    </row>
    <row r="89" spans="1:30" ht="17.25" x14ac:dyDescent="0.2">
      <c r="A89" s="252" t="s">
        <v>345</v>
      </c>
      <c r="B89" s="234"/>
      <c r="C89" s="234"/>
      <c r="D89" s="234"/>
      <c r="E89" s="234"/>
      <c r="F89" s="253"/>
      <c r="G89" s="234"/>
      <c r="H89" s="234"/>
      <c r="I89" s="234"/>
      <c r="J89" s="223" t="s">
        <v>16</v>
      </c>
      <c r="K89" s="223" t="e">
        <f>SUM(#REF!)</f>
        <v>#REF!</v>
      </c>
      <c r="L89" s="223" t="e">
        <f>SUM(#REF!)</f>
        <v>#REF!</v>
      </c>
      <c r="M89" s="261"/>
      <c r="N89" s="261"/>
      <c r="O89" s="261"/>
      <c r="P89" s="261"/>
      <c r="Q89" s="261"/>
      <c r="R89" s="224"/>
      <c r="S89" s="261"/>
      <c r="T89" s="261"/>
      <c r="U89" s="261"/>
      <c r="V89" s="261"/>
      <c r="W89" s="261"/>
      <c r="X89" s="261"/>
      <c r="Y89" s="261"/>
      <c r="Z89" s="261"/>
      <c r="AA89" s="261"/>
      <c r="AB89" s="261"/>
      <c r="AC89" s="261"/>
      <c r="AD89" s="261"/>
    </row>
  </sheetData>
  <mergeCells count="23">
    <mergeCell ref="A2:E2"/>
    <mergeCell ref="A3:E3"/>
    <mergeCell ref="J6:J7"/>
    <mergeCell ref="AB6:AD6"/>
    <mergeCell ref="A5:R5"/>
    <mergeCell ref="G6:I6"/>
    <mergeCell ref="S5:U5"/>
    <mergeCell ref="Y6:AA6"/>
    <mergeCell ref="P6:P7"/>
    <mergeCell ref="A6:A7"/>
    <mergeCell ref="B6:B7"/>
    <mergeCell ref="C6:C7"/>
    <mergeCell ref="E6:E7"/>
    <mergeCell ref="F6:F7"/>
    <mergeCell ref="V5:AD5"/>
    <mergeCell ref="K6:L6"/>
    <mergeCell ref="R6:R7"/>
    <mergeCell ref="V6:X6"/>
    <mergeCell ref="M6:O6"/>
    <mergeCell ref="S6:S7"/>
    <mergeCell ref="T6:T7"/>
    <mergeCell ref="U6:U7"/>
    <mergeCell ref="Q6:Q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93"/>
  <sheetViews>
    <sheetView zoomScale="85" workbookViewId="0">
      <pane xSplit="2" ySplit="6" topLeftCell="C40" activePane="bottomRight" state="frozen"/>
      <selection pane="topRight"/>
      <selection pane="bottomLeft"/>
      <selection pane="bottomRight" activeCell="A88" sqref="A88"/>
    </sheetView>
  </sheetViews>
  <sheetFormatPr defaultColWidth="9" defaultRowHeight="15" x14ac:dyDescent="0.25"/>
  <cols>
    <col min="1" max="1" width="11.85546875" customWidth="1"/>
    <col min="2" max="2" width="14.42578125" hidden="1"/>
    <col min="3" max="3" width="13.85546875" customWidth="1"/>
    <col min="4" max="4" width="14.85546875" customWidth="1"/>
    <col min="5" max="5" width="31.28515625" customWidth="1"/>
    <col min="6" max="6" width="5.42578125" customWidth="1"/>
    <col min="7" max="7" width="18.85546875" customWidth="1"/>
    <col min="8" max="8" width="19.42578125" customWidth="1"/>
    <col min="9" max="9" width="22.28515625" customWidth="1"/>
    <col min="10" max="10" width="19" customWidth="1"/>
    <col min="11" max="11" width="11.140625" customWidth="1"/>
    <col min="12" max="12" width="10.140625" customWidth="1"/>
    <col min="13" max="15" width="23.140625" customWidth="1"/>
    <col min="16" max="16" width="18.140625" customWidth="1"/>
    <col min="17" max="18" width="17.42578125" customWidth="1"/>
    <col min="19" max="20" width="19.7109375" customWidth="1"/>
    <col min="21" max="21" width="15.42578125" customWidth="1"/>
    <col min="22" max="22" width="13.7109375" customWidth="1"/>
    <col min="23" max="23" width="11.140625" customWidth="1"/>
    <col min="24" max="24" width="10.7109375" customWidth="1"/>
    <col min="25" max="25" width="13" customWidth="1"/>
    <col min="26" max="30" width="9.140625" customWidth="1"/>
    <col min="31" max="256" width="8.7109375" customWidth="1"/>
  </cols>
  <sheetData>
    <row r="1" spans="1:30" x14ac:dyDescent="0.25">
      <c r="J1" s="220"/>
      <c r="K1" s="221" t="s">
        <v>304</v>
      </c>
      <c r="L1" s="221" t="s">
        <v>305</v>
      </c>
      <c r="M1" s="221" t="s">
        <v>21</v>
      </c>
    </row>
    <row r="2" spans="1:30" ht="17.25" x14ac:dyDescent="0.2">
      <c r="A2" s="797" t="s">
        <v>306</v>
      </c>
      <c r="B2" s="797"/>
      <c r="C2" s="797"/>
      <c r="D2" s="797"/>
      <c r="E2" s="797"/>
      <c r="F2" s="261"/>
      <c r="G2" s="261"/>
      <c r="H2" s="261"/>
      <c r="I2" s="261"/>
      <c r="J2" s="222" t="s">
        <v>307</v>
      </c>
      <c r="K2" s="223"/>
      <c r="L2" s="223"/>
      <c r="M2" s="222">
        <f>SUM(K2:L2)</f>
        <v>0</v>
      </c>
      <c r="N2" s="261"/>
      <c r="O2" s="261"/>
      <c r="P2" s="261"/>
      <c r="Q2" s="261"/>
      <c r="R2" s="224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</row>
    <row r="3" spans="1:30" ht="17.25" x14ac:dyDescent="0.3">
      <c r="A3" s="797" t="s">
        <v>308</v>
      </c>
      <c r="B3" s="797"/>
      <c r="C3" s="797"/>
      <c r="D3" s="797"/>
      <c r="E3" s="797"/>
      <c r="F3" s="261"/>
      <c r="G3" s="225"/>
      <c r="H3" s="261"/>
      <c r="I3" s="261"/>
      <c r="J3" s="222" t="s">
        <v>309</v>
      </c>
      <c r="K3" s="223"/>
      <c r="L3" s="223"/>
      <c r="M3" s="222">
        <f>SUM(K3:L3)</f>
        <v>0</v>
      </c>
      <c r="N3" s="261"/>
      <c r="O3" s="261"/>
      <c r="P3" s="261"/>
      <c r="Q3" s="261"/>
      <c r="R3" s="224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</row>
    <row r="4" spans="1:30" ht="31.5" customHeight="1" x14ac:dyDescent="0.3">
      <c r="A4" s="263"/>
      <c r="B4" s="263"/>
      <c r="C4" s="263" t="s">
        <v>310</v>
      </c>
      <c r="D4" s="263"/>
      <c r="E4" s="263"/>
      <c r="F4" s="261"/>
      <c r="G4" s="225"/>
      <c r="H4" s="225"/>
      <c r="I4" s="261"/>
      <c r="J4" s="226"/>
      <c r="K4" s="223"/>
      <c r="L4" s="223"/>
      <c r="M4" s="222">
        <f>SUM(M2:M3)</f>
        <v>0</v>
      </c>
      <c r="N4" s="261"/>
      <c r="O4" s="261"/>
      <c r="P4" s="261"/>
      <c r="Q4" s="261"/>
      <c r="R4" s="224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</row>
    <row r="5" spans="1:30" ht="15" customHeight="1" x14ac:dyDescent="0.25">
      <c r="A5" s="798" t="s">
        <v>311</v>
      </c>
      <c r="B5" s="798"/>
      <c r="C5" s="798"/>
      <c r="D5" s="798"/>
      <c r="E5" s="798"/>
      <c r="F5" s="798"/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9" t="s">
        <v>312</v>
      </c>
      <c r="T5" s="799"/>
      <c r="U5" s="799"/>
      <c r="V5" s="801" t="s">
        <v>313</v>
      </c>
      <c r="W5" s="801"/>
      <c r="X5" s="801"/>
      <c r="Y5" s="801"/>
      <c r="Z5" s="801"/>
      <c r="AA5" s="801"/>
      <c r="AB5" s="801"/>
      <c r="AC5" s="801"/>
      <c r="AD5" s="801"/>
    </row>
    <row r="6" spans="1:30" ht="57" customHeight="1" x14ac:dyDescent="0.25">
      <c r="A6" s="795" t="s">
        <v>314</v>
      </c>
      <c r="B6" s="795" t="s">
        <v>315</v>
      </c>
      <c r="C6" s="795" t="s">
        <v>316</v>
      </c>
      <c r="D6" s="264" t="s">
        <v>317</v>
      </c>
      <c r="E6" s="795" t="s">
        <v>318</v>
      </c>
      <c r="F6" s="800"/>
      <c r="G6" s="795" t="s">
        <v>319</v>
      </c>
      <c r="H6" s="795"/>
      <c r="I6" s="795"/>
      <c r="J6" s="795" t="s">
        <v>320</v>
      </c>
      <c r="K6" s="795" t="s">
        <v>321</v>
      </c>
      <c r="L6" s="795"/>
      <c r="M6" s="795" t="s">
        <v>322</v>
      </c>
      <c r="N6" s="795"/>
      <c r="O6" s="795"/>
      <c r="P6" s="795" t="s">
        <v>323</v>
      </c>
      <c r="Q6" s="795" t="s">
        <v>324</v>
      </c>
      <c r="R6" s="793" t="s">
        <v>325</v>
      </c>
      <c r="S6" s="796" t="s">
        <v>326</v>
      </c>
      <c r="T6" s="796" t="s">
        <v>327</v>
      </c>
      <c r="U6" s="796" t="s">
        <v>328</v>
      </c>
      <c r="V6" s="794" t="s">
        <v>329</v>
      </c>
      <c r="W6" s="794"/>
      <c r="X6" s="794"/>
      <c r="Y6" s="794" t="s">
        <v>330</v>
      </c>
      <c r="Z6" s="794"/>
      <c r="AA6" s="794"/>
      <c r="AB6" s="794" t="s">
        <v>331</v>
      </c>
      <c r="AC6" s="794"/>
      <c r="AD6" s="794"/>
    </row>
    <row r="7" spans="1:30" ht="60" x14ac:dyDescent="0.25">
      <c r="A7" s="795"/>
      <c r="B7" s="795"/>
      <c r="C7" s="795"/>
      <c r="D7" s="264" t="s">
        <v>332</v>
      </c>
      <c r="E7" s="795"/>
      <c r="F7" s="800"/>
      <c r="G7" s="264" t="s">
        <v>333</v>
      </c>
      <c r="H7" s="264" t="s">
        <v>334</v>
      </c>
      <c r="I7" s="264" t="s">
        <v>335</v>
      </c>
      <c r="J7" s="795"/>
      <c r="K7" s="264" t="s">
        <v>336</v>
      </c>
      <c r="L7" s="264" t="s">
        <v>337</v>
      </c>
      <c r="M7" s="264" t="s">
        <v>338</v>
      </c>
      <c r="N7" s="264" t="s">
        <v>339</v>
      </c>
      <c r="O7" s="264" t="s">
        <v>340</v>
      </c>
      <c r="P7" s="795"/>
      <c r="Q7" s="795"/>
      <c r="R7" s="793"/>
      <c r="S7" s="796"/>
      <c r="T7" s="796"/>
      <c r="U7" s="796"/>
      <c r="V7" s="227" t="s">
        <v>341</v>
      </c>
      <c r="W7" s="265" t="s">
        <v>342</v>
      </c>
      <c r="X7" s="265" t="s">
        <v>343</v>
      </c>
      <c r="Y7" s="227" t="s">
        <v>341</v>
      </c>
      <c r="Z7" s="265" t="s">
        <v>342</v>
      </c>
      <c r="AA7" s="265" t="s">
        <v>343</v>
      </c>
      <c r="AB7" s="227" t="s">
        <v>341</v>
      </c>
      <c r="AC7" s="265" t="s">
        <v>342</v>
      </c>
      <c r="AD7" s="265" t="s">
        <v>343</v>
      </c>
    </row>
    <row r="8" spans="1:30" ht="17.25" x14ac:dyDescent="0.2">
      <c r="A8" s="261"/>
      <c r="B8" s="261"/>
      <c r="C8" s="261"/>
      <c r="D8" s="261"/>
      <c r="E8" s="261"/>
      <c r="F8" s="266"/>
      <c r="G8" s="261"/>
      <c r="H8" s="261"/>
      <c r="I8" s="261"/>
      <c r="J8" s="261"/>
      <c r="K8" s="267"/>
      <c r="L8" s="267"/>
      <c r="M8" s="261"/>
      <c r="N8" s="261"/>
      <c r="O8" s="261"/>
      <c r="P8" s="261"/>
      <c r="Q8" s="261"/>
      <c r="R8" s="224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</row>
    <row r="9" spans="1:30" ht="17.25" x14ac:dyDescent="0.2">
      <c r="A9" s="261"/>
      <c r="B9" s="261"/>
      <c r="C9" s="261"/>
      <c r="D9" s="261"/>
      <c r="E9" s="261"/>
      <c r="F9" s="266"/>
      <c r="G9" s="261"/>
      <c r="H9" s="261"/>
      <c r="I9" s="261"/>
      <c r="J9" s="261"/>
      <c r="K9" s="267"/>
      <c r="L9" s="267"/>
      <c r="M9" s="261"/>
      <c r="N9" s="261"/>
      <c r="O9" s="261"/>
      <c r="P9" s="261"/>
      <c r="Q9" s="261"/>
      <c r="R9" s="224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</row>
    <row r="10" spans="1:30" s="228" customFormat="1" ht="17.25" x14ac:dyDescent="0.2">
      <c r="A10" s="229" t="s">
        <v>281</v>
      </c>
      <c r="B10" s="230"/>
      <c r="C10" s="230"/>
      <c r="D10" s="230"/>
      <c r="E10" s="230"/>
      <c r="F10" s="231"/>
      <c r="G10" s="230"/>
      <c r="H10" s="230"/>
      <c r="I10" s="230"/>
      <c r="J10" s="230"/>
      <c r="K10" s="232"/>
      <c r="L10" s="232"/>
      <c r="M10" s="230"/>
      <c r="N10" s="230"/>
      <c r="O10" s="230"/>
      <c r="P10" s="230"/>
      <c r="Q10" s="230"/>
      <c r="R10" s="233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</row>
    <row r="11" spans="1:30" ht="17.25" x14ac:dyDescent="0.2">
      <c r="A11" s="234" t="s">
        <v>344</v>
      </c>
      <c r="B11" s="235"/>
      <c r="C11" s="235"/>
      <c r="D11" s="235"/>
      <c r="E11" s="235"/>
      <c r="F11" s="236"/>
      <c r="G11" s="235"/>
      <c r="H11" s="235"/>
      <c r="I11" s="235"/>
      <c r="J11" s="223" t="s">
        <v>16</v>
      </c>
      <c r="K11" s="223">
        <f>SUM(K12:K13)</f>
        <v>0</v>
      </c>
      <c r="L11" s="223">
        <f>SUM(L12:L13)</f>
        <v>0</v>
      </c>
      <c r="M11" s="261"/>
      <c r="N11" s="261"/>
      <c r="O11" s="261"/>
      <c r="P11" s="261"/>
      <c r="Q11" s="261"/>
      <c r="R11" s="224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</row>
    <row r="12" spans="1:30" s="237" customFormat="1" ht="17.25" x14ac:dyDescent="0.2">
      <c r="A12" s="238"/>
      <c r="B12" s="239"/>
      <c r="C12" s="239"/>
      <c r="D12" s="240"/>
      <c r="E12" s="240"/>
      <c r="F12" s="241"/>
      <c r="G12" s="239"/>
      <c r="H12" s="239"/>
      <c r="I12" s="239"/>
      <c r="J12" s="242"/>
      <c r="K12" s="243"/>
      <c r="L12" s="244"/>
      <c r="M12" s="239"/>
      <c r="N12" s="239"/>
      <c r="O12" s="239"/>
      <c r="P12" s="240"/>
      <c r="Q12" s="240"/>
      <c r="R12" s="245"/>
      <c r="S12" s="240"/>
      <c r="T12" s="246"/>
      <c r="U12" s="247"/>
      <c r="V12" s="248"/>
      <c r="W12" s="239"/>
      <c r="X12" s="239"/>
      <c r="Y12" s="239"/>
      <c r="Z12" s="239"/>
      <c r="AA12" s="239"/>
      <c r="AB12" s="239"/>
      <c r="AC12" s="239"/>
      <c r="AD12" s="239"/>
    </row>
    <row r="13" spans="1:30" ht="17.25" x14ac:dyDescent="0.2">
      <c r="A13" s="262"/>
      <c r="B13" s="261"/>
      <c r="C13" s="261"/>
      <c r="D13" s="249"/>
      <c r="E13" s="240"/>
      <c r="F13" s="241"/>
      <c r="G13" s="239"/>
      <c r="H13" s="239"/>
      <c r="I13" s="239"/>
      <c r="J13" s="250"/>
      <c r="K13" s="251"/>
      <c r="L13" s="251"/>
      <c r="M13" s="239"/>
      <c r="N13" s="239"/>
      <c r="O13" s="239"/>
      <c r="P13" s="240"/>
      <c r="Q13" s="240"/>
      <c r="R13" s="245"/>
      <c r="S13" s="240"/>
      <c r="T13" s="246"/>
      <c r="U13" s="247"/>
      <c r="V13" s="248"/>
      <c r="W13" s="261"/>
      <c r="X13" s="261"/>
      <c r="Y13" s="261"/>
      <c r="Z13" s="261"/>
      <c r="AA13" s="261"/>
      <c r="AB13" s="261"/>
      <c r="AC13" s="261"/>
      <c r="AD13" s="261"/>
    </row>
    <row r="14" spans="1:30" ht="17.25" x14ac:dyDescent="0.2">
      <c r="A14" s="252" t="s">
        <v>345</v>
      </c>
      <c r="B14" s="234"/>
      <c r="C14" s="234"/>
      <c r="D14" s="234"/>
      <c r="E14" s="234"/>
      <c r="F14" s="253"/>
      <c r="G14" s="234"/>
      <c r="H14" s="234"/>
      <c r="I14" s="234"/>
      <c r="J14" s="223" t="s">
        <v>16</v>
      </c>
      <c r="K14" s="223">
        <f>SUM(K15:K16)</f>
        <v>0</v>
      </c>
      <c r="L14" s="223">
        <f>SUM(L15:L16)</f>
        <v>0</v>
      </c>
      <c r="M14" s="261"/>
      <c r="N14" s="261"/>
      <c r="O14" s="261"/>
      <c r="P14" s="261"/>
      <c r="Q14" s="261"/>
      <c r="R14" s="224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</row>
    <row r="15" spans="1:30" ht="17.25" x14ac:dyDescent="0.2">
      <c r="A15" s="254"/>
      <c r="B15" s="261"/>
      <c r="C15" s="261"/>
      <c r="D15" s="240"/>
      <c r="E15" s="240"/>
      <c r="F15" s="241"/>
      <c r="G15" s="240"/>
      <c r="H15" s="240"/>
      <c r="I15" s="240"/>
      <c r="J15" s="250"/>
      <c r="K15" s="251"/>
      <c r="L15" s="251"/>
      <c r="M15" s="240"/>
      <c r="N15" s="240"/>
      <c r="O15" s="240"/>
      <c r="P15" s="240"/>
      <c r="Q15" s="240"/>
      <c r="R15" s="245"/>
      <c r="S15" s="240"/>
      <c r="T15" s="247"/>
      <c r="U15" s="240"/>
      <c r="V15" s="261"/>
      <c r="W15" s="261"/>
      <c r="X15" s="261"/>
      <c r="Y15" s="261"/>
      <c r="Z15" s="261"/>
      <c r="AA15" s="261"/>
      <c r="AB15" s="261"/>
      <c r="AC15" s="261"/>
      <c r="AD15" s="261"/>
    </row>
    <row r="16" spans="1:30" s="255" customFormat="1" ht="17.25" x14ac:dyDescent="0.2">
      <c r="A16" s="256"/>
      <c r="B16" s="239"/>
      <c r="C16" s="239"/>
      <c r="D16" s="239"/>
      <c r="E16" s="239"/>
      <c r="F16" s="257"/>
      <c r="G16" s="239"/>
      <c r="H16" s="239"/>
      <c r="I16" s="239"/>
      <c r="J16" s="258"/>
      <c r="K16" s="243"/>
      <c r="L16" s="243"/>
      <c r="M16" s="239"/>
      <c r="N16" s="239"/>
      <c r="O16" s="239"/>
      <c r="P16" s="239"/>
      <c r="Q16" s="239"/>
      <c r="R16" s="259"/>
      <c r="S16" s="239"/>
      <c r="T16" s="260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</row>
    <row r="17" spans="1:30" s="228" customFormat="1" ht="17.25" x14ac:dyDescent="0.2">
      <c r="A17" s="229" t="s">
        <v>282</v>
      </c>
      <c r="B17" s="230"/>
      <c r="C17" s="230"/>
      <c r="D17" s="230"/>
      <c r="E17" s="230"/>
      <c r="F17" s="231"/>
      <c r="G17" s="230"/>
      <c r="H17" s="230"/>
      <c r="I17" s="230"/>
      <c r="J17" s="230"/>
      <c r="K17" s="232"/>
      <c r="L17" s="232"/>
      <c r="M17" s="230"/>
      <c r="N17" s="230"/>
      <c r="O17" s="230"/>
      <c r="P17" s="230"/>
      <c r="Q17" s="230"/>
      <c r="R17" s="233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</row>
    <row r="18" spans="1:30" ht="17.25" x14ac:dyDescent="0.2">
      <c r="A18" s="234" t="s">
        <v>344</v>
      </c>
      <c r="B18" s="235"/>
      <c r="C18" s="235"/>
      <c r="D18" s="235"/>
      <c r="E18" s="235"/>
      <c r="F18" s="236"/>
      <c r="G18" s="235"/>
      <c r="H18" s="235"/>
      <c r="I18" s="235"/>
      <c r="J18" s="223" t="s">
        <v>16</v>
      </c>
      <c r="K18" s="223">
        <f>SUM(K19:K20)</f>
        <v>0</v>
      </c>
      <c r="L18" s="223">
        <f>SUM(L19:L20)</f>
        <v>0</v>
      </c>
      <c r="M18" s="261"/>
      <c r="N18" s="261"/>
      <c r="O18" s="261"/>
      <c r="P18" s="261"/>
      <c r="Q18" s="261"/>
      <c r="R18" s="224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</row>
    <row r="19" spans="1:30" s="237" customFormat="1" ht="17.25" x14ac:dyDescent="0.2">
      <c r="A19" s="238"/>
      <c r="B19" s="239"/>
      <c r="C19" s="239"/>
      <c r="D19" s="240"/>
      <c r="E19" s="240"/>
      <c r="F19" s="241"/>
      <c r="G19" s="239"/>
      <c r="H19" s="239"/>
      <c r="I19" s="239"/>
      <c r="J19" s="242"/>
      <c r="K19" s="243"/>
      <c r="L19" s="244"/>
      <c r="M19" s="239"/>
      <c r="N19" s="239"/>
      <c r="O19" s="239"/>
      <c r="P19" s="240"/>
      <c r="Q19" s="240"/>
      <c r="R19" s="245"/>
      <c r="S19" s="240"/>
      <c r="T19" s="246"/>
      <c r="U19" s="247"/>
      <c r="V19" s="248"/>
      <c r="W19" s="239"/>
      <c r="X19" s="239"/>
      <c r="Y19" s="239"/>
      <c r="Z19" s="239"/>
      <c r="AA19" s="239"/>
      <c r="AB19" s="239"/>
      <c r="AC19" s="239"/>
      <c r="AD19" s="239"/>
    </row>
    <row r="20" spans="1:30" ht="17.25" x14ac:dyDescent="0.2">
      <c r="A20" s="262"/>
      <c r="B20" s="261"/>
      <c r="C20" s="261"/>
      <c r="D20" s="249"/>
      <c r="E20" s="240"/>
      <c r="F20" s="241"/>
      <c r="G20" s="239"/>
      <c r="H20" s="239"/>
      <c r="I20" s="239"/>
      <c r="J20" s="250"/>
      <c r="K20" s="251"/>
      <c r="L20" s="251"/>
      <c r="M20" s="239"/>
      <c r="N20" s="239"/>
      <c r="O20" s="239"/>
      <c r="P20" s="240"/>
      <c r="Q20" s="240"/>
      <c r="R20" s="245"/>
      <c r="S20" s="240"/>
      <c r="T20" s="246"/>
      <c r="U20" s="247"/>
      <c r="V20" s="248"/>
      <c r="W20" s="261"/>
      <c r="X20" s="261"/>
      <c r="Y20" s="261"/>
      <c r="Z20" s="261"/>
      <c r="AA20" s="261"/>
      <c r="AB20" s="261"/>
      <c r="AC20" s="261"/>
      <c r="AD20" s="261"/>
    </row>
    <row r="21" spans="1:30" ht="17.25" x14ac:dyDescent="0.2">
      <c r="A21" s="252" t="s">
        <v>345</v>
      </c>
      <c r="B21" s="234"/>
      <c r="C21" s="234"/>
      <c r="D21" s="234"/>
      <c r="E21" s="234"/>
      <c r="F21" s="253"/>
      <c r="G21" s="234"/>
      <c r="H21" s="234"/>
      <c r="I21" s="234"/>
      <c r="J21" s="223" t="s">
        <v>16</v>
      </c>
      <c r="K21" s="223">
        <f>SUM(K22:K23)</f>
        <v>0</v>
      </c>
      <c r="L21" s="223">
        <f>SUM(L22:L23)</f>
        <v>0</v>
      </c>
      <c r="M21" s="261"/>
      <c r="N21" s="261"/>
      <c r="O21" s="261"/>
      <c r="P21" s="261"/>
      <c r="Q21" s="261"/>
      <c r="R21" s="224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</row>
    <row r="22" spans="1:30" ht="17.25" x14ac:dyDescent="0.2">
      <c r="A22" s="254"/>
      <c r="B22" s="261"/>
      <c r="C22" s="261"/>
      <c r="D22" s="240"/>
      <c r="E22" s="240"/>
      <c r="F22" s="241"/>
      <c r="G22" s="240"/>
      <c r="H22" s="240"/>
      <c r="I22" s="240"/>
      <c r="J22" s="250"/>
      <c r="K22" s="251"/>
      <c r="L22" s="251"/>
      <c r="M22" s="240"/>
      <c r="N22" s="240"/>
      <c r="O22" s="240"/>
      <c r="P22" s="240"/>
      <c r="Q22" s="240"/>
      <c r="R22" s="245"/>
      <c r="S22" s="240"/>
      <c r="T22" s="247"/>
      <c r="U22" s="240"/>
      <c r="V22" s="261"/>
      <c r="W22" s="261"/>
      <c r="X22" s="261"/>
      <c r="Y22" s="261"/>
      <c r="Z22" s="261"/>
      <c r="AA22" s="261"/>
      <c r="AB22" s="261"/>
      <c r="AC22" s="261"/>
      <c r="AD22" s="261"/>
    </row>
    <row r="23" spans="1:30" s="255" customFormat="1" ht="17.25" x14ac:dyDescent="0.2">
      <c r="A23" s="256"/>
      <c r="B23" s="239"/>
      <c r="C23" s="239"/>
      <c r="D23" s="239"/>
      <c r="E23" s="239"/>
      <c r="F23" s="257"/>
      <c r="G23" s="239"/>
      <c r="H23" s="239"/>
      <c r="I23" s="239"/>
      <c r="J23" s="258"/>
      <c r="K23" s="243"/>
      <c r="L23" s="243"/>
      <c r="M23" s="239"/>
      <c r="N23" s="239"/>
      <c r="O23" s="239"/>
      <c r="P23" s="239"/>
      <c r="Q23" s="239"/>
      <c r="R23" s="259"/>
      <c r="S23" s="239"/>
      <c r="T23" s="260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</row>
    <row r="24" spans="1:30" s="228" customFormat="1" ht="17.25" x14ac:dyDescent="0.2">
      <c r="A24" s="229" t="s">
        <v>283</v>
      </c>
      <c r="B24" s="230"/>
      <c r="C24" s="230"/>
      <c r="D24" s="230"/>
      <c r="E24" s="230"/>
      <c r="F24" s="231"/>
      <c r="G24" s="230"/>
      <c r="H24" s="230"/>
      <c r="I24" s="230"/>
      <c r="J24" s="230"/>
      <c r="K24" s="232"/>
      <c r="L24" s="232"/>
      <c r="M24" s="230"/>
      <c r="N24" s="230"/>
      <c r="O24" s="230"/>
      <c r="P24" s="230"/>
      <c r="Q24" s="230"/>
      <c r="R24" s="233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</row>
    <row r="25" spans="1:30" ht="17.25" x14ac:dyDescent="0.2">
      <c r="A25" s="234" t="s">
        <v>344</v>
      </c>
      <c r="B25" s="235"/>
      <c r="C25" s="235"/>
      <c r="D25" s="235"/>
      <c r="E25" s="235"/>
      <c r="F25" s="236"/>
      <c r="G25" s="235"/>
      <c r="H25" s="235"/>
      <c r="I25" s="235"/>
      <c r="J25" s="223" t="s">
        <v>16</v>
      </c>
      <c r="K25" s="223">
        <f>SUM(K26:K27)</f>
        <v>0</v>
      </c>
      <c r="L25" s="223">
        <f>SUM(L26:L27)</f>
        <v>0</v>
      </c>
      <c r="M25" s="261"/>
      <c r="N25" s="261"/>
      <c r="O25" s="261"/>
      <c r="P25" s="261"/>
      <c r="Q25" s="261"/>
      <c r="R25" s="224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</row>
    <row r="26" spans="1:30" s="237" customFormat="1" ht="17.25" x14ac:dyDescent="0.2">
      <c r="A26" s="238"/>
      <c r="B26" s="239"/>
      <c r="C26" s="239"/>
      <c r="D26" s="240"/>
      <c r="E26" s="240"/>
      <c r="F26" s="241"/>
      <c r="G26" s="239"/>
      <c r="H26" s="239"/>
      <c r="I26" s="239"/>
      <c r="J26" s="242"/>
      <c r="K26" s="243"/>
      <c r="L26" s="244"/>
      <c r="M26" s="239"/>
      <c r="N26" s="239"/>
      <c r="O26" s="239"/>
      <c r="P26" s="240"/>
      <c r="Q26" s="240"/>
      <c r="R26" s="245"/>
      <c r="S26" s="240"/>
      <c r="T26" s="246"/>
      <c r="U26" s="247"/>
      <c r="V26" s="248"/>
      <c r="W26" s="239"/>
      <c r="X26" s="239"/>
      <c r="Y26" s="239"/>
      <c r="Z26" s="239"/>
      <c r="AA26" s="239"/>
      <c r="AB26" s="239"/>
      <c r="AC26" s="239"/>
      <c r="AD26" s="239"/>
    </row>
    <row r="27" spans="1:30" ht="17.25" x14ac:dyDescent="0.2">
      <c r="A27" s="262"/>
      <c r="B27" s="261"/>
      <c r="C27" s="261"/>
      <c r="D27" s="249"/>
      <c r="E27" s="240"/>
      <c r="F27" s="241"/>
      <c r="G27" s="239"/>
      <c r="H27" s="239"/>
      <c r="I27" s="239"/>
      <c r="J27" s="250"/>
      <c r="K27" s="251"/>
      <c r="L27" s="251"/>
      <c r="M27" s="239"/>
      <c r="N27" s="239"/>
      <c r="O27" s="239"/>
      <c r="P27" s="240"/>
      <c r="Q27" s="240"/>
      <c r="R27" s="245"/>
      <c r="S27" s="240"/>
      <c r="T27" s="246"/>
      <c r="U27" s="247"/>
      <c r="V27" s="248"/>
      <c r="W27" s="261"/>
      <c r="X27" s="261"/>
      <c r="Y27" s="261"/>
      <c r="Z27" s="261"/>
      <c r="AA27" s="261"/>
      <c r="AB27" s="261"/>
      <c r="AC27" s="261"/>
      <c r="AD27" s="261"/>
    </row>
    <row r="28" spans="1:30" ht="17.25" x14ac:dyDescent="0.2">
      <c r="A28" s="252" t="s">
        <v>345</v>
      </c>
      <c r="B28" s="234"/>
      <c r="C28" s="234"/>
      <c r="D28" s="234"/>
      <c r="E28" s="234"/>
      <c r="F28" s="253"/>
      <c r="G28" s="234"/>
      <c r="H28" s="234"/>
      <c r="I28" s="234"/>
      <c r="J28" s="223" t="s">
        <v>16</v>
      </c>
      <c r="K28" s="223">
        <f>SUM(K29:K30)</f>
        <v>0</v>
      </c>
      <c r="L28" s="223">
        <f>SUM(L29:L30)</f>
        <v>0</v>
      </c>
      <c r="M28" s="261"/>
      <c r="N28" s="261"/>
      <c r="O28" s="261"/>
      <c r="P28" s="261"/>
      <c r="Q28" s="261"/>
      <c r="R28" s="224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</row>
    <row r="29" spans="1:30" ht="17.25" x14ac:dyDescent="0.2">
      <c r="A29" s="254"/>
      <c r="B29" s="261"/>
      <c r="C29" s="261"/>
      <c r="D29" s="240"/>
      <c r="E29" s="240"/>
      <c r="F29" s="241"/>
      <c r="G29" s="240"/>
      <c r="H29" s="240"/>
      <c r="I29" s="240"/>
      <c r="J29" s="250"/>
      <c r="K29" s="251"/>
      <c r="L29" s="251"/>
      <c r="M29" s="240"/>
      <c r="N29" s="240"/>
      <c r="O29" s="240"/>
      <c r="P29" s="240"/>
      <c r="Q29" s="240"/>
      <c r="R29" s="245"/>
      <c r="S29" s="240"/>
      <c r="T29" s="247"/>
      <c r="U29" s="240"/>
      <c r="V29" s="261"/>
      <c r="W29" s="261"/>
      <c r="X29" s="261"/>
      <c r="Y29" s="261"/>
      <c r="Z29" s="261"/>
      <c r="AA29" s="261"/>
      <c r="AB29" s="261"/>
      <c r="AC29" s="261"/>
      <c r="AD29" s="261"/>
    </row>
    <row r="30" spans="1:30" s="255" customFormat="1" ht="17.25" x14ac:dyDescent="0.2">
      <c r="A30" s="256"/>
      <c r="B30" s="239"/>
      <c r="C30" s="239"/>
      <c r="D30" s="239"/>
      <c r="E30" s="239"/>
      <c r="F30" s="257"/>
      <c r="G30" s="239"/>
      <c r="H30" s="239"/>
      <c r="I30" s="239"/>
      <c r="J30" s="258"/>
      <c r="K30" s="243"/>
      <c r="L30" s="243"/>
      <c r="M30" s="239"/>
      <c r="N30" s="239"/>
      <c r="O30" s="239"/>
      <c r="P30" s="239"/>
      <c r="Q30" s="239"/>
      <c r="R30" s="259"/>
      <c r="S30" s="239"/>
      <c r="T30" s="260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</row>
    <row r="31" spans="1:30" s="228" customFormat="1" ht="17.25" x14ac:dyDescent="0.2">
      <c r="A31" s="229" t="s">
        <v>284</v>
      </c>
      <c r="B31" s="230"/>
      <c r="C31" s="230"/>
      <c r="D31" s="230"/>
      <c r="E31" s="230"/>
      <c r="F31" s="231"/>
      <c r="G31" s="230"/>
      <c r="H31" s="230"/>
      <c r="I31" s="230"/>
      <c r="J31" s="230"/>
      <c r="K31" s="232"/>
      <c r="L31" s="232"/>
      <c r="M31" s="230"/>
      <c r="N31" s="230"/>
      <c r="O31" s="230"/>
      <c r="P31" s="230"/>
      <c r="Q31" s="230"/>
      <c r="R31" s="233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</row>
    <row r="32" spans="1:30" ht="17.25" x14ac:dyDescent="0.2">
      <c r="A32" s="234" t="s">
        <v>344</v>
      </c>
      <c r="B32" s="235"/>
      <c r="C32" s="235"/>
      <c r="D32" s="235"/>
      <c r="E32" s="235"/>
      <c r="F32" s="236"/>
      <c r="G32" s="235"/>
      <c r="H32" s="235"/>
      <c r="I32" s="235"/>
      <c r="J32" s="223" t="s">
        <v>16</v>
      </c>
      <c r="K32" s="223">
        <f>SUM(K33:K34)</f>
        <v>0</v>
      </c>
      <c r="L32" s="223">
        <f>SUM(L33:L34)</f>
        <v>0</v>
      </c>
      <c r="M32" s="261"/>
      <c r="N32" s="261"/>
      <c r="O32" s="261"/>
      <c r="P32" s="261"/>
      <c r="Q32" s="261"/>
      <c r="R32" s="224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</row>
    <row r="33" spans="1:30" s="237" customFormat="1" ht="17.25" x14ac:dyDescent="0.2">
      <c r="A33" s="238"/>
      <c r="B33" s="239"/>
      <c r="C33" s="239"/>
      <c r="D33" s="240"/>
      <c r="E33" s="240"/>
      <c r="F33" s="241"/>
      <c r="G33" s="239"/>
      <c r="H33" s="239"/>
      <c r="I33" s="239"/>
      <c r="J33" s="242"/>
      <c r="K33" s="243"/>
      <c r="L33" s="244"/>
      <c r="M33" s="239"/>
      <c r="N33" s="239"/>
      <c r="O33" s="239"/>
      <c r="P33" s="240"/>
      <c r="Q33" s="240"/>
      <c r="R33" s="245"/>
      <c r="S33" s="240"/>
      <c r="T33" s="246"/>
      <c r="U33" s="247"/>
      <c r="V33" s="248"/>
      <c r="W33" s="239"/>
      <c r="X33" s="239"/>
      <c r="Y33" s="239"/>
      <c r="Z33" s="239"/>
      <c r="AA33" s="239"/>
      <c r="AB33" s="239"/>
      <c r="AC33" s="239"/>
      <c r="AD33" s="239"/>
    </row>
    <row r="34" spans="1:30" ht="17.25" x14ac:dyDescent="0.2">
      <c r="A34" s="262"/>
      <c r="B34" s="261"/>
      <c r="C34" s="261"/>
      <c r="D34" s="249"/>
      <c r="E34" s="240"/>
      <c r="F34" s="241"/>
      <c r="G34" s="239"/>
      <c r="H34" s="239"/>
      <c r="I34" s="239"/>
      <c r="J34" s="250"/>
      <c r="K34" s="251"/>
      <c r="L34" s="251"/>
      <c r="M34" s="239"/>
      <c r="N34" s="239"/>
      <c r="O34" s="239"/>
      <c r="P34" s="240"/>
      <c r="Q34" s="240"/>
      <c r="R34" s="245"/>
      <c r="S34" s="240"/>
      <c r="T34" s="246"/>
      <c r="U34" s="247"/>
      <c r="V34" s="248"/>
      <c r="W34" s="261"/>
      <c r="X34" s="261"/>
      <c r="Y34" s="261"/>
      <c r="Z34" s="261"/>
      <c r="AA34" s="261"/>
      <c r="AB34" s="261"/>
      <c r="AC34" s="261"/>
      <c r="AD34" s="261"/>
    </row>
    <row r="35" spans="1:30" ht="17.25" x14ac:dyDescent="0.2">
      <c r="A35" s="252" t="s">
        <v>345</v>
      </c>
      <c r="B35" s="234"/>
      <c r="C35" s="234"/>
      <c r="D35" s="234"/>
      <c r="E35" s="234"/>
      <c r="F35" s="253"/>
      <c r="G35" s="234"/>
      <c r="H35" s="234"/>
      <c r="I35" s="234"/>
      <c r="J35" s="223" t="s">
        <v>16</v>
      </c>
      <c r="K35" s="223">
        <f>SUM(K36:K37)</f>
        <v>0</v>
      </c>
      <c r="L35" s="223">
        <f>SUM(L36:L37)</f>
        <v>0</v>
      </c>
      <c r="M35" s="261"/>
      <c r="N35" s="261"/>
      <c r="O35" s="261"/>
      <c r="P35" s="261"/>
      <c r="Q35" s="261"/>
      <c r="R35" s="224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</row>
    <row r="36" spans="1:30" ht="17.25" x14ac:dyDescent="0.2">
      <c r="A36" s="254"/>
      <c r="B36" s="261"/>
      <c r="C36" s="261"/>
      <c r="D36" s="240"/>
      <c r="E36" s="240"/>
      <c r="F36" s="241"/>
      <c r="G36" s="240"/>
      <c r="H36" s="240"/>
      <c r="I36" s="240"/>
      <c r="J36" s="250"/>
      <c r="K36" s="251"/>
      <c r="L36" s="251"/>
      <c r="M36" s="240"/>
      <c r="N36" s="240"/>
      <c r="O36" s="240"/>
      <c r="P36" s="240"/>
      <c r="Q36" s="240"/>
      <c r="R36" s="245"/>
      <c r="S36" s="240"/>
      <c r="T36" s="247"/>
      <c r="U36" s="240"/>
      <c r="V36" s="261"/>
      <c r="W36" s="261"/>
      <c r="X36" s="261"/>
      <c r="Y36" s="261"/>
      <c r="Z36" s="261"/>
      <c r="AA36" s="261"/>
      <c r="AB36" s="261"/>
      <c r="AC36" s="261"/>
      <c r="AD36" s="261"/>
    </row>
    <row r="37" spans="1:30" s="255" customFormat="1" ht="17.25" x14ac:dyDescent="0.2">
      <c r="A37" s="256"/>
      <c r="B37" s="239"/>
      <c r="C37" s="239"/>
      <c r="D37" s="239"/>
      <c r="E37" s="239"/>
      <c r="F37" s="257"/>
      <c r="G37" s="239"/>
      <c r="H37" s="239"/>
      <c r="I37" s="239"/>
      <c r="J37" s="258"/>
      <c r="K37" s="243"/>
      <c r="L37" s="243"/>
      <c r="M37" s="239"/>
      <c r="N37" s="239"/>
      <c r="O37" s="239"/>
      <c r="P37" s="239"/>
      <c r="Q37" s="239"/>
      <c r="R37" s="259"/>
      <c r="S37" s="239"/>
      <c r="T37" s="260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</row>
    <row r="38" spans="1:30" s="228" customFormat="1" ht="17.25" x14ac:dyDescent="0.2">
      <c r="A38" s="229" t="s">
        <v>285</v>
      </c>
      <c r="B38" s="230"/>
      <c r="C38" s="230"/>
      <c r="D38" s="230"/>
      <c r="E38" s="230"/>
      <c r="F38" s="231"/>
      <c r="G38" s="230"/>
      <c r="H38" s="230"/>
      <c r="I38" s="230"/>
      <c r="J38" s="230"/>
      <c r="K38" s="232"/>
      <c r="L38" s="232"/>
      <c r="M38" s="230"/>
      <c r="N38" s="230"/>
      <c r="O38" s="230"/>
      <c r="P38" s="230"/>
      <c r="Q38" s="230"/>
      <c r="R38" s="233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</row>
    <row r="39" spans="1:30" ht="17.25" x14ac:dyDescent="0.2">
      <c r="A39" s="234" t="s">
        <v>344</v>
      </c>
      <c r="B39" s="235"/>
      <c r="C39" s="235"/>
      <c r="D39" s="235"/>
      <c r="E39" s="235"/>
      <c r="F39" s="236"/>
      <c r="G39" s="235"/>
      <c r="H39" s="235"/>
      <c r="I39" s="235"/>
      <c r="J39" s="223" t="s">
        <v>16</v>
      </c>
      <c r="K39" s="223">
        <f>SUM(K40:K41)</f>
        <v>0</v>
      </c>
      <c r="L39" s="223">
        <f>SUM(L40:L41)</f>
        <v>0</v>
      </c>
      <c r="M39" s="261"/>
      <c r="N39" s="261"/>
      <c r="O39" s="261"/>
      <c r="P39" s="261"/>
      <c r="Q39" s="261"/>
      <c r="R39" s="224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</row>
    <row r="40" spans="1:30" s="237" customFormat="1" ht="17.25" x14ac:dyDescent="0.2">
      <c r="A40" s="238"/>
      <c r="B40" s="239"/>
      <c r="C40" s="239"/>
      <c r="D40" s="240"/>
      <c r="E40" s="240"/>
      <c r="F40" s="241"/>
      <c r="G40" s="239"/>
      <c r="H40" s="239"/>
      <c r="I40" s="239"/>
      <c r="J40" s="242"/>
      <c r="K40" s="243"/>
      <c r="L40" s="244"/>
      <c r="M40" s="239"/>
      <c r="N40" s="239"/>
      <c r="O40" s="239"/>
      <c r="P40" s="240"/>
      <c r="Q40" s="240"/>
      <c r="R40" s="245"/>
      <c r="S40" s="240"/>
      <c r="T40" s="246"/>
      <c r="U40" s="247"/>
      <c r="V40" s="248"/>
      <c r="W40" s="239"/>
      <c r="X40" s="239"/>
      <c r="Y40" s="239"/>
      <c r="Z40" s="239"/>
      <c r="AA40" s="239"/>
      <c r="AB40" s="239"/>
      <c r="AC40" s="239"/>
      <c r="AD40" s="239"/>
    </row>
    <row r="41" spans="1:30" ht="17.25" x14ac:dyDescent="0.2">
      <c r="A41" s="262"/>
      <c r="B41" s="261"/>
      <c r="C41" s="261"/>
      <c r="D41" s="249"/>
      <c r="E41" s="240"/>
      <c r="F41" s="241"/>
      <c r="G41" s="239"/>
      <c r="H41" s="239"/>
      <c r="I41" s="239"/>
      <c r="J41" s="250"/>
      <c r="K41" s="251"/>
      <c r="L41" s="251"/>
      <c r="M41" s="239"/>
      <c r="N41" s="239"/>
      <c r="O41" s="239"/>
      <c r="P41" s="240"/>
      <c r="Q41" s="240"/>
      <c r="R41" s="245"/>
      <c r="S41" s="240"/>
      <c r="T41" s="246"/>
      <c r="U41" s="247"/>
      <c r="V41" s="248"/>
      <c r="W41" s="261"/>
      <c r="X41" s="261"/>
      <c r="Y41" s="261"/>
      <c r="Z41" s="261"/>
      <c r="AA41" s="261"/>
      <c r="AB41" s="261"/>
      <c r="AC41" s="261"/>
      <c r="AD41" s="261"/>
    </row>
    <row r="42" spans="1:30" ht="17.25" x14ac:dyDescent="0.2">
      <c r="A42" s="252" t="s">
        <v>345</v>
      </c>
      <c r="B42" s="234"/>
      <c r="C42" s="234"/>
      <c r="D42" s="234"/>
      <c r="E42" s="234"/>
      <c r="F42" s="253"/>
      <c r="G42" s="234"/>
      <c r="H42" s="234"/>
      <c r="I42" s="234"/>
      <c r="J42" s="223" t="s">
        <v>16</v>
      </c>
      <c r="K42" s="223">
        <f>SUM(K43:K44)</f>
        <v>0</v>
      </c>
      <c r="L42" s="223">
        <f>SUM(L43:L44)</f>
        <v>0</v>
      </c>
      <c r="M42" s="261"/>
      <c r="N42" s="261"/>
      <c r="O42" s="261"/>
      <c r="P42" s="261"/>
      <c r="Q42" s="261"/>
      <c r="R42" s="224"/>
      <c r="S42" s="261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</row>
    <row r="43" spans="1:30" ht="17.25" x14ac:dyDescent="0.2">
      <c r="A43" s="254"/>
      <c r="B43" s="261"/>
      <c r="C43" s="261"/>
      <c r="D43" s="240"/>
      <c r="E43" s="240"/>
      <c r="F43" s="241"/>
      <c r="G43" s="240"/>
      <c r="H43" s="240"/>
      <c r="I43" s="240"/>
      <c r="J43" s="250"/>
      <c r="K43" s="251"/>
      <c r="L43" s="251"/>
      <c r="M43" s="240"/>
      <c r="N43" s="240"/>
      <c r="O43" s="240"/>
      <c r="P43" s="240"/>
      <c r="Q43" s="240"/>
      <c r="R43" s="245"/>
      <c r="S43" s="240"/>
      <c r="T43" s="247"/>
      <c r="U43" s="240"/>
      <c r="V43" s="261"/>
      <c r="W43" s="261"/>
      <c r="X43" s="261"/>
      <c r="Y43" s="261"/>
      <c r="Z43" s="261"/>
      <c r="AA43" s="261"/>
      <c r="AB43" s="261"/>
      <c r="AC43" s="261"/>
      <c r="AD43" s="261"/>
    </row>
    <row r="44" spans="1:30" s="255" customFormat="1" ht="17.25" x14ac:dyDescent="0.2">
      <c r="A44" s="256"/>
      <c r="B44" s="239"/>
      <c r="C44" s="239"/>
      <c r="D44" s="239"/>
      <c r="E44" s="239"/>
      <c r="F44" s="257"/>
      <c r="G44" s="239"/>
      <c r="H44" s="239"/>
      <c r="I44" s="239"/>
      <c r="J44" s="258"/>
      <c r="K44" s="243"/>
      <c r="L44" s="243"/>
      <c r="M44" s="239"/>
      <c r="N44" s="239"/>
      <c r="O44" s="239"/>
      <c r="P44" s="239"/>
      <c r="Q44" s="239"/>
      <c r="R44" s="259"/>
      <c r="S44" s="239"/>
      <c r="T44" s="260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</row>
    <row r="45" spans="1:30" s="228" customFormat="1" ht="17.25" x14ac:dyDescent="0.2">
      <c r="A45" s="229" t="s">
        <v>286</v>
      </c>
      <c r="B45" s="230"/>
      <c r="C45" s="230"/>
      <c r="D45" s="230"/>
      <c r="E45" s="230"/>
      <c r="F45" s="231"/>
      <c r="G45" s="230"/>
      <c r="H45" s="230"/>
      <c r="I45" s="230"/>
      <c r="J45" s="230"/>
      <c r="K45" s="232"/>
      <c r="L45" s="232"/>
      <c r="M45" s="230"/>
      <c r="N45" s="230"/>
      <c r="O45" s="230"/>
      <c r="P45" s="230"/>
      <c r="Q45" s="230"/>
      <c r="R45" s="233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</row>
    <row r="46" spans="1:30" ht="17.25" x14ac:dyDescent="0.2">
      <c r="A46" s="234" t="s">
        <v>344</v>
      </c>
      <c r="B46" s="235"/>
      <c r="C46" s="235"/>
      <c r="D46" s="235"/>
      <c r="E46" s="235"/>
      <c r="F46" s="236"/>
      <c r="G46" s="235"/>
      <c r="H46" s="235"/>
      <c r="I46" s="235"/>
      <c r="J46" s="223" t="s">
        <v>16</v>
      </c>
      <c r="K46" s="223">
        <f>SUM(K47:K48)</f>
        <v>0</v>
      </c>
      <c r="L46" s="223">
        <f>SUM(L47:L48)</f>
        <v>0</v>
      </c>
      <c r="M46" s="261"/>
      <c r="N46" s="261"/>
      <c r="O46" s="261"/>
      <c r="P46" s="261"/>
      <c r="Q46" s="261"/>
      <c r="R46" s="224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</row>
    <row r="47" spans="1:30" s="237" customFormat="1" ht="17.25" x14ac:dyDescent="0.2">
      <c r="A47" s="238"/>
      <c r="B47" s="239"/>
      <c r="C47" s="239"/>
      <c r="D47" s="240"/>
      <c r="E47" s="240"/>
      <c r="F47" s="241"/>
      <c r="G47" s="239"/>
      <c r="H47" s="239"/>
      <c r="I47" s="239"/>
      <c r="J47" s="242"/>
      <c r="K47" s="243"/>
      <c r="L47" s="244"/>
      <c r="M47" s="239"/>
      <c r="N47" s="239"/>
      <c r="O47" s="239"/>
      <c r="P47" s="240"/>
      <c r="Q47" s="240"/>
      <c r="R47" s="245"/>
      <c r="S47" s="240"/>
      <c r="T47" s="246"/>
      <c r="U47" s="247"/>
      <c r="V47" s="248"/>
      <c r="W47" s="239"/>
      <c r="X47" s="239"/>
      <c r="Y47" s="239"/>
      <c r="Z47" s="239"/>
      <c r="AA47" s="239"/>
      <c r="AB47" s="239"/>
      <c r="AC47" s="239"/>
      <c r="AD47" s="239"/>
    </row>
    <row r="48" spans="1:30" ht="17.25" x14ac:dyDescent="0.2">
      <c r="A48" s="262"/>
      <c r="B48" s="261"/>
      <c r="C48" s="261"/>
      <c r="D48" s="249"/>
      <c r="E48" s="240"/>
      <c r="F48" s="241"/>
      <c r="G48" s="239"/>
      <c r="H48" s="239"/>
      <c r="I48" s="239"/>
      <c r="J48" s="250"/>
      <c r="K48" s="251"/>
      <c r="L48" s="251"/>
      <c r="M48" s="239"/>
      <c r="N48" s="239"/>
      <c r="O48" s="239"/>
      <c r="P48" s="240"/>
      <c r="Q48" s="240"/>
      <c r="R48" s="245"/>
      <c r="S48" s="240"/>
      <c r="T48" s="246"/>
      <c r="U48" s="247"/>
      <c r="V48" s="248"/>
      <c r="W48" s="261"/>
      <c r="X48" s="261"/>
      <c r="Y48" s="261"/>
      <c r="Z48" s="261"/>
      <c r="AA48" s="261"/>
      <c r="AB48" s="261"/>
      <c r="AC48" s="261"/>
      <c r="AD48" s="261"/>
    </row>
    <row r="49" spans="1:30" ht="17.25" x14ac:dyDescent="0.2">
      <c r="A49" s="252" t="s">
        <v>345</v>
      </c>
      <c r="B49" s="234"/>
      <c r="C49" s="234"/>
      <c r="D49" s="234"/>
      <c r="E49" s="234"/>
      <c r="F49" s="253"/>
      <c r="G49" s="234"/>
      <c r="H49" s="234"/>
      <c r="I49" s="234"/>
      <c r="J49" s="223" t="s">
        <v>16</v>
      </c>
      <c r="K49" s="223">
        <f>SUM(K50:K51)</f>
        <v>0</v>
      </c>
      <c r="L49" s="223">
        <f>SUM(L50:L51)</f>
        <v>0</v>
      </c>
      <c r="M49" s="261"/>
      <c r="N49" s="261"/>
      <c r="O49" s="261"/>
      <c r="P49" s="261"/>
      <c r="Q49" s="261"/>
      <c r="R49" s="224"/>
      <c r="S49" s="261"/>
      <c r="T49" s="261"/>
      <c r="U49" s="261"/>
      <c r="V49" s="261"/>
      <c r="W49" s="261"/>
      <c r="X49" s="261"/>
      <c r="Y49" s="261"/>
      <c r="Z49" s="261"/>
      <c r="AA49" s="261"/>
      <c r="AB49" s="261"/>
      <c r="AC49" s="261"/>
      <c r="AD49" s="261"/>
    </row>
    <row r="50" spans="1:30" ht="17.25" x14ac:dyDescent="0.2">
      <c r="A50" s="254"/>
      <c r="B50" s="261"/>
      <c r="C50" s="261"/>
      <c r="D50" s="240"/>
      <c r="E50" s="240"/>
      <c r="F50" s="241"/>
      <c r="G50" s="240"/>
      <c r="H50" s="240"/>
      <c r="I50" s="240"/>
      <c r="J50" s="250"/>
      <c r="K50" s="251"/>
      <c r="L50" s="251"/>
      <c r="M50" s="240"/>
      <c r="N50" s="240"/>
      <c r="O50" s="240"/>
      <c r="P50" s="240"/>
      <c r="Q50" s="240"/>
      <c r="R50" s="245"/>
      <c r="S50" s="240"/>
      <c r="T50" s="247"/>
      <c r="U50" s="240"/>
      <c r="V50" s="261"/>
      <c r="W50" s="261"/>
      <c r="X50" s="261"/>
      <c r="Y50" s="261"/>
      <c r="Z50" s="261"/>
      <c r="AA50" s="261"/>
      <c r="AB50" s="261"/>
      <c r="AC50" s="261"/>
      <c r="AD50" s="261"/>
    </row>
    <row r="51" spans="1:30" s="255" customFormat="1" ht="17.25" x14ac:dyDescent="0.2">
      <c r="A51" s="256"/>
      <c r="B51" s="239"/>
      <c r="C51" s="239"/>
      <c r="D51" s="239"/>
      <c r="E51" s="239"/>
      <c r="F51" s="257"/>
      <c r="G51" s="239"/>
      <c r="H51" s="239"/>
      <c r="I51" s="239"/>
      <c r="J51" s="258"/>
      <c r="K51" s="243"/>
      <c r="L51" s="243"/>
      <c r="M51" s="239"/>
      <c r="N51" s="239"/>
      <c r="O51" s="239"/>
      <c r="P51" s="239"/>
      <c r="Q51" s="239"/>
      <c r="R51" s="259"/>
      <c r="S51" s="239"/>
      <c r="T51" s="260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</row>
    <row r="52" spans="1:30" s="228" customFormat="1" ht="17.25" x14ac:dyDescent="0.2">
      <c r="A52" s="229" t="s">
        <v>287</v>
      </c>
      <c r="B52" s="230"/>
      <c r="C52" s="230"/>
      <c r="D52" s="230"/>
      <c r="E52" s="230"/>
      <c r="F52" s="231"/>
      <c r="G52" s="230"/>
      <c r="H52" s="230"/>
      <c r="I52" s="230"/>
      <c r="J52" s="230"/>
      <c r="K52" s="232"/>
      <c r="L52" s="232"/>
      <c r="M52" s="230"/>
      <c r="N52" s="230"/>
      <c r="O52" s="230"/>
      <c r="P52" s="230"/>
      <c r="Q52" s="230"/>
      <c r="R52" s="233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</row>
    <row r="53" spans="1:30" ht="17.25" x14ac:dyDescent="0.2">
      <c r="A53" s="234" t="s">
        <v>344</v>
      </c>
      <c r="B53" s="235"/>
      <c r="C53" s="235"/>
      <c r="D53" s="235"/>
      <c r="E53" s="235"/>
      <c r="F53" s="236"/>
      <c r="G53" s="235"/>
      <c r="H53" s="235"/>
      <c r="I53" s="235"/>
      <c r="J53" s="223" t="s">
        <v>16</v>
      </c>
      <c r="K53" s="223">
        <f>SUM(K54:K55)</f>
        <v>0</v>
      </c>
      <c r="L53" s="223">
        <f>SUM(L54:L55)</f>
        <v>0</v>
      </c>
      <c r="M53" s="261"/>
      <c r="N53" s="261"/>
      <c r="O53" s="261"/>
      <c r="P53" s="261"/>
      <c r="Q53" s="261"/>
      <c r="R53" s="224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</row>
    <row r="54" spans="1:30" s="237" customFormat="1" ht="17.25" x14ac:dyDescent="0.2">
      <c r="A54" s="238"/>
      <c r="B54" s="239"/>
      <c r="C54" s="239"/>
      <c r="D54" s="240"/>
      <c r="E54" s="240"/>
      <c r="F54" s="241"/>
      <c r="G54" s="239"/>
      <c r="H54" s="239"/>
      <c r="I54" s="239"/>
      <c r="J54" s="242"/>
      <c r="K54" s="243"/>
      <c r="L54" s="244"/>
      <c r="M54" s="239"/>
      <c r="N54" s="239"/>
      <c r="O54" s="239"/>
      <c r="P54" s="240"/>
      <c r="Q54" s="240"/>
      <c r="R54" s="245"/>
      <c r="S54" s="240"/>
      <c r="T54" s="246"/>
      <c r="U54" s="247"/>
      <c r="V54" s="248"/>
      <c r="W54" s="239"/>
      <c r="X54" s="239"/>
      <c r="Y54" s="239"/>
      <c r="Z54" s="239"/>
      <c r="AA54" s="239"/>
      <c r="AB54" s="239"/>
      <c r="AC54" s="239"/>
      <c r="AD54" s="239"/>
    </row>
    <row r="55" spans="1:30" ht="17.25" x14ac:dyDescent="0.2">
      <c r="A55" s="262"/>
      <c r="B55" s="261"/>
      <c r="C55" s="261"/>
      <c r="D55" s="249"/>
      <c r="E55" s="240"/>
      <c r="F55" s="241"/>
      <c r="G55" s="239"/>
      <c r="H55" s="239"/>
      <c r="I55" s="239"/>
      <c r="J55" s="250"/>
      <c r="K55" s="251"/>
      <c r="L55" s="251"/>
      <c r="M55" s="239"/>
      <c r="N55" s="239"/>
      <c r="O55" s="239"/>
      <c r="P55" s="240"/>
      <c r="Q55" s="240"/>
      <c r="R55" s="245"/>
      <c r="S55" s="240"/>
      <c r="T55" s="246"/>
      <c r="U55" s="247"/>
      <c r="V55" s="248"/>
      <c r="W55" s="261"/>
      <c r="X55" s="261"/>
      <c r="Y55" s="261"/>
      <c r="Z55" s="261"/>
      <c r="AA55" s="261"/>
      <c r="AB55" s="261"/>
      <c r="AC55" s="261"/>
      <c r="AD55" s="261"/>
    </row>
    <row r="56" spans="1:30" ht="17.25" x14ac:dyDescent="0.2">
      <c r="A56" s="252" t="s">
        <v>345</v>
      </c>
      <c r="B56" s="234"/>
      <c r="C56" s="234"/>
      <c r="D56" s="234"/>
      <c r="E56" s="234"/>
      <c r="F56" s="253"/>
      <c r="G56" s="234"/>
      <c r="H56" s="234"/>
      <c r="I56" s="234"/>
      <c r="J56" s="223" t="s">
        <v>16</v>
      </c>
      <c r="K56" s="223">
        <f>SUM(K57:K58)</f>
        <v>0</v>
      </c>
      <c r="L56" s="223">
        <f>SUM(L57:L58)</f>
        <v>0</v>
      </c>
      <c r="M56" s="261"/>
      <c r="N56" s="261"/>
      <c r="O56" s="261"/>
      <c r="P56" s="261"/>
      <c r="Q56" s="261"/>
      <c r="R56" s="224"/>
      <c r="S56" s="261"/>
      <c r="T56" s="261"/>
      <c r="U56" s="261"/>
      <c r="V56" s="261"/>
      <c r="W56" s="261"/>
      <c r="X56" s="261"/>
      <c r="Y56" s="261"/>
      <c r="Z56" s="261"/>
      <c r="AA56" s="261"/>
      <c r="AB56" s="261"/>
      <c r="AC56" s="261"/>
      <c r="AD56" s="261"/>
    </row>
    <row r="57" spans="1:30" ht="17.25" x14ac:dyDescent="0.2">
      <c r="A57" s="254"/>
      <c r="B57" s="261"/>
      <c r="C57" s="261"/>
      <c r="D57" s="240"/>
      <c r="E57" s="240"/>
      <c r="F57" s="241"/>
      <c r="G57" s="240"/>
      <c r="H57" s="240"/>
      <c r="I57" s="240"/>
      <c r="J57" s="250"/>
      <c r="K57" s="251"/>
      <c r="L57" s="251"/>
      <c r="M57" s="240"/>
      <c r="N57" s="240"/>
      <c r="O57" s="240"/>
      <c r="P57" s="240"/>
      <c r="Q57" s="240"/>
      <c r="R57" s="245"/>
      <c r="S57" s="240"/>
      <c r="T57" s="247"/>
      <c r="U57" s="240"/>
      <c r="V57" s="261"/>
      <c r="W57" s="261"/>
      <c r="X57" s="261"/>
      <c r="Y57" s="261"/>
      <c r="Z57" s="261"/>
      <c r="AA57" s="261"/>
      <c r="AB57" s="261"/>
      <c r="AC57" s="261"/>
      <c r="AD57" s="261"/>
    </row>
    <row r="58" spans="1:30" s="255" customFormat="1" ht="17.25" x14ac:dyDescent="0.2">
      <c r="A58" s="256"/>
      <c r="B58" s="239"/>
      <c r="C58" s="239"/>
      <c r="D58" s="239"/>
      <c r="E58" s="239"/>
      <c r="F58" s="257"/>
      <c r="G58" s="239"/>
      <c r="H58" s="239"/>
      <c r="I58" s="239"/>
      <c r="J58" s="258"/>
      <c r="K58" s="243"/>
      <c r="L58" s="243"/>
      <c r="M58" s="239"/>
      <c r="N58" s="239"/>
      <c r="O58" s="239"/>
      <c r="P58" s="239"/>
      <c r="Q58" s="239"/>
      <c r="R58" s="259"/>
      <c r="S58" s="239"/>
      <c r="T58" s="260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</row>
    <row r="59" spans="1:30" s="228" customFormat="1" ht="17.25" x14ac:dyDescent="0.2">
      <c r="A59" s="229" t="s">
        <v>288</v>
      </c>
      <c r="B59" s="230"/>
      <c r="C59" s="230"/>
      <c r="D59" s="230"/>
      <c r="E59" s="230"/>
      <c r="F59" s="231"/>
      <c r="G59" s="230"/>
      <c r="H59" s="230"/>
      <c r="I59" s="230"/>
      <c r="J59" s="230"/>
      <c r="K59" s="232"/>
      <c r="L59" s="232"/>
      <c r="M59" s="230"/>
      <c r="N59" s="230"/>
      <c r="O59" s="230"/>
      <c r="P59" s="230"/>
      <c r="Q59" s="230"/>
      <c r="R59" s="233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</row>
    <row r="60" spans="1:30" ht="17.25" x14ac:dyDescent="0.2">
      <c r="A60" s="234" t="s">
        <v>344</v>
      </c>
      <c r="B60" s="235"/>
      <c r="C60" s="235"/>
      <c r="D60" s="235"/>
      <c r="E60" s="235"/>
      <c r="F60" s="236"/>
      <c r="G60" s="235"/>
      <c r="H60" s="235"/>
      <c r="I60" s="235"/>
      <c r="J60" s="223" t="s">
        <v>16</v>
      </c>
      <c r="K60" s="223">
        <f>SUM(K61:K62)</f>
        <v>0</v>
      </c>
      <c r="L60" s="223">
        <f>SUM(L61:L62)</f>
        <v>0</v>
      </c>
      <c r="M60" s="261"/>
      <c r="N60" s="261"/>
      <c r="O60" s="261"/>
      <c r="P60" s="261"/>
      <c r="Q60" s="261"/>
      <c r="R60" s="224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</row>
    <row r="61" spans="1:30" s="237" customFormat="1" ht="17.25" x14ac:dyDescent="0.2">
      <c r="A61" s="238"/>
      <c r="B61" s="239"/>
      <c r="C61" s="239"/>
      <c r="D61" s="240"/>
      <c r="E61" s="240"/>
      <c r="F61" s="241"/>
      <c r="G61" s="239"/>
      <c r="H61" s="239"/>
      <c r="I61" s="239"/>
      <c r="J61" s="242"/>
      <c r="K61" s="243"/>
      <c r="L61" s="244"/>
      <c r="M61" s="239"/>
      <c r="N61" s="239"/>
      <c r="O61" s="239"/>
      <c r="P61" s="240"/>
      <c r="Q61" s="240"/>
      <c r="R61" s="245"/>
      <c r="S61" s="240"/>
      <c r="T61" s="246"/>
      <c r="U61" s="247"/>
      <c r="V61" s="248"/>
      <c r="W61" s="239"/>
      <c r="X61" s="239"/>
      <c r="Y61" s="239"/>
      <c r="Z61" s="239"/>
      <c r="AA61" s="239"/>
      <c r="AB61" s="239"/>
      <c r="AC61" s="239"/>
      <c r="AD61" s="239"/>
    </row>
    <row r="62" spans="1:30" ht="17.25" x14ac:dyDescent="0.2">
      <c r="A62" s="262"/>
      <c r="B62" s="261"/>
      <c r="C62" s="261"/>
      <c r="D62" s="249"/>
      <c r="E62" s="240"/>
      <c r="F62" s="241"/>
      <c r="G62" s="239"/>
      <c r="H62" s="239"/>
      <c r="I62" s="239"/>
      <c r="J62" s="250"/>
      <c r="K62" s="251"/>
      <c r="L62" s="251"/>
      <c r="M62" s="239"/>
      <c r="N62" s="239"/>
      <c r="O62" s="239"/>
      <c r="P62" s="240"/>
      <c r="Q62" s="240"/>
      <c r="R62" s="245"/>
      <c r="S62" s="240"/>
      <c r="T62" s="246"/>
      <c r="U62" s="247"/>
      <c r="V62" s="248"/>
      <c r="W62" s="261"/>
      <c r="X62" s="261"/>
      <c r="Y62" s="261"/>
      <c r="Z62" s="261"/>
      <c r="AA62" s="261"/>
      <c r="AB62" s="261"/>
      <c r="AC62" s="261"/>
      <c r="AD62" s="261"/>
    </row>
    <row r="63" spans="1:30" ht="17.25" x14ac:dyDescent="0.2">
      <c r="A63" s="252" t="s">
        <v>345</v>
      </c>
      <c r="B63" s="234"/>
      <c r="C63" s="234"/>
      <c r="D63" s="234"/>
      <c r="E63" s="234"/>
      <c r="F63" s="253"/>
      <c r="G63" s="234"/>
      <c r="H63" s="234"/>
      <c r="I63" s="234"/>
      <c r="J63" s="223" t="s">
        <v>16</v>
      </c>
      <c r="K63" s="223">
        <f>SUM(K64:K65)</f>
        <v>0</v>
      </c>
      <c r="L63" s="223">
        <f>SUM(L64:L65)</f>
        <v>0</v>
      </c>
      <c r="M63" s="261"/>
      <c r="N63" s="261"/>
      <c r="O63" s="261"/>
      <c r="P63" s="261"/>
      <c r="Q63" s="261"/>
      <c r="R63" s="224"/>
      <c r="S63" s="261"/>
      <c r="T63" s="261"/>
      <c r="U63" s="261"/>
      <c r="V63" s="261"/>
      <c r="W63" s="261"/>
      <c r="X63" s="261"/>
      <c r="Y63" s="261"/>
      <c r="Z63" s="261"/>
      <c r="AA63" s="261"/>
      <c r="AB63" s="261"/>
      <c r="AC63" s="261"/>
      <c r="AD63" s="261"/>
    </row>
    <row r="64" spans="1:30" ht="17.25" x14ac:dyDescent="0.2">
      <c r="A64" s="254"/>
      <c r="B64" s="261"/>
      <c r="C64" s="261"/>
      <c r="D64" s="240"/>
      <c r="E64" s="240"/>
      <c r="F64" s="241"/>
      <c r="G64" s="240"/>
      <c r="H64" s="240"/>
      <c r="I64" s="240"/>
      <c r="J64" s="250"/>
      <c r="K64" s="251"/>
      <c r="L64" s="251"/>
      <c r="M64" s="240"/>
      <c r="N64" s="240"/>
      <c r="O64" s="240"/>
      <c r="P64" s="240"/>
      <c r="Q64" s="240"/>
      <c r="R64" s="245"/>
      <c r="S64" s="240"/>
      <c r="T64" s="247"/>
      <c r="U64" s="240"/>
      <c r="V64" s="261"/>
      <c r="W64" s="261"/>
      <c r="X64" s="261"/>
      <c r="Y64" s="261"/>
      <c r="Z64" s="261"/>
      <c r="AA64" s="261"/>
      <c r="AB64" s="261"/>
      <c r="AC64" s="261"/>
      <c r="AD64" s="261"/>
    </row>
    <row r="65" spans="1:30" s="255" customFormat="1" ht="17.25" x14ac:dyDescent="0.2">
      <c r="A65" s="256"/>
      <c r="B65" s="239"/>
      <c r="C65" s="239"/>
      <c r="D65" s="239"/>
      <c r="E65" s="239"/>
      <c r="F65" s="257"/>
      <c r="G65" s="239"/>
      <c r="H65" s="239"/>
      <c r="I65" s="239"/>
      <c r="J65" s="258"/>
      <c r="K65" s="243"/>
      <c r="L65" s="243"/>
      <c r="M65" s="239"/>
      <c r="N65" s="239"/>
      <c r="O65" s="239"/>
      <c r="P65" s="239"/>
      <c r="Q65" s="239"/>
      <c r="R65" s="259"/>
      <c r="S65" s="239"/>
      <c r="T65" s="260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</row>
    <row r="66" spans="1:30" s="228" customFormat="1" ht="17.25" x14ac:dyDescent="0.2">
      <c r="A66" s="229" t="s">
        <v>289</v>
      </c>
      <c r="B66" s="230"/>
      <c r="C66" s="230"/>
      <c r="D66" s="230"/>
      <c r="E66" s="230"/>
      <c r="F66" s="231"/>
      <c r="G66" s="230"/>
      <c r="H66" s="230"/>
      <c r="I66" s="230"/>
      <c r="J66" s="230"/>
      <c r="K66" s="232"/>
      <c r="L66" s="232"/>
      <c r="M66" s="230"/>
      <c r="N66" s="230"/>
      <c r="O66" s="230"/>
      <c r="P66" s="230"/>
      <c r="Q66" s="230"/>
      <c r="R66" s="233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</row>
    <row r="67" spans="1:30" ht="17.25" x14ac:dyDescent="0.2">
      <c r="A67" s="234" t="s">
        <v>344</v>
      </c>
      <c r="B67" s="235"/>
      <c r="C67" s="235"/>
      <c r="D67" s="235"/>
      <c r="E67" s="235"/>
      <c r="F67" s="236"/>
      <c r="G67" s="235"/>
      <c r="H67" s="235"/>
      <c r="I67" s="235"/>
      <c r="J67" s="223" t="s">
        <v>16</v>
      </c>
      <c r="K67" s="223">
        <f>SUM(K68:K69)</f>
        <v>0</v>
      </c>
      <c r="L67" s="223">
        <f>SUM(L68:L69)</f>
        <v>0</v>
      </c>
      <c r="M67" s="261"/>
      <c r="N67" s="261"/>
      <c r="O67" s="261"/>
      <c r="P67" s="261"/>
      <c r="Q67" s="261"/>
      <c r="R67" s="224"/>
      <c r="S67" s="261"/>
      <c r="T67" s="261"/>
      <c r="U67" s="261"/>
      <c r="V67" s="261"/>
      <c r="W67" s="261"/>
      <c r="X67" s="261"/>
      <c r="Y67" s="261"/>
      <c r="Z67" s="261"/>
      <c r="AA67" s="261"/>
      <c r="AB67" s="261"/>
      <c r="AC67" s="261"/>
      <c r="AD67" s="261"/>
    </row>
    <row r="68" spans="1:30" s="237" customFormat="1" ht="17.25" x14ac:dyDescent="0.2">
      <c r="A68" s="238"/>
      <c r="B68" s="239"/>
      <c r="C68" s="239"/>
      <c r="D68" s="240"/>
      <c r="E68" s="240"/>
      <c r="F68" s="241"/>
      <c r="G68" s="239"/>
      <c r="H68" s="239"/>
      <c r="I68" s="239"/>
      <c r="J68" s="242"/>
      <c r="K68" s="243"/>
      <c r="L68" s="244"/>
      <c r="M68" s="239"/>
      <c r="N68" s="239"/>
      <c r="O68" s="239"/>
      <c r="P68" s="240"/>
      <c r="Q68" s="240"/>
      <c r="R68" s="245"/>
      <c r="S68" s="240"/>
      <c r="T68" s="246"/>
      <c r="U68" s="247"/>
      <c r="V68" s="248"/>
      <c r="W68" s="239"/>
      <c r="X68" s="239"/>
      <c r="Y68" s="239"/>
      <c r="Z68" s="239"/>
      <c r="AA68" s="239"/>
      <c r="AB68" s="239"/>
      <c r="AC68" s="239"/>
      <c r="AD68" s="239"/>
    </row>
    <row r="69" spans="1:30" ht="17.25" x14ac:dyDescent="0.2">
      <c r="A69" s="262"/>
      <c r="B69" s="261"/>
      <c r="C69" s="261"/>
      <c r="D69" s="249"/>
      <c r="E69" s="240"/>
      <c r="F69" s="241"/>
      <c r="G69" s="239"/>
      <c r="H69" s="239"/>
      <c r="I69" s="239"/>
      <c r="J69" s="250"/>
      <c r="K69" s="251"/>
      <c r="L69" s="251"/>
      <c r="M69" s="239"/>
      <c r="N69" s="239"/>
      <c r="O69" s="239"/>
      <c r="P69" s="240"/>
      <c r="Q69" s="240"/>
      <c r="R69" s="245"/>
      <c r="S69" s="240"/>
      <c r="T69" s="246"/>
      <c r="U69" s="247"/>
      <c r="V69" s="248"/>
      <c r="W69" s="261"/>
      <c r="X69" s="261"/>
      <c r="Y69" s="261"/>
      <c r="Z69" s="261"/>
      <c r="AA69" s="261"/>
      <c r="AB69" s="261"/>
      <c r="AC69" s="261"/>
      <c r="AD69" s="261"/>
    </row>
    <row r="70" spans="1:30" ht="17.25" x14ac:dyDescent="0.2">
      <c r="A70" s="252" t="s">
        <v>345</v>
      </c>
      <c r="B70" s="234"/>
      <c r="C70" s="234"/>
      <c r="D70" s="234"/>
      <c r="E70" s="234"/>
      <c r="F70" s="253"/>
      <c r="G70" s="234"/>
      <c r="H70" s="234"/>
      <c r="I70" s="234"/>
      <c r="J70" s="223" t="s">
        <v>16</v>
      </c>
      <c r="K70" s="223">
        <f>SUM(K71:K72)</f>
        <v>0</v>
      </c>
      <c r="L70" s="223">
        <f>SUM(L71:L72)</f>
        <v>0</v>
      </c>
      <c r="M70" s="261"/>
      <c r="N70" s="261"/>
      <c r="O70" s="261"/>
      <c r="P70" s="261"/>
      <c r="Q70" s="261"/>
      <c r="R70" s="224"/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261"/>
    </row>
    <row r="71" spans="1:30" ht="17.25" x14ac:dyDescent="0.2">
      <c r="A71" s="254"/>
      <c r="B71" s="261"/>
      <c r="C71" s="261"/>
      <c r="D71" s="240"/>
      <c r="E71" s="240"/>
      <c r="F71" s="241"/>
      <c r="G71" s="240"/>
      <c r="H71" s="240"/>
      <c r="I71" s="240"/>
      <c r="J71" s="250"/>
      <c r="K71" s="251"/>
      <c r="L71" s="251"/>
      <c r="M71" s="240"/>
      <c r="N71" s="240"/>
      <c r="O71" s="240"/>
      <c r="P71" s="240"/>
      <c r="Q71" s="240"/>
      <c r="R71" s="245"/>
      <c r="S71" s="240"/>
      <c r="T71" s="247"/>
      <c r="U71" s="240"/>
      <c r="V71" s="261"/>
      <c r="W71" s="261"/>
      <c r="X71" s="261"/>
      <c r="Y71" s="261"/>
      <c r="Z71" s="261"/>
      <c r="AA71" s="261"/>
      <c r="AB71" s="261"/>
      <c r="AC71" s="261"/>
      <c r="AD71" s="261"/>
    </row>
    <row r="72" spans="1:30" s="255" customFormat="1" ht="17.25" x14ac:dyDescent="0.2">
      <c r="A72" s="256"/>
      <c r="B72" s="239"/>
      <c r="C72" s="239"/>
      <c r="D72" s="239"/>
      <c r="E72" s="239"/>
      <c r="F72" s="257"/>
      <c r="G72" s="239"/>
      <c r="H72" s="239"/>
      <c r="I72" s="239"/>
      <c r="J72" s="258"/>
      <c r="K72" s="243"/>
      <c r="L72" s="243"/>
      <c r="M72" s="239"/>
      <c r="N72" s="239"/>
      <c r="O72" s="239"/>
      <c r="P72" s="239"/>
      <c r="Q72" s="239"/>
      <c r="R72" s="259"/>
      <c r="S72" s="239"/>
      <c r="T72" s="260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</row>
    <row r="73" spans="1:30" s="228" customFormat="1" ht="17.25" x14ac:dyDescent="0.2">
      <c r="A73" s="229" t="s">
        <v>291</v>
      </c>
      <c r="B73" s="230"/>
      <c r="C73" s="230"/>
      <c r="D73" s="230"/>
      <c r="E73" s="230"/>
      <c r="F73" s="231"/>
      <c r="G73" s="230"/>
      <c r="H73" s="230"/>
      <c r="I73" s="230"/>
      <c r="J73" s="230"/>
      <c r="K73" s="232"/>
      <c r="L73" s="232"/>
      <c r="M73" s="230"/>
      <c r="N73" s="230"/>
      <c r="O73" s="230"/>
      <c r="P73" s="230"/>
      <c r="Q73" s="230"/>
      <c r="R73" s="233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</row>
    <row r="74" spans="1:30" ht="17.25" x14ac:dyDescent="0.2">
      <c r="A74" s="234" t="s">
        <v>344</v>
      </c>
      <c r="B74" s="235"/>
      <c r="C74" s="235"/>
      <c r="D74" s="235"/>
      <c r="E74" s="235"/>
      <c r="F74" s="236"/>
      <c r="G74" s="235"/>
      <c r="H74" s="235"/>
      <c r="I74" s="235"/>
      <c r="J74" s="223" t="s">
        <v>16</v>
      </c>
      <c r="K74" s="223">
        <f>SUM(K75:K76)</f>
        <v>0</v>
      </c>
      <c r="L74" s="223">
        <f>SUM(L75:L76)</f>
        <v>0</v>
      </c>
      <c r="M74" s="261"/>
      <c r="N74" s="261"/>
      <c r="O74" s="261"/>
      <c r="P74" s="261"/>
      <c r="Q74" s="261"/>
      <c r="R74" s="224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</row>
    <row r="75" spans="1:30" s="237" customFormat="1" ht="17.25" x14ac:dyDescent="0.2">
      <c r="A75" s="238"/>
      <c r="B75" s="239"/>
      <c r="C75" s="239"/>
      <c r="D75" s="240"/>
      <c r="E75" s="240"/>
      <c r="F75" s="241"/>
      <c r="G75" s="239"/>
      <c r="H75" s="239"/>
      <c r="I75" s="239"/>
      <c r="J75" s="242"/>
      <c r="K75" s="243"/>
      <c r="L75" s="244"/>
      <c r="M75" s="239"/>
      <c r="N75" s="239"/>
      <c r="O75" s="239"/>
      <c r="P75" s="240"/>
      <c r="Q75" s="240"/>
      <c r="R75" s="245"/>
      <c r="S75" s="240"/>
      <c r="T75" s="246"/>
      <c r="U75" s="247"/>
      <c r="V75" s="248"/>
      <c r="W75" s="239"/>
      <c r="X75" s="239"/>
      <c r="Y75" s="239"/>
      <c r="Z75" s="239"/>
      <c r="AA75" s="239"/>
      <c r="AB75" s="239"/>
      <c r="AC75" s="239"/>
      <c r="AD75" s="239"/>
    </row>
    <row r="76" spans="1:30" ht="17.25" x14ac:dyDescent="0.2">
      <c r="A76" s="262"/>
      <c r="B76" s="261"/>
      <c r="C76" s="261"/>
      <c r="D76" s="249"/>
      <c r="E76" s="240"/>
      <c r="F76" s="241"/>
      <c r="G76" s="239"/>
      <c r="H76" s="239"/>
      <c r="I76" s="239"/>
      <c r="J76" s="250"/>
      <c r="K76" s="251"/>
      <c r="L76" s="251"/>
      <c r="M76" s="239"/>
      <c r="N76" s="239"/>
      <c r="O76" s="239"/>
      <c r="P76" s="240"/>
      <c r="Q76" s="240"/>
      <c r="R76" s="245"/>
      <c r="S76" s="240"/>
      <c r="T76" s="246"/>
      <c r="U76" s="247"/>
      <c r="V76" s="248"/>
      <c r="W76" s="261"/>
      <c r="X76" s="261"/>
      <c r="Y76" s="261"/>
      <c r="Z76" s="261"/>
      <c r="AA76" s="261"/>
      <c r="AB76" s="261"/>
      <c r="AC76" s="261"/>
      <c r="AD76" s="261"/>
    </row>
    <row r="77" spans="1:30" ht="17.25" x14ac:dyDescent="0.2">
      <c r="A77" s="252" t="s">
        <v>345</v>
      </c>
      <c r="B77" s="234"/>
      <c r="C77" s="234"/>
      <c r="D77" s="234"/>
      <c r="E77" s="234"/>
      <c r="F77" s="253"/>
      <c r="G77" s="234"/>
      <c r="H77" s="234"/>
      <c r="I77" s="234"/>
      <c r="J77" s="223" t="s">
        <v>16</v>
      </c>
      <c r="K77" s="223">
        <f>SUM(K78:K79)</f>
        <v>0</v>
      </c>
      <c r="L77" s="223">
        <f>SUM(L78:L79)</f>
        <v>0</v>
      </c>
      <c r="M77" s="261"/>
      <c r="N77" s="261"/>
      <c r="O77" s="261"/>
      <c r="P77" s="261"/>
      <c r="Q77" s="261"/>
      <c r="R77" s="224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</row>
    <row r="78" spans="1:30" ht="17.25" x14ac:dyDescent="0.2">
      <c r="A78" s="254"/>
      <c r="B78" s="261"/>
      <c r="C78" s="261"/>
      <c r="D78" s="240"/>
      <c r="E78" s="240"/>
      <c r="F78" s="241"/>
      <c r="G78" s="240"/>
      <c r="H78" s="240"/>
      <c r="I78" s="240"/>
      <c r="J78" s="250"/>
      <c r="K78" s="251"/>
      <c r="L78" s="251"/>
      <c r="M78" s="240"/>
      <c r="N78" s="240"/>
      <c r="O78" s="240"/>
      <c r="P78" s="240"/>
      <c r="Q78" s="240"/>
      <c r="R78" s="245"/>
      <c r="S78" s="240"/>
      <c r="T78" s="247"/>
      <c r="U78" s="240"/>
      <c r="V78" s="261"/>
      <c r="W78" s="261"/>
      <c r="X78" s="261"/>
      <c r="Y78" s="261"/>
      <c r="Z78" s="261"/>
      <c r="AA78" s="261"/>
      <c r="AB78" s="261"/>
      <c r="AC78" s="261"/>
      <c r="AD78" s="261"/>
    </row>
    <row r="79" spans="1:30" s="255" customFormat="1" ht="17.25" x14ac:dyDescent="0.2">
      <c r="A79" s="256"/>
      <c r="B79" s="239"/>
      <c r="C79" s="239"/>
      <c r="D79" s="239"/>
      <c r="E79" s="239"/>
      <c r="F79" s="257"/>
      <c r="G79" s="239"/>
      <c r="H79" s="239"/>
      <c r="I79" s="239"/>
      <c r="J79" s="258"/>
      <c r="K79" s="243"/>
      <c r="L79" s="243"/>
      <c r="M79" s="239"/>
      <c r="N79" s="239"/>
      <c r="O79" s="239"/>
      <c r="P79" s="239"/>
      <c r="Q79" s="239"/>
      <c r="R79" s="259"/>
      <c r="S79" s="239"/>
      <c r="T79" s="260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</row>
    <row r="80" spans="1:30" s="228" customFormat="1" ht="17.25" x14ac:dyDescent="0.2">
      <c r="A80" s="229" t="s">
        <v>292</v>
      </c>
      <c r="B80" s="230"/>
      <c r="C80" s="230"/>
      <c r="D80" s="230"/>
      <c r="E80" s="230"/>
      <c r="F80" s="231"/>
      <c r="G80" s="230"/>
      <c r="H80" s="230"/>
      <c r="I80" s="230"/>
      <c r="J80" s="230"/>
      <c r="K80" s="232"/>
      <c r="L80" s="232"/>
      <c r="M80" s="230"/>
      <c r="N80" s="230"/>
      <c r="O80" s="230"/>
      <c r="P80" s="230"/>
      <c r="Q80" s="230"/>
      <c r="R80" s="233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</row>
    <row r="81" spans="1:30" ht="17.25" x14ac:dyDescent="0.2">
      <c r="A81" s="234" t="s">
        <v>344</v>
      </c>
      <c r="B81" s="235"/>
      <c r="C81" s="235"/>
      <c r="D81" s="235"/>
      <c r="E81" s="235"/>
      <c r="F81" s="236"/>
      <c r="G81" s="235"/>
      <c r="H81" s="235"/>
      <c r="I81" s="235"/>
      <c r="J81" s="223" t="s">
        <v>16</v>
      </c>
      <c r="K81" s="223">
        <f>SUM(K82:K83)</f>
        <v>0</v>
      </c>
      <c r="L81" s="223">
        <f>SUM(L82:L83)</f>
        <v>0</v>
      </c>
      <c r="M81" s="261"/>
      <c r="N81" s="261"/>
      <c r="O81" s="261"/>
      <c r="P81" s="261"/>
      <c r="Q81" s="261"/>
      <c r="R81" s="224"/>
      <c r="S81" s="261"/>
      <c r="T81" s="261"/>
      <c r="U81" s="261"/>
      <c r="V81" s="261"/>
      <c r="W81" s="261"/>
      <c r="X81" s="261"/>
      <c r="Y81" s="261"/>
      <c r="Z81" s="261"/>
      <c r="AA81" s="261"/>
      <c r="AB81" s="261"/>
      <c r="AC81" s="261"/>
      <c r="AD81" s="261"/>
    </row>
    <row r="82" spans="1:30" s="237" customFormat="1" ht="17.25" x14ac:dyDescent="0.2">
      <c r="A82" s="238"/>
      <c r="B82" s="239"/>
      <c r="C82" s="239"/>
      <c r="D82" s="240"/>
      <c r="E82" s="240"/>
      <c r="F82" s="241"/>
      <c r="G82" s="239"/>
      <c r="H82" s="239"/>
      <c r="I82" s="239"/>
      <c r="J82" s="242"/>
      <c r="K82" s="243"/>
      <c r="L82" s="244"/>
      <c r="M82" s="239"/>
      <c r="N82" s="239"/>
      <c r="O82" s="239"/>
      <c r="P82" s="240"/>
      <c r="Q82" s="240"/>
      <c r="R82" s="245"/>
      <c r="S82" s="240"/>
      <c r="T82" s="246"/>
      <c r="U82" s="247"/>
      <c r="V82" s="248"/>
      <c r="W82" s="239"/>
      <c r="X82" s="239"/>
      <c r="Y82" s="239"/>
      <c r="Z82" s="239"/>
      <c r="AA82" s="239"/>
      <c r="AB82" s="239"/>
      <c r="AC82" s="239"/>
      <c r="AD82" s="239"/>
    </row>
    <row r="83" spans="1:30" ht="17.25" x14ac:dyDescent="0.2">
      <c r="A83" s="262"/>
      <c r="B83" s="261"/>
      <c r="C83" s="261"/>
      <c r="D83" s="249"/>
      <c r="E83" s="240"/>
      <c r="F83" s="241"/>
      <c r="G83" s="239"/>
      <c r="H83" s="239"/>
      <c r="I83" s="239"/>
      <c r="J83" s="250"/>
      <c r="K83" s="251"/>
      <c r="L83" s="251"/>
      <c r="M83" s="239"/>
      <c r="N83" s="239"/>
      <c r="O83" s="239"/>
      <c r="P83" s="240"/>
      <c r="Q83" s="240"/>
      <c r="R83" s="245"/>
      <c r="S83" s="240"/>
      <c r="T83" s="246"/>
      <c r="U83" s="247"/>
      <c r="V83" s="248"/>
      <c r="W83" s="261"/>
      <c r="X83" s="261"/>
      <c r="Y83" s="261"/>
      <c r="Z83" s="261"/>
      <c r="AA83" s="261"/>
      <c r="AB83" s="261"/>
      <c r="AC83" s="261"/>
      <c r="AD83" s="261"/>
    </row>
    <row r="84" spans="1:30" ht="17.25" x14ac:dyDescent="0.2">
      <c r="A84" s="252" t="s">
        <v>345</v>
      </c>
      <c r="B84" s="234"/>
      <c r="C84" s="234"/>
      <c r="D84" s="234"/>
      <c r="E84" s="234"/>
      <c r="F84" s="253"/>
      <c r="G84" s="234"/>
      <c r="H84" s="234"/>
      <c r="I84" s="234"/>
      <c r="J84" s="223" t="s">
        <v>16</v>
      </c>
      <c r="K84" s="223">
        <f>SUM(K85:K86)</f>
        <v>0</v>
      </c>
      <c r="L84" s="223">
        <f>SUM(L85:L86)</f>
        <v>0</v>
      </c>
      <c r="M84" s="261"/>
      <c r="N84" s="261"/>
      <c r="O84" s="261"/>
      <c r="P84" s="261"/>
      <c r="Q84" s="261"/>
      <c r="R84" s="224"/>
      <c r="S84" s="261"/>
      <c r="T84" s="261"/>
      <c r="U84" s="261"/>
      <c r="V84" s="261"/>
      <c r="W84" s="261"/>
      <c r="X84" s="261"/>
      <c r="Y84" s="261"/>
      <c r="Z84" s="261"/>
      <c r="AA84" s="261"/>
      <c r="AB84" s="261"/>
      <c r="AC84" s="261"/>
      <c r="AD84" s="261"/>
    </row>
    <row r="85" spans="1:30" ht="17.25" x14ac:dyDescent="0.2">
      <c r="A85" s="254"/>
      <c r="B85" s="261"/>
      <c r="C85" s="261"/>
      <c r="D85" s="240"/>
      <c r="E85" s="240"/>
      <c r="F85" s="241"/>
      <c r="G85" s="240"/>
      <c r="H85" s="240"/>
      <c r="I85" s="240"/>
      <c r="J85" s="250"/>
      <c r="K85" s="251"/>
      <c r="L85" s="251"/>
      <c r="M85" s="240"/>
      <c r="N85" s="240"/>
      <c r="O85" s="240"/>
      <c r="P85" s="240"/>
      <c r="Q85" s="240"/>
      <c r="R85" s="245"/>
      <c r="S85" s="240"/>
      <c r="T85" s="247"/>
      <c r="U85" s="240"/>
      <c r="V85" s="261"/>
      <c r="W85" s="261"/>
      <c r="X85" s="261"/>
      <c r="Y85" s="261"/>
      <c r="Z85" s="261"/>
      <c r="AA85" s="261"/>
      <c r="AB85" s="261"/>
      <c r="AC85" s="261"/>
      <c r="AD85" s="261"/>
    </row>
    <row r="86" spans="1:30" s="255" customFormat="1" ht="17.25" x14ac:dyDescent="0.2">
      <c r="A86" s="256"/>
      <c r="B86" s="239"/>
      <c r="C86" s="239"/>
      <c r="D86" s="239"/>
      <c r="E86" s="239"/>
      <c r="F86" s="257"/>
      <c r="G86" s="239"/>
      <c r="H86" s="239"/>
      <c r="I86" s="239"/>
      <c r="J86" s="258"/>
      <c r="K86" s="243"/>
      <c r="L86" s="243"/>
      <c r="M86" s="239"/>
      <c r="N86" s="239"/>
      <c r="O86" s="239"/>
      <c r="P86" s="239"/>
      <c r="Q86" s="239"/>
      <c r="R86" s="259"/>
      <c r="S86" s="239"/>
      <c r="T86" s="260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</row>
    <row r="87" spans="1:30" s="228" customFormat="1" ht="17.25" x14ac:dyDescent="0.2">
      <c r="A87" s="229" t="s">
        <v>293</v>
      </c>
      <c r="B87" s="230"/>
      <c r="C87" s="230"/>
      <c r="D87" s="230"/>
      <c r="E87" s="230"/>
      <c r="F87" s="231"/>
      <c r="G87" s="230"/>
      <c r="H87" s="230"/>
      <c r="I87" s="230"/>
      <c r="J87" s="230"/>
      <c r="K87" s="232"/>
      <c r="L87" s="232"/>
      <c r="M87" s="230"/>
      <c r="N87" s="230"/>
      <c r="O87" s="230"/>
      <c r="P87" s="230"/>
      <c r="Q87" s="230"/>
      <c r="R87" s="233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</row>
    <row r="88" spans="1:30" ht="17.25" x14ac:dyDescent="0.2">
      <c r="A88" s="234" t="s">
        <v>344</v>
      </c>
      <c r="B88" s="235"/>
      <c r="C88" s="235"/>
      <c r="D88" s="235"/>
      <c r="E88" s="235"/>
      <c r="F88" s="236"/>
      <c r="G88" s="235"/>
      <c r="H88" s="235"/>
      <c r="I88" s="235"/>
      <c r="J88" s="223" t="s">
        <v>16</v>
      </c>
      <c r="K88" s="223">
        <f>SUM(K89:K90)</f>
        <v>0</v>
      </c>
      <c r="L88" s="223">
        <f>SUM(L89:L90)</f>
        <v>0</v>
      </c>
      <c r="M88" s="261"/>
      <c r="N88" s="261"/>
      <c r="O88" s="261"/>
      <c r="P88" s="261"/>
      <c r="Q88" s="261"/>
      <c r="R88" s="224"/>
      <c r="S88" s="261"/>
      <c r="T88" s="261"/>
      <c r="U88" s="261"/>
      <c r="V88" s="261"/>
      <c r="W88" s="261"/>
      <c r="X88" s="261"/>
      <c r="Y88" s="261"/>
      <c r="Z88" s="261"/>
      <c r="AA88" s="261"/>
      <c r="AB88" s="261"/>
      <c r="AC88" s="261"/>
      <c r="AD88" s="261"/>
    </row>
    <row r="89" spans="1:30" s="237" customFormat="1" ht="17.25" x14ac:dyDescent="0.2">
      <c r="A89" s="238"/>
      <c r="B89" s="239"/>
      <c r="C89" s="239"/>
      <c r="D89" s="240"/>
      <c r="E89" s="240"/>
      <c r="F89" s="241"/>
      <c r="G89" s="239"/>
      <c r="H89" s="239"/>
      <c r="I89" s="239"/>
      <c r="J89" s="242"/>
      <c r="K89" s="243"/>
      <c r="L89" s="244"/>
      <c r="M89" s="239"/>
      <c r="N89" s="239"/>
      <c r="O89" s="239"/>
      <c r="P89" s="240"/>
      <c r="Q89" s="240"/>
      <c r="R89" s="245"/>
      <c r="S89" s="240"/>
      <c r="T89" s="246"/>
      <c r="U89" s="247"/>
      <c r="V89" s="248"/>
      <c r="W89" s="239"/>
      <c r="X89" s="239"/>
      <c r="Y89" s="239"/>
      <c r="Z89" s="239"/>
      <c r="AA89" s="239"/>
      <c r="AB89" s="239"/>
      <c r="AC89" s="239"/>
      <c r="AD89" s="239"/>
    </row>
    <row r="90" spans="1:30" ht="17.25" x14ac:dyDescent="0.2">
      <c r="A90" s="262"/>
      <c r="B90" s="261"/>
      <c r="C90" s="261"/>
      <c r="D90" s="249"/>
      <c r="E90" s="240"/>
      <c r="F90" s="241"/>
      <c r="G90" s="239"/>
      <c r="H90" s="239"/>
      <c r="I90" s="239"/>
      <c r="J90" s="250"/>
      <c r="K90" s="251"/>
      <c r="L90" s="251"/>
      <c r="M90" s="239"/>
      <c r="N90" s="239"/>
      <c r="O90" s="239"/>
      <c r="P90" s="240"/>
      <c r="Q90" s="240"/>
      <c r="R90" s="245"/>
      <c r="S90" s="240"/>
      <c r="T90" s="246"/>
      <c r="U90" s="247"/>
      <c r="V90" s="248"/>
      <c r="W90" s="261"/>
      <c r="X90" s="261"/>
      <c r="Y90" s="261"/>
      <c r="Z90" s="261"/>
      <c r="AA90" s="261"/>
      <c r="AB90" s="261"/>
      <c r="AC90" s="261"/>
      <c r="AD90" s="261"/>
    </row>
    <row r="91" spans="1:30" ht="17.25" x14ac:dyDescent="0.2">
      <c r="A91" s="252" t="s">
        <v>345</v>
      </c>
      <c r="B91" s="234"/>
      <c r="C91" s="234"/>
      <c r="D91" s="234"/>
      <c r="E91" s="234"/>
      <c r="F91" s="253"/>
      <c r="G91" s="234"/>
      <c r="H91" s="234"/>
      <c r="I91" s="234"/>
      <c r="J91" s="223" t="s">
        <v>16</v>
      </c>
      <c r="K91" s="223">
        <f>SUM(K92:K93)</f>
        <v>0</v>
      </c>
      <c r="L91" s="223">
        <f>SUM(L92:L93)</f>
        <v>0</v>
      </c>
      <c r="M91" s="261"/>
      <c r="N91" s="261"/>
      <c r="O91" s="261"/>
      <c r="P91" s="261"/>
      <c r="Q91" s="261"/>
      <c r="R91" s="224"/>
      <c r="S91" s="261"/>
      <c r="T91" s="261"/>
      <c r="U91" s="261"/>
      <c r="V91" s="261"/>
      <c r="W91" s="261"/>
      <c r="X91" s="261"/>
      <c r="Y91" s="261"/>
      <c r="Z91" s="261"/>
      <c r="AA91" s="261"/>
      <c r="AB91" s="261"/>
      <c r="AC91" s="261"/>
      <c r="AD91" s="261"/>
    </row>
    <row r="92" spans="1:30" ht="17.25" x14ac:dyDescent="0.2">
      <c r="A92" s="254"/>
      <c r="B92" s="261"/>
      <c r="C92" s="261"/>
      <c r="D92" s="240"/>
      <c r="E92" s="240"/>
      <c r="F92" s="241"/>
      <c r="G92" s="240"/>
      <c r="H92" s="240"/>
      <c r="I92" s="240"/>
      <c r="J92" s="250"/>
      <c r="K92" s="251"/>
      <c r="L92" s="251"/>
      <c r="M92" s="240"/>
      <c r="N92" s="240"/>
      <c r="O92" s="240"/>
      <c r="P92" s="240"/>
      <c r="Q92" s="240"/>
      <c r="R92" s="245"/>
      <c r="S92" s="240"/>
      <c r="T92" s="247"/>
      <c r="U92" s="240"/>
      <c r="V92" s="261"/>
      <c r="W92" s="261"/>
      <c r="X92" s="261"/>
      <c r="Y92" s="261"/>
      <c r="Z92" s="261"/>
      <c r="AA92" s="261"/>
      <c r="AB92" s="261"/>
      <c r="AC92" s="261"/>
      <c r="AD92" s="261"/>
    </row>
    <row r="93" spans="1:30" s="255" customFormat="1" ht="17.25" x14ac:dyDescent="0.2">
      <c r="A93" s="256"/>
      <c r="B93" s="239"/>
      <c r="C93" s="239"/>
      <c r="D93" s="239"/>
      <c r="E93" s="239"/>
      <c r="F93" s="257"/>
      <c r="G93" s="239"/>
      <c r="H93" s="239"/>
      <c r="I93" s="239"/>
      <c r="J93" s="258"/>
      <c r="K93" s="243"/>
      <c r="L93" s="243"/>
      <c r="M93" s="239"/>
      <c r="N93" s="239"/>
      <c r="O93" s="239"/>
      <c r="P93" s="239"/>
      <c r="Q93" s="239"/>
      <c r="R93" s="259"/>
      <c r="S93" s="239"/>
      <c r="T93" s="260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</row>
  </sheetData>
  <mergeCells count="23">
    <mergeCell ref="A2:E2"/>
    <mergeCell ref="A3:E3"/>
    <mergeCell ref="J6:J7"/>
    <mergeCell ref="AB6:AD6"/>
    <mergeCell ref="A5:R5"/>
    <mergeCell ref="G6:I6"/>
    <mergeCell ref="S5:U5"/>
    <mergeCell ref="Y6:AA6"/>
    <mergeCell ref="P6:P7"/>
    <mergeCell ref="A6:A7"/>
    <mergeCell ref="B6:B7"/>
    <mergeCell ref="C6:C7"/>
    <mergeCell ref="E6:E7"/>
    <mergeCell ref="F6:F7"/>
    <mergeCell ref="V5:AD5"/>
    <mergeCell ref="K6:L6"/>
    <mergeCell ref="R6:R7"/>
    <mergeCell ref="V6:X6"/>
    <mergeCell ref="M6:O6"/>
    <mergeCell ref="S6:S7"/>
    <mergeCell ref="T6:T7"/>
    <mergeCell ref="U6:U7"/>
    <mergeCell ref="Q6:Q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1048236"/>
  <sheetViews>
    <sheetView zoomScale="80" zoomScaleNormal="80" workbookViewId="0">
      <pane ySplit="7" topLeftCell="A40" activePane="bottomLeft" state="frozen"/>
      <selection pane="bottomLeft" activeCell="A72" sqref="A72:XFD73"/>
    </sheetView>
  </sheetViews>
  <sheetFormatPr defaultColWidth="9" defaultRowHeight="15.75" x14ac:dyDescent="0.25"/>
  <cols>
    <col min="1" max="1" width="13.85546875" style="450" customWidth="1"/>
    <col min="2" max="2" width="14.42578125" style="450" hidden="1" customWidth="1"/>
    <col min="3" max="3" width="0.140625" style="450" hidden="1" customWidth="1"/>
    <col min="4" max="4" width="14.85546875" style="450" hidden="1" customWidth="1"/>
    <col min="5" max="5" width="31.28515625" style="450" hidden="1" customWidth="1"/>
    <col min="6" max="6" width="5.42578125" style="450" hidden="1" customWidth="1"/>
    <col min="7" max="7" width="22.85546875" style="450" customWidth="1"/>
    <col min="8" max="8" width="20.28515625" style="450" bestFit="1" customWidth="1"/>
    <col min="9" max="9" width="19.5703125" style="450" customWidth="1"/>
    <col min="10" max="10" width="15.7109375" style="450" bestFit="1" customWidth="1"/>
    <col min="11" max="11" width="7.28515625" style="450" bestFit="1" customWidth="1"/>
    <col min="12" max="12" width="9.85546875" style="450" bestFit="1" customWidth="1"/>
    <col min="13" max="13" width="26" style="450" bestFit="1" customWidth="1"/>
    <col min="14" max="14" width="29.5703125" style="450" customWidth="1"/>
    <col min="15" max="15" width="16.5703125" style="450" customWidth="1"/>
    <col min="16" max="16" width="18.140625" style="450" customWidth="1"/>
    <col min="17" max="17" width="17.42578125" style="450" customWidth="1"/>
    <col min="18" max="18" width="20.140625" style="450" customWidth="1"/>
    <col min="19" max="19" width="31.5703125" style="450" customWidth="1"/>
    <col min="20" max="20" width="20.85546875" style="450" bestFit="1" customWidth="1"/>
    <col min="21" max="21" width="15.42578125" style="450" customWidth="1"/>
    <col min="22" max="22" width="13.7109375" style="450" customWidth="1"/>
    <col min="23" max="23" width="11.140625" style="450" customWidth="1"/>
    <col min="24" max="24" width="10.7109375" style="450" customWidth="1"/>
    <col min="25" max="25" width="13" style="450" customWidth="1"/>
    <col min="26" max="30" width="9.140625" style="450" customWidth="1"/>
    <col min="31" max="256" width="8.7109375" style="450" customWidth="1"/>
    <col min="257" max="16384" width="9" style="450"/>
  </cols>
  <sheetData>
    <row r="1" spans="1:30" x14ac:dyDescent="0.25">
      <c r="J1" s="524"/>
      <c r="K1" s="453" t="s">
        <v>304</v>
      </c>
      <c r="L1" s="453" t="s">
        <v>305</v>
      </c>
      <c r="M1" s="453" t="s">
        <v>21</v>
      </c>
    </row>
    <row r="2" spans="1:30" x14ac:dyDescent="0.25">
      <c r="A2" s="806" t="s">
        <v>306</v>
      </c>
      <c r="B2" s="806"/>
      <c r="C2" s="806"/>
      <c r="D2" s="806"/>
      <c r="E2" s="806"/>
      <c r="F2" s="454"/>
      <c r="G2" s="454"/>
      <c r="H2" s="454"/>
      <c r="I2" s="454"/>
      <c r="J2" s="457" t="s">
        <v>307</v>
      </c>
      <c r="K2" s="473">
        <f>K71</f>
        <v>0</v>
      </c>
      <c r="L2" s="473">
        <f>L71</f>
        <v>0</v>
      </c>
      <c r="M2" s="457">
        <f>SUM(K2:L2)</f>
        <v>0</v>
      </c>
      <c r="N2" s="454"/>
      <c r="O2" s="454"/>
      <c r="P2" s="454"/>
      <c r="Q2" s="454"/>
      <c r="R2" s="458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</row>
    <row r="3" spans="1:30" x14ac:dyDescent="0.25">
      <c r="A3" s="806" t="s">
        <v>308</v>
      </c>
      <c r="B3" s="806"/>
      <c r="C3" s="806"/>
      <c r="D3" s="806"/>
      <c r="E3" s="806"/>
      <c r="F3" s="454"/>
      <c r="G3" s="459"/>
      <c r="H3" s="454"/>
      <c r="I3" s="454"/>
      <c r="J3" s="457" t="s">
        <v>309</v>
      </c>
      <c r="K3" s="473"/>
      <c r="L3" s="473"/>
      <c r="M3" s="457">
        <f>SUM(K3:L3)</f>
        <v>0</v>
      </c>
      <c r="N3" s="454"/>
      <c r="O3" s="454"/>
      <c r="P3" s="454"/>
      <c r="Q3" s="454"/>
      <c r="R3" s="458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</row>
    <row r="4" spans="1:30" ht="31.5" customHeight="1" x14ac:dyDescent="0.25">
      <c r="A4" s="461"/>
      <c r="B4" s="461"/>
      <c r="C4" s="461" t="s">
        <v>310</v>
      </c>
      <c r="D4" s="461"/>
      <c r="E4" s="461"/>
      <c r="F4" s="454"/>
      <c r="G4" s="459"/>
      <c r="H4" s="459"/>
      <c r="I4" s="454"/>
      <c r="J4" s="453"/>
      <c r="K4" s="473"/>
      <c r="L4" s="473"/>
      <c r="M4" s="457">
        <f>SUM(M2:M3)</f>
        <v>0</v>
      </c>
      <c r="N4" s="454"/>
      <c r="O4" s="454"/>
      <c r="P4" s="454"/>
      <c r="Q4" s="454"/>
      <c r="R4" s="458"/>
      <c r="S4" s="454"/>
      <c r="T4" s="454"/>
      <c r="U4" s="454"/>
      <c r="V4" s="454"/>
      <c r="W4" s="454"/>
      <c r="X4" s="454"/>
      <c r="Y4" s="454"/>
      <c r="Z4" s="454"/>
      <c r="AA4" s="454"/>
      <c r="AB4" s="454"/>
      <c r="AC4" s="454"/>
      <c r="AD4" s="454"/>
    </row>
    <row r="5" spans="1:30" ht="15" customHeight="1" x14ac:dyDescent="0.25">
      <c r="A5" s="807" t="s">
        <v>311</v>
      </c>
      <c r="B5" s="807"/>
      <c r="C5" s="807"/>
      <c r="D5" s="807"/>
      <c r="E5" s="807"/>
      <c r="F5" s="807"/>
      <c r="G5" s="807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807"/>
      <c r="S5" s="808" t="s">
        <v>312</v>
      </c>
      <c r="T5" s="808"/>
      <c r="U5" s="808"/>
      <c r="V5" s="810" t="s">
        <v>313</v>
      </c>
      <c r="W5" s="810"/>
      <c r="X5" s="810"/>
      <c r="Y5" s="810"/>
      <c r="Z5" s="810"/>
      <c r="AA5" s="810"/>
      <c r="AB5" s="810"/>
      <c r="AC5" s="810"/>
      <c r="AD5" s="810"/>
    </row>
    <row r="6" spans="1:30" ht="49.5" customHeight="1" x14ac:dyDescent="0.25">
      <c r="A6" s="804" t="s">
        <v>314</v>
      </c>
      <c r="B6" s="804" t="s">
        <v>315</v>
      </c>
      <c r="C6" s="804" t="s">
        <v>316</v>
      </c>
      <c r="D6" s="462" t="s">
        <v>317</v>
      </c>
      <c r="E6" s="804" t="s">
        <v>318</v>
      </c>
      <c r="F6" s="809"/>
      <c r="G6" s="804" t="s">
        <v>319</v>
      </c>
      <c r="H6" s="804"/>
      <c r="I6" s="804"/>
      <c r="J6" s="804" t="s">
        <v>320</v>
      </c>
      <c r="K6" s="804" t="s">
        <v>321</v>
      </c>
      <c r="L6" s="804"/>
      <c r="M6" s="804" t="s">
        <v>322</v>
      </c>
      <c r="N6" s="804"/>
      <c r="O6" s="804"/>
      <c r="P6" s="804" t="s">
        <v>323</v>
      </c>
      <c r="Q6" s="804" t="s">
        <v>324</v>
      </c>
      <c r="R6" s="802" t="s">
        <v>325</v>
      </c>
      <c r="S6" s="805" t="s">
        <v>326</v>
      </c>
      <c r="T6" s="805" t="s">
        <v>327</v>
      </c>
      <c r="U6" s="805" t="s">
        <v>328</v>
      </c>
      <c r="V6" s="803" t="s">
        <v>329</v>
      </c>
      <c r="W6" s="803"/>
      <c r="X6" s="803"/>
      <c r="Y6" s="803" t="s">
        <v>330</v>
      </c>
      <c r="Z6" s="803"/>
      <c r="AA6" s="803"/>
      <c r="AB6" s="803" t="s">
        <v>331</v>
      </c>
      <c r="AC6" s="803"/>
      <c r="AD6" s="803"/>
    </row>
    <row r="7" spans="1:30" ht="32.25" customHeight="1" x14ac:dyDescent="0.25">
      <c r="A7" s="804"/>
      <c r="B7" s="804"/>
      <c r="C7" s="804"/>
      <c r="D7" s="462" t="s">
        <v>332</v>
      </c>
      <c r="E7" s="804"/>
      <c r="F7" s="809"/>
      <c r="G7" s="462" t="s">
        <v>333</v>
      </c>
      <c r="H7" s="462" t="s">
        <v>334</v>
      </c>
      <c r="I7" s="462" t="s">
        <v>335</v>
      </c>
      <c r="J7" s="804"/>
      <c r="K7" s="462" t="s">
        <v>336</v>
      </c>
      <c r="L7" s="462" t="s">
        <v>337</v>
      </c>
      <c r="M7" s="462" t="s">
        <v>338</v>
      </c>
      <c r="N7" s="462" t="s">
        <v>339</v>
      </c>
      <c r="O7" s="462" t="s">
        <v>340</v>
      </c>
      <c r="P7" s="804"/>
      <c r="Q7" s="804"/>
      <c r="R7" s="802"/>
      <c r="S7" s="805"/>
      <c r="T7" s="805"/>
      <c r="U7" s="805"/>
      <c r="V7" s="463" t="s">
        <v>341</v>
      </c>
      <c r="W7" s="464" t="s">
        <v>342</v>
      </c>
      <c r="X7" s="464" t="s">
        <v>343</v>
      </c>
      <c r="Y7" s="463" t="s">
        <v>341</v>
      </c>
      <c r="Z7" s="464" t="s">
        <v>342</v>
      </c>
      <c r="AA7" s="464" t="s">
        <v>343</v>
      </c>
      <c r="AB7" s="463" t="s">
        <v>341</v>
      </c>
      <c r="AC7" s="464" t="s">
        <v>342</v>
      </c>
      <c r="AD7" s="464" t="s">
        <v>343</v>
      </c>
    </row>
    <row r="8" spans="1:30" x14ac:dyDescent="0.25">
      <c r="A8" s="454"/>
      <c r="B8" s="454"/>
      <c r="C8" s="454"/>
      <c r="D8" s="454"/>
      <c r="E8" s="454"/>
      <c r="F8" s="466"/>
      <c r="G8" s="454"/>
      <c r="H8" s="454"/>
      <c r="I8" s="454"/>
      <c r="J8" s="454"/>
      <c r="K8" s="465"/>
      <c r="L8" s="465"/>
      <c r="M8" s="454"/>
      <c r="N8" s="454"/>
      <c r="O8" s="454"/>
      <c r="P8" s="454"/>
      <c r="Q8" s="454"/>
      <c r="R8" s="458"/>
      <c r="S8" s="454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</row>
    <row r="9" spans="1:30" x14ac:dyDescent="0.25">
      <c r="A9" s="454"/>
      <c r="B9" s="454"/>
      <c r="C9" s="454"/>
      <c r="D9" s="454"/>
      <c r="E9" s="454"/>
      <c r="F9" s="466"/>
      <c r="G9" s="454"/>
      <c r="H9" s="454"/>
      <c r="I9" s="454"/>
      <c r="J9" s="454"/>
      <c r="K9" s="465"/>
      <c r="L9" s="465"/>
      <c r="M9" s="454"/>
      <c r="N9" s="454"/>
      <c r="O9" s="454"/>
      <c r="P9" s="454"/>
      <c r="Q9" s="454"/>
      <c r="R9" s="458"/>
      <c r="S9" s="454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</row>
    <row r="10" spans="1:30" s="472" customFormat="1" x14ac:dyDescent="0.25">
      <c r="A10" s="525" t="s">
        <v>281</v>
      </c>
      <c r="B10" s="468"/>
      <c r="C10" s="468"/>
      <c r="D10" s="468"/>
      <c r="E10" s="468"/>
      <c r="F10" s="469"/>
      <c r="G10" s="468"/>
      <c r="H10" s="468"/>
      <c r="I10" s="468"/>
      <c r="J10" s="468"/>
      <c r="K10" s="526"/>
      <c r="L10" s="526"/>
      <c r="M10" s="468"/>
      <c r="N10" s="468"/>
      <c r="O10" s="468"/>
      <c r="P10" s="468"/>
      <c r="Q10" s="468"/>
      <c r="R10" s="471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</row>
    <row r="11" spans="1:30" x14ac:dyDescent="0.25">
      <c r="A11" s="489" t="s">
        <v>344</v>
      </c>
      <c r="B11" s="474"/>
      <c r="C11" s="474"/>
      <c r="D11" s="474"/>
      <c r="E11" s="474"/>
      <c r="F11" s="475"/>
      <c r="G11" s="474"/>
      <c r="H11" s="474"/>
      <c r="I11" s="474"/>
      <c r="J11" s="473" t="s">
        <v>16</v>
      </c>
      <c r="K11" s="473">
        <f>SUM(K12:K13)</f>
        <v>0</v>
      </c>
      <c r="L11" s="473">
        <f>SUM(L12:L13)</f>
        <v>0</v>
      </c>
      <c r="M11" s="454"/>
      <c r="N11" s="454"/>
      <c r="O11" s="454"/>
      <c r="P11" s="454"/>
      <c r="Q11" s="454"/>
      <c r="R11" s="458"/>
      <c r="S11" s="454"/>
      <c r="T11" s="454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</row>
    <row r="12" spans="1:30" s="486" customFormat="1" x14ac:dyDescent="0.25">
      <c r="A12" s="527"/>
      <c r="B12" s="477"/>
      <c r="C12" s="477"/>
      <c r="D12" s="477"/>
      <c r="E12" s="477"/>
      <c r="F12" s="478"/>
      <c r="G12" s="477"/>
      <c r="H12" s="477"/>
      <c r="I12" s="477"/>
      <c r="J12" s="528"/>
      <c r="K12" s="492"/>
      <c r="L12" s="529"/>
      <c r="M12" s="477"/>
      <c r="N12" s="477"/>
      <c r="O12" s="477"/>
      <c r="P12" s="477"/>
      <c r="Q12" s="477"/>
      <c r="R12" s="482"/>
      <c r="S12" s="477"/>
      <c r="T12" s="483"/>
      <c r="U12" s="484"/>
      <c r="V12" s="485"/>
      <c r="W12" s="477"/>
      <c r="X12" s="477"/>
      <c r="Y12" s="477"/>
      <c r="Z12" s="477"/>
      <c r="AA12" s="477"/>
      <c r="AB12" s="477"/>
      <c r="AC12" s="477"/>
      <c r="AD12" s="477"/>
    </row>
    <row r="13" spans="1:30" x14ac:dyDescent="0.25">
      <c r="A13" s="530"/>
      <c r="B13" s="454"/>
      <c r="C13" s="454"/>
      <c r="D13" s="487"/>
      <c r="E13" s="477"/>
      <c r="F13" s="478"/>
      <c r="G13" s="477"/>
      <c r="H13" s="477"/>
      <c r="I13" s="477"/>
      <c r="J13" s="507"/>
      <c r="K13" s="492"/>
      <c r="L13" s="492"/>
      <c r="M13" s="477"/>
      <c r="N13" s="477"/>
      <c r="O13" s="477"/>
      <c r="P13" s="477"/>
      <c r="Q13" s="477"/>
      <c r="R13" s="482"/>
      <c r="S13" s="477"/>
      <c r="T13" s="483"/>
      <c r="U13" s="484"/>
      <c r="V13" s="485"/>
      <c r="W13" s="454"/>
      <c r="X13" s="454"/>
      <c r="Y13" s="454"/>
      <c r="Z13" s="454"/>
      <c r="AA13" s="454"/>
      <c r="AB13" s="454"/>
      <c r="AC13" s="454"/>
      <c r="AD13" s="454"/>
    </row>
    <row r="14" spans="1:30" x14ac:dyDescent="0.25">
      <c r="A14" s="531" t="s">
        <v>345</v>
      </c>
      <c r="B14" s="489"/>
      <c r="C14" s="489"/>
      <c r="D14" s="489"/>
      <c r="E14" s="489"/>
      <c r="F14" s="490"/>
      <c r="G14" s="489"/>
      <c r="H14" s="489"/>
      <c r="I14" s="489"/>
      <c r="J14" s="473" t="s">
        <v>16</v>
      </c>
      <c r="K14" s="473">
        <f>SUM(K15:K16)</f>
        <v>0</v>
      </c>
      <c r="L14" s="473">
        <f>SUM(L15:L16)</f>
        <v>0</v>
      </c>
      <c r="M14" s="454"/>
      <c r="N14" s="454"/>
      <c r="O14" s="454"/>
      <c r="P14" s="454"/>
      <c r="Q14" s="454"/>
      <c r="R14" s="458"/>
      <c r="S14" s="454"/>
      <c r="T14" s="454"/>
      <c r="U14" s="454"/>
      <c r="V14" s="454"/>
      <c r="W14" s="454"/>
      <c r="X14" s="454"/>
      <c r="Y14" s="454"/>
      <c r="Z14" s="454"/>
      <c r="AA14" s="454"/>
      <c r="AB14" s="454"/>
      <c r="AC14" s="454"/>
      <c r="AD14" s="454"/>
    </row>
    <row r="15" spans="1:30" x14ac:dyDescent="0.25">
      <c r="A15" s="532"/>
      <c r="B15" s="454"/>
      <c r="C15" s="454"/>
      <c r="D15" s="477"/>
      <c r="E15" s="477"/>
      <c r="F15" s="478"/>
      <c r="G15" s="477"/>
      <c r="H15" s="477"/>
      <c r="I15" s="477"/>
      <c r="J15" s="507"/>
      <c r="K15" s="492"/>
      <c r="L15" s="492"/>
      <c r="M15" s="477"/>
      <c r="N15" s="477"/>
      <c r="O15" s="477"/>
      <c r="P15" s="477"/>
      <c r="Q15" s="477"/>
      <c r="R15" s="482"/>
      <c r="S15" s="477"/>
      <c r="T15" s="484"/>
      <c r="U15" s="477"/>
      <c r="V15" s="454"/>
      <c r="W15" s="454"/>
      <c r="X15" s="454"/>
      <c r="Y15" s="454"/>
      <c r="Z15" s="454"/>
      <c r="AA15" s="454"/>
      <c r="AB15" s="454"/>
      <c r="AC15" s="454"/>
      <c r="AD15" s="454"/>
    </row>
    <row r="16" spans="1:30" s="486" customFormat="1" x14ac:dyDescent="0.25">
      <c r="A16" s="533"/>
      <c r="B16" s="477"/>
      <c r="C16" s="477"/>
      <c r="D16" s="477"/>
      <c r="E16" s="477"/>
      <c r="F16" s="478"/>
      <c r="G16" s="477"/>
      <c r="H16" s="477"/>
      <c r="I16" s="477"/>
      <c r="J16" s="507"/>
      <c r="K16" s="492"/>
      <c r="L16" s="492"/>
      <c r="M16" s="477"/>
      <c r="N16" s="477"/>
      <c r="O16" s="477"/>
      <c r="P16" s="477"/>
      <c r="Q16" s="477"/>
      <c r="R16" s="482"/>
      <c r="S16" s="477"/>
      <c r="T16" s="484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</row>
    <row r="17" spans="1:30" s="472" customFormat="1" x14ac:dyDescent="0.25">
      <c r="A17" s="525" t="s">
        <v>282</v>
      </c>
      <c r="B17" s="468"/>
      <c r="C17" s="468"/>
      <c r="D17" s="468"/>
      <c r="E17" s="468"/>
      <c r="F17" s="469"/>
      <c r="G17" s="468"/>
      <c r="H17" s="468"/>
      <c r="I17" s="468"/>
      <c r="J17" s="468"/>
      <c r="K17" s="526"/>
      <c r="L17" s="526"/>
      <c r="M17" s="468"/>
      <c r="N17" s="468"/>
      <c r="O17" s="468"/>
      <c r="P17" s="468"/>
      <c r="Q17" s="468"/>
      <c r="R17" s="471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</row>
    <row r="18" spans="1:30" x14ac:dyDescent="0.25">
      <c r="A18" s="489" t="s">
        <v>344</v>
      </c>
      <c r="B18" s="474"/>
      <c r="C18" s="474"/>
      <c r="D18" s="474"/>
      <c r="E18" s="474"/>
      <c r="F18" s="475"/>
      <c r="G18" s="474"/>
      <c r="H18" s="474"/>
      <c r="I18" s="474"/>
      <c r="J18" s="473" t="s">
        <v>16</v>
      </c>
      <c r="K18" s="473">
        <f>SUM(K19:K20)</f>
        <v>0</v>
      </c>
      <c r="L18" s="473">
        <f>SUM(L19:L20)</f>
        <v>0</v>
      </c>
      <c r="M18" s="454"/>
      <c r="N18" s="454"/>
      <c r="O18" s="454"/>
      <c r="P18" s="454"/>
      <c r="Q18" s="454"/>
      <c r="R18" s="458"/>
      <c r="S18" s="454"/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</row>
    <row r="19" spans="1:30" s="486" customFormat="1" x14ac:dyDescent="0.25">
      <c r="A19" s="527"/>
      <c r="B19" s="477"/>
      <c r="C19" s="477"/>
      <c r="D19" s="477"/>
      <c r="E19" s="477"/>
      <c r="F19" s="478"/>
      <c r="G19" s="477"/>
      <c r="H19" s="477"/>
      <c r="I19" s="477"/>
      <c r="J19" s="528"/>
      <c r="K19" s="492"/>
      <c r="L19" s="529"/>
      <c r="M19" s="477"/>
      <c r="N19" s="477"/>
      <c r="O19" s="477"/>
      <c r="P19" s="477"/>
      <c r="Q19" s="477"/>
      <c r="R19" s="482"/>
      <c r="S19" s="477"/>
      <c r="T19" s="483"/>
      <c r="U19" s="484"/>
      <c r="V19" s="485"/>
      <c r="W19" s="477"/>
      <c r="X19" s="477"/>
      <c r="Y19" s="477"/>
      <c r="Z19" s="477"/>
      <c r="AA19" s="477"/>
      <c r="AB19" s="477"/>
      <c r="AC19" s="477"/>
      <c r="AD19" s="477"/>
    </row>
    <row r="20" spans="1:30" x14ac:dyDescent="0.25">
      <c r="A20" s="530"/>
      <c r="B20" s="454"/>
      <c r="C20" s="454"/>
      <c r="D20" s="487"/>
      <c r="E20" s="477"/>
      <c r="F20" s="478"/>
      <c r="G20" s="477"/>
      <c r="H20" s="477"/>
      <c r="I20" s="477"/>
      <c r="J20" s="507"/>
      <c r="K20" s="492"/>
      <c r="L20" s="492"/>
      <c r="M20" s="477"/>
      <c r="N20" s="477"/>
      <c r="O20" s="477"/>
      <c r="P20" s="477"/>
      <c r="Q20" s="477"/>
      <c r="R20" s="482"/>
      <c r="S20" s="477"/>
      <c r="T20" s="483"/>
      <c r="U20" s="484"/>
      <c r="V20" s="485"/>
      <c r="W20" s="454"/>
      <c r="X20" s="454"/>
      <c r="Y20" s="454"/>
      <c r="Z20" s="454"/>
      <c r="AA20" s="454"/>
      <c r="AB20" s="454"/>
      <c r="AC20" s="454"/>
      <c r="AD20" s="454"/>
    </row>
    <row r="21" spans="1:30" x14ac:dyDescent="0.25">
      <c r="A21" s="531" t="s">
        <v>345</v>
      </c>
      <c r="B21" s="489"/>
      <c r="C21" s="489"/>
      <c r="D21" s="489"/>
      <c r="E21" s="489"/>
      <c r="F21" s="490"/>
      <c r="G21" s="489"/>
      <c r="H21" s="489"/>
      <c r="I21" s="489"/>
      <c r="J21" s="473" t="s">
        <v>16</v>
      </c>
      <c r="K21" s="473">
        <f>SUM(K22:K23)</f>
        <v>0</v>
      </c>
      <c r="L21" s="473">
        <f>SUM(L22:L23)</f>
        <v>0</v>
      </c>
      <c r="M21" s="454"/>
      <c r="N21" s="454"/>
      <c r="O21" s="454"/>
      <c r="P21" s="454"/>
      <c r="Q21" s="454"/>
      <c r="R21" s="458"/>
      <c r="S21" s="454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</row>
    <row r="22" spans="1:30" x14ac:dyDescent="0.25">
      <c r="A22" s="532"/>
      <c r="B22" s="454"/>
      <c r="C22" s="454"/>
      <c r="D22" s="477"/>
      <c r="E22" s="477"/>
      <c r="F22" s="478"/>
      <c r="G22" s="477"/>
      <c r="H22" s="477"/>
      <c r="I22" s="477"/>
      <c r="J22" s="507"/>
      <c r="K22" s="492"/>
      <c r="L22" s="492"/>
      <c r="M22" s="477"/>
      <c r="N22" s="477"/>
      <c r="O22" s="477"/>
      <c r="P22" s="477"/>
      <c r="Q22" s="477"/>
      <c r="R22" s="482"/>
      <c r="S22" s="477"/>
      <c r="T22" s="484"/>
      <c r="U22" s="477"/>
      <c r="V22" s="454"/>
      <c r="W22" s="454"/>
      <c r="X22" s="454"/>
      <c r="Y22" s="454"/>
      <c r="Z22" s="454"/>
      <c r="AA22" s="454"/>
      <c r="AB22" s="454"/>
      <c r="AC22" s="454"/>
      <c r="AD22" s="454"/>
    </row>
    <row r="23" spans="1:30" s="486" customFormat="1" x14ac:dyDescent="0.25">
      <c r="A23" s="533"/>
      <c r="B23" s="477"/>
      <c r="C23" s="477"/>
      <c r="D23" s="477"/>
      <c r="E23" s="477"/>
      <c r="F23" s="478"/>
      <c r="G23" s="477"/>
      <c r="H23" s="477"/>
      <c r="I23" s="477"/>
      <c r="J23" s="507"/>
      <c r="K23" s="492"/>
      <c r="L23" s="492"/>
      <c r="M23" s="477"/>
      <c r="N23" s="477"/>
      <c r="O23" s="477"/>
      <c r="P23" s="477"/>
      <c r="Q23" s="477"/>
      <c r="R23" s="482"/>
      <c r="S23" s="477"/>
      <c r="T23" s="484"/>
      <c r="U23" s="477"/>
      <c r="V23" s="477"/>
      <c r="W23" s="477"/>
      <c r="X23" s="477"/>
      <c r="Y23" s="477"/>
      <c r="Z23" s="477"/>
      <c r="AA23" s="477"/>
      <c r="AB23" s="477"/>
      <c r="AC23" s="477"/>
      <c r="AD23" s="477"/>
    </row>
    <row r="24" spans="1:30" s="472" customFormat="1" x14ac:dyDescent="0.25">
      <c r="A24" s="525" t="s">
        <v>283</v>
      </c>
      <c r="B24" s="468"/>
      <c r="C24" s="468"/>
      <c r="D24" s="468"/>
      <c r="E24" s="468"/>
      <c r="F24" s="469"/>
      <c r="G24" s="468"/>
      <c r="H24" s="468"/>
      <c r="I24" s="468"/>
      <c r="J24" s="468"/>
      <c r="K24" s="526"/>
      <c r="L24" s="526"/>
      <c r="M24" s="468"/>
      <c r="N24" s="468"/>
      <c r="O24" s="468"/>
      <c r="P24" s="468"/>
      <c r="Q24" s="468"/>
      <c r="R24" s="471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</row>
    <row r="25" spans="1:30" x14ac:dyDescent="0.25">
      <c r="A25" s="489" t="s">
        <v>344</v>
      </c>
      <c r="B25" s="474"/>
      <c r="C25" s="474"/>
      <c r="D25" s="474"/>
      <c r="E25" s="474"/>
      <c r="F25" s="475"/>
      <c r="G25" s="474"/>
      <c r="H25" s="474"/>
      <c r="I25" s="474"/>
      <c r="J25" s="473" t="s">
        <v>16</v>
      </c>
      <c r="K25" s="473">
        <f>SUM(K26:K27)</f>
        <v>0</v>
      </c>
      <c r="L25" s="473">
        <f>SUM(L26:L27)</f>
        <v>0</v>
      </c>
      <c r="M25" s="454"/>
      <c r="N25" s="454"/>
      <c r="O25" s="454"/>
      <c r="P25" s="454"/>
      <c r="Q25" s="454"/>
      <c r="R25" s="458"/>
      <c r="S25" s="454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</row>
    <row r="26" spans="1:30" s="486" customFormat="1" x14ac:dyDescent="0.25">
      <c r="A26" s="527"/>
      <c r="B26" s="477"/>
      <c r="C26" s="477"/>
      <c r="D26" s="477"/>
      <c r="E26" s="477"/>
      <c r="F26" s="478"/>
      <c r="G26" s="477"/>
      <c r="H26" s="477"/>
      <c r="I26" s="477"/>
      <c r="J26" s="528"/>
      <c r="K26" s="492"/>
      <c r="L26" s="529"/>
      <c r="M26" s="477"/>
      <c r="N26" s="477"/>
      <c r="O26" s="477"/>
      <c r="P26" s="477"/>
      <c r="Q26" s="477"/>
      <c r="R26" s="482"/>
      <c r="S26" s="477"/>
      <c r="T26" s="483"/>
      <c r="U26" s="484"/>
      <c r="V26" s="485"/>
      <c r="W26" s="477"/>
      <c r="X26" s="477"/>
      <c r="Y26" s="477"/>
      <c r="Z26" s="477"/>
      <c r="AA26" s="477"/>
      <c r="AB26" s="477"/>
      <c r="AC26" s="477"/>
      <c r="AD26" s="477"/>
    </row>
    <row r="27" spans="1:30" x14ac:dyDescent="0.25">
      <c r="A27" s="530"/>
      <c r="B27" s="454"/>
      <c r="C27" s="454"/>
      <c r="D27" s="487"/>
      <c r="E27" s="477"/>
      <c r="F27" s="478"/>
      <c r="G27" s="477"/>
      <c r="H27" s="477"/>
      <c r="I27" s="477"/>
      <c r="J27" s="507"/>
      <c r="K27" s="492"/>
      <c r="L27" s="492"/>
      <c r="M27" s="477"/>
      <c r="N27" s="477"/>
      <c r="O27" s="477"/>
      <c r="P27" s="477"/>
      <c r="Q27" s="477"/>
      <c r="R27" s="482"/>
      <c r="S27" s="477"/>
      <c r="T27" s="483"/>
      <c r="U27" s="484"/>
      <c r="V27" s="485"/>
      <c r="W27" s="454"/>
      <c r="X27" s="454"/>
      <c r="Y27" s="454"/>
      <c r="Z27" s="454"/>
      <c r="AA27" s="454"/>
      <c r="AB27" s="454"/>
      <c r="AC27" s="454"/>
      <c r="AD27" s="454"/>
    </row>
    <row r="28" spans="1:30" x14ac:dyDescent="0.25">
      <c r="A28" s="531" t="s">
        <v>345</v>
      </c>
      <c r="B28" s="489"/>
      <c r="C28" s="489"/>
      <c r="D28" s="489"/>
      <c r="E28" s="489"/>
      <c r="F28" s="490"/>
      <c r="G28" s="489"/>
      <c r="H28" s="489"/>
      <c r="I28" s="489"/>
      <c r="J28" s="473" t="s">
        <v>16</v>
      </c>
      <c r="K28" s="473">
        <f>SUM(K29:K30)</f>
        <v>0</v>
      </c>
      <c r="L28" s="473">
        <f>SUM(L29:L30)</f>
        <v>0</v>
      </c>
      <c r="M28" s="454"/>
      <c r="N28" s="454"/>
      <c r="O28" s="454"/>
      <c r="P28" s="454"/>
      <c r="Q28" s="454"/>
      <c r="R28" s="458"/>
      <c r="S28" s="454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</row>
    <row r="29" spans="1:30" x14ac:dyDescent="0.25">
      <c r="A29" s="532"/>
      <c r="B29" s="454"/>
      <c r="C29" s="454"/>
      <c r="D29" s="477"/>
      <c r="E29" s="477"/>
      <c r="F29" s="478"/>
      <c r="G29" s="477"/>
      <c r="H29" s="477"/>
      <c r="I29" s="477"/>
      <c r="J29" s="507"/>
      <c r="K29" s="492"/>
      <c r="L29" s="492"/>
      <c r="M29" s="477"/>
      <c r="N29" s="477"/>
      <c r="O29" s="477"/>
      <c r="P29" s="477"/>
      <c r="Q29" s="477"/>
      <c r="R29" s="482"/>
      <c r="S29" s="477"/>
      <c r="T29" s="484"/>
      <c r="U29" s="477"/>
      <c r="V29" s="454"/>
      <c r="W29" s="454"/>
      <c r="X29" s="454"/>
      <c r="Y29" s="454"/>
      <c r="Z29" s="454"/>
      <c r="AA29" s="454"/>
      <c r="AB29" s="454"/>
      <c r="AC29" s="454"/>
      <c r="AD29" s="454"/>
    </row>
    <row r="30" spans="1:30" s="486" customFormat="1" x14ac:dyDescent="0.25">
      <c r="A30" s="533"/>
      <c r="B30" s="477"/>
      <c r="C30" s="477"/>
      <c r="D30" s="477"/>
      <c r="E30" s="477"/>
      <c r="F30" s="478"/>
      <c r="G30" s="477"/>
      <c r="H30" s="477"/>
      <c r="I30" s="477"/>
      <c r="J30" s="507"/>
      <c r="K30" s="492"/>
      <c r="L30" s="492"/>
      <c r="M30" s="477"/>
      <c r="N30" s="477"/>
      <c r="O30" s="477"/>
      <c r="P30" s="477"/>
      <c r="Q30" s="477"/>
      <c r="R30" s="482"/>
      <c r="S30" s="477"/>
      <c r="T30" s="484"/>
      <c r="U30" s="477"/>
      <c r="V30" s="477"/>
      <c r="W30" s="477"/>
      <c r="X30" s="477"/>
      <c r="Y30" s="477"/>
      <c r="Z30" s="477"/>
      <c r="AA30" s="477"/>
      <c r="AB30" s="477"/>
      <c r="AC30" s="477"/>
      <c r="AD30" s="477"/>
    </row>
    <row r="31" spans="1:30" s="472" customFormat="1" x14ac:dyDescent="0.25">
      <c r="A31" s="525" t="s">
        <v>284</v>
      </c>
      <c r="B31" s="468"/>
      <c r="C31" s="468"/>
      <c r="D31" s="468"/>
      <c r="E31" s="468"/>
      <c r="F31" s="469"/>
      <c r="G31" s="468"/>
      <c r="H31" s="468"/>
      <c r="I31" s="468"/>
      <c r="J31" s="468"/>
      <c r="K31" s="526"/>
      <c r="L31" s="526"/>
      <c r="M31" s="468"/>
      <c r="N31" s="468"/>
      <c r="O31" s="468"/>
      <c r="P31" s="468"/>
      <c r="Q31" s="468"/>
      <c r="R31" s="471"/>
      <c r="S31" s="468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</row>
    <row r="32" spans="1:30" x14ac:dyDescent="0.25">
      <c r="A32" s="489" t="s">
        <v>344</v>
      </c>
      <c r="B32" s="474"/>
      <c r="C32" s="474"/>
      <c r="D32" s="474"/>
      <c r="E32" s="474"/>
      <c r="F32" s="475"/>
      <c r="G32" s="474"/>
      <c r="H32" s="474"/>
      <c r="I32" s="474"/>
      <c r="J32" s="473" t="s">
        <v>16</v>
      </c>
      <c r="K32" s="473">
        <f>SUM(K33:K34)</f>
        <v>0</v>
      </c>
      <c r="L32" s="473">
        <f>SUM(L33:L34)</f>
        <v>0</v>
      </c>
      <c r="M32" s="454"/>
      <c r="N32" s="454"/>
      <c r="O32" s="454"/>
      <c r="P32" s="454"/>
      <c r="Q32" s="454"/>
      <c r="R32" s="458"/>
      <c r="S32" s="454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</row>
    <row r="33" spans="1:30" s="486" customFormat="1" x14ac:dyDescent="0.25">
      <c r="A33" s="527"/>
      <c r="B33" s="477"/>
      <c r="C33" s="477"/>
      <c r="D33" s="477"/>
      <c r="E33" s="477"/>
      <c r="F33" s="478"/>
      <c r="G33" s="477"/>
      <c r="H33" s="477"/>
      <c r="I33" s="477"/>
      <c r="J33" s="528"/>
      <c r="K33" s="492"/>
      <c r="L33" s="529"/>
      <c r="M33" s="477"/>
      <c r="N33" s="477"/>
      <c r="O33" s="477"/>
      <c r="P33" s="477"/>
      <c r="Q33" s="477"/>
      <c r="R33" s="482"/>
      <c r="S33" s="477"/>
      <c r="T33" s="483"/>
      <c r="U33" s="484"/>
      <c r="V33" s="485"/>
      <c r="W33" s="477"/>
      <c r="X33" s="477"/>
      <c r="Y33" s="477"/>
      <c r="Z33" s="477"/>
      <c r="AA33" s="477"/>
      <c r="AB33" s="477"/>
      <c r="AC33" s="477"/>
      <c r="AD33" s="477"/>
    </row>
    <row r="34" spans="1:30" x14ac:dyDescent="0.25">
      <c r="A34" s="530"/>
      <c r="B34" s="454"/>
      <c r="C34" s="454"/>
      <c r="D34" s="487"/>
      <c r="E34" s="477"/>
      <c r="F34" s="478"/>
      <c r="G34" s="477"/>
      <c r="H34" s="477"/>
      <c r="I34" s="477"/>
      <c r="J34" s="507"/>
      <c r="K34" s="492"/>
      <c r="L34" s="492"/>
      <c r="M34" s="477"/>
      <c r="N34" s="477"/>
      <c r="O34" s="477"/>
      <c r="P34" s="477"/>
      <c r="Q34" s="477"/>
      <c r="R34" s="482"/>
      <c r="S34" s="477"/>
      <c r="T34" s="483"/>
      <c r="U34" s="484"/>
      <c r="V34" s="485"/>
      <c r="W34" s="454"/>
      <c r="X34" s="454"/>
      <c r="Y34" s="454"/>
      <c r="Z34" s="454"/>
      <c r="AA34" s="454"/>
      <c r="AB34" s="454"/>
      <c r="AC34" s="454"/>
      <c r="AD34" s="454"/>
    </row>
    <row r="35" spans="1:30" x14ac:dyDescent="0.25">
      <c r="A35" s="531" t="s">
        <v>345</v>
      </c>
      <c r="B35" s="489"/>
      <c r="C35" s="489"/>
      <c r="D35" s="489"/>
      <c r="E35" s="489"/>
      <c r="F35" s="490"/>
      <c r="G35" s="489"/>
      <c r="H35" s="489"/>
      <c r="I35" s="489"/>
      <c r="J35" s="473" t="s">
        <v>16</v>
      </c>
      <c r="K35" s="473">
        <f>SUM(K36:K37)</f>
        <v>0</v>
      </c>
      <c r="L35" s="473">
        <f>SUM(L36:L37)</f>
        <v>0</v>
      </c>
      <c r="M35" s="454"/>
      <c r="N35" s="454"/>
      <c r="O35" s="454"/>
      <c r="P35" s="454"/>
      <c r="Q35" s="454"/>
      <c r="R35" s="458"/>
      <c r="S35" s="454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</row>
    <row r="36" spans="1:30" x14ac:dyDescent="0.25">
      <c r="A36" s="532"/>
      <c r="B36" s="454"/>
      <c r="C36" s="454"/>
      <c r="D36" s="477"/>
      <c r="E36" s="477"/>
      <c r="F36" s="478"/>
      <c r="G36" s="477"/>
      <c r="H36" s="477"/>
      <c r="I36" s="477"/>
      <c r="J36" s="507"/>
      <c r="K36" s="492"/>
      <c r="L36" s="492"/>
      <c r="M36" s="477"/>
      <c r="N36" s="477"/>
      <c r="O36" s="477"/>
      <c r="P36" s="477"/>
      <c r="Q36" s="477"/>
      <c r="R36" s="482"/>
      <c r="S36" s="477"/>
      <c r="T36" s="484"/>
      <c r="U36" s="477"/>
      <c r="V36" s="454"/>
      <c r="W36" s="454"/>
      <c r="X36" s="454"/>
      <c r="Y36" s="454"/>
      <c r="Z36" s="454"/>
      <c r="AA36" s="454"/>
      <c r="AB36" s="454"/>
      <c r="AC36" s="454"/>
      <c r="AD36" s="454"/>
    </row>
    <row r="37" spans="1:30" s="486" customFormat="1" x14ac:dyDescent="0.25">
      <c r="A37" s="533"/>
      <c r="B37" s="477"/>
      <c r="C37" s="477"/>
      <c r="D37" s="477"/>
      <c r="E37" s="477"/>
      <c r="F37" s="478"/>
      <c r="G37" s="477"/>
      <c r="H37" s="477"/>
      <c r="I37" s="477"/>
      <c r="J37" s="507"/>
      <c r="K37" s="492"/>
      <c r="L37" s="492"/>
      <c r="M37" s="477"/>
      <c r="N37" s="477"/>
      <c r="O37" s="477"/>
      <c r="P37" s="477"/>
      <c r="Q37" s="477"/>
      <c r="R37" s="482"/>
      <c r="S37" s="477"/>
      <c r="T37" s="484"/>
      <c r="U37" s="477"/>
      <c r="V37" s="477"/>
      <c r="W37" s="477"/>
      <c r="X37" s="477"/>
      <c r="Y37" s="477"/>
      <c r="Z37" s="477"/>
      <c r="AA37" s="477"/>
      <c r="AB37" s="477"/>
      <c r="AC37" s="477"/>
      <c r="AD37" s="477"/>
    </row>
    <row r="38" spans="1:30" s="472" customFormat="1" x14ac:dyDescent="0.25">
      <c r="A38" s="525" t="s">
        <v>285</v>
      </c>
      <c r="B38" s="468"/>
      <c r="C38" s="468"/>
      <c r="D38" s="468"/>
      <c r="E38" s="468"/>
      <c r="F38" s="469"/>
      <c r="G38" s="468"/>
      <c r="H38" s="468"/>
      <c r="I38" s="468"/>
      <c r="J38" s="468"/>
      <c r="K38" s="526"/>
      <c r="L38" s="526"/>
      <c r="M38" s="468"/>
      <c r="N38" s="468"/>
      <c r="O38" s="468"/>
      <c r="P38" s="468"/>
      <c r="Q38" s="468"/>
      <c r="R38" s="471"/>
      <c r="S38" s="468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</row>
    <row r="39" spans="1:30" x14ac:dyDescent="0.25">
      <c r="A39" s="489" t="s">
        <v>344</v>
      </c>
      <c r="B39" s="474"/>
      <c r="C39" s="474"/>
      <c r="D39" s="474"/>
      <c r="E39" s="474"/>
      <c r="F39" s="475"/>
      <c r="G39" s="474"/>
      <c r="H39" s="474"/>
      <c r="I39" s="474"/>
      <c r="J39" s="473" t="s">
        <v>16</v>
      </c>
      <c r="K39" s="473">
        <f>SUM(K40:K41)</f>
        <v>0</v>
      </c>
      <c r="L39" s="473">
        <f>SUM(L40:L41)</f>
        <v>0</v>
      </c>
      <c r="M39" s="454"/>
      <c r="N39" s="454"/>
      <c r="O39" s="454"/>
      <c r="P39" s="454"/>
      <c r="Q39" s="454"/>
      <c r="R39" s="458"/>
      <c r="S39" s="454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</row>
    <row r="40" spans="1:30" s="486" customFormat="1" x14ac:dyDescent="0.25">
      <c r="A40" s="527"/>
      <c r="B40" s="477"/>
      <c r="C40" s="477"/>
      <c r="D40" s="477"/>
      <c r="E40" s="477"/>
      <c r="F40" s="478"/>
      <c r="G40" s="477"/>
      <c r="H40" s="477"/>
      <c r="I40" s="477"/>
      <c r="J40" s="528"/>
      <c r="K40" s="492"/>
      <c r="L40" s="529"/>
      <c r="M40" s="477"/>
      <c r="N40" s="477"/>
      <c r="O40" s="477"/>
      <c r="P40" s="477"/>
      <c r="Q40" s="477"/>
      <c r="R40" s="482"/>
      <c r="S40" s="477"/>
      <c r="T40" s="483"/>
      <c r="U40" s="484"/>
      <c r="V40" s="485"/>
      <c r="W40" s="477"/>
      <c r="X40" s="477"/>
      <c r="Y40" s="477"/>
      <c r="Z40" s="477"/>
      <c r="AA40" s="477"/>
      <c r="AB40" s="477"/>
      <c r="AC40" s="477"/>
      <c r="AD40" s="477"/>
    </row>
    <row r="41" spans="1:30" x14ac:dyDescent="0.25">
      <c r="A41" s="530"/>
      <c r="B41" s="454"/>
      <c r="C41" s="454"/>
      <c r="D41" s="487"/>
      <c r="E41" s="477"/>
      <c r="F41" s="478"/>
      <c r="G41" s="477"/>
      <c r="H41" s="477"/>
      <c r="I41" s="477"/>
      <c r="J41" s="507"/>
      <c r="K41" s="492"/>
      <c r="L41" s="492"/>
      <c r="M41" s="477"/>
      <c r="N41" s="477"/>
      <c r="O41" s="477"/>
      <c r="P41" s="477"/>
      <c r="Q41" s="477"/>
      <c r="R41" s="482"/>
      <c r="S41" s="477"/>
      <c r="T41" s="483"/>
      <c r="U41" s="484"/>
      <c r="V41" s="485"/>
      <c r="W41" s="454"/>
      <c r="X41" s="454"/>
      <c r="Y41" s="454"/>
      <c r="Z41" s="454"/>
      <c r="AA41" s="454"/>
      <c r="AB41" s="454"/>
      <c r="AC41" s="454"/>
      <c r="AD41" s="454"/>
    </row>
    <row r="42" spans="1:30" x14ac:dyDescent="0.25">
      <c r="A42" s="531" t="s">
        <v>345</v>
      </c>
      <c r="B42" s="489"/>
      <c r="C42" s="489"/>
      <c r="D42" s="489"/>
      <c r="E42" s="489"/>
      <c r="F42" s="490"/>
      <c r="G42" s="489"/>
      <c r="H42" s="489"/>
      <c r="I42" s="489"/>
      <c r="J42" s="473" t="s">
        <v>16</v>
      </c>
      <c r="K42" s="473">
        <f>SUM(K43:K44)</f>
        <v>0</v>
      </c>
      <c r="L42" s="473">
        <f>SUM(L43:L44)</f>
        <v>0</v>
      </c>
      <c r="M42" s="454"/>
      <c r="N42" s="454"/>
      <c r="O42" s="454"/>
      <c r="P42" s="454"/>
      <c r="Q42" s="454"/>
      <c r="R42" s="458"/>
      <c r="S42" s="454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</row>
    <row r="43" spans="1:30" x14ac:dyDescent="0.25">
      <c r="A43" s="532"/>
      <c r="B43" s="454"/>
      <c r="C43" s="454"/>
      <c r="D43" s="477"/>
      <c r="E43" s="477"/>
      <c r="F43" s="478"/>
      <c r="G43" s="477"/>
      <c r="H43" s="477"/>
      <c r="I43" s="477"/>
      <c r="J43" s="507"/>
      <c r="K43" s="492"/>
      <c r="L43" s="492"/>
      <c r="M43" s="477"/>
      <c r="N43" s="477"/>
      <c r="O43" s="477"/>
      <c r="P43" s="477"/>
      <c r="Q43" s="477"/>
      <c r="R43" s="482"/>
      <c r="S43" s="477"/>
      <c r="T43" s="484"/>
      <c r="U43" s="477"/>
      <c r="V43" s="454"/>
      <c r="W43" s="454"/>
      <c r="X43" s="454"/>
      <c r="Y43" s="454"/>
      <c r="Z43" s="454"/>
      <c r="AA43" s="454"/>
      <c r="AB43" s="454"/>
      <c r="AC43" s="454"/>
      <c r="AD43" s="454"/>
    </row>
    <row r="44" spans="1:30" s="486" customFormat="1" x14ac:dyDescent="0.25">
      <c r="A44" s="533"/>
      <c r="B44" s="477"/>
      <c r="C44" s="477"/>
      <c r="D44" s="477"/>
      <c r="E44" s="477"/>
      <c r="F44" s="478"/>
      <c r="G44" s="477"/>
      <c r="H44" s="477"/>
      <c r="I44" s="477"/>
      <c r="J44" s="507"/>
      <c r="K44" s="492"/>
      <c r="L44" s="492"/>
      <c r="M44" s="477"/>
      <c r="N44" s="477"/>
      <c r="O44" s="477"/>
      <c r="P44" s="477"/>
      <c r="Q44" s="477"/>
      <c r="R44" s="482"/>
      <c r="S44" s="477"/>
      <c r="T44" s="484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</row>
    <row r="45" spans="1:30" s="472" customFormat="1" x14ac:dyDescent="0.25">
      <c r="A45" s="525" t="s">
        <v>286</v>
      </c>
      <c r="B45" s="468"/>
      <c r="C45" s="468"/>
      <c r="D45" s="468"/>
      <c r="E45" s="468"/>
      <c r="F45" s="469"/>
      <c r="G45" s="468"/>
      <c r="H45" s="468"/>
      <c r="I45" s="468"/>
      <c r="J45" s="468"/>
      <c r="K45" s="526"/>
      <c r="L45" s="526"/>
      <c r="M45" s="468"/>
      <c r="N45" s="468"/>
      <c r="O45" s="468"/>
      <c r="P45" s="468"/>
      <c r="Q45" s="468"/>
      <c r="R45" s="471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</row>
    <row r="46" spans="1:30" x14ac:dyDescent="0.25">
      <c r="A46" s="489" t="s">
        <v>344</v>
      </c>
      <c r="B46" s="474"/>
      <c r="C46" s="474"/>
      <c r="D46" s="474"/>
      <c r="E46" s="474"/>
      <c r="F46" s="475"/>
      <c r="G46" s="474"/>
      <c r="H46" s="474"/>
      <c r="I46" s="474"/>
      <c r="J46" s="473" t="s">
        <v>16</v>
      </c>
      <c r="K46" s="473"/>
      <c r="L46" s="473"/>
      <c r="M46" s="454"/>
      <c r="N46" s="454"/>
      <c r="O46" s="454"/>
      <c r="P46" s="454"/>
      <c r="Q46" s="454"/>
      <c r="R46" s="458"/>
      <c r="S46" s="454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</row>
    <row r="47" spans="1:30" x14ac:dyDescent="0.25">
      <c r="A47" s="530"/>
      <c r="B47" s="454"/>
      <c r="C47" s="454"/>
      <c r="D47" s="487"/>
      <c r="E47" s="477"/>
      <c r="F47" s="478"/>
      <c r="G47" s="477"/>
      <c r="H47" s="477"/>
      <c r="I47" s="477"/>
      <c r="J47" s="507"/>
      <c r="K47" s="492"/>
      <c r="L47" s="492"/>
      <c r="M47" s="477"/>
      <c r="N47" s="477"/>
      <c r="O47" s="477"/>
      <c r="P47" s="477"/>
      <c r="Q47" s="477"/>
      <c r="R47" s="482"/>
      <c r="S47" s="477"/>
      <c r="T47" s="483"/>
      <c r="U47" s="484"/>
      <c r="V47" s="485"/>
      <c r="W47" s="454"/>
      <c r="X47" s="454"/>
      <c r="Y47" s="454"/>
      <c r="Z47" s="454"/>
      <c r="AA47" s="454"/>
      <c r="AB47" s="454"/>
      <c r="AC47" s="454"/>
      <c r="AD47" s="454"/>
    </row>
    <row r="48" spans="1:30" x14ac:dyDescent="0.25">
      <c r="A48" s="531" t="s">
        <v>345</v>
      </c>
      <c r="B48" s="489"/>
      <c r="C48" s="489"/>
      <c r="D48" s="489"/>
      <c r="E48" s="489"/>
      <c r="F48" s="490"/>
      <c r="G48" s="489"/>
      <c r="H48" s="489"/>
      <c r="I48" s="489"/>
      <c r="J48" s="473" t="s">
        <v>16</v>
      </c>
      <c r="K48" s="473">
        <f>SUM(K49:K50)</f>
        <v>0</v>
      </c>
      <c r="L48" s="473">
        <f>SUM(L49:L50)</f>
        <v>0</v>
      </c>
      <c r="M48" s="454"/>
      <c r="N48" s="454"/>
      <c r="O48" s="454"/>
      <c r="P48" s="454"/>
      <c r="Q48" s="454"/>
      <c r="R48" s="458"/>
      <c r="S48" s="454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</row>
    <row r="49" spans="1:30" x14ac:dyDescent="0.25">
      <c r="A49" s="532"/>
      <c r="B49" s="454"/>
      <c r="C49" s="454"/>
      <c r="D49" s="477"/>
      <c r="E49" s="477"/>
      <c r="F49" s="478"/>
      <c r="G49" s="477"/>
      <c r="H49" s="477"/>
      <c r="I49" s="477"/>
      <c r="J49" s="507"/>
      <c r="K49" s="492"/>
      <c r="L49" s="492"/>
      <c r="M49" s="477"/>
      <c r="N49" s="477"/>
      <c r="O49" s="477"/>
      <c r="P49" s="477"/>
      <c r="Q49" s="477"/>
      <c r="R49" s="482"/>
      <c r="S49" s="477"/>
      <c r="T49" s="484"/>
      <c r="U49" s="477"/>
      <c r="V49" s="454"/>
      <c r="W49" s="454"/>
      <c r="X49" s="454"/>
      <c r="Y49" s="454"/>
      <c r="Z49" s="454"/>
      <c r="AA49" s="454"/>
      <c r="AB49" s="454"/>
      <c r="AC49" s="454"/>
      <c r="AD49" s="454"/>
    </row>
    <row r="50" spans="1:30" s="486" customFormat="1" x14ac:dyDescent="0.25">
      <c r="A50" s="533"/>
      <c r="B50" s="477"/>
      <c r="C50" s="477"/>
      <c r="D50" s="477"/>
      <c r="E50" s="477"/>
      <c r="F50" s="478"/>
      <c r="G50" s="477"/>
      <c r="H50" s="477"/>
      <c r="I50" s="477"/>
      <c r="J50" s="507"/>
      <c r="K50" s="492"/>
      <c r="L50" s="492"/>
      <c r="M50" s="477"/>
      <c r="N50" s="477"/>
      <c r="O50" s="477"/>
      <c r="P50" s="477"/>
      <c r="Q50" s="477"/>
      <c r="R50" s="482"/>
      <c r="S50" s="477"/>
      <c r="T50" s="484"/>
      <c r="U50" s="477"/>
      <c r="V50" s="477"/>
      <c r="W50" s="477"/>
      <c r="X50" s="477"/>
      <c r="Y50" s="477"/>
      <c r="Z50" s="477"/>
      <c r="AA50" s="477"/>
      <c r="AB50" s="477"/>
      <c r="AC50" s="477"/>
      <c r="AD50" s="477"/>
    </row>
    <row r="51" spans="1:30" s="472" customFormat="1" x14ac:dyDescent="0.25">
      <c r="A51" s="525" t="s">
        <v>287</v>
      </c>
      <c r="B51" s="468"/>
      <c r="C51" s="468"/>
      <c r="D51" s="468"/>
      <c r="E51" s="468"/>
      <c r="F51" s="469"/>
      <c r="G51" s="468"/>
      <c r="H51" s="468"/>
      <c r="I51" s="468"/>
      <c r="J51" s="468"/>
      <c r="K51" s="526"/>
      <c r="L51" s="526"/>
      <c r="M51" s="468"/>
      <c r="N51" s="468"/>
      <c r="O51" s="468"/>
      <c r="P51" s="468"/>
      <c r="Q51" s="468"/>
      <c r="R51" s="471"/>
      <c r="S51" s="468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</row>
    <row r="52" spans="1:30" x14ac:dyDescent="0.25">
      <c r="A52" s="534" t="s">
        <v>344</v>
      </c>
      <c r="B52" s="494"/>
      <c r="C52" s="494"/>
      <c r="D52" s="494"/>
      <c r="E52" s="494"/>
      <c r="F52" s="495"/>
      <c r="G52" s="494"/>
      <c r="H52" s="494"/>
      <c r="I52" s="494"/>
      <c r="J52" s="493" t="s">
        <v>16</v>
      </c>
      <c r="K52" s="493"/>
      <c r="L52" s="493"/>
      <c r="M52" s="497"/>
      <c r="N52" s="497"/>
      <c r="O52" s="497"/>
      <c r="P52" s="497"/>
      <c r="Q52" s="497"/>
      <c r="R52" s="498"/>
      <c r="S52" s="497"/>
      <c r="T52" s="497"/>
      <c r="U52" s="497"/>
      <c r="V52" s="497"/>
      <c r="W52" s="497"/>
      <c r="X52" s="497"/>
      <c r="Y52" s="497"/>
      <c r="Z52" s="497"/>
      <c r="AA52" s="497"/>
      <c r="AB52" s="497"/>
      <c r="AC52" s="497"/>
      <c r="AD52" s="497"/>
    </row>
    <row r="53" spans="1:30" x14ac:dyDescent="0.25">
      <c r="A53" s="530"/>
      <c r="B53" s="454"/>
      <c r="C53" s="454"/>
      <c r="D53" s="487"/>
      <c r="E53" s="477"/>
      <c r="F53" s="478"/>
      <c r="G53" s="477"/>
      <c r="H53" s="477"/>
      <c r="I53" s="477"/>
      <c r="J53" s="507"/>
      <c r="K53" s="492"/>
      <c r="L53" s="492"/>
      <c r="M53" s="477"/>
      <c r="N53" s="477"/>
      <c r="O53" s="477"/>
      <c r="P53" s="477"/>
      <c r="Q53" s="477"/>
      <c r="R53" s="482"/>
      <c r="S53" s="477"/>
      <c r="T53" s="483"/>
      <c r="U53" s="484"/>
      <c r="V53" s="485"/>
      <c r="W53" s="454"/>
      <c r="X53" s="454"/>
      <c r="Y53" s="454"/>
      <c r="Z53" s="454"/>
      <c r="AA53" s="454"/>
      <c r="AB53" s="454"/>
      <c r="AC53" s="454"/>
      <c r="AD53" s="454"/>
    </row>
    <row r="54" spans="1:30" x14ac:dyDescent="0.25">
      <c r="A54" s="531" t="s">
        <v>345</v>
      </c>
      <c r="B54" s="489"/>
      <c r="C54" s="489"/>
      <c r="D54" s="489"/>
      <c r="E54" s="489"/>
      <c r="F54" s="490"/>
      <c r="G54" s="489"/>
      <c r="H54" s="489"/>
      <c r="I54" s="489"/>
      <c r="J54" s="473" t="s">
        <v>16</v>
      </c>
      <c r="K54" s="473">
        <f>SUM(K55:K56)</f>
        <v>0</v>
      </c>
      <c r="L54" s="473">
        <f>SUM(L55:L56)</f>
        <v>0</v>
      </c>
      <c r="M54" s="454"/>
      <c r="N54" s="454"/>
      <c r="O54" s="454"/>
      <c r="P54" s="454"/>
      <c r="Q54" s="454"/>
      <c r="R54" s="458"/>
      <c r="S54" s="454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</row>
    <row r="55" spans="1:30" x14ac:dyDescent="0.25">
      <c r="A55" s="532"/>
      <c r="B55" s="454"/>
      <c r="C55" s="454"/>
      <c r="D55" s="477"/>
      <c r="E55" s="477"/>
      <c r="F55" s="478"/>
      <c r="G55" s="477"/>
      <c r="H55" s="477"/>
      <c r="I55" s="477"/>
      <c r="J55" s="507"/>
      <c r="K55" s="492"/>
      <c r="L55" s="492"/>
      <c r="M55" s="477"/>
      <c r="N55" s="477"/>
      <c r="O55" s="477"/>
      <c r="P55" s="477"/>
      <c r="Q55" s="477"/>
      <c r="R55" s="482"/>
      <c r="S55" s="477"/>
      <c r="T55" s="484"/>
      <c r="U55" s="477"/>
      <c r="V55" s="454"/>
      <c r="W55" s="454"/>
      <c r="X55" s="454"/>
      <c r="Y55" s="454"/>
      <c r="Z55" s="454"/>
      <c r="AA55" s="454"/>
      <c r="AB55" s="454"/>
      <c r="AC55" s="454"/>
      <c r="AD55" s="454"/>
    </row>
    <row r="56" spans="1:30" s="486" customFormat="1" x14ac:dyDescent="0.25">
      <c r="A56" s="533"/>
      <c r="B56" s="477"/>
      <c r="C56" s="477"/>
      <c r="D56" s="477"/>
      <c r="E56" s="477"/>
      <c r="F56" s="478"/>
      <c r="G56" s="477"/>
      <c r="H56" s="477"/>
      <c r="I56" s="477"/>
      <c r="J56" s="507"/>
      <c r="K56" s="492"/>
      <c r="L56" s="492"/>
      <c r="M56" s="477"/>
      <c r="N56" s="477"/>
      <c r="O56" s="477"/>
      <c r="P56" s="477"/>
      <c r="Q56" s="477"/>
      <c r="R56" s="482"/>
      <c r="S56" s="477"/>
      <c r="T56" s="484"/>
      <c r="U56" s="477"/>
      <c r="V56" s="477"/>
      <c r="W56" s="477"/>
      <c r="X56" s="477"/>
      <c r="Y56" s="477"/>
      <c r="Z56" s="477"/>
      <c r="AA56" s="477"/>
      <c r="AB56" s="477"/>
      <c r="AC56" s="477"/>
      <c r="AD56" s="477"/>
    </row>
    <row r="57" spans="1:30" s="472" customFormat="1" x14ac:dyDescent="0.25">
      <c r="A57" s="525" t="s">
        <v>288</v>
      </c>
      <c r="B57" s="468"/>
      <c r="C57" s="468"/>
      <c r="D57" s="468"/>
      <c r="E57" s="468"/>
      <c r="F57" s="469"/>
      <c r="G57" s="468"/>
      <c r="H57" s="468"/>
      <c r="I57" s="468"/>
      <c r="J57" s="468"/>
      <c r="K57" s="526"/>
      <c r="L57" s="526"/>
      <c r="M57" s="468"/>
      <c r="N57" s="468"/>
      <c r="O57" s="468"/>
      <c r="P57" s="468"/>
      <c r="Q57" s="468"/>
      <c r="R57" s="471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</row>
    <row r="58" spans="1:30" x14ac:dyDescent="0.25">
      <c r="A58" s="534" t="s">
        <v>344</v>
      </c>
      <c r="B58" s="494"/>
      <c r="C58" s="494"/>
      <c r="D58" s="494"/>
      <c r="E58" s="494"/>
      <c r="F58" s="495"/>
      <c r="G58" s="494"/>
      <c r="H58" s="494"/>
      <c r="I58" s="494"/>
      <c r="J58" s="493" t="s">
        <v>16</v>
      </c>
      <c r="K58" s="493">
        <v>0</v>
      </c>
      <c r="L58" s="493">
        <v>0</v>
      </c>
      <c r="M58" s="497"/>
      <c r="N58" s="497"/>
      <c r="O58" s="497"/>
      <c r="P58" s="497"/>
      <c r="Q58" s="497"/>
      <c r="R58" s="498"/>
      <c r="S58" s="497"/>
      <c r="T58" s="497"/>
      <c r="U58" s="497"/>
      <c r="V58" s="497"/>
      <c r="W58" s="497"/>
      <c r="X58" s="497"/>
      <c r="Y58" s="497"/>
      <c r="Z58" s="497"/>
      <c r="AA58" s="497"/>
      <c r="AB58" s="497"/>
      <c r="AC58" s="497"/>
      <c r="AD58" s="497"/>
    </row>
    <row r="59" spans="1:30" x14ac:dyDescent="0.25">
      <c r="A59" s="530"/>
      <c r="B59" s="454"/>
      <c r="C59" s="454"/>
      <c r="D59" s="487"/>
      <c r="E59" s="477"/>
      <c r="F59" s="478"/>
      <c r="G59" s="477"/>
      <c r="H59" s="477"/>
      <c r="I59" s="477"/>
      <c r="J59" s="507"/>
      <c r="K59" s="492"/>
      <c r="L59" s="492"/>
      <c r="M59" s="477"/>
      <c r="N59" s="477"/>
      <c r="O59" s="477"/>
      <c r="P59" s="477"/>
      <c r="Q59" s="477"/>
      <c r="R59" s="482"/>
      <c r="S59" s="477"/>
      <c r="T59" s="483"/>
      <c r="U59" s="484"/>
      <c r="V59" s="485"/>
      <c r="W59" s="454"/>
      <c r="X59" s="454"/>
      <c r="Y59" s="454"/>
      <c r="Z59" s="454"/>
      <c r="AA59" s="454"/>
      <c r="AB59" s="454"/>
      <c r="AC59" s="454"/>
      <c r="AD59" s="454"/>
    </row>
    <row r="60" spans="1:30" x14ac:dyDescent="0.25">
      <c r="A60" s="531" t="s">
        <v>345</v>
      </c>
      <c r="B60" s="489"/>
      <c r="C60" s="489"/>
      <c r="D60" s="489"/>
      <c r="E60" s="489"/>
      <c r="F60" s="490"/>
      <c r="G60" s="489"/>
      <c r="H60" s="489"/>
      <c r="I60" s="489"/>
      <c r="J60" s="473" t="s">
        <v>16</v>
      </c>
      <c r="K60" s="473">
        <f>SUM(K61:K62)</f>
        <v>0</v>
      </c>
      <c r="L60" s="473">
        <f>SUM(L61:L62)</f>
        <v>0</v>
      </c>
      <c r="M60" s="454"/>
      <c r="N60" s="454"/>
      <c r="O60" s="454"/>
      <c r="P60" s="454"/>
      <c r="Q60" s="454"/>
      <c r="R60" s="458"/>
      <c r="S60" s="454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</row>
    <row r="61" spans="1:30" x14ac:dyDescent="0.25">
      <c r="A61" s="532"/>
      <c r="B61" s="454"/>
      <c r="C61" s="454"/>
      <c r="D61" s="477"/>
      <c r="E61" s="477"/>
      <c r="F61" s="478"/>
      <c r="G61" s="477"/>
      <c r="H61" s="477"/>
      <c r="I61" s="477"/>
      <c r="J61" s="507"/>
      <c r="K61" s="492"/>
      <c r="L61" s="492"/>
      <c r="M61" s="477"/>
      <c r="N61" s="477"/>
      <c r="O61" s="477"/>
      <c r="P61" s="477"/>
      <c r="Q61" s="477"/>
      <c r="R61" s="482"/>
      <c r="S61" s="477"/>
      <c r="T61" s="484"/>
      <c r="U61" s="477"/>
      <c r="V61" s="454"/>
      <c r="W61" s="454"/>
      <c r="X61" s="454"/>
      <c r="Y61" s="454"/>
      <c r="Z61" s="454"/>
      <c r="AA61" s="454"/>
      <c r="AB61" s="454"/>
      <c r="AC61" s="454"/>
      <c r="AD61" s="454"/>
    </row>
    <row r="62" spans="1:30" s="486" customFormat="1" x14ac:dyDescent="0.25">
      <c r="A62" s="533"/>
      <c r="B62" s="477"/>
      <c r="C62" s="477"/>
      <c r="D62" s="477"/>
      <c r="E62" s="477"/>
      <c r="F62" s="478"/>
      <c r="G62" s="477"/>
      <c r="H62" s="477"/>
      <c r="I62" s="477"/>
      <c r="J62" s="507"/>
      <c r="K62" s="492"/>
      <c r="L62" s="492"/>
      <c r="M62" s="477"/>
      <c r="N62" s="477"/>
      <c r="O62" s="477"/>
      <c r="P62" s="477"/>
      <c r="Q62" s="477"/>
      <c r="R62" s="482"/>
      <c r="S62" s="477"/>
      <c r="T62" s="484"/>
      <c r="U62" s="477"/>
      <c r="V62" s="477"/>
      <c r="W62" s="477"/>
      <c r="X62" s="477"/>
      <c r="Y62" s="477"/>
      <c r="Z62" s="477"/>
      <c r="AA62" s="477"/>
      <c r="AB62" s="477"/>
      <c r="AC62" s="477"/>
      <c r="AD62" s="477"/>
    </row>
    <row r="63" spans="1:30" s="472" customFormat="1" x14ac:dyDescent="0.25">
      <c r="A63" s="525" t="s">
        <v>289</v>
      </c>
      <c r="B63" s="468"/>
      <c r="C63" s="468"/>
      <c r="D63" s="468"/>
      <c r="E63" s="468"/>
      <c r="F63" s="469"/>
      <c r="G63" s="468"/>
      <c r="H63" s="468"/>
      <c r="I63" s="468"/>
      <c r="J63" s="468"/>
      <c r="K63" s="526"/>
      <c r="L63" s="526"/>
      <c r="M63" s="468"/>
      <c r="N63" s="468"/>
      <c r="O63" s="468"/>
      <c r="P63" s="468"/>
      <c r="Q63" s="468"/>
      <c r="R63" s="471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</row>
    <row r="64" spans="1:30" x14ac:dyDescent="0.25">
      <c r="A64" s="534" t="s">
        <v>344</v>
      </c>
      <c r="B64" s="494"/>
      <c r="C64" s="494"/>
      <c r="D64" s="494"/>
      <c r="E64" s="494"/>
      <c r="F64" s="495"/>
      <c r="G64" s="494"/>
      <c r="H64" s="494"/>
      <c r="I64" s="494"/>
      <c r="J64" s="493" t="s">
        <v>16</v>
      </c>
      <c r="K64" s="493">
        <f>SUM(K65:K66)</f>
        <v>0</v>
      </c>
      <c r="L64" s="493">
        <f>SUM(L65:L66)</f>
        <v>0</v>
      </c>
      <c r="M64" s="497"/>
      <c r="N64" s="497"/>
      <c r="O64" s="497"/>
      <c r="P64" s="497"/>
      <c r="Q64" s="497"/>
      <c r="R64" s="498"/>
      <c r="S64" s="497"/>
      <c r="T64" s="497"/>
      <c r="U64" s="497"/>
      <c r="V64" s="497"/>
      <c r="W64" s="497"/>
      <c r="X64" s="497"/>
      <c r="Y64" s="497"/>
      <c r="Z64" s="497"/>
      <c r="AA64" s="497"/>
      <c r="AB64" s="497"/>
      <c r="AC64" s="497"/>
      <c r="AD64" s="497"/>
    </row>
    <row r="65" spans="1:30" s="565" customFormat="1" ht="15" customHeight="1" x14ac:dyDescent="0.25">
      <c r="A65" s="567"/>
      <c r="B65" s="567"/>
      <c r="C65" s="567"/>
      <c r="D65" s="567"/>
      <c r="E65" s="567"/>
      <c r="F65" s="566"/>
      <c r="G65" s="567"/>
      <c r="H65" s="567"/>
      <c r="I65" s="567"/>
      <c r="J65" s="582"/>
      <c r="K65" s="583"/>
      <c r="L65" s="583"/>
      <c r="M65" s="567"/>
      <c r="N65" s="567"/>
      <c r="O65" s="567"/>
      <c r="P65" s="567"/>
      <c r="Q65" s="567"/>
      <c r="R65" s="581"/>
      <c r="S65" s="435"/>
      <c r="T65" s="558"/>
      <c r="U65" s="567"/>
      <c r="V65" s="564"/>
      <c r="W65" s="563"/>
      <c r="X65" s="563"/>
      <c r="Y65" s="563"/>
      <c r="Z65" s="563"/>
      <c r="AA65" s="563"/>
      <c r="AB65" s="563"/>
      <c r="AC65" s="563"/>
      <c r="AD65" s="563"/>
    </row>
    <row r="66" spans="1:30" s="565" customFormat="1" x14ac:dyDescent="0.25">
      <c r="A66" s="567"/>
      <c r="B66" s="567"/>
      <c r="C66" s="567"/>
      <c r="D66" s="567"/>
      <c r="E66" s="567"/>
      <c r="F66" s="566"/>
      <c r="G66" s="567"/>
      <c r="H66" s="567"/>
      <c r="I66" s="567"/>
      <c r="J66" s="582"/>
      <c r="K66" s="583"/>
      <c r="L66" s="583"/>
      <c r="M66" s="567"/>
      <c r="N66" s="567"/>
      <c r="O66" s="567"/>
      <c r="P66" s="567"/>
      <c r="Q66" s="567"/>
      <c r="R66" s="581"/>
      <c r="S66" s="567"/>
      <c r="T66" s="558"/>
      <c r="U66" s="567"/>
      <c r="V66" s="564"/>
      <c r="W66" s="563"/>
      <c r="X66" s="563"/>
      <c r="Y66" s="563"/>
      <c r="Z66" s="563"/>
      <c r="AA66" s="563"/>
      <c r="AB66" s="563"/>
      <c r="AC66" s="563"/>
      <c r="AD66" s="563"/>
    </row>
    <row r="67" spans="1:30" x14ac:dyDescent="0.25">
      <c r="A67" s="570" t="s">
        <v>345</v>
      </c>
      <c r="B67" s="571"/>
      <c r="C67" s="571"/>
      <c r="D67" s="571"/>
      <c r="E67" s="571"/>
      <c r="F67" s="490"/>
      <c r="G67" s="571"/>
      <c r="H67" s="571"/>
      <c r="I67" s="571"/>
      <c r="J67" s="456" t="s">
        <v>16</v>
      </c>
      <c r="K67" s="456">
        <f>SUM(K68:K69)</f>
        <v>0</v>
      </c>
      <c r="L67" s="456">
        <f>SUM(L68:L69)</f>
        <v>0</v>
      </c>
      <c r="M67" s="572"/>
      <c r="N67" s="572"/>
      <c r="O67" s="572"/>
      <c r="P67" s="572"/>
      <c r="Q67" s="572"/>
      <c r="R67" s="581"/>
      <c r="S67" s="572"/>
      <c r="T67" s="558"/>
      <c r="U67" s="572"/>
      <c r="V67" s="454"/>
      <c r="W67" s="454"/>
      <c r="X67" s="454"/>
      <c r="Y67" s="454"/>
      <c r="Z67" s="454"/>
      <c r="AA67" s="454"/>
      <c r="AB67" s="454"/>
      <c r="AC67" s="454"/>
      <c r="AD67" s="454"/>
    </row>
    <row r="68" spans="1:30" x14ac:dyDescent="0.25">
      <c r="A68" s="466"/>
      <c r="B68" s="572"/>
      <c r="C68" s="572"/>
      <c r="D68" s="505"/>
      <c r="E68" s="505"/>
      <c r="F68" s="478"/>
      <c r="G68" s="505"/>
      <c r="H68" s="505"/>
      <c r="I68" s="505"/>
      <c r="J68" s="574"/>
      <c r="K68" s="480"/>
      <c r="L68" s="480"/>
      <c r="M68" s="505"/>
      <c r="N68" s="505"/>
      <c r="O68" s="505"/>
      <c r="P68" s="505"/>
      <c r="Q68" s="505"/>
      <c r="R68" s="575"/>
      <c r="S68" s="505"/>
      <c r="T68" s="576"/>
      <c r="U68" s="505"/>
      <c r="V68" s="454"/>
      <c r="W68" s="454"/>
      <c r="X68" s="454"/>
      <c r="Y68" s="454"/>
      <c r="Z68" s="454"/>
      <c r="AA68" s="454"/>
      <c r="AB68" s="454"/>
      <c r="AC68" s="454"/>
      <c r="AD68" s="454"/>
    </row>
    <row r="69" spans="1:30" s="486" customFormat="1" x14ac:dyDescent="0.25">
      <c r="A69" s="478"/>
      <c r="B69" s="505"/>
      <c r="C69" s="505"/>
      <c r="D69" s="505"/>
      <c r="E69" s="505"/>
      <c r="F69" s="478"/>
      <c r="G69" s="505"/>
      <c r="H69" s="505"/>
      <c r="I69" s="505"/>
      <c r="J69" s="574"/>
      <c r="K69" s="480"/>
      <c r="L69" s="480"/>
      <c r="M69" s="505"/>
      <c r="N69" s="505"/>
      <c r="O69" s="505"/>
      <c r="P69" s="505"/>
      <c r="Q69" s="505"/>
      <c r="R69" s="575"/>
      <c r="S69" s="505"/>
      <c r="T69" s="576"/>
      <c r="U69" s="505"/>
      <c r="V69" s="477"/>
      <c r="W69" s="477"/>
      <c r="X69" s="477"/>
      <c r="Y69" s="477"/>
      <c r="Z69" s="477"/>
      <c r="AA69" s="477"/>
      <c r="AB69" s="477"/>
      <c r="AC69" s="477"/>
      <c r="AD69" s="477"/>
    </row>
    <row r="70" spans="1:30" s="472" customFormat="1" x14ac:dyDescent="0.25">
      <c r="A70" s="577" t="s">
        <v>291</v>
      </c>
      <c r="B70" s="578"/>
      <c r="C70" s="578"/>
      <c r="D70" s="578"/>
      <c r="E70" s="578"/>
      <c r="F70" s="469"/>
      <c r="G70" s="578"/>
      <c r="H70" s="578"/>
      <c r="I70" s="578"/>
      <c r="J70" s="578"/>
      <c r="K70" s="470"/>
      <c r="L70" s="470"/>
      <c r="M70" s="578"/>
      <c r="N70" s="578"/>
      <c r="O70" s="578"/>
      <c r="P70" s="578"/>
      <c r="Q70" s="578"/>
      <c r="R70" s="579"/>
      <c r="S70" s="578"/>
      <c r="T70" s="578"/>
      <c r="U70" s="578"/>
      <c r="V70" s="468"/>
      <c r="W70" s="468"/>
      <c r="X70" s="468"/>
      <c r="Y70" s="468"/>
      <c r="Z70" s="468"/>
      <c r="AA70" s="468"/>
      <c r="AB70" s="468"/>
      <c r="AC70" s="468"/>
      <c r="AD70" s="468"/>
    </row>
    <row r="71" spans="1:30" x14ac:dyDescent="0.25">
      <c r="A71" s="571" t="s">
        <v>344</v>
      </c>
      <c r="B71" s="580"/>
      <c r="C71" s="580"/>
      <c r="D71" s="580"/>
      <c r="E71" s="580"/>
      <c r="F71" s="475"/>
      <c r="G71" s="580"/>
      <c r="H71" s="580"/>
      <c r="I71" s="580"/>
      <c r="J71" s="456" t="s">
        <v>16</v>
      </c>
      <c r="K71" s="456">
        <f>SUM(K72:K73)</f>
        <v>0</v>
      </c>
      <c r="L71" s="456">
        <f>SUM(L72:L73)</f>
        <v>0</v>
      </c>
      <c r="M71" s="572"/>
      <c r="N71" s="572"/>
      <c r="O71" s="572"/>
      <c r="P71" s="572"/>
      <c r="Q71" s="572"/>
      <c r="R71" s="573"/>
      <c r="S71" s="572"/>
      <c r="T71" s="572"/>
      <c r="U71" s="572"/>
      <c r="V71" s="454"/>
      <c r="W71" s="454"/>
      <c r="X71" s="454"/>
      <c r="Y71" s="454"/>
      <c r="Z71" s="454"/>
      <c r="AA71" s="454"/>
      <c r="AB71" s="454"/>
      <c r="AC71" s="454"/>
      <c r="AD71" s="454"/>
    </row>
    <row r="72" spans="1:30" s="610" customFormat="1" ht="15" x14ac:dyDescent="0.2">
      <c r="A72" s="646"/>
      <c r="B72" s="646"/>
      <c r="C72" s="646"/>
      <c r="D72" s="646"/>
      <c r="E72" s="646"/>
      <c r="F72" s="645"/>
      <c r="G72" s="646"/>
      <c r="H72" s="646"/>
      <c r="I72" s="646"/>
      <c r="J72" s="647"/>
      <c r="K72" s="649"/>
      <c r="L72" s="649"/>
      <c r="M72" s="649"/>
      <c r="N72" s="649"/>
      <c r="O72" s="649"/>
      <c r="P72" s="646"/>
      <c r="Q72" s="646"/>
      <c r="R72" s="663"/>
      <c r="S72" s="664"/>
      <c r="T72" s="665"/>
      <c r="U72" s="308"/>
      <c r="V72" s="609"/>
      <c r="W72" s="295"/>
      <c r="X72" s="295"/>
      <c r="Y72" s="295"/>
      <c r="Z72" s="295"/>
      <c r="AA72" s="295"/>
      <c r="AB72" s="295"/>
      <c r="AC72" s="295"/>
      <c r="AD72" s="295"/>
    </row>
    <row r="73" spans="1:30" s="610" customFormat="1" ht="15" x14ac:dyDescent="0.2">
      <c r="A73" s="646"/>
      <c r="B73" s="646"/>
      <c r="C73" s="646"/>
      <c r="D73" s="646"/>
      <c r="E73" s="646"/>
      <c r="F73" s="645"/>
      <c r="G73" s="646"/>
      <c r="H73" s="646"/>
      <c r="I73" s="646"/>
      <c r="J73" s="647"/>
      <c r="K73" s="649"/>
      <c r="L73" s="649"/>
      <c r="M73" s="649"/>
      <c r="N73" s="649"/>
      <c r="O73" s="649"/>
      <c r="P73" s="646"/>
      <c r="Q73" s="646"/>
      <c r="R73" s="663"/>
      <c r="S73" s="664"/>
      <c r="T73" s="665"/>
      <c r="U73" s="308"/>
      <c r="V73" s="609"/>
      <c r="W73" s="295"/>
      <c r="X73" s="295"/>
      <c r="Y73" s="295"/>
      <c r="Z73" s="295"/>
      <c r="AA73" s="295"/>
      <c r="AB73" s="295"/>
      <c r="AC73" s="295"/>
      <c r="AD73" s="295"/>
    </row>
    <row r="74" spans="1:30" x14ac:dyDescent="0.25">
      <c r="A74" s="620" t="s">
        <v>345</v>
      </c>
      <c r="B74" s="621"/>
      <c r="C74" s="621"/>
      <c r="D74" s="621"/>
      <c r="E74" s="621"/>
      <c r="F74" s="622"/>
      <c r="G74" s="621"/>
      <c r="H74" s="621"/>
      <c r="I74" s="621"/>
      <c r="J74" s="623" t="s">
        <v>16</v>
      </c>
      <c r="K74" s="623">
        <f>SUM(K75:K76)</f>
        <v>0</v>
      </c>
      <c r="L74" s="623">
        <f>SUM(L75:L76)</f>
        <v>0</v>
      </c>
      <c r="M74" s="624"/>
      <c r="N74" s="624"/>
      <c r="O74" s="624"/>
      <c r="P74" s="624"/>
      <c r="Q74" s="624"/>
      <c r="R74" s="625"/>
      <c r="S74" s="624"/>
      <c r="T74" s="624"/>
      <c r="U74" s="624"/>
      <c r="V74" s="514"/>
      <c r="W74" s="514"/>
      <c r="X74" s="514"/>
      <c r="Y74" s="514"/>
      <c r="Z74" s="514"/>
      <c r="AA74" s="514"/>
      <c r="AB74" s="514"/>
      <c r="AC74" s="514"/>
      <c r="AD74" s="514"/>
    </row>
    <row r="75" spans="1:30" x14ac:dyDescent="0.25">
      <c r="A75" s="282"/>
      <c r="B75" s="558"/>
      <c r="C75" s="558"/>
      <c r="D75" s="308"/>
      <c r="E75" s="308"/>
      <c r="F75" s="296"/>
      <c r="G75" s="308"/>
      <c r="H75" s="308"/>
      <c r="I75" s="308"/>
      <c r="J75" s="568"/>
      <c r="K75" s="310"/>
      <c r="L75" s="310"/>
      <c r="M75" s="308"/>
      <c r="N75" s="308"/>
      <c r="O75" s="308"/>
      <c r="P75" s="308"/>
      <c r="Q75" s="308"/>
      <c r="R75" s="299"/>
      <c r="S75" s="308"/>
      <c r="T75" s="569"/>
      <c r="U75" s="308"/>
      <c r="V75" s="454"/>
      <c r="W75" s="454"/>
      <c r="X75" s="454"/>
      <c r="Y75" s="454"/>
      <c r="Z75" s="454"/>
      <c r="AA75" s="454"/>
      <c r="AB75" s="454"/>
      <c r="AC75" s="454"/>
      <c r="AD75" s="454"/>
    </row>
    <row r="76" spans="1:30" s="486" customFormat="1" x14ac:dyDescent="0.25">
      <c r="A76" s="296"/>
      <c r="B76" s="308"/>
      <c r="C76" s="308"/>
      <c r="D76" s="308"/>
      <c r="E76" s="308"/>
      <c r="F76" s="296"/>
      <c r="G76" s="308"/>
      <c r="H76" s="308"/>
      <c r="I76" s="308"/>
      <c r="J76" s="568"/>
      <c r="K76" s="310"/>
      <c r="L76" s="310"/>
      <c r="M76" s="308"/>
      <c r="N76" s="308"/>
      <c r="O76" s="308"/>
      <c r="P76" s="308"/>
      <c r="Q76" s="308"/>
      <c r="R76" s="299"/>
      <c r="S76" s="308"/>
      <c r="T76" s="569"/>
      <c r="U76" s="308"/>
      <c r="V76" s="477"/>
      <c r="W76" s="477"/>
      <c r="X76" s="477"/>
      <c r="Y76" s="477"/>
      <c r="Z76" s="477"/>
      <c r="AA76" s="477"/>
      <c r="AB76" s="477"/>
      <c r="AC76" s="477"/>
      <c r="AD76" s="477"/>
    </row>
    <row r="77" spans="1:30" s="472" customFormat="1" x14ac:dyDescent="0.25">
      <c r="A77" s="525" t="s">
        <v>292</v>
      </c>
      <c r="B77" s="468"/>
      <c r="C77" s="468"/>
      <c r="D77" s="468"/>
      <c r="E77" s="468"/>
      <c r="F77" s="469"/>
      <c r="G77" s="468"/>
      <c r="H77" s="468"/>
      <c r="I77" s="468"/>
      <c r="J77" s="468"/>
      <c r="K77" s="526"/>
      <c r="L77" s="526"/>
      <c r="M77" s="468"/>
      <c r="N77" s="468"/>
      <c r="O77" s="468"/>
      <c r="P77" s="468"/>
      <c r="Q77" s="468"/>
      <c r="R77" s="471"/>
      <c r="S77" s="468"/>
      <c r="T77" s="468"/>
      <c r="U77" s="468"/>
      <c r="V77" s="468"/>
      <c r="W77" s="468"/>
      <c r="X77" s="468"/>
      <c r="Y77" s="468"/>
      <c r="Z77" s="468"/>
      <c r="AA77" s="468"/>
      <c r="AB77" s="468"/>
      <c r="AC77" s="468"/>
      <c r="AD77" s="468"/>
    </row>
    <row r="78" spans="1:30" x14ac:dyDescent="0.25">
      <c r="A78" s="489" t="s">
        <v>344</v>
      </c>
      <c r="B78" s="474"/>
      <c r="C78" s="474"/>
      <c r="D78" s="474"/>
      <c r="E78" s="474"/>
      <c r="F78" s="475"/>
      <c r="G78" s="474"/>
      <c r="H78" s="474"/>
      <c r="I78" s="474"/>
      <c r="J78" s="473" t="s">
        <v>16</v>
      </c>
      <c r="K78" s="473">
        <f>SUM(K79:K80)</f>
        <v>0</v>
      </c>
      <c r="L78" s="473">
        <f>SUM(L79:L80)</f>
        <v>0</v>
      </c>
      <c r="M78" s="454"/>
      <c r="N78" s="454"/>
      <c r="O78" s="454"/>
      <c r="P78" s="454"/>
      <c r="Q78" s="454"/>
      <c r="R78" s="458"/>
      <c r="S78" s="454"/>
      <c r="T78" s="454"/>
      <c r="U78" s="454"/>
      <c r="V78" s="454"/>
      <c r="W78" s="454"/>
      <c r="X78" s="454"/>
      <c r="Y78" s="454"/>
      <c r="Z78" s="454"/>
      <c r="AA78" s="454"/>
      <c r="AB78" s="454"/>
      <c r="AC78" s="454"/>
      <c r="AD78" s="454"/>
    </row>
    <row r="79" spans="1:30" s="486" customFormat="1" x14ac:dyDescent="0.25">
      <c r="A79" s="527"/>
      <c r="B79" s="477"/>
      <c r="C79" s="477"/>
      <c r="D79" s="477"/>
      <c r="E79" s="477"/>
      <c r="F79" s="478"/>
      <c r="G79" s="477"/>
      <c r="H79" s="477"/>
      <c r="I79" s="477"/>
      <c r="J79" s="528"/>
      <c r="K79" s="492"/>
      <c r="L79" s="529"/>
      <c r="M79" s="477"/>
      <c r="N79" s="477"/>
      <c r="O79" s="477"/>
      <c r="P79" s="477"/>
      <c r="Q79" s="477"/>
      <c r="R79" s="482"/>
      <c r="S79" s="477"/>
      <c r="T79" s="483"/>
      <c r="U79" s="484"/>
      <c r="V79" s="485"/>
      <c r="W79" s="477"/>
      <c r="X79" s="477"/>
      <c r="Y79" s="477"/>
      <c r="Z79" s="477"/>
      <c r="AA79" s="477"/>
      <c r="AB79" s="477"/>
      <c r="AC79" s="477"/>
      <c r="AD79" s="477"/>
    </row>
    <row r="80" spans="1:30" x14ac:dyDescent="0.25">
      <c r="A80" s="530"/>
      <c r="B80" s="454"/>
      <c r="C80" s="454"/>
      <c r="D80" s="487"/>
      <c r="E80" s="477"/>
      <c r="F80" s="478"/>
      <c r="G80" s="477"/>
      <c r="H80" s="477"/>
      <c r="I80" s="477"/>
      <c r="J80" s="507"/>
      <c r="K80" s="492"/>
      <c r="L80" s="492"/>
      <c r="M80" s="477"/>
      <c r="N80" s="477"/>
      <c r="O80" s="477"/>
      <c r="P80" s="477"/>
      <c r="Q80" s="477"/>
      <c r="R80" s="482"/>
      <c r="S80" s="477"/>
      <c r="T80" s="483"/>
      <c r="U80" s="484"/>
      <c r="V80" s="485"/>
      <c r="W80" s="454"/>
      <c r="X80" s="454"/>
      <c r="Y80" s="454"/>
      <c r="Z80" s="454"/>
      <c r="AA80" s="454"/>
      <c r="AB80" s="454"/>
      <c r="AC80" s="454"/>
      <c r="AD80" s="454"/>
    </row>
    <row r="81" spans="1:30" x14ac:dyDescent="0.25">
      <c r="A81" s="531" t="s">
        <v>345</v>
      </c>
      <c r="B81" s="489"/>
      <c r="C81" s="489"/>
      <c r="D81" s="489"/>
      <c r="E81" s="489"/>
      <c r="F81" s="490"/>
      <c r="G81" s="489"/>
      <c r="H81" s="489"/>
      <c r="I81" s="489"/>
      <c r="J81" s="473" t="s">
        <v>16</v>
      </c>
      <c r="K81" s="473">
        <f>SUM(K82:K83)</f>
        <v>0</v>
      </c>
      <c r="L81" s="473">
        <f>SUM(L82:L83)</f>
        <v>0</v>
      </c>
      <c r="M81" s="454"/>
      <c r="N81" s="454"/>
      <c r="O81" s="454"/>
      <c r="P81" s="454"/>
      <c r="Q81" s="454"/>
      <c r="R81" s="458"/>
      <c r="S81" s="454"/>
      <c r="T81" s="454"/>
      <c r="U81" s="454"/>
      <c r="V81" s="454"/>
      <c r="W81" s="454"/>
      <c r="X81" s="454"/>
      <c r="Y81" s="454"/>
      <c r="Z81" s="454"/>
      <c r="AA81" s="454"/>
      <c r="AB81" s="454"/>
      <c r="AC81" s="454"/>
      <c r="AD81" s="454"/>
    </row>
    <row r="82" spans="1:30" x14ac:dyDescent="0.25">
      <c r="A82" s="532"/>
      <c r="B82" s="454"/>
      <c r="C82" s="454"/>
      <c r="D82" s="477"/>
      <c r="E82" s="477"/>
      <c r="F82" s="478"/>
      <c r="G82" s="477"/>
      <c r="H82" s="477"/>
      <c r="I82" s="477"/>
      <c r="J82" s="507"/>
      <c r="K82" s="492"/>
      <c r="L82" s="492"/>
      <c r="M82" s="477"/>
      <c r="N82" s="477"/>
      <c r="O82" s="477"/>
      <c r="P82" s="477"/>
      <c r="Q82" s="477"/>
      <c r="R82" s="482"/>
      <c r="S82" s="477"/>
      <c r="T82" s="484"/>
      <c r="U82" s="477"/>
      <c r="V82" s="454"/>
      <c r="W82" s="454"/>
      <c r="X82" s="454"/>
      <c r="Y82" s="454"/>
      <c r="Z82" s="454"/>
      <c r="AA82" s="454"/>
      <c r="AB82" s="454"/>
      <c r="AC82" s="454"/>
      <c r="AD82" s="454"/>
    </row>
    <row r="83" spans="1:30" s="486" customFormat="1" x14ac:dyDescent="0.25">
      <c r="A83" s="533"/>
      <c r="B83" s="477"/>
      <c r="C83" s="477"/>
      <c r="D83" s="477"/>
      <c r="E83" s="477"/>
      <c r="F83" s="478"/>
      <c r="G83" s="477"/>
      <c r="H83" s="477"/>
      <c r="I83" s="477"/>
      <c r="J83" s="507"/>
      <c r="K83" s="492"/>
      <c r="L83" s="492"/>
      <c r="M83" s="477"/>
      <c r="N83" s="477"/>
      <c r="O83" s="477"/>
      <c r="P83" s="477"/>
      <c r="Q83" s="477"/>
      <c r="R83" s="482"/>
      <c r="S83" s="477"/>
      <c r="T83" s="484"/>
      <c r="U83" s="477"/>
      <c r="V83" s="477"/>
      <c r="W83" s="477"/>
      <c r="X83" s="477"/>
      <c r="Y83" s="477"/>
      <c r="Z83" s="477"/>
      <c r="AA83" s="477"/>
      <c r="AB83" s="477"/>
      <c r="AC83" s="477"/>
      <c r="AD83" s="477"/>
    </row>
    <row r="84" spans="1:30" s="472" customFormat="1" x14ac:dyDescent="0.25">
      <c r="A84" s="525" t="s">
        <v>293</v>
      </c>
      <c r="B84" s="468"/>
      <c r="C84" s="468"/>
      <c r="D84" s="468"/>
      <c r="E84" s="468"/>
      <c r="F84" s="469"/>
      <c r="G84" s="468"/>
      <c r="H84" s="468"/>
      <c r="I84" s="468"/>
      <c r="J84" s="468"/>
      <c r="K84" s="526"/>
      <c r="L84" s="526"/>
      <c r="M84" s="468"/>
      <c r="N84" s="468"/>
      <c r="O84" s="468"/>
      <c r="P84" s="468"/>
      <c r="Q84" s="468"/>
      <c r="R84" s="471"/>
      <c r="S84" s="468"/>
      <c r="T84" s="468"/>
      <c r="U84" s="468"/>
      <c r="V84" s="468"/>
      <c r="W84" s="468"/>
      <c r="X84" s="468"/>
      <c r="Y84" s="468"/>
      <c r="Z84" s="468"/>
      <c r="AA84" s="468"/>
      <c r="AB84" s="468"/>
      <c r="AC84" s="468"/>
      <c r="AD84" s="468"/>
    </row>
    <row r="85" spans="1:30" x14ac:dyDescent="0.25">
      <c r="A85" s="489" t="s">
        <v>344</v>
      </c>
      <c r="B85" s="474"/>
      <c r="C85" s="474"/>
      <c r="D85" s="474"/>
      <c r="E85" s="474"/>
      <c r="F85" s="475"/>
      <c r="G85" s="474"/>
      <c r="H85" s="474"/>
      <c r="I85" s="474"/>
      <c r="J85" s="473" t="s">
        <v>16</v>
      </c>
      <c r="K85" s="473">
        <f>SUM(K86:K229)</f>
        <v>0</v>
      </c>
      <c r="L85" s="473">
        <f>SUM(L86:L229)</f>
        <v>0</v>
      </c>
      <c r="M85" s="454"/>
      <c r="N85" s="454"/>
      <c r="O85" s="454"/>
      <c r="P85" s="454"/>
      <c r="Q85" s="454"/>
      <c r="R85" s="458"/>
      <c r="S85" s="454"/>
      <c r="T85" s="454"/>
      <c r="U85" s="454"/>
      <c r="V85" s="454"/>
      <c r="W85" s="454"/>
      <c r="X85" s="454"/>
      <c r="Y85" s="454"/>
      <c r="Z85" s="454"/>
      <c r="AA85" s="454"/>
      <c r="AB85" s="454"/>
      <c r="AC85" s="454"/>
      <c r="AD85" s="454"/>
    </row>
    <row r="86" spans="1:30" s="486" customFormat="1" x14ac:dyDescent="0.25">
      <c r="A86" s="527"/>
      <c r="B86" s="477"/>
      <c r="C86" s="477"/>
      <c r="D86" s="477"/>
      <c r="E86" s="477"/>
      <c r="F86" s="478"/>
      <c r="G86" s="477"/>
      <c r="H86" s="477"/>
      <c r="I86" s="477"/>
      <c r="J86" s="528"/>
      <c r="K86" s="492"/>
      <c r="L86" s="529"/>
      <c r="M86" s="477"/>
      <c r="N86" s="477"/>
      <c r="O86" s="477"/>
      <c r="P86" s="477"/>
      <c r="Q86" s="477"/>
      <c r="R86" s="482"/>
      <c r="S86" s="477"/>
      <c r="T86" s="483"/>
      <c r="U86" s="484"/>
      <c r="V86" s="485"/>
      <c r="W86" s="477"/>
      <c r="X86" s="477"/>
      <c r="Y86" s="477"/>
      <c r="Z86" s="477"/>
      <c r="AA86" s="477"/>
      <c r="AB86" s="477"/>
      <c r="AC86" s="477"/>
      <c r="AD86" s="477"/>
    </row>
    <row r="229" spans="1:30" x14ac:dyDescent="0.25">
      <c r="A229" s="530"/>
      <c r="B229" s="454"/>
      <c r="C229" s="454"/>
      <c r="D229" s="487"/>
      <c r="E229" s="477"/>
      <c r="F229" s="478"/>
      <c r="G229" s="477"/>
      <c r="H229" s="477"/>
      <c r="I229" s="477"/>
      <c r="J229" s="507"/>
      <c r="K229" s="492"/>
      <c r="L229" s="492"/>
      <c r="M229" s="477"/>
      <c r="N229" s="477"/>
      <c r="O229" s="477"/>
      <c r="P229" s="477"/>
      <c r="Q229" s="477"/>
      <c r="R229" s="482"/>
      <c r="S229" s="477"/>
      <c r="T229" s="483"/>
      <c r="U229" s="484"/>
      <c r="V229" s="485"/>
      <c r="W229" s="454"/>
      <c r="X229" s="454"/>
      <c r="Y229" s="454"/>
      <c r="Z229" s="454"/>
      <c r="AA229" s="454"/>
      <c r="AB229" s="454"/>
      <c r="AC229" s="454"/>
      <c r="AD229" s="454"/>
    </row>
    <row r="230" spans="1:30" x14ac:dyDescent="0.25">
      <c r="A230" s="531" t="s">
        <v>345</v>
      </c>
      <c r="B230" s="489"/>
      <c r="C230" s="489"/>
      <c r="D230" s="489"/>
      <c r="E230" s="489"/>
      <c r="F230" s="490"/>
      <c r="G230" s="489"/>
      <c r="H230" s="489"/>
      <c r="I230" s="489"/>
      <c r="J230" s="473" t="s">
        <v>16</v>
      </c>
      <c r="K230" s="473">
        <f>SUM(K231:K232)</f>
        <v>0</v>
      </c>
      <c r="L230" s="473">
        <f>SUM(L231:L232)</f>
        <v>0</v>
      </c>
      <c r="M230" s="454"/>
      <c r="N230" s="454"/>
      <c r="O230" s="454"/>
      <c r="P230" s="454"/>
      <c r="Q230" s="454"/>
      <c r="R230" s="458"/>
      <c r="S230" s="454"/>
      <c r="T230" s="454"/>
      <c r="U230" s="454"/>
      <c r="V230" s="454"/>
      <c r="W230" s="454"/>
      <c r="X230" s="454"/>
      <c r="Y230" s="454"/>
      <c r="Z230" s="454"/>
      <c r="AA230" s="454"/>
      <c r="AB230" s="454"/>
      <c r="AC230" s="454"/>
      <c r="AD230" s="454"/>
    </row>
    <row r="231" spans="1:30" x14ac:dyDescent="0.25">
      <c r="A231" s="532"/>
      <c r="B231" s="454"/>
      <c r="C231" s="454"/>
      <c r="D231" s="477"/>
      <c r="E231" s="477"/>
      <c r="F231" s="478"/>
      <c r="G231" s="477"/>
      <c r="H231" s="477"/>
      <c r="I231" s="477"/>
      <c r="J231" s="507"/>
      <c r="K231" s="492"/>
      <c r="L231" s="492"/>
      <c r="M231" s="477"/>
      <c r="N231" s="477"/>
      <c r="O231" s="477"/>
      <c r="P231" s="477"/>
      <c r="Q231" s="477"/>
      <c r="R231" s="482"/>
      <c r="S231" s="477"/>
      <c r="T231" s="484"/>
      <c r="U231" s="477"/>
      <c r="V231" s="454"/>
      <c r="W231" s="454"/>
      <c r="X231" s="454"/>
      <c r="Y231" s="454"/>
      <c r="Z231" s="454"/>
      <c r="AA231" s="454"/>
      <c r="AB231" s="454"/>
      <c r="AC231" s="454"/>
      <c r="AD231" s="454"/>
    </row>
    <row r="232" spans="1:30" s="486" customFormat="1" x14ac:dyDescent="0.25">
      <c r="A232" s="533"/>
      <c r="B232" s="477"/>
      <c r="C232" s="477"/>
      <c r="D232" s="477"/>
      <c r="E232" s="477"/>
      <c r="F232" s="478"/>
      <c r="G232" s="477"/>
      <c r="H232" s="477"/>
      <c r="I232" s="477"/>
      <c r="J232" s="507"/>
      <c r="K232" s="492"/>
      <c r="L232" s="492"/>
      <c r="M232" s="477"/>
      <c r="N232" s="477"/>
      <c r="O232" s="477"/>
      <c r="P232" s="477"/>
      <c r="Q232" s="477"/>
      <c r="R232" s="482"/>
      <c r="S232" s="477"/>
      <c r="T232" s="484"/>
      <c r="U232" s="477"/>
      <c r="V232" s="477"/>
      <c r="W232" s="477"/>
      <c r="X232" s="477"/>
      <c r="Y232" s="477"/>
      <c r="Z232" s="477"/>
      <c r="AA232" s="477"/>
      <c r="AB232" s="477"/>
      <c r="AC232" s="477"/>
      <c r="AD232" s="477"/>
    </row>
    <row r="1048236" spans="16:16" x14ac:dyDescent="0.25">
      <c r="P1048236" s="505">
        <v>9</v>
      </c>
    </row>
  </sheetData>
  <mergeCells count="23">
    <mergeCell ref="A2:E2"/>
    <mergeCell ref="A3:E3"/>
    <mergeCell ref="J6:J7"/>
    <mergeCell ref="AB6:AD6"/>
    <mergeCell ref="A5:R5"/>
    <mergeCell ref="G6:I6"/>
    <mergeCell ref="S5:U5"/>
    <mergeCell ref="Y6:AA6"/>
    <mergeCell ref="P6:P7"/>
    <mergeCell ref="A6:A7"/>
    <mergeCell ref="B6:B7"/>
    <mergeCell ref="C6:C7"/>
    <mergeCell ref="E6:E7"/>
    <mergeCell ref="F6:F7"/>
    <mergeCell ref="V5:AD5"/>
    <mergeCell ref="K6:L6"/>
    <mergeCell ref="R6:R7"/>
    <mergeCell ref="V6:X6"/>
    <mergeCell ref="M6:O6"/>
    <mergeCell ref="S6:S7"/>
    <mergeCell ref="T6:T7"/>
    <mergeCell ref="U6:U7"/>
    <mergeCell ref="Q6:Q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93"/>
  <sheetViews>
    <sheetView zoomScale="80" zoomScaleNormal="80" workbookViewId="0">
      <pane ySplit="8" topLeftCell="A47" activePane="bottomLeft" state="frozen"/>
      <selection pane="bottomLeft" activeCell="T71" sqref="T71:T72"/>
    </sheetView>
  </sheetViews>
  <sheetFormatPr defaultColWidth="9" defaultRowHeight="15" x14ac:dyDescent="0.25"/>
  <cols>
    <col min="1" max="1" width="13" customWidth="1"/>
    <col min="2" max="2" width="10.7109375" hidden="1" customWidth="1"/>
    <col min="3" max="3" width="13.85546875" hidden="1" customWidth="1"/>
    <col min="4" max="4" width="14.85546875" hidden="1" customWidth="1"/>
    <col min="5" max="5" width="24.140625" customWidth="1"/>
    <col min="6" max="6" width="7.5703125" hidden="1" customWidth="1"/>
    <col min="7" max="7" width="20.5703125" customWidth="1"/>
    <col min="8" max="8" width="19.42578125" customWidth="1"/>
    <col min="9" max="9" width="22.28515625" customWidth="1"/>
    <col min="10" max="10" width="19" customWidth="1"/>
    <col min="11" max="11" width="11.140625" customWidth="1"/>
    <col min="12" max="12" width="10.140625" customWidth="1"/>
    <col min="13" max="13" width="36" customWidth="1"/>
    <col min="14" max="15" width="23.140625" customWidth="1"/>
    <col min="16" max="16" width="18.140625" customWidth="1"/>
    <col min="17" max="17" width="16.5703125" customWidth="1"/>
    <col min="18" max="18" width="19.42578125" customWidth="1"/>
    <col min="19" max="19" width="28.28515625" customWidth="1"/>
    <col min="20" max="20" width="19.7109375" customWidth="1"/>
    <col min="21" max="21" width="15.42578125" customWidth="1"/>
    <col min="22" max="22" width="13.7109375" customWidth="1"/>
    <col min="23" max="23" width="11.140625" customWidth="1"/>
    <col min="24" max="24" width="10.7109375" customWidth="1"/>
    <col min="25" max="25" width="13" customWidth="1"/>
    <col min="26" max="30" width="9.140625" customWidth="1"/>
    <col min="31" max="256" width="8.7109375" customWidth="1"/>
  </cols>
  <sheetData>
    <row r="1" spans="1:30" x14ac:dyDescent="0.25">
      <c r="J1" s="220"/>
      <c r="K1" s="221" t="s">
        <v>304</v>
      </c>
      <c r="L1" s="221" t="s">
        <v>305</v>
      </c>
      <c r="M1" s="221" t="s">
        <v>21</v>
      </c>
    </row>
    <row r="2" spans="1:30" ht="17.25" x14ac:dyDescent="0.2">
      <c r="A2" s="797" t="s">
        <v>306</v>
      </c>
      <c r="B2" s="797"/>
      <c r="C2" s="797"/>
      <c r="D2" s="797"/>
      <c r="E2" s="797"/>
      <c r="F2" s="261"/>
      <c r="G2" s="261"/>
      <c r="H2" s="261"/>
      <c r="I2" s="261"/>
      <c r="J2" s="222" t="s">
        <v>307</v>
      </c>
      <c r="K2" s="223">
        <f>K81</f>
        <v>0</v>
      </c>
      <c r="L2" s="223">
        <f>L81</f>
        <v>0</v>
      </c>
      <c r="M2" s="222">
        <f>SUM(K2:L2)</f>
        <v>0</v>
      </c>
      <c r="N2" s="261"/>
      <c r="O2" s="261"/>
      <c r="P2" s="261"/>
      <c r="Q2" s="261"/>
      <c r="R2" s="224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</row>
    <row r="3" spans="1:30" ht="17.25" x14ac:dyDescent="0.3">
      <c r="A3" s="797" t="s">
        <v>308</v>
      </c>
      <c r="B3" s="797"/>
      <c r="C3" s="797"/>
      <c r="D3" s="797"/>
      <c r="E3" s="797"/>
      <c r="F3" s="261"/>
      <c r="G3" s="225"/>
      <c r="H3" s="261"/>
      <c r="I3" s="261"/>
      <c r="J3" s="222" t="s">
        <v>309</v>
      </c>
      <c r="K3" s="223">
        <f>K84</f>
        <v>0</v>
      </c>
      <c r="L3" s="223">
        <f>L84</f>
        <v>0</v>
      </c>
      <c r="M3" s="222">
        <f>SUM(K3:L3)</f>
        <v>0</v>
      </c>
      <c r="N3" s="261"/>
      <c r="O3" s="261"/>
      <c r="P3" s="261"/>
      <c r="Q3" s="261"/>
      <c r="R3" s="224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</row>
    <row r="4" spans="1:30" ht="31.5" customHeight="1" x14ac:dyDescent="0.3">
      <c r="A4" s="263"/>
      <c r="B4" s="263"/>
      <c r="C4" s="263" t="s">
        <v>310</v>
      </c>
      <c r="D4" s="263"/>
      <c r="E4" s="263"/>
      <c r="F4" s="261"/>
      <c r="G4" s="225"/>
      <c r="H4" s="225"/>
      <c r="I4" s="261"/>
      <c r="J4" s="226"/>
      <c r="K4" s="223"/>
      <c r="L4" s="223"/>
      <c r="M4" s="222">
        <f>SUM(M2:M3)</f>
        <v>0</v>
      </c>
      <c r="N4" s="261"/>
      <c r="O4" s="261"/>
      <c r="P4" s="261"/>
      <c r="Q4" s="261"/>
      <c r="R4" s="224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</row>
    <row r="5" spans="1:30" ht="15" customHeight="1" x14ac:dyDescent="0.25">
      <c r="A5" s="798" t="s">
        <v>311</v>
      </c>
      <c r="B5" s="798"/>
      <c r="C5" s="798"/>
      <c r="D5" s="798"/>
      <c r="E5" s="798"/>
      <c r="F5" s="798"/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9" t="s">
        <v>312</v>
      </c>
      <c r="T5" s="799"/>
      <c r="U5" s="799"/>
      <c r="V5" s="801" t="s">
        <v>313</v>
      </c>
      <c r="W5" s="801"/>
      <c r="X5" s="801"/>
      <c r="Y5" s="801"/>
      <c r="Z5" s="801"/>
      <c r="AA5" s="801"/>
      <c r="AB5" s="801"/>
      <c r="AC5" s="801"/>
      <c r="AD5" s="801"/>
    </row>
    <row r="6" spans="1:30" ht="57" customHeight="1" x14ac:dyDescent="0.25">
      <c r="A6" s="795" t="s">
        <v>314</v>
      </c>
      <c r="B6" s="795" t="s">
        <v>315</v>
      </c>
      <c r="C6" s="795" t="s">
        <v>316</v>
      </c>
      <c r="D6" s="264" t="s">
        <v>317</v>
      </c>
      <c r="E6" s="795" t="s">
        <v>318</v>
      </c>
      <c r="F6" s="800"/>
      <c r="G6" s="795" t="s">
        <v>319</v>
      </c>
      <c r="H6" s="795"/>
      <c r="I6" s="795"/>
      <c r="J6" s="795" t="s">
        <v>320</v>
      </c>
      <c r="K6" s="795" t="s">
        <v>321</v>
      </c>
      <c r="L6" s="795"/>
      <c r="M6" s="795" t="s">
        <v>322</v>
      </c>
      <c r="N6" s="795"/>
      <c r="O6" s="795"/>
      <c r="P6" s="795" t="s">
        <v>323</v>
      </c>
      <c r="Q6" s="795" t="s">
        <v>324</v>
      </c>
      <c r="R6" s="793" t="s">
        <v>325</v>
      </c>
      <c r="S6" s="796" t="s">
        <v>326</v>
      </c>
      <c r="T6" s="796" t="s">
        <v>327</v>
      </c>
      <c r="U6" s="796" t="s">
        <v>328</v>
      </c>
      <c r="V6" s="794" t="s">
        <v>329</v>
      </c>
      <c r="W6" s="794"/>
      <c r="X6" s="794"/>
      <c r="Y6" s="794" t="s">
        <v>330</v>
      </c>
      <c r="Z6" s="794"/>
      <c r="AA6" s="794"/>
      <c r="AB6" s="794" t="s">
        <v>331</v>
      </c>
      <c r="AC6" s="794"/>
      <c r="AD6" s="794"/>
    </row>
    <row r="7" spans="1:30" ht="60" x14ac:dyDescent="0.25">
      <c r="A7" s="795"/>
      <c r="B7" s="795"/>
      <c r="C7" s="795"/>
      <c r="D7" s="264" t="s">
        <v>332</v>
      </c>
      <c r="E7" s="795"/>
      <c r="F7" s="800"/>
      <c r="G7" s="264" t="s">
        <v>333</v>
      </c>
      <c r="H7" s="264" t="s">
        <v>334</v>
      </c>
      <c r="I7" s="264" t="s">
        <v>335</v>
      </c>
      <c r="J7" s="795"/>
      <c r="K7" s="264" t="s">
        <v>336</v>
      </c>
      <c r="L7" s="264" t="s">
        <v>337</v>
      </c>
      <c r="M7" s="264" t="s">
        <v>338</v>
      </c>
      <c r="N7" s="264" t="s">
        <v>339</v>
      </c>
      <c r="O7" s="264" t="s">
        <v>340</v>
      </c>
      <c r="P7" s="795"/>
      <c r="Q7" s="795"/>
      <c r="R7" s="793"/>
      <c r="S7" s="796"/>
      <c r="T7" s="796"/>
      <c r="U7" s="796"/>
      <c r="V7" s="227" t="s">
        <v>341</v>
      </c>
      <c r="W7" s="265" t="s">
        <v>342</v>
      </c>
      <c r="X7" s="265" t="s">
        <v>343</v>
      </c>
      <c r="Y7" s="227" t="s">
        <v>341</v>
      </c>
      <c r="Z7" s="265" t="s">
        <v>342</v>
      </c>
      <c r="AA7" s="265" t="s">
        <v>343</v>
      </c>
      <c r="AB7" s="227" t="s">
        <v>341</v>
      </c>
      <c r="AC7" s="265" t="s">
        <v>342</v>
      </c>
      <c r="AD7" s="265" t="s">
        <v>343</v>
      </c>
    </row>
    <row r="8" spans="1:30" ht="17.25" x14ac:dyDescent="0.2">
      <c r="A8" s="261"/>
      <c r="B8" s="261"/>
      <c r="C8" s="261"/>
      <c r="D8" s="261"/>
      <c r="E8" s="261"/>
      <c r="F8" s="266"/>
      <c r="G8" s="261"/>
      <c r="H8" s="261"/>
      <c r="I8" s="261"/>
      <c r="J8" s="261"/>
      <c r="K8" s="267"/>
      <c r="L8" s="267"/>
      <c r="M8" s="261"/>
      <c r="N8" s="261"/>
      <c r="O8" s="261"/>
      <c r="P8" s="261"/>
      <c r="Q8" s="261"/>
      <c r="R8" s="224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</row>
    <row r="9" spans="1:30" ht="17.25" x14ac:dyDescent="0.2">
      <c r="A9" s="261"/>
      <c r="B9" s="261"/>
      <c r="C9" s="261"/>
      <c r="D9" s="261"/>
      <c r="E9" s="261"/>
      <c r="F9" s="266"/>
      <c r="G9" s="261"/>
      <c r="H9" s="261"/>
      <c r="I9" s="261"/>
      <c r="J9" s="261"/>
      <c r="K9" s="267"/>
      <c r="L9" s="267"/>
      <c r="M9" s="261"/>
      <c r="N9" s="261"/>
      <c r="O9" s="261"/>
      <c r="P9" s="261"/>
      <c r="Q9" s="261"/>
      <c r="R9" s="224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</row>
    <row r="10" spans="1:30" s="228" customFormat="1" ht="17.25" x14ac:dyDescent="0.2">
      <c r="A10" s="229" t="s">
        <v>281</v>
      </c>
      <c r="B10" s="230"/>
      <c r="C10" s="230"/>
      <c r="D10" s="230"/>
      <c r="E10" s="230"/>
      <c r="F10" s="231"/>
      <c r="G10" s="230"/>
      <c r="H10" s="230"/>
      <c r="I10" s="230"/>
      <c r="J10" s="230"/>
      <c r="K10" s="232"/>
      <c r="L10" s="232"/>
      <c r="M10" s="230"/>
      <c r="N10" s="230"/>
      <c r="O10" s="230"/>
      <c r="P10" s="230"/>
      <c r="Q10" s="230"/>
      <c r="R10" s="233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</row>
    <row r="11" spans="1:30" ht="17.25" x14ac:dyDescent="0.2">
      <c r="A11" s="234" t="s">
        <v>344</v>
      </c>
      <c r="B11" s="235"/>
      <c r="C11" s="235"/>
      <c r="D11" s="235"/>
      <c r="E11" s="235"/>
      <c r="F11" s="236"/>
      <c r="G11" s="235"/>
      <c r="H11" s="235"/>
      <c r="I11" s="235"/>
      <c r="J11" s="223" t="s">
        <v>16</v>
      </c>
      <c r="K11" s="223">
        <f>SUM(K12:K13)</f>
        <v>0</v>
      </c>
      <c r="L11" s="223">
        <f>SUM(L12:L13)</f>
        <v>0</v>
      </c>
      <c r="M11" s="261"/>
      <c r="N11" s="261"/>
      <c r="O11" s="261"/>
      <c r="P11" s="261"/>
      <c r="Q11" s="261"/>
      <c r="R11" s="224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</row>
    <row r="12" spans="1:30" s="237" customFormat="1" ht="17.25" x14ac:dyDescent="0.2">
      <c r="A12" s="238"/>
      <c r="B12" s="239"/>
      <c r="C12" s="239"/>
      <c r="D12" s="240"/>
      <c r="E12" s="240"/>
      <c r="F12" s="241"/>
      <c r="G12" s="239"/>
      <c r="H12" s="239"/>
      <c r="I12" s="239"/>
      <c r="J12" s="242"/>
      <c r="K12" s="243"/>
      <c r="L12" s="244"/>
      <c r="M12" s="239"/>
      <c r="N12" s="239"/>
      <c r="O12" s="239"/>
      <c r="P12" s="240"/>
      <c r="Q12" s="240"/>
      <c r="R12" s="245"/>
      <c r="S12" s="240"/>
      <c r="T12" s="246"/>
      <c r="U12" s="247"/>
      <c r="V12" s="248"/>
      <c r="W12" s="239"/>
      <c r="X12" s="239"/>
      <c r="Y12" s="239"/>
      <c r="Z12" s="239"/>
      <c r="AA12" s="239"/>
      <c r="AB12" s="239"/>
      <c r="AC12" s="239"/>
      <c r="AD12" s="239"/>
    </row>
    <row r="13" spans="1:30" ht="17.25" x14ac:dyDescent="0.2">
      <c r="A13" s="262"/>
      <c r="B13" s="261"/>
      <c r="C13" s="261"/>
      <c r="D13" s="249"/>
      <c r="E13" s="240"/>
      <c r="F13" s="241"/>
      <c r="G13" s="239"/>
      <c r="H13" s="239"/>
      <c r="I13" s="239"/>
      <c r="J13" s="250"/>
      <c r="K13" s="251"/>
      <c r="L13" s="251"/>
      <c r="M13" s="239"/>
      <c r="N13" s="239"/>
      <c r="O13" s="239"/>
      <c r="P13" s="240"/>
      <c r="Q13" s="240"/>
      <c r="R13" s="245"/>
      <c r="S13" s="240"/>
      <c r="T13" s="246"/>
      <c r="U13" s="247"/>
      <c r="V13" s="248"/>
      <c r="W13" s="261"/>
      <c r="X13" s="261"/>
      <c r="Y13" s="261"/>
      <c r="Z13" s="261"/>
      <c r="AA13" s="261"/>
      <c r="AB13" s="261"/>
      <c r="AC13" s="261"/>
      <c r="AD13" s="261"/>
    </row>
    <row r="14" spans="1:30" ht="17.25" x14ac:dyDescent="0.2">
      <c r="A14" s="252" t="s">
        <v>345</v>
      </c>
      <c r="B14" s="234"/>
      <c r="C14" s="234"/>
      <c r="D14" s="234"/>
      <c r="E14" s="234"/>
      <c r="F14" s="253"/>
      <c r="G14" s="234"/>
      <c r="H14" s="234"/>
      <c r="I14" s="234"/>
      <c r="J14" s="223" t="s">
        <v>16</v>
      </c>
      <c r="K14" s="223">
        <f>SUM(K15:K16)</f>
        <v>0</v>
      </c>
      <c r="L14" s="223">
        <f>SUM(L15:L16)</f>
        <v>0</v>
      </c>
      <c r="M14" s="261"/>
      <c r="N14" s="261"/>
      <c r="O14" s="261"/>
      <c r="P14" s="261"/>
      <c r="Q14" s="261"/>
      <c r="R14" s="224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</row>
    <row r="15" spans="1:30" ht="17.25" x14ac:dyDescent="0.2">
      <c r="A15" s="254"/>
      <c r="B15" s="261"/>
      <c r="C15" s="261"/>
      <c r="D15" s="240"/>
      <c r="E15" s="240"/>
      <c r="F15" s="241"/>
      <c r="G15" s="240"/>
      <c r="H15" s="240"/>
      <c r="I15" s="240"/>
      <c r="J15" s="250"/>
      <c r="K15" s="251"/>
      <c r="L15" s="251"/>
      <c r="M15" s="240"/>
      <c r="N15" s="240"/>
      <c r="O15" s="240"/>
      <c r="P15" s="240"/>
      <c r="Q15" s="240"/>
      <c r="R15" s="245"/>
      <c r="S15" s="240"/>
      <c r="T15" s="247"/>
      <c r="U15" s="240"/>
      <c r="V15" s="261"/>
      <c r="W15" s="261"/>
      <c r="X15" s="261"/>
      <c r="Y15" s="261"/>
      <c r="Z15" s="261"/>
      <c r="AA15" s="261"/>
      <c r="AB15" s="261"/>
      <c r="AC15" s="261"/>
      <c r="AD15" s="261"/>
    </row>
    <row r="16" spans="1:30" s="255" customFormat="1" ht="17.25" x14ac:dyDescent="0.2">
      <c r="A16" s="256"/>
      <c r="B16" s="239"/>
      <c r="C16" s="239"/>
      <c r="D16" s="239"/>
      <c r="E16" s="239"/>
      <c r="F16" s="257"/>
      <c r="G16" s="239"/>
      <c r="H16" s="239"/>
      <c r="I16" s="239"/>
      <c r="J16" s="258"/>
      <c r="K16" s="243"/>
      <c r="L16" s="243"/>
      <c r="M16" s="239"/>
      <c r="N16" s="239"/>
      <c r="O16" s="239"/>
      <c r="P16" s="239"/>
      <c r="Q16" s="239"/>
      <c r="R16" s="259"/>
      <c r="S16" s="239"/>
      <c r="T16" s="260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</row>
    <row r="17" spans="1:30" s="228" customFormat="1" ht="17.25" x14ac:dyDescent="0.2">
      <c r="A17" s="229" t="s">
        <v>282</v>
      </c>
      <c r="B17" s="230"/>
      <c r="C17" s="230"/>
      <c r="D17" s="230"/>
      <c r="E17" s="230"/>
      <c r="F17" s="231"/>
      <c r="G17" s="230"/>
      <c r="H17" s="230"/>
      <c r="I17" s="230"/>
      <c r="J17" s="230"/>
      <c r="K17" s="232"/>
      <c r="L17" s="232"/>
      <c r="M17" s="230"/>
      <c r="N17" s="230"/>
      <c r="O17" s="230"/>
      <c r="P17" s="230"/>
      <c r="Q17" s="230"/>
      <c r="R17" s="233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</row>
    <row r="18" spans="1:30" ht="17.25" x14ac:dyDescent="0.2">
      <c r="A18" s="234" t="s">
        <v>344</v>
      </c>
      <c r="B18" s="235"/>
      <c r="C18" s="235"/>
      <c r="D18" s="235"/>
      <c r="E18" s="235"/>
      <c r="F18" s="236"/>
      <c r="G18" s="235"/>
      <c r="H18" s="235"/>
      <c r="I18" s="235"/>
      <c r="J18" s="223" t="s">
        <v>16</v>
      </c>
      <c r="K18" s="223">
        <f>SUM(K19:K20)</f>
        <v>0</v>
      </c>
      <c r="L18" s="223">
        <f>SUM(L19:L20)</f>
        <v>0</v>
      </c>
      <c r="M18" s="261"/>
      <c r="N18" s="261"/>
      <c r="O18" s="261"/>
      <c r="P18" s="261"/>
      <c r="Q18" s="261"/>
      <c r="R18" s="224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</row>
    <row r="19" spans="1:30" s="237" customFormat="1" ht="17.25" x14ac:dyDescent="0.2">
      <c r="A19" s="238"/>
      <c r="B19" s="239"/>
      <c r="C19" s="239"/>
      <c r="D19" s="240"/>
      <c r="E19" s="240"/>
      <c r="F19" s="241"/>
      <c r="G19" s="239"/>
      <c r="H19" s="239"/>
      <c r="I19" s="239"/>
      <c r="J19" s="242"/>
      <c r="K19" s="243"/>
      <c r="L19" s="244"/>
      <c r="M19" s="239"/>
      <c r="N19" s="239"/>
      <c r="O19" s="239"/>
      <c r="P19" s="240"/>
      <c r="Q19" s="240"/>
      <c r="R19" s="245"/>
      <c r="S19" s="240"/>
      <c r="T19" s="246"/>
      <c r="U19" s="247"/>
      <c r="V19" s="248"/>
      <c r="W19" s="239"/>
      <c r="X19" s="239"/>
      <c r="Y19" s="239"/>
      <c r="Z19" s="239"/>
      <c r="AA19" s="239"/>
      <c r="AB19" s="239"/>
      <c r="AC19" s="239"/>
      <c r="AD19" s="239"/>
    </row>
    <row r="20" spans="1:30" ht="17.25" x14ac:dyDescent="0.2">
      <c r="A20" s="262"/>
      <c r="B20" s="261"/>
      <c r="C20" s="261"/>
      <c r="D20" s="249"/>
      <c r="E20" s="240"/>
      <c r="F20" s="241"/>
      <c r="G20" s="239"/>
      <c r="H20" s="239"/>
      <c r="I20" s="239"/>
      <c r="J20" s="250"/>
      <c r="K20" s="251"/>
      <c r="L20" s="251"/>
      <c r="M20" s="239"/>
      <c r="N20" s="239"/>
      <c r="O20" s="239"/>
      <c r="P20" s="240"/>
      <c r="Q20" s="240"/>
      <c r="R20" s="245"/>
      <c r="S20" s="240"/>
      <c r="T20" s="246"/>
      <c r="U20" s="247"/>
      <c r="V20" s="248"/>
      <c r="W20" s="261"/>
      <c r="X20" s="261"/>
      <c r="Y20" s="261"/>
      <c r="Z20" s="261"/>
      <c r="AA20" s="261"/>
      <c r="AB20" s="261"/>
      <c r="AC20" s="261"/>
      <c r="AD20" s="261"/>
    </row>
    <row r="21" spans="1:30" ht="17.25" x14ac:dyDescent="0.2">
      <c r="A21" s="252" t="s">
        <v>345</v>
      </c>
      <c r="B21" s="234"/>
      <c r="C21" s="234"/>
      <c r="D21" s="234"/>
      <c r="E21" s="234"/>
      <c r="F21" s="253"/>
      <c r="G21" s="234"/>
      <c r="H21" s="234"/>
      <c r="I21" s="234"/>
      <c r="J21" s="223" t="s">
        <v>16</v>
      </c>
      <c r="K21" s="223">
        <f>SUM(K22:K23)</f>
        <v>0</v>
      </c>
      <c r="L21" s="223">
        <f>SUM(L22:L23)</f>
        <v>0</v>
      </c>
      <c r="M21" s="261"/>
      <c r="N21" s="261"/>
      <c r="O21" s="261"/>
      <c r="P21" s="261"/>
      <c r="Q21" s="261"/>
      <c r="R21" s="224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</row>
    <row r="22" spans="1:30" ht="17.25" x14ac:dyDescent="0.2">
      <c r="A22" s="254"/>
      <c r="B22" s="261"/>
      <c r="C22" s="261"/>
      <c r="D22" s="240"/>
      <c r="E22" s="240"/>
      <c r="F22" s="241"/>
      <c r="G22" s="240"/>
      <c r="H22" s="240"/>
      <c r="I22" s="240"/>
      <c r="J22" s="250"/>
      <c r="K22" s="251"/>
      <c r="L22" s="251"/>
      <c r="M22" s="240"/>
      <c r="N22" s="240"/>
      <c r="O22" s="240"/>
      <c r="P22" s="240"/>
      <c r="Q22" s="240"/>
      <c r="R22" s="245"/>
      <c r="S22" s="240"/>
      <c r="T22" s="247"/>
      <c r="U22" s="240"/>
      <c r="V22" s="261"/>
      <c r="W22" s="261"/>
      <c r="X22" s="261"/>
      <c r="Y22" s="261"/>
      <c r="Z22" s="261"/>
      <c r="AA22" s="261"/>
      <c r="AB22" s="261"/>
      <c r="AC22" s="261"/>
      <c r="AD22" s="261"/>
    </row>
    <row r="23" spans="1:30" s="255" customFormat="1" ht="17.25" x14ac:dyDescent="0.2">
      <c r="A23" s="256"/>
      <c r="B23" s="239"/>
      <c r="C23" s="239"/>
      <c r="D23" s="239"/>
      <c r="E23" s="239"/>
      <c r="F23" s="257"/>
      <c r="G23" s="239"/>
      <c r="H23" s="239"/>
      <c r="I23" s="239"/>
      <c r="J23" s="258"/>
      <c r="K23" s="243"/>
      <c r="L23" s="243"/>
      <c r="M23" s="239"/>
      <c r="N23" s="239"/>
      <c r="O23" s="239"/>
      <c r="P23" s="239"/>
      <c r="Q23" s="239"/>
      <c r="R23" s="259"/>
      <c r="S23" s="239"/>
      <c r="T23" s="260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</row>
    <row r="24" spans="1:30" s="228" customFormat="1" ht="17.25" x14ac:dyDescent="0.2">
      <c r="A24" s="229" t="s">
        <v>283</v>
      </c>
      <c r="B24" s="230"/>
      <c r="C24" s="230"/>
      <c r="D24" s="230"/>
      <c r="E24" s="230"/>
      <c r="F24" s="231"/>
      <c r="G24" s="230"/>
      <c r="H24" s="230"/>
      <c r="I24" s="230"/>
      <c r="J24" s="230"/>
      <c r="K24" s="232"/>
      <c r="L24" s="232"/>
      <c r="M24" s="230"/>
      <c r="N24" s="230"/>
      <c r="O24" s="230"/>
      <c r="P24" s="230"/>
      <c r="Q24" s="230"/>
      <c r="R24" s="233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</row>
    <row r="25" spans="1:30" ht="17.25" x14ac:dyDescent="0.2">
      <c r="A25" s="234" t="s">
        <v>344</v>
      </c>
      <c r="B25" s="235"/>
      <c r="C25" s="235"/>
      <c r="D25" s="235"/>
      <c r="E25" s="235"/>
      <c r="F25" s="236"/>
      <c r="G25" s="235"/>
      <c r="H25" s="235"/>
      <c r="I25" s="235"/>
      <c r="J25" s="223" t="s">
        <v>16</v>
      </c>
      <c r="K25" s="223">
        <f>SUM(K26:K27)</f>
        <v>0</v>
      </c>
      <c r="L25" s="223">
        <f>SUM(L26:L27)</f>
        <v>0</v>
      </c>
      <c r="M25" s="261"/>
      <c r="N25" s="261"/>
      <c r="O25" s="261"/>
      <c r="P25" s="261"/>
      <c r="Q25" s="261"/>
      <c r="R25" s="224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</row>
    <row r="26" spans="1:30" s="237" customFormat="1" ht="17.25" x14ac:dyDescent="0.2">
      <c r="A26" s="238"/>
      <c r="B26" s="239"/>
      <c r="C26" s="239"/>
      <c r="D26" s="240"/>
      <c r="E26" s="240"/>
      <c r="F26" s="241"/>
      <c r="G26" s="239"/>
      <c r="H26" s="239"/>
      <c r="I26" s="239"/>
      <c r="J26" s="242"/>
      <c r="K26" s="243"/>
      <c r="L26" s="244"/>
      <c r="M26" s="239"/>
      <c r="N26" s="239"/>
      <c r="O26" s="239"/>
      <c r="P26" s="240"/>
      <c r="Q26" s="240"/>
      <c r="R26" s="245"/>
      <c r="S26" s="240"/>
      <c r="T26" s="246"/>
      <c r="U26" s="247"/>
      <c r="V26" s="248"/>
      <c r="W26" s="239"/>
      <c r="X26" s="239"/>
      <c r="Y26" s="239"/>
      <c r="Z26" s="239"/>
      <c r="AA26" s="239"/>
      <c r="AB26" s="239"/>
      <c r="AC26" s="239"/>
      <c r="AD26" s="239"/>
    </row>
    <row r="27" spans="1:30" ht="17.25" x14ac:dyDescent="0.2">
      <c r="A27" s="262"/>
      <c r="B27" s="261"/>
      <c r="C27" s="261"/>
      <c r="D27" s="249"/>
      <c r="E27" s="240"/>
      <c r="F27" s="241"/>
      <c r="G27" s="239"/>
      <c r="H27" s="239"/>
      <c r="I27" s="239"/>
      <c r="J27" s="250"/>
      <c r="K27" s="251"/>
      <c r="L27" s="251"/>
      <c r="M27" s="239"/>
      <c r="N27" s="239"/>
      <c r="O27" s="239"/>
      <c r="P27" s="240"/>
      <c r="Q27" s="240"/>
      <c r="R27" s="245"/>
      <c r="S27" s="240"/>
      <c r="T27" s="246"/>
      <c r="U27" s="247"/>
      <c r="V27" s="248"/>
      <c r="W27" s="261"/>
      <c r="X27" s="261"/>
      <c r="Y27" s="261"/>
      <c r="Z27" s="261"/>
      <c r="AA27" s="261"/>
      <c r="AB27" s="261"/>
      <c r="AC27" s="261"/>
      <c r="AD27" s="261"/>
    </row>
    <row r="28" spans="1:30" ht="17.25" x14ac:dyDescent="0.2">
      <c r="A28" s="252" t="s">
        <v>345</v>
      </c>
      <c r="B28" s="234"/>
      <c r="C28" s="234"/>
      <c r="D28" s="234"/>
      <c r="E28" s="234"/>
      <c r="F28" s="253"/>
      <c r="G28" s="234"/>
      <c r="H28" s="234"/>
      <c r="I28" s="234"/>
      <c r="J28" s="223" t="s">
        <v>16</v>
      </c>
      <c r="K28" s="223">
        <f>SUM(K29:K30)</f>
        <v>0</v>
      </c>
      <c r="L28" s="223">
        <f>SUM(L29:L30)</f>
        <v>0</v>
      </c>
      <c r="M28" s="261"/>
      <c r="N28" s="261"/>
      <c r="O28" s="261"/>
      <c r="P28" s="261"/>
      <c r="Q28" s="261"/>
      <c r="R28" s="224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</row>
    <row r="29" spans="1:30" ht="17.25" x14ac:dyDescent="0.2">
      <c r="A29" s="254"/>
      <c r="B29" s="261"/>
      <c r="C29" s="261"/>
      <c r="D29" s="240"/>
      <c r="E29" s="240"/>
      <c r="F29" s="241"/>
      <c r="G29" s="240"/>
      <c r="H29" s="240"/>
      <c r="I29" s="240"/>
      <c r="J29" s="250"/>
      <c r="K29" s="251"/>
      <c r="L29" s="251"/>
      <c r="M29" s="240"/>
      <c r="N29" s="240"/>
      <c r="O29" s="240"/>
      <c r="P29" s="240"/>
      <c r="Q29" s="240"/>
      <c r="R29" s="245"/>
      <c r="S29" s="240"/>
      <c r="T29" s="247"/>
      <c r="U29" s="240"/>
      <c r="V29" s="261"/>
      <c r="W29" s="261"/>
      <c r="X29" s="261"/>
      <c r="Y29" s="261"/>
      <c r="Z29" s="261"/>
      <c r="AA29" s="261"/>
      <c r="AB29" s="261"/>
      <c r="AC29" s="261"/>
      <c r="AD29" s="261"/>
    </row>
    <row r="30" spans="1:30" s="255" customFormat="1" ht="17.25" x14ac:dyDescent="0.2">
      <c r="A30" s="256"/>
      <c r="B30" s="239"/>
      <c r="C30" s="239"/>
      <c r="D30" s="239"/>
      <c r="E30" s="239"/>
      <c r="F30" s="257"/>
      <c r="G30" s="239"/>
      <c r="H30" s="239"/>
      <c r="I30" s="239"/>
      <c r="J30" s="258"/>
      <c r="K30" s="243"/>
      <c r="L30" s="243"/>
      <c r="M30" s="239"/>
      <c r="N30" s="239"/>
      <c r="O30" s="239"/>
      <c r="P30" s="239"/>
      <c r="Q30" s="239"/>
      <c r="R30" s="259"/>
      <c r="S30" s="239"/>
      <c r="T30" s="260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</row>
    <row r="31" spans="1:30" s="228" customFormat="1" ht="17.25" x14ac:dyDescent="0.2">
      <c r="A31" s="229" t="s">
        <v>284</v>
      </c>
      <c r="B31" s="230"/>
      <c r="C31" s="230"/>
      <c r="D31" s="230"/>
      <c r="E31" s="230"/>
      <c r="F31" s="231"/>
      <c r="G31" s="230"/>
      <c r="H31" s="230"/>
      <c r="I31" s="230"/>
      <c r="J31" s="230"/>
      <c r="K31" s="232"/>
      <c r="L31" s="232"/>
      <c r="M31" s="230"/>
      <c r="N31" s="230"/>
      <c r="O31" s="230"/>
      <c r="P31" s="230"/>
      <c r="Q31" s="230"/>
      <c r="R31" s="233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</row>
    <row r="32" spans="1:30" ht="17.25" x14ac:dyDescent="0.2">
      <c r="A32" s="234" t="s">
        <v>344</v>
      </c>
      <c r="B32" s="235"/>
      <c r="C32" s="235"/>
      <c r="D32" s="235"/>
      <c r="E32" s="235"/>
      <c r="F32" s="236"/>
      <c r="G32" s="235"/>
      <c r="H32" s="235"/>
      <c r="I32" s="235"/>
      <c r="J32" s="223" t="s">
        <v>16</v>
      </c>
      <c r="K32" s="223">
        <f>SUM(K33:K34)</f>
        <v>0</v>
      </c>
      <c r="L32" s="223">
        <f>SUM(L33:L34)</f>
        <v>0</v>
      </c>
      <c r="M32" s="261"/>
      <c r="N32" s="261"/>
      <c r="O32" s="261"/>
      <c r="P32" s="261"/>
      <c r="Q32" s="261"/>
      <c r="R32" s="224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</row>
    <row r="33" spans="1:30" s="237" customFormat="1" ht="17.25" x14ac:dyDescent="0.2">
      <c r="A33" s="238"/>
      <c r="B33" s="239"/>
      <c r="C33" s="239"/>
      <c r="D33" s="240"/>
      <c r="E33" s="240"/>
      <c r="F33" s="241"/>
      <c r="G33" s="239"/>
      <c r="H33" s="239"/>
      <c r="I33" s="239"/>
      <c r="J33" s="242"/>
      <c r="K33" s="243"/>
      <c r="L33" s="244"/>
      <c r="M33" s="239"/>
      <c r="N33" s="239"/>
      <c r="O33" s="239"/>
      <c r="P33" s="240"/>
      <c r="Q33" s="240"/>
      <c r="R33" s="245"/>
      <c r="S33" s="240"/>
      <c r="T33" s="246"/>
      <c r="U33" s="247"/>
      <c r="V33" s="248"/>
      <c r="W33" s="239"/>
      <c r="X33" s="239"/>
      <c r="Y33" s="239"/>
      <c r="Z33" s="239"/>
      <c r="AA33" s="239"/>
      <c r="AB33" s="239"/>
      <c r="AC33" s="239"/>
      <c r="AD33" s="239"/>
    </row>
    <row r="34" spans="1:30" ht="17.25" x14ac:dyDescent="0.2">
      <c r="A34" s="262"/>
      <c r="B34" s="261"/>
      <c r="C34" s="261"/>
      <c r="D34" s="249"/>
      <c r="E34" s="240"/>
      <c r="F34" s="241"/>
      <c r="G34" s="239"/>
      <c r="H34" s="239"/>
      <c r="I34" s="239"/>
      <c r="J34" s="250"/>
      <c r="K34" s="251"/>
      <c r="L34" s="251"/>
      <c r="M34" s="239"/>
      <c r="N34" s="239"/>
      <c r="O34" s="239"/>
      <c r="P34" s="240"/>
      <c r="Q34" s="240"/>
      <c r="R34" s="245"/>
      <c r="S34" s="240"/>
      <c r="T34" s="246"/>
      <c r="U34" s="247"/>
      <c r="V34" s="248"/>
      <c r="W34" s="261"/>
      <c r="X34" s="261"/>
      <c r="Y34" s="261"/>
      <c r="Z34" s="261"/>
      <c r="AA34" s="261"/>
      <c r="AB34" s="261"/>
      <c r="AC34" s="261"/>
      <c r="AD34" s="261"/>
    </row>
    <row r="35" spans="1:30" ht="17.25" x14ac:dyDescent="0.2">
      <c r="A35" s="252" t="s">
        <v>345</v>
      </c>
      <c r="B35" s="234"/>
      <c r="C35" s="234"/>
      <c r="D35" s="234"/>
      <c r="E35" s="234"/>
      <c r="F35" s="253"/>
      <c r="G35" s="234"/>
      <c r="H35" s="234"/>
      <c r="I35" s="234"/>
      <c r="J35" s="223" t="s">
        <v>16</v>
      </c>
      <c r="K35" s="223">
        <f>SUM(K36:K37)</f>
        <v>0</v>
      </c>
      <c r="L35" s="223">
        <f>SUM(L36:L37)</f>
        <v>0</v>
      </c>
      <c r="M35" s="261"/>
      <c r="N35" s="261"/>
      <c r="O35" s="261"/>
      <c r="P35" s="261"/>
      <c r="Q35" s="261"/>
      <c r="R35" s="224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</row>
    <row r="36" spans="1:30" ht="17.25" x14ac:dyDescent="0.2">
      <c r="A36" s="254"/>
      <c r="B36" s="261"/>
      <c r="C36" s="261"/>
      <c r="D36" s="240"/>
      <c r="E36" s="240"/>
      <c r="F36" s="241"/>
      <c r="G36" s="240"/>
      <c r="H36" s="240"/>
      <c r="I36" s="240"/>
      <c r="J36" s="250"/>
      <c r="K36" s="251"/>
      <c r="L36" s="251"/>
      <c r="M36" s="240"/>
      <c r="N36" s="240"/>
      <c r="O36" s="240"/>
      <c r="P36" s="240"/>
      <c r="Q36" s="240"/>
      <c r="R36" s="245"/>
      <c r="S36" s="240"/>
      <c r="T36" s="247"/>
      <c r="U36" s="240"/>
      <c r="V36" s="261"/>
      <c r="W36" s="261"/>
      <c r="X36" s="261"/>
      <c r="Y36" s="261"/>
      <c r="Z36" s="261"/>
      <c r="AA36" s="261"/>
      <c r="AB36" s="261"/>
      <c r="AC36" s="261"/>
      <c r="AD36" s="261"/>
    </row>
    <row r="37" spans="1:30" s="255" customFormat="1" ht="17.25" x14ac:dyDescent="0.2">
      <c r="A37" s="256"/>
      <c r="B37" s="239"/>
      <c r="C37" s="239"/>
      <c r="D37" s="239"/>
      <c r="E37" s="239"/>
      <c r="F37" s="257"/>
      <c r="G37" s="239"/>
      <c r="H37" s="239"/>
      <c r="I37" s="239"/>
      <c r="J37" s="258"/>
      <c r="K37" s="243"/>
      <c r="L37" s="243"/>
      <c r="M37" s="239"/>
      <c r="N37" s="239"/>
      <c r="O37" s="239"/>
      <c r="P37" s="239"/>
      <c r="Q37" s="239"/>
      <c r="R37" s="259"/>
      <c r="S37" s="239"/>
      <c r="T37" s="260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</row>
    <row r="38" spans="1:30" s="228" customFormat="1" ht="17.25" x14ac:dyDescent="0.2">
      <c r="A38" s="229" t="s">
        <v>285</v>
      </c>
      <c r="B38" s="230"/>
      <c r="C38" s="230"/>
      <c r="D38" s="230"/>
      <c r="E38" s="230"/>
      <c r="F38" s="231"/>
      <c r="G38" s="230"/>
      <c r="H38" s="230"/>
      <c r="I38" s="230"/>
      <c r="J38" s="230"/>
      <c r="K38" s="232"/>
      <c r="L38" s="232"/>
      <c r="M38" s="230"/>
      <c r="N38" s="230"/>
      <c r="O38" s="230"/>
      <c r="P38" s="230"/>
      <c r="Q38" s="230"/>
      <c r="R38" s="233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</row>
    <row r="39" spans="1:30" ht="17.25" x14ac:dyDescent="0.2">
      <c r="A39" s="234" t="s">
        <v>344</v>
      </c>
      <c r="B39" s="235"/>
      <c r="C39" s="235"/>
      <c r="D39" s="235"/>
      <c r="E39" s="235"/>
      <c r="F39" s="236"/>
      <c r="G39" s="235"/>
      <c r="H39" s="235"/>
      <c r="I39" s="235"/>
      <c r="J39" s="223" t="s">
        <v>16</v>
      </c>
      <c r="K39" s="223">
        <f>SUM(K40:K41)</f>
        <v>0</v>
      </c>
      <c r="L39" s="223">
        <f>SUM(L40:L41)</f>
        <v>0</v>
      </c>
      <c r="M39" s="261"/>
      <c r="N39" s="261"/>
      <c r="O39" s="261"/>
      <c r="P39" s="261"/>
      <c r="Q39" s="261"/>
      <c r="R39" s="224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</row>
    <row r="40" spans="1:30" s="237" customFormat="1" ht="17.25" x14ac:dyDescent="0.2">
      <c r="A40" s="238"/>
      <c r="B40" s="239"/>
      <c r="C40" s="239"/>
      <c r="D40" s="240"/>
      <c r="E40" s="240"/>
      <c r="F40" s="241"/>
      <c r="G40" s="239"/>
      <c r="H40" s="239"/>
      <c r="I40" s="239"/>
      <c r="J40" s="242"/>
      <c r="K40" s="243"/>
      <c r="L40" s="244"/>
      <c r="M40" s="239"/>
      <c r="N40" s="239"/>
      <c r="O40" s="239"/>
      <c r="P40" s="240"/>
      <c r="Q40" s="240"/>
      <c r="R40" s="245"/>
      <c r="S40" s="240"/>
      <c r="T40" s="246"/>
      <c r="U40" s="247"/>
      <c r="V40" s="248"/>
      <c r="W40" s="239"/>
      <c r="X40" s="239"/>
      <c r="Y40" s="239"/>
      <c r="Z40" s="239"/>
      <c r="AA40" s="239"/>
      <c r="AB40" s="239"/>
      <c r="AC40" s="239"/>
      <c r="AD40" s="239"/>
    </row>
    <row r="41" spans="1:30" ht="17.25" x14ac:dyDescent="0.2">
      <c r="A41" s="262"/>
      <c r="B41" s="261"/>
      <c r="C41" s="261"/>
      <c r="D41" s="249"/>
      <c r="E41" s="240"/>
      <c r="F41" s="241"/>
      <c r="G41" s="239"/>
      <c r="H41" s="239"/>
      <c r="I41" s="239"/>
      <c r="J41" s="250"/>
      <c r="K41" s="251"/>
      <c r="L41" s="251"/>
      <c r="M41" s="239"/>
      <c r="N41" s="239"/>
      <c r="O41" s="239"/>
      <c r="P41" s="240"/>
      <c r="Q41" s="240"/>
      <c r="R41" s="245"/>
      <c r="S41" s="240"/>
      <c r="T41" s="246"/>
      <c r="U41" s="247"/>
      <c r="V41" s="248"/>
      <c r="W41" s="261"/>
      <c r="X41" s="261"/>
      <c r="Y41" s="261"/>
      <c r="Z41" s="261"/>
      <c r="AA41" s="261"/>
      <c r="AB41" s="261"/>
      <c r="AC41" s="261"/>
      <c r="AD41" s="261"/>
    </row>
    <row r="42" spans="1:30" ht="17.25" x14ac:dyDescent="0.2">
      <c r="A42" s="252" t="s">
        <v>345</v>
      </c>
      <c r="B42" s="234"/>
      <c r="C42" s="234"/>
      <c r="D42" s="234"/>
      <c r="E42" s="234"/>
      <c r="F42" s="253"/>
      <c r="G42" s="234"/>
      <c r="H42" s="234"/>
      <c r="I42" s="234"/>
      <c r="J42" s="223" t="s">
        <v>16</v>
      </c>
      <c r="K42" s="223">
        <f>SUM(K43:K44)</f>
        <v>0</v>
      </c>
      <c r="L42" s="223">
        <f>SUM(L43:L44)</f>
        <v>0</v>
      </c>
      <c r="M42" s="261"/>
      <c r="N42" s="261"/>
      <c r="O42" s="261"/>
      <c r="P42" s="261"/>
      <c r="Q42" s="261"/>
      <c r="R42" s="224"/>
      <c r="S42" s="261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</row>
    <row r="43" spans="1:30" ht="17.25" x14ac:dyDescent="0.2">
      <c r="A43" s="254"/>
      <c r="B43" s="261"/>
      <c r="C43" s="261"/>
      <c r="D43" s="240"/>
      <c r="E43" s="240"/>
      <c r="F43" s="241"/>
      <c r="G43" s="240"/>
      <c r="H43" s="240"/>
      <c r="I43" s="240"/>
      <c r="J43" s="250"/>
      <c r="K43" s="251"/>
      <c r="L43" s="251"/>
      <c r="M43" s="240"/>
      <c r="N43" s="240"/>
      <c r="O43" s="240"/>
      <c r="P43" s="240"/>
      <c r="Q43" s="240"/>
      <c r="R43" s="245"/>
      <c r="S43" s="240"/>
      <c r="T43" s="247"/>
      <c r="U43" s="240"/>
      <c r="V43" s="261"/>
      <c r="W43" s="261"/>
      <c r="X43" s="261"/>
      <c r="Y43" s="261"/>
      <c r="Z43" s="261"/>
      <c r="AA43" s="261"/>
      <c r="AB43" s="261"/>
      <c r="AC43" s="261"/>
      <c r="AD43" s="261"/>
    </row>
    <row r="44" spans="1:30" s="255" customFormat="1" ht="17.25" x14ac:dyDescent="0.2">
      <c r="A44" s="256"/>
      <c r="B44" s="239"/>
      <c r="C44" s="239"/>
      <c r="D44" s="239"/>
      <c r="E44" s="239"/>
      <c r="F44" s="257"/>
      <c r="G44" s="239"/>
      <c r="H44" s="239"/>
      <c r="I44" s="239"/>
      <c r="J44" s="258"/>
      <c r="K44" s="243"/>
      <c r="L44" s="243"/>
      <c r="M44" s="239"/>
      <c r="N44" s="239"/>
      <c r="O44" s="239"/>
      <c r="P44" s="239"/>
      <c r="Q44" s="239"/>
      <c r="R44" s="259"/>
      <c r="S44" s="239"/>
      <c r="T44" s="260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</row>
    <row r="45" spans="1:30" s="228" customFormat="1" ht="17.25" x14ac:dyDescent="0.2">
      <c r="A45" s="229" t="s">
        <v>286</v>
      </c>
      <c r="B45" s="230"/>
      <c r="C45" s="230"/>
      <c r="D45" s="230"/>
      <c r="E45" s="230"/>
      <c r="F45" s="231"/>
      <c r="G45" s="230"/>
      <c r="H45" s="230"/>
      <c r="I45" s="230"/>
      <c r="J45" s="230"/>
      <c r="K45" s="232"/>
      <c r="L45" s="232"/>
      <c r="M45" s="230"/>
      <c r="N45" s="230"/>
      <c r="O45" s="230"/>
      <c r="P45" s="230"/>
      <c r="Q45" s="230"/>
      <c r="R45" s="233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</row>
    <row r="46" spans="1:30" ht="17.25" x14ac:dyDescent="0.2">
      <c r="A46" s="234" t="s">
        <v>344</v>
      </c>
      <c r="B46" s="235"/>
      <c r="C46" s="235"/>
      <c r="D46" s="235"/>
      <c r="E46" s="235"/>
      <c r="F46" s="236"/>
      <c r="G46" s="235"/>
      <c r="H46" s="235"/>
      <c r="I46" s="235"/>
      <c r="J46" s="223" t="s">
        <v>16</v>
      </c>
      <c r="K46" s="223">
        <f>SUM(K47:K48)</f>
        <v>0</v>
      </c>
      <c r="L46" s="223">
        <f>SUM(L47:L48)</f>
        <v>0</v>
      </c>
      <c r="M46" s="261"/>
      <c r="N46" s="261"/>
      <c r="O46" s="261"/>
      <c r="P46" s="261"/>
      <c r="Q46" s="261"/>
      <c r="R46" s="224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</row>
    <row r="47" spans="1:30" s="237" customFormat="1" ht="17.25" x14ac:dyDescent="0.2">
      <c r="A47" s="238"/>
      <c r="B47" s="239"/>
      <c r="C47" s="239"/>
      <c r="D47" s="240"/>
      <c r="E47" s="240"/>
      <c r="F47" s="241"/>
      <c r="G47" s="239"/>
      <c r="H47" s="239"/>
      <c r="I47" s="239"/>
      <c r="J47" s="242"/>
      <c r="K47" s="243"/>
      <c r="L47" s="244"/>
      <c r="M47" s="239"/>
      <c r="N47" s="239"/>
      <c r="O47" s="239"/>
      <c r="P47" s="240"/>
      <c r="Q47" s="240"/>
      <c r="R47" s="245"/>
      <c r="S47" s="240"/>
      <c r="T47" s="246"/>
      <c r="U47" s="247"/>
      <c r="V47" s="248"/>
      <c r="W47" s="239"/>
      <c r="X47" s="239"/>
      <c r="Y47" s="239"/>
      <c r="Z47" s="239"/>
      <c r="AA47" s="239"/>
      <c r="AB47" s="239"/>
      <c r="AC47" s="239"/>
      <c r="AD47" s="239"/>
    </row>
    <row r="48" spans="1:30" ht="17.25" x14ac:dyDescent="0.2">
      <c r="A48" s="262"/>
      <c r="B48" s="261"/>
      <c r="C48" s="261"/>
      <c r="D48" s="249"/>
      <c r="E48" s="240"/>
      <c r="F48" s="241"/>
      <c r="G48" s="239"/>
      <c r="H48" s="239"/>
      <c r="I48" s="239"/>
      <c r="J48" s="250"/>
      <c r="K48" s="251"/>
      <c r="L48" s="251"/>
      <c r="M48" s="239"/>
      <c r="N48" s="239"/>
      <c r="O48" s="239"/>
      <c r="P48" s="240"/>
      <c r="Q48" s="240"/>
      <c r="R48" s="245"/>
      <c r="S48" s="240"/>
      <c r="T48" s="246"/>
      <c r="U48" s="247"/>
      <c r="V48" s="248"/>
      <c r="W48" s="261"/>
      <c r="X48" s="261"/>
      <c r="Y48" s="261"/>
      <c r="Z48" s="261"/>
      <c r="AA48" s="261"/>
      <c r="AB48" s="261"/>
      <c r="AC48" s="261"/>
      <c r="AD48" s="261"/>
    </row>
    <row r="49" spans="1:30" ht="17.25" x14ac:dyDescent="0.2">
      <c r="A49" s="252" t="s">
        <v>345</v>
      </c>
      <c r="B49" s="234"/>
      <c r="C49" s="234"/>
      <c r="D49" s="234"/>
      <c r="E49" s="234"/>
      <c r="F49" s="253"/>
      <c r="G49" s="234"/>
      <c r="H49" s="234"/>
      <c r="I49" s="234"/>
      <c r="J49" s="223" t="s">
        <v>16</v>
      </c>
      <c r="K49" s="223">
        <f>SUM(K50:K51)</f>
        <v>0</v>
      </c>
      <c r="L49" s="223">
        <f>SUM(L50:L51)</f>
        <v>0</v>
      </c>
      <c r="M49" s="261"/>
      <c r="N49" s="261"/>
      <c r="O49" s="261"/>
      <c r="P49" s="261"/>
      <c r="Q49" s="261"/>
      <c r="R49" s="224"/>
      <c r="S49" s="261"/>
      <c r="T49" s="261"/>
      <c r="U49" s="261"/>
      <c r="V49" s="261"/>
      <c r="W49" s="261"/>
      <c r="X49" s="261"/>
      <c r="Y49" s="261"/>
      <c r="Z49" s="261"/>
      <c r="AA49" s="261"/>
      <c r="AB49" s="261"/>
      <c r="AC49" s="261"/>
      <c r="AD49" s="261"/>
    </row>
    <row r="50" spans="1:30" ht="17.25" x14ac:dyDescent="0.2">
      <c r="A50" s="254"/>
      <c r="B50" s="261"/>
      <c r="C50" s="261"/>
      <c r="D50" s="240"/>
      <c r="E50" s="240"/>
      <c r="F50" s="241"/>
      <c r="G50" s="240"/>
      <c r="H50" s="240"/>
      <c r="I50" s="240"/>
      <c r="J50" s="250"/>
      <c r="K50" s="251"/>
      <c r="L50" s="251"/>
      <c r="M50" s="240"/>
      <c r="N50" s="240"/>
      <c r="O50" s="240"/>
      <c r="P50" s="240"/>
      <c r="Q50" s="240"/>
      <c r="R50" s="245"/>
      <c r="S50" s="240"/>
      <c r="T50" s="247"/>
      <c r="U50" s="240"/>
      <c r="V50" s="261"/>
      <c r="W50" s="261"/>
      <c r="X50" s="261"/>
      <c r="Y50" s="261"/>
      <c r="Z50" s="261"/>
      <c r="AA50" s="261"/>
      <c r="AB50" s="261"/>
      <c r="AC50" s="261"/>
      <c r="AD50" s="261"/>
    </row>
    <row r="51" spans="1:30" s="255" customFormat="1" ht="17.25" x14ac:dyDescent="0.2">
      <c r="A51" s="256"/>
      <c r="B51" s="239"/>
      <c r="C51" s="239"/>
      <c r="D51" s="239"/>
      <c r="E51" s="239"/>
      <c r="F51" s="257"/>
      <c r="G51" s="239"/>
      <c r="H51" s="239"/>
      <c r="I51" s="239"/>
      <c r="J51" s="258"/>
      <c r="K51" s="243"/>
      <c r="L51" s="243"/>
      <c r="M51" s="239"/>
      <c r="N51" s="239"/>
      <c r="O51" s="239"/>
      <c r="P51" s="239"/>
      <c r="Q51" s="239"/>
      <c r="R51" s="259"/>
      <c r="S51" s="239"/>
      <c r="T51" s="260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</row>
    <row r="52" spans="1:30" s="228" customFormat="1" ht="17.25" x14ac:dyDescent="0.2">
      <c r="A52" s="229" t="s">
        <v>287</v>
      </c>
      <c r="B52" s="230"/>
      <c r="C52" s="230"/>
      <c r="D52" s="230"/>
      <c r="E52" s="230"/>
      <c r="F52" s="231"/>
      <c r="G52" s="230"/>
      <c r="H52" s="230"/>
      <c r="I52" s="230"/>
      <c r="J52" s="230"/>
      <c r="K52" s="232"/>
      <c r="L52" s="232"/>
      <c r="M52" s="230"/>
      <c r="N52" s="230"/>
      <c r="O52" s="230"/>
      <c r="P52" s="230"/>
      <c r="Q52" s="230"/>
      <c r="R52" s="233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</row>
    <row r="53" spans="1:30" ht="17.25" x14ac:dyDescent="0.2">
      <c r="A53" s="234" t="s">
        <v>344</v>
      </c>
      <c r="B53" s="235"/>
      <c r="C53" s="235"/>
      <c r="D53" s="235"/>
      <c r="E53" s="235"/>
      <c r="F53" s="236"/>
      <c r="G53" s="235"/>
      <c r="H53" s="235"/>
      <c r="I53" s="235"/>
      <c r="J53" s="223" t="s">
        <v>16</v>
      </c>
      <c r="K53" s="223">
        <f>SUM(K54:K55)</f>
        <v>0</v>
      </c>
      <c r="L53" s="223">
        <f>SUM(L54:L55)</f>
        <v>0</v>
      </c>
      <c r="M53" s="261"/>
      <c r="N53" s="261"/>
      <c r="O53" s="261"/>
      <c r="P53" s="261"/>
      <c r="Q53" s="261"/>
      <c r="R53" s="224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</row>
    <row r="54" spans="1:30" s="237" customFormat="1" ht="17.25" x14ac:dyDescent="0.2">
      <c r="A54" s="238"/>
      <c r="B54" s="239"/>
      <c r="C54" s="239"/>
      <c r="D54" s="240"/>
      <c r="E54" s="240"/>
      <c r="F54" s="241"/>
      <c r="G54" s="239"/>
      <c r="H54" s="239"/>
      <c r="I54" s="239"/>
      <c r="J54" s="242"/>
      <c r="K54" s="243"/>
      <c r="L54" s="244"/>
      <c r="M54" s="239"/>
      <c r="N54" s="239"/>
      <c r="O54" s="239"/>
      <c r="P54" s="240"/>
      <c r="Q54" s="240"/>
      <c r="R54" s="245"/>
      <c r="S54" s="240"/>
      <c r="T54" s="246"/>
      <c r="U54" s="247"/>
      <c r="V54" s="248"/>
      <c r="W54" s="239"/>
      <c r="X54" s="239"/>
      <c r="Y54" s="239"/>
      <c r="Z54" s="239"/>
      <c r="AA54" s="239"/>
      <c r="AB54" s="239"/>
      <c r="AC54" s="239"/>
      <c r="AD54" s="239"/>
    </row>
    <row r="55" spans="1:30" ht="17.25" x14ac:dyDescent="0.2">
      <c r="A55" s="262"/>
      <c r="B55" s="261"/>
      <c r="C55" s="261"/>
      <c r="D55" s="249"/>
      <c r="E55" s="240"/>
      <c r="F55" s="241"/>
      <c r="G55" s="239"/>
      <c r="H55" s="239"/>
      <c r="I55" s="239"/>
      <c r="J55" s="250"/>
      <c r="K55" s="251"/>
      <c r="L55" s="251"/>
      <c r="M55" s="239"/>
      <c r="N55" s="239"/>
      <c r="O55" s="239"/>
      <c r="P55" s="240"/>
      <c r="Q55" s="240"/>
      <c r="R55" s="245"/>
      <c r="S55" s="240"/>
      <c r="T55" s="246"/>
      <c r="U55" s="247"/>
      <c r="V55" s="248"/>
      <c r="W55" s="261"/>
      <c r="X55" s="261"/>
      <c r="Y55" s="261"/>
      <c r="Z55" s="261"/>
      <c r="AA55" s="261"/>
      <c r="AB55" s="261"/>
      <c r="AC55" s="261"/>
      <c r="AD55" s="261"/>
    </row>
    <row r="56" spans="1:30" ht="17.25" x14ac:dyDescent="0.2">
      <c r="A56" s="252" t="s">
        <v>345</v>
      </c>
      <c r="B56" s="234"/>
      <c r="C56" s="234"/>
      <c r="D56" s="234"/>
      <c r="E56" s="234"/>
      <c r="F56" s="253"/>
      <c r="G56" s="234"/>
      <c r="H56" s="234"/>
      <c r="I56" s="234"/>
      <c r="J56" s="223" t="s">
        <v>16</v>
      </c>
      <c r="K56" s="223">
        <f>SUM(K57:K58)</f>
        <v>0</v>
      </c>
      <c r="L56" s="223">
        <f>SUM(L57:L58)</f>
        <v>0</v>
      </c>
      <c r="M56" s="261"/>
      <c r="N56" s="261"/>
      <c r="O56" s="261"/>
      <c r="P56" s="261"/>
      <c r="Q56" s="261"/>
      <c r="R56" s="224"/>
      <c r="S56" s="261"/>
      <c r="T56" s="261"/>
      <c r="U56" s="261"/>
      <c r="V56" s="261"/>
      <c r="W56" s="261"/>
      <c r="X56" s="261"/>
      <c r="Y56" s="261"/>
      <c r="Z56" s="261"/>
      <c r="AA56" s="261"/>
      <c r="AB56" s="261"/>
      <c r="AC56" s="261"/>
      <c r="AD56" s="261"/>
    </row>
    <row r="57" spans="1:30" ht="17.25" x14ac:dyDescent="0.2">
      <c r="A57" s="254"/>
      <c r="B57" s="261"/>
      <c r="C57" s="261"/>
      <c r="D57" s="240"/>
      <c r="E57" s="240"/>
      <c r="F57" s="241"/>
      <c r="G57" s="240"/>
      <c r="H57" s="240"/>
      <c r="I57" s="240"/>
      <c r="J57" s="250"/>
      <c r="K57" s="251"/>
      <c r="L57" s="251"/>
      <c r="M57" s="240"/>
      <c r="N57" s="240"/>
      <c r="O57" s="240"/>
      <c r="P57" s="240"/>
      <c r="Q57" s="240"/>
      <c r="R57" s="245"/>
      <c r="S57" s="240"/>
      <c r="T57" s="247"/>
      <c r="U57" s="240"/>
      <c r="V57" s="261"/>
      <c r="W57" s="261"/>
      <c r="X57" s="261"/>
      <c r="Y57" s="261"/>
      <c r="Z57" s="261"/>
      <c r="AA57" s="261"/>
      <c r="AB57" s="261"/>
      <c r="AC57" s="261"/>
      <c r="AD57" s="261"/>
    </row>
    <row r="58" spans="1:30" s="255" customFormat="1" ht="17.25" x14ac:dyDescent="0.2">
      <c r="A58" s="256"/>
      <c r="B58" s="239"/>
      <c r="C58" s="239"/>
      <c r="D58" s="239"/>
      <c r="E58" s="239"/>
      <c r="F58" s="257"/>
      <c r="G58" s="239"/>
      <c r="H58" s="239"/>
      <c r="I58" s="239"/>
      <c r="J58" s="258"/>
      <c r="K58" s="243"/>
      <c r="L58" s="243"/>
      <c r="M58" s="239"/>
      <c r="N58" s="239"/>
      <c r="O58" s="239"/>
      <c r="P58" s="239"/>
      <c r="Q58" s="239"/>
      <c r="R58" s="259"/>
      <c r="S58" s="239"/>
      <c r="T58" s="260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</row>
    <row r="59" spans="1:30" s="228" customFormat="1" ht="17.25" x14ac:dyDescent="0.2">
      <c r="A59" s="229" t="s">
        <v>288</v>
      </c>
      <c r="B59" s="230"/>
      <c r="C59" s="230"/>
      <c r="D59" s="230"/>
      <c r="E59" s="230"/>
      <c r="F59" s="231"/>
      <c r="G59" s="230"/>
      <c r="H59" s="230"/>
      <c r="I59" s="230"/>
      <c r="J59" s="230"/>
      <c r="K59" s="232"/>
      <c r="L59" s="232"/>
      <c r="M59" s="230"/>
      <c r="N59" s="230"/>
      <c r="O59" s="230"/>
      <c r="P59" s="230"/>
      <c r="Q59" s="230"/>
      <c r="R59" s="233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</row>
    <row r="60" spans="1:30" ht="17.25" x14ac:dyDescent="0.2">
      <c r="A60" s="234" t="s">
        <v>344</v>
      </c>
      <c r="B60" s="235"/>
      <c r="C60" s="235"/>
      <c r="D60" s="235"/>
      <c r="E60" s="235"/>
      <c r="F60" s="236"/>
      <c r="G60" s="235"/>
      <c r="H60" s="235"/>
      <c r="I60" s="235"/>
      <c r="J60" s="223" t="s">
        <v>16</v>
      </c>
      <c r="K60" s="223">
        <f>SUM(K61:K62)</f>
        <v>0</v>
      </c>
      <c r="L60" s="223">
        <f>SUM(L61:L62)</f>
        <v>0</v>
      </c>
      <c r="M60" s="261"/>
      <c r="N60" s="261"/>
      <c r="O60" s="261"/>
      <c r="P60" s="261"/>
      <c r="Q60" s="261"/>
      <c r="R60" s="224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</row>
    <row r="61" spans="1:30" s="237" customFormat="1" ht="17.25" x14ac:dyDescent="0.2">
      <c r="A61" s="238"/>
      <c r="B61" s="239"/>
      <c r="C61" s="239"/>
      <c r="D61" s="240"/>
      <c r="E61" s="240"/>
      <c r="F61" s="241"/>
      <c r="G61" s="239"/>
      <c r="H61" s="239"/>
      <c r="I61" s="239"/>
      <c r="J61" s="242"/>
      <c r="K61" s="243"/>
      <c r="L61" s="244"/>
      <c r="M61" s="239"/>
      <c r="N61" s="239"/>
      <c r="O61" s="239"/>
      <c r="P61" s="240"/>
      <c r="Q61" s="240"/>
      <c r="R61" s="245"/>
      <c r="S61" s="240"/>
      <c r="T61" s="246"/>
      <c r="U61" s="247"/>
      <c r="V61" s="248"/>
      <c r="W61" s="239"/>
      <c r="X61" s="239"/>
      <c r="Y61" s="239"/>
      <c r="Z61" s="239"/>
      <c r="AA61" s="239"/>
      <c r="AB61" s="239"/>
      <c r="AC61" s="239"/>
      <c r="AD61" s="239"/>
    </row>
    <row r="62" spans="1:30" ht="17.25" x14ac:dyDescent="0.2">
      <c r="A62" s="262"/>
      <c r="B62" s="261"/>
      <c r="C62" s="261"/>
      <c r="D62" s="249"/>
      <c r="E62" s="240"/>
      <c r="F62" s="241"/>
      <c r="G62" s="239"/>
      <c r="H62" s="239"/>
      <c r="I62" s="239"/>
      <c r="J62" s="250"/>
      <c r="K62" s="251"/>
      <c r="L62" s="251"/>
      <c r="M62" s="239"/>
      <c r="N62" s="239"/>
      <c r="O62" s="239"/>
      <c r="P62" s="240"/>
      <c r="Q62" s="240"/>
      <c r="R62" s="245"/>
      <c r="S62" s="240"/>
      <c r="T62" s="246"/>
      <c r="U62" s="247"/>
      <c r="V62" s="248"/>
      <c r="W62" s="261"/>
      <c r="X62" s="261"/>
      <c r="Y62" s="261"/>
      <c r="Z62" s="261"/>
      <c r="AA62" s="261"/>
      <c r="AB62" s="261"/>
      <c r="AC62" s="261"/>
      <c r="AD62" s="261"/>
    </row>
    <row r="63" spans="1:30" ht="17.25" x14ac:dyDescent="0.2">
      <c r="A63" s="252" t="s">
        <v>345</v>
      </c>
      <c r="B63" s="234"/>
      <c r="C63" s="234"/>
      <c r="D63" s="234"/>
      <c r="E63" s="234"/>
      <c r="F63" s="253"/>
      <c r="G63" s="234"/>
      <c r="H63" s="234"/>
      <c r="I63" s="234"/>
      <c r="J63" s="223" t="s">
        <v>16</v>
      </c>
      <c r="K63" s="223">
        <f>SUM(K64:K65)</f>
        <v>0</v>
      </c>
      <c r="L63" s="223">
        <f>SUM(L64:L65)</f>
        <v>0</v>
      </c>
      <c r="M63" s="261"/>
      <c r="N63" s="261"/>
      <c r="O63" s="261"/>
      <c r="P63" s="261"/>
      <c r="Q63" s="261"/>
      <c r="R63" s="224"/>
      <c r="S63" s="261"/>
      <c r="T63" s="261"/>
      <c r="U63" s="261"/>
      <c r="V63" s="261"/>
      <c r="W63" s="261"/>
      <c r="X63" s="261"/>
      <c r="Y63" s="261"/>
      <c r="Z63" s="261"/>
      <c r="AA63" s="261"/>
      <c r="AB63" s="261"/>
      <c r="AC63" s="261"/>
      <c r="AD63" s="261"/>
    </row>
    <row r="64" spans="1:30" ht="17.25" x14ac:dyDescent="0.2">
      <c r="A64" s="254"/>
      <c r="B64" s="261"/>
      <c r="C64" s="261"/>
      <c r="D64" s="240"/>
      <c r="E64" s="240"/>
      <c r="F64" s="241"/>
      <c r="G64" s="240"/>
      <c r="H64" s="240"/>
      <c r="I64" s="240"/>
      <c r="J64" s="250"/>
      <c r="K64" s="251"/>
      <c r="L64" s="251"/>
      <c r="M64" s="240"/>
      <c r="N64" s="240"/>
      <c r="O64" s="240"/>
      <c r="P64" s="240"/>
      <c r="Q64" s="240"/>
      <c r="R64" s="245"/>
      <c r="S64" s="240"/>
      <c r="T64" s="247"/>
      <c r="U64" s="240"/>
      <c r="V64" s="261"/>
      <c r="W64" s="261"/>
      <c r="X64" s="261"/>
      <c r="Y64" s="261"/>
      <c r="Z64" s="261"/>
      <c r="AA64" s="261"/>
      <c r="AB64" s="261"/>
      <c r="AC64" s="261"/>
      <c r="AD64" s="261"/>
    </row>
    <row r="65" spans="1:30" s="255" customFormat="1" ht="15.75" customHeight="1" x14ac:dyDescent="0.2">
      <c r="A65" s="256"/>
      <c r="B65" s="239"/>
      <c r="C65" s="239"/>
      <c r="D65" s="239"/>
      <c r="E65" s="239"/>
      <c r="F65" s="257"/>
      <c r="G65" s="239"/>
      <c r="H65" s="239"/>
      <c r="I65" s="239"/>
      <c r="J65" s="258"/>
      <c r="K65" s="243"/>
      <c r="L65" s="243"/>
      <c r="M65" s="239"/>
      <c r="N65" s="239"/>
      <c r="O65" s="239"/>
      <c r="P65" s="239"/>
      <c r="Q65" s="239"/>
      <c r="R65" s="259"/>
      <c r="S65" s="239"/>
      <c r="T65" s="260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</row>
    <row r="66" spans="1:30" s="228" customFormat="1" ht="17.25" x14ac:dyDescent="0.2">
      <c r="A66" s="229" t="s">
        <v>289</v>
      </c>
      <c r="B66" s="230"/>
      <c r="C66" s="230"/>
      <c r="D66" s="230"/>
      <c r="E66" s="230"/>
      <c r="F66" s="231"/>
      <c r="G66" s="230"/>
      <c r="H66" s="230"/>
      <c r="I66" s="230"/>
      <c r="J66" s="230"/>
      <c r="K66" s="232"/>
      <c r="L66" s="232"/>
      <c r="M66" s="230"/>
      <c r="N66" s="230"/>
      <c r="O66" s="230"/>
      <c r="P66" s="230"/>
      <c r="Q66" s="230"/>
      <c r="R66" s="233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</row>
    <row r="67" spans="1:30" ht="17.25" x14ac:dyDescent="0.2">
      <c r="A67" s="234" t="s">
        <v>344</v>
      </c>
      <c r="B67" s="235"/>
      <c r="C67" s="235"/>
      <c r="D67" s="235"/>
      <c r="E67" s="235"/>
      <c r="F67" s="236"/>
      <c r="G67" s="235"/>
      <c r="H67" s="235"/>
      <c r="I67" s="235"/>
      <c r="J67" s="223" t="s">
        <v>16</v>
      </c>
      <c r="K67" s="223">
        <f>SUM(K68:K69)</f>
        <v>0</v>
      </c>
      <c r="L67" s="223">
        <f>SUM(L68:L69)</f>
        <v>0</v>
      </c>
      <c r="M67" s="261"/>
      <c r="N67" s="261"/>
      <c r="O67" s="261"/>
      <c r="P67" s="261"/>
      <c r="Q67" s="261"/>
      <c r="R67" s="224"/>
      <c r="S67" s="261"/>
      <c r="T67" s="261"/>
      <c r="U67" s="261"/>
      <c r="V67" s="261"/>
      <c r="W67" s="261"/>
      <c r="X67" s="261"/>
      <c r="Y67" s="261"/>
      <c r="Z67" s="261"/>
      <c r="AA67" s="261"/>
      <c r="AB67" s="261"/>
      <c r="AC67" s="261"/>
      <c r="AD67" s="261"/>
    </row>
    <row r="68" spans="1:30" s="237" customFormat="1" ht="17.25" x14ac:dyDescent="0.2">
      <c r="A68" s="238"/>
      <c r="B68" s="239"/>
      <c r="C68" s="239"/>
      <c r="D68" s="240"/>
      <c r="E68" s="240"/>
      <c r="F68" s="241"/>
      <c r="G68" s="239"/>
      <c r="H68" s="239"/>
      <c r="I68" s="239"/>
      <c r="J68" s="242"/>
      <c r="K68" s="243"/>
      <c r="L68" s="244"/>
      <c r="M68" s="239"/>
      <c r="N68" s="239"/>
      <c r="O68" s="239"/>
      <c r="P68" s="240"/>
      <c r="Q68" s="240"/>
      <c r="R68" s="245"/>
      <c r="S68" s="240"/>
      <c r="T68" s="246"/>
      <c r="U68" s="247"/>
      <c r="V68" s="248"/>
      <c r="W68" s="239"/>
      <c r="X68" s="239"/>
      <c r="Y68" s="239"/>
      <c r="Z68" s="239"/>
      <c r="AA68" s="239"/>
      <c r="AB68" s="239"/>
      <c r="AC68" s="239"/>
      <c r="AD68" s="239"/>
    </row>
    <row r="69" spans="1:30" ht="17.25" x14ac:dyDescent="0.2">
      <c r="A69" s="262"/>
      <c r="B69" s="261"/>
      <c r="C69" s="261"/>
      <c r="D69" s="249"/>
      <c r="E69" s="240"/>
      <c r="F69" s="241"/>
      <c r="G69" s="239"/>
      <c r="H69" s="239"/>
      <c r="I69" s="239"/>
      <c r="J69" s="250"/>
      <c r="K69" s="251"/>
      <c r="L69" s="251"/>
      <c r="M69" s="239"/>
      <c r="N69" s="239"/>
      <c r="O69" s="239"/>
      <c r="P69" s="240"/>
      <c r="Q69" s="240"/>
      <c r="R69" s="245"/>
      <c r="S69" s="240"/>
      <c r="T69" s="246"/>
      <c r="U69" s="247"/>
      <c r="V69" s="248"/>
      <c r="W69" s="261"/>
      <c r="X69" s="261"/>
      <c r="Y69" s="261"/>
      <c r="Z69" s="261"/>
      <c r="AA69" s="261"/>
      <c r="AB69" s="261"/>
      <c r="AC69" s="261"/>
      <c r="AD69" s="261"/>
    </row>
    <row r="70" spans="1:30" ht="17.25" x14ac:dyDescent="0.2">
      <c r="A70" s="252" t="s">
        <v>345</v>
      </c>
      <c r="B70" s="234"/>
      <c r="C70" s="234"/>
      <c r="D70" s="234"/>
      <c r="E70" s="234"/>
      <c r="F70" s="253"/>
      <c r="G70" s="234"/>
      <c r="H70" s="234"/>
      <c r="I70" s="234"/>
      <c r="J70" s="223" t="s">
        <v>16</v>
      </c>
      <c r="K70" s="223">
        <f>SUM(K71:K72)</f>
        <v>0</v>
      </c>
      <c r="L70" s="223">
        <f>SUM(L71:L72)</f>
        <v>0</v>
      </c>
      <c r="M70" s="261"/>
      <c r="N70" s="261"/>
      <c r="O70" s="261"/>
      <c r="P70" s="261"/>
      <c r="Q70" s="261"/>
      <c r="R70" s="224"/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261"/>
    </row>
    <row r="71" spans="1:30" x14ac:dyDescent="0.2">
      <c r="A71" s="588"/>
      <c r="B71" s="261"/>
      <c r="C71" s="261"/>
      <c r="D71" s="240"/>
      <c r="E71" s="338"/>
      <c r="F71" s="296"/>
      <c r="G71" s="295"/>
      <c r="H71" s="295"/>
      <c r="I71" s="295"/>
      <c r="J71" s="585"/>
      <c r="K71" s="298"/>
      <c r="L71" s="298"/>
      <c r="M71" s="295"/>
      <c r="N71" s="295"/>
      <c r="O71" s="295"/>
      <c r="P71" s="295"/>
      <c r="Q71" s="295"/>
      <c r="R71" s="732"/>
      <c r="S71" s="308"/>
      <c r="T71" s="569"/>
      <c r="U71" s="240"/>
      <c r="V71" s="261"/>
      <c r="W71" s="261"/>
      <c r="X71" s="261"/>
      <c r="Y71" s="261"/>
      <c r="Z71" s="261"/>
      <c r="AA71" s="261"/>
      <c r="AB71" s="261"/>
      <c r="AC71" s="261"/>
      <c r="AD71" s="261"/>
    </row>
    <row r="72" spans="1:30" x14ac:dyDescent="0.2">
      <c r="A72" s="588"/>
      <c r="B72" s="261"/>
      <c r="C72" s="261"/>
      <c r="D72" s="240"/>
      <c r="E72" s="338"/>
      <c r="F72" s="296"/>
      <c r="G72" s="295"/>
      <c r="H72" s="295"/>
      <c r="I72" s="295"/>
      <c r="J72" s="585"/>
      <c r="K72" s="298"/>
      <c r="L72" s="298"/>
      <c r="M72" s="295"/>
      <c r="N72" s="295"/>
      <c r="O72" s="295"/>
      <c r="P72" s="295"/>
      <c r="Q72" s="295"/>
      <c r="R72" s="732"/>
      <c r="S72" s="308"/>
      <c r="T72" s="569"/>
      <c r="U72" s="240"/>
      <c r="V72" s="261"/>
      <c r="W72" s="261"/>
      <c r="X72" s="261"/>
      <c r="Y72" s="261"/>
      <c r="Z72" s="261"/>
      <c r="AA72" s="261"/>
      <c r="AB72" s="261"/>
      <c r="AC72" s="261"/>
      <c r="AD72" s="261"/>
    </row>
    <row r="73" spans="1:30" s="228" customFormat="1" ht="17.25" x14ac:dyDescent="0.2">
      <c r="A73" s="229" t="s">
        <v>291</v>
      </c>
      <c r="B73" s="230"/>
      <c r="C73" s="230"/>
      <c r="D73" s="230"/>
      <c r="E73" s="230"/>
      <c r="F73" s="231"/>
      <c r="G73" s="230"/>
      <c r="H73" s="230"/>
      <c r="I73" s="230"/>
      <c r="J73" s="230"/>
      <c r="K73" s="232"/>
      <c r="L73" s="232"/>
      <c r="M73" s="230"/>
      <c r="N73" s="230"/>
      <c r="O73" s="230"/>
      <c r="P73" s="230"/>
      <c r="Q73" s="230"/>
      <c r="R73" s="233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</row>
    <row r="74" spans="1:30" ht="17.25" x14ac:dyDescent="0.2">
      <c r="A74" s="234" t="s">
        <v>344</v>
      </c>
      <c r="B74" s="235"/>
      <c r="C74" s="235"/>
      <c r="D74" s="235"/>
      <c r="E74" s="235"/>
      <c r="F74" s="236"/>
      <c r="G74" s="235"/>
      <c r="H74" s="235"/>
      <c r="I74" s="235"/>
      <c r="J74" s="223" t="s">
        <v>16</v>
      </c>
      <c r="K74" s="223">
        <f>SUM(K75:K76)</f>
        <v>0</v>
      </c>
      <c r="L74" s="223">
        <f>SUM(L75:L76)</f>
        <v>0</v>
      </c>
      <c r="M74" s="261"/>
      <c r="N74" s="261"/>
      <c r="O74" s="261"/>
      <c r="P74" s="261"/>
      <c r="Q74" s="261"/>
      <c r="R74" s="224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</row>
    <row r="75" spans="1:30" s="237" customFormat="1" ht="17.25" x14ac:dyDescent="0.2">
      <c r="A75" s="238"/>
      <c r="B75" s="239"/>
      <c r="C75" s="239"/>
      <c r="D75" s="240"/>
      <c r="E75" s="240"/>
      <c r="F75" s="241"/>
      <c r="G75" s="239"/>
      <c r="H75" s="239"/>
      <c r="I75" s="239"/>
      <c r="J75" s="242"/>
      <c r="K75" s="243"/>
      <c r="L75" s="244"/>
      <c r="M75" s="239"/>
      <c r="N75" s="239"/>
      <c r="O75" s="239"/>
      <c r="P75" s="240"/>
      <c r="Q75" s="240"/>
      <c r="R75" s="245"/>
      <c r="S75" s="240"/>
      <c r="T75" s="246"/>
      <c r="U75" s="247"/>
      <c r="V75" s="248"/>
      <c r="W75" s="239"/>
      <c r="X75" s="239"/>
      <c r="Y75" s="239"/>
      <c r="Z75" s="239"/>
      <c r="AA75" s="239"/>
      <c r="AB75" s="239"/>
      <c r="AC75" s="239"/>
      <c r="AD75" s="239"/>
    </row>
    <row r="76" spans="1:30" ht="17.25" x14ac:dyDescent="0.2">
      <c r="A76" s="262"/>
      <c r="B76" s="261"/>
      <c r="C76" s="261"/>
      <c r="D76" s="249"/>
      <c r="E76" s="240"/>
      <c r="F76" s="241"/>
      <c r="G76" s="239"/>
      <c r="H76" s="239"/>
      <c r="I76" s="239"/>
      <c r="J76" s="250"/>
      <c r="K76" s="251"/>
      <c r="L76" s="251"/>
      <c r="M76" s="239"/>
      <c r="N76" s="239"/>
      <c r="O76" s="239"/>
      <c r="P76" s="240"/>
      <c r="Q76" s="240"/>
      <c r="R76" s="245"/>
      <c r="S76" s="240"/>
      <c r="T76" s="246"/>
      <c r="U76" s="247"/>
      <c r="V76" s="248"/>
      <c r="W76" s="261"/>
      <c r="X76" s="261"/>
      <c r="Y76" s="261"/>
      <c r="Z76" s="261"/>
      <c r="AA76" s="261"/>
      <c r="AB76" s="261"/>
      <c r="AC76" s="261"/>
      <c r="AD76" s="261"/>
    </row>
    <row r="77" spans="1:30" ht="17.25" x14ac:dyDescent="0.2">
      <c r="A77" s="252" t="s">
        <v>345</v>
      </c>
      <c r="B77" s="234"/>
      <c r="C77" s="234"/>
      <c r="D77" s="234"/>
      <c r="E77" s="234"/>
      <c r="F77" s="253"/>
      <c r="G77" s="234"/>
      <c r="H77" s="234"/>
      <c r="I77" s="234"/>
      <c r="J77" s="223" t="s">
        <v>16</v>
      </c>
      <c r="K77" s="223">
        <f>SUM(K78:K79)</f>
        <v>0</v>
      </c>
      <c r="L77" s="223">
        <f>SUM(L78:L79)</f>
        <v>0</v>
      </c>
      <c r="M77" s="261"/>
      <c r="N77" s="261"/>
      <c r="O77" s="261"/>
      <c r="P77" s="261"/>
      <c r="Q77" s="261"/>
      <c r="R77" s="224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</row>
    <row r="78" spans="1:30" ht="17.25" x14ac:dyDescent="0.2">
      <c r="A78" s="254"/>
      <c r="B78" s="261"/>
      <c r="C78" s="261"/>
      <c r="D78" s="240"/>
      <c r="E78" s="240"/>
      <c r="F78" s="241"/>
      <c r="G78" s="240"/>
      <c r="H78" s="240"/>
      <c r="I78" s="240"/>
      <c r="J78" s="250"/>
      <c r="K78" s="251"/>
      <c r="L78" s="251"/>
      <c r="M78" s="240"/>
      <c r="N78" s="240"/>
      <c r="O78" s="240"/>
      <c r="P78" s="240"/>
      <c r="Q78" s="240"/>
      <c r="R78" s="245"/>
      <c r="S78" s="240"/>
      <c r="T78" s="247"/>
      <c r="U78" s="240"/>
      <c r="V78" s="261"/>
      <c r="W78" s="261"/>
      <c r="X78" s="261"/>
      <c r="Y78" s="261"/>
      <c r="Z78" s="261"/>
      <c r="AA78" s="261"/>
      <c r="AB78" s="261"/>
      <c r="AC78" s="261"/>
      <c r="AD78" s="261"/>
    </row>
    <row r="79" spans="1:30" s="255" customFormat="1" ht="17.25" x14ac:dyDescent="0.2">
      <c r="A79" s="256"/>
      <c r="B79" s="239"/>
      <c r="C79" s="239"/>
      <c r="D79" s="239"/>
      <c r="E79" s="239"/>
      <c r="F79" s="257"/>
      <c r="G79" s="239"/>
      <c r="H79" s="239"/>
      <c r="I79" s="239"/>
      <c r="J79" s="258"/>
      <c r="K79" s="243"/>
      <c r="L79" s="243"/>
      <c r="M79" s="239"/>
      <c r="N79" s="239"/>
      <c r="O79" s="239"/>
      <c r="P79" s="239"/>
      <c r="Q79" s="239"/>
      <c r="R79" s="259"/>
      <c r="S79" s="239"/>
      <c r="T79" s="260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</row>
    <row r="80" spans="1:30" s="228" customFormat="1" ht="17.25" x14ac:dyDescent="0.2">
      <c r="A80" s="229" t="s">
        <v>292</v>
      </c>
      <c r="B80" s="230"/>
      <c r="C80" s="230"/>
      <c r="D80" s="230"/>
      <c r="E80" s="230"/>
      <c r="F80" s="231"/>
      <c r="G80" s="230"/>
      <c r="H80" s="230"/>
      <c r="I80" s="230"/>
      <c r="J80" s="230"/>
      <c r="K80" s="232"/>
      <c r="L80" s="232"/>
      <c r="M80" s="230"/>
      <c r="N80" s="230"/>
      <c r="O80" s="230"/>
      <c r="P80" s="230"/>
      <c r="Q80" s="230"/>
      <c r="R80" s="233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</row>
    <row r="81" spans="1:30" ht="17.25" x14ac:dyDescent="0.2">
      <c r="A81" s="234" t="s">
        <v>344</v>
      </c>
      <c r="B81" s="235"/>
      <c r="C81" s="235"/>
      <c r="D81" s="235"/>
      <c r="E81" s="235"/>
      <c r="F81" s="236"/>
      <c r="G81" s="235"/>
      <c r="H81" s="235"/>
      <c r="I81" s="235"/>
      <c r="J81" s="223" t="s">
        <v>16</v>
      </c>
      <c r="K81" s="223">
        <f>SUM(K82:K83)</f>
        <v>0</v>
      </c>
      <c r="L81" s="223">
        <f>SUM(L82:L83)</f>
        <v>0</v>
      </c>
      <c r="M81" s="261"/>
      <c r="N81" s="261"/>
      <c r="O81" s="261"/>
      <c r="P81" s="261"/>
      <c r="Q81" s="261"/>
      <c r="R81" s="224"/>
      <c r="S81" s="261"/>
      <c r="T81" s="261"/>
      <c r="U81" s="261"/>
      <c r="V81" s="261"/>
      <c r="W81" s="261"/>
      <c r="X81" s="261"/>
      <c r="Y81" s="261"/>
      <c r="Z81" s="261"/>
      <c r="AA81" s="261"/>
      <c r="AB81" s="261"/>
      <c r="AC81" s="261"/>
      <c r="AD81" s="261"/>
    </row>
    <row r="82" spans="1:30" s="237" customFormat="1" ht="17.25" x14ac:dyDescent="0.2">
      <c r="A82" s="658"/>
      <c r="B82" s="652"/>
      <c r="C82" s="652"/>
      <c r="D82" s="652"/>
      <c r="E82" s="652"/>
      <c r="F82" s="653"/>
      <c r="G82" s="646"/>
      <c r="H82" s="646"/>
      <c r="I82" s="646"/>
      <c r="J82" s="647"/>
      <c r="K82" s="649"/>
      <c r="L82" s="655"/>
      <c r="M82" s="649"/>
      <c r="N82" s="661"/>
      <c r="O82" s="661"/>
      <c r="P82" s="660"/>
      <c r="Q82" s="652"/>
      <c r="R82" s="731"/>
      <c r="S82" s="308"/>
      <c r="T82" s="569"/>
      <c r="U82" s="247"/>
      <c r="V82" s="248"/>
      <c r="W82" s="239"/>
      <c r="X82" s="239"/>
      <c r="Y82" s="239"/>
      <c r="Z82" s="239"/>
      <c r="AA82" s="239"/>
      <c r="AB82" s="239"/>
      <c r="AC82" s="239"/>
      <c r="AD82" s="239"/>
    </row>
    <row r="83" spans="1:30" s="255" customFormat="1" ht="17.25" x14ac:dyDescent="0.2">
      <c r="A83" s="658"/>
      <c r="B83" s="652"/>
      <c r="C83" s="652"/>
      <c r="D83" s="652"/>
      <c r="E83" s="652"/>
      <c r="F83" s="653"/>
      <c r="G83" s="646"/>
      <c r="H83" s="646"/>
      <c r="I83" s="646"/>
      <c r="J83" s="647"/>
      <c r="K83" s="649"/>
      <c r="L83" s="655"/>
      <c r="M83" s="649"/>
      <c r="N83" s="661"/>
      <c r="O83" s="661"/>
      <c r="P83" s="660"/>
      <c r="Q83" s="652"/>
      <c r="R83" s="731"/>
      <c r="S83" s="308"/>
      <c r="T83" s="569"/>
      <c r="U83" s="247"/>
      <c r="V83" s="615"/>
      <c r="W83" s="239"/>
      <c r="X83" s="239"/>
      <c r="Y83" s="239"/>
      <c r="Z83" s="239"/>
      <c r="AA83" s="239"/>
      <c r="AB83" s="239"/>
      <c r="AC83" s="239"/>
      <c r="AD83" s="239"/>
    </row>
    <row r="84" spans="1:30" ht="17.25" x14ac:dyDescent="0.2">
      <c r="A84" s="252" t="s">
        <v>345</v>
      </c>
      <c r="B84" s="234"/>
      <c r="C84" s="234"/>
      <c r="D84" s="234"/>
      <c r="E84" s="234"/>
      <c r="F84" s="253"/>
      <c r="G84" s="234"/>
      <c r="H84" s="234"/>
      <c r="I84" s="234"/>
      <c r="J84" s="223" t="s">
        <v>16</v>
      </c>
      <c r="K84" s="223">
        <f>SUM(K85:K86)</f>
        <v>0</v>
      </c>
      <c r="L84" s="223">
        <f>SUM(L85:L86)</f>
        <v>0</v>
      </c>
      <c r="M84" s="261"/>
      <c r="N84" s="261"/>
      <c r="O84" s="261"/>
      <c r="P84" s="261"/>
      <c r="Q84" s="261"/>
      <c r="R84" s="224"/>
      <c r="S84" s="261"/>
      <c r="T84" s="261"/>
      <c r="U84" s="261"/>
      <c r="V84" s="261"/>
      <c r="W84" s="261"/>
      <c r="X84" s="261"/>
      <c r="Y84" s="261"/>
      <c r="Z84" s="261"/>
      <c r="AA84" s="261"/>
      <c r="AB84" s="261"/>
      <c r="AC84" s="261"/>
      <c r="AD84" s="261"/>
    </row>
    <row r="85" spans="1:30" s="629" customFormat="1" ht="15.75" x14ac:dyDescent="0.2">
      <c r="A85" s="662"/>
      <c r="B85" s="650"/>
      <c r="C85" s="650"/>
      <c r="D85" s="644"/>
      <c r="E85" s="646"/>
      <c r="F85" s="659"/>
      <c r="G85" s="644"/>
      <c r="H85" s="644"/>
      <c r="I85" s="644"/>
      <c r="J85" s="647"/>
      <c r="K85" s="648"/>
      <c r="L85" s="648"/>
      <c r="M85" s="649"/>
      <c r="N85" s="649"/>
      <c r="O85" s="649"/>
      <c r="P85" s="644"/>
      <c r="Q85" s="644"/>
      <c r="R85" s="731"/>
      <c r="S85" s="646"/>
      <c r="T85" s="681"/>
      <c r="U85" s="295"/>
      <c r="V85" s="270"/>
      <c r="W85" s="270"/>
      <c r="X85" s="270"/>
      <c r="Y85" s="270"/>
      <c r="Z85" s="270"/>
      <c r="AA85" s="270"/>
      <c r="AB85" s="270"/>
      <c r="AC85" s="270"/>
      <c r="AD85" s="270"/>
    </row>
    <row r="86" spans="1:30" s="629" customFormat="1" ht="15.75" x14ac:dyDescent="0.2">
      <c r="A86" s="662"/>
      <c r="B86" s="650"/>
      <c r="C86" s="650"/>
      <c r="D86" s="644"/>
      <c r="E86" s="646"/>
      <c r="F86" s="659"/>
      <c r="G86" s="644"/>
      <c r="H86" s="644"/>
      <c r="I86" s="644"/>
      <c r="J86" s="647"/>
      <c r="K86" s="648"/>
      <c r="L86" s="648"/>
      <c r="M86" s="649"/>
      <c r="N86" s="649"/>
      <c r="O86" s="649"/>
      <c r="P86" s="644"/>
      <c r="Q86" s="644"/>
      <c r="R86" s="731"/>
      <c r="S86" s="646"/>
      <c r="T86" s="681"/>
      <c r="U86" s="295"/>
      <c r="V86" s="270"/>
      <c r="W86" s="270"/>
      <c r="X86" s="270"/>
      <c r="Y86" s="270"/>
      <c r="Z86" s="270"/>
      <c r="AA86" s="270"/>
      <c r="AB86" s="270"/>
      <c r="AC86" s="270"/>
      <c r="AD86" s="270"/>
    </row>
    <row r="87" spans="1:30" s="228" customFormat="1" ht="17.25" x14ac:dyDescent="0.2">
      <c r="A87" s="229" t="s">
        <v>293</v>
      </c>
      <c r="B87" s="230"/>
      <c r="C87" s="230"/>
      <c r="D87" s="230"/>
      <c r="E87" s="230"/>
      <c r="F87" s="231"/>
      <c r="G87" s="230"/>
      <c r="H87" s="230"/>
      <c r="I87" s="230"/>
      <c r="J87" s="230"/>
      <c r="K87" s="232"/>
      <c r="L87" s="232"/>
      <c r="M87" s="230"/>
      <c r="N87" s="230"/>
      <c r="O87" s="230"/>
      <c r="P87" s="230"/>
      <c r="Q87" s="230"/>
      <c r="R87" s="233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</row>
    <row r="88" spans="1:30" ht="17.25" x14ac:dyDescent="0.2">
      <c r="A88" s="234" t="s">
        <v>344</v>
      </c>
      <c r="B88" s="235"/>
      <c r="C88" s="235"/>
      <c r="D88" s="235"/>
      <c r="E88" s="235"/>
      <c r="F88" s="236"/>
      <c r="G88" s="235"/>
      <c r="H88" s="235"/>
      <c r="I88" s="235"/>
      <c r="J88" s="223" t="s">
        <v>16</v>
      </c>
      <c r="K88" s="223">
        <f>SUM(K89:K90)</f>
        <v>0</v>
      </c>
      <c r="L88" s="223">
        <f>SUM(L89:L90)</f>
        <v>0</v>
      </c>
      <c r="M88" s="261"/>
      <c r="N88" s="261"/>
      <c r="O88" s="261"/>
      <c r="P88" s="261"/>
      <c r="Q88" s="261"/>
      <c r="R88" s="224"/>
      <c r="S88" s="261"/>
      <c r="T88" s="261"/>
      <c r="U88" s="261"/>
      <c r="V88" s="261"/>
      <c r="W88" s="261"/>
      <c r="X88" s="261"/>
      <c r="Y88" s="261"/>
      <c r="Z88" s="261"/>
      <c r="AA88" s="261"/>
      <c r="AB88" s="261"/>
      <c r="AC88" s="261"/>
      <c r="AD88" s="261"/>
    </row>
    <row r="89" spans="1:30" s="237" customFormat="1" ht="17.25" x14ac:dyDescent="0.2">
      <c r="A89" s="238"/>
      <c r="B89" s="239"/>
      <c r="C89" s="239"/>
      <c r="D89" s="240"/>
      <c r="E89" s="240"/>
      <c r="F89" s="241"/>
      <c r="G89" s="239"/>
      <c r="H89" s="239"/>
      <c r="I89" s="239"/>
      <c r="J89" s="242"/>
      <c r="K89" s="243"/>
      <c r="L89" s="244"/>
      <c r="M89" s="239"/>
      <c r="N89" s="239"/>
      <c r="O89" s="239"/>
      <c r="P89" s="240"/>
      <c r="Q89" s="240"/>
      <c r="R89" s="245"/>
      <c r="S89" s="240"/>
      <c r="T89" s="246"/>
      <c r="U89" s="247"/>
      <c r="V89" s="248"/>
      <c r="W89" s="239"/>
      <c r="X89" s="239"/>
      <c r="Y89" s="239"/>
      <c r="Z89" s="239"/>
      <c r="AA89" s="239"/>
      <c r="AB89" s="239"/>
      <c r="AC89" s="239"/>
      <c r="AD89" s="239"/>
    </row>
    <row r="90" spans="1:30" ht="17.25" x14ac:dyDescent="0.2">
      <c r="A90" s="262"/>
      <c r="B90" s="261"/>
      <c r="C90" s="261"/>
      <c r="D90" s="249"/>
      <c r="E90" s="240"/>
      <c r="F90" s="241"/>
      <c r="G90" s="239"/>
      <c r="H90" s="239"/>
      <c r="I90" s="239"/>
      <c r="J90" s="250"/>
      <c r="K90" s="251"/>
      <c r="L90" s="251"/>
      <c r="M90" s="239"/>
      <c r="N90" s="239"/>
      <c r="O90" s="239"/>
      <c r="P90" s="240"/>
      <c r="Q90" s="240"/>
      <c r="R90" s="245"/>
      <c r="S90" s="240"/>
      <c r="T90" s="246"/>
      <c r="U90" s="247"/>
      <c r="V90" s="248"/>
      <c r="W90" s="261"/>
      <c r="X90" s="261"/>
      <c r="Y90" s="261"/>
      <c r="Z90" s="261"/>
      <c r="AA90" s="261"/>
      <c r="AB90" s="261"/>
      <c r="AC90" s="261"/>
      <c r="AD90" s="261"/>
    </row>
    <row r="91" spans="1:30" ht="17.25" x14ac:dyDescent="0.2">
      <c r="A91" s="252" t="s">
        <v>345</v>
      </c>
      <c r="B91" s="234"/>
      <c r="C91" s="234"/>
      <c r="D91" s="234"/>
      <c r="E91" s="234"/>
      <c r="F91" s="253"/>
      <c r="G91" s="234"/>
      <c r="H91" s="234"/>
      <c r="I91" s="234"/>
      <c r="J91" s="223" t="s">
        <v>16</v>
      </c>
      <c r="K91" s="223">
        <f>SUM(K92:K93)</f>
        <v>0</v>
      </c>
      <c r="L91" s="223">
        <f>SUM(L92:L93)</f>
        <v>0</v>
      </c>
      <c r="M91" s="261"/>
      <c r="N91" s="261"/>
      <c r="O91" s="261"/>
      <c r="P91" s="261"/>
      <c r="Q91" s="261"/>
      <c r="R91" s="224"/>
      <c r="S91" s="261"/>
      <c r="T91" s="261"/>
      <c r="U91" s="261"/>
      <c r="V91" s="261"/>
      <c r="W91" s="261"/>
      <c r="X91" s="261"/>
      <c r="Y91" s="261"/>
      <c r="Z91" s="261"/>
      <c r="AA91" s="261"/>
      <c r="AB91" s="261"/>
      <c r="AC91" s="261"/>
      <c r="AD91" s="261"/>
    </row>
    <row r="92" spans="1:30" ht="17.25" x14ac:dyDescent="0.2">
      <c r="A92" s="254"/>
      <c r="B92" s="261"/>
      <c r="C92" s="261"/>
      <c r="D92" s="240"/>
      <c r="E92" s="240"/>
      <c r="F92" s="241"/>
      <c r="G92" s="240"/>
      <c r="H92" s="240"/>
      <c r="I92" s="240"/>
      <c r="J92" s="250"/>
      <c r="K92" s="251"/>
      <c r="L92" s="251"/>
      <c r="M92" s="240"/>
      <c r="N92" s="240"/>
      <c r="O92" s="240"/>
      <c r="P92" s="240"/>
      <c r="Q92" s="240"/>
      <c r="R92" s="245"/>
      <c r="S92" s="240"/>
      <c r="T92" s="247"/>
      <c r="U92" s="240"/>
      <c r="V92" s="261"/>
      <c r="W92" s="261"/>
      <c r="X92" s="261"/>
      <c r="Y92" s="261"/>
      <c r="Z92" s="261"/>
      <c r="AA92" s="261"/>
      <c r="AB92" s="261"/>
      <c r="AC92" s="261"/>
      <c r="AD92" s="261"/>
    </row>
    <row r="93" spans="1:30" s="255" customFormat="1" ht="17.25" x14ac:dyDescent="0.2">
      <c r="A93" s="256"/>
      <c r="B93" s="239"/>
      <c r="C93" s="239"/>
      <c r="D93" s="239"/>
      <c r="E93" s="239"/>
      <c r="F93" s="257"/>
      <c r="G93" s="239"/>
      <c r="H93" s="239"/>
      <c r="I93" s="239"/>
      <c r="J93" s="258"/>
      <c r="K93" s="243"/>
      <c r="L93" s="243"/>
      <c r="M93" s="239"/>
      <c r="N93" s="239"/>
      <c r="O93" s="239"/>
      <c r="P93" s="239"/>
      <c r="Q93" s="239"/>
      <c r="R93" s="259"/>
      <c r="S93" s="239"/>
      <c r="T93" s="260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</row>
  </sheetData>
  <mergeCells count="23">
    <mergeCell ref="A2:E2"/>
    <mergeCell ref="A3:E3"/>
    <mergeCell ref="J6:J7"/>
    <mergeCell ref="AB6:AD6"/>
    <mergeCell ref="A5:R5"/>
    <mergeCell ref="G6:I6"/>
    <mergeCell ref="S5:U5"/>
    <mergeCell ref="Y6:AA6"/>
    <mergeCell ref="P6:P7"/>
    <mergeCell ref="A6:A7"/>
    <mergeCell ref="B6:B7"/>
    <mergeCell ref="C6:C7"/>
    <mergeCell ref="E6:E7"/>
    <mergeCell ref="F6:F7"/>
    <mergeCell ref="V5:AD5"/>
    <mergeCell ref="K6:L6"/>
    <mergeCell ref="V6:X6"/>
    <mergeCell ref="M6:O6"/>
    <mergeCell ref="S6:S7"/>
    <mergeCell ref="T6:T7"/>
    <mergeCell ref="U6:U7"/>
    <mergeCell ref="Q6:Q7"/>
    <mergeCell ref="R6:R7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  <pageSetUpPr fitToPage="1"/>
  </sheetPr>
  <dimension ref="A1:AE788"/>
  <sheetViews>
    <sheetView tabSelected="1" zoomScale="80" zoomScaleNormal="80" workbookViewId="0">
      <pane ySplit="7" topLeftCell="A69" activePane="bottomLeft" state="frozen"/>
      <selection pane="bottomLeft" activeCell="K3" sqref="K3"/>
    </sheetView>
  </sheetViews>
  <sheetFormatPr defaultColWidth="9" defaultRowHeight="15.75" x14ac:dyDescent="0.25"/>
  <cols>
    <col min="1" max="1" width="13.5703125" style="449" customWidth="1"/>
    <col min="2" max="2" width="0.140625" style="450" customWidth="1"/>
    <col min="3" max="3" width="12" style="450" hidden="1" customWidth="1"/>
    <col min="4" max="4" width="20.140625" style="450" hidden="1" customWidth="1"/>
    <col min="5" max="5" width="26.140625" style="450" customWidth="1"/>
    <col min="6" max="6" width="15.5703125" style="450" hidden="1" customWidth="1"/>
    <col min="7" max="7" width="22.5703125" style="450" customWidth="1"/>
    <col min="8" max="8" width="20.42578125" style="450" customWidth="1"/>
    <col min="9" max="9" width="18" style="450" customWidth="1"/>
    <col min="10" max="10" width="15.7109375" style="449" customWidth="1"/>
    <col min="11" max="11" width="8.5703125" style="449" customWidth="1"/>
    <col min="12" max="12" width="10.7109375" style="449" bestFit="1" customWidth="1"/>
    <col min="13" max="13" width="35.42578125" style="450" customWidth="1"/>
    <col min="14" max="14" width="28.5703125" style="450" bestFit="1" customWidth="1"/>
    <col min="15" max="15" width="13.7109375" style="450" bestFit="1" customWidth="1"/>
    <col min="16" max="16" width="14.28515625" style="450" customWidth="1"/>
    <col min="17" max="17" width="17.42578125" style="450" customWidth="1"/>
    <col min="18" max="18" width="20.140625" style="450" customWidth="1"/>
    <col min="19" max="19" width="38.140625" style="450" bestFit="1" customWidth="1"/>
    <col min="20" max="20" width="17.5703125" style="450" customWidth="1"/>
    <col min="21" max="21" width="15.42578125" style="450" customWidth="1"/>
    <col min="22" max="22" width="13.7109375" style="450" customWidth="1"/>
    <col min="23" max="23" width="11.140625" style="450" customWidth="1"/>
    <col min="24" max="24" width="10.7109375" style="450" customWidth="1"/>
    <col min="25" max="25" width="13" style="450" customWidth="1"/>
    <col min="26" max="30" width="9.140625" style="450" customWidth="1"/>
    <col min="31" max="256" width="8.7109375" style="450" customWidth="1"/>
    <col min="257" max="16384" width="9" style="450"/>
  </cols>
  <sheetData>
    <row r="1" spans="1:30" x14ac:dyDescent="0.25">
      <c r="J1" s="451"/>
      <c r="K1" s="452" t="s">
        <v>304</v>
      </c>
      <c r="L1" s="452" t="s">
        <v>305</v>
      </c>
      <c r="M1" s="453" t="s">
        <v>21</v>
      </c>
    </row>
    <row r="2" spans="1:30" x14ac:dyDescent="0.25">
      <c r="A2" s="806" t="s">
        <v>306</v>
      </c>
      <c r="B2" s="806"/>
      <c r="C2" s="806"/>
      <c r="D2" s="806"/>
      <c r="E2" s="806"/>
      <c r="F2" s="454"/>
      <c r="G2" s="454"/>
      <c r="H2" s="454"/>
      <c r="I2" s="454"/>
      <c r="J2" s="455" t="s">
        <v>307</v>
      </c>
      <c r="K2" s="456">
        <f>SUM(K71,K90,K195)</f>
        <v>294</v>
      </c>
      <c r="L2" s="456">
        <f>SUM(L71,L90,L195)</f>
        <v>41</v>
      </c>
      <c r="M2" s="457">
        <f>SUM(K2:L2)</f>
        <v>335</v>
      </c>
      <c r="N2" s="454"/>
      <c r="O2" s="454"/>
      <c r="P2" s="454"/>
      <c r="Q2" s="454"/>
      <c r="R2" s="458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</row>
    <row r="3" spans="1:30" x14ac:dyDescent="0.25">
      <c r="A3" s="806" t="s">
        <v>308</v>
      </c>
      <c r="B3" s="806"/>
      <c r="C3" s="806"/>
      <c r="D3" s="806"/>
      <c r="E3" s="806"/>
      <c r="F3" s="454"/>
      <c r="G3" s="459"/>
      <c r="H3" s="454"/>
      <c r="I3" s="454"/>
      <c r="J3" s="455" t="s">
        <v>309</v>
      </c>
      <c r="K3" s="456">
        <f>K86</f>
        <v>0</v>
      </c>
      <c r="L3" s="456">
        <f>L86</f>
        <v>0</v>
      </c>
      <c r="M3" s="457">
        <f>SUM(K3:L3)</f>
        <v>0</v>
      </c>
      <c r="N3" s="454"/>
      <c r="O3" s="454"/>
      <c r="P3" s="454"/>
      <c r="Q3" s="454"/>
      <c r="R3" s="458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</row>
    <row r="4" spans="1:30" ht="31.5" customHeight="1" x14ac:dyDescent="0.25">
      <c r="A4" s="460"/>
      <c r="B4" s="461"/>
      <c r="C4" s="461" t="s">
        <v>310</v>
      </c>
      <c r="D4" s="461"/>
      <c r="E4" s="461"/>
      <c r="F4" s="454"/>
      <c r="G4" s="459"/>
      <c r="H4" s="459"/>
      <c r="I4" s="454"/>
      <c r="J4" s="452"/>
      <c r="K4" s="456"/>
      <c r="L4" s="456"/>
      <c r="M4" s="457">
        <f>SUM(M2:M3)</f>
        <v>335</v>
      </c>
      <c r="N4" s="454"/>
      <c r="O4" s="454"/>
      <c r="P4" s="454"/>
      <c r="Q4" s="454"/>
      <c r="R4" s="458"/>
      <c r="S4" s="454"/>
      <c r="T4" s="454"/>
      <c r="U4" s="454"/>
      <c r="V4" s="454"/>
      <c r="W4" s="454"/>
      <c r="X4" s="454"/>
      <c r="Y4" s="454"/>
      <c r="Z4" s="454"/>
      <c r="AA4" s="454"/>
      <c r="AB4" s="454"/>
      <c r="AC4" s="454"/>
      <c r="AD4" s="454"/>
    </row>
    <row r="5" spans="1:30" ht="15" customHeight="1" x14ac:dyDescent="0.25">
      <c r="A5" s="807" t="s">
        <v>311</v>
      </c>
      <c r="B5" s="807"/>
      <c r="C5" s="807"/>
      <c r="D5" s="807"/>
      <c r="E5" s="807"/>
      <c r="F5" s="807"/>
      <c r="G5" s="807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807"/>
      <c r="S5" s="808" t="s">
        <v>312</v>
      </c>
      <c r="T5" s="808"/>
      <c r="U5" s="808"/>
      <c r="V5" s="810" t="s">
        <v>313</v>
      </c>
      <c r="W5" s="810"/>
      <c r="X5" s="810"/>
      <c r="Y5" s="810"/>
      <c r="Z5" s="810"/>
      <c r="AA5" s="810"/>
      <c r="AB5" s="810"/>
      <c r="AC5" s="810"/>
      <c r="AD5" s="810"/>
    </row>
    <row r="6" spans="1:30" ht="56.25" customHeight="1" x14ac:dyDescent="0.25">
      <c r="A6" s="804" t="s">
        <v>314</v>
      </c>
      <c r="B6" s="804" t="s">
        <v>315</v>
      </c>
      <c r="C6" s="804" t="s">
        <v>316</v>
      </c>
      <c r="D6" s="462" t="s">
        <v>317</v>
      </c>
      <c r="E6" s="804" t="s">
        <v>318</v>
      </c>
      <c r="F6" s="809"/>
      <c r="G6" s="804" t="s">
        <v>319</v>
      </c>
      <c r="H6" s="804"/>
      <c r="I6" s="804"/>
      <c r="J6" s="804" t="s">
        <v>320</v>
      </c>
      <c r="K6" s="804" t="s">
        <v>321</v>
      </c>
      <c r="L6" s="804"/>
      <c r="M6" s="804" t="s">
        <v>322</v>
      </c>
      <c r="N6" s="804"/>
      <c r="O6" s="804"/>
      <c r="P6" s="804" t="s">
        <v>323</v>
      </c>
      <c r="Q6" s="804" t="s">
        <v>324</v>
      </c>
      <c r="R6" s="802" t="s">
        <v>325</v>
      </c>
      <c r="S6" s="805" t="s">
        <v>326</v>
      </c>
      <c r="T6" s="805" t="s">
        <v>327</v>
      </c>
      <c r="U6" s="805" t="s">
        <v>328</v>
      </c>
      <c r="V6" s="803" t="s">
        <v>329</v>
      </c>
      <c r="W6" s="803"/>
      <c r="X6" s="803"/>
      <c r="Y6" s="803" t="s">
        <v>330</v>
      </c>
      <c r="Z6" s="803"/>
      <c r="AA6" s="803"/>
      <c r="AB6" s="803" t="s">
        <v>331</v>
      </c>
      <c r="AC6" s="803"/>
      <c r="AD6" s="803"/>
    </row>
    <row r="7" spans="1:30" ht="28.5" customHeight="1" x14ac:dyDescent="0.25">
      <c r="A7" s="804"/>
      <c r="B7" s="804"/>
      <c r="C7" s="804"/>
      <c r="D7" s="462" t="s">
        <v>332</v>
      </c>
      <c r="E7" s="804"/>
      <c r="F7" s="809"/>
      <c r="G7" s="462" t="s">
        <v>333</v>
      </c>
      <c r="H7" s="462" t="s">
        <v>334</v>
      </c>
      <c r="I7" s="462" t="s">
        <v>335</v>
      </c>
      <c r="J7" s="804"/>
      <c r="K7" s="462" t="s">
        <v>336</v>
      </c>
      <c r="L7" s="462" t="s">
        <v>337</v>
      </c>
      <c r="M7" s="462" t="s">
        <v>338</v>
      </c>
      <c r="N7" s="462" t="s">
        <v>339</v>
      </c>
      <c r="O7" s="462" t="s">
        <v>340</v>
      </c>
      <c r="P7" s="804"/>
      <c r="Q7" s="804"/>
      <c r="R7" s="802"/>
      <c r="S7" s="805"/>
      <c r="T7" s="805"/>
      <c r="U7" s="805"/>
      <c r="V7" s="463" t="s">
        <v>341</v>
      </c>
      <c r="W7" s="464" t="s">
        <v>342</v>
      </c>
      <c r="X7" s="464" t="s">
        <v>343</v>
      </c>
      <c r="Y7" s="463" t="s">
        <v>341</v>
      </c>
      <c r="Z7" s="464" t="s">
        <v>342</v>
      </c>
      <c r="AA7" s="464" t="s">
        <v>343</v>
      </c>
      <c r="AB7" s="463" t="s">
        <v>341</v>
      </c>
      <c r="AC7" s="464" t="s">
        <v>342</v>
      </c>
      <c r="AD7" s="464" t="s">
        <v>343</v>
      </c>
    </row>
    <row r="8" spans="1:30" x14ac:dyDescent="0.25">
      <c r="A8" s="465"/>
      <c r="B8" s="454"/>
      <c r="C8" s="454"/>
      <c r="D8" s="454"/>
      <c r="E8" s="454"/>
      <c r="F8" s="466"/>
      <c r="G8" s="454"/>
      <c r="H8" s="454"/>
      <c r="I8" s="454"/>
      <c r="J8" s="467"/>
      <c r="K8" s="467"/>
      <c r="L8" s="467"/>
      <c r="M8" s="454"/>
      <c r="N8" s="454"/>
      <c r="O8" s="454"/>
      <c r="P8" s="454"/>
      <c r="Q8" s="454"/>
      <c r="R8" s="458"/>
      <c r="S8" s="454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</row>
    <row r="9" spans="1:30" x14ac:dyDescent="0.25">
      <c r="A9" s="465"/>
      <c r="B9" s="454"/>
      <c r="C9" s="454"/>
      <c r="D9" s="454"/>
      <c r="E9" s="454"/>
      <c r="F9" s="466"/>
      <c r="G9" s="454"/>
      <c r="H9" s="454"/>
      <c r="I9" s="454"/>
      <c r="J9" s="467"/>
      <c r="K9" s="467"/>
      <c r="L9" s="467"/>
      <c r="M9" s="454"/>
      <c r="N9" s="454"/>
      <c r="O9" s="454"/>
      <c r="P9" s="454"/>
      <c r="Q9" s="454"/>
      <c r="R9" s="458"/>
      <c r="S9" s="454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</row>
    <row r="10" spans="1:30" s="472" customFormat="1" x14ac:dyDescent="0.25">
      <c r="A10" s="457" t="s">
        <v>281</v>
      </c>
      <c r="B10" s="468"/>
      <c r="C10" s="468"/>
      <c r="D10" s="468"/>
      <c r="E10" s="468"/>
      <c r="F10" s="469"/>
      <c r="G10" s="468"/>
      <c r="H10" s="468"/>
      <c r="I10" s="468"/>
      <c r="J10" s="470"/>
      <c r="K10" s="470"/>
      <c r="L10" s="470"/>
      <c r="M10" s="468"/>
      <c r="N10" s="468"/>
      <c r="O10" s="468"/>
      <c r="P10" s="468"/>
      <c r="Q10" s="468"/>
      <c r="R10" s="471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</row>
    <row r="11" spans="1:30" x14ac:dyDescent="0.25">
      <c r="A11" s="473" t="s">
        <v>344</v>
      </c>
      <c r="B11" s="474"/>
      <c r="C11" s="474"/>
      <c r="D11" s="474"/>
      <c r="E11" s="474"/>
      <c r="F11" s="475"/>
      <c r="G11" s="474"/>
      <c r="H11" s="474"/>
      <c r="I11" s="474"/>
      <c r="J11" s="456" t="s">
        <v>16</v>
      </c>
      <c r="K11" s="456">
        <f>SUM(K12:K13)</f>
        <v>0</v>
      </c>
      <c r="L11" s="456">
        <f>SUM(L12:L13)</f>
        <v>0</v>
      </c>
      <c r="M11" s="454"/>
      <c r="N11" s="454"/>
      <c r="O11" s="454"/>
      <c r="P11" s="454"/>
      <c r="Q11" s="454"/>
      <c r="R11" s="458"/>
      <c r="S11" s="454"/>
      <c r="T11" s="454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</row>
    <row r="12" spans="1:30" s="486" customFormat="1" x14ac:dyDescent="0.25">
      <c r="A12" s="476"/>
      <c r="B12" s="477"/>
      <c r="C12" s="477"/>
      <c r="D12" s="477"/>
      <c r="E12" s="477"/>
      <c r="F12" s="478"/>
      <c r="G12" s="477"/>
      <c r="H12" s="477"/>
      <c r="I12" s="477"/>
      <c r="J12" s="479"/>
      <c r="K12" s="480"/>
      <c r="L12" s="481"/>
      <c r="M12" s="477"/>
      <c r="N12" s="477"/>
      <c r="O12" s="477"/>
      <c r="P12" s="477"/>
      <c r="Q12" s="477"/>
      <c r="R12" s="482"/>
      <c r="S12" s="477"/>
      <c r="T12" s="483"/>
      <c r="U12" s="484"/>
      <c r="V12" s="485"/>
      <c r="W12" s="477"/>
      <c r="X12" s="477"/>
      <c r="Y12" s="477"/>
      <c r="Z12" s="477"/>
      <c r="AA12" s="477"/>
      <c r="AB12" s="477"/>
      <c r="AC12" s="477"/>
      <c r="AD12" s="477"/>
    </row>
    <row r="13" spans="1:30" x14ac:dyDescent="0.25">
      <c r="A13" s="465"/>
      <c r="B13" s="454"/>
      <c r="C13" s="454"/>
      <c r="D13" s="487"/>
      <c r="E13" s="477"/>
      <c r="F13" s="478"/>
      <c r="G13" s="477"/>
      <c r="H13" s="477"/>
      <c r="I13" s="477"/>
      <c r="J13" s="479"/>
      <c r="K13" s="480"/>
      <c r="L13" s="480"/>
      <c r="M13" s="477"/>
      <c r="N13" s="477"/>
      <c r="O13" s="477"/>
      <c r="P13" s="477"/>
      <c r="Q13" s="477"/>
      <c r="R13" s="482"/>
      <c r="S13" s="477"/>
      <c r="T13" s="483"/>
      <c r="U13" s="484"/>
      <c r="V13" s="485"/>
      <c r="W13" s="454"/>
      <c r="X13" s="454"/>
      <c r="Y13" s="454"/>
      <c r="Z13" s="454"/>
      <c r="AA13" s="454"/>
      <c r="AB13" s="454"/>
      <c r="AC13" s="454"/>
      <c r="AD13" s="454"/>
    </row>
    <row r="14" spans="1:30" x14ac:dyDescent="0.25">
      <c r="A14" s="488" t="s">
        <v>345</v>
      </c>
      <c r="B14" s="489"/>
      <c r="C14" s="489"/>
      <c r="D14" s="489"/>
      <c r="E14" s="489"/>
      <c r="F14" s="490"/>
      <c r="G14" s="489"/>
      <c r="H14" s="489"/>
      <c r="I14" s="489"/>
      <c r="J14" s="456" t="s">
        <v>16</v>
      </c>
      <c r="K14" s="456">
        <f>SUM(K15:K16)</f>
        <v>0</v>
      </c>
      <c r="L14" s="456">
        <f>SUM(L15:L16)</f>
        <v>0</v>
      </c>
      <c r="M14" s="454"/>
      <c r="N14" s="454"/>
      <c r="O14" s="454"/>
      <c r="P14" s="454"/>
      <c r="Q14" s="454"/>
      <c r="R14" s="458"/>
      <c r="S14" s="454"/>
      <c r="T14" s="454"/>
      <c r="U14" s="454"/>
      <c r="V14" s="454"/>
      <c r="W14" s="454"/>
      <c r="X14" s="454"/>
      <c r="Y14" s="454"/>
      <c r="Z14" s="454"/>
      <c r="AA14" s="454"/>
      <c r="AB14" s="454"/>
      <c r="AC14" s="454"/>
      <c r="AD14" s="454"/>
    </row>
    <row r="15" spans="1:30" x14ac:dyDescent="0.25">
      <c r="A15" s="491"/>
      <c r="B15" s="454"/>
      <c r="C15" s="454"/>
      <c r="D15" s="477"/>
      <c r="E15" s="477"/>
      <c r="F15" s="478"/>
      <c r="G15" s="477"/>
      <c r="H15" s="477"/>
      <c r="I15" s="477"/>
      <c r="J15" s="479"/>
      <c r="K15" s="480"/>
      <c r="L15" s="480"/>
      <c r="M15" s="477"/>
      <c r="N15" s="477"/>
      <c r="O15" s="477"/>
      <c r="P15" s="477"/>
      <c r="Q15" s="477"/>
      <c r="R15" s="482"/>
      <c r="S15" s="477"/>
      <c r="T15" s="484"/>
      <c r="U15" s="477"/>
      <c r="V15" s="454"/>
      <c r="W15" s="454"/>
      <c r="X15" s="454"/>
      <c r="Y15" s="454"/>
      <c r="Z15" s="454"/>
      <c r="AA15" s="454"/>
      <c r="AB15" s="454"/>
      <c r="AC15" s="454"/>
      <c r="AD15" s="454"/>
    </row>
    <row r="16" spans="1:30" s="486" customFormat="1" x14ac:dyDescent="0.25">
      <c r="A16" s="492"/>
      <c r="B16" s="477"/>
      <c r="C16" s="477"/>
      <c r="D16" s="477"/>
      <c r="E16" s="477"/>
      <c r="F16" s="478"/>
      <c r="G16" s="477"/>
      <c r="H16" s="477"/>
      <c r="I16" s="477"/>
      <c r="J16" s="479"/>
      <c r="K16" s="480"/>
      <c r="L16" s="480"/>
      <c r="M16" s="477"/>
      <c r="N16" s="477"/>
      <c r="O16" s="477"/>
      <c r="P16" s="477"/>
      <c r="Q16" s="477"/>
      <c r="R16" s="482"/>
      <c r="S16" s="477"/>
      <c r="T16" s="484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</row>
    <row r="17" spans="1:30" s="472" customFormat="1" x14ac:dyDescent="0.25">
      <c r="A17" s="457" t="s">
        <v>282</v>
      </c>
      <c r="B17" s="468"/>
      <c r="C17" s="468"/>
      <c r="D17" s="468"/>
      <c r="E17" s="468"/>
      <c r="F17" s="469"/>
      <c r="G17" s="468"/>
      <c r="H17" s="468"/>
      <c r="I17" s="468"/>
      <c r="J17" s="470"/>
      <c r="K17" s="470"/>
      <c r="L17" s="470"/>
      <c r="M17" s="468"/>
      <c r="N17" s="468"/>
      <c r="O17" s="468"/>
      <c r="P17" s="468"/>
      <c r="Q17" s="468"/>
      <c r="R17" s="471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</row>
    <row r="18" spans="1:30" x14ac:dyDescent="0.25">
      <c r="A18" s="473" t="s">
        <v>344</v>
      </c>
      <c r="B18" s="474"/>
      <c r="C18" s="474"/>
      <c r="D18" s="474"/>
      <c r="E18" s="474"/>
      <c r="F18" s="475"/>
      <c r="G18" s="474"/>
      <c r="H18" s="474"/>
      <c r="I18" s="474"/>
      <c r="J18" s="456" t="s">
        <v>16</v>
      </c>
      <c r="K18" s="456">
        <v>0</v>
      </c>
      <c r="L18" s="456">
        <f>SUM(L19:L27)</f>
        <v>0</v>
      </c>
      <c r="M18" s="454"/>
      <c r="N18" s="454"/>
      <c r="O18" s="454"/>
      <c r="P18" s="454"/>
      <c r="Q18" s="454"/>
      <c r="R18" s="458"/>
      <c r="S18" s="454"/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</row>
    <row r="19" spans="1:30" s="486" customFormat="1" x14ac:dyDescent="0.25">
      <c r="A19" s="476"/>
      <c r="B19" s="477"/>
      <c r="C19" s="477"/>
      <c r="D19" s="477"/>
      <c r="E19" s="477"/>
      <c r="F19" s="478"/>
      <c r="G19" s="477"/>
      <c r="H19" s="477"/>
      <c r="I19" s="477"/>
      <c r="J19" s="479"/>
      <c r="K19" s="480"/>
      <c r="L19" s="481"/>
      <c r="M19" s="477"/>
      <c r="N19" s="477"/>
      <c r="O19" s="477"/>
      <c r="P19" s="477"/>
      <c r="Q19" s="477"/>
      <c r="R19" s="482"/>
      <c r="S19" s="477"/>
      <c r="T19" s="483"/>
      <c r="U19" s="484"/>
      <c r="V19" s="485"/>
      <c r="W19" s="477"/>
      <c r="X19" s="477"/>
      <c r="Y19" s="477"/>
      <c r="Z19" s="477"/>
      <c r="AA19" s="477"/>
      <c r="AB19" s="477"/>
      <c r="AC19" s="477"/>
      <c r="AD19" s="477"/>
    </row>
    <row r="20" spans="1:30" s="486" customFormat="1" x14ac:dyDescent="0.25">
      <c r="A20" s="476"/>
      <c r="B20" s="477"/>
      <c r="C20" s="477"/>
      <c r="D20" s="477"/>
      <c r="E20" s="477"/>
      <c r="F20" s="478"/>
      <c r="G20" s="477"/>
      <c r="H20" s="477"/>
      <c r="I20" s="477"/>
      <c r="J20" s="479"/>
      <c r="K20" s="480"/>
      <c r="L20" s="481"/>
      <c r="M20" s="477"/>
      <c r="N20" s="477"/>
      <c r="O20" s="477"/>
      <c r="P20" s="477"/>
      <c r="Q20" s="477"/>
      <c r="R20" s="482"/>
      <c r="S20" s="477"/>
      <c r="T20" s="483"/>
      <c r="U20" s="484"/>
      <c r="V20" s="485"/>
      <c r="W20" s="477"/>
      <c r="X20" s="477"/>
      <c r="Y20" s="477"/>
      <c r="Z20" s="477"/>
      <c r="AA20" s="477"/>
      <c r="AB20" s="477"/>
      <c r="AC20" s="477"/>
      <c r="AD20" s="477"/>
    </row>
    <row r="21" spans="1:30" x14ac:dyDescent="0.25">
      <c r="A21" s="488" t="s">
        <v>345</v>
      </c>
      <c r="B21" s="489"/>
      <c r="C21" s="489"/>
      <c r="D21" s="489"/>
      <c r="E21" s="489"/>
      <c r="F21" s="490"/>
      <c r="G21" s="489"/>
      <c r="H21" s="489"/>
      <c r="I21" s="489"/>
      <c r="J21" s="456" t="s">
        <v>16</v>
      </c>
      <c r="K21" s="456">
        <f>SUM(K22:K23)</f>
        <v>0</v>
      </c>
      <c r="L21" s="456">
        <f>SUM(L22:L23)</f>
        <v>0</v>
      </c>
      <c r="M21" s="454"/>
      <c r="N21" s="454"/>
      <c r="O21" s="454"/>
      <c r="P21" s="454"/>
      <c r="Q21" s="454"/>
      <c r="R21" s="458"/>
      <c r="S21" s="454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</row>
    <row r="22" spans="1:30" x14ac:dyDescent="0.25">
      <c r="A22" s="491"/>
      <c r="B22" s="454"/>
      <c r="C22" s="454"/>
      <c r="D22" s="477"/>
      <c r="E22" s="477"/>
      <c r="F22" s="478"/>
      <c r="G22" s="477"/>
      <c r="H22" s="477"/>
      <c r="I22" s="477"/>
      <c r="J22" s="479"/>
      <c r="K22" s="480"/>
      <c r="L22" s="480"/>
      <c r="M22" s="477"/>
      <c r="N22" s="477"/>
      <c r="O22" s="477"/>
      <c r="P22" s="477"/>
      <c r="Q22" s="477"/>
      <c r="R22" s="482"/>
      <c r="S22" s="477"/>
      <c r="T22" s="484"/>
      <c r="U22" s="477"/>
      <c r="V22" s="454"/>
      <c r="W22" s="454"/>
      <c r="X22" s="454"/>
      <c r="Y22" s="454"/>
      <c r="Z22" s="454"/>
      <c r="AA22" s="454"/>
      <c r="AB22" s="454"/>
      <c r="AC22" s="454"/>
      <c r="AD22" s="454"/>
    </row>
    <row r="23" spans="1:30" s="486" customFormat="1" x14ac:dyDescent="0.25">
      <c r="A23" s="492"/>
      <c r="B23" s="477"/>
      <c r="C23" s="477"/>
      <c r="D23" s="477"/>
      <c r="E23" s="477"/>
      <c r="F23" s="478"/>
      <c r="G23" s="477"/>
      <c r="H23" s="477"/>
      <c r="I23" s="477"/>
      <c r="J23" s="479"/>
      <c r="K23" s="480"/>
      <c r="L23" s="480"/>
      <c r="M23" s="477"/>
      <c r="N23" s="477"/>
      <c r="O23" s="477"/>
      <c r="P23" s="477"/>
      <c r="Q23" s="477"/>
      <c r="R23" s="482"/>
      <c r="S23" s="477"/>
      <c r="T23" s="484"/>
      <c r="U23" s="477"/>
      <c r="V23" s="477"/>
      <c r="W23" s="477"/>
      <c r="X23" s="477"/>
      <c r="Y23" s="477"/>
      <c r="Z23" s="477"/>
      <c r="AA23" s="477"/>
      <c r="AB23" s="477"/>
      <c r="AC23" s="477"/>
      <c r="AD23" s="477"/>
    </row>
    <row r="24" spans="1:30" s="472" customFormat="1" x14ac:dyDescent="0.25">
      <c r="A24" s="457" t="s">
        <v>283</v>
      </c>
      <c r="B24" s="468"/>
      <c r="C24" s="468"/>
      <c r="D24" s="468"/>
      <c r="E24" s="468"/>
      <c r="F24" s="469"/>
      <c r="G24" s="468"/>
      <c r="H24" s="468"/>
      <c r="I24" s="468"/>
      <c r="J24" s="470"/>
      <c r="K24" s="470"/>
      <c r="L24" s="470"/>
      <c r="M24" s="468"/>
      <c r="N24" s="468"/>
      <c r="O24" s="468"/>
      <c r="P24" s="468"/>
      <c r="Q24" s="468"/>
      <c r="R24" s="471"/>
      <c r="S24" s="468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</row>
    <row r="25" spans="1:30" x14ac:dyDescent="0.25">
      <c r="A25" s="473" t="s">
        <v>344</v>
      </c>
      <c r="B25" s="474"/>
      <c r="C25" s="474"/>
      <c r="D25" s="474"/>
      <c r="E25" s="474"/>
      <c r="F25" s="475"/>
      <c r="G25" s="474"/>
      <c r="H25" s="474"/>
      <c r="I25" s="474"/>
      <c r="J25" s="456" t="s">
        <v>16</v>
      </c>
      <c r="K25" s="456">
        <f>SUM(K26:K28)</f>
        <v>0</v>
      </c>
      <c r="L25" s="456">
        <f>SUM(L26:L28)</f>
        <v>0</v>
      </c>
      <c r="M25" s="454"/>
      <c r="N25" s="454"/>
      <c r="O25" s="454"/>
      <c r="P25" s="454"/>
      <c r="Q25" s="454"/>
      <c r="R25" s="458"/>
      <c r="S25" s="454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</row>
    <row r="26" spans="1:30" s="486" customFormat="1" x14ac:dyDescent="0.25">
      <c r="A26" s="476"/>
      <c r="B26" s="477"/>
      <c r="C26" s="477"/>
      <c r="D26" s="477"/>
      <c r="E26" s="477"/>
      <c r="F26" s="478"/>
      <c r="G26" s="477"/>
      <c r="H26" s="477"/>
      <c r="I26" s="477"/>
      <c r="J26" s="479"/>
      <c r="K26" s="480"/>
      <c r="L26" s="481"/>
      <c r="M26" s="477"/>
      <c r="N26" s="477"/>
      <c r="O26" s="477"/>
      <c r="P26" s="477"/>
      <c r="Q26" s="477"/>
      <c r="R26" s="482"/>
      <c r="S26" s="477"/>
      <c r="T26" s="483"/>
      <c r="U26" s="484"/>
      <c r="V26" s="485"/>
      <c r="W26" s="477"/>
      <c r="X26" s="477"/>
      <c r="Y26" s="477"/>
      <c r="Z26" s="477"/>
      <c r="AA26" s="477"/>
      <c r="AB26" s="477"/>
      <c r="AC26" s="477"/>
      <c r="AD26" s="477"/>
    </row>
    <row r="27" spans="1:30" s="486" customFormat="1" x14ac:dyDescent="0.25">
      <c r="A27" s="476"/>
      <c r="B27" s="477"/>
      <c r="C27" s="477"/>
      <c r="D27" s="477"/>
      <c r="E27" s="477"/>
      <c r="F27" s="478"/>
      <c r="G27" s="477"/>
      <c r="H27" s="477"/>
      <c r="I27" s="477"/>
      <c r="J27" s="479"/>
      <c r="K27" s="480"/>
      <c r="L27" s="481"/>
      <c r="M27" s="477"/>
      <c r="N27" s="477"/>
      <c r="O27" s="477"/>
      <c r="P27" s="477"/>
      <c r="Q27" s="477"/>
      <c r="R27" s="482"/>
      <c r="S27" s="477"/>
      <c r="T27" s="483"/>
      <c r="U27" s="484"/>
      <c r="V27" s="485"/>
      <c r="W27" s="477"/>
      <c r="X27" s="477"/>
      <c r="Y27" s="477"/>
      <c r="Z27" s="477"/>
      <c r="AA27" s="477"/>
      <c r="AB27" s="477"/>
      <c r="AC27" s="477"/>
      <c r="AD27" s="477"/>
    </row>
    <row r="28" spans="1:30" x14ac:dyDescent="0.25">
      <c r="A28" s="465"/>
      <c r="B28" s="454"/>
      <c r="C28" s="454"/>
      <c r="D28" s="487"/>
      <c r="E28" s="477"/>
      <c r="F28" s="478"/>
      <c r="G28" s="477"/>
      <c r="H28" s="477"/>
      <c r="I28" s="477"/>
      <c r="J28" s="479"/>
      <c r="K28" s="480"/>
      <c r="L28" s="480"/>
      <c r="M28" s="477"/>
      <c r="N28" s="477"/>
      <c r="O28" s="477"/>
      <c r="P28" s="477"/>
      <c r="Q28" s="477"/>
      <c r="R28" s="482"/>
      <c r="S28" s="477"/>
      <c r="T28" s="483"/>
      <c r="U28" s="484"/>
      <c r="V28" s="485"/>
      <c r="W28" s="454"/>
      <c r="X28" s="454"/>
      <c r="Y28" s="454"/>
      <c r="Z28" s="454"/>
      <c r="AA28" s="454"/>
      <c r="AB28" s="454"/>
      <c r="AC28" s="454"/>
      <c r="AD28" s="454"/>
    </row>
    <row r="29" spans="1:30" x14ac:dyDescent="0.25">
      <c r="A29" s="488" t="s">
        <v>345</v>
      </c>
      <c r="B29" s="489"/>
      <c r="C29" s="489"/>
      <c r="D29" s="489"/>
      <c r="E29" s="489"/>
      <c r="F29" s="490"/>
      <c r="G29" s="489"/>
      <c r="H29" s="489"/>
      <c r="I29" s="489"/>
      <c r="J29" s="456" t="s">
        <v>16</v>
      </c>
      <c r="K29" s="456">
        <f>SUM(K30:K31)</f>
        <v>0</v>
      </c>
      <c r="L29" s="456">
        <f>SUM(L30:L31)</f>
        <v>0</v>
      </c>
      <c r="M29" s="454"/>
      <c r="N29" s="454"/>
      <c r="O29" s="454"/>
      <c r="P29" s="454"/>
      <c r="Q29" s="454"/>
      <c r="R29" s="458"/>
      <c r="S29" s="454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</row>
    <row r="30" spans="1:30" x14ac:dyDescent="0.25">
      <c r="A30" s="491"/>
      <c r="B30" s="454"/>
      <c r="C30" s="454"/>
      <c r="D30" s="477"/>
      <c r="E30" s="477"/>
      <c r="F30" s="478"/>
      <c r="G30" s="477"/>
      <c r="H30" s="477"/>
      <c r="I30" s="477"/>
      <c r="J30" s="479"/>
      <c r="K30" s="480"/>
      <c r="L30" s="480"/>
      <c r="M30" s="477"/>
      <c r="N30" s="477"/>
      <c r="O30" s="477"/>
      <c r="P30" s="477"/>
      <c r="Q30" s="477"/>
      <c r="R30" s="482"/>
      <c r="S30" s="477"/>
      <c r="T30" s="484"/>
      <c r="U30" s="477"/>
      <c r="V30" s="454"/>
      <c r="W30" s="454"/>
      <c r="X30" s="454"/>
      <c r="Y30" s="454"/>
      <c r="Z30" s="454"/>
      <c r="AA30" s="454"/>
      <c r="AB30" s="454"/>
      <c r="AC30" s="454"/>
      <c r="AD30" s="454"/>
    </row>
    <row r="31" spans="1:30" s="486" customFormat="1" x14ac:dyDescent="0.25">
      <c r="A31" s="492"/>
      <c r="B31" s="477"/>
      <c r="C31" s="477"/>
      <c r="D31" s="477"/>
      <c r="E31" s="477"/>
      <c r="F31" s="478"/>
      <c r="G31" s="477"/>
      <c r="H31" s="477"/>
      <c r="I31" s="477"/>
      <c r="J31" s="479"/>
      <c r="K31" s="480"/>
      <c r="L31" s="480"/>
      <c r="M31" s="477"/>
      <c r="N31" s="477"/>
      <c r="O31" s="477"/>
      <c r="P31" s="477"/>
      <c r="Q31" s="477"/>
      <c r="R31" s="482"/>
      <c r="S31" s="477"/>
      <c r="T31" s="484"/>
      <c r="U31" s="477"/>
      <c r="V31" s="477"/>
      <c r="W31" s="477"/>
      <c r="X31" s="477"/>
      <c r="Y31" s="477"/>
      <c r="Z31" s="477"/>
      <c r="AA31" s="477"/>
      <c r="AB31" s="477"/>
      <c r="AC31" s="477"/>
      <c r="AD31" s="477"/>
    </row>
    <row r="32" spans="1:30" s="472" customFormat="1" x14ac:dyDescent="0.25">
      <c r="A32" s="457" t="s">
        <v>284</v>
      </c>
      <c r="B32" s="468"/>
      <c r="C32" s="468"/>
      <c r="D32" s="468"/>
      <c r="E32" s="468"/>
      <c r="F32" s="469"/>
      <c r="G32" s="468"/>
      <c r="H32" s="468"/>
      <c r="I32" s="468"/>
      <c r="J32" s="470"/>
      <c r="K32" s="470"/>
      <c r="L32" s="470"/>
      <c r="M32" s="468"/>
      <c r="N32" s="468"/>
      <c r="O32" s="468"/>
      <c r="P32" s="468"/>
      <c r="Q32" s="468"/>
      <c r="R32" s="471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</row>
    <row r="33" spans="1:30" x14ac:dyDescent="0.25">
      <c r="A33" s="473" t="s">
        <v>344</v>
      </c>
      <c r="B33" s="474"/>
      <c r="C33" s="474"/>
      <c r="D33" s="474"/>
      <c r="E33" s="474"/>
      <c r="F33" s="475"/>
      <c r="G33" s="474"/>
      <c r="H33" s="474"/>
      <c r="I33" s="474"/>
      <c r="J33" s="456" t="s">
        <v>16</v>
      </c>
      <c r="K33" s="456">
        <f>SUM(K34:K35)</f>
        <v>0</v>
      </c>
      <c r="L33" s="456">
        <f>SUM(L34:L35)</f>
        <v>0</v>
      </c>
      <c r="M33" s="454"/>
      <c r="N33" s="454"/>
      <c r="O33" s="454"/>
      <c r="P33" s="454"/>
      <c r="Q33" s="454"/>
      <c r="R33" s="458"/>
      <c r="S33" s="454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</row>
    <row r="34" spans="1:30" s="486" customFormat="1" x14ac:dyDescent="0.25">
      <c r="A34" s="476"/>
      <c r="B34" s="477"/>
      <c r="C34" s="477"/>
      <c r="D34" s="477"/>
      <c r="E34" s="477"/>
      <c r="F34" s="478"/>
      <c r="G34" s="477"/>
      <c r="H34" s="477"/>
      <c r="I34" s="477"/>
      <c r="J34" s="479"/>
      <c r="K34" s="480"/>
      <c r="L34" s="481"/>
      <c r="M34" s="477"/>
      <c r="N34" s="477"/>
      <c r="O34" s="477"/>
      <c r="P34" s="477"/>
      <c r="Q34" s="477"/>
      <c r="R34" s="482"/>
      <c r="S34" s="477"/>
      <c r="T34" s="483"/>
      <c r="U34" s="484"/>
      <c r="V34" s="485"/>
      <c r="W34" s="477"/>
      <c r="X34" s="477"/>
      <c r="Y34" s="477"/>
      <c r="Z34" s="477"/>
      <c r="AA34" s="477"/>
      <c r="AB34" s="477"/>
      <c r="AC34" s="477"/>
      <c r="AD34" s="477"/>
    </row>
    <row r="35" spans="1:30" x14ac:dyDescent="0.25">
      <c r="A35" s="465"/>
      <c r="B35" s="454"/>
      <c r="C35" s="454"/>
      <c r="D35" s="487"/>
      <c r="E35" s="477"/>
      <c r="F35" s="478"/>
      <c r="G35" s="477"/>
      <c r="H35" s="477"/>
      <c r="I35" s="477"/>
      <c r="J35" s="479"/>
      <c r="K35" s="480"/>
      <c r="L35" s="480"/>
      <c r="M35" s="477"/>
      <c r="N35" s="477"/>
      <c r="O35" s="477"/>
      <c r="P35" s="477"/>
      <c r="Q35" s="477"/>
      <c r="R35" s="482"/>
      <c r="S35" s="477"/>
      <c r="T35" s="483"/>
      <c r="U35" s="484"/>
      <c r="V35" s="485"/>
      <c r="W35" s="454"/>
      <c r="X35" s="454"/>
      <c r="Y35" s="454"/>
      <c r="Z35" s="454"/>
      <c r="AA35" s="454"/>
      <c r="AB35" s="454"/>
      <c r="AC35" s="454"/>
      <c r="AD35" s="454"/>
    </row>
    <row r="36" spans="1:30" x14ac:dyDescent="0.25">
      <c r="A36" s="488" t="s">
        <v>345</v>
      </c>
      <c r="B36" s="489"/>
      <c r="C36" s="489"/>
      <c r="D36" s="489"/>
      <c r="E36" s="489"/>
      <c r="F36" s="490"/>
      <c r="G36" s="489"/>
      <c r="H36" s="489"/>
      <c r="I36" s="489"/>
      <c r="J36" s="456" t="s">
        <v>16</v>
      </c>
      <c r="K36" s="456">
        <f>SUM(K37:K38)</f>
        <v>0</v>
      </c>
      <c r="L36" s="456">
        <f>SUM(L37:L38)</f>
        <v>0</v>
      </c>
      <c r="M36" s="454"/>
      <c r="N36" s="454"/>
      <c r="O36" s="454"/>
      <c r="P36" s="454"/>
      <c r="Q36" s="454"/>
      <c r="R36" s="458"/>
      <c r="S36" s="454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</row>
    <row r="37" spans="1:30" x14ac:dyDescent="0.25">
      <c r="A37" s="491"/>
      <c r="B37" s="454"/>
      <c r="C37" s="454"/>
      <c r="D37" s="477"/>
      <c r="E37" s="477"/>
      <c r="F37" s="478"/>
      <c r="G37" s="477"/>
      <c r="H37" s="477"/>
      <c r="I37" s="477"/>
      <c r="J37" s="479"/>
      <c r="K37" s="480"/>
      <c r="L37" s="480"/>
      <c r="M37" s="477"/>
      <c r="N37" s="477"/>
      <c r="O37" s="477"/>
      <c r="P37" s="477"/>
      <c r="Q37" s="477"/>
      <c r="R37" s="482"/>
      <c r="S37" s="477"/>
      <c r="T37" s="484"/>
      <c r="U37" s="477"/>
      <c r="V37" s="454"/>
      <c r="W37" s="454"/>
      <c r="X37" s="454"/>
      <c r="Y37" s="454"/>
      <c r="Z37" s="454"/>
      <c r="AA37" s="454"/>
      <c r="AB37" s="454"/>
      <c r="AC37" s="454"/>
      <c r="AD37" s="454"/>
    </row>
    <row r="38" spans="1:30" s="486" customFormat="1" x14ac:dyDescent="0.25">
      <c r="A38" s="492"/>
      <c r="B38" s="477"/>
      <c r="C38" s="477"/>
      <c r="D38" s="477"/>
      <c r="E38" s="477"/>
      <c r="F38" s="478"/>
      <c r="G38" s="477"/>
      <c r="H38" s="477"/>
      <c r="I38" s="477"/>
      <c r="J38" s="479"/>
      <c r="K38" s="480"/>
      <c r="L38" s="480"/>
      <c r="M38" s="477"/>
      <c r="N38" s="477"/>
      <c r="O38" s="477"/>
      <c r="P38" s="477"/>
      <c r="Q38" s="477"/>
      <c r="R38" s="482"/>
      <c r="S38" s="477"/>
      <c r="T38" s="484"/>
      <c r="U38" s="477"/>
      <c r="V38" s="477"/>
      <c r="W38" s="477"/>
      <c r="X38" s="477"/>
      <c r="Y38" s="477"/>
      <c r="Z38" s="477"/>
      <c r="AA38" s="477"/>
      <c r="AB38" s="477"/>
      <c r="AC38" s="477"/>
      <c r="AD38" s="477"/>
    </row>
    <row r="39" spans="1:30" s="472" customFormat="1" x14ac:dyDescent="0.25">
      <c r="A39" s="457" t="s">
        <v>285</v>
      </c>
      <c r="B39" s="468"/>
      <c r="C39" s="468"/>
      <c r="D39" s="468"/>
      <c r="E39" s="468"/>
      <c r="F39" s="469"/>
      <c r="G39" s="468"/>
      <c r="H39" s="468"/>
      <c r="I39" s="468"/>
      <c r="J39" s="470"/>
      <c r="K39" s="470"/>
      <c r="L39" s="470"/>
      <c r="M39" s="468"/>
      <c r="N39" s="468"/>
      <c r="O39" s="468"/>
      <c r="P39" s="468"/>
      <c r="Q39" s="468"/>
      <c r="R39" s="471"/>
      <c r="S39" s="468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</row>
    <row r="40" spans="1:30" x14ac:dyDescent="0.25">
      <c r="A40" s="473" t="s">
        <v>344</v>
      </c>
      <c r="B40" s="474"/>
      <c r="C40" s="474"/>
      <c r="D40" s="474"/>
      <c r="E40" s="474"/>
      <c r="F40" s="475"/>
      <c r="G40" s="474"/>
      <c r="H40" s="474"/>
      <c r="I40" s="474"/>
      <c r="J40" s="456" t="s">
        <v>16</v>
      </c>
      <c r="K40" s="456">
        <f>SUM(K41:K41)</f>
        <v>0</v>
      </c>
      <c r="L40" s="456">
        <f>SUM(L41:L41)</f>
        <v>0</v>
      </c>
      <c r="M40" s="454"/>
      <c r="N40" s="454"/>
      <c r="O40" s="454"/>
      <c r="P40" s="454"/>
      <c r="Q40" s="454"/>
      <c r="R40" s="458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</row>
    <row r="41" spans="1:30" x14ac:dyDescent="0.25">
      <c r="A41" s="465"/>
      <c r="B41" s="454"/>
      <c r="C41" s="454"/>
      <c r="D41" s="487"/>
      <c r="E41" s="477"/>
      <c r="F41" s="478"/>
      <c r="G41" s="477"/>
      <c r="H41" s="477"/>
      <c r="I41" s="477"/>
      <c r="J41" s="479"/>
      <c r="K41" s="480"/>
      <c r="L41" s="480"/>
      <c r="M41" s="477"/>
      <c r="N41" s="477"/>
      <c r="O41" s="477"/>
      <c r="P41" s="477"/>
      <c r="Q41" s="477"/>
      <c r="R41" s="482"/>
      <c r="S41" s="477"/>
      <c r="T41" s="483"/>
      <c r="U41" s="484"/>
      <c r="V41" s="485"/>
      <c r="W41" s="454"/>
      <c r="X41" s="454"/>
      <c r="Y41" s="454"/>
      <c r="Z41" s="454"/>
      <c r="AA41" s="454"/>
      <c r="AB41" s="454"/>
      <c r="AC41" s="454"/>
      <c r="AD41" s="454"/>
    </row>
    <row r="42" spans="1:30" x14ac:dyDescent="0.25">
      <c r="A42" s="488" t="s">
        <v>345</v>
      </c>
      <c r="B42" s="489"/>
      <c r="C42" s="489"/>
      <c r="D42" s="489"/>
      <c r="E42" s="489"/>
      <c r="F42" s="490"/>
      <c r="G42" s="489"/>
      <c r="H42" s="489"/>
      <c r="I42" s="489"/>
      <c r="J42" s="456" t="s">
        <v>16</v>
      </c>
      <c r="K42" s="456">
        <f>SUM(K43:K43)</f>
        <v>0</v>
      </c>
      <c r="L42" s="456">
        <f>SUM(L43:L43)</f>
        <v>0</v>
      </c>
      <c r="M42" s="454"/>
      <c r="N42" s="454"/>
      <c r="O42" s="454"/>
      <c r="P42" s="454"/>
      <c r="Q42" s="454"/>
      <c r="R42" s="458"/>
      <c r="S42" s="454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</row>
    <row r="43" spans="1:30" s="486" customFormat="1" x14ac:dyDescent="0.25">
      <c r="A43" s="492"/>
      <c r="B43" s="477"/>
      <c r="C43" s="477"/>
      <c r="D43" s="477"/>
      <c r="E43" s="477"/>
      <c r="F43" s="478"/>
      <c r="G43" s="477"/>
      <c r="H43" s="477"/>
      <c r="I43" s="477"/>
      <c r="J43" s="479"/>
      <c r="K43" s="480"/>
      <c r="L43" s="480"/>
      <c r="M43" s="477"/>
      <c r="N43" s="477"/>
      <c r="O43" s="477"/>
      <c r="P43" s="477"/>
      <c r="Q43" s="477"/>
      <c r="R43" s="482"/>
      <c r="S43" s="477"/>
      <c r="T43" s="484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</row>
    <row r="44" spans="1:30" s="472" customFormat="1" x14ac:dyDescent="0.25">
      <c r="A44" s="457" t="s">
        <v>286</v>
      </c>
      <c r="B44" s="468"/>
      <c r="C44" s="468"/>
      <c r="D44" s="468"/>
      <c r="E44" s="468"/>
      <c r="F44" s="469"/>
      <c r="G44" s="468"/>
      <c r="H44" s="468"/>
      <c r="I44" s="468"/>
      <c r="J44" s="470"/>
      <c r="K44" s="470"/>
      <c r="L44" s="470"/>
      <c r="M44" s="468"/>
      <c r="N44" s="468"/>
      <c r="O44" s="468"/>
      <c r="P44" s="468"/>
      <c r="Q44" s="468"/>
      <c r="R44" s="471"/>
      <c r="S44" s="468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</row>
    <row r="45" spans="1:30" x14ac:dyDescent="0.25">
      <c r="A45" s="473" t="s">
        <v>344</v>
      </c>
      <c r="B45" s="474"/>
      <c r="C45" s="474"/>
      <c r="D45" s="474"/>
      <c r="E45" s="474"/>
      <c r="F45" s="475"/>
      <c r="G45" s="474"/>
      <c r="H45" s="474"/>
      <c r="I45" s="474"/>
      <c r="J45" s="456" t="s">
        <v>16</v>
      </c>
      <c r="K45" s="456">
        <f>SUM(K46:K46)</f>
        <v>0</v>
      </c>
      <c r="L45" s="456">
        <f>SUM(L46:L46)</f>
        <v>0</v>
      </c>
      <c r="M45" s="454"/>
      <c r="N45" s="454"/>
      <c r="O45" s="454"/>
      <c r="P45" s="454"/>
      <c r="Q45" s="454"/>
      <c r="R45" s="458"/>
      <c r="S45" s="454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</row>
    <row r="46" spans="1:30" x14ac:dyDescent="0.25">
      <c r="A46" s="465"/>
      <c r="B46" s="454"/>
      <c r="C46" s="454"/>
      <c r="D46" s="487"/>
      <c r="E46" s="477"/>
      <c r="F46" s="478"/>
      <c r="G46" s="477"/>
      <c r="H46" s="477"/>
      <c r="I46" s="477"/>
      <c r="J46" s="479"/>
      <c r="K46" s="480"/>
      <c r="L46" s="480"/>
      <c r="M46" s="477"/>
      <c r="N46" s="477"/>
      <c r="O46" s="477"/>
      <c r="P46" s="477"/>
      <c r="Q46" s="477"/>
      <c r="R46" s="482"/>
      <c r="S46" s="477"/>
      <c r="T46" s="483"/>
      <c r="U46" s="484"/>
      <c r="V46" s="485"/>
      <c r="W46" s="454"/>
      <c r="X46" s="454"/>
      <c r="Y46" s="454"/>
      <c r="Z46" s="454"/>
      <c r="AA46" s="454"/>
      <c r="AB46" s="454"/>
      <c r="AC46" s="454"/>
      <c r="AD46" s="454"/>
    </row>
    <row r="47" spans="1:30" x14ac:dyDescent="0.25">
      <c r="A47" s="488" t="s">
        <v>345</v>
      </c>
      <c r="B47" s="489"/>
      <c r="C47" s="489"/>
      <c r="D47" s="489"/>
      <c r="E47" s="489"/>
      <c r="F47" s="490"/>
      <c r="G47" s="489"/>
      <c r="H47" s="489"/>
      <c r="I47" s="489"/>
      <c r="J47" s="456" t="s">
        <v>16</v>
      </c>
      <c r="K47" s="456">
        <f>SUM(K48:K49)</f>
        <v>0</v>
      </c>
      <c r="L47" s="456">
        <f>SUM(L48:L49)</f>
        <v>0</v>
      </c>
      <c r="M47" s="454"/>
      <c r="N47" s="454"/>
      <c r="O47" s="454"/>
      <c r="P47" s="454"/>
      <c r="Q47" s="454"/>
      <c r="R47" s="458"/>
      <c r="S47" s="454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</row>
    <row r="48" spans="1:30" x14ac:dyDescent="0.25">
      <c r="A48" s="491"/>
      <c r="B48" s="454"/>
      <c r="C48" s="454"/>
      <c r="D48" s="477"/>
      <c r="E48" s="477"/>
      <c r="F48" s="478"/>
      <c r="G48" s="477"/>
      <c r="H48" s="477"/>
      <c r="I48" s="477"/>
      <c r="J48" s="479"/>
      <c r="K48" s="480"/>
      <c r="L48" s="480"/>
      <c r="M48" s="477"/>
      <c r="N48" s="477"/>
      <c r="O48" s="477"/>
      <c r="P48" s="477"/>
      <c r="Q48" s="477"/>
      <c r="R48" s="482"/>
      <c r="S48" s="477"/>
      <c r="T48" s="484"/>
      <c r="U48" s="477"/>
      <c r="V48" s="454"/>
      <c r="W48" s="454"/>
      <c r="X48" s="454"/>
      <c r="Y48" s="454"/>
      <c r="Z48" s="454"/>
      <c r="AA48" s="454"/>
      <c r="AB48" s="454"/>
      <c r="AC48" s="454"/>
      <c r="AD48" s="454"/>
    </row>
    <row r="49" spans="1:30" s="486" customFormat="1" x14ac:dyDescent="0.25">
      <c r="A49" s="492"/>
      <c r="B49" s="477"/>
      <c r="C49" s="477"/>
      <c r="D49" s="477"/>
      <c r="E49" s="477"/>
      <c r="F49" s="478"/>
      <c r="G49" s="477"/>
      <c r="H49" s="477"/>
      <c r="I49" s="477"/>
      <c r="J49" s="479"/>
      <c r="K49" s="480"/>
      <c r="L49" s="480"/>
      <c r="M49" s="477"/>
      <c r="N49" s="477"/>
      <c r="O49" s="477"/>
      <c r="P49" s="477"/>
      <c r="Q49" s="477"/>
      <c r="R49" s="482"/>
      <c r="S49" s="477"/>
      <c r="T49" s="484"/>
      <c r="U49" s="477"/>
      <c r="V49" s="477"/>
      <c r="W49" s="477"/>
      <c r="X49" s="477"/>
      <c r="Y49" s="477"/>
      <c r="Z49" s="477"/>
      <c r="AA49" s="477"/>
      <c r="AB49" s="477"/>
      <c r="AC49" s="477"/>
      <c r="AD49" s="477"/>
    </row>
    <row r="50" spans="1:30" s="472" customFormat="1" x14ac:dyDescent="0.25">
      <c r="A50" s="457" t="s">
        <v>287</v>
      </c>
      <c r="B50" s="468"/>
      <c r="C50" s="468"/>
      <c r="D50" s="468"/>
      <c r="E50" s="468"/>
      <c r="F50" s="469"/>
      <c r="G50" s="468"/>
      <c r="H50" s="468"/>
      <c r="I50" s="468"/>
      <c r="J50" s="470"/>
      <c r="K50" s="470"/>
      <c r="L50" s="470"/>
      <c r="M50" s="468"/>
      <c r="N50" s="468"/>
      <c r="O50" s="468"/>
      <c r="P50" s="468"/>
      <c r="Q50" s="468"/>
      <c r="R50" s="471"/>
      <c r="S50" s="468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</row>
    <row r="51" spans="1:30" x14ac:dyDescent="0.25">
      <c r="A51" s="473" t="s">
        <v>344</v>
      </c>
      <c r="B51" s="474"/>
      <c r="C51" s="474"/>
      <c r="D51" s="474"/>
      <c r="E51" s="474"/>
      <c r="F51" s="475"/>
      <c r="G51" s="474"/>
      <c r="H51" s="474"/>
      <c r="I51" s="474"/>
      <c r="J51" s="456" t="s">
        <v>16</v>
      </c>
      <c r="K51" s="456">
        <f>SUM(K52:K52)</f>
        <v>0</v>
      </c>
      <c r="L51" s="456">
        <f>SUM(L52:L52)</f>
        <v>0</v>
      </c>
      <c r="M51" s="454"/>
      <c r="N51" s="454"/>
      <c r="O51" s="454"/>
      <c r="P51" s="454"/>
      <c r="Q51" s="454"/>
      <c r="R51" s="458"/>
      <c r="S51" s="454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</row>
    <row r="52" spans="1:30" x14ac:dyDescent="0.25">
      <c r="A52" s="465"/>
      <c r="B52" s="454"/>
      <c r="C52" s="454"/>
      <c r="D52" s="487"/>
      <c r="E52" s="477"/>
      <c r="F52" s="478"/>
      <c r="G52" s="477"/>
      <c r="H52" s="477"/>
      <c r="I52" s="477"/>
      <c r="J52" s="479"/>
      <c r="K52" s="480"/>
      <c r="L52" s="480"/>
      <c r="M52" s="477"/>
      <c r="N52" s="477"/>
      <c r="O52" s="477"/>
      <c r="P52" s="477"/>
      <c r="Q52" s="477"/>
      <c r="R52" s="482"/>
      <c r="S52" s="477"/>
      <c r="T52" s="483"/>
      <c r="U52" s="484"/>
      <c r="V52" s="485"/>
      <c r="W52" s="454"/>
      <c r="X52" s="454"/>
      <c r="Y52" s="454"/>
      <c r="Z52" s="454"/>
      <c r="AA52" s="454"/>
      <c r="AB52" s="454"/>
      <c r="AC52" s="454"/>
      <c r="AD52" s="454"/>
    </row>
    <row r="53" spans="1:30" x14ac:dyDescent="0.25">
      <c r="A53" s="488" t="s">
        <v>345</v>
      </c>
      <c r="B53" s="489"/>
      <c r="C53" s="489"/>
      <c r="D53" s="489"/>
      <c r="E53" s="489"/>
      <c r="F53" s="490"/>
      <c r="G53" s="489"/>
      <c r="H53" s="489"/>
      <c r="I53" s="489"/>
      <c r="J53" s="456" t="s">
        <v>16</v>
      </c>
      <c r="K53" s="456">
        <f>SUM(K54:K55)</f>
        <v>0</v>
      </c>
      <c r="L53" s="456">
        <f>SUM(L54:L55)</f>
        <v>0</v>
      </c>
      <c r="M53" s="454"/>
      <c r="N53" s="454"/>
      <c r="O53" s="454"/>
      <c r="P53" s="454"/>
      <c r="Q53" s="454"/>
      <c r="R53" s="458"/>
      <c r="S53" s="454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</row>
    <row r="54" spans="1:30" x14ac:dyDescent="0.25">
      <c r="A54" s="491"/>
      <c r="B54" s="454"/>
      <c r="C54" s="454"/>
      <c r="D54" s="477"/>
      <c r="E54" s="477"/>
      <c r="F54" s="478"/>
      <c r="G54" s="477"/>
      <c r="H54" s="477"/>
      <c r="I54" s="477"/>
      <c r="J54" s="479"/>
      <c r="K54" s="480"/>
      <c r="L54" s="480"/>
      <c r="M54" s="477"/>
      <c r="N54" s="477"/>
      <c r="O54" s="477"/>
      <c r="P54" s="477"/>
      <c r="Q54" s="477"/>
      <c r="R54" s="482"/>
      <c r="S54" s="477"/>
      <c r="T54" s="484"/>
      <c r="U54" s="477"/>
      <c r="V54" s="454"/>
      <c r="W54" s="454"/>
      <c r="X54" s="454"/>
      <c r="Y54" s="454"/>
      <c r="Z54" s="454"/>
      <c r="AA54" s="454"/>
      <c r="AB54" s="454"/>
      <c r="AC54" s="454"/>
      <c r="AD54" s="454"/>
    </row>
    <row r="55" spans="1:30" s="486" customFormat="1" x14ac:dyDescent="0.25">
      <c r="A55" s="492"/>
      <c r="B55" s="477"/>
      <c r="C55" s="477"/>
      <c r="D55" s="477"/>
      <c r="E55" s="477"/>
      <c r="F55" s="478"/>
      <c r="G55" s="477"/>
      <c r="H55" s="477"/>
      <c r="I55" s="477"/>
      <c r="J55" s="479"/>
      <c r="K55" s="480"/>
      <c r="L55" s="480"/>
      <c r="M55" s="477"/>
      <c r="N55" s="477"/>
      <c r="O55" s="477"/>
      <c r="P55" s="477"/>
      <c r="Q55" s="477"/>
      <c r="R55" s="482"/>
      <c r="S55" s="477"/>
      <c r="T55" s="484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</row>
    <row r="56" spans="1:30" s="472" customFormat="1" x14ac:dyDescent="0.25">
      <c r="A56" s="457" t="s">
        <v>288</v>
      </c>
      <c r="B56" s="468"/>
      <c r="C56" s="468"/>
      <c r="D56" s="468"/>
      <c r="E56" s="468"/>
      <c r="F56" s="469"/>
      <c r="G56" s="468"/>
      <c r="H56" s="468"/>
      <c r="I56" s="468"/>
      <c r="J56" s="470"/>
      <c r="K56" s="470"/>
      <c r="L56" s="470"/>
      <c r="M56" s="468"/>
      <c r="N56" s="468"/>
      <c r="O56" s="468"/>
      <c r="P56" s="468"/>
      <c r="Q56" s="468"/>
      <c r="R56" s="471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</row>
    <row r="57" spans="1:30" x14ac:dyDescent="0.25">
      <c r="A57" s="473" t="s">
        <v>344</v>
      </c>
      <c r="B57" s="474"/>
      <c r="C57" s="474"/>
      <c r="D57" s="474"/>
      <c r="E57" s="474"/>
      <c r="F57" s="475"/>
      <c r="G57" s="474"/>
      <c r="H57" s="474"/>
      <c r="I57" s="474"/>
      <c r="J57" s="456" t="s">
        <v>16</v>
      </c>
      <c r="K57" s="456">
        <f>SUM(K58:K59)</f>
        <v>0</v>
      </c>
      <c r="L57" s="456">
        <f>SUM(L58:L59)</f>
        <v>0</v>
      </c>
      <c r="M57" s="454"/>
      <c r="N57" s="454"/>
      <c r="O57" s="454"/>
      <c r="P57" s="454"/>
      <c r="Q57" s="454"/>
      <c r="R57" s="458"/>
      <c r="S57" s="454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</row>
    <row r="58" spans="1:30" s="486" customFormat="1" x14ac:dyDescent="0.25">
      <c r="A58" s="476"/>
      <c r="B58" s="477"/>
      <c r="C58" s="477"/>
      <c r="D58" s="477"/>
      <c r="E58" s="477"/>
      <c r="F58" s="478"/>
      <c r="G58" s="477"/>
      <c r="H58" s="477"/>
      <c r="I58" s="477"/>
      <c r="J58" s="479"/>
      <c r="K58" s="480"/>
      <c r="L58" s="481"/>
      <c r="M58" s="477"/>
      <c r="N58" s="477"/>
      <c r="O58" s="477"/>
      <c r="P58" s="477"/>
      <c r="Q58" s="477"/>
      <c r="R58" s="482"/>
      <c r="S58" s="477"/>
      <c r="T58" s="483"/>
      <c r="U58" s="484"/>
      <c r="V58" s="485"/>
      <c r="W58" s="477"/>
      <c r="X58" s="477"/>
      <c r="Y58" s="477"/>
      <c r="Z58" s="477"/>
      <c r="AA58" s="477"/>
      <c r="AB58" s="477"/>
      <c r="AC58" s="477"/>
      <c r="AD58" s="477"/>
    </row>
    <row r="59" spans="1:30" x14ac:dyDescent="0.25">
      <c r="A59" s="465"/>
      <c r="B59" s="454"/>
      <c r="C59" s="454"/>
      <c r="D59" s="487"/>
      <c r="E59" s="477"/>
      <c r="F59" s="478"/>
      <c r="G59" s="477"/>
      <c r="H59" s="477"/>
      <c r="I59" s="477"/>
      <c r="J59" s="479"/>
      <c r="K59" s="480"/>
      <c r="L59" s="480"/>
      <c r="M59" s="477"/>
      <c r="N59" s="477"/>
      <c r="O59" s="477"/>
      <c r="P59" s="477"/>
      <c r="Q59" s="477"/>
      <c r="R59" s="482"/>
      <c r="S59" s="477"/>
      <c r="T59" s="483"/>
      <c r="U59" s="484"/>
      <c r="V59" s="485"/>
      <c r="W59" s="454"/>
      <c r="X59" s="454"/>
      <c r="Y59" s="454"/>
      <c r="Z59" s="454"/>
      <c r="AA59" s="454"/>
      <c r="AB59" s="454"/>
      <c r="AC59" s="454"/>
      <c r="AD59" s="454"/>
    </row>
    <row r="60" spans="1:30" x14ac:dyDescent="0.25">
      <c r="A60" s="488" t="s">
        <v>345</v>
      </c>
      <c r="B60" s="489"/>
      <c r="C60" s="489"/>
      <c r="D60" s="489"/>
      <c r="E60" s="489"/>
      <c r="F60" s="490"/>
      <c r="G60" s="489"/>
      <c r="H60" s="489"/>
      <c r="I60" s="489"/>
      <c r="J60" s="456" t="s">
        <v>16</v>
      </c>
      <c r="K60" s="456">
        <f>SUM(K61:K62)</f>
        <v>0</v>
      </c>
      <c r="L60" s="456">
        <f>SUM(L61:L62)</f>
        <v>0</v>
      </c>
      <c r="M60" s="454"/>
      <c r="N60" s="454"/>
      <c r="O60" s="454"/>
      <c r="P60" s="454"/>
      <c r="Q60" s="454"/>
      <c r="R60" s="458"/>
      <c r="S60" s="454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</row>
    <row r="61" spans="1:30" x14ac:dyDescent="0.25">
      <c r="A61" s="491"/>
      <c r="B61" s="454"/>
      <c r="C61" s="454"/>
      <c r="D61" s="477"/>
      <c r="E61" s="477"/>
      <c r="F61" s="478"/>
      <c r="G61" s="477"/>
      <c r="H61" s="477"/>
      <c r="I61" s="477"/>
      <c r="J61" s="479"/>
      <c r="K61" s="480"/>
      <c r="L61" s="480"/>
      <c r="M61" s="477"/>
      <c r="N61" s="477"/>
      <c r="O61" s="477"/>
      <c r="P61" s="477"/>
      <c r="Q61" s="477"/>
      <c r="R61" s="482"/>
      <c r="S61" s="477"/>
      <c r="T61" s="484"/>
      <c r="U61" s="477"/>
      <c r="V61" s="454"/>
      <c r="W61" s="454"/>
      <c r="X61" s="454"/>
      <c r="Y61" s="454"/>
      <c r="Z61" s="454"/>
      <c r="AA61" s="454"/>
      <c r="AB61" s="454"/>
      <c r="AC61" s="454"/>
      <c r="AD61" s="454"/>
    </row>
    <row r="62" spans="1:30" s="486" customFormat="1" x14ac:dyDescent="0.25">
      <c r="A62" s="492"/>
      <c r="B62" s="477"/>
      <c r="C62" s="477"/>
      <c r="D62" s="477"/>
      <c r="E62" s="477"/>
      <c r="F62" s="478"/>
      <c r="G62" s="477"/>
      <c r="H62" s="477"/>
      <c r="I62" s="477"/>
      <c r="J62" s="479"/>
      <c r="K62" s="480"/>
      <c r="L62" s="480"/>
      <c r="M62" s="477"/>
      <c r="N62" s="477"/>
      <c r="O62" s="477"/>
      <c r="P62" s="477"/>
      <c r="Q62" s="477"/>
      <c r="R62" s="482"/>
      <c r="S62" s="477"/>
      <c r="T62" s="484"/>
      <c r="U62" s="477"/>
      <c r="V62" s="477"/>
      <c r="W62" s="477"/>
      <c r="X62" s="477"/>
      <c r="Y62" s="477"/>
      <c r="Z62" s="477"/>
      <c r="AA62" s="477"/>
      <c r="AB62" s="477"/>
      <c r="AC62" s="477"/>
      <c r="AD62" s="477"/>
    </row>
    <row r="63" spans="1:30" s="472" customFormat="1" x14ac:dyDescent="0.25">
      <c r="A63" s="457" t="s">
        <v>289</v>
      </c>
      <c r="B63" s="468"/>
      <c r="C63" s="468"/>
      <c r="D63" s="468"/>
      <c r="E63" s="468"/>
      <c r="F63" s="469"/>
      <c r="G63" s="468"/>
      <c r="H63" s="468"/>
      <c r="I63" s="468"/>
      <c r="J63" s="470"/>
      <c r="K63" s="470"/>
      <c r="L63" s="470"/>
      <c r="M63" s="468"/>
      <c r="N63" s="468"/>
      <c r="O63" s="468"/>
      <c r="P63" s="468"/>
      <c r="Q63" s="468"/>
      <c r="R63" s="471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</row>
    <row r="64" spans="1:30" ht="16.5" customHeight="1" x14ac:dyDescent="0.25">
      <c r="A64" s="493" t="s">
        <v>344</v>
      </c>
      <c r="B64" s="494"/>
      <c r="C64" s="494"/>
      <c r="D64" s="494"/>
      <c r="E64" s="494"/>
      <c r="F64" s="495"/>
      <c r="G64" s="494"/>
      <c r="H64" s="494"/>
      <c r="I64" s="494"/>
      <c r="J64" s="496" t="s">
        <v>16</v>
      </c>
      <c r="K64" s="496">
        <f>SUM(K66:K66)</f>
        <v>0</v>
      </c>
      <c r="L64" s="496">
        <f>SUM(L66:L66)</f>
        <v>0</v>
      </c>
      <c r="M64" s="497"/>
      <c r="N64" s="497"/>
      <c r="O64" s="497"/>
      <c r="P64" s="497"/>
      <c r="Q64" s="497"/>
      <c r="R64" s="498"/>
      <c r="S64" s="497"/>
      <c r="T64" s="497"/>
      <c r="U64" s="497"/>
      <c r="V64" s="497"/>
      <c r="W64" s="497"/>
      <c r="X64" s="497"/>
      <c r="Y64" s="497"/>
      <c r="Z64" s="497"/>
      <c r="AA64" s="497"/>
      <c r="AB64" s="497"/>
      <c r="AC64" s="497"/>
      <c r="AD64" s="497"/>
    </row>
    <row r="65" spans="1:30" s="435" customFormat="1" ht="16.5" customHeight="1" x14ac:dyDescent="0.25">
      <c r="A65" s="559"/>
      <c r="B65" s="556"/>
      <c r="C65" s="556"/>
      <c r="D65" s="556"/>
      <c r="E65" s="556"/>
      <c r="F65" s="555"/>
      <c r="U65" s="270"/>
      <c r="V65" s="270"/>
      <c r="W65" s="270"/>
      <c r="X65" s="270"/>
      <c r="Y65" s="270"/>
      <c r="Z65" s="270"/>
      <c r="AA65" s="270"/>
      <c r="AB65" s="270"/>
      <c r="AC65" s="270"/>
      <c r="AD65" s="270"/>
    </row>
    <row r="66" spans="1:30" s="438" customFormat="1" ht="18.75" customHeight="1" x14ac:dyDescent="0.2">
      <c r="A66" s="591"/>
      <c r="H66" s="355"/>
      <c r="I66" s="355"/>
      <c r="J66" s="589"/>
      <c r="K66" s="357"/>
      <c r="L66" s="358"/>
      <c r="M66" s="338"/>
      <c r="N66" s="338"/>
      <c r="O66" s="338"/>
      <c r="R66" s="611"/>
      <c r="S66" s="684"/>
      <c r="T66" s="685"/>
    </row>
    <row r="67" spans="1:30" x14ac:dyDescent="0.25">
      <c r="A67" s="488" t="s">
        <v>345</v>
      </c>
      <c r="B67" s="489"/>
      <c r="C67" s="489"/>
      <c r="D67" s="489"/>
      <c r="E67" s="489"/>
      <c r="F67" s="490"/>
      <c r="G67" s="489"/>
      <c r="H67" s="489"/>
      <c r="I67" s="489"/>
      <c r="J67" s="456" t="s">
        <v>16</v>
      </c>
      <c r="K67" s="456">
        <f>SUM(K68:K69)</f>
        <v>0</v>
      </c>
      <c r="L67" s="456">
        <f>SUM(L68:L69)</f>
        <v>0</v>
      </c>
      <c r="M67" s="454"/>
      <c r="N67" s="454"/>
      <c r="O67" s="454"/>
      <c r="P67" s="454"/>
      <c r="Q67" s="454"/>
      <c r="R67" s="458"/>
      <c r="S67" s="454"/>
      <c r="T67" s="454"/>
      <c r="U67" s="454"/>
      <c r="V67" s="454"/>
      <c r="W67" s="454"/>
      <c r="X67" s="454"/>
      <c r="Y67" s="454"/>
      <c r="Z67" s="454"/>
      <c r="AA67" s="454"/>
      <c r="AB67" s="454"/>
      <c r="AC67" s="454"/>
      <c r="AD67" s="454"/>
    </row>
    <row r="68" spans="1:30" ht="18.75" customHeight="1" x14ac:dyDescent="0.25">
      <c r="A68" s="592"/>
      <c r="B68" s="586"/>
      <c r="C68" s="586"/>
      <c r="D68" s="586"/>
      <c r="E68" s="612"/>
      <c r="F68" s="555"/>
      <c r="G68" s="587"/>
      <c r="H68" s="587"/>
      <c r="I68" s="587"/>
      <c r="J68" s="589"/>
      <c r="K68" s="590"/>
      <c r="L68" s="590"/>
      <c r="M68" s="315"/>
      <c r="N68" s="315"/>
      <c r="O68" s="315"/>
      <c r="P68" s="315"/>
      <c r="Q68" s="315"/>
      <c r="R68" s="613"/>
      <c r="S68" s="367"/>
      <c r="T68" s="367"/>
      <c r="U68" s="454"/>
      <c r="V68" s="454"/>
      <c r="W68" s="454"/>
      <c r="X68" s="454"/>
      <c r="Y68" s="454"/>
      <c r="Z68" s="454"/>
      <c r="AA68" s="454"/>
      <c r="AB68" s="454"/>
      <c r="AC68" s="454"/>
      <c r="AD68" s="454"/>
    </row>
    <row r="69" spans="1:30" x14ac:dyDescent="0.25">
      <c r="A69" s="592"/>
      <c r="B69" s="586"/>
      <c r="C69" s="586"/>
      <c r="D69" s="586"/>
      <c r="E69" s="612"/>
      <c r="F69" s="555"/>
      <c r="G69" s="587"/>
      <c r="H69" s="587"/>
      <c r="I69" s="437"/>
      <c r="J69" s="589"/>
      <c r="K69" s="590"/>
      <c r="L69" s="590"/>
      <c r="M69" s="315"/>
      <c r="N69" s="315"/>
      <c r="O69" s="315"/>
      <c r="P69" s="315"/>
      <c r="Q69" s="315"/>
      <c r="R69" s="613"/>
      <c r="S69" s="367"/>
      <c r="T69" s="367"/>
      <c r="U69" s="454"/>
      <c r="V69" s="454"/>
      <c r="W69" s="454"/>
      <c r="X69" s="454"/>
      <c r="Y69" s="454"/>
      <c r="Z69" s="454"/>
      <c r="AA69" s="454"/>
      <c r="AB69" s="454"/>
      <c r="AC69" s="454"/>
      <c r="AD69" s="454"/>
    </row>
    <row r="70" spans="1:30" s="472" customFormat="1" x14ac:dyDescent="0.25">
      <c r="A70" s="457" t="s">
        <v>291</v>
      </c>
      <c r="B70" s="468"/>
      <c r="C70" s="468"/>
      <c r="D70" s="468"/>
      <c r="E70" s="468"/>
      <c r="F70" s="469"/>
      <c r="G70" s="468"/>
      <c r="H70" s="468"/>
      <c r="I70" s="468"/>
      <c r="J70" s="470"/>
      <c r="K70" s="470"/>
      <c r="L70" s="470"/>
      <c r="M70" s="468"/>
      <c r="N70" s="468"/>
      <c r="O70" s="468"/>
      <c r="P70" s="468"/>
      <c r="Q70" s="468"/>
      <c r="R70" s="471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468"/>
    </row>
    <row r="71" spans="1:30" ht="16.5" customHeight="1" x14ac:dyDescent="0.25">
      <c r="A71" s="493" t="s">
        <v>344</v>
      </c>
      <c r="B71" s="494"/>
      <c r="C71" s="494"/>
      <c r="D71" s="494"/>
      <c r="E71" s="494"/>
      <c r="F71" s="495"/>
      <c r="G71" s="494"/>
      <c r="H71" s="494"/>
      <c r="I71" s="494"/>
      <c r="J71" s="496" t="s">
        <v>16</v>
      </c>
      <c r="K71" s="496">
        <f>SUM(K72:K85)</f>
        <v>12</v>
      </c>
      <c r="L71" s="496">
        <f>SUM(L72:L85)</f>
        <v>2</v>
      </c>
      <c r="M71" s="497"/>
      <c r="N71" s="497"/>
      <c r="O71" s="497"/>
      <c r="P71" s="497"/>
      <c r="Q71" s="497"/>
      <c r="R71" s="498"/>
      <c r="S71" s="497"/>
      <c r="T71" s="497"/>
      <c r="U71" s="497"/>
      <c r="V71" s="497"/>
      <c r="W71" s="497"/>
      <c r="X71" s="497"/>
      <c r="Y71" s="497"/>
      <c r="Z71" s="497"/>
      <c r="AA71" s="497"/>
      <c r="AB71" s="497"/>
      <c r="AC71" s="497"/>
      <c r="AD71" s="497"/>
    </row>
    <row r="72" spans="1:30" ht="16.5" customHeight="1" x14ac:dyDescent="0.25">
      <c r="A72" s="686">
        <v>1</v>
      </c>
      <c r="B72" s="563"/>
      <c r="C72" s="563"/>
      <c r="D72" s="563"/>
      <c r="E72" s="563"/>
      <c r="F72" s="680"/>
      <c r="G72" s="355" t="s">
        <v>1032</v>
      </c>
      <c r="H72" s="673" t="s">
        <v>908</v>
      </c>
      <c r="I72" s="563"/>
      <c r="J72" s="723"/>
      <c r="K72" s="723"/>
      <c r="L72" s="716">
        <v>1</v>
      </c>
      <c r="M72" s="674" t="s">
        <v>390</v>
      </c>
      <c r="N72" s="716" t="s">
        <v>386</v>
      </c>
      <c r="O72" s="673" t="s">
        <v>384</v>
      </c>
      <c r="P72" s="497"/>
      <c r="Q72" s="497"/>
      <c r="R72" s="722">
        <v>44258</v>
      </c>
      <c r="S72" s="724" t="s">
        <v>1033</v>
      </c>
      <c r="T72" s="725" t="s">
        <v>663</v>
      </c>
      <c r="U72" s="497"/>
      <c r="V72" s="497"/>
      <c r="W72" s="497"/>
      <c r="X72" s="497"/>
      <c r="Y72" s="497"/>
      <c r="Z72" s="497"/>
      <c r="AA72" s="497"/>
      <c r="AB72" s="497"/>
      <c r="AC72" s="497"/>
      <c r="AD72" s="497"/>
    </row>
    <row r="73" spans="1:30" s="565" customFormat="1" ht="16.5" customHeight="1" x14ac:dyDescent="0.25">
      <c r="A73" s="686">
        <v>2</v>
      </c>
      <c r="B73" s="563"/>
      <c r="C73" s="563"/>
      <c r="D73" s="563"/>
      <c r="E73" s="563"/>
      <c r="F73" s="680"/>
      <c r="G73" s="718" t="s">
        <v>1030</v>
      </c>
      <c r="H73" s="718" t="s">
        <v>1031</v>
      </c>
      <c r="I73" s="718"/>
      <c r="J73" s="719"/>
      <c r="K73" s="720">
        <v>1</v>
      </c>
      <c r="L73" s="719"/>
      <c r="M73" s="618"/>
      <c r="N73" s="721" t="s">
        <v>386</v>
      </c>
      <c r="O73" s="618" t="s">
        <v>384</v>
      </c>
      <c r="P73" s="618"/>
      <c r="Q73" s="618"/>
      <c r="R73" s="722">
        <v>44452</v>
      </c>
      <c r="S73" s="684" t="s">
        <v>429</v>
      </c>
      <c r="T73" s="685" t="s">
        <v>430</v>
      </c>
      <c r="U73" s="563"/>
      <c r="V73" s="563"/>
      <c r="W73" s="563"/>
      <c r="X73" s="563"/>
      <c r="Y73" s="563"/>
      <c r="Z73" s="563"/>
      <c r="AA73" s="563"/>
      <c r="AB73" s="563"/>
      <c r="AC73" s="563"/>
      <c r="AD73" s="563"/>
    </row>
    <row r="74" spans="1:30" s="435" customFormat="1" ht="18.75" customHeight="1" x14ac:dyDescent="0.2">
      <c r="A74" s="686">
        <v>3</v>
      </c>
      <c r="G74" s="682" t="s">
        <v>555</v>
      </c>
      <c r="H74" s="682" t="s">
        <v>501</v>
      </c>
      <c r="I74" s="682" t="s">
        <v>405</v>
      </c>
      <c r="J74" s="683">
        <v>22271</v>
      </c>
      <c r="K74" s="423"/>
      <c r="L74" s="423">
        <v>1</v>
      </c>
      <c r="M74" s="684"/>
      <c r="N74" s="684" t="s">
        <v>1024</v>
      </c>
      <c r="O74" s="684" t="s">
        <v>384</v>
      </c>
      <c r="P74" s="679">
        <v>9394865933</v>
      </c>
      <c r="Q74" s="679"/>
      <c r="R74" s="440">
        <v>44491</v>
      </c>
      <c r="S74" s="684" t="s">
        <v>429</v>
      </c>
      <c r="T74" s="685" t="s">
        <v>430</v>
      </c>
    </row>
    <row r="75" spans="1:30" s="435" customFormat="1" ht="18.75" customHeight="1" x14ac:dyDescent="0.2">
      <c r="A75" s="686">
        <v>4</v>
      </c>
      <c r="G75" s="682" t="s">
        <v>1025</v>
      </c>
      <c r="H75" s="682" t="s">
        <v>1026</v>
      </c>
      <c r="I75" s="682" t="s">
        <v>395</v>
      </c>
      <c r="J75" s="683"/>
      <c r="K75" s="423">
        <v>1</v>
      </c>
      <c r="L75" s="372"/>
      <c r="M75" s="684"/>
      <c r="N75" s="684" t="s">
        <v>475</v>
      </c>
      <c r="O75" s="684" t="s">
        <v>384</v>
      </c>
      <c r="P75" s="679"/>
      <c r="Q75" s="679"/>
      <c r="R75" s="440">
        <v>44491</v>
      </c>
      <c r="S75" s="684" t="s">
        <v>429</v>
      </c>
      <c r="T75" s="685" t="s">
        <v>430</v>
      </c>
    </row>
    <row r="76" spans="1:30" s="435" customFormat="1" ht="18.75" customHeight="1" x14ac:dyDescent="0.2">
      <c r="A76" s="686">
        <v>5</v>
      </c>
      <c r="G76" s="682" t="s">
        <v>1027</v>
      </c>
      <c r="H76" s="682" t="s">
        <v>1028</v>
      </c>
      <c r="I76" s="682" t="s">
        <v>421</v>
      </c>
      <c r="J76" s="683">
        <v>28548</v>
      </c>
      <c r="K76" s="423">
        <v>1</v>
      </c>
      <c r="L76" s="372"/>
      <c r="M76" s="684"/>
      <c r="N76" s="684" t="s">
        <v>396</v>
      </c>
      <c r="O76" s="684" t="s">
        <v>384</v>
      </c>
      <c r="P76" s="679">
        <v>9064494410</v>
      </c>
      <c r="Q76" s="679"/>
      <c r="R76" s="440">
        <v>44491</v>
      </c>
      <c r="S76" s="684" t="s">
        <v>429</v>
      </c>
      <c r="T76" s="685" t="s">
        <v>663</v>
      </c>
    </row>
    <row r="77" spans="1:30" s="435" customFormat="1" ht="18.75" customHeight="1" x14ac:dyDescent="0.2">
      <c r="A77" s="686">
        <v>6</v>
      </c>
      <c r="G77" s="682" t="s">
        <v>1029</v>
      </c>
      <c r="H77" s="682" t="s">
        <v>465</v>
      </c>
      <c r="I77" s="682"/>
      <c r="J77" s="683">
        <v>23739</v>
      </c>
      <c r="K77" s="423">
        <v>1</v>
      </c>
      <c r="L77" s="372"/>
      <c r="M77" s="684" t="s">
        <v>483</v>
      </c>
      <c r="N77" s="679" t="s">
        <v>386</v>
      </c>
      <c r="O77" s="684" t="s">
        <v>384</v>
      </c>
      <c r="P77" s="679">
        <v>9121488039</v>
      </c>
      <c r="Q77" s="679"/>
      <c r="R77" s="440">
        <v>44491</v>
      </c>
      <c r="S77" s="684" t="s">
        <v>429</v>
      </c>
      <c r="T77" s="685" t="s">
        <v>430</v>
      </c>
    </row>
    <row r="78" spans="1:30" s="733" customFormat="1" ht="18.75" customHeight="1" x14ac:dyDescent="0.2">
      <c r="A78" s="686">
        <v>7</v>
      </c>
      <c r="B78" s="435"/>
      <c r="C78" s="435"/>
      <c r="D78" s="435"/>
      <c r="E78" s="435"/>
      <c r="F78" s="435"/>
      <c r="G78" s="682" t="s">
        <v>742</v>
      </c>
      <c r="H78" s="682" t="s">
        <v>935</v>
      </c>
      <c r="I78" s="734"/>
      <c r="J78" s="683">
        <v>28524</v>
      </c>
      <c r="K78" s="423">
        <v>1</v>
      </c>
      <c r="L78" s="372"/>
      <c r="M78" s="684" t="s">
        <v>388</v>
      </c>
      <c r="N78" s="679" t="s">
        <v>386</v>
      </c>
      <c r="O78" s="684" t="s">
        <v>384</v>
      </c>
      <c r="P78" s="679"/>
      <c r="Q78" s="679"/>
      <c r="R78" s="440">
        <v>44491</v>
      </c>
      <c r="S78" s="684" t="s">
        <v>429</v>
      </c>
      <c r="T78" s="685" t="s">
        <v>430</v>
      </c>
      <c r="U78" s="435"/>
      <c r="V78" s="435"/>
      <c r="W78" s="435"/>
      <c r="X78" s="435"/>
      <c r="Y78" s="435"/>
      <c r="Z78" s="435"/>
      <c r="AA78" s="435"/>
      <c r="AB78" s="435"/>
      <c r="AC78" s="435"/>
      <c r="AD78" s="435"/>
    </row>
    <row r="79" spans="1:30" s="733" customFormat="1" ht="18.75" customHeight="1" x14ac:dyDescent="0.2">
      <c r="A79" s="686">
        <v>8</v>
      </c>
      <c r="B79" s="435"/>
      <c r="C79" s="435"/>
      <c r="D79" s="435"/>
      <c r="E79" s="435"/>
      <c r="F79" s="435"/>
      <c r="G79" s="682" t="s">
        <v>936</v>
      </c>
      <c r="H79" s="682" t="s">
        <v>1088</v>
      </c>
      <c r="I79" s="682"/>
      <c r="J79" s="683">
        <v>16567</v>
      </c>
      <c r="K79" s="423">
        <v>1</v>
      </c>
      <c r="L79" s="372"/>
      <c r="M79" s="684" t="s">
        <v>482</v>
      </c>
      <c r="N79" s="679" t="s">
        <v>386</v>
      </c>
      <c r="O79" s="684" t="s">
        <v>384</v>
      </c>
      <c r="P79" s="679"/>
      <c r="Q79" s="679"/>
      <c r="R79" s="440">
        <v>44491</v>
      </c>
      <c r="S79" s="684" t="s">
        <v>429</v>
      </c>
      <c r="T79" s="685" t="s">
        <v>430</v>
      </c>
      <c r="U79" s="435"/>
      <c r="V79" s="435"/>
      <c r="W79" s="435"/>
      <c r="X79" s="435"/>
      <c r="Y79" s="435"/>
      <c r="Z79" s="435"/>
      <c r="AA79" s="435"/>
      <c r="AB79" s="435"/>
      <c r="AC79" s="435"/>
      <c r="AD79" s="435"/>
    </row>
    <row r="80" spans="1:30" s="733" customFormat="1" ht="18.75" customHeight="1" x14ac:dyDescent="0.2">
      <c r="A80" s="686">
        <v>9</v>
      </c>
      <c r="B80" s="435"/>
      <c r="C80" s="435"/>
      <c r="D80" s="435"/>
      <c r="E80" s="435"/>
      <c r="F80" s="435"/>
      <c r="G80" s="682" t="s">
        <v>495</v>
      </c>
      <c r="H80" s="682" t="s">
        <v>1089</v>
      </c>
      <c r="I80" s="682"/>
      <c r="J80" s="683">
        <v>28014</v>
      </c>
      <c r="K80" s="423">
        <v>1</v>
      </c>
      <c r="L80" s="372"/>
      <c r="M80" s="684"/>
      <c r="N80" s="679" t="s">
        <v>1024</v>
      </c>
      <c r="O80" s="684" t="s">
        <v>384</v>
      </c>
      <c r="P80" s="679"/>
      <c r="Q80" s="679"/>
      <c r="R80" s="440">
        <v>44491</v>
      </c>
      <c r="S80" s="684" t="s">
        <v>429</v>
      </c>
      <c r="T80" s="685" t="s">
        <v>430</v>
      </c>
      <c r="U80" s="435"/>
      <c r="V80" s="435"/>
      <c r="W80" s="435"/>
      <c r="X80" s="435"/>
      <c r="Y80" s="435"/>
      <c r="Z80" s="435"/>
      <c r="AA80" s="435"/>
      <c r="AB80" s="435"/>
      <c r="AC80" s="435"/>
      <c r="AD80" s="435"/>
    </row>
    <row r="81" spans="1:30" s="733" customFormat="1" ht="18.75" customHeight="1" x14ac:dyDescent="0.2">
      <c r="A81" s="686">
        <v>10</v>
      </c>
      <c r="B81" s="435"/>
      <c r="C81" s="435"/>
      <c r="D81" s="435"/>
      <c r="E81" s="435"/>
      <c r="F81" s="435"/>
      <c r="G81" s="682" t="s">
        <v>1090</v>
      </c>
      <c r="H81" s="682" t="s">
        <v>1091</v>
      </c>
      <c r="I81" s="682"/>
      <c r="J81" s="683">
        <v>30237</v>
      </c>
      <c r="K81" s="423">
        <v>1</v>
      </c>
      <c r="L81" s="372"/>
      <c r="M81" s="684"/>
      <c r="N81" s="679" t="s">
        <v>871</v>
      </c>
      <c r="O81" s="684" t="s">
        <v>384</v>
      </c>
      <c r="P81" s="679"/>
      <c r="Q81" s="679"/>
      <c r="R81" s="440">
        <v>44491</v>
      </c>
      <c r="S81" s="684" t="s">
        <v>429</v>
      </c>
      <c r="T81" s="685" t="s">
        <v>430</v>
      </c>
      <c r="U81" s="435"/>
      <c r="V81" s="435"/>
      <c r="W81" s="435"/>
      <c r="X81" s="435"/>
      <c r="Y81" s="435"/>
      <c r="Z81" s="435"/>
      <c r="AA81" s="435"/>
      <c r="AB81" s="435"/>
      <c r="AC81" s="435"/>
      <c r="AD81" s="435"/>
    </row>
    <row r="82" spans="1:30" s="733" customFormat="1" ht="18.75" customHeight="1" x14ac:dyDescent="0.2">
      <c r="A82" s="686">
        <v>11</v>
      </c>
      <c r="B82" s="435"/>
      <c r="C82" s="435"/>
      <c r="D82" s="435"/>
      <c r="E82" s="435"/>
      <c r="F82" s="435"/>
      <c r="G82" s="682" t="s">
        <v>1092</v>
      </c>
      <c r="H82" s="682" t="s">
        <v>1093</v>
      </c>
      <c r="I82" s="682"/>
      <c r="J82" s="683">
        <v>34193</v>
      </c>
      <c r="K82" s="423">
        <v>1</v>
      </c>
      <c r="L82" s="372"/>
      <c r="M82" s="684"/>
      <c r="N82" s="679" t="s">
        <v>386</v>
      </c>
      <c r="O82" s="684" t="s">
        <v>384</v>
      </c>
      <c r="P82" s="679"/>
      <c r="Q82" s="679"/>
      <c r="R82" s="440">
        <v>44491</v>
      </c>
      <c r="S82" s="684" t="s">
        <v>429</v>
      </c>
      <c r="T82" s="685" t="s">
        <v>430</v>
      </c>
      <c r="U82" s="435"/>
      <c r="V82" s="435"/>
      <c r="W82" s="435"/>
      <c r="X82" s="435"/>
      <c r="Y82" s="435"/>
      <c r="Z82" s="435"/>
      <c r="AA82" s="435"/>
      <c r="AB82" s="435"/>
      <c r="AC82" s="435"/>
      <c r="AD82" s="435"/>
    </row>
    <row r="83" spans="1:30" s="733" customFormat="1" ht="18.75" customHeight="1" x14ac:dyDescent="0.2">
      <c r="A83" s="686">
        <v>12</v>
      </c>
      <c r="B83" s="435"/>
      <c r="C83" s="435"/>
      <c r="D83" s="435"/>
      <c r="E83" s="435"/>
      <c r="F83" s="435"/>
      <c r="G83" s="682" t="s">
        <v>1094</v>
      </c>
      <c r="H83" s="682" t="s">
        <v>422</v>
      </c>
      <c r="I83" s="682"/>
      <c r="J83" s="683">
        <v>33067</v>
      </c>
      <c r="K83" s="423">
        <v>1</v>
      </c>
      <c r="L83" s="372"/>
      <c r="M83" s="684"/>
      <c r="N83" s="679" t="s">
        <v>475</v>
      </c>
      <c r="O83" s="684" t="s">
        <v>384</v>
      </c>
      <c r="P83" s="679"/>
      <c r="Q83" s="679"/>
      <c r="R83" s="440">
        <v>44491</v>
      </c>
      <c r="S83" s="684" t="s">
        <v>429</v>
      </c>
      <c r="T83" s="685" t="s">
        <v>430</v>
      </c>
      <c r="U83" s="435"/>
      <c r="V83" s="435"/>
      <c r="W83" s="435"/>
      <c r="X83" s="435"/>
      <c r="Y83" s="435"/>
      <c r="Z83" s="435"/>
      <c r="AA83" s="435"/>
      <c r="AB83" s="435"/>
      <c r="AC83" s="435"/>
      <c r="AD83" s="435"/>
    </row>
    <row r="84" spans="1:30" s="733" customFormat="1" ht="18.75" customHeight="1" x14ac:dyDescent="0.2">
      <c r="A84" s="686">
        <v>13</v>
      </c>
      <c r="B84" s="435"/>
      <c r="C84" s="435"/>
      <c r="D84" s="435"/>
      <c r="E84" s="435"/>
      <c r="F84" s="435"/>
      <c r="G84" s="682" t="s">
        <v>883</v>
      </c>
      <c r="H84" s="682" t="s">
        <v>948</v>
      </c>
      <c r="I84" s="682"/>
      <c r="J84" s="683">
        <v>32734</v>
      </c>
      <c r="K84" s="423">
        <v>1</v>
      </c>
      <c r="L84" s="372"/>
      <c r="M84" s="684"/>
      <c r="N84" s="679" t="s">
        <v>1024</v>
      </c>
      <c r="O84" s="684" t="s">
        <v>384</v>
      </c>
      <c r="P84" s="679"/>
      <c r="Q84" s="679"/>
      <c r="R84" s="440">
        <v>44491</v>
      </c>
      <c r="S84" s="684" t="s">
        <v>429</v>
      </c>
      <c r="T84" s="685" t="s">
        <v>430</v>
      </c>
      <c r="U84" s="435"/>
      <c r="V84" s="435"/>
      <c r="W84" s="435"/>
      <c r="X84" s="435"/>
      <c r="Y84" s="435"/>
      <c r="Z84" s="435"/>
      <c r="AA84" s="435"/>
      <c r="AB84" s="435"/>
      <c r="AC84" s="435"/>
      <c r="AD84" s="435"/>
    </row>
    <row r="85" spans="1:30" s="733" customFormat="1" ht="18.75" customHeight="1" x14ac:dyDescent="0.2">
      <c r="A85" s="686">
        <v>14</v>
      </c>
      <c r="B85" s="435"/>
      <c r="C85" s="435"/>
      <c r="D85" s="435"/>
      <c r="E85" s="435"/>
      <c r="F85" s="435"/>
      <c r="G85" s="682" t="s">
        <v>1095</v>
      </c>
      <c r="H85" s="682" t="s">
        <v>1096</v>
      </c>
      <c r="I85" s="682"/>
      <c r="J85" s="683">
        <v>26961</v>
      </c>
      <c r="K85" s="423">
        <v>1</v>
      </c>
      <c r="L85" s="372"/>
      <c r="M85" s="684"/>
      <c r="N85" s="679" t="s">
        <v>871</v>
      </c>
      <c r="O85" s="684" t="s">
        <v>384</v>
      </c>
      <c r="P85" s="679"/>
      <c r="Q85" s="679"/>
      <c r="R85" s="440">
        <v>44491</v>
      </c>
      <c r="S85" s="684" t="s">
        <v>429</v>
      </c>
      <c r="T85" s="685" t="s">
        <v>430</v>
      </c>
      <c r="U85" s="435"/>
      <c r="V85" s="435"/>
      <c r="W85" s="435"/>
      <c r="X85" s="435"/>
      <c r="Y85" s="435"/>
      <c r="Z85" s="435"/>
      <c r="AA85" s="435"/>
      <c r="AB85" s="435"/>
      <c r="AC85" s="435"/>
      <c r="AD85" s="435"/>
    </row>
    <row r="86" spans="1:30" x14ac:dyDescent="0.25">
      <c r="A86" s="488" t="s">
        <v>345</v>
      </c>
      <c r="B86" s="489"/>
      <c r="C86" s="489"/>
      <c r="D86" s="489"/>
      <c r="E86" s="489"/>
      <c r="F86" s="490"/>
      <c r="G86" s="489"/>
      <c r="H86" s="489"/>
      <c r="I86" s="489"/>
      <c r="J86" s="456" t="s">
        <v>16</v>
      </c>
      <c r="K86" s="456">
        <f>SUM(K87:K88)</f>
        <v>0</v>
      </c>
      <c r="L86" s="456">
        <f>SUM(L87:L88)</f>
        <v>0</v>
      </c>
      <c r="M86" s="454"/>
      <c r="N86" s="454"/>
      <c r="O86" s="454"/>
      <c r="P86" s="465"/>
      <c r="Q86" s="465"/>
      <c r="R86" s="440"/>
      <c r="S86" s="465"/>
      <c r="T86" s="614"/>
      <c r="U86" s="454"/>
      <c r="V86" s="454"/>
      <c r="W86" s="454"/>
      <c r="X86" s="454"/>
      <c r="Y86" s="454"/>
      <c r="Z86" s="454"/>
      <c r="AA86" s="454"/>
      <c r="AB86" s="454"/>
      <c r="AC86" s="454"/>
      <c r="AD86" s="454"/>
    </row>
    <row r="87" spans="1:30" s="435" customFormat="1" ht="18.75" customHeight="1" x14ac:dyDescent="0.2">
      <c r="A87" s="658"/>
      <c r="B87" s="660"/>
      <c r="C87" s="660"/>
      <c r="D87" s="660"/>
      <c r="E87" s="651"/>
      <c r="F87" s="660"/>
      <c r="G87" s="646"/>
      <c r="H87" s="646"/>
      <c r="I87" s="646"/>
      <c r="J87" s="647"/>
      <c r="K87" s="649"/>
      <c r="L87" s="649"/>
      <c r="M87" s="648"/>
      <c r="N87" s="648"/>
      <c r="O87" s="648"/>
      <c r="P87" s="657"/>
      <c r="Q87" s="657"/>
      <c r="R87" s="672"/>
      <c r="S87" s="646"/>
      <c r="T87" s="681"/>
    </row>
    <row r="88" spans="1:30" s="435" customFormat="1" ht="18.75" customHeight="1" x14ac:dyDescent="0.2">
      <c r="A88" s="658"/>
      <c r="B88" s="660"/>
      <c r="C88" s="660"/>
      <c r="D88" s="660"/>
      <c r="E88" s="651"/>
      <c r="F88" s="660"/>
      <c r="G88" s="646"/>
      <c r="H88" s="646"/>
      <c r="I88" s="646"/>
      <c r="J88" s="647"/>
      <c r="K88" s="649"/>
      <c r="L88" s="649"/>
      <c r="M88" s="648"/>
      <c r="N88" s="648"/>
      <c r="O88" s="648"/>
      <c r="P88" s="657"/>
      <c r="Q88" s="657"/>
      <c r="R88" s="672"/>
      <c r="S88" s="646"/>
      <c r="T88" s="681"/>
    </row>
    <row r="89" spans="1:30" s="472" customFormat="1" x14ac:dyDescent="0.25">
      <c r="A89" s="457" t="s">
        <v>292</v>
      </c>
      <c r="B89" s="468"/>
      <c r="C89" s="468"/>
      <c r="D89" s="468"/>
      <c r="E89" s="468"/>
      <c r="F89" s="469"/>
      <c r="G89" s="468"/>
      <c r="H89" s="468"/>
      <c r="I89" s="468"/>
      <c r="J89" s="593"/>
      <c r="K89" s="470"/>
      <c r="L89" s="470"/>
      <c r="M89" s="468"/>
      <c r="N89" s="468"/>
      <c r="O89" s="468"/>
      <c r="P89" s="468"/>
      <c r="Q89" s="468"/>
      <c r="R89" s="471"/>
      <c r="S89" s="468"/>
      <c r="T89" s="468"/>
      <c r="U89" s="468"/>
      <c r="V89" s="468"/>
      <c r="W89" s="468"/>
      <c r="X89" s="468"/>
      <c r="Y89" s="468"/>
      <c r="Z89" s="468"/>
      <c r="AA89" s="468"/>
      <c r="AB89" s="468"/>
      <c r="AC89" s="468"/>
      <c r="AD89" s="468"/>
    </row>
    <row r="90" spans="1:30" ht="16.5" customHeight="1" x14ac:dyDescent="0.25">
      <c r="A90" s="493" t="s">
        <v>344</v>
      </c>
      <c r="B90" s="494"/>
      <c r="C90" s="494"/>
      <c r="D90" s="494"/>
      <c r="E90" s="494"/>
      <c r="F90" s="495"/>
      <c r="G90" s="494"/>
      <c r="H90" s="494"/>
      <c r="I90" s="494"/>
      <c r="J90" s="594" t="s">
        <v>16</v>
      </c>
      <c r="K90" s="496">
        <f>SUM(K91:K190)</f>
        <v>86</v>
      </c>
      <c r="L90" s="496">
        <f>SUM(L91:L190)</f>
        <v>14</v>
      </c>
      <c r="M90" s="497"/>
      <c r="N90" s="497"/>
      <c r="O90" s="497"/>
      <c r="P90" s="497"/>
      <c r="Q90" s="497"/>
      <c r="R90" s="498"/>
      <c r="S90" s="497"/>
      <c r="T90" s="497"/>
      <c r="U90" s="497"/>
      <c r="V90" s="497"/>
      <c r="W90" s="497"/>
      <c r="X90" s="497"/>
      <c r="Y90" s="497"/>
      <c r="Z90" s="497"/>
      <c r="AA90" s="497"/>
      <c r="AB90" s="497"/>
      <c r="AC90" s="497"/>
      <c r="AD90" s="497"/>
    </row>
    <row r="91" spans="1:30" s="610" customFormat="1" ht="16.5" customHeight="1" x14ac:dyDescent="0.2">
      <c r="A91" s="686">
        <v>1</v>
      </c>
      <c r="B91" s="673"/>
      <c r="C91" s="673"/>
      <c r="D91" s="673"/>
      <c r="E91" s="673"/>
      <c r="F91" s="566"/>
      <c r="G91" s="673" t="s">
        <v>996</v>
      </c>
      <c r="H91" s="673" t="s">
        <v>997</v>
      </c>
      <c r="I91" s="673" t="s">
        <v>404</v>
      </c>
      <c r="J91" s="692">
        <v>29941</v>
      </c>
      <c r="K91" s="691">
        <v>1</v>
      </c>
      <c r="L91" s="691"/>
      <c r="M91" s="674" t="s">
        <v>491</v>
      </c>
      <c r="N91" s="674" t="s">
        <v>386</v>
      </c>
      <c r="O91" s="674" t="s">
        <v>384</v>
      </c>
      <c r="P91" s="673">
        <v>9758414991</v>
      </c>
      <c r="Q91" s="673"/>
      <c r="R91" s="690">
        <v>44504</v>
      </c>
      <c r="S91" s="691" t="s">
        <v>474</v>
      </c>
      <c r="T91" s="691" t="s">
        <v>430</v>
      </c>
      <c r="U91" s="673"/>
      <c r="V91" s="673"/>
      <c r="W91" s="673"/>
      <c r="X91" s="673"/>
      <c r="Y91" s="673"/>
      <c r="Z91" s="673"/>
      <c r="AA91" s="673"/>
      <c r="AB91" s="673"/>
      <c r="AC91" s="673"/>
      <c r="AD91" s="673"/>
    </row>
    <row r="92" spans="1:30" s="610" customFormat="1" ht="16.5" customHeight="1" x14ac:dyDescent="0.2">
      <c r="A92" s="686">
        <v>2</v>
      </c>
      <c r="B92" s="673"/>
      <c r="C92" s="673"/>
      <c r="D92" s="673"/>
      <c r="E92" s="673"/>
      <c r="F92" s="566"/>
      <c r="G92" s="673" t="s">
        <v>593</v>
      </c>
      <c r="H92" s="673" t="s">
        <v>998</v>
      </c>
      <c r="I92" s="673"/>
      <c r="J92" s="692">
        <v>32500</v>
      </c>
      <c r="K92" s="691">
        <v>1</v>
      </c>
      <c r="L92" s="691"/>
      <c r="M92" s="674" t="s">
        <v>491</v>
      </c>
      <c r="N92" s="674" t="s">
        <v>386</v>
      </c>
      <c r="O92" s="674" t="s">
        <v>384</v>
      </c>
      <c r="P92" s="673"/>
      <c r="Q92" s="673"/>
      <c r="R92" s="690">
        <v>44504</v>
      </c>
      <c r="S92" s="691" t="s">
        <v>474</v>
      </c>
      <c r="T92" s="691" t="s">
        <v>430</v>
      </c>
      <c r="U92" s="673"/>
      <c r="V92" s="673"/>
      <c r="W92" s="673"/>
      <c r="X92" s="673"/>
      <c r="Y92" s="673"/>
      <c r="Z92" s="673"/>
      <c r="AA92" s="673"/>
      <c r="AB92" s="673"/>
      <c r="AC92" s="673"/>
      <c r="AD92" s="673"/>
    </row>
    <row r="93" spans="1:30" s="610" customFormat="1" ht="16.5" customHeight="1" x14ac:dyDescent="0.2">
      <c r="A93" s="686">
        <v>3</v>
      </c>
      <c r="B93" s="673"/>
      <c r="C93" s="673"/>
      <c r="D93" s="673"/>
      <c r="E93" s="673"/>
      <c r="F93" s="566"/>
      <c r="G93" s="673" t="s">
        <v>999</v>
      </c>
      <c r="H93" s="673" t="s">
        <v>935</v>
      </c>
      <c r="I93" s="673"/>
      <c r="J93" s="692">
        <v>21009</v>
      </c>
      <c r="K93" s="691">
        <v>1</v>
      </c>
      <c r="L93" s="691"/>
      <c r="M93" s="674" t="s">
        <v>491</v>
      </c>
      <c r="N93" s="674" t="s">
        <v>386</v>
      </c>
      <c r="O93" s="674" t="s">
        <v>384</v>
      </c>
      <c r="P93" s="673"/>
      <c r="Q93" s="673"/>
      <c r="R93" s="690">
        <v>44504</v>
      </c>
      <c r="S93" s="691" t="s">
        <v>474</v>
      </c>
      <c r="T93" s="691" t="s">
        <v>430</v>
      </c>
      <c r="U93" s="673"/>
      <c r="V93" s="673"/>
      <c r="W93" s="673"/>
      <c r="X93" s="673"/>
      <c r="Y93" s="673"/>
      <c r="Z93" s="673"/>
      <c r="AA93" s="673"/>
      <c r="AB93" s="673"/>
      <c r="AC93" s="673"/>
      <c r="AD93" s="673"/>
    </row>
    <row r="94" spans="1:30" s="610" customFormat="1" ht="16.5" customHeight="1" x14ac:dyDescent="0.2">
      <c r="A94" s="686">
        <v>4</v>
      </c>
      <c r="B94" s="673"/>
      <c r="C94" s="673"/>
      <c r="D94" s="673"/>
      <c r="E94" s="673"/>
      <c r="F94" s="566"/>
      <c r="G94" s="673" t="s">
        <v>996</v>
      </c>
      <c r="H94" s="673" t="s">
        <v>768</v>
      </c>
      <c r="I94" s="673" t="s">
        <v>404</v>
      </c>
      <c r="J94" s="692">
        <v>28827</v>
      </c>
      <c r="K94" s="691">
        <v>1</v>
      </c>
      <c r="L94" s="691"/>
      <c r="M94" s="674" t="s">
        <v>491</v>
      </c>
      <c r="N94" s="674" t="s">
        <v>386</v>
      </c>
      <c r="O94" s="674" t="s">
        <v>384</v>
      </c>
      <c r="P94" s="673">
        <v>9319643603</v>
      </c>
      <c r="Q94" s="673"/>
      <c r="R94" s="690">
        <v>44504</v>
      </c>
      <c r="S94" s="691" t="s">
        <v>474</v>
      </c>
      <c r="T94" s="691" t="s">
        <v>430</v>
      </c>
      <c r="U94" s="673"/>
      <c r="V94" s="673"/>
      <c r="W94" s="673"/>
      <c r="X94" s="673"/>
      <c r="Y94" s="673"/>
      <c r="Z94" s="673"/>
      <c r="AA94" s="673"/>
      <c r="AB94" s="673"/>
      <c r="AC94" s="673"/>
      <c r="AD94" s="673"/>
    </row>
    <row r="95" spans="1:30" s="610" customFormat="1" ht="16.5" customHeight="1" x14ac:dyDescent="0.2">
      <c r="A95" s="686">
        <v>5</v>
      </c>
      <c r="B95" s="673"/>
      <c r="C95" s="673"/>
      <c r="D95" s="673"/>
      <c r="E95" s="673"/>
      <c r="F95" s="566"/>
      <c r="G95" s="673" t="s">
        <v>806</v>
      </c>
      <c r="H95" s="673" t="s">
        <v>1000</v>
      </c>
      <c r="I95" s="673"/>
      <c r="J95" s="692">
        <v>32910</v>
      </c>
      <c r="K95" s="691">
        <v>1</v>
      </c>
      <c r="L95" s="691"/>
      <c r="M95" s="674" t="s">
        <v>491</v>
      </c>
      <c r="N95" s="674" t="s">
        <v>386</v>
      </c>
      <c r="O95" s="674" t="s">
        <v>384</v>
      </c>
      <c r="P95" s="673"/>
      <c r="Q95" s="673"/>
      <c r="R95" s="690">
        <v>44504</v>
      </c>
      <c r="S95" s="691" t="s">
        <v>474</v>
      </c>
      <c r="T95" s="691" t="s">
        <v>430</v>
      </c>
      <c r="U95" s="673"/>
      <c r="V95" s="673"/>
      <c r="W95" s="673"/>
      <c r="X95" s="673"/>
      <c r="Y95" s="673"/>
      <c r="Z95" s="673"/>
      <c r="AA95" s="673"/>
      <c r="AB95" s="673"/>
      <c r="AC95" s="673"/>
      <c r="AD95" s="673"/>
    </row>
    <row r="96" spans="1:30" s="610" customFormat="1" ht="16.5" customHeight="1" x14ac:dyDescent="0.2">
      <c r="A96" s="686">
        <v>6</v>
      </c>
      <c r="B96" s="673"/>
      <c r="C96" s="673"/>
      <c r="D96" s="673"/>
      <c r="E96" s="673"/>
      <c r="F96" s="566"/>
      <c r="G96" s="673" t="s">
        <v>999</v>
      </c>
      <c r="H96" s="673" t="s">
        <v>1001</v>
      </c>
      <c r="I96" s="673"/>
      <c r="J96" s="692">
        <v>36471</v>
      </c>
      <c r="K96" s="691">
        <v>1</v>
      </c>
      <c r="L96" s="691"/>
      <c r="M96" s="674" t="s">
        <v>491</v>
      </c>
      <c r="N96" s="674" t="s">
        <v>386</v>
      </c>
      <c r="O96" s="674" t="s">
        <v>384</v>
      </c>
      <c r="P96" s="673"/>
      <c r="Q96" s="673"/>
      <c r="R96" s="690">
        <v>44504</v>
      </c>
      <c r="S96" s="691" t="s">
        <v>474</v>
      </c>
      <c r="T96" s="691" t="s">
        <v>430</v>
      </c>
      <c r="U96" s="673"/>
      <c r="V96" s="673"/>
      <c r="W96" s="673"/>
      <c r="X96" s="673"/>
      <c r="Y96" s="673"/>
      <c r="Z96" s="673"/>
      <c r="AA96" s="673"/>
      <c r="AB96" s="673"/>
      <c r="AC96" s="673"/>
      <c r="AD96" s="673"/>
    </row>
    <row r="97" spans="1:30" s="610" customFormat="1" ht="16.5" customHeight="1" x14ac:dyDescent="0.2">
      <c r="A97" s="686">
        <v>7</v>
      </c>
      <c r="B97" s="673"/>
      <c r="C97" s="673"/>
      <c r="D97" s="673"/>
      <c r="E97" s="673"/>
      <c r="F97" s="566"/>
      <c r="G97" s="673" t="s">
        <v>1002</v>
      </c>
      <c r="H97" s="673" t="s">
        <v>1003</v>
      </c>
      <c r="I97" s="673"/>
      <c r="J97" s="692">
        <v>29349</v>
      </c>
      <c r="K97" s="691">
        <v>1</v>
      </c>
      <c r="L97" s="691"/>
      <c r="M97" s="674" t="s">
        <v>491</v>
      </c>
      <c r="N97" s="674" t="s">
        <v>386</v>
      </c>
      <c r="O97" s="674" t="s">
        <v>384</v>
      </c>
      <c r="P97" s="673"/>
      <c r="Q97" s="673"/>
      <c r="R97" s="690">
        <v>44504</v>
      </c>
      <c r="S97" s="691" t="s">
        <v>474</v>
      </c>
      <c r="T97" s="691" t="s">
        <v>430</v>
      </c>
      <c r="U97" s="673"/>
      <c r="V97" s="673"/>
      <c r="W97" s="673"/>
      <c r="X97" s="673"/>
      <c r="Y97" s="673"/>
      <c r="Z97" s="673"/>
      <c r="AA97" s="673"/>
      <c r="AB97" s="673"/>
      <c r="AC97" s="673"/>
      <c r="AD97" s="673"/>
    </row>
    <row r="98" spans="1:30" s="610" customFormat="1" ht="16.5" customHeight="1" x14ac:dyDescent="0.2">
      <c r="A98" s="686">
        <v>8</v>
      </c>
      <c r="B98" s="673"/>
      <c r="C98" s="673"/>
      <c r="D98" s="673"/>
      <c r="E98" s="673"/>
      <c r="F98" s="566"/>
      <c r="G98" s="673" t="s">
        <v>1004</v>
      </c>
      <c r="H98" s="673" t="s">
        <v>1005</v>
      </c>
      <c r="I98" s="673"/>
      <c r="J98" s="692">
        <v>32071</v>
      </c>
      <c r="K98" s="691">
        <v>1</v>
      </c>
      <c r="L98" s="691"/>
      <c r="M98" s="674" t="s">
        <v>491</v>
      </c>
      <c r="N98" s="674" t="s">
        <v>386</v>
      </c>
      <c r="O98" s="674" t="s">
        <v>384</v>
      </c>
      <c r="P98" s="673"/>
      <c r="Q98" s="673"/>
      <c r="R98" s="690">
        <v>44504</v>
      </c>
      <c r="S98" s="691" t="s">
        <v>474</v>
      </c>
      <c r="T98" s="691" t="s">
        <v>430</v>
      </c>
      <c r="U98" s="673"/>
      <c r="V98" s="673"/>
      <c r="W98" s="673"/>
      <c r="X98" s="673"/>
      <c r="Y98" s="673"/>
      <c r="Z98" s="673"/>
      <c r="AA98" s="673"/>
      <c r="AB98" s="673"/>
      <c r="AC98" s="673"/>
      <c r="AD98" s="673"/>
    </row>
    <row r="99" spans="1:30" s="610" customFormat="1" ht="16.5" customHeight="1" x14ac:dyDescent="0.2">
      <c r="A99" s="686">
        <v>9</v>
      </c>
      <c r="B99" s="673"/>
      <c r="C99" s="673"/>
      <c r="D99" s="673"/>
      <c r="E99" s="673"/>
      <c r="F99" s="566"/>
      <c r="G99" s="673" t="s">
        <v>1006</v>
      </c>
      <c r="H99" s="673" t="s">
        <v>1007</v>
      </c>
      <c r="I99" s="673" t="s">
        <v>387</v>
      </c>
      <c r="J99" s="692">
        <v>33004</v>
      </c>
      <c r="K99" s="691">
        <v>1</v>
      </c>
      <c r="L99" s="691"/>
      <c r="M99" s="674" t="s">
        <v>491</v>
      </c>
      <c r="N99" s="674" t="s">
        <v>386</v>
      </c>
      <c r="O99" s="674" t="s">
        <v>384</v>
      </c>
      <c r="P99" s="673"/>
      <c r="Q99" s="673"/>
      <c r="R99" s="690">
        <v>44504</v>
      </c>
      <c r="S99" s="691" t="s">
        <v>474</v>
      </c>
      <c r="T99" s="691" t="s">
        <v>430</v>
      </c>
      <c r="U99" s="673"/>
      <c r="V99" s="673"/>
      <c r="W99" s="673"/>
      <c r="X99" s="673"/>
      <c r="Y99" s="673"/>
      <c r="Z99" s="673"/>
      <c r="AA99" s="673"/>
      <c r="AB99" s="673"/>
      <c r="AC99" s="673"/>
      <c r="AD99" s="673"/>
    </row>
    <row r="100" spans="1:30" s="610" customFormat="1" ht="16.5" customHeight="1" x14ac:dyDescent="0.2">
      <c r="A100" s="686">
        <v>10</v>
      </c>
      <c r="B100" s="673"/>
      <c r="C100" s="673"/>
      <c r="D100" s="673"/>
      <c r="E100" s="673"/>
      <c r="F100" s="566"/>
      <c r="G100" s="673" t="s">
        <v>1004</v>
      </c>
      <c r="H100" s="673" t="s">
        <v>1008</v>
      </c>
      <c r="I100" s="673"/>
      <c r="J100" s="692">
        <v>23248</v>
      </c>
      <c r="K100" s="691">
        <v>1</v>
      </c>
      <c r="L100" s="691"/>
      <c r="M100" s="674" t="s">
        <v>491</v>
      </c>
      <c r="N100" s="674" t="s">
        <v>386</v>
      </c>
      <c r="O100" s="674" t="s">
        <v>384</v>
      </c>
      <c r="P100" s="673"/>
      <c r="Q100" s="673"/>
      <c r="R100" s="690">
        <v>44504</v>
      </c>
      <c r="S100" s="691" t="s">
        <v>474</v>
      </c>
      <c r="T100" s="691" t="s">
        <v>430</v>
      </c>
      <c r="U100" s="673"/>
      <c r="V100" s="673"/>
      <c r="W100" s="673"/>
      <c r="X100" s="673"/>
      <c r="Y100" s="673"/>
      <c r="Z100" s="673"/>
      <c r="AA100" s="673"/>
      <c r="AB100" s="673"/>
      <c r="AC100" s="673"/>
      <c r="AD100" s="673"/>
    </row>
    <row r="101" spans="1:30" s="610" customFormat="1" ht="16.5" customHeight="1" x14ac:dyDescent="0.2">
      <c r="A101" s="686">
        <v>11</v>
      </c>
      <c r="B101" s="673"/>
      <c r="C101" s="673"/>
      <c r="D101" s="673"/>
      <c r="E101" s="673"/>
      <c r="F101" s="566"/>
      <c r="G101" s="673" t="s">
        <v>1009</v>
      </c>
      <c r="H101" s="673" t="s">
        <v>1010</v>
      </c>
      <c r="I101" s="673"/>
      <c r="J101" s="692">
        <v>28438</v>
      </c>
      <c r="K101" s="691">
        <v>1</v>
      </c>
      <c r="L101" s="691"/>
      <c r="M101" s="674" t="s">
        <v>491</v>
      </c>
      <c r="N101" s="674" t="s">
        <v>386</v>
      </c>
      <c r="O101" s="674" t="s">
        <v>384</v>
      </c>
      <c r="P101" s="673">
        <v>9508484805</v>
      </c>
      <c r="Q101" s="673"/>
      <c r="R101" s="690">
        <v>44504</v>
      </c>
      <c r="S101" s="691" t="s">
        <v>474</v>
      </c>
      <c r="T101" s="691" t="s">
        <v>430</v>
      </c>
      <c r="U101" s="673"/>
      <c r="V101" s="673"/>
      <c r="W101" s="673"/>
      <c r="X101" s="673"/>
      <c r="Y101" s="673"/>
      <c r="Z101" s="673"/>
      <c r="AA101" s="673"/>
      <c r="AB101" s="673"/>
      <c r="AC101" s="673"/>
      <c r="AD101" s="673"/>
    </row>
    <row r="102" spans="1:30" s="610" customFormat="1" ht="16.5" customHeight="1" x14ac:dyDescent="0.2">
      <c r="A102" s="686">
        <v>12</v>
      </c>
      <c r="B102" s="673"/>
      <c r="C102" s="673"/>
      <c r="D102" s="673"/>
      <c r="E102" s="673"/>
      <c r="F102" s="566"/>
      <c r="G102" s="673" t="s">
        <v>593</v>
      </c>
      <c r="H102" s="673" t="s">
        <v>1011</v>
      </c>
      <c r="I102" s="673"/>
      <c r="J102" s="692">
        <v>24471</v>
      </c>
      <c r="K102" s="691">
        <v>1</v>
      </c>
      <c r="L102" s="691"/>
      <c r="M102" s="674" t="s">
        <v>491</v>
      </c>
      <c r="N102" s="674" t="s">
        <v>386</v>
      </c>
      <c r="O102" s="674" t="s">
        <v>384</v>
      </c>
      <c r="P102" s="673"/>
      <c r="Q102" s="673"/>
      <c r="R102" s="690">
        <v>44504</v>
      </c>
      <c r="S102" s="691" t="s">
        <v>474</v>
      </c>
      <c r="T102" s="691" t="s">
        <v>430</v>
      </c>
      <c r="U102" s="673"/>
      <c r="V102" s="673"/>
      <c r="W102" s="673"/>
      <c r="X102" s="673"/>
      <c r="Y102" s="673"/>
      <c r="Z102" s="673"/>
      <c r="AA102" s="673"/>
      <c r="AB102" s="673"/>
      <c r="AC102" s="673"/>
      <c r="AD102" s="673"/>
    </row>
    <row r="103" spans="1:30" s="610" customFormat="1" ht="16.5" customHeight="1" x14ac:dyDescent="0.2">
      <c r="A103" s="686">
        <v>13</v>
      </c>
      <c r="B103" s="673"/>
      <c r="C103" s="673"/>
      <c r="D103" s="673"/>
      <c r="E103" s="673"/>
      <c r="F103" s="566"/>
      <c r="G103" s="673" t="s">
        <v>1004</v>
      </c>
      <c r="H103" s="673" t="s">
        <v>1012</v>
      </c>
      <c r="I103" s="673"/>
      <c r="J103" s="692">
        <v>30306</v>
      </c>
      <c r="K103" s="691">
        <v>1</v>
      </c>
      <c r="L103" s="691"/>
      <c r="M103" s="674" t="s">
        <v>491</v>
      </c>
      <c r="N103" s="674" t="s">
        <v>386</v>
      </c>
      <c r="O103" s="674" t="s">
        <v>384</v>
      </c>
      <c r="P103" s="673"/>
      <c r="Q103" s="673"/>
      <c r="R103" s="690">
        <v>44504</v>
      </c>
      <c r="S103" s="691" t="s">
        <v>474</v>
      </c>
      <c r="T103" s="691" t="s">
        <v>430</v>
      </c>
      <c r="U103" s="673"/>
      <c r="V103" s="673"/>
      <c r="W103" s="673"/>
      <c r="X103" s="673"/>
      <c r="Y103" s="673"/>
      <c r="Z103" s="673"/>
      <c r="AA103" s="673"/>
      <c r="AB103" s="673"/>
      <c r="AC103" s="673"/>
      <c r="AD103" s="673"/>
    </row>
    <row r="104" spans="1:30" s="610" customFormat="1" ht="16.5" customHeight="1" x14ac:dyDescent="0.2">
      <c r="A104" s="686">
        <v>14</v>
      </c>
      <c r="B104" s="673"/>
      <c r="C104" s="673"/>
      <c r="D104" s="673"/>
      <c r="E104" s="673"/>
      <c r="F104" s="566"/>
      <c r="G104" s="673" t="s">
        <v>1013</v>
      </c>
      <c r="H104" s="673" t="s">
        <v>1014</v>
      </c>
      <c r="I104" s="673"/>
      <c r="J104" s="692">
        <v>32240</v>
      </c>
      <c r="K104" s="691">
        <v>1</v>
      </c>
      <c r="L104" s="691"/>
      <c r="M104" s="674" t="s">
        <v>491</v>
      </c>
      <c r="N104" s="674" t="s">
        <v>386</v>
      </c>
      <c r="O104" s="674" t="s">
        <v>384</v>
      </c>
      <c r="P104" s="673"/>
      <c r="Q104" s="673"/>
      <c r="R104" s="690">
        <v>44504</v>
      </c>
      <c r="S104" s="691" t="s">
        <v>474</v>
      </c>
      <c r="T104" s="691" t="s">
        <v>430</v>
      </c>
      <c r="U104" s="673"/>
      <c r="V104" s="673"/>
      <c r="W104" s="673"/>
      <c r="X104" s="673"/>
      <c r="Y104" s="673"/>
      <c r="Z104" s="673"/>
      <c r="AA104" s="673"/>
      <c r="AB104" s="673"/>
      <c r="AC104" s="673"/>
      <c r="AD104" s="673"/>
    </row>
    <row r="105" spans="1:30" s="610" customFormat="1" ht="16.5" customHeight="1" x14ac:dyDescent="0.2">
      <c r="A105" s="686">
        <v>15</v>
      </c>
      <c r="B105" s="673"/>
      <c r="C105" s="673"/>
      <c r="D105" s="673"/>
      <c r="E105" s="673"/>
      <c r="F105" s="566"/>
      <c r="G105" s="673" t="s">
        <v>505</v>
      </c>
      <c r="H105" s="673" t="s">
        <v>1015</v>
      </c>
      <c r="I105" s="673"/>
      <c r="J105" s="692">
        <v>26521</v>
      </c>
      <c r="K105" s="691">
        <v>1</v>
      </c>
      <c r="L105" s="691"/>
      <c r="M105" s="674" t="s">
        <v>491</v>
      </c>
      <c r="N105" s="674" t="s">
        <v>386</v>
      </c>
      <c r="O105" s="674" t="s">
        <v>384</v>
      </c>
      <c r="P105" s="673"/>
      <c r="Q105" s="673"/>
      <c r="R105" s="690">
        <v>44504</v>
      </c>
      <c r="S105" s="691" t="s">
        <v>474</v>
      </c>
      <c r="T105" s="691" t="s">
        <v>430</v>
      </c>
      <c r="U105" s="673"/>
      <c r="V105" s="673"/>
      <c r="W105" s="673"/>
      <c r="X105" s="673"/>
      <c r="Y105" s="673"/>
      <c r="Z105" s="673"/>
      <c r="AA105" s="673"/>
      <c r="AB105" s="673"/>
      <c r="AC105" s="673"/>
      <c r="AD105" s="673"/>
    </row>
    <row r="106" spans="1:30" s="610" customFormat="1" ht="16.5" customHeight="1" x14ac:dyDescent="0.2">
      <c r="A106" s="686">
        <v>16</v>
      </c>
      <c r="B106" s="673"/>
      <c r="C106" s="673"/>
      <c r="D106" s="673"/>
      <c r="E106" s="673"/>
      <c r="F106" s="566"/>
      <c r="G106" s="673" t="s">
        <v>1016</v>
      </c>
      <c r="H106" s="673" t="s">
        <v>1017</v>
      </c>
      <c r="I106" s="673"/>
      <c r="J106" s="692">
        <v>38103</v>
      </c>
      <c r="K106" s="691">
        <v>1</v>
      </c>
      <c r="L106" s="691"/>
      <c r="M106" s="674" t="s">
        <v>491</v>
      </c>
      <c r="N106" s="674" t="s">
        <v>386</v>
      </c>
      <c r="O106" s="674" t="s">
        <v>384</v>
      </c>
      <c r="P106" s="673"/>
      <c r="Q106" s="673"/>
      <c r="R106" s="690">
        <v>44504</v>
      </c>
      <c r="S106" s="691" t="s">
        <v>474</v>
      </c>
      <c r="T106" s="691" t="s">
        <v>430</v>
      </c>
      <c r="U106" s="673"/>
      <c r="V106" s="673"/>
      <c r="W106" s="673"/>
      <c r="X106" s="673"/>
      <c r="Y106" s="673"/>
      <c r="Z106" s="673"/>
      <c r="AA106" s="673"/>
      <c r="AB106" s="673"/>
      <c r="AC106" s="673"/>
      <c r="AD106" s="673"/>
    </row>
    <row r="107" spans="1:30" s="610" customFormat="1" ht="16.5" customHeight="1" x14ac:dyDescent="0.2">
      <c r="A107" s="686">
        <v>17</v>
      </c>
      <c r="B107" s="673"/>
      <c r="C107" s="673"/>
      <c r="D107" s="673"/>
      <c r="E107" s="673"/>
      <c r="F107" s="566"/>
      <c r="G107" s="673" t="s">
        <v>1018</v>
      </c>
      <c r="H107" s="673" t="s">
        <v>1019</v>
      </c>
      <c r="I107" s="673" t="s">
        <v>425</v>
      </c>
      <c r="J107" s="692">
        <v>29195</v>
      </c>
      <c r="K107" s="691">
        <v>1</v>
      </c>
      <c r="L107" s="691"/>
      <c r="M107" s="674" t="s">
        <v>491</v>
      </c>
      <c r="N107" s="674" t="s">
        <v>386</v>
      </c>
      <c r="O107" s="674" t="s">
        <v>384</v>
      </c>
      <c r="P107" s="673"/>
      <c r="Q107" s="673"/>
      <c r="R107" s="690">
        <v>44504</v>
      </c>
      <c r="S107" s="691" t="s">
        <v>474</v>
      </c>
      <c r="T107" s="691" t="s">
        <v>430</v>
      </c>
      <c r="U107" s="673"/>
      <c r="V107" s="673"/>
      <c r="W107" s="673"/>
      <c r="X107" s="673"/>
      <c r="Y107" s="673"/>
      <c r="Z107" s="673"/>
      <c r="AA107" s="673"/>
      <c r="AB107" s="673"/>
      <c r="AC107" s="673"/>
      <c r="AD107" s="673"/>
    </row>
    <row r="108" spans="1:30" s="610" customFormat="1" ht="16.5" customHeight="1" x14ac:dyDescent="0.2">
      <c r="A108" s="686">
        <v>18</v>
      </c>
      <c r="B108" s="673"/>
      <c r="C108" s="673"/>
      <c r="D108" s="673"/>
      <c r="E108" s="673"/>
      <c r="F108" s="566"/>
      <c r="G108" s="673" t="s">
        <v>999</v>
      </c>
      <c r="H108" s="673" t="s">
        <v>1020</v>
      </c>
      <c r="I108" s="673"/>
      <c r="J108" s="692">
        <v>34959</v>
      </c>
      <c r="K108" s="691">
        <v>1</v>
      </c>
      <c r="L108" s="691"/>
      <c r="M108" s="674" t="s">
        <v>491</v>
      </c>
      <c r="N108" s="674" t="s">
        <v>386</v>
      </c>
      <c r="O108" s="674" t="s">
        <v>384</v>
      </c>
      <c r="P108" s="673"/>
      <c r="Q108" s="673"/>
      <c r="R108" s="690">
        <v>44504</v>
      </c>
      <c r="S108" s="691" t="s">
        <v>474</v>
      </c>
      <c r="T108" s="691" t="s">
        <v>430</v>
      </c>
      <c r="U108" s="673"/>
      <c r="V108" s="673"/>
      <c r="W108" s="673"/>
      <c r="X108" s="673"/>
      <c r="Y108" s="673"/>
      <c r="Z108" s="673"/>
      <c r="AA108" s="673"/>
      <c r="AB108" s="673"/>
      <c r="AC108" s="673"/>
      <c r="AD108" s="673"/>
    </row>
    <row r="109" spans="1:30" s="610" customFormat="1" ht="16.5" customHeight="1" x14ac:dyDescent="0.2">
      <c r="A109" s="686">
        <v>19</v>
      </c>
      <c r="B109" s="673"/>
      <c r="C109" s="673"/>
      <c r="D109" s="673"/>
      <c r="E109" s="673"/>
      <c r="F109" s="566"/>
      <c r="G109" s="673" t="s">
        <v>999</v>
      </c>
      <c r="H109" s="673" t="s">
        <v>1021</v>
      </c>
      <c r="I109" s="673"/>
      <c r="J109" s="692">
        <v>29670</v>
      </c>
      <c r="K109" s="691">
        <v>1</v>
      </c>
      <c r="L109" s="691"/>
      <c r="M109" s="674" t="s">
        <v>491</v>
      </c>
      <c r="N109" s="674" t="s">
        <v>386</v>
      </c>
      <c r="O109" s="674" t="s">
        <v>384</v>
      </c>
      <c r="P109" s="673"/>
      <c r="Q109" s="673"/>
      <c r="R109" s="690">
        <v>44504</v>
      </c>
      <c r="S109" s="691" t="s">
        <v>474</v>
      </c>
      <c r="T109" s="691" t="s">
        <v>430</v>
      </c>
      <c r="U109" s="673"/>
      <c r="V109" s="673"/>
      <c r="W109" s="673"/>
      <c r="X109" s="673"/>
      <c r="Y109" s="673"/>
      <c r="Z109" s="673"/>
      <c r="AA109" s="673"/>
      <c r="AB109" s="673"/>
      <c r="AC109" s="673"/>
      <c r="AD109" s="673"/>
    </row>
    <row r="110" spans="1:30" s="610" customFormat="1" ht="16.5" customHeight="1" x14ac:dyDescent="0.2">
      <c r="A110" s="686">
        <v>20</v>
      </c>
      <c r="B110" s="673"/>
      <c r="C110" s="673"/>
      <c r="D110" s="673"/>
      <c r="E110" s="673"/>
      <c r="F110" s="566"/>
      <c r="G110" s="673" t="s">
        <v>1022</v>
      </c>
      <c r="H110" s="673" t="s">
        <v>1023</v>
      </c>
      <c r="I110" s="673"/>
      <c r="J110" s="692">
        <v>28327</v>
      </c>
      <c r="K110" s="691">
        <v>1</v>
      </c>
      <c r="L110" s="691"/>
      <c r="M110" s="674" t="s">
        <v>491</v>
      </c>
      <c r="N110" s="674" t="s">
        <v>386</v>
      </c>
      <c r="O110" s="674" t="s">
        <v>384</v>
      </c>
      <c r="P110" s="673"/>
      <c r="Q110" s="673"/>
      <c r="R110" s="690">
        <v>44504</v>
      </c>
      <c r="S110" s="691" t="s">
        <v>474</v>
      </c>
      <c r="T110" s="691" t="s">
        <v>430</v>
      </c>
      <c r="U110" s="673"/>
      <c r="V110" s="673"/>
      <c r="W110" s="673"/>
      <c r="X110" s="673"/>
      <c r="Y110" s="673"/>
      <c r="Z110" s="673"/>
      <c r="AA110" s="673"/>
      <c r="AB110" s="673"/>
      <c r="AC110" s="673"/>
      <c r="AD110" s="673"/>
    </row>
    <row r="111" spans="1:30" s="565" customFormat="1" ht="16.5" customHeight="1" x14ac:dyDescent="0.25">
      <c r="A111" s="686">
        <v>21</v>
      </c>
      <c r="B111" s="563"/>
      <c r="C111" s="563"/>
      <c r="D111" s="563"/>
      <c r="E111" s="563"/>
      <c r="F111" s="680"/>
      <c r="G111" s="673" t="s">
        <v>937</v>
      </c>
      <c r="H111" s="673" t="s">
        <v>938</v>
      </c>
      <c r="I111" s="673" t="s">
        <v>400</v>
      </c>
      <c r="J111" s="692">
        <v>35489</v>
      </c>
      <c r="K111" s="691">
        <v>1</v>
      </c>
      <c r="L111" s="691"/>
      <c r="M111" s="691" t="s">
        <v>939</v>
      </c>
      <c r="N111" s="691" t="s">
        <v>386</v>
      </c>
      <c r="O111" s="674" t="s">
        <v>384</v>
      </c>
      <c r="P111" s="673">
        <v>9984863818</v>
      </c>
      <c r="Q111" s="673"/>
      <c r="R111" s="690">
        <v>44518</v>
      </c>
      <c r="S111" s="691" t="s">
        <v>474</v>
      </c>
      <c r="T111" s="691" t="s">
        <v>430</v>
      </c>
      <c r="U111" s="563"/>
      <c r="V111" s="563"/>
      <c r="W111" s="563"/>
      <c r="X111" s="563"/>
      <c r="Y111" s="563"/>
      <c r="Z111" s="563"/>
      <c r="AA111" s="563"/>
      <c r="AB111" s="563"/>
      <c r="AC111" s="563"/>
      <c r="AD111" s="563"/>
    </row>
    <row r="112" spans="1:30" s="565" customFormat="1" ht="16.5" customHeight="1" x14ac:dyDescent="0.25">
      <c r="A112" s="686">
        <v>22</v>
      </c>
      <c r="B112" s="563"/>
      <c r="C112" s="563"/>
      <c r="D112" s="563"/>
      <c r="E112" s="563"/>
      <c r="F112" s="680"/>
      <c r="G112" s="673" t="s">
        <v>795</v>
      </c>
      <c r="H112" s="717" t="s">
        <v>940</v>
      </c>
      <c r="I112" s="673"/>
      <c r="J112" s="692">
        <v>34039</v>
      </c>
      <c r="K112" s="691">
        <v>1</v>
      </c>
      <c r="L112" s="691"/>
      <c r="M112" s="691" t="s">
        <v>585</v>
      </c>
      <c r="N112" s="691" t="s">
        <v>386</v>
      </c>
      <c r="O112" s="674" t="s">
        <v>384</v>
      </c>
      <c r="P112" s="673">
        <v>9564150555</v>
      </c>
      <c r="Q112" s="673"/>
      <c r="R112" s="690">
        <v>44518</v>
      </c>
      <c r="S112" s="691" t="s">
        <v>474</v>
      </c>
      <c r="T112" s="691" t="s">
        <v>430</v>
      </c>
      <c r="U112" s="563"/>
      <c r="V112" s="563"/>
      <c r="W112" s="563"/>
      <c r="X112" s="563"/>
      <c r="Y112" s="563"/>
      <c r="Z112" s="563"/>
      <c r="AA112" s="563"/>
      <c r="AB112" s="563"/>
      <c r="AC112" s="563"/>
      <c r="AD112" s="563"/>
    </row>
    <row r="113" spans="1:30" s="565" customFormat="1" ht="16.5" customHeight="1" x14ac:dyDescent="0.25">
      <c r="A113" s="686">
        <v>23</v>
      </c>
      <c r="B113" s="563"/>
      <c r="C113" s="563"/>
      <c r="D113" s="563"/>
      <c r="E113" s="563"/>
      <c r="F113" s="680"/>
      <c r="G113" s="673" t="s">
        <v>941</v>
      </c>
      <c r="H113" s="673" t="s">
        <v>942</v>
      </c>
      <c r="I113" s="673"/>
      <c r="J113" s="692">
        <v>33426</v>
      </c>
      <c r="K113" s="691">
        <v>1</v>
      </c>
      <c r="L113" s="691"/>
      <c r="M113" s="691" t="s">
        <v>554</v>
      </c>
      <c r="N113" s="691" t="s">
        <v>386</v>
      </c>
      <c r="O113" s="674" t="s">
        <v>384</v>
      </c>
      <c r="P113" s="673">
        <v>9177164876</v>
      </c>
      <c r="Q113" s="673"/>
      <c r="R113" s="690">
        <v>44518</v>
      </c>
      <c r="S113" s="691" t="s">
        <v>474</v>
      </c>
      <c r="T113" s="691" t="s">
        <v>430</v>
      </c>
      <c r="U113" s="563"/>
      <c r="V113" s="563"/>
      <c r="W113" s="563"/>
      <c r="X113" s="563"/>
      <c r="Y113" s="563"/>
      <c r="Z113" s="563"/>
      <c r="AA113" s="563"/>
      <c r="AB113" s="563"/>
      <c r="AC113" s="563"/>
      <c r="AD113" s="563"/>
    </row>
    <row r="114" spans="1:30" s="565" customFormat="1" ht="16.5" customHeight="1" x14ac:dyDescent="0.25">
      <c r="A114" s="686">
        <v>24</v>
      </c>
      <c r="B114" s="563"/>
      <c r="C114" s="563"/>
      <c r="D114" s="563"/>
      <c r="E114" s="563"/>
      <c r="F114" s="680"/>
      <c r="G114" s="673" t="s">
        <v>943</v>
      </c>
      <c r="H114" s="673" t="s">
        <v>944</v>
      </c>
      <c r="I114" s="673"/>
      <c r="J114" s="692">
        <v>33142</v>
      </c>
      <c r="K114" s="691">
        <v>1</v>
      </c>
      <c r="L114" s="691"/>
      <c r="M114" s="691" t="s">
        <v>945</v>
      </c>
      <c r="N114" s="691" t="s">
        <v>386</v>
      </c>
      <c r="O114" s="674" t="s">
        <v>384</v>
      </c>
      <c r="P114" s="673">
        <v>9467045176</v>
      </c>
      <c r="Q114" s="673"/>
      <c r="R114" s="690">
        <v>44518</v>
      </c>
      <c r="S114" s="691" t="s">
        <v>474</v>
      </c>
      <c r="T114" s="691" t="s">
        <v>430</v>
      </c>
      <c r="U114" s="563"/>
      <c r="V114" s="563"/>
      <c r="W114" s="563"/>
      <c r="X114" s="563"/>
      <c r="Y114" s="563"/>
      <c r="Z114" s="563"/>
      <c r="AA114" s="563"/>
      <c r="AB114" s="563"/>
      <c r="AC114" s="563"/>
      <c r="AD114" s="563"/>
    </row>
    <row r="115" spans="1:30" s="565" customFormat="1" ht="16.5" customHeight="1" x14ac:dyDescent="0.25">
      <c r="A115" s="686">
        <v>25</v>
      </c>
      <c r="B115" s="563"/>
      <c r="C115" s="563"/>
      <c r="D115" s="563"/>
      <c r="E115" s="563"/>
      <c r="F115" s="680"/>
      <c r="G115" s="673" t="s">
        <v>637</v>
      </c>
      <c r="H115" s="673" t="s">
        <v>638</v>
      </c>
      <c r="I115" s="673" t="s">
        <v>634</v>
      </c>
      <c r="J115" s="676">
        <v>23008</v>
      </c>
      <c r="K115" s="675">
        <v>1</v>
      </c>
      <c r="L115" s="675"/>
      <c r="M115" s="674" t="s">
        <v>639</v>
      </c>
      <c r="N115" s="674" t="s">
        <v>494</v>
      </c>
      <c r="O115" s="674" t="s">
        <v>384</v>
      </c>
      <c r="P115" s="674">
        <v>9263505428</v>
      </c>
      <c r="Q115" s="674"/>
      <c r="R115" s="690">
        <v>44529</v>
      </c>
      <c r="S115" s="674" t="s">
        <v>429</v>
      </c>
      <c r="T115" s="674" t="s">
        <v>430</v>
      </c>
      <c r="U115" s="563"/>
      <c r="V115" s="563"/>
      <c r="W115" s="563"/>
      <c r="X115" s="563"/>
      <c r="Y115" s="563"/>
      <c r="Z115" s="563"/>
      <c r="AA115" s="563"/>
      <c r="AB115" s="563"/>
      <c r="AC115" s="563"/>
      <c r="AD115" s="563"/>
    </row>
    <row r="116" spans="1:30" s="565" customFormat="1" ht="16.5" customHeight="1" x14ac:dyDescent="0.25">
      <c r="A116" s="686">
        <v>26</v>
      </c>
      <c r="B116" s="563"/>
      <c r="C116" s="563"/>
      <c r="D116" s="563"/>
      <c r="E116" s="563"/>
      <c r="F116" s="680"/>
      <c r="G116" s="673" t="s">
        <v>640</v>
      </c>
      <c r="H116" s="673" t="s">
        <v>641</v>
      </c>
      <c r="I116" s="673" t="s">
        <v>404</v>
      </c>
      <c r="J116" s="676">
        <v>26938</v>
      </c>
      <c r="K116" s="675">
        <v>1</v>
      </c>
      <c r="L116" s="675"/>
      <c r="M116" s="674" t="s">
        <v>642</v>
      </c>
      <c r="N116" s="674" t="s">
        <v>494</v>
      </c>
      <c r="O116" s="674" t="s">
        <v>384</v>
      </c>
      <c r="P116" s="674">
        <v>9752024989</v>
      </c>
      <c r="Q116" s="674"/>
      <c r="R116" s="690">
        <v>44529</v>
      </c>
      <c r="S116" s="674" t="s">
        <v>429</v>
      </c>
      <c r="T116" s="674" t="s">
        <v>430</v>
      </c>
      <c r="U116" s="563"/>
      <c r="V116" s="563"/>
      <c r="W116" s="563"/>
      <c r="X116" s="563"/>
      <c r="Y116" s="563"/>
      <c r="Z116" s="563"/>
      <c r="AA116" s="563"/>
      <c r="AB116" s="563"/>
      <c r="AC116" s="563"/>
      <c r="AD116" s="563"/>
    </row>
    <row r="117" spans="1:30" s="565" customFormat="1" ht="16.5" customHeight="1" x14ac:dyDescent="0.25">
      <c r="A117" s="686">
        <v>27</v>
      </c>
      <c r="B117" s="563"/>
      <c r="C117" s="563"/>
      <c r="D117" s="563"/>
      <c r="E117" s="563"/>
      <c r="F117" s="680"/>
      <c r="G117" s="673" t="s">
        <v>643</v>
      </c>
      <c r="H117" s="673" t="s">
        <v>644</v>
      </c>
      <c r="I117" s="673" t="s">
        <v>397</v>
      </c>
      <c r="J117" s="676">
        <v>28980</v>
      </c>
      <c r="K117" s="675">
        <v>1</v>
      </c>
      <c r="L117" s="675"/>
      <c r="M117" s="674" t="s">
        <v>642</v>
      </c>
      <c r="N117" s="674" t="s">
        <v>494</v>
      </c>
      <c r="O117" s="674" t="s">
        <v>384</v>
      </c>
      <c r="P117" s="674">
        <v>9266046101</v>
      </c>
      <c r="Q117" s="674"/>
      <c r="R117" s="690">
        <v>44529</v>
      </c>
      <c r="S117" s="674" t="s">
        <v>429</v>
      </c>
      <c r="T117" s="674" t="s">
        <v>430</v>
      </c>
      <c r="U117" s="563"/>
      <c r="V117" s="563"/>
      <c r="W117" s="563"/>
      <c r="X117" s="563"/>
      <c r="Y117" s="563"/>
      <c r="Z117" s="563"/>
      <c r="AA117" s="563"/>
      <c r="AB117" s="563"/>
      <c r="AC117" s="563"/>
      <c r="AD117" s="563"/>
    </row>
    <row r="118" spans="1:30" s="565" customFormat="1" ht="16.5" customHeight="1" x14ac:dyDescent="0.25">
      <c r="A118" s="686">
        <v>28</v>
      </c>
      <c r="B118" s="563"/>
      <c r="C118" s="563"/>
      <c r="D118" s="563"/>
      <c r="E118" s="563"/>
      <c r="F118" s="680"/>
      <c r="G118" s="673" t="s">
        <v>645</v>
      </c>
      <c r="H118" s="673" t="s">
        <v>646</v>
      </c>
      <c r="I118" s="673" t="s">
        <v>421</v>
      </c>
      <c r="J118" s="676">
        <v>30460</v>
      </c>
      <c r="K118" s="675">
        <v>1</v>
      </c>
      <c r="L118" s="675"/>
      <c r="M118" s="674" t="s">
        <v>647</v>
      </c>
      <c r="N118" s="674" t="s">
        <v>494</v>
      </c>
      <c r="O118" s="674" t="s">
        <v>384</v>
      </c>
      <c r="P118" s="674">
        <v>9388040554</v>
      </c>
      <c r="Q118" s="674"/>
      <c r="R118" s="690">
        <v>44529</v>
      </c>
      <c r="S118" s="674" t="s">
        <v>429</v>
      </c>
      <c r="T118" s="674" t="s">
        <v>430</v>
      </c>
      <c r="U118" s="563"/>
      <c r="V118" s="563"/>
      <c r="W118" s="563"/>
      <c r="X118" s="563"/>
      <c r="Y118" s="563"/>
      <c r="Z118" s="563"/>
      <c r="AA118" s="563"/>
      <c r="AB118" s="563"/>
      <c r="AC118" s="563"/>
      <c r="AD118" s="563"/>
    </row>
    <row r="119" spans="1:30" s="565" customFormat="1" ht="16.5" customHeight="1" x14ac:dyDescent="0.25">
      <c r="A119" s="686">
        <v>29</v>
      </c>
      <c r="B119" s="563"/>
      <c r="C119" s="563"/>
      <c r="D119" s="563"/>
      <c r="E119" s="563"/>
      <c r="F119" s="680"/>
      <c r="G119" s="673" t="s">
        <v>648</v>
      </c>
      <c r="H119" s="673" t="s">
        <v>649</v>
      </c>
      <c r="I119" s="673" t="s">
        <v>401</v>
      </c>
      <c r="J119" s="676">
        <v>28307</v>
      </c>
      <c r="K119" s="675">
        <v>1</v>
      </c>
      <c r="L119" s="675"/>
      <c r="M119" s="674" t="s">
        <v>650</v>
      </c>
      <c r="N119" s="674" t="s">
        <v>494</v>
      </c>
      <c r="O119" s="674" t="s">
        <v>384</v>
      </c>
      <c r="P119" s="674">
        <v>9091742367</v>
      </c>
      <c r="Q119" s="674"/>
      <c r="R119" s="690">
        <v>44529</v>
      </c>
      <c r="S119" s="674" t="s">
        <v>429</v>
      </c>
      <c r="T119" s="674" t="s">
        <v>430</v>
      </c>
      <c r="U119" s="563"/>
      <c r="V119" s="563"/>
      <c r="W119" s="563"/>
      <c r="X119" s="563"/>
      <c r="Y119" s="563"/>
      <c r="Z119" s="563"/>
      <c r="AA119" s="563"/>
      <c r="AB119" s="563"/>
      <c r="AC119" s="563"/>
      <c r="AD119" s="563"/>
    </row>
    <row r="120" spans="1:30" s="565" customFormat="1" ht="16.5" customHeight="1" x14ac:dyDescent="0.25">
      <c r="A120" s="686">
        <v>30</v>
      </c>
      <c r="B120" s="563"/>
      <c r="C120" s="563"/>
      <c r="D120" s="563"/>
      <c r="E120" s="563"/>
      <c r="F120" s="680"/>
      <c r="G120" s="673" t="s">
        <v>651</v>
      </c>
      <c r="H120" s="673" t="s">
        <v>652</v>
      </c>
      <c r="I120" s="673" t="s">
        <v>402</v>
      </c>
      <c r="J120" s="676">
        <v>27661</v>
      </c>
      <c r="K120" s="675"/>
      <c r="L120" s="675">
        <v>1</v>
      </c>
      <c r="M120" s="674" t="s">
        <v>650</v>
      </c>
      <c r="N120" s="674" t="s">
        <v>494</v>
      </c>
      <c r="O120" s="674" t="s">
        <v>384</v>
      </c>
      <c r="P120" s="674">
        <v>9101117592</v>
      </c>
      <c r="Q120" s="674"/>
      <c r="R120" s="690">
        <v>44529</v>
      </c>
      <c r="S120" s="674" t="s">
        <v>429</v>
      </c>
      <c r="T120" s="674" t="s">
        <v>430</v>
      </c>
      <c r="U120" s="563"/>
      <c r="V120" s="563"/>
      <c r="W120" s="563"/>
      <c r="X120" s="563"/>
      <c r="Y120" s="563"/>
      <c r="Z120" s="563"/>
      <c r="AA120" s="563"/>
      <c r="AB120" s="563"/>
      <c r="AC120" s="563"/>
      <c r="AD120" s="563"/>
    </row>
    <row r="121" spans="1:30" s="565" customFormat="1" ht="16.5" customHeight="1" x14ac:dyDescent="0.25">
      <c r="A121" s="686">
        <v>31</v>
      </c>
      <c r="B121" s="563"/>
      <c r="C121" s="563"/>
      <c r="D121" s="563"/>
      <c r="E121" s="563"/>
      <c r="F121" s="680"/>
      <c r="G121" s="445" t="s">
        <v>654</v>
      </c>
      <c r="H121" s="673" t="s">
        <v>653</v>
      </c>
      <c r="I121" s="673" t="s">
        <v>402</v>
      </c>
      <c r="J121" s="676">
        <v>23638</v>
      </c>
      <c r="K121" s="675"/>
      <c r="L121" s="675">
        <v>1</v>
      </c>
      <c r="M121" s="674" t="s">
        <v>655</v>
      </c>
      <c r="N121" s="674" t="s">
        <v>494</v>
      </c>
      <c r="O121" s="674" t="s">
        <v>384</v>
      </c>
      <c r="P121" s="674">
        <v>9380806568</v>
      </c>
      <c r="Q121" s="674"/>
      <c r="R121" s="690">
        <v>44529</v>
      </c>
      <c r="S121" s="674" t="s">
        <v>429</v>
      </c>
      <c r="T121" s="674" t="s">
        <v>430</v>
      </c>
      <c r="U121" s="563"/>
      <c r="V121" s="563"/>
      <c r="W121" s="563"/>
      <c r="X121" s="563"/>
      <c r="Y121" s="563"/>
      <c r="Z121" s="563"/>
      <c r="AA121" s="563"/>
      <c r="AB121" s="563"/>
      <c r="AC121" s="563"/>
      <c r="AD121" s="563"/>
    </row>
    <row r="122" spans="1:30" s="565" customFormat="1" ht="16.5" customHeight="1" x14ac:dyDescent="0.25">
      <c r="A122" s="686">
        <v>32</v>
      </c>
      <c r="B122" s="563"/>
      <c r="C122" s="563"/>
      <c r="D122" s="563"/>
      <c r="E122" s="563"/>
      <c r="F122" s="680"/>
      <c r="G122" s="673" t="s">
        <v>485</v>
      </c>
      <c r="H122" s="673" t="s">
        <v>427</v>
      </c>
      <c r="I122" s="673"/>
      <c r="J122" s="676"/>
      <c r="K122" s="675">
        <v>1</v>
      </c>
      <c r="L122" s="675"/>
      <c r="M122" s="674" t="s">
        <v>493</v>
      </c>
      <c r="N122" s="674" t="s">
        <v>494</v>
      </c>
      <c r="O122" s="674" t="s">
        <v>384</v>
      </c>
      <c r="P122" s="674"/>
      <c r="Q122" s="674"/>
      <c r="R122" s="690">
        <v>44529</v>
      </c>
      <c r="S122" s="674" t="s">
        <v>429</v>
      </c>
      <c r="T122" s="674" t="s">
        <v>430</v>
      </c>
      <c r="U122" s="563"/>
      <c r="V122" s="563"/>
      <c r="W122" s="563"/>
      <c r="X122" s="563"/>
      <c r="Y122" s="563"/>
      <c r="Z122" s="563"/>
      <c r="AA122" s="563"/>
      <c r="AB122" s="563"/>
      <c r="AC122" s="563"/>
      <c r="AD122" s="563"/>
    </row>
    <row r="123" spans="1:30" s="565" customFormat="1" ht="16.5" customHeight="1" x14ac:dyDescent="0.25">
      <c r="A123" s="686">
        <v>33</v>
      </c>
      <c r="B123" s="563"/>
      <c r="C123" s="563"/>
      <c r="D123" s="563"/>
      <c r="E123" s="563"/>
      <c r="F123" s="680"/>
      <c r="G123" s="673" t="s">
        <v>432</v>
      </c>
      <c r="H123" s="673" t="s">
        <v>657</v>
      </c>
      <c r="I123" s="673" t="s">
        <v>395</v>
      </c>
      <c r="J123" s="676">
        <v>19313</v>
      </c>
      <c r="K123" s="675">
        <v>1</v>
      </c>
      <c r="L123" s="675"/>
      <c r="M123" s="674" t="s">
        <v>658</v>
      </c>
      <c r="N123" s="674" t="s">
        <v>494</v>
      </c>
      <c r="O123" s="674" t="s">
        <v>384</v>
      </c>
      <c r="P123" s="674"/>
      <c r="Q123" s="674"/>
      <c r="R123" s="690">
        <v>44529</v>
      </c>
      <c r="S123" s="674" t="s">
        <v>429</v>
      </c>
      <c r="T123" s="674" t="s">
        <v>430</v>
      </c>
      <c r="U123" s="563"/>
      <c r="V123" s="563"/>
      <c r="W123" s="563"/>
      <c r="X123" s="563"/>
      <c r="Y123" s="563"/>
      <c r="Z123" s="563"/>
      <c r="AA123" s="563"/>
      <c r="AB123" s="563"/>
      <c r="AC123" s="563"/>
      <c r="AD123" s="563"/>
    </row>
    <row r="124" spans="1:30" s="565" customFormat="1" ht="16.5" customHeight="1" x14ac:dyDescent="0.25">
      <c r="A124" s="686">
        <v>34</v>
      </c>
      <c r="B124" s="563"/>
      <c r="C124" s="563"/>
      <c r="D124" s="563"/>
      <c r="E124" s="563"/>
      <c r="F124" s="680"/>
      <c r="G124" s="673" t="s">
        <v>659</v>
      </c>
      <c r="H124" s="673" t="s">
        <v>660</v>
      </c>
      <c r="I124" s="673" t="s">
        <v>661</v>
      </c>
      <c r="J124" s="676">
        <v>30538</v>
      </c>
      <c r="K124" s="675">
        <v>1</v>
      </c>
      <c r="L124" s="675"/>
      <c r="M124" s="674" t="s">
        <v>662</v>
      </c>
      <c r="N124" s="674" t="s">
        <v>494</v>
      </c>
      <c r="O124" s="674" t="s">
        <v>384</v>
      </c>
      <c r="P124" s="674"/>
      <c r="Q124" s="674"/>
      <c r="R124" s="690">
        <v>44529</v>
      </c>
      <c r="S124" s="674" t="s">
        <v>429</v>
      </c>
      <c r="T124" s="674" t="s">
        <v>663</v>
      </c>
      <c r="U124" s="563"/>
      <c r="V124" s="563"/>
      <c r="W124" s="563"/>
      <c r="X124" s="563"/>
      <c r="Y124" s="563"/>
      <c r="Z124" s="563"/>
      <c r="AA124" s="563"/>
      <c r="AB124" s="563"/>
      <c r="AC124" s="563"/>
      <c r="AD124" s="563"/>
    </row>
    <row r="125" spans="1:30" s="565" customFormat="1" ht="16.5" customHeight="1" x14ac:dyDescent="0.25">
      <c r="A125" s="686">
        <v>35</v>
      </c>
      <c r="B125" s="563"/>
      <c r="C125" s="563"/>
      <c r="D125" s="563"/>
      <c r="E125" s="563"/>
      <c r="F125" s="680"/>
      <c r="G125" s="673" t="s">
        <v>664</v>
      </c>
      <c r="H125" s="673" t="s">
        <v>665</v>
      </c>
      <c r="I125" s="673" t="s">
        <v>403</v>
      </c>
      <c r="J125" s="676">
        <v>32987</v>
      </c>
      <c r="K125" s="675"/>
      <c r="L125" s="675">
        <v>1</v>
      </c>
      <c r="M125" s="674" t="s">
        <v>666</v>
      </c>
      <c r="N125" s="674" t="s">
        <v>494</v>
      </c>
      <c r="O125" s="674" t="s">
        <v>384</v>
      </c>
      <c r="P125" s="674"/>
      <c r="Q125" s="674"/>
      <c r="R125" s="690">
        <v>44529</v>
      </c>
      <c r="S125" s="674" t="s">
        <v>429</v>
      </c>
      <c r="T125" s="674" t="s">
        <v>430</v>
      </c>
      <c r="U125" s="563"/>
      <c r="V125" s="563"/>
      <c r="W125" s="563"/>
      <c r="X125" s="563"/>
      <c r="Y125" s="563"/>
      <c r="Z125" s="563"/>
      <c r="AA125" s="563"/>
      <c r="AB125" s="563"/>
      <c r="AC125" s="563"/>
      <c r="AD125" s="563"/>
    </row>
    <row r="126" spans="1:30" s="565" customFormat="1" ht="16.5" customHeight="1" x14ac:dyDescent="0.25">
      <c r="A126" s="686">
        <v>36</v>
      </c>
      <c r="B126" s="563"/>
      <c r="C126" s="563"/>
      <c r="D126" s="563"/>
      <c r="E126" s="563"/>
      <c r="F126" s="680"/>
      <c r="G126" s="673" t="s">
        <v>667</v>
      </c>
      <c r="H126" s="673" t="s">
        <v>660</v>
      </c>
      <c r="I126" s="673" t="s">
        <v>404</v>
      </c>
      <c r="J126" s="676">
        <v>25010</v>
      </c>
      <c r="K126" s="675">
        <v>1</v>
      </c>
      <c r="L126" s="675"/>
      <c r="M126" s="674" t="s">
        <v>668</v>
      </c>
      <c r="N126" s="674" t="s">
        <v>494</v>
      </c>
      <c r="O126" s="674" t="s">
        <v>384</v>
      </c>
      <c r="P126" s="674"/>
      <c r="Q126" s="674"/>
      <c r="R126" s="690">
        <v>44529</v>
      </c>
      <c r="S126" s="674" t="s">
        <v>429</v>
      </c>
      <c r="T126" s="674" t="s">
        <v>663</v>
      </c>
      <c r="U126" s="563"/>
      <c r="V126" s="563"/>
      <c r="W126" s="563"/>
      <c r="X126" s="563"/>
      <c r="Y126" s="563"/>
      <c r="Z126" s="563"/>
      <c r="AA126" s="563"/>
      <c r="AB126" s="563"/>
      <c r="AC126" s="563"/>
      <c r="AD126" s="563"/>
    </row>
    <row r="127" spans="1:30" s="565" customFormat="1" ht="16.5" customHeight="1" x14ac:dyDescent="0.25">
      <c r="A127" s="686">
        <v>37</v>
      </c>
      <c r="B127" s="563"/>
      <c r="C127" s="563"/>
      <c r="D127" s="563"/>
      <c r="E127" s="563"/>
      <c r="F127" s="680"/>
      <c r="G127" s="673" t="s">
        <v>659</v>
      </c>
      <c r="H127" s="673" t="s">
        <v>669</v>
      </c>
      <c r="I127" s="673"/>
      <c r="J127" s="676">
        <v>19010</v>
      </c>
      <c r="K127" s="675">
        <v>1</v>
      </c>
      <c r="L127" s="675"/>
      <c r="M127" s="674" t="s">
        <v>662</v>
      </c>
      <c r="N127" s="674" t="s">
        <v>494</v>
      </c>
      <c r="O127" s="674" t="s">
        <v>384</v>
      </c>
      <c r="P127" s="674"/>
      <c r="Q127" s="674"/>
      <c r="R127" s="690">
        <v>44529</v>
      </c>
      <c r="S127" s="674" t="s">
        <v>429</v>
      </c>
      <c r="T127" s="674" t="s">
        <v>430</v>
      </c>
      <c r="U127" s="563"/>
      <c r="V127" s="563"/>
      <c r="W127" s="563"/>
      <c r="X127" s="563"/>
      <c r="Y127" s="563"/>
      <c r="Z127" s="563"/>
      <c r="AA127" s="563"/>
      <c r="AB127" s="563"/>
      <c r="AC127" s="563"/>
      <c r="AD127" s="563"/>
    </row>
    <row r="128" spans="1:30" s="565" customFormat="1" ht="16.5" customHeight="1" x14ac:dyDescent="0.25">
      <c r="A128" s="686">
        <v>38</v>
      </c>
      <c r="B128" s="563"/>
      <c r="C128" s="563"/>
      <c r="D128" s="563"/>
      <c r="E128" s="563"/>
      <c r="F128" s="680"/>
      <c r="G128" s="673" t="s">
        <v>670</v>
      </c>
      <c r="H128" s="673" t="s">
        <v>671</v>
      </c>
      <c r="I128" s="673"/>
      <c r="J128" s="676">
        <v>27600</v>
      </c>
      <c r="K128" s="675"/>
      <c r="L128" s="675">
        <v>1</v>
      </c>
      <c r="M128" s="674" t="s">
        <v>639</v>
      </c>
      <c r="N128" s="674" t="s">
        <v>494</v>
      </c>
      <c r="O128" s="674" t="s">
        <v>384</v>
      </c>
      <c r="P128" s="674"/>
      <c r="Q128" s="674"/>
      <c r="R128" s="690">
        <v>44529</v>
      </c>
      <c r="S128" s="674" t="s">
        <v>429</v>
      </c>
      <c r="T128" s="674" t="s">
        <v>430</v>
      </c>
      <c r="U128" s="563"/>
      <c r="V128" s="563"/>
      <c r="W128" s="563"/>
      <c r="X128" s="563"/>
      <c r="Y128" s="563"/>
      <c r="Z128" s="563"/>
      <c r="AA128" s="563"/>
      <c r="AB128" s="563"/>
      <c r="AC128" s="563"/>
      <c r="AD128" s="563"/>
    </row>
    <row r="129" spans="1:30" s="565" customFormat="1" ht="16.5" customHeight="1" x14ac:dyDescent="0.25">
      <c r="A129" s="686">
        <v>39</v>
      </c>
      <c r="B129" s="563"/>
      <c r="C129" s="563"/>
      <c r="D129" s="563"/>
      <c r="E129" s="563"/>
      <c r="F129" s="680"/>
      <c r="G129" s="673" t="s">
        <v>672</v>
      </c>
      <c r="H129" s="673" t="s">
        <v>673</v>
      </c>
      <c r="I129" s="673" t="s">
        <v>425</v>
      </c>
      <c r="J129" s="676">
        <v>23087</v>
      </c>
      <c r="K129" s="675">
        <v>1</v>
      </c>
      <c r="L129" s="675"/>
      <c r="M129" s="674" t="s">
        <v>674</v>
      </c>
      <c r="N129" s="674" t="s">
        <v>494</v>
      </c>
      <c r="O129" s="674" t="s">
        <v>384</v>
      </c>
      <c r="P129" s="674">
        <v>9758434459</v>
      </c>
      <c r="Q129" s="674"/>
      <c r="R129" s="690">
        <v>44529</v>
      </c>
      <c r="S129" s="674" t="s">
        <v>429</v>
      </c>
      <c r="T129" s="674" t="s">
        <v>430</v>
      </c>
      <c r="U129" s="563"/>
      <c r="V129" s="563"/>
      <c r="W129" s="563"/>
      <c r="X129" s="563"/>
      <c r="Y129" s="563"/>
      <c r="Z129" s="563"/>
      <c r="AA129" s="563"/>
      <c r="AB129" s="563"/>
      <c r="AC129" s="563"/>
      <c r="AD129" s="563"/>
    </row>
    <row r="130" spans="1:30" s="565" customFormat="1" ht="16.5" customHeight="1" x14ac:dyDescent="0.25">
      <c r="A130" s="686">
        <v>40</v>
      </c>
      <c r="B130" s="563"/>
      <c r="C130" s="563"/>
      <c r="D130" s="563"/>
      <c r="E130" s="563"/>
      <c r="F130" s="680"/>
      <c r="G130" s="673" t="s">
        <v>675</v>
      </c>
      <c r="H130" s="673" t="s">
        <v>676</v>
      </c>
      <c r="I130" s="673" t="s">
        <v>394</v>
      </c>
      <c r="J130" s="676">
        <v>29597</v>
      </c>
      <c r="K130" s="675">
        <v>1</v>
      </c>
      <c r="L130" s="675"/>
      <c r="M130" s="674" t="s">
        <v>677</v>
      </c>
      <c r="N130" s="674" t="s">
        <v>494</v>
      </c>
      <c r="O130" s="674" t="s">
        <v>384</v>
      </c>
      <c r="P130" s="674">
        <v>9207986221</v>
      </c>
      <c r="Q130" s="674"/>
      <c r="R130" s="690">
        <v>44529</v>
      </c>
      <c r="S130" s="674" t="s">
        <v>429</v>
      </c>
      <c r="T130" s="674" t="s">
        <v>430</v>
      </c>
      <c r="U130" s="563"/>
      <c r="V130" s="563"/>
      <c r="W130" s="563"/>
      <c r="X130" s="563"/>
      <c r="Y130" s="563"/>
      <c r="Z130" s="563"/>
      <c r="AA130" s="563"/>
      <c r="AB130" s="563"/>
      <c r="AC130" s="563"/>
      <c r="AD130" s="563"/>
    </row>
    <row r="131" spans="1:30" s="565" customFormat="1" ht="16.5" customHeight="1" x14ac:dyDescent="0.25">
      <c r="A131" s="686">
        <v>41</v>
      </c>
      <c r="B131" s="563"/>
      <c r="C131" s="563"/>
      <c r="D131" s="563"/>
      <c r="E131" s="563"/>
      <c r="F131" s="680"/>
      <c r="G131" s="673" t="s">
        <v>678</v>
      </c>
      <c r="H131" s="673" t="s">
        <v>641</v>
      </c>
      <c r="I131" s="673" t="s">
        <v>403</v>
      </c>
      <c r="J131" s="676">
        <v>26660</v>
      </c>
      <c r="K131" s="675">
        <v>1</v>
      </c>
      <c r="L131" s="675"/>
      <c r="M131" s="674" t="s">
        <v>679</v>
      </c>
      <c r="N131" s="674" t="s">
        <v>494</v>
      </c>
      <c r="O131" s="674" t="s">
        <v>384</v>
      </c>
      <c r="P131" s="674">
        <v>9058333455</v>
      </c>
      <c r="Q131" s="674"/>
      <c r="R131" s="690">
        <v>44529</v>
      </c>
      <c r="S131" s="674" t="s">
        <v>429</v>
      </c>
      <c r="T131" s="674" t="s">
        <v>430</v>
      </c>
      <c r="U131" s="563"/>
      <c r="V131" s="563"/>
      <c r="W131" s="563"/>
      <c r="X131" s="563"/>
      <c r="Y131" s="563"/>
      <c r="Z131" s="563"/>
      <c r="AA131" s="563"/>
      <c r="AB131" s="563"/>
      <c r="AC131" s="563"/>
      <c r="AD131" s="563"/>
    </row>
    <row r="132" spans="1:30" s="565" customFormat="1" ht="16.5" customHeight="1" x14ac:dyDescent="0.25">
      <c r="A132" s="686">
        <v>42</v>
      </c>
      <c r="B132" s="563"/>
      <c r="C132" s="563"/>
      <c r="D132" s="563"/>
      <c r="E132" s="563"/>
      <c r="F132" s="680"/>
      <c r="G132" s="673" t="s">
        <v>680</v>
      </c>
      <c r="H132" s="673" t="s">
        <v>681</v>
      </c>
      <c r="I132" s="673"/>
      <c r="J132" s="676">
        <v>27237</v>
      </c>
      <c r="K132" s="675">
        <v>1</v>
      </c>
      <c r="L132" s="675"/>
      <c r="M132" s="674" t="s">
        <v>679</v>
      </c>
      <c r="N132" s="674" t="s">
        <v>494</v>
      </c>
      <c r="O132" s="674" t="s">
        <v>384</v>
      </c>
      <c r="P132" s="674">
        <v>9126946405</v>
      </c>
      <c r="Q132" s="674"/>
      <c r="R132" s="690">
        <v>44529</v>
      </c>
      <c r="S132" s="674" t="s">
        <v>429</v>
      </c>
      <c r="T132" s="674" t="s">
        <v>430</v>
      </c>
      <c r="U132" s="563"/>
      <c r="V132" s="563"/>
      <c r="W132" s="563"/>
      <c r="X132" s="563"/>
      <c r="Y132" s="563"/>
      <c r="Z132" s="563"/>
      <c r="AA132" s="563"/>
      <c r="AB132" s="563"/>
      <c r="AC132" s="563"/>
      <c r="AD132" s="563"/>
    </row>
    <row r="133" spans="1:30" s="565" customFormat="1" ht="16.5" customHeight="1" x14ac:dyDescent="0.25">
      <c r="A133" s="686">
        <v>43</v>
      </c>
      <c r="B133" s="563"/>
      <c r="C133" s="563"/>
      <c r="D133" s="563"/>
      <c r="E133" s="563"/>
      <c r="F133" s="680"/>
      <c r="G133" s="673" t="s">
        <v>646</v>
      </c>
      <c r="H133" s="673" t="s">
        <v>682</v>
      </c>
      <c r="I133" s="673" t="s">
        <v>397</v>
      </c>
      <c r="J133" s="676">
        <v>30765</v>
      </c>
      <c r="K133" s="675">
        <v>1</v>
      </c>
      <c r="L133" s="675"/>
      <c r="M133" s="674" t="s">
        <v>683</v>
      </c>
      <c r="N133" s="674" t="s">
        <v>494</v>
      </c>
      <c r="O133" s="674" t="s">
        <v>384</v>
      </c>
      <c r="P133" s="674">
        <v>9553306435</v>
      </c>
      <c r="Q133" s="674"/>
      <c r="R133" s="690">
        <v>44529</v>
      </c>
      <c r="S133" s="674" t="s">
        <v>429</v>
      </c>
      <c r="T133" s="674" t="s">
        <v>430</v>
      </c>
      <c r="U133" s="563"/>
      <c r="V133" s="563"/>
      <c r="W133" s="563"/>
      <c r="X133" s="563"/>
      <c r="Y133" s="563"/>
      <c r="Z133" s="563"/>
      <c r="AA133" s="563"/>
      <c r="AB133" s="563"/>
      <c r="AC133" s="563"/>
      <c r="AD133" s="563"/>
    </row>
    <row r="134" spans="1:30" s="565" customFormat="1" ht="16.5" customHeight="1" x14ac:dyDescent="0.25">
      <c r="A134" s="686">
        <v>44</v>
      </c>
      <c r="B134" s="563"/>
      <c r="C134" s="563"/>
      <c r="D134" s="563"/>
      <c r="E134" s="563"/>
      <c r="F134" s="680"/>
      <c r="G134" s="673" t="s">
        <v>684</v>
      </c>
      <c r="H134" s="673" t="s">
        <v>437</v>
      </c>
      <c r="I134" s="673" t="s">
        <v>425</v>
      </c>
      <c r="J134" s="676">
        <v>32394</v>
      </c>
      <c r="K134" s="675">
        <v>1</v>
      </c>
      <c r="L134" s="675"/>
      <c r="M134" s="674" t="s">
        <v>685</v>
      </c>
      <c r="N134" s="674" t="s">
        <v>494</v>
      </c>
      <c r="O134" s="674" t="s">
        <v>384</v>
      </c>
      <c r="P134" s="674">
        <v>9504708858</v>
      </c>
      <c r="Q134" s="674"/>
      <c r="R134" s="690">
        <v>44529</v>
      </c>
      <c r="S134" s="674" t="s">
        <v>429</v>
      </c>
      <c r="T134" s="674" t="s">
        <v>430</v>
      </c>
      <c r="U134" s="563"/>
      <c r="V134" s="563"/>
      <c r="W134" s="563"/>
      <c r="X134" s="563"/>
      <c r="Y134" s="563"/>
      <c r="Z134" s="563"/>
      <c r="AA134" s="563"/>
      <c r="AB134" s="563"/>
      <c r="AC134" s="563"/>
      <c r="AD134" s="563"/>
    </row>
    <row r="135" spans="1:30" s="565" customFormat="1" ht="16.5" customHeight="1" x14ac:dyDescent="0.25">
      <c r="A135" s="686">
        <v>45</v>
      </c>
      <c r="B135" s="563"/>
      <c r="C135" s="563"/>
      <c r="D135" s="563"/>
      <c r="E135" s="563"/>
      <c r="F135" s="680"/>
      <c r="G135" s="673" t="s">
        <v>686</v>
      </c>
      <c r="H135" s="673" t="s">
        <v>687</v>
      </c>
      <c r="I135" s="673"/>
      <c r="J135" s="676">
        <v>15045</v>
      </c>
      <c r="K135" s="675">
        <v>1</v>
      </c>
      <c r="L135" s="675"/>
      <c r="M135" s="674" t="s">
        <v>666</v>
      </c>
      <c r="N135" s="674" t="s">
        <v>494</v>
      </c>
      <c r="O135" s="674" t="s">
        <v>384</v>
      </c>
      <c r="P135" s="674"/>
      <c r="Q135" s="674"/>
      <c r="R135" s="690">
        <v>44529</v>
      </c>
      <c r="S135" s="674" t="s">
        <v>429</v>
      </c>
      <c r="T135" s="674" t="s">
        <v>430</v>
      </c>
      <c r="U135" s="563"/>
      <c r="V135" s="563"/>
      <c r="W135" s="563"/>
      <c r="X135" s="563"/>
      <c r="Y135" s="563"/>
      <c r="Z135" s="563"/>
      <c r="AA135" s="563"/>
      <c r="AB135" s="563"/>
      <c r="AC135" s="563"/>
      <c r="AD135" s="563"/>
    </row>
    <row r="136" spans="1:30" s="565" customFormat="1" ht="16.5" customHeight="1" x14ac:dyDescent="0.25">
      <c r="A136" s="686">
        <v>46</v>
      </c>
      <c r="B136" s="563"/>
      <c r="C136" s="563"/>
      <c r="D136" s="563"/>
      <c r="E136" s="563"/>
      <c r="F136" s="680"/>
      <c r="G136" s="673" t="s">
        <v>688</v>
      </c>
      <c r="H136" s="673" t="s">
        <v>689</v>
      </c>
      <c r="I136" s="673" t="s">
        <v>402</v>
      </c>
      <c r="J136" s="676">
        <v>27270</v>
      </c>
      <c r="K136" s="675">
        <v>1</v>
      </c>
      <c r="L136" s="675"/>
      <c r="M136" s="674" t="s">
        <v>679</v>
      </c>
      <c r="N136" s="674" t="s">
        <v>494</v>
      </c>
      <c r="O136" s="674" t="s">
        <v>384</v>
      </c>
      <c r="P136" s="674">
        <v>9308391946</v>
      </c>
      <c r="Q136" s="674"/>
      <c r="R136" s="690">
        <v>44529</v>
      </c>
      <c r="S136" s="674" t="s">
        <v>429</v>
      </c>
      <c r="T136" s="674" t="s">
        <v>663</v>
      </c>
      <c r="U136" s="563"/>
      <c r="V136" s="563"/>
      <c r="W136" s="563"/>
      <c r="X136" s="563"/>
      <c r="Y136" s="563"/>
      <c r="Z136" s="563"/>
      <c r="AA136" s="563"/>
      <c r="AB136" s="563"/>
      <c r="AC136" s="563"/>
      <c r="AD136" s="563"/>
    </row>
    <row r="137" spans="1:30" s="565" customFormat="1" ht="16.5" customHeight="1" x14ac:dyDescent="0.25">
      <c r="A137" s="686">
        <v>47</v>
      </c>
      <c r="B137" s="563"/>
      <c r="C137" s="563"/>
      <c r="D137" s="563"/>
      <c r="E137" s="563"/>
      <c r="F137" s="680"/>
      <c r="G137" s="673" t="s">
        <v>690</v>
      </c>
      <c r="H137" s="673" t="s">
        <v>691</v>
      </c>
      <c r="I137" s="673" t="s">
        <v>404</v>
      </c>
      <c r="J137" s="676">
        <v>26648</v>
      </c>
      <c r="K137" s="675"/>
      <c r="L137" s="675">
        <v>1</v>
      </c>
      <c r="M137" s="674" t="s">
        <v>493</v>
      </c>
      <c r="N137" s="674" t="s">
        <v>494</v>
      </c>
      <c r="O137" s="674" t="s">
        <v>384</v>
      </c>
      <c r="P137" s="674"/>
      <c r="Q137" s="674"/>
      <c r="R137" s="690">
        <v>44529</v>
      </c>
      <c r="S137" s="674" t="s">
        <v>429</v>
      </c>
      <c r="T137" s="674" t="s">
        <v>663</v>
      </c>
      <c r="U137" s="563"/>
      <c r="V137" s="563"/>
      <c r="W137" s="563"/>
      <c r="X137" s="563"/>
      <c r="Y137" s="563"/>
      <c r="Z137" s="563"/>
      <c r="AA137" s="563"/>
      <c r="AB137" s="563"/>
      <c r="AC137" s="563"/>
      <c r="AD137" s="563"/>
    </row>
    <row r="138" spans="1:30" s="565" customFormat="1" ht="16.5" customHeight="1" x14ac:dyDescent="0.25">
      <c r="A138" s="686">
        <v>48</v>
      </c>
      <c r="B138" s="563"/>
      <c r="C138" s="563"/>
      <c r="D138" s="563"/>
      <c r="E138" s="563"/>
      <c r="F138" s="680"/>
      <c r="G138" s="673" t="s">
        <v>692</v>
      </c>
      <c r="H138" s="673" t="s">
        <v>693</v>
      </c>
      <c r="I138" s="673" t="s">
        <v>403</v>
      </c>
      <c r="J138" s="676">
        <v>28530</v>
      </c>
      <c r="K138" s="675">
        <v>1</v>
      </c>
      <c r="L138" s="675"/>
      <c r="M138" s="674" t="s">
        <v>493</v>
      </c>
      <c r="N138" s="674" t="s">
        <v>494</v>
      </c>
      <c r="O138" s="674" t="s">
        <v>384</v>
      </c>
      <c r="P138" s="674"/>
      <c r="Q138" s="674"/>
      <c r="R138" s="690">
        <v>44529</v>
      </c>
      <c r="S138" s="674" t="s">
        <v>429</v>
      </c>
      <c r="T138" s="674" t="s">
        <v>430</v>
      </c>
      <c r="U138" s="563"/>
      <c r="V138" s="563"/>
      <c r="W138" s="563"/>
      <c r="X138" s="563"/>
      <c r="Y138" s="563"/>
      <c r="Z138" s="563"/>
      <c r="AA138" s="563"/>
      <c r="AB138" s="563"/>
      <c r="AC138" s="563"/>
      <c r="AD138" s="563"/>
    </row>
    <row r="139" spans="1:30" s="565" customFormat="1" ht="16.5" customHeight="1" x14ac:dyDescent="0.25">
      <c r="A139" s="686">
        <v>49</v>
      </c>
      <c r="B139" s="563"/>
      <c r="C139" s="563"/>
      <c r="D139" s="563"/>
      <c r="E139" s="563"/>
      <c r="F139" s="680"/>
      <c r="G139" s="673" t="s">
        <v>694</v>
      </c>
      <c r="H139" s="673" t="s">
        <v>409</v>
      </c>
      <c r="I139" s="673" t="s">
        <v>405</v>
      </c>
      <c r="J139" s="676">
        <v>26726</v>
      </c>
      <c r="K139" s="675">
        <v>1</v>
      </c>
      <c r="L139" s="675"/>
      <c r="M139" s="674" t="s">
        <v>695</v>
      </c>
      <c r="N139" s="674" t="s">
        <v>494</v>
      </c>
      <c r="O139" s="674" t="s">
        <v>384</v>
      </c>
      <c r="P139" s="674"/>
      <c r="Q139" s="674"/>
      <c r="R139" s="690">
        <v>44529</v>
      </c>
      <c r="S139" s="674" t="s">
        <v>429</v>
      </c>
      <c r="T139" s="674" t="s">
        <v>430</v>
      </c>
      <c r="U139" s="563"/>
      <c r="V139" s="563"/>
      <c r="W139" s="563"/>
      <c r="X139" s="563"/>
      <c r="Y139" s="563"/>
      <c r="Z139" s="563"/>
      <c r="AA139" s="563"/>
      <c r="AB139" s="563"/>
      <c r="AC139" s="563"/>
      <c r="AD139" s="563"/>
    </row>
    <row r="140" spans="1:30" s="565" customFormat="1" ht="16.5" customHeight="1" x14ac:dyDescent="0.25">
      <c r="A140" s="686">
        <v>50</v>
      </c>
      <c r="B140" s="563"/>
      <c r="C140" s="563"/>
      <c r="D140" s="563"/>
      <c r="E140" s="563"/>
      <c r="F140" s="680"/>
      <c r="G140" s="673" t="s">
        <v>696</v>
      </c>
      <c r="H140" s="673" t="s">
        <v>697</v>
      </c>
      <c r="I140" s="673" t="s">
        <v>397</v>
      </c>
      <c r="J140" s="676">
        <v>26653</v>
      </c>
      <c r="K140" s="675">
        <v>1</v>
      </c>
      <c r="L140" s="675"/>
      <c r="M140" s="674" t="s">
        <v>506</v>
      </c>
      <c r="N140" s="674" t="s">
        <v>494</v>
      </c>
      <c r="O140" s="674" t="s">
        <v>384</v>
      </c>
      <c r="P140" s="674">
        <v>9355539332</v>
      </c>
      <c r="Q140" s="674"/>
      <c r="R140" s="690">
        <v>44529</v>
      </c>
      <c r="S140" s="674" t="s">
        <v>429</v>
      </c>
      <c r="T140" s="674" t="s">
        <v>430</v>
      </c>
      <c r="U140" s="563"/>
      <c r="V140" s="563"/>
      <c r="W140" s="563"/>
      <c r="X140" s="563"/>
      <c r="Y140" s="563"/>
      <c r="Z140" s="563"/>
      <c r="AA140" s="563"/>
      <c r="AB140" s="563"/>
      <c r="AC140" s="563"/>
      <c r="AD140" s="563"/>
    </row>
    <row r="141" spans="1:30" s="565" customFormat="1" ht="16.5" customHeight="1" x14ac:dyDescent="0.25">
      <c r="A141" s="686">
        <v>51</v>
      </c>
      <c r="B141" s="563"/>
      <c r="C141" s="563"/>
      <c r="D141" s="563"/>
      <c r="E141" s="563"/>
      <c r="F141" s="680"/>
      <c r="G141" s="673" t="s">
        <v>698</v>
      </c>
      <c r="H141" s="673" t="s">
        <v>699</v>
      </c>
      <c r="I141" s="673" t="s">
        <v>401</v>
      </c>
      <c r="J141" s="676">
        <v>31358</v>
      </c>
      <c r="K141" s="675">
        <v>1</v>
      </c>
      <c r="L141" s="675"/>
      <c r="M141" s="674" t="s">
        <v>695</v>
      </c>
      <c r="N141" s="674" t="s">
        <v>494</v>
      </c>
      <c r="O141" s="674" t="s">
        <v>384</v>
      </c>
      <c r="P141" s="674"/>
      <c r="Q141" s="674"/>
      <c r="R141" s="690">
        <v>44529</v>
      </c>
      <c r="S141" s="674" t="s">
        <v>429</v>
      </c>
      <c r="T141" s="674" t="s">
        <v>430</v>
      </c>
      <c r="U141" s="563"/>
      <c r="V141" s="563"/>
      <c r="W141" s="563"/>
      <c r="X141" s="563"/>
      <c r="Y141" s="563"/>
      <c r="Z141" s="563"/>
      <c r="AA141" s="563"/>
      <c r="AB141" s="563"/>
      <c r="AC141" s="563"/>
      <c r="AD141" s="563"/>
    </row>
    <row r="142" spans="1:30" s="565" customFormat="1" ht="16.5" customHeight="1" x14ac:dyDescent="0.25">
      <c r="A142" s="686">
        <v>52</v>
      </c>
      <c r="B142" s="563"/>
      <c r="C142" s="563"/>
      <c r="D142" s="563"/>
      <c r="E142" s="563"/>
      <c r="F142" s="680"/>
      <c r="G142" s="673" t="s">
        <v>700</v>
      </c>
      <c r="H142" s="673" t="s">
        <v>701</v>
      </c>
      <c r="I142" s="673" t="s">
        <v>397</v>
      </c>
      <c r="J142" s="676">
        <v>31778</v>
      </c>
      <c r="K142" s="675">
        <v>1</v>
      </c>
      <c r="L142" s="675"/>
      <c r="M142" s="674" t="s">
        <v>702</v>
      </c>
      <c r="N142" s="674" t="s">
        <v>494</v>
      </c>
      <c r="O142" s="674" t="s">
        <v>384</v>
      </c>
      <c r="P142" s="674">
        <v>9464906454</v>
      </c>
      <c r="Q142" s="674"/>
      <c r="R142" s="690">
        <v>44529</v>
      </c>
      <c r="S142" s="674" t="s">
        <v>429</v>
      </c>
      <c r="T142" s="674" t="s">
        <v>430</v>
      </c>
      <c r="U142" s="563"/>
      <c r="V142" s="563"/>
      <c r="W142" s="563"/>
      <c r="X142" s="563"/>
      <c r="Y142" s="563"/>
      <c r="Z142" s="563"/>
      <c r="AA142" s="563"/>
      <c r="AB142" s="563"/>
      <c r="AC142" s="563"/>
      <c r="AD142" s="563"/>
    </row>
    <row r="143" spans="1:30" s="565" customFormat="1" ht="16.5" customHeight="1" x14ac:dyDescent="0.25">
      <c r="A143" s="686">
        <v>53</v>
      </c>
      <c r="B143" s="563"/>
      <c r="C143" s="563"/>
      <c r="D143" s="563"/>
      <c r="E143" s="563"/>
      <c r="F143" s="680"/>
      <c r="G143" s="673" t="s">
        <v>703</v>
      </c>
      <c r="H143" s="673" t="s">
        <v>704</v>
      </c>
      <c r="I143" s="673" t="s">
        <v>387</v>
      </c>
      <c r="J143" s="676">
        <v>21607</v>
      </c>
      <c r="K143" s="675">
        <v>1</v>
      </c>
      <c r="L143" s="675"/>
      <c r="M143" s="674" t="s">
        <v>705</v>
      </c>
      <c r="N143" s="674" t="s">
        <v>494</v>
      </c>
      <c r="O143" s="674" t="s">
        <v>384</v>
      </c>
      <c r="P143" s="674">
        <v>9506174202</v>
      </c>
      <c r="Q143" s="674"/>
      <c r="R143" s="690">
        <v>44529</v>
      </c>
      <c r="S143" s="674" t="s">
        <v>429</v>
      </c>
      <c r="T143" s="674" t="s">
        <v>430</v>
      </c>
      <c r="U143" s="563"/>
      <c r="V143" s="563"/>
      <c r="W143" s="563"/>
      <c r="X143" s="563"/>
      <c r="Y143" s="563"/>
      <c r="Z143" s="563"/>
      <c r="AA143" s="563"/>
      <c r="AB143" s="563"/>
      <c r="AC143" s="563"/>
      <c r="AD143" s="563"/>
    </row>
    <row r="144" spans="1:30" s="565" customFormat="1" ht="16.5" customHeight="1" x14ac:dyDescent="0.25">
      <c r="A144" s="686">
        <v>54</v>
      </c>
      <c r="B144" s="563"/>
      <c r="C144" s="563"/>
      <c r="D144" s="563"/>
      <c r="E144" s="563"/>
      <c r="F144" s="680"/>
      <c r="G144" s="673" t="s">
        <v>706</v>
      </c>
      <c r="H144" s="673" t="s">
        <v>707</v>
      </c>
      <c r="I144" s="673"/>
      <c r="J144" s="676"/>
      <c r="K144" s="675">
        <v>1</v>
      </c>
      <c r="L144" s="675"/>
      <c r="M144" s="674" t="s">
        <v>710</v>
      </c>
      <c r="N144" s="674" t="s">
        <v>494</v>
      </c>
      <c r="O144" s="674" t="s">
        <v>384</v>
      </c>
      <c r="P144" s="674"/>
      <c r="Q144" s="674"/>
      <c r="R144" s="690">
        <v>44529</v>
      </c>
      <c r="S144" s="674" t="s">
        <v>429</v>
      </c>
      <c r="T144" s="674" t="s">
        <v>430</v>
      </c>
      <c r="U144" s="563"/>
      <c r="V144" s="563"/>
      <c r="W144" s="563"/>
      <c r="X144" s="563"/>
      <c r="Y144" s="563"/>
      <c r="Z144" s="563"/>
      <c r="AA144" s="563"/>
      <c r="AB144" s="563"/>
      <c r="AC144" s="563"/>
      <c r="AD144" s="563"/>
    </row>
    <row r="145" spans="1:30" s="565" customFormat="1" ht="16.5" customHeight="1" x14ac:dyDescent="0.25">
      <c r="A145" s="686">
        <v>55</v>
      </c>
      <c r="B145" s="563"/>
      <c r="C145" s="563"/>
      <c r="D145" s="563"/>
      <c r="E145" s="563"/>
      <c r="F145" s="680"/>
      <c r="G145" s="673" t="s">
        <v>708</v>
      </c>
      <c r="H145" s="673" t="s">
        <v>709</v>
      </c>
      <c r="I145" s="673"/>
      <c r="J145" s="676"/>
      <c r="K145" s="675">
        <v>1</v>
      </c>
      <c r="L145" s="675"/>
      <c r="M145" s="674" t="s">
        <v>710</v>
      </c>
      <c r="N145" s="674" t="s">
        <v>494</v>
      </c>
      <c r="O145" s="674" t="s">
        <v>384</v>
      </c>
      <c r="P145" s="674"/>
      <c r="Q145" s="674"/>
      <c r="R145" s="690">
        <v>44529</v>
      </c>
      <c r="S145" s="674" t="s">
        <v>429</v>
      </c>
      <c r="T145" s="674" t="s">
        <v>430</v>
      </c>
      <c r="U145" s="563"/>
      <c r="V145" s="563"/>
      <c r="W145" s="563"/>
      <c r="X145" s="563"/>
      <c r="Y145" s="563"/>
      <c r="Z145" s="563"/>
      <c r="AA145" s="563"/>
      <c r="AB145" s="563"/>
      <c r="AC145" s="563"/>
      <c r="AD145" s="563"/>
    </row>
    <row r="146" spans="1:30" s="565" customFormat="1" ht="16.5" customHeight="1" x14ac:dyDescent="0.25">
      <c r="A146" s="686">
        <v>56</v>
      </c>
      <c r="B146" s="563"/>
      <c r="C146" s="563"/>
      <c r="D146" s="563"/>
      <c r="E146" s="563"/>
      <c r="F146" s="680"/>
      <c r="G146" s="673" t="s">
        <v>708</v>
      </c>
      <c r="H146" s="673" t="s">
        <v>711</v>
      </c>
      <c r="I146" s="673"/>
      <c r="J146" s="676"/>
      <c r="K146" s="675">
        <v>1</v>
      </c>
      <c r="L146" s="675"/>
      <c r="M146" s="674" t="s">
        <v>710</v>
      </c>
      <c r="N146" s="674" t="s">
        <v>494</v>
      </c>
      <c r="O146" s="674" t="s">
        <v>384</v>
      </c>
      <c r="P146" s="674"/>
      <c r="Q146" s="674"/>
      <c r="R146" s="690">
        <v>44529</v>
      </c>
      <c r="S146" s="674" t="s">
        <v>429</v>
      </c>
      <c r="T146" s="674" t="s">
        <v>430</v>
      </c>
      <c r="U146" s="563"/>
      <c r="V146" s="563"/>
      <c r="W146" s="563"/>
      <c r="X146" s="563"/>
      <c r="Y146" s="563"/>
      <c r="Z146" s="563"/>
      <c r="AA146" s="563"/>
      <c r="AB146" s="563"/>
      <c r="AC146" s="563"/>
      <c r="AD146" s="563"/>
    </row>
    <row r="147" spans="1:30" s="565" customFormat="1" ht="16.5" customHeight="1" x14ac:dyDescent="0.25">
      <c r="A147" s="686">
        <v>57</v>
      </c>
      <c r="B147" s="563"/>
      <c r="C147" s="563"/>
      <c r="D147" s="563"/>
      <c r="E147" s="563"/>
      <c r="F147" s="680"/>
      <c r="G147" s="673" t="s">
        <v>712</v>
      </c>
      <c r="H147" s="673" t="s">
        <v>713</v>
      </c>
      <c r="I147" s="673"/>
      <c r="J147" s="676"/>
      <c r="K147" s="675">
        <v>1</v>
      </c>
      <c r="L147" s="675"/>
      <c r="M147" s="674" t="s">
        <v>710</v>
      </c>
      <c r="N147" s="674" t="s">
        <v>494</v>
      </c>
      <c r="O147" s="674" t="s">
        <v>384</v>
      </c>
      <c r="P147" s="674"/>
      <c r="Q147" s="674"/>
      <c r="R147" s="690">
        <v>44529</v>
      </c>
      <c r="S147" s="674" t="s">
        <v>429</v>
      </c>
      <c r="T147" s="674" t="s">
        <v>430</v>
      </c>
      <c r="U147" s="563"/>
      <c r="V147" s="563"/>
      <c r="W147" s="563"/>
      <c r="X147" s="563"/>
      <c r="Y147" s="563"/>
      <c r="Z147" s="563"/>
      <c r="AA147" s="563"/>
      <c r="AB147" s="563"/>
      <c r="AC147" s="563"/>
      <c r="AD147" s="563"/>
    </row>
    <row r="148" spans="1:30" s="565" customFormat="1" ht="16.5" customHeight="1" x14ac:dyDescent="0.25">
      <c r="A148" s="686">
        <v>58</v>
      </c>
      <c r="B148" s="563"/>
      <c r="C148" s="563"/>
      <c r="D148" s="563"/>
      <c r="E148" s="563"/>
      <c r="F148" s="680"/>
      <c r="G148" s="673" t="s">
        <v>714</v>
      </c>
      <c r="H148" s="673" t="s">
        <v>715</v>
      </c>
      <c r="I148" s="673" t="s">
        <v>402</v>
      </c>
      <c r="J148" s="676"/>
      <c r="K148" s="675">
        <v>1</v>
      </c>
      <c r="L148" s="675"/>
      <c r="M148" s="674" t="s">
        <v>639</v>
      </c>
      <c r="N148" s="674" t="s">
        <v>494</v>
      </c>
      <c r="O148" s="674" t="s">
        <v>384</v>
      </c>
      <c r="P148" s="674"/>
      <c r="Q148" s="674"/>
      <c r="R148" s="690">
        <v>44529</v>
      </c>
      <c r="S148" s="674" t="s">
        <v>429</v>
      </c>
      <c r="T148" s="674" t="s">
        <v>430</v>
      </c>
      <c r="U148" s="563"/>
      <c r="V148" s="563"/>
      <c r="W148" s="563"/>
      <c r="X148" s="563"/>
      <c r="Y148" s="563"/>
      <c r="Z148" s="563"/>
      <c r="AA148" s="563"/>
      <c r="AB148" s="563"/>
      <c r="AC148" s="563"/>
      <c r="AD148" s="563"/>
    </row>
    <row r="149" spans="1:30" s="565" customFormat="1" ht="16.5" customHeight="1" x14ac:dyDescent="0.25">
      <c r="A149" s="686">
        <v>59</v>
      </c>
      <c r="B149" s="563"/>
      <c r="C149" s="563"/>
      <c r="D149" s="563"/>
      <c r="E149" s="563"/>
      <c r="F149" s="680"/>
      <c r="G149" s="673" t="s">
        <v>716</v>
      </c>
      <c r="H149" s="673" t="s">
        <v>717</v>
      </c>
      <c r="I149" s="673" t="s">
        <v>718</v>
      </c>
      <c r="J149" s="676"/>
      <c r="K149" s="675">
        <v>1</v>
      </c>
      <c r="L149" s="675"/>
      <c r="M149" s="674" t="s">
        <v>719</v>
      </c>
      <c r="N149" s="674" t="s">
        <v>720</v>
      </c>
      <c r="O149" s="674" t="s">
        <v>384</v>
      </c>
      <c r="P149" s="674">
        <v>9516727099</v>
      </c>
      <c r="Q149" s="674"/>
      <c r="R149" s="690">
        <v>44529</v>
      </c>
      <c r="S149" s="674" t="s">
        <v>429</v>
      </c>
      <c r="T149" s="674" t="s">
        <v>430</v>
      </c>
      <c r="U149" s="563"/>
      <c r="V149" s="563"/>
      <c r="W149" s="563"/>
      <c r="X149" s="563"/>
      <c r="Y149" s="563"/>
      <c r="Z149" s="563"/>
      <c r="AA149" s="563"/>
      <c r="AB149" s="563"/>
      <c r="AC149" s="563"/>
      <c r="AD149" s="563"/>
    </row>
    <row r="150" spans="1:30" s="565" customFormat="1" ht="16.5" customHeight="1" x14ac:dyDescent="0.25">
      <c r="A150" s="686">
        <v>60</v>
      </c>
      <c r="B150" s="563"/>
      <c r="C150" s="563"/>
      <c r="D150" s="563"/>
      <c r="E150" s="563"/>
      <c r="F150" s="680"/>
      <c r="G150" s="673" t="s">
        <v>721</v>
      </c>
      <c r="H150" s="673" t="s">
        <v>722</v>
      </c>
      <c r="I150" s="673" t="s">
        <v>723</v>
      </c>
      <c r="J150" s="676"/>
      <c r="K150" s="675">
        <v>1</v>
      </c>
      <c r="L150" s="675"/>
      <c r="M150" s="674" t="s">
        <v>719</v>
      </c>
      <c r="N150" s="674" t="s">
        <v>720</v>
      </c>
      <c r="O150" s="674" t="s">
        <v>384</v>
      </c>
      <c r="P150" s="674"/>
      <c r="Q150" s="674"/>
      <c r="R150" s="690">
        <v>44529</v>
      </c>
      <c r="S150" s="674" t="s">
        <v>429</v>
      </c>
      <c r="T150" s="674" t="s">
        <v>430</v>
      </c>
      <c r="U150" s="563"/>
      <c r="V150" s="563"/>
      <c r="W150" s="563"/>
      <c r="X150" s="563"/>
      <c r="Y150" s="563"/>
      <c r="Z150" s="563"/>
      <c r="AA150" s="563"/>
      <c r="AB150" s="563"/>
      <c r="AC150" s="563"/>
      <c r="AD150" s="563"/>
    </row>
    <row r="151" spans="1:30" s="565" customFormat="1" ht="16.5" customHeight="1" x14ac:dyDescent="0.25">
      <c r="A151" s="686">
        <v>61</v>
      </c>
      <c r="B151" s="563"/>
      <c r="C151" s="563"/>
      <c r="D151" s="563"/>
      <c r="E151" s="563"/>
      <c r="F151" s="680"/>
      <c r="G151" s="673" t="s">
        <v>724</v>
      </c>
      <c r="H151" s="673" t="s">
        <v>725</v>
      </c>
      <c r="I151" s="673" t="s">
        <v>726</v>
      </c>
      <c r="J151" s="676">
        <v>29676</v>
      </c>
      <c r="K151" s="675">
        <v>1</v>
      </c>
      <c r="L151" s="675"/>
      <c r="M151" s="674" t="s">
        <v>719</v>
      </c>
      <c r="N151" s="674" t="s">
        <v>720</v>
      </c>
      <c r="O151" s="674" t="s">
        <v>384</v>
      </c>
      <c r="P151" s="674">
        <v>9108808503</v>
      </c>
      <c r="Q151" s="674"/>
      <c r="R151" s="690">
        <v>44529</v>
      </c>
      <c r="S151" s="674" t="s">
        <v>429</v>
      </c>
      <c r="T151" s="674" t="s">
        <v>430</v>
      </c>
      <c r="U151" s="563"/>
      <c r="V151" s="563"/>
      <c r="W151" s="563"/>
      <c r="X151" s="563"/>
      <c r="Y151" s="563"/>
      <c r="Z151" s="563"/>
      <c r="AA151" s="563"/>
      <c r="AB151" s="563"/>
      <c r="AC151" s="563"/>
      <c r="AD151" s="563"/>
    </row>
    <row r="152" spans="1:30" s="565" customFormat="1" ht="16.5" customHeight="1" x14ac:dyDescent="0.25">
      <c r="A152" s="686">
        <v>62</v>
      </c>
      <c r="B152" s="563"/>
      <c r="C152" s="563"/>
      <c r="D152" s="563"/>
      <c r="E152" s="563"/>
      <c r="F152" s="680"/>
      <c r="G152" s="673" t="s">
        <v>727</v>
      </c>
      <c r="H152" s="673" t="s">
        <v>728</v>
      </c>
      <c r="I152" s="673" t="s">
        <v>729</v>
      </c>
      <c r="J152" s="676"/>
      <c r="K152" s="675">
        <v>1</v>
      </c>
      <c r="L152" s="675"/>
      <c r="M152" s="674" t="s">
        <v>719</v>
      </c>
      <c r="N152" s="674" t="s">
        <v>720</v>
      </c>
      <c r="O152" s="674" t="s">
        <v>384</v>
      </c>
      <c r="P152" s="674"/>
      <c r="Q152" s="674"/>
      <c r="R152" s="690">
        <v>44529</v>
      </c>
      <c r="S152" s="674" t="s">
        <v>429</v>
      </c>
      <c r="T152" s="674" t="s">
        <v>430</v>
      </c>
      <c r="U152" s="563"/>
      <c r="V152" s="563"/>
      <c r="W152" s="563"/>
      <c r="X152" s="563"/>
      <c r="Y152" s="563"/>
      <c r="Z152" s="563"/>
      <c r="AA152" s="563"/>
      <c r="AB152" s="563"/>
      <c r="AC152" s="563"/>
      <c r="AD152" s="563"/>
    </row>
    <row r="153" spans="1:30" s="565" customFormat="1" ht="16.5" customHeight="1" x14ac:dyDescent="0.25">
      <c r="A153" s="686">
        <v>63</v>
      </c>
      <c r="B153" s="563"/>
      <c r="C153" s="563"/>
      <c r="D153" s="563"/>
      <c r="E153" s="563"/>
      <c r="F153" s="680"/>
      <c r="G153" s="673" t="s">
        <v>730</v>
      </c>
      <c r="H153" s="673" t="s">
        <v>731</v>
      </c>
      <c r="I153" s="673" t="s">
        <v>732</v>
      </c>
      <c r="J153" s="676">
        <v>35469</v>
      </c>
      <c r="K153" s="675">
        <v>1</v>
      </c>
      <c r="L153" s="675"/>
      <c r="M153" s="674" t="s">
        <v>719</v>
      </c>
      <c r="N153" s="674" t="s">
        <v>720</v>
      </c>
      <c r="O153" s="674" t="s">
        <v>384</v>
      </c>
      <c r="P153" s="674">
        <v>9754900742</v>
      </c>
      <c r="Q153" s="674"/>
      <c r="R153" s="690">
        <v>44529</v>
      </c>
      <c r="S153" s="674" t="s">
        <v>429</v>
      </c>
      <c r="T153" s="674" t="s">
        <v>430</v>
      </c>
      <c r="U153" s="563"/>
      <c r="V153" s="563"/>
      <c r="W153" s="563"/>
      <c r="X153" s="563"/>
      <c r="Y153" s="563"/>
      <c r="Z153" s="563"/>
      <c r="AA153" s="563"/>
      <c r="AB153" s="563"/>
      <c r="AC153" s="563"/>
      <c r="AD153" s="563"/>
    </row>
    <row r="154" spans="1:30" s="565" customFormat="1" ht="16.5" customHeight="1" x14ac:dyDescent="0.25">
      <c r="A154" s="686">
        <v>64</v>
      </c>
      <c r="B154" s="563"/>
      <c r="C154" s="563"/>
      <c r="D154" s="563"/>
      <c r="E154" s="563"/>
      <c r="F154" s="680"/>
      <c r="G154" s="673" t="s">
        <v>733</v>
      </c>
      <c r="H154" s="673" t="s">
        <v>734</v>
      </c>
      <c r="I154" s="673" t="s">
        <v>735</v>
      </c>
      <c r="J154" s="676">
        <v>29085</v>
      </c>
      <c r="K154" s="675"/>
      <c r="L154" s="675">
        <v>1</v>
      </c>
      <c r="M154" s="674" t="s">
        <v>719</v>
      </c>
      <c r="N154" s="674" t="s">
        <v>720</v>
      </c>
      <c r="O154" s="674" t="s">
        <v>384</v>
      </c>
      <c r="P154" s="674">
        <v>9973672215</v>
      </c>
      <c r="Q154" s="674"/>
      <c r="R154" s="690">
        <v>44529</v>
      </c>
      <c r="S154" s="674" t="s">
        <v>429</v>
      </c>
      <c r="T154" s="674" t="s">
        <v>430</v>
      </c>
      <c r="U154" s="563"/>
      <c r="V154" s="563"/>
      <c r="W154" s="563"/>
      <c r="X154" s="563"/>
      <c r="Y154" s="563"/>
      <c r="Z154" s="563"/>
      <c r="AA154" s="563"/>
      <c r="AB154" s="563"/>
      <c r="AC154" s="563"/>
      <c r="AD154" s="563"/>
    </row>
    <row r="155" spans="1:30" s="565" customFormat="1" ht="16.5" customHeight="1" x14ac:dyDescent="0.25">
      <c r="A155" s="686">
        <v>65</v>
      </c>
      <c r="B155" s="563"/>
      <c r="C155" s="563"/>
      <c r="D155" s="563"/>
      <c r="E155" s="563"/>
      <c r="F155" s="680"/>
      <c r="G155" s="673" t="s">
        <v>736</v>
      </c>
      <c r="H155" s="673" t="s">
        <v>737</v>
      </c>
      <c r="I155" s="673" t="s">
        <v>738</v>
      </c>
      <c r="J155" s="676">
        <v>31720</v>
      </c>
      <c r="K155" s="675">
        <v>1</v>
      </c>
      <c r="L155" s="675"/>
      <c r="M155" s="674" t="s">
        <v>719</v>
      </c>
      <c r="N155" s="674" t="s">
        <v>720</v>
      </c>
      <c r="O155" s="674" t="s">
        <v>384</v>
      </c>
      <c r="P155" s="674">
        <v>9366368637</v>
      </c>
      <c r="Q155" s="674"/>
      <c r="R155" s="690">
        <v>44529</v>
      </c>
      <c r="S155" s="674" t="s">
        <v>429</v>
      </c>
      <c r="T155" s="674" t="s">
        <v>430</v>
      </c>
      <c r="U155" s="563"/>
      <c r="V155" s="563"/>
      <c r="W155" s="563"/>
      <c r="X155" s="563"/>
      <c r="Y155" s="563"/>
      <c r="Z155" s="563"/>
      <c r="AA155" s="563"/>
      <c r="AB155" s="563"/>
      <c r="AC155" s="563"/>
      <c r="AD155" s="563"/>
    </row>
    <row r="156" spans="1:30" s="565" customFormat="1" ht="16.5" customHeight="1" x14ac:dyDescent="0.25">
      <c r="A156" s="686">
        <v>66</v>
      </c>
      <c r="B156" s="563"/>
      <c r="C156" s="563"/>
      <c r="D156" s="563"/>
      <c r="E156" s="563"/>
      <c r="F156" s="680"/>
      <c r="G156" s="673" t="s">
        <v>739</v>
      </c>
      <c r="H156" s="673" t="s">
        <v>740</v>
      </c>
      <c r="I156" s="673" t="s">
        <v>741</v>
      </c>
      <c r="J156" s="676">
        <v>29089</v>
      </c>
      <c r="K156" s="675">
        <v>1</v>
      </c>
      <c r="L156" s="675"/>
      <c r="M156" s="674" t="s">
        <v>719</v>
      </c>
      <c r="N156" s="674" t="s">
        <v>720</v>
      </c>
      <c r="O156" s="674" t="s">
        <v>384</v>
      </c>
      <c r="P156" s="674">
        <v>9066389149</v>
      </c>
      <c r="Q156" s="674"/>
      <c r="R156" s="690">
        <v>44529</v>
      </c>
      <c r="S156" s="674" t="s">
        <v>429</v>
      </c>
      <c r="T156" s="674" t="s">
        <v>430</v>
      </c>
      <c r="U156" s="563"/>
      <c r="V156" s="563"/>
      <c r="W156" s="563"/>
      <c r="X156" s="563"/>
      <c r="Y156" s="563"/>
      <c r="Z156" s="563"/>
      <c r="AA156" s="563"/>
      <c r="AB156" s="563"/>
      <c r="AC156" s="563"/>
      <c r="AD156" s="563"/>
    </row>
    <row r="157" spans="1:30" s="565" customFormat="1" ht="16.5" customHeight="1" x14ac:dyDescent="0.25">
      <c r="A157" s="686">
        <v>67</v>
      </c>
      <c r="B157" s="563"/>
      <c r="C157" s="563"/>
      <c r="D157" s="563"/>
      <c r="E157" s="563"/>
      <c r="F157" s="680"/>
      <c r="G157" s="673" t="s">
        <v>742</v>
      </c>
      <c r="H157" s="673" t="s">
        <v>743</v>
      </c>
      <c r="I157" s="673" t="s">
        <v>744</v>
      </c>
      <c r="J157" s="676">
        <v>24829</v>
      </c>
      <c r="K157" s="675"/>
      <c r="L157" s="675">
        <v>1</v>
      </c>
      <c r="M157" s="674" t="s">
        <v>719</v>
      </c>
      <c r="N157" s="674" t="s">
        <v>720</v>
      </c>
      <c r="O157" s="674" t="s">
        <v>384</v>
      </c>
      <c r="P157" s="674"/>
      <c r="Q157" s="674"/>
      <c r="R157" s="690">
        <v>44529</v>
      </c>
      <c r="S157" s="674" t="s">
        <v>429</v>
      </c>
      <c r="T157" s="674" t="s">
        <v>430</v>
      </c>
      <c r="U157" s="563"/>
      <c r="V157" s="563"/>
      <c r="W157" s="563"/>
      <c r="X157" s="563"/>
      <c r="Y157" s="563"/>
      <c r="Z157" s="563"/>
      <c r="AA157" s="563"/>
      <c r="AB157" s="563"/>
      <c r="AC157" s="563"/>
      <c r="AD157" s="563"/>
    </row>
    <row r="158" spans="1:30" s="565" customFormat="1" ht="16.5" customHeight="1" x14ac:dyDescent="0.25">
      <c r="A158" s="686">
        <v>68</v>
      </c>
      <c r="B158" s="563"/>
      <c r="C158" s="563"/>
      <c r="D158" s="563"/>
      <c r="E158" s="563"/>
      <c r="F158" s="680"/>
      <c r="G158" s="673" t="s">
        <v>745</v>
      </c>
      <c r="H158" s="673" t="s">
        <v>746</v>
      </c>
      <c r="I158" s="673" t="s">
        <v>421</v>
      </c>
      <c r="J158" s="676"/>
      <c r="K158" s="675">
        <v>1</v>
      </c>
      <c r="L158" s="675"/>
      <c r="M158" s="674" t="s">
        <v>747</v>
      </c>
      <c r="N158" s="674" t="s">
        <v>720</v>
      </c>
      <c r="O158" s="674" t="s">
        <v>384</v>
      </c>
      <c r="P158" s="674">
        <v>9096639747</v>
      </c>
      <c r="Q158" s="674"/>
      <c r="R158" s="690">
        <v>44529</v>
      </c>
      <c r="S158" s="674" t="s">
        <v>429</v>
      </c>
      <c r="T158" s="674" t="s">
        <v>430</v>
      </c>
      <c r="U158" s="563"/>
      <c r="V158" s="563"/>
      <c r="W158" s="563"/>
      <c r="X158" s="563"/>
      <c r="Y158" s="563"/>
      <c r="Z158" s="563"/>
      <c r="AA158" s="563"/>
      <c r="AB158" s="563"/>
      <c r="AC158" s="563"/>
      <c r="AD158" s="563"/>
    </row>
    <row r="159" spans="1:30" s="565" customFormat="1" ht="16.5" customHeight="1" x14ac:dyDescent="0.25">
      <c r="A159" s="686">
        <v>69</v>
      </c>
      <c r="B159" s="563"/>
      <c r="C159" s="563"/>
      <c r="D159" s="563"/>
      <c r="E159" s="563"/>
      <c r="F159" s="680"/>
      <c r="G159" s="673" t="s">
        <v>748</v>
      </c>
      <c r="H159" s="673" t="s">
        <v>749</v>
      </c>
      <c r="I159" s="673" t="s">
        <v>750</v>
      </c>
      <c r="J159" s="676"/>
      <c r="K159" s="675">
        <v>1</v>
      </c>
      <c r="L159" s="675"/>
      <c r="M159" s="674" t="s">
        <v>747</v>
      </c>
      <c r="N159" s="674" t="s">
        <v>720</v>
      </c>
      <c r="O159" s="674" t="s">
        <v>384</v>
      </c>
      <c r="P159" s="674">
        <v>9266036639</v>
      </c>
      <c r="Q159" s="674"/>
      <c r="R159" s="690">
        <v>44529</v>
      </c>
      <c r="S159" s="674" t="s">
        <v>429</v>
      </c>
      <c r="T159" s="674" t="s">
        <v>430</v>
      </c>
      <c r="U159" s="563"/>
      <c r="V159" s="563"/>
      <c r="W159" s="563"/>
      <c r="X159" s="563"/>
      <c r="Y159" s="563"/>
      <c r="Z159" s="563"/>
      <c r="AA159" s="563"/>
      <c r="AB159" s="563"/>
      <c r="AC159" s="563"/>
      <c r="AD159" s="563"/>
    </row>
    <row r="160" spans="1:30" s="565" customFormat="1" ht="16.5" customHeight="1" x14ac:dyDescent="0.25">
      <c r="A160" s="686">
        <v>70</v>
      </c>
      <c r="B160" s="563"/>
      <c r="C160" s="563"/>
      <c r="D160" s="563"/>
      <c r="E160" s="563"/>
      <c r="F160" s="680"/>
      <c r="G160" s="673" t="s">
        <v>751</v>
      </c>
      <c r="H160" s="673" t="s">
        <v>752</v>
      </c>
      <c r="I160" s="673" t="s">
        <v>620</v>
      </c>
      <c r="J160" s="676"/>
      <c r="K160" s="675">
        <v>1</v>
      </c>
      <c r="L160" s="675"/>
      <c r="M160" s="674" t="s">
        <v>747</v>
      </c>
      <c r="N160" s="674" t="s">
        <v>720</v>
      </c>
      <c r="O160" s="674" t="s">
        <v>384</v>
      </c>
      <c r="P160" s="674">
        <v>9972588974</v>
      </c>
      <c r="Q160" s="674"/>
      <c r="R160" s="690">
        <v>44529</v>
      </c>
      <c r="S160" s="674" t="s">
        <v>429</v>
      </c>
      <c r="T160" s="674" t="s">
        <v>430</v>
      </c>
      <c r="U160" s="563"/>
      <c r="V160" s="563"/>
      <c r="W160" s="563"/>
      <c r="X160" s="563"/>
      <c r="Y160" s="563"/>
      <c r="Z160" s="563"/>
      <c r="AA160" s="563"/>
      <c r="AB160" s="563"/>
      <c r="AC160" s="563"/>
      <c r="AD160" s="563"/>
    </row>
    <row r="161" spans="1:30" s="565" customFormat="1" ht="16.5" customHeight="1" x14ac:dyDescent="0.25">
      <c r="A161" s="686">
        <v>71</v>
      </c>
      <c r="B161" s="563"/>
      <c r="C161" s="563"/>
      <c r="D161" s="563"/>
      <c r="E161" s="563"/>
      <c r="F161" s="680"/>
      <c r="G161" s="673" t="s">
        <v>751</v>
      </c>
      <c r="H161" s="673" t="s">
        <v>424</v>
      </c>
      <c r="I161" s="673" t="s">
        <v>620</v>
      </c>
      <c r="J161" s="676"/>
      <c r="K161" s="675">
        <v>1</v>
      </c>
      <c r="L161" s="675"/>
      <c r="M161" s="674" t="s">
        <v>747</v>
      </c>
      <c r="N161" s="674" t="s">
        <v>720</v>
      </c>
      <c r="O161" s="674" t="s">
        <v>384</v>
      </c>
      <c r="P161" s="674">
        <v>9972002916</v>
      </c>
      <c r="Q161" s="674"/>
      <c r="R161" s="690">
        <v>44529</v>
      </c>
      <c r="S161" s="674" t="s">
        <v>429</v>
      </c>
      <c r="T161" s="674" t="s">
        <v>430</v>
      </c>
      <c r="U161" s="563"/>
      <c r="V161" s="563"/>
      <c r="W161" s="563"/>
      <c r="X161" s="563"/>
      <c r="Y161" s="563"/>
      <c r="Z161" s="563"/>
      <c r="AA161" s="563"/>
      <c r="AB161" s="563"/>
      <c r="AC161" s="563"/>
      <c r="AD161" s="563"/>
    </row>
    <row r="162" spans="1:30" s="565" customFormat="1" ht="16.5" customHeight="1" x14ac:dyDescent="0.25">
      <c r="A162" s="686">
        <v>72</v>
      </c>
      <c r="B162" s="563"/>
      <c r="C162" s="563"/>
      <c r="D162" s="563"/>
      <c r="E162" s="563"/>
      <c r="F162" s="680"/>
      <c r="G162" s="673" t="s">
        <v>753</v>
      </c>
      <c r="H162" s="673" t="s">
        <v>637</v>
      </c>
      <c r="I162" s="673" t="s">
        <v>395</v>
      </c>
      <c r="J162" s="676"/>
      <c r="K162" s="675">
        <v>1</v>
      </c>
      <c r="L162" s="675"/>
      <c r="M162" s="674" t="s">
        <v>754</v>
      </c>
      <c r="N162" s="674" t="s">
        <v>720</v>
      </c>
      <c r="O162" s="674" t="s">
        <v>384</v>
      </c>
      <c r="P162" s="674">
        <v>9169571969</v>
      </c>
      <c r="Q162" s="674"/>
      <c r="R162" s="690">
        <v>44529</v>
      </c>
      <c r="S162" s="674" t="s">
        <v>429</v>
      </c>
      <c r="T162" s="674" t="s">
        <v>430</v>
      </c>
      <c r="U162" s="563"/>
      <c r="V162" s="563"/>
      <c r="W162" s="563"/>
      <c r="X162" s="563"/>
      <c r="Y162" s="563"/>
      <c r="Z162" s="563"/>
      <c r="AA162" s="563"/>
      <c r="AB162" s="563"/>
      <c r="AC162" s="563"/>
      <c r="AD162" s="563"/>
    </row>
    <row r="163" spans="1:30" s="565" customFormat="1" ht="16.5" customHeight="1" x14ac:dyDescent="0.25">
      <c r="A163" s="686">
        <v>73</v>
      </c>
      <c r="B163" s="563"/>
      <c r="C163" s="563"/>
      <c r="D163" s="563"/>
      <c r="E163" s="563"/>
      <c r="F163" s="680"/>
      <c r="G163" s="673" t="s">
        <v>755</v>
      </c>
      <c r="H163" s="673" t="s">
        <v>756</v>
      </c>
      <c r="I163" s="673" t="s">
        <v>757</v>
      </c>
      <c r="J163" s="676">
        <v>27923</v>
      </c>
      <c r="K163" s="675">
        <v>1</v>
      </c>
      <c r="L163" s="675"/>
      <c r="M163" s="674" t="s">
        <v>754</v>
      </c>
      <c r="N163" s="674" t="s">
        <v>720</v>
      </c>
      <c r="O163" s="674" t="s">
        <v>384</v>
      </c>
      <c r="P163" s="674"/>
      <c r="Q163" s="674"/>
      <c r="R163" s="690">
        <v>44529</v>
      </c>
      <c r="S163" s="674" t="s">
        <v>429</v>
      </c>
      <c r="T163" s="674" t="s">
        <v>430</v>
      </c>
      <c r="U163" s="563"/>
      <c r="V163" s="563"/>
      <c r="W163" s="563"/>
      <c r="X163" s="563"/>
      <c r="Y163" s="563"/>
      <c r="Z163" s="563"/>
      <c r="AA163" s="563"/>
      <c r="AB163" s="563"/>
      <c r="AC163" s="563"/>
      <c r="AD163" s="563"/>
    </row>
    <row r="164" spans="1:30" s="565" customFormat="1" ht="16.5" customHeight="1" x14ac:dyDescent="0.25">
      <c r="A164" s="686">
        <v>74</v>
      </c>
      <c r="B164" s="563"/>
      <c r="C164" s="563"/>
      <c r="D164" s="563"/>
      <c r="E164" s="563"/>
      <c r="F164" s="680"/>
      <c r="G164" s="673" t="s">
        <v>758</v>
      </c>
      <c r="H164" s="673" t="s">
        <v>759</v>
      </c>
      <c r="I164" s="673" t="s">
        <v>568</v>
      </c>
      <c r="J164" s="676">
        <v>22767</v>
      </c>
      <c r="K164" s="675">
        <v>1</v>
      </c>
      <c r="L164" s="675"/>
      <c r="M164" s="674" t="s">
        <v>760</v>
      </c>
      <c r="N164" s="674" t="s">
        <v>720</v>
      </c>
      <c r="O164" s="674" t="s">
        <v>384</v>
      </c>
      <c r="P164" s="674"/>
      <c r="Q164" s="674"/>
      <c r="R164" s="690">
        <v>44529</v>
      </c>
      <c r="S164" s="674" t="s">
        <v>429</v>
      </c>
      <c r="T164" s="674" t="s">
        <v>430</v>
      </c>
      <c r="U164" s="563"/>
      <c r="V164" s="563"/>
      <c r="W164" s="563"/>
      <c r="X164" s="563"/>
      <c r="Y164" s="563"/>
      <c r="Z164" s="563"/>
      <c r="AA164" s="563"/>
      <c r="AB164" s="563"/>
      <c r="AC164" s="563"/>
      <c r="AD164" s="563"/>
    </row>
    <row r="165" spans="1:30" s="565" customFormat="1" ht="16.5" customHeight="1" x14ac:dyDescent="0.25">
      <c r="A165" s="686">
        <v>75</v>
      </c>
      <c r="B165" s="563"/>
      <c r="C165" s="563"/>
      <c r="D165" s="563"/>
      <c r="E165" s="563"/>
      <c r="F165" s="680"/>
      <c r="G165" s="673" t="s">
        <v>761</v>
      </c>
      <c r="H165" s="673" t="s">
        <v>762</v>
      </c>
      <c r="I165" s="673" t="s">
        <v>395</v>
      </c>
      <c r="J165" s="676"/>
      <c r="K165" s="675">
        <v>1</v>
      </c>
      <c r="L165" s="675"/>
      <c r="M165" s="674" t="s">
        <v>760</v>
      </c>
      <c r="N165" s="674" t="s">
        <v>720</v>
      </c>
      <c r="O165" s="674" t="s">
        <v>384</v>
      </c>
      <c r="P165" s="674">
        <v>9102031130</v>
      </c>
      <c r="Q165" s="674"/>
      <c r="R165" s="690">
        <v>44529</v>
      </c>
      <c r="S165" s="674" t="s">
        <v>429</v>
      </c>
      <c r="T165" s="674" t="s">
        <v>430</v>
      </c>
      <c r="U165" s="563"/>
      <c r="V165" s="563"/>
      <c r="W165" s="563"/>
      <c r="X165" s="563"/>
      <c r="Y165" s="563"/>
      <c r="Z165" s="563"/>
      <c r="AA165" s="563"/>
      <c r="AB165" s="563"/>
      <c r="AC165" s="563"/>
      <c r="AD165" s="563"/>
    </row>
    <row r="166" spans="1:30" s="565" customFormat="1" ht="16.5" customHeight="1" x14ac:dyDescent="0.25">
      <c r="A166" s="686">
        <v>76</v>
      </c>
      <c r="B166" s="563"/>
      <c r="C166" s="563"/>
      <c r="D166" s="563"/>
      <c r="E166" s="563"/>
      <c r="F166" s="680"/>
      <c r="G166" s="673" t="s">
        <v>761</v>
      </c>
      <c r="H166" s="673" t="s">
        <v>763</v>
      </c>
      <c r="I166" s="673" t="s">
        <v>764</v>
      </c>
      <c r="J166" s="676"/>
      <c r="K166" s="675">
        <v>1</v>
      </c>
      <c r="L166" s="675"/>
      <c r="M166" s="674" t="s">
        <v>760</v>
      </c>
      <c r="N166" s="674" t="s">
        <v>720</v>
      </c>
      <c r="O166" s="674" t="s">
        <v>384</v>
      </c>
      <c r="P166" s="674">
        <v>9653211478</v>
      </c>
      <c r="Q166" s="674"/>
      <c r="R166" s="690">
        <v>44529</v>
      </c>
      <c r="S166" s="674" t="s">
        <v>429</v>
      </c>
      <c r="T166" s="674" t="s">
        <v>430</v>
      </c>
      <c r="U166" s="563"/>
      <c r="V166" s="563"/>
      <c r="W166" s="563"/>
      <c r="X166" s="563"/>
      <c r="Y166" s="563"/>
      <c r="Z166" s="563"/>
      <c r="AA166" s="563"/>
      <c r="AB166" s="563"/>
      <c r="AC166" s="563"/>
      <c r="AD166" s="563"/>
    </row>
    <row r="167" spans="1:30" s="565" customFormat="1" ht="16.5" customHeight="1" x14ac:dyDescent="0.25">
      <c r="A167" s="686">
        <v>77</v>
      </c>
      <c r="B167" s="563"/>
      <c r="C167" s="563"/>
      <c r="D167" s="563"/>
      <c r="E167" s="563"/>
      <c r="F167" s="680"/>
      <c r="G167" s="673" t="s">
        <v>765</v>
      </c>
      <c r="H167" s="673" t="s">
        <v>763</v>
      </c>
      <c r="I167" s="673" t="s">
        <v>766</v>
      </c>
      <c r="J167" s="676">
        <v>28403</v>
      </c>
      <c r="K167" s="675">
        <v>1</v>
      </c>
      <c r="L167" s="675"/>
      <c r="M167" s="674" t="s">
        <v>760</v>
      </c>
      <c r="N167" s="674" t="s">
        <v>720</v>
      </c>
      <c r="O167" s="674" t="s">
        <v>384</v>
      </c>
      <c r="P167" s="674">
        <v>9973968214</v>
      </c>
      <c r="Q167" s="674"/>
      <c r="R167" s="690">
        <v>44529</v>
      </c>
      <c r="S167" s="674" t="s">
        <v>429</v>
      </c>
      <c r="T167" s="674" t="s">
        <v>430</v>
      </c>
      <c r="U167" s="563"/>
      <c r="V167" s="563"/>
      <c r="W167" s="563"/>
      <c r="X167" s="563"/>
      <c r="Y167" s="563"/>
      <c r="Z167" s="563"/>
      <c r="AA167" s="563"/>
      <c r="AB167" s="563"/>
      <c r="AC167" s="563"/>
      <c r="AD167" s="563"/>
    </row>
    <row r="168" spans="1:30" s="565" customFormat="1" ht="16.5" customHeight="1" x14ac:dyDescent="0.25">
      <c r="A168" s="686">
        <v>78</v>
      </c>
      <c r="B168" s="563"/>
      <c r="C168" s="563"/>
      <c r="D168" s="563"/>
      <c r="E168" s="563"/>
      <c r="F168" s="680"/>
      <c r="G168" s="673" t="s">
        <v>767</v>
      </c>
      <c r="H168" s="673" t="s">
        <v>768</v>
      </c>
      <c r="I168" s="673" t="s">
        <v>766</v>
      </c>
      <c r="J168" s="676">
        <v>27539</v>
      </c>
      <c r="K168" s="675">
        <v>1</v>
      </c>
      <c r="L168" s="675"/>
      <c r="M168" s="674" t="s">
        <v>760</v>
      </c>
      <c r="N168" s="674" t="s">
        <v>720</v>
      </c>
      <c r="O168" s="674" t="s">
        <v>384</v>
      </c>
      <c r="P168" s="674">
        <v>9756793424</v>
      </c>
      <c r="Q168" s="674"/>
      <c r="R168" s="690">
        <v>44529</v>
      </c>
      <c r="S168" s="674" t="s">
        <v>429</v>
      </c>
      <c r="T168" s="674" t="s">
        <v>430</v>
      </c>
      <c r="U168" s="563"/>
      <c r="V168" s="563"/>
      <c r="W168" s="563"/>
      <c r="X168" s="563"/>
      <c r="Y168" s="563"/>
      <c r="Z168" s="563"/>
      <c r="AA168" s="563"/>
      <c r="AB168" s="563"/>
      <c r="AC168" s="563"/>
      <c r="AD168" s="563"/>
    </row>
    <row r="169" spans="1:30" s="565" customFormat="1" ht="16.5" customHeight="1" x14ac:dyDescent="0.25">
      <c r="A169" s="686">
        <v>79</v>
      </c>
      <c r="B169" s="563"/>
      <c r="C169" s="563"/>
      <c r="D169" s="563"/>
      <c r="E169" s="563"/>
      <c r="F169" s="680"/>
      <c r="G169" s="673" t="s">
        <v>769</v>
      </c>
      <c r="H169" s="673" t="s">
        <v>770</v>
      </c>
      <c r="I169" s="673" t="s">
        <v>394</v>
      </c>
      <c r="J169" s="676"/>
      <c r="K169" s="675">
        <v>1</v>
      </c>
      <c r="L169" s="675"/>
      <c r="M169" s="674" t="s">
        <v>760</v>
      </c>
      <c r="N169" s="674" t="s">
        <v>720</v>
      </c>
      <c r="O169" s="674" t="s">
        <v>384</v>
      </c>
      <c r="P169" s="674">
        <v>9103943745</v>
      </c>
      <c r="Q169" s="674"/>
      <c r="R169" s="690">
        <v>44529</v>
      </c>
      <c r="S169" s="674" t="s">
        <v>429</v>
      </c>
      <c r="T169" s="674" t="s">
        <v>430</v>
      </c>
      <c r="U169" s="563"/>
      <c r="V169" s="563"/>
      <c r="W169" s="563"/>
      <c r="X169" s="563"/>
      <c r="Y169" s="563"/>
      <c r="Z169" s="563"/>
      <c r="AA169" s="563"/>
      <c r="AB169" s="563"/>
      <c r="AC169" s="563"/>
      <c r="AD169" s="563"/>
    </row>
    <row r="170" spans="1:30" s="565" customFormat="1" ht="16.5" customHeight="1" x14ac:dyDescent="0.25">
      <c r="A170" s="686">
        <v>80</v>
      </c>
      <c r="B170" s="563"/>
      <c r="C170" s="563"/>
      <c r="D170" s="563"/>
      <c r="E170" s="563"/>
      <c r="F170" s="680"/>
      <c r="G170" s="673" t="s">
        <v>771</v>
      </c>
      <c r="H170" s="673" t="s">
        <v>772</v>
      </c>
      <c r="I170" s="673"/>
      <c r="J170" s="676">
        <v>24872</v>
      </c>
      <c r="K170" s="675">
        <v>1</v>
      </c>
      <c r="L170" s="675"/>
      <c r="M170" s="674" t="s">
        <v>760</v>
      </c>
      <c r="N170" s="674" t="s">
        <v>720</v>
      </c>
      <c r="O170" s="674" t="s">
        <v>384</v>
      </c>
      <c r="P170" s="674">
        <v>9533368788</v>
      </c>
      <c r="Q170" s="674"/>
      <c r="R170" s="690">
        <v>44529</v>
      </c>
      <c r="S170" s="674" t="s">
        <v>429</v>
      </c>
      <c r="T170" s="674" t="s">
        <v>430</v>
      </c>
      <c r="U170" s="563"/>
      <c r="V170" s="563"/>
      <c r="W170" s="563"/>
      <c r="X170" s="563"/>
      <c r="Y170" s="563"/>
      <c r="Z170" s="563"/>
      <c r="AA170" s="563"/>
      <c r="AB170" s="563"/>
      <c r="AC170" s="563"/>
      <c r="AD170" s="563"/>
    </row>
    <row r="171" spans="1:30" s="565" customFormat="1" ht="16.5" customHeight="1" x14ac:dyDescent="0.25">
      <c r="A171" s="686">
        <v>81</v>
      </c>
      <c r="B171" s="563"/>
      <c r="C171" s="563"/>
      <c r="D171" s="563"/>
      <c r="E171" s="563"/>
      <c r="F171" s="680"/>
      <c r="G171" s="673" t="s">
        <v>555</v>
      </c>
      <c r="H171" s="673" t="s">
        <v>773</v>
      </c>
      <c r="I171" s="673" t="s">
        <v>774</v>
      </c>
      <c r="J171" s="676">
        <v>29228</v>
      </c>
      <c r="K171" s="675">
        <v>1</v>
      </c>
      <c r="L171" s="675"/>
      <c r="M171" s="674" t="s">
        <v>760</v>
      </c>
      <c r="N171" s="674" t="s">
        <v>720</v>
      </c>
      <c r="O171" s="674" t="s">
        <v>384</v>
      </c>
      <c r="P171" s="674">
        <v>9169547949</v>
      </c>
      <c r="Q171" s="674"/>
      <c r="R171" s="690">
        <v>44529</v>
      </c>
      <c r="S171" s="674" t="s">
        <v>429</v>
      </c>
      <c r="T171" s="674" t="s">
        <v>430</v>
      </c>
      <c r="U171" s="563"/>
      <c r="V171" s="563"/>
      <c r="W171" s="563"/>
      <c r="X171" s="563"/>
      <c r="Y171" s="563"/>
      <c r="Z171" s="563"/>
      <c r="AA171" s="563"/>
      <c r="AB171" s="563"/>
      <c r="AC171" s="563"/>
      <c r="AD171" s="563"/>
    </row>
    <row r="172" spans="1:30" s="565" customFormat="1" ht="16.5" customHeight="1" x14ac:dyDescent="0.25">
      <c r="A172" s="686">
        <v>82</v>
      </c>
      <c r="B172" s="563"/>
      <c r="C172" s="563"/>
      <c r="D172" s="563"/>
      <c r="E172" s="563"/>
      <c r="F172" s="680"/>
      <c r="G172" s="673" t="s">
        <v>555</v>
      </c>
      <c r="H172" s="673" t="s">
        <v>504</v>
      </c>
      <c r="I172" s="673"/>
      <c r="J172" s="676">
        <v>28721</v>
      </c>
      <c r="K172" s="675">
        <v>1</v>
      </c>
      <c r="L172" s="675"/>
      <c r="M172" s="674" t="s">
        <v>760</v>
      </c>
      <c r="N172" s="674" t="s">
        <v>720</v>
      </c>
      <c r="O172" s="674" t="s">
        <v>384</v>
      </c>
      <c r="P172" s="674">
        <v>9169547949</v>
      </c>
      <c r="Q172" s="674"/>
      <c r="R172" s="690">
        <v>44529</v>
      </c>
      <c r="S172" s="674" t="s">
        <v>429</v>
      </c>
      <c r="T172" s="674" t="s">
        <v>430</v>
      </c>
      <c r="U172" s="563"/>
      <c r="V172" s="563"/>
      <c r="W172" s="563"/>
      <c r="X172" s="563"/>
      <c r="Y172" s="563"/>
      <c r="Z172" s="563"/>
      <c r="AA172" s="563"/>
      <c r="AB172" s="563"/>
      <c r="AC172" s="563"/>
      <c r="AD172" s="563"/>
    </row>
    <row r="173" spans="1:30" s="565" customFormat="1" ht="16.5" customHeight="1" x14ac:dyDescent="0.25">
      <c r="A173" s="686">
        <v>83</v>
      </c>
      <c r="B173" s="563"/>
      <c r="C173" s="563"/>
      <c r="D173" s="563"/>
      <c r="E173" s="563"/>
      <c r="F173" s="680"/>
      <c r="G173" s="673" t="s">
        <v>555</v>
      </c>
      <c r="H173" s="673" t="s">
        <v>775</v>
      </c>
      <c r="I173" s="673" t="s">
        <v>766</v>
      </c>
      <c r="J173" s="676">
        <v>22149</v>
      </c>
      <c r="K173" s="675"/>
      <c r="L173" s="675">
        <v>1</v>
      </c>
      <c r="M173" s="674" t="s">
        <v>760</v>
      </c>
      <c r="N173" s="674" t="s">
        <v>720</v>
      </c>
      <c r="O173" s="674" t="s">
        <v>384</v>
      </c>
      <c r="P173" s="674">
        <v>9354761879</v>
      </c>
      <c r="Q173" s="674"/>
      <c r="R173" s="690">
        <v>44529</v>
      </c>
      <c r="S173" s="674" t="s">
        <v>429</v>
      </c>
      <c r="T173" s="674" t="s">
        <v>430</v>
      </c>
      <c r="U173" s="563"/>
      <c r="V173" s="563"/>
      <c r="W173" s="563"/>
      <c r="X173" s="563"/>
      <c r="Y173" s="563"/>
      <c r="Z173" s="563"/>
      <c r="AA173" s="563"/>
      <c r="AB173" s="563"/>
      <c r="AC173" s="563"/>
      <c r="AD173" s="563"/>
    </row>
    <row r="174" spans="1:30" s="565" customFormat="1" ht="16.5" customHeight="1" x14ac:dyDescent="0.25">
      <c r="A174" s="686">
        <v>84</v>
      </c>
      <c r="B174" s="563"/>
      <c r="C174" s="563"/>
      <c r="D174" s="563"/>
      <c r="E174" s="563"/>
      <c r="F174" s="680"/>
      <c r="G174" s="673" t="s">
        <v>776</v>
      </c>
      <c r="H174" s="673" t="s">
        <v>777</v>
      </c>
      <c r="I174" s="673" t="s">
        <v>778</v>
      </c>
      <c r="J174" s="676">
        <v>26321</v>
      </c>
      <c r="K174" s="675">
        <v>1</v>
      </c>
      <c r="L174" s="675"/>
      <c r="M174" s="674" t="s">
        <v>760</v>
      </c>
      <c r="N174" s="674" t="s">
        <v>720</v>
      </c>
      <c r="O174" s="674" t="s">
        <v>384</v>
      </c>
      <c r="P174" s="674">
        <v>9058289186</v>
      </c>
      <c r="Q174" s="674"/>
      <c r="R174" s="690">
        <v>44529</v>
      </c>
      <c r="S174" s="674" t="s">
        <v>429</v>
      </c>
      <c r="T174" s="674" t="s">
        <v>430</v>
      </c>
      <c r="U174" s="563"/>
      <c r="V174" s="563"/>
      <c r="W174" s="563"/>
      <c r="X174" s="563"/>
      <c r="Y174" s="563"/>
      <c r="Z174" s="563"/>
      <c r="AA174" s="563"/>
      <c r="AB174" s="563"/>
      <c r="AC174" s="563"/>
      <c r="AD174" s="563"/>
    </row>
    <row r="175" spans="1:30" s="565" customFormat="1" ht="16.5" customHeight="1" x14ac:dyDescent="0.25">
      <c r="A175" s="686">
        <v>85</v>
      </c>
      <c r="B175" s="563"/>
      <c r="C175" s="563"/>
      <c r="D175" s="563"/>
      <c r="E175" s="563"/>
      <c r="F175" s="680"/>
      <c r="G175" s="673" t="s">
        <v>779</v>
      </c>
      <c r="H175" s="673" t="s">
        <v>780</v>
      </c>
      <c r="I175" s="673" t="s">
        <v>781</v>
      </c>
      <c r="J175" s="676">
        <v>22961</v>
      </c>
      <c r="K175" s="675">
        <v>1</v>
      </c>
      <c r="L175" s="675"/>
      <c r="M175" s="674" t="s">
        <v>782</v>
      </c>
      <c r="N175" s="674" t="s">
        <v>720</v>
      </c>
      <c r="O175" s="674" t="s">
        <v>384</v>
      </c>
      <c r="P175" s="674">
        <v>9050927033</v>
      </c>
      <c r="Q175" s="674"/>
      <c r="R175" s="690">
        <v>44529</v>
      </c>
      <c r="S175" s="674" t="s">
        <v>429</v>
      </c>
      <c r="T175" s="674" t="s">
        <v>430</v>
      </c>
      <c r="U175" s="563"/>
      <c r="V175" s="563"/>
      <c r="W175" s="563"/>
      <c r="X175" s="563"/>
      <c r="Y175" s="563"/>
      <c r="Z175" s="563"/>
      <c r="AA175" s="563"/>
      <c r="AB175" s="563"/>
      <c r="AC175" s="563"/>
      <c r="AD175" s="563"/>
    </row>
    <row r="176" spans="1:30" s="565" customFormat="1" ht="16.5" customHeight="1" x14ac:dyDescent="0.25">
      <c r="A176" s="686">
        <v>86</v>
      </c>
      <c r="B176" s="563"/>
      <c r="C176" s="563"/>
      <c r="D176" s="563"/>
      <c r="E176" s="563"/>
      <c r="F176" s="680"/>
      <c r="G176" s="673" t="s">
        <v>783</v>
      </c>
      <c r="H176" s="673" t="s">
        <v>784</v>
      </c>
      <c r="I176" s="673" t="s">
        <v>785</v>
      </c>
      <c r="J176" s="676">
        <v>28015</v>
      </c>
      <c r="K176" s="675">
        <v>1</v>
      </c>
      <c r="L176" s="675"/>
      <c r="M176" s="674" t="s">
        <v>390</v>
      </c>
      <c r="N176" s="674" t="s">
        <v>386</v>
      </c>
      <c r="O176" s="674" t="s">
        <v>384</v>
      </c>
      <c r="P176" s="674">
        <v>9267805767</v>
      </c>
      <c r="Q176" s="674"/>
      <c r="R176" s="690">
        <v>44529</v>
      </c>
      <c r="S176" s="674" t="s">
        <v>429</v>
      </c>
      <c r="T176" s="674" t="s">
        <v>430</v>
      </c>
      <c r="U176" s="563"/>
      <c r="V176" s="563"/>
      <c r="W176" s="563"/>
      <c r="X176" s="563"/>
      <c r="Y176" s="563"/>
      <c r="Z176" s="563"/>
      <c r="AA176" s="563"/>
      <c r="AB176" s="563"/>
      <c r="AC176" s="563"/>
      <c r="AD176" s="563"/>
    </row>
    <row r="177" spans="1:30" s="565" customFormat="1" ht="16.5" customHeight="1" x14ac:dyDescent="0.25">
      <c r="A177" s="686">
        <v>87</v>
      </c>
      <c r="B177" s="563"/>
      <c r="C177" s="563"/>
      <c r="D177" s="563"/>
      <c r="E177" s="563"/>
      <c r="F177" s="680"/>
      <c r="G177" s="673" t="s">
        <v>488</v>
      </c>
      <c r="H177" s="673" t="s">
        <v>489</v>
      </c>
      <c r="I177" s="673" t="s">
        <v>787</v>
      </c>
      <c r="J177" s="676">
        <v>26959</v>
      </c>
      <c r="K177" s="675"/>
      <c r="L177" s="675">
        <v>1</v>
      </c>
      <c r="M177" s="674" t="s">
        <v>390</v>
      </c>
      <c r="N177" s="674" t="s">
        <v>386</v>
      </c>
      <c r="O177" s="674" t="s">
        <v>384</v>
      </c>
      <c r="P177" s="674">
        <v>9633969836</v>
      </c>
      <c r="Q177" s="674"/>
      <c r="R177" s="690">
        <v>44529</v>
      </c>
      <c r="S177" s="674" t="s">
        <v>429</v>
      </c>
      <c r="T177" s="674" t="s">
        <v>430</v>
      </c>
      <c r="U177" s="563"/>
      <c r="V177" s="563"/>
      <c r="W177" s="563"/>
      <c r="X177" s="563"/>
      <c r="Y177" s="563"/>
      <c r="Z177" s="563"/>
      <c r="AA177" s="563"/>
      <c r="AB177" s="563"/>
      <c r="AC177" s="563"/>
      <c r="AD177" s="563"/>
    </row>
    <row r="178" spans="1:30" s="565" customFormat="1" ht="16.5" customHeight="1" x14ac:dyDescent="0.25">
      <c r="A178" s="686">
        <v>88</v>
      </c>
      <c r="B178" s="563"/>
      <c r="C178" s="563"/>
      <c r="D178" s="563"/>
      <c r="E178" s="563"/>
      <c r="F178" s="680"/>
      <c r="G178" s="673" t="s">
        <v>488</v>
      </c>
      <c r="H178" s="673" t="s">
        <v>788</v>
      </c>
      <c r="I178" s="673" t="s">
        <v>789</v>
      </c>
      <c r="J178" s="676">
        <v>23847</v>
      </c>
      <c r="K178" s="675">
        <v>1</v>
      </c>
      <c r="L178" s="675"/>
      <c r="M178" s="674" t="s">
        <v>390</v>
      </c>
      <c r="N178" s="674" t="s">
        <v>386</v>
      </c>
      <c r="O178" s="674" t="s">
        <v>384</v>
      </c>
      <c r="P178" s="674"/>
      <c r="Q178" s="674"/>
      <c r="R178" s="690">
        <v>44529</v>
      </c>
      <c r="S178" s="674" t="s">
        <v>429</v>
      </c>
      <c r="T178" s="674" t="s">
        <v>430</v>
      </c>
      <c r="U178" s="563"/>
      <c r="V178" s="563"/>
      <c r="W178" s="563"/>
      <c r="X178" s="563"/>
      <c r="Y178" s="563"/>
      <c r="Z178" s="563"/>
      <c r="AA178" s="563"/>
      <c r="AB178" s="563"/>
      <c r="AC178" s="563"/>
      <c r="AD178" s="563"/>
    </row>
    <row r="179" spans="1:30" s="565" customFormat="1" ht="16.5" customHeight="1" x14ac:dyDescent="0.25">
      <c r="A179" s="686">
        <v>89</v>
      </c>
      <c r="B179" s="563"/>
      <c r="C179" s="563"/>
      <c r="D179" s="563"/>
      <c r="E179" s="563"/>
      <c r="F179" s="680"/>
      <c r="G179" s="673" t="s">
        <v>790</v>
      </c>
      <c r="H179" s="673" t="s">
        <v>791</v>
      </c>
      <c r="I179" s="673" t="s">
        <v>792</v>
      </c>
      <c r="J179" s="676">
        <v>29984</v>
      </c>
      <c r="K179" s="675"/>
      <c r="L179" s="675">
        <v>1</v>
      </c>
      <c r="M179" s="674" t="s">
        <v>390</v>
      </c>
      <c r="N179" s="674" t="s">
        <v>386</v>
      </c>
      <c r="O179" s="674" t="s">
        <v>384</v>
      </c>
      <c r="P179" s="674">
        <v>9489477766</v>
      </c>
      <c r="Q179" s="674"/>
      <c r="R179" s="690">
        <v>44529</v>
      </c>
      <c r="S179" s="674" t="s">
        <v>429</v>
      </c>
      <c r="T179" s="674" t="s">
        <v>430</v>
      </c>
      <c r="U179" s="563"/>
      <c r="V179" s="563"/>
      <c r="W179" s="563"/>
      <c r="X179" s="563"/>
      <c r="Y179" s="563"/>
      <c r="Z179" s="563"/>
      <c r="AA179" s="563"/>
      <c r="AB179" s="563"/>
      <c r="AC179" s="563"/>
      <c r="AD179" s="563"/>
    </row>
    <row r="180" spans="1:30" s="565" customFormat="1" ht="16.5" customHeight="1" x14ac:dyDescent="0.25">
      <c r="A180" s="686">
        <v>90</v>
      </c>
      <c r="B180" s="563"/>
      <c r="C180" s="563"/>
      <c r="D180" s="563"/>
      <c r="E180" s="563"/>
      <c r="F180" s="680"/>
      <c r="G180" s="673" t="s">
        <v>790</v>
      </c>
      <c r="H180" s="673" t="s">
        <v>490</v>
      </c>
      <c r="I180" s="673" t="s">
        <v>793</v>
      </c>
      <c r="J180" s="676">
        <v>29441</v>
      </c>
      <c r="K180" s="675">
        <v>1</v>
      </c>
      <c r="L180" s="675"/>
      <c r="M180" s="674" t="s">
        <v>390</v>
      </c>
      <c r="N180" s="674" t="s">
        <v>386</v>
      </c>
      <c r="O180" s="674" t="s">
        <v>384</v>
      </c>
      <c r="P180" s="674"/>
      <c r="Q180" s="674"/>
      <c r="R180" s="690">
        <v>44529</v>
      </c>
      <c r="S180" s="674" t="s">
        <v>429</v>
      </c>
      <c r="T180" s="674" t="s">
        <v>430</v>
      </c>
      <c r="U180" s="563"/>
      <c r="V180" s="563"/>
      <c r="W180" s="563"/>
      <c r="X180" s="563"/>
      <c r="Y180" s="563"/>
      <c r="Z180" s="563"/>
      <c r="AA180" s="563"/>
      <c r="AB180" s="563"/>
      <c r="AC180" s="563"/>
      <c r="AD180" s="563"/>
    </row>
    <row r="181" spans="1:30" s="565" customFormat="1" ht="16.5" customHeight="1" x14ac:dyDescent="0.25">
      <c r="A181" s="686">
        <v>91</v>
      </c>
      <c r="B181" s="563"/>
      <c r="C181" s="563"/>
      <c r="D181" s="563"/>
      <c r="E181" s="563"/>
      <c r="F181" s="680"/>
      <c r="G181" s="673" t="s">
        <v>785</v>
      </c>
      <c r="H181" s="673" t="s">
        <v>794</v>
      </c>
      <c r="I181" s="673" t="s">
        <v>795</v>
      </c>
      <c r="J181" s="676">
        <v>25020</v>
      </c>
      <c r="K181" s="675"/>
      <c r="L181" s="675">
        <v>1</v>
      </c>
      <c r="M181" s="674" t="s">
        <v>390</v>
      </c>
      <c r="N181" s="674" t="s">
        <v>386</v>
      </c>
      <c r="O181" s="674" t="s">
        <v>384</v>
      </c>
      <c r="P181" s="674">
        <v>9480741586</v>
      </c>
      <c r="Q181" s="674"/>
      <c r="R181" s="690">
        <v>44529</v>
      </c>
      <c r="S181" s="674" t="s">
        <v>429</v>
      </c>
      <c r="T181" s="674" t="s">
        <v>430</v>
      </c>
      <c r="U181" s="563"/>
      <c r="V181" s="563"/>
      <c r="W181" s="563"/>
      <c r="X181" s="563"/>
      <c r="Y181" s="563"/>
      <c r="Z181" s="563"/>
      <c r="AA181" s="563"/>
      <c r="AB181" s="563"/>
      <c r="AC181" s="563"/>
      <c r="AD181" s="563"/>
    </row>
    <row r="182" spans="1:30" s="565" customFormat="1" ht="16.5" customHeight="1" x14ac:dyDescent="0.25">
      <c r="A182" s="686">
        <v>92</v>
      </c>
      <c r="B182" s="563"/>
      <c r="C182" s="563"/>
      <c r="D182" s="563"/>
      <c r="E182" s="563"/>
      <c r="F182" s="680"/>
      <c r="G182" s="673" t="s">
        <v>415</v>
      </c>
      <c r="H182" s="673" t="s">
        <v>749</v>
      </c>
      <c r="I182" s="673" t="s">
        <v>796</v>
      </c>
      <c r="J182" s="676">
        <v>29408</v>
      </c>
      <c r="K182" s="675">
        <v>1</v>
      </c>
      <c r="L182" s="675"/>
      <c r="M182" s="674" t="s">
        <v>390</v>
      </c>
      <c r="N182" s="674" t="s">
        <v>386</v>
      </c>
      <c r="O182" s="674" t="s">
        <v>384</v>
      </c>
      <c r="P182" s="674"/>
      <c r="Q182" s="674"/>
      <c r="R182" s="690">
        <v>44529</v>
      </c>
      <c r="S182" s="674" t="s">
        <v>429</v>
      </c>
      <c r="T182" s="674" t="s">
        <v>430</v>
      </c>
      <c r="U182" s="563"/>
      <c r="V182" s="563"/>
      <c r="W182" s="563"/>
      <c r="X182" s="563"/>
      <c r="Y182" s="563"/>
      <c r="Z182" s="563"/>
      <c r="AA182" s="563"/>
      <c r="AB182" s="563"/>
      <c r="AC182" s="563"/>
      <c r="AD182" s="563"/>
    </row>
    <row r="183" spans="1:30" s="565" customFormat="1" ht="16.5" customHeight="1" x14ac:dyDescent="0.25">
      <c r="A183" s="686">
        <v>93</v>
      </c>
      <c r="B183" s="563"/>
      <c r="C183" s="563"/>
      <c r="D183" s="563"/>
      <c r="E183" s="563"/>
      <c r="F183" s="680"/>
      <c r="G183" s="673" t="s">
        <v>797</v>
      </c>
      <c r="H183" s="673" t="s">
        <v>798</v>
      </c>
      <c r="I183" s="673" t="s">
        <v>799</v>
      </c>
      <c r="J183" s="676">
        <v>32596</v>
      </c>
      <c r="K183" s="675">
        <v>1</v>
      </c>
      <c r="L183" s="675"/>
      <c r="M183" s="674" t="s">
        <v>390</v>
      </c>
      <c r="N183" s="674" t="s">
        <v>386</v>
      </c>
      <c r="O183" s="674" t="s">
        <v>384</v>
      </c>
      <c r="P183" s="674">
        <v>9068467021</v>
      </c>
      <c r="Q183" s="674"/>
      <c r="R183" s="690">
        <v>44529</v>
      </c>
      <c r="S183" s="674" t="s">
        <v>429</v>
      </c>
      <c r="T183" s="674" t="s">
        <v>430</v>
      </c>
      <c r="U183" s="563"/>
      <c r="V183" s="563"/>
      <c r="W183" s="563"/>
      <c r="X183" s="563"/>
      <c r="Y183" s="563"/>
      <c r="Z183" s="563"/>
      <c r="AA183" s="563"/>
      <c r="AB183" s="563"/>
      <c r="AC183" s="563"/>
      <c r="AD183" s="563"/>
    </row>
    <row r="184" spans="1:30" s="565" customFormat="1" ht="16.5" customHeight="1" x14ac:dyDescent="0.25">
      <c r="A184" s="686">
        <v>94</v>
      </c>
      <c r="B184" s="563"/>
      <c r="C184" s="563"/>
      <c r="D184" s="563"/>
      <c r="E184" s="563"/>
      <c r="F184" s="680"/>
      <c r="G184" s="673" t="s">
        <v>800</v>
      </c>
      <c r="H184" s="673" t="s">
        <v>801</v>
      </c>
      <c r="I184" s="673" t="s">
        <v>792</v>
      </c>
      <c r="J184" s="676">
        <v>32542</v>
      </c>
      <c r="K184" s="675"/>
      <c r="L184" s="675">
        <v>1</v>
      </c>
      <c r="M184" s="674" t="s">
        <v>390</v>
      </c>
      <c r="N184" s="674" t="s">
        <v>386</v>
      </c>
      <c r="O184" s="674" t="s">
        <v>384</v>
      </c>
      <c r="P184" s="674">
        <v>9677958001</v>
      </c>
      <c r="Q184" s="674"/>
      <c r="R184" s="690">
        <v>44529</v>
      </c>
      <c r="S184" s="674" t="s">
        <v>429</v>
      </c>
      <c r="T184" s="674" t="s">
        <v>430</v>
      </c>
      <c r="U184" s="563"/>
      <c r="V184" s="563"/>
      <c r="W184" s="563"/>
      <c r="X184" s="563"/>
      <c r="Y184" s="563"/>
      <c r="Z184" s="563"/>
      <c r="AA184" s="563"/>
      <c r="AB184" s="563"/>
      <c r="AC184" s="563"/>
      <c r="AD184" s="563"/>
    </row>
    <row r="185" spans="1:30" s="565" customFormat="1" ht="16.5" customHeight="1" x14ac:dyDescent="0.25">
      <c r="A185" s="686">
        <v>95</v>
      </c>
      <c r="B185" s="563"/>
      <c r="C185" s="563"/>
      <c r="D185" s="563"/>
      <c r="E185" s="563"/>
      <c r="F185" s="680"/>
      <c r="G185" s="673" t="s">
        <v>802</v>
      </c>
      <c r="H185" s="673" t="s">
        <v>803</v>
      </c>
      <c r="I185" s="673" t="s">
        <v>804</v>
      </c>
      <c r="J185" s="676">
        <v>31194</v>
      </c>
      <c r="K185" s="675"/>
      <c r="L185" s="675">
        <v>1</v>
      </c>
      <c r="M185" s="674" t="s">
        <v>390</v>
      </c>
      <c r="N185" s="674" t="s">
        <v>386</v>
      </c>
      <c r="O185" s="674" t="s">
        <v>384</v>
      </c>
      <c r="P185" s="674">
        <v>9166256362</v>
      </c>
      <c r="Q185" s="674"/>
      <c r="R185" s="690">
        <v>44529</v>
      </c>
      <c r="S185" s="674" t="s">
        <v>429</v>
      </c>
      <c r="T185" s="674" t="s">
        <v>430</v>
      </c>
      <c r="U185" s="563"/>
      <c r="V185" s="563"/>
      <c r="W185" s="563"/>
      <c r="X185" s="563"/>
      <c r="Y185" s="563"/>
      <c r="Z185" s="563"/>
      <c r="AA185" s="563"/>
      <c r="AB185" s="563"/>
      <c r="AC185" s="563"/>
      <c r="AD185" s="563"/>
    </row>
    <row r="186" spans="1:30" s="565" customFormat="1" ht="16.5" customHeight="1" x14ac:dyDescent="0.25">
      <c r="A186" s="686">
        <v>96</v>
      </c>
      <c r="B186" s="563"/>
      <c r="C186" s="563"/>
      <c r="D186" s="563"/>
      <c r="E186" s="563"/>
      <c r="F186" s="680"/>
      <c r="G186" s="673" t="s">
        <v>792</v>
      </c>
      <c r="H186" s="673" t="s">
        <v>805</v>
      </c>
      <c r="I186" s="673" t="s">
        <v>806</v>
      </c>
      <c r="J186" s="676">
        <v>34861</v>
      </c>
      <c r="K186" s="675"/>
      <c r="L186" s="675">
        <v>1</v>
      </c>
      <c r="M186" s="674" t="s">
        <v>390</v>
      </c>
      <c r="N186" s="674" t="s">
        <v>386</v>
      </c>
      <c r="O186" s="674" t="s">
        <v>384</v>
      </c>
      <c r="P186" s="674">
        <v>9751175229</v>
      </c>
      <c r="Q186" s="674"/>
      <c r="R186" s="690">
        <v>44529</v>
      </c>
      <c r="S186" s="674" t="s">
        <v>429</v>
      </c>
      <c r="T186" s="674" t="s">
        <v>430</v>
      </c>
      <c r="U186" s="563"/>
      <c r="V186" s="563"/>
      <c r="W186" s="563"/>
      <c r="X186" s="563"/>
      <c r="Y186" s="563"/>
      <c r="Z186" s="563"/>
      <c r="AA186" s="563"/>
      <c r="AB186" s="563"/>
      <c r="AC186" s="563"/>
      <c r="AD186" s="563"/>
    </row>
    <row r="187" spans="1:30" s="565" customFormat="1" ht="16.5" customHeight="1" x14ac:dyDescent="0.25">
      <c r="A187" s="686">
        <v>97</v>
      </c>
      <c r="B187" s="563"/>
      <c r="C187" s="563"/>
      <c r="D187" s="563"/>
      <c r="E187" s="563"/>
      <c r="F187" s="680"/>
      <c r="G187" s="673" t="s">
        <v>479</v>
      </c>
      <c r="H187" s="673" t="s">
        <v>807</v>
      </c>
      <c r="I187" s="673" t="s">
        <v>393</v>
      </c>
      <c r="J187" s="676"/>
      <c r="K187" s="675">
        <v>1</v>
      </c>
      <c r="L187" s="675"/>
      <c r="M187" s="674" t="s">
        <v>388</v>
      </c>
      <c r="N187" s="674" t="s">
        <v>386</v>
      </c>
      <c r="O187" s="674" t="s">
        <v>384</v>
      </c>
      <c r="P187" s="674">
        <v>9104238005</v>
      </c>
      <c r="Q187" s="674"/>
      <c r="R187" s="690">
        <v>44529</v>
      </c>
      <c r="S187" s="674" t="s">
        <v>429</v>
      </c>
      <c r="T187" s="674" t="s">
        <v>430</v>
      </c>
      <c r="U187" s="563"/>
      <c r="V187" s="563"/>
      <c r="W187" s="563"/>
      <c r="X187" s="563"/>
      <c r="Y187" s="563"/>
      <c r="Z187" s="563"/>
      <c r="AA187" s="563"/>
      <c r="AB187" s="563"/>
      <c r="AC187" s="563"/>
      <c r="AD187" s="563"/>
    </row>
    <row r="188" spans="1:30" s="565" customFormat="1" ht="16.5" customHeight="1" x14ac:dyDescent="0.25">
      <c r="A188" s="686">
        <v>98</v>
      </c>
      <c r="B188" s="563"/>
      <c r="C188" s="563"/>
      <c r="D188" s="563"/>
      <c r="E188" s="563"/>
      <c r="F188" s="680"/>
      <c r="G188" s="673" t="s">
        <v>479</v>
      </c>
      <c r="H188" s="673" t="s">
        <v>480</v>
      </c>
      <c r="I188" s="673" t="s">
        <v>808</v>
      </c>
      <c r="J188" s="676">
        <v>20449</v>
      </c>
      <c r="K188" s="675">
        <v>1</v>
      </c>
      <c r="L188" s="675"/>
      <c r="M188" s="674" t="s">
        <v>388</v>
      </c>
      <c r="N188" s="674" t="s">
        <v>386</v>
      </c>
      <c r="O188" s="674" t="s">
        <v>384</v>
      </c>
      <c r="P188" s="674">
        <v>9104238005</v>
      </c>
      <c r="Q188" s="674"/>
      <c r="R188" s="690">
        <v>44529</v>
      </c>
      <c r="S188" s="674" t="s">
        <v>429</v>
      </c>
      <c r="T188" s="674" t="s">
        <v>786</v>
      </c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</row>
    <row r="189" spans="1:30" s="565" customFormat="1" ht="16.5" customHeight="1" x14ac:dyDescent="0.25">
      <c r="A189" s="686">
        <v>99</v>
      </c>
      <c r="B189" s="563"/>
      <c r="C189" s="563"/>
      <c r="D189" s="563"/>
      <c r="E189" s="563"/>
      <c r="F189" s="680"/>
      <c r="G189" s="673" t="s">
        <v>1049</v>
      </c>
      <c r="H189" s="673" t="s">
        <v>476</v>
      </c>
      <c r="I189" s="673" t="s">
        <v>425</v>
      </c>
      <c r="J189" s="730">
        <v>27492</v>
      </c>
      <c r="K189" s="729">
        <v>1</v>
      </c>
      <c r="L189" s="729"/>
      <c r="M189" s="674" t="s">
        <v>919</v>
      </c>
      <c r="N189" s="674" t="s">
        <v>407</v>
      </c>
      <c r="O189" s="674" t="s">
        <v>384</v>
      </c>
      <c r="P189" s="674"/>
      <c r="Q189" s="674"/>
      <c r="R189" s="690">
        <v>44519</v>
      </c>
      <c r="S189" s="674" t="s">
        <v>429</v>
      </c>
      <c r="T189" s="674" t="s">
        <v>786</v>
      </c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</row>
    <row r="190" spans="1:30" s="565" customFormat="1" ht="16.5" customHeight="1" x14ac:dyDescent="0.25">
      <c r="A190" s="686">
        <v>100</v>
      </c>
      <c r="B190" s="563"/>
      <c r="C190" s="563"/>
      <c r="D190" s="563"/>
      <c r="E190" s="563"/>
      <c r="F190" s="680"/>
      <c r="G190" s="673" t="s">
        <v>675</v>
      </c>
      <c r="H190" s="673" t="s">
        <v>944</v>
      </c>
      <c r="I190" s="673" t="s">
        <v>393</v>
      </c>
      <c r="J190" s="730">
        <v>27020</v>
      </c>
      <c r="K190" s="729">
        <v>1</v>
      </c>
      <c r="L190" s="729"/>
      <c r="M190" s="674" t="s">
        <v>1087</v>
      </c>
      <c r="N190" s="674" t="s">
        <v>407</v>
      </c>
      <c r="O190" s="674" t="s">
        <v>384</v>
      </c>
      <c r="P190" s="674"/>
      <c r="Q190" s="674"/>
      <c r="R190" s="690">
        <v>44519</v>
      </c>
      <c r="S190" s="674" t="s">
        <v>429</v>
      </c>
      <c r="T190" s="674" t="s">
        <v>786</v>
      </c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</row>
    <row r="191" spans="1:30" x14ac:dyDescent="0.25">
      <c r="A191" s="488" t="s">
        <v>345</v>
      </c>
      <c r="B191" s="489"/>
      <c r="C191" s="489"/>
      <c r="D191" s="489"/>
      <c r="E191" s="489"/>
      <c r="F191" s="490"/>
      <c r="G191" s="489"/>
      <c r="H191" s="489"/>
      <c r="I191" s="489"/>
      <c r="J191" s="595" t="s">
        <v>16</v>
      </c>
      <c r="K191" s="456">
        <f>SUM(K192:K193)</f>
        <v>0</v>
      </c>
      <c r="L191" s="456">
        <f>SUM(L192:L193)</f>
        <v>0</v>
      </c>
      <c r="M191" s="454"/>
      <c r="N191" s="454"/>
      <c r="O191" s="454"/>
      <c r="P191" s="454"/>
      <c r="Q191" s="454"/>
      <c r="R191" s="458"/>
      <c r="S191" s="454"/>
      <c r="T191" s="642"/>
      <c r="U191" s="454"/>
      <c r="V191" s="454"/>
      <c r="W191" s="454"/>
      <c r="X191" s="454"/>
      <c r="Y191" s="454"/>
      <c r="Z191" s="454"/>
      <c r="AA191" s="454"/>
      <c r="AB191" s="454"/>
      <c r="AC191" s="454"/>
      <c r="AD191" s="454"/>
    </row>
    <row r="192" spans="1:30" s="503" customFormat="1" ht="18.75" customHeight="1" x14ac:dyDescent="0.25">
      <c r="A192" s="502"/>
      <c r="G192" s="505"/>
      <c r="H192" s="505"/>
      <c r="I192" s="505"/>
      <c r="J192" s="479"/>
      <c r="K192" s="480"/>
      <c r="L192" s="481"/>
      <c r="M192" s="477"/>
      <c r="N192" s="477"/>
      <c r="O192" s="477"/>
      <c r="S192" s="477"/>
      <c r="T192" s="484"/>
    </row>
    <row r="193" spans="1:30" s="503" customFormat="1" ht="18.75" customHeight="1" x14ac:dyDescent="0.25">
      <c r="A193" s="476"/>
      <c r="G193" s="505"/>
      <c r="H193" s="505"/>
      <c r="I193" s="505"/>
      <c r="J193" s="479"/>
      <c r="K193" s="480"/>
      <c r="L193" s="481"/>
      <c r="M193" s="477"/>
      <c r="N193" s="477"/>
      <c r="O193" s="477"/>
      <c r="S193" s="477"/>
      <c r="T193" s="484"/>
    </row>
    <row r="194" spans="1:30" s="472" customFormat="1" x14ac:dyDescent="0.25">
      <c r="A194" s="457" t="s">
        <v>293</v>
      </c>
      <c r="B194" s="468"/>
      <c r="C194" s="468"/>
      <c r="D194" s="468"/>
      <c r="E194" s="468"/>
      <c r="F194" s="469"/>
      <c r="G194" s="468"/>
      <c r="H194" s="468"/>
      <c r="I194" s="468"/>
      <c r="J194" s="593"/>
      <c r="K194" s="470"/>
      <c r="L194" s="470"/>
      <c r="M194" s="468"/>
      <c r="N194" s="468"/>
      <c r="O194" s="468"/>
      <c r="P194" s="468"/>
      <c r="Q194" s="468"/>
      <c r="R194" s="471"/>
      <c r="S194" s="468"/>
      <c r="T194" s="468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</row>
    <row r="195" spans="1:30" ht="16.5" customHeight="1" x14ac:dyDescent="0.25">
      <c r="A195" s="493" t="s">
        <v>344</v>
      </c>
      <c r="B195" s="494"/>
      <c r="C195" s="494"/>
      <c r="D195" s="494"/>
      <c r="E195" s="494"/>
      <c r="F195" s="495"/>
      <c r="G195" s="494"/>
      <c r="H195" s="494"/>
      <c r="I195" s="494"/>
      <c r="J195" s="594" t="s">
        <v>16</v>
      </c>
      <c r="K195" s="496">
        <f>SUM(K196:K416)</f>
        <v>196</v>
      </c>
      <c r="L195" s="496">
        <f>SUM(L196:L416)</f>
        <v>25</v>
      </c>
      <c r="M195" s="497"/>
      <c r="N195" s="497"/>
      <c r="O195" s="497"/>
      <c r="P195" s="497"/>
      <c r="Q195" s="497"/>
      <c r="R195" s="498"/>
      <c r="S195" s="497"/>
      <c r="T195" s="497"/>
      <c r="U195" s="497"/>
      <c r="V195" s="497"/>
      <c r="W195" s="497"/>
      <c r="X195" s="497"/>
      <c r="Y195" s="497"/>
      <c r="Z195" s="497"/>
      <c r="AA195" s="497"/>
      <c r="AB195" s="497"/>
      <c r="AC195" s="497"/>
      <c r="AD195" s="497"/>
    </row>
    <row r="196" spans="1:30" s="565" customFormat="1" ht="16.5" customHeight="1" x14ac:dyDescent="0.25">
      <c r="A196" s="686">
        <v>1</v>
      </c>
      <c r="B196" s="563"/>
      <c r="C196" s="563"/>
      <c r="D196" s="563"/>
      <c r="E196" s="563"/>
      <c r="F196" s="680"/>
      <c r="G196" s="567" t="s">
        <v>611</v>
      </c>
      <c r="H196" s="567" t="s">
        <v>612</v>
      </c>
      <c r="I196" s="567" t="s">
        <v>459</v>
      </c>
      <c r="J196" s="582">
        <v>20825</v>
      </c>
      <c r="K196" s="668">
        <v>1</v>
      </c>
      <c r="L196" s="668"/>
      <c r="M196" s="668" t="s">
        <v>417</v>
      </c>
      <c r="N196" s="668" t="s">
        <v>613</v>
      </c>
      <c r="O196" s="567" t="s">
        <v>384</v>
      </c>
      <c r="P196" s="567"/>
      <c r="Q196" s="567"/>
      <c r="R196" s="581">
        <v>44532</v>
      </c>
      <c r="S196" s="668" t="s">
        <v>635</v>
      </c>
      <c r="T196" s="668" t="s">
        <v>656</v>
      </c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</row>
    <row r="197" spans="1:30" s="565" customFormat="1" ht="16.5" customHeight="1" x14ac:dyDescent="0.25">
      <c r="A197" s="686">
        <v>2</v>
      </c>
      <c r="B197" s="563"/>
      <c r="C197" s="563"/>
      <c r="D197" s="563"/>
      <c r="E197" s="563"/>
      <c r="F197" s="680"/>
      <c r="G197" s="567" t="s">
        <v>614</v>
      </c>
      <c r="H197" s="567" t="s">
        <v>411</v>
      </c>
      <c r="I197" s="567" t="s">
        <v>459</v>
      </c>
      <c r="J197" s="582">
        <v>24116</v>
      </c>
      <c r="K197" s="668">
        <v>1</v>
      </c>
      <c r="L197" s="668"/>
      <c r="M197" s="668" t="s">
        <v>417</v>
      </c>
      <c r="N197" s="668" t="s">
        <v>613</v>
      </c>
      <c r="O197" s="567" t="s">
        <v>384</v>
      </c>
      <c r="P197" s="567"/>
      <c r="Q197" s="567"/>
      <c r="R197" s="581">
        <v>44532</v>
      </c>
      <c r="S197" s="668" t="s">
        <v>635</v>
      </c>
      <c r="T197" s="675" t="s">
        <v>656</v>
      </c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</row>
    <row r="198" spans="1:30" s="565" customFormat="1" ht="16.5" customHeight="1" x14ac:dyDescent="0.25">
      <c r="A198" s="686">
        <v>3</v>
      </c>
      <c r="B198" s="563"/>
      <c r="C198" s="563"/>
      <c r="D198" s="563"/>
      <c r="E198" s="563"/>
      <c r="F198" s="680"/>
      <c r="G198" s="567" t="s">
        <v>615</v>
      </c>
      <c r="H198" s="567" t="s">
        <v>616</v>
      </c>
      <c r="I198" s="567" t="s">
        <v>397</v>
      </c>
      <c r="J198" s="582">
        <v>25746</v>
      </c>
      <c r="K198" s="668"/>
      <c r="L198" s="668">
        <v>1</v>
      </c>
      <c r="M198" s="668" t="s">
        <v>417</v>
      </c>
      <c r="N198" s="668" t="s">
        <v>613</v>
      </c>
      <c r="O198" s="567" t="s">
        <v>384</v>
      </c>
      <c r="P198" s="567"/>
      <c r="Q198" s="567"/>
      <c r="R198" s="581">
        <v>44532</v>
      </c>
      <c r="S198" s="668" t="s">
        <v>635</v>
      </c>
      <c r="T198" s="675" t="s">
        <v>656</v>
      </c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</row>
    <row r="199" spans="1:30" s="565" customFormat="1" ht="16.5" customHeight="1" x14ac:dyDescent="0.25">
      <c r="A199" s="686">
        <v>4</v>
      </c>
      <c r="B199" s="563"/>
      <c r="C199" s="563"/>
      <c r="D199" s="563"/>
      <c r="E199" s="563"/>
      <c r="F199" s="680"/>
      <c r="G199" s="567" t="s">
        <v>617</v>
      </c>
      <c r="H199" s="567" t="s">
        <v>618</v>
      </c>
      <c r="I199" s="567" t="s">
        <v>399</v>
      </c>
      <c r="J199" s="582">
        <v>32048</v>
      </c>
      <c r="K199" s="668">
        <v>1</v>
      </c>
      <c r="L199" s="668"/>
      <c r="M199" s="668" t="s">
        <v>417</v>
      </c>
      <c r="N199" s="668" t="s">
        <v>613</v>
      </c>
      <c r="O199" s="567" t="s">
        <v>384</v>
      </c>
      <c r="P199" s="567"/>
      <c r="Q199" s="567"/>
      <c r="R199" s="581">
        <v>44532</v>
      </c>
      <c r="S199" s="668" t="s">
        <v>635</v>
      </c>
      <c r="T199" s="675" t="s">
        <v>656</v>
      </c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</row>
    <row r="200" spans="1:30" s="565" customFormat="1" ht="16.5" customHeight="1" x14ac:dyDescent="0.25">
      <c r="A200" s="686">
        <v>5</v>
      </c>
      <c r="B200" s="563"/>
      <c r="C200" s="563"/>
      <c r="D200" s="563"/>
      <c r="E200" s="563"/>
      <c r="F200" s="680"/>
      <c r="G200" s="567" t="s">
        <v>611</v>
      </c>
      <c r="H200" s="567" t="s">
        <v>619</v>
      </c>
      <c r="I200" s="567" t="s">
        <v>397</v>
      </c>
      <c r="J200" s="582">
        <v>35826</v>
      </c>
      <c r="K200" s="668">
        <v>1</v>
      </c>
      <c r="L200" s="668"/>
      <c r="M200" s="668" t="s">
        <v>417</v>
      </c>
      <c r="N200" s="668" t="s">
        <v>613</v>
      </c>
      <c r="O200" s="567" t="s">
        <v>384</v>
      </c>
      <c r="P200" s="567"/>
      <c r="Q200" s="567"/>
      <c r="R200" s="581">
        <v>44532</v>
      </c>
      <c r="S200" s="668" t="s">
        <v>635</v>
      </c>
      <c r="T200" s="675" t="s">
        <v>656</v>
      </c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</row>
    <row r="201" spans="1:30" s="565" customFormat="1" ht="16.5" customHeight="1" x14ac:dyDescent="0.25">
      <c r="A201" s="686">
        <v>6</v>
      </c>
      <c r="B201" s="563"/>
      <c r="C201" s="563"/>
      <c r="D201" s="563"/>
      <c r="E201" s="563"/>
      <c r="F201" s="680"/>
      <c r="G201" s="567" t="s">
        <v>620</v>
      </c>
      <c r="H201" s="567" t="s">
        <v>621</v>
      </c>
      <c r="I201" s="567" t="s">
        <v>397</v>
      </c>
      <c r="J201" s="582">
        <v>25428</v>
      </c>
      <c r="K201" s="668"/>
      <c r="L201" s="668">
        <v>1</v>
      </c>
      <c r="M201" s="668" t="s">
        <v>417</v>
      </c>
      <c r="N201" s="668" t="s">
        <v>613</v>
      </c>
      <c r="O201" s="567" t="s">
        <v>384</v>
      </c>
      <c r="P201" s="567"/>
      <c r="Q201" s="567"/>
      <c r="R201" s="581">
        <v>44532</v>
      </c>
      <c r="S201" s="668" t="s">
        <v>635</v>
      </c>
      <c r="T201" s="675" t="s">
        <v>656</v>
      </c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</row>
    <row r="202" spans="1:30" s="565" customFormat="1" ht="16.5" customHeight="1" x14ac:dyDescent="0.25">
      <c r="A202" s="686">
        <v>7</v>
      </c>
      <c r="B202" s="563"/>
      <c r="C202" s="563"/>
      <c r="D202" s="563"/>
      <c r="E202" s="563"/>
      <c r="F202" s="680"/>
      <c r="G202" s="567" t="s">
        <v>614</v>
      </c>
      <c r="H202" s="567" t="s">
        <v>622</v>
      </c>
      <c r="I202" s="567" t="s">
        <v>397</v>
      </c>
      <c r="J202" s="582">
        <v>31232</v>
      </c>
      <c r="K202" s="668">
        <v>1</v>
      </c>
      <c r="L202" s="668"/>
      <c r="M202" s="668" t="s">
        <v>417</v>
      </c>
      <c r="N202" s="668" t="s">
        <v>613</v>
      </c>
      <c r="O202" s="567" t="s">
        <v>384</v>
      </c>
      <c r="P202" s="567"/>
      <c r="Q202" s="567"/>
      <c r="R202" s="581">
        <v>44532</v>
      </c>
      <c r="S202" s="668" t="s">
        <v>635</v>
      </c>
      <c r="T202" s="675" t="s">
        <v>656</v>
      </c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</row>
    <row r="203" spans="1:30" s="565" customFormat="1" ht="16.5" customHeight="1" x14ac:dyDescent="0.25">
      <c r="A203" s="686">
        <v>8</v>
      </c>
      <c r="B203" s="563"/>
      <c r="C203" s="563"/>
      <c r="D203" s="563"/>
      <c r="E203" s="563"/>
      <c r="F203" s="680"/>
      <c r="G203" s="567" t="s">
        <v>623</v>
      </c>
      <c r="H203" s="567" t="s">
        <v>624</v>
      </c>
      <c r="I203" s="567" t="s">
        <v>423</v>
      </c>
      <c r="J203" s="582">
        <v>25819</v>
      </c>
      <c r="K203" s="668">
        <v>1</v>
      </c>
      <c r="L203" s="668"/>
      <c r="M203" s="668" t="s">
        <v>417</v>
      </c>
      <c r="N203" s="668" t="s">
        <v>613</v>
      </c>
      <c r="O203" s="567" t="s">
        <v>384</v>
      </c>
      <c r="P203" s="567"/>
      <c r="Q203" s="567"/>
      <c r="R203" s="581">
        <v>44532</v>
      </c>
      <c r="S203" s="668" t="s">
        <v>635</v>
      </c>
      <c r="T203" s="675" t="s">
        <v>656</v>
      </c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</row>
    <row r="204" spans="1:30" s="565" customFormat="1" ht="16.5" customHeight="1" x14ac:dyDescent="0.25">
      <c r="A204" s="686">
        <v>9</v>
      </c>
      <c r="B204" s="563"/>
      <c r="C204" s="563"/>
      <c r="D204" s="563"/>
      <c r="E204" s="563"/>
      <c r="F204" s="680"/>
      <c r="G204" s="567" t="s">
        <v>625</v>
      </c>
      <c r="H204" s="567" t="s">
        <v>626</v>
      </c>
      <c r="I204" s="567" t="s">
        <v>397</v>
      </c>
      <c r="J204" s="582">
        <v>36541</v>
      </c>
      <c r="K204" s="668">
        <v>1</v>
      </c>
      <c r="L204" s="668"/>
      <c r="M204" s="668" t="s">
        <v>417</v>
      </c>
      <c r="N204" s="668" t="s">
        <v>613</v>
      </c>
      <c r="O204" s="567" t="s">
        <v>384</v>
      </c>
      <c r="P204" s="567"/>
      <c r="Q204" s="567"/>
      <c r="R204" s="581">
        <v>44532</v>
      </c>
      <c r="S204" s="668" t="s">
        <v>635</v>
      </c>
      <c r="T204" s="675" t="s">
        <v>656</v>
      </c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</row>
    <row r="205" spans="1:30" s="565" customFormat="1" ht="16.5" customHeight="1" x14ac:dyDescent="0.25">
      <c r="A205" s="686">
        <v>10</v>
      </c>
      <c r="B205" s="563"/>
      <c r="C205" s="563"/>
      <c r="D205" s="563"/>
      <c r="E205" s="563"/>
      <c r="F205" s="680"/>
      <c r="G205" s="567" t="s">
        <v>627</v>
      </c>
      <c r="H205" s="567" t="s">
        <v>426</v>
      </c>
      <c r="I205" s="567" t="s">
        <v>393</v>
      </c>
      <c r="J205" s="582">
        <v>34521</v>
      </c>
      <c r="K205" s="668">
        <v>1</v>
      </c>
      <c r="L205" s="668"/>
      <c r="M205" s="668" t="s">
        <v>417</v>
      </c>
      <c r="N205" s="668" t="s">
        <v>613</v>
      </c>
      <c r="O205" s="567" t="s">
        <v>384</v>
      </c>
      <c r="P205" s="567"/>
      <c r="Q205" s="567"/>
      <c r="R205" s="581">
        <v>44532</v>
      </c>
      <c r="S205" s="668" t="s">
        <v>635</v>
      </c>
      <c r="T205" s="675" t="s">
        <v>656</v>
      </c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</row>
    <row r="206" spans="1:30" s="565" customFormat="1" ht="16.5" customHeight="1" x14ac:dyDescent="0.25">
      <c r="A206" s="686">
        <v>11</v>
      </c>
      <c r="B206" s="563"/>
      <c r="C206" s="563"/>
      <c r="D206" s="563"/>
      <c r="E206" s="563"/>
      <c r="F206" s="680"/>
      <c r="G206" s="567" t="s">
        <v>628</v>
      </c>
      <c r="H206" s="567" t="s">
        <v>414</v>
      </c>
      <c r="I206" s="567" t="s">
        <v>459</v>
      </c>
      <c r="J206" s="582">
        <v>33550</v>
      </c>
      <c r="K206" s="668">
        <v>1</v>
      </c>
      <c r="L206" s="668"/>
      <c r="M206" s="668" t="s">
        <v>417</v>
      </c>
      <c r="N206" s="668" t="s">
        <v>613</v>
      </c>
      <c r="O206" s="567" t="s">
        <v>384</v>
      </c>
      <c r="P206" s="567"/>
      <c r="Q206" s="567"/>
      <c r="R206" s="581">
        <v>44532</v>
      </c>
      <c r="S206" s="668" t="s">
        <v>635</v>
      </c>
      <c r="T206" s="675" t="s">
        <v>656</v>
      </c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</row>
    <row r="207" spans="1:30" s="565" customFormat="1" ht="16.5" customHeight="1" x14ac:dyDescent="0.25">
      <c r="A207" s="686">
        <v>12</v>
      </c>
      <c r="B207" s="563"/>
      <c r="C207" s="563"/>
      <c r="D207" s="563"/>
      <c r="E207" s="563"/>
      <c r="F207" s="680"/>
      <c r="G207" s="567" t="s">
        <v>629</v>
      </c>
      <c r="H207" s="567" t="s">
        <v>630</v>
      </c>
      <c r="I207" s="567" t="s">
        <v>397</v>
      </c>
      <c r="J207" s="582">
        <v>31930</v>
      </c>
      <c r="K207" s="668">
        <v>1</v>
      </c>
      <c r="L207" s="668"/>
      <c r="M207" s="668" t="s">
        <v>417</v>
      </c>
      <c r="N207" s="668" t="s">
        <v>613</v>
      </c>
      <c r="O207" s="567" t="s">
        <v>384</v>
      </c>
      <c r="P207" s="567"/>
      <c r="Q207" s="567"/>
      <c r="R207" s="581">
        <v>44532</v>
      </c>
      <c r="S207" s="668" t="s">
        <v>635</v>
      </c>
      <c r="T207" s="675" t="s">
        <v>656</v>
      </c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</row>
    <row r="208" spans="1:30" s="565" customFormat="1" ht="16.5" customHeight="1" x14ac:dyDescent="0.25">
      <c r="A208" s="686">
        <v>13</v>
      </c>
      <c r="B208" s="563"/>
      <c r="C208" s="563"/>
      <c r="D208" s="563"/>
      <c r="E208" s="563"/>
      <c r="F208" s="680"/>
      <c r="G208" s="567" t="s">
        <v>631</v>
      </c>
      <c r="H208" s="567" t="s">
        <v>460</v>
      </c>
      <c r="I208" s="567" t="s">
        <v>395</v>
      </c>
      <c r="J208" s="582">
        <v>31913</v>
      </c>
      <c r="K208" s="668">
        <v>1</v>
      </c>
      <c r="L208" s="668"/>
      <c r="M208" s="668" t="s">
        <v>417</v>
      </c>
      <c r="N208" s="668" t="s">
        <v>613</v>
      </c>
      <c r="O208" s="567" t="s">
        <v>384</v>
      </c>
      <c r="P208" s="567"/>
      <c r="Q208" s="567"/>
      <c r="R208" s="581">
        <v>44532</v>
      </c>
      <c r="S208" s="668" t="s">
        <v>635</v>
      </c>
      <c r="T208" s="675" t="s">
        <v>656</v>
      </c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</row>
    <row r="209" spans="1:30" s="565" customFormat="1" ht="16.5" customHeight="1" x14ac:dyDescent="0.25">
      <c r="A209" s="686">
        <v>14</v>
      </c>
      <c r="B209" s="563"/>
      <c r="C209" s="563"/>
      <c r="D209" s="563"/>
      <c r="E209" s="563"/>
      <c r="F209" s="680"/>
      <c r="G209" s="567" t="s">
        <v>625</v>
      </c>
      <c r="H209" s="567" t="s">
        <v>441</v>
      </c>
      <c r="I209" s="567" t="s">
        <v>395</v>
      </c>
      <c r="J209" s="582">
        <v>27614</v>
      </c>
      <c r="K209" s="668">
        <v>1</v>
      </c>
      <c r="L209" s="668"/>
      <c r="M209" s="668" t="s">
        <v>417</v>
      </c>
      <c r="N209" s="668" t="s">
        <v>613</v>
      </c>
      <c r="O209" s="567" t="s">
        <v>384</v>
      </c>
      <c r="P209" s="567"/>
      <c r="Q209" s="567"/>
      <c r="R209" s="581">
        <v>44532</v>
      </c>
      <c r="S209" s="668" t="s">
        <v>635</v>
      </c>
      <c r="T209" s="675" t="s">
        <v>656</v>
      </c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</row>
    <row r="210" spans="1:30" s="565" customFormat="1" ht="16.5" customHeight="1" x14ac:dyDescent="0.25">
      <c r="A210" s="686">
        <v>15</v>
      </c>
      <c r="B210" s="563"/>
      <c r="C210" s="563"/>
      <c r="D210" s="563"/>
      <c r="E210" s="563"/>
      <c r="F210" s="680"/>
      <c r="G210" s="567" t="s">
        <v>632</v>
      </c>
      <c r="H210" s="567" t="s">
        <v>633</v>
      </c>
      <c r="I210" s="567" t="s">
        <v>634</v>
      </c>
      <c r="J210" s="582">
        <v>20460</v>
      </c>
      <c r="K210" s="668">
        <v>1</v>
      </c>
      <c r="L210" s="668"/>
      <c r="M210" s="668" t="s">
        <v>417</v>
      </c>
      <c r="N210" s="668" t="s">
        <v>613</v>
      </c>
      <c r="O210" s="567" t="s">
        <v>384</v>
      </c>
      <c r="P210" s="567"/>
      <c r="Q210" s="567"/>
      <c r="R210" s="581">
        <v>44532</v>
      </c>
      <c r="S210" s="668" t="s">
        <v>635</v>
      </c>
      <c r="T210" s="675" t="s">
        <v>656</v>
      </c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</row>
    <row r="211" spans="1:30" s="565" customFormat="1" ht="16.5" customHeight="1" x14ac:dyDescent="0.25">
      <c r="A211" s="686">
        <v>16</v>
      </c>
      <c r="B211" s="563"/>
      <c r="C211" s="563"/>
      <c r="D211" s="563"/>
      <c r="E211" s="563"/>
      <c r="F211" s="680"/>
      <c r="G211" s="567" t="s">
        <v>611</v>
      </c>
      <c r="H211" s="567" t="s">
        <v>612</v>
      </c>
      <c r="I211" s="567" t="s">
        <v>459</v>
      </c>
      <c r="J211" s="582">
        <v>20825</v>
      </c>
      <c r="K211" s="668">
        <v>1</v>
      </c>
      <c r="L211" s="668"/>
      <c r="M211" s="668" t="s">
        <v>417</v>
      </c>
      <c r="N211" s="668" t="s">
        <v>613</v>
      </c>
      <c r="O211" s="567" t="s">
        <v>384</v>
      </c>
      <c r="P211" s="567"/>
      <c r="Q211" s="567"/>
      <c r="R211" s="581">
        <v>44532</v>
      </c>
      <c r="S211" s="423" t="s">
        <v>474</v>
      </c>
      <c r="T211" s="666" t="s">
        <v>430</v>
      </c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</row>
    <row r="212" spans="1:30" s="565" customFormat="1" ht="16.5" customHeight="1" x14ac:dyDescent="0.25">
      <c r="A212" s="686">
        <v>17</v>
      </c>
      <c r="B212" s="563"/>
      <c r="C212" s="563"/>
      <c r="D212" s="563"/>
      <c r="E212" s="563"/>
      <c r="F212" s="680"/>
      <c r="G212" s="567" t="s">
        <v>614</v>
      </c>
      <c r="H212" s="567" t="s">
        <v>411</v>
      </c>
      <c r="I212" s="567" t="s">
        <v>459</v>
      </c>
      <c r="J212" s="582">
        <v>24116</v>
      </c>
      <c r="K212" s="668">
        <v>1</v>
      </c>
      <c r="L212" s="668"/>
      <c r="M212" s="668" t="s">
        <v>417</v>
      </c>
      <c r="N212" s="668" t="s">
        <v>613</v>
      </c>
      <c r="O212" s="567" t="s">
        <v>384</v>
      </c>
      <c r="P212" s="567"/>
      <c r="Q212" s="567"/>
      <c r="R212" s="581">
        <v>44532</v>
      </c>
      <c r="S212" s="423" t="s">
        <v>474</v>
      </c>
      <c r="T212" s="666" t="s">
        <v>430</v>
      </c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</row>
    <row r="213" spans="1:30" s="565" customFormat="1" ht="16.5" customHeight="1" x14ac:dyDescent="0.25">
      <c r="A213" s="686">
        <v>18</v>
      </c>
      <c r="B213" s="563"/>
      <c r="C213" s="563"/>
      <c r="D213" s="563"/>
      <c r="E213" s="563"/>
      <c r="F213" s="680"/>
      <c r="G213" s="567" t="s">
        <v>615</v>
      </c>
      <c r="H213" s="567" t="s">
        <v>616</v>
      </c>
      <c r="I213" s="567" t="s">
        <v>397</v>
      </c>
      <c r="J213" s="582">
        <v>25746</v>
      </c>
      <c r="K213" s="668"/>
      <c r="L213" s="668">
        <v>1</v>
      </c>
      <c r="M213" s="668" t="s">
        <v>417</v>
      </c>
      <c r="N213" s="668" t="s">
        <v>613</v>
      </c>
      <c r="O213" s="567" t="s">
        <v>384</v>
      </c>
      <c r="P213" s="567"/>
      <c r="Q213" s="567"/>
      <c r="R213" s="581">
        <v>44532</v>
      </c>
      <c r="S213" s="423" t="s">
        <v>474</v>
      </c>
      <c r="T213" s="666" t="s">
        <v>430</v>
      </c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</row>
    <row r="214" spans="1:30" s="565" customFormat="1" ht="16.5" customHeight="1" x14ac:dyDescent="0.25">
      <c r="A214" s="686">
        <v>19</v>
      </c>
      <c r="B214" s="563"/>
      <c r="C214" s="563"/>
      <c r="D214" s="563"/>
      <c r="E214" s="563"/>
      <c r="F214" s="680"/>
      <c r="G214" s="567" t="s">
        <v>617</v>
      </c>
      <c r="H214" s="567" t="s">
        <v>618</v>
      </c>
      <c r="I214" s="567" t="s">
        <v>399</v>
      </c>
      <c r="J214" s="582">
        <v>32048</v>
      </c>
      <c r="K214" s="668">
        <v>1</v>
      </c>
      <c r="L214" s="668"/>
      <c r="M214" s="668" t="s">
        <v>417</v>
      </c>
      <c r="N214" s="668" t="s">
        <v>613</v>
      </c>
      <c r="O214" s="567" t="s">
        <v>384</v>
      </c>
      <c r="P214" s="567"/>
      <c r="Q214" s="567"/>
      <c r="R214" s="581">
        <v>44532</v>
      </c>
      <c r="S214" s="423" t="s">
        <v>474</v>
      </c>
      <c r="T214" s="666" t="s">
        <v>430</v>
      </c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</row>
    <row r="215" spans="1:30" s="565" customFormat="1" ht="16.5" customHeight="1" x14ac:dyDescent="0.25">
      <c r="A215" s="686">
        <v>20</v>
      </c>
      <c r="B215" s="563"/>
      <c r="C215" s="563"/>
      <c r="D215" s="563"/>
      <c r="E215" s="563"/>
      <c r="F215" s="680"/>
      <c r="G215" s="567" t="s">
        <v>611</v>
      </c>
      <c r="H215" s="567" t="s">
        <v>619</v>
      </c>
      <c r="I215" s="567" t="s">
        <v>397</v>
      </c>
      <c r="J215" s="582">
        <v>35826</v>
      </c>
      <c r="K215" s="668">
        <v>1</v>
      </c>
      <c r="L215" s="668"/>
      <c r="M215" s="668" t="s">
        <v>417</v>
      </c>
      <c r="N215" s="668" t="s">
        <v>613</v>
      </c>
      <c r="O215" s="567" t="s">
        <v>384</v>
      </c>
      <c r="P215" s="567"/>
      <c r="Q215" s="567"/>
      <c r="R215" s="581">
        <v>44532</v>
      </c>
      <c r="S215" s="423" t="s">
        <v>474</v>
      </c>
      <c r="T215" s="666" t="s">
        <v>430</v>
      </c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</row>
    <row r="216" spans="1:30" s="565" customFormat="1" ht="16.5" customHeight="1" x14ac:dyDescent="0.25">
      <c r="A216" s="686">
        <v>21</v>
      </c>
      <c r="B216" s="563"/>
      <c r="C216" s="563"/>
      <c r="D216" s="563"/>
      <c r="E216" s="563"/>
      <c r="F216" s="680"/>
      <c r="G216" s="567" t="s">
        <v>620</v>
      </c>
      <c r="H216" s="567" t="s">
        <v>621</v>
      </c>
      <c r="I216" s="567" t="s">
        <v>397</v>
      </c>
      <c r="J216" s="582">
        <v>25428</v>
      </c>
      <c r="K216" s="668"/>
      <c r="L216" s="668">
        <v>1</v>
      </c>
      <c r="M216" s="668" t="s">
        <v>417</v>
      </c>
      <c r="N216" s="668" t="s">
        <v>613</v>
      </c>
      <c r="O216" s="567" t="s">
        <v>384</v>
      </c>
      <c r="P216" s="567"/>
      <c r="Q216" s="567"/>
      <c r="R216" s="581">
        <v>44532</v>
      </c>
      <c r="S216" s="423" t="s">
        <v>474</v>
      </c>
      <c r="T216" s="666" t="s">
        <v>430</v>
      </c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</row>
    <row r="217" spans="1:30" s="565" customFormat="1" ht="16.5" customHeight="1" x14ac:dyDescent="0.25">
      <c r="A217" s="686">
        <v>22</v>
      </c>
      <c r="B217" s="563"/>
      <c r="C217" s="563"/>
      <c r="D217" s="563"/>
      <c r="E217" s="563"/>
      <c r="F217" s="680"/>
      <c r="G217" s="567" t="s">
        <v>614</v>
      </c>
      <c r="H217" s="567" t="s">
        <v>622</v>
      </c>
      <c r="I217" s="567" t="s">
        <v>397</v>
      </c>
      <c r="J217" s="582">
        <v>31232</v>
      </c>
      <c r="K217" s="668">
        <v>1</v>
      </c>
      <c r="L217" s="668"/>
      <c r="M217" s="668" t="s">
        <v>417</v>
      </c>
      <c r="N217" s="668" t="s">
        <v>613</v>
      </c>
      <c r="O217" s="567" t="s">
        <v>384</v>
      </c>
      <c r="P217" s="567"/>
      <c r="Q217" s="567"/>
      <c r="R217" s="581">
        <v>44532</v>
      </c>
      <c r="S217" s="423" t="s">
        <v>474</v>
      </c>
      <c r="T217" s="666" t="s">
        <v>430</v>
      </c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</row>
    <row r="218" spans="1:30" s="565" customFormat="1" ht="16.5" customHeight="1" x14ac:dyDescent="0.25">
      <c r="A218" s="686">
        <v>23</v>
      </c>
      <c r="B218" s="563"/>
      <c r="C218" s="563"/>
      <c r="D218" s="563"/>
      <c r="E218" s="563"/>
      <c r="F218" s="680"/>
      <c r="G218" s="567" t="s">
        <v>623</v>
      </c>
      <c r="H218" s="567" t="s">
        <v>624</v>
      </c>
      <c r="I218" s="567" t="s">
        <v>423</v>
      </c>
      <c r="J218" s="582">
        <v>25819</v>
      </c>
      <c r="K218" s="668">
        <v>1</v>
      </c>
      <c r="L218" s="668"/>
      <c r="M218" s="668" t="s">
        <v>417</v>
      </c>
      <c r="N218" s="668" t="s">
        <v>613</v>
      </c>
      <c r="O218" s="567" t="s">
        <v>384</v>
      </c>
      <c r="P218" s="567"/>
      <c r="Q218" s="567"/>
      <c r="R218" s="581">
        <v>44532</v>
      </c>
      <c r="S218" s="423" t="s">
        <v>474</v>
      </c>
      <c r="T218" s="666" t="s">
        <v>430</v>
      </c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</row>
    <row r="219" spans="1:30" s="565" customFormat="1" ht="16.5" customHeight="1" x14ac:dyDescent="0.25">
      <c r="A219" s="686">
        <v>24</v>
      </c>
      <c r="B219" s="563"/>
      <c r="C219" s="563"/>
      <c r="D219" s="563"/>
      <c r="E219" s="563"/>
      <c r="F219" s="680"/>
      <c r="G219" s="567" t="s">
        <v>625</v>
      </c>
      <c r="H219" s="567" t="s">
        <v>626</v>
      </c>
      <c r="I219" s="567" t="s">
        <v>397</v>
      </c>
      <c r="J219" s="582">
        <v>36541</v>
      </c>
      <c r="K219" s="668">
        <v>1</v>
      </c>
      <c r="L219" s="668"/>
      <c r="M219" s="668" t="s">
        <v>417</v>
      </c>
      <c r="N219" s="668" t="s">
        <v>613</v>
      </c>
      <c r="O219" s="567" t="s">
        <v>384</v>
      </c>
      <c r="P219" s="567"/>
      <c r="Q219" s="567"/>
      <c r="R219" s="581">
        <v>44532</v>
      </c>
      <c r="S219" s="423" t="s">
        <v>474</v>
      </c>
      <c r="T219" s="666" t="s">
        <v>430</v>
      </c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</row>
    <row r="220" spans="1:30" s="565" customFormat="1" ht="16.5" customHeight="1" x14ac:dyDescent="0.25">
      <c r="A220" s="686">
        <v>25</v>
      </c>
      <c r="B220" s="563"/>
      <c r="C220" s="563"/>
      <c r="D220" s="563"/>
      <c r="E220" s="563"/>
      <c r="F220" s="680"/>
      <c r="G220" s="567" t="s">
        <v>627</v>
      </c>
      <c r="H220" s="567" t="s">
        <v>426</v>
      </c>
      <c r="I220" s="567" t="s">
        <v>393</v>
      </c>
      <c r="J220" s="582">
        <v>34521</v>
      </c>
      <c r="K220" s="668">
        <v>1</v>
      </c>
      <c r="L220" s="668"/>
      <c r="M220" s="668" t="s">
        <v>417</v>
      </c>
      <c r="N220" s="668" t="s">
        <v>613</v>
      </c>
      <c r="O220" s="567" t="s">
        <v>384</v>
      </c>
      <c r="P220" s="567"/>
      <c r="Q220" s="567"/>
      <c r="R220" s="581">
        <v>44532</v>
      </c>
      <c r="S220" s="423" t="s">
        <v>474</v>
      </c>
      <c r="T220" s="666" t="s">
        <v>430</v>
      </c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</row>
    <row r="221" spans="1:30" s="565" customFormat="1" ht="16.5" customHeight="1" x14ac:dyDescent="0.25">
      <c r="A221" s="686">
        <v>26</v>
      </c>
      <c r="B221" s="563"/>
      <c r="C221" s="563"/>
      <c r="D221" s="563"/>
      <c r="E221" s="563"/>
      <c r="F221" s="680"/>
      <c r="G221" s="567" t="s">
        <v>628</v>
      </c>
      <c r="H221" s="567" t="s">
        <v>414</v>
      </c>
      <c r="I221" s="567" t="s">
        <v>459</v>
      </c>
      <c r="J221" s="582">
        <v>33550</v>
      </c>
      <c r="K221" s="668">
        <v>1</v>
      </c>
      <c r="L221" s="668"/>
      <c r="M221" s="668" t="s">
        <v>417</v>
      </c>
      <c r="N221" s="668" t="s">
        <v>613</v>
      </c>
      <c r="O221" s="567" t="s">
        <v>384</v>
      </c>
      <c r="P221" s="567"/>
      <c r="Q221" s="567"/>
      <c r="R221" s="581">
        <v>44532</v>
      </c>
      <c r="S221" s="423" t="s">
        <v>474</v>
      </c>
      <c r="T221" s="666" t="s">
        <v>430</v>
      </c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</row>
    <row r="222" spans="1:30" s="565" customFormat="1" ht="16.5" customHeight="1" x14ac:dyDescent="0.25">
      <c r="A222" s="686">
        <v>27</v>
      </c>
      <c r="B222" s="563"/>
      <c r="C222" s="563"/>
      <c r="D222" s="563"/>
      <c r="E222" s="563"/>
      <c r="F222" s="680"/>
      <c r="G222" s="567" t="s">
        <v>629</v>
      </c>
      <c r="H222" s="567" t="s">
        <v>630</v>
      </c>
      <c r="I222" s="567" t="s">
        <v>397</v>
      </c>
      <c r="J222" s="582">
        <v>31930</v>
      </c>
      <c r="K222" s="668">
        <v>1</v>
      </c>
      <c r="L222" s="668"/>
      <c r="M222" s="668" t="s">
        <v>417</v>
      </c>
      <c r="N222" s="668" t="s">
        <v>613</v>
      </c>
      <c r="O222" s="567" t="s">
        <v>384</v>
      </c>
      <c r="P222" s="567"/>
      <c r="Q222" s="567"/>
      <c r="R222" s="581">
        <v>44532</v>
      </c>
      <c r="S222" s="423" t="s">
        <v>474</v>
      </c>
      <c r="T222" s="666" t="s">
        <v>430</v>
      </c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</row>
    <row r="223" spans="1:30" s="565" customFormat="1" ht="16.5" customHeight="1" x14ac:dyDescent="0.25">
      <c r="A223" s="686">
        <v>28</v>
      </c>
      <c r="B223" s="563"/>
      <c r="C223" s="563"/>
      <c r="D223" s="563"/>
      <c r="E223" s="563"/>
      <c r="F223" s="680"/>
      <c r="G223" s="567" t="s">
        <v>631</v>
      </c>
      <c r="H223" s="567" t="s">
        <v>460</v>
      </c>
      <c r="I223" s="567" t="s">
        <v>395</v>
      </c>
      <c r="J223" s="582">
        <v>31913</v>
      </c>
      <c r="K223" s="668">
        <v>1</v>
      </c>
      <c r="L223" s="668"/>
      <c r="M223" s="668" t="s">
        <v>417</v>
      </c>
      <c r="N223" s="668" t="s">
        <v>613</v>
      </c>
      <c r="O223" s="567" t="s">
        <v>384</v>
      </c>
      <c r="P223" s="567"/>
      <c r="Q223" s="567"/>
      <c r="R223" s="581">
        <v>44532</v>
      </c>
      <c r="S223" s="423" t="s">
        <v>474</v>
      </c>
      <c r="T223" s="666" t="s">
        <v>430</v>
      </c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</row>
    <row r="224" spans="1:30" s="565" customFormat="1" ht="16.5" customHeight="1" x14ac:dyDescent="0.25">
      <c r="A224" s="686">
        <v>29</v>
      </c>
      <c r="B224" s="563"/>
      <c r="C224" s="563"/>
      <c r="D224" s="563"/>
      <c r="E224" s="563"/>
      <c r="F224" s="680"/>
      <c r="G224" s="567" t="s">
        <v>625</v>
      </c>
      <c r="H224" s="567" t="s">
        <v>441</v>
      </c>
      <c r="I224" s="567" t="s">
        <v>395</v>
      </c>
      <c r="J224" s="582">
        <v>27614</v>
      </c>
      <c r="K224" s="668">
        <v>1</v>
      </c>
      <c r="L224" s="668"/>
      <c r="M224" s="668" t="s">
        <v>417</v>
      </c>
      <c r="N224" s="668" t="s">
        <v>613</v>
      </c>
      <c r="O224" s="567" t="s">
        <v>384</v>
      </c>
      <c r="P224" s="567"/>
      <c r="Q224" s="567"/>
      <c r="R224" s="581">
        <v>44532</v>
      </c>
      <c r="S224" s="423" t="s">
        <v>474</v>
      </c>
      <c r="T224" s="666" t="s">
        <v>430</v>
      </c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</row>
    <row r="225" spans="1:30" s="565" customFormat="1" ht="16.5" customHeight="1" x14ac:dyDescent="0.25">
      <c r="A225" s="686">
        <v>30</v>
      </c>
      <c r="B225" s="563"/>
      <c r="C225" s="563"/>
      <c r="D225" s="563"/>
      <c r="E225" s="563"/>
      <c r="F225" s="680"/>
      <c r="G225" s="567" t="s">
        <v>632</v>
      </c>
      <c r="H225" s="567" t="s">
        <v>633</v>
      </c>
      <c r="I225" s="567" t="s">
        <v>634</v>
      </c>
      <c r="J225" s="582">
        <v>20460</v>
      </c>
      <c r="K225" s="668">
        <v>1</v>
      </c>
      <c r="L225" s="668"/>
      <c r="M225" s="668" t="s">
        <v>417</v>
      </c>
      <c r="N225" s="668" t="s">
        <v>613</v>
      </c>
      <c r="O225" s="567" t="s">
        <v>384</v>
      </c>
      <c r="P225" s="567"/>
      <c r="Q225" s="567"/>
      <c r="R225" s="581">
        <v>44532</v>
      </c>
      <c r="S225" s="423" t="s">
        <v>474</v>
      </c>
      <c r="T225" s="666" t="s">
        <v>430</v>
      </c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</row>
    <row r="226" spans="1:30" s="565" customFormat="1" ht="16.5" customHeight="1" x14ac:dyDescent="0.25">
      <c r="A226" s="686">
        <v>31</v>
      </c>
      <c r="B226" s="563"/>
      <c r="C226" s="563"/>
      <c r="D226" s="563"/>
      <c r="E226" s="563"/>
      <c r="F226" s="680"/>
      <c r="G226" s="567" t="s">
        <v>611</v>
      </c>
      <c r="H226" s="567" t="s">
        <v>612</v>
      </c>
      <c r="I226" s="567" t="s">
        <v>459</v>
      </c>
      <c r="J226" s="582">
        <v>20825</v>
      </c>
      <c r="K226" s="668">
        <v>1</v>
      </c>
      <c r="L226" s="668"/>
      <c r="M226" s="668" t="s">
        <v>417</v>
      </c>
      <c r="N226" s="668" t="s">
        <v>613</v>
      </c>
      <c r="O226" s="567" t="s">
        <v>384</v>
      </c>
      <c r="P226" s="567"/>
      <c r="Q226" s="567"/>
      <c r="R226" s="581">
        <v>44532</v>
      </c>
      <c r="S226" s="668" t="s">
        <v>429</v>
      </c>
      <c r="T226" s="666" t="s">
        <v>430</v>
      </c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</row>
    <row r="227" spans="1:30" s="565" customFormat="1" ht="16.5" customHeight="1" x14ac:dyDescent="0.25">
      <c r="A227" s="686">
        <v>32</v>
      </c>
      <c r="B227" s="563"/>
      <c r="C227" s="563"/>
      <c r="D227" s="563"/>
      <c r="E227" s="563"/>
      <c r="F227" s="680"/>
      <c r="G227" s="567" t="s">
        <v>614</v>
      </c>
      <c r="H227" s="567" t="s">
        <v>411</v>
      </c>
      <c r="I227" s="567" t="s">
        <v>459</v>
      </c>
      <c r="J227" s="582">
        <v>24116</v>
      </c>
      <c r="K227" s="668">
        <v>1</v>
      </c>
      <c r="L227" s="668"/>
      <c r="M227" s="668" t="s">
        <v>417</v>
      </c>
      <c r="N227" s="668" t="s">
        <v>613</v>
      </c>
      <c r="O227" s="567" t="s">
        <v>384</v>
      </c>
      <c r="P227" s="567"/>
      <c r="Q227" s="567"/>
      <c r="R227" s="581">
        <v>44532</v>
      </c>
      <c r="S227" s="668" t="s">
        <v>429</v>
      </c>
      <c r="T227" s="666" t="s">
        <v>430</v>
      </c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</row>
    <row r="228" spans="1:30" s="565" customFormat="1" ht="16.5" customHeight="1" x14ac:dyDescent="0.25">
      <c r="A228" s="686">
        <v>33</v>
      </c>
      <c r="B228" s="563"/>
      <c r="C228" s="563"/>
      <c r="D228" s="563"/>
      <c r="E228" s="563"/>
      <c r="F228" s="680"/>
      <c r="G228" s="567" t="s">
        <v>615</v>
      </c>
      <c r="H228" s="567" t="s">
        <v>616</v>
      </c>
      <c r="I228" s="567" t="s">
        <v>397</v>
      </c>
      <c r="J228" s="582">
        <v>25746</v>
      </c>
      <c r="K228" s="668"/>
      <c r="L228" s="668">
        <v>1</v>
      </c>
      <c r="M228" s="668" t="s">
        <v>417</v>
      </c>
      <c r="N228" s="668" t="s">
        <v>613</v>
      </c>
      <c r="O228" s="567" t="s">
        <v>384</v>
      </c>
      <c r="P228" s="567"/>
      <c r="Q228" s="567"/>
      <c r="R228" s="581">
        <v>44532</v>
      </c>
      <c r="S228" s="668" t="s">
        <v>429</v>
      </c>
      <c r="T228" s="666" t="s">
        <v>430</v>
      </c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</row>
    <row r="229" spans="1:30" s="565" customFormat="1" ht="16.5" customHeight="1" x14ac:dyDescent="0.25">
      <c r="A229" s="686">
        <v>34</v>
      </c>
      <c r="B229" s="563"/>
      <c r="C229" s="563"/>
      <c r="D229" s="563"/>
      <c r="E229" s="563"/>
      <c r="F229" s="680"/>
      <c r="G229" s="567" t="s">
        <v>617</v>
      </c>
      <c r="H229" s="567" t="s">
        <v>618</v>
      </c>
      <c r="I229" s="567" t="s">
        <v>399</v>
      </c>
      <c r="J229" s="582">
        <v>32048</v>
      </c>
      <c r="K229" s="668">
        <v>1</v>
      </c>
      <c r="L229" s="668"/>
      <c r="M229" s="668" t="s">
        <v>417</v>
      </c>
      <c r="N229" s="668" t="s">
        <v>613</v>
      </c>
      <c r="O229" s="567" t="s">
        <v>384</v>
      </c>
      <c r="P229" s="567"/>
      <c r="Q229" s="567"/>
      <c r="R229" s="581">
        <v>44532</v>
      </c>
      <c r="S229" s="668" t="s">
        <v>429</v>
      </c>
      <c r="T229" s="666" t="s">
        <v>430</v>
      </c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</row>
    <row r="230" spans="1:30" s="565" customFormat="1" ht="16.5" customHeight="1" x14ac:dyDescent="0.25">
      <c r="A230" s="686">
        <v>35</v>
      </c>
      <c r="B230" s="563"/>
      <c r="C230" s="563"/>
      <c r="D230" s="563"/>
      <c r="E230" s="563"/>
      <c r="F230" s="680"/>
      <c r="G230" s="567" t="s">
        <v>611</v>
      </c>
      <c r="H230" s="567" t="s">
        <v>619</v>
      </c>
      <c r="I230" s="567" t="s">
        <v>397</v>
      </c>
      <c r="J230" s="582">
        <v>35826</v>
      </c>
      <c r="K230" s="668">
        <v>1</v>
      </c>
      <c r="L230" s="668"/>
      <c r="M230" s="668" t="s">
        <v>417</v>
      </c>
      <c r="N230" s="668" t="s">
        <v>613</v>
      </c>
      <c r="O230" s="567" t="s">
        <v>384</v>
      </c>
      <c r="P230" s="567"/>
      <c r="Q230" s="567"/>
      <c r="R230" s="581">
        <v>44532</v>
      </c>
      <c r="S230" s="668" t="s">
        <v>429</v>
      </c>
      <c r="T230" s="666" t="s">
        <v>430</v>
      </c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</row>
    <row r="231" spans="1:30" s="565" customFormat="1" ht="16.5" customHeight="1" x14ac:dyDescent="0.25">
      <c r="A231" s="686">
        <v>36</v>
      </c>
      <c r="B231" s="563"/>
      <c r="C231" s="563"/>
      <c r="D231" s="563"/>
      <c r="E231" s="563"/>
      <c r="F231" s="680"/>
      <c r="G231" s="567" t="s">
        <v>620</v>
      </c>
      <c r="H231" s="567" t="s">
        <v>621</v>
      </c>
      <c r="I231" s="567" t="s">
        <v>397</v>
      </c>
      <c r="J231" s="582">
        <v>25428</v>
      </c>
      <c r="K231" s="668"/>
      <c r="L231" s="668">
        <v>1</v>
      </c>
      <c r="M231" s="668" t="s">
        <v>417</v>
      </c>
      <c r="N231" s="668" t="s">
        <v>613</v>
      </c>
      <c r="O231" s="567" t="s">
        <v>384</v>
      </c>
      <c r="P231" s="567"/>
      <c r="Q231" s="567"/>
      <c r="R231" s="581">
        <v>44532</v>
      </c>
      <c r="S231" s="668" t="s">
        <v>429</v>
      </c>
      <c r="T231" s="666" t="s">
        <v>430</v>
      </c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</row>
    <row r="232" spans="1:30" s="565" customFormat="1" ht="16.5" customHeight="1" x14ac:dyDescent="0.25">
      <c r="A232" s="686">
        <v>37</v>
      </c>
      <c r="B232" s="563"/>
      <c r="C232" s="563"/>
      <c r="D232" s="563"/>
      <c r="E232" s="563"/>
      <c r="F232" s="680"/>
      <c r="G232" s="567" t="s">
        <v>614</v>
      </c>
      <c r="H232" s="567" t="s">
        <v>622</v>
      </c>
      <c r="I232" s="567" t="s">
        <v>397</v>
      </c>
      <c r="J232" s="582">
        <v>31232</v>
      </c>
      <c r="K232" s="668">
        <v>1</v>
      </c>
      <c r="L232" s="668"/>
      <c r="M232" s="668" t="s">
        <v>417</v>
      </c>
      <c r="N232" s="668" t="s">
        <v>613</v>
      </c>
      <c r="O232" s="567" t="s">
        <v>384</v>
      </c>
      <c r="P232" s="567"/>
      <c r="Q232" s="567"/>
      <c r="R232" s="581">
        <v>44532</v>
      </c>
      <c r="S232" s="668" t="s">
        <v>429</v>
      </c>
      <c r="T232" s="666" t="s">
        <v>430</v>
      </c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</row>
    <row r="233" spans="1:30" s="565" customFormat="1" ht="16.5" customHeight="1" x14ac:dyDescent="0.25">
      <c r="A233" s="686">
        <v>38</v>
      </c>
      <c r="B233" s="563"/>
      <c r="C233" s="563"/>
      <c r="D233" s="563"/>
      <c r="E233" s="563"/>
      <c r="F233" s="680"/>
      <c r="G233" s="567" t="s">
        <v>623</v>
      </c>
      <c r="H233" s="567" t="s">
        <v>624</v>
      </c>
      <c r="I233" s="567" t="s">
        <v>423</v>
      </c>
      <c r="J233" s="582">
        <v>25819</v>
      </c>
      <c r="K233" s="668">
        <v>1</v>
      </c>
      <c r="L233" s="668"/>
      <c r="M233" s="668" t="s">
        <v>417</v>
      </c>
      <c r="N233" s="668" t="s">
        <v>613</v>
      </c>
      <c r="O233" s="567" t="s">
        <v>384</v>
      </c>
      <c r="P233" s="567"/>
      <c r="Q233" s="567"/>
      <c r="R233" s="581">
        <v>44532</v>
      </c>
      <c r="S233" s="668" t="s">
        <v>429</v>
      </c>
      <c r="T233" s="666" t="s">
        <v>430</v>
      </c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</row>
    <row r="234" spans="1:30" s="565" customFormat="1" ht="16.5" customHeight="1" x14ac:dyDescent="0.25">
      <c r="A234" s="686">
        <v>39</v>
      </c>
      <c r="B234" s="563"/>
      <c r="C234" s="563"/>
      <c r="D234" s="563"/>
      <c r="E234" s="563"/>
      <c r="F234" s="680"/>
      <c r="G234" s="567" t="s">
        <v>625</v>
      </c>
      <c r="H234" s="567" t="s">
        <v>626</v>
      </c>
      <c r="I234" s="567" t="s">
        <v>397</v>
      </c>
      <c r="J234" s="582">
        <v>36541</v>
      </c>
      <c r="K234" s="668">
        <v>1</v>
      </c>
      <c r="L234" s="668"/>
      <c r="M234" s="668" t="s">
        <v>417</v>
      </c>
      <c r="N234" s="668" t="s">
        <v>613</v>
      </c>
      <c r="O234" s="567" t="s">
        <v>384</v>
      </c>
      <c r="P234" s="567"/>
      <c r="Q234" s="567"/>
      <c r="R234" s="581">
        <v>44532</v>
      </c>
      <c r="S234" s="668" t="s">
        <v>429</v>
      </c>
      <c r="T234" s="666" t="s">
        <v>430</v>
      </c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</row>
    <row r="235" spans="1:30" s="565" customFormat="1" ht="16.5" customHeight="1" x14ac:dyDescent="0.25">
      <c r="A235" s="686">
        <v>40</v>
      </c>
      <c r="B235" s="563"/>
      <c r="C235" s="563"/>
      <c r="D235" s="563"/>
      <c r="E235" s="563"/>
      <c r="F235" s="680"/>
      <c r="G235" s="567" t="s">
        <v>627</v>
      </c>
      <c r="H235" s="567" t="s">
        <v>426</v>
      </c>
      <c r="I235" s="567" t="s">
        <v>393</v>
      </c>
      <c r="J235" s="582">
        <v>34521</v>
      </c>
      <c r="K235" s="668">
        <v>1</v>
      </c>
      <c r="L235" s="668"/>
      <c r="M235" s="668" t="s">
        <v>417</v>
      </c>
      <c r="N235" s="668" t="s">
        <v>613</v>
      </c>
      <c r="O235" s="567" t="s">
        <v>384</v>
      </c>
      <c r="P235" s="567"/>
      <c r="Q235" s="567"/>
      <c r="R235" s="581">
        <v>44532</v>
      </c>
      <c r="S235" s="668" t="s">
        <v>429</v>
      </c>
      <c r="T235" s="666" t="s">
        <v>430</v>
      </c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</row>
    <row r="236" spans="1:30" s="565" customFormat="1" ht="16.5" customHeight="1" x14ac:dyDescent="0.25">
      <c r="A236" s="686">
        <v>41</v>
      </c>
      <c r="B236" s="563"/>
      <c r="C236" s="563"/>
      <c r="D236" s="563"/>
      <c r="E236" s="563"/>
      <c r="F236" s="680"/>
      <c r="G236" s="567" t="s">
        <v>628</v>
      </c>
      <c r="H236" s="567" t="s">
        <v>414</v>
      </c>
      <c r="I236" s="567" t="s">
        <v>459</v>
      </c>
      <c r="J236" s="582">
        <v>33550</v>
      </c>
      <c r="K236" s="668">
        <v>1</v>
      </c>
      <c r="L236" s="668"/>
      <c r="M236" s="668" t="s">
        <v>417</v>
      </c>
      <c r="N236" s="668" t="s">
        <v>613</v>
      </c>
      <c r="O236" s="567" t="s">
        <v>384</v>
      </c>
      <c r="P236" s="567"/>
      <c r="Q236" s="567"/>
      <c r="R236" s="581">
        <v>44532</v>
      </c>
      <c r="S236" s="668" t="s">
        <v>429</v>
      </c>
      <c r="T236" s="666" t="s">
        <v>430</v>
      </c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</row>
    <row r="237" spans="1:30" s="565" customFormat="1" ht="16.5" customHeight="1" x14ac:dyDescent="0.25">
      <c r="A237" s="686">
        <v>42</v>
      </c>
      <c r="B237" s="563"/>
      <c r="C237" s="563"/>
      <c r="D237" s="563"/>
      <c r="E237" s="563"/>
      <c r="F237" s="680"/>
      <c r="G237" s="567" t="s">
        <v>629</v>
      </c>
      <c r="H237" s="567" t="s">
        <v>630</v>
      </c>
      <c r="I237" s="567" t="s">
        <v>397</v>
      </c>
      <c r="J237" s="582">
        <v>31930</v>
      </c>
      <c r="K237" s="668">
        <v>1</v>
      </c>
      <c r="L237" s="668"/>
      <c r="M237" s="668" t="s">
        <v>417</v>
      </c>
      <c r="N237" s="668" t="s">
        <v>613</v>
      </c>
      <c r="O237" s="567" t="s">
        <v>384</v>
      </c>
      <c r="P237" s="567"/>
      <c r="Q237" s="567"/>
      <c r="R237" s="581">
        <v>44532</v>
      </c>
      <c r="S237" s="668" t="s">
        <v>429</v>
      </c>
      <c r="T237" s="666" t="s">
        <v>430</v>
      </c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</row>
    <row r="238" spans="1:30" s="565" customFormat="1" ht="16.5" customHeight="1" x14ac:dyDescent="0.25">
      <c r="A238" s="686">
        <v>43</v>
      </c>
      <c r="B238" s="563"/>
      <c r="C238" s="563"/>
      <c r="D238" s="563"/>
      <c r="E238" s="563"/>
      <c r="F238" s="680"/>
      <c r="G238" s="567" t="s">
        <v>631</v>
      </c>
      <c r="H238" s="567" t="s">
        <v>460</v>
      </c>
      <c r="I238" s="567" t="s">
        <v>395</v>
      </c>
      <c r="J238" s="582">
        <v>31913</v>
      </c>
      <c r="K238" s="668">
        <v>1</v>
      </c>
      <c r="L238" s="668"/>
      <c r="M238" s="668" t="s">
        <v>417</v>
      </c>
      <c r="N238" s="668" t="s">
        <v>613</v>
      </c>
      <c r="O238" s="567" t="s">
        <v>384</v>
      </c>
      <c r="P238" s="567"/>
      <c r="Q238" s="567"/>
      <c r="R238" s="581">
        <v>44532</v>
      </c>
      <c r="S238" s="668" t="s">
        <v>429</v>
      </c>
      <c r="T238" s="666" t="s">
        <v>430</v>
      </c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</row>
    <row r="239" spans="1:30" s="565" customFormat="1" ht="16.5" customHeight="1" x14ac:dyDescent="0.25">
      <c r="A239" s="686">
        <v>44</v>
      </c>
      <c r="B239" s="563"/>
      <c r="C239" s="563"/>
      <c r="D239" s="563"/>
      <c r="E239" s="563"/>
      <c r="F239" s="680"/>
      <c r="G239" s="567" t="s">
        <v>625</v>
      </c>
      <c r="H239" s="567" t="s">
        <v>441</v>
      </c>
      <c r="I239" s="567" t="s">
        <v>395</v>
      </c>
      <c r="J239" s="582">
        <v>27614</v>
      </c>
      <c r="K239" s="668">
        <v>1</v>
      </c>
      <c r="L239" s="668"/>
      <c r="M239" s="668" t="s">
        <v>417</v>
      </c>
      <c r="N239" s="668" t="s">
        <v>613</v>
      </c>
      <c r="O239" s="567" t="s">
        <v>384</v>
      </c>
      <c r="P239" s="567"/>
      <c r="Q239" s="567"/>
      <c r="R239" s="581">
        <v>44532</v>
      </c>
      <c r="S239" s="668" t="s">
        <v>429</v>
      </c>
      <c r="T239" s="666" t="s">
        <v>430</v>
      </c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</row>
    <row r="240" spans="1:30" s="565" customFormat="1" ht="16.5" customHeight="1" x14ac:dyDescent="0.25">
      <c r="A240" s="686">
        <v>45</v>
      </c>
      <c r="B240" s="563"/>
      <c r="C240" s="563"/>
      <c r="D240" s="563"/>
      <c r="E240" s="563"/>
      <c r="F240" s="680"/>
      <c r="G240" s="567" t="s">
        <v>632</v>
      </c>
      <c r="H240" s="567" t="s">
        <v>633</v>
      </c>
      <c r="I240" s="567" t="s">
        <v>634</v>
      </c>
      <c r="J240" s="582">
        <v>20460</v>
      </c>
      <c r="K240" s="668">
        <v>1</v>
      </c>
      <c r="L240" s="668"/>
      <c r="M240" s="668" t="s">
        <v>417</v>
      </c>
      <c r="N240" s="668" t="s">
        <v>613</v>
      </c>
      <c r="O240" s="567" t="s">
        <v>384</v>
      </c>
      <c r="P240" s="567"/>
      <c r="Q240" s="567"/>
      <c r="R240" s="581">
        <v>44532</v>
      </c>
      <c r="S240" s="668" t="s">
        <v>429</v>
      </c>
      <c r="T240" s="666" t="s">
        <v>430</v>
      </c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</row>
    <row r="241" spans="1:20" s="435" customFormat="1" ht="18.75" customHeight="1" x14ac:dyDescent="0.25">
      <c r="A241" s="686">
        <v>46</v>
      </c>
      <c r="G241" s="308" t="s">
        <v>507</v>
      </c>
      <c r="H241" s="308" t="s">
        <v>508</v>
      </c>
      <c r="I241" s="308"/>
      <c r="J241" s="584">
        <v>24374</v>
      </c>
      <c r="K241" s="310">
        <v>1</v>
      </c>
      <c r="L241" s="311"/>
      <c r="M241" s="310" t="s">
        <v>484</v>
      </c>
      <c r="N241" s="310" t="s">
        <v>386</v>
      </c>
      <c r="O241" s="308" t="s">
        <v>384</v>
      </c>
      <c r="R241" s="440">
        <v>44537</v>
      </c>
      <c r="S241" s="423" t="s">
        <v>474</v>
      </c>
      <c r="T241" s="666" t="s">
        <v>430</v>
      </c>
    </row>
    <row r="242" spans="1:20" s="435" customFormat="1" ht="18.75" customHeight="1" x14ac:dyDescent="0.25">
      <c r="A242" s="686">
        <v>47</v>
      </c>
      <c r="G242" s="308" t="s">
        <v>509</v>
      </c>
      <c r="H242" s="308" t="s">
        <v>458</v>
      </c>
      <c r="I242" s="308"/>
      <c r="J242" s="584">
        <v>27172</v>
      </c>
      <c r="K242" s="310">
        <v>1</v>
      </c>
      <c r="L242" s="311"/>
      <c r="M242" s="310" t="s">
        <v>484</v>
      </c>
      <c r="N242" s="310" t="s">
        <v>386</v>
      </c>
      <c r="O242" s="308" t="s">
        <v>384</v>
      </c>
      <c r="P242" s="435">
        <v>9105193376</v>
      </c>
      <c r="R242" s="440">
        <v>44537</v>
      </c>
      <c r="S242" s="423" t="s">
        <v>474</v>
      </c>
      <c r="T242" s="666" t="s">
        <v>430</v>
      </c>
    </row>
    <row r="243" spans="1:20" s="435" customFormat="1" ht="18.75" customHeight="1" x14ac:dyDescent="0.25">
      <c r="A243" s="686">
        <v>48</v>
      </c>
      <c r="G243" s="308" t="s">
        <v>507</v>
      </c>
      <c r="H243" s="308" t="s">
        <v>510</v>
      </c>
      <c r="I243" s="308" t="s">
        <v>459</v>
      </c>
      <c r="J243" s="584">
        <v>33566</v>
      </c>
      <c r="K243" s="310">
        <v>1</v>
      </c>
      <c r="L243" s="311"/>
      <c r="M243" s="310" t="s">
        <v>484</v>
      </c>
      <c r="N243" s="310" t="s">
        <v>386</v>
      </c>
      <c r="O243" s="308" t="s">
        <v>384</v>
      </c>
      <c r="P243" s="435">
        <v>9066076208</v>
      </c>
      <c r="R243" s="440">
        <v>44537</v>
      </c>
      <c r="S243" s="423" t="s">
        <v>474</v>
      </c>
      <c r="T243" s="666" t="s">
        <v>430</v>
      </c>
    </row>
    <row r="244" spans="1:20" s="435" customFormat="1" ht="18.75" customHeight="1" x14ac:dyDescent="0.25">
      <c r="A244" s="686">
        <v>49</v>
      </c>
      <c r="G244" s="308" t="s">
        <v>511</v>
      </c>
      <c r="H244" s="308" t="s">
        <v>512</v>
      </c>
      <c r="I244" s="308" t="s">
        <v>397</v>
      </c>
      <c r="J244" s="584">
        <v>33623</v>
      </c>
      <c r="K244" s="310">
        <v>1</v>
      </c>
      <c r="L244" s="311"/>
      <c r="M244" s="310" t="s">
        <v>484</v>
      </c>
      <c r="N244" s="310" t="s">
        <v>386</v>
      </c>
      <c r="O244" s="308" t="s">
        <v>384</v>
      </c>
      <c r="R244" s="440">
        <v>44537</v>
      </c>
      <c r="S244" s="423" t="s">
        <v>474</v>
      </c>
      <c r="T244" s="666" t="s">
        <v>430</v>
      </c>
    </row>
    <row r="245" spans="1:20" s="435" customFormat="1" ht="18.75" customHeight="1" x14ac:dyDescent="0.25">
      <c r="A245" s="686">
        <v>50</v>
      </c>
      <c r="G245" s="308" t="s">
        <v>513</v>
      </c>
      <c r="H245" s="308" t="s">
        <v>514</v>
      </c>
      <c r="I245" s="308" t="s">
        <v>399</v>
      </c>
      <c r="J245" s="584">
        <v>30060</v>
      </c>
      <c r="K245" s="310">
        <v>1</v>
      </c>
      <c r="L245" s="311"/>
      <c r="M245" s="310" t="s">
        <v>484</v>
      </c>
      <c r="N245" s="310" t="s">
        <v>386</v>
      </c>
      <c r="O245" s="308" t="s">
        <v>384</v>
      </c>
      <c r="R245" s="440">
        <v>44537</v>
      </c>
      <c r="S245" s="423" t="s">
        <v>474</v>
      </c>
      <c r="T245" s="666" t="s">
        <v>430</v>
      </c>
    </row>
    <row r="246" spans="1:20" s="435" customFormat="1" ht="18.75" customHeight="1" x14ac:dyDescent="0.25">
      <c r="A246" s="686">
        <v>51</v>
      </c>
      <c r="G246" s="308" t="s">
        <v>515</v>
      </c>
      <c r="H246" s="308" t="s">
        <v>458</v>
      </c>
      <c r="I246" s="308"/>
      <c r="J246" s="584">
        <v>29429</v>
      </c>
      <c r="K246" s="310">
        <v>1</v>
      </c>
      <c r="L246" s="311"/>
      <c r="M246" s="310" t="s">
        <v>484</v>
      </c>
      <c r="N246" s="310" t="s">
        <v>386</v>
      </c>
      <c r="O246" s="308" t="s">
        <v>384</v>
      </c>
      <c r="R246" s="440">
        <v>44537</v>
      </c>
      <c r="S246" s="423" t="s">
        <v>474</v>
      </c>
      <c r="T246" s="666" t="s">
        <v>430</v>
      </c>
    </row>
    <row r="247" spans="1:20" s="435" customFormat="1" ht="18.75" customHeight="1" x14ac:dyDescent="0.25">
      <c r="A247" s="686">
        <v>52</v>
      </c>
      <c r="G247" s="308" t="s">
        <v>543</v>
      </c>
      <c r="H247" s="308" t="s">
        <v>516</v>
      </c>
      <c r="I247" s="308"/>
      <c r="J247" s="584">
        <v>36722</v>
      </c>
      <c r="K247" s="310">
        <v>1</v>
      </c>
      <c r="L247" s="311"/>
      <c r="M247" s="310" t="s">
        <v>484</v>
      </c>
      <c r="N247" s="310" t="s">
        <v>386</v>
      </c>
      <c r="O247" s="308" t="s">
        <v>384</v>
      </c>
      <c r="R247" s="440">
        <v>44537</v>
      </c>
      <c r="S247" s="423" t="s">
        <v>474</v>
      </c>
      <c r="T247" s="666" t="s">
        <v>430</v>
      </c>
    </row>
    <row r="248" spans="1:20" s="435" customFormat="1" ht="18.75" customHeight="1" x14ac:dyDescent="0.25">
      <c r="A248" s="686">
        <v>53</v>
      </c>
      <c r="G248" s="308" t="s">
        <v>507</v>
      </c>
      <c r="H248" s="308" t="s">
        <v>438</v>
      </c>
      <c r="I248" s="308"/>
      <c r="J248" s="584">
        <v>34784</v>
      </c>
      <c r="K248" s="310">
        <v>1</v>
      </c>
      <c r="L248" s="311"/>
      <c r="M248" s="310" t="s">
        <v>484</v>
      </c>
      <c r="N248" s="310" t="s">
        <v>386</v>
      </c>
      <c r="O248" s="308" t="s">
        <v>384</v>
      </c>
      <c r="P248" s="435">
        <v>9050969432</v>
      </c>
      <c r="R248" s="440">
        <v>44537</v>
      </c>
      <c r="S248" s="423" t="s">
        <v>474</v>
      </c>
      <c r="T248" s="666" t="s">
        <v>430</v>
      </c>
    </row>
    <row r="249" spans="1:20" s="435" customFormat="1" ht="18.75" customHeight="1" x14ac:dyDescent="0.25">
      <c r="A249" s="686">
        <v>54</v>
      </c>
      <c r="G249" s="308" t="s">
        <v>509</v>
      </c>
      <c r="H249" s="308" t="s">
        <v>460</v>
      </c>
      <c r="I249" s="308"/>
      <c r="J249" s="584">
        <v>29793</v>
      </c>
      <c r="K249" s="310">
        <v>1</v>
      </c>
      <c r="L249" s="311"/>
      <c r="M249" s="310" t="s">
        <v>484</v>
      </c>
      <c r="N249" s="310" t="s">
        <v>386</v>
      </c>
      <c r="O249" s="308" t="s">
        <v>384</v>
      </c>
      <c r="P249" s="435">
        <v>9051958607</v>
      </c>
      <c r="R249" s="440">
        <v>44537</v>
      </c>
      <c r="S249" s="423" t="s">
        <v>474</v>
      </c>
      <c r="T249" s="666" t="s">
        <v>430</v>
      </c>
    </row>
    <row r="250" spans="1:20" s="435" customFormat="1" ht="18.75" customHeight="1" x14ac:dyDescent="0.25">
      <c r="A250" s="686">
        <v>55</v>
      </c>
      <c r="G250" s="308" t="s">
        <v>517</v>
      </c>
      <c r="H250" s="308" t="s">
        <v>422</v>
      </c>
      <c r="I250" s="308"/>
      <c r="J250" s="584">
        <v>26458</v>
      </c>
      <c r="K250" s="310">
        <v>1</v>
      </c>
      <c r="L250" s="311"/>
      <c r="M250" s="310" t="s">
        <v>484</v>
      </c>
      <c r="N250" s="310" t="s">
        <v>386</v>
      </c>
      <c r="O250" s="308" t="s">
        <v>384</v>
      </c>
      <c r="R250" s="440">
        <v>44537</v>
      </c>
      <c r="S250" s="423" t="s">
        <v>474</v>
      </c>
      <c r="T250" s="666" t="s">
        <v>430</v>
      </c>
    </row>
    <row r="251" spans="1:20" s="435" customFormat="1" ht="18.75" customHeight="1" x14ac:dyDescent="0.25">
      <c r="A251" s="686">
        <v>56</v>
      </c>
      <c r="G251" s="308" t="s">
        <v>507</v>
      </c>
      <c r="H251" s="308" t="s">
        <v>518</v>
      </c>
      <c r="I251" s="308"/>
      <c r="J251" s="584">
        <v>26777</v>
      </c>
      <c r="K251" s="310">
        <v>1</v>
      </c>
      <c r="L251" s="311"/>
      <c r="M251" s="310" t="s">
        <v>484</v>
      </c>
      <c r="N251" s="310" t="s">
        <v>386</v>
      </c>
      <c r="O251" s="308" t="s">
        <v>384</v>
      </c>
      <c r="P251" s="435">
        <v>9755578834</v>
      </c>
      <c r="R251" s="440">
        <v>44537</v>
      </c>
      <c r="S251" s="423" t="s">
        <v>474</v>
      </c>
      <c r="T251" s="666" t="s">
        <v>430</v>
      </c>
    </row>
    <row r="252" spans="1:20" s="435" customFormat="1" ht="18.75" customHeight="1" x14ac:dyDescent="0.25">
      <c r="A252" s="686">
        <v>57</v>
      </c>
      <c r="G252" s="308" t="s">
        <v>509</v>
      </c>
      <c r="H252" s="308" t="s">
        <v>519</v>
      </c>
      <c r="I252" s="308"/>
      <c r="J252" s="584">
        <v>31968</v>
      </c>
      <c r="K252" s="310">
        <v>1</v>
      </c>
      <c r="L252" s="311"/>
      <c r="M252" s="310" t="s">
        <v>484</v>
      </c>
      <c r="N252" s="310" t="s">
        <v>386</v>
      </c>
      <c r="O252" s="308" t="s">
        <v>384</v>
      </c>
      <c r="P252" s="435">
        <v>9557024388</v>
      </c>
      <c r="R252" s="440">
        <v>44537</v>
      </c>
      <c r="S252" s="423" t="s">
        <v>474</v>
      </c>
      <c r="T252" s="666" t="s">
        <v>430</v>
      </c>
    </row>
    <row r="253" spans="1:20" s="435" customFormat="1" ht="18.75" customHeight="1" x14ac:dyDescent="0.25">
      <c r="A253" s="686">
        <v>58</v>
      </c>
      <c r="G253" s="308" t="s">
        <v>515</v>
      </c>
      <c r="H253" s="308" t="s">
        <v>520</v>
      </c>
      <c r="I253" s="308" t="s">
        <v>402</v>
      </c>
      <c r="J253" s="584">
        <v>35640</v>
      </c>
      <c r="K253" s="310">
        <v>1</v>
      </c>
      <c r="L253" s="311"/>
      <c r="M253" s="310" t="s">
        <v>484</v>
      </c>
      <c r="N253" s="310" t="s">
        <v>386</v>
      </c>
      <c r="O253" s="308" t="s">
        <v>384</v>
      </c>
      <c r="P253" s="435">
        <v>9675449344</v>
      </c>
      <c r="R253" s="440">
        <v>44537</v>
      </c>
      <c r="S253" s="423" t="s">
        <v>474</v>
      </c>
      <c r="T253" s="666" t="s">
        <v>430</v>
      </c>
    </row>
    <row r="254" spans="1:20" s="435" customFormat="1" ht="18.75" customHeight="1" x14ac:dyDescent="0.25">
      <c r="A254" s="686">
        <v>59</v>
      </c>
      <c r="G254" s="308" t="s">
        <v>521</v>
      </c>
      <c r="H254" s="308" t="s">
        <v>522</v>
      </c>
      <c r="I254" s="308" t="s">
        <v>421</v>
      </c>
      <c r="J254" s="584">
        <v>34725</v>
      </c>
      <c r="K254" s="310">
        <v>1</v>
      </c>
      <c r="L254" s="311"/>
      <c r="M254" s="310" t="s">
        <v>484</v>
      </c>
      <c r="N254" s="310" t="s">
        <v>386</v>
      </c>
      <c r="O254" s="308" t="s">
        <v>384</v>
      </c>
      <c r="P254" s="435">
        <v>9678700411</v>
      </c>
      <c r="R254" s="440">
        <v>44537</v>
      </c>
      <c r="S254" s="423" t="s">
        <v>474</v>
      </c>
      <c r="T254" s="666" t="s">
        <v>430</v>
      </c>
    </row>
    <row r="255" spans="1:20" s="435" customFormat="1" ht="18.75" customHeight="1" x14ac:dyDescent="0.25">
      <c r="A255" s="686">
        <v>60</v>
      </c>
      <c r="G255" s="308" t="s">
        <v>523</v>
      </c>
      <c r="H255" s="308" t="s">
        <v>524</v>
      </c>
      <c r="I255" s="308"/>
      <c r="J255" s="584">
        <v>37705</v>
      </c>
      <c r="K255" s="310">
        <v>1</v>
      </c>
      <c r="L255" s="311"/>
      <c r="M255" s="310" t="s">
        <v>484</v>
      </c>
      <c r="N255" s="310" t="s">
        <v>386</v>
      </c>
      <c r="O255" s="308" t="s">
        <v>384</v>
      </c>
      <c r="P255" s="435">
        <v>9364788853</v>
      </c>
      <c r="R255" s="440">
        <v>44537</v>
      </c>
      <c r="S255" s="423" t="s">
        <v>474</v>
      </c>
      <c r="T255" s="666" t="s">
        <v>430</v>
      </c>
    </row>
    <row r="256" spans="1:20" s="435" customFormat="1" ht="18.75" customHeight="1" x14ac:dyDescent="0.25">
      <c r="A256" s="686">
        <v>61</v>
      </c>
      <c r="G256" s="308" t="s">
        <v>515</v>
      </c>
      <c r="H256" s="308" t="s">
        <v>431</v>
      </c>
      <c r="I256" s="308" t="s">
        <v>525</v>
      </c>
      <c r="J256" s="584">
        <v>21110</v>
      </c>
      <c r="K256" s="310">
        <v>1</v>
      </c>
      <c r="L256" s="311"/>
      <c r="M256" s="310" t="s">
        <v>484</v>
      </c>
      <c r="N256" s="310" t="s">
        <v>386</v>
      </c>
      <c r="O256" s="308" t="s">
        <v>384</v>
      </c>
      <c r="P256" s="435">
        <v>9054707195</v>
      </c>
      <c r="R256" s="440">
        <v>44537</v>
      </c>
      <c r="S256" s="423" t="s">
        <v>474</v>
      </c>
      <c r="T256" s="666" t="s">
        <v>430</v>
      </c>
    </row>
    <row r="257" spans="1:20" s="435" customFormat="1" ht="18.75" customHeight="1" x14ac:dyDescent="0.25">
      <c r="A257" s="686">
        <v>62</v>
      </c>
      <c r="G257" s="308" t="s">
        <v>526</v>
      </c>
      <c r="H257" s="308" t="s">
        <v>527</v>
      </c>
      <c r="I257" s="308"/>
      <c r="J257" s="584">
        <v>22122</v>
      </c>
      <c r="K257" s="310">
        <v>1</v>
      </c>
      <c r="L257" s="311"/>
      <c r="M257" s="310" t="s">
        <v>484</v>
      </c>
      <c r="N257" s="310" t="s">
        <v>386</v>
      </c>
      <c r="O257" s="308" t="s">
        <v>384</v>
      </c>
      <c r="R257" s="440">
        <v>44537</v>
      </c>
      <c r="S257" s="423" t="s">
        <v>474</v>
      </c>
      <c r="T257" s="666" t="s">
        <v>430</v>
      </c>
    </row>
    <row r="258" spans="1:20" s="435" customFormat="1" ht="18.75" customHeight="1" x14ac:dyDescent="0.25">
      <c r="A258" s="686">
        <v>63</v>
      </c>
      <c r="G258" s="308" t="s">
        <v>495</v>
      </c>
      <c r="H258" s="308" t="s">
        <v>522</v>
      </c>
      <c r="I258" s="308" t="s">
        <v>528</v>
      </c>
      <c r="J258" s="584">
        <v>28458</v>
      </c>
      <c r="K258" s="310">
        <v>1</v>
      </c>
      <c r="L258" s="311"/>
      <c r="M258" s="310" t="s">
        <v>484</v>
      </c>
      <c r="N258" s="310" t="s">
        <v>386</v>
      </c>
      <c r="O258" s="308" t="s">
        <v>384</v>
      </c>
      <c r="R258" s="440">
        <v>44537</v>
      </c>
      <c r="S258" s="423" t="s">
        <v>474</v>
      </c>
      <c r="T258" s="666" t="s">
        <v>430</v>
      </c>
    </row>
    <row r="259" spans="1:20" s="435" customFormat="1" ht="18.75" customHeight="1" x14ac:dyDescent="0.25">
      <c r="A259" s="686">
        <v>64</v>
      </c>
      <c r="G259" s="308" t="s">
        <v>529</v>
      </c>
      <c r="H259" s="308" t="s">
        <v>530</v>
      </c>
      <c r="I259" s="308" t="s">
        <v>404</v>
      </c>
      <c r="J259" s="584">
        <v>28960</v>
      </c>
      <c r="K259" s="310">
        <v>1</v>
      </c>
      <c r="L259" s="311"/>
      <c r="M259" s="310" t="s">
        <v>484</v>
      </c>
      <c r="N259" s="310" t="s">
        <v>386</v>
      </c>
      <c r="O259" s="308" t="s">
        <v>384</v>
      </c>
      <c r="R259" s="440">
        <v>44537</v>
      </c>
      <c r="S259" s="423" t="s">
        <v>474</v>
      </c>
      <c r="T259" s="666" t="s">
        <v>430</v>
      </c>
    </row>
    <row r="260" spans="1:20" s="435" customFormat="1" ht="18.75" customHeight="1" x14ac:dyDescent="0.25">
      <c r="A260" s="686">
        <v>65</v>
      </c>
      <c r="G260" s="308" t="s">
        <v>531</v>
      </c>
      <c r="H260" s="308" t="s">
        <v>532</v>
      </c>
      <c r="I260" s="308"/>
      <c r="J260" s="584">
        <v>35146</v>
      </c>
      <c r="K260" s="310">
        <v>1</v>
      </c>
      <c r="L260" s="311"/>
      <c r="M260" s="310" t="s">
        <v>484</v>
      </c>
      <c r="N260" s="310" t="s">
        <v>386</v>
      </c>
      <c r="O260" s="308" t="s">
        <v>384</v>
      </c>
      <c r="R260" s="440">
        <v>44537</v>
      </c>
      <c r="S260" s="423" t="s">
        <v>474</v>
      </c>
      <c r="T260" s="666" t="s">
        <v>430</v>
      </c>
    </row>
    <row r="261" spans="1:20" s="435" customFormat="1" ht="18.75" customHeight="1" x14ac:dyDescent="0.25">
      <c r="A261" s="686">
        <v>66</v>
      </c>
      <c r="G261" s="308" t="s">
        <v>533</v>
      </c>
      <c r="H261" s="308" t="s">
        <v>460</v>
      </c>
      <c r="I261" s="308"/>
      <c r="J261" s="584">
        <v>28440</v>
      </c>
      <c r="K261" s="310">
        <v>1</v>
      </c>
      <c r="L261" s="311"/>
      <c r="M261" s="310" t="s">
        <v>484</v>
      </c>
      <c r="N261" s="310" t="s">
        <v>386</v>
      </c>
      <c r="O261" s="308" t="s">
        <v>384</v>
      </c>
      <c r="R261" s="440">
        <v>44537</v>
      </c>
      <c r="S261" s="423" t="s">
        <v>474</v>
      </c>
      <c r="T261" s="666" t="s">
        <v>430</v>
      </c>
    </row>
    <row r="262" spans="1:20" s="435" customFormat="1" ht="18.75" customHeight="1" x14ac:dyDescent="0.25">
      <c r="A262" s="686">
        <v>67</v>
      </c>
      <c r="G262" s="308" t="s">
        <v>534</v>
      </c>
      <c r="H262" s="308" t="s">
        <v>535</v>
      </c>
      <c r="I262" s="308"/>
      <c r="J262" s="584">
        <v>34747</v>
      </c>
      <c r="K262" s="310">
        <v>1</v>
      </c>
      <c r="L262" s="311"/>
      <c r="M262" s="310" t="s">
        <v>484</v>
      </c>
      <c r="N262" s="310" t="s">
        <v>386</v>
      </c>
      <c r="O262" s="308" t="s">
        <v>384</v>
      </c>
      <c r="R262" s="440">
        <v>44537</v>
      </c>
      <c r="S262" s="423" t="s">
        <v>474</v>
      </c>
      <c r="T262" s="666" t="s">
        <v>430</v>
      </c>
    </row>
    <row r="263" spans="1:20" s="435" customFormat="1" ht="18.75" customHeight="1" x14ac:dyDescent="0.25">
      <c r="A263" s="686">
        <v>68</v>
      </c>
      <c r="G263" s="308" t="s">
        <v>534</v>
      </c>
      <c r="H263" s="308" t="s">
        <v>536</v>
      </c>
      <c r="I263" s="308" t="s">
        <v>395</v>
      </c>
      <c r="J263" s="584">
        <v>35199</v>
      </c>
      <c r="K263" s="310">
        <v>1</v>
      </c>
      <c r="L263" s="311"/>
      <c r="M263" s="310" t="s">
        <v>484</v>
      </c>
      <c r="N263" s="310" t="s">
        <v>386</v>
      </c>
      <c r="O263" s="308" t="s">
        <v>384</v>
      </c>
      <c r="P263" s="435">
        <v>9052037023</v>
      </c>
      <c r="R263" s="440">
        <v>44537</v>
      </c>
      <c r="S263" s="423" t="s">
        <v>474</v>
      </c>
      <c r="T263" s="666" t="s">
        <v>430</v>
      </c>
    </row>
    <row r="264" spans="1:20" s="435" customFormat="1" ht="18.75" customHeight="1" x14ac:dyDescent="0.25">
      <c r="A264" s="686">
        <v>69</v>
      </c>
      <c r="G264" s="308" t="s">
        <v>534</v>
      </c>
      <c r="H264" s="308" t="s">
        <v>537</v>
      </c>
      <c r="I264" s="308" t="s">
        <v>404</v>
      </c>
      <c r="J264" s="584">
        <v>26274</v>
      </c>
      <c r="K264" s="310">
        <v>1</v>
      </c>
      <c r="L264" s="311"/>
      <c r="M264" s="310" t="s">
        <v>484</v>
      </c>
      <c r="N264" s="310" t="s">
        <v>386</v>
      </c>
      <c r="O264" s="308" t="s">
        <v>384</v>
      </c>
      <c r="P264" s="435">
        <v>9368500335</v>
      </c>
      <c r="R264" s="440">
        <v>44537</v>
      </c>
      <c r="S264" s="423" t="s">
        <v>474</v>
      </c>
      <c r="T264" s="666" t="s">
        <v>430</v>
      </c>
    </row>
    <row r="265" spans="1:20" s="435" customFormat="1" ht="18.75" customHeight="1" x14ac:dyDescent="0.25">
      <c r="A265" s="686">
        <v>70</v>
      </c>
      <c r="G265" s="308" t="s">
        <v>538</v>
      </c>
      <c r="H265" s="308" t="s">
        <v>539</v>
      </c>
      <c r="I265" s="308" t="s">
        <v>459</v>
      </c>
      <c r="J265" s="584">
        <v>22649</v>
      </c>
      <c r="K265" s="310">
        <v>1</v>
      </c>
      <c r="L265" s="311"/>
      <c r="M265" s="310" t="s">
        <v>484</v>
      </c>
      <c r="N265" s="310" t="s">
        <v>386</v>
      </c>
      <c r="O265" s="308" t="s">
        <v>384</v>
      </c>
      <c r="R265" s="440">
        <v>44537</v>
      </c>
      <c r="S265" s="423" t="s">
        <v>474</v>
      </c>
      <c r="T265" s="666" t="s">
        <v>430</v>
      </c>
    </row>
    <row r="266" spans="1:20" s="435" customFormat="1" ht="18.75" customHeight="1" x14ac:dyDescent="0.25">
      <c r="A266" s="686">
        <v>71</v>
      </c>
      <c r="G266" s="308" t="s">
        <v>507</v>
      </c>
      <c r="H266" s="308" t="s">
        <v>446</v>
      </c>
      <c r="I266" s="308"/>
      <c r="J266" s="584">
        <v>22923</v>
      </c>
      <c r="K266" s="310">
        <v>1</v>
      </c>
      <c r="L266" s="311"/>
      <c r="M266" s="310" t="s">
        <v>484</v>
      </c>
      <c r="N266" s="310" t="s">
        <v>386</v>
      </c>
      <c r="O266" s="308" t="s">
        <v>384</v>
      </c>
      <c r="R266" s="440">
        <v>44537</v>
      </c>
      <c r="S266" s="423" t="s">
        <v>474</v>
      </c>
      <c r="T266" s="666" t="s">
        <v>430</v>
      </c>
    </row>
    <row r="267" spans="1:20" s="435" customFormat="1" ht="18.75" customHeight="1" x14ac:dyDescent="0.25">
      <c r="A267" s="686">
        <v>72</v>
      </c>
      <c r="G267" s="308" t="s">
        <v>507</v>
      </c>
      <c r="H267" s="308" t="s">
        <v>540</v>
      </c>
      <c r="I267" s="308"/>
      <c r="J267" s="584">
        <v>33125</v>
      </c>
      <c r="K267" s="310">
        <v>1</v>
      </c>
      <c r="L267" s="311"/>
      <c r="M267" s="310" t="s">
        <v>484</v>
      </c>
      <c r="N267" s="310" t="s">
        <v>386</v>
      </c>
      <c r="O267" s="308" t="s">
        <v>384</v>
      </c>
      <c r="R267" s="440">
        <v>44537</v>
      </c>
      <c r="S267" s="423" t="s">
        <v>474</v>
      </c>
      <c r="T267" s="666" t="s">
        <v>430</v>
      </c>
    </row>
    <row r="268" spans="1:20" s="435" customFormat="1" ht="18.75" customHeight="1" x14ac:dyDescent="0.25">
      <c r="A268" s="686">
        <v>73</v>
      </c>
      <c r="G268" s="308" t="s">
        <v>507</v>
      </c>
      <c r="H268" s="308" t="s">
        <v>444</v>
      </c>
      <c r="I268" s="308"/>
      <c r="J268" s="584">
        <v>34905</v>
      </c>
      <c r="K268" s="310">
        <v>1</v>
      </c>
      <c r="L268" s="311"/>
      <c r="M268" s="310" t="s">
        <v>484</v>
      </c>
      <c r="N268" s="310" t="s">
        <v>386</v>
      </c>
      <c r="O268" s="308" t="s">
        <v>384</v>
      </c>
      <c r="R268" s="440">
        <v>44537</v>
      </c>
      <c r="S268" s="423" t="s">
        <v>474</v>
      </c>
      <c r="T268" s="666" t="s">
        <v>430</v>
      </c>
    </row>
    <row r="269" spans="1:20" s="435" customFormat="1" ht="18.75" customHeight="1" x14ac:dyDescent="0.25">
      <c r="A269" s="686">
        <v>74</v>
      </c>
      <c r="G269" s="308" t="s">
        <v>541</v>
      </c>
      <c r="H269" s="308" t="s">
        <v>542</v>
      </c>
      <c r="I269" s="308" t="s">
        <v>393</v>
      </c>
      <c r="J269" s="584">
        <v>36618</v>
      </c>
      <c r="K269" s="310">
        <v>1</v>
      </c>
      <c r="L269" s="311"/>
      <c r="M269" s="310" t="s">
        <v>484</v>
      </c>
      <c r="N269" s="310" t="s">
        <v>386</v>
      </c>
      <c r="O269" s="308" t="s">
        <v>384</v>
      </c>
      <c r="R269" s="440">
        <v>44537</v>
      </c>
      <c r="S269" s="423" t="s">
        <v>474</v>
      </c>
      <c r="T269" s="666" t="s">
        <v>430</v>
      </c>
    </row>
    <row r="270" spans="1:20" s="704" customFormat="1" ht="18.75" customHeight="1" x14ac:dyDescent="0.25">
      <c r="A270" s="686">
        <v>75</v>
      </c>
      <c r="G270" s="567" t="s">
        <v>543</v>
      </c>
      <c r="H270" s="567" t="s">
        <v>544</v>
      </c>
      <c r="I270" s="567"/>
      <c r="J270" s="689">
        <v>36193</v>
      </c>
      <c r="K270" s="687">
        <v>1</v>
      </c>
      <c r="L270" s="705"/>
      <c r="M270" s="687" t="s">
        <v>484</v>
      </c>
      <c r="N270" s="687" t="s">
        <v>386</v>
      </c>
      <c r="O270" s="567" t="s">
        <v>384</v>
      </c>
      <c r="R270" s="706">
        <v>44537</v>
      </c>
      <c r="S270" s="707" t="s">
        <v>474</v>
      </c>
      <c r="T270" s="708" t="s">
        <v>430</v>
      </c>
    </row>
    <row r="271" spans="1:20" s="704" customFormat="1" ht="18.75" customHeight="1" x14ac:dyDescent="0.25">
      <c r="A271" s="686">
        <v>76</v>
      </c>
      <c r="G271" s="567" t="s">
        <v>840</v>
      </c>
      <c r="H271" s="567" t="s">
        <v>841</v>
      </c>
      <c r="I271" s="567" t="s">
        <v>842</v>
      </c>
      <c r="J271" s="689">
        <v>38175</v>
      </c>
      <c r="K271" s="687"/>
      <c r="L271" s="687">
        <v>1</v>
      </c>
      <c r="M271" s="687" t="s">
        <v>462</v>
      </c>
      <c r="N271" s="687" t="s">
        <v>435</v>
      </c>
      <c r="O271" s="567" t="s">
        <v>384</v>
      </c>
      <c r="R271" s="706">
        <v>44539</v>
      </c>
      <c r="S271" s="707" t="s">
        <v>474</v>
      </c>
      <c r="T271" s="708" t="s">
        <v>430</v>
      </c>
    </row>
    <row r="272" spans="1:20" s="704" customFormat="1" ht="18.75" customHeight="1" x14ac:dyDescent="0.25">
      <c r="A272" s="686">
        <v>77</v>
      </c>
      <c r="G272" s="567" t="s">
        <v>439</v>
      </c>
      <c r="H272" s="567" t="s">
        <v>445</v>
      </c>
      <c r="I272" s="567" t="s">
        <v>403</v>
      </c>
      <c r="J272" s="689">
        <v>34051</v>
      </c>
      <c r="K272" s="687">
        <v>1</v>
      </c>
      <c r="L272" s="687"/>
      <c r="M272" s="687" t="s">
        <v>462</v>
      </c>
      <c r="N272" s="687" t="s">
        <v>435</v>
      </c>
      <c r="O272" s="567" t="s">
        <v>384</v>
      </c>
      <c r="R272" s="706">
        <v>44539</v>
      </c>
      <c r="S272" s="707" t="s">
        <v>474</v>
      </c>
      <c r="T272" s="708" t="s">
        <v>430</v>
      </c>
    </row>
    <row r="273" spans="1:20" s="704" customFormat="1" ht="18.75" customHeight="1" x14ac:dyDescent="0.25">
      <c r="A273" s="686">
        <v>78</v>
      </c>
      <c r="G273" s="567" t="s">
        <v>457</v>
      </c>
      <c r="H273" s="567" t="s">
        <v>451</v>
      </c>
      <c r="I273" s="567" t="s">
        <v>402</v>
      </c>
      <c r="J273" s="689">
        <v>31240</v>
      </c>
      <c r="K273" s="687">
        <v>1</v>
      </c>
      <c r="L273" s="687"/>
      <c r="M273" s="687" t="s">
        <v>462</v>
      </c>
      <c r="N273" s="687" t="s">
        <v>435</v>
      </c>
      <c r="O273" s="567" t="s">
        <v>384</v>
      </c>
      <c r="R273" s="706">
        <v>44539</v>
      </c>
      <c r="S273" s="707" t="s">
        <v>474</v>
      </c>
      <c r="T273" s="708" t="s">
        <v>430</v>
      </c>
    </row>
    <row r="274" spans="1:20" s="704" customFormat="1" ht="18.75" customHeight="1" x14ac:dyDescent="0.25">
      <c r="A274" s="686">
        <v>79</v>
      </c>
      <c r="G274" s="567" t="s">
        <v>439</v>
      </c>
      <c r="H274" s="567" t="s">
        <v>843</v>
      </c>
      <c r="I274" s="567" t="s">
        <v>425</v>
      </c>
      <c r="J274" s="689">
        <v>28717</v>
      </c>
      <c r="K274" s="687">
        <v>1</v>
      </c>
      <c r="L274" s="687"/>
      <c r="M274" s="687" t="s">
        <v>462</v>
      </c>
      <c r="N274" s="687" t="s">
        <v>435</v>
      </c>
      <c r="O274" s="567" t="s">
        <v>384</v>
      </c>
      <c r="R274" s="706">
        <v>44539</v>
      </c>
      <c r="S274" s="707" t="s">
        <v>474</v>
      </c>
      <c r="T274" s="708" t="s">
        <v>430</v>
      </c>
    </row>
    <row r="275" spans="1:20" s="704" customFormat="1" ht="18.75" customHeight="1" x14ac:dyDescent="0.25">
      <c r="A275" s="686">
        <v>80</v>
      </c>
      <c r="G275" s="567" t="s">
        <v>454</v>
      </c>
      <c r="H275" s="567" t="s">
        <v>455</v>
      </c>
      <c r="I275" s="567" t="s">
        <v>405</v>
      </c>
      <c r="J275" s="689">
        <v>36619</v>
      </c>
      <c r="K275" s="687">
        <v>1</v>
      </c>
      <c r="L275" s="687"/>
      <c r="M275" s="687" t="s">
        <v>462</v>
      </c>
      <c r="N275" s="687" t="s">
        <v>435</v>
      </c>
      <c r="O275" s="567" t="s">
        <v>384</v>
      </c>
      <c r="R275" s="706">
        <v>44539</v>
      </c>
      <c r="S275" s="707" t="s">
        <v>474</v>
      </c>
      <c r="T275" s="708" t="s">
        <v>430</v>
      </c>
    </row>
    <row r="276" spans="1:20" s="704" customFormat="1" ht="18.75" customHeight="1" x14ac:dyDescent="0.25">
      <c r="A276" s="686">
        <v>81</v>
      </c>
      <c r="G276" s="567" t="s">
        <v>457</v>
      </c>
      <c r="H276" s="567" t="s">
        <v>715</v>
      </c>
      <c r="I276" s="567" t="s">
        <v>403</v>
      </c>
      <c r="J276" s="689">
        <v>19085</v>
      </c>
      <c r="K276" s="687">
        <v>1</v>
      </c>
      <c r="L276" s="687"/>
      <c r="M276" s="687" t="s">
        <v>462</v>
      </c>
      <c r="N276" s="687" t="s">
        <v>435</v>
      </c>
      <c r="O276" s="567" t="s">
        <v>384</v>
      </c>
      <c r="R276" s="706">
        <v>44539</v>
      </c>
      <c r="S276" s="707" t="s">
        <v>474</v>
      </c>
      <c r="T276" s="708" t="s">
        <v>430</v>
      </c>
    </row>
    <row r="277" spans="1:20" s="704" customFormat="1" ht="18.75" customHeight="1" x14ac:dyDescent="0.25">
      <c r="A277" s="686">
        <v>82</v>
      </c>
      <c r="G277" s="567" t="s">
        <v>452</v>
      </c>
      <c r="H277" s="567" t="s">
        <v>448</v>
      </c>
      <c r="I277" s="567" t="s">
        <v>421</v>
      </c>
      <c r="J277" s="689">
        <v>31734</v>
      </c>
      <c r="K277" s="687">
        <v>1</v>
      </c>
      <c r="L277" s="687"/>
      <c r="M277" s="687" t="s">
        <v>462</v>
      </c>
      <c r="N277" s="687" t="s">
        <v>435</v>
      </c>
      <c r="O277" s="567" t="s">
        <v>384</v>
      </c>
      <c r="R277" s="706">
        <v>44539</v>
      </c>
      <c r="S277" s="707" t="s">
        <v>474</v>
      </c>
      <c r="T277" s="708" t="s">
        <v>430</v>
      </c>
    </row>
    <row r="278" spans="1:20" s="704" customFormat="1" ht="18.75" customHeight="1" x14ac:dyDescent="0.25">
      <c r="A278" s="686">
        <v>83</v>
      </c>
      <c r="G278" s="567" t="s">
        <v>439</v>
      </c>
      <c r="H278" s="567" t="s">
        <v>844</v>
      </c>
      <c r="I278" s="567" t="s">
        <v>387</v>
      </c>
      <c r="J278" s="689">
        <v>34235</v>
      </c>
      <c r="K278" s="687">
        <v>1</v>
      </c>
      <c r="L278" s="687"/>
      <c r="M278" s="687" t="s">
        <v>462</v>
      </c>
      <c r="N278" s="687" t="s">
        <v>435</v>
      </c>
      <c r="O278" s="567" t="s">
        <v>384</v>
      </c>
      <c r="P278" s="704">
        <v>9164386399</v>
      </c>
      <c r="R278" s="706">
        <v>44539</v>
      </c>
      <c r="S278" s="707" t="s">
        <v>474</v>
      </c>
      <c r="T278" s="708" t="s">
        <v>430</v>
      </c>
    </row>
    <row r="279" spans="1:20" s="704" customFormat="1" ht="18.75" customHeight="1" x14ac:dyDescent="0.25">
      <c r="A279" s="686">
        <v>84</v>
      </c>
      <c r="G279" s="567" t="s">
        <v>845</v>
      </c>
      <c r="H279" s="567" t="s">
        <v>440</v>
      </c>
      <c r="I279" s="567" t="s">
        <v>421</v>
      </c>
      <c r="J279" s="689">
        <v>35717</v>
      </c>
      <c r="K279" s="687">
        <v>1</v>
      </c>
      <c r="L279" s="687"/>
      <c r="M279" s="687" t="s">
        <v>462</v>
      </c>
      <c r="N279" s="687" t="s">
        <v>435</v>
      </c>
      <c r="O279" s="567" t="s">
        <v>384</v>
      </c>
      <c r="P279" s="704">
        <v>9566682261</v>
      </c>
      <c r="R279" s="706">
        <v>44539</v>
      </c>
      <c r="S279" s="707" t="s">
        <v>474</v>
      </c>
      <c r="T279" s="708" t="s">
        <v>430</v>
      </c>
    </row>
    <row r="280" spans="1:20" s="704" customFormat="1" ht="18.75" customHeight="1" x14ac:dyDescent="0.25">
      <c r="A280" s="686">
        <v>85</v>
      </c>
      <c r="G280" s="567" t="s">
        <v>439</v>
      </c>
      <c r="H280" s="567" t="s">
        <v>846</v>
      </c>
      <c r="I280" s="567" t="s">
        <v>421</v>
      </c>
      <c r="J280" s="689">
        <v>23385</v>
      </c>
      <c r="K280" s="687">
        <v>1</v>
      </c>
      <c r="L280" s="687"/>
      <c r="M280" s="687" t="s">
        <v>462</v>
      </c>
      <c r="N280" s="687" t="s">
        <v>435</v>
      </c>
      <c r="O280" s="567" t="s">
        <v>384</v>
      </c>
      <c r="R280" s="706">
        <v>44539</v>
      </c>
      <c r="S280" s="707" t="s">
        <v>474</v>
      </c>
      <c r="T280" s="708" t="s">
        <v>430</v>
      </c>
    </row>
    <row r="281" spans="1:20" s="704" customFormat="1" ht="18.75" customHeight="1" x14ac:dyDescent="0.25">
      <c r="A281" s="686">
        <v>86</v>
      </c>
      <c r="G281" s="567" t="s">
        <v>439</v>
      </c>
      <c r="H281" s="567" t="s">
        <v>422</v>
      </c>
      <c r="I281" s="567" t="s">
        <v>387</v>
      </c>
      <c r="J281" s="689">
        <v>34594</v>
      </c>
      <c r="K281" s="687">
        <v>1</v>
      </c>
      <c r="L281" s="687"/>
      <c r="M281" s="687" t="s">
        <v>462</v>
      </c>
      <c r="N281" s="687" t="s">
        <v>435</v>
      </c>
      <c r="O281" s="567" t="s">
        <v>384</v>
      </c>
      <c r="R281" s="706">
        <v>44539</v>
      </c>
      <c r="S281" s="707" t="s">
        <v>474</v>
      </c>
      <c r="T281" s="708" t="s">
        <v>430</v>
      </c>
    </row>
    <row r="282" spans="1:20" s="704" customFormat="1" ht="18.75" customHeight="1" x14ac:dyDescent="0.25">
      <c r="A282" s="686">
        <v>87</v>
      </c>
      <c r="G282" s="567" t="s">
        <v>847</v>
      </c>
      <c r="H282" s="567" t="s">
        <v>848</v>
      </c>
      <c r="I282" s="567" t="s">
        <v>402</v>
      </c>
      <c r="J282" s="689">
        <v>30538</v>
      </c>
      <c r="K282" s="687">
        <v>1</v>
      </c>
      <c r="L282" s="687"/>
      <c r="M282" s="687" t="s">
        <v>462</v>
      </c>
      <c r="N282" s="687" t="s">
        <v>435</v>
      </c>
      <c r="O282" s="567" t="s">
        <v>384</v>
      </c>
      <c r="R282" s="706">
        <v>44539</v>
      </c>
      <c r="S282" s="707" t="s">
        <v>474</v>
      </c>
      <c r="T282" s="708" t="s">
        <v>430</v>
      </c>
    </row>
    <row r="283" spans="1:20" s="704" customFormat="1" ht="18.75" customHeight="1" x14ac:dyDescent="0.25">
      <c r="A283" s="686">
        <v>88</v>
      </c>
      <c r="G283" s="567" t="s">
        <v>448</v>
      </c>
      <c r="H283" s="567" t="s">
        <v>465</v>
      </c>
      <c r="I283" s="567" t="s">
        <v>410</v>
      </c>
      <c r="J283" s="689">
        <v>33278</v>
      </c>
      <c r="K283" s="687">
        <v>1</v>
      </c>
      <c r="L283" s="687"/>
      <c r="M283" s="687" t="s">
        <v>462</v>
      </c>
      <c r="N283" s="687" t="s">
        <v>435</v>
      </c>
      <c r="O283" s="567" t="s">
        <v>384</v>
      </c>
      <c r="R283" s="706">
        <v>44539</v>
      </c>
      <c r="S283" s="707" t="s">
        <v>474</v>
      </c>
      <c r="T283" s="708" t="s">
        <v>430</v>
      </c>
    </row>
    <row r="284" spans="1:20" s="704" customFormat="1" ht="18.75" customHeight="1" x14ac:dyDescent="0.25">
      <c r="A284" s="686">
        <v>89</v>
      </c>
      <c r="G284" s="567" t="s">
        <v>849</v>
      </c>
      <c r="H284" s="567" t="s">
        <v>473</v>
      </c>
      <c r="I284" s="567" t="s">
        <v>404</v>
      </c>
      <c r="J284" s="689">
        <v>22184</v>
      </c>
      <c r="K284" s="687">
        <v>1</v>
      </c>
      <c r="L284" s="687"/>
      <c r="M284" s="687" t="s">
        <v>462</v>
      </c>
      <c r="N284" s="687" t="s">
        <v>435</v>
      </c>
      <c r="O284" s="567" t="s">
        <v>384</v>
      </c>
      <c r="R284" s="706">
        <v>44539</v>
      </c>
      <c r="S284" s="707" t="s">
        <v>474</v>
      </c>
      <c r="T284" s="708" t="s">
        <v>430</v>
      </c>
    </row>
    <row r="285" spans="1:20" s="704" customFormat="1" ht="18.75" customHeight="1" x14ac:dyDescent="0.25">
      <c r="A285" s="686">
        <v>90</v>
      </c>
      <c r="G285" s="567" t="s">
        <v>849</v>
      </c>
      <c r="H285" s="567" t="s">
        <v>850</v>
      </c>
      <c r="I285" s="567" t="s">
        <v>404</v>
      </c>
      <c r="J285" s="689">
        <v>30335</v>
      </c>
      <c r="K285" s="687">
        <v>1</v>
      </c>
      <c r="L285" s="687"/>
      <c r="M285" s="687" t="s">
        <v>462</v>
      </c>
      <c r="N285" s="687" t="s">
        <v>435</v>
      </c>
      <c r="O285" s="567" t="s">
        <v>384</v>
      </c>
      <c r="R285" s="706">
        <v>44539</v>
      </c>
      <c r="S285" s="707" t="s">
        <v>474</v>
      </c>
      <c r="T285" s="708" t="s">
        <v>430</v>
      </c>
    </row>
    <row r="286" spans="1:20" s="704" customFormat="1" ht="18.75" customHeight="1" x14ac:dyDescent="0.25">
      <c r="A286" s="686">
        <v>91</v>
      </c>
      <c r="G286" s="567" t="s">
        <v>466</v>
      </c>
      <c r="H286" s="567" t="s">
        <v>851</v>
      </c>
      <c r="I286" s="567" t="s">
        <v>421</v>
      </c>
      <c r="J286" s="689">
        <v>29719</v>
      </c>
      <c r="K286" s="687">
        <v>1</v>
      </c>
      <c r="L286" s="687"/>
      <c r="M286" s="687" t="s">
        <v>462</v>
      </c>
      <c r="N286" s="687" t="s">
        <v>435</v>
      </c>
      <c r="O286" s="567" t="s">
        <v>384</v>
      </c>
      <c r="P286" s="704">
        <v>9651476419</v>
      </c>
      <c r="R286" s="706">
        <v>44539</v>
      </c>
      <c r="S286" s="707" t="s">
        <v>474</v>
      </c>
      <c r="T286" s="708" t="s">
        <v>430</v>
      </c>
    </row>
    <row r="287" spans="1:20" s="704" customFormat="1" ht="18.75" customHeight="1" x14ac:dyDescent="0.25">
      <c r="A287" s="686">
        <v>92</v>
      </c>
      <c r="G287" s="567" t="s">
        <v>852</v>
      </c>
      <c r="H287" s="567" t="s">
        <v>853</v>
      </c>
      <c r="I287" s="567" t="s">
        <v>393</v>
      </c>
      <c r="J287" s="689">
        <v>24241</v>
      </c>
      <c r="K287" s="687">
        <v>1</v>
      </c>
      <c r="L287" s="687"/>
      <c r="M287" s="687" t="s">
        <v>462</v>
      </c>
      <c r="N287" s="687" t="s">
        <v>435</v>
      </c>
      <c r="O287" s="567" t="s">
        <v>384</v>
      </c>
      <c r="R287" s="706">
        <v>44539</v>
      </c>
      <c r="S287" s="707" t="s">
        <v>474</v>
      </c>
      <c r="T287" s="708" t="s">
        <v>430</v>
      </c>
    </row>
    <row r="288" spans="1:20" s="704" customFormat="1" ht="18.75" customHeight="1" x14ac:dyDescent="0.25">
      <c r="A288" s="686">
        <v>93</v>
      </c>
      <c r="G288" s="567" t="s">
        <v>448</v>
      </c>
      <c r="H288" s="567" t="s">
        <v>464</v>
      </c>
      <c r="I288" s="567" t="s">
        <v>395</v>
      </c>
      <c r="J288" s="689">
        <v>28917</v>
      </c>
      <c r="K288" s="687">
        <v>1</v>
      </c>
      <c r="L288" s="687"/>
      <c r="M288" s="687" t="s">
        <v>462</v>
      </c>
      <c r="N288" s="687" t="s">
        <v>435</v>
      </c>
      <c r="O288" s="567" t="s">
        <v>384</v>
      </c>
      <c r="R288" s="706">
        <v>44539</v>
      </c>
      <c r="S288" s="707" t="s">
        <v>474</v>
      </c>
      <c r="T288" s="708" t="s">
        <v>430</v>
      </c>
    </row>
    <row r="289" spans="1:20" s="704" customFormat="1" ht="18.75" customHeight="1" x14ac:dyDescent="0.25">
      <c r="A289" s="686">
        <v>94</v>
      </c>
      <c r="G289" s="567" t="s">
        <v>471</v>
      </c>
      <c r="H289" s="567" t="s">
        <v>472</v>
      </c>
      <c r="I289" s="567" t="s">
        <v>404</v>
      </c>
      <c r="J289" s="689">
        <v>29308</v>
      </c>
      <c r="K289" s="687">
        <v>1</v>
      </c>
      <c r="L289" s="687"/>
      <c r="M289" s="687" t="s">
        <v>462</v>
      </c>
      <c r="N289" s="687" t="s">
        <v>435</v>
      </c>
      <c r="O289" s="567" t="s">
        <v>384</v>
      </c>
      <c r="R289" s="706">
        <v>44539</v>
      </c>
      <c r="S289" s="707" t="s">
        <v>474</v>
      </c>
      <c r="T289" s="708" t="s">
        <v>430</v>
      </c>
    </row>
    <row r="290" spans="1:20" s="704" customFormat="1" ht="18.75" customHeight="1" x14ac:dyDescent="0.25">
      <c r="A290" s="686">
        <v>95</v>
      </c>
      <c r="G290" s="567" t="s">
        <v>448</v>
      </c>
      <c r="H290" s="567" t="s">
        <v>449</v>
      </c>
      <c r="I290" s="567" t="s">
        <v>394</v>
      </c>
      <c r="J290" s="689">
        <v>21596</v>
      </c>
      <c r="K290" s="687">
        <v>1</v>
      </c>
      <c r="L290" s="687"/>
      <c r="M290" s="687" t="s">
        <v>462</v>
      </c>
      <c r="N290" s="687" t="s">
        <v>435</v>
      </c>
      <c r="O290" s="567" t="s">
        <v>384</v>
      </c>
      <c r="R290" s="706">
        <v>44539</v>
      </c>
      <c r="S290" s="707" t="s">
        <v>474</v>
      </c>
      <c r="T290" s="708" t="s">
        <v>430</v>
      </c>
    </row>
    <row r="291" spans="1:20" s="704" customFormat="1" ht="18.75" customHeight="1" x14ac:dyDescent="0.25">
      <c r="A291" s="686">
        <v>96</v>
      </c>
      <c r="G291" s="567" t="s">
        <v>450</v>
      </c>
      <c r="H291" s="567" t="s">
        <v>854</v>
      </c>
      <c r="I291" s="567" t="s">
        <v>395</v>
      </c>
      <c r="J291" s="689">
        <v>29844</v>
      </c>
      <c r="K291" s="687">
        <v>1</v>
      </c>
      <c r="L291" s="687"/>
      <c r="M291" s="687" t="s">
        <v>462</v>
      </c>
      <c r="N291" s="687" t="s">
        <v>435</v>
      </c>
      <c r="O291" s="567" t="s">
        <v>384</v>
      </c>
      <c r="R291" s="706">
        <v>44539</v>
      </c>
      <c r="S291" s="707" t="s">
        <v>474</v>
      </c>
      <c r="T291" s="708" t="s">
        <v>430</v>
      </c>
    </row>
    <row r="292" spans="1:20" s="704" customFormat="1" ht="18.75" customHeight="1" x14ac:dyDescent="0.25">
      <c r="A292" s="686">
        <v>97</v>
      </c>
      <c r="G292" s="567" t="s">
        <v>439</v>
      </c>
      <c r="H292" s="567" t="s">
        <v>445</v>
      </c>
      <c r="I292" s="567" t="s">
        <v>397</v>
      </c>
      <c r="J292" s="689">
        <v>24399</v>
      </c>
      <c r="K292" s="687">
        <v>1</v>
      </c>
      <c r="L292" s="687"/>
      <c r="M292" s="687" t="s">
        <v>462</v>
      </c>
      <c r="N292" s="687" t="s">
        <v>435</v>
      </c>
      <c r="O292" s="567" t="s">
        <v>384</v>
      </c>
      <c r="R292" s="706">
        <v>44539</v>
      </c>
      <c r="S292" s="707" t="s">
        <v>474</v>
      </c>
      <c r="T292" s="708" t="s">
        <v>430</v>
      </c>
    </row>
    <row r="293" spans="1:20" s="704" customFormat="1" ht="18.75" customHeight="1" x14ac:dyDescent="0.25">
      <c r="A293" s="686">
        <v>98</v>
      </c>
      <c r="G293" s="567" t="s">
        <v>439</v>
      </c>
      <c r="H293" s="567" t="s">
        <v>461</v>
      </c>
      <c r="I293" s="567"/>
      <c r="J293" s="689">
        <v>31295</v>
      </c>
      <c r="K293" s="687">
        <v>1</v>
      </c>
      <c r="L293" s="687"/>
      <c r="M293" s="687" t="s">
        <v>462</v>
      </c>
      <c r="N293" s="687" t="s">
        <v>435</v>
      </c>
      <c r="O293" s="567" t="s">
        <v>384</v>
      </c>
      <c r="R293" s="706">
        <v>44539</v>
      </c>
      <c r="S293" s="707" t="s">
        <v>474</v>
      </c>
      <c r="T293" s="708" t="s">
        <v>430</v>
      </c>
    </row>
    <row r="294" spans="1:20" s="704" customFormat="1" ht="18.75" customHeight="1" x14ac:dyDescent="0.25">
      <c r="A294" s="686">
        <v>99</v>
      </c>
      <c r="G294" s="567" t="s">
        <v>849</v>
      </c>
      <c r="H294" s="567" t="s">
        <v>855</v>
      </c>
      <c r="I294" s="567" t="s">
        <v>404</v>
      </c>
      <c r="J294" s="689">
        <v>35140</v>
      </c>
      <c r="K294" s="687">
        <v>1</v>
      </c>
      <c r="L294" s="687"/>
      <c r="M294" s="687" t="s">
        <v>462</v>
      </c>
      <c r="N294" s="687" t="s">
        <v>435</v>
      </c>
      <c r="O294" s="567" t="s">
        <v>384</v>
      </c>
      <c r="R294" s="706">
        <v>44539</v>
      </c>
      <c r="S294" s="707" t="s">
        <v>474</v>
      </c>
      <c r="T294" s="708" t="s">
        <v>430</v>
      </c>
    </row>
    <row r="295" spans="1:20" s="704" customFormat="1" ht="18.75" customHeight="1" x14ac:dyDescent="0.25">
      <c r="A295" s="686">
        <v>100</v>
      </c>
      <c r="G295" s="567" t="s">
        <v>441</v>
      </c>
      <c r="H295" s="567" t="s">
        <v>447</v>
      </c>
      <c r="I295" s="567" t="s">
        <v>421</v>
      </c>
      <c r="J295" s="689">
        <v>35064</v>
      </c>
      <c r="K295" s="687">
        <v>1</v>
      </c>
      <c r="L295" s="687"/>
      <c r="M295" s="687" t="s">
        <v>462</v>
      </c>
      <c r="N295" s="687" t="s">
        <v>435</v>
      </c>
      <c r="O295" s="567" t="s">
        <v>384</v>
      </c>
      <c r="R295" s="706">
        <v>44539</v>
      </c>
      <c r="S295" s="707" t="s">
        <v>474</v>
      </c>
      <c r="T295" s="708" t="s">
        <v>430</v>
      </c>
    </row>
    <row r="296" spans="1:20" s="704" customFormat="1" ht="18.75" customHeight="1" x14ac:dyDescent="0.25">
      <c r="A296" s="686">
        <v>101</v>
      </c>
      <c r="G296" s="567" t="s">
        <v>454</v>
      </c>
      <c r="H296" s="567" t="s">
        <v>467</v>
      </c>
      <c r="I296" s="567" t="s">
        <v>405</v>
      </c>
      <c r="J296" s="689">
        <v>25420</v>
      </c>
      <c r="K296" s="687"/>
      <c r="L296" s="687">
        <v>1</v>
      </c>
      <c r="M296" s="687" t="s">
        <v>462</v>
      </c>
      <c r="N296" s="687" t="s">
        <v>435</v>
      </c>
      <c r="O296" s="567" t="s">
        <v>384</v>
      </c>
      <c r="R296" s="706">
        <v>44539</v>
      </c>
      <c r="S296" s="707" t="s">
        <v>474</v>
      </c>
      <c r="T296" s="708" t="s">
        <v>430</v>
      </c>
    </row>
    <row r="297" spans="1:20" s="704" customFormat="1" ht="18.75" customHeight="1" x14ac:dyDescent="0.25">
      <c r="A297" s="686">
        <v>102</v>
      </c>
      <c r="G297" s="567" t="s">
        <v>442</v>
      </c>
      <c r="H297" s="567" t="s">
        <v>443</v>
      </c>
      <c r="I297" s="567" t="s">
        <v>404</v>
      </c>
      <c r="J297" s="689">
        <v>33948</v>
      </c>
      <c r="K297" s="687">
        <v>1</v>
      </c>
      <c r="L297" s="687"/>
      <c r="M297" s="687" t="s">
        <v>462</v>
      </c>
      <c r="N297" s="687" t="s">
        <v>435</v>
      </c>
      <c r="O297" s="567" t="s">
        <v>384</v>
      </c>
      <c r="R297" s="706">
        <v>44539</v>
      </c>
      <c r="S297" s="707" t="s">
        <v>474</v>
      </c>
      <c r="T297" s="708" t="s">
        <v>430</v>
      </c>
    </row>
    <row r="298" spans="1:20" s="704" customFormat="1" ht="18.75" customHeight="1" x14ac:dyDescent="0.25">
      <c r="A298" s="686">
        <v>103</v>
      </c>
      <c r="G298" s="567" t="s">
        <v>441</v>
      </c>
      <c r="H298" s="567" t="s">
        <v>794</v>
      </c>
      <c r="I298" s="567" t="s">
        <v>421</v>
      </c>
      <c r="J298" s="689">
        <v>27487</v>
      </c>
      <c r="K298" s="687"/>
      <c r="L298" s="687">
        <v>1</v>
      </c>
      <c r="M298" s="687" t="s">
        <v>462</v>
      </c>
      <c r="N298" s="687" t="s">
        <v>435</v>
      </c>
      <c r="O298" s="567" t="s">
        <v>384</v>
      </c>
      <c r="R298" s="706">
        <v>44539</v>
      </c>
      <c r="S298" s="707" t="s">
        <v>474</v>
      </c>
      <c r="T298" s="708" t="s">
        <v>430</v>
      </c>
    </row>
    <row r="299" spans="1:20" s="704" customFormat="1" ht="18.75" customHeight="1" x14ac:dyDescent="0.25">
      <c r="A299" s="686">
        <v>104</v>
      </c>
      <c r="G299" s="567" t="s">
        <v>454</v>
      </c>
      <c r="H299" s="567" t="s">
        <v>856</v>
      </c>
      <c r="I299" s="567" t="s">
        <v>405</v>
      </c>
      <c r="J299" s="689">
        <v>36619</v>
      </c>
      <c r="K299" s="687"/>
      <c r="L299" s="687">
        <v>1</v>
      </c>
      <c r="M299" s="687" t="s">
        <v>462</v>
      </c>
      <c r="N299" s="687" t="s">
        <v>435</v>
      </c>
      <c r="O299" s="567" t="s">
        <v>384</v>
      </c>
      <c r="R299" s="706">
        <v>44539</v>
      </c>
      <c r="S299" s="707" t="s">
        <v>474</v>
      </c>
      <c r="T299" s="708" t="s">
        <v>430</v>
      </c>
    </row>
    <row r="300" spans="1:20" s="704" customFormat="1" ht="18.75" customHeight="1" x14ac:dyDescent="0.25">
      <c r="A300" s="686">
        <v>105</v>
      </c>
      <c r="G300" s="567" t="s">
        <v>442</v>
      </c>
      <c r="H300" s="567" t="s">
        <v>453</v>
      </c>
      <c r="I300" s="567" t="s">
        <v>404</v>
      </c>
      <c r="J300" s="689">
        <v>25429</v>
      </c>
      <c r="K300" s="687"/>
      <c r="L300" s="687">
        <v>1</v>
      </c>
      <c r="M300" s="687" t="s">
        <v>462</v>
      </c>
      <c r="N300" s="687" t="s">
        <v>435</v>
      </c>
      <c r="O300" s="567" t="s">
        <v>384</v>
      </c>
      <c r="R300" s="706">
        <v>44539</v>
      </c>
      <c r="S300" s="707" t="s">
        <v>474</v>
      </c>
      <c r="T300" s="708" t="s">
        <v>430</v>
      </c>
    </row>
    <row r="301" spans="1:20" s="704" customFormat="1" ht="18.75" customHeight="1" x14ac:dyDescent="0.25">
      <c r="A301" s="686">
        <v>106</v>
      </c>
      <c r="G301" s="567" t="s">
        <v>495</v>
      </c>
      <c r="H301" s="567" t="s">
        <v>437</v>
      </c>
      <c r="I301" s="567" t="s">
        <v>397</v>
      </c>
      <c r="J301" s="689">
        <v>30648</v>
      </c>
      <c r="K301" s="687">
        <v>1</v>
      </c>
      <c r="L301" s="687"/>
      <c r="M301" s="687" t="s">
        <v>857</v>
      </c>
      <c r="N301" s="687" t="s">
        <v>435</v>
      </c>
      <c r="O301" s="567" t="s">
        <v>384</v>
      </c>
      <c r="P301" s="704">
        <v>9198568748</v>
      </c>
      <c r="R301" s="706">
        <v>44539</v>
      </c>
      <c r="S301" s="707" t="s">
        <v>474</v>
      </c>
      <c r="T301" s="708" t="s">
        <v>430</v>
      </c>
    </row>
    <row r="302" spans="1:20" s="704" customFormat="1" ht="18.75" customHeight="1" x14ac:dyDescent="0.25">
      <c r="A302" s="686">
        <v>107</v>
      </c>
      <c r="G302" s="567" t="s">
        <v>858</v>
      </c>
      <c r="H302" s="714" t="s">
        <v>859</v>
      </c>
      <c r="I302" s="567"/>
      <c r="J302" s="689">
        <v>30568</v>
      </c>
      <c r="K302" s="687">
        <v>1</v>
      </c>
      <c r="L302" s="687"/>
      <c r="M302" s="687" t="s">
        <v>860</v>
      </c>
      <c r="N302" s="687" t="s">
        <v>435</v>
      </c>
      <c r="O302" s="567" t="s">
        <v>384</v>
      </c>
      <c r="R302" s="706">
        <v>44539</v>
      </c>
      <c r="S302" s="707" t="s">
        <v>474</v>
      </c>
      <c r="T302" s="708" t="s">
        <v>430</v>
      </c>
    </row>
    <row r="303" spans="1:20" s="704" customFormat="1" ht="18.75" customHeight="1" x14ac:dyDescent="0.25">
      <c r="A303" s="686">
        <v>108</v>
      </c>
      <c r="G303" s="567" t="s">
        <v>861</v>
      </c>
      <c r="H303" s="567" t="s">
        <v>862</v>
      </c>
      <c r="I303" s="567"/>
      <c r="J303" s="689">
        <v>35475</v>
      </c>
      <c r="K303" s="687">
        <v>1</v>
      </c>
      <c r="L303" s="687"/>
      <c r="M303" s="687" t="s">
        <v>863</v>
      </c>
      <c r="N303" s="687" t="s">
        <v>435</v>
      </c>
      <c r="O303" s="567" t="s">
        <v>384</v>
      </c>
      <c r="R303" s="706">
        <v>44539</v>
      </c>
      <c r="S303" s="707" t="s">
        <v>474</v>
      </c>
      <c r="T303" s="708" t="s">
        <v>430</v>
      </c>
    </row>
    <row r="304" spans="1:20" s="704" customFormat="1" ht="18.75" customHeight="1" x14ac:dyDescent="0.25">
      <c r="A304" s="686">
        <v>109</v>
      </c>
      <c r="G304" s="567" t="s">
        <v>864</v>
      </c>
      <c r="H304" s="567" t="s">
        <v>865</v>
      </c>
      <c r="I304" s="567"/>
      <c r="J304" s="689">
        <v>30314</v>
      </c>
      <c r="K304" s="687"/>
      <c r="L304" s="687">
        <v>1</v>
      </c>
      <c r="M304" s="687" t="s">
        <v>863</v>
      </c>
      <c r="N304" s="687" t="s">
        <v>435</v>
      </c>
      <c r="O304" s="567" t="s">
        <v>384</v>
      </c>
      <c r="R304" s="706">
        <v>44539</v>
      </c>
      <c r="S304" s="707" t="s">
        <v>474</v>
      </c>
      <c r="T304" s="708" t="s">
        <v>430</v>
      </c>
    </row>
    <row r="305" spans="1:20" s="704" customFormat="1" ht="18.75" customHeight="1" x14ac:dyDescent="0.25">
      <c r="A305" s="686">
        <v>110</v>
      </c>
      <c r="G305" s="567" t="s">
        <v>866</v>
      </c>
      <c r="H305" s="567" t="s">
        <v>867</v>
      </c>
      <c r="I305" s="567"/>
      <c r="J305" s="689">
        <v>28274</v>
      </c>
      <c r="K305" s="687"/>
      <c r="L305" s="687">
        <v>1</v>
      </c>
      <c r="M305" s="687" t="s">
        <v>863</v>
      </c>
      <c r="N305" s="687" t="s">
        <v>435</v>
      </c>
      <c r="O305" s="567" t="s">
        <v>384</v>
      </c>
      <c r="R305" s="706">
        <v>44539</v>
      </c>
      <c r="S305" s="707" t="s">
        <v>474</v>
      </c>
      <c r="T305" s="708" t="s">
        <v>430</v>
      </c>
    </row>
    <row r="306" spans="1:20" s="704" customFormat="1" ht="18.75" customHeight="1" x14ac:dyDescent="0.25">
      <c r="A306" s="686">
        <v>111</v>
      </c>
      <c r="G306" s="567" t="s">
        <v>868</v>
      </c>
      <c r="H306" s="567" t="s">
        <v>869</v>
      </c>
      <c r="I306" s="567" t="s">
        <v>421</v>
      </c>
      <c r="J306" s="689">
        <v>28628</v>
      </c>
      <c r="K306" s="687">
        <v>1</v>
      </c>
      <c r="L306" s="687"/>
      <c r="M306" s="687" t="s">
        <v>870</v>
      </c>
      <c r="N306" s="687" t="s">
        <v>871</v>
      </c>
      <c r="O306" s="567" t="s">
        <v>384</v>
      </c>
      <c r="R306" s="706">
        <v>44539</v>
      </c>
      <c r="S306" s="707" t="s">
        <v>474</v>
      </c>
      <c r="T306" s="708" t="s">
        <v>430</v>
      </c>
    </row>
    <row r="307" spans="1:20" s="704" customFormat="1" ht="18.75" customHeight="1" x14ac:dyDescent="0.25">
      <c r="A307" s="686">
        <v>112</v>
      </c>
      <c r="G307" s="567" t="s">
        <v>868</v>
      </c>
      <c r="H307" s="567" t="s">
        <v>872</v>
      </c>
      <c r="I307" s="567" t="s">
        <v>399</v>
      </c>
      <c r="J307" s="689">
        <v>37360</v>
      </c>
      <c r="K307" s="687"/>
      <c r="L307" s="687">
        <v>1</v>
      </c>
      <c r="M307" s="687" t="s">
        <v>870</v>
      </c>
      <c r="N307" s="687" t="s">
        <v>871</v>
      </c>
      <c r="O307" s="567" t="s">
        <v>384</v>
      </c>
      <c r="R307" s="706">
        <v>44539</v>
      </c>
      <c r="S307" s="707" t="s">
        <v>474</v>
      </c>
      <c r="T307" s="708" t="s">
        <v>430</v>
      </c>
    </row>
    <row r="308" spans="1:20" s="704" customFormat="1" ht="18.75" customHeight="1" x14ac:dyDescent="0.25">
      <c r="A308" s="686">
        <v>113</v>
      </c>
      <c r="G308" s="567" t="s">
        <v>873</v>
      </c>
      <c r="H308" s="567" t="s">
        <v>503</v>
      </c>
      <c r="I308" s="567" t="s">
        <v>404</v>
      </c>
      <c r="J308" s="689">
        <v>26170</v>
      </c>
      <c r="K308" s="687">
        <v>1</v>
      </c>
      <c r="L308" s="687"/>
      <c r="M308" s="687" t="s">
        <v>870</v>
      </c>
      <c r="N308" s="687" t="s">
        <v>871</v>
      </c>
      <c r="O308" s="567" t="s">
        <v>384</v>
      </c>
      <c r="R308" s="706">
        <v>44539</v>
      </c>
      <c r="S308" s="707" t="s">
        <v>474</v>
      </c>
      <c r="T308" s="708" t="s">
        <v>430</v>
      </c>
    </row>
    <row r="309" spans="1:20" s="704" customFormat="1" ht="18.75" customHeight="1" x14ac:dyDescent="0.25">
      <c r="A309" s="686">
        <v>114</v>
      </c>
      <c r="G309" s="567" t="s">
        <v>874</v>
      </c>
      <c r="H309" s="567" t="s">
        <v>875</v>
      </c>
      <c r="I309" s="567" t="s">
        <v>399</v>
      </c>
      <c r="J309" s="689">
        <v>25708</v>
      </c>
      <c r="K309" s="687"/>
      <c r="L309" s="687">
        <v>1</v>
      </c>
      <c r="M309" s="687" t="s">
        <v>870</v>
      </c>
      <c r="N309" s="687" t="s">
        <v>871</v>
      </c>
      <c r="O309" s="567" t="s">
        <v>384</v>
      </c>
      <c r="R309" s="706">
        <v>44539</v>
      </c>
      <c r="S309" s="707" t="s">
        <v>474</v>
      </c>
      <c r="T309" s="708" t="s">
        <v>430</v>
      </c>
    </row>
    <row r="310" spans="1:20" s="704" customFormat="1" ht="18.75" customHeight="1" x14ac:dyDescent="0.25">
      <c r="A310" s="686">
        <v>115</v>
      </c>
      <c r="G310" s="567" t="s">
        <v>499</v>
      </c>
      <c r="H310" s="567" t="s">
        <v>876</v>
      </c>
      <c r="I310" s="567" t="s">
        <v>397</v>
      </c>
      <c r="J310" s="689">
        <v>35850</v>
      </c>
      <c r="K310" s="687"/>
      <c r="L310" s="687">
        <v>1</v>
      </c>
      <c r="M310" s="687" t="s">
        <v>870</v>
      </c>
      <c r="N310" s="687" t="s">
        <v>871</v>
      </c>
      <c r="O310" s="567" t="s">
        <v>384</v>
      </c>
      <c r="R310" s="706">
        <v>44539</v>
      </c>
      <c r="S310" s="707" t="s">
        <v>474</v>
      </c>
      <c r="T310" s="708" t="s">
        <v>430</v>
      </c>
    </row>
    <row r="311" spans="1:20" s="704" customFormat="1" ht="18.75" customHeight="1" x14ac:dyDescent="0.25">
      <c r="A311" s="686">
        <v>116</v>
      </c>
      <c r="G311" s="567" t="s">
        <v>877</v>
      </c>
      <c r="H311" s="567" t="s">
        <v>458</v>
      </c>
      <c r="I311" s="567" t="s">
        <v>404</v>
      </c>
      <c r="J311" s="689">
        <v>28260</v>
      </c>
      <c r="K311" s="687">
        <v>1</v>
      </c>
      <c r="L311" s="687"/>
      <c r="M311" s="687" t="s">
        <v>870</v>
      </c>
      <c r="N311" s="687" t="s">
        <v>871</v>
      </c>
      <c r="O311" s="567" t="s">
        <v>384</v>
      </c>
      <c r="R311" s="706">
        <v>44539</v>
      </c>
      <c r="S311" s="707" t="s">
        <v>474</v>
      </c>
      <c r="T311" s="708" t="s">
        <v>430</v>
      </c>
    </row>
    <row r="312" spans="1:20" s="704" customFormat="1" ht="18.75" customHeight="1" x14ac:dyDescent="0.25">
      <c r="A312" s="686">
        <v>117</v>
      </c>
      <c r="G312" s="567" t="s">
        <v>877</v>
      </c>
      <c r="H312" s="567" t="s">
        <v>878</v>
      </c>
      <c r="I312" s="567"/>
      <c r="J312" s="689">
        <v>16159</v>
      </c>
      <c r="K312" s="687">
        <v>1</v>
      </c>
      <c r="L312" s="687"/>
      <c r="M312" s="687" t="s">
        <v>870</v>
      </c>
      <c r="N312" s="687" t="s">
        <v>871</v>
      </c>
      <c r="O312" s="567" t="s">
        <v>384</v>
      </c>
      <c r="R312" s="706">
        <v>44539</v>
      </c>
      <c r="S312" s="707" t="s">
        <v>474</v>
      </c>
      <c r="T312" s="708" t="s">
        <v>430</v>
      </c>
    </row>
    <row r="313" spans="1:20" s="704" customFormat="1" ht="18.75" customHeight="1" x14ac:dyDescent="0.25">
      <c r="A313" s="686">
        <v>118</v>
      </c>
      <c r="G313" s="567" t="s">
        <v>868</v>
      </c>
      <c r="H313" s="567" t="s">
        <v>879</v>
      </c>
      <c r="I313" s="567"/>
      <c r="J313" s="689">
        <v>30728</v>
      </c>
      <c r="K313" s="687"/>
      <c r="L313" s="687">
        <v>1</v>
      </c>
      <c r="M313" s="687" t="s">
        <v>870</v>
      </c>
      <c r="N313" s="687" t="s">
        <v>871</v>
      </c>
      <c r="O313" s="567" t="s">
        <v>384</v>
      </c>
      <c r="R313" s="706">
        <v>44539</v>
      </c>
      <c r="S313" s="707" t="s">
        <v>474</v>
      </c>
      <c r="T313" s="708" t="s">
        <v>430</v>
      </c>
    </row>
    <row r="314" spans="1:20" s="704" customFormat="1" ht="18.75" customHeight="1" x14ac:dyDescent="0.25">
      <c r="A314" s="686">
        <v>119</v>
      </c>
      <c r="G314" s="567" t="s">
        <v>880</v>
      </c>
      <c r="H314" s="567" t="s">
        <v>881</v>
      </c>
      <c r="I314" s="715"/>
      <c r="J314" s="689">
        <v>28437</v>
      </c>
      <c r="K314" s="687">
        <v>1</v>
      </c>
      <c r="L314" s="687"/>
      <c r="M314" s="687" t="s">
        <v>870</v>
      </c>
      <c r="N314" s="687" t="s">
        <v>871</v>
      </c>
      <c r="O314" s="567" t="s">
        <v>384</v>
      </c>
      <c r="R314" s="706">
        <v>44539</v>
      </c>
      <c r="S314" s="707" t="s">
        <v>474</v>
      </c>
      <c r="T314" s="708" t="s">
        <v>430</v>
      </c>
    </row>
    <row r="315" spans="1:20" s="704" customFormat="1" ht="18.75" customHeight="1" x14ac:dyDescent="0.25">
      <c r="A315" s="686">
        <v>120</v>
      </c>
      <c r="G315" s="567" t="s">
        <v>880</v>
      </c>
      <c r="H315" s="567" t="s">
        <v>882</v>
      </c>
      <c r="I315" s="567"/>
      <c r="J315" s="689">
        <v>37206</v>
      </c>
      <c r="K315" s="687">
        <v>1</v>
      </c>
      <c r="L315" s="687"/>
      <c r="M315" s="687" t="s">
        <v>870</v>
      </c>
      <c r="N315" s="687" t="s">
        <v>871</v>
      </c>
      <c r="O315" s="567" t="s">
        <v>384</v>
      </c>
      <c r="R315" s="706">
        <v>44539</v>
      </c>
      <c r="S315" s="707" t="s">
        <v>474</v>
      </c>
      <c r="T315" s="708" t="s">
        <v>430</v>
      </c>
    </row>
    <row r="316" spans="1:20" s="704" customFormat="1" ht="18.75" customHeight="1" x14ac:dyDescent="0.25">
      <c r="A316" s="686">
        <v>121</v>
      </c>
      <c r="G316" s="567" t="s">
        <v>883</v>
      </c>
      <c r="H316" s="567" t="s">
        <v>884</v>
      </c>
      <c r="I316" s="567" t="s">
        <v>387</v>
      </c>
      <c r="J316" s="689">
        <v>33109</v>
      </c>
      <c r="K316" s="687">
        <v>1</v>
      </c>
      <c r="L316" s="687"/>
      <c r="M316" s="687" t="s">
        <v>870</v>
      </c>
      <c r="N316" s="687" t="s">
        <v>871</v>
      </c>
      <c r="O316" s="567" t="s">
        <v>384</v>
      </c>
      <c r="R316" s="706">
        <v>44539</v>
      </c>
      <c r="S316" s="707" t="s">
        <v>474</v>
      </c>
      <c r="T316" s="708" t="s">
        <v>430</v>
      </c>
    </row>
    <row r="317" spans="1:20" s="704" customFormat="1" ht="18.75" customHeight="1" x14ac:dyDescent="0.25">
      <c r="A317" s="686">
        <v>122</v>
      </c>
      <c r="G317" s="567" t="s">
        <v>886</v>
      </c>
      <c r="H317" s="567" t="s">
        <v>885</v>
      </c>
      <c r="I317" s="567" t="s">
        <v>410</v>
      </c>
      <c r="J317" s="689">
        <v>20655</v>
      </c>
      <c r="K317" s="687">
        <v>1</v>
      </c>
      <c r="L317" s="687"/>
      <c r="M317" s="687" t="s">
        <v>870</v>
      </c>
      <c r="N317" s="687" t="s">
        <v>871</v>
      </c>
      <c r="O317" s="567" t="s">
        <v>384</v>
      </c>
      <c r="R317" s="706">
        <v>44539</v>
      </c>
      <c r="S317" s="707" t="s">
        <v>474</v>
      </c>
      <c r="T317" s="708" t="s">
        <v>430</v>
      </c>
    </row>
    <row r="318" spans="1:20" s="704" customFormat="1" ht="18.75" customHeight="1" x14ac:dyDescent="0.25">
      <c r="A318" s="686">
        <v>123</v>
      </c>
      <c r="G318" s="567" t="s">
        <v>739</v>
      </c>
      <c r="H318" s="567" t="s">
        <v>887</v>
      </c>
      <c r="I318" s="567"/>
      <c r="J318" s="689">
        <v>26424</v>
      </c>
      <c r="K318" s="687">
        <v>1</v>
      </c>
      <c r="L318" s="687"/>
      <c r="M318" s="687" t="s">
        <v>870</v>
      </c>
      <c r="N318" s="687" t="s">
        <v>871</v>
      </c>
      <c r="O318" s="567" t="s">
        <v>384</v>
      </c>
      <c r="R318" s="706">
        <v>44539</v>
      </c>
      <c r="S318" s="707" t="s">
        <v>474</v>
      </c>
      <c r="T318" s="708" t="s">
        <v>430</v>
      </c>
    </row>
    <row r="319" spans="1:20" s="704" customFormat="1" ht="18.75" customHeight="1" x14ac:dyDescent="0.25">
      <c r="A319" s="686">
        <v>124</v>
      </c>
      <c r="G319" s="567" t="s">
        <v>888</v>
      </c>
      <c r="H319" s="567" t="s">
        <v>889</v>
      </c>
      <c r="I319" s="567" t="s">
        <v>423</v>
      </c>
      <c r="J319" s="689"/>
      <c r="K319" s="687">
        <v>1</v>
      </c>
      <c r="L319" s="687"/>
      <c r="M319" s="687" t="s">
        <v>870</v>
      </c>
      <c r="N319" s="687" t="s">
        <v>871</v>
      </c>
      <c r="O319" s="567" t="s">
        <v>384</v>
      </c>
      <c r="R319" s="706">
        <v>44539</v>
      </c>
      <c r="S319" s="707" t="s">
        <v>474</v>
      </c>
      <c r="T319" s="708" t="s">
        <v>430</v>
      </c>
    </row>
    <row r="320" spans="1:20" s="704" customFormat="1" ht="18.75" customHeight="1" x14ac:dyDescent="0.25">
      <c r="A320" s="686">
        <v>125</v>
      </c>
      <c r="G320" s="567" t="s">
        <v>890</v>
      </c>
      <c r="H320" s="567" t="s">
        <v>891</v>
      </c>
      <c r="I320" s="567"/>
      <c r="J320" s="689">
        <v>28403</v>
      </c>
      <c r="K320" s="687">
        <v>1</v>
      </c>
      <c r="L320" s="687"/>
      <c r="M320" s="687" t="s">
        <v>870</v>
      </c>
      <c r="N320" s="687" t="s">
        <v>871</v>
      </c>
      <c r="O320" s="567" t="s">
        <v>384</v>
      </c>
      <c r="R320" s="706">
        <v>44539</v>
      </c>
      <c r="S320" s="707" t="s">
        <v>474</v>
      </c>
      <c r="T320" s="708" t="s">
        <v>430</v>
      </c>
    </row>
    <row r="321" spans="1:20" s="704" customFormat="1" ht="18.75" customHeight="1" x14ac:dyDescent="0.25">
      <c r="A321" s="686">
        <v>126</v>
      </c>
      <c r="G321" s="567" t="s">
        <v>892</v>
      </c>
      <c r="H321" s="567" t="s">
        <v>893</v>
      </c>
      <c r="I321" s="567" t="s">
        <v>405</v>
      </c>
      <c r="J321" s="689">
        <v>30773</v>
      </c>
      <c r="K321" s="687">
        <v>1</v>
      </c>
      <c r="L321" s="687"/>
      <c r="M321" s="687" t="s">
        <v>870</v>
      </c>
      <c r="N321" s="687" t="s">
        <v>871</v>
      </c>
      <c r="O321" s="567" t="s">
        <v>384</v>
      </c>
      <c r="P321" s="704">
        <v>9505419211</v>
      </c>
      <c r="R321" s="706">
        <v>44539</v>
      </c>
      <c r="S321" s="707" t="s">
        <v>474</v>
      </c>
      <c r="T321" s="708" t="s">
        <v>430</v>
      </c>
    </row>
    <row r="322" spans="1:20" s="704" customFormat="1" ht="18.75" customHeight="1" x14ac:dyDescent="0.25">
      <c r="A322" s="686">
        <v>127</v>
      </c>
      <c r="G322" s="567" t="s">
        <v>880</v>
      </c>
      <c r="H322" s="567" t="s">
        <v>470</v>
      </c>
      <c r="I322" s="567"/>
      <c r="J322" s="689">
        <v>28959</v>
      </c>
      <c r="K322" s="687"/>
      <c r="L322" s="687">
        <v>1</v>
      </c>
      <c r="M322" s="687" t="s">
        <v>870</v>
      </c>
      <c r="N322" s="687" t="s">
        <v>871</v>
      </c>
      <c r="O322" s="567" t="s">
        <v>384</v>
      </c>
      <c r="R322" s="706">
        <v>44539</v>
      </c>
      <c r="S322" s="707" t="s">
        <v>474</v>
      </c>
      <c r="T322" s="708" t="s">
        <v>430</v>
      </c>
    </row>
    <row r="323" spans="1:20" s="704" customFormat="1" ht="18.75" customHeight="1" x14ac:dyDescent="0.25">
      <c r="A323" s="686">
        <v>128</v>
      </c>
      <c r="G323" s="567" t="s">
        <v>894</v>
      </c>
      <c r="H323" s="567" t="s">
        <v>895</v>
      </c>
      <c r="I323" s="567"/>
      <c r="J323" s="689">
        <v>33213</v>
      </c>
      <c r="K323" s="687"/>
      <c r="L323" s="687">
        <v>1</v>
      </c>
      <c r="M323" s="687" t="s">
        <v>870</v>
      </c>
      <c r="N323" s="687" t="s">
        <v>871</v>
      </c>
      <c r="O323" s="567" t="s">
        <v>384</v>
      </c>
      <c r="P323" s="704">
        <v>9480445894</v>
      </c>
      <c r="R323" s="706">
        <v>44539</v>
      </c>
      <c r="S323" s="707" t="s">
        <v>474</v>
      </c>
      <c r="T323" s="708" t="s">
        <v>430</v>
      </c>
    </row>
    <row r="324" spans="1:20" s="704" customFormat="1" ht="18.75" customHeight="1" x14ac:dyDescent="0.25">
      <c r="A324" s="686">
        <v>129</v>
      </c>
      <c r="G324" s="567" t="s">
        <v>896</v>
      </c>
      <c r="H324" s="567" t="s">
        <v>897</v>
      </c>
      <c r="I324" s="567"/>
      <c r="J324" s="689">
        <v>18367</v>
      </c>
      <c r="K324" s="687"/>
      <c r="L324" s="687">
        <v>1</v>
      </c>
      <c r="M324" s="687" t="s">
        <v>870</v>
      </c>
      <c r="N324" s="687" t="s">
        <v>871</v>
      </c>
      <c r="O324" s="567" t="s">
        <v>384</v>
      </c>
      <c r="R324" s="706">
        <v>44539</v>
      </c>
      <c r="S324" s="707" t="s">
        <v>474</v>
      </c>
      <c r="T324" s="708" t="s">
        <v>430</v>
      </c>
    </row>
    <row r="325" spans="1:20" s="704" customFormat="1" ht="18.75" customHeight="1" x14ac:dyDescent="0.25">
      <c r="A325" s="686">
        <v>130</v>
      </c>
      <c r="G325" s="567" t="s">
        <v>433</v>
      </c>
      <c r="H325" s="567" t="s">
        <v>898</v>
      </c>
      <c r="I325" s="567"/>
      <c r="J325" s="689">
        <v>30766</v>
      </c>
      <c r="K325" s="687">
        <v>1</v>
      </c>
      <c r="L325" s="687"/>
      <c r="M325" s="687" t="s">
        <v>870</v>
      </c>
      <c r="N325" s="687" t="s">
        <v>871</v>
      </c>
      <c r="O325" s="567" t="s">
        <v>384</v>
      </c>
      <c r="R325" s="706">
        <v>44539</v>
      </c>
      <c r="S325" s="707" t="s">
        <v>474</v>
      </c>
      <c r="T325" s="708" t="s">
        <v>430</v>
      </c>
    </row>
    <row r="326" spans="1:20" s="704" customFormat="1" ht="18.75" customHeight="1" x14ac:dyDescent="0.25">
      <c r="A326" s="686">
        <v>131</v>
      </c>
      <c r="G326" s="567" t="s">
        <v>899</v>
      </c>
      <c r="H326" s="567" t="s">
        <v>900</v>
      </c>
      <c r="I326" s="567"/>
      <c r="J326" s="689">
        <v>35358</v>
      </c>
      <c r="K326" s="687">
        <v>1</v>
      </c>
      <c r="L326" s="687"/>
      <c r="M326" s="687" t="s">
        <v>870</v>
      </c>
      <c r="N326" s="687" t="s">
        <v>871</v>
      </c>
      <c r="O326" s="567" t="s">
        <v>384</v>
      </c>
      <c r="P326" s="704">
        <v>9997153427</v>
      </c>
      <c r="R326" s="706">
        <v>44539</v>
      </c>
      <c r="S326" s="707" t="s">
        <v>474</v>
      </c>
      <c r="T326" s="708" t="s">
        <v>430</v>
      </c>
    </row>
    <row r="327" spans="1:20" s="704" customFormat="1" ht="18.75" customHeight="1" x14ac:dyDescent="0.25">
      <c r="A327" s="686">
        <v>132</v>
      </c>
      <c r="G327" s="567" t="s">
        <v>901</v>
      </c>
      <c r="H327" s="567" t="s">
        <v>422</v>
      </c>
      <c r="I327" s="567"/>
      <c r="J327" s="689">
        <v>24391</v>
      </c>
      <c r="K327" s="687">
        <v>1</v>
      </c>
      <c r="L327" s="687"/>
      <c r="M327" s="687" t="s">
        <v>870</v>
      </c>
      <c r="N327" s="687" t="s">
        <v>871</v>
      </c>
      <c r="O327" s="567" t="s">
        <v>384</v>
      </c>
      <c r="P327" s="704">
        <v>9097823724</v>
      </c>
      <c r="R327" s="706">
        <v>44539</v>
      </c>
      <c r="S327" s="707" t="s">
        <v>474</v>
      </c>
      <c r="T327" s="708" t="s">
        <v>430</v>
      </c>
    </row>
    <row r="328" spans="1:20" s="704" customFormat="1" ht="18.75" customHeight="1" x14ac:dyDescent="0.25">
      <c r="A328" s="686">
        <v>133</v>
      </c>
      <c r="G328" s="567" t="s">
        <v>901</v>
      </c>
      <c r="H328" s="567" t="s">
        <v>902</v>
      </c>
      <c r="I328" s="567"/>
      <c r="J328" s="689">
        <v>34667</v>
      </c>
      <c r="K328" s="687">
        <v>1</v>
      </c>
      <c r="L328" s="687"/>
      <c r="M328" s="687" t="s">
        <v>870</v>
      </c>
      <c r="N328" s="687" t="s">
        <v>871</v>
      </c>
      <c r="O328" s="567" t="s">
        <v>384</v>
      </c>
      <c r="R328" s="706">
        <v>44539</v>
      </c>
      <c r="S328" s="707" t="s">
        <v>474</v>
      </c>
      <c r="T328" s="708" t="s">
        <v>430</v>
      </c>
    </row>
    <row r="329" spans="1:20" s="704" customFormat="1" ht="18.75" customHeight="1" x14ac:dyDescent="0.25">
      <c r="A329" s="686">
        <v>134</v>
      </c>
      <c r="G329" s="567" t="s">
        <v>903</v>
      </c>
      <c r="H329" s="567" t="s">
        <v>904</v>
      </c>
      <c r="I329" s="567"/>
      <c r="J329" s="689">
        <v>30957</v>
      </c>
      <c r="K329" s="687">
        <v>1</v>
      </c>
      <c r="L329" s="687"/>
      <c r="M329" s="687" t="s">
        <v>870</v>
      </c>
      <c r="N329" s="687" t="s">
        <v>871</v>
      </c>
      <c r="O329" s="567" t="s">
        <v>384</v>
      </c>
      <c r="P329" s="704">
        <v>9774146656</v>
      </c>
      <c r="R329" s="706">
        <v>44539</v>
      </c>
      <c r="S329" s="707" t="s">
        <v>474</v>
      </c>
      <c r="T329" s="708" t="s">
        <v>430</v>
      </c>
    </row>
    <row r="330" spans="1:20" s="704" customFormat="1" ht="18.75" customHeight="1" x14ac:dyDescent="0.25">
      <c r="A330" s="686">
        <v>135</v>
      </c>
      <c r="G330" s="567" t="s">
        <v>896</v>
      </c>
      <c r="H330" s="567" t="s">
        <v>905</v>
      </c>
      <c r="I330" s="567"/>
      <c r="J330" s="689">
        <v>43804</v>
      </c>
      <c r="K330" s="687">
        <v>1</v>
      </c>
      <c r="L330" s="687"/>
      <c r="M330" s="687" t="s">
        <v>870</v>
      </c>
      <c r="N330" s="687" t="s">
        <v>871</v>
      </c>
      <c r="O330" s="567" t="s">
        <v>384</v>
      </c>
      <c r="R330" s="706">
        <v>44539</v>
      </c>
      <c r="S330" s="707" t="s">
        <v>474</v>
      </c>
      <c r="T330" s="708" t="s">
        <v>430</v>
      </c>
    </row>
    <row r="331" spans="1:20" s="704" customFormat="1" ht="18.75" customHeight="1" x14ac:dyDescent="0.25">
      <c r="A331" s="686">
        <v>136</v>
      </c>
      <c r="G331" s="567" t="s">
        <v>906</v>
      </c>
      <c r="H331" s="567" t="s">
        <v>907</v>
      </c>
      <c r="I331" s="567"/>
      <c r="J331" s="689">
        <v>43804</v>
      </c>
      <c r="K331" s="687">
        <v>1</v>
      </c>
      <c r="L331" s="687"/>
      <c r="M331" s="687" t="s">
        <v>870</v>
      </c>
      <c r="N331" s="687" t="s">
        <v>871</v>
      </c>
      <c r="O331" s="567" t="s">
        <v>384</v>
      </c>
      <c r="P331" s="704">
        <v>9125638537</v>
      </c>
      <c r="R331" s="706">
        <v>44539</v>
      </c>
      <c r="S331" s="707" t="s">
        <v>474</v>
      </c>
      <c r="T331" s="708" t="s">
        <v>430</v>
      </c>
    </row>
    <row r="332" spans="1:20" s="704" customFormat="1" ht="18.75" customHeight="1" x14ac:dyDescent="0.25">
      <c r="A332" s="686">
        <v>137</v>
      </c>
      <c r="G332" s="567" t="s">
        <v>896</v>
      </c>
      <c r="H332" s="567" t="s">
        <v>908</v>
      </c>
      <c r="I332" s="567"/>
      <c r="J332" s="689">
        <v>30618</v>
      </c>
      <c r="K332" s="687"/>
      <c r="L332" s="687">
        <v>1</v>
      </c>
      <c r="M332" s="687" t="s">
        <v>870</v>
      </c>
      <c r="N332" s="687" t="s">
        <v>871</v>
      </c>
      <c r="O332" s="567" t="s">
        <v>384</v>
      </c>
      <c r="P332" s="704">
        <v>9187968864</v>
      </c>
      <c r="R332" s="706">
        <v>44539</v>
      </c>
      <c r="S332" s="707" t="s">
        <v>474</v>
      </c>
      <c r="T332" s="708" t="s">
        <v>430</v>
      </c>
    </row>
    <row r="333" spans="1:20" s="704" customFormat="1" ht="18.75" customHeight="1" x14ac:dyDescent="0.25">
      <c r="A333" s="686">
        <v>138</v>
      </c>
      <c r="G333" s="567" t="s">
        <v>896</v>
      </c>
      <c r="H333" s="567" t="s">
        <v>909</v>
      </c>
      <c r="I333" s="567"/>
      <c r="J333" s="689">
        <v>30953</v>
      </c>
      <c r="K333" s="687"/>
      <c r="L333" s="687">
        <v>1</v>
      </c>
      <c r="M333" s="687" t="s">
        <v>870</v>
      </c>
      <c r="N333" s="687" t="s">
        <v>871</v>
      </c>
      <c r="O333" s="567" t="s">
        <v>384</v>
      </c>
      <c r="P333" s="704">
        <v>9187968864</v>
      </c>
      <c r="R333" s="706">
        <v>44539</v>
      </c>
      <c r="S333" s="707" t="s">
        <v>474</v>
      </c>
      <c r="T333" s="708" t="s">
        <v>430</v>
      </c>
    </row>
    <row r="334" spans="1:20" s="704" customFormat="1" ht="18.75" customHeight="1" x14ac:dyDescent="0.25">
      <c r="A334" s="686">
        <v>139</v>
      </c>
      <c r="G334" s="567" t="s">
        <v>896</v>
      </c>
      <c r="H334" s="567" t="s">
        <v>910</v>
      </c>
      <c r="I334" s="567"/>
      <c r="J334" s="689">
        <v>36766</v>
      </c>
      <c r="K334" s="687">
        <v>1</v>
      </c>
      <c r="L334" s="687"/>
      <c r="M334" s="687" t="s">
        <v>870</v>
      </c>
      <c r="N334" s="687" t="s">
        <v>871</v>
      </c>
      <c r="O334" s="567" t="s">
        <v>384</v>
      </c>
      <c r="P334" s="704">
        <v>9385259169</v>
      </c>
      <c r="R334" s="706">
        <v>44539</v>
      </c>
      <c r="S334" s="707" t="s">
        <v>474</v>
      </c>
      <c r="T334" s="708" t="s">
        <v>430</v>
      </c>
    </row>
    <row r="335" spans="1:20" s="704" customFormat="1" ht="18.75" customHeight="1" x14ac:dyDescent="0.25">
      <c r="A335" s="686">
        <v>140</v>
      </c>
      <c r="G335" s="567" t="s">
        <v>477</v>
      </c>
      <c r="H335" s="567" t="s">
        <v>911</v>
      </c>
      <c r="I335" s="567"/>
      <c r="J335" s="689">
        <v>35876</v>
      </c>
      <c r="K335" s="687">
        <v>1</v>
      </c>
      <c r="L335" s="687"/>
      <c r="M335" s="687" t="s">
        <v>870</v>
      </c>
      <c r="N335" s="687" t="s">
        <v>871</v>
      </c>
      <c r="O335" s="567" t="s">
        <v>384</v>
      </c>
      <c r="R335" s="706">
        <v>44539</v>
      </c>
      <c r="S335" s="707" t="s">
        <v>474</v>
      </c>
      <c r="T335" s="708" t="s">
        <v>430</v>
      </c>
    </row>
    <row r="336" spans="1:20" s="704" customFormat="1" ht="18.75" customHeight="1" x14ac:dyDescent="0.25">
      <c r="A336" s="686">
        <v>141</v>
      </c>
      <c r="G336" s="567" t="s">
        <v>543</v>
      </c>
      <c r="H336" s="567" t="s">
        <v>912</v>
      </c>
      <c r="I336" s="567" t="s">
        <v>421</v>
      </c>
      <c r="J336" s="689">
        <v>34412</v>
      </c>
      <c r="K336" s="687">
        <v>1</v>
      </c>
      <c r="L336" s="687"/>
      <c r="M336" s="687" t="s">
        <v>484</v>
      </c>
      <c r="N336" s="687" t="s">
        <v>386</v>
      </c>
      <c r="O336" s="567" t="s">
        <v>384</v>
      </c>
      <c r="P336" s="704">
        <v>9959304126</v>
      </c>
      <c r="R336" s="706">
        <v>44539</v>
      </c>
      <c r="S336" s="707" t="s">
        <v>474</v>
      </c>
      <c r="T336" s="708" t="s">
        <v>430</v>
      </c>
    </row>
    <row r="337" spans="1:20" s="704" customFormat="1" ht="18.75" customHeight="1" x14ac:dyDescent="0.25">
      <c r="A337" s="686">
        <v>142</v>
      </c>
      <c r="G337" s="567" t="s">
        <v>946</v>
      </c>
      <c r="H337" s="567" t="s">
        <v>498</v>
      </c>
      <c r="I337" s="567"/>
      <c r="J337" s="689">
        <v>27820</v>
      </c>
      <c r="K337" s="687">
        <v>1</v>
      </c>
      <c r="L337" s="687"/>
      <c r="M337" s="687" t="s">
        <v>913</v>
      </c>
      <c r="N337" s="687" t="s">
        <v>407</v>
      </c>
      <c r="O337" s="567" t="s">
        <v>384</v>
      </c>
      <c r="P337" s="704">
        <v>9096744631</v>
      </c>
      <c r="R337" s="706">
        <v>44540</v>
      </c>
      <c r="S337" s="707" t="s">
        <v>474</v>
      </c>
      <c r="T337" s="708" t="s">
        <v>430</v>
      </c>
    </row>
    <row r="338" spans="1:20" s="704" customFormat="1" ht="18.75" customHeight="1" x14ac:dyDescent="0.25">
      <c r="A338" s="686">
        <v>143</v>
      </c>
      <c r="G338" s="567" t="s">
        <v>947</v>
      </c>
      <c r="H338" s="567" t="s">
        <v>948</v>
      </c>
      <c r="I338" s="567" t="s">
        <v>477</v>
      </c>
      <c r="J338" s="689">
        <v>27159</v>
      </c>
      <c r="K338" s="687">
        <v>1</v>
      </c>
      <c r="L338" s="687"/>
      <c r="M338" s="687" t="s">
        <v>914</v>
      </c>
      <c r="N338" s="687" t="s">
        <v>407</v>
      </c>
      <c r="O338" s="567" t="s">
        <v>384</v>
      </c>
      <c r="P338" s="704">
        <v>9531505240</v>
      </c>
      <c r="R338" s="706">
        <v>44540</v>
      </c>
      <c r="S338" s="707" t="s">
        <v>474</v>
      </c>
      <c r="T338" s="708" t="s">
        <v>430</v>
      </c>
    </row>
    <row r="339" spans="1:20" s="704" customFormat="1" ht="18.75" customHeight="1" x14ac:dyDescent="0.25">
      <c r="A339" s="686">
        <v>144</v>
      </c>
      <c r="G339" s="567" t="s">
        <v>477</v>
      </c>
      <c r="H339" s="567" t="s">
        <v>949</v>
      </c>
      <c r="I339" s="567"/>
      <c r="J339" s="689">
        <v>24036</v>
      </c>
      <c r="K339" s="687">
        <v>1</v>
      </c>
      <c r="L339" s="687"/>
      <c r="M339" s="687" t="s">
        <v>915</v>
      </c>
      <c r="N339" s="687" t="s">
        <v>407</v>
      </c>
      <c r="O339" s="567" t="s">
        <v>384</v>
      </c>
      <c r="P339" s="704">
        <v>9267802178</v>
      </c>
      <c r="R339" s="706">
        <v>44540</v>
      </c>
      <c r="S339" s="707" t="s">
        <v>474</v>
      </c>
      <c r="T339" s="708" t="s">
        <v>430</v>
      </c>
    </row>
    <row r="340" spans="1:20" s="704" customFormat="1" ht="18.75" customHeight="1" x14ac:dyDescent="0.25">
      <c r="A340" s="686">
        <v>145</v>
      </c>
      <c r="G340" s="567" t="s">
        <v>950</v>
      </c>
      <c r="H340" s="567" t="s">
        <v>951</v>
      </c>
      <c r="I340" s="567" t="s">
        <v>952</v>
      </c>
      <c r="J340" s="689">
        <v>24020</v>
      </c>
      <c r="K340" s="687">
        <v>1</v>
      </c>
      <c r="L340" s="687"/>
      <c r="M340" s="687" t="s">
        <v>916</v>
      </c>
      <c r="N340" s="687" t="s">
        <v>407</v>
      </c>
      <c r="O340" s="567" t="s">
        <v>384</v>
      </c>
      <c r="P340" s="704">
        <v>9514744543</v>
      </c>
      <c r="R340" s="706">
        <v>44540</v>
      </c>
      <c r="S340" s="707" t="s">
        <v>474</v>
      </c>
      <c r="T340" s="708" t="s">
        <v>430</v>
      </c>
    </row>
    <row r="341" spans="1:20" s="704" customFormat="1" ht="18.75" customHeight="1" x14ac:dyDescent="0.25">
      <c r="A341" s="686">
        <v>146</v>
      </c>
      <c r="G341" s="567" t="s">
        <v>953</v>
      </c>
      <c r="H341" s="567" t="s">
        <v>954</v>
      </c>
      <c r="I341" s="567" t="s">
        <v>955</v>
      </c>
      <c r="J341" s="689">
        <v>25491</v>
      </c>
      <c r="K341" s="687">
        <v>1</v>
      </c>
      <c r="L341" s="687"/>
      <c r="M341" s="687" t="s">
        <v>917</v>
      </c>
      <c r="N341" s="687" t="s">
        <v>407</v>
      </c>
      <c r="O341" s="567" t="s">
        <v>384</v>
      </c>
      <c r="P341" s="704">
        <v>9106967420</v>
      </c>
      <c r="R341" s="706">
        <v>44540</v>
      </c>
      <c r="S341" s="707" t="s">
        <v>474</v>
      </c>
      <c r="T341" s="708" t="s">
        <v>430</v>
      </c>
    </row>
    <row r="342" spans="1:20" s="704" customFormat="1" ht="18.75" customHeight="1" x14ac:dyDescent="0.25">
      <c r="A342" s="686">
        <v>147</v>
      </c>
      <c r="G342" s="567" t="s">
        <v>956</v>
      </c>
      <c r="H342" s="567" t="s">
        <v>957</v>
      </c>
      <c r="I342" s="567" t="s">
        <v>404</v>
      </c>
      <c r="J342" s="689">
        <v>18599</v>
      </c>
      <c r="K342" s="687">
        <v>1</v>
      </c>
      <c r="L342" s="687"/>
      <c r="M342" s="687" t="s">
        <v>917</v>
      </c>
      <c r="N342" s="687" t="s">
        <v>407</v>
      </c>
      <c r="O342" s="567" t="s">
        <v>384</v>
      </c>
      <c r="P342" s="704">
        <v>9091484260</v>
      </c>
      <c r="R342" s="706">
        <v>44540</v>
      </c>
      <c r="S342" s="707" t="s">
        <v>474</v>
      </c>
      <c r="T342" s="708" t="s">
        <v>430</v>
      </c>
    </row>
    <row r="343" spans="1:20" s="704" customFormat="1" ht="18.75" customHeight="1" x14ac:dyDescent="0.25">
      <c r="A343" s="686">
        <v>148</v>
      </c>
      <c r="G343" s="567" t="s">
        <v>958</v>
      </c>
      <c r="H343" s="567" t="s">
        <v>884</v>
      </c>
      <c r="I343" s="567" t="s">
        <v>387</v>
      </c>
      <c r="J343" s="689">
        <v>29082</v>
      </c>
      <c r="K343" s="687">
        <v>1</v>
      </c>
      <c r="L343" s="687"/>
      <c r="M343" s="687" t="s">
        <v>918</v>
      </c>
      <c r="N343" s="687" t="s">
        <v>407</v>
      </c>
      <c r="O343" s="567" t="s">
        <v>384</v>
      </c>
      <c r="P343" s="704">
        <v>9679442223</v>
      </c>
      <c r="R343" s="706">
        <v>44540</v>
      </c>
      <c r="S343" s="707" t="s">
        <v>474</v>
      </c>
      <c r="T343" s="708" t="s">
        <v>430</v>
      </c>
    </row>
    <row r="344" spans="1:20" s="704" customFormat="1" ht="18.75" customHeight="1" x14ac:dyDescent="0.25">
      <c r="A344" s="686">
        <v>149</v>
      </c>
      <c r="G344" s="567" t="s">
        <v>959</v>
      </c>
      <c r="H344" s="567" t="s">
        <v>960</v>
      </c>
      <c r="I344" s="567" t="s">
        <v>399</v>
      </c>
      <c r="J344" s="689">
        <v>31187</v>
      </c>
      <c r="K344" s="687">
        <v>1</v>
      </c>
      <c r="L344" s="687"/>
      <c r="M344" s="687" t="s">
        <v>918</v>
      </c>
      <c r="N344" s="687" t="s">
        <v>407</v>
      </c>
      <c r="O344" s="567" t="s">
        <v>384</v>
      </c>
      <c r="P344" s="704">
        <v>9073391515</v>
      </c>
      <c r="R344" s="706">
        <v>44540</v>
      </c>
      <c r="S344" s="707" t="s">
        <v>474</v>
      </c>
      <c r="T344" s="708" t="s">
        <v>430</v>
      </c>
    </row>
    <row r="345" spans="1:20" s="704" customFormat="1" ht="18.75" customHeight="1" x14ac:dyDescent="0.25">
      <c r="A345" s="686">
        <v>150</v>
      </c>
      <c r="G345" s="567" t="s">
        <v>961</v>
      </c>
      <c r="H345" s="567" t="s">
        <v>962</v>
      </c>
      <c r="I345" s="567" t="s">
        <v>963</v>
      </c>
      <c r="J345" s="689">
        <v>32411</v>
      </c>
      <c r="K345" s="687">
        <v>1</v>
      </c>
      <c r="L345" s="687"/>
      <c r="M345" s="687" t="s">
        <v>918</v>
      </c>
      <c r="N345" s="687" t="s">
        <v>407</v>
      </c>
      <c r="O345" s="567" t="s">
        <v>384</v>
      </c>
      <c r="P345" s="704">
        <v>9659160515</v>
      </c>
      <c r="R345" s="706">
        <v>44540</v>
      </c>
      <c r="S345" s="707" t="s">
        <v>474</v>
      </c>
      <c r="T345" s="708" t="s">
        <v>430</v>
      </c>
    </row>
    <row r="346" spans="1:20" s="704" customFormat="1" ht="18.75" customHeight="1" x14ac:dyDescent="0.25">
      <c r="A346" s="686">
        <v>151</v>
      </c>
      <c r="G346" s="567" t="s">
        <v>964</v>
      </c>
      <c r="H346" s="567" t="s">
        <v>965</v>
      </c>
      <c r="I346" s="567"/>
      <c r="J346" s="689">
        <v>31099</v>
      </c>
      <c r="K346" s="687">
        <v>1</v>
      </c>
      <c r="L346" s="687"/>
      <c r="M346" s="687" t="s">
        <v>918</v>
      </c>
      <c r="N346" s="687" t="s">
        <v>407</v>
      </c>
      <c r="O346" s="567" t="s">
        <v>384</v>
      </c>
      <c r="P346" s="704">
        <v>9075469139</v>
      </c>
      <c r="R346" s="706">
        <v>44540</v>
      </c>
      <c r="S346" s="707" t="s">
        <v>474</v>
      </c>
      <c r="T346" s="708" t="s">
        <v>430</v>
      </c>
    </row>
    <row r="347" spans="1:20" s="704" customFormat="1" ht="18.75" customHeight="1" x14ac:dyDescent="0.25">
      <c r="A347" s="686">
        <v>152</v>
      </c>
      <c r="G347" s="567" t="s">
        <v>966</v>
      </c>
      <c r="H347" s="567" t="s">
        <v>967</v>
      </c>
      <c r="I347" s="567" t="s">
        <v>404</v>
      </c>
      <c r="J347" s="689">
        <v>26374</v>
      </c>
      <c r="K347" s="687">
        <v>1</v>
      </c>
      <c r="L347" s="687"/>
      <c r="M347" s="687" t="s">
        <v>919</v>
      </c>
      <c r="N347" s="687" t="s">
        <v>407</v>
      </c>
      <c r="O347" s="567" t="s">
        <v>384</v>
      </c>
      <c r="P347" s="704">
        <v>9073391515</v>
      </c>
      <c r="R347" s="706">
        <v>44540</v>
      </c>
      <c r="S347" s="707" t="s">
        <v>474</v>
      </c>
      <c r="T347" s="708" t="s">
        <v>430</v>
      </c>
    </row>
    <row r="348" spans="1:20" s="704" customFormat="1" ht="18.75" customHeight="1" x14ac:dyDescent="0.25">
      <c r="A348" s="686">
        <v>153</v>
      </c>
      <c r="G348" s="567" t="s">
        <v>968</v>
      </c>
      <c r="H348" s="567" t="s">
        <v>431</v>
      </c>
      <c r="I348" s="567" t="s">
        <v>421</v>
      </c>
      <c r="J348" s="689">
        <v>30942</v>
      </c>
      <c r="K348" s="687">
        <v>1</v>
      </c>
      <c r="L348" s="687"/>
      <c r="M348" s="687" t="s">
        <v>920</v>
      </c>
      <c r="N348" s="687" t="s">
        <v>407</v>
      </c>
      <c r="O348" s="567" t="s">
        <v>384</v>
      </c>
      <c r="P348" s="704">
        <v>9083940247</v>
      </c>
      <c r="R348" s="706">
        <v>44540</v>
      </c>
      <c r="S348" s="707" t="s">
        <v>474</v>
      </c>
      <c r="T348" s="708" t="s">
        <v>430</v>
      </c>
    </row>
    <row r="349" spans="1:20" s="704" customFormat="1" ht="18.75" customHeight="1" x14ac:dyDescent="0.25">
      <c r="A349" s="686">
        <v>154</v>
      </c>
      <c r="G349" s="567" t="s">
        <v>969</v>
      </c>
      <c r="H349" s="567" t="s">
        <v>422</v>
      </c>
      <c r="I349" s="567" t="s">
        <v>404</v>
      </c>
      <c r="J349" s="689">
        <v>27405</v>
      </c>
      <c r="K349" s="687">
        <v>1</v>
      </c>
      <c r="L349" s="687"/>
      <c r="M349" s="687" t="s">
        <v>496</v>
      </c>
      <c r="N349" s="687" t="s">
        <v>407</v>
      </c>
      <c r="O349" s="567" t="s">
        <v>384</v>
      </c>
      <c r="P349" s="704">
        <v>9073391515</v>
      </c>
      <c r="R349" s="706">
        <v>44540</v>
      </c>
      <c r="S349" s="707" t="s">
        <v>474</v>
      </c>
      <c r="T349" s="708" t="s">
        <v>430</v>
      </c>
    </row>
    <row r="350" spans="1:20" s="704" customFormat="1" ht="18.75" customHeight="1" x14ac:dyDescent="0.25">
      <c r="A350" s="686">
        <v>155</v>
      </c>
      <c r="G350" s="567" t="s">
        <v>970</v>
      </c>
      <c r="H350" s="567" t="s">
        <v>971</v>
      </c>
      <c r="I350" s="567" t="s">
        <v>399</v>
      </c>
      <c r="J350" s="689">
        <v>32368</v>
      </c>
      <c r="K350" s="687">
        <v>1</v>
      </c>
      <c r="L350" s="687"/>
      <c r="M350" s="687" t="s">
        <v>918</v>
      </c>
      <c r="N350" s="687" t="s">
        <v>407</v>
      </c>
      <c r="O350" s="567" t="s">
        <v>384</v>
      </c>
      <c r="P350" s="704">
        <v>9168892906</v>
      </c>
      <c r="R350" s="706">
        <v>44540</v>
      </c>
      <c r="S350" s="707" t="s">
        <v>474</v>
      </c>
      <c r="T350" s="708" t="s">
        <v>430</v>
      </c>
    </row>
    <row r="351" spans="1:20" s="704" customFormat="1" ht="18.75" customHeight="1" x14ac:dyDescent="0.25">
      <c r="A351" s="686">
        <v>156</v>
      </c>
      <c r="G351" s="567" t="s">
        <v>972</v>
      </c>
      <c r="H351" s="567" t="s">
        <v>469</v>
      </c>
      <c r="I351" s="567" t="s">
        <v>399</v>
      </c>
      <c r="J351" s="689">
        <v>32688</v>
      </c>
      <c r="K351" s="687">
        <v>1</v>
      </c>
      <c r="L351" s="687"/>
      <c r="M351" s="687" t="s">
        <v>918</v>
      </c>
      <c r="N351" s="687" t="s">
        <v>407</v>
      </c>
      <c r="O351" s="567" t="s">
        <v>384</v>
      </c>
      <c r="R351" s="706">
        <v>44540</v>
      </c>
      <c r="S351" s="707" t="s">
        <v>474</v>
      </c>
      <c r="T351" s="708" t="s">
        <v>430</v>
      </c>
    </row>
    <row r="352" spans="1:20" s="704" customFormat="1" ht="18.75" customHeight="1" x14ac:dyDescent="0.25">
      <c r="A352" s="686">
        <v>157</v>
      </c>
      <c r="G352" s="567" t="s">
        <v>964</v>
      </c>
      <c r="H352" s="567" t="s">
        <v>973</v>
      </c>
      <c r="I352" s="567"/>
      <c r="J352" s="689">
        <v>28403</v>
      </c>
      <c r="K352" s="687">
        <v>1</v>
      </c>
      <c r="L352" s="687"/>
      <c r="M352" s="687" t="s">
        <v>918</v>
      </c>
      <c r="N352" s="687" t="s">
        <v>407</v>
      </c>
      <c r="O352" s="567" t="s">
        <v>384</v>
      </c>
      <c r="P352" s="704">
        <v>9168892966</v>
      </c>
      <c r="R352" s="706">
        <v>44540</v>
      </c>
      <c r="S352" s="707" t="s">
        <v>474</v>
      </c>
      <c r="T352" s="708" t="s">
        <v>430</v>
      </c>
    </row>
    <row r="353" spans="1:20" s="704" customFormat="1" ht="18.75" customHeight="1" x14ac:dyDescent="0.25">
      <c r="A353" s="686">
        <v>158</v>
      </c>
      <c r="G353" s="567" t="s">
        <v>974</v>
      </c>
      <c r="H353" s="567" t="s">
        <v>497</v>
      </c>
      <c r="I353" s="567" t="s">
        <v>399</v>
      </c>
      <c r="J353" s="689">
        <v>25456</v>
      </c>
      <c r="K353" s="687">
        <v>1</v>
      </c>
      <c r="L353" s="687"/>
      <c r="M353" s="687" t="s">
        <v>918</v>
      </c>
      <c r="N353" s="687" t="s">
        <v>407</v>
      </c>
      <c r="O353" s="567" t="s">
        <v>384</v>
      </c>
      <c r="R353" s="706">
        <v>44540</v>
      </c>
      <c r="S353" s="707" t="s">
        <v>474</v>
      </c>
      <c r="T353" s="708" t="s">
        <v>430</v>
      </c>
    </row>
    <row r="354" spans="1:20" s="704" customFormat="1" ht="18.75" customHeight="1" x14ac:dyDescent="0.25">
      <c r="A354" s="686">
        <v>159</v>
      </c>
      <c r="G354" s="567" t="s">
        <v>975</v>
      </c>
      <c r="H354" s="567" t="s">
        <v>452</v>
      </c>
      <c r="I354" s="567"/>
      <c r="J354" s="689">
        <v>24668</v>
      </c>
      <c r="K354" s="687">
        <v>1</v>
      </c>
      <c r="L354" s="687"/>
      <c r="M354" s="687" t="s">
        <v>918</v>
      </c>
      <c r="N354" s="687" t="s">
        <v>407</v>
      </c>
      <c r="O354" s="567" t="s">
        <v>384</v>
      </c>
      <c r="P354" s="704">
        <v>9357515763</v>
      </c>
      <c r="R354" s="706">
        <v>44540</v>
      </c>
      <c r="S354" s="707" t="s">
        <v>474</v>
      </c>
      <c r="T354" s="708" t="s">
        <v>430</v>
      </c>
    </row>
    <row r="355" spans="1:20" s="704" customFormat="1" ht="18.75" customHeight="1" x14ac:dyDescent="0.25">
      <c r="A355" s="686">
        <v>160</v>
      </c>
      <c r="G355" s="567" t="s">
        <v>477</v>
      </c>
      <c r="H355" s="567" t="s">
        <v>500</v>
      </c>
      <c r="I355" s="567" t="s">
        <v>402</v>
      </c>
      <c r="J355" s="689">
        <v>32518</v>
      </c>
      <c r="K355" s="687">
        <v>1</v>
      </c>
      <c r="L355" s="687"/>
      <c r="M355" s="687" t="s">
        <v>915</v>
      </c>
      <c r="N355" s="687" t="s">
        <v>407</v>
      </c>
      <c r="O355" s="567" t="s">
        <v>384</v>
      </c>
      <c r="P355" s="704">
        <v>9267802178</v>
      </c>
      <c r="R355" s="706">
        <v>44540</v>
      </c>
      <c r="S355" s="707" t="s">
        <v>474</v>
      </c>
      <c r="T355" s="708" t="s">
        <v>430</v>
      </c>
    </row>
    <row r="356" spans="1:20" s="704" customFormat="1" ht="18.75" customHeight="1" x14ac:dyDescent="0.25">
      <c r="A356" s="686">
        <v>161</v>
      </c>
      <c r="G356" s="567" t="s">
        <v>976</v>
      </c>
      <c r="H356" s="567" t="s">
        <v>977</v>
      </c>
      <c r="I356" s="567"/>
      <c r="J356" s="689">
        <v>26129</v>
      </c>
      <c r="K356" s="687">
        <v>1</v>
      </c>
      <c r="L356" s="687"/>
      <c r="M356" s="687" t="s">
        <v>915</v>
      </c>
      <c r="N356" s="687" t="s">
        <v>407</v>
      </c>
      <c r="O356" s="567" t="s">
        <v>384</v>
      </c>
      <c r="P356" s="704">
        <v>9267802178</v>
      </c>
      <c r="R356" s="706">
        <v>44540</v>
      </c>
      <c r="S356" s="707" t="s">
        <v>474</v>
      </c>
      <c r="T356" s="708" t="s">
        <v>430</v>
      </c>
    </row>
    <row r="357" spans="1:20" s="704" customFormat="1" ht="18.75" customHeight="1" x14ac:dyDescent="0.25">
      <c r="A357" s="686">
        <v>162</v>
      </c>
      <c r="G357" s="567" t="s">
        <v>978</v>
      </c>
      <c r="H357" s="567" t="s">
        <v>979</v>
      </c>
      <c r="I357" s="567" t="s">
        <v>980</v>
      </c>
      <c r="J357" s="689">
        <v>24685</v>
      </c>
      <c r="K357" s="687">
        <v>1</v>
      </c>
      <c r="L357" s="687"/>
      <c r="M357" s="687" t="s">
        <v>921</v>
      </c>
      <c r="N357" s="687" t="s">
        <v>407</v>
      </c>
      <c r="O357" s="567" t="s">
        <v>384</v>
      </c>
      <c r="P357" s="704">
        <v>9658401973</v>
      </c>
      <c r="R357" s="706">
        <v>44540</v>
      </c>
      <c r="S357" s="707" t="s">
        <v>474</v>
      </c>
      <c r="T357" s="708" t="s">
        <v>430</v>
      </c>
    </row>
    <row r="358" spans="1:20" s="704" customFormat="1" ht="18.75" customHeight="1" x14ac:dyDescent="0.25">
      <c r="A358" s="686">
        <v>163</v>
      </c>
      <c r="G358" s="567" t="s">
        <v>981</v>
      </c>
      <c r="H358" s="567" t="s">
        <v>583</v>
      </c>
      <c r="I358" s="567" t="s">
        <v>387</v>
      </c>
      <c r="J358" s="689">
        <v>26348</v>
      </c>
      <c r="K358" s="687">
        <v>1</v>
      </c>
      <c r="L358" s="687"/>
      <c r="M358" s="687" t="s">
        <v>921</v>
      </c>
      <c r="N358" s="687" t="s">
        <v>407</v>
      </c>
      <c r="O358" s="567" t="s">
        <v>384</v>
      </c>
      <c r="P358" s="704">
        <v>9355105356</v>
      </c>
      <c r="R358" s="706">
        <v>44540</v>
      </c>
      <c r="S358" s="707" t="s">
        <v>474</v>
      </c>
      <c r="T358" s="708" t="s">
        <v>430</v>
      </c>
    </row>
    <row r="359" spans="1:20" s="704" customFormat="1" ht="18.75" customHeight="1" x14ac:dyDescent="0.25">
      <c r="A359" s="686">
        <v>164</v>
      </c>
      <c r="G359" s="567" t="s">
        <v>982</v>
      </c>
      <c r="H359" s="567" t="s">
        <v>983</v>
      </c>
      <c r="I359" s="567" t="s">
        <v>387</v>
      </c>
      <c r="J359" s="689">
        <v>21560</v>
      </c>
      <c r="K359" s="687">
        <v>1</v>
      </c>
      <c r="L359" s="687"/>
      <c r="M359" s="687" t="s">
        <v>918</v>
      </c>
      <c r="N359" s="687" t="s">
        <v>407</v>
      </c>
      <c r="O359" s="567" t="s">
        <v>384</v>
      </c>
      <c r="R359" s="706">
        <v>44540</v>
      </c>
      <c r="S359" s="707" t="s">
        <v>474</v>
      </c>
      <c r="T359" s="708" t="s">
        <v>430</v>
      </c>
    </row>
    <row r="360" spans="1:20" s="704" customFormat="1" ht="18.75" customHeight="1" x14ac:dyDescent="0.25">
      <c r="A360" s="686">
        <v>165</v>
      </c>
      <c r="G360" s="567" t="s">
        <v>984</v>
      </c>
      <c r="H360" s="567" t="s">
        <v>985</v>
      </c>
      <c r="I360" s="567" t="s">
        <v>986</v>
      </c>
      <c r="J360" s="689">
        <v>31207</v>
      </c>
      <c r="K360" s="687">
        <v>1</v>
      </c>
      <c r="L360" s="687"/>
      <c r="M360" s="687" t="s">
        <v>918</v>
      </c>
      <c r="N360" s="687" t="s">
        <v>407</v>
      </c>
      <c r="O360" s="567" t="s">
        <v>384</v>
      </c>
      <c r="P360" s="704">
        <v>9073391515</v>
      </c>
      <c r="R360" s="706">
        <v>44540</v>
      </c>
      <c r="S360" s="707" t="s">
        <v>474</v>
      </c>
      <c r="T360" s="708" t="s">
        <v>430</v>
      </c>
    </row>
    <row r="361" spans="1:20" s="704" customFormat="1" ht="18.75" customHeight="1" x14ac:dyDescent="0.25">
      <c r="A361" s="686">
        <v>166</v>
      </c>
      <c r="G361" s="567" t="s">
        <v>972</v>
      </c>
      <c r="H361" s="567" t="s">
        <v>987</v>
      </c>
      <c r="I361" s="567" t="s">
        <v>399</v>
      </c>
      <c r="J361" s="706">
        <v>31192</v>
      </c>
      <c r="K361" s="687">
        <v>1</v>
      </c>
      <c r="L361" s="687"/>
      <c r="M361" s="687" t="s">
        <v>918</v>
      </c>
      <c r="N361" s="687" t="s">
        <v>407</v>
      </c>
      <c r="O361" s="567" t="s">
        <v>384</v>
      </c>
      <c r="P361" s="704">
        <v>9073391515</v>
      </c>
      <c r="R361" s="706">
        <v>44540</v>
      </c>
      <c r="S361" s="707" t="s">
        <v>474</v>
      </c>
      <c r="T361" s="708" t="s">
        <v>430</v>
      </c>
    </row>
    <row r="362" spans="1:20" s="704" customFormat="1" ht="18.75" customHeight="1" x14ac:dyDescent="0.25">
      <c r="A362" s="686">
        <v>167</v>
      </c>
      <c r="G362" s="567" t="s">
        <v>988</v>
      </c>
      <c r="H362" s="567" t="s">
        <v>583</v>
      </c>
      <c r="I362" s="567"/>
      <c r="J362" s="689">
        <v>21659</v>
      </c>
      <c r="K362" s="687">
        <v>1</v>
      </c>
      <c r="L362" s="687"/>
      <c r="M362" s="687" t="s">
        <v>918</v>
      </c>
      <c r="N362" s="687" t="s">
        <v>407</v>
      </c>
      <c r="O362" s="567" t="s">
        <v>384</v>
      </c>
      <c r="R362" s="706">
        <v>44540</v>
      </c>
      <c r="S362" s="707" t="s">
        <v>474</v>
      </c>
      <c r="T362" s="708" t="s">
        <v>430</v>
      </c>
    </row>
    <row r="363" spans="1:20" s="704" customFormat="1" ht="18.75" customHeight="1" x14ac:dyDescent="0.25">
      <c r="A363" s="686">
        <v>168</v>
      </c>
      <c r="G363" s="567" t="s">
        <v>989</v>
      </c>
      <c r="H363" s="567" t="s">
        <v>990</v>
      </c>
      <c r="I363" s="567" t="s">
        <v>991</v>
      </c>
      <c r="J363" s="689">
        <v>28230</v>
      </c>
      <c r="K363" s="687">
        <v>1</v>
      </c>
      <c r="L363" s="687"/>
      <c r="M363" s="687" t="s">
        <v>918</v>
      </c>
      <c r="N363" s="687" t="s">
        <v>407</v>
      </c>
      <c r="O363" s="567" t="s">
        <v>384</v>
      </c>
      <c r="P363" s="704">
        <v>9463954437</v>
      </c>
      <c r="R363" s="706">
        <v>44540</v>
      </c>
      <c r="S363" s="707" t="s">
        <v>474</v>
      </c>
      <c r="T363" s="708" t="s">
        <v>430</v>
      </c>
    </row>
    <row r="364" spans="1:20" s="704" customFormat="1" ht="18.75" customHeight="1" x14ac:dyDescent="0.25">
      <c r="A364" s="686">
        <v>169</v>
      </c>
      <c r="G364" s="567" t="s">
        <v>989</v>
      </c>
      <c r="H364" s="567" t="s">
        <v>992</v>
      </c>
      <c r="I364" s="567" t="s">
        <v>991</v>
      </c>
      <c r="J364" s="689">
        <v>25575</v>
      </c>
      <c r="K364" s="687">
        <v>1</v>
      </c>
      <c r="L364" s="687"/>
      <c r="M364" s="687" t="s">
        <v>918</v>
      </c>
      <c r="N364" s="687" t="s">
        <v>407</v>
      </c>
      <c r="O364" s="567" t="s">
        <v>384</v>
      </c>
      <c r="P364" s="704">
        <v>9269088132</v>
      </c>
      <c r="R364" s="706">
        <v>44540</v>
      </c>
      <c r="S364" s="707" t="s">
        <v>474</v>
      </c>
      <c r="T364" s="708" t="s">
        <v>430</v>
      </c>
    </row>
    <row r="365" spans="1:20" s="704" customFormat="1" ht="18.75" customHeight="1" x14ac:dyDescent="0.25">
      <c r="A365" s="686">
        <v>170</v>
      </c>
      <c r="G365" s="567" t="s">
        <v>993</v>
      </c>
      <c r="H365" s="567" t="s">
        <v>994</v>
      </c>
      <c r="I365" s="567" t="s">
        <v>399</v>
      </c>
      <c r="J365" s="689">
        <v>25096</v>
      </c>
      <c r="K365" s="687">
        <v>1</v>
      </c>
      <c r="L365" s="687"/>
      <c r="M365" s="687" t="s">
        <v>919</v>
      </c>
      <c r="N365" s="687" t="s">
        <v>407</v>
      </c>
      <c r="O365" s="567" t="s">
        <v>384</v>
      </c>
      <c r="P365" s="704">
        <v>9168892961</v>
      </c>
      <c r="R365" s="706">
        <v>44540</v>
      </c>
      <c r="S365" s="707" t="s">
        <v>474</v>
      </c>
      <c r="T365" s="708" t="s">
        <v>430</v>
      </c>
    </row>
    <row r="366" spans="1:20" s="704" customFormat="1" ht="18.75" customHeight="1" x14ac:dyDescent="0.25">
      <c r="A366" s="686">
        <v>171</v>
      </c>
      <c r="G366" s="567" t="s">
        <v>995</v>
      </c>
      <c r="H366" s="567" t="s">
        <v>460</v>
      </c>
      <c r="I366" s="567"/>
      <c r="J366" s="689">
        <v>23894</v>
      </c>
      <c r="K366" s="687">
        <v>1</v>
      </c>
      <c r="L366" s="687"/>
      <c r="M366" s="687" t="s">
        <v>914</v>
      </c>
      <c r="N366" s="687" t="s">
        <v>407</v>
      </c>
      <c r="O366" s="567" t="s">
        <v>384</v>
      </c>
      <c r="R366" s="706">
        <v>44540</v>
      </c>
      <c r="S366" s="707" t="s">
        <v>474</v>
      </c>
      <c r="T366" s="708" t="s">
        <v>430</v>
      </c>
    </row>
    <row r="367" spans="1:20" s="704" customFormat="1" ht="18.75" customHeight="1" x14ac:dyDescent="0.25">
      <c r="A367" s="686">
        <v>172</v>
      </c>
      <c r="G367" s="567" t="s">
        <v>936</v>
      </c>
      <c r="H367" s="567" t="s">
        <v>411</v>
      </c>
      <c r="I367" s="567" t="s">
        <v>395</v>
      </c>
      <c r="J367" s="689">
        <v>25542</v>
      </c>
      <c r="K367" s="687">
        <v>1</v>
      </c>
      <c r="L367" s="687"/>
      <c r="M367" s="687" t="s">
        <v>919</v>
      </c>
      <c r="N367" s="687" t="s">
        <v>407</v>
      </c>
      <c r="O367" s="567" t="s">
        <v>384</v>
      </c>
      <c r="R367" s="706">
        <v>44540</v>
      </c>
      <c r="S367" s="707" t="s">
        <v>474</v>
      </c>
      <c r="T367" s="708" t="s">
        <v>430</v>
      </c>
    </row>
    <row r="368" spans="1:20" s="704" customFormat="1" ht="18.75" customHeight="1" x14ac:dyDescent="0.25">
      <c r="A368" s="686">
        <v>173</v>
      </c>
      <c r="G368" s="567" t="s">
        <v>742</v>
      </c>
      <c r="H368" s="567" t="s">
        <v>935</v>
      </c>
      <c r="I368" s="567"/>
      <c r="J368" s="689">
        <v>29805</v>
      </c>
      <c r="K368" s="687">
        <v>1</v>
      </c>
      <c r="L368" s="687"/>
      <c r="M368" s="687" t="s">
        <v>919</v>
      </c>
      <c r="N368" s="687" t="s">
        <v>407</v>
      </c>
      <c r="O368" s="567" t="s">
        <v>384</v>
      </c>
      <c r="R368" s="706">
        <v>44540</v>
      </c>
      <c r="S368" s="707" t="s">
        <v>474</v>
      </c>
      <c r="T368" s="708" t="s">
        <v>430</v>
      </c>
    </row>
    <row r="369" spans="1:20" s="704" customFormat="1" ht="18.75" customHeight="1" x14ac:dyDescent="0.25">
      <c r="A369" s="686">
        <v>174</v>
      </c>
      <c r="G369" s="567" t="s">
        <v>933</v>
      </c>
      <c r="H369" s="567" t="s">
        <v>934</v>
      </c>
      <c r="I369" s="567" t="s">
        <v>397</v>
      </c>
      <c r="J369" s="689">
        <v>30202</v>
      </c>
      <c r="K369" s="687">
        <v>1</v>
      </c>
      <c r="L369" s="687"/>
      <c r="M369" s="687" t="s">
        <v>919</v>
      </c>
      <c r="N369" s="687" t="s">
        <v>407</v>
      </c>
      <c r="O369" s="567" t="s">
        <v>384</v>
      </c>
      <c r="R369" s="706">
        <v>44540</v>
      </c>
      <c r="S369" s="707" t="s">
        <v>474</v>
      </c>
      <c r="T369" s="708" t="s">
        <v>430</v>
      </c>
    </row>
    <row r="370" spans="1:20" s="704" customFormat="1" ht="18.75" customHeight="1" x14ac:dyDescent="0.25">
      <c r="A370" s="686">
        <v>175</v>
      </c>
      <c r="G370" s="567" t="s">
        <v>931</v>
      </c>
      <c r="H370" s="567" t="s">
        <v>932</v>
      </c>
      <c r="I370" s="567"/>
      <c r="J370" s="689">
        <v>23628</v>
      </c>
      <c r="K370" s="687">
        <v>1</v>
      </c>
      <c r="L370" s="687"/>
      <c r="M370" s="687" t="s">
        <v>919</v>
      </c>
      <c r="N370" s="687" t="s">
        <v>407</v>
      </c>
      <c r="O370" s="567" t="s">
        <v>384</v>
      </c>
      <c r="R370" s="706">
        <v>44540</v>
      </c>
      <c r="S370" s="707" t="s">
        <v>474</v>
      </c>
      <c r="T370" s="708" t="s">
        <v>430</v>
      </c>
    </row>
    <row r="371" spans="1:20" s="704" customFormat="1" ht="18.75" customHeight="1" x14ac:dyDescent="0.25">
      <c r="A371" s="686">
        <v>176</v>
      </c>
      <c r="G371" s="567" t="s">
        <v>929</v>
      </c>
      <c r="H371" s="714" t="s">
        <v>930</v>
      </c>
      <c r="I371" s="567"/>
      <c r="J371" s="689">
        <v>31008</v>
      </c>
      <c r="K371" s="687">
        <v>1</v>
      </c>
      <c r="L371" s="687"/>
      <c r="M371" s="687" t="s">
        <v>919</v>
      </c>
      <c r="N371" s="687" t="s">
        <v>407</v>
      </c>
      <c r="O371" s="567" t="s">
        <v>384</v>
      </c>
      <c r="R371" s="706">
        <v>44540</v>
      </c>
      <c r="S371" s="707" t="s">
        <v>474</v>
      </c>
      <c r="T371" s="708" t="s">
        <v>430</v>
      </c>
    </row>
    <row r="372" spans="1:20" s="704" customFormat="1" ht="18.75" customHeight="1" x14ac:dyDescent="0.25">
      <c r="A372" s="686">
        <v>177</v>
      </c>
      <c r="G372" s="567" t="s">
        <v>495</v>
      </c>
      <c r="H372" s="567" t="s">
        <v>928</v>
      </c>
      <c r="I372" s="567"/>
      <c r="J372" s="689">
        <v>30063</v>
      </c>
      <c r="K372" s="687"/>
      <c r="L372" s="687">
        <v>1</v>
      </c>
      <c r="M372" s="687" t="s">
        <v>919</v>
      </c>
      <c r="N372" s="687" t="s">
        <v>407</v>
      </c>
      <c r="O372" s="567" t="s">
        <v>384</v>
      </c>
      <c r="R372" s="706">
        <v>44540</v>
      </c>
      <c r="S372" s="707" t="s">
        <v>474</v>
      </c>
      <c r="T372" s="708" t="s">
        <v>430</v>
      </c>
    </row>
    <row r="373" spans="1:20" s="704" customFormat="1" ht="18.75" customHeight="1" x14ac:dyDescent="0.25">
      <c r="A373" s="686">
        <v>178</v>
      </c>
      <c r="G373" s="567" t="s">
        <v>742</v>
      </c>
      <c r="H373" s="567" t="s">
        <v>927</v>
      </c>
      <c r="I373" s="567"/>
      <c r="J373" s="689">
        <v>38986</v>
      </c>
      <c r="K373" s="687">
        <v>1</v>
      </c>
      <c r="L373" s="687"/>
      <c r="M373" s="687" t="s">
        <v>919</v>
      </c>
      <c r="N373" s="687" t="s">
        <v>407</v>
      </c>
      <c r="O373" s="567" t="s">
        <v>384</v>
      </c>
      <c r="R373" s="706">
        <v>44540</v>
      </c>
      <c r="S373" s="707" t="s">
        <v>474</v>
      </c>
      <c r="T373" s="708" t="s">
        <v>430</v>
      </c>
    </row>
    <row r="374" spans="1:20" s="704" customFormat="1" ht="18.75" customHeight="1" x14ac:dyDescent="0.25">
      <c r="A374" s="686">
        <v>179</v>
      </c>
      <c r="G374" s="567" t="s">
        <v>925</v>
      </c>
      <c r="H374" s="567" t="s">
        <v>926</v>
      </c>
      <c r="I374" s="567"/>
      <c r="J374" s="689">
        <v>24909</v>
      </c>
      <c r="K374" s="687"/>
      <c r="L374" s="687">
        <v>1</v>
      </c>
      <c r="M374" s="687" t="s">
        <v>919</v>
      </c>
      <c r="N374" s="687" t="s">
        <v>407</v>
      </c>
      <c r="O374" s="567" t="s">
        <v>384</v>
      </c>
      <c r="R374" s="706">
        <v>44540</v>
      </c>
      <c r="S374" s="707" t="s">
        <v>474</v>
      </c>
      <c r="T374" s="708" t="s">
        <v>430</v>
      </c>
    </row>
    <row r="375" spans="1:20" s="704" customFormat="1" ht="18.75" customHeight="1" x14ac:dyDescent="0.25">
      <c r="A375" s="686">
        <v>180</v>
      </c>
      <c r="G375" s="567" t="s">
        <v>923</v>
      </c>
      <c r="H375" s="567" t="s">
        <v>924</v>
      </c>
      <c r="I375" s="567"/>
      <c r="J375" s="689">
        <v>28552</v>
      </c>
      <c r="K375" s="687">
        <v>1</v>
      </c>
      <c r="L375" s="687"/>
      <c r="M375" s="687" t="s">
        <v>919</v>
      </c>
      <c r="N375" s="687" t="s">
        <v>407</v>
      </c>
      <c r="O375" s="567" t="s">
        <v>384</v>
      </c>
      <c r="R375" s="706">
        <v>44540</v>
      </c>
      <c r="S375" s="707" t="s">
        <v>474</v>
      </c>
      <c r="T375" s="708" t="s">
        <v>430</v>
      </c>
    </row>
    <row r="376" spans="1:20" s="704" customFormat="1" ht="18.75" customHeight="1" x14ac:dyDescent="0.25">
      <c r="A376" s="686">
        <v>181</v>
      </c>
      <c r="G376" s="567" t="s">
        <v>495</v>
      </c>
      <c r="H376" s="567" t="s">
        <v>922</v>
      </c>
      <c r="I376" s="567"/>
      <c r="J376" s="727">
        <v>28383</v>
      </c>
      <c r="K376" s="726">
        <v>1</v>
      </c>
      <c r="L376" s="726"/>
      <c r="M376" s="726" t="s">
        <v>919</v>
      </c>
      <c r="N376" s="726" t="s">
        <v>407</v>
      </c>
      <c r="O376" s="567" t="s">
        <v>384</v>
      </c>
      <c r="R376" s="706">
        <v>44540</v>
      </c>
      <c r="S376" s="707" t="s">
        <v>474</v>
      </c>
      <c r="T376" s="708" t="s">
        <v>430</v>
      </c>
    </row>
    <row r="377" spans="1:20" s="704" customFormat="1" ht="18.75" customHeight="1" x14ac:dyDescent="0.25">
      <c r="A377" s="686">
        <v>182</v>
      </c>
      <c r="G377" s="567" t="s">
        <v>1034</v>
      </c>
      <c r="H377" s="567" t="s">
        <v>1035</v>
      </c>
      <c r="I377" s="567" t="s">
        <v>421</v>
      </c>
      <c r="J377" s="727">
        <v>38690</v>
      </c>
      <c r="K377" s="726">
        <v>1</v>
      </c>
      <c r="L377" s="726"/>
      <c r="M377" s="726" t="s">
        <v>413</v>
      </c>
      <c r="N377" s="726" t="s">
        <v>386</v>
      </c>
      <c r="O377" s="567" t="s">
        <v>384</v>
      </c>
      <c r="P377" s="704">
        <v>9153853321</v>
      </c>
      <c r="R377" s="706">
        <v>44551</v>
      </c>
      <c r="S377" s="707" t="s">
        <v>474</v>
      </c>
      <c r="T377" s="708" t="s">
        <v>430</v>
      </c>
    </row>
    <row r="378" spans="1:20" s="704" customFormat="1" ht="18.75" customHeight="1" x14ac:dyDescent="0.25">
      <c r="A378" s="686">
        <v>183</v>
      </c>
      <c r="G378" s="567" t="s">
        <v>416</v>
      </c>
      <c r="H378" s="567" t="s">
        <v>1036</v>
      </c>
      <c r="I378" s="567" t="s">
        <v>402</v>
      </c>
      <c r="J378" s="727">
        <v>32896</v>
      </c>
      <c r="K378" s="726">
        <v>1</v>
      </c>
      <c r="L378" s="726"/>
      <c r="M378" s="726" t="s">
        <v>413</v>
      </c>
      <c r="N378" s="726" t="s">
        <v>386</v>
      </c>
      <c r="O378" s="567" t="s">
        <v>384</v>
      </c>
      <c r="P378" s="704">
        <v>9502649701</v>
      </c>
      <c r="R378" s="706">
        <v>44551</v>
      </c>
      <c r="S378" s="707" t="s">
        <v>474</v>
      </c>
      <c r="T378" s="708" t="s">
        <v>430</v>
      </c>
    </row>
    <row r="379" spans="1:20" s="704" customFormat="1" ht="18.75" customHeight="1" x14ac:dyDescent="0.25">
      <c r="A379" s="686">
        <v>184</v>
      </c>
      <c r="G379" s="567" t="s">
        <v>1037</v>
      </c>
      <c r="H379" s="567" t="s">
        <v>1038</v>
      </c>
      <c r="I379" s="567" t="s">
        <v>395</v>
      </c>
      <c r="J379" s="727">
        <v>31785</v>
      </c>
      <c r="K379" s="726">
        <v>1</v>
      </c>
      <c r="L379" s="726"/>
      <c r="M379" s="726" t="s">
        <v>413</v>
      </c>
      <c r="N379" s="726" t="s">
        <v>386</v>
      </c>
      <c r="O379" s="567" t="s">
        <v>384</v>
      </c>
      <c r="P379" s="704">
        <v>9977488825</v>
      </c>
      <c r="R379" s="706">
        <v>44551</v>
      </c>
      <c r="S379" s="707" t="s">
        <v>474</v>
      </c>
      <c r="T379" s="708" t="s">
        <v>430</v>
      </c>
    </row>
    <row r="380" spans="1:20" s="704" customFormat="1" ht="18.75" customHeight="1" x14ac:dyDescent="0.25">
      <c r="A380" s="686">
        <v>185</v>
      </c>
      <c r="G380" s="567" t="s">
        <v>1039</v>
      </c>
      <c r="H380" s="567" t="s">
        <v>436</v>
      </c>
      <c r="I380" s="567"/>
      <c r="J380" s="727">
        <v>32542</v>
      </c>
      <c r="K380" s="726">
        <v>1</v>
      </c>
      <c r="L380" s="726"/>
      <c r="M380" s="726" t="s">
        <v>413</v>
      </c>
      <c r="N380" s="726" t="s">
        <v>386</v>
      </c>
      <c r="O380" s="567" t="s">
        <v>384</v>
      </c>
      <c r="P380" s="704">
        <v>9979005627</v>
      </c>
      <c r="R380" s="706">
        <v>44551</v>
      </c>
      <c r="S380" s="707" t="s">
        <v>474</v>
      </c>
      <c r="T380" s="708" t="s">
        <v>430</v>
      </c>
    </row>
    <row r="381" spans="1:20" s="704" customFormat="1" ht="18.75" customHeight="1" x14ac:dyDescent="0.25">
      <c r="A381" s="686">
        <v>186</v>
      </c>
      <c r="G381" s="567" t="s">
        <v>1040</v>
      </c>
      <c r="H381" s="567" t="s">
        <v>544</v>
      </c>
      <c r="I381" s="567"/>
      <c r="J381" s="727">
        <v>31263</v>
      </c>
      <c r="K381" s="726">
        <v>1</v>
      </c>
      <c r="L381" s="726"/>
      <c r="M381" s="726" t="s">
        <v>413</v>
      </c>
      <c r="N381" s="726" t="s">
        <v>386</v>
      </c>
      <c r="O381" s="567" t="s">
        <v>384</v>
      </c>
      <c r="P381" s="704">
        <v>9678432454</v>
      </c>
      <c r="R381" s="706">
        <v>44551</v>
      </c>
      <c r="S381" s="707" t="s">
        <v>474</v>
      </c>
      <c r="T381" s="708" t="s">
        <v>430</v>
      </c>
    </row>
    <row r="382" spans="1:20" s="704" customFormat="1" ht="18.75" customHeight="1" x14ac:dyDescent="0.25">
      <c r="A382" s="686">
        <v>187</v>
      </c>
      <c r="G382" s="567" t="s">
        <v>1041</v>
      </c>
      <c r="H382" s="567" t="s">
        <v>1042</v>
      </c>
      <c r="I382" s="567"/>
      <c r="J382" s="727">
        <v>30631</v>
      </c>
      <c r="K382" s="726">
        <v>1</v>
      </c>
      <c r="L382" s="726"/>
      <c r="M382" s="726" t="s">
        <v>413</v>
      </c>
      <c r="N382" s="726" t="s">
        <v>386</v>
      </c>
      <c r="O382" s="567" t="s">
        <v>384</v>
      </c>
      <c r="P382" s="704">
        <v>9678432454</v>
      </c>
      <c r="R382" s="706">
        <v>44551</v>
      </c>
      <c r="S382" s="707" t="s">
        <v>474</v>
      </c>
      <c r="T382" s="708" t="s">
        <v>430</v>
      </c>
    </row>
    <row r="383" spans="1:20" s="704" customFormat="1" ht="18.75" customHeight="1" x14ac:dyDescent="0.25">
      <c r="A383" s="686">
        <v>188</v>
      </c>
      <c r="G383" s="567" t="s">
        <v>1043</v>
      </c>
      <c r="H383" s="567" t="s">
        <v>1044</v>
      </c>
      <c r="I383" s="567"/>
      <c r="J383" s="727">
        <v>27059</v>
      </c>
      <c r="K383" s="726">
        <v>1</v>
      </c>
      <c r="L383" s="726"/>
      <c r="M383" s="726" t="s">
        <v>413</v>
      </c>
      <c r="N383" s="726" t="s">
        <v>386</v>
      </c>
      <c r="O383" s="567" t="s">
        <v>384</v>
      </c>
      <c r="P383" s="704">
        <v>9164386586</v>
      </c>
      <c r="R383" s="706">
        <v>44551</v>
      </c>
      <c r="S383" s="707" t="s">
        <v>474</v>
      </c>
      <c r="T383" s="708" t="s">
        <v>430</v>
      </c>
    </row>
    <row r="384" spans="1:20" s="704" customFormat="1" ht="18.75" customHeight="1" x14ac:dyDescent="0.25">
      <c r="A384" s="686">
        <v>189</v>
      </c>
      <c r="G384" s="567" t="s">
        <v>1045</v>
      </c>
      <c r="H384" s="567" t="s">
        <v>912</v>
      </c>
      <c r="I384" s="567"/>
      <c r="J384" s="727">
        <v>34935</v>
      </c>
      <c r="K384" s="726">
        <v>1</v>
      </c>
      <c r="L384" s="726"/>
      <c r="M384" s="726" t="s">
        <v>413</v>
      </c>
      <c r="N384" s="726" t="s">
        <v>386</v>
      </c>
      <c r="O384" s="567" t="s">
        <v>384</v>
      </c>
      <c r="R384" s="706">
        <v>44551</v>
      </c>
      <c r="S384" s="707" t="s">
        <v>474</v>
      </c>
      <c r="T384" s="708" t="s">
        <v>430</v>
      </c>
    </row>
    <row r="385" spans="1:20" s="704" customFormat="1" ht="18.75" customHeight="1" x14ac:dyDescent="0.25">
      <c r="A385" s="686">
        <v>190</v>
      </c>
      <c r="G385" s="567" t="s">
        <v>888</v>
      </c>
      <c r="H385" s="567" t="s">
        <v>1046</v>
      </c>
      <c r="I385" s="567"/>
      <c r="J385" s="727">
        <v>33386</v>
      </c>
      <c r="K385" s="726">
        <v>1</v>
      </c>
      <c r="L385" s="726"/>
      <c r="M385" s="726" t="s">
        <v>413</v>
      </c>
      <c r="N385" s="726" t="s">
        <v>386</v>
      </c>
      <c r="O385" s="567" t="s">
        <v>384</v>
      </c>
      <c r="R385" s="706">
        <v>44551</v>
      </c>
      <c r="S385" s="707" t="s">
        <v>474</v>
      </c>
      <c r="T385" s="708" t="s">
        <v>430</v>
      </c>
    </row>
    <row r="386" spans="1:20" s="704" customFormat="1" ht="18.75" customHeight="1" x14ac:dyDescent="0.25">
      <c r="A386" s="686">
        <v>191</v>
      </c>
      <c r="G386" s="567" t="s">
        <v>1047</v>
      </c>
      <c r="H386" s="567" t="s">
        <v>1048</v>
      </c>
      <c r="I386" s="567"/>
      <c r="J386" s="727">
        <v>35106</v>
      </c>
      <c r="K386" s="726">
        <v>1</v>
      </c>
      <c r="L386" s="726"/>
      <c r="M386" s="726" t="s">
        <v>413</v>
      </c>
      <c r="N386" s="726" t="s">
        <v>386</v>
      </c>
      <c r="O386" s="567" t="s">
        <v>384</v>
      </c>
      <c r="P386" s="704">
        <v>9463907225</v>
      </c>
      <c r="R386" s="706">
        <v>44551</v>
      </c>
      <c r="S386" s="707" t="s">
        <v>474</v>
      </c>
      <c r="T386" s="708" t="s">
        <v>430</v>
      </c>
    </row>
    <row r="387" spans="1:20" s="704" customFormat="1" ht="18.75" customHeight="1" x14ac:dyDescent="0.25">
      <c r="A387" s="686">
        <v>192</v>
      </c>
      <c r="G387" s="567" t="s">
        <v>1049</v>
      </c>
      <c r="H387" s="567" t="s">
        <v>1050</v>
      </c>
      <c r="I387" s="567"/>
      <c r="J387" s="727">
        <v>35738</v>
      </c>
      <c r="K387" s="726">
        <v>1</v>
      </c>
      <c r="L387" s="726"/>
      <c r="M387" s="726" t="s">
        <v>413</v>
      </c>
      <c r="N387" s="726" t="s">
        <v>386</v>
      </c>
      <c r="O387" s="567" t="s">
        <v>384</v>
      </c>
      <c r="P387" s="704">
        <v>9774670603</v>
      </c>
      <c r="R387" s="706">
        <v>44551</v>
      </c>
      <c r="S387" s="707" t="s">
        <v>474</v>
      </c>
      <c r="T387" s="708" t="s">
        <v>430</v>
      </c>
    </row>
    <row r="388" spans="1:20" s="704" customFormat="1" ht="18.75" customHeight="1" x14ac:dyDescent="0.25">
      <c r="A388" s="686">
        <v>193</v>
      </c>
      <c r="G388" s="567" t="s">
        <v>1039</v>
      </c>
      <c r="H388" s="567" t="s">
        <v>1051</v>
      </c>
      <c r="I388" s="567" t="s">
        <v>387</v>
      </c>
      <c r="J388" s="727">
        <v>20386</v>
      </c>
      <c r="K388" s="726">
        <v>1</v>
      </c>
      <c r="L388" s="726"/>
      <c r="M388" s="726" t="s">
        <v>413</v>
      </c>
      <c r="N388" s="726" t="s">
        <v>386</v>
      </c>
      <c r="O388" s="567" t="s">
        <v>384</v>
      </c>
      <c r="R388" s="706">
        <v>44551</v>
      </c>
      <c r="S388" s="707" t="s">
        <v>474</v>
      </c>
      <c r="T388" s="708" t="s">
        <v>430</v>
      </c>
    </row>
    <row r="389" spans="1:20" s="704" customFormat="1" ht="18.75" customHeight="1" x14ac:dyDescent="0.25">
      <c r="A389" s="686">
        <v>194</v>
      </c>
      <c r="G389" s="567" t="s">
        <v>1049</v>
      </c>
      <c r="H389" s="567" t="s">
        <v>1052</v>
      </c>
      <c r="I389" s="567"/>
      <c r="J389" s="727">
        <v>23470</v>
      </c>
      <c r="K389" s="726">
        <v>1</v>
      </c>
      <c r="L389" s="726"/>
      <c r="M389" s="726" t="s">
        <v>413</v>
      </c>
      <c r="N389" s="726" t="s">
        <v>386</v>
      </c>
      <c r="O389" s="567" t="s">
        <v>384</v>
      </c>
      <c r="P389" s="704">
        <v>9070312669</v>
      </c>
      <c r="R389" s="706">
        <v>44551</v>
      </c>
      <c r="S389" s="707" t="s">
        <v>474</v>
      </c>
      <c r="T389" s="708" t="s">
        <v>430</v>
      </c>
    </row>
    <row r="390" spans="1:20" s="704" customFormat="1" ht="18.75" customHeight="1" x14ac:dyDescent="0.25">
      <c r="A390" s="686">
        <v>195</v>
      </c>
      <c r="G390" s="567" t="s">
        <v>1049</v>
      </c>
      <c r="H390" s="567" t="s">
        <v>1053</v>
      </c>
      <c r="I390" s="567" t="s">
        <v>397</v>
      </c>
      <c r="J390" s="727">
        <v>21926</v>
      </c>
      <c r="K390" s="726">
        <v>1</v>
      </c>
      <c r="L390" s="726"/>
      <c r="M390" s="726" t="s">
        <v>413</v>
      </c>
      <c r="N390" s="726" t="s">
        <v>386</v>
      </c>
      <c r="O390" s="567" t="s">
        <v>384</v>
      </c>
      <c r="P390" s="704">
        <v>9556211917</v>
      </c>
      <c r="R390" s="706">
        <v>44551</v>
      </c>
      <c r="S390" s="707" t="s">
        <v>474</v>
      </c>
      <c r="T390" s="708" t="s">
        <v>430</v>
      </c>
    </row>
    <row r="391" spans="1:20" s="704" customFormat="1" ht="18.75" customHeight="1" x14ac:dyDescent="0.25">
      <c r="A391" s="686">
        <v>196</v>
      </c>
      <c r="G391" s="567" t="s">
        <v>761</v>
      </c>
      <c r="H391" s="567" t="s">
        <v>1054</v>
      </c>
      <c r="I391" s="567" t="s">
        <v>395</v>
      </c>
      <c r="J391" s="727">
        <v>35046</v>
      </c>
      <c r="K391" s="726">
        <v>1</v>
      </c>
      <c r="L391" s="726"/>
      <c r="M391" s="726" t="s">
        <v>413</v>
      </c>
      <c r="N391" s="726" t="s">
        <v>386</v>
      </c>
      <c r="O391" s="567" t="s">
        <v>384</v>
      </c>
      <c r="P391" s="704">
        <v>9532550980</v>
      </c>
      <c r="R391" s="706">
        <v>44551</v>
      </c>
      <c r="S391" s="707" t="s">
        <v>474</v>
      </c>
      <c r="T391" s="708" t="s">
        <v>430</v>
      </c>
    </row>
    <row r="392" spans="1:20" s="704" customFormat="1" ht="18.75" customHeight="1" x14ac:dyDescent="0.25">
      <c r="A392" s="686">
        <v>197</v>
      </c>
      <c r="G392" s="567" t="s">
        <v>1038</v>
      </c>
      <c r="H392" s="567" t="s">
        <v>1056</v>
      </c>
      <c r="I392" s="567" t="s">
        <v>395</v>
      </c>
      <c r="J392" s="727" t="s">
        <v>1055</v>
      </c>
      <c r="K392" s="726">
        <v>1</v>
      </c>
      <c r="L392" s="726"/>
      <c r="M392" s="726" t="s">
        <v>413</v>
      </c>
      <c r="N392" s="726" t="s">
        <v>386</v>
      </c>
      <c r="O392" s="567" t="s">
        <v>384</v>
      </c>
      <c r="R392" s="706">
        <v>44551</v>
      </c>
      <c r="S392" s="707" t="s">
        <v>474</v>
      </c>
      <c r="T392" s="708" t="s">
        <v>430</v>
      </c>
    </row>
    <row r="393" spans="1:20" s="704" customFormat="1" ht="18.75" customHeight="1" x14ac:dyDescent="0.25">
      <c r="A393" s="686">
        <v>198</v>
      </c>
      <c r="G393" s="567" t="s">
        <v>1049</v>
      </c>
      <c r="H393" s="567" t="s">
        <v>1057</v>
      </c>
      <c r="I393" s="567" t="s">
        <v>397</v>
      </c>
      <c r="J393" s="727">
        <v>25227</v>
      </c>
      <c r="K393" s="726">
        <v>1</v>
      </c>
      <c r="L393" s="726"/>
      <c r="M393" s="726" t="s">
        <v>413</v>
      </c>
      <c r="N393" s="726" t="s">
        <v>386</v>
      </c>
      <c r="O393" s="567" t="s">
        <v>384</v>
      </c>
      <c r="P393" s="704">
        <v>9125382536</v>
      </c>
      <c r="R393" s="706">
        <v>44551</v>
      </c>
      <c r="S393" s="707" t="s">
        <v>474</v>
      </c>
      <c r="T393" s="708" t="s">
        <v>430</v>
      </c>
    </row>
    <row r="394" spans="1:20" s="704" customFormat="1" ht="18.75" customHeight="1" x14ac:dyDescent="0.25">
      <c r="A394" s="686">
        <v>199</v>
      </c>
      <c r="G394" s="567" t="s">
        <v>1047</v>
      </c>
      <c r="H394" s="567" t="s">
        <v>879</v>
      </c>
      <c r="I394" s="567" t="s">
        <v>397</v>
      </c>
      <c r="J394" s="727">
        <v>30841</v>
      </c>
      <c r="K394" s="726"/>
      <c r="L394" s="726">
        <v>1</v>
      </c>
      <c r="M394" s="726" t="s">
        <v>413</v>
      </c>
      <c r="N394" s="726" t="s">
        <v>386</v>
      </c>
      <c r="O394" s="567" t="s">
        <v>384</v>
      </c>
      <c r="P394" s="704">
        <v>9166262336</v>
      </c>
      <c r="R394" s="706">
        <v>44551</v>
      </c>
      <c r="S394" s="707" t="s">
        <v>474</v>
      </c>
      <c r="T394" s="708" t="s">
        <v>430</v>
      </c>
    </row>
    <row r="395" spans="1:20" s="704" customFormat="1" ht="18.75" customHeight="1" x14ac:dyDescent="0.25">
      <c r="A395" s="686">
        <v>200</v>
      </c>
      <c r="G395" s="567" t="s">
        <v>1058</v>
      </c>
      <c r="H395" s="567" t="s">
        <v>1059</v>
      </c>
      <c r="I395" s="567" t="s">
        <v>1060</v>
      </c>
      <c r="J395" s="727">
        <v>26785</v>
      </c>
      <c r="K395" s="726">
        <v>1</v>
      </c>
      <c r="L395" s="726"/>
      <c r="M395" s="726" t="s">
        <v>413</v>
      </c>
      <c r="N395" s="726" t="s">
        <v>386</v>
      </c>
      <c r="O395" s="567" t="s">
        <v>384</v>
      </c>
      <c r="P395" s="704">
        <v>9658402477</v>
      </c>
      <c r="R395" s="706">
        <v>44551</v>
      </c>
      <c r="S395" s="707" t="s">
        <v>474</v>
      </c>
      <c r="T395" s="708" t="s">
        <v>430</v>
      </c>
    </row>
    <row r="396" spans="1:20" s="704" customFormat="1" ht="18.75" customHeight="1" x14ac:dyDescent="0.25">
      <c r="A396" s="686">
        <v>201</v>
      </c>
      <c r="G396" s="567" t="s">
        <v>1049</v>
      </c>
      <c r="H396" s="567" t="s">
        <v>1061</v>
      </c>
      <c r="I396" s="567"/>
      <c r="J396" s="727">
        <v>34324</v>
      </c>
      <c r="K396" s="726">
        <v>1</v>
      </c>
      <c r="L396" s="726"/>
      <c r="M396" s="726" t="s">
        <v>413</v>
      </c>
      <c r="N396" s="726" t="s">
        <v>386</v>
      </c>
      <c r="O396" s="567" t="s">
        <v>384</v>
      </c>
      <c r="P396" s="704">
        <v>9517675600</v>
      </c>
      <c r="R396" s="706">
        <v>44551</v>
      </c>
      <c r="S396" s="707" t="s">
        <v>474</v>
      </c>
      <c r="T396" s="708" t="s">
        <v>430</v>
      </c>
    </row>
    <row r="397" spans="1:20" s="704" customFormat="1" ht="18.75" customHeight="1" x14ac:dyDescent="0.25">
      <c r="A397" s="686">
        <v>202</v>
      </c>
      <c r="G397" s="567" t="s">
        <v>1062</v>
      </c>
      <c r="H397" s="567" t="s">
        <v>497</v>
      </c>
      <c r="I397" s="567"/>
      <c r="J397" s="727"/>
      <c r="K397" s="726">
        <v>1</v>
      </c>
      <c r="L397" s="726"/>
      <c r="M397" s="726" t="s">
        <v>413</v>
      </c>
      <c r="N397" s="726" t="s">
        <v>386</v>
      </c>
      <c r="O397" s="567" t="s">
        <v>384</v>
      </c>
      <c r="R397" s="706">
        <v>44551</v>
      </c>
      <c r="S397" s="707" t="s">
        <v>474</v>
      </c>
      <c r="T397" s="708" t="s">
        <v>430</v>
      </c>
    </row>
    <row r="398" spans="1:20" s="704" customFormat="1" ht="18.75" customHeight="1" x14ac:dyDescent="0.25">
      <c r="A398" s="686">
        <v>203</v>
      </c>
      <c r="G398" s="567" t="s">
        <v>1062</v>
      </c>
      <c r="H398" s="567" t="s">
        <v>1063</v>
      </c>
      <c r="I398" s="567"/>
      <c r="J398" s="727"/>
      <c r="K398" s="726">
        <v>1</v>
      </c>
      <c r="L398" s="726"/>
      <c r="M398" s="726" t="s">
        <v>413</v>
      </c>
      <c r="N398" s="726" t="s">
        <v>386</v>
      </c>
      <c r="O398" s="567" t="s">
        <v>384</v>
      </c>
      <c r="R398" s="706">
        <v>44551</v>
      </c>
      <c r="S398" s="707" t="s">
        <v>474</v>
      </c>
      <c r="T398" s="708" t="s">
        <v>430</v>
      </c>
    </row>
    <row r="399" spans="1:20" s="704" customFormat="1" ht="18.75" customHeight="1" x14ac:dyDescent="0.25">
      <c r="A399" s="686">
        <v>204</v>
      </c>
      <c r="G399" s="567" t="s">
        <v>1047</v>
      </c>
      <c r="H399" s="567" t="s">
        <v>1064</v>
      </c>
      <c r="I399" s="567" t="s">
        <v>399</v>
      </c>
      <c r="J399" s="727">
        <v>33473</v>
      </c>
      <c r="K399" s="726">
        <v>1</v>
      </c>
      <c r="L399" s="726"/>
      <c r="M399" s="726" t="s">
        <v>413</v>
      </c>
      <c r="N399" s="726" t="s">
        <v>386</v>
      </c>
      <c r="O399" s="567" t="s">
        <v>384</v>
      </c>
      <c r="P399" s="704">
        <v>9388633461</v>
      </c>
      <c r="R399" s="706">
        <v>44551</v>
      </c>
      <c r="S399" s="707" t="s">
        <v>474</v>
      </c>
      <c r="T399" s="708" t="s">
        <v>430</v>
      </c>
    </row>
    <row r="400" spans="1:20" s="704" customFormat="1" ht="18.75" customHeight="1" x14ac:dyDescent="0.25">
      <c r="A400" s="686">
        <v>205</v>
      </c>
      <c r="G400" s="567" t="s">
        <v>1047</v>
      </c>
      <c r="H400" s="567" t="s">
        <v>1065</v>
      </c>
      <c r="I400" s="567" t="s">
        <v>399</v>
      </c>
      <c r="J400" s="727">
        <v>25804</v>
      </c>
      <c r="K400" s="726">
        <v>1</v>
      </c>
      <c r="L400" s="726"/>
      <c r="M400" s="726" t="s">
        <v>413</v>
      </c>
      <c r="N400" s="726" t="s">
        <v>386</v>
      </c>
      <c r="O400" s="567" t="s">
        <v>384</v>
      </c>
      <c r="P400" s="704">
        <v>9106396111</v>
      </c>
      <c r="R400" s="706">
        <v>44551</v>
      </c>
      <c r="S400" s="707" t="s">
        <v>474</v>
      </c>
      <c r="T400" s="708" t="s">
        <v>430</v>
      </c>
    </row>
    <row r="401" spans="1:20" s="704" customFormat="1" ht="18.75" customHeight="1" x14ac:dyDescent="0.25">
      <c r="A401" s="686">
        <v>206</v>
      </c>
      <c r="G401" s="567" t="s">
        <v>1047</v>
      </c>
      <c r="H401" s="567" t="s">
        <v>1066</v>
      </c>
      <c r="I401" s="567"/>
      <c r="J401" s="727">
        <v>24173</v>
      </c>
      <c r="K401" s="726">
        <v>1</v>
      </c>
      <c r="L401" s="726"/>
      <c r="M401" s="726" t="s">
        <v>413</v>
      </c>
      <c r="N401" s="726" t="s">
        <v>386</v>
      </c>
      <c r="O401" s="567" t="s">
        <v>384</v>
      </c>
      <c r="P401" s="704">
        <v>9355757643</v>
      </c>
      <c r="R401" s="706">
        <v>44551</v>
      </c>
      <c r="S401" s="707" t="s">
        <v>474</v>
      </c>
      <c r="T401" s="708" t="s">
        <v>430</v>
      </c>
    </row>
    <row r="402" spans="1:20" s="704" customFormat="1" ht="18.75" customHeight="1" x14ac:dyDescent="0.25">
      <c r="A402" s="686">
        <v>207</v>
      </c>
      <c r="G402" s="567" t="s">
        <v>1067</v>
      </c>
      <c r="H402" s="567" t="s">
        <v>1068</v>
      </c>
      <c r="I402" s="567"/>
      <c r="J402" s="727">
        <v>35089</v>
      </c>
      <c r="K402" s="726">
        <v>1</v>
      </c>
      <c r="L402" s="726"/>
      <c r="M402" s="726" t="s">
        <v>413</v>
      </c>
      <c r="N402" s="726" t="s">
        <v>386</v>
      </c>
      <c r="O402" s="567" t="s">
        <v>384</v>
      </c>
      <c r="R402" s="706">
        <v>44551</v>
      </c>
      <c r="S402" s="707" t="s">
        <v>474</v>
      </c>
      <c r="T402" s="708" t="s">
        <v>430</v>
      </c>
    </row>
    <row r="403" spans="1:20" s="704" customFormat="1" ht="18.75" customHeight="1" x14ac:dyDescent="0.25">
      <c r="A403" s="686">
        <v>208</v>
      </c>
      <c r="G403" s="567" t="s">
        <v>1069</v>
      </c>
      <c r="H403" s="567" t="s">
        <v>1070</v>
      </c>
      <c r="I403" s="567" t="s">
        <v>425</v>
      </c>
      <c r="J403" s="727">
        <v>28964</v>
      </c>
      <c r="K403" s="726">
        <v>1</v>
      </c>
      <c r="L403" s="726"/>
      <c r="M403" s="726" t="s">
        <v>413</v>
      </c>
      <c r="N403" s="726" t="s">
        <v>386</v>
      </c>
      <c r="O403" s="567" t="s">
        <v>384</v>
      </c>
      <c r="P403" s="704">
        <v>9128188275</v>
      </c>
      <c r="R403" s="706">
        <v>44551</v>
      </c>
      <c r="S403" s="707" t="s">
        <v>474</v>
      </c>
      <c r="T403" s="708" t="s">
        <v>430</v>
      </c>
    </row>
    <row r="404" spans="1:20" s="704" customFormat="1" ht="18.75" customHeight="1" x14ac:dyDescent="0.25">
      <c r="A404" s="686">
        <v>209</v>
      </c>
      <c r="G404" s="567" t="s">
        <v>1071</v>
      </c>
      <c r="H404" s="567" t="s">
        <v>1072</v>
      </c>
      <c r="I404" s="567" t="s">
        <v>423</v>
      </c>
      <c r="J404" s="727">
        <v>22648</v>
      </c>
      <c r="K404" s="726">
        <v>1</v>
      </c>
      <c r="L404" s="726"/>
      <c r="M404" s="726" t="s">
        <v>502</v>
      </c>
      <c r="N404" s="726" t="s">
        <v>386</v>
      </c>
      <c r="O404" s="567" t="s">
        <v>384</v>
      </c>
      <c r="R404" s="706">
        <v>44551</v>
      </c>
      <c r="S404" s="707" t="s">
        <v>474</v>
      </c>
      <c r="T404" s="708" t="s">
        <v>430</v>
      </c>
    </row>
    <row r="405" spans="1:20" s="704" customFormat="1" ht="18.75" customHeight="1" x14ac:dyDescent="0.25">
      <c r="A405" s="686">
        <v>210</v>
      </c>
      <c r="G405" s="567" t="s">
        <v>1071</v>
      </c>
      <c r="H405" s="567" t="s">
        <v>1073</v>
      </c>
      <c r="I405" s="567" t="s">
        <v>402</v>
      </c>
      <c r="J405" s="727">
        <v>29963</v>
      </c>
      <c r="K405" s="726">
        <v>1</v>
      </c>
      <c r="L405" s="726"/>
      <c r="M405" s="726" t="s">
        <v>502</v>
      </c>
      <c r="N405" s="726" t="s">
        <v>386</v>
      </c>
      <c r="O405" s="567" t="s">
        <v>384</v>
      </c>
      <c r="P405" s="704">
        <v>9303992711</v>
      </c>
      <c r="R405" s="706">
        <v>44551</v>
      </c>
      <c r="S405" s="707" t="s">
        <v>474</v>
      </c>
      <c r="T405" s="708" t="s">
        <v>430</v>
      </c>
    </row>
    <row r="406" spans="1:20" s="704" customFormat="1" ht="18.75" customHeight="1" x14ac:dyDescent="0.25">
      <c r="A406" s="686">
        <v>211</v>
      </c>
      <c r="G406" s="567" t="s">
        <v>1071</v>
      </c>
      <c r="H406" s="567" t="s">
        <v>468</v>
      </c>
      <c r="I406" s="567"/>
      <c r="J406" s="727">
        <v>24650</v>
      </c>
      <c r="K406" s="726">
        <v>1</v>
      </c>
      <c r="L406" s="726"/>
      <c r="M406" s="726" t="s">
        <v>502</v>
      </c>
      <c r="N406" s="726" t="s">
        <v>386</v>
      </c>
      <c r="O406" s="567" t="s">
        <v>384</v>
      </c>
      <c r="P406" s="704">
        <v>9303480299</v>
      </c>
      <c r="R406" s="706">
        <v>44551</v>
      </c>
      <c r="S406" s="707" t="s">
        <v>474</v>
      </c>
      <c r="T406" s="708" t="s">
        <v>430</v>
      </c>
    </row>
    <row r="407" spans="1:20" s="704" customFormat="1" ht="18.75" customHeight="1" x14ac:dyDescent="0.25">
      <c r="A407" s="686">
        <v>212</v>
      </c>
      <c r="G407" s="567" t="s">
        <v>1071</v>
      </c>
      <c r="H407" s="567" t="s">
        <v>1074</v>
      </c>
      <c r="I407" s="567"/>
      <c r="J407" s="727">
        <v>23040</v>
      </c>
      <c r="K407" s="726">
        <v>1</v>
      </c>
      <c r="L407" s="726"/>
      <c r="M407" s="726" t="s">
        <v>502</v>
      </c>
      <c r="N407" s="726" t="s">
        <v>386</v>
      </c>
      <c r="O407" s="567" t="s">
        <v>384</v>
      </c>
      <c r="R407" s="706">
        <v>44551</v>
      </c>
      <c r="S407" s="707" t="s">
        <v>474</v>
      </c>
      <c r="T407" s="708" t="s">
        <v>430</v>
      </c>
    </row>
    <row r="408" spans="1:20" s="704" customFormat="1" ht="18.75" customHeight="1" x14ac:dyDescent="0.25">
      <c r="A408" s="686">
        <v>213</v>
      </c>
      <c r="G408" s="567" t="s">
        <v>1075</v>
      </c>
      <c r="H408" s="567" t="s">
        <v>1076</v>
      </c>
      <c r="I408" s="567"/>
      <c r="J408" s="727">
        <v>23068</v>
      </c>
      <c r="K408" s="726">
        <v>1</v>
      </c>
      <c r="L408" s="726"/>
      <c r="M408" s="726" t="s">
        <v>502</v>
      </c>
      <c r="N408" s="726" t="s">
        <v>386</v>
      </c>
      <c r="O408" s="567" t="s">
        <v>384</v>
      </c>
      <c r="P408" s="704">
        <v>9260863465</v>
      </c>
      <c r="R408" s="706">
        <v>44551</v>
      </c>
      <c r="S408" s="707" t="s">
        <v>474</v>
      </c>
      <c r="T408" s="708" t="s">
        <v>430</v>
      </c>
    </row>
    <row r="409" spans="1:20" s="704" customFormat="1" ht="18.75" customHeight="1" x14ac:dyDescent="0.25">
      <c r="A409" s="686">
        <v>214</v>
      </c>
      <c r="G409" s="567" t="s">
        <v>1077</v>
      </c>
      <c r="H409" s="567" t="s">
        <v>1078</v>
      </c>
      <c r="I409" s="567"/>
      <c r="J409" s="727">
        <v>24719</v>
      </c>
      <c r="K409" s="726">
        <v>1</v>
      </c>
      <c r="L409" s="726"/>
      <c r="M409" s="726" t="s">
        <v>502</v>
      </c>
      <c r="N409" s="726" t="s">
        <v>386</v>
      </c>
      <c r="O409" s="567" t="s">
        <v>384</v>
      </c>
      <c r="P409" s="704">
        <v>9354920513</v>
      </c>
      <c r="R409" s="706">
        <v>44551</v>
      </c>
      <c r="S409" s="707" t="s">
        <v>474</v>
      </c>
      <c r="T409" s="708" t="s">
        <v>430</v>
      </c>
    </row>
    <row r="410" spans="1:20" s="704" customFormat="1" ht="18.75" customHeight="1" x14ac:dyDescent="0.25">
      <c r="A410" s="686">
        <v>215</v>
      </c>
      <c r="G410" s="567" t="s">
        <v>1077</v>
      </c>
      <c r="H410" s="567" t="s">
        <v>1079</v>
      </c>
      <c r="I410" s="567"/>
      <c r="J410" s="727">
        <v>24023</v>
      </c>
      <c r="K410" s="726">
        <v>1</v>
      </c>
      <c r="L410" s="726"/>
      <c r="M410" s="726" t="s">
        <v>559</v>
      </c>
      <c r="N410" s="726" t="s">
        <v>386</v>
      </c>
      <c r="O410" s="567" t="s">
        <v>384</v>
      </c>
      <c r="P410" s="704">
        <v>9091091917</v>
      </c>
      <c r="R410" s="706">
        <v>44551</v>
      </c>
      <c r="S410" s="707" t="s">
        <v>474</v>
      </c>
      <c r="T410" s="708" t="s">
        <v>430</v>
      </c>
    </row>
    <row r="411" spans="1:20" s="704" customFormat="1" ht="18.75" customHeight="1" x14ac:dyDescent="0.25">
      <c r="A411" s="686">
        <v>216</v>
      </c>
      <c r="G411" s="567" t="s">
        <v>1080</v>
      </c>
      <c r="H411" s="567" t="s">
        <v>810</v>
      </c>
      <c r="I411" s="567"/>
      <c r="J411" s="727">
        <v>29761</v>
      </c>
      <c r="K411" s="726">
        <v>1</v>
      </c>
      <c r="L411" s="726"/>
      <c r="M411" s="726" t="s">
        <v>559</v>
      </c>
      <c r="N411" s="726" t="s">
        <v>386</v>
      </c>
      <c r="O411" s="567" t="s">
        <v>384</v>
      </c>
      <c r="R411" s="706">
        <v>44551</v>
      </c>
      <c r="S411" s="707" t="s">
        <v>474</v>
      </c>
      <c r="T411" s="708" t="s">
        <v>430</v>
      </c>
    </row>
    <row r="412" spans="1:20" s="704" customFormat="1" ht="18.75" customHeight="1" x14ac:dyDescent="0.25">
      <c r="A412" s="686">
        <v>217</v>
      </c>
      <c r="G412" s="567" t="s">
        <v>1080</v>
      </c>
      <c r="H412" s="567" t="s">
        <v>1081</v>
      </c>
      <c r="I412" s="567"/>
      <c r="J412" s="727">
        <v>23763</v>
      </c>
      <c r="K412" s="726">
        <v>1</v>
      </c>
      <c r="L412" s="726"/>
      <c r="M412" s="726" t="s">
        <v>559</v>
      </c>
      <c r="N412" s="726" t="s">
        <v>386</v>
      </c>
      <c r="O412" s="567" t="s">
        <v>384</v>
      </c>
      <c r="P412" s="704">
        <v>9388295050</v>
      </c>
      <c r="R412" s="706">
        <v>44551</v>
      </c>
      <c r="S412" s="707" t="s">
        <v>474</v>
      </c>
      <c r="T412" s="708" t="s">
        <v>430</v>
      </c>
    </row>
    <row r="413" spans="1:20" s="704" customFormat="1" ht="18.75" customHeight="1" x14ac:dyDescent="0.25">
      <c r="A413" s="686">
        <v>218</v>
      </c>
      <c r="G413" s="567" t="s">
        <v>1080</v>
      </c>
      <c r="H413" s="567" t="s">
        <v>1082</v>
      </c>
      <c r="I413" s="567"/>
      <c r="J413" s="727">
        <v>23238</v>
      </c>
      <c r="K413" s="726">
        <v>1</v>
      </c>
      <c r="L413" s="726"/>
      <c r="M413" s="726" t="s">
        <v>559</v>
      </c>
      <c r="N413" s="726" t="s">
        <v>386</v>
      </c>
      <c r="O413" s="567" t="s">
        <v>384</v>
      </c>
      <c r="P413" s="704">
        <v>9291612164</v>
      </c>
      <c r="R413" s="706">
        <v>44551</v>
      </c>
      <c r="S413" s="707" t="s">
        <v>474</v>
      </c>
      <c r="T413" s="708" t="s">
        <v>430</v>
      </c>
    </row>
    <row r="414" spans="1:20" s="704" customFormat="1" ht="18.75" customHeight="1" x14ac:dyDescent="0.25">
      <c r="A414" s="686">
        <v>219</v>
      </c>
      <c r="G414" s="567" t="s">
        <v>1080</v>
      </c>
      <c r="H414" s="567" t="s">
        <v>1083</v>
      </c>
      <c r="I414" s="567"/>
      <c r="J414" s="727">
        <v>30418</v>
      </c>
      <c r="K414" s="726">
        <v>1</v>
      </c>
      <c r="L414" s="726"/>
      <c r="M414" s="726" t="s">
        <v>559</v>
      </c>
      <c r="N414" s="726" t="s">
        <v>386</v>
      </c>
      <c r="O414" s="567" t="s">
        <v>384</v>
      </c>
      <c r="R414" s="706">
        <v>44551</v>
      </c>
      <c r="S414" s="707" t="s">
        <v>474</v>
      </c>
      <c r="T414" s="708" t="s">
        <v>430</v>
      </c>
    </row>
    <row r="415" spans="1:20" s="704" customFormat="1" ht="18.75" customHeight="1" x14ac:dyDescent="0.25">
      <c r="A415" s="686">
        <v>220</v>
      </c>
      <c r="G415" s="567" t="s">
        <v>1038</v>
      </c>
      <c r="H415" s="567" t="s">
        <v>1084</v>
      </c>
      <c r="I415" s="567" t="s">
        <v>405</v>
      </c>
      <c r="J415" s="727">
        <v>30574</v>
      </c>
      <c r="K415" s="726">
        <v>1</v>
      </c>
      <c r="L415" s="726"/>
      <c r="M415" s="726" t="s">
        <v>559</v>
      </c>
      <c r="N415" s="726" t="s">
        <v>386</v>
      </c>
      <c r="O415" s="567" t="s">
        <v>384</v>
      </c>
      <c r="R415" s="706">
        <v>44551</v>
      </c>
      <c r="S415" s="707" t="s">
        <v>474</v>
      </c>
      <c r="T415" s="708" t="s">
        <v>430</v>
      </c>
    </row>
    <row r="416" spans="1:20" s="503" customFormat="1" ht="17.25" customHeight="1" x14ac:dyDescent="0.25">
      <c r="A416" s="686">
        <v>221</v>
      </c>
      <c r="G416" s="435" t="s">
        <v>1085</v>
      </c>
      <c r="H416" s="435" t="s">
        <v>1086</v>
      </c>
      <c r="I416" s="435" t="s">
        <v>402</v>
      </c>
      <c r="J416" s="504">
        <v>31343</v>
      </c>
      <c r="K416" s="502">
        <v>1</v>
      </c>
      <c r="L416" s="502"/>
      <c r="M416" s="310" t="s">
        <v>559</v>
      </c>
      <c r="N416" s="310" t="s">
        <v>386</v>
      </c>
      <c r="O416" s="308" t="s">
        <v>384</v>
      </c>
      <c r="R416" s="440">
        <v>44551</v>
      </c>
      <c r="S416" s="707" t="s">
        <v>474</v>
      </c>
      <c r="T416" s="708" t="s">
        <v>430</v>
      </c>
    </row>
    <row r="417" spans="1:30" x14ac:dyDescent="0.25">
      <c r="A417" s="728" t="s">
        <v>345</v>
      </c>
      <c r="B417" s="709"/>
      <c r="C417" s="709"/>
      <c r="D417" s="709"/>
      <c r="E417" s="709"/>
      <c r="F417" s="710"/>
      <c r="G417" s="709"/>
      <c r="H417" s="709"/>
      <c r="I417" s="709"/>
      <c r="J417" s="711" t="s">
        <v>16</v>
      </c>
      <c r="K417" s="712">
        <f>SUM(K418:K419)</f>
        <v>0</v>
      </c>
      <c r="L417" s="712">
        <f>SUM(L418:L419)</f>
        <v>0</v>
      </c>
      <c r="M417" s="514"/>
      <c r="N417" s="514"/>
      <c r="O417" s="514"/>
      <c r="P417" s="514"/>
      <c r="Q417" s="514"/>
      <c r="R417" s="713"/>
      <c r="S417" s="707"/>
      <c r="T417" s="708"/>
      <c r="U417" s="514"/>
      <c r="V417" s="514"/>
      <c r="W417" s="514"/>
      <c r="X417" s="514"/>
      <c r="Y417" s="514"/>
      <c r="Z417" s="514"/>
      <c r="AA417" s="514"/>
      <c r="AB417" s="514"/>
      <c r="AC417" s="514"/>
      <c r="AD417" s="514"/>
    </row>
    <row r="418" spans="1:30" s="503" customFormat="1" ht="18.75" customHeight="1" x14ac:dyDescent="0.25">
      <c r="A418" s="476"/>
      <c r="G418" s="477"/>
      <c r="H418" s="477"/>
      <c r="I418" s="477"/>
      <c r="J418" s="479"/>
      <c r="K418" s="480"/>
      <c r="L418" s="481"/>
      <c r="M418" s="477"/>
      <c r="N418" s="477"/>
      <c r="O418" s="477"/>
      <c r="S418" s="707"/>
      <c r="T418" s="708"/>
    </row>
    <row r="419" spans="1:30" s="503" customFormat="1" ht="18.75" customHeight="1" x14ac:dyDescent="0.25">
      <c r="A419" s="502"/>
      <c r="G419" s="477"/>
      <c r="H419" s="477"/>
      <c r="I419" s="477"/>
      <c r="J419" s="479"/>
      <c r="K419" s="480"/>
      <c r="L419" s="480"/>
      <c r="M419" s="477"/>
      <c r="N419" s="477"/>
      <c r="O419" s="477"/>
      <c r="S419" s="707"/>
      <c r="T419" s="708"/>
    </row>
    <row r="420" spans="1:30" s="503" customFormat="1" ht="18.75" customHeight="1" x14ac:dyDescent="0.25">
      <c r="A420" s="476"/>
      <c r="G420" s="505"/>
      <c r="H420" s="505"/>
      <c r="I420" s="505"/>
      <c r="J420" s="479"/>
      <c r="K420" s="480"/>
      <c r="L420" s="481"/>
      <c r="M420" s="477"/>
      <c r="N420" s="477"/>
      <c r="O420" s="477"/>
      <c r="S420" s="707"/>
      <c r="T420" s="708"/>
    </row>
    <row r="421" spans="1:30" s="503" customFormat="1" ht="18.75" customHeight="1" x14ac:dyDescent="0.25">
      <c r="A421" s="502"/>
      <c r="G421" s="505"/>
      <c r="H421" s="505"/>
      <c r="I421" s="505"/>
      <c r="J421" s="479"/>
      <c r="K421" s="480"/>
      <c r="L421" s="481"/>
      <c r="M421" s="477"/>
      <c r="N421" s="477"/>
      <c r="O421" s="477"/>
      <c r="S421" s="707"/>
      <c r="T421" s="708"/>
    </row>
    <row r="422" spans="1:30" s="503" customFormat="1" ht="18.75" customHeight="1" x14ac:dyDescent="0.25">
      <c r="A422" s="476"/>
      <c r="G422" s="505"/>
      <c r="H422" s="505"/>
      <c r="I422" s="505"/>
      <c r="J422" s="479"/>
      <c r="K422" s="480"/>
      <c r="L422" s="481"/>
      <c r="M422" s="477"/>
      <c r="N422" s="477"/>
      <c r="O422" s="477"/>
      <c r="S422" s="707"/>
      <c r="T422" s="708"/>
    </row>
    <row r="423" spans="1:30" s="503" customFormat="1" ht="18.75" customHeight="1" x14ac:dyDescent="0.25">
      <c r="A423" s="502"/>
      <c r="G423" s="505"/>
      <c r="H423" s="505"/>
      <c r="I423" s="505"/>
      <c r="J423" s="479"/>
      <c r="K423" s="480"/>
      <c r="L423" s="481"/>
      <c r="M423" s="477"/>
      <c r="N423" s="477"/>
      <c r="O423" s="477"/>
      <c r="R423" s="503" t="s">
        <v>545</v>
      </c>
      <c r="S423" s="707"/>
      <c r="T423" s="708"/>
    </row>
    <row r="424" spans="1:30" s="503" customFormat="1" ht="18.75" customHeight="1" x14ac:dyDescent="0.25">
      <c r="A424" s="476"/>
      <c r="G424" s="505"/>
      <c r="H424" s="505"/>
      <c r="I424" s="505"/>
      <c r="J424" s="479"/>
      <c r="K424" s="480"/>
      <c r="L424" s="481"/>
      <c r="M424" s="477"/>
      <c r="N424" s="477"/>
      <c r="O424" s="477"/>
      <c r="S424" s="707"/>
      <c r="T424" s="708"/>
    </row>
    <row r="425" spans="1:30" s="503" customFormat="1" ht="18.75" customHeight="1" x14ac:dyDescent="0.25">
      <c r="A425" s="502"/>
      <c r="G425" s="505"/>
      <c r="H425" s="505"/>
      <c r="I425" s="505"/>
      <c r="J425" s="479"/>
      <c r="K425" s="480"/>
      <c r="L425" s="481"/>
      <c r="M425" s="477"/>
      <c r="N425" s="477"/>
      <c r="O425" s="477"/>
      <c r="S425" s="707"/>
      <c r="T425" s="708"/>
    </row>
    <row r="426" spans="1:30" s="503" customFormat="1" ht="18.75" customHeight="1" x14ac:dyDescent="0.25">
      <c r="A426" s="476"/>
      <c r="G426" s="505"/>
      <c r="H426" s="505"/>
      <c r="I426" s="505"/>
      <c r="J426" s="479"/>
      <c r="K426" s="480"/>
      <c r="L426" s="481"/>
      <c r="M426" s="477"/>
      <c r="N426" s="477"/>
      <c r="O426" s="477"/>
      <c r="S426" s="707"/>
      <c r="T426" s="708"/>
    </row>
    <row r="427" spans="1:30" s="503" customFormat="1" ht="18.75" customHeight="1" x14ac:dyDescent="0.25">
      <c r="A427" s="502"/>
      <c r="G427" s="505"/>
      <c r="H427" s="505"/>
      <c r="I427" s="505"/>
      <c r="J427" s="479"/>
      <c r="K427" s="480"/>
      <c r="L427" s="481"/>
      <c r="M427" s="477"/>
      <c r="N427" s="477"/>
      <c r="O427" s="477"/>
      <c r="R427" s="508"/>
      <c r="S427" s="707"/>
      <c r="T427" s="708"/>
    </row>
    <row r="428" spans="1:30" s="503" customFormat="1" ht="18.75" customHeight="1" x14ac:dyDescent="0.25">
      <c r="A428" s="476"/>
      <c r="G428" s="505"/>
      <c r="H428" s="505"/>
      <c r="I428" s="505"/>
      <c r="J428" s="479"/>
      <c r="K428" s="480"/>
      <c r="L428" s="481"/>
      <c r="M428" s="477"/>
      <c r="N428" s="477"/>
      <c r="O428" s="477"/>
      <c r="R428" s="508"/>
      <c r="S428" s="707"/>
      <c r="T428" s="708"/>
    </row>
    <row r="429" spans="1:30" s="503" customFormat="1" ht="18.75" customHeight="1" x14ac:dyDescent="0.25">
      <c r="A429" s="502"/>
      <c r="G429" s="505"/>
      <c r="H429" s="505"/>
      <c r="I429" s="505"/>
      <c r="J429" s="479"/>
      <c r="K429" s="480"/>
      <c r="L429" s="481"/>
      <c r="M429" s="477"/>
      <c r="N429" s="477"/>
      <c r="O429" s="477"/>
      <c r="R429" s="508"/>
      <c r="S429" s="707"/>
      <c r="T429" s="708"/>
    </row>
    <row r="430" spans="1:30" s="503" customFormat="1" ht="18.75" customHeight="1" x14ac:dyDescent="0.25">
      <c r="A430" s="476"/>
      <c r="G430" s="505"/>
      <c r="H430" s="477"/>
      <c r="I430" s="477"/>
      <c r="J430" s="479"/>
      <c r="K430" s="480"/>
      <c r="L430" s="481"/>
      <c r="M430" s="477"/>
      <c r="N430" s="477"/>
      <c r="O430" s="477"/>
      <c r="R430" s="508"/>
      <c r="S430" s="707"/>
      <c r="T430" s="708"/>
    </row>
    <row r="431" spans="1:30" s="503" customFormat="1" ht="18.75" customHeight="1" x14ac:dyDescent="0.25">
      <c r="A431" s="502"/>
      <c r="G431" s="505"/>
      <c r="H431" s="477"/>
      <c r="I431" s="477"/>
      <c r="J431" s="479"/>
      <c r="K431" s="480"/>
      <c r="L431" s="480"/>
      <c r="M431" s="477"/>
      <c r="N431" s="477"/>
      <c r="O431" s="477"/>
      <c r="R431" s="508"/>
      <c r="S431" s="707"/>
      <c r="T431" s="708"/>
    </row>
    <row r="432" spans="1:30" s="503" customFormat="1" ht="18.75" customHeight="1" x14ac:dyDescent="0.25">
      <c r="A432" s="476"/>
      <c r="G432" s="505"/>
      <c r="H432" s="505"/>
      <c r="I432" s="505"/>
      <c r="J432" s="479"/>
      <c r="K432" s="480"/>
      <c r="L432" s="481"/>
      <c r="M432" s="477"/>
      <c r="N432" s="477"/>
      <c r="O432" s="477"/>
      <c r="R432" s="508"/>
      <c r="S432" s="707"/>
      <c r="T432" s="708"/>
    </row>
    <row r="433" spans="1:20" s="503" customFormat="1" ht="18.75" customHeight="1" x14ac:dyDescent="0.25">
      <c r="A433" s="502"/>
      <c r="G433" s="505"/>
      <c r="H433" s="505"/>
      <c r="I433" s="505"/>
      <c r="J433" s="479"/>
      <c r="K433" s="480"/>
      <c r="L433" s="481"/>
      <c r="M433" s="477"/>
      <c r="N433" s="477"/>
      <c r="O433" s="477"/>
      <c r="R433" s="508"/>
      <c r="S433" s="707"/>
      <c r="T433" s="708"/>
    </row>
    <row r="434" spans="1:20" s="503" customFormat="1" ht="18.75" customHeight="1" x14ac:dyDescent="0.25">
      <c r="A434" s="476"/>
      <c r="G434" s="505"/>
      <c r="H434" s="505"/>
      <c r="I434" s="505"/>
      <c r="J434" s="479"/>
      <c r="K434" s="480"/>
      <c r="L434" s="481"/>
      <c r="M434" s="477"/>
      <c r="N434" s="477"/>
      <c r="O434" s="477"/>
      <c r="R434" s="508"/>
      <c r="S434" s="707"/>
      <c r="T434" s="708"/>
    </row>
    <row r="435" spans="1:20" s="503" customFormat="1" ht="18.75" customHeight="1" x14ac:dyDescent="0.25">
      <c r="A435" s="502"/>
      <c r="J435" s="479"/>
      <c r="K435" s="480"/>
      <c r="L435" s="502"/>
      <c r="N435" s="477"/>
      <c r="O435" s="477"/>
      <c r="R435" s="508"/>
      <c r="S435" s="707"/>
      <c r="T435" s="708"/>
    </row>
    <row r="436" spans="1:20" s="503" customFormat="1" ht="18.75" customHeight="1" x14ac:dyDescent="0.25">
      <c r="A436" s="476"/>
      <c r="J436" s="479"/>
      <c r="K436" s="480"/>
      <c r="L436" s="502"/>
      <c r="N436" s="477"/>
      <c r="O436" s="477"/>
      <c r="R436" s="508"/>
      <c r="S436" s="707"/>
      <c r="T436" s="708"/>
    </row>
    <row r="437" spans="1:20" s="503" customFormat="1" ht="18.75" customHeight="1" x14ac:dyDescent="0.25">
      <c r="A437" s="502"/>
      <c r="J437" s="479"/>
      <c r="K437" s="480"/>
      <c r="L437" s="502"/>
      <c r="N437" s="477"/>
      <c r="O437" s="477"/>
      <c r="R437" s="508"/>
      <c r="S437" s="707"/>
      <c r="T437" s="708"/>
    </row>
    <row r="438" spans="1:20" s="503" customFormat="1" ht="18.75" customHeight="1" x14ac:dyDescent="0.25">
      <c r="A438" s="476"/>
      <c r="J438" s="479"/>
      <c r="K438" s="480"/>
      <c r="L438" s="502"/>
      <c r="N438" s="477"/>
      <c r="O438" s="477"/>
      <c r="R438" s="508"/>
      <c r="S438" s="707"/>
      <c r="T438" s="708"/>
    </row>
    <row r="439" spans="1:20" s="503" customFormat="1" ht="18.75" customHeight="1" x14ac:dyDescent="0.25">
      <c r="A439" s="502"/>
      <c r="J439" s="479"/>
      <c r="K439" s="480"/>
      <c r="L439" s="502"/>
      <c r="N439" s="477"/>
      <c r="O439" s="477"/>
      <c r="R439" s="508"/>
      <c r="S439" s="707"/>
      <c r="T439" s="708"/>
    </row>
    <row r="440" spans="1:20" s="503" customFormat="1" ht="18.75" customHeight="1" x14ac:dyDescent="0.25">
      <c r="A440" s="476"/>
      <c r="J440" s="479"/>
      <c r="K440" s="480"/>
      <c r="L440" s="502"/>
      <c r="N440" s="477"/>
      <c r="O440" s="477"/>
      <c r="R440" s="508"/>
      <c r="S440" s="477"/>
      <c r="T440" s="484"/>
    </row>
    <row r="441" spans="1:20" s="503" customFormat="1" ht="18.75" customHeight="1" x14ac:dyDescent="0.25">
      <c r="A441" s="502"/>
      <c r="J441" s="479"/>
      <c r="K441" s="480"/>
      <c r="L441" s="502"/>
      <c r="N441" s="477"/>
      <c r="O441" s="477"/>
      <c r="R441" s="508"/>
      <c r="S441" s="477"/>
      <c r="T441" s="484"/>
    </row>
    <row r="442" spans="1:20" s="503" customFormat="1" ht="18.75" customHeight="1" x14ac:dyDescent="0.25">
      <c r="A442" s="476"/>
      <c r="J442" s="479"/>
      <c r="K442" s="480"/>
      <c r="L442" s="502"/>
      <c r="N442" s="477"/>
      <c r="O442" s="477"/>
      <c r="R442" s="508"/>
      <c r="S442" s="477"/>
      <c r="T442" s="484"/>
    </row>
    <row r="443" spans="1:20" s="503" customFormat="1" ht="18.75" customHeight="1" x14ac:dyDescent="0.25">
      <c r="A443" s="502"/>
      <c r="J443" s="479"/>
      <c r="K443" s="480"/>
      <c r="L443" s="502"/>
      <c r="N443" s="477"/>
      <c r="O443" s="477"/>
      <c r="R443" s="508"/>
      <c r="S443" s="477"/>
      <c r="T443" s="484"/>
    </row>
    <row r="444" spans="1:20" s="503" customFormat="1" ht="18.75" customHeight="1" x14ac:dyDescent="0.25">
      <c r="A444" s="476"/>
      <c r="J444" s="479"/>
      <c r="K444" s="480"/>
      <c r="L444" s="502"/>
      <c r="N444" s="477"/>
      <c r="O444" s="477"/>
      <c r="R444" s="508"/>
      <c r="S444" s="477"/>
      <c r="T444" s="484"/>
    </row>
    <row r="445" spans="1:20" s="503" customFormat="1" ht="18.75" customHeight="1" x14ac:dyDescent="0.25">
      <c r="A445" s="502"/>
      <c r="J445" s="479"/>
      <c r="K445" s="480"/>
      <c r="L445" s="502"/>
      <c r="N445" s="477"/>
      <c r="O445" s="477"/>
      <c r="R445" s="508"/>
      <c r="S445" s="477"/>
      <c r="T445" s="484"/>
    </row>
    <row r="446" spans="1:20" s="503" customFormat="1" ht="18.75" customHeight="1" x14ac:dyDescent="0.25">
      <c r="A446" s="476"/>
      <c r="J446" s="479"/>
      <c r="K446" s="480"/>
      <c r="L446" s="502"/>
      <c r="N446" s="477"/>
      <c r="O446" s="477"/>
      <c r="R446" s="508"/>
      <c r="S446" s="477"/>
      <c r="T446" s="484"/>
    </row>
    <row r="447" spans="1:20" s="503" customFormat="1" ht="18.75" customHeight="1" x14ac:dyDescent="0.25">
      <c r="A447" s="502"/>
      <c r="J447" s="479"/>
      <c r="K447" s="480"/>
      <c r="L447" s="502"/>
      <c r="N447" s="477"/>
      <c r="O447" s="477"/>
      <c r="R447" s="508"/>
      <c r="S447" s="477"/>
      <c r="T447" s="484"/>
    </row>
    <row r="448" spans="1:20" s="503" customFormat="1" ht="18.75" customHeight="1" x14ac:dyDescent="0.25">
      <c r="A448" s="476"/>
      <c r="J448" s="479"/>
      <c r="K448" s="480"/>
      <c r="L448" s="502"/>
      <c r="N448" s="477"/>
      <c r="O448" s="477"/>
      <c r="R448" s="508"/>
      <c r="S448" s="477"/>
      <c r="T448" s="484"/>
    </row>
    <row r="449" spans="1:30" s="503" customFormat="1" ht="18.75" customHeight="1" x14ac:dyDescent="0.25">
      <c r="A449" s="502"/>
      <c r="J449" s="479"/>
      <c r="K449" s="480"/>
      <c r="L449" s="502"/>
      <c r="N449" s="477"/>
      <c r="O449" s="477"/>
      <c r="R449" s="508"/>
      <c r="S449" s="477"/>
      <c r="T449" s="484"/>
    </row>
    <row r="450" spans="1:30" s="503" customFormat="1" ht="18.75" customHeight="1" x14ac:dyDescent="0.25">
      <c r="A450" s="476"/>
      <c r="J450" s="479"/>
      <c r="K450" s="480"/>
      <c r="L450" s="502"/>
      <c r="N450" s="477"/>
      <c r="O450" s="477"/>
      <c r="R450" s="508"/>
      <c r="S450" s="477"/>
      <c r="T450" s="484"/>
    </row>
    <row r="451" spans="1:30" s="503" customFormat="1" ht="18.75" customHeight="1" x14ac:dyDescent="0.25">
      <c r="A451" s="502"/>
      <c r="J451" s="479"/>
      <c r="K451" s="480"/>
      <c r="L451" s="502"/>
      <c r="N451" s="477"/>
      <c r="O451" s="477"/>
      <c r="R451" s="508"/>
      <c r="S451" s="477"/>
      <c r="T451" s="484"/>
    </row>
    <row r="452" spans="1:30" s="503" customFormat="1" ht="18.75" customHeight="1" x14ac:dyDescent="0.25">
      <c r="A452" s="476"/>
      <c r="J452" s="479"/>
      <c r="K452" s="480"/>
      <c r="L452" s="502"/>
      <c r="N452" s="477"/>
      <c r="O452" s="477"/>
      <c r="R452" s="508"/>
      <c r="S452" s="477"/>
      <c r="T452" s="484"/>
    </row>
    <row r="453" spans="1:30" s="503" customFormat="1" ht="18.75" customHeight="1" x14ac:dyDescent="0.25">
      <c r="A453" s="502"/>
      <c r="J453" s="479"/>
      <c r="K453" s="480"/>
      <c r="L453" s="502"/>
      <c r="N453" s="477"/>
      <c r="O453" s="477"/>
      <c r="R453" s="508"/>
      <c r="S453" s="477"/>
      <c r="T453" s="484"/>
    </row>
    <row r="454" spans="1:30" s="503" customFormat="1" ht="18.75" customHeight="1" x14ac:dyDescent="0.25">
      <c r="A454" s="476"/>
      <c r="J454" s="479"/>
      <c r="K454" s="480"/>
      <c r="L454" s="502"/>
      <c r="N454" s="477"/>
      <c r="O454" s="477"/>
      <c r="R454" s="508"/>
      <c r="S454" s="477"/>
      <c r="T454" s="484"/>
    </row>
    <row r="455" spans="1:30" s="503" customFormat="1" ht="18.75" customHeight="1" x14ac:dyDescent="0.25">
      <c r="A455" s="502"/>
      <c r="J455" s="479"/>
      <c r="K455" s="480"/>
      <c r="L455" s="502"/>
      <c r="N455" s="477"/>
      <c r="O455" s="477"/>
      <c r="R455" s="508"/>
      <c r="S455" s="477"/>
      <c r="T455" s="484"/>
    </row>
    <row r="456" spans="1:30" s="503" customFormat="1" ht="18.75" customHeight="1" x14ac:dyDescent="0.25">
      <c r="A456" s="476"/>
      <c r="J456" s="479"/>
      <c r="K456" s="480"/>
      <c r="L456" s="502"/>
      <c r="N456" s="477"/>
      <c r="O456" s="477"/>
      <c r="R456" s="508"/>
      <c r="S456" s="477"/>
      <c r="T456" s="484"/>
    </row>
    <row r="457" spans="1:30" s="503" customFormat="1" ht="18.75" customHeight="1" x14ac:dyDescent="0.25">
      <c r="A457" s="502"/>
      <c r="J457" s="479"/>
      <c r="K457" s="480"/>
      <c r="L457" s="502"/>
      <c r="N457" s="477"/>
      <c r="O457" s="477"/>
      <c r="R457" s="508"/>
      <c r="S457" s="477"/>
      <c r="T457" s="484"/>
    </row>
    <row r="458" spans="1:30" s="503" customFormat="1" ht="18.75" customHeight="1" x14ac:dyDescent="0.25">
      <c r="A458" s="476"/>
      <c r="J458" s="479"/>
      <c r="K458" s="480"/>
      <c r="L458" s="502"/>
      <c r="N458" s="477"/>
      <c r="O458" s="477"/>
      <c r="R458" s="508"/>
      <c r="S458" s="477"/>
      <c r="T458" s="484"/>
    </row>
    <row r="459" spans="1:30" s="503" customFormat="1" ht="18.75" customHeight="1" x14ac:dyDescent="0.25">
      <c r="A459" s="502"/>
      <c r="J459" s="479"/>
      <c r="K459" s="480"/>
      <c r="L459" s="502"/>
      <c r="N459" s="477"/>
      <c r="O459" s="477"/>
      <c r="R459" s="508"/>
      <c r="S459" s="477"/>
      <c r="T459" s="484"/>
    </row>
    <row r="460" spans="1:30" s="503" customFormat="1" ht="18.75" customHeight="1" x14ac:dyDescent="0.25">
      <c r="A460" s="476"/>
      <c r="J460" s="479"/>
      <c r="K460" s="480"/>
      <c r="L460" s="502"/>
      <c r="N460" s="477"/>
      <c r="O460" s="477"/>
      <c r="R460" s="508"/>
      <c r="S460" s="477"/>
      <c r="T460" s="484"/>
    </row>
    <row r="461" spans="1:30" s="503" customFormat="1" ht="18.75" customHeight="1" x14ac:dyDescent="0.25">
      <c r="A461" s="502"/>
      <c r="J461" s="479"/>
      <c r="K461" s="480"/>
      <c r="L461" s="502"/>
      <c r="N461" s="477"/>
      <c r="O461" s="477"/>
      <c r="R461" s="508"/>
      <c r="S461" s="477"/>
      <c r="T461" s="484"/>
    </row>
    <row r="462" spans="1:30" s="503" customFormat="1" ht="18.75" customHeight="1" x14ac:dyDescent="0.25">
      <c r="A462" s="476"/>
      <c r="J462" s="479"/>
      <c r="K462" s="480"/>
      <c r="L462" s="502"/>
      <c r="N462" s="477"/>
      <c r="O462" s="477"/>
      <c r="R462" s="508"/>
      <c r="S462" s="477"/>
      <c r="T462" s="484"/>
    </row>
    <row r="463" spans="1:30" s="503" customFormat="1" x14ac:dyDescent="0.25">
      <c r="A463" s="502"/>
      <c r="B463" s="454"/>
      <c r="C463" s="454"/>
      <c r="D463" s="477"/>
      <c r="E463" s="477"/>
      <c r="F463" s="478"/>
      <c r="G463" s="477"/>
      <c r="H463" s="477"/>
      <c r="I463" s="477"/>
      <c r="J463" s="479"/>
      <c r="K463" s="480"/>
      <c r="L463" s="480"/>
      <c r="M463" s="477"/>
      <c r="N463" s="477"/>
      <c r="O463" s="477"/>
      <c r="P463" s="477"/>
      <c r="Q463" s="477"/>
      <c r="R463" s="509"/>
      <c r="S463" s="477"/>
      <c r="T463" s="484"/>
      <c r="U463" s="477"/>
      <c r="V463" s="454"/>
      <c r="W463" s="454"/>
      <c r="X463" s="454"/>
      <c r="Y463" s="454"/>
      <c r="Z463" s="454"/>
      <c r="AA463" s="454"/>
      <c r="AB463" s="454"/>
      <c r="AC463" s="454"/>
      <c r="AD463" s="454"/>
    </row>
    <row r="464" spans="1:30" s="500" customFormat="1" x14ac:dyDescent="0.25">
      <c r="A464" s="476"/>
      <c r="B464" s="477"/>
      <c r="C464" s="477"/>
      <c r="D464" s="477"/>
      <c r="E464" s="477"/>
      <c r="F464" s="478"/>
      <c r="G464" s="477"/>
      <c r="H464" s="477"/>
      <c r="I464" s="477"/>
      <c r="J464" s="479"/>
      <c r="K464" s="480"/>
      <c r="L464" s="481"/>
      <c r="M464" s="477"/>
      <c r="N464" s="477"/>
      <c r="O464" s="477"/>
      <c r="P464" s="477"/>
      <c r="Q464" s="477"/>
      <c r="R464" s="509"/>
      <c r="S464" s="477"/>
      <c r="T464" s="484"/>
      <c r="U464" s="484"/>
      <c r="V464" s="477"/>
      <c r="W464" s="477"/>
      <c r="X464" s="477"/>
      <c r="Y464" s="477"/>
      <c r="Z464" s="477"/>
      <c r="AA464" s="477"/>
      <c r="AB464" s="477"/>
      <c r="AC464" s="477"/>
      <c r="AD464" s="477"/>
    </row>
    <row r="465" spans="1:31" s="506" customFormat="1" x14ac:dyDescent="0.25">
      <c r="A465" s="502"/>
      <c r="B465" s="477"/>
      <c r="C465" s="477"/>
      <c r="D465" s="477"/>
      <c r="E465" s="477"/>
      <c r="F465" s="478"/>
      <c r="G465" s="477"/>
      <c r="H465" s="477"/>
      <c r="I465" s="477"/>
      <c r="J465" s="479"/>
      <c r="K465" s="480"/>
      <c r="L465" s="480"/>
      <c r="M465" s="477"/>
      <c r="N465" s="477"/>
      <c r="O465" s="477"/>
      <c r="P465" s="477"/>
      <c r="Q465" s="477"/>
      <c r="R465" s="509"/>
      <c r="S465" s="477"/>
      <c r="T465" s="484"/>
      <c r="U465" s="484"/>
      <c r="V465" s="477"/>
      <c r="W465" s="477"/>
      <c r="X465" s="477"/>
      <c r="Y465" s="477"/>
      <c r="Z465" s="477"/>
      <c r="AA465" s="477"/>
      <c r="AB465" s="477"/>
      <c r="AC465" s="477"/>
      <c r="AD465" s="477"/>
    </row>
    <row r="466" spans="1:31" s="506" customFormat="1" x14ac:dyDescent="0.25">
      <c r="A466" s="476"/>
      <c r="B466" s="477"/>
      <c r="C466" s="477"/>
      <c r="D466" s="477"/>
      <c r="E466" s="477"/>
      <c r="F466" s="478"/>
      <c r="G466" s="505"/>
      <c r="H466" s="505"/>
      <c r="I466" s="505"/>
      <c r="J466" s="479"/>
      <c r="K466" s="480"/>
      <c r="L466" s="481"/>
      <c r="M466" s="477"/>
      <c r="N466" s="477"/>
      <c r="O466" s="477"/>
      <c r="P466" s="505"/>
      <c r="Q466" s="505"/>
      <c r="R466" s="509"/>
      <c r="S466" s="477"/>
      <c r="T466" s="484"/>
      <c r="U466" s="484"/>
      <c r="V466" s="477"/>
      <c r="W466" s="477"/>
      <c r="X466" s="477"/>
      <c r="Y466" s="477"/>
      <c r="Z466" s="477"/>
      <c r="AA466" s="477"/>
      <c r="AB466" s="477"/>
      <c r="AC466" s="480"/>
      <c r="AD466" s="477"/>
      <c r="AE466" s="477"/>
    </row>
    <row r="467" spans="1:31" s="503" customFormat="1" x14ac:dyDescent="0.25">
      <c r="A467" s="502"/>
      <c r="B467" s="454"/>
      <c r="C467" s="454"/>
      <c r="D467" s="477"/>
      <c r="E467" s="477"/>
      <c r="F467" s="478"/>
      <c r="G467" s="477"/>
      <c r="H467" s="477"/>
      <c r="I467" s="477"/>
      <c r="J467" s="479"/>
      <c r="K467" s="480"/>
      <c r="L467" s="480"/>
      <c r="M467" s="477"/>
      <c r="N467" s="477"/>
      <c r="O467" s="477"/>
      <c r="P467" s="477"/>
      <c r="Q467" s="477"/>
      <c r="R467" s="509"/>
      <c r="S467" s="477"/>
      <c r="T467" s="484"/>
      <c r="U467" s="477"/>
      <c r="V467" s="454"/>
      <c r="W467" s="454"/>
      <c r="X467" s="454"/>
      <c r="Y467" s="454"/>
      <c r="Z467" s="454"/>
      <c r="AA467" s="454"/>
      <c r="AB467" s="454"/>
      <c r="AC467" s="454"/>
      <c r="AD467" s="454"/>
    </row>
    <row r="468" spans="1:31" s="500" customFormat="1" x14ac:dyDescent="0.25">
      <c r="A468" s="476"/>
      <c r="B468" s="477"/>
      <c r="C468" s="477"/>
      <c r="D468" s="477"/>
      <c r="E468" s="477"/>
      <c r="F468" s="478"/>
      <c r="G468" s="477"/>
      <c r="H468" s="477"/>
      <c r="I468" s="477"/>
      <c r="J468" s="479"/>
      <c r="K468" s="480"/>
      <c r="L468" s="481"/>
      <c r="M468" s="477"/>
      <c r="N468" s="477"/>
      <c r="O468" s="477"/>
      <c r="P468" s="477"/>
      <c r="Q468" s="477"/>
      <c r="R468" s="509"/>
      <c r="S468" s="477"/>
      <c r="T468" s="484"/>
      <c r="U468" s="484"/>
      <c r="V468" s="477"/>
      <c r="W468" s="477"/>
      <c r="X468" s="477"/>
      <c r="Y468" s="477"/>
      <c r="Z468" s="477"/>
      <c r="AA468" s="477"/>
      <c r="AB468" s="477"/>
      <c r="AC468" s="477"/>
      <c r="AD468" s="477"/>
    </row>
    <row r="469" spans="1:31" s="503" customFormat="1" x14ac:dyDescent="0.25">
      <c r="A469" s="502"/>
      <c r="B469" s="454"/>
      <c r="C469" s="454"/>
      <c r="D469" s="477"/>
      <c r="E469" s="477"/>
      <c r="F469" s="478"/>
      <c r="G469" s="477"/>
      <c r="H469" s="477"/>
      <c r="I469" s="477"/>
      <c r="J469" s="479"/>
      <c r="K469" s="480"/>
      <c r="L469" s="480"/>
      <c r="M469" s="477"/>
      <c r="N469" s="477"/>
      <c r="O469" s="477"/>
      <c r="P469" s="477"/>
      <c r="Q469" s="477"/>
      <c r="R469" s="509"/>
      <c r="S469" s="477"/>
      <c r="T469" s="484"/>
      <c r="U469" s="477"/>
      <c r="V469" s="454"/>
      <c r="W469" s="454"/>
      <c r="X469" s="454"/>
      <c r="Y469" s="454"/>
      <c r="Z469" s="454"/>
      <c r="AA469" s="454"/>
      <c r="AB469" s="454"/>
      <c r="AC469" s="454"/>
      <c r="AD469" s="454"/>
    </row>
    <row r="470" spans="1:31" s="503" customFormat="1" x14ac:dyDescent="0.25">
      <c r="A470" s="476"/>
      <c r="B470" s="454"/>
      <c r="C470" s="454"/>
      <c r="D470" s="477"/>
      <c r="E470" s="477"/>
      <c r="F470" s="478"/>
      <c r="G470" s="477"/>
      <c r="H470" s="477"/>
      <c r="I470" s="477"/>
      <c r="J470" s="479"/>
      <c r="K470" s="480"/>
      <c r="L470" s="480"/>
      <c r="M470" s="477"/>
      <c r="N470" s="477"/>
      <c r="O470" s="477"/>
      <c r="P470" s="477"/>
      <c r="Q470" s="477"/>
      <c r="R470" s="509"/>
      <c r="S470" s="477"/>
      <c r="T470" s="484"/>
      <c r="U470" s="477"/>
      <c r="V470" s="454"/>
      <c r="W470" s="454"/>
      <c r="X470" s="454"/>
      <c r="Y470" s="454"/>
      <c r="Z470" s="454"/>
      <c r="AA470" s="454"/>
      <c r="AB470" s="454"/>
      <c r="AC470" s="454"/>
      <c r="AD470" s="454"/>
    </row>
    <row r="471" spans="1:31" s="500" customFormat="1" x14ac:dyDescent="0.25">
      <c r="A471" s="502"/>
      <c r="B471" s="477"/>
      <c r="C471" s="477"/>
      <c r="D471" s="477"/>
      <c r="E471" s="477"/>
      <c r="F471" s="478"/>
      <c r="G471" s="477"/>
      <c r="H471" s="477"/>
      <c r="I471" s="477"/>
      <c r="J471" s="479"/>
      <c r="K471" s="480"/>
      <c r="L471" s="481"/>
      <c r="M471" s="477"/>
      <c r="N471" s="477"/>
      <c r="O471" s="477"/>
      <c r="P471" s="477"/>
      <c r="Q471" s="477"/>
      <c r="R471" s="509"/>
      <c r="S471" s="477"/>
      <c r="T471" s="484"/>
      <c r="U471" s="484"/>
      <c r="V471" s="477"/>
      <c r="W471" s="477"/>
      <c r="X471" s="477"/>
      <c r="Y471" s="477"/>
      <c r="Z471" s="477"/>
      <c r="AA471" s="477"/>
      <c r="AB471" s="477"/>
      <c r="AC471" s="477"/>
      <c r="AD471" s="477"/>
    </row>
    <row r="472" spans="1:31" s="503" customFormat="1" x14ac:dyDescent="0.25">
      <c r="A472" s="476"/>
      <c r="B472" s="454"/>
      <c r="C472" s="454"/>
      <c r="D472" s="477"/>
      <c r="E472" s="477"/>
      <c r="F472" s="478"/>
      <c r="G472" s="477"/>
      <c r="H472" s="477"/>
      <c r="I472" s="477"/>
      <c r="J472" s="479"/>
      <c r="K472" s="480"/>
      <c r="L472" s="480"/>
      <c r="M472" s="477"/>
      <c r="N472" s="477"/>
      <c r="O472" s="477"/>
      <c r="P472" s="477"/>
      <c r="Q472" s="477"/>
      <c r="R472" s="509"/>
      <c r="S472" s="477"/>
      <c r="T472" s="484"/>
      <c r="U472" s="477"/>
      <c r="V472" s="454"/>
      <c r="W472" s="454"/>
      <c r="X472" s="454"/>
      <c r="Y472" s="454"/>
      <c r="Z472" s="454"/>
      <c r="AA472" s="454"/>
      <c r="AB472" s="454"/>
      <c r="AC472" s="454"/>
      <c r="AD472" s="454"/>
    </row>
    <row r="473" spans="1:31" s="500" customFormat="1" x14ac:dyDescent="0.25">
      <c r="A473" s="502"/>
      <c r="B473" s="477"/>
      <c r="C473" s="477"/>
      <c r="D473" s="477"/>
      <c r="E473" s="477"/>
      <c r="F473" s="478"/>
      <c r="G473" s="477"/>
      <c r="H473" s="477"/>
      <c r="I473" s="477"/>
      <c r="J473" s="479"/>
      <c r="K473" s="480"/>
      <c r="L473" s="481"/>
      <c r="M473" s="477"/>
      <c r="N473" s="477"/>
      <c r="O473" s="477"/>
      <c r="P473" s="477"/>
      <c r="Q473" s="477"/>
      <c r="R473" s="509"/>
      <c r="S473" s="477"/>
      <c r="T473" s="484"/>
      <c r="U473" s="484"/>
      <c r="V473" s="477"/>
      <c r="W473" s="477"/>
      <c r="X473" s="477"/>
      <c r="Y473" s="477"/>
      <c r="Z473" s="477"/>
      <c r="AA473" s="477"/>
      <c r="AB473" s="477"/>
      <c r="AC473" s="477"/>
      <c r="AD473" s="477"/>
    </row>
    <row r="474" spans="1:31" s="506" customFormat="1" x14ac:dyDescent="0.25">
      <c r="A474" s="476"/>
      <c r="B474" s="477"/>
      <c r="C474" s="477"/>
      <c r="D474" s="477"/>
      <c r="E474" s="477"/>
      <c r="F474" s="478"/>
      <c r="G474" s="477"/>
      <c r="H474" s="477"/>
      <c r="I474" s="477"/>
      <c r="J474" s="479"/>
      <c r="K474" s="480"/>
      <c r="L474" s="480"/>
      <c r="M474" s="477"/>
      <c r="N474" s="477"/>
      <c r="O474" s="477"/>
      <c r="P474" s="477"/>
      <c r="Q474" s="477"/>
      <c r="R474" s="509"/>
      <c r="S474" s="477"/>
      <c r="T474" s="484"/>
      <c r="U474" s="484"/>
      <c r="V474" s="477"/>
      <c r="W474" s="477"/>
      <c r="X474" s="477"/>
      <c r="Y474" s="477"/>
      <c r="Z474" s="477"/>
      <c r="AA474" s="477"/>
      <c r="AB474" s="477"/>
      <c r="AC474" s="477"/>
      <c r="AD474" s="477"/>
    </row>
    <row r="475" spans="1:31" s="506" customFormat="1" x14ac:dyDescent="0.25">
      <c r="A475" s="502"/>
      <c r="B475" s="477"/>
      <c r="C475" s="477"/>
      <c r="D475" s="477"/>
      <c r="E475" s="477"/>
      <c r="F475" s="478"/>
      <c r="G475" s="505"/>
      <c r="H475" s="505"/>
      <c r="I475" s="505"/>
      <c r="J475" s="479"/>
      <c r="K475" s="480"/>
      <c r="L475" s="481"/>
      <c r="M475" s="477"/>
      <c r="N475" s="477"/>
      <c r="O475" s="477"/>
      <c r="P475" s="505"/>
      <c r="Q475" s="505"/>
      <c r="R475" s="509"/>
      <c r="S475" s="477"/>
      <c r="T475" s="484"/>
      <c r="U475" s="484"/>
      <c r="V475" s="477"/>
      <c r="W475" s="477"/>
      <c r="X475" s="477"/>
      <c r="Y475" s="477"/>
      <c r="Z475" s="477"/>
      <c r="AA475" s="477"/>
      <c r="AB475" s="477"/>
      <c r="AC475" s="480"/>
      <c r="AD475" s="477"/>
      <c r="AE475" s="477"/>
    </row>
    <row r="476" spans="1:31" s="503" customFormat="1" x14ac:dyDescent="0.25">
      <c r="A476" s="476"/>
      <c r="B476" s="454"/>
      <c r="C476" s="454"/>
      <c r="D476" s="477"/>
      <c r="E476" s="477"/>
      <c r="F476" s="478"/>
      <c r="G476" s="477"/>
      <c r="H476" s="477"/>
      <c r="I476" s="477"/>
      <c r="J476" s="479"/>
      <c r="K476" s="480"/>
      <c r="L476" s="480"/>
      <c r="M476" s="477"/>
      <c r="N476" s="477"/>
      <c r="O476" s="477"/>
      <c r="P476" s="477"/>
      <c r="Q476" s="477"/>
      <c r="R476" s="509"/>
      <c r="S476" s="477"/>
      <c r="T476" s="484"/>
      <c r="U476" s="477"/>
      <c r="V476" s="454"/>
      <c r="W476" s="454"/>
      <c r="X476" s="454"/>
      <c r="Y476" s="454"/>
      <c r="Z476" s="454"/>
      <c r="AA476" s="454"/>
      <c r="AB476" s="454"/>
      <c r="AC476" s="454"/>
      <c r="AD476" s="454"/>
    </row>
    <row r="477" spans="1:31" s="500" customFormat="1" x14ac:dyDescent="0.25">
      <c r="A477" s="502"/>
      <c r="B477" s="477"/>
      <c r="C477" s="477"/>
      <c r="D477" s="477"/>
      <c r="E477" s="477"/>
      <c r="F477" s="478"/>
      <c r="G477" s="477"/>
      <c r="H477" s="477"/>
      <c r="I477" s="477"/>
      <c r="J477" s="479"/>
      <c r="K477" s="480"/>
      <c r="L477" s="481"/>
      <c r="M477" s="477"/>
      <c r="N477" s="477"/>
      <c r="O477" s="477"/>
      <c r="P477" s="477"/>
      <c r="Q477" s="477"/>
      <c r="R477" s="509"/>
      <c r="S477" s="477"/>
      <c r="T477" s="484"/>
      <c r="U477" s="484"/>
      <c r="V477" s="477"/>
      <c r="W477" s="477"/>
      <c r="X477" s="477"/>
      <c r="Y477" s="477"/>
      <c r="Z477" s="477"/>
      <c r="AA477" s="477"/>
      <c r="AB477" s="477"/>
      <c r="AC477" s="477"/>
      <c r="AD477" s="477"/>
    </row>
    <row r="478" spans="1:31" s="506" customFormat="1" x14ac:dyDescent="0.25">
      <c r="A478" s="476"/>
      <c r="B478" s="477"/>
      <c r="C478" s="477"/>
      <c r="D478" s="477"/>
      <c r="E478" s="477"/>
      <c r="F478" s="478"/>
      <c r="G478" s="477"/>
      <c r="H478" s="477"/>
      <c r="I478" s="477"/>
      <c r="J478" s="479"/>
      <c r="K478" s="480"/>
      <c r="L478" s="480"/>
      <c r="M478" s="477"/>
      <c r="N478" s="477"/>
      <c r="O478" s="477"/>
      <c r="P478" s="477"/>
      <c r="Q478" s="477"/>
      <c r="R478" s="509"/>
      <c r="S478" s="477"/>
      <c r="T478" s="484"/>
      <c r="U478" s="484"/>
      <c r="V478" s="477"/>
      <c r="W478" s="477"/>
      <c r="X478" s="477"/>
      <c r="Y478" s="477"/>
      <c r="Z478" s="477"/>
      <c r="AA478" s="477"/>
      <c r="AB478" s="477"/>
      <c r="AC478" s="477"/>
      <c r="AD478" s="477"/>
    </row>
    <row r="479" spans="1:31" s="506" customFormat="1" x14ac:dyDescent="0.25">
      <c r="A479" s="502"/>
      <c r="B479" s="477"/>
      <c r="C479" s="477"/>
      <c r="D479" s="477"/>
      <c r="E479" s="477"/>
      <c r="F479" s="478"/>
      <c r="G479" s="505"/>
      <c r="H479" s="505"/>
      <c r="I479" s="505"/>
      <c r="J479" s="479"/>
      <c r="K479" s="480"/>
      <c r="L479" s="481"/>
      <c r="M479" s="477"/>
      <c r="N479" s="477"/>
      <c r="O479" s="477"/>
      <c r="P479" s="505"/>
      <c r="Q479" s="505"/>
      <c r="R479" s="509"/>
      <c r="S479" s="477"/>
      <c r="T479" s="484"/>
      <c r="U479" s="484"/>
      <c r="V479" s="477"/>
      <c r="W479" s="477"/>
      <c r="X479" s="477"/>
      <c r="Y479" s="477"/>
      <c r="Z479" s="477"/>
      <c r="AA479" s="477"/>
      <c r="AB479" s="477"/>
      <c r="AC479" s="480"/>
      <c r="AD479" s="477"/>
      <c r="AE479" s="477"/>
    </row>
    <row r="480" spans="1:31" s="506" customFormat="1" x14ac:dyDescent="0.25">
      <c r="A480" s="476"/>
      <c r="B480" s="477"/>
      <c r="C480" s="477"/>
      <c r="D480" s="477"/>
      <c r="E480" s="477"/>
      <c r="F480" s="478"/>
      <c r="G480" s="505"/>
      <c r="H480" s="505"/>
      <c r="I480" s="505"/>
      <c r="J480" s="479"/>
      <c r="K480" s="480"/>
      <c r="L480" s="481"/>
      <c r="M480" s="477"/>
      <c r="N480" s="477"/>
      <c r="O480" s="477"/>
      <c r="P480" s="505"/>
      <c r="Q480" s="505"/>
      <c r="R480" s="509"/>
      <c r="S480" s="477"/>
      <c r="T480" s="484"/>
      <c r="U480" s="484"/>
      <c r="V480" s="477"/>
      <c r="W480" s="477"/>
      <c r="X480" s="477"/>
      <c r="Y480" s="477"/>
      <c r="Z480" s="477"/>
      <c r="AA480" s="477"/>
      <c r="AB480" s="477"/>
      <c r="AC480" s="480"/>
      <c r="AD480" s="477"/>
      <c r="AE480" s="477"/>
    </row>
    <row r="481" spans="1:31" s="506" customFormat="1" x14ac:dyDescent="0.25">
      <c r="A481" s="502"/>
      <c r="B481" s="477"/>
      <c r="C481" s="477"/>
      <c r="D481" s="477"/>
      <c r="E481" s="477"/>
      <c r="F481" s="478"/>
      <c r="G481" s="505"/>
      <c r="H481" s="505"/>
      <c r="I481" s="505"/>
      <c r="J481" s="479"/>
      <c r="K481" s="480"/>
      <c r="L481" s="481"/>
      <c r="M481" s="477"/>
      <c r="N481" s="477"/>
      <c r="O481" s="477"/>
      <c r="P481" s="505"/>
      <c r="Q481" s="505"/>
      <c r="R481" s="509"/>
      <c r="S481" s="477"/>
      <c r="T481" s="484"/>
      <c r="U481" s="484"/>
      <c r="V481" s="477"/>
      <c r="W481" s="477"/>
      <c r="X481" s="477"/>
      <c r="Y481" s="477"/>
      <c r="Z481" s="477"/>
      <c r="AA481" s="477"/>
      <c r="AB481" s="477"/>
      <c r="AC481" s="480"/>
      <c r="AD481" s="477"/>
      <c r="AE481" s="477"/>
    </row>
    <row r="482" spans="1:31" s="500" customFormat="1" x14ac:dyDescent="0.25">
      <c r="A482" s="476"/>
      <c r="B482" s="477"/>
      <c r="C482" s="477"/>
      <c r="D482" s="477"/>
      <c r="E482" s="477"/>
      <c r="F482" s="478"/>
      <c r="G482" s="477"/>
      <c r="H482" s="477"/>
      <c r="I482" s="477"/>
      <c r="J482" s="479"/>
      <c r="K482" s="480"/>
      <c r="L482" s="481"/>
      <c r="M482" s="477"/>
      <c r="N482" s="477"/>
      <c r="O482" s="477"/>
      <c r="P482" s="477"/>
      <c r="Q482" s="477"/>
      <c r="R482" s="509"/>
      <c r="S482" s="477"/>
      <c r="T482" s="484"/>
      <c r="U482" s="484"/>
      <c r="V482" s="477"/>
      <c r="W482" s="477"/>
      <c r="X482" s="477"/>
      <c r="Y482" s="477"/>
      <c r="Z482" s="477"/>
      <c r="AA482" s="477"/>
      <c r="AB482" s="477"/>
      <c r="AC482" s="477"/>
      <c r="AD482" s="477"/>
    </row>
    <row r="483" spans="1:31" s="506" customFormat="1" x14ac:dyDescent="0.25">
      <c r="A483" s="502"/>
      <c r="B483" s="477"/>
      <c r="C483" s="477"/>
      <c r="D483" s="477"/>
      <c r="E483" s="477"/>
      <c r="F483" s="478"/>
      <c r="G483" s="505"/>
      <c r="H483" s="505"/>
      <c r="I483" s="505"/>
      <c r="J483" s="479"/>
      <c r="K483" s="480"/>
      <c r="L483" s="481"/>
      <c r="M483" s="477"/>
      <c r="N483" s="477"/>
      <c r="O483" s="477"/>
      <c r="P483" s="505"/>
      <c r="Q483" s="505"/>
      <c r="R483" s="509"/>
      <c r="S483" s="477"/>
      <c r="T483" s="484"/>
      <c r="U483" s="484"/>
      <c r="V483" s="477"/>
      <c r="W483" s="477"/>
      <c r="X483" s="477"/>
      <c r="Y483" s="477"/>
      <c r="Z483" s="477"/>
      <c r="AA483" s="477"/>
      <c r="AB483" s="477"/>
      <c r="AC483" s="480"/>
      <c r="AD483" s="477"/>
      <c r="AE483" s="477"/>
    </row>
    <row r="484" spans="1:31" s="506" customFormat="1" x14ac:dyDescent="0.25">
      <c r="A484" s="476"/>
      <c r="B484" s="477"/>
      <c r="C484" s="477"/>
      <c r="D484" s="477"/>
      <c r="E484" s="477"/>
      <c r="F484" s="478"/>
      <c r="G484" s="505"/>
      <c r="H484" s="505"/>
      <c r="I484" s="505"/>
      <c r="J484" s="479"/>
      <c r="K484" s="480"/>
      <c r="L484" s="481"/>
      <c r="M484" s="477"/>
      <c r="N484" s="477"/>
      <c r="O484" s="477"/>
      <c r="P484" s="505"/>
      <c r="Q484" s="505"/>
      <c r="R484" s="509"/>
      <c r="S484" s="477"/>
      <c r="T484" s="484"/>
      <c r="U484" s="484"/>
      <c r="V484" s="477"/>
      <c r="W484" s="477"/>
      <c r="X484" s="477"/>
      <c r="Y484" s="477"/>
      <c r="Z484" s="477"/>
      <c r="AA484" s="477"/>
      <c r="AB484" s="477"/>
      <c r="AC484" s="480"/>
      <c r="AD484" s="477"/>
      <c r="AE484" s="477"/>
    </row>
    <row r="485" spans="1:31" s="500" customFormat="1" x14ac:dyDescent="0.25">
      <c r="A485" s="502"/>
      <c r="B485" s="477"/>
      <c r="C485" s="477"/>
      <c r="D485" s="477"/>
      <c r="E485" s="477"/>
      <c r="F485" s="478"/>
      <c r="G485" s="477"/>
      <c r="H485" s="477"/>
      <c r="I485" s="477"/>
      <c r="J485" s="479"/>
      <c r="K485" s="480"/>
      <c r="L485" s="481"/>
      <c r="M485" s="477"/>
      <c r="N485" s="477"/>
      <c r="O485" s="477"/>
      <c r="P485" s="477"/>
      <c r="Q485" s="477"/>
      <c r="R485" s="509"/>
      <c r="S485" s="477"/>
      <c r="T485" s="484"/>
      <c r="U485" s="484"/>
      <c r="V485" s="477"/>
      <c r="W485" s="477"/>
      <c r="X485" s="477"/>
      <c r="Y485" s="477"/>
      <c r="Z485" s="477"/>
      <c r="AA485" s="477"/>
      <c r="AB485" s="477"/>
      <c r="AC485" s="477"/>
      <c r="AD485" s="477"/>
    </row>
    <row r="486" spans="1:31" s="503" customFormat="1" x14ac:dyDescent="0.25">
      <c r="A486" s="476"/>
      <c r="B486" s="454"/>
      <c r="C486" s="454"/>
      <c r="D486" s="477"/>
      <c r="E486" s="477"/>
      <c r="F486" s="478"/>
      <c r="G486" s="477"/>
      <c r="H486" s="477"/>
      <c r="I486" s="477"/>
      <c r="J486" s="479"/>
      <c r="K486" s="480"/>
      <c r="L486" s="480"/>
      <c r="M486" s="477"/>
      <c r="N486" s="477"/>
      <c r="O486" s="477"/>
      <c r="P486" s="477"/>
      <c r="Q486" s="477"/>
      <c r="R486" s="509"/>
      <c r="S486" s="477"/>
      <c r="T486" s="484"/>
      <c r="U486" s="477"/>
      <c r="V486" s="454"/>
      <c r="W486" s="454"/>
      <c r="X486" s="454"/>
      <c r="Y486" s="454"/>
      <c r="Z486" s="454"/>
      <c r="AA486" s="454"/>
      <c r="AB486" s="454"/>
      <c r="AC486" s="454"/>
      <c r="AD486" s="454"/>
    </row>
    <row r="487" spans="1:31" s="500" customFormat="1" x14ac:dyDescent="0.25">
      <c r="A487" s="502"/>
      <c r="B487" s="477"/>
      <c r="C487" s="477"/>
      <c r="D487" s="477"/>
      <c r="E487" s="477"/>
      <c r="F487" s="478"/>
      <c r="G487" s="477"/>
      <c r="H487" s="477"/>
      <c r="I487" s="477"/>
      <c r="J487" s="479"/>
      <c r="K487" s="480"/>
      <c r="L487" s="481"/>
      <c r="M487" s="477"/>
      <c r="N487" s="477"/>
      <c r="O487" s="477"/>
      <c r="P487" s="477"/>
      <c r="Q487" s="477"/>
      <c r="R487" s="509"/>
      <c r="S487" s="477"/>
      <c r="T487" s="484"/>
      <c r="U487" s="484"/>
      <c r="V487" s="477"/>
      <c r="W487" s="477"/>
      <c r="X487" s="477"/>
      <c r="Y487" s="477"/>
      <c r="Z487" s="477"/>
      <c r="AA487" s="477"/>
      <c r="AB487" s="477"/>
      <c r="AC487" s="477"/>
      <c r="AD487" s="477"/>
    </row>
    <row r="488" spans="1:31" s="506" customFormat="1" x14ac:dyDescent="0.25">
      <c r="A488" s="476"/>
      <c r="B488" s="477"/>
      <c r="C488" s="477"/>
      <c r="D488" s="477"/>
      <c r="E488" s="477"/>
      <c r="F488" s="478"/>
      <c r="G488" s="477"/>
      <c r="H488" s="477"/>
      <c r="I488" s="477"/>
      <c r="J488" s="479"/>
      <c r="K488" s="480"/>
      <c r="L488" s="480"/>
      <c r="M488" s="477"/>
      <c r="N488" s="477"/>
      <c r="O488" s="477"/>
      <c r="P488" s="477"/>
      <c r="Q488" s="477"/>
      <c r="R488" s="509"/>
      <c r="S488" s="477"/>
      <c r="T488" s="484"/>
      <c r="U488" s="484"/>
      <c r="V488" s="477"/>
      <c r="W488" s="477"/>
      <c r="X488" s="477"/>
      <c r="Y488" s="477"/>
      <c r="Z488" s="477"/>
      <c r="AA488" s="477"/>
      <c r="AB488" s="477"/>
      <c r="AC488" s="477"/>
      <c r="AD488" s="477"/>
    </row>
    <row r="489" spans="1:31" s="506" customFormat="1" x14ac:dyDescent="0.25">
      <c r="A489" s="502"/>
      <c r="B489" s="477"/>
      <c r="C489" s="477"/>
      <c r="D489" s="477"/>
      <c r="E489" s="477"/>
      <c r="F489" s="478"/>
      <c r="G489" s="505"/>
      <c r="H489" s="505"/>
      <c r="I489" s="505"/>
      <c r="J489" s="479"/>
      <c r="K489" s="480"/>
      <c r="L489" s="481"/>
      <c r="M489" s="477"/>
      <c r="N489" s="477"/>
      <c r="O489" s="477"/>
      <c r="P489" s="505"/>
      <c r="Q489" s="505"/>
      <c r="R489" s="509"/>
      <c r="S489" s="477"/>
      <c r="T489" s="484"/>
      <c r="U489" s="484"/>
      <c r="V489" s="477"/>
      <c r="W489" s="477"/>
      <c r="X489" s="477"/>
      <c r="Y489" s="477"/>
      <c r="Z489" s="477"/>
      <c r="AA489" s="477"/>
      <c r="AB489" s="477"/>
      <c r="AC489" s="480"/>
      <c r="AD489" s="477"/>
      <c r="AE489" s="477"/>
    </row>
    <row r="490" spans="1:31" s="503" customFormat="1" x14ac:dyDescent="0.25">
      <c r="A490" s="476"/>
      <c r="J490" s="504"/>
      <c r="K490" s="502"/>
      <c r="L490" s="502"/>
    </row>
    <row r="491" spans="1:31" s="503" customFormat="1" x14ac:dyDescent="0.25">
      <c r="A491" s="502"/>
      <c r="J491" s="504"/>
      <c r="K491" s="502"/>
      <c r="L491" s="502"/>
    </row>
    <row r="492" spans="1:31" s="503" customFormat="1" x14ac:dyDescent="0.25">
      <c r="A492" s="476"/>
      <c r="J492" s="504"/>
      <c r="K492" s="502"/>
      <c r="L492" s="502"/>
    </row>
    <row r="493" spans="1:31" s="503" customFormat="1" x14ac:dyDescent="0.25">
      <c r="A493" s="502"/>
      <c r="J493" s="504"/>
      <c r="K493" s="502"/>
      <c r="L493" s="502"/>
    </row>
    <row r="494" spans="1:31" s="503" customFormat="1" x14ac:dyDescent="0.25">
      <c r="A494" s="476"/>
      <c r="J494" s="504"/>
      <c r="K494" s="502"/>
      <c r="L494" s="502"/>
    </row>
    <row r="495" spans="1:31" s="503" customFormat="1" x14ac:dyDescent="0.25">
      <c r="A495" s="502"/>
      <c r="J495" s="504"/>
      <c r="K495" s="502"/>
      <c r="L495" s="502"/>
    </row>
    <row r="496" spans="1:31" s="503" customFormat="1" x14ac:dyDescent="0.25">
      <c r="A496" s="476"/>
      <c r="J496" s="504"/>
      <c r="K496" s="502"/>
      <c r="L496" s="502"/>
    </row>
    <row r="497" spans="1:21" s="503" customFormat="1" x14ac:dyDescent="0.25">
      <c r="A497" s="502"/>
      <c r="J497" s="504"/>
      <c r="K497" s="502"/>
      <c r="L497" s="502"/>
    </row>
    <row r="498" spans="1:21" s="503" customFormat="1" x14ac:dyDescent="0.25">
      <c r="A498" s="476"/>
      <c r="J498" s="504"/>
      <c r="K498" s="502"/>
      <c r="L498" s="502"/>
    </row>
    <row r="499" spans="1:21" s="503" customFormat="1" x14ac:dyDescent="0.25">
      <c r="A499" s="502"/>
      <c r="J499" s="504"/>
      <c r="K499" s="502"/>
      <c r="L499" s="502"/>
    </row>
    <row r="500" spans="1:21" s="503" customFormat="1" x14ac:dyDescent="0.25">
      <c r="A500" s="476"/>
      <c r="J500" s="504"/>
      <c r="K500" s="502"/>
      <c r="L500" s="502"/>
    </row>
    <row r="501" spans="1:21" s="503" customFormat="1" x14ac:dyDescent="0.25">
      <c r="A501" s="502"/>
      <c r="J501" s="504"/>
      <c r="K501" s="502"/>
      <c r="L501" s="502"/>
    </row>
    <row r="502" spans="1:21" s="503" customFormat="1" x14ac:dyDescent="0.25">
      <c r="A502" s="476"/>
      <c r="J502" s="504"/>
      <c r="K502" s="502"/>
      <c r="L502" s="502"/>
    </row>
    <row r="503" spans="1:21" s="503" customFormat="1" x14ac:dyDescent="0.25">
      <c r="A503" s="502"/>
      <c r="J503" s="504"/>
      <c r="K503" s="502"/>
      <c r="L503" s="502"/>
    </row>
    <row r="504" spans="1:21" s="503" customFormat="1" x14ac:dyDescent="0.25">
      <c r="A504" s="476"/>
      <c r="J504" s="504"/>
      <c r="K504" s="502"/>
      <c r="L504" s="502"/>
    </row>
    <row r="505" spans="1:21" s="503" customFormat="1" x14ac:dyDescent="0.25">
      <c r="A505" s="502"/>
      <c r="J505" s="504"/>
      <c r="K505" s="502"/>
      <c r="L505" s="502"/>
    </row>
    <row r="506" spans="1:21" s="503" customFormat="1" x14ac:dyDescent="0.25">
      <c r="A506" s="476"/>
      <c r="J506" s="504"/>
      <c r="K506" s="502"/>
      <c r="L506" s="502"/>
    </row>
    <row r="507" spans="1:21" s="503" customFormat="1" x14ac:dyDescent="0.25">
      <c r="A507" s="502"/>
      <c r="J507" s="504"/>
      <c r="K507" s="502"/>
      <c r="L507" s="502"/>
    </row>
    <row r="508" spans="1:21" s="503" customFormat="1" x14ac:dyDescent="0.25">
      <c r="A508" s="476"/>
      <c r="J508" s="504"/>
      <c r="K508" s="502"/>
      <c r="L508" s="502"/>
    </row>
    <row r="509" spans="1:21" s="503" customFormat="1" x14ac:dyDescent="0.25">
      <c r="A509" s="502"/>
      <c r="J509" s="504"/>
      <c r="K509" s="502"/>
      <c r="L509" s="502"/>
    </row>
    <row r="510" spans="1:21" s="503" customFormat="1" x14ac:dyDescent="0.25">
      <c r="A510" s="476"/>
      <c r="J510" s="504"/>
      <c r="K510" s="502"/>
      <c r="L510" s="502"/>
      <c r="R510" s="510"/>
      <c r="T510" s="511"/>
      <c r="U510" s="511"/>
    </row>
    <row r="511" spans="1:21" s="503" customFormat="1" x14ac:dyDescent="0.25">
      <c r="A511" s="502"/>
      <c r="J511" s="504"/>
      <c r="K511" s="502"/>
      <c r="L511" s="502"/>
      <c r="R511" s="510"/>
      <c r="T511" s="511"/>
      <c r="U511" s="511"/>
    </row>
    <row r="512" spans="1:21" s="503" customFormat="1" x14ac:dyDescent="0.25">
      <c r="A512" s="476"/>
      <c r="J512" s="504"/>
      <c r="K512" s="502"/>
      <c r="L512" s="502"/>
      <c r="R512" s="510"/>
      <c r="T512" s="511"/>
      <c r="U512" s="511"/>
    </row>
    <row r="513" spans="1:31" s="503" customFormat="1" x14ac:dyDescent="0.25">
      <c r="A513" s="502"/>
      <c r="J513" s="504"/>
      <c r="K513" s="502"/>
      <c r="L513" s="502"/>
      <c r="R513" s="510"/>
      <c r="T513" s="511"/>
      <c r="U513" s="511"/>
    </row>
    <row r="514" spans="1:31" s="503" customFormat="1" x14ac:dyDescent="0.25">
      <c r="A514" s="476"/>
      <c r="J514" s="504"/>
      <c r="K514" s="502"/>
      <c r="L514" s="502"/>
      <c r="R514" s="510"/>
      <c r="T514" s="511"/>
      <c r="U514" s="511"/>
    </row>
    <row r="515" spans="1:31" s="503" customFormat="1" x14ac:dyDescent="0.25">
      <c r="A515" s="502"/>
      <c r="B515" s="454"/>
      <c r="C515" s="454"/>
      <c r="D515" s="477"/>
      <c r="E515" s="477"/>
      <c r="F515" s="478"/>
      <c r="G515" s="477"/>
      <c r="H515" s="477"/>
      <c r="I515" s="477"/>
      <c r="J515" s="479"/>
      <c r="K515" s="502"/>
      <c r="L515" s="480"/>
      <c r="M515" s="477"/>
      <c r="N515" s="477"/>
      <c r="O515" s="477"/>
      <c r="P515" s="477"/>
      <c r="Q515" s="477"/>
      <c r="R515" s="509"/>
      <c r="S515" s="477"/>
      <c r="T515" s="484"/>
      <c r="U515" s="477"/>
      <c r="V515" s="454"/>
      <c r="W515" s="454"/>
      <c r="X515" s="454"/>
      <c r="Y515" s="454"/>
      <c r="Z515" s="454"/>
      <c r="AA515" s="454"/>
      <c r="AB515" s="454"/>
      <c r="AC515" s="454"/>
      <c r="AD515" s="454"/>
    </row>
    <row r="516" spans="1:31" s="500" customFormat="1" x14ac:dyDescent="0.25">
      <c r="A516" s="476"/>
      <c r="B516" s="477"/>
      <c r="C516" s="477"/>
      <c r="D516" s="477"/>
      <c r="E516" s="477"/>
      <c r="F516" s="478"/>
      <c r="G516" s="477"/>
      <c r="H516" s="477"/>
      <c r="I516" s="477"/>
      <c r="J516" s="479"/>
      <c r="K516" s="502"/>
      <c r="L516" s="481"/>
      <c r="M516" s="477"/>
      <c r="N516" s="477"/>
      <c r="O516" s="477"/>
      <c r="P516" s="477"/>
      <c r="Q516" s="477"/>
      <c r="R516" s="509"/>
      <c r="S516" s="477"/>
      <c r="T516" s="484"/>
      <c r="U516" s="484"/>
      <c r="V516" s="477"/>
      <c r="W516" s="477"/>
      <c r="X516" s="477"/>
      <c r="Y516" s="477"/>
      <c r="Z516" s="477"/>
      <c r="AA516" s="477"/>
      <c r="AB516" s="477"/>
      <c r="AC516" s="477"/>
      <c r="AD516" s="477"/>
    </row>
    <row r="517" spans="1:31" s="503" customFormat="1" x14ac:dyDescent="0.25">
      <c r="A517" s="502"/>
      <c r="B517" s="454"/>
      <c r="C517" s="454"/>
      <c r="D517" s="477"/>
      <c r="E517" s="477"/>
      <c r="F517" s="478"/>
      <c r="G517" s="477"/>
      <c r="H517" s="477"/>
      <c r="I517" s="477"/>
      <c r="J517" s="479"/>
      <c r="K517" s="502"/>
      <c r="L517" s="480"/>
      <c r="M517" s="477"/>
      <c r="N517" s="477"/>
      <c r="O517" s="477"/>
      <c r="P517" s="477"/>
      <c r="Q517" s="477"/>
      <c r="R517" s="509"/>
      <c r="S517" s="477"/>
      <c r="T517" s="484"/>
      <c r="U517" s="477"/>
      <c r="V517" s="454"/>
      <c r="W517" s="454"/>
      <c r="X517" s="454"/>
      <c r="Y517" s="454"/>
      <c r="Z517" s="454"/>
      <c r="AA517" s="454"/>
      <c r="AB517" s="454"/>
      <c r="AC517" s="454"/>
      <c r="AD517" s="454"/>
    </row>
    <row r="518" spans="1:31" s="500" customFormat="1" x14ac:dyDescent="0.25">
      <c r="A518" s="476"/>
      <c r="B518" s="477"/>
      <c r="C518" s="477"/>
      <c r="D518" s="477"/>
      <c r="E518" s="477"/>
      <c r="F518" s="478"/>
      <c r="G518" s="477"/>
      <c r="H518" s="477"/>
      <c r="I518" s="477"/>
      <c r="J518" s="479"/>
      <c r="K518" s="502"/>
      <c r="L518" s="481"/>
      <c r="M518" s="477"/>
      <c r="N518" s="477"/>
      <c r="O518" s="477"/>
      <c r="P518" s="477"/>
      <c r="Q518" s="477"/>
      <c r="R518" s="509"/>
      <c r="S518" s="477"/>
      <c r="T518" s="484"/>
      <c r="U518" s="484"/>
      <c r="V518" s="477"/>
      <c r="W518" s="477"/>
      <c r="X518" s="477"/>
      <c r="Y518" s="477"/>
      <c r="Z518" s="477"/>
      <c r="AA518" s="477"/>
      <c r="AB518" s="477"/>
      <c r="AC518" s="477"/>
      <c r="AD518" s="477"/>
    </row>
    <row r="519" spans="1:31" s="506" customFormat="1" x14ac:dyDescent="0.25">
      <c r="A519" s="502"/>
      <c r="B519" s="477"/>
      <c r="C519" s="477"/>
      <c r="D519" s="477"/>
      <c r="E519" s="477"/>
      <c r="F519" s="478"/>
      <c r="G519" s="477"/>
      <c r="H519" s="477"/>
      <c r="I519" s="477"/>
      <c r="J519" s="479"/>
      <c r="K519" s="502"/>
      <c r="L519" s="480"/>
      <c r="M519" s="477"/>
      <c r="N519" s="477"/>
      <c r="O519" s="477"/>
      <c r="P519" s="477"/>
      <c r="Q519" s="477"/>
      <c r="R519" s="509"/>
      <c r="S519" s="477"/>
      <c r="T519" s="484"/>
      <c r="U519" s="484"/>
      <c r="V519" s="477"/>
      <c r="W519" s="477"/>
      <c r="X519" s="477"/>
      <c r="Y519" s="477"/>
      <c r="Z519" s="477"/>
      <c r="AA519" s="477"/>
      <c r="AB519" s="477"/>
      <c r="AC519" s="477"/>
      <c r="AD519" s="477"/>
    </row>
    <row r="520" spans="1:31" s="506" customFormat="1" x14ac:dyDescent="0.25">
      <c r="A520" s="476"/>
      <c r="B520" s="477"/>
      <c r="C520" s="477"/>
      <c r="D520" s="477"/>
      <c r="E520" s="477"/>
      <c r="F520" s="478"/>
      <c r="G520" s="505"/>
      <c r="H520" s="505"/>
      <c r="I520" s="505"/>
      <c r="J520" s="479"/>
      <c r="K520" s="502"/>
      <c r="L520" s="481"/>
      <c r="M520" s="477"/>
      <c r="N520" s="477"/>
      <c r="O520" s="477"/>
      <c r="P520" s="505"/>
      <c r="Q520" s="505"/>
      <c r="R520" s="509"/>
      <c r="S520" s="477"/>
      <c r="T520" s="484"/>
      <c r="U520" s="484"/>
      <c r="V520" s="477"/>
      <c r="W520" s="477"/>
      <c r="X520" s="477"/>
      <c r="Y520" s="477"/>
      <c r="Z520" s="477"/>
      <c r="AA520" s="477"/>
      <c r="AB520" s="477"/>
      <c r="AC520" s="480"/>
      <c r="AD520" s="477"/>
      <c r="AE520" s="477"/>
    </row>
    <row r="521" spans="1:31" s="503" customFormat="1" x14ac:dyDescent="0.25">
      <c r="A521" s="502"/>
      <c r="B521" s="454"/>
      <c r="C521" s="454"/>
      <c r="D521" s="477"/>
      <c r="E521" s="477"/>
      <c r="F521" s="478"/>
      <c r="G521" s="477"/>
      <c r="H521" s="477"/>
      <c r="I521" s="477"/>
      <c r="J521" s="479"/>
      <c r="K521" s="502"/>
      <c r="L521" s="480"/>
      <c r="M521" s="477"/>
      <c r="N521" s="477"/>
      <c r="O521" s="477"/>
      <c r="P521" s="477"/>
      <c r="Q521" s="477"/>
      <c r="R521" s="509"/>
      <c r="S521" s="477"/>
      <c r="T521" s="484"/>
      <c r="U521" s="477"/>
      <c r="V521" s="454"/>
      <c r="W521" s="454"/>
      <c r="X521" s="454"/>
      <c r="Y521" s="454"/>
      <c r="Z521" s="454"/>
      <c r="AA521" s="454"/>
      <c r="AB521" s="454"/>
      <c r="AC521" s="454"/>
      <c r="AD521" s="454"/>
    </row>
    <row r="522" spans="1:31" s="500" customFormat="1" x14ac:dyDescent="0.25">
      <c r="A522" s="476"/>
      <c r="B522" s="477"/>
      <c r="C522" s="477"/>
      <c r="D522" s="477"/>
      <c r="E522" s="477"/>
      <c r="F522" s="478"/>
      <c r="G522" s="477"/>
      <c r="H522" s="477"/>
      <c r="I522" s="477"/>
      <c r="J522" s="479"/>
      <c r="K522" s="502"/>
      <c r="L522" s="481"/>
      <c r="M522" s="477"/>
      <c r="N522" s="477"/>
      <c r="O522" s="477"/>
      <c r="P522" s="477"/>
      <c r="Q522" s="477"/>
      <c r="R522" s="509"/>
      <c r="S522" s="477"/>
      <c r="T522" s="484"/>
      <c r="U522" s="484"/>
      <c r="V522" s="477"/>
      <c r="W522" s="477"/>
      <c r="X522" s="477"/>
      <c r="Y522" s="477"/>
      <c r="Z522" s="477"/>
      <c r="AA522" s="477"/>
      <c r="AB522" s="477"/>
      <c r="AC522" s="477"/>
      <c r="AD522" s="477"/>
    </row>
    <row r="523" spans="1:31" s="506" customFormat="1" x14ac:dyDescent="0.25">
      <c r="A523" s="502"/>
      <c r="B523" s="477"/>
      <c r="C523" s="477"/>
      <c r="D523" s="477"/>
      <c r="E523" s="477"/>
      <c r="F523" s="478"/>
      <c r="G523" s="477"/>
      <c r="H523" s="477"/>
      <c r="I523" s="477"/>
      <c r="J523" s="479"/>
      <c r="K523" s="502"/>
      <c r="L523" s="480"/>
      <c r="M523" s="477"/>
      <c r="N523" s="477"/>
      <c r="O523" s="477"/>
      <c r="P523" s="477"/>
      <c r="Q523" s="477"/>
      <c r="R523" s="509"/>
      <c r="S523" s="477"/>
      <c r="T523" s="484"/>
      <c r="U523" s="484"/>
      <c r="V523" s="477"/>
      <c r="W523" s="477"/>
      <c r="X523" s="477"/>
      <c r="Y523" s="477"/>
      <c r="Z523" s="477"/>
      <c r="AA523" s="477"/>
      <c r="AB523" s="477"/>
      <c r="AC523" s="477"/>
      <c r="AD523" s="477"/>
    </row>
    <row r="524" spans="1:31" s="506" customFormat="1" x14ac:dyDescent="0.25">
      <c r="A524" s="476"/>
      <c r="B524" s="477"/>
      <c r="C524" s="477"/>
      <c r="D524" s="477"/>
      <c r="E524" s="477"/>
      <c r="F524" s="478"/>
      <c r="G524" s="505"/>
      <c r="H524" s="505"/>
      <c r="I524" s="505"/>
      <c r="J524" s="479"/>
      <c r="K524" s="502"/>
      <c r="L524" s="481"/>
      <c r="M524" s="477"/>
      <c r="N524" s="477"/>
      <c r="O524" s="477"/>
      <c r="P524" s="505"/>
      <c r="Q524" s="505"/>
      <c r="R524" s="509"/>
      <c r="S524" s="477"/>
      <c r="T524" s="484"/>
      <c r="U524" s="484"/>
      <c r="V524" s="477"/>
      <c r="W524" s="477"/>
      <c r="X524" s="477"/>
      <c r="Y524" s="477"/>
      <c r="Z524" s="477"/>
      <c r="AA524" s="477"/>
      <c r="AB524" s="477"/>
      <c r="AC524" s="480"/>
      <c r="AD524" s="477"/>
      <c r="AE524" s="477"/>
    </row>
    <row r="525" spans="1:31" s="506" customFormat="1" x14ac:dyDescent="0.25">
      <c r="A525" s="502"/>
      <c r="B525" s="477"/>
      <c r="C525" s="477"/>
      <c r="D525" s="477"/>
      <c r="E525" s="477"/>
      <c r="F525" s="478"/>
      <c r="G525" s="505"/>
      <c r="H525" s="505"/>
      <c r="I525" s="505"/>
      <c r="J525" s="479"/>
      <c r="K525" s="502"/>
      <c r="L525" s="481"/>
      <c r="M525" s="477"/>
      <c r="N525" s="477"/>
      <c r="O525" s="477"/>
      <c r="P525" s="505"/>
      <c r="Q525" s="505"/>
      <c r="R525" s="509"/>
      <c r="S525" s="477"/>
      <c r="T525" s="484"/>
      <c r="U525" s="484"/>
      <c r="V525" s="477"/>
      <c r="W525" s="477"/>
      <c r="X525" s="477"/>
      <c r="Y525" s="477"/>
      <c r="Z525" s="477"/>
      <c r="AA525" s="477"/>
      <c r="AB525" s="477"/>
      <c r="AC525" s="480"/>
      <c r="AD525" s="477"/>
      <c r="AE525" s="477"/>
    </row>
    <row r="526" spans="1:31" s="503" customFormat="1" x14ac:dyDescent="0.25">
      <c r="A526" s="476"/>
      <c r="J526" s="504"/>
      <c r="K526" s="502"/>
      <c r="L526" s="502"/>
      <c r="R526" s="512"/>
    </row>
    <row r="527" spans="1:31" s="503" customFormat="1" x14ac:dyDescent="0.25">
      <c r="A527" s="502"/>
      <c r="J527" s="504"/>
      <c r="K527" s="502"/>
      <c r="L527" s="502"/>
      <c r="R527" s="512"/>
    </row>
    <row r="528" spans="1:31" s="503" customFormat="1" x14ac:dyDescent="0.25">
      <c r="A528" s="476"/>
      <c r="J528" s="504"/>
      <c r="K528" s="502"/>
      <c r="L528" s="502"/>
      <c r="R528" s="512"/>
    </row>
    <row r="529" spans="1:18" s="503" customFormat="1" x14ac:dyDescent="0.25">
      <c r="A529" s="502"/>
      <c r="J529" s="504"/>
      <c r="K529" s="502"/>
      <c r="L529" s="502"/>
      <c r="R529" s="512"/>
    </row>
    <row r="530" spans="1:18" s="503" customFormat="1" x14ac:dyDescent="0.25">
      <c r="A530" s="476"/>
      <c r="J530" s="504"/>
      <c r="K530" s="502"/>
      <c r="L530" s="502"/>
      <c r="R530" s="512"/>
    </row>
    <row r="531" spans="1:18" s="503" customFormat="1" x14ac:dyDescent="0.25">
      <c r="A531" s="502"/>
      <c r="J531" s="504"/>
      <c r="K531" s="502"/>
      <c r="L531" s="502"/>
      <c r="R531" s="512"/>
    </row>
    <row r="532" spans="1:18" s="503" customFormat="1" x14ac:dyDescent="0.25">
      <c r="A532" s="476"/>
      <c r="J532" s="504"/>
      <c r="K532" s="502"/>
      <c r="L532" s="502"/>
      <c r="R532" s="512"/>
    </row>
    <row r="533" spans="1:18" s="503" customFormat="1" x14ac:dyDescent="0.25">
      <c r="A533" s="502"/>
      <c r="J533" s="504"/>
      <c r="K533" s="502"/>
      <c r="L533" s="502"/>
      <c r="R533" s="512"/>
    </row>
    <row r="534" spans="1:18" s="503" customFormat="1" x14ac:dyDescent="0.25">
      <c r="A534" s="476"/>
      <c r="J534" s="504"/>
      <c r="K534" s="502"/>
      <c r="L534" s="502"/>
      <c r="R534" s="512"/>
    </row>
    <row r="535" spans="1:18" s="503" customFormat="1" x14ac:dyDescent="0.25">
      <c r="A535" s="502"/>
      <c r="J535" s="504"/>
      <c r="K535" s="502"/>
      <c r="L535" s="502"/>
      <c r="R535" s="512"/>
    </row>
    <row r="536" spans="1:18" s="503" customFormat="1" x14ac:dyDescent="0.25">
      <c r="A536" s="476"/>
      <c r="J536" s="504"/>
      <c r="K536" s="502"/>
      <c r="L536" s="502"/>
      <c r="R536" s="512"/>
    </row>
    <row r="537" spans="1:18" s="503" customFormat="1" x14ac:dyDescent="0.25">
      <c r="A537" s="502"/>
      <c r="J537" s="504"/>
      <c r="K537" s="502"/>
      <c r="L537" s="502"/>
      <c r="R537" s="512"/>
    </row>
    <row r="538" spans="1:18" s="503" customFormat="1" x14ac:dyDescent="0.25">
      <c r="A538" s="476"/>
      <c r="J538" s="504"/>
      <c r="K538" s="502"/>
      <c r="L538" s="502"/>
      <c r="R538" s="512"/>
    </row>
    <row r="539" spans="1:18" s="503" customFormat="1" x14ac:dyDescent="0.25">
      <c r="A539" s="502"/>
      <c r="J539" s="504"/>
      <c r="K539" s="502"/>
      <c r="L539" s="502"/>
      <c r="R539" s="512"/>
    </row>
    <row r="540" spans="1:18" s="503" customFormat="1" x14ac:dyDescent="0.25">
      <c r="A540" s="476"/>
      <c r="J540" s="504"/>
      <c r="K540" s="502"/>
      <c r="L540" s="502"/>
      <c r="R540" s="512"/>
    </row>
    <row r="541" spans="1:18" s="503" customFormat="1" x14ac:dyDescent="0.25">
      <c r="A541" s="502"/>
      <c r="J541" s="504"/>
      <c r="K541" s="502"/>
      <c r="L541" s="502"/>
      <c r="R541" s="512"/>
    </row>
    <row r="542" spans="1:18" s="503" customFormat="1" x14ac:dyDescent="0.25">
      <c r="A542" s="476"/>
      <c r="J542" s="504"/>
      <c r="K542" s="502"/>
      <c r="L542" s="502"/>
      <c r="R542" s="512"/>
    </row>
    <row r="543" spans="1:18" s="503" customFormat="1" x14ac:dyDescent="0.25">
      <c r="A543" s="502"/>
      <c r="J543" s="504"/>
      <c r="K543" s="502"/>
      <c r="L543" s="502"/>
      <c r="R543" s="512"/>
    </row>
    <row r="544" spans="1:18" s="503" customFormat="1" x14ac:dyDescent="0.25">
      <c r="A544" s="476"/>
      <c r="J544" s="504"/>
      <c r="K544" s="502"/>
      <c r="L544" s="502"/>
      <c r="R544" s="512"/>
    </row>
    <row r="545" spans="1:18" s="503" customFormat="1" x14ac:dyDescent="0.25">
      <c r="A545" s="502"/>
      <c r="J545" s="504"/>
      <c r="K545" s="502"/>
      <c r="L545" s="502"/>
      <c r="R545" s="512"/>
    </row>
    <row r="546" spans="1:18" s="503" customFormat="1" x14ac:dyDescent="0.25">
      <c r="A546" s="476"/>
      <c r="J546" s="504"/>
      <c r="K546" s="502"/>
      <c r="L546" s="502"/>
      <c r="R546" s="512"/>
    </row>
    <row r="547" spans="1:18" s="503" customFormat="1" x14ac:dyDescent="0.25">
      <c r="A547" s="502"/>
      <c r="J547" s="504"/>
      <c r="K547" s="502"/>
      <c r="L547" s="502"/>
      <c r="R547" s="512"/>
    </row>
    <row r="548" spans="1:18" s="503" customFormat="1" x14ac:dyDescent="0.25">
      <c r="A548" s="476"/>
      <c r="J548" s="504"/>
      <c r="K548" s="502"/>
      <c r="L548" s="502"/>
      <c r="R548" s="512"/>
    </row>
    <row r="549" spans="1:18" s="503" customFormat="1" x14ac:dyDescent="0.25">
      <c r="A549" s="502"/>
      <c r="J549" s="504"/>
      <c r="K549" s="502"/>
      <c r="L549" s="502"/>
      <c r="R549" s="512"/>
    </row>
    <row r="550" spans="1:18" s="503" customFormat="1" x14ac:dyDescent="0.25">
      <c r="A550" s="476"/>
      <c r="J550" s="504"/>
      <c r="K550" s="502"/>
      <c r="L550" s="502"/>
      <c r="R550" s="512"/>
    </row>
    <row r="551" spans="1:18" s="503" customFormat="1" x14ac:dyDescent="0.25">
      <c r="A551" s="502"/>
      <c r="J551" s="504"/>
      <c r="K551" s="502"/>
      <c r="L551" s="502"/>
      <c r="R551" s="512"/>
    </row>
    <row r="552" spans="1:18" s="503" customFormat="1" x14ac:dyDescent="0.25">
      <c r="A552" s="476"/>
      <c r="J552" s="504"/>
      <c r="K552" s="502"/>
      <c r="L552" s="502"/>
      <c r="R552" s="512"/>
    </row>
    <row r="553" spans="1:18" s="503" customFormat="1" x14ac:dyDescent="0.25">
      <c r="A553" s="502"/>
      <c r="J553" s="504"/>
      <c r="K553" s="502"/>
      <c r="L553" s="502"/>
      <c r="R553" s="512"/>
    </row>
    <row r="554" spans="1:18" s="503" customFormat="1" x14ac:dyDescent="0.25">
      <c r="A554" s="476"/>
      <c r="J554" s="504"/>
      <c r="K554" s="502"/>
      <c r="L554" s="502"/>
      <c r="R554" s="512"/>
    </row>
    <row r="555" spans="1:18" s="503" customFormat="1" x14ac:dyDescent="0.25">
      <c r="A555" s="502"/>
      <c r="J555" s="504"/>
      <c r="K555" s="502"/>
      <c r="L555" s="502"/>
      <c r="R555" s="512"/>
    </row>
    <row r="556" spans="1:18" s="503" customFormat="1" x14ac:dyDescent="0.25">
      <c r="A556" s="476"/>
      <c r="J556" s="504"/>
      <c r="K556" s="502"/>
      <c r="L556" s="502"/>
      <c r="R556" s="512"/>
    </row>
    <row r="557" spans="1:18" s="503" customFormat="1" x14ac:dyDescent="0.25">
      <c r="A557" s="502"/>
      <c r="J557" s="504"/>
      <c r="K557" s="502"/>
      <c r="L557" s="502"/>
      <c r="R557" s="512"/>
    </row>
    <row r="558" spans="1:18" s="503" customFormat="1" x14ac:dyDescent="0.25">
      <c r="A558" s="476"/>
      <c r="J558" s="504"/>
      <c r="K558" s="502"/>
      <c r="L558" s="502"/>
      <c r="R558" s="512"/>
    </row>
    <row r="559" spans="1:18" s="503" customFormat="1" x14ac:dyDescent="0.25">
      <c r="A559" s="502"/>
      <c r="J559" s="504"/>
      <c r="K559" s="502"/>
      <c r="L559" s="502"/>
      <c r="R559" s="512"/>
    </row>
    <row r="560" spans="1:18" s="503" customFormat="1" x14ac:dyDescent="0.25">
      <c r="A560" s="476"/>
      <c r="J560" s="504"/>
      <c r="K560" s="502"/>
      <c r="L560" s="502"/>
      <c r="R560" s="512"/>
    </row>
    <row r="561" spans="1:18" s="503" customFormat="1" x14ac:dyDescent="0.25">
      <c r="A561" s="502"/>
      <c r="J561" s="504"/>
      <c r="K561" s="502"/>
      <c r="L561" s="502"/>
      <c r="R561" s="512"/>
    </row>
    <row r="562" spans="1:18" s="503" customFormat="1" x14ac:dyDescent="0.25">
      <c r="A562" s="476"/>
      <c r="J562" s="504"/>
      <c r="K562" s="502"/>
      <c r="L562" s="502"/>
      <c r="R562" s="512"/>
    </row>
    <row r="563" spans="1:18" s="503" customFormat="1" x14ac:dyDescent="0.25">
      <c r="A563" s="502"/>
      <c r="J563" s="504"/>
      <c r="K563" s="502"/>
      <c r="L563" s="502"/>
      <c r="R563" s="512"/>
    </row>
    <row r="564" spans="1:18" s="503" customFormat="1" x14ac:dyDescent="0.25">
      <c r="A564" s="476"/>
      <c r="J564" s="504"/>
      <c r="K564" s="502"/>
      <c r="L564" s="502"/>
      <c r="R564" s="512"/>
    </row>
    <row r="565" spans="1:18" s="503" customFormat="1" x14ac:dyDescent="0.25">
      <c r="A565" s="502"/>
      <c r="J565" s="504"/>
      <c r="K565" s="502"/>
      <c r="L565" s="502"/>
      <c r="R565" s="512"/>
    </row>
    <row r="566" spans="1:18" s="503" customFormat="1" x14ac:dyDescent="0.25">
      <c r="A566" s="476"/>
      <c r="J566" s="504"/>
      <c r="K566" s="502"/>
      <c r="L566" s="502"/>
      <c r="R566" s="512"/>
    </row>
    <row r="567" spans="1:18" s="503" customFormat="1" x14ac:dyDescent="0.25">
      <c r="A567" s="502"/>
      <c r="J567" s="504"/>
      <c r="K567" s="502"/>
      <c r="L567" s="502"/>
      <c r="R567" s="512"/>
    </row>
    <row r="568" spans="1:18" s="503" customFormat="1" x14ac:dyDescent="0.25">
      <c r="A568" s="476"/>
      <c r="J568" s="504"/>
      <c r="K568" s="502"/>
      <c r="L568" s="502"/>
      <c r="R568" s="512"/>
    </row>
    <row r="569" spans="1:18" s="503" customFormat="1" x14ac:dyDescent="0.25">
      <c r="A569" s="502"/>
      <c r="J569" s="504"/>
      <c r="K569" s="502"/>
      <c r="L569" s="502"/>
      <c r="R569" s="512"/>
    </row>
    <row r="570" spans="1:18" s="503" customFormat="1" x14ac:dyDescent="0.25">
      <c r="A570" s="476"/>
      <c r="J570" s="504"/>
      <c r="K570" s="502"/>
      <c r="L570" s="502"/>
      <c r="R570" s="512"/>
    </row>
    <row r="571" spans="1:18" s="503" customFormat="1" x14ac:dyDescent="0.25">
      <c r="A571" s="502"/>
      <c r="J571" s="504"/>
      <c r="K571" s="502"/>
      <c r="L571" s="502"/>
      <c r="R571" s="512"/>
    </row>
    <row r="572" spans="1:18" s="503" customFormat="1" x14ac:dyDescent="0.25">
      <c r="A572" s="476"/>
      <c r="J572" s="504"/>
      <c r="K572" s="502"/>
      <c r="L572" s="502"/>
      <c r="R572" s="512"/>
    </row>
    <row r="573" spans="1:18" s="503" customFormat="1" x14ac:dyDescent="0.25">
      <c r="A573" s="502"/>
      <c r="J573" s="504"/>
      <c r="K573" s="502"/>
      <c r="L573" s="502"/>
      <c r="R573" s="512"/>
    </row>
    <row r="574" spans="1:18" s="503" customFormat="1" x14ac:dyDescent="0.25">
      <c r="A574" s="476"/>
      <c r="J574" s="504"/>
      <c r="K574" s="502"/>
      <c r="L574" s="502"/>
      <c r="R574" s="512"/>
    </row>
    <row r="575" spans="1:18" s="503" customFormat="1" x14ac:dyDescent="0.25">
      <c r="A575" s="502"/>
      <c r="J575" s="504"/>
      <c r="K575" s="502"/>
      <c r="L575" s="502"/>
      <c r="R575" s="512"/>
    </row>
    <row r="576" spans="1:18" s="503" customFormat="1" x14ac:dyDescent="0.25">
      <c r="A576" s="476"/>
      <c r="J576" s="504"/>
      <c r="K576" s="502"/>
      <c r="L576" s="502"/>
      <c r="R576" s="512"/>
    </row>
    <row r="577" spans="1:31" s="503" customFormat="1" x14ac:dyDescent="0.25">
      <c r="A577" s="502"/>
      <c r="J577" s="504"/>
      <c r="K577" s="502"/>
      <c r="L577" s="502"/>
      <c r="R577" s="512"/>
    </row>
    <row r="578" spans="1:31" s="503" customFormat="1" x14ac:dyDescent="0.25">
      <c r="A578" s="476"/>
      <c r="J578" s="504"/>
      <c r="K578" s="502"/>
      <c r="L578" s="502"/>
      <c r="R578" s="512"/>
    </row>
    <row r="579" spans="1:31" s="503" customFormat="1" x14ac:dyDescent="0.25">
      <c r="A579" s="502"/>
      <c r="J579" s="504"/>
      <c r="K579" s="502"/>
      <c r="L579" s="502"/>
      <c r="R579" s="512"/>
    </row>
    <row r="580" spans="1:31" s="503" customFormat="1" x14ac:dyDescent="0.25">
      <c r="A580" s="476"/>
      <c r="J580" s="504"/>
      <c r="K580" s="502"/>
      <c r="L580" s="502"/>
      <c r="R580" s="512"/>
    </row>
    <row r="581" spans="1:31" s="503" customFormat="1" x14ac:dyDescent="0.25">
      <c r="A581" s="502"/>
      <c r="J581" s="504"/>
      <c r="K581" s="502"/>
      <c r="L581" s="502"/>
      <c r="R581" s="512"/>
    </row>
    <row r="582" spans="1:31" s="503" customFormat="1" x14ac:dyDescent="0.25">
      <c r="A582" s="476"/>
      <c r="J582" s="504"/>
      <c r="K582" s="502"/>
      <c r="L582" s="502"/>
      <c r="R582" s="512"/>
    </row>
    <row r="583" spans="1:31" s="503" customFormat="1" x14ac:dyDescent="0.25">
      <c r="A583" s="502"/>
      <c r="J583" s="504"/>
      <c r="K583" s="502"/>
      <c r="L583" s="502"/>
      <c r="R583" s="512"/>
    </row>
    <row r="584" spans="1:31" s="503" customFormat="1" x14ac:dyDescent="0.25">
      <c r="A584" s="476"/>
      <c r="J584" s="504"/>
      <c r="K584" s="502"/>
      <c r="L584" s="502"/>
      <c r="R584" s="512"/>
    </row>
    <row r="585" spans="1:31" s="506" customFormat="1" x14ac:dyDescent="0.25">
      <c r="A585" s="502"/>
      <c r="B585" s="477"/>
      <c r="C585" s="477"/>
      <c r="D585" s="477"/>
      <c r="E585" s="477"/>
      <c r="F585" s="478"/>
      <c r="G585" s="505"/>
      <c r="H585" s="505"/>
      <c r="I585" s="505"/>
      <c r="J585" s="479"/>
      <c r="K585" s="480"/>
      <c r="L585" s="481"/>
      <c r="M585" s="477"/>
      <c r="N585" s="477"/>
      <c r="O585" s="477"/>
      <c r="P585" s="505"/>
      <c r="Q585" s="505"/>
      <c r="R585" s="509"/>
      <c r="S585" s="477"/>
      <c r="T585" s="484"/>
      <c r="U585" s="484"/>
      <c r="V585" s="477"/>
      <c r="W585" s="477"/>
      <c r="X585" s="477"/>
      <c r="Y585" s="477"/>
      <c r="Z585" s="477"/>
      <c r="AA585" s="477"/>
      <c r="AB585" s="477"/>
      <c r="AC585" s="480"/>
      <c r="AD585" s="477"/>
      <c r="AE585" s="477"/>
    </row>
    <row r="586" spans="1:31" s="500" customFormat="1" x14ac:dyDescent="0.25">
      <c r="A586" s="476"/>
      <c r="B586" s="477"/>
      <c r="C586" s="477"/>
      <c r="D586" s="477"/>
      <c r="E586" s="477"/>
      <c r="F586" s="478"/>
      <c r="G586" s="477"/>
      <c r="H586" s="477"/>
      <c r="I586" s="477"/>
      <c r="J586" s="479"/>
      <c r="K586" s="480"/>
      <c r="L586" s="481"/>
      <c r="M586" s="477"/>
      <c r="N586" s="477"/>
      <c r="O586" s="477"/>
      <c r="P586" s="477"/>
      <c r="Q586" s="477"/>
      <c r="R586" s="509"/>
      <c r="S586" s="477"/>
      <c r="T586" s="484"/>
      <c r="U586" s="484"/>
      <c r="V586" s="477"/>
      <c r="W586" s="477"/>
      <c r="X586" s="477"/>
      <c r="Y586" s="477"/>
      <c r="Z586" s="477"/>
      <c r="AA586" s="477"/>
      <c r="AB586" s="477"/>
      <c r="AC586" s="477"/>
      <c r="AD586" s="477"/>
    </row>
    <row r="587" spans="1:31" s="506" customFormat="1" x14ac:dyDescent="0.25">
      <c r="A587" s="502"/>
      <c r="B587" s="477"/>
      <c r="C587" s="477"/>
      <c r="D587" s="477"/>
      <c r="E587" s="477"/>
      <c r="F587" s="478"/>
      <c r="G587" s="505"/>
      <c r="H587" s="505"/>
      <c r="I587" s="505"/>
      <c r="J587" s="479"/>
      <c r="K587" s="480"/>
      <c r="L587" s="481"/>
      <c r="M587" s="477"/>
      <c r="N587" s="477"/>
      <c r="O587" s="477"/>
      <c r="P587" s="505"/>
      <c r="Q587" s="505"/>
      <c r="R587" s="509"/>
      <c r="S587" s="477"/>
      <c r="T587" s="484"/>
      <c r="U587" s="484"/>
      <c r="V587" s="477"/>
      <c r="W587" s="477"/>
      <c r="X587" s="477"/>
      <c r="Y587" s="477"/>
      <c r="Z587" s="477"/>
      <c r="AA587" s="477"/>
      <c r="AB587" s="477"/>
      <c r="AC587" s="480"/>
      <c r="AD587" s="477"/>
      <c r="AE587" s="477"/>
    </row>
    <row r="588" spans="1:31" s="506" customFormat="1" x14ac:dyDescent="0.25">
      <c r="A588" s="476"/>
      <c r="B588" s="477"/>
      <c r="C588" s="477"/>
      <c r="D588" s="477"/>
      <c r="E588" s="477"/>
      <c r="F588" s="478"/>
      <c r="G588" s="505"/>
      <c r="H588" s="505"/>
      <c r="I588" s="505"/>
      <c r="J588" s="479"/>
      <c r="K588" s="480"/>
      <c r="L588" s="481"/>
      <c r="M588" s="477"/>
      <c r="N588" s="477"/>
      <c r="O588" s="477"/>
      <c r="P588" s="505"/>
      <c r="Q588" s="505"/>
      <c r="R588" s="509"/>
      <c r="S588" s="477"/>
      <c r="T588" s="484"/>
      <c r="U588" s="484"/>
      <c r="V588" s="477"/>
      <c r="W588" s="477"/>
      <c r="X588" s="477"/>
      <c r="Y588" s="477"/>
      <c r="Z588" s="477"/>
      <c r="AA588" s="477"/>
      <c r="AB588" s="477"/>
      <c r="AC588" s="480"/>
      <c r="AD588" s="477"/>
      <c r="AE588" s="477"/>
    </row>
    <row r="589" spans="1:31" s="500" customFormat="1" x14ac:dyDescent="0.25">
      <c r="A589" s="502"/>
      <c r="B589" s="477"/>
      <c r="C589" s="477"/>
      <c r="D589" s="477"/>
      <c r="E589" s="477"/>
      <c r="F589" s="478"/>
      <c r="G589" s="477"/>
      <c r="H589" s="477"/>
      <c r="I589" s="477"/>
      <c r="J589" s="479"/>
      <c r="K589" s="480"/>
      <c r="L589" s="481"/>
      <c r="M589" s="477"/>
      <c r="N589" s="477"/>
      <c r="O589" s="477"/>
      <c r="P589" s="477"/>
      <c r="Q589" s="477"/>
      <c r="R589" s="509"/>
      <c r="S589" s="477"/>
      <c r="T589" s="484"/>
      <c r="U589" s="484"/>
      <c r="V589" s="477"/>
      <c r="W589" s="477"/>
      <c r="X589" s="477"/>
      <c r="Y589" s="477"/>
      <c r="Z589" s="477"/>
      <c r="AA589" s="477"/>
      <c r="AB589" s="477"/>
      <c r="AC589" s="477"/>
      <c r="AD589" s="477"/>
    </row>
    <row r="590" spans="1:31" s="503" customFormat="1" x14ac:dyDescent="0.25">
      <c r="A590" s="476"/>
      <c r="B590" s="454"/>
      <c r="C590" s="454"/>
      <c r="D590" s="477"/>
      <c r="E590" s="477"/>
      <c r="F590" s="478"/>
      <c r="G590" s="477"/>
      <c r="H590" s="477"/>
      <c r="I590" s="477"/>
      <c r="J590" s="479"/>
      <c r="K590" s="480"/>
      <c r="L590" s="480"/>
      <c r="M590" s="477"/>
      <c r="N590" s="477"/>
      <c r="O590" s="477"/>
      <c r="P590" s="477"/>
      <c r="Q590" s="477"/>
      <c r="R590" s="509"/>
      <c r="S590" s="477"/>
      <c r="T590" s="484"/>
      <c r="U590" s="477"/>
      <c r="V590" s="454"/>
      <c r="W590" s="454"/>
      <c r="X590" s="454"/>
      <c r="Y590" s="454"/>
      <c r="Z590" s="454"/>
      <c r="AA590" s="454"/>
      <c r="AB590" s="454"/>
      <c r="AC590" s="454"/>
      <c r="AD590" s="454"/>
    </row>
    <row r="591" spans="1:31" s="500" customFormat="1" x14ac:dyDescent="0.25">
      <c r="A591" s="502"/>
      <c r="B591" s="477"/>
      <c r="C591" s="477"/>
      <c r="D591" s="477"/>
      <c r="E591" s="477"/>
      <c r="F591" s="478"/>
      <c r="G591" s="477"/>
      <c r="H591" s="477"/>
      <c r="I591" s="477"/>
      <c r="J591" s="479"/>
      <c r="K591" s="480"/>
      <c r="L591" s="481"/>
      <c r="M591" s="477"/>
      <c r="N591" s="477"/>
      <c r="O591" s="477"/>
      <c r="P591" s="477"/>
      <c r="Q591" s="477"/>
      <c r="R591" s="509"/>
      <c r="S591" s="477"/>
      <c r="T591" s="484"/>
      <c r="U591" s="484"/>
      <c r="V591" s="477"/>
      <c r="W591" s="477"/>
      <c r="X591" s="477"/>
      <c r="Y591" s="477"/>
      <c r="Z591" s="477"/>
      <c r="AA591" s="477"/>
      <c r="AB591" s="477"/>
      <c r="AC591" s="477"/>
      <c r="AD591" s="477"/>
    </row>
    <row r="592" spans="1:31" s="506" customFormat="1" x14ac:dyDescent="0.25">
      <c r="A592" s="476"/>
      <c r="B592" s="477"/>
      <c r="C592" s="477"/>
      <c r="D592" s="477"/>
      <c r="E592" s="477"/>
      <c r="F592" s="478"/>
      <c r="G592" s="477"/>
      <c r="H592" s="477"/>
      <c r="I592" s="477"/>
      <c r="J592" s="479"/>
      <c r="K592" s="480"/>
      <c r="L592" s="480"/>
      <c r="M592" s="477"/>
      <c r="N592" s="477"/>
      <c r="O592" s="477"/>
      <c r="P592" s="477"/>
      <c r="Q592" s="477"/>
      <c r="R592" s="509"/>
      <c r="S592" s="477"/>
      <c r="T592" s="484"/>
      <c r="U592" s="484"/>
      <c r="V592" s="477"/>
      <c r="W592" s="477"/>
      <c r="X592" s="477"/>
      <c r="Y592" s="477"/>
      <c r="Z592" s="477"/>
      <c r="AA592" s="477"/>
      <c r="AB592" s="477"/>
      <c r="AC592" s="477"/>
      <c r="AD592" s="477"/>
    </row>
    <row r="593" spans="1:31" s="506" customFormat="1" x14ac:dyDescent="0.25">
      <c r="A593" s="502"/>
      <c r="B593" s="477"/>
      <c r="C593" s="477"/>
      <c r="D593" s="477"/>
      <c r="E593" s="477"/>
      <c r="F593" s="478"/>
      <c r="G593" s="505"/>
      <c r="H593" s="505"/>
      <c r="I593" s="505"/>
      <c r="J593" s="479"/>
      <c r="K593" s="480"/>
      <c r="L593" s="481"/>
      <c r="M593" s="477"/>
      <c r="N593" s="477"/>
      <c r="O593" s="477"/>
      <c r="P593" s="505"/>
      <c r="Q593" s="505"/>
      <c r="R593" s="509"/>
      <c r="S593" s="477"/>
      <c r="T593" s="484"/>
      <c r="U593" s="484"/>
      <c r="V593" s="477"/>
      <c r="W593" s="477"/>
      <c r="X593" s="477"/>
      <c r="Y593" s="477"/>
      <c r="Z593" s="477"/>
      <c r="AA593" s="477"/>
      <c r="AB593" s="477"/>
      <c r="AC593" s="480"/>
      <c r="AD593" s="477"/>
      <c r="AE593" s="477"/>
    </row>
    <row r="594" spans="1:31" s="506" customFormat="1" x14ac:dyDescent="0.25">
      <c r="A594" s="476"/>
      <c r="B594" s="477"/>
      <c r="C594" s="477"/>
      <c r="D594" s="477"/>
      <c r="E594" s="477"/>
      <c r="F594" s="478"/>
      <c r="G594" s="505"/>
      <c r="H594" s="505"/>
      <c r="I594" s="505"/>
      <c r="J594" s="479"/>
      <c r="K594" s="480"/>
      <c r="L594" s="481"/>
      <c r="M594" s="477"/>
      <c r="N594" s="477"/>
      <c r="O594" s="477"/>
      <c r="P594" s="505"/>
      <c r="Q594" s="505"/>
      <c r="R594" s="509"/>
      <c r="S594" s="477"/>
      <c r="T594" s="484"/>
      <c r="U594" s="484"/>
      <c r="V594" s="477"/>
      <c r="W594" s="477"/>
      <c r="X594" s="477"/>
      <c r="Y594" s="477"/>
      <c r="Z594" s="477"/>
      <c r="AA594" s="477"/>
      <c r="AB594" s="477"/>
      <c r="AC594" s="480"/>
      <c r="AD594" s="477"/>
      <c r="AE594" s="477"/>
    </row>
    <row r="595" spans="1:31" s="506" customFormat="1" x14ac:dyDescent="0.25">
      <c r="A595" s="502"/>
      <c r="B595" s="477"/>
      <c r="C595" s="477"/>
      <c r="D595" s="477"/>
      <c r="E595" s="477"/>
      <c r="F595" s="478"/>
      <c r="G595" s="505"/>
      <c r="H595" s="505"/>
      <c r="I595" s="505"/>
      <c r="J595" s="479"/>
      <c r="K595" s="480"/>
      <c r="L595" s="481"/>
      <c r="M595" s="477"/>
      <c r="N595" s="477"/>
      <c r="O595" s="477"/>
      <c r="P595" s="505"/>
      <c r="Q595" s="505"/>
      <c r="R595" s="509"/>
      <c r="S595" s="477"/>
      <c r="T595" s="484"/>
      <c r="U595" s="484"/>
      <c r="V595" s="477"/>
      <c r="W595" s="477"/>
      <c r="X595" s="477"/>
      <c r="Y595" s="477"/>
      <c r="Z595" s="477"/>
      <c r="AA595" s="477"/>
      <c r="AB595" s="477"/>
      <c r="AC595" s="480"/>
      <c r="AD595" s="477"/>
      <c r="AE595" s="477"/>
    </row>
    <row r="596" spans="1:31" s="500" customFormat="1" x14ac:dyDescent="0.25">
      <c r="A596" s="476"/>
      <c r="B596" s="477"/>
      <c r="C596" s="477"/>
      <c r="D596" s="477"/>
      <c r="E596" s="477"/>
      <c r="F596" s="478"/>
      <c r="G596" s="477"/>
      <c r="H596" s="477"/>
      <c r="I596" s="477"/>
      <c r="J596" s="479"/>
      <c r="K596" s="480"/>
      <c r="L596" s="481"/>
      <c r="M596" s="477"/>
      <c r="N596" s="477"/>
      <c r="O596" s="477"/>
      <c r="P596" s="477"/>
      <c r="Q596" s="477"/>
      <c r="R596" s="509"/>
      <c r="S596" s="477"/>
      <c r="T596" s="484"/>
      <c r="U596" s="484"/>
      <c r="V596" s="477"/>
      <c r="W596" s="477"/>
      <c r="X596" s="477"/>
      <c r="Y596" s="477"/>
      <c r="Z596" s="477"/>
      <c r="AA596" s="477"/>
      <c r="AB596" s="477"/>
      <c r="AC596" s="477"/>
      <c r="AD596" s="477"/>
    </row>
    <row r="597" spans="1:31" s="506" customFormat="1" x14ac:dyDescent="0.25">
      <c r="A597" s="502"/>
      <c r="B597" s="477"/>
      <c r="C597" s="477"/>
      <c r="D597" s="477"/>
      <c r="E597" s="477"/>
      <c r="F597" s="478"/>
      <c r="G597" s="505"/>
      <c r="H597" s="505"/>
      <c r="I597" s="505"/>
      <c r="J597" s="479"/>
      <c r="K597" s="480"/>
      <c r="L597" s="481"/>
      <c r="M597" s="477"/>
      <c r="N597" s="477"/>
      <c r="O597" s="477"/>
      <c r="P597" s="505"/>
      <c r="Q597" s="505"/>
      <c r="R597" s="509"/>
      <c r="S597" s="477"/>
      <c r="T597" s="484"/>
      <c r="U597" s="484"/>
      <c r="V597" s="477"/>
      <c r="W597" s="477"/>
      <c r="X597" s="477"/>
      <c r="Y597" s="477"/>
      <c r="Z597" s="477"/>
      <c r="AA597" s="477"/>
      <c r="AB597" s="477"/>
      <c r="AC597" s="480"/>
      <c r="AD597" s="477"/>
      <c r="AE597" s="477"/>
    </row>
    <row r="598" spans="1:31" s="506" customFormat="1" x14ac:dyDescent="0.25">
      <c r="A598" s="476"/>
      <c r="B598" s="477"/>
      <c r="C598" s="477"/>
      <c r="D598" s="477"/>
      <c r="E598" s="477"/>
      <c r="F598" s="478"/>
      <c r="G598" s="505"/>
      <c r="H598" s="505"/>
      <c r="I598" s="505"/>
      <c r="J598" s="479"/>
      <c r="K598" s="480"/>
      <c r="L598" s="481"/>
      <c r="M598" s="477"/>
      <c r="N598" s="477"/>
      <c r="O598" s="477"/>
      <c r="P598" s="505"/>
      <c r="Q598" s="505"/>
      <c r="R598" s="509"/>
      <c r="S598" s="477"/>
      <c r="T598" s="484"/>
      <c r="U598" s="484"/>
      <c r="V598" s="477"/>
      <c r="W598" s="477"/>
      <c r="X598" s="477"/>
      <c r="Y598" s="477"/>
      <c r="Z598" s="477"/>
      <c r="AA598" s="477"/>
      <c r="AB598" s="477"/>
      <c r="AC598" s="480"/>
      <c r="AD598" s="477"/>
      <c r="AE598" s="477"/>
    </row>
    <row r="599" spans="1:31" s="500" customFormat="1" x14ac:dyDescent="0.25">
      <c r="A599" s="502"/>
      <c r="B599" s="477"/>
      <c r="C599" s="477"/>
      <c r="D599" s="477"/>
      <c r="E599" s="477"/>
      <c r="F599" s="478"/>
      <c r="G599" s="477"/>
      <c r="H599" s="477"/>
      <c r="I599" s="477"/>
      <c r="J599" s="479"/>
      <c r="K599" s="480"/>
      <c r="L599" s="481"/>
      <c r="M599" s="477"/>
      <c r="N599" s="477"/>
      <c r="O599" s="477"/>
      <c r="P599" s="477"/>
      <c r="Q599" s="477"/>
      <c r="R599" s="509"/>
      <c r="S599" s="477"/>
      <c r="T599" s="484"/>
      <c r="U599" s="484"/>
      <c r="V599" s="477"/>
      <c r="W599" s="477"/>
      <c r="X599" s="477"/>
      <c r="Y599" s="477"/>
      <c r="Z599" s="477"/>
      <c r="AA599" s="477"/>
      <c r="AB599" s="477"/>
      <c r="AC599" s="477"/>
      <c r="AD599" s="477"/>
    </row>
    <row r="600" spans="1:31" s="503" customFormat="1" x14ac:dyDescent="0.25">
      <c r="A600" s="476"/>
      <c r="B600" s="454"/>
      <c r="C600" s="454"/>
      <c r="D600" s="477"/>
      <c r="E600" s="477"/>
      <c r="F600" s="478"/>
      <c r="G600" s="477"/>
      <c r="H600" s="477"/>
      <c r="I600" s="477"/>
      <c r="J600" s="479"/>
      <c r="K600" s="480"/>
      <c r="L600" s="480"/>
      <c r="M600" s="477"/>
      <c r="N600" s="477"/>
      <c r="O600" s="477"/>
      <c r="P600" s="477"/>
      <c r="Q600" s="477"/>
      <c r="R600" s="509"/>
      <c r="S600" s="477"/>
      <c r="T600" s="484"/>
      <c r="U600" s="477"/>
      <c r="V600" s="454"/>
      <c r="W600" s="454"/>
      <c r="X600" s="454"/>
      <c r="Y600" s="454"/>
      <c r="Z600" s="454"/>
      <c r="AA600" s="454"/>
      <c r="AB600" s="454"/>
      <c r="AC600" s="454"/>
      <c r="AD600" s="454"/>
    </row>
    <row r="601" spans="1:31" s="500" customFormat="1" x14ac:dyDescent="0.25">
      <c r="A601" s="502"/>
      <c r="B601" s="477"/>
      <c r="C601" s="477"/>
      <c r="D601" s="477"/>
      <c r="E601" s="477"/>
      <c r="F601" s="478"/>
      <c r="G601" s="477"/>
      <c r="H601" s="477"/>
      <c r="I601" s="477"/>
      <c r="J601" s="479"/>
      <c r="K601" s="480"/>
      <c r="L601" s="481"/>
      <c r="M601" s="477"/>
      <c r="N601" s="477"/>
      <c r="O601" s="477"/>
      <c r="P601" s="477"/>
      <c r="Q601" s="477"/>
      <c r="R601" s="509"/>
      <c r="S601" s="477"/>
      <c r="T601" s="484"/>
      <c r="U601" s="484"/>
      <c r="V601" s="477"/>
      <c r="W601" s="477"/>
      <c r="X601" s="477"/>
      <c r="Y601" s="477"/>
      <c r="Z601" s="477"/>
      <c r="AA601" s="477"/>
      <c r="AB601" s="477"/>
      <c r="AC601" s="477"/>
      <c r="AD601" s="477"/>
    </row>
    <row r="602" spans="1:31" s="503" customFormat="1" x14ac:dyDescent="0.25">
      <c r="A602" s="476"/>
      <c r="B602" s="454"/>
      <c r="C602" s="454"/>
      <c r="D602" s="477"/>
      <c r="E602" s="477"/>
      <c r="F602" s="478"/>
      <c r="G602" s="477"/>
      <c r="H602" s="477"/>
      <c r="I602" s="477"/>
      <c r="J602" s="479"/>
      <c r="K602" s="480"/>
      <c r="L602" s="480"/>
      <c r="M602" s="477"/>
      <c r="N602" s="477"/>
      <c r="O602" s="477"/>
      <c r="P602" s="477"/>
      <c r="Q602" s="477"/>
      <c r="R602" s="509"/>
      <c r="S602" s="477"/>
      <c r="T602" s="484"/>
      <c r="U602" s="477"/>
      <c r="V602" s="454"/>
      <c r="W602" s="454"/>
      <c r="X602" s="454"/>
      <c r="Y602" s="454"/>
      <c r="Z602" s="454"/>
      <c r="AA602" s="454"/>
      <c r="AB602" s="454"/>
      <c r="AC602" s="454"/>
      <c r="AD602" s="454"/>
    </row>
    <row r="603" spans="1:31" s="500" customFormat="1" x14ac:dyDescent="0.25">
      <c r="A603" s="502"/>
      <c r="B603" s="477"/>
      <c r="C603" s="477"/>
      <c r="D603" s="477"/>
      <c r="E603" s="477"/>
      <c r="F603" s="478"/>
      <c r="G603" s="477"/>
      <c r="H603" s="477"/>
      <c r="I603" s="477"/>
      <c r="J603" s="479"/>
      <c r="K603" s="480"/>
      <c r="L603" s="481"/>
      <c r="M603" s="477"/>
      <c r="N603" s="477"/>
      <c r="O603" s="477"/>
      <c r="P603" s="477"/>
      <c r="Q603" s="477"/>
      <c r="R603" s="509"/>
      <c r="S603" s="477"/>
      <c r="T603" s="484"/>
      <c r="U603" s="484"/>
      <c r="V603" s="477"/>
      <c r="W603" s="477"/>
      <c r="X603" s="477"/>
      <c r="Y603" s="477"/>
      <c r="Z603" s="477"/>
      <c r="AA603" s="477"/>
      <c r="AB603" s="477"/>
      <c r="AC603" s="477"/>
      <c r="AD603" s="477"/>
    </row>
    <row r="604" spans="1:31" s="506" customFormat="1" x14ac:dyDescent="0.25">
      <c r="A604" s="476"/>
      <c r="B604" s="477"/>
      <c r="C604" s="477"/>
      <c r="D604" s="477"/>
      <c r="E604" s="477"/>
      <c r="F604" s="478"/>
      <c r="G604" s="477"/>
      <c r="H604" s="477"/>
      <c r="I604" s="477"/>
      <c r="J604" s="479"/>
      <c r="K604" s="480"/>
      <c r="L604" s="480"/>
      <c r="M604" s="477"/>
      <c r="N604" s="477"/>
      <c r="O604" s="477"/>
      <c r="P604" s="477"/>
      <c r="Q604" s="477"/>
      <c r="R604" s="509"/>
      <c r="S604" s="477"/>
      <c r="T604" s="484"/>
      <c r="U604" s="484"/>
      <c r="V604" s="477"/>
      <c r="W604" s="477"/>
      <c r="X604" s="477"/>
      <c r="Y604" s="477"/>
      <c r="Z604" s="477"/>
      <c r="AA604" s="477"/>
      <c r="AB604" s="477"/>
      <c r="AC604" s="477"/>
      <c r="AD604" s="477"/>
    </row>
    <row r="605" spans="1:31" s="506" customFormat="1" x14ac:dyDescent="0.25">
      <c r="A605" s="502"/>
      <c r="B605" s="477"/>
      <c r="C605" s="477"/>
      <c r="D605" s="477"/>
      <c r="E605" s="477"/>
      <c r="F605" s="478"/>
      <c r="G605" s="505"/>
      <c r="H605" s="505"/>
      <c r="I605" s="505"/>
      <c r="J605" s="479"/>
      <c r="K605" s="480"/>
      <c r="L605" s="481"/>
      <c r="M605" s="477"/>
      <c r="N605" s="477"/>
      <c r="O605" s="477"/>
      <c r="P605" s="505"/>
      <c r="Q605" s="505"/>
      <c r="R605" s="509"/>
      <c r="S605" s="477"/>
      <c r="T605" s="484"/>
      <c r="U605" s="484"/>
      <c r="V605" s="477"/>
      <c r="W605" s="477"/>
      <c r="X605" s="477"/>
      <c r="Y605" s="477"/>
      <c r="Z605" s="477"/>
      <c r="AA605" s="477"/>
      <c r="AB605" s="477"/>
      <c r="AC605" s="480"/>
      <c r="AD605" s="477"/>
      <c r="AE605" s="477"/>
    </row>
    <row r="606" spans="1:31" s="503" customFormat="1" x14ac:dyDescent="0.25">
      <c r="A606" s="476"/>
      <c r="B606" s="454"/>
      <c r="C606" s="454"/>
      <c r="D606" s="477"/>
      <c r="E606" s="477"/>
      <c r="F606" s="478"/>
      <c r="G606" s="477"/>
      <c r="H606" s="477"/>
      <c r="I606" s="477"/>
      <c r="J606" s="479"/>
      <c r="K606" s="480"/>
      <c r="L606" s="480"/>
      <c r="M606" s="477"/>
      <c r="N606" s="477"/>
      <c r="O606" s="477"/>
      <c r="P606" s="477"/>
      <c r="Q606" s="477"/>
      <c r="R606" s="509"/>
      <c r="S606" s="477"/>
      <c r="T606" s="484"/>
      <c r="U606" s="477"/>
      <c r="V606" s="454"/>
      <c r="W606" s="454"/>
      <c r="X606" s="454"/>
      <c r="Y606" s="454"/>
      <c r="Z606" s="454"/>
      <c r="AA606" s="454"/>
      <c r="AB606" s="454"/>
      <c r="AC606" s="454"/>
      <c r="AD606" s="454"/>
    </row>
    <row r="607" spans="1:31" s="500" customFormat="1" x14ac:dyDescent="0.25">
      <c r="A607" s="502"/>
      <c r="B607" s="477"/>
      <c r="C607" s="477"/>
      <c r="D607" s="477"/>
      <c r="E607" s="477"/>
      <c r="F607" s="478"/>
      <c r="G607" s="477"/>
      <c r="H607" s="477"/>
      <c r="I607" s="477"/>
      <c r="J607" s="479"/>
      <c r="K607" s="480"/>
      <c r="L607" s="481"/>
      <c r="M607" s="477"/>
      <c r="N607" s="477"/>
      <c r="O607" s="477"/>
      <c r="P607" s="477"/>
      <c r="Q607" s="477"/>
      <c r="R607" s="509"/>
      <c r="S607" s="477"/>
      <c r="T607" s="484"/>
      <c r="U607" s="484"/>
      <c r="V607" s="477"/>
      <c r="W607" s="477"/>
      <c r="X607" s="477"/>
      <c r="Y607" s="477"/>
      <c r="Z607" s="477"/>
      <c r="AA607" s="477"/>
      <c r="AB607" s="477"/>
      <c r="AC607" s="477"/>
      <c r="AD607" s="477"/>
    </row>
    <row r="608" spans="1:31" s="506" customFormat="1" x14ac:dyDescent="0.25">
      <c r="A608" s="476"/>
      <c r="B608" s="477"/>
      <c r="C608" s="477"/>
      <c r="D608" s="477"/>
      <c r="E608" s="477"/>
      <c r="F608" s="478"/>
      <c r="G608" s="477"/>
      <c r="H608" s="477"/>
      <c r="I608" s="477"/>
      <c r="J608" s="479"/>
      <c r="K608" s="480"/>
      <c r="L608" s="480"/>
      <c r="M608" s="477"/>
      <c r="N608" s="477"/>
      <c r="O608" s="477"/>
      <c r="P608" s="477"/>
      <c r="Q608" s="477"/>
      <c r="R608" s="509"/>
      <c r="S608" s="477"/>
      <c r="T608" s="484"/>
      <c r="U608" s="484"/>
      <c r="V608" s="477"/>
      <c r="W608" s="477"/>
      <c r="X608" s="477"/>
      <c r="Y608" s="477"/>
      <c r="Z608" s="477"/>
      <c r="AA608" s="477"/>
      <c r="AB608" s="477"/>
      <c r="AC608" s="477"/>
      <c r="AD608" s="477"/>
    </row>
    <row r="609" spans="1:31" s="506" customFormat="1" x14ac:dyDescent="0.25">
      <c r="A609" s="502"/>
      <c r="B609" s="477"/>
      <c r="C609" s="477"/>
      <c r="D609" s="477"/>
      <c r="E609" s="477"/>
      <c r="F609" s="478"/>
      <c r="G609" s="505"/>
      <c r="H609" s="505"/>
      <c r="I609" s="505"/>
      <c r="J609" s="479"/>
      <c r="K609" s="480"/>
      <c r="L609" s="481"/>
      <c r="M609" s="477"/>
      <c r="N609" s="477"/>
      <c r="O609" s="477"/>
      <c r="P609" s="505"/>
      <c r="Q609" s="505"/>
      <c r="R609" s="509"/>
      <c r="S609" s="477"/>
      <c r="T609" s="484"/>
      <c r="U609" s="484"/>
      <c r="V609" s="477"/>
      <c r="W609" s="477"/>
      <c r="X609" s="477"/>
      <c r="Y609" s="477"/>
      <c r="Z609" s="477"/>
      <c r="AA609" s="477"/>
      <c r="AB609" s="477"/>
      <c r="AC609" s="480"/>
      <c r="AD609" s="477"/>
      <c r="AE609" s="477"/>
    </row>
    <row r="610" spans="1:31" s="506" customFormat="1" x14ac:dyDescent="0.25">
      <c r="A610" s="476"/>
      <c r="B610" s="477"/>
      <c r="C610" s="477"/>
      <c r="D610" s="477"/>
      <c r="E610" s="477"/>
      <c r="F610" s="478"/>
      <c r="G610" s="505"/>
      <c r="H610" s="505"/>
      <c r="I610" s="505"/>
      <c r="J610" s="479"/>
      <c r="K610" s="480"/>
      <c r="L610" s="481"/>
      <c r="M610" s="477"/>
      <c r="N610" s="477"/>
      <c r="O610" s="477"/>
      <c r="P610" s="505"/>
      <c r="Q610" s="505"/>
      <c r="R610" s="509"/>
      <c r="S610" s="477"/>
      <c r="T610" s="484"/>
      <c r="U610" s="484"/>
      <c r="V610" s="477"/>
      <c r="W610" s="477"/>
      <c r="X610" s="477"/>
      <c r="Y610" s="477"/>
      <c r="Z610" s="477"/>
      <c r="AA610" s="477"/>
      <c r="AB610" s="477"/>
      <c r="AC610" s="480"/>
      <c r="AD610" s="477"/>
      <c r="AE610" s="477"/>
    </row>
    <row r="611" spans="1:31" s="506" customFormat="1" x14ac:dyDescent="0.25">
      <c r="A611" s="502"/>
      <c r="B611" s="477"/>
      <c r="C611" s="477"/>
      <c r="D611" s="477"/>
      <c r="E611" s="477"/>
      <c r="F611" s="478"/>
      <c r="G611" s="505"/>
      <c r="H611" s="505"/>
      <c r="I611" s="505"/>
      <c r="J611" s="479"/>
      <c r="K611" s="480"/>
      <c r="L611" s="481"/>
      <c r="M611" s="477"/>
      <c r="N611" s="477"/>
      <c r="O611" s="477"/>
      <c r="P611" s="505"/>
      <c r="Q611" s="505"/>
      <c r="R611" s="509"/>
      <c r="S611" s="477"/>
      <c r="T611" s="484"/>
      <c r="U611" s="484"/>
      <c r="V611" s="477"/>
      <c r="W611" s="477"/>
      <c r="X611" s="477"/>
      <c r="Y611" s="477"/>
      <c r="Z611" s="477"/>
      <c r="AA611" s="477"/>
      <c r="AB611" s="477"/>
      <c r="AC611" s="480"/>
      <c r="AD611" s="477"/>
      <c r="AE611" s="477"/>
    </row>
    <row r="612" spans="1:31" s="500" customFormat="1" x14ac:dyDescent="0.25">
      <c r="A612" s="476"/>
      <c r="B612" s="477"/>
      <c r="C612" s="477"/>
      <c r="D612" s="477"/>
      <c r="E612" s="477"/>
      <c r="F612" s="478"/>
      <c r="G612" s="477"/>
      <c r="H612" s="477"/>
      <c r="I612" s="477"/>
      <c r="J612" s="479"/>
      <c r="K612" s="480"/>
      <c r="L612" s="481"/>
      <c r="M612" s="477"/>
      <c r="N612" s="477"/>
      <c r="O612" s="477"/>
      <c r="P612" s="477"/>
      <c r="Q612" s="477"/>
      <c r="R612" s="509"/>
      <c r="S612" s="477"/>
      <c r="T612" s="484"/>
      <c r="U612" s="484"/>
      <c r="V612" s="477"/>
      <c r="W612" s="477"/>
      <c r="X612" s="477"/>
      <c r="Y612" s="477"/>
      <c r="Z612" s="477"/>
      <c r="AA612" s="477"/>
      <c r="AB612" s="477"/>
      <c r="AC612" s="477"/>
      <c r="AD612" s="477"/>
    </row>
    <row r="613" spans="1:31" s="506" customFormat="1" x14ac:dyDescent="0.25">
      <c r="A613" s="502"/>
      <c r="B613" s="477"/>
      <c r="C613" s="477"/>
      <c r="D613" s="477"/>
      <c r="E613" s="477"/>
      <c r="F613" s="478"/>
      <c r="G613" s="505"/>
      <c r="H613" s="505"/>
      <c r="I613" s="505"/>
      <c r="J613" s="479"/>
      <c r="K613" s="480"/>
      <c r="L613" s="481"/>
      <c r="M613" s="477"/>
      <c r="N613" s="477"/>
      <c r="O613" s="477"/>
      <c r="P613" s="505"/>
      <c r="Q613" s="505"/>
      <c r="R613" s="509"/>
      <c r="S613" s="477"/>
      <c r="T613" s="484"/>
      <c r="U613" s="484"/>
      <c r="V613" s="477"/>
      <c r="W613" s="477"/>
      <c r="X613" s="477"/>
      <c r="Y613" s="477"/>
      <c r="Z613" s="477"/>
      <c r="AA613" s="477"/>
      <c r="AB613" s="477"/>
      <c r="AC613" s="480"/>
      <c r="AD613" s="477"/>
      <c r="AE613" s="477"/>
    </row>
    <row r="614" spans="1:31" s="506" customFormat="1" x14ac:dyDescent="0.25">
      <c r="A614" s="476"/>
      <c r="B614" s="477"/>
      <c r="C614" s="477"/>
      <c r="D614" s="477"/>
      <c r="E614" s="477"/>
      <c r="F614" s="478"/>
      <c r="G614" s="505"/>
      <c r="H614" s="505"/>
      <c r="I614" s="505"/>
      <c r="J614" s="479"/>
      <c r="K614" s="480"/>
      <c r="L614" s="481"/>
      <c r="M614" s="477"/>
      <c r="N614" s="477"/>
      <c r="O614" s="477"/>
      <c r="P614" s="505"/>
      <c r="Q614" s="505"/>
      <c r="R614" s="509"/>
      <c r="S614" s="477"/>
      <c r="T614" s="484"/>
      <c r="U614" s="484"/>
      <c r="V614" s="477"/>
      <c r="W614" s="477"/>
      <c r="X614" s="477"/>
      <c r="Y614" s="477"/>
      <c r="Z614" s="477"/>
      <c r="AA614" s="477"/>
      <c r="AB614" s="477"/>
      <c r="AC614" s="480"/>
      <c r="AD614" s="477"/>
      <c r="AE614" s="477"/>
    </row>
    <row r="615" spans="1:31" s="500" customFormat="1" x14ac:dyDescent="0.25">
      <c r="A615" s="502"/>
      <c r="B615" s="477"/>
      <c r="C615" s="477"/>
      <c r="D615" s="477"/>
      <c r="E615" s="477"/>
      <c r="F615" s="478"/>
      <c r="G615" s="477"/>
      <c r="H615" s="477"/>
      <c r="I615" s="477"/>
      <c r="J615" s="479"/>
      <c r="K615" s="480"/>
      <c r="L615" s="481"/>
      <c r="M615" s="477"/>
      <c r="N615" s="477"/>
      <c r="O615" s="477"/>
      <c r="P615" s="477"/>
      <c r="Q615" s="477"/>
      <c r="R615" s="509"/>
      <c r="S615" s="477"/>
      <c r="T615" s="484"/>
      <c r="U615" s="484"/>
      <c r="V615" s="477"/>
      <c r="W615" s="477"/>
      <c r="X615" s="477"/>
      <c r="Y615" s="477"/>
      <c r="Z615" s="477"/>
      <c r="AA615" s="477"/>
      <c r="AB615" s="477"/>
      <c r="AC615" s="477"/>
      <c r="AD615" s="477"/>
    </row>
    <row r="616" spans="1:31" s="503" customFormat="1" x14ac:dyDescent="0.25">
      <c r="A616" s="476"/>
      <c r="B616" s="454"/>
      <c r="C616" s="454"/>
      <c r="D616" s="477"/>
      <c r="E616" s="477"/>
      <c r="F616" s="478"/>
      <c r="G616" s="477"/>
      <c r="H616" s="477"/>
      <c r="I616" s="477"/>
      <c r="J616" s="479"/>
      <c r="K616" s="480"/>
      <c r="L616" s="480"/>
      <c r="M616" s="477"/>
      <c r="N616" s="477"/>
      <c r="O616" s="477"/>
      <c r="P616" s="477"/>
      <c r="Q616" s="477"/>
      <c r="R616" s="509"/>
      <c r="S616" s="477"/>
      <c r="T616" s="484"/>
      <c r="U616" s="477"/>
      <c r="V616" s="454"/>
      <c r="W616" s="454"/>
      <c r="X616" s="454"/>
      <c r="Y616" s="454"/>
      <c r="Z616" s="454"/>
      <c r="AA616" s="454"/>
      <c r="AB616" s="454"/>
      <c r="AC616" s="454"/>
      <c r="AD616" s="454"/>
    </row>
    <row r="617" spans="1:31" s="500" customFormat="1" x14ac:dyDescent="0.25">
      <c r="A617" s="502"/>
      <c r="B617" s="477"/>
      <c r="C617" s="477"/>
      <c r="D617" s="477"/>
      <c r="E617" s="477"/>
      <c r="F617" s="478"/>
      <c r="G617" s="477"/>
      <c r="H617" s="477"/>
      <c r="I617" s="477"/>
      <c r="J617" s="479"/>
      <c r="K617" s="480"/>
      <c r="L617" s="481"/>
      <c r="M617" s="477"/>
      <c r="N617" s="477"/>
      <c r="O617" s="477"/>
      <c r="P617" s="477"/>
      <c r="Q617" s="477"/>
      <c r="R617" s="509"/>
      <c r="S617" s="477"/>
      <c r="T617" s="484"/>
      <c r="U617" s="484"/>
      <c r="V617" s="477"/>
      <c r="W617" s="477"/>
      <c r="X617" s="477"/>
      <c r="Y617" s="477"/>
      <c r="Z617" s="477"/>
      <c r="AA617" s="477"/>
      <c r="AB617" s="477"/>
      <c r="AC617" s="477"/>
      <c r="AD617" s="477"/>
    </row>
    <row r="618" spans="1:31" s="500" customFormat="1" x14ac:dyDescent="0.25">
      <c r="A618" s="476"/>
      <c r="B618" s="477"/>
      <c r="C618" s="477"/>
      <c r="D618" s="477"/>
      <c r="E618" s="477"/>
      <c r="F618" s="478"/>
      <c r="G618" s="477"/>
      <c r="H618" s="477"/>
      <c r="I618" s="477"/>
      <c r="J618" s="479"/>
      <c r="K618" s="480"/>
      <c r="L618" s="481"/>
      <c r="M618" s="477"/>
      <c r="N618" s="477"/>
      <c r="O618" s="477"/>
      <c r="P618" s="477"/>
      <c r="Q618" s="477"/>
      <c r="R618" s="509"/>
      <c r="S618" s="477"/>
      <c r="T618" s="484"/>
      <c r="U618" s="484"/>
      <c r="V618" s="477"/>
      <c r="W618" s="477"/>
      <c r="X618" s="477"/>
      <c r="Y618" s="477"/>
      <c r="Z618" s="477"/>
      <c r="AA618" s="477"/>
      <c r="AB618" s="477"/>
      <c r="AC618" s="477"/>
      <c r="AD618" s="477"/>
    </row>
    <row r="619" spans="1:31" s="506" customFormat="1" x14ac:dyDescent="0.25">
      <c r="A619" s="502"/>
      <c r="B619" s="477"/>
      <c r="C619" s="477"/>
      <c r="D619" s="477"/>
      <c r="E619" s="477"/>
      <c r="F619" s="478"/>
      <c r="G619" s="477"/>
      <c r="H619" s="477"/>
      <c r="I619" s="477"/>
      <c r="J619" s="479"/>
      <c r="K619" s="480"/>
      <c r="L619" s="480"/>
      <c r="M619" s="477"/>
      <c r="N619" s="477"/>
      <c r="O619" s="477"/>
      <c r="P619" s="477"/>
      <c r="Q619" s="477"/>
      <c r="R619" s="509"/>
      <c r="S619" s="477"/>
      <c r="T619" s="484"/>
      <c r="U619" s="484"/>
      <c r="V619" s="477"/>
      <c r="W619" s="477"/>
      <c r="X619" s="477"/>
      <c r="Y619" s="477"/>
      <c r="Z619" s="477"/>
      <c r="AA619" s="477"/>
      <c r="AB619" s="477"/>
      <c r="AC619" s="477"/>
      <c r="AD619" s="477"/>
    </row>
    <row r="620" spans="1:31" s="503" customFormat="1" x14ac:dyDescent="0.25">
      <c r="A620" s="476"/>
      <c r="B620" s="454"/>
      <c r="C620" s="454"/>
      <c r="D620" s="477"/>
      <c r="E620" s="477"/>
      <c r="F620" s="478"/>
      <c r="G620" s="477"/>
      <c r="H620" s="477"/>
      <c r="I620" s="477"/>
      <c r="J620" s="479"/>
      <c r="K620" s="480"/>
      <c r="L620" s="480"/>
      <c r="M620" s="477"/>
      <c r="N620" s="477"/>
      <c r="O620" s="477"/>
      <c r="P620" s="477"/>
      <c r="Q620" s="477"/>
      <c r="R620" s="509"/>
      <c r="S620" s="477"/>
      <c r="T620" s="484"/>
      <c r="U620" s="477"/>
      <c r="V620" s="454"/>
      <c r="W620" s="454"/>
      <c r="X620" s="454"/>
      <c r="Y620" s="454"/>
      <c r="Z620" s="454"/>
      <c r="AA620" s="454"/>
      <c r="AB620" s="454"/>
      <c r="AC620" s="454"/>
      <c r="AD620" s="454"/>
    </row>
    <row r="621" spans="1:31" s="500" customFormat="1" x14ac:dyDescent="0.25">
      <c r="A621" s="502"/>
      <c r="B621" s="477"/>
      <c r="C621" s="477"/>
      <c r="D621" s="477"/>
      <c r="E621" s="477"/>
      <c r="F621" s="478"/>
      <c r="G621" s="477"/>
      <c r="H621" s="477"/>
      <c r="I621" s="477"/>
      <c r="J621" s="479"/>
      <c r="K621" s="480"/>
      <c r="L621" s="481"/>
      <c r="M621" s="477"/>
      <c r="N621" s="477"/>
      <c r="O621" s="477"/>
      <c r="P621" s="477"/>
      <c r="Q621" s="477"/>
      <c r="R621" s="509"/>
      <c r="S621" s="477"/>
      <c r="T621" s="484"/>
      <c r="U621" s="484"/>
      <c r="V621" s="477"/>
      <c r="W621" s="477"/>
      <c r="X621" s="477"/>
      <c r="Y621" s="477"/>
      <c r="Z621" s="477"/>
      <c r="AA621" s="477"/>
      <c r="AB621" s="477"/>
      <c r="AC621" s="477"/>
      <c r="AD621" s="477"/>
    </row>
    <row r="622" spans="1:31" s="506" customFormat="1" x14ac:dyDescent="0.25">
      <c r="A622" s="476"/>
      <c r="B622" s="477"/>
      <c r="C622" s="477"/>
      <c r="D622" s="477"/>
      <c r="E622" s="477"/>
      <c r="F622" s="478"/>
      <c r="G622" s="477"/>
      <c r="H622" s="477"/>
      <c r="I622" s="477"/>
      <c r="J622" s="479"/>
      <c r="K622" s="480"/>
      <c r="L622" s="480"/>
      <c r="M622" s="477"/>
      <c r="N622" s="477"/>
      <c r="O622" s="477"/>
      <c r="P622" s="477"/>
      <c r="Q622" s="477"/>
      <c r="R622" s="509"/>
      <c r="S622" s="477"/>
      <c r="T622" s="484"/>
      <c r="U622" s="484"/>
      <c r="V622" s="477"/>
      <c r="W622" s="477"/>
      <c r="X622" s="477"/>
      <c r="Y622" s="477"/>
      <c r="Z622" s="477"/>
      <c r="AA622" s="477"/>
      <c r="AB622" s="477"/>
      <c r="AC622" s="477"/>
      <c r="AD622" s="477"/>
    </row>
    <row r="623" spans="1:31" s="506" customFormat="1" x14ac:dyDescent="0.25">
      <c r="A623" s="502"/>
      <c r="B623" s="477"/>
      <c r="C623" s="477"/>
      <c r="D623" s="477"/>
      <c r="E623" s="477"/>
      <c r="F623" s="478"/>
      <c r="G623" s="505"/>
      <c r="H623" s="505"/>
      <c r="I623" s="505"/>
      <c r="J623" s="479"/>
      <c r="K623" s="480"/>
      <c r="L623" s="481"/>
      <c r="M623" s="477"/>
      <c r="N623" s="477"/>
      <c r="O623" s="477"/>
      <c r="P623" s="505"/>
      <c r="Q623" s="505"/>
      <c r="R623" s="509"/>
      <c r="S623" s="477"/>
      <c r="T623" s="484"/>
      <c r="U623" s="484"/>
      <c r="V623" s="477"/>
      <c r="W623" s="477"/>
      <c r="X623" s="477"/>
      <c r="Y623" s="477"/>
      <c r="Z623" s="477"/>
      <c r="AA623" s="477"/>
      <c r="AB623" s="477"/>
      <c r="AC623" s="480"/>
      <c r="AD623" s="477"/>
      <c r="AE623" s="477"/>
    </row>
    <row r="624" spans="1:31" s="503" customFormat="1" x14ac:dyDescent="0.25">
      <c r="A624" s="476"/>
      <c r="B624" s="454"/>
      <c r="C624" s="454"/>
      <c r="D624" s="477"/>
      <c r="E624" s="477"/>
      <c r="F624" s="478"/>
      <c r="G624" s="477"/>
      <c r="H624" s="477"/>
      <c r="I624" s="477"/>
      <c r="J624" s="479"/>
      <c r="K624" s="480"/>
      <c r="L624" s="480"/>
      <c r="M624" s="477"/>
      <c r="N624" s="477"/>
      <c r="O624" s="477"/>
      <c r="P624" s="477"/>
      <c r="Q624" s="477"/>
      <c r="R624" s="509"/>
      <c r="S624" s="477"/>
      <c r="T624" s="484"/>
      <c r="U624" s="477"/>
      <c r="V624" s="454"/>
      <c r="W624" s="454"/>
      <c r="X624" s="454"/>
      <c r="Y624" s="454"/>
      <c r="Z624" s="454"/>
      <c r="AA624" s="454"/>
      <c r="AB624" s="454"/>
      <c r="AC624" s="454"/>
      <c r="AD624" s="454"/>
    </row>
    <row r="625" spans="1:31" s="500" customFormat="1" x14ac:dyDescent="0.25">
      <c r="A625" s="502"/>
      <c r="B625" s="477"/>
      <c r="C625" s="477"/>
      <c r="D625" s="477"/>
      <c r="E625" s="477"/>
      <c r="F625" s="478"/>
      <c r="G625" s="477"/>
      <c r="H625" s="477"/>
      <c r="I625" s="477"/>
      <c r="J625" s="479"/>
      <c r="K625" s="480"/>
      <c r="L625" s="481"/>
      <c r="M625" s="477"/>
      <c r="N625" s="477"/>
      <c r="O625" s="477"/>
      <c r="P625" s="477"/>
      <c r="Q625" s="477"/>
      <c r="R625" s="509"/>
      <c r="S625" s="477"/>
      <c r="T625" s="484"/>
      <c r="U625" s="484"/>
      <c r="V625" s="477"/>
      <c r="W625" s="477"/>
      <c r="X625" s="477"/>
      <c r="Y625" s="477"/>
      <c r="Z625" s="477"/>
      <c r="AA625" s="477"/>
      <c r="AB625" s="477"/>
      <c r="AC625" s="477"/>
      <c r="AD625" s="477"/>
    </row>
    <row r="626" spans="1:31" s="506" customFormat="1" x14ac:dyDescent="0.25">
      <c r="A626" s="476"/>
      <c r="B626" s="477"/>
      <c r="C626" s="477"/>
      <c r="D626" s="477"/>
      <c r="E626" s="477"/>
      <c r="F626" s="478"/>
      <c r="G626" s="477"/>
      <c r="H626" s="477"/>
      <c r="I626" s="477"/>
      <c r="J626" s="479"/>
      <c r="K626" s="480"/>
      <c r="L626" s="480"/>
      <c r="M626" s="477"/>
      <c r="N626" s="477"/>
      <c r="O626" s="477"/>
      <c r="P626" s="477"/>
      <c r="Q626" s="477"/>
      <c r="R626" s="509"/>
      <c r="S626" s="477"/>
      <c r="T626" s="484"/>
      <c r="U626" s="484"/>
      <c r="V626" s="477"/>
      <c r="W626" s="477"/>
      <c r="X626" s="477"/>
      <c r="Y626" s="477"/>
      <c r="Z626" s="477"/>
      <c r="AA626" s="477"/>
      <c r="AB626" s="477"/>
      <c r="AC626" s="477"/>
      <c r="AD626" s="477"/>
    </row>
    <row r="627" spans="1:31" s="506" customFormat="1" x14ac:dyDescent="0.25">
      <c r="A627" s="502"/>
      <c r="B627" s="477"/>
      <c r="C627" s="477"/>
      <c r="D627" s="477"/>
      <c r="E627" s="477"/>
      <c r="F627" s="478"/>
      <c r="G627" s="505"/>
      <c r="H627" s="505"/>
      <c r="I627" s="505"/>
      <c r="J627" s="479"/>
      <c r="K627" s="480"/>
      <c r="L627" s="481"/>
      <c r="M627" s="477"/>
      <c r="N627" s="477"/>
      <c r="O627" s="477"/>
      <c r="P627" s="505"/>
      <c r="Q627" s="505"/>
      <c r="R627" s="509"/>
      <c r="S627" s="477"/>
      <c r="T627" s="484"/>
      <c r="U627" s="484"/>
      <c r="V627" s="477"/>
      <c r="W627" s="477"/>
      <c r="X627" s="477"/>
      <c r="Y627" s="477"/>
      <c r="Z627" s="477"/>
      <c r="AA627" s="477"/>
      <c r="AB627" s="477"/>
      <c r="AC627" s="480"/>
      <c r="AD627" s="477"/>
      <c r="AE627" s="477"/>
    </row>
    <row r="628" spans="1:31" s="506" customFormat="1" x14ac:dyDescent="0.25">
      <c r="A628" s="476"/>
      <c r="B628" s="477"/>
      <c r="C628" s="477"/>
      <c r="D628" s="477"/>
      <c r="E628" s="477"/>
      <c r="F628" s="478"/>
      <c r="G628" s="505"/>
      <c r="H628" s="505"/>
      <c r="I628" s="505"/>
      <c r="J628" s="479"/>
      <c r="K628" s="480"/>
      <c r="L628" s="481"/>
      <c r="M628" s="477"/>
      <c r="N628" s="477"/>
      <c r="O628" s="477"/>
      <c r="P628" s="505"/>
      <c r="Q628" s="505"/>
      <c r="R628" s="509"/>
      <c r="S628" s="477"/>
      <c r="T628" s="484"/>
      <c r="U628" s="484"/>
      <c r="V628" s="477"/>
      <c r="W628" s="477"/>
      <c r="X628" s="477"/>
      <c r="Y628" s="477"/>
      <c r="Z628" s="477"/>
      <c r="AA628" s="477"/>
      <c r="AB628" s="477"/>
      <c r="AC628" s="480"/>
      <c r="AD628" s="477"/>
      <c r="AE628" s="477"/>
    </row>
    <row r="629" spans="1:31" s="506" customFormat="1" x14ac:dyDescent="0.25">
      <c r="A629" s="502"/>
      <c r="B629" s="477"/>
      <c r="C629" s="477"/>
      <c r="D629" s="477"/>
      <c r="E629" s="477"/>
      <c r="F629" s="478"/>
      <c r="G629" s="505"/>
      <c r="H629" s="505"/>
      <c r="I629" s="505"/>
      <c r="J629" s="479"/>
      <c r="K629" s="480"/>
      <c r="L629" s="481"/>
      <c r="M629" s="477"/>
      <c r="N629" s="477"/>
      <c r="O629" s="477"/>
      <c r="P629" s="505"/>
      <c r="Q629" s="505"/>
      <c r="R629" s="509"/>
      <c r="S629" s="477"/>
      <c r="T629" s="484"/>
      <c r="U629" s="484"/>
      <c r="V629" s="477"/>
      <c r="W629" s="477"/>
      <c r="X629" s="477"/>
      <c r="Y629" s="477"/>
      <c r="Z629" s="477"/>
      <c r="AA629" s="477"/>
      <c r="AB629" s="477"/>
      <c r="AC629" s="480"/>
      <c r="AD629" s="477"/>
      <c r="AE629" s="477"/>
    </row>
    <row r="630" spans="1:31" s="500" customFormat="1" x14ac:dyDescent="0.25">
      <c r="A630" s="476"/>
      <c r="B630" s="477"/>
      <c r="C630" s="477"/>
      <c r="D630" s="477"/>
      <c r="E630" s="477"/>
      <c r="F630" s="478"/>
      <c r="G630" s="477"/>
      <c r="H630" s="477"/>
      <c r="I630" s="477"/>
      <c r="J630" s="479"/>
      <c r="K630" s="480"/>
      <c r="L630" s="481"/>
      <c r="M630" s="477"/>
      <c r="N630" s="477"/>
      <c r="O630" s="477"/>
      <c r="P630" s="477"/>
      <c r="Q630" s="477"/>
      <c r="R630" s="509"/>
      <c r="S630" s="477"/>
      <c r="T630" s="484"/>
      <c r="U630" s="484"/>
      <c r="V630" s="477"/>
      <c r="W630" s="477"/>
      <c r="X630" s="477"/>
      <c r="Y630" s="477"/>
      <c r="Z630" s="477"/>
      <c r="AA630" s="477"/>
      <c r="AB630" s="477"/>
      <c r="AC630" s="477"/>
      <c r="AD630" s="477"/>
    </row>
    <row r="631" spans="1:31" s="506" customFormat="1" x14ac:dyDescent="0.25">
      <c r="A631" s="502"/>
      <c r="B631" s="477"/>
      <c r="C631" s="477"/>
      <c r="D631" s="477"/>
      <c r="E631" s="477"/>
      <c r="F631" s="478"/>
      <c r="G631" s="505"/>
      <c r="H631" s="505"/>
      <c r="I631" s="505"/>
      <c r="J631" s="479"/>
      <c r="K631" s="480"/>
      <c r="L631" s="481"/>
      <c r="M631" s="477"/>
      <c r="N631" s="477"/>
      <c r="O631" s="477"/>
      <c r="P631" s="505"/>
      <c r="Q631" s="505"/>
      <c r="R631" s="509"/>
      <c r="S631" s="477"/>
      <c r="T631" s="484"/>
      <c r="U631" s="484"/>
      <c r="V631" s="477"/>
      <c r="W631" s="477"/>
      <c r="X631" s="477"/>
      <c r="Y631" s="477"/>
      <c r="Z631" s="477"/>
      <c r="AA631" s="477"/>
      <c r="AB631" s="477"/>
      <c r="AC631" s="480"/>
      <c r="AD631" s="477"/>
      <c r="AE631" s="477"/>
    </row>
    <row r="632" spans="1:31" s="506" customFormat="1" x14ac:dyDescent="0.25">
      <c r="A632" s="476"/>
      <c r="B632" s="477"/>
      <c r="C632" s="477"/>
      <c r="D632" s="477"/>
      <c r="E632" s="477"/>
      <c r="F632" s="478"/>
      <c r="G632" s="505"/>
      <c r="H632" s="505"/>
      <c r="I632" s="505"/>
      <c r="J632" s="479"/>
      <c r="K632" s="480"/>
      <c r="L632" s="481"/>
      <c r="M632" s="477"/>
      <c r="N632" s="477"/>
      <c r="O632" s="477"/>
      <c r="P632" s="505"/>
      <c r="Q632" s="505"/>
      <c r="R632" s="509"/>
      <c r="S632" s="477"/>
      <c r="T632" s="484"/>
      <c r="U632" s="484"/>
      <c r="V632" s="477"/>
      <c r="W632" s="477"/>
      <c r="X632" s="477"/>
      <c r="Y632" s="477"/>
      <c r="Z632" s="477"/>
      <c r="AA632" s="477"/>
      <c r="AB632" s="477"/>
      <c r="AC632" s="480"/>
      <c r="AD632" s="477"/>
      <c r="AE632" s="477"/>
    </row>
    <row r="633" spans="1:31" s="500" customFormat="1" x14ac:dyDescent="0.25">
      <c r="A633" s="502"/>
      <c r="B633" s="477"/>
      <c r="C633" s="477"/>
      <c r="D633" s="477"/>
      <c r="E633" s="477"/>
      <c r="F633" s="478"/>
      <c r="G633" s="477"/>
      <c r="H633" s="477"/>
      <c r="I633" s="477"/>
      <c r="J633" s="479"/>
      <c r="K633" s="480"/>
      <c r="L633" s="481"/>
      <c r="M633" s="477"/>
      <c r="N633" s="477"/>
      <c r="O633" s="477"/>
      <c r="P633" s="477"/>
      <c r="Q633" s="477"/>
      <c r="R633" s="509"/>
      <c r="S633" s="477"/>
      <c r="T633" s="484"/>
      <c r="U633" s="484"/>
      <c r="V633" s="477"/>
      <c r="W633" s="477"/>
      <c r="X633" s="477"/>
      <c r="Y633" s="477"/>
      <c r="Z633" s="477"/>
      <c r="AA633" s="477"/>
      <c r="AB633" s="477"/>
      <c r="AC633" s="477"/>
      <c r="AD633" s="477"/>
    </row>
    <row r="634" spans="1:31" s="503" customFormat="1" x14ac:dyDescent="0.25">
      <c r="A634" s="476"/>
      <c r="B634" s="454"/>
      <c r="C634" s="454"/>
      <c r="D634" s="477"/>
      <c r="E634" s="477"/>
      <c r="F634" s="478"/>
      <c r="G634" s="477"/>
      <c r="H634" s="477"/>
      <c r="I634" s="477"/>
      <c r="J634" s="479"/>
      <c r="K634" s="480"/>
      <c r="L634" s="480"/>
      <c r="M634" s="477"/>
      <c r="N634" s="477"/>
      <c r="O634" s="477"/>
      <c r="P634" s="477"/>
      <c r="Q634" s="477"/>
      <c r="R634" s="509"/>
      <c r="S634" s="477"/>
      <c r="T634" s="484"/>
      <c r="U634" s="477"/>
      <c r="V634" s="454"/>
      <c r="W634" s="454"/>
      <c r="X634" s="454"/>
      <c r="Y634" s="454"/>
      <c r="Z634" s="454"/>
      <c r="AA634" s="454"/>
      <c r="AB634" s="454"/>
      <c r="AC634" s="454"/>
      <c r="AD634" s="454"/>
    </row>
    <row r="635" spans="1:31" s="500" customFormat="1" x14ac:dyDescent="0.25">
      <c r="A635" s="502"/>
      <c r="B635" s="477"/>
      <c r="C635" s="477"/>
      <c r="D635" s="477"/>
      <c r="E635" s="477"/>
      <c r="F635" s="478"/>
      <c r="G635" s="477"/>
      <c r="H635" s="477"/>
      <c r="I635" s="477"/>
      <c r="J635" s="479"/>
      <c r="K635" s="480"/>
      <c r="L635" s="481"/>
      <c r="M635" s="477"/>
      <c r="N635" s="477"/>
      <c r="O635" s="477"/>
      <c r="P635" s="477"/>
      <c r="Q635" s="477"/>
      <c r="R635" s="509"/>
      <c r="S635" s="477"/>
      <c r="T635" s="484"/>
      <c r="U635" s="484"/>
      <c r="V635" s="477"/>
      <c r="W635" s="477"/>
      <c r="X635" s="477"/>
      <c r="Y635" s="477"/>
      <c r="Z635" s="477"/>
      <c r="AA635" s="477"/>
      <c r="AB635" s="477"/>
      <c r="AC635" s="477"/>
      <c r="AD635" s="477"/>
    </row>
    <row r="636" spans="1:31" s="506" customFormat="1" x14ac:dyDescent="0.25">
      <c r="A636" s="476"/>
      <c r="B636" s="477"/>
      <c r="C636" s="477"/>
      <c r="D636" s="477"/>
      <c r="E636" s="477"/>
      <c r="F636" s="478"/>
      <c r="G636" s="505"/>
      <c r="H636" s="505"/>
      <c r="I636" s="505"/>
      <c r="J636" s="479"/>
      <c r="K636" s="480"/>
      <c r="L636" s="481"/>
      <c r="M636" s="477"/>
      <c r="N636" s="477"/>
      <c r="O636" s="477"/>
      <c r="P636" s="505"/>
      <c r="Q636" s="505"/>
      <c r="R636" s="509"/>
      <c r="S636" s="477"/>
      <c r="T636" s="484"/>
      <c r="U636" s="484"/>
      <c r="V636" s="477"/>
      <c r="W636" s="477"/>
      <c r="X636" s="477"/>
      <c r="Y636" s="477"/>
      <c r="Z636" s="477"/>
      <c r="AA636" s="477"/>
      <c r="AB636" s="477"/>
      <c r="AC636" s="480"/>
      <c r="AD636" s="477"/>
      <c r="AE636" s="477"/>
    </row>
    <row r="637" spans="1:31" s="503" customFormat="1" x14ac:dyDescent="0.25">
      <c r="A637" s="502"/>
      <c r="B637" s="454"/>
      <c r="C637" s="454"/>
      <c r="D637" s="477"/>
      <c r="E637" s="477"/>
      <c r="F637" s="478"/>
      <c r="G637" s="477"/>
      <c r="H637" s="477"/>
      <c r="I637" s="477"/>
      <c r="J637" s="479"/>
      <c r="K637" s="480"/>
      <c r="L637" s="480"/>
      <c r="M637" s="477"/>
      <c r="N637" s="477"/>
      <c r="O637" s="477"/>
      <c r="P637" s="477"/>
      <c r="Q637" s="477"/>
      <c r="R637" s="509"/>
      <c r="S637" s="477"/>
      <c r="T637" s="484"/>
      <c r="U637" s="477"/>
      <c r="V637" s="454"/>
      <c r="W637" s="454"/>
      <c r="X637" s="454"/>
      <c r="Y637" s="454"/>
      <c r="Z637" s="454"/>
      <c r="AA637" s="454"/>
      <c r="AB637" s="454"/>
      <c r="AC637" s="454"/>
      <c r="AD637" s="454"/>
    </row>
    <row r="638" spans="1:31" s="503" customFormat="1" x14ac:dyDescent="0.25">
      <c r="A638" s="476"/>
      <c r="B638" s="454"/>
      <c r="C638" s="454"/>
      <c r="D638" s="477"/>
      <c r="E638" s="477"/>
      <c r="F638" s="478"/>
      <c r="G638" s="477"/>
      <c r="H638" s="477"/>
      <c r="I638" s="477"/>
      <c r="J638" s="479"/>
      <c r="K638" s="480"/>
      <c r="L638" s="480"/>
      <c r="M638" s="477"/>
      <c r="N638" s="477"/>
      <c r="O638" s="477"/>
      <c r="P638" s="477"/>
      <c r="Q638" s="477"/>
      <c r="R638" s="509"/>
      <c r="S638" s="477"/>
      <c r="T638" s="484"/>
      <c r="U638" s="477"/>
      <c r="V638" s="454"/>
      <c r="W638" s="454"/>
      <c r="X638" s="454"/>
      <c r="Y638" s="454"/>
      <c r="Z638" s="454"/>
      <c r="AA638" s="454"/>
      <c r="AB638" s="454"/>
      <c r="AC638" s="454"/>
      <c r="AD638" s="454"/>
    </row>
    <row r="639" spans="1:31" s="500" customFormat="1" x14ac:dyDescent="0.25">
      <c r="A639" s="502"/>
      <c r="B639" s="477"/>
      <c r="C639" s="477"/>
      <c r="D639" s="477"/>
      <c r="E639" s="477"/>
      <c r="F639" s="478"/>
      <c r="G639" s="477"/>
      <c r="H639" s="477"/>
      <c r="I639" s="477"/>
      <c r="J639" s="479"/>
      <c r="K639" s="480"/>
      <c r="L639" s="481"/>
      <c r="M639" s="477"/>
      <c r="N639" s="477"/>
      <c r="O639" s="477"/>
      <c r="P639" s="477"/>
      <c r="Q639" s="477"/>
      <c r="R639" s="509"/>
      <c r="S639" s="477"/>
      <c r="T639" s="484"/>
      <c r="U639" s="484"/>
      <c r="V639" s="477"/>
      <c r="W639" s="477"/>
      <c r="X639" s="477"/>
      <c r="Y639" s="477"/>
      <c r="Z639" s="477"/>
      <c r="AA639" s="477"/>
      <c r="AB639" s="477"/>
      <c r="AC639" s="477"/>
      <c r="AD639" s="477"/>
    </row>
    <row r="640" spans="1:31" s="506" customFormat="1" x14ac:dyDescent="0.25">
      <c r="A640" s="476"/>
      <c r="B640" s="477"/>
      <c r="C640" s="477"/>
      <c r="D640" s="477"/>
      <c r="E640" s="477"/>
      <c r="F640" s="478"/>
      <c r="G640" s="477"/>
      <c r="H640" s="477"/>
      <c r="I640" s="477"/>
      <c r="J640" s="479"/>
      <c r="K640" s="480"/>
      <c r="L640" s="480"/>
      <c r="M640" s="477"/>
      <c r="N640" s="477"/>
      <c r="O640" s="477"/>
      <c r="P640" s="477"/>
      <c r="Q640" s="477"/>
      <c r="R640" s="509"/>
      <c r="S640" s="477"/>
      <c r="T640" s="484"/>
      <c r="U640" s="484"/>
      <c r="V640" s="477"/>
      <c r="W640" s="477"/>
      <c r="X640" s="477"/>
      <c r="Y640" s="477"/>
      <c r="Z640" s="477"/>
      <c r="AA640" s="477"/>
      <c r="AB640" s="477"/>
      <c r="AC640" s="477"/>
      <c r="AD640" s="477"/>
    </row>
    <row r="641" spans="1:31" s="506" customFormat="1" x14ac:dyDescent="0.25">
      <c r="A641" s="502"/>
      <c r="B641" s="477"/>
      <c r="C641" s="477"/>
      <c r="D641" s="477"/>
      <c r="E641" s="477"/>
      <c r="F641" s="478"/>
      <c r="G641" s="505"/>
      <c r="H641" s="505"/>
      <c r="I641" s="505"/>
      <c r="J641" s="479"/>
      <c r="K641" s="480"/>
      <c r="L641" s="481"/>
      <c r="M641" s="477"/>
      <c r="N641" s="477"/>
      <c r="O641" s="477"/>
      <c r="P641" s="505"/>
      <c r="Q641" s="505"/>
      <c r="R641" s="509"/>
      <c r="S641" s="477"/>
      <c r="T641" s="484"/>
      <c r="U641" s="484"/>
      <c r="V641" s="477"/>
      <c r="W641" s="477"/>
      <c r="X641" s="477"/>
      <c r="Y641" s="477"/>
      <c r="Z641" s="477"/>
      <c r="AA641" s="477"/>
      <c r="AB641" s="477"/>
      <c r="AC641" s="480"/>
      <c r="AD641" s="477"/>
      <c r="AE641" s="477"/>
    </row>
    <row r="642" spans="1:31" s="503" customFormat="1" x14ac:dyDescent="0.25">
      <c r="A642" s="476"/>
      <c r="B642" s="454"/>
      <c r="C642" s="454"/>
      <c r="D642" s="477"/>
      <c r="E642" s="477"/>
      <c r="F642" s="478"/>
      <c r="G642" s="477"/>
      <c r="H642" s="477"/>
      <c r="I642" s="477"/>
      <c r="J642" s="479"/>
      <c r="K642" s="480"/>
      <c r="L642" s="480"/>
      <c r="M642" s="477"/>
      <c r="N642" s="477"/>
      <c r="O642" s="477"/>
      <c r="P642" s="477"/>
      <c r="Q642" s="477"/>
      <c r="R642" s="509"/>
      <c r="S642" s="477"/>
      <c r="T642" s="484"/>
      <c r="U642" s="477"/>
      <c r="V642" s="454"/>
      <c r="W642" s="454"/>
      <c r="X642" s="454"/>
      <c r="Y642" s="454"/>
      <c r="Z642" s="454"/>
      <c r="AA642" s="454"/>
      <c r="AB642" s="454"/>
      <c r="AC642" s="454"/>
      <c r="AD642" s="454"/>
    </row>
    <row r="643" spans="1:31" s="500" customFormat="1" x14ac:dyDescent="0.25">
      <c r="A643" s="502"/>
      <c r="B643" s="477"/>
      <c r="C643" s="477"/>
      <c r="D643" s="477"/>
      <c r="E643" s="477"/>
      <c r="F643" s="478"/>
      <c r="G643" s="477"/>
      <c r="H643" s="477"/>
      <c r="I643" s="477"/>
      <c r="J643" s="479"/>
      <c r="K643" s="480"/>
      <c r="L643" s="481"/>
      <c r="M643" s="477"/>
      <c r="N643" s="477"/>
      <c r="O643" s="477"/>
      <c r="P643" s="477"/>
      <c r="Q643" s="477"/>
      <c r="R643" s="509"/>
      <c r="S643" s="477"/>
      <c r="T643" s="484"/>
      <c r="U643" s="484"/>
      <c r="V643" s="477"/>
      <c r="W643" s="477"/>
      <c r="X643" s="477"/>
      <c r="Y643" s="477"/>
      <c r="Z643" s="477"/>
      <c r="AA643" s="477"/>
      <c r="AB643" s="477"/>
      <c r="AC643" s="477"/>
      <c r="AD643" s="477"/>
    </row>
    <row r="644" spans="1:31" s="506" customFormat="1" x14ac:dyDescent="0.25">
      <c r="A644" s="476"/>
      <c r="B644" s="477"/>
      <c r="C644" s="477"/>
      <c r="D644" s="477"/>
      <c r="E644" s="477"/>
      <c r="F644" s="478"/>
      <c r="G644" s="477"/>
      <c r="H644" s="477"/>
      <c r="I644" s="477"/>
      <c r="J644" s="479"/>
      <c r="K644" s="480"/>
      <c r="L644" s="480"/>
      <c r="M644" s="477"/>
      <c r="N644" s="477"/>
      <c r="O644" s="477"/>
      <c r="P644" s="477"/>
      <c r="Q644" s="477"/>
      <c r="R644" s="509"/>
      <c r="S644" s="477"/>
      <c r="T644" s="484"/>
      <c r="U644" s="484"/>
      <c r="V644" s="477"/>
      <c r="W644" s="477"/>
      <c r="X644" s="477"/>
      <c r="Y644" s="477"/>
      <c r="Z644" s="477"/>
      <c r="AA644" s="477"/>
      <c r="AB644" s="477"/>
      <c r="AC644" s="477"/>
      <c r="AD644" s="477"/>
    </row>
    <row r="645" spans="1:31" s="506" customFormat="1" x14ac:dyDescent="0.25">
      <c r="A645" s="502"/>
      <c r="B645" s="477"/>
      <c r="C645" s="477"/>
      <c r="D645" s="477"/>
      <c r="E645" s="477"/>
      <c r="F645" s="478"/>
      <c r="G645" s="505"/>
      <c r="H645" s="505"/>
      <c r="I645" s="505"/>
      <c r="J645" s="479"/>
      <c r="K645" s="480"/>
      <c r="L645" s="481"/>
      <c r="M645" s="477"/>
      <c r="N645" s="477"/>
      <c r="O645" s="477"/>
      <c r="P645" s="505"/>
      <c r="Q645" s="505"/>
      <c r="R645" s="509"/>
      <c r="S645" s="477"/>
      <c r="T645" s="484"/>
      <c r="U645" s="484"/>
      <c r="V645" s="477"/>
      <c r="W645" s="477"/>
      <c r="X645" s="477"/>
      <c r="Y645" s="477"/>
      <c r="Z645" s="477"/>
      <c r="AA645" s="477"/>
      <c r="AB645" s="477"/>
      <c r="AC645" s="480"/>
      <c r="AD645" s="477"/>
      <c r="AE645" s="477"/>
    </row>
    <row r="646" spans="1:31" s="506" customFormat="1" x14ac:dyDescent="0.25">
      <c r="A646" s="476"/>
      <c r="B646" s="477"/>
      <c r="C646" s="477"/>
      <c r="D646" s="477"/>
      <c r="E646" s="477"/>
      <c r="F646" s="478"/>
      <c r="G646" s="505"/>
      <c r="H646" s="505"/>
      <c r="I646" s="505"/>
      <c r="J646" s="479"/>
      <c r="K646" s="480"/>
      <c r="L646" s="481"/>
      <c r="M646" s="477"/>
      <c r="N646" s="477"/>
      <c r="O646" s="477"/>
      <c r="P646" s="505"/>
      <c r="Q646" s="505"/>
      <c r="R646" s="509"/>
      <c r="S646" s="477"/>
      <c r="T646" s="484"/>
      <c r="U646" s="484"/>
      <c r="V646" s="477"/>
      <c r="W646" s="477"/>
      <c r="X646" s="477"/>
      <c r="Y646" s="477"/>
      <c r="Z646" s="477"/>
      <c r="AA646" s="477"/>
      <c r="AB646" s="477"/>
      <c r="AC646" s="480"/>
      <c r="AD646" s="477"/>
      <c r="AE646" s="477"/>
    </row>
    <row r="647" spans="1:31" s="506" customFormat="1" x14ac:dyDescent="0.25">
      <c r="A647" s="502"/>
      <c r="B647" s="477"/>
      <c r="C647" s="477"/>
      <c r="D647" s="477"/>
      <c r="E647" s="477"/>
      <c r="F647" s="478"/>
      <c r="G647" s="505"/>
      <c r="H647" s="505"/>
      <c r="I647" s="505"/>
      <c r="J647" s="479"/>
      <c r="K647" s="480"/>
      <c r="L647" s="481"/>
      <c r="M647" s="477"/>
      <c r="N647" s="477"/>
      <c r="O647" s="477"/>
      <c r="P647" s="505"/>
      <c r="Q647" s="505"/>
      <c r="R647" s="509"/>
      <c r="S647" s="477"/>
      <c r="T647" s="484"/>
      <c r="U647" s="484"/>
      <c r="V647" s="477"/>
      <c r="W647" s="477"/>
      <c r="X647" s="477"/>
      <c r="Y647" s="477"/>
      <c r="Z647" s="477"/>
      <c r="AA647" s="477"/>
      <c r="AB647" s="477"/>
      <c r="AC647" s="480"/>
      <c r="AD647" s="477"/>
      <c r="AE647" s="477"/>
    </row>
    <row r="648" spans="1:31" s="500" customFormat="1" x14ac:dyDescent="0.25">
      <c r="A648" s="476"/>
      <c r="B648" s="477"/>
      <c r="C648" s="477"/>
      <c r="D648" s="477"/>
      <c r="E648" s="477"/>
      <c r="F648" s="478"/>
      <c r="G648" s="477"/>
      <c r="H648" s="477"/>
      <c r="I648" s="477"/>
      <c r="J648" s="479"/>
      <c r="K648" s="480"/>
      <c r="L648" s="481"/>
      <c r="M648" s="477"/>
      <c r="N648" s="477"/>
      <c r="O648" s="477"/>
      <c r="P648" s="477"/>
      <c r="Q648" s="477"/>
      <c r="R648" s="509"/>
      <c r="S648" s="477"/>
      <c r="T648" s="484"/>
      <c r="U648" s="484"/>
      <c r="V648" s="477"/>
      <c r="W648" s="477"/>
      <c r="X648" s="477"/>
      <c r="Y648" s="477"/>
      <c r="Z648" s="477"/>
      <c r="AA648" s="477"/>
      <c r="AB648" s="477"/>
      <c r="AC648" s="477"/>
      <c r="AD648" s="477"/>
    </row>
    <row r="649" spans="1:31" s="506" customFormat="1" x14ac:dyDescent="0.25">
      <c r="A649" s="502"/>
      <c r="B649" s="477"/>
      <c r="C649" s="477"/>
      <c r="D649" s="477"/>
      <c r="E649" s="477"/>
      <c r="F649" s="478"/>
      <c r="G649" s="505"/>
      <c r="H649" s="505"/>
      <c r="I649" s="505"/>
      <c r="J649" s="479"/>
      <c r="K649" s="480"/>
      <c r="L649" s="481"/>
      <c r="M649" s="477"/>
      <c r="N649" s="477"/>
      <c r="O649" s="477"/>
      <c r="P649" s="505"/>
      <c r="Q649" s="505"/>
      <c r="R649" s="509"/>
      <c r="S649" s="477"/>
      <c r="T649" s="484"/>
      <c r="U649" s="484"/>
      <c r="V649" s="477"/>
      <c r="W649" s="477"/>
      <c r="X649" s="477"/>
      <c r="Y649" s="477"/>
      <c r="Z649" s="477"/>
      <c r="AA649" s="477"/>
      <c r="AB649" s="477"/>
      <c r="AC649" s="480"/>
      <c r="AD649" s="477"/>
      <c r="AE649" s="477"/>
    </row>
    <row r="650" spans="1:31" s="506" customFormat="1" x14ac:dyDescent="0.25">
      <c r="A650" s="476"/>
      <c r="B650" s="477"/>
      <c r="C650" s="477"/>
      <c r="D650" s="477"/>
      <c r="E650" s="477"/>
      <c r="F650" s="478"/>
      <c r="G650" s="505"/>
      <c r="H650" s="505"/>
      <c r="I650" s="505"/>
      <c r="J650" s="479"/>
      <c r="K650" s="480"/>
      <c r="L650" s="481"/>
      <c r="M650" s="477"/>
      <c r="N650" s="477"/>
      <c r="O650" s="477"/>
      <c r="P650" s="505"/>
      <c r="Q650" s="505"/>
      <c r="R650" s="509"/>
      <c r="S650" s="477"/>
      <c r="T650" s="484"/>
      <c r="U650" s="484"/>
      <c r="V650" s="477"/>
      <c r="W650" s="477"/>
      <c r="X650" s="477"/>
      <c r="Y650" s="477"/>
      <c r="Z650" s="477"/>
      <c r="AA650" s="477"/>
      <c r="AB650" s="477"/>
      <c r="AC650" s="480"/>
      <c r="AD650" s="477"/>
      <c r="AE650" s="477"/>
    </row>
    <row r="651" spans="1:31" s="500" customFormat="1" x14ac:dyDescent="0.25">
      <c r="A651" s="502"/>
      <c r="B651" s="477"/>
      <c r="C651" s="477"/>
      <c r="D651" s="477"/>
      <c r="E651" s="477"/>
      <c r="F651" s="478"/>
      <c r="G651" s="477"/>
      <c r="H651" s="477"/>
      <c r="I651" s="477"/>
      <c r="J651" s="479"/>
      <c r="K651" s="480"/>
      <c r="L651" s="481"/>
      <c r="M651" s="477"/>
      <c r="N651" s="477"/>
      <c r="O651" s="477"/>
      <c r="P651" s="477"/>
      <c r="Q651" s="477"/>
      <c r="R651" s="509"/>
      <c r="S651" s="477"/>
      <c r="T651" s="484"/>
      <c r="U651" s="484"/>
      <c r="V651" s="477"/>
      <c r="W651" s="477"/>
      <c r="X651" s="477"/>
      <c r="Y651" s="477"/>
      <c r="Z651" s="477"/>
      <c r="AA651" s="477"/>
      <c r="AB651" s="477"/>
      <c r="AC651" s="477"/>
      <c r="AD651" s="477"/>
    </row>
    <row r="652" spans="1:31" s="503" customFormat="1" x14ac:dyDescent="0.25">
      <c r="A652" s="476"/>
      <c r="B652" s="454"/>
      <c r="C652" s="454"/>
      <c r="D652" s="477"/>
      <c r="E652" s="477"/>
      <c r="F652" s="478"/>
      <c r="G652" s="477"/>
      <c r="H652" s="477"/>
      <c r="I652" s="477"/>
      <c r="J652" s="479"/>
      <c r="K652" s="480"/>
      <c r="L652" s="480"/>
      <c r="M652" s="477"/>
      <c r="N652" s="477"/>
      <c r="O652" s="477"/>
      <c r="P652" s="477"/>
      <c r="Q652" s="477"/>
      <c r="R652" s="509"/>
      <c r="S652" s="477"/>
      <c r="T652" s="484"/>
      <c r="U652" s="477"/>
      <c r="V652" s="454"/>
      <c r="W652" s="454"/>
      <c r="X652" s="454"/>
      <c r="Y652" s="454"/>
      <c r="Z652" s="454"/>
      <c r="AA652" s="454"/>
      <c r="AB652" s="454"/>
      <c r="AC652" s="454"/>
      <c r="AD652" s="454"/>
    </row>
    <row r="653" spans="1:31" s="500" customFormat="1" x14ac:dyDescent="0.25">
      <c r="A653" s="502"/>
      <c r="B653" s="477"/>
      <c r="C653" s="477"/>
      <c r="D653" s="477"/>
      <c r="E653" s="477"/>
      <c r="F653" s="478"/>
      <c r="G653" s="477"/>
      <c r="H653" s="477"/>
      <c r="I653" s="477"/>
      <c r="J653" s="479"/>
      <c r="K653" s="480"/>
      <c r="L653" s="481"/>
      <c r="M653" s="477"/>
      <c r="N653" s="477"/>
      <c r="O653" s="477"/>
      <c r="P653" s="477"/>
      <c r="Q653" s="477"/>
      <c r="R653" s="509"/>
      <c r="S653" s="477"/>
      <c r="T653" s="484"/>
      <c r="U653" s="484"/>
      <c r="V653" s="477"/>
      <c r="W653" s="477"/>
      <c r="X653" s="477"/>
      <c r="Y653" s="477"/>
      <c r="Z653" s="477"/>
      <c r="AA653" s="477"/>
      <c r="AB653" s="477"/>
      <c r="AC653" s="477"/>
      <c r="AD653" s="477"/>
    </row>
    <row r="654" spans="1:31" s="500" customFormat="1" x14ac:dyDescent="0.25">
      <c r="A654" s="476"/>
      <c r="B654" s="477"/>
      <c r="C654" s="477"/>
      <c r="D654" s="477"/>
      <c r="E654" s="477"/>
      <c r="F654" s="478"/>
      <c r="G654" s="477"/>
      <c r="H654" s="477"/>
      <c r="I654" s="477"/>
      <c r="J654" s="479"/>
      <c r="K654" s="480"/>
      <c r="L654" s="481"/>
      <c r="M654" s="477"/>
      <c r="N654" s="477"/>
      <c r="O654" s="477"/>
      <c r="P654" s="477"/>
      <c r="Q654" s="477"/>
      <c r="R654" s="509"/>
      <c r="S654" s="477"/>
      <c r="T654" s="484"/>
      <c r="U654" s="484"/>
      <c r="V654" s="477"/>
      <c r="W654" s="477"/>
      <c r="X654" s="477"/>
      <c r="Y654" s="477"/>
      <c r="Z654" s="477"/>
      <c r="AA654" s="477"/>
      <c r="AB654" s="477"/>
      <c r="AC654" s="477"/>
      <c r="AD654" s="477"/>
    </row>
    <row r="655" spans="1:31" s="506" customFormat="1" x14ac:dyDescent="0.25">
      <c r="A655" s="502"/>
      <c r="B655" s="477"/>
      <c r="C655" s="477"/>
      <c r="D655" s="477"/>
      <c r="E655" s="477"/>
      <c r="F655" s="478"/>
      <c r="G655" s="477"/>
      <c r="H655" s="477"/>
      <c r="I655" s="477"/>
      <c r="J655" s="501"/>
      <c r="K655" s="480"/>
      <c r="L655" s="480"/>
      <c r="M655" s="477"/>
      <c r="N655" s="477"/>
      <c r="O655" s="477"/>
      <c r="P655" s="477"/>
      <c r="Q655" s="477"/>
      <c r="R655" s="509"/>
      <c r="S655" s="477"/>
      <c r="T655" s="484"/>
      <c r="U655" s="484"/>
      <c r="V655" s="477"/>
      <c r="W655" s="477"/>
      <c r="X655" s="477"/>
      <c r="Y655" s="477"/>
      <c r="Z655" s="477"/>
      <c r="AA655" s="477"/>
      <c r="AB655" s="477"/>
      <c r="AC655" s="477"/>
      <c r="AD655" s="477"/>
    </row>
    <row r="656" spans="1:31" s="506" customFormat="1" x14ac:dyDescent="0.25">
      <c r="A656" s="476"/>
      <c r="B656" s="477"/>
      <c r="C656" s="477"/>
      <c r="D656" s="477"/>
      <c r="E656" s="477"/>
      <c r="F656" s="478"/>
      <c r="G656" s="505"/>
      <c r="H656" s="505"/>
      <c r="I656" s="505"/>
      <c r="J656" s="501"/>
      <c r="K656" s="480"/>
      <c r="L656" s="481"/>
      <c r="M656" s="477"/>
      <c r="N656" s="477"/>
      <c r="O656" s="477"/>
      <c r="P656" s="505"/>
      <c r="Q656" s="505"/>
      <c r="R656" s="509"/>
      <c r="S656" s="477"/>
      <c r="T656" s="484"/>
      <c r="U656" s="484"/>
      <c r="V656" s="477"/>
      <c r="W656" s="477"/>
      <c r="X656" s="477"/>
      <c r="Y656" s="477"/>
      <c r="Z656" s="477"/>
      <c r="AA656" s="477"/>
      <c r="AB656" s="477"/>
      <c r="AC656" s="480"/>
      <c r="AD656" s="477"/>
      <c r="AE656" s="477"/>
    </row>
    <row r="657" spans="1:31" s="506" customFormat="1" x14ac:dyDescent="0.25">
      <c r="A657" s="502"/>
      <c r="B657" s="477"/>
      <c r="C657" s="477"/>
      <c r="D657" s="477"/>
      <c r="E657" s="477"/>
      <c r="F657" s="478"/>
      <c r="G657" s="505"/>
      <c r="H657" s="505"/>
      <c r="I657" s="505"/>
      <c r="J657" s="501"/>
      <c r="K657" s="480"/>
      <c r="L657" s="481"/>
      <c r="M657" s="477"/>
      <c r="N657" s="477"/>
      <c r="O657" s="477"/>
      <c r="P657" s="505"/>
      <c r="Q657" s="505"/>
      <c r="R657" s="509"/>
      <c r="S657" s="477"/>
      <c r="T657" s="484"/>
      <c r="U657" s="484"/>
      <c r="V657" s="477"/>
      <c r="W657" s="477"/>
      <c r="X657" s="477"/>
      <c r="Y657" s="477"/>
      <c r="Z657" s="477"/>
      <c r="AA657" s="477"/>
      <c r="AB657" s="477"/>
      <c r="AC657" s="480"/>
      <c r="AD657" s="477"/>
      <c r="AE657" s="477"/>
    </row>
    <row r="658" spans="1:31" s="506" customFormat="1" x14ac:dyDescent="0.25">
      <c r="A658" s="476"/>
      <c r="B658" s="477"/>
      <c r="C658" s="477"/>
      <c r="D658" s="477"/>
      <c r="E658" s="477"/>
      <c r="F658" s="478"/>
      <c r="G658" s="505"/>
      <c r="H658" s="505"/>
      <c r="I658" s="505"/>
      <c r="J658" s="501"/>
      <c r="K658" s="480"/>
      <c r="L658" s="481"/>
      <c r="M658" s="477"/>
      <c r="N658" s="477"/>
      <c r="O658" s="477"/>
      <c r="P658" s="505"/>
      <c r="Q658" s="505"/>
      <c r="R658" s="509"/>
      <c r="S658" s="477"/>
      <c r="T658" s="484"/>
      <c r="U658" s="484"/>
      <c r="V658" s="477"/>
      <c r="W658" s="477"/>
      <c r="X658" s="477"/>
      <c r="Y658" s="477"/>
      <c r="Z658" s="477"/>
      <c r="AA658" s="477"/>
      <c r="AB658" s="477"/>
      <c r="AC658" s="480"/>
      <c r="AD658" s="477"/>
      <c r="AE658" s="477"/>
    </row>
    <row r="659" spans="1:31" s="500" customFormat="1" x14ac:dyDescent="0.25">
      <c r="A659" s="502"/>
      <c r="B659" s="477"/>
      <c r="C659" s="477"/>
      <c r="D659" s="477"/>
      <c r="E659" s="477"/>
      <c r="F659" s="478"/>
      <c r="G659" s="477"/>
      <c r="H659" s="477"/>
      <c r="I659" s="477"/>
      <c r="J659" s="501"/>
      <c r="K659" s="480"/>
      <c r="L659" s="481"/>
      <c r="M659" s="477"/>
      <c r="N659" s="477"/>
      <c r="O659" s="477"/>
      <c r="P659" s="477"/>
      <c r="Q659" s="477"/>
      <c r="R659" s="509"/>
      <c r="S659" s="477"/>
      <c r="T659" s="484"/>
      <c r="U659" s="484"/>
      <c r="V659" s="477"/>
      <c r="W659" s="477"/>
      <c r="X659" s="477"/>
      <c r="Y659" s="477"/>
      <c r="Z659" s="477"/>
      <c r="AA659" s="477"/>
      <c r="AB659" s="477"/>
      <c r="AC659" s="477"/>
      <c r="AD659" s="477"/>
    </row>
    <row r="660" spans="1:31" s="503" customFormat="1" x14ac:dyDescent="0.25">
      <c r="A660" s="476"/>
      <c r="B660" s="454"/>
      <c r="C660" s="454"/>
      <c r="D660" s="477"/>
      <c r="E660" s="477"/>
      <c r="F660" s="478"/>
      <c r="G660" s="477"/>
      <c r="H660" s="477"/>
      <c r="I660" s="477"/>
      <c r="J660" s="501"/>
      <c r="K660" s="480"/>
      <c r="L660" s="480"/>
      <c r="M660" s="477"/>
      <c r="N660" s="477"/>
      <c r="O660" s="477"/>
      <c r="P660" s="477"/>
      <c r="Q660" s="477"/>
      <c r="R660" s="509"/>
      <c r="S660" s="477"/>
      <c r="T660" s="484"/>
      <c r="U660" s="477"/>
      <c r="V660" s="454"/>
      <c r="W660" s="454"/>
      <c r="X660" s="454"/>
      <c r="Y660" s="454"/>
      <c r="Z660" s="454"/>
      <c r="AA660" s="454"/>
      <c r="AB660" s="454"/>
      <c r="AC660" s="454"/>
      <c r="AD660" s="454"/>
    </row>
    <row r="661" spans="1:31" s="500" customFormat="1" x14ac:dyDescent="0.25">
      <c r="A661" s="502"/>
      <c r="B661" s="477"/>
      <c r="C661" s="477"/>
      <c r="D661" s="477"/>
      <c r="E661" s="477"/>
      <c r="F661" s="478"/>
      <c r="G661" s="477"/>
      <c r="H661" s="477"/>
      <c r="I661" s="477"/>
      <c r="J661" s="501"/>
      <c r="K661" s="480"/>
      <c r="L661" s="481"/>
      <c r="M661" s="477"/>
      <c r="N661" s="477"/>
      <c r="O661" s="477"/>
      <c r="P661" s="477"/>
      <c r="Q661" s="477"/>
      <c r="R661" s="509"/>
      <c r="S661" s="477"/>
      <c r="T661" s="484"/>
      <c r="U661" s="484"/>
      <c r="V661" s="477"/>
      <c r="W661" s="477"/>
      <c r="X661" s="477"/>
      <c r="Y661" s="477"/>
      <c r="Z661" s="477"/>
      <c r="AA661" s="477"/>
      <c r="AB661" s="477"/>
      <c r="AC661" s="477"/>
      <c r="AD661" s="477"/>
    </row>
    <row r="662" spans="1:31" s="506" customFormat="1" x14ac:dyDescent="0.25">
      <c r="A662" s="476"/>
      <c r="B662" s="477"/>
      <c r="C662" s="477"/>
      <c r="D662" s="477"/>
      <c r="E662" s="477"/>
      <c r="F662" s="478"/>
      <c r="G662" s="477"/>
      <c r="H662" s="477"/>
      <c r="I662" s="477"/>
      <c r="J662" s="501"/>
      <c r="K662" s="480"/>
      <c r="L662" s="480"/>
      <c r="M662" s="477"/>
      <c r="N662" s="477"/>
      <c r="O662" s="477"/>
      <c r="P662" s="477"/>
      <c r="Q662" s="477"/>
      <c r="R662" s="509"/>
      <c r="S662" s="477"/>
      <c r="T662" s="484"/>
      <c r="U662" s="484"/>
      <c r="V662" s="477"/>
      <c r="W662" s="477"/>
      <c r="X662" s="477"/>
      <c r="Y662" s="477"/>
      <c r="Z662" s="477"/>
      <c r="AA662" s="477"/>
      <c r="AB662" s="477"/>
      <c r="AC662" s="477"/>
      <c r="AD662" s="477"/>
    </row>
    <row r="663" spans="1:31" s="506" customFormat="1" x14ac:dyDescent="0.25">
      <c r="A663" s="502"/>
      <c r="B663" s="477"/>
      <c r="C663" s="477"/>
      <c r="D663" s="477"/>
      <c r="E663" s="477"/>
      <c r="F663" s="478"/>
      <c r="G663" s="505"/>
      <c r="H663" s="505"/>
      <c r="I663" s="505"/>
      <c r="J663" s="501"/>
      <c r="K663" s="480"/>
      <c r="L663" s="481"/>
      <c r="M663" s="477"/>
      <c r="N663" s="477"/>
      <c r="O663" s="477"/>
      <c r="P663" s="505"/>
      <c r="Q663" s="505"/>
      <c r="R663" s="509"/>
      <c r="S663" s="477"/>
      <c r="T663" s="484"/>
      <c r="U663" s="484"/>
      <c r="V663" s="477"/>
      <c r="W663" s="477"/>
      <c r="X663" s="477"/>
      <c r="Y663" s="477"/>
      <c r="Z663" s="477"/>
      <c r="AA663" s="477"/>
      <c r="AB663" s="477"/>
      <c r="AC663" s="480"/>
      <c r="AD663" s="477"/>
      <c r="AE663" s="477"/>
    </row>
    <row r="664" spans="1:31" s="503" customFormat="1" x14ac:dyDescent="0.25">
      <c r="A664" s="476"/>
      <c r="B664" s="454"/>
      <c r="C664" s="454"/>
      <c r="D664" s="477"/>
      <c r="E664" s="477"/>
      <c r="F664" s="478"/>
      <c r="G664" s="477"/>
      <c r="H664" s="477"/>
      <c r="I664" s="477"/>
      <c r="J664" s="501"/>
      <c r="K664" s="480"/>
      <c r="L664" s="480"/>
      <c r="M664" s="477"/>
      <c r="N664" s="477"/>
      <c r="O664" s="477"/>
      <c r="P664" s="477"/>
      <c r="Q664" s="477"/>
      <c r="R664" s="509"/>
      <c r="S664" s="477"/>
      <c r="T664" s="484"/>
      <c r="U664" s="477"/>
      <c r="V664" s="454"/>
      <c r="W664" s="454"/>
      <c r="X664" s="454"/>
      <c r="Y664" s="454"/>
      <c r="Z664" s="454"/>
      <c r="AA664" s="454"/>
      <c r="AB664" s="454"/>
      <c r="AC664" s="454"/>
      <c r="AD664" s="454"/>
    </row>
    <row r="665" spans="1:31" s="500" customFormat="1" x14ac:dyDescent="0.25">
      <c r="A665" s="502"/>
      <c r="B665" s="477"/>
      <c r="C665" s="477"/>
      <c r="D665" s="477"/>
      <c r="E665" s="477"/>
      <c r="F665" s="478"/>
      <c r="G665" s="477"/>
      <c r="H665" s="477"/>
      <c r="I665" s="477"/>
      <c r="J665" s="501"/>
      <c r="K665" s="480"/>
      <c r="L665" s="481"/>
      <c r="M665" s="477"/>
      <c r="N665" s="477"/>
      <c r="O665" s="477"/>
      <c r="P665" s="477"/>
      <c r="Q665" s="477"/>
      <c r="R665" s="509"/>
      <c r="S665" s="477"/>
      <c r="T665" s="484"/>
      <c r="U665" s="484"/>
      <c r="V665" s="477"/>
      <c r="W665" s="477"/>
      <c r="X665" s="477"/>
      <c r="Y665" s="477"/>
      <c r="Z665" s="477"/>
      <c r="AA665" s="477"/>
      <c r="AB665" s="477"/>
      <c r="AC665" s="477"/>
      <c r="AD665" s="477"/>
    </row>
    <row r="666" spans="1:31" s="506" customFormat="1" x14ac:dyDescent="0.25">
      <c r="A666" s="476"/>
      <c r="B666" s="477"/>
      <c r="C666" s="477"/>
      <c r="D666" s="477"/>
      <c r="E666" s="477"/>
      <c r="F666" s="478"/>
      <c r="G666" s="477"/>
      <c r="H666" s="477"/>
      <c r="I666" s="477"/>
      <c r="J666" s="501"/>
      <c r="K666" s="480"/>
      <c r="L666" s="480"/>
      <c r="M666" s="477"/>
      <c r="N666" s="477"/>
      <c r="O666" s="477"/>
      <c r="P666" s="477"/>
      <c r="Q666" s="477"/>
      <c r="R666" s="509"/>
      <c r="S666" s="477"/>
      <c r="T666" s="484"/>
      <c r="U666" s="484"/>
      <c r="V666" s="477"/>
      <c r="W666" s="477"/>
      <c r="X666" s="477"/>
      <c r="Y666" s="477"/>
      <c r="Z666" s="477"/>
      <c r="AA666" s="477"/>
      <c r="AB666" s="477"/>
      <c r="AC666" s="477"/>
      <c r="AD666" s="477"/>
    </row>
    <row r="667" spans="1:31" s="506" customFormat="1" x14ac:dyDescent="0.25">
      <c r="A667" s="502"/>
      <c r="B667" s="477"/>
      <c r="C667" s="477"/>
      <c r="D667" s="477"/>
      <c r="E667" s="477"/>
      <c r="F667" s="478"/>
      <c r="G667" s="505"/>
      <c r="H667" s="505"/>
      <c r="I667" s="505"/>
      <c r="J667" s="501"/>
      <c r="K667" s="480"/>
      <c r="L667" s="481"/>
      <c r="M667" s="477"/>
      <c r="N667" s="477"/>
      <c r="O667" s="477"/>
      <c r="P667" s="505"/>
      <c r="Q667" s="505"/>
      <c r="R667" s="509"/>
      <c r="S667" s="477"/>
      <c r="T667" s="484"/>
      <c r="U667" s="484"/>
      <c r="V667" s="477"/>
      <c r="W667" s="477"/>
      <c r="X667" s="477"/>
      <c r="Y667" s="477"/>
      <c r="Z667" s="477"/>
      <c r="AA667" s="477"/>
      <c r="AB667" s="477"/>
      <c r="AC667" s="480"/>
      <c r="AD667" s="477"/>
      <c r="AE667" s="477"/>
    </row>
    <row r="668" spans="1:31" s="506" customFormat="1" x14ac:dyDescent="0.25">
      <c r="A668" s="476"/>
      <c r="B668" s="477"/>
      <c r="C668" s="477"/>
      <c r="D668" s="477"/>
      <c r="E668" s="477"/>
      <c r="F668" s="478"/>
      <c r="G668" s="505"/>
      <c r="H668" s="505"/>
      <c r="I668" s="505"/>
      <c r="J668" s="501"/>
      <c r="K668" s="480"/>
      <c r="L668" s="481"/>
      <c r="M668" s="477"/>
      <c r="N668" s="477"/>
      <c r="O668" s="477"/>
      <c r="P668" s="505"/>
      <c r="Q668" s="505"/>
      <c r="R668" s="509"/>
      <c r="S668" s="477"/>
      <c r="T668" s="484"/>
      <c r="U668" s="484"/>
      <c r="V668" s="477"/>
      <c r="W668" s="477"/>
      <c r="X668" s="477"/>
      <c r="Y668" s="477"/>
      <c r="Z668" s="477"/>
      <c r="AA668" s="477"/>
      <c r="AB668" s="477"/>
      <c r="AC668" s="480"/>
      <c r="AD668" s="477"/>
      <c r="AE668" s="477"/>
    </row>
    <row r="669" spans="1:31" s="506" customFormat="1" x14ac:dyDescent="0.25">
      <c r="A669" s="502"/>
      <c r="B669" s="477"/>
      <c r="C669" s="477"/>
      <c r="D669" s="477"/>
      <c r="E669" s="477"/>
      <c r="F669" s="478"/>
      <c r="G669" s="505"/>
      <c r="H669" s="505"/>
      <c r="I669" s="505"/>
      <c r="J669" s="501"/>
      <c r="K669" s="480"/>
      <c r="L669" s="481"/>
      <c r="M669" s="477"/>
      <c r="N669" s="477"/>
      <c r="O669" s="477"/>
      <c r="P669" s="505"/>
      <c r="Q669" s="505"/>
      <c r="R669" s="509"/>
      <c r="S669" s="477"/>
      <c r="T669" s="484"/>
      <c r="U669" s="484"/>
      <c r="V669" s="477"/>
      <c r="W669" s="477"/>
      <c r="X669" s="477"/>
      <c r="Y669" s="477"/>
      <c r="Z669" s="477"/>
      <c r="AA669" s="477"/>
      <c r="AB669" s="477"/>
      <c r="AC669" s="480"/>
      <c r="AD669" s="477"/>
      <c r="AE669" s="477"/>
    </row>
    <row r="670" spans="1:31" s="500" customFormat="1" x14ac:dyDescent="0.25">
      <c r="A670" s="476"/>
      <c r="B670" s="477"/>
      <c r="C670" s="477"/>
      <c r="D670" s="477"/>
      <c r="E670" s="477"/>
      <c r="F670" s="478"/>
      <c r="G670" s="477"/>
      <c r="H670" s="477"/>
      <c r="I670" s="477"/>
      <c r="J670" s="501"/>
      <c r="K670" s="480"/>
      <c r="L670" s="481"/>
      <c r="M670" s="477"/>
      <c r="N670" s="477"/>
      <c r="O670" s="477"/>
      <c r="P670" s="477"/>
      <c r="Q670" s="477"/>
      <c r="R670" s="509"/>
      <c r="S670" s="477"/>
      <c r="T670" s="484"/>
      <c r="U670" s="484"/>
      <c r="V670" s="477"/>
      <c r="W670" s="477"/>
      <c r="X670" s="477"/>
      <c r="Y670" s="477"/>
      <c r="Z670" s="477"/>
      <c r="AA670" s="477"/>
      <c r="AB670" s="477"/>
      <c r="AC670" s="477"/>
      <c r="AD670" s="477"/>
    </row>
    <row r="671" spans="1:31" s="506" customFormat="1" x14ac:dyDescent="0.25">
      <c r="A671" s="502"/>
      <c r="B671" s="477"/>
      <c r="C671" s="477"/>
      <c r="D671" s="477"/>
      <c r="E671" s="477"/>
      <c r="F671" s="478"/>
      <c r="G671" s="505"/>
      <c r="H671" s="505"/>
      <c r="I671" s="505"/>
      <c r="J671" s="501"/>
      <c r="K671" s="480"/>
      <c r="L671" s="481"/>
      <c r="M671" s="477"/>
      <c r="N671" s="477"/>
      <c r="O671" s="477"/>
      <c r="P671" s="505"/>
      <c r="Q671" s="505"/>
      <c r="R671" s="509"/>
      <c r="S671" s="477"/>
      <c r="T671" s="484"/>
      <c r="U671" s="484"/>
      <c r="V671" s="477"/>
      <c r="W671" s="477"/>
      <c r="X671" s="477"/>
      <c r="Y671" s="477"/>
      <c r="Z671" s="477"/>
      <c r="AA671" s="477"/>
      <c r="AB671" s="477"/>
      <c r="AC671" s="480"/>
      <c r="AD671" s="477"/>
      <c r="AE671" s="477"/>
    </row>
    <row r="672" spans="1:31" s="506" customFormat="1" x14ac:dyDescent="0.25">
      <c r="A672" s="476"/>
      <c r="B672" s="477"/>
      <c r="C672" s="477"/>
      <c r="D672" s="477"/>
      <c r="E672" s="477"/>
      <c r="F672" s="478"/>
      <c r="G672" s="505"/>
      <c r="H672" s="505"/>
      <c r="I672" s="505"/>
      <c r="J672" s="501"/>
      <c r="K672" s="480"/>
      <c r="L672" s="481"/>
      <c r="M672" s="477"/>
      <c r="N672" s="477"/>
      <c r="O672" s="477"/>
      <c r="P672" s="505"/>
      <c r="Q672" s="505"/>
      <c r="R672" s="509"/>
      <c r="S672" s="477"/>
      <c r="T672" s="484"/>
      <c r="U672" s="484"/>
      <c r="V672" s="477"/>
      <c r="W672" s="477"/>
      <c r="X672" s="477"/>
      <c r="Y672" s="477"/>
      <c r="Z672" s="477"/>
      <c r="AA672" s="477"/>
      <c r="AB672" s="477"/>
      <c r="AC672" s="480"/>
      <c r="AD672" s="477"/>
      <c r="AE672" s="477"/>
    </row>
    <row r="673" spans="1:31" s="500" customFormat="1" x14ac:dyDescent="0.25">
      <c r="A673" s="502"/>
      <c r="B673" s="477"/>
      <c r="C673" s="477"/>
      <c r="D673" s="477"/>
      <c r="E673" s="477"/>
      <c r="F673" s="478"/>
      <c r="G673" s="477"/>
      <c r="H673" s="477"/>
      <c r="I673" s="477"/>
      <c r="J673" s="501"/>
      <c r="K673" s="480"/>
      <c r="L673" s="481"/>
      <c r="M673" s="477"/>
      <c r="N673" s="477"/>
      <c r="O673" s="477"/>
      <c r="P673" s="477"/>
      <c r="Q673" s="477"/>
      <c r="R673" s="509"/>
      <c r="S673" s="477"/>
      <c r="T673" s="484"/>
      <c r="U673" s="484"/>
      <c r="V673" s="477"/>
      <c r="W673" s="477"/>
      <c r="X673" s="477"/>
      <c r="Y673" s="477"/>
      <c r="Z673" s="477"/>
      <c r="AA673" s="477"/>
      <c r="AB673" s="477"/>
      <c r="AC673" s="477"/>
      <c r="AD673" s="477"/>
    </row>
    <row r="674" spans="1:31" s="503" customFormat="1" x14ac:dyDescent="0.25">
      <c r="A674" s="476"/>
      <c r="B674" s="454"/>
      <c r="C674" s="454"/>
      <c r="D674" s="477"/>
      <c r="E674" s="477"/>
      <c r="F674" s="478"/>
      <c r="G674" s="477"/>
      <c r="H674" s="477"/>
      <c r="I674" s="477"/>
      <c r="J674" s="501"/>
      <c r="K674" s="480"/>
      <c r="L674" s="480"/>
      <c r="M674" s="477"/>
      <c r="N674" s="477"/>
      <c r="O674" s="477"/>
      <c r="P674" s="477"/>
      <c r="Q674" s="477"/>
      <c r="R674" s="509"/>
      <c r="S674" s="477"/>
      <c r="T674" s="484"/>
      <c r="U674" s="477"/>
      <c r="V674" s="454"/>
      <c r="W674" s="454"/>
      <c r="X674" s="454"/>
      <c r="Y674" s="454"/>
      <c r="Z674" s="454"/>
      <c r="AA674" s="454"/>
      <c r="AB674" s="454"/>
      <c r="AC674" s="454"/>
      <c r="AD674" s="454"/>
    </row>
    <row r="675" spans="1:31" s="500" customFormat="1" x14ac:dyDescent="0.25">
      <c r="A675" s="502"/>
      <c r="B675" s="477"/>
      <c r="C675" s="477"/>
      <c r="D675" s="477"/>
      <c r="E675" s="477"/>
      <c r="F675" s="478"/>
      <c r="G675" s="477"/>
      <c r="H675" s="477"/>
      <c r="I675" s="477"/>
      <c r="J675" s="501"/>
      <c r="K675" s="480"/>
      <c r="L675" s="481"/>
      <c r="M675" s="477"/>
      <c r="N675" s="477"/>
      <c r="O675" s="477"/>
      <c r="P675" s="477"/>
      <c r="Q675" s="477"/>
      <c r="R675" s="509"/>
      <c r="S675" s="477"/>
      <c r="T675" s="484"/>
      <c r="U675" s="484"/>
      <c r="V675" s="477"/>
      <c r="W675" s="477"/>
      <c r="X675" s="477"/>
      <c r="Y675" s="477"/>
      <c r="Z675" s="477"/>
      <c r="AA675" s="477"/>
      <c r="AB675" s="477"/>
      <c r="AC675" s="477"/>
      <c r="AD675" s="477"/>
    </row>
    <row r="676" spans="1:31" s="506" customFormat="1" x14ac:dyDescent="0.25">
      <c r="A676" s="476"/>
      <c r="B676" s="477"/>
      <c r="C676" s="477"/>
      <c r="D676" s="477"/>
      <c r="E676" s="477"/>
      <c r="F676" s="478"/>
      <c r="G676" s="505"/>
      <c r="H676" s="505"/>
      <c r="I676" s="505"/>
      <c r="J676" s="501"/>
      <c r="K676" s="480"/>
      <c r="L676" s="481"/>
      <c r="M676" s="477"/>
      <c r="N676" s="477"/>
      <c r="O676" s="477"/>
      <c r="P676" s="505"/>
      <c r="Q676" s="505"/>
      <c r="R676" s="509"/>
      <c r="S676" s="477"/>
      <c r="T676" s="484"/>
      <c r="U676" s="484"/>
      <c r="V676" s="477"/>
      <c r="W676" s="477"/>
      <c r="X676" s="477"/>
      <c r="Y676" s="477"/>
      <c r="Z676" s="477"/>
      <c r="AA676" s="477"/>
      <c r="AB676" s="477"/>
      <c r="AC676" s="480"/>
      <c r="AD676" s="477"/>
      <c r="AE676" s="477"/>
    </row>
    <row r="677" spans="1:31" s="506" customFormat="1" x14ac:dyDescent="0.25">
      <c r="A677" s="502"/>
      <c r="B677" s="477"/>
      <c r="C677" s="477"/>
      <c r="D677" s="477"/>
      <c r="E677" s="477"/>
      <c r="F677" s="478"/>
      <c r="G677" s="505"/>
      <c r="H677" s="505"/>
      <c r="I677" s="505"/>
      <c r="J677" s="501"/>
      <c r="K677" s="480"/>
      <c r="L677" s="481"/>
      <c r="M677" s="477"/>
      <c r="N677" s="477"/>
      <c r="O677" s="477"/>
      <c r="P677" s="505"/>
      <c r="Q677" s="505"/>
      <c r="R677" s="509"/>
      <c r="S677" s="477"/>
      <c r="T677" s="484"/>
      <c r="U677" s="484"/>
      <c r="V677" s="477"/>
      <c r="W677" s="477"/>
      <c r="X677" s="477"/>
      <c r="Y677" s="477"/>
      <c r="Z677" s="477"/>
      <c r="AA677" s="477"/>
      <c r="AB677" s="477"/>
      <c r="AC677" s="480"/>
      <c r="AD677" s="477"/>
      <c r="AE677" s="477"/>
    </row>
    <row r="678" spans="1:31" s="500" customFormat="1" x14ac:dyDescent="0.25">
      <c r="A678" s="476"/>
      <c r="B678" s="477"/>
      <c r="C678" s="477"/>
      <c r="D678" s="477"/>
      <c r="E678" s="477"/>
      <c r="F678" s="478"/>
      <c r="G678" s="477"/>
      <c r="H678" s="477"/>
      <c r="I678" s="477"/>
      <c r="J678" s="501"/>
      <c r="K678" s="480"/>
      <c r="L678" s="481"/>
      <c r="M678" s="477"/>
      <c r="N678" s="477"/>
      <c r="O678" s="477"/>
      <c r="P678" s="477"/>
      <c r="Q678" s="477"/>
      <c r="R678" s="509"/>
      <c r="S678" s="477"/>
      <c r="T678" s="484"/>
      <c r="U678" s="484"/>
      <c r="V678" s="477"/>
      <c r="W678" s="477"/>
      <c r="X678" s="477"/>
      <c r="Y678" s="477"/>
      <c r="Z678" s="477"/>
      <c r="AA678" s="477"/>
      <c r="AB678" s="477"/>
      <c r="AC678" s="477"/>
      <c r="AD678" s="477"/>
    </row>
    <row r="679" spans="1:31" s="503" customFormat="1" x14ac:dyDescent="0.25">
      <c r="A679" s="502"/>
      <c r="B679" s="454"/>
      <c r="C679" s="454"/>
      <c r="D679" s="477"/>
      <c r="E679" s="477"/>
      <c r="F679" s="478"/>
      <c r="G679" s="477"/>
      <c r="H679" s="477"/>
      <c r="I679" s="477"/>
      <c r="J679" s="501"/>
      <c r="K679" s="480"/>
      <c r="L679" s="480"/>
      <c r="M679" s="477"/>
      <c r="N679" s="477"/>
      <c r="O679" s="477"/>
      <c r="P679" s="477"/>
      <c r="Q679" s="477"/>
      <c r="R679" s="509"/>
      <c r="S679" s="477"/>
      <c r="T679" s="484"/>
      <c r="U679" s="477"/>
      <c r="V679" s="454"/>
      <c r="W679" s="454"/>
      <c r="X679" s="454"/>
      <c r="Y679" s="454"/>
      <c r="Z679" s="454"/>
      <c r="AA679" s="454"/>
      <c r="AB679" s="454"/>
      <c r="AC679" s="454"/>
      <c r="AD679" s="454"/>
    </row>
    <row r="680" spans="1:31" s="500" customFormat="1" x14ac:dyDescent="0.25">
      <c r="A680" s="476"/>
      <c r="B680" s="477"/>
      <c r="C680" s="477"/>
      <c r="D680" s="477"/>
      <c r="E680" s="477"/>
      <c r="F680" s="478"/>
      <c r="G680" s="477"/>
      <c r="H680" s="477"/>
      <c r="I680" s="477"/>
      <c r="J680" s="501"/>
      <c r="K680" s="480"/>
      <c r="L680" s="481"/>
      <c r="M680" s="477"/>
      <c r="N680" s="477"/>
      <c r="O680" s="477"/>
      <c r="P680" s="477"/>
      <c r="Q680" s="477"/>
      <c r="R680" s="509"/>
      <c r="S680" s="477"/>
      <c r="T680" s="484"/>
      <c r="U680" s="484"/>
      <c r="V680" s="477"/>
      <c r="W680" s="477"/>
      <c r="X680" s="477"/>
      <c r="Y680" s="477"/>
      <c r="Z680" s="477"/>
      <c r="AA680" s="477"/>
      <c r="AB680" s="477"/>
      <c r="AC680" s="477"/>
      <c r="AD680" s="477"/>
    </row>
    <row r="681" spans="1:31" s="506" customFormat="1" x14ac:dyDescent="0.25">
      <c r="A681" s="502"/>
      <c r="B681" s="477"/>
      <c r="C681" s="477"/>
      <c r="D681" s="477"/>
      <c r="E681" s="477"/>
      <c r="F681" s="478"/>
      <c r="G681" s="477"/>
      <c r="H681" s="477"/>
      <c r="I681" s="477"/>
      <c r="J681" s="501"/>
      <c r="K681" s="480"/>
      <c r="L681" s="480"/>
      <c r="M681" s="477"/>
      <c r="N681" s="477"/>
      <c r="O681" s="477"/>
      <c r="P681" s="477"/>
      <c r="Q681" s="477"/>
      <c r="R681" s="509"/>
      <c r="S681" s="477"/>
      <c r="T681" s="484"/>
      <c r="U681" s="484"/>
      <c r="V681" s="477"/>
      <c r="W681" s="477"/>
      <c r="X681" s="477"/>
      <c r="Y681" s="477"/>
      <c r="Z681" s="477"/>
      <c r="AA681" s="477"/>
      <c r="AB681" s="477"/>
      <c r="AC681" s="477"/>
      <c r="AD681" s="477"/>
    </row>
    <row r="682" spans="1:31" s="503" customFormat="1" x14ac:dyDescent="0.25">
      <c r="A682" s="476"/>
      <c r="B682" s="454"/>
      <c r="C682" s="454"/>
      <c r="D682" s="477"/>
      <c r="E682" s="477"/>
      <c r="F682" s="478"/>
      <c r="G682" s="477"/>
      <c r="H682" s="477"/>
      <c r="I682" s="477"/>
      <c r="J682" s="501"/>
      <c r="K682" s="480"/>
      <c r="L682" s="480"/>
      <c r="M682" s="477"/>
      <c r="N682" s="477"/>
      <c r="O682" s="477"/>
      <c r="P682" s="477"/>
      <c r="Q682" s="477"/>
      <c r="R682" s="509"/>
      <c r="S682" s="477"/>
      <c r="T682" s="484"/>
      <c r="U682" s="477"/>
      <c r="V682" s="454"/>
      <c r="W682" s="454"/>
      <c r="X682" s="454"/>
      <c r="Y682" s="454"/>
      <c r="Z682" s="454"/>
      <c r="AA682" s="454"/>
      <c r="AB682" s="454"/>
      <c r="AC682" s="454"/>
      <c r="AD682" s="454"/>
    </row>
    <row r="683" spans="1:31" s="500" customFormat="1" x14ac:dyDescent="0.25">
      <c r="A683" s="502"/>
      <c r="B683" s="477"/>
      <c r="C683" s="477"/>
      <c r="D683" s="477"/>
      <c r="E683" s="477"/>
      <c r="F683" s="478"/>
      <c r="G683" s="477"/>
      <c r="H683" s="477"/>
      <c r="I683" s="477"/>
      <c r="J683" s="501"/>
      <c r="K683" s="480"/>
      <c r="L683" s="481"/>
      <c r="M683" s="477"/>
      <c r="N683" s="477"/>
      <c r="O683" s="477"/>
      <c r="P683" s="477"/>
      <c r="Q683" s="477"/>
      <c r="R683" s="509"/>
      <c r="S683" s="477"/>
      <c r="T683" s="484"/>
      <c r="U683" s="484"/>
      <c r="V683" s="477"/>
      <c r="W683" s="477"/>
      <c r="X683" s="477"/>
      <c r="Y683" s="477"/>
      <c r="Z683" s="477"/>
      <c r="AA683" s="477"/>
      <c r="AB683" s="477"/>
      <c r="AC683" s="477"/>
      <c r="AD683" s="477"/>
    </row>
    <row r="684" spans="1:31" s="506" customFormat="1" x14ac:dyDescent="0.25">
      <c r="A684" s="476"/>
      <c r="B684" s="477"/>
      <c r="C684" s="477"/>
      <c r="D684" s="477"/>
      <c r="E684" s="477"/>
      <c r="F684" s="478"/>
      <c r="G684" s="477"/>
      <c r="H684" s="477"/>
      <c r="I684" s="477"/>
      <c r="J684" s="501"/>
      <c r="K684" s="480"/>
      <c r="L684" s="480"/>
      <c r="M684" s="477"/>
      <c r="N684" s="477"/>
      <c r="O684" s="477"/>
      <c r="P684" s="477"/>
      <c r="Q684" s="477"/>
      <c r="R684" s="509"/>
      <c r="S684" s="477"/>
      <c r="T684" s="484"/>
      <c r="U684" s="484"/>
      <c r="V684" s="477"/>
      <c r="W684" s="477"/>
      <c r="X684" s="477"/>
      <c r="Y684" s="477"/>
      <c r="Z684" s="477"/>
      <c r="AA684" s="477"/>
      <c r="AB684" s="477"/>
      <c r="AC684" s="477"/>
      <c r="AD684" s="477"/>
    </row>
    <row r="685" spans="1:31" s="506" customFormat="1" x14ac:dyDescent="0.25">
      <c r="A685" s="502"/>
      <c r="B685" s="477"/>
      <c r="C685" s="477"/>
      <c r="D685" s="477"/>
      <c r="E685" s="477"/>
      <c r="F685" s="478"/>
      <c r="G685" s="505"/>
      <c r="H685" s="505"/>
      <c r="I685" s="505"/>
      <c r="J685" s="501"/>
      <c r="K685" s="480"/>
      <c r="L685" s="481"/>
      <c r="M685" s="477"/>
      <c r="N685" s="477"/>
      <c r="O685" s="477"/>
      <c r="P685" s="505"/>
      <c r="Q685" s="505"/>
      <c r="R685" s="509"/>
      <c r="S685" s="477"/>
      <c r="T685" s="484"/>
      <c r="U685" s="484"/>
      <c r="V685" s="477"/>
      <c r="W685" s="477"/>
      <c r="X685" s="477"/>
      <c r="Y685" s="477"/>
      <c r="Z685" s="477"/>
      <c r="AA685" s="477"/>
      <c r="AB685" s="477"/>
      <c r="AC685" s="480"/>
      <c r="AD685" s="477"/>
      <c r="AE685" s="477"/>
    </row>
    <row r="686" spans="1:31" s="503" customFormat="1" x14ac:dyDescent="0.25">
      <c r="A686" s="476"/>
      <c r="B686" s="454"/>
      <c r="C686" s="454"/>
      <c r="D686" s="477"/>
      <c r="E686" s="477"/>
      <c r="F686" s="478"/>
      <c r="G686" s="477"/>
      <c r="H686" s="477"/>
      <c r="I686" s="477"/>
      <c r="J686" s="501"/>
      <c r="K686" s="480"/>
      <c r="L686" s="480"/>
      <c r="M686" s="477"/>
      <c r="N686" s="477"/>
      <c r="O686" s="477"/>
      <c r="P686" s="477"/>
      <c r="Q686" s="477"/>
      <c r="R686" s="509"/>
      <c r="S686" s="477"/>
      <c r="T686" s="484"/>
      <c r="U686" s="477"/>
      <c r="V686" s="454"/>
      <c r="W686" s="454"/>
      <c r="X686" s="454"/>
      <c r="Y686" s="454"/>
      <c r="Z686" s="454"/>
      <c r="AA686" s="454"/>
      <c r="AB686" s="454"/>
      <c r="AC686" s="454"/>
      <c r="AD686" s="454"/>
    </row>
    <row r="687" spans="1:31" s="500" customFormat="1" x14ac:dyDescent="0.25">
      <c r="A687" s="502"/>
      <c r="B687" s="477"/>
      <c r="C687" s="477"/>
      <c r="D687" s="477"/>
      <c r="E687" s="477"/>
      <c r="F687" s="478"/>
      <c r="G687" s="477"/>
      <c r="H687" s="477"/>
      <c r="I687" s="477"/>
      <c r="J687" s="501"/>
      <c r="K687" s="480"/>
      <c r="L687" s="481"/>
      <c r="M687" s="477"/>
      <c r="N687" s="477"/>
      <c r="O687" s="477"/>
      <c r="P687" s="477"/>
      <c r="Q687" s="477"/>
      <c r="R687" s="509"/>
      <c r="S687" s="477"/>
      <c r="T687" s="484"/>
      <c r="U687" s="484"/>
      <c r="V687" s="477"/>
      <c r="W687" s="477"/>
      <c r="X687" s="477"/>
      <c r="Y687" s="477"/>
      <c r="Z687" s="477"/>
      <c r="AA687" s="477"/>
      <c r="AB687" s="477"/>
      <c r="AC687" s="477"/>
      <c r="AD687" s="477"/>
    </row>
    <row r="688" spans="1:31" s="506" customFormat="1" x14ac:dyDescent="0.25">
      <c r="A688" s="476"/>
      <c r="B688" s="477"/>
      <c r="C688" s="477"/>
      <c r="D688" s="477"/>
      <c r="E688" s="477"/>
      <c r="F688" s="478"/>
      <c r="G688" s="477"/>
      <c r="H688" s="477"/>
      <c r="I688" s="477"/>
      <c r="J688" s="501"/>
      <c r="K688" s="480"/>
      <c r="L688" s="480"/>
      <c r="M688" s="477"/>
      <c r="N688" s="477"/>
      <c r="O688" s="477"/>
      <c r="P688" s="477"/>
      <c r="Q688" s="477"/>
      <c r="R688" s="509"/>
      <c r="S688" s="477"/>
      <c r="T688" s="484"/>
      <c r="U688" s="484"/>
      <c r="V688" s="477"/>
      <c r="W688" s="477"/>
      <c r="X688" s="477"/>
      <c r="Y688" s="477"/>
      <c r="Z688" s="477"/>
      <c r="AA688" s="477"/>
      <c r="AB688" s="477"/>
      <c r="AC688" s="477"/>
      <c r="AD688" s="477"/>
    </row>
    <row r="689" spans="1:31" s="506" customFormat="1" x14ac:dyDescent="0.25">
      <c r="A689" s="502"/>
      <c r="B689" s="477"/>
      <c r="C689" s="477"/>
      <c r="D689" s="477"/>
      <c r="E689" s="477"/>
      <c r="F689" s="478"/>
      <c r="G689" s="505"/>
      <c r="H689" s="505"/>
      <c r="I689" s="505"/>
      <c r="J689" s="501"/>
      <c r="K689" s="480"/>
      <c r="L689" s="481"/>
      <c r="M689" s="477"/>
      <c r="N689" s="477"/>
      <c r="O689" s="477"/>
      <c r="P689" s="505"/>
      <c r="Q689" s="505"/>
      <c r="R689" s="509"/>
      <c r="S689" s="477"/>
      <c r="T689" s="484"/>
      <c r="U689" s="484"/>
      <c r="V689" s="477"/>
      <c r="W689" s="477"/>
      <c r="X689" s="477"/>
      <c r="Y689" s="477"/>
      <c r="Z689" s="477"/>
      <c r="AA689" s="477"/>
      <c r="AB689" s="477"/>
      <c r="AC689" s="480"/>
      <c r="AD689" s="477"/>
      <c r="AE689" s="477"/>
    </row>
    <row r="690" spans="1:31" s="506" customFormat="1" x14ac:dyDescent="0.25">
      <c r="A690" s="476"/>
      <c r="B690" s="477"/>
      <c r="C690" s="477"/>
      <c r="D690" s="477"/>
      <c r="E690" s="477"/>
      <c r="F690" s="478"/>
      <c r="G690" s="505"/>
      <c r="H690" s="505"/>
      <c r="I690" s="505"/>
      <c r="J690" s="501"/>
      <c r="K690" s="480"/>
      <c r="L690" s="481"/>
      <c r="M690" s="477"/>
      <c r="N690" s="477"/>
      <c r="O690" s="477"/>
      <c r="P690" s="505"/>
      <c r="Q690" s="505"/>
      <c r="R690" s="509"/>
      <c r="S690" s="477"/>
      <c r="T690" s="484"/>
      <c r="U690" s="484"/>
      <c r="V690" s="477"/>
      <c r="W690" s="477"/>
      <c r="X690" s="477"/>
      <c r="Y690" s="477"/>
      <c r="Z690" s="477"/>
      <c r="AA690" s="477"/>
      <c r="AB690" s="477"/>
      <c r="AC690" s="480"/>
      <c r="AD690" s="477"/>
      <c r="AE690" s="477"/>
    </row>
    <row r="691" spans="1:31" s="506" customFormat="1" x14ac:dyDescent="0.25">
      <c r="A691" s="502"/>
      <c r="B691" s="477"/>
      <c r="C691" s="477"/>
      <c r="D691" s="477"/>
      <c r="E691" s="477"/>
      <c r="F691" s="478"/>
      <c r="G691" s="505"/>
      <c r="H691" s="505"/>
      <c r="I691" s="505"/>
      <c r="J691" s="501"/>
      <c r="K691" s="480"/>
      <c r="L691" s="481"/>
      <c r="M691" s="477"/>
      <c r="N691" s="477"/>
      <c r="O691" s="477"/>
      <c r="P691" s="505"/>
      <c r="Q691" s="505"/>
      <c r="R691" s="509"/>
      <c r="S691" s="477"/>
      <c r="T691" s="484"/>
      <c r="U691" s="484"/>
      <c r="V691" s="477"/>
      <c r="W691" s="477"/>
      <c r="X691" s="477"/>
      <c r="Y691" s="477"/>
      <c r="Z691" s="477"/>
      <c r="AA691" s="477"/>
      <c r="AB691" s="477"/>
      <c r="AC691" s="480"/>
      <c r="AD691" s="477"/>
      <c r="AE691" s="477"/>
    </row>
    <row r="692" spans="1:31" s="500" customFormat="1" x14ac:dyDescent="0.25">
      <c r="A692" s="476"/>
      <c r="B692" s="477"/>
      <c r="C692" s="477"/>
      <c r="D692" s="477"/>
      <c r="E692" s="477"/>
      <c r="F692" s="478"/>
      <c r="G692" s="477"/>
      <c r="H692" s="477"/>
      <c r="I692" s="477"/>
      <c r="J692" s="501"/>
      <c r="K692" s="480"/>
      <c r="L692" s="481"/>
      <c r="M692" s="477"/>
      <c r="N692" s="477"/>
      <c r="O692" s="477"/>
      <c r="P692" s="477"/>
      <c r="Q692" s="477"/>
      <c r="R692" s="509"/>
      <c r="S692" s="477"/>
      <c r="T692" s="484"/>
      <c r="U692" s="484"/>
      <c r="V692" s="477"/>
      <c r="W692" s="477"/>
      <c r="X692" s="477"/>
      <c r="Y692" s="477"/>
      <c r="Z692" s="477"/>
      <c r="AA692" s="477"/>
      <c r="AB692" s="477"/>
      <c r="AC692" s="477"/>
      <c r="AD692" s="477"/>
    </row>
    <row r="693" spans="1:31" s="506" customFormat="1" x14ac:dyDescent="0.25">
      <c r="A693" s="502"/>
      <c r="B693" s="477"/>
      <c r="C693" s="477"/>
      <c r="D693" s="477"/>
      <c r="E693" s="477"/>
      <c r="F693" s="478"/>
      <c r="G693" s="505"/>
      <c r="H693" s="505"/>
      <c r="I693" s="505"/>
      <c r="J693" s="501"/>
      <c r="K693" s="480"/>
      <c r="L693" s="481"/>
      <c r="M693" s="477"/>
      <c r="N693" s="477"/>
      <c r="O693" s="477"/>
      <c r="P693" s="505"/>
      <c r="Q693" s="505"/>
      <c r="R693" s="509"/>
      <c r="S693" s="477"/>
      <c r="T693" s="484"/>
      <c r="U693" s="484"/>
      <c r="V693" s="477"/>
      <c r="W693" s="477"/>
      <c r="X693" s="477"/>
      <c r="Y693" s="477"/>
      <c r="Z693" s="477"/>
      <c r="AA693" s="477"/>
      <c r="AB693" s="477"/>
      <c r="AC693" s="480"/>
      <c r="AD693" s="477"/>
      <c r="AE693" s="477"/>
    </row>
    <row r="694" spans="1:31" s="506" customFormat="1" x14ac:dyDescent="0.25">
      <c r="A694" s="476"/>
      <c r="B694" s="477"/>
      <c r="C694" s="477"/>
      <c r="D694" s="477"/>
      <c r="E694" s="477"/>
      <c r="F694" s="478"/>
      <c r="G694" s="505"/>
      <c r="H694" s="505"/>
      <c r="I694" s="505"/>
      <c r="J694" s="501"/>
      <c r="K694" s="480"/>
      <c r="L694" s="481"/>
      <c r="M694" s="477"/>
      <c r="N694" s="477"/>
      <c r="O694" s="477"/>
      <c r="P694" s="505"/>
      <c r="Q694" s="505"/>
      <c r="R694" s="509"/>
      <c r="S694" s="477"/>
      <c r="T694" s="484"/>
      <c r="U694" s="484"/>
      <c r="V694" s="477"/>
      <c r="W694" s="477"/>
      <c r="X694" s="477"/>
      <c r="Y694" s="477"/>
      <c r="Z694" s="477"/>
      <c r="AA694" s="477"/>
      <c r="AB694" s="477"/>
      <c r="AC694" s="480"/>
      <c r="AD694" s="477"/>
      <c r="AE694" s="477"/>
    </row>
    <row r="695" spans="1:31" s="500" customFormat="1" x14ac:dyDescent="0.25">
      <c r="A695" s="502"/>
      <c r="B695" s="477"/>
      <c r="C695" s="477"/>
      <c r="D695" s="477"/>
      <c r="E695" s="477"/>
      <c r="F695" s="478"/>
      <c r="G695" s="477"/>
      <c r="H695" s="477"/>
      <c r="I695" s="477"/>
      <c r="J695" s="501"/>
      <c r="K695" s="480"/>
      <c r="L695" s="481"/>
      <c r="M695" s="477"/>
      <c r="N695" s="477"/>
      <c r="O695" s="477"/>
      <c r="P695" s="477"/>
      <c r="Q695" s="477"/>
      <c r="R695" s="509"/>
      <c r="S695" s="477"/>
      <c r="T695" s="484"/>
      <c r="U695" s="484"/>
      <c r="V695" s="477"/>
      <c r="W695" s="477"/>
      <c r="X695" s="477"/>
      <c r="Y695" s="477"/>
      <c r="Z695" s="477"/>
      <c r="AA695" s="477"/>
      <c r="AB695" s="477"/>
      <c r="AC695" s="477"/>
      <c r="AD695" s="477"/>
    </row>
    <row r="696" spans="1:31" s="503" customFormat="1" x14ac:dyDescent="0.25">
      <c r="A696" s="476"/>
      <c r="B696" s="454"/>
      <c r="C696" s="454"/>
      <c r="D696" s="477"/>
      <c r="E696" s="477"/>
      <c r="F696" s="478"/>
      <c r="G696" s="477"/>
      <c r="H696" s="477"/>
      <c r="I696" s="477"/>
      <c r="J696" s="501"/>
      <c r="K696" s="480"/>
      <c r="L696" s="480"/>
      <c r="M696" s="477"/>
      <c r="N696" s="477"/>
      <c r="O696" s="477"/>
      <c r="P696" s="477"/>
      <c r="Q696" s="477"/>
      <c r="R696" s="509"/>
      <c r="S696" s="477"/>
      <c r="T696" s="484"/>
      <c r="U696" s="477"/>
      <c r="V696" s="454"/>
      <c r="W696" s="454"/>
      <c r="X696" s="454"/>
      <c r="Y696" s="454"/>
      <c r="Z696" s="454"/>
      <c r="AA696" s="454"/>
      <c r="AB696" s="454"/>
      <c r="AC696" s="454"/>
      <c r="AD696" s="454"/>
    </row>
    <row r="697" spans="1:31" s="500" customFormat="1" x14ac:dyDescent="0.25">
      <c r="A697" s="502"/>
      <c r="B697" s="477"/>
      <c r="C697" s="477"/>
      <c r="D697" s="477"/>
      <c r="E697" s="477"/>
      <c r="F697" s="478"/>
      <c r="G697" s="477"/>
      <c r="H697" s="477"/>
      <c r="I697" s="477"/>
      <c r="J697" s="501"/>
      <c r="K697" s="480"/>
      <c r="L697" s="481"/>
      <c r="M697" s="477"/>
      <c r="N697" s="477"/>
      <c r="O697" s="477"/>
      <c r="P697" s="477"/>
      <c r="Q697" s="477"/>
      <c r="R697" s="509"/>
      <c r="S697" s="477"/>
      <c r="T697" s="484"/>
      <c r="U697" s="484"/>
      <c r="V697" s="477"/>
      <c r="W697" s="477"/>
      <c r="X697" s="477"/>
      <c r="Y697" s="477"/>
      <c r="Z697" s="477"/>
      <c r="AA697" s="477"/>
      <c r="AB697" s="477"/>
      <c r="AC697" s="477"/>
      <c r="AD697" s="477"/>
    </row>
    <row r="698" spans="1:31" s="506" customFormat="1" x14ac:dyDescent="0.25">
      <c r="A698" s="476"/>
      <c r="B698" s="477"/>
      <c r="C698" s="477"/>
      <c r="D698" s="477"/>
      <c r="E698" s="477"/>
      <c r="F698" s="478"/>
      <c r="G698" s="505"/>
      <c r="H698" s="505"/>
      <c r="I698" s="505"/>
      <c r="J698" s="501"/>
      <c r="K698" s="480"/>
      <c r="L698" s="481"/>
      <c r="M698" s="477"/>
      <c r="N698" s="477"/>
      <c r="O698" s="477"/>
      <c r="P698" s="505"/>
      <c r="Q698" s="505"/>
      <c r="R698" s="509"/>
      <c r="S698" s="477"/>
      <c r="T698" s="484"/>
      <c r="U698" s="484"/>
      <c r="V698" s="477"/>
      <c r="W698" s="477"/>
      <c r="X698" s="477"/>
      <c r="Y698" s="477"/>
      <c r="Z698" s="477"/>
      <c r="AA698" s="477"/>
      <c r="AB698" s="477"/>
      <c r="AC698" s="480"/>
      <c r="AD698" s="477"/>
      <c r="AE698" s="477"/>
    </row>
    <row r="699" spans="1:31" s="506" customFormat="1" x14ac:dyDescent="0.25">
      <c r="A699" s="502"/>
      <c r="B699" s="477"/>
      <c r="C699" s="477"/>
      <c r="D699" s="477"/>
      <c r="E699" s="477"/>
      <c r="F699" s="478"/>
      <c r="G699" s="505"/>
      <c r="H699" s="505"/>
      <c r="I699" s="505"/>
      <c r="J699" s="501"/>
      <c r="K699" s="480"/>
      <c r="L699" s="481"/>
      <c r="M699" s="477"/>
      <c r="N699" s="477"/>
      <c r="O699" s="477"/>
      <c r="P699" s="505"/>
      <c r="Q699" s="505"/>
      <c r="R699" s="509"/>
      <c r="S699" s="477"/>
      <c r="T699" s="484"/>
      <c r="U699" s="484"/>
      <c r="V699" s="477"/>
      <c r="W699" s="477"/>
      <c r="X699" s="477"/>
      <c r="Y699" s="477"/>
      <c r="Z699" s="477"/>
      <c r="AA699" s="477"/>
      <c r="AB699" s="477"/>
      <c r="AC699" s="480"/>
      <c r="AD699" s="477"/>
      <c r="AE699" s="477"/>
    </row>
    <row r="700" spans="1:31" s="503" customFormat="1" x14ac:dyDescent="0.25">
      <c r="A700" s="476"/>
      <c r="B700" s="454"/>
      <c r="C700" s="454"/>
      <c r="D700" s="477"/>
      <c r="E700" s="477"/>
      <c r="F700" s="478"/>
      <c r="G700" s="477"/>
      <c r="H700" s="477"/>
      <c r="I700" s="477"/>
      <c r="J700" s="501"/>
      <c r="K700" s="480"/>
      <c r="L700" s="480"/>
      <c r="M700" s="477"/>
      <c r="N700" s="477"/>
      <c r="O700" s="477"/>
      <c r="P700" s="477"/>
      <c r="Q700" s="477"/>
      <c r="R700" s="509"/>
      <c r="S700" s="477"/>
      <c r="T700" s="484"/>
      <c r="U700" s="477"/>
      <c r="V700" s="454"/>
      <c r="W700" s="454"/>
      <c r="X700" s="454"/>
      <c r="Y700" s="454"/>
      <c r="Z700" s="454"/>
      <c r="AA700" s="454"/>
      <c r="AB700" s="454"/>
      <c r="AC700" s="454"/>
      <c r="AD700" s="454"/>
    </row>
    <row r="701" spans="1:31" s="500" customFormat="1" x14ac:dyDescent="0.25">
      <c r="A701" s="502"/>
      <c r="B701" s="477"/>
      <c r="C701" s="477"/>
      <c r="D701" s="477"/>
      <c r="E701" s="477"/>
      <c r="F701" s="478"/>
      <c r="G701" s="477"/>
      <c r="H701" s="477"/>
      <c r="I701" s="477"/>
      <c r="J701" s="501"/>
      <c r="K701" s="480"/>
      <c r="L701" s="481"/>
      <c r="M701" s="477"/>
      <c r="N701" s="477"/>
      <c r="O701" s="477"/>
      <c r="P701" s="477"/>
      <c r="Q701" s="477"/>
      <c r="R701" s="509"/>
      <c r="S701" s="477"/>
      <c r="T701" s="484"/>
      <c r="U701" s="484"/>
      <c r="V701" s="477"/>
      <c r="W701" s="477"/>
      <c r="X701" s="477"/>
      <c r="Y701" s="477"/>
      <c r="Z701" s="477"/>
      <c r="AA701" s="477"/>
      <c r="AB701" s="477"/>
      <c r="AC701" s="477"/>
      <c r="AD701" s="477"/>
    </row>
    <row r="702" spans="1:31" s="506" customFormat="1" x14ac:dyDescent="0.25">
      <c r="A702" s="476"/>
      <c r="B702" s="477"/>
      <c r="C702" s="477"/>
      <c r="D702" s="477"/>
      <c r="E702" s="477"/>
      <c r="F702" s="478"/>
      <c r="G702" s="477"/>
      <c r="H702" s="477"/>
      <c r="I702" s="477"/>
      <c r="J702" s="501"/>
      <c r="K702" s="480"/>
      <c r="L702" s="480"/>
      <c r="M702" s="477"/>
      <c r="N702" s="477"/>
      <c r="O702" s="477"/>
      <c r="P702" s="477"/>
      <c r="Q702" s="477"/>
      <c r="R702" s="509"/>
      <c r="S702" s="477"/>
      <c r="T702" s="484"/>
      <c r="U702" s="484"/>
      <c r="V702" s="477"/>
      <c r="W702" s="477"/>
      <c r="X702" s="477"/>
      <c r="Y702" s="477"/>
      <c r="Z702" s="477"/>
      <c r="AA702" s="477"/>
      <c r="AB702" s="477"/>
      <c r="AC702" s="477"/>
      <c r="AD702" s="477"/>
    </row>
    <row r="703" spans="1:31" s="506" customFormat="1" x14ac:dyDescent="0.25">
      <c r="A703" s="502"/>
      <c r="B703" s="477"/>
      <c r="C703" s="477"/>
      <c r="D703" s="477"/>
      <c r="E703" s="477"/>
      <c r="F703" s="478"/>
      <c r="G703" s="505"/>
      <c r="H703" s="505"/>
      <c r="I703" s="505"/>
      <c r="J703" s="501"/>
      <c r="K703" s="480"/>
      <c r="L703" s="481"/>
      <c r="M703" s="477"/>
      <c r="N703" s="477"/>
      <c r="O703" s="477"/>
      <c r="P703" s="505"/>
      <c r="Q703" s="505"/>
      <c r="R703" s="509"/>
      <c r="S703" s="477"/>
      <c r="T703" s="484"/>
      <c r="U703" s="484"/>
      <c r="V703" s="477"/>
      <c r="W703" s="477"/>
      <c r="X703" s="477"/>
      <c r="Y703" s="477"/>
      <c r="Z703" s="477"/>
      <c r="AA703" s="477"/>
      <c r="AB703" s="477"/>
      <c r="AC703" s="480"/>
      <c r="AD703" s="477"/>
      <c r="AE703" s="477"/>
    </row>
    <row r="704" spans="1:31" s="503" customFormat="1" x14ac:dyDescent="0.25">
      <c r="A704" s="476"/>
      <c r="B704" s="454"/>
      <c r="C704" s="454"/>
      <c r="D704" s="477"/>
      <c r="E704" s="477"/>
      <c r="F704" s="478"/>
      <c r="G704" s="477"/>
      <c r="H704" s="477"/>
      <c r="I704" s="477"/>
      <c r="J704" s="501"/>
      <c r="K704" s="480"/>
      <c r="L704" s="480"/>
      <c r="M704" s="477"/>
      <c r="N704" s="477"/>
      <c r="O704" s="477"/>
      <c r="P704" s="477"/>
      <c r="Q704" s="477"/>
      <c r="R704" s="509"/>
      <c r="S704" s="477"/>
      <c r="T704" s="484"/>
      <c r="U704" s="477"/>
      <c r="V704" s="454"/>
      <c r="W704" s="454"/>
      <c r="X704" s="454"/>
      <c r="Y704" s="454"/>
      <c r="Z704" s="454"/>
      <c r="AA704" s="454"/>
      <c r="AB704" s="454"/>
      <c r="AC704" s="454"/>
      <c r="AD704" s="454"/>
    </row>
    <row r="705" spans="1:31" s="500" customFormat="1" x14ac:dyDescent="0.25">
      <c r="A705" s="502"/>
      <c r="B705" s="477"/>
      <c r="C705" s="477"/>
      <c r="D705" s="477"/>
      <c r="E705" s="477"/>
      <c r="F705" s="478"/>
      <c r="G705" s="477"/>
      <c r="H705" s="477"/>
      <c r="I705" s="477"/>
      <c r="J705" s="501"/>
      <c r="K705" s="480"/>
      <c r="L705" s="481"/>
      <c r="M705" s="477"/>
      <c r="N705" s="477"/>
      <c r="O705" s="477"/>
      <c r="P705" s="477"/>
      <c r="Q705" s="477"/>
      <c r="R705" s="509"/>
      <c r="S705" s="477"/>
      <c r="T705" s="484"/>
      <c r="U705" s="484"/>
      <c r="V705" s="477"/>
      <c r="W705" s="477"/>
      <c r="X705" s="477"/>
      <c r="Y705" s="477"/>
      <c r="Z705" s="477"/>
      <c r="AA705" s="477"/>
      <c r="AB705" s="477"/>
      <c r="AC705" s="477"/>
      <c r="AD705" s="477"/>
    </row>
    <row r="706" spans="1:31" s="506" customFormat="1" x14ac:dyDescent="0.25">
      <c r="A706" s="476"/>
      <c r="B706" s="477"/>
      <c r="C706" s="477"/>
      <c r="D706" s="477"/>
      <c r="E706" s="477"/>
      <c r="F706" s="478"/>
      <c r="G706" s="477"/>
      <c r="H706" s="477"/>
      <c r="I706" s="477"/>
      <c r="J706" s="501"/>
      <c r="K706" s="480"/>
      <c r="L706" s="480"/>
      <c r="M706" s="477"/>
      <c r="N706" s="477"/>
      <c r="O706" s="477"/>
      <c r="P706" s="477"/>
      <c r="Q706" s="477"/>
      <c r="R706" s="509"/>
      <c r="S706" s="477"/>
      <c r="T706" s="484"/>
      <c r="U706" s="484"/>
      <c r="V706" s="477"/>
      <c r="W706" s="477"/>
      <c r="X706" s="477"/>
      <c r="Y706" s="477"/>
      <c r="Z706" s="477"/>
      <c r="AA706" s="477"/>
      <c r="AB706" s="477"/>
      <c r="AC706" s="477"/>
      <c r="AD706" s="477"/>
    </row>
    <row r="707" spans="1:31" s="506" customFormat="1" x14ac:dyDescent="0.25">
      <c r="A707" s="502"/>
      <c r="B707" s="477"/>
      <c r="C707" s="477"/>
      <c r="D707" s="477"/>
      <c r="E707" s="477"/>
      <c r="F707" s="478"/>
      <c r="G707" s="505"/>
      <c r="H707" s="505"/>
      <c r="I707" s="505"/>
      <c r="J707" s="501"/>
      <c r="K707" s="480"/>
      <c r="L707" s="481"/>
      <c r="M707" s="477"/>
      <c r="N707" s="477"/>
      <c r="O707" s="477"/>
      <c r="P707" s="505"/>
      <c r="Q707" s="505"/>
      <c r="R707" s="509"/>
      <c r="S707" s="477"/>
      <c r="T707" s="484"/>
      <c r="U707" s="484"/>
      <c r="V707" s="477"/>
      <c r="W707" s="477"/>
      <c r="X707" s="477"/>
      <c r="Y707" s="477"/>
      <c r="Z707" s="477"/>
      <c r="AA707" s="477"/>
      <c r="AB707" s="477"/>
      <c r="AC707" s="480"/>
      <c r="AD707" s="477"/>
      <c r="AE707" s="477"/>
    </row>
    <row r="708" spans="1:31" s="506" customFormat="1" x14ac:dyDescent="0.25">
      <c r="A708" s="476"/>
      <c r="B708" s="477"/>
      <c r="C708" s="477"/>
      <c r="D708" s="477"/>
      <c r="E708" s="477"/>
      <c r="F708" s="478"/>
      <c r="G708" s="505"/>
      <c r="H708" s="505"/>
      <c r="I708" s="505"/>
      <c r="J708" s="501"/>
      <c r="K708" s="480"/>
      <c r="L708" s="481"/>
      <c r="M708" s="477"/>
      <c r="N708" s="477"/>
      <c r="O708" s="477"/>
      <c r="P708" s="505"/>
      <c r="Q708" s="505"/>
      <c r="R708" s="509"/>
      <c r="S708" s="477"/>
      <c r="T708" s="484"/>
      <c r="U708" s="484"/>
      <c r="V708" s="477"/>
      <c r="W708" s="477"/>
      <c r="X708" s="477"/>
      <c r="Y708" s="477"/>
      <c r="Z708" s="477"/>
      <c r="AA708" s="477"/>
      <c r="AB708" s="477"/>
      <c r="AC708" s="480"/>
      <c r="AD708" s="477"/>
      <c r="AE708" s="477"/>
    </row>
    <row r="709" spans="1:31" s="506" customFormat="1" x14ac:dyDescent="0.25">
      <c r="A709" s="502"/>
      <c r="B709" s="477"/>
      <c r="C709" s="477"/>
      <c r="D709" s="477"/>
      <c r="E709" s="477"/>
      <c r="F709" s="478"/>
      <c r="G709" s="505"/>
      <c r="H709" s="505"/>
      <c r="I709" s="505"/>
      <c r="J709" s="501"/>
      <c r="K709" s="480"/>
      <c r="L709" s="481"/>
      <c r="M709" s="477"/>
      <c r="N709" s="477"/>
      <c r="O709" s="477"/>
      <c r="P709" s="505"/>
      <c r="Q709" s="505"/>
      <c r="R709" s="509"/>
      <c r="S709" s="477"/>
      <c r="T709" s="484"/>
      <c r="U709" s="484"/>
      <c r="V709" s="477"/>
      <c r="W709" s="477"/>
      <c r="X709" s="477"/>
      <c r="Y709" s="477"/>
      <c r="Z709" s="477"/>
      <c r="AA709" s="477"/>
      <c r="AB709" s="477"/>
      <c r="AC709" s="480"/>
      <c r="AD709" s="477"/>
      <c r="AE709" s="477"/>
    </row>
    <row r="710" spans="1:31" s="500" customFormat="1" x14ac:dyDescent="0.25">
      <c r="A710" s="476"/>
      <c r="B710" s="477"/>
      <c r="C710" s="477"/>
      <c r="D710" s="477"/>
      <c r="E710" s="477"/>
      <c r="F710" s="478"/>
      <c r="G710" s="477"/>
      <c r="H710" s="477"/>
      <c r="I710" s="477"/>
      <c r="J710" s="501"/>
      <c r="K710" s="480"/>
      <c r="L710" s="481"/>
      <c r="M710" s="477"/>
      <c r="N710" s="477"/>
      <c r="O710" s="477"/>
      <c r="P710" s="477"/>
      <c r="Q710" s="477"/>
      <c r="R710" s="509"/>
      <c r="S710" s="477"/>
      <c r="T710" s="484"/>
      <c r="U710" s="484"/>
      <c r="V710" s="477"/>
      <c r="W710" s="477"/>
      <c r="X710" s="477"/>
      <c r="Y710" s="477"/>
      <c r="Z710" s="477"/>
      <c r="AA710" s="477"/>
      <c r="AB710" s="477"/>
      <c r="AC710" s="477"/>
      <c r="AD710" s="477"/>
    </row>
    <row r="711" spans="1:31" s="506" customFormat="1" x14ac:dyDescent="0.25">
      <c r="A711" s="502"/>
      <c r="B711" s="477"/>
      <c r="C711" s="477"/>
      <c r="D711" s="477"/>
      <c r="E711" s="477"/>
      <c r="F711" s="478"/>
      <c r="G711" s="505"/>
      <c r="H711" s="505"/>
      <c r="I711" s="505"/>
      <c r="J711" s="501"/>
      <c r="K711" s="480"/>
      <c r="L711" s="481"/>
      <c r="M711" s="477"/>
      <c r="N711" s="477"/>
      <c r="O711" s="477"/>
      <c r="P711" s="505"/>
      <c r="Q711" s="505"/>
      <c r="R711" s="509"/>
      <c r="S711" s="477"/>
      <c r="T711" s="484"/>
      <c r="U711" s="484"/>
      <c r="V711" s="477"/>
      <c r="W711" s="477"/>
      <c r="X711" s="477"/>
      <c r="Y711" s="477"/>
      <c r="Z711" s="477"/>
      <c r="AA711" s="477"/>
      <c r="AB711" s="477"/>
      <c r="AC711" s="480"/>
      <c r="AD711" s="477"/>
      <c r="AE711" s="477"/>
    </row>
    <row r="712" spans="1:31" s="506" customFormat="1" x14ac:dyDescent="0.25">
      <c r="A712" s="476"/>
      <c r="B712" s="477"/>
      <c r="C712" s="477"/>
      <c r="D712" s="477"/>
      <c r="E712" s="477"/>
      <c r="F712" s="478"/>
      <c r="G712" s="505"/>
      <c r="H712" s="505"/>
      <c r="I712" s="505"/>
      <c r="J712" s="501"/>
      <c r="K712" s="480"/>
      <c r="L712" s="481"/>
      <c r="M712" s="477"/>
      <c r="N712" s="477"/>
      <c r="O712" s="477"/>
      <c r="P712" s="505"/>
      <c r="Q712" s="505"/>
      <c r="R712" s="509"/>
      <c r="S712" s="477"/>
      <c r="T712" s="484"/>
      <c r="U712" s="484"/>
      <c r="V712" s="477"/>
      <c r="W712" s="477"/>
      <c r="X712" s="477"/>
      <c r="Y712" s="477"/>
      <c r="Z712" s="477"/>
      <c r="AA712" s="477"/>
      <c r="AB712" s="477"/>
      <c r="AC712" s="480"/>
      <c r="AD712" s="477"/>
      <c r="AE712" s="477"/>
    </row>
    <row r="713" spans="1:31" s="500" customFormat="1" x14ac:dyDescent="0.25">
      <c r="A713" s="502"/>
      <c r="B713" s="477"/>
      <c r="C713" s="477"/>
      <c r="D713" s="477"/>
      <c r="E713" s="477"/>
      <c r="F713" s="478"/>
      <c r="G713" s="477"/>
      <c r="H713" s="477"/>
      <c r="I713" s="477"/>
      <c r="J713" s="501"/>
      <c r="K713" s="480"/>
      <c r="L713" s="481"/>
      <c r="M713" s="477"/>
      <c r="N713" s="477"/>
      <c r="O713" s="477"/>
      <c r="P713" s="477"/>
      <c r="Q713" s="477"/>
      <c r="R713" s="509"/>
      <c r="S713" s="477"/>
      <c r="T713" s="484"/>
      <c r="U713" s="484"/>
      <c r="V713" s="477"/>
      <c r="W713" s="477"/>
      <c r="X713" s="477"/>
      <c r="Y713" s="477"/>
      <c r="Z713" s="477"/>
      <c r="AA713" s="477"/>
      <c r="AB713" s="477"/>
      <c r="AC713" s="477"/>
      <c r="AD713" s="477"/>
    </row>
    <row r="714" spans="1:31" s="503" customFormat="1" x14ac:dyDescent="0.25">
      <c r="A714" s="476"/>
      <c r="B714" s="454"/>
      <c r="C714" s="454"/>
      <c r="D714" s="477"/>
      <c r="E714" s="477"/>
      <c r="F714" s="478"/>
      <c r="G714" s="477"/>
      <c r="H714" s="477"/>
      <c r="I714" s="477"/>
      <c r="J714" s="501"/>
      <c r="K714" s="480"/>
      <c r="L714" s="480"/>
      <c r="M714" s="477"/>
      <c r="N714" s="477"/>
      <c r="O714" s="477"/>
      <c r="P714" s="477"/>
      <c r="Q714" s="477"/>
      <c r="R714" s="509"/>
      <c r="S714" s="477"/>
      <c r="T714" s="484"/>
      <c r="U714" s="477"/>
      <c r="V714" s="454"/>
      <c r="W714" s="454"/>
      <c r="X714" s="454"/>
      <c r="Y714" s="454"/>
      <c r="Z714" s="454"/>
      <c r="AA714" s="454"/>
      <c r="AB714" s="454"/>
      <c r="AC714" s="454"/>
      <c r="AD714" s="454"/>
    </row>
    <row r="715" spans="1:31" s="500" customFormat="1" x14ac:dyDescent="0.25">
      <c r="A715" s="502"/>
      <c r="B715" s="477"/>
      <c r="C715" s="477"/>
      <c r="D715" s="477"/>
      <c r="E715" s="477"/>
      <c r="F715" s="478"/>
      <c r="G715" s="477"/>
      <c r="H715" s="477"/>
      <c r="I715" s="477"/>
      <c r="J715" s="501"/>
      <c r="K715" s="480"/>
      <c r="L715" s="481"/>
      <c r="M715" s="477"/>
      <c r="N715" s="477"/>
      <c r="O715" s="477"/>
      <c r="P715" s="477"/>
      <c r="Q715" s="477"/>
      <c r="R715" s="509"/>
      <c r="S715" s="477"/>
      <c r="T715" s="484"/>
      <c r="U715" s="484"/>
      <c r="V715" s="477"/>
      <c r="W715" s="477"/>
      <c r="X715" s="477"/>
      <c r="Y715" s="477"/>
      <c r="Z715" s="477"/>
      <c r="AA715" s="477"/>
      <c r="AB715" s="477"/>
      <c r="AC715" s="477"/>
      <c r="AD715" s="477"/>
    </row>
    <row r="716" spans="1:31" s="506" customFormat="1" x14ac:dyDescent="0.25">
      <c r="A716" s="476"/>
      <c r="B716" s="477"/>
      <c r="C716" s="477"/>
      <c r="D716" s="477"/>
      <c r="E716" s="477"/>
      <c r="F716" s="478"/>
      <c r="G716" s="505"/>
      <c r="H716" s="505"/>
      <c r="I716" s="505"/>
      <c r="J716" s="501"/>
      <c r="K716" s="480"/>
      <c r="L716" s="481"/>
      <c r="M716" s="477"/>
      <c r="N716" s="477"/>
      <c r="O716" s="477"/>
      <c r="P716" s="505"/>
      <c r="Q716" s="505"/>
      <c r="R716" s="509"/>
      <c r="S716" s="477"/>
      <c r="T716" s="484"/>
      <c r="U716" s="484"/>
      <c r="V716" s="477"/>
      <c r="W716" s="477"/>
      <c r="X716" s="477"/>
      <c r="Y716" s="477"/>
      <c r="Z716" s="477"/>
      <c r="AA716" s="477"/>
      <c r="AB716" s="477"/>
      <c r="AC716" s="480"/>
      <c r="AD716" s="477"/>
      <c r="AE716" s="477"/>
    </row>
    <row r="717" spans="1:31" s="500" customFormat="1" x14ac:dyDescent="0.25">
      <c r="A717" s="502"/>
      <c r="B717" s="477"/>
      <c r="C717" s="477"/>
      <c r="D717" s="477"/>
      <c r="E717" s="477"/>
      <c r="F717" s="478"/>
      <c r="G717" s="477"/>
      <c r="H717" s="477"/>
      <c r="I717" s="477"/>
      <c r="J717" s="501"/>
      <c r="K717" s="480"/>
      <c r="L717" s="481"/>
      <c r="M717" s="477"/>
      <c r="N717" s="477"/>
      <c r="O717" s="477"/>
      <c r="P717" s="477"/>
      <c r="Q717" s="477"/>
      <c r="R717" s="509"/>
      <c r="S717" s="477"/>
      <c r="T717" s="484"/>
      <c r="U717" s="484"/>
      <c r="V717" s="477"/>
      <c r="W717" s="477"/>
      <c r="X717" s="477"/>
      <c r="Y717" s="477"/>
      <c r="Z717" s="477"/>
      <c r="AA717" s="477"/>
      <c r="AB717" s="477"/>
      <c r="AC717" s="477"/>
      <c r="AD717" s="477"/>
    </row>
    <row r="718" spans="1:31" s="503" customFormat="1" x14ac:dyDescent="0.25">
      <c r="A718" s="476"/>
      <c r="B718" s="454"/>
      <c r="C718" s="454"/>
      <c r="D718" s="477"/>
      <c r="E718" s="477"/>
      <c r="F718" s="478"/>
      <c r="G718" s="477"/>
      <c r="H718" s="477"/>
      <c r="I718" s="477"/>
      <c r="J718" s="501"/>
      <c r="K718" s="480"/>
      <c r="L718" s="480"/>
      <c r="M718" s="477"/>
      <c r="N718" s="477"/>
      <c r="O718" s="477"/>
      <c r="P718" s="477"/>
      <c r="Q718" s="477"/>
      <c r="R718" s="509"/>
      <c r="S718" s="477"/>
      <c r="T718" s="484"/>
      <c r="U718" s="477"/>
      <c r="V718" s="454"/>
      <c r="W718" s="454"/>
      <c r="X718" s="454"/>
      <c r="Y718" s="454"/>
      <c r="Z718" s="454"/>
      <c r="AA718" s="454"/>
      <c r="AB718" s="454"/>
      <c r="AC718" s="454"/>
      <c r="AD718" s="454"/>
    </row>
    <row r="719" spans="1:31" s="500" customFormat="1" x14ac:dyDescent="0.25">
      <c r="A719" s="502"/>
      <c r="B719" s="477"/>
      <c r="C719" s="477"/>
      <c r="D719" s="477"/>
      <c r="E719" s="477"/>
      <c r="F719" s="478"/>
      <c r="G719" s="477"/>
      <c r="H719" s="477"/>
      <c r="I719" s="477"/>
      <c r="J719" s="501"/>
      <c r="K719" s="480"/>
      <c r="L719" s="481"/>
      <c r="M719" s="477"/>
      <c r="N719" s="477"/>
      <c r="O719" s="477"/>
      <c r="P719" s="477"/>
      <c r="Q719" s="477"/>
      <c r="R719" s="509"/>
      <c r="S719" s="477"/>
      <c r="T719" s="484"/>
      <c r="U719" s="484"/>
      <c r="V719" s="477"/>
      <c r="W719" s="477"/>
      <c r="X719" s="477"/>
      <c r="Y719" s="477"/>
      <c r="Z719" s="477"/>
      <c r="AA719" s="477"/>
      <c r="AB719" s="477"/>
      <c r="AC719" s="477"/>
      <c r="AD719" s="477"/>
    </row>
    <row r="720" spans="1:31" s="506" customFormat="1" x14ac:dyDescent="0.25">
      <c r="A720" s="476"/>
      <c r="B720" s="477"/>
      <c r="C720" s="477"/>
      <c r="D720" s="477"/>
      <c r="E720" s="477"/>
      <c r="F720" s="478"/>
      <c r="G720" s="477"/>
      <c r="H720" s="477"/>
      <c r="I720" s="477"/>
      <c r="J720" s="501"/>
      <c r="K720" s="480"/>
      <c r="L720" s="480"/>
      <c r="M720" s="477"/>
      <c r="N720" s="477"/>
      <c r="O720" s="477"/>
      <c r="P720" s="477"/>
      <c r="Q720" s="477"/>
      <c r="R720" s="509"/>
      <c r="S720" s="477"/>
      <c r="T720" s="484"/>
      <c r="U720" s="484"/>
      <c r="V720" s="477"/>
      <c r="W720" s="477"/>
      <c r="X720" s="477"/>
      <c r="Y720" s="477"/>
      <c r="Z720" s="477"/>
      <c r="AA720" s="477"/>
      <c r="AB720" s="477"/>
      <c r="AC720" s="477"/>
      <c r="AD720" s="477"/>
    </row>
    <row r="721" spans="1:31" s="506" customFormat="1" x14ac:dyDescent="0.25">
      <c r="A721" s="502"/>
      <c r="B721" s="477"/>
      <c r="C721" s="477"/>
      <c r="D721" s="477"/>
      <c r="E721" s="477"/>
      <c r="F721" s="478"/>
      <c r="G721" s="505"/>
      <c r="H721" s="505"/>
      <c r="I721" s="505"/>
      <c r="J721" s="501"/>
      <c r="K721" s="480"/>
      <c r="L721" s="481"/>
      <c r="M721" s="477"/>
      <c r="N721" s="477"/>
      <c r="O721" s="477"/>
      <c r="P721" s="505"/>
      <c r="Q721" s="505"/>
      <c r="R721" s="509"/>
      <c r="S721" s="477"/>
      <c r="T721" s="484"/>
      <c r="U721" s="484"/>
      <c r="V721" s="477"/>
      <c r="W721" s="477"/>
      <c r="X721" s="477"/>
      <c r="Y721" s="477"/>
      <c r="Z721" s="477"/>
      <c r="AA721" s="477"/>
      <c r="AB721" s="477"/>
      <c r="AC721" s="480"/>
      <c r="AD721" s="477"/>
      <c r="AE721" s="477"/>
    </row>
    <row r="722" spans="1:31" s="503" customFormat="1" x14ac:dyDescent="0.25">
      <c r="A722" s="476"/>
      <c r="B722" s="454"/>
      <c r="C722" s="454"/>
      <c r="D722" s="477"/>
      <c r="E722" s="477"/>
      <c r="F722" s="478"/>
      <c r="G722" s="477"/>
      <c r="H722" s="477"/>
      <c r="I722" s="477"/>
      <c r="J722" s="501"/>
      <c r="K722" s="480"/>
      <c r="L722" s="480"/>
      <c r="M722" s="477"/>
      <c r="N722" s="477"/>
      <c r="O722" s="477"/>
      <c r="P722" s="477"/>
      <c r="Q722" s="477"/>
      <c r="R722" s="509"/>
      <c r="S722" s="477"/>
      <c r="T722" s="484"/>
      <c r="U722" s="477"/>
      <c r="V722" s="454"/>
      <c r="W722" s="454"/>
      <c r="X722" s="454"/>
      <c r="Y722" s="454"/>
      <c r="Z722" s="454"/>
      <c r="AA722" s="454"/>
      <c r="AB722" s="454"/>
      <c r="AC722" s="454"/>
      <c r="AD722" s="454"/>
    </row>
    <row r="723" spans="1:31" s="500" customFormat="1" x14ac:dyDescent="0.25">
      <c r="A723" s="502"/>
      <c r="B723" s="477"/>
      <c r="C723" s="477"/>
      <c r="D723" s="477"/>
      <c r="E723" s="477"/>
      <c r="F723" s="478"/>
      <c r="G723" s="477"/>
      <c r="H723" s="477"/>
      <c r="I723" s="477"/>
      <c r="J723" s="501"/>
      <c r="K723" s="480"/>
      <c r="L723" s="481"/>
      <c r="M723" s="477"/>
      <c r="N723" s="477"/>
      <c r="O723" s="477"/>
      <c r="P723" s="477"/>
      <c r="Q723" s="477"/>
      <c r="R723" s="509"/>
      <c r="S723" s="477"/>
      <c r="T723" s="484"/>
      <c r="U723" s="484"/>
      <c r="V723" s="477"/>
      <c r="W723" s="477"/>
      <c r="X723" s="477"/>
      <c r="Y723" s="477"/>
      <c r="Z723" s="477"/>
      <c r="AA723" s="477"/>
      <c r="AB723" s="477"/>
      <c r="AC723" s="477"/>
      <c r="AD723" s="477"/>
    </row>
    <row r="724" spans="1:31" s="506" customFormat="1" x14ac:dyDescent="0.25">
      <c r="A724" s="476"/>
      <c r="B724" s="477"/>
      <c r="C724" s="477"/>
      <c r="D724" s="477"/>
      <c r="E724" s="477"/>
      <c r="F724" s="478"/>
      <c r="G724" s="477"/>
      <c r="H724" s="477"/>
      <c r="I724" s="477"/>
      <c r="J724" s="501"/>
      <c r="K724" s="480"/>
      <c r="L724" s="480"/>
      <c r="M724" s="477"/>
      <c r="N724" s="477"/>
      <c r="O724" s="477"/>
      <c r="P724" s="477"/>
      <c r="Q724" s="477"/>
      <c r="R724" s="509"/>
      <c r="S724" s="477"/>
      <c r="T724" s="484"/>
      <c r="U724" s="484"/>
      <c r="V724" s="477"/>
      <c r="W724" s="477"/>
      <c r="X724" s="477"/>
      <c r="Y724" s="477"/>
      <c r="Z724" s="477"/>
      <c r="AA724" s="477"/>
      <c r="AB724" s="477"/>
      <c r="AC724" s="477"/>
      <c r="AD724" s="477"/>
    </row>
    <row r="725" spans="1:31" s="506" customFormat="1" x14ac:dyDescent="0.25">
      <c r="A725" s="502"/>
      <c r="B725" s="477"/>
      <c r="C725" s="477"/>
      <c r="D725" s="477"/>
      <c r="E725" s="477"/>
      <c r="F725" s="478"/>
      <c r="G725" s="505"/>
      <c r="H725" s="505"/>
      <c r="I725" s="505"/>
      <c r="J725" s="501"/>
      <c r="K725" s="480"/>
      <c r="L725" s="481"/>
      <c r="M725" s="477"/>
      <c r="N725" s="477"/>
      <c r="O725" s="477"/>
      <c r="P725" s="505"/>
      <c r="Q725" s="505"/>
      <c r="R725" s="509"/>
      <c r="S725" s="477"/>
      <c r="T725" s="484"/>
      <c r="U725" s="484"/>
      <c r="V725" s="477"/>
      <c r="W725" s="477"/>
      <c r="X725" s="477"/>
      <c r="Y725" s="477"/>
      <c r="Z725" s="477"/>
      <c r="AA725" s="477"/>
      <c r="AB725" s="477"/>
      <c r="AC725" s="480"/>
      <c r="AD725" s="477"/>
      <c r="AE725" s="477"/>
    </row>
    <row r="726" spans="1:31" s="506" customFormat="1" x14ac:dyDescent="0.25">
      <c r="A726" s="476"/>
      <c r="B726" s="477"/>
      <c r="C726" s="477"/>
      <c r="D726" s="477"/>
      <c r="E726" s="477"/>
      <c r="F726" s="478"/>
      <c r="G726" s="505"/>
      <c r="H726" s="505"/>
      <c r="I726" s="505"/>
      <c r="J726" s="501"/>
      <c r="K726" s="480"/>
      <c r="L726" s="481"/>
      <c r="M726" s="477"/>
      <c r="N726" s="477"/>
      <c r="O726" s="477"/>
      <c r="P726" s="505"/>
      <c r="Q726" s="505"/>
      <c r="R726" s="509"/>
      <c r="S726" s="477"/>
      <c r="T726" s="484"/>
      <c r="U726" s="484"/>
      <c r="V726" s="477"/>
      <c r="W726" s="477"/>
      <c r="X726" s="477"/>
      <c r="Y726" s="477"/>
      <c r="Z726" s="477"/>
      <c r="AA726" s="477"/>
      <c r="AB726" s="477"/>
      <c r="AC726" s="480"/>
      <c r="AD726" s="477"/>
      <c r="AE726" s="477"/>
    </row>
    <row r="727" spans="1:31" s="506" customFormat="1" x14ac:dyDescent="0.25">
      <c r="A727" s="502"/>
      <c r="B727" s="477"/>
      <c r="C727" s="477"/>
      <c r="D727" s="477"/>
      <c r="E727" s="477"/>
      <c r="F727" s="478"/>
      <c r="G727" s="505"/>
      <c r="H727" s="505"/>
      <c r="I727" s="505"/>
      <c r="J727" s="501"/>
      <c r="K727" s="480"/>
      <c r="L727" s="481"/>
      <c r="M727" s="477"/>
      <c r="N727" s="477"/>
      <c r="O727" s="477"/>
      <c r="P727" s="505"/>
      <c r="Q727" s="505"/>
      <c r="R727" s="509"/>
      <c r="S727" s="477"/>
      <c r="T727" s="484"/>
      <c r="U727" s="484"/>
      <c r="V727" s="477"/>
      <c r="W727" s="477"/>
      <c r="X727" s="477"/>
      <c r="Y727" s="477"/>
      <c r="Z727" s="477"/>
      <c r="AA727" s="477"/>
      <c r="AB727" s="477"/>
      <c r="AC727" s="480"/>
      <c r="AD727" s="477"/>
      <c r="AE727" s="477"/>
    </row>
    <row r="728" spans="1:31" s="500" customFormat="1" x14ac:dyDescent="0.25">
      <c r="A728" s="476"/>
      <c r="B728" s="477"/>
      <c r="C728" s="477"/>
      <c r="D728" s="477"/>
      <c r="E728" s="477"/>
      <c r="F728" s="478"/>
      <c r="G728" s="477"/>
      <c r="H728" s="477"/>
      <c r="I728" s="477"/>
      <c r="J728" s="501"/>
      <c r="K728" s="480"/>
      <c r="L728" s="481"/>
      <c r="M728" s="477"/>
      <c r="N728" s="477"/>
      <c r="O728" s="477"/>
      <c r="P728" s="477"/>
      <c r="Q728" s="477"/>
      <c r="R728" s="509"/>
      <c r="S728" s="477"/>
      <c r="T728" s="484"/>
      <c r="U728" s="484"/>
      <c r="V728" s="477"/>
      <c r="W728" s="477"/>
      <c r="X728" s="477"/>
      <c r="Y728" s="477"/>
      <c r="Z728" s="477"/>
      <c r="AA728" s="477"/>
      <c r="AB728" s="477"/>
      <c r="AC728" s="477"/>
      <c r="AD728" s="477"/>
    </row>
    <row r="729" spans="1:31" s="506" customFormat="1" x14ac:dyDescent="0.25">
      <c r="A729" s="502"/>
      <c r="B729" s="477"/>
      <c r="C729" s="477"/>
      <c r="D729" s="477"/>
      <c r="E729" s="477"/>
      <c r="F729" s="478"/>
      <c r="G729" s="505"/>
      <c r="H729" s="505"/>
      <c r="I729" s="505"/>
      <c r="J729" s="501"/>
      <c r="K729" s="480"/>
      <c r="L729" s="481"/>
      <c r="M729" s="477"/>
      <c r="N729" s="477"/>
      <c r="O729" s="477"/>
      <c r="P729" s="505"/>
      <c r="Q729" s="505"/>
      <c r="R729" s="509"/>
      <c r="S729" s="477"/>
      <c r="T729" s="484"/>
      <c r="U729" s="484"/>
      <c r="V729" s="477"/>
      <c r="W729" s="477"/>
      <c r="X729" s="477"/>
      <c r="Y729" s="477"/>
      <c r="Z729" s="477"/>
      <c r="AA729" s="477"/>
      <c r="AB729" s="477"/>
      <c r="AC729" s="480"/>
      <c r="AD729" s="477"/>
      <c r="AE729" s="477"/>
    </row>
    <row r="730" spans="1:31" s="506" customFormat="1" x14ac:dyDescent="0.25">
      <c r="A730" s="476"/>
      <c r="B730" s="477"/>
      <c r="C730" s="477"/>
      <c r="D730" s="477"/>
      <c r="E730" s="477"/>
      <c r="F730" s="478"/>
      <c r="G730" s="505"/>
      <c r="H730" s="505"/>
      <c r="I730" s="505"/>
      <c r="J730" s="501"/>
      <c r="K730" s="480"/>
      <c r="L730" s="481"/>
      <c r="M730" s="477"/>
      <c r="N730" s="477"/>
      <c r="O730" s="477"/>
      <c r="P730" s="505"/>
      <c r="Q730" s="505"/>
      <c r="R730" s="509"/>
      <c r="S730" s="477"/>
      <c r="T730" s="484"/>
      <c r="U730" s="484"/>
      <c r="V730" s="477"/>
      <c r="W730" s="477"/>
      <c r="X730" s="477"/>
      <c r="Y730" s="477"/>
      <c r="Z730" s="477"/>
      <c r="AA730" s="477"/>
      <c r="AB730" s="477"/>
      <c r="AC730" s="480"/>
      <c r="AD730" s="477"/>
      <c r="AE730" s="477"/>
    </row>
    <row r="731" spans="1:31" s="500" customFormat="1" x14ac:dyDescent="0.25">
      <c r="A731" s="502"/>
      <c r="B731" s="477"/>
      <c r="C731" s="477"/>
      <c r="D731" s="477"/>
      <c r="E731" s="477"/>
      <c r="F731" s="478"/>
      <c r="G731" s="477"/>
      <c r="H731" s="477"/>
      <c r="I731" s="477"/>
      <c r="J731" s="501"/>
      <c r="K731" s="480"/>
      <c r="L731" s="481"/>
      <c r="M731" s="477"/>
      <c r="N731" s="477"/>
      <c r="O731" s="477"/>
      <c r="P731" s="477"/>
      <c r="Q731" s="477"/>
      <c r="R731" s="509"/>
      <c r="S731" s="477"/>
      <c r="T731" s="484"/>
      <c r="U731" s="484"/>
      <c r="V731" s="477"/>
      <c r="W731" s="477"/>
      <c r="X731" s="477"/>
      <c r="Y731" s="477"/>
      <c r="Z731" s="477"/>
      <c r="AA731" s="477"/>
      <c r="AB731" s="477"/>
      <c r="AC731" s="477"/>
      <c r="AD731" s="477"/>
    </row>
    <row r="732" spans="1:31" s="503" customFormat="1" x14ac:dyDescent="0.25">
      <c r="A732" s="476"/>
      <c r="B732" s="454"/>
      <c r="C732" s="454"/>
      <c r="D732" s="477"/>
      <c r="E732" s="477"/>
      <c r="F732" s="478"/>
      <c r="G732" s="477"/>
      <c r="H732" s="477"/>
      <c r="I732" s="477"/>
      <c r="J732" s="501"/>
      <c r="K732" s="480"/>
      <c r="L732" s="480"/>
      <c r="M732" s="477"/>
      <c r="N732" s="477"/>
      <c r="O732" s="477"/>
      <c r="P732" s="477"/>
      <c r="Q732" s="477"/>
      <c r="R732" s="509"/>
      <c r="S732" s="477"/>
      <c r="T732" s="484"/>
      <c r="U732" s="477"/>
      <c r="V732" s="454"/>
      <c r="W732" s="454"/>
      <c r="X732" s="454"/>
      <c r="Y732" s="454"/>
      <c r="Z732" s="454"/>
      <c r="AA732" s="454"/>
      <c r="AB732" s="454"/>
      <c r="AC732" s="454"/>
      <c r="AD732" s="454"/>
    </row>
    <row r="733" spans="1:31" s="500" customFormat="1" x14ac:dyDescent="0.25">
      <c r="A733" s="502"/>
      <c r="B733" s="477"/>
      <c r="C733" s="477"/>
      <c r="D733" s="477"/>
      <c r="E733" s="477"/>
      <c r="F733" s="478"/>
      <c r="G733" s="477"/>
      <c r="H733" s="477"/>
      <c r="I733" s="477"/>
      <c r="J733" s="501"/>
      <c r="K733" s="480"/>
      <c r="L733" s="481"/>
      <c r="M733" s="477"/>
      <c r="N733" s="477"/>
      <c r="O733" s="477"/>
      <c r="P733" s="477"/>
      <c r="Q733" s="477"/>
      <c r="R733" s="509"/>
      <c r="S733" s="477"/>
      <c r="T733" s="484"/>
      <c r="U733" s="484"/>
      <c r="V733" s="477"/>
      <c r="W733" s="477"/>
      <c r="X733" s="477"/>
      <c r="Y733" s="477"/>
      <c r="Z733" s="477"/>
      <c r="AA733" s="477"/>
      <c r="AB733" s="477"/>
      <c r="AC733" s="477"/>
      <c r="AD733" s="477"/>
    </row>
    <row r="734" spans="1:31" s="506" customFormat="1" x14ac:dyDescent="0.25">
      <c r="A734" s="476"/>
      <c r="B734" s="477"/>
      <c r="C734" s="477"/>
      <c r="D734" s="477"/>
      <c r="E734" s="477"/>
      <c r="F734" s="478"/>
      <c r="G734" s="505"/>
      <c r="H734" s="505"/>
      <c r="I734" s="505"/>
      <c r="J734" s="501"/>
      <c r="K734" s="480"/>
      <c r="L734" s="481"/>
      <c r="M734" s="477"/>
      <c r="N734" s="477"/>
      <c r="O734" s="477"/>
      <c r="P734" s="505"/>
      <c r="Q734" s="505"/>
      <c r="R734" s="509"/>
      <c r="S734" s="477"/>
      <c r="T734" s="484"/>
      <c r="U734" s="484"/>
      <c r="V734" s="477"/>
      <c r="W734" s="477"/>
      <c r="X734" s="477"/>
      <c r="Y734" s="477"/>
      <c r="Z734" s="477"/>
      <c r="AA734" s="477"/>
      <c r="AB734" s="477"/>
      <c r="AC734" s="480"/>
      <c r="AD734" s="477"/>
      <c r="AE734" s="477"/>
    </row>
    <row r="735" spans="1:31" s="506" customFormat="1" x14ac:dyDescent="0.25">
      <c r="A735" s="502"/>
      <c r="B735" s="477"/>
      <c r="C735" s="477"/>
      <c r="D735" s="477"/>
      <c r="E735" s="477"/>
      <c r="F735" s="478"/>
      <c r="G735" s="505"/>
      <c r="H735" s="505"/>
      <c r="I735" s="505"/>
      <c r="J735" s="501"/>
      <c r="K735" s="480"/>
      <c r="L735" s="481"/>
      <c r="M735" s="477"/>
      <c r="N735" s="477"/>
      <c r="O735" s="477"/>
      <c r="P735" s="505"/>
      <c r="Q735" s="505"/>
      <c r="R735" s="509"/>
      <c r="S735" s="477"/>
      <c r="T735" s="484"/>
      <c r="U735" s="484"/>
      <c r="V735" s="477"/>
      <c r="W735" s="477"/>
      <c r="X735" s="477"/>
      <c r="Y735" s="477"/>
      <c r="Z735" s="477"/>
      <c r="AA735" s="477"/>
      <c r="AB735" s="477"/>
      <c r="AC735" s="480"/>
      <c r="AD735" s="477"/>
      <c r="AE735" s="477"/>
    </row>
    <row r="736" spans="1:31" s="500" customFormat="1" x14ac:dyDescent="0.25">
      <c r="A736" s="476"/>
      <c r="B736" s="477"/>
      <c r="C736" s="477"/>
      <c r="D736" s="477"/>
      <c r="E736" s="477"/>
      <c r="F736" s="478"/>
      <c r="G736" s="477"/>
      <c r="H736" s="477"/>
      <c r="I736" s="477"/>
      <c r="J736" s="501"/>
      <c r="K736" s="480"/>
      <c r="L736" s="481"/>
      <c r="M736" s="477"/>
      <c r="N736" s="477"/>
      <c r="O736" s="477"/>
      <c r="P736" s="477"/>
      <c r="Q736" s="477"/>
      <c r="R736" s="509"/>
      <c r="S736" s="477"/>
      <c r="T736" s="484"/>
      <c r="U736" s="484"/>
      <c r="V736" s="477"/>
      <c r="W736" s="477"/>
      <c r="X736" s="477"/>
      <c r="Y736" s="477"/>
      <c r="Z736" s="477"/>
      <c r="AA736" s="477"/>
      <c r="AB736" s="477"/>
      <c r="AC736" s="477"/>
      <c r="AD736" s="477"/>
    </row>
    <row r="737" spans="1:31" s="503" customFormat="1" x14ac:dyDescent="0.25">
      <c r="A737" s="502"/>
      <c r="B737" s="454"/>
      <c r="C737" s="454"/>
      <c r="D737" s="477"/>
      <c r="E737" s="477"/>
      <c r="F737" s="478"/>
      <c r="G737" s="477"/>
      <c r="H737" s="477"/>
      <c r="I737" s="477"/>
      <c r="J737" s="501"/>
      <c r="K737" s="480"/>
      <c r="L737" s="480"/>
      <c r="M737" s="477"/>
      <c r="N737" s="477"/>
      <c r="O737" s="477"/>
      <c r="P737" s="477"/>
      <c r="Q737" s="477"/>
      <c r="R737" s="509"/>
      <c r="S737" s="477"/>
      <c r="T737" s="484"/>
      <c r="U737" s="477"/>
      <c r="V737" s="454"/>
      <c r="W737" s="454"/>
      <c r="X737" s="454"/>
      <c r="Y737" s="454"/>
      <c r="Z737" s="454"/>
      <c r="AA737" s="454"/>
      <c r="AB737" s="454"/>
      <c r="AC737" s="454"/>
      <c r="AD737" s="454"/>
    </row>
    <row r="738" spans="1:31" s="500" customFormat="1" x14ac:dyDescent="0.25">
      <c r="A738" s="476"/>
      <c r="B738" s="477"/>
      <c r="C738" s="477"/>
      <c r="D738" s="477"/>
      <c r="E738" s="477"/>
      <c r="F738" s="478"/>
      <c r="G738" s="477"/>
      <c r="H738" s="477"/>
      <c r="I738" s="477"/>
      <c r="J738" s="501"/>
      <c r="K738" s="480"/>
      <c r="L738" s="481"/>
      <c r="M738" s="477"/>
      <c r="N738" s="477"/>
      <c r="O738" s="477"/>
      <c r="P738" s="477"/>
      <c r="Q738" s="477"/>
      <c r="R738" s="509"/>
      <c r="S738" s="477"/>
      <c r="T738" s="484"/>
      <c r="U738" s="484"/>
      <c r="V738" s="477"/>
      <c r="W738" s="477"/>
      <c r="X738" s="477"/>
      <c r="Y738" s="477"/>
      <c r="Z738" s="477"/>
      <c r="AA738" s="477"/>
      <c r="AB738" s="477"/>
      <c r="AC738" s="477"/>
      <c r="AD738" s="477"/>
    </row>
    <row r="739" spans="1:31" s="506" customFormat="1" x14ac:dyDescent="0.25">
      <c r="A739" s="502"/>
      <c r="B739" s="477"/>
      <c r="C739" s="477"/>
      <c r="D739" s="477"/>
      <c r="E739" s="477"/>
      <c r="F739" s="478"/>
      <c r="G739" s="477"/>
      <c r="H739" s="477"/>
      <c r="I739" s="477"/>
      <c r="J739" s="501"/>
      <c r="K739" s="480"/>
      <c r="L739" s="480"/>
      <c r="M739" s="477"/>
      <c r="N739" s="477"/>
      <c r="O739" s="477"/>
      <c r="P739" s="477"/>
      <c r="Q739" s="477"/>
      <c r="R739" s="509"/>
      <c r="S739" s="477"/>
      <c r="T739" s="484"/>
      <c r="U739" s="484"/>
      <c r="V739" s="477"/>
      <c r="W739" s="477"/>
      <c r="X739" s="477"/>
      <c r="Y739" s="477"/>
      <c r="Z739" s="477"/>
      <c r="AA739" s="477"/>
      <c r="AB739" s="477"/>
      <c r="AC739" s="477"/>
      <c r="AD739" s="477"/>
    </row>
    <row r="740" spans="1:31" s="503" customFormat="1" x14ac:dyDescent="0.25">
      <c r="A740" s="476"/>
      <c r="B740" s="454"/>
      <c r="C740" s="454"/>
      <c r="D740" s="477"/>
      <c r="E740" s="477"/>
      <c r="F740" s="478"/>
      <c r="G740" s="477"/>
      <c r="H740" s="477"/>
      <c r="I740" s="477"/>
      <c r="J740" s="501"/>
      <c r="K740" s="480"/>
      <c r="L740" s="480"/>
      <c r="M740" s="477"/>
      <c r="N740" s="477"/>
      <c r="O740" s="477"/>
      <c r="P740" s="477"/>
      <c r="Q740" s="477"/>
      <c r="R740" s="509"/>
      <c r="S740" s="477"/>
      <c r="T740" s="484"/>
      <c r="U740" s="477"/>
      <c r="V740" s="454"/>
      <c r="W740" s="454"/>
      <c r="X740" s="454"/>
      <c r="Y740" s="454"/>
      <c r="Z740" s="454"/>
      <c r="AA740" s="454"/>
      <c r="AB740" s="454"/>
      <c r="AC740" s="454"/>
      <c r="AD740" s="454"/>
    </row>
    <row r="741" spans="1:31" s="500" customFormat="1" x14ac:dyDescent="0.25">
      <c r="A741" s="502"/>
      <c r="B741" s="477"/>
      <c r="C741" s="477"/>
      <c r="D741" s="477"/>
      <c r="E741" s="477"/>
      <c r="F741" s="478"/>
      <c r="G741" s="477"/>
      <c r="H741" s="477"/>
      <c r="I741" s="477"/>
      <c r="J741" s="501"/>
      <c r="K741" s="480"/>
      <c r="L741" s="481"/>
      <c r="M741" s="477"/>
      <c r="N741" s="477"/>
      <c r="O741" s="477"/>
      <c r="P741" s="477"/>
      <c r="Q741" s="477"/>
      <c r="R741" s="509"/>
      <c r="S741" s="477"/>
      <c r="T741" s="484"/>
      <c r="U741" s="484"/>
      <c r="V741" s="477"/>
      <c r="W741" s="477"/>
      <c r="X741" s="477"/>
      <c r="Y741" s="477"/>
      <c r="Z741" s="477"/>
      <c r="AA741" s="477"/>
      <c r="AB741" s="477"/>
      <c r="AC741" s="477"/>
      <c r="AD741" s="477"/>
    </row>
    <row r="742" spans="1:31" s="506" customFormat="1" x14ac:dyDescent="0.25">
      <c r="A742" s="476"/>
      <c r="B742" s="477"/>
      <c r="C742" s="477"/>
      <c r="D742" s="477"/>
      <c r="E742" s="477"/>
      <c r="F742" s="478"/>
      <c r="G742" s="477"/>
      <c r="H742" s="477"/>
      <c r="I742" s="477"/>
      <c r="J742" s="501"/>
      <c r="K742" s="480"/>
      <c r="L742" s="480"/>
      <c r="M742" s="477"/>
      <c r="N742" s="477"/>
      <c r="O742" s="477"/>
      <c r="P742" s="477"/>
      <c r="Q742" s="477"/>
      <c r="R742" s="509"/>
      <c r="S742" s="477"/>
      <c r="T742" s="484"/>
      <c r="U742" s="484"/>
      <c r="V742" s="477"/>
      <c r="W742" s="477"/>
      <c r="X742" s="477"/>
      <c r="Y742" s="477"/>
      <c r="Z742" s="477"/>
      <c r="AA742" s="477"/>
      <c r="AB742" s="477"/>
      <c r="AC742" s="477"/>
      <c r="AD742" s="477"/>
    </row>
    <row r="743" spans="1:31" s="506" customFormat="1" x14ac:dyDescent="0.25">
      <c r="A743" s="502"/>
      <c r="B743" s="477"/>
      <c r="C743" s="477"/>
      <c r="D743" s="477"/>
      <c r="E743" s="477"/>
      <c r="F743" s="478"/>
      <c r="G743" s="505"/>
      <c r="H743" s="505"/>
      <c r="I743" s="505"/>
      <c r="J743" s="501"/>
      <c r="K743" s="480"/>
      <c r="L743" s="481"/>
      <c r="M743" s="477"/>
      <c r="N743" s="477"/>
      <c r="O743" s="477"/>
      <c r="P743" s="505"/>
      <c r="Q743" s="505"/>
      <c r="R743" s="509"/>
      <c r="S743" s="477"/>
      <c r="T743" s="484"/>
      <c r="U743" s="484"/>
      <c r="V743" s="477"/>
      <c r="W743" s="477"/>
      <c r="X743" s="477"/>
      <c r="Y743" s="477"/>
      <c r="Z743" s="477"/>
      <c r="AA743" s="477"/>
      <c r="AB743" s="477"/>
      <c r="AC743" s="480"/>
      <c r="AD743" s="477"/>
      <c r="AE743" s="477"/>
    </row>
    <row r="744" spans="1:31" s="503" customFormat="1" x14ac:dyDescent="0.25">
      <c r="A744" s="476"/>
      <c r="B744" s="454"/>
      <c r="C744" s="454"/>
      <c r="D744" s="477"/>
      <c r="E744" s="477"/>
      <c r="F744" s="478"/>
      <c r="G744" s="477"/>
      <c r="H744" s="477"/>
      <c r="I744" s="477"/>
      <c r="J744" s="501"/>
      <c r="K744" s="480"/>
      <c r="L744" s="480"/>
      <c r="M744" s="477"/>
      <c r="N744" s="477"/>
      <c r="O744" s="477"/>
      <c r="P744" s="477"/>
      <c r="Q744" s="477"/>
      <c r="R744" s="509"/>
      <c r="S744" s="477"/>
      <c r="T744" s="484"/>
      <c r="U744" s="477"/>
      <c r="V744" s="454"/>
      <c r="W744" s="454"/>
      <c r="X744" s="454"/>
      <c r="Y744" s="454"/>
      <c r="Z744" s="454"/>
      <c r="AA744" s="454"/>
      <c r="AB744" s="454"/>
      <c r="AC744" s="454"/>
      <c r="AD744" s="454"/>
    </row>
    <row r="745" spans="1:31" s="500" customFormat="1" x14ac:dyDescent="0.25">
      <c r="A745" s="502"/>
      <c r="B745" s="477"/>
      <c r="C745" s="477"/>
      <c r="D745" s="477"/>
      <c r="E745" s="477"/>
      <c r="F745" s="478"/>
      <c r="G745" s="477"/>
      <c r="H745" s="477"/>
      <c r="I745" s="477"/>
      <c r="J745" s="501"/>
      <c r="K745" s="480"/>
      <c r="L745" s="481"/>
      <c r="M745" s="477"/>
      <c r="N745" s="477"/>
      <c r="O745" s="477"/>
      <c r="P745" s="477"/>
      <c r="Q745" s="477"/>
      <c r="R745" s="509"/>
      <c r="S745" s="477"/>
      <c r="T745" s="484"/>
      <c r="U745" s="484"/>
      <c r="V745" s="477"/>
      <c r="W745" s="477"/>
      <c r="X745" s="477"/>
      <c r="Y745" s="477"/>
      <c r="Z745" s="477"/>
      <c r="AA745" s="477"/>
      <c r="AB745" s="477"/>
      <c r="AC745" s="477"/>
      <c r="AD745" s="477"/>
    </row>
    <row r="746" spans="1:31" s="506" customFormat="1" x14ac:dyDescent="0.25">
      <c r="A746" s="476"/>
      <c r="B746" s="477"/>
      <c r="C746" s="477"/>
      <c r="D746" s="477"/>
      <c r="E746" s="477"/>
      <c r="F746" s="478"/>
      <c r="G746" s="477"/>
      <c r="H746" s="477"/>
      <c r="I746" s="477"/>
      <c r="J746" s="501"/>
      <c r="K746" s="480"/>
      <c r="L746" s="480"/>
      <c r="M746" s="477"/>
      <c r="N746" s="477"/>
      <c r="O746" s="477"/>
      <c r="P746" s="477"/>
      <c r="Q746" s="477"/>
      <c r="R746" s="509"/>
      <c r="S746" s="477"/>
      <c r="T746" s="484"/>
      <c r="U746" s="484"/>
      <c r="V746" s="477"/>
      <c r="W746" s="477"/>
      <c r="X746" s="477"/>
      <c r="Y746" s="477"/>
      <c r="Z746" s="477"/>
      <c r="AA746" s="477"/>
      <c r="AB746" s="477"/>
      <c r="AC746" s="477"/>
      <c r="AD746" s="477"/>
    </row>
    <row r="747" spans="1:31" s="506" customFormat="1" x14ac:dyDescent="0.25">
      <c r="A747" s="502"/>
      <c r="B747" s="477"/>
      <c r="C747" s="477"/>
      <c r="D747" s="477"/>
      <c r="E747" s="477"/>
      <c r="F747" s="478"/>
      <c r="G747" s="505"/>
      <c r="H747" s="505"/>
      <c r="I747" s="505"/>
      <c r="J747" s="501"/>
      <c r="K747" s="480"/>
      <c r="L747" s="481"/>
      <c r="M747" s="477"/>
      <c r="N747" s="477"/>
      <c r="O747" s="477"/>
      <c r="P747" s="505"/>
      <c r="Q747" s="505"/>
      <c r="R747" s="509"/>
      <c r="S747" s="477"/>
      <c r="T747" s="484"/>
      <c r="U747" s="484"/>
      <c r="V747" s="477"/>
      <c r="W747" s="477"/>
      <c r="X747" s="477"/>
      <c r="Y747" s="477"/>
      <c r="Z747" s="477"/>
      <c r="AA747" s="477"/>
      <c r="AB747" s="477"/>
      <c r="AC747" s="480"/>
      <c r="AD747" s="477"/>
      <c r="AE747" s="477"/>
    </row>
    <row r="748" spans="1:31" s="506" customFormat="1" x14ac:dyDescent="0.25">
      <c r="A748" s="476"/>
      <c r="B748" s="477"/>
      <c r="C748" s="477"/>
      <c r="D748" s="477"/>
      <c r="E748" s="477"/>
      <c r="F748" s="478"/>
      <c r="G748" s="505"/>
      <c r="H748" s="505"/>
      <c r="I748" s="505"/>
      <c r="J748" s="501"/>
      <c r="K748" s="480"/>
      <c r="L748" s="481"/>
      <c r="M748" s="477"/>
      <c r="N748" s="477"/>
      <c r="O748" s="477"/>
      <c r="P748" s="505"/>
      <c r="Q748" s="505"/>
      <c r="R748" s="509"/>
      <c r="S748" s="477"/>
      <c r="T748" s="484"/>
      <c r="U748" s="484"/>
      <c r="V748" s="477"/>
      <c r="W748" s="477"/>
      <c r="X748" s="477"/>
      <c r="Y748" s="477"/>
      <c r="Z748" s="477"/>
      <c r="AA748" s="477"/>
      <c r="AB748" s="477"/>
      <c r="AC748" s="480"/>
      <c r="AD748" s="477"/>
      <c r="AE748" s="477"/>
    </row>
    <row r="749" spans="1:31" s="506" customFormat="1" x14ac:dyDescent="0.25">
      <c r="A749" s="502"/>
      <c r="B749" s="477"/>
      <c r="C749" s="477"/>
      <c r="D749" s="477"/>
      <c r="E749" s="477"/>
      <c r="F749" s="478"/>
      <c r="G749" s="505"/>
      <c r="H749" s="505"/>
      <c r="I749" s="505"/>
      <c r="J749" s="501"/>
      <c r="K749" s="480"/>
      <c r="L749" s="481"/>
      <c r="M749" s="477"/>
      <c r="N749" s="477"/>
      <c r="O749" s="477"/>
      <c r="P749" s="505"/>
      <c r="Q749" s="505"/>
      <c r="R749" s="509"/>
      <c r="S749" s="477"/>
      <c r="T749" s="484"/>
      <c r="U749" s="484"/>
      <c r="V749" s="477"/>
      <c r="W749" s="477"/>
      <c r="X749" s="477"/>
      <c r="Y749" s="477"/>
      <c r="Z749" s="477"/>
      <c r="AA749" s="477"/>
      <c r="AB749" s="477"/>
      <c r="AC749" s="480"/>
      <c r="AD749" s="477"/>
      <c r="AE749" s="477"/>
    </row>
    <row r="750" spans="1:31" s="500" customFormat="1" x14ac:dyDescent="0.25">
      <c r="A750" s="476"/>
      <c r="B750" s="477"/>
      <c r="C750" s="477"/>
      <c r="D750" s="477"/>
      <c r="E750" s="477"/>
      <c r="F750" s="478"/>
      <c r="G750" s="477"/>
      <c r="H750" s="477"/>
      <c r="I750" s="477"/>
      <c r="J750" s="501"/>
      <c r="K750" s="480"/>
      <c r="L750" s="481"/>
      <c r="M750" s="477"/>
      <c r="N750" s="477"/>
      <c r="O750" s="477"/>
      <c r="P750" s="477"/>
      <c r="Q750" s="477"/>
      <c r="R750" s="509"/>
      <c r="S750" s="477"/>
      <c r="T750" s="484"/>
      <c r="U750" s="484"/>
      <c r="V750" s="477"/>
      <c r="W750" s="477"/>
      <c r="X750" s="477"/>
      <c r="Y750" s="477"/>
      <c r="Z750" s="477"/>
      <c r="AA750" s="477"/>
      <c r="AB750" s="477"/>
      <c r="AC750" s="477"/>
      <c r="AD750" s="477"/>
    </row>
    <row r="751" spans="1:31" s="506" customFormat="1" x14ac:dyDescent="0.25">
      <c r="A751" s="502"/>
      <c r="B751" s="477"/>
      <c r="C751" s="477"/>
      <c r="D751" s="477"/>
      <c r="E751" s="477"/>
      <c r="F751" s="478"/>
      <c r="G751" s="505"/>
      <c r="H751" s="505"/>
      <c r="I751" s="505"/>
      <c r="J751" s="501"/>
      <c r="K751" s="480"/>
      <c r="L751" s="481"/>
      <c r="M751" s="477"/>
      <c r="N751" s="477"/>
      <c r="O751" s="477"/>
      <c r="P751" s="505"/>
      <c r="Q751" s="505"/>
      <c r="R751" s="509"/>
      <c r="S751" s="477"/>
      <c r="T751" s="484"/>
      <c r="U751" s="484"/>
      <c r="V751" s="477"/>
      <c r="W751" s="477"/>
      <c r="X751" s="477"/>
      <c r="Y751" s="477"/>
      <c r="Z751" s="477"/>
      <c r="AA751" s="477"/>
      <c r="AB751" s="477"/>
      <c r="AC751" s="480"/>
      <c r="AD751" s="477"/>
      <c r="AE751" s="477"/>
    </row>
    <row r="752" spans="1:31" s="506" customFormat="1" x14ac:dyDescent="0.25">
      <c r="A752" s="476"/>
      <c r="B752" s="477"/>
      <c r="C752" s="477"/>
      <c r="D752" s="477"/>
      <c r="E752" s="477"/>
      <c r="F752" s="478"/>
      <c r="G752" s="505"/>
      <c r="H752" s="505"/>
      <c r="I752" s="505"/>
      <c r="J752" s="501"/>
      <c r="K752" s="480"/>
      <c r="L752" s="481"/>
      <c r="M752" s="477"/>
      <c r="N752" s="477"/>
      <c r="O752" s="477"/>
      <c r="P752" s="505"/>
      <c r="Q752" s="505"/>
      <c r="R752" s="509"/>
      <c r="S752" s="477"/>
      <c r="T752" s="484"/>
      <c r="U752" s="484"/>
      <c r="V752" s="477"/>
      <c r="W752" s="477"/>
      <c r="X752" s="477"/>
      <c r="Y752" s="477"/>
      <c r="Z752" s="477"/>
      <c r="AA752" s="477"/>
      <c r="AB752" s="477"/>
      <c r="AC752" s="480"/>
      <c r="AD752" s="477"/>
      <c r="AE752" s="477"/>
    </row>
    <row r="753" spans="1:31" s="500" customFormat="1" x14ac:dyDescent="0.25">
      <c r="A753" s="502"/>
      <c r="B753" s="477"/>
      <c r="C753" s="477"/>
      <c r="D753" s="477"/>
      <c r="E753" s="477"/>
      <c r="F753" s="478"/>
      <c r="G753" s="477"/>
      <c r="H753" s="477"/>
      <c r="I753" s="477"/>
      <c r="J753" s="501"/>
      <c r="K753" s="480"/>
      <c r="L753" s="481"/>
      <c r="M753" s="477"/>
      <c r="N753" s="477"/>
      <c r="O753" s="477"/>
      <c r="P753" s="477"/>
      <c r="Q753" s="477"/>
      <c r="R753" s="509"/>
      <c r="S753" s="477"/>
      <c r="T753" s="484"/>
      <c r="U753" s="484"/>
      <c r="V753" s="477"/>
      <c r="W753" s="477"/>
      <c r="X753" s="477"/>
      <c r="Y753" s="477"/>
      <c r="Z753" s="477"/>
      <c r="AA753" s="477"/>
      <c r="AB753" s="477"/>
      <c r="AC753" s="477"/>
      <c r="AD753" s="477"/>
    </row>
    <row r="754" spans="1:31" s="503" customFormat="1" x14ac:dyDescent="0.25">
      <c r="A754" s="476"/>
      <c r="B754" s="454"/>
      <c r="C754" s="454"/>
      <c r="D754" s="477"/>
      <c r="E754" s="477"/>
      <c r="F754" s="478"/>
      <c r="G754" s="477"/>
      <c r="H754" s="477"/>
      <c r="I754" s="477"/>
      <c r="J754" s="501"/>
      <c r="K754" s="480"/>
      <c r="L754" s="480"/>
      <c r="M754" s="477"/>
      <c r="N754" s="477"/>
      <c r="O754" s="477"/>
      <c r="P754" s="477"/>
      <c r="Q754" s="477"/>
      <c r="R754" s="509"/>
      <c r="S754" s="477"/>
      <c r="T754" s="484"/>
      <c r="U754" s="477"/>
      <c r="V754" s="454"/>
      <c r="W754" s="454"/>
      <c r="X754" s="454"/>
      <c r="Y754" s="454"/>
      <c r="Z754" s="454"/>
      <c r="AA754" s="454"/>
      <c r="AB754" s="454"/>
      <c r="AC754" s="454"/>
      <c r="AD754" s="454"/>
    </row>
    <row r="755" spans="1:31" s="500" customFormat="1" x14ac:dyDescent="0.25">
      <c r="A755" s="502"/>
      <c r="B755" s="477"/>
      <c r="C755" s="477"/>
      <c r="D755" s="477"/>
      <c r="E755" s="477"/>
      <c r="F755" s="478"/>
      <c r="G755" s="477"/>
      <c r="H755" s="477"/>
      <c r="I755" s="477"/>
      <c r="J755" s="501"/>
      <c r="K755" s="480"/>
      <c r="L755" s="481"/>
      <c r="M755" s="477"/>
      <c r="N755" s="477"/>
      <c r="O755" s="477"/>
      <c r="P755" s="477"/>
      <c r="Q755" s="477"/>
      <c r="R755" s="509"/>
      <c r="S755" s="477"/>
      <c r="T755" s="484"/>
      <c r="U755" s="484"/>
      <c r="V755" s="477"/>
      <c r="W755" s="477"/>
      <c r="X755" s="477"/>
      <c r="Y755" s="477"/>
      <c r="Z755" s="477"/>
      <c r="AA755" s="477"/>
      <c r="AB755" s="477"/>
      <c r="AC755" s="477"/>
      <c r="AD755" s="477"/>
    </row>
    <row r="756" spans="1:31" s="506" customFormat="1" x14ac:dyDescent="0.25">
      <c r="A756" s="476"/>
      <c r="B756" s="477"/>
      <c r="C756" s="477"/>
      <c r="D756" s="477"/>
      <c r="E756" s="477"/>
      <c r="F756" s="478"/>
      <c r="G756" s="505"/>
      <c r="H756" s="505"/>
      <c r="I756" s="505"/>
      <c r="J756" s="501"/>
      <c r="K756" s="480"/>
      <c r="L756" s="481"/>
      <c r="M756" s="477"/>
      <c r="N756" s="477"/>
      <c r="O756" s="477"/>
      <c r="P756" s="505"/>
      <c r="Q756" s="505"/>
      <c r="R756" s="509"/>
      <c r="S756" s="477"/>
      <c r="T756" s="484"/>
      <c r="U756" s="484"/>
      <c r="V756" s="477"/>
      <c r="W756" s="477"/>
      <c r="X756" s="477"/>
      <c r="Y756" s="477"/>
      <c r="Z756" s="477"/>
      <c r="AA756" s="477"/>
      <c r="AB756" s="477"/>
      <c r="AC756" s="480"/>
      <c r="AD756" s="477"/>
      <c r="AE756" s="477"/>
    </row>
    <row r="757" spans="1:31" s="506" customFormat="1" x14ac:dyDescent="0.25">
      <c r="A757" s="502"/>
      <c r="B757" s="477"/>
      <c r="C757" s="477"/>
      <c r="D757" s="477"/>
      <c r="E757" s="477"/>
      <c r="F757" s="478"/>
      <c r="G757" s="505"/>
      <c r="H757" s="505"/>
      <c r="I757" s="505"/>
      <c r="J757" s="501"/>
      <c r="K757" s="480"/>
      <c r="L757" s="481"/>
      <c r="M757" s="477"/>
      <c r="N757" s="477"/>
      <c r="O757" s="477"/>
      <c r="P757" s="505"/>
      <c r="Q757" s="505"/>
      <c r="R757" s="509"/>
      <c r="S757" s="477"/>
      <c r="T757" s="484"/>
      <c r="U757" s="484"/>
      <c r="V757" s="477"/>
      <c r="W757" s="477"/>
      <c r="X757" s="477"/>
      <c r="Y757" s="477"/>
      <c r="Z757" s="477"/>
      <c r="AA757" s="477"/>
      <c r="AB757" s="477"/>
      <c r="AC757" s="480"/>
      <c r="AD757" s="477"/>
      <c r="AE757" s="477"/>
    </row>
    <row r="758" spans="1:31" s="506" customFormat="1" x14ac:dyDescent="0.25">
      <c r="A758" s="476"/>
      <c r="B758" s="477"/>
      <c r="C758" s="477"/>
      <c r="D758" s="477"/>
      <c r="E758" s="477"/>
      <c r="F758" s="478"/>
      <c r="G758" s="505"/>
      <c r="H758" s="505"/>
      <c r="I758" s="505"/>
      <c r="J758" s="501"/>
      <c r="K758" s="480"/>
      <c r="L758" s="481"/>
      <c r="M758" s="477"/>
      <c r="N758" s="477"/>
      <c r="O758" s="477"/>
      <c r="P758" s="505"/>
      <c r="Q758" s="505"/>
      <c r="R758" s="509"/>
      <c r="S758" s="477"/>
      <c r="T758" s="484"/>
      <c r="U758" s="484"/>
      <c r="V758" s="477"/>
      <c r="W758" s="477"/>
      <c r="X758" s="477"/>
      <c r="Y758" s="477"/>
      <c r="Z758" s="477"/>
      <c r="AA758" s="477"/>
      <c r="AB758" s="477"/>
      <c r="AC758" s="480"/>
      <c r="AD758" s="477"/>
      <c r="AE758" s="477"/>
    </row>
    <row r="759" spans="1:31" s="500" customFormat="1" x14ac:dyDescent="0.25">
      <c r="A759" s="502"/>
      <c r="B759" s="477"/>
      <c r="C759" s="477"/>
      <c r="D759" s="477"/>
      <c r="E759" s="477"/>
      <c r="F759" s="478"/>
      <c r="G759" s="477"/>
      <c r="H759" s="477"/>
      <c r="I759" s="477"/>
      <c r="J759" s="501"/>
      <c r="K759" s="480"/>
      <c r="L759" s="481"/>
      <c r="M759" s="477"/>
      <c r="N759" s="477"/>
      <c r="O759" s="477"/>
      <c r="P759" s="477"/>
      <c r="Q759" s="477"/>
      <c r="R759" s="509"/>
      <c r="S759" s="477"/>
      <c r="T759" s="484"/>
      <c r="U759" s="484"/>
      <c r="V759" s="477"/>
      <c r="W759" s="477"/>
      <c r="X759" s="477"/>
      <c r="Y759" s="477"/>
      <c r="Z759" s="477"/>
      <c r="AA759" s="477"/>
      <c r="AB759" s="477"/>
      <c r="AC759" s="477"/>
      <c r="AD759" s="477"/>
    </row>
    <row r="760" spans="1:31" s="506" customFormat="1" x14ac:dyDescent="0.25">
      <c r="A760" s="476"/>
      <c r="B760" s="477"/>
      <c r="C760" s="477"/>
      <c r="D760" s="477"/>
      <c r="E760" s="477"/>
      <c r="F760" s="478"/>
      <c r="G760" s="477"/>
      <c r="H760" s="477"/>
      <c r="I760" s="477"/>
      <c r="J760" s="501"/>
      <c r="K760" s="480"/>
      <c r="L760" s="480"/>
      <c r="M760" s="477"/>
      <c r="N760" s="477"/>
      <c r="O760" s="477"/>
      <c r="P760" s="477"/>
      <c r="Q760" s="477"/>
      <c r="R760" s="501"/>
      <c r="S760" s="477"/>
      <c r="T760" s="484"/>
      <c r="U760" s="484"/>
      <c r="V760" s="477"/>
      <c r="W760" s="477"/>
      <c r="X760" s="477"/>
      <c r="Y760" s="477"/>
      <c r="Z760" s="477"/>
      <c r="AA760" s="477"/>
      <c r="AB760" s="477"/>
      <c r="AC760" s="477"/>
      <c r="AD760" s="477"/>
    </row>
    <row r="761" spans="1:31" s="506" customFormat="1" x14ac:dyDescent="0.25">
      <c r="A761" s="502"/>
      <c r="B761" s="477"/>
      <c r="C761" s="477"/>
      <c r="D761" s="477"/>
      <c r="E761" s="477"/>
      <c r="F761" s="478"/>
      <c r="G761" s="505"/>
      <c r="H761" s="505"/>
      <c r="I761" s="505"/>
      <c r="J761" s="501"/>
      <c r="K761" s="480"/>
      <c r="L761" s="481"/>
      <c r="M761" s="477"/>
      <c r="N761" s="477"/>
      <c r="O761" s="477"/>
      <c r="P761" s="505"/>
      <c r="Q761" s="505"/>
      <c r="R761" s="501"/>
      <c r="S761" s="477"/>
      <c r="T761" s="484"/>
      <c r="U761" s="484"/>
      <c r="V761" s="477"/>
      <c r="W761" s="477"/>
      <c r="X761" s="477"/>
      <c r="Y761" s="477"/>
      <c r="Z761" s="477"/>
      <c r="AA761" s="477"/>
      <c r="AB761" s="477"/>
      <c r="AC761" s="480"/>
      <c r="AD761" s="477"/>
      <c r="AE761" s="477"/>
    </row>
    <row r="762" spans="1:31" s="506" customFormat="1" x14ac:dyDescent="0.25">
      <c r="A762" s="476"/>
      <c r="B762" s="477"/>
      <c r="C762" s="477"/>
      <c r="D762" s="477"/>
      <c r="E762" s="477"/>
      <c r="F762" s="478"/>
      <c r="G762" s="505"/>
      <c r="H762" s="505"/>
      <c r="I762" s="505"/>
      <c r="J762" s="501"/>
      <c r="K762" s="480"/>
      <c r="L762" s="481"/>
      <c r="M762" s="477"/>
      <c r="N762" s="477"/>
      <c r="O762" s="477"/>
      <c r="P762" s="505"/>
      <c r="Q762" s="505"/>
      <c r="R762" s="501"/>
      <c r="S762" s="477"/>
      <c r="T762" s="484"/>
      <c r="U762" s="484"/>
      <c r="V762" s="477"/>
      <c r="W762" s="477"/>
      <c r="X762" s="477"/>
      <c r="Y762" s="477"/>
      <c r="Z762" s="477"/>
      <c r="AA762" s="477"/>
      <c r="AB762" s="477"/>
      <c r="AC762" s="480"/>
      <c r="AD762" s="477"/>
      <c r="AE762" s="477"/>
    </row>
    <row r="763" spans="1:31" s="500" customFormat="1" x14ac:dyDescent="0.25">
      <c r="A763" s="502"/>
      <c r="B763" s="477"/>
      <c r="C763" s="477"/>
      <c r="D763" s="477"/>
      <c r="E763" s="477"/>
      <c r="F763" s="478"/>
      <c r="G763" s="477"/>
      <c r="H763" s="477"/>
      <c r="I763" s="477"/>
      <c r="J763" s="479"/>
      <c r="K763" s="480"/>
      <c r="L763" s="481"/>
      <c r="M763" s="477"/>
      <c r="N763" s="477"/>
      <c r="O763" s="477"/>
      <c r="P763" s="477"/>
      <c r="Q763" s="477"/>
      <c r="R763" s="499"/>
      <c r="S763" s="477"/>
      <c r="T763" s="484"/>
      <c r="U763" s="484"/>
      <c r="V763" s="477"/>
      <c r="W763" s="477"/>
      <c r="X763" s="477"/>
      <c r="Y763" s="477"/>
      <c r="Z763" s="477"/>
      <c r="AA763" s="477"/>
      <c r="AB763" s="477"/>
      <c r="AC763" s="477"/>
      <c r="AD763" s="477"/>
    </row>
    <row r="764" spans="1:31" x14ac:dyDescent="0.25">
      <c r="A764" s="513"/>
      <c r="B764" s="514"/>
      <c r="C764" s="514"/>
      <c r="D764" s="515"/>
      <c r="E764" s="516"/>
      <c r="F764" s="517"/>
      <c r="G764" s="516"/>
      <c r="H764" s="516"/>
      <c r="I764" s="516"/>
      <c r="J764" s="518"/>
      <c r="K764" s="519"/>
      <c r="L764" s="519"/>
      <c r="M764" s="516"/>
      <c r="N764" s="516"/>
      <c r="O764" s="516"/>
      <c r="P764" s="516"/>
      <c r="Q764" s="516"/>
      <c r="R764" s="520"/>
      <c r="S764" s="516"/>
      <c r="T764" s="521"/>
      <c r="U764" s="522"/>
      <c r="V764" s="523"/>
      <c r="W764" s="514"/>
      <c r="X764" s="514"/>
      <c r="Y764" s="514"/>
      <c r="Z764" s="514"/>
      <c r="AA764" s="514"/>
      <c r="AB764" s="514"/>
      <c r="AC764" s="514"/>
      <c r="AD764" s="514"/>
    </row>
    <row r="765" spans="1:31" x14ac:dyDescent="0.25">
      <c r="A765" s="488" t="s">
        <v>345</v>
      </c>
      <c r="B765" s="489"/>
      <c r="C765" s="489"/>
      <c r="D765" s="489"/>
      <c r="E765" s="489"/>
      <c r="F765" s="490"/>
      <c r="G765" s="489"/>
      <c r="H765" s="489"/>
      <c r="I765" s="489"/>
      <c r="J765" s="456" t="s">
        <v>16</v>
      </c>
      <c r="K765" s="456">
        <f>SUM(K766:K767)</f>
        <v>0</v>
      </c>
      <c r="L765" s="456">
        <f>SUM(L766:L767)</f>
        <v>0</v>
      </c>
      <c r="M765" s="454"/>
      <c r="N765" s="454"/>
      <c r="O765" s="454"/>
      <c r="P765" s="454"/>
      <c r="Q765" s="454"/>
      <c r="R765" s="458"/>
      <c r="S765" s="454"/>
      <c r="T765" s="454"/>
      <c r="U765" s="454"/>
      <c r="V765" s="454"/>
      <c r="W765" s="454"/>
      <c r="X765" s="454"/>
      <c r="Y765" s="454"/>
      <c r="Z765" s="454"/>
      <c r="AA765" s="454"/>
      <c r="AB765" s="454"/>
      <c r="AC765" s="454"/>
      <c r="AD765" s="454"/>
    </row>
    <row r="766" spans="1:31" x14ac:dyDescent="0.25">
      <c r="A766" s="491"/>
      <c r="B766" s="454"/>
      <c r="C766" s="454"/>
      <c r="D766" s="477"/>
      <c r="E766" s="477"/>
      <c r="F766" s="478"/>
      <c r="G766" s="477"/>
      <c r="H766" s="477"/>
      <c r="I766" s="477"/>
      <c r="J766" s="479"/>
      <c r="K766" s="480"/>
      <c r="L766" s="480"/>
      <c r="M766" s="477"/>
      <c r="N766" s="477"/>
      <c r="O766" s="477"/>
      <c r="P766" s="477"/>
      <c r="Q766" s="477"/>
      <c r="R766" s="482"/>
      <c r="S766" s="477"/>
      <c r="T766" s="484"/>
      <c r="U766" s="477"/>
      <c r="V766" s="454"/>
      <c r="W766" s="454"/>
      <c r="X766" s="454"/>
      <c r="Y766" s="454"/>
      <c r="Z766" s="454"/>
      <c r="AA766" s="454"/>
      <c r="AB766" s="454"/>
      <c r="AC766" s="454"/>
      <c r="AD766" s="454"/>
    </row>
    <row r="767" spans="1:31" s="486" customFormat="1" x14ac:dyDescent="0.25">
      <c r="A767" s="492"/>
      <c r="B767" s="477"/>
      <c r="C767" s="477"/>
      <c r="D767" s="477"/>
      <c r="E767" s="477"/>
      <c r="F767" s="478"/>
      <c r="G767" s="477"/>
      <c r="H767" s="477"/>
      <c r="I767" s="477"/>
      <c r="J767" s="479"/>
      <c r="K767" s="480"/>
      <c r="L767" s="480"/>
      <c r="M767" s="477"/>
      <c r="N767" s="477"/>
      <c r="O767" s="477"/>
      <c r="P767" s="477"/>
      <c r="Q767" s="477"/>
      <c r="R767" s="482"/>
      <c r="S767" s="477"/>
      <c r="T767" s="484"/>
      <c r="U767" s="477"/>
      <c r="V767" s="477"/>
      <c r="W767" s="477"/>
      <c r="X767" s="477"/>
      <c r="Y767" s="477"/>
      <c r="Z767" s="477"/>
      <c r="AA767" s="477"/>
      <c r="AB767" s="477"/>
      <c r="AC767" s="477"/>
      <c r="AD767" s="477"/>
    </row>
    <row r="768" spans="1:31" s="472" customFormat="1" x14ac:dyDescent="0.25">
      <c r="A768" s="457" t="s">
        <v>291</v>
      </c>
      <c r="B768" s="468"/>
      <c r="C768" s="468"/>
      <c r="D768" s="468"/>
      <c r="E768" s="468"/>
      <c r="F768" s="469"/>
      <c r="G768" s="468"/>
      <c r="H768" s="468"/>
      <c r="I768" s="468"/>
      <c r="J768" s="470"/>
      <c r="K768" s="470"/>
      <c r="L768" s="470"/>
      <c r="M768" s="468"/>
      <c r="N768" s="468"/>
      <c r="O768" s="468"/>
      <c r="P768" s="468"/>
      <c r="Q768" s="468"/>
      <c r="R768" s="471"/>
      <c r="S768" s="468"/>
      <c r="T768" s="468"/>
      <c r="U768" s="468"/>
      <c r="V768" s="468"/>
      <c r="W768" s="468"/>
      <c r="X768" s="468"/>
      <c r="Y768" s="468"/>
      <c r="Z768" s="468"/>
      <c r="AA768" s="468"/>
      <c r="AB768" s="468"/>
      <c r="AC768" s="468"/>
      <c r="AD768" s="468"/>
    </row>
    <row r="769" spans="1:30" ht="31.5" x14ac:dyDescent="0.25">
      <c r="A769" s="473" t="s">
        <v>344</v>
      </c>
      <c r="B769" s="474"/>
      <c r="C769" s="474"/>
      <c r="D769" s="474"/>
      <c r="E769" s="474"/>
      <c r="F769" s="475"/>
      <c r="G769" s="474"/>
      <c r="H769" s="474"/>
      <c r="I769" s="474"/>
      <c r="J769" s="456" t="s">
        <v>16</v>
      </c>
      <c r="K769" s="456">
        <f>SUM(K770:K771)</f>
        <v>0</v>
      </c>
      <c r="L769" s="456">
        <f>SUM(L770:L771)</f>
        <v>0</v>
      </c>
      <c r="M769" s="454"/>
      <c r="N769" s="454"/>
      <c r="O769" s="454"/>
      <c r="P769" s="454"/>
      <c r="Q769" s="454"/>
      <c r="R769" s="458"/>
      <c r="S769" s="454"/>
      <c r="T769" s="454"/>
      <c r="U769" s="454"/>
      <c r="V769" s="454"/>
      <c r="W769" s="454"/>
      <c r="X769" s="454"/>
      <c r="Y769" s="454"/>
      <c r="Z769" s="454"/>
      <c r="AA769" s="454"/>
      <c r="AB769" s="454"/>
      <c r="AC769" s="454"/>
      <c r="AD769" s="454"/>
    </row>
    <row r="770" spans="1:30" s="486" customFormat="1" x14ac:dyDescent="0.25">
      <c r="A770" s="476"/>
      <c r="B770" s="477"/>
      <c r="C770" s="477"/>
      <c r="D770" s="477"/>
      <c r="E770" s="477"/>
      <c r="F770" s="478"/>
      <c r="G770" s="477"/>
      <c r="H770" s="477"/>
      <c r="I770" s="477"/>
      <c r="J770" s="479"/>
      <c r="K770" s="480"/>
      <c r="L770" s="481"/>
      <c r="M770" s="477"/>
      <c r="N770" s="477"/>
      <c r="O770" s="477"/>
      <c r="P770" s="477"/>
      <c r="Q770" s="477"/>
      <c r="R770" s="482"/>
      <c r="S770" s="477"/>
      <c r="T770" s="483"/>
      <c r="U770" s="484"/>
      <c r="V770" s="485"/>
      <c r="W770" s="477"/>
      <c r="X770" s="477"/>
      <c r="Y770" s="477"/>
      <c r="Z770" s="477"/>
      <c r="AA770" s="477"/>
      <c r="AB770" s="477"/>
      <c r="AC770" s="477"/>
      <c r="AD770" s="477"/>
    </row>
    <row r="771" spans="1:30" x14ac:dyDescent="0.25">
      <c r="A771" s="465"/>
      <c r="B771" s="454"/>
      <c r="C771" s="454"/>
      <c r="D771" s="487"/>
      <c r="E771" s="477"/>
      <c r="F771" s="478"/>
      <c r="G771" s="477"/>
      <c r="H771" s="477"/>
      <c r="I771" s="477"/>
      <c r="J771" s="479"/>
      <c r="K771" s="480"/>
      <c r="L771" s="480"/>
      <c r="M771" s="477"/>
      <c r="N771" s="477"/>
      <c r="O771" s="477"/>
      <c r="P771" s="477"/>
      <c r="Q771" s="477"/>
      <c r="R771" s="482"/>
      <c r="S771" s="477"/>
      <c r="T771" s="483"/>
      <c r="U771" s="484"/>
      <c r="V771" s="485"/>
      <c r="W771" s="454"/>
      <c r="X771" s="454"/>
      <c r="Y771" s="454"/>
      <c r="Z771" s="454"/>
      <c r="AA771" s="454"/>
      <c r="AB771" s="454"/>
      <c r="AC771" s="454"/>
      <c r="AD771" s="454"/>
    </row>
    <row r="772" spans="1:30" x14ac:dyDescent="0.25">
      <c r="A772" s="488" t="s">
        <v>345</v>
      </c>
      <c r="B772" s="489"/>
      <c r="C772" s="489"/>
      <c r="D772" s="489"/>
      <c r="E772" s="489"/>
      <c r="F772" s="490"/>
      <c r="G772" s="489"/>
      <c r="H772" s="489"/>
      <c r="I772" s="489"/>
      <c r="J772" s="456" t="s">
        <v>16</v>
      </c>
      <c r="K772" s="456">
        <f>SUM(K773:K774)</f>
        <v>0</v>
      </c>
      <c r="L772" s="456">
        <f>SUM(L773:L774)</f>
        <v>0</v>
      </c>
      <c r="M772" s="454"/>
      <c r="N772" s="454"/>
      <c r="O772" s="454"/>
      <c r="P772" s="454"/>
      <c r="Q772" s="454"/>
      <c r="R772" s="458"/>
      <c r="S772" s="454"/>
      <c r="T772" s="454"/>
      <c r="U772" s="454"/>
      <c r="V772" s="454"/>
      <c r="W772" s="454"/>
      <c r="X772" s="454"/>
      <c r="Y772" s="454"/>
      <c r="Z772" s="454"/>
      <c r="AA772" s="454"/>
      <c r="AB772" s="454"/>
      <c r="AC772" s="454"/>
      <c r="AD772" s="454"/>
    </row>
    <row r="773" spans="1:30" x14ac:dyDescent="0.25">
      <c r="A773" s="491"/>
      <c r="B773" s="454"/>
      <c r="C773" s="454"/>
      <c r="D773" s="477"/>
      <c r="E773" s="477"/>
      <c r="F773" s="478"/>
      <c r="G773" s="477"/>
      <c r="H773" s="477"/>
      <c r="I773" s="477"/>
      <c r="J773" s="479"/>
      <c r="K773" s="480"/>
      <c r="L773" s="480"/>
      <c r="M773" s="477"/>
      <c r="N773" s="477"/>
      <c r="O773" s="477"/>
      <c r="P773" s="477"/>
      <c r="Q773" s="477"/>
      <c r="R773" s="482"/>
      <c r="S773" s="477"/>
      <c r="T773" s="484"/>
      <c r="U773" s="477"/>
      <c r="V773" s="454"/>
      <c r="W773" s="454"/>
      <c r="X773" s="454"/>
      <c r="Y773" s="454"/>
      <c r="Z773" s="454"/>
      <c r="AA773" s="454"/>
      <c r="AB773" s="454"/>
      <c r="AC773" s="454"/>
      <c r="AD773" s="454"/>
    </row>
    <row r="774" spans="1:30" s="486" customFormat="1" x14ac:dyDescent="0.25">
      <c r="A774" s="492"/>
      <c r="B774" s="477"/>
      <c r="C774" s="477"/>
      <c r="D774" s="477"/>
      <c r="E774" s="477"/>
      <c r="F774" s="478"/>
      <c r="G774" s="477"/>
      <c r="H774" s="477"/>
      <c r="I774" s="477"/>
      <c r="J774" s="479"/>
      <c r="K774" s="480"/>
      <c r="L774" s="480"/>
      <c r="M774" s="477"/>
      <c r="N774" s="477"/>
      <c r="O774" s="477"/>
      <c r="P774" s="477"/>
      <c r="Q774" s="477"/>
      <c r="R774" s="482"/>
      <c r="S774" s="477"/>
      <c r="T774" s="484"/>
      <c r="U774" s="477"/>
      <c r="V774" s="477"/>
      <c r="W774" s="477"/>
      <c r="X774" s="477"/>
      <c r="Y774" s="477"/>
      <c r="Z774" s="477"/>
      <c r="AA774" s="477"/>
      <c r="AB774" s="477"/>
      <c r="AC774" s="477"/>
      <c r="AD774" s="477"/>
    </row>
    <row r="775" spans="1:30" s="472" customFormat="1" x14ac:dyDescent="0.25">
      <c r="A775" s="457" t="s">
        <v>292</v>
      </c>
      <c r="B775" s="468"/>
      <c r="C775" s="468"/>
      <c r="D775" s="468"/>
      <c r="E775" s="468"/>
      <c r="F775" s="469"/>
      <c r="G775" s="468"/>
      <c r="H775" s="468"/>
      <c r="I775" s="468"/>
      <c r="J775" s="470"/>
      <c r="K775" s="470"/>
      <c r="L775" s="470"/>
      <c r="M775" s="468"/>
      <c r="N775" s="468"/>
      <c r="O775" s="468"/>
      <c r="P775" s="468"/>
      <c r="Q775" s="468"/>
      <c r="R775" s="471"/>
      <c r="S775" s="468"/>
      <c r="T775" s="468"/>
      <c r="U775" s="468"/>
      <c r="V775" s="468"/>
      <c r="W775" s="468"/>
      <c r="X775" s="468"/>
      <c r="Y775" s="468"/>
      <c r="Z775" s="468"/>
      <c r="AA775" s="468"/>
      <c r="AB775" s="468"/>
      <c r="AC775" s="468"/>
      <c r="AD775" s="468"/>
    </row>
    <row r="776" spans="1:30" ht="31.5" x14ac:dyDescent="0.25">
      <c r="A776" s="473" t="s">
        <v>344</v>
      </c>
      <c r="B776" s="474"/>
      <c r="C776" s="474"/>
      <c r="D776" s="474"/>
      <c r="E776" s="474"/>
      <c r="F776" s="475"/>
      <c r="G776" s="474"/>
      <c r="H776" s="474"/>
      <c r="I776" s="474"/>
      <c r="J776" s="456" t="s">
        <v>16</v>
      </c>
      <c r="K776" s="456">
        <f>SUM(K777:K778)</f>
        <v>0</v>
      </c>
      <c r="L776" s="456">
        <f>SUM(L777:L778)</f>
        <v>0</v>
      </c>
      <c r="M776" s="454"/>
      <c r="N776" s="454"/>
      <c r="O776" s="454"/>
      <c r="P776" s="454"/>
      <c r="Q776" s="454"/>
      <c r="R776" s="458"/>
      <c r="S776" s="454"/>
      <c r="T776" s="454"/>
      <c r="U776" s="454"/>
      <c r="V776" s="454"/>
      <c r="W776" s="454"/>
      <c r="X776" s="454"/>
      <c r="Y776" s="454"/>
      <c r="Z776" s="454"/>
      <c r="AA776" s="454"/>
      <c r="AB776" s="454"/>
      <c r="AC776" s="454"/>
      <c r="AD776" s="454"/>
    </row>
    <row r="777" spans="1:30" s="486" customFormat="1" x14ac:dyDescent="0.25">
      <c r="A777" s="476"/>
      <c r="B777" s="477"/>
      <c r="C777" s="477"/>
      <c r="D777" s="477"/>
      <c r="E777" s="477"/>
      <c r="F777" s="478"/>
      <c r="G777" s="477"/>
      <c r="H777" s="477"/>
      <c r="I777" s="477"/>
      <c r="J777" s="479"/>
      <c r="K777" s="480"/>
      <c r="L777" s="481"/>
      <c r="M777" s="477"/>
      <c r="N777" s="477"/>
      <c r="O777" s="477"/>
      <c r="P777" s="477"/>
      <c r="Q777" s="477"/>
      <c r="R777" s="482"/>
      <c r="S777" s="477"/>
      <c r="T777" s="483"/>
      <c r="U777" s="484"/>
      <c r="V777" s="485"/>
      <c r="W777" s="477"/>
      <c r="X777" s="477"/>
      <c r="Y777" s="477"/>
      <c r="Z777" s="477"/>
      <c r="AA777" s="477"/>
      <c r="AB777" s="477"/>
      <c r="AC777" s="477"/>
      <c r="AD777" s="477"/>
    </row>
    <row r="778" spans="1:30" x14ac:dyDescent="0.25">
      <c r="A778" s="465"/>
      <c r="B778" s="454"/>
      <c r="C778" s="454"/>
      <c r="D778" s="487"/>
      <c r="E778" s="477"/>
      <c r="F778" s="478"/>
      <c r="G778" s="477"/>
      <c r="H778" s="477"/>
      <c r="I778" s="477"/>
      <c r="J778" s="479"/>
      <c r="K778" s="480"/>
      <c r="L778" s="480"/>
      <c r="M778" s="477"/>
      <c r="N778" s="477"/>
      <c r="O778" s="477"/>
      <c r="P778" s="477"/>
      <c r="Q778" s="477"/>
      <c r="R778" s="482"/>
      <c r="S778" s="477"/>
      <c r="T778" s="483"/>
      <c r="U778" s="484"/>
      <c r="V778" s="485"/>
      <c r="W778" s="454"/>
      <c r="X778" s="454"/>
      <c r="Y778" s="454"/>
      <c r="Z778" s="454"/>
      <c r="AA778" s="454"/>
      <c r="AB778" s="454"/>
      <c r="AC778" s="454"/>
      <c r="AD778" s="454"/>
    </row>
    <row r="779" spans="1:30" x14ac:dyDescent="0.25">
      <c r="A779" s="488" t="s">
        <v>345</v>
      </c>
      <c r="B779" s="489"/>
      <c r="C779" s="489"/>
      <c r="D779" s="489"/>
      <c r="E779" s="489"/>
      <c r="F779" s="490"/>
      <c r="G779" s="489"/>
      <c r="H779" s="489"/>
      <c r="I779" s="489"/>
      <c r="J779" s="456" t="s">
        <v>16</v>
      </c>
      <c r="K779" s="456">
        <f>SUM(K780:K781)</f>
        <v>0</v>
      </c>
      <c r="L779" s="456">
        <f>SUM(L780:L781)</f>
        <v>0</v>
      </c>
      <c r="M779" s="454"/>
      <c r="N779" s="454"/>
      <c r="O779" s="454"/>
      <c r="P779" s="454"/>
      <c r="Q779" s="454"/>
      <c r="R779" s="458"/>
      <c r="S779" s="454"/>
      <c r="T779" s="454"/>
      <c r="U779" s="454"/>
      <c r="V779" s="454"/>
      <c r="W779" s="454"/>
      <c r="X779" s="454"/>
      <c r="Y779" s="454"/>
      <c r="Z779" s="454"/>
      <c r="AA779" s="454"/>
      <c r="AB779" s="454"/>
      <c r="AC779" s="454"/>
      <c r="AD779" s="454"/>
    </row>
    <row r="780" spans="1:30" x14ac:dyDescent="0.25">
      <c r="A780" s="491"/>
      <c r="B780" s="454"/>
      <c r="C780" s="454"/>
      <c r="D780" s="477"/>
      <c r="E780" s="477"/>
      <c r="F780" s="478"/>
      <c r="G780" s="477"/>
      <c r="H780" s="477"/>
      <c r="I780" s="477"/>
      <c r="J780" s="479"/>
      <c r="K780" s="480"/>
      <c r="L780" s="480"/>
      <c r="M780" s="477"/>
      <c r="N780" s="477"/>
      <c r="O780" s="477"/>
      <c r="P780" s="477"/>
      <c r="Q780" s="477"/>
      <c r="R780" s="482"/>
      <c r="S780" s="477"/>
      <c r="T780" s="484"/>
      <c r="U780" s="477"/>
      <c r="V780" s="454"/>
      <c r="W780" s="454"/>
      <c r="X780" s="454"/>
      <c r="Y780" s="454"/>
      <c r="Z780" s="454"/>
      <c r="AA780" s="454"/>
      <c r="AB780" s="454"/>
      <c r="AC780" s="454"/>
      <c r="AD780" s="454"/>
    </row>
    <row r="781" spans="1:30" s="486" customFormat="1" x14ac:dyDescent="0.25">
      <c r="A781" s="492"/>
      <c r="B781" s="477"/>
      <c r="C781" s="477"/>
      <c r="D781" s="477"/>
      <c r="E781" s="477"/>
      <c r="F781" s="478"/>
      <c r="G781" s="477"/>
      <c r="H781" s="477"/>
      <c r="I781" s="477"/>
      <c r="J781" s="479"/>
      <c r="K781" s="480"/>
      <c r="L781" s="480"/>
      <c r="M781" s="477"/>
      <c r="N781" s="477"/>
      <c r="O781" s="477"/>
      <c r="P781" s="477"/>
      <c r="Q781" s="477"/>
      <c r="R781" s="482"/>
      <c r="S781" s="477"/>
      <c r="T781" s="484"/>
      <c r="U781" s="477"/>
      <c r="V781" s="477"/>
      <c r="W781" s="477"/>
      <c r="X781" s="477"/>
      <c r="Y781" s="477"/>
      <c r="Z781" s="477"/>
      <c r="AA781" s="477"/>
      <c r="AB781" s="477"/>
      <c r="AC781" s="477"/>
      <c r="AD781" s="477"/>
    </row>
    <row r="782" spans="1:30" s="472" customFormat="1" x14ac:dyDescent="0.25">
      <c r="A782" s="457" t="s">
        <v>293</v>
      </c>
      <c r="B782" s="468"/>
      <c r="C782" s="468"/>
      <c r="D782" s="468"/>
      <c r="E782" s="468"/>
      <c r="F782" s="469"/>
      <c r="G782" s="468"/>
      <c r="H782" s="468"/>
      <c r="I782" s="468"/>
      <c r="J782" s="470"/>
      <c r="K782" s="470"/>
      <c r="L782" s="470"/>
      <c r="M782" s="468"/>
      <c r="N782" s="468"/>
      <c r="O782" s="468"/>
      <c r="P782" s="468"/>
      <c r="Q782" s="468"/>
      <c r="R782" s="471"/>
      <c r="S782" s="468"/>
      <c r="T782" s="468"/>
      <c r="U782" s="468"/>
      <c r="V782" s="468"/>
      <c r="W782" s="468"/>
      <c r="X782" s="468"/>
      <c r="Y782" s="468"/>
      <c r="Z782" s="468"/>
      <c r="AA782" s="468"/>
      <c r="AB782" s="468"/>
      <c r="AC782" s="468"/>
      <c r="AD782" s="468"/>
    </row>
    <row r="783" spans="1:30" ht="31.5" x14ac:dyDescent="0.25">
      <c r="A783" s="473" t="s">
        <v>344</v>
      </c>
      <c r="B783" s="474"/>
      <c r="C783" s="474"/>
      <c r="D783" s="474"/>
      <c r="E783" s="474"/>
      <c r="F783" s="475"/>
      <c r="G783" s="474"/>
      <c r="H783" s="474"/>
      <c r="I783" s="474"/>
      <c r="J783" s="456" t="s">
        <v>16</v>
      </c>
      <c r="K783" s="456">
        <f>SUM(K784:K785)</f>
        <v>0</v>
      </c>
      <c r="L783" s="456">
        <f>SUM(L784:L785)</f>
        <v>0</v>
      </c>
      <c r="M783" s="454"/>
      <c r="N783" s="454"/>
      <c r="O783" s="454"/>
      <c r="P783" s="454"/>
      <c r="Q783" s="454"/>
      <c r="R783" s="458"/>
      <c r="S783" s="454"/>
      <c r="T783" s="454"/>
      <c r="U783" s="454"/>
      <c r="V783" s="454"/>
      <c r="W783" s="454"/>
      <c r="X783" s="454"/>
      <c r="Y783" s="454"/>
      <c r="Z783" s="454"/>
      <c r="AA783" s="454"/>
      <c r="AB783" s="454"/>
      <c r="AC783" s="454"/>
      <c r="AD783" s="454"/>
    </row>
    <row r="784" spans="1:30" s="486" customFormat="1" x14ac:dyDescent="0.25">
      <c r="A784" s="476"/>
      <c r="B784" s="477"/>
      <c r="C784" s="477"/>
      <c r="D784" s="477"/>
      <c r="E784" s="477"/>
      <c r="F784" s="478"/>
      <c r="G784" s="477"/>
      <c r="H784" s="477"/>
      <c r="I784" s="477"/>
      <c r="J784" s="479"/>
      <c r="K784" s="480"/>
      <c r="L784" s="481"/>
      <c r="M784" s="477"/>
      <c r="N784" s="477"/>
      <c r="O784" s="477"/>
      <c r="P784" s="477"/>
      <c r="Q784" s="477"/>
      <c r="R784" s="482"/>
      <c r="S784" s="477"/>
      <c r="T784" s="483"/>
      <c r="U784" s="484"/>
      <c r="V784" s="485"/>
      <c r="W784" s="477"/>
      <c r="X784" s="477"/>
      <c r="Y784" s="477"/>
      <c r="Z784" s="477"/>
      <c r="AA784" s="477"/>
      <c r="AB784" s="477"/>
      <c r="AC784" s="477"/>
      <c r="AD784" s="477"/>
    </row>
    <row r="785" spans="1:30" x14ac:dyDescent="0.25">
      <c r="A785" s="465"/>
      <c r="B785" s="454"/>
      <c r="C785" s="454"/>
      <c r="D785" s="487"/>
      <c r="E785" s="477"/>
      <c r="F785" s="478"/>
      <c r="G785" s="477"/>
      <c r="H785" s="477"/>
      <c r="I785" s="477"/>
      <c r="J785" s="479"/>
      <c r="K785" s="480"/>
      <c r="L785" s="480"/>
      <c r="M785" s="477"/>
      <c r="N785" s="477"/>
      <c r="O785" s="477"/>
      <c r="P785" s="477"/>
      <c r="Q785" s="477"/>
      <c r="R785" s="482"/>
      <c r="S785" s="477"/>
      <c r="T785" s="483"/>
      <c r="U785" s="484"/>
      <c r="V785" s="485"/>
      <c r="W785" s="454"/>
      <c r="X785" s="454"/>
      <c r="Y785" s="454"/>
      <c r="Z785" s="454"/>
      <c r="AA785" s="454"/>
      <c r="AB785" s="454"/>
      <c r="AC785" s="454"/>
      <c r="AD785" s="454"/>
    </row>
    <row r="786" spans="1:30" x14ac:dyDescent="0.25">
      <c r="A786" s="488" t="s">
        <v>345</v>
      </c>
      <c r="B786" s="489"/>
      <c r="C786" s="489"/>
      <c r="D786" s="489"/>
      <c r="E786" s="489"/>
      <c r="F786" s="490"/>
      <c r="G786" s="489"/>
      <c r="H786" s="489"/>
      <c r="I786" s="489"/>
      <c r="J786" s="456" t="s">
        <v>16</v>
      </c>
      <c r="K786" s="456">
        <f>SUM(K787:K788)</f>
        <v>0</v>
      </c>
      <c r="L786" s="456">
        <f>SUM(L787:L788)</f>
        <v>0</v>
      </c>
      <c r="M786" s="454"/>
      <c r="N786" s="454"/>
      <c r="O786" s="454"/>
      <c r="P786" s="454"/>
      <c r="Q786" s="454"/>
      <c r="R786" s="458"/>
      <c r="S786" s="454"/>
      <c r="T786" s="454"/>
      <c r="U786" s="454"/>
      <c r="V786" s="454"/>
      <c r="W786" s="454"/>
      <c r="X786" s="454"/>
      <c r="Y786" s="454"/>
      <c r="Z786" s="454"/>
      <c r="AA786" s="454"/>
      <c r="AB786" s="454"/>
      <c r="AC786" s="454"/>
      <c r="AD786" s="454"/>
    </row>
    <row r="787" spans="1:30" x14ac:dyDescent="0.25">
      <c r="A787" s="491"/>
      <c r="B787" s="454"/>
      <c r="C787" s="454"/>
      <c r="D787" s="477"/>
      <c r="E787" s="477"/>
      <c r="F787" s="478"/>
      <c r="G787" s="477"/>
      <c r="H787" s="477"/>
      <c r="I787" s="477"/>
      <c r="J787" s="479"/>
      <c r="K787" s="480"/>
      <c r="L787" s="480"/>
      <c r="M787" s="477"/>
      <c r="N787" s="477"/>
      <c r="O787" s="477"/>
      <c r="P787" s="477"/>
      <c r="Q787" s="477"/>
      <c r="R787" s="482"/>
      <c r="S787" s="477"/>
      <c r="T787" s="484"/>
      <c r="U787" s="477"/>
      <c r="V787" s="454"/>
      <c r="W787" s="454"/>
      <c r="X787" s="454"/>
      <c r="Y787" s="454"/>
      <c r="Z787" s="454"/>
      <c r="AA787" s="454"/>
      <c r="AB787" s="454"/>
      <c r="AC787" s="454"/>
      <c r="AD787" s="454"/>
    </row>
    <row r="788" spans="1:30" s="486" customFormat="1" x14ac:dyDescent="0.25">
      <c r="A788" s="492"/>
      <c r="B788" s="477"/>
      <c r="C788" s="477"/>
      <c r="D788" s="477"/>
      <c r="E788" s="477"/>
      <c r="F788" s="478"/>
      <c r="G788" s="477"/>
      <c r="H788" s="477"/>
      <c r="I788" s="477"/>
      <c r="J788" s="479"/>
      <c r="K788" s="480"/>
      <c r="L788" s="480"/>
      <c r="M788" s="477"/>
      <c r="N788" s="477"/>
      <c r="O788" s="477"/>
      <c r="P788" s="477"/>
      <c r="Q788" s="477"/>
      <c r="R788" s="482"/>
      <c r="S788" s="477"/>
      <c r="T788" s="484"/>
      <c r="U788" s="477"/>
      <c r="V788" s="477"/>
      <c r="W788" s="477"/>
      <c r="X788" s="477"/>
      <c r="Y788" s="477"/>
      <c r="Z788" s="477"/>
      <c r="AA788" s="477"/>
      <c r="AB788" s="477"/>
      <c r="AC788" s="477"/>
      <c r="AD788" s="477"/>
    </row>
  </sheetData>
  <mergeCells count="23">
    <mergeCell ref="A2:E2"/>
    <mergeCell ref="A3:E3"/>
    <mergeCell ref="J6:J7"/>
    <mergeCell ref="T6:T7"/>
    <mergeCell ref="A5:R5"/>
    <mergeCell ref="G6:I6"/>
    <mergeCell ref="S5:U5"/>
    <mergeCell ref="A6:A7"/>
    <mergeCell ref="B6:B7"/>
    <mergeCell ref="C6:C7"/>
    <mergeCell ref="E6:E7"/>
    <mergeCell ref="F6:F7"/>
    <mergeCell ref="V5:AD5"/>
    <mergeCell ref="K6:L6"/>
    <mergeCell ref="V6:X6"/>
    <mergeCell ref="M6:O6"/>
    <mergeCell ref="U6:U7"/>
    <mergeCell ref="Q6:Q7"/>
    <mergeCell ref="R6:R7"/>
    <mergeCell ref="S6:S7"/>
    <mergeCell ref="AB6:AD6"/>
    <mergeCell ref="Y6:AA6"/>
    <mergeCell ref="P6:P7"/>
  </mergeCells>
  <pageMargins left="0.7" right="0.7" top="0.75" bottom="0.75" header="0.3" footer="0.3"/>
  <pageSetup paperSize="9" scale="10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804"/>
  <sheetViews>
    <sheetView zoomScale="70" zoomScaleNormal="70" workbookViewId="0">
      <pane ySplit="7" topLeftCell="A62" activePane="bottomLeft" state="frozen"/>
      <selection pane="bottomLeft" activeCell="K101" sqref="K101"/>
    </sheetView>
  </sheetViews>
  <sheetFormatPr defaultColWidth="9" defaultRowHeight="15" x14ac:dyDescent="0.25"/>
  <cols>
    <col min="1" max="1" width="14" style="417" bestFit="1" customWidth="1"/>
    <col min="2" max="2" width="14.42578125" style="417" hidden="1"/>
    <col min="3" max="3" width="13.85546875" style="417" customWidth="1"/>
    <col min="4" max="4" width="14.85546875" style="417" customWidth="1"/>
    <col min="5" max="5" width="31.28515625" style="417" customWidth="1"/>
    <col min="6" max="6" width="5.42578125" style="417" customWidth="1"/>
    <col min="7" max="7" width="18.85546875" style="417" customWidth="1"/>
    <col min="8" max="8" width="19.42578125" style="417" customWidth="1"/>
    <col min="9" max="9" width="22.28515625" style="417" customWidth="1"/>
    <col min="10" max="10" width="19" style="417" customWidth="1"/>
    <col min="11" max="11" width="11.140625" style="417" customWidth="1"/>
    <col min="12" max="12" width="10.140625" style="417" customWidth="1"/>
    <col min="13" max="13" width="23.140625" style="417" customWidth="1"/>
    <col min="14" max="14" width="29.42578125" style="417" bestFit="1" customWidth="1"/>
    <col min="15" max="15" width="23.140625" style="417" customWidth="1"/>
    <col min="16" max="16" width="18.140625" style="417" customWidth="1"/>
    <col min="17" max="18" width="17.42578125" style="417" customWidth="1"/>
    <col min="19" max="19" width="30.7109375" style="417" bestFit="1" customWidth="1"/>
    <col min="20" max="20" width="19.7109375" style="417" customWidth="1"/>
    <col min="21" max="21" width="15.42578125" style="417" customWidth="1"/>
    <col min="22" max="22" width="13.7109375" style="417" customWidth="1"/>
    <col min="23" max="23" width="11.140625" style="417" customWidth="1"/>
    <col min="24" max="24" width="10.7109375" style="417" customWidth="1"/>
    <col min="25" max="25" width="13" style="417" customWidth="1"/>
    <col min="26" max="30" width="9.140625" style="417" customWidth="1"/>
    <col min="31" max="256" width="8.7109375" style="417" customWidth="1"/>
    <col min="257" max="16384" width="9" style="417"/>
  </cols>
  <sheetData>
    <row r="1" spans="1:30" ht="15.75" x14ac:dyDescent="0.25">
      <c r="J1" s="388"/>
      <c r="K1" s="389" t="s">
        <v>304</v>
      </c>
      <c r="L1" s="389" t="s">
        <v>305</v>
      </c>
      <c r="M1" s="389" t="s">
        <v>21</v>
      </c>
    </row>
    <row r="2" spans="1:30" ht="15.75" x14ac:dyDescent="0.25">
      <c r="A2" s="819" t="s">
        <v>306</v>
      </c>
      <c r="B2" s="819"/>
      <c r="C2" s="819"/>
      <c r="D2" s="819"/>
      <c r="E2" s="819"/>
      <c r="F2" s="390"/>
      <c r="G2" s="390"/>
      <c r="H2" s="390"/>
      <c r="I2" s="390"/>
      <c r="J2" s="391" t="s">
        <v>307</v>
      </c>
      <c r="K2" s="392"/>
      <c r="L2" s="392"/>
      <c r="M2" s="391">
        <f>SUM(K2:L2)</f>
        <v>0</v>
      </c>
      <c r="N2" s="390"/>
      <c r="O2" s="390"/>
      <c r="P2" s="390"/>
      <c r="Q2" s="390"/>
      <c r="R2" s="418"/>
      <c r="S2" s="390"/>
      <c r="T2" s="390"/>
      <c r="U2" s="390"/>
      <c r="V2" s="390"/>
      <c r="W2" s="390"/>
      <c r="X2" s="390"/>
      <c r="Y2" s="390"/>
      <c r="Z2" s="390"/>
      <c r="AA2" s="390"/>
      <c r="AB2" s="390"/>
      <c r="AC2" s="390"/>
      <c r="AD2" s="390"/>
    </row>
    <row r="3" spans="1:30" ht="15.75" x14ac:dyDescent="0.25">
      <c r="A3" s="819" t="s">
        <v>308</v>
      </c>
      <c r="B3" s="819"/>
      <c r="C3" s="819"/>
      <c r="D3" s="819"/>
      <c r="E3" s="819"/>
      <c r="F3" s="390"/>
      <c r="G3" s="393"/>
      <c r="H3" s="390"/>
      <c r="I3" s="390"/>
      <c r="J3" s="391" t="s">
        <v>309</v>
      </c>
      <c r="K3" s="392"/>
      <c r="L3" s="392"/>
      <c r="M3" s="391">
        <f>SUM(K3:L3)</f>
        <v>0</v>
      </c>
      <c r="N3" s="390"/>
      <c r="O3" s="390"/>
      <c r="P3" s="390"/>
      <c r="Q3" s="390"/>
      <c r="R3" s="418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</row>
    <row r="4" spans="1:30" ht="31.5" customHeight="1" x14ac:dyDescent="0.25">
      <c r="A4" s="432"/>
      <c r="B4" s="432"/>
      <c r="C4" s="432" t="s">
        <v>310</v>
      </c>
      <c r="D4" s="432"/>
      <c r="E4" s="432"/>
      <c r="F4" s="390"/>
      <c r="G4" s="393"/>
      <c r="H4" s="393"/>
      <c r="I4" s="390"/>
      <c r="J4" s="389"/>
      <c r="K4" s="392"/>
      <c r="L4" s="392"/>
      <c r="M4" s="391">
        <f>SUM(M2:M3)</f>
        <v>0</v>
      </c>
      <c r="N4" s="390"/>
      <c r="O4" s="390"/>
      <c r="P4" s="390"/>
      <c r="Q4" s="390"/>
      <c r="R4" s="418"/>
      <c r="S4" s="390"/>
      <c r="T4" s="390"/>
      <c r="U4" s="390"/>
      <c r="V4" s="390"/>
      <c r="W4" s="390"/>
      <c r="X4" s="390"/>
      <c r="Y4" s="390"/>
      <c r="Z4" s="390"/>
      <c r="AA4" s="390"/>
      <c r="AB4" s="390"/>
      <c r="AC4" s="390"/>
      <c r="AD4" s="390"/>
    </row>
    <row r="5" spans="1:30" ht="15" customHeight="1" x14ac:dyDescent="0.25">
      <c r="A5" s="812" t="s">
        <v>311</v>
      </c>
      <c r="B5" s="812"/>
      <c r="C5" s="812"/>
      <c r="D5" s="812"/>
      <c r="E5" s="812"/>
      <c r="F5" s="812"/>
      <c r="G5" s="812"/>
      <c r="H5" s="812"/>
      <c r="I5" s="812"/>
      <c r="J5" s="812"/>
      <c r="K5" s="812"/>
      <c r="L5" s="812"/>
      <c r="M5" s="812"/>
      <c r="N5" s="812"/>
      <c r="O5" s="812"/>
      <c r="P5" s="812"/>
      <c r="Q5" s="812"/>
      <c r="R5" s="812"/>
      <c r="S5" s="814" t="s">
        <v>312</v>
      </c>
      <c r="T5" s="814"/>
      <c r="U5" s="814"/>
      <c r="V5" s="816" t="s">
        <v>313</v>
      </c>
      <c r="W5" s="816"/>
      <c r="X5" s="816"/>
      <c r="Y5" s="816"/>
      <c r="Z5" s="816"/>
      <c r="AA5" s="816"/>
      <c r="AB5" s="816"/>
      <c r="AC5" s="816"/>
      <c r="AD5" s="816"/>
    </row>
    <row r="6" spans="1:30" ht="57" customHeight="1" x14ac:dyDescent="0.25">
      <c r="A6" s="813" t="s">
        <v>314</v>
      </c>
      <c r="B6" s="813" t="s">
        <v>315</v>
      </c>
      <c r="C6" s="813" t="s">
        <v>316</v>
      </c>
      <c r="D6" s="433" t="s">
        <v>317</v>
      </c>
      <c r="E6" s="813" t="s">
        <v>318</v>
      </c>
      <c r="F6" s="815"/>
      <c r="G6" s="813" t="s">
        <v>319</v>
      </c>
      <c r="H6" s="813"/>
      <c r="I6" s="813"/>
      <c r="J6" s="813" t="s">
        <v>320</v>
      </c>
      <c r="K6" s="813" t="s">
        <v>321</v>
      </c>
      <c r="L6" s="813"/>
      <c r="M6" s="813" t="s">
        <v>322</v>
      </c>
      <c r="N6" s="813"/>
      <c r="O6" s="813"/>
      <c r="P6" s="813" t="s">
        <v>323</v>
      </c>
      <c r="Q6" s="813" t="s">
        <v>324</v>
      </c>
      <c r="R6" s="817" t="s">
        <v>325</v>
      </c>
      <c r="S6" s="818" t="s">
        <v>326</v>
      </c>
      <c r="T6" s="818" t="s">
        <v>327</v>
      </c>
      <c r="U6" s="818" t="s">
        <v>328</v>
      </c>
      <c r="V6" s="811" t="s">
        <v>329</v>
      </c>
      <c r="W6" s="811"/>
      <c r="X6" s="811"/>
      <c r="Y6" s="811" t="s">
        <v>330</v>
      </c>
      <c r="Z6" s="811"/>
      <c r="AA6" s="811"/>
      <c r="AB6" s="811" t="s">
        <v>331</v>
      </c>
      <c r="AC6" s="811"/>
      <c r="AD6" s="811"/>
    </row>
    <row r="7" spans="1:30" ht="110.25" x14ac:dyDescent="0.25">
      <c r="A7" s="813"/>
      <c r="B7" s="813"/>
      <c r="C7" s="813"/>
      <c r="D7" s="433" t="s">
        <v>332</v>
      </c>
      <c r="E7" s="813"/>
      <c r="F7" s="815"/>
      <c r="G7" s="433" t="s">
        <v>333</v>
      </c>
      <c r="H7" s="433" t="s">
        <v>334</v>
      </c>
      <c r="I7" s="433" t="s">
        <v>335</v>
      </c>
      <c r="J7" s="813"/>
      <c r="K7" s="433" t="s">
        <v>336</v>
      </c>
      <c r="L7" s="433" t="s">
        <v>337</v>
      </c>
      <c r="M7" s="433" t="s">
        <v>338</v>
      </c>
      <c r="N7" s="433" t="s">
        <v>339</v>
      </c>
      <c r="O7" s="433" t="s">
        <v>340</v>
      </c>
      <c r="P7" s="813"/>
      <c r="Q7" s="813"/>
      <c r="R7" s="817"/>
      <c r="S7" s="818"/>
      <c r="T7" s="818"/>
      <c r="U7" s="818"/>
      <c r="V7" s="396" t="s">
        <v>341</v>
      </c>
      <c r="W7" s="434" t="s">
        <v>342</v>
      </c>
      <c r="X7" s="434" t="s">
        <v>343</v>
      </c>
      <c r="Y7" s="396" t="s">
        <v>341</v>
      </c>
      <c r="Z7" s="434" t="s">
        <v>342</v>
      </c>
      <c r="AA7" s="434" t="s">
        <v>343</v>
      </c>
      <c r="AB7" s="396" t="s">
        <v>341</v>
      </c>
      <c r="AC7" s="434" t="s">
        <v>342</v>
      </c>
      <c r="AD7" s="434" t="s">
        <v>343</v>
      </c>
    </row>
    <row r="8" spans="1:30" x14ac:dyDescent="0.2">
      <c r="A8" s="390"/>
      <c r="B8" s="390"/>
      <c r="C8" s="390"/>
      <c r="D8" s="390"/>
      <c r="E8" s="390"/>
      <c r="F8" s="397"/>
      <c r="G8" s="390"/>
      <c r="H8" s="390"/>
      <c r="I8" s="390"/>
      <c r="J8" s="390"/>
      <c r="K8" s="398"/>
      <c r="L8" s="398"/>
      <c r="M8" s="390"/>
      <c r="N8" s="390"/>
      <c r="O8" s="390"/>
      <c r="P8" s="390"/>
      <c r="Q8" s="390"/>
      <c r="R8" s="418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</row>
    <row r="9" spans="1:30" x14ac:dyDescent="0.2">
      <c r="A9" s="390"/>
      <c r="B9" s="390"/>
      <c r="C9" s="390"/>
      <c r="D9" s="390"/>
      <c r="E9" s="390"/>
      <c r="F9" s="397"/>
      <c r="G9" s="390"/>
      <c r="H9" s="390"/>
      <c r="I9" s="390"/>
      <c r="J9" s="390"/>
      <c r="K9" s="398"/>
      <c r="L9" s="398"/>
      <c r="M9" s="390"/>
      <c r="N9" s="390"/>
      <c r="O9" s="390"/>
      <c r="P9" s="390"/>
      <c r="Q9" s="390"/>
      <c r="R9" s="418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</row>
    <row r="10" spans="1:30" s="420" customFormat="1" ht="15.75" x14ac:dyDescent="0.25">
      <c r="A10" s="399" t="s">
        <v>281</v>
      </c>
      <c r="B10" s="400"/>
      <c r="C10" s="400"/>
      <c r="D10" s="400"/>
      <c r="E10" s="400"/>
      <c r="F10" s="401"/>
      <c r="G10" s="400"/>
      <c r="H10" s="400"/>
      <c r="I10" s="400"/>
      <c r="J10" s="400"/>
      <c r="K10" s="402"/>
      <c r="L10" s="402"/>
      <c r="M10" s="400"/>
      <c r="N10" s="400"/>
      <c r="O10" s="400"/>
      <c r="P10" s="400"/>
      <c r="Q10" s="400"/>
      <c r="R10" s="419"/>
      <c r="S10" s="400"/>
      <c r="T10" s="400"/>
      <c r="U10" s="400"/>
      <c r="V10" s="400"/>
      <c r="W10" s="400"/>
      <c r="X10" s="400"/>
      <c r="Y10" s="400"/>
      <c r="Z10" s="400"/>
      <c r="AA10" s="400"/>
      <c r="AB10" s="400"/>
      <c r="AC10" s="400"/>
      <c r="AD10" s="400"/>
    </row>
    <row r="11" spans="1:30" ht="15.75" x14ac:dyDescent="0.25">
      <c r="A11" s="403" t="s">
        <v>344</v>
      </c>
      <c r="B11" s="404"/>
      <c r="C11" s="404"/>
      <c r="D11" s="404"/>
      <c r="E11" s="404"/>
      <c r="F11" s="405"/>
      <c r="G11" s="404"/>
      <c r="H11" s="404"/>
      <c r="I11" s="404"/>
      <c r="J11" s="392" t="s">
        <v>16</v>
      </c>
      <c r="K11" s="392">
        <f>SUM(K12:K13)</f>
        <v>0</v>
      </c>
      <c r="L11" s="392">
        <f>SUM(L12:L13)</f>
        <v>0</v>
      </c>
      <c r="M11" s="390"/>
      <c r="N11" s="390"/>
      <c r="O11" s="390"/>
      <c r="P11" s="390"/>
      <c r="Q11" s="390"/>
      <c r="R11" s="418"/>
      <c r="S11" s="390"/>
      <c r="T11" s="390"/>
      <c r="U11" s="390"/>
      <c r="V11" s="390"/>
      <c r="W11" s="390"/>
      <c r="X11" s="390"/>
      <c r="Y11" s="390"/>
      <c r="Z11" s="390"/>
      <c r="AA11" s="390"/>
      <c r="AB11" s="390"/>
      <c r="AC11" s="390"/>
      <c r="AD11" s="390"/>
    </row>
    <row r="12" spans="1:30" s="436" customFormat="1" ht="15.75" x14ac:dyDescent="0.25">
      <c r="A12" s="386"/>
      <c r="B12" s="378"/>
      <c r="C12" s="378"/>
      <c r="D12" s="378"/>
      <c r="E12" s="378"/>
      <c r="F12" s="408"/>
      <c r="G12" s="378"/>
      <c r="H12" s="378"/>
      <c r="I12" s="378"/>
      <c r="J12" s="380"/>
      <c r="K12" s="383"/>
      <c r="L12" s="384"/>
      <c r="M12" s="378"/>
      <c r="N12" s="378"/>
      <c r="O12" s="378"/>
      <c r="P12" s="378"/>
      <c r="Q12" s="378"/>
      <c r="R12" s="422"/>
      <c r="S12" s="378"/>
      <c r="T12" s="385"/>
      <c r="U12" s="410"/>
      <c r="V12" s="411"/>
      <c r="W12" s="378"/>
      <c r="X12" s="378"/>
      <c r="Y12" s="378"/>
      <c r="Z12" s="378"/>
      <c r="AA12" s="378"/>
      <c r="AB12" s="378"/>
      <c r="AC12" s="378"/>
      <c r="AD12" s="378"/>
    </row>
    <row r="13" spans="1:30" x14ac:dyDescent="0.2">
      <c r="A13" s="406"/>
      <c r="B13" s="390"/>
      <c r="C13" s="390"/>
      <c r="D13" s="407"/>
      <c r="E13" s="378"/>
      <c r="F13" s="408"/>
      <c r="G13" s="378"/>
      <c r="H13" s="378"/>
      <c r="I13" s="378"/>
      <c r="J13" s="409"/>
      <c r="K13" s="383"/>
      <c r="L13" s="383"/>
      <c r="M13" s="378"/>
      <c r="N13" s="378"/>
      <c r="O13" s="378"/>
      <c r="P13" s="378"/>
      <c r="Q13" s="378"/>
      <c r="R13" s="422"/>
      <c r="S13" s="378"/>
      <c r="T13" s="385"/>
      <c r="U13" s="410"/>
      <c r="V13" s="411"/>
      <c r="W13" s="390"/>
      <c r="X13" s="390"/>
      <c r="Y13" s="390"/>
      <c r="Z13" s="390"/>
      <c r="AA13" s="390"/>
      <c r="AB13" s="390"/>
      <c r="AC13" s="390"/>
      <c r="AD13" s="390"/>
    </row>
    <row r="14" spans="1:30" ht="15.75" x14ac:dyDescent="0.25">
      <c r="A14" s="412" t="s">
        <v>345</v>
      </c>
      <c r="B14" s="403"/>
      <c r="C14" s="403"/>
      <c r="D14" s="403"/>
      <c r="E14" s="403"/>
      <c r="F14" s="413"/>
      <c r="G14" s="403"/>
      <c r="H14" s="403"/>
      <c r="I14" s="403"/>
      <c r="J14" s="392" t="s">
        <v>16</v>
      </c>
      <c r="K14" s="392">
        <f>SUM(K15:K16)</f>
        <v>0</v>
      </c>
      <c r="L14" s="392">
        <f>SUM(L15:L16)</f>
        <v>0</v>
      </c>
      <c r="M14" s="390"/>
      <c r="N14" s="390"/>
      <c r="O14" s="390"/>
      <c r="P14" s="390"/>
      <c r="Q14" s="390"/>
      <c r="R14" s="418"/>
      <c r="S14" s="390"/>
      <c r="T14" s="390"/>
      <c r="U14" s="390"/>
      <c r="V14" s="390"/>
      <c r="W14" s="390"/>
      <c r="X14" s="390"/>
      <c r="Y14" s="390"/>
      <c r="Z14" s="390"/>
      <c r="AA14" s="390"/>
      <c r="AB14" s="390"/>
      <c r="AC14" s="390"/>
      <c r="AD14" s="390"/>
    </row>
    <row r="15" spans="1:30" x14ac:dyDescent="0.2">
      <c r="A15" s="414"/>
      <c r="B15" s="390"/>
      <c r="C15" s="390"/>
      <c r="D15" s="378"/>
      <c r="E15" s="378"/>
      <c r="F15" s="408"/>
      <c r="G15" s="378"/>
      <c r="H15" s="378"/>
      <c r="I15" s="378"/>
      <c r="J15" s="409"/>
      <c r="K15" s="383"/>
      <c r="L15" s="383"/>
      <c r="M15" s="378"/>
      <c r="N15" s="378"/>
      <c r="O15" s="378"/>
      <c r="P15" s="378"/>
      <c r="Q15" s="378"/>
      <c r="R15" s="422"/>
      <c r="S15" s="378"/>
      <c r="T15" s="410"/>
      <c r="U15" s="378"/>
      <c r="V15" s="390"/>
      <c r="W15" s="390"/>
      <c r="X15" s="390"/>
      <c r="Y15" s="390"/>
      <c r="Z15" s="390"/>
      <c r="AA15" s="390"/>
      <c r="AB15" s="390"/>
      <c r="AC15" s="390"/>
      <c r="AD15" s="390"/>
    </row>
    <row r="16" spans="1:30" s="436" customFormat="1" x14ac:dyDescent="0.2">
      <c r="A16" s="415"/>
      <c r="B16" s="378"/>
      <c r="C16" s="378"/>
      <c r="D16" s="378"/>
      <c r="E16" s="378"/>
      <c r="F16" s="408"/>
      <c r="G16" s="378"/>
      <c r="H16" s="378"/>
      <c r="I16" s="378"/>
      <c r="J16" s="409"/>
      <c r="K16" s="383"/>
      <c r="L16" s="383"/>
      <c r="M16" s="378"/>
      <c r="N16" s="378"/>
      <c r="O16" s="378"/>
      <c r="P16" s="378"/>
      <c r="Q16" s="378"/>
      <c r="R16" s="422"/>
      <c r="S16" s="378"/>
      <c r="T16" s="410"/>
      <c r="U16" s="378"/>
      <c r="V16" s="378"/>
      <c r="W16" s="378"/>
      <c r="X16" s="378"/>
      <c r="Y16" s="378"/>
      <c r="Z16" s="378"/>
      <c r="AA16" s="378"/>
      <c r="AB16" s="378"/>
      <c r="AC16" s="378"/>
      <c r="AD16" s="378"/>
    </row>
    <row r="17" spans="1:30" s="420" customFormat="1" ht="15.75" x14ac:dyDescent="0.25">
      <c r="A17" s="399" t="s">
        <v>282</v>
      </c>
      <c r="B17" s="400"/>
      <c r="C17" s="400"/>
      <c r="D17" s="400"/>
      <c r="E17" s="400"/>
      <c r="F17" s="401"/>
      <c r="G17" s="400"/>
      <c r="H17" s="400"/>
      <c r="I17" s="400"/>
      <c r="J17" s="400"/>
      <c r="K17" s="402"/>
      <c r="L17" s="402"/>
      <c r="M17" s="400"/>
      <c r="N17" s="400"/>
      <c r="O17" s="400"/>
      <c r="P17" s="400"/>
      <c r="Q17" s="400"/>
      <c r="R17" s="419"/>
      <c r="S17" s="400"/>
      <c r="T17" s="400"/>
      <c r="U17" s="400"/>
      <c r="V17" s="400"/>
      <c r="W17" s="400"/>
      <c r="X17" s="400"/>
      <c r="Y17" s="400"/>
      <c r="Z17" s="400"/>
      <c r="AA17" s="400"/>
      <c r="AB17" s="400"/>
      <c r="AC17" s="400"/>
      <c r="AD17" s="400"/>
    </row>
    <row r="18" spans="1:30" ht="15.75" x14ac:dyDescent="0.25">
      <c r="A18" s="403" t="s">
        <v>344</v>
      </c>
      <c r="B18" s="404"/>
      <c r="C18" s="404"/>
      <c r="D18" s="404"/>
      <c r="E18" s="404"/>
      <c r="F18" s="405"/>
      <c r="G18" s="404"/>
      <c r="H18" s="404"/>
      <c r="I18" s="404"/>
      <c r="J18" s="392" t="s">
        <v>16</v>
      </c>
      <c r="K18" s="392">
        <f>SUM(K19:K20)</f>
        <v>0</v>
      </c>
      <c r="L18" s="392">
        <f>SUM(L19:L20)</f>
        <v>0</v>
      </c>
      <c r="M18" s="390"/>
      <c r="N18" s="390"/>
      <c r="O18" s="390"/>
      <c r="P18" s="390"/>
      <c r="Q18" s="390"/>
      <c r="R18" s="418"/>
      <c r="S18" s="390"/>
      <c r="T18" s="390"/>
      <c r="U18" s="390"/>
      <c r="V18" s="390"/>
      <c r="W18" s="390"/>
      <c r="X18" s="390"/>
      <c r="Y18" s="390"/>
      <c r="Z18" s="390"/>
      <c r="AA18" s="390"/>
      <c r="AB18" s="390"/>
      <c r="AC18" s="390"/>
      <c r="AD18" s="390"/>
    </row>
    <row r="19" spans="1:30" s="436" customFormat="1" ht="15.75" x14ac:dyDescent="0.25">
      <c r="A19" s="386"/>
      <c r="B19" s="378"/>
      <c r="C19" s="378"/>
      <c r="D19" s="378"/>
      <c r="E19" s="378"/>
      <c r="F19" s="408"/>
      <c r="G19" s="378"/>
      <c r="H19" s="378"/>
      <c r="I19" s="378"/>
      <c r="J19" s="380"/>
      <c r="K19" s="383"/>
      <c r="L19" s="384"/>
      <c r="M19" s="378"/>
      <c r="N19" s="378"/>
      <c r="O19" s="378"/>
      <c r="P19" s="378"/>
      <c r="Q19" s="378"/>
      <c r="R19" s="422"/>
      <c r="S19" s="378"/>
      <c r="T19" s="385"/>
      <c r="U19" s="410"/>
      <c r="V19" s="411"/>
      <c r="W19" s="378"/>
      <c r="X19" s="378"/>
      <c r="Y19" s="378"/>
      <c r="Z19" s="378"/>
      <c r="AA19" s="378"/>
      <c r="AB19" s="378"/>
      <c r="AC19" s="378"/>
      <c r="AD19" s="378"/>
    </row>
    <row r="20" spans="1:30" x14ac:dyDescent="0.2">
      <c r="A20" s="406"/>
      <c r="B20" s="390"/>
      <c r="C20" s="390"/>
      <c r="D20" s="407"/>
      <c r="E20" s="378"/>
      <c r="F20" s="408"/>
      <c r="G20" s="378"/>
      <c r="H20" s="378"/>
      <c r="I20" s="378"/>
      <c r="J20" s="409"/>
      <c r="K20" s="383"/>
      <c r="L20" s="383"/>
      <c r="M20" s="378"/>
      <c r="N20" s="378"/>
      <c r="O20" s="378"/>
      <c r="P20" s="378"/>
      <c r="Q20" s="378"/>
      <c r="R20" s="422"/>
      <c r="S20" s="378"/>
      <c r="T20" s="385"/>
      <c r="U20" s="410"/>
      <c r="V20" s="411"/>
      <c r="W20" s="390"/>
      <c r="X20" s="390"/>
      <c r="Y20" s="390"/>
      <c r="Z20" s="390"/>
      <c r="AA20" s="390"/>
      <c r="AB20" s="390"/>
      <c r="AC20" s="390"/>
      <c r="AD20" s="390"/>
    </row>
    <row r="21" spans="1:30" ht="15.75" x14ac:dyDescent="0.25">
      <c r="A21" s="412" t="s">
        <v>345</v>
      </c>
      <c r="B21" s="403"/>
      <c r="C21" s="403"/>
      <c r="D21" s="403"/>
      <c r="E21" s="403"/>
      <c r="F21" s="413"/>
      <c r="G21" s="403"/>
      <c r="H21" s="403"/>
      <c r="I21" s="403"/>
      <c r="J21" s="392" t="s">
        <v>16</v>
      </c>
      <c r="K21" s="392">
        <f>SUM(K22:K23)</f>
        <v>0</v>
      </c>
      <c r="L21" s="392">
        <f>SUM(L22:L23)</f>
        <v>0</v>
      </c>
      <c r="M21" s="390"/>
      <c r="N21" s="390"/>
      <c r="O21" s="390"/>
      <c r="P21" s="390"/>
      <c r="Q21" s="390"/>
      <c r="R21" s="418"/>
      <c r="S21" s="390"/>
      <c r="T21" s="390"/>
      <c r="U21" s="390"/>
      <c r="V21" s="390"/>
      <c r="W21" s="390"/>
      <c r="X21" s="390"/>
      <c r="Y21" s="390"/>
      <c r="Z21" s="390"/>
      <c r="AA21" s="390"/>
      <c r="AB21" s="390"/>
      <c r="AC21" s="390"/>
      <c r="AD21" s="390"/>
    </row>
    <row r="22" spans="1:30" x14ac:dyDescent="0.2">
      <c r="A22" s="414"/>
      <c r="B22" s="390"/>
      <c r="C22" s="390"/>
      <c r="D22" s="378"/>
      <c r="E22" s="378"/>
      <c r="F22" s="408"/>
      <c r="G22" s="378"/>
      <c r="H22" s="378"/>
      <c r="I22" s="378"/>
      <c r="J22" s="409"/>
      <c r="K22" s="383"/>
      <c r="L22" s="383"/>
      <c r="M22" s="378"/>
      <c r="N22" s="378"/>
      <c r="O22" s="378"/>
      <c r="P22" s="378"/>
      <c r="Q22" s="378"/>
      <c r="R22" s="422"/>
      <c r="S22" s="378"/>
      <c r="T22" s="410"/>
      <c r="U22" s="378"/>
      <c r="V22" s="390"/>
      <c r="W22" s="390"/>
      <c r="X22" s="390"/>
      <c r="Y22" s="390"/>
      <c r="Z22" s="390"/>
      <c r="AA22" s="390"/>
      <c r="AB22" s="390"/>
      <c r="AC22" s="390"/>
      <c r="AD22" s="390"/>
    </row>
    <row r="23" spans="1:30" s="436" customFormat="1" x14ac:dyDescent="0.2">
      <c r="A23" s="415"/>
      <c r="B23" s="378"/>
      <c r="C23" s="378"/>
      <c r="D23" s="378"/>
      <c r="E23" s="378"/>
      <c r="F23" s="408"/>
      <c r="G23" s="378"/>
      <c r="H23" s="378"/>
      <c r="I23" s="378"/>
      <c r="J23" s="409"/>
      <c r="K23" s="383"/>
      <c r="L23" s="383"/>
      <c r="M23" s="378"/>
      <c r="N23" s="378"/>
      <c r="O23" s="378"/>
      <c r="P23" s="378"/>
      <c r="Q23" s="378"/>
      <c r="R23" s="422"/>
      <c r="S23" s="378"/>
      <c r="T23" s="410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</row>
    <row r="24" spans="1:30" s="420" customFormat="1" ht="15.75" x14ac:dyDescent="0.25">
      <c r="A24" s="399" t="s">
        <v>283</v>
      </c>
      <c r="B24" s="400"/>
      <c r="C24" s="400"/>
      <c r="D24" s="400"/>
      <c r="E24" s="400"/>
      <c r="F24" s="401"/>
      <c r="G24" s="400"/>
      <c r="H24" s="400"/>
      <c r="I24" s="400"/>
      <c r="J24" s="400"/>
      <c r="K24" s="402"/>
      <c r="L24" s="402"/>
      <c r="M24" s="400"/>
      <c r="N24" s="400"/>
      <c r="O24" s="400"/>
      <c r="P24" s="400"/>
      <c r="Q24" s="400"/>
      <c r="R24" s="419"/>
      <c r="S24" s="400"/>
      <c r="T24" s="400"/>
      <c r="U24" s="400"/>
      <c r="V24" s="400"/>
      <c r="W24" s="400"/>
      <c r="X24" s="400"/>
      <c r="Y24" s="400"/>
      <c r="Z24" s="400"/>
      <c r="AA24" s="400"/>
      <c r="AB24" s="400"/>
      <c r="AC24" s="400"/>
      <c r="AD24" s="400"/>
    </row>
    <row r="25" spans="1:30" ht="15.75" x14ac:dyDescent="0.25">
      <c r="A25" s="403" t="s">
        <v>344</v>
      </c>
      <c r="B25" s="404"/>
      <c r="C25" s="404"/>
      <c r="D25" s="404"/>
      <c r="E25" s="404"/>
      <c r="F25" s="405"/>
      <c r="G25" s="404"/>
      <c r="H25" s="404"/>
      <c r="I25" s="404"/>
      <c r="J25" s="392" t="s">
        <v>16</v>
      </c>
      <c r="K25" s="392">
        <f>SUM(K26:K27)</f>
        <v>0</v>
      </c>
      <c r="L25" s="392">
        <f>SUM(L26:L27)</f>
        <v>0</v>
      </c>
      <c r="M25" s="390"/>
      <c r="N25" s="390"/>
      <c r="O25" s="390"/>
      <c r="P25" s="390"/>
      <c r="Q25" s="390"/>
      <c r="R25" s="418"/>
      <c r="S25" s="390"/>
      <c r="T25" s="390"/>
      <c r="U25" s="390"/>
      <c r="V25" s="390"/>
      <c r="W25" s="390"/>
      <c r="X25" s="390"/>
      <c r="Y25" s="390"/>
      <c r="Z25" s="390"/>
      <c r="AA25" s="390"/>
      <c r="AB25" s="390"/>
      <c r="AC25" s="390"/>
      <c r="AD25" s="390"/>
    </row>
    <row r="26" spans="1:30" s="436" customFormat="1" ht="15.75" x14ac:dyDescent="0.25">
      <c r="A26" s="386"/>
      <c r="B26" s="378"/>
      <c r="C26" s="378"/>
      <c r="D26" s="378"/>
      <c r="E26" s="378"/>
      <c r="F26" s="408"/>
      <c r="G26" s="378"/>
      <c r="H26" s="378"/>
      <c r="I26" s="378"/>
      <c r="J26" s="380"/>
      <c r="K26" s="383"/>
      <c r="L26" s="384"/>
      <c r="M26" s="378"/>
      <c r="N26" s="378"/>
      <c r="O26" s="378"/>
      <c r="P26" s="378"/>
      <c r="Q26" s="378"/>
      <c r="R26" s="422"/>
      <c r="S26" s="378"/>
      <c r="T26" s="385"/>
      <c r="U26" s="410"/>
      <c r="V26" s="411"/>
      <c r="W26" s="378"/>
      <c r="X26" s="378"/>
      <c r="Y26" s="378"/>
      <c r="Z26" s="378"/>
      <c r="AA26" s="378"/>
      <c r="AB26" s="378"/>
      <c r="AC26" s="378"/>
      <c r="AD26" s="378"/>
    </row>
    <row r="27" spans="1:30" x14ac:dyDescent="0.2">
      <c r="A27" s="406"/>
      <c r="B27" s="390"/>
      <c r="C27" s="390"/>
      <c r="D27" s="407"/>
      <c r="E27" s="378"/>
      <c r="F27" s="408"/>
      <c r="G27" s="378"/>
      <c r="H27" s="378"/>
      <c r="I27" s="378"/>
      <c r="J27" s="409"/>
      <c r="K27" s="383"/>
      <c r="L27" s="383"/>
      <c r="M27" s="378"/>
      <c r="N27" s="378"/>
      <c r="O27" s="378"/>
      <c r="P27" s="378"/>
      <c r="Q27" s="378"/>
      <c r="R27" s="422"/>
      <c r="S27" s="378"/>
      <c r="T27" s="385"/>
      <c r="U27" s="410"/>
      <c r="V27" s="411"/>
      <c r="W27" s="390"/>
      <c r="X27" s="390"/>
      <c r="Y27" s="390"/>
      <c r="Z27" s="390"/>
      <c r="AA27" s="390"/>
      <c r="AB27" s="390"/>
      <c r="AC27" s="390"/>
      <c r="AD27" s="390"/>
    </row>
    <row r="28" spans="1:30" ht="15.75" x14ac:dyDescent="0.25">
      <c r="A28" s="412" t="s">
        <v>345</v>
      </c>
      <c r="B28" s="403"/>
      <c r="C28" s="403"/>
      <c r="D28" s="403"/>
      <c r="E28" s="403"/>
      <c r="F28" s="413"/>
      <c r="G28" s="403"/>
      <c r="H28" s="403"/>
      <c r="I28" s="403"/>
      <c r="J28" s="392" t="s">
        <v>16</v>
      </c>
      <c r="K28" s="392">
        <f>SUM(K29:K30)</f>
        <v>0</v>
      </c>
      <c r="L28" s="392">
        <f>SUM(L29:L30)</f>
        <v>0</v>
      </c>
      <c r="M28" s="390"/>
      <c r="N28" s="390"/>
      <c r="O28" s="390"/>
      <c r="P28" s="390"/>
      <c r="Q28" s="390"/>
      <c r="R28" s="418"/>
      <c r="S28" s="390"/>
      <c r="T28" s="390"/>
      <c r="U28" s="390"/>
      <c r="V28" s="390"/>
      <c r="W28" s="390"/>
      <c r="X28" s="390"/>
      <c r="Y28" s="390"/>
      <c r="Z28" s="390"/>
      <c r="AA28" s="390"/>
      <c r="AB28" s="390"/>
      <c r="AC28" s="390"/>
      <c r="AD28" s="390"/>
    </row>
    <row r="29" spans="1:30" x14ac:dyDescent="0.2">
      <c r="A29" s="414"/>
      <c r="B29" s="390"/>
      <c r="C29" s="390"/>
      <c r="D29" s="378"/>
      <c r="E29" s="378"/>
      <c r="F29" s="408"/>
      <c r="G29" s="378"/>
      <c r="H29" s="378"/>
      <c r="I29" s="378"/>
      <c r="J29" s="409"/>
      <c r="K29" s="383"/>
      <c r="L29" s="383"/>
      <c r="M29" s="378"/>
      <c r="N29" s="378"/>
      <c r="O29" s="378"/>
      <c r="P29" s="378"/>
      <c r="Q29" s="378"/>
      <c r="R29" s="422"/>
      <c r="S29" s="378"/>
      <c r="T29" s="410"/>
      <c r="U29" s="378"/>
      <c r="V29" s="390"/>
      <c r="W29" s="390"/>
      <c r="X29" s="390"/>
      <c r="Y29" s="390"/>
      <c r="Z29" s="390"/>
      <c r="AA29" s="390"/>
      <c r="AB29" s="390"/>
      <c r="AC29" s="390"/>
      <c r="AD29" s="390"/>
    </row>
    <row r="30" spans="1:30" s="436" customFormat="1" x14ac:dyDescent="0.2">
      <c r="A30" s="415"/>
      <c r="B30" s="378"/>
      <c r="C30" s="378"/>
      <c r="D30" s="378"/>
      <c r="E30" s="378"/>
      <c r="F30" s="408"/>
      <c r="G30" s="378"/>
      <c r="H30" s="378"/>
      <c r="I30" s="378"/>
      <c r="J30" s="409"/>
      <c r="K30" s="383"/>
      <c r="L30" s="383"/>
      <c r="M30" s="378"/>
      <c r="N30" s="378"/>
      <c r="O30" s="378"/>
      <c r="P30" s="378"/>
      <c r="Q30" s="378"/>
      <c r="R30" s="422"/>
      <c r="S30" s="378"/>
      <c r="T30" s="410"/>
      <c r="U30" s="378"/>
      <c r="V30" s="378"/>
      <c r="W30" s="378"/>
      <c r="X30" s="378"/>
      <c r="Y30" s="378"/>
      <c r="Z30" s="378"/>
      <c r="AA30" s="378"/>
      <c r="AB30" s="378"/>
      <c r="AC30" s="378"/>
      <c r="AD30" s="378"/>
    </row>
    <row r="31" spans="1:30" s="420" customFormat="1" ht="15.75" x14ac:dyDescent="0.25">
      <c r="A31" s="399" t="s">
        <v>284</v>
      </c>
      <c r="B31" s="400"/>
      <c r="C31" s="400"/>
      <c r="D31" s="400"/>
      <c r="E31" s="400"/>
      <c r="F31" s="401"/>
      <c r="G31" s="400"/>
      <c r="H31" s="400"/>
      <c r="I31" s="400"/>
      <c r="J31" s="400"/>
      <c r="K31" s="402"/>
      <c r="L31" s="402"/>
      <c r="M31" s="400"/>
      <c r="N31" s="400"/>
      <c r="O31" s="400"/>
      <c r="P31" s="400"/>
      <c r="Q31" s="400"/>
      <c r="R31" s="419"/>
      <c r="S31" s="400"/>
      <c r="T31" s="400"/>
      <c r="U31" s="400"/>
      <c r="V31" s="400"/>
      <c r="W31" s="400"/>
      <c r="X31" s="400"/>
      <c r="Y31" s="400"/>
      <c r="Z31" s="400"/>
      <c r="AA31" s="400"/>
      <c r="AB31" s="400"/>
      <c r="AC31" s="400"/>
      <c r="AD31" s="400"/>
    </row>
    <row r="32" spans="1:30" ht="15.75" x14ac:dyDescent="0.25">
      <c r="A32" s="403" t="s">
        <v>344</v>
      </c>
      <c r="B32" s="404"/>
      <c r="C32" s="404"/>
      <c r="D32" s="404"/>
      <c r="E32" s="404"/>
      <c r="F32" s="405"/>
      <c r="G32" s="404"/>
      <c r="H32" s="404"/>
      <c r="I32" s="404"/>
      <c r="J32" s="392" t="s">
        <v>16</v>
      </c>
      <c r="K32" s="392">
        <f>SUM(K33:K34)</f>
        <v>0</v>
      </c>
      <c r="L32" s="392">
        <f>SUM(L33:L34)</f>
        <v>0</v>
      </c>
      <c r="M32" s="390"/>
      <c r="N32" s="390"/>
      <c r="O32" s="390"/>
      <c r="P32" s="390"/>
      <c r="Q32" s="390"/>
      <c r="R32" s="418"/>
      <c r="S32" s="390"/>
      <c r="T32" s="390"/>
      <c r="U32" s="390"/>
      <c r="V32" s="390"/>
      <c r="W32" s="390"/>
      <c r="X32" s="390"/>
      <c r="Y32" s="390"/>
      <c r="Z32" s="390"/>
      <c r="AA32" s="390"/>
      <c r="AB32" s="390"/>
      <c r="AC32" s="390"/>
      <c r="AD32" s="390"/>
    </row>
    <row r="33" spans="1:30" s="436" customFormat="1" ht="15.75" x14ac:dyDescent="0.25">
      <c r="A33" s="386"/>
      <c r="B33" s="378"/>
      <c r="C33" s="378"/>
      <c r="D33" s="378"/>
      <c r="E33" s="378"/>
      <c r="F33" s="408"/>
      <c r="G33" s="378"/>
      <c r="H33" s="378"/>
      <c r="I33" s="378"/>
      <c r="J33" s="380"/>
      <c r="K33" s="383"/>
      <c r="L33" s="384"/>
      <c r="M33" s="378"/>
      <c r="N33" s="378"/>
      <c r="O33" s="378"/>
      <c r="P33" s="378"/>
      <c r="Q33" s="378"/>
      <c r="R33" s="422"/>
      <c r="S33" s="378"/>
      <c r="T33" s="385"/>
      <c r="U33" s="410"/>
      <c r="V33" s="411"/>
      <c r="W33" s="378"/>
      <c r="X33" s="378"/>
      <c r="Y33" s="378"/>
      <c r="Z33" s="378"/>
      <c r="AA33" s="378"/>
      <c r="AB33" s="378"/>
      <c r="AC33" s="378"/>
      <c r="AD33" s="378"/>
    </row>
    <row r="34" spans="1:30" x14ac:dyDescent="0.2">
      <c r="A34" s="406"/>
      <c r="B34" s="390"/>
      <c r="C34" s="390"/>
      <c r="D34" s="407"/>
      <c r="E34" s="378"/>
      <c r="F34" s="408"/>
      <c r="G34" s="378"/>
      <c r="H34" s="378"/>
      <c r="I34" s="378"/>
      <c r="J34" s="409"/>
      <c r="K34" s="383"/>
      <c r="L34" s="383"/>
      <c r="M34" s="378"/>
      <c r="N34" s="378"/>
      <c r="O34" s="378"/>
      <c r="P34" s="378"/>
      <c r="Q34" s="378"/>
      <c r="R34" s="422"/>
      <c r="S34" s="378"/>
      <c r="T34" s="385"/>
      <c r="U34" s="410"/>
      <c r="V34" s="411"/>
      <c r="W34" s="390"/>
      <c r="X34" s="390"/>
      <c r="Y34" s="390"/>
      <c r="Z34" s="390"/>
      <c r="AA34" s="390"/>
      <c r="AB34" s="390"/>
      <c r="AC34" s="390"/>
      <c r="AD34" s="390"/>
    </row>
    <row r="35" spans="1:30" ht="15.75" x14ac:dyDescent="0.25">
      <c r="A35" s="412" t="s">
        <v>345</v>
      </c>
      <c r="B35" s="403"/>
      <c r="C35" s="403"/>
      <c r="D35" s="403"/>
      <c r="E35" s="403"/>
      <c r="F35" s="413"/>
      <c r="G35" s="403"/>
      <c r="H35" s="403"/>
      <c r="I35" s="403"/>
      <c r="J35" s="392" t="s">
        <v>16</v>
      </c>
      <c r="K35" s="392">
        <f>SUM(K36:K37)</f>
        <v>0</v>
      </c>
      <c r="L35" s="392">
        <f>SUM(L36:L37)</f>
        <v>0</v>
      </c>
      <c r="M35" s="390"/>
      <c r="N35" s="390"/>
      <c r="O35" s="390"/>
      <c r="P35" s="390"/>
      <c r="Q35" s="390"/>
      <c r="R35" s="418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</row>
    <row r="36" spans="1:30" x14ac:dyDescent="0.2">
      <c r="A36" s="414"/>
      <c r="B36" s="390"/>
      <c r="C36" s="390"/>
      <c r="D36" s="378"/>
      <c r="E36" s="378"/>
      <c r="F36" s="408"/>
      <c r="G36" s="378"/>
      <c r="H36" s="378"/>
      <c r="I36" s="378"/>
      <c r="J36" s="409"/>
      <c r="K36" s="383"/>
      <c r="L36" s="383"/>
      <c r="M36" s="378"/>
      <c r="N36" s="378"/>
      <c r="O36" s="378"/>
      <c r="P36" s="378"/>
      <c r="Q36" s="378"/>
      <c r="R36" s="422"/>
      <c r="S36" s="378"/>
      <c r="T36" s="410"/>
      <c r="U36" s="378"/>
      <c r="V36" s="390"/>
      <c r="W36" s="390"/>
      <c r="X36" s="390"/>
      <c r="Y36" s="390"/>
      <c r="Z36" s="390"/>
      <c r="AA36" s="390"/>
      <c r="AB36" s="390"/>
      <c r="AC36" s="390"/>
      <c r="AD36" s="390"/>
    </row>
    <row r="37" spans="1:30" s="436" customFormat="1" x14ac:dyDescent="0.2">
      <c r="A37" s="415"/>
      <c r="B37" s="378"/>
      <c r="C37" s="378"/>
      <c r="D37" s="378"/>
      <c r="E37" s="378"/>
      <c r="F37" s="408"/>
      <c r="G37" s="378"/>
      <c r="H37" s="378"/>
      <c r="I37" s="378"/>
      <c r="J37" s="409"/>
      <c r="K37" s="383"/>
      <c r="L37" s="383"/>
      <c r="M37" s="378"/>
      <c r="N37" s="378"/>
      <c r="O37" s="378"/>
      <c r="P37" s="378"/>
      <c r="Q37" s="378"/>
      <c r="R37" s="422"/>
      <c r="S37" s="378"/>
      <c r="T37" s="410"/>
      <c r="U37" s="378"/>
      <c r="V37" s="378"/>
      <c r="W37" s="378"/>
      <c r="X37" s="378"/>
      <c r="Y37" s="378"/>
      <c r="Z37" s="378"/>
      <c r="AA37" s="378"/>
      <c r="AB37" s="378"/>
      <c r="AC37" s="378"/>
      <c r="AD37" s="378"/>
    </row>
    <row r="38" spans="1:30" s="420" customFormat="1" ht="15.75" x14ac:dyDescent="0.25">
      <c r="A38" s="399" t="s">
        <v>285</v>
      </c>
      <c r="B38" s="400"/>
      <c r="C38" s="400"/>
      <c r="D38" s="400"/>
      <c r="E38" s="400"/>
      <c r="F38" s="401"/>
      <c r="G38" s="400"/>
      <c r="H38" s="400"/>
      <c r="I38" s="400"/>
      <c r="J38" s="400"/>
      <c r="K38" s="402"/>
      <c r="L38" s="402"/>
      <c r="M38" s="400"/>
      <c r="N38" s="400"/>
      <c r="O38" s="400"/>
      <c r="P38" s="400"/>
      <c r="Q38" s="400"/>
      <c r="R38" s="419"/>
      <c r="S38" s="400"/>
      <c r="T38" s="400"/>
      <c r="U38" s="400"/>
      <c r="V38" s="400"/>
      <c r="W38" s="400"/>
      <c r="X38" s="400"/>
      <c r="Y38" s="400"/>
      <c r="Z38" s="400"/>
      <c r="AA38" s="400"/>
      <c r="AB38" s="400"/>
      <c r="AC38" s="400"/>
      <c r="AD38" s="400"/>
    </row>
    <row r="39" spans="1:30" ht="15.75" x14ac:dyDescent="0.25">
      <c r="A39" s="403" t="s">
        <v>344</v>
      </c>
      <c r="B39" s="404"/>
      <c r="C39" s="404"/>
      <c r="D39" s="404"/>
      <c r="E39" s="404"/>
      <c r="F39" s="405"/>
      <c r="G39" s="404"/>
      <c r="H39" s="404"/>
      <c r="I39" s="404"/>
      <c r="J39" s="392" t="s">
        <v>16</v>
      </c>
      <c r="K39" s="392">
        <f>SUM(K40:K41)</f>
        <v>0</v>
      </c>
      <c r="L39" s="392">
        <f>SUM(L40:L41)</f>
        <v>0</v>
      </c>
      <c r="M39" s="390"/>
      <c r="N39" s="390"/>
      <c r="O39" s="390"/>
      <c r="P39" s="390"/>
      <c r="Q39" s="390"/>
      <c r="R39" s="418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</row>
    <row r="40" spans="1:30" s="436" customFormat="1" ht="15.75" x14ac:dyDescent="0.25">
      <c r="A40" s="386"/>
      <c r="B40" s="378"/>
      <c r="C40" s="378"/>
      <c r="D40" s="378"/>
      <c r="E40" s="378"/>
      <c r="F40" s="408"/>
      <c r="G40" s="378"/>
      <c r="H40" s="378"/>
      <c r="I40" s="378"/>
      <c r="J40" s="380"/>
      <c r="K40" s="383"/>
      <c r="L40" s="384"/>
      <c r="M40" s="378"/>
      <c r="N40" s="378"/>
      <c r="O40" s="378"/>
      <c r="P40" s="378"/>
      <c r="Q40" s="378"/>
      <c r="R40" s="422"/>
      <c r="S40" s="378"/>
      <c r="T40" s="385"/>
      <c r="U40" s="410"/>
      <c r="V40" s="411"/>
      <c r="W40" s="378"/>
      <c r="X40" s="378"/>
      <c r="Y40" s="378"/>
      <c r="Z40" s="378"/>
      <c r="AA40" s="378"/>
      <c r="AB40" s="378"/>
      <c r="AC40" s="378"/>
      <c r="AD40" s="378"/>
    </row>
    <row r="41" spans="1:30" x14ac:dyDescent="0.2">
      <c r="A41" s="406"/>
      <c r="B41" s="390"/>
      <c r="C41" s="390"/>
      <c r="D41" s="407"/>
      <c r="E41" s="378"/>
      <c r="F41" s="408"/>
      <c r="G41" s="378"/>
      <c r="H41" s="378"/>
      <c r="I41" s="378"/>
      <c r="J41" s="409"/>
      <c r="K41" s="383"/>
      <c r="L41" s="383"/>
      <c r="M41" s="378"/>
      <c r="N41" s="378"/>
      <c r="O41" s="378"/>
      <c r="P41" s="378"/>
      <c r="Q41" s="378"/>
      <c r="R41" s="422"/>
      <c r="S41" s="378"/>
      <c r="T41" s="385"/>
      <c r="U41" s="410"/>
      <c r="V41" s="411"/>
      <c r="W41" s="390"/>
      <c r="X41" s="390"/>
      <c r="Y41" s="390"/>
      <c r="Z41" s="390"/>
      <c r="AA41" s="390"/>
      <c r="AB41" s="390"/>
      <c r="AC41" s="390"/>
      <c r="AD41" s="390"/>
    </row>
    <row r="42" spans="1:30" ht="15.75" x14ac:dyDescent="0.25">
      <c r="A42" s="412" t="s">
        <v>345</v>
      </c>
      <c r="B42" s="403"/>
      <c r="C42" s="403"/>
      <c r="D42" s="403"/>
      <c r="E42" s="403"/>
      <c r="F42" s="413"/>
      <c r="G42" s="403"/>
      <c r="H42" s="403"/>
      <c r="I42" s="403"/>
      <c r="J42" s="392" t="s">
        <v>16</v>
      </c>
      <c r="K42" s="392">
        <f>SUM(K43:K44)</f>
        <v>0</v>
      </c>
      <c r="L42" s="392">
        <f>SUM(L43:L44)</f>
        <v>0</v>
      </c>
      <c r="M42" s="390"/>
      <c r="N42" s="390"/>
      <c r="O42" s="390"/>
      <c r="P42" s="390"/>
      <c r="Q42" s="390"/>
      <c r="R42" s="418"/>
      <c r="S42" s="390"/>
      <c r="T42" s="390"/>
      <c r="U42" s="390"/>
      <c r="V42" s="390"/>
      <c r="W42" s="390"/>
      <c r="X42" s="390"/>
      <c r="Y42" s="390"/>
      <c r="Z42" s="390"/>
      <c r="AA42" s="390"/>
      <c r="AB42" s="390"/>
      <c r="AC42" s="390"/>
      <c r="AD42" s="390"/>
    </row>
    <row r="43" spans="1:30" x14ac:dyDescent="0.2">
      <c r="A43" s="414"/>
      <c r="B43" s="390"/>
      <c r="C43" s="390"/>
      <c r="D43" s="378"/>
      <c r="E43" s="378"/>
      <c r="F43" s="408"/>
      <c r="G43" s="378"/>
      <c r="H43" s="378"/>
      <c r="I43" s="378"/>
      <c r="J43" s="409"/>
      <c r="K43" s="383"/>
      <c r="L43" s="383"/>
      <c r="M43" s="378"/>
      <c r="N43" s="378"/>
      <c r="O43" s="378"/>
      <c r="P43" s="378"/>
      <c r="Q43" s="378"/>
      <c r="R43" s="422"/>
      <c r="S43" s="378"/>
      <c r="T43" s="410"/>
      <c r="U43" s="378"/>
      <c r="V43" s="390"/>
      <c r="W43" s="390"/>
      <c r="X43" s="390"/>
      <c r="Y43" s="390"/>
      <c r="Z43" s="390"/>
      <c r="AA43" s="390"/>
      <c r="AB43" s="390"/>
      <c r="AC43" s="390"/>
      <c r="AD43" s="390"/>
    </row>
    <row r="44" spans="1:30" s="436" customFormat="1" x14ac:dyDescent="0.2">
      <c r="A44" s="415"/>
      <c r="B44" s="378"/>
      <c r="C44" s="378"/>
      <c r="D44" s="378"/>
      <c r="E44" s="378"/>
      <c r="F44" s="408"/>
      <c r="G44" s="378"/>
      <c r="H44" s="378"/>
      <c r="I44" s="378"/>
      <c r="J44" s="409"/>
      <c r="K44" s="383"/>
      <c r="L44" s="383"/>
      <c r="M44" s="378"/>
      <c r="N44" s="378"/>
      <c r="O44" s="378"/>
      <c r="P44" s="378"/>
      <c r="Q44" s="378"/>
      <c r="R44" s="422"/>
      <c r="S44" s="378"/>
      <c r="T44" s="410"/>
      <c r="U44" s="378"/>
      <c r="V44" s="378"/>
      <c r="W44" s="378"/>
      <c r="X44" s="378"/>
      <c r="Y44" s="378"/>
      <c r="Z44" s="378"/>
      <c r="AA44" s="378"/>
      <c r="AB44" s="378"/>
      <c r="AC44" s="378"/>
      <c r="AD44" s="378"/>
    </row>
    <row r="45" spans="1:30" s="420" customFormat="1" ht="15.75" x14ac:dyDescent="0.25">
      <c r="A45" s="399" t="s">
        <v>286</v>
      </c>
      <c r="B45" s="400"/>
      <c r="C45" s="400"/>
      <c r="D45" s="400"/>
      <c r="E45" s="400"/>
      <c r="F45" s="401"/>
      <c r="G45" s="400"/>
      <c r="H45" s="400"/>
      <c r="I45" s="400"/>
      <c r="J45" s="400"/>
      <c r="K45" s="402"/>
      <c r="L45" s="402"/>
      <c r="M45" s="400"/>
      <c r="N45" s="400"/>
      <c r="O45" s="400"/>
      <c r="P45" s="400"/>
      <c r="Q45" s="400"/>
      <c r="R45" s="419"/>
      <c r="S45" s="400"/>
      <c r="T45" s="400"/>
      <c r="U45" s="400"/>
      <c r="V45" s="400"/>
      <c r="W45" s="400"/>
      <c r="X45" s="400"/>
      <c r="Y45" s="400"/>
      <c r="Z45" s="400"/>
      <c r="AA45" s="400"/>
      <c r="AB45" s="400"/>
      <c r="AC45" s="400"/>
      <c r="AD45" s="400"/>
    </row>
    <row r="46" spans="1:30" ht="15.75" x14ac:dyDescent="0.25">
      <c r="A46" s="403" t="s">
        <v>344</v>
      </c>
      <c r="B46" s="404"/>
      <c r="C46" s="404"/>
      <c r="D46" s="404"/>
      <c r="E46" s="404"/>
      <c r="F46" s="405"/>
      <c r="G46" s="404"/>
      <c r="H46" s="404"/>
      <c r="I46" s="404"/>
      <c r="J46" s="392" t="s">
        <v>16</v>
      </c>
      <c r="K46" s="392">
        <f>SUM(K47:K48)</f>
        <v>0</v>
      </c>
      <c r="L46" s="392">
        <f>SUM(L47:L48)</f>
        <v>0</v>
      </c>
      <c r="M46" s="390"/>
      <c r="N46" s="390"/>
      <c r="O46" s="390"/>
      <c r="P46" s="390"/>
      <c r="Q46" s="390"/>
      <c r="R46" s="418"/>
      <c r="S46" s="390"/>
      <c r="T46" s="390"/>
      <c r="U46" s="390"/>
      <c r="V46" s="390"/>
      <c r="W46" s="390"/>
      <c r="X46" s="390"/>
      <c r="Y46" s="390"/>
      <c r="Z46" s="390"/>
      <c r="AA46" s="390"/>
      <c r="AB46" s="390"/>
      <c r="AC46" s="390"/>
      <c r="AD46" s="390"/>
    </row>
    <row r="47" spans="1:30" s="436" customFormat="1" ht="15.75" x14ac:dyDescent="0.25">
      <c r="A47" s="386"/>
      <c r="B47" s="378"/>
      <c r="C47" s="378"/>
      <c r="D47" s="378"/>
      <c r="E47" s="378"/>
      <c r="F47" s="408"/>
      <c r="G47" s="378"/>
      <c r="H47" s="378"/>
      <c r="I47" s="378"/>
      <c r="J47" s="380"/>
      <c r="K47" s="383"/>
      <c r="L47" s="384"/>
      <c r="M47" s="378"/>
      <c r="N47" s="378"/>
      <c r="O47" s="378"/>
      <c r="P47" s="378"/>
      <c r="Q47" s="378"/>
      <c r="R47" s="422"/>
      <c r="S47" s="378"/>
      <c r="T47" s="385"/>
      <c r="U47" s="410"/>
      <c r="V47" s="411"/>
      <c r="W47" s="378"/>
      <c r="X47" s="378"/>
      <c r="Y47" s="378"/>
      <c r="Z47" s="378"/>
      <c r="AA47" s="378"/>
      <c r="AB47" s="378"/>
      <c r="AC47" s="378"/>
      <c r="AD47" s="378"/>
    </row>
    <row r="48" spans="1:30" x14ac:dyDescent="0.2">
      <c r="A48" s="406"/>
      <c r="B48" s="390"/>
      <c r="C48" s="390"/>
      <c r="D48" s="407"/>
      <c r="E48" s="378"/>
      <c r="F48" s="408"/>
      <c r="G48" s="378"/>
      <c r="H48" s="378"/>
      <c r="I48" s="378"/>
      <c r="J48" s="409"/>
      <c r="K48" s="383"/>
      <c r="L48" s="383"/>
      <c r="M48" s="378"/>
      <c r="N48" s="378"/>
      <c r="O48" s="378"/>
      <c r="P48" s="378"/>
      <c r="Q48" s="378"/>
      <c r="R48" s="422"/>
      <c r="S48" s="378"/>
      <c r="T48" s="385"/>
      <c r="U48" s="410"/>
      <c r="V48" s="411"/>
      <c r="W48" s="390"/>
      <c r="X48" s="390"/>
      <c r="Y48" s="390"/>
      <c r="Z48" s="390"/>
      <c r="AA48" s="390"/>
      <c r="AB48" s="390"/>
      <c r="AC48" s="390"/>
      <c r="AD48" s="390"/>
    </row>
    <row r="49" spans="1:30" ht="15.75" x14ac:dyDescent="0.25">
      <c r="A49" s="412" t="s">
        <v>345</v>
      </c>
      <c r="B49" s="403"/>
      <c r="C49" s="403"/>
      <c r="D49" s="403"/>
      <c r="E49" s="403"/>
      <c r="F49" s="413"/>
      <c r="G49" s="403"/>
      <c r="H49" s="403"/>
      <c r="I49" s="403"/>
      <c r="J49" s="392" t="s">
        <v>16</v>
      </c>
      <c r="K49" s="392">
        <f>SUM(K50:K51)</f>
        <v>0</v>
      </c>
      <c r="L49" s="392">
        <f>SUM(L50:L51)</f>
        <v>0</v>
      </c>
      <c r="M49" s="390"/>
      <c r="N49" s="390"/>
      <c r="O49" s="390"/>
      <c r="P49" s="390"/>
      <c r="Q49" s="390"/>
      <c r="R49" s="418"/>
      <c r="S49" s="390"/>
      <c r="T49" s="390"/>
      <c r="U49" s="390"/>
      <c r="V49" s="390"/>
      <c r="W49" s="390"/>
      <c r="X49" s="390"/>
      <c r="Y49" s="390"/>
      <c r="Z49" s="390"/>
      <c r="AA49" s="390"/>
      <c r="AB49" s="390"/>
      <c r="AC49" s="390"/>
      <c r="AD49" s="390"/>
    </row>
    <row r="50" spans="1:30" x14ac:dyDescent="0.2">
      <c r="A50" s="414"/>
      <c r="B50" s="390"/>
      <c r="C50" s="390"/>
      <c r="D50" s="378"/>
      <c r="E50" s="378"/>
      <c r="F50" s="408"/>
      <c r="G50" s="378"/>
      <c r="H50" s="378"/>
      <c r="I50" s="378"/>
      <c r="J50" s="409"/>
      <c r="K50" s="383"/>
      <c r="L50" s="383"/>
      <c r="M50" s="378"/>
      <c r="N50" s="378"/>
      <c r="O50" s="378"/>
      <c r="P50" s="378"/>
      <c r="Q50" s="378"/>
      <c r="R50" s="422"/>
      <c r="S50" s="378"/>
      <c r="T50" s="410"/>
      <c r="U50" s="378"/>
      <c r="V50" s="390"/>
      <c r="W50" s="390"/>
      <c r="X50" s="390"/>
      <c r="Y50" s="390"/>
      <c r="Z50" s="390"/>
      <c r="AA50" s="390"/>
      <c r="AB50" s="390"/>
      <c r="AC50" s="390"/>
      <c r="AD50" s="390"/>
    </row>
    <row r="51" spans="1:30" s="436" customFormat="1" x14ac:dyDescent="0.2">
      <c r="A51" s="415"/>
      <c r="B51" s="378"/>
      <c r="C51" s="378"/>
      <c r="D51" s="378"/>
      <c r="E51" s="378"/>
      <c r="F51" s="408"/>
      <c r="G51" s="378"/>
      <c r="H51" s="378"/>
      <c r="I51" s="378"/>
      <c r="J51" s="409"/>
      <c r="K51" s="383"/>
      <c r="L51" s="383"/>
      <c r="M51" s="378"/>
      <c r="N51" s="378"/>
      <c r="O51" s="378"/>
      <c r="P51" s="378"/>
      <c r="Q51" s="378"/>
      <c r="R51" s="422"/>
      <c r="S51" s="378"/>
      <c r="T51" s="410"/>
      <c r="U51" s="378"/>
      <c r="V51" s="378"/>
      <c r="W51" s="378"/>
      <c r="X51" s="378"/>
      <c r="Y51" s="378"/>
      <c r="Z51" s="378"/>
      <c r="AA51" s="378"/>
      <c r="AB51" s="378"/>
      <c r="AC51" s="378"/>
      <c r="AD51" s="378"/>
    </row>
    <row r="52" spans="1:30" s="420" customFormat="1" ht="15.75" x14ac:dyDescent="0.25">
      <c r="A52" s="399" t="s">
        <v>287</v>
      </c>
      <c r="B52" s="400"/>
      <c r="C52" s="400"/>
      <c r="D52" s="400"/>
      <c r="E52" s="400"/>
      <c r="F52" s="401"/>
      <c r="G52" s="400"/>
      <c r="H52" s="400"/>
      <c r="I52" s="400"/>
      <c r="J52" s="400"/>
      <c r="K52" s="402"/>
      <c r="L52" s="402"/>
      <c r="M52" s="400"/>
      <c r="N52" s="400"/>
      <c r="O52" s="400"/>
      <c r="P52" s="400"/>
      <c r="Q52" s="400"/>
      <c r="R52" s="419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400"/>
      <c r="AD52" s="400"/>
    </row>
    <row r="53" spans="1:30" ht="15.75" x14ac:dyDescent="0.25">
      <c r="A53" s="403" t="s">
        <v>344</v>
      </c>
      <c r="B53" s="404"/>
      <c r="C53" s="404"/>
      <c r="D53" s="404"/>
      <c r="E53" s="404"/>
      <c r="F53" s="405"/>
      <c r="G53" s="404"/>
      <c r="H53" s="404"/>
      <c r="I53" s="404"/>
      <c r="J53" s="392" t="s">
        <v>16</v>
      </c>
      <c r="K53" s="392">
        <f>SUM(K765:K766)</f>
        <v>0</v>
      </c>
      <c r="L53" s="392">
        <f>SUM(L765:L766)</f>
        <v>0</v>
      </c>
      <c r="M53" s="390"/>
      <c r="N53" s="390"/>
      <c r="O53" s="390"/>
      <c r="P53" s="390"/>
      <c r="Q53" s="390"/>
      <c r="R53" s="418"/>
      <c r="S53" s="390"/>
      <c r="T53" s="390"/>
      <c r="U53" s="390"/>
      <c r="V53" s="390"/>
      <c r="W53" s="390"/>
      <c r="X53" s="390"/>
      <c r="Y53" s="390"/>
      <c r="Z53" s="390"/>
      <c r="AA53" s="390"/>
      <c r="AB53" s="390"/>
      <c r="AC53" s="390"/>
      <c r="AD53" s="390"/>
    </row>
    <row r="54" spans="1:30" s="436" customFormat="1" ht="15.75" x14ac:dyDescent="0.25">
      <c r="A54" s="386"/>
      <c r="B54" s="378"/>
      <c r="C54" s="378"/>
      <c r="D54" s="378"/>
      <c r="E54" s="378"/>
      <c r="F54" s="408"/>
      <c r="G54" s="378"/>
      <c r="H54" s="378"/>
      <c r="I54" s="378"/>
      <c r="J54" s="380"/>
      <c r="K54" s="383"/>
      <c r="L54" s="384"/>
      <c r="M54" s="378"/>
      <c r="N54" s="378"/>
      <c r="O54" s="378"/>
      <c r="P54" s="378"/>
      <c r="Q54" s="378"/>
      <c r="R54" s="422"/>
      <c r="S54" s="378"/>
      <c r="T54" s="385"/>
      <c r="U54" s="410"/>
      <c r="V54" s="411"/>
      <c r="W54" s="378"/>
      <c r="X54" s="378"/>
      <c r="Y54" s="378"/>
      <c r="Z54" s="378"/>
      <c r="AA54" s="378"/>
      <c r="AB54" s="378"/>
      <c r="AC54" s="378"/>
      <c r="AD54" s="378"/>
    </row>
    <row r="55" spans="1:30" x14ac:dyDescent="0.2">
      <c r="A55" s="406"/>
      <c r="B55" s="390"/>
      <c r="C55" s="390"/>
      <c r="D55" s="407"/>
      <c r="E55" s="378"/>
      <c r="F55" s="408"/>
      <c r="G55" s="378"/>
      <c r="H55" s="378"/>
      <c r="I55" s="378"/>
      <c r="J55" s="409"/>
      <c r="K55" s="383"/>
      <c r="L55" s="383"/>
      <c r="M55" s="378"/>
      <c r="N55" s="378"/>
      <c r="O55" s="378"/>
      <c r="P55" s="378"/>
      <c r="Q55" s="378"/>
      <c r="R55" s="422"/>
      <c r="S55" s="378"/>
      <c r="T55" s="385"/>
      <c r="U55" s="410"/>
      <c r="V55" s="411"/>
      <c r="W55" s="390"/>
      <c r="X55" s="390"/>
      <c r="Y55" s="390"/>
      <c r="Z55" s="390"/>
      <c r="AA55" s="390"/>
      <c r="AB55" s="390"/>
      <c r="AC55" s="390"/>
      <c r="AD55" s="390"/>
    </row>
    <row r="56" spans="1:30" ht="15.75" x14ac:dyDescent="0.25">
      <c r="A56" s="412" t="s">
        <v>345</v>
      </c>
      <c r="B56" s="403"/>
      <c r="C56" s="403"/>
      <c r="D56" s="403"/>
      <c r="E56" s="403"/>
      <c r="F56" s="413"/>
      <c r="G56" s="403"/>
      <c r="H56" s="403"/>
      <c r="I56" s="403"/>
      <c r="J56" s="392" t="s">
        <v>16</v>
      </c>
      <c r="K56" s="392">
        <f>SUM(K57:K58)</f>
        <v>0</v>
      </c>
      <c r="L56" s="392">
        <f>SUM(L57:L58)</f>
        <v>0</v>
      </c>
      <c r="M56" s="390"/>
      <c r="N56" s="390"/>
      <c r="O56" s="390"/>
      <c r="P56" s="390"/>
      <c r="Q56" s="390"/>
      <c r="R56" s="418"/>
      <c r="S56" s="390"/>
      <c r="T56" s="390"/>
      <c r="U56" s="390"/>
      <c r="V56" s="390"/>
      <c r="W56" s="390"/>
      <c r="X56" s="390"/>
      <c r="Y56" s="390"/>
      <c r="Z56" s="390"/>
      <c r="AA56" s="390"/>
      <c r="AB56" s="390"/>
      <c r="AC56" s="390"/>
      <c r="AD56" s="390"/>
    </row>
    <row r="57" spans="1:30" x14ac:dyDescent="0.2">
      <c r="A57" s="414"/>
      <c r="B57" s="390"/>
      <c r="C57" s="390"/>
      <c r="D57" s="378"/>
      <c r="E57" s="378"/>
      <c r="F57" s="408"/>
      <c r="G57" s="378"/>
      <c r="H57" s="378"/>
      <c r="I57" s="378"/>
      <c r="J57" s="409"/>
      <c r="K57" s="383"/>
      <c r="L57" s="383"/>
      <c r="M57" s="378"/>
      <c r="N57" s="378"/>
      <c r="O57" s="378"/>
      <c r="P57" s="378"/>
      <c r="Q57" s="378"/>
      <c r="R57" s="422"/>
      <c r="S57" s="378"/>
      <c r="T57" s="410"/>
      <c r="U57" s="378"/>
      <c r="V57" s="390"/>
      <c r="W57" s="390"/>
      <c r="X57" s="390"/>
      <c r="Y57" s="390"/>
      <c r="Z57" s="390"/>
      <c r="AA57" s="390"/>
      <c r="AB57" s="390"/>
      <c r="AC57" s="390"/>
      <c r="AD57" s="390"/>
    </row>
    <row r="58" spans="1:30" s="436" customFormat="1" x14ac:dyDescent="0.2">
      <c r="A58" s="415"/>
      <c r="B58" s="378"/>
      <c r="C58" s="378"/>
      <c r="D58" s="378"/>
      <c r="E58" s="378"/>
      <c r="F58" s="408"/>
      <c r="G58" s="378"/>
      <c r="H58" s="378"/>
      <c r="I58" s="378"/>
      <c r="J58" s="409"/>
      <c r="K58" s="383"/>
      <c r="L58" s="383"/>
      <c r="M58" s="378"/>
      <c r="N58" s="378"/>
      <c r="O58" s="378"/>
      <c r="P58" s="378"/>
      <c r="Q58" s="378"/>
      <c r="R58" s="422"/>
      <c r="S58" s="378"/>
      <c r="T58" s="410"/>
      <c r="U58" s="378"/>
      <c r="V58" s="378"/>
      <c r="W58" s="378"/>
      <c r="X58" s="378"/>
      <c r="Y58" s="378"/>
      <c r="Z58" s="378"/>
      <c r="AA58" s="378"/>
      <c r="AB58" s="378"/>
      <c r="AC58" s="378"/>
      <c r="AD58" s="378"/>
    </row>
    <row r="59" spans="1:30" s="420" customFormat="1" ht="15.75" x14ac:dyDescent="0.25">
      <c r="A59" s="399" t="s">
        <v>288</v>
      </c>
      <c r="B59" s="400"/>
      <c r="C59" s="400"/>
      <c r="D59" s="400"/>
      <c r="E59" s="400"/>
      <c r="F59" s="401"/>
      <c r="G59" s="400"/>
      <c r="H59" s="400"/>
      <c r="I59" s="400"/>
      <c r="J59" s="400"/>
      <c r="K59" s="402"/>
      <c r="L59" s="402"/>
      <c r="M59" s="400"/>
      <c r="N59" s="400"/>
      <c r="O59" s="400"/>
      <c r="P59" s="400"/>
      <c r="Q59" s="400"/>
      <c r="R59" s="419"/>
      <c r="S59" s="400"/>
      <c r="T59" s="400"/>
      <c r="U59" s="400"/>
      <c r="V59" s="400"/>
      <c r="W59" s="400"/>
      <c r="X59" s="400"/>
      <c r="Y59" s="400"/>
      <c r="Z59" s="400"/>
      <c r="AA59" s="400"/>
      <c r="AB59" s="400"/>
      <c r="AC59" s="400"/>
      <c r="AD59" s="400"/>
    </row>
    <row r="60" spans="1:30" ht="15.75" x14ac:dyDescent="0.25">
      <c r="A60" s="403" t="s">
        <v>344</v>
      </c>
      <c r="B60" s="404"/>
      <c r="C60" s="404"/>
      <c r="D60" s="404"/>
      <c r="E60" s="404"/>
      <c r="F60" s="405"/>
      <c r="G60" s="404"/>
      <c r="H60" s="404"/>
      <c r="I60" s="404"/>
      <c r="J60" s="392" t="s">
        <v>16</v>
      </c>
      <c r="K60" s="392">
        <f>SUM(K61:K62)</f>
        <v>0</v>
      </c>
      <c r="L60" s="392">
        <f>SUM(L61:L62)</f>
        <v>0</v>
      </c>
      <c r="M60" s="390"/>
      <c r="N60" s="390"/>
      <c r="O60" s="390"/>
      <c r="P60" s="390"/>
      <c r="Q60" s="390"/>
      <c r="R60" s="418"/>
      <c r="S60" s="390"/>
      <c r="T60" s="390"/>
      <c r="U60" s="390"/>
      <c r="V60" s="390"/>
      <c r="W60" s="390"/>
      <c r="X60" s="390"/>
      <c r="Y60" s="390"/>
      <c r="Z60" s="390"/>
      <c r="AA60" s="390"/>
      <c r="AB60" s="390"/>
      <c r="AC60" s="390"/>
      <c r="AD60" s="390"/>
    </row>
    <row r="61" spans="1:30" s="436" customFormat="1" ht="15.75" x14ac:dyDescent="0.25">
      <c r="A61" s="386"/>
      <c r="B61" s="378"/>
      <c r="C61" s="378"/>
      <c r="D61" s="378"/>
      <c r="E61" s="378"/>
      <c r="F61" s="408"/>
      <c r="G61" s="378"/>
      <c r="H61" s="378"/>
      <c r="I61" s="378"/>
      <c r="J61" s="380"/>
      <c r="K61" s="383"/>
      <c r="L61" s="384"/>
      <c r="M61" s="378"/>
      <c r="N61" s="378"/>
      <c r="O61" s="378"/>
      <c r="P61" s="378"/>
      <c r="Q61" s="378"/>
      <c r="R61" s="422"/>
      <c r="S61" s="378"/>
      <c r="T61" s="385"/>
      <c r="U61" s="410"/>
      <c r="V61" s="411"/>
      <c r="W61" s="378"/>
      <c r="X61" s="378"/>
      <c r="Y61" s="378"/>
      <c r="Z61" s="378"/>
      <c r="AA61" s="378"/>
      <c r="AB61" s="378"/>
      <c r="AC61" s="378"/>
      <c r="AD61" s="378"/>
    </row>
    <row r="62" spans="1:30" x14ac:dyDescent="0.2">
      <c r="A62" s="406"/>
      <c r="B62" s="390"/>
      <c r="C62" s="390"/>
      <c r="D62" s="407"/>
      <c r="E62" s="378"/>
      <c r="F62" s="408"/>
      <c r="G62" s="378"/>
      <c r="H62" s="378"/>
      <c r="I62" s="378"/>
      <c r="J62" s="409"/>
      <c r="K62" s="383"/>
      <c r="L62" s="383"/>
      <c r="M62" s="378"/>
      <c r="N62" s="378"/>
      <c r="O62" s="378"/>
      <c r="P62" s="378"/>
      <c r="Q62" s="378"/>
      <c r="R62" s="422"/>
      <c r="S62" s="378"/>
      <c r="T62" s="385"/>
      <c r="U62" s="410"/>
      <c r="V62" s="411"/>
      <c r="W62" s="390"/>
      <c r="X62" s="390"/>
      <c r="Y62" s="390"/>
      <c r="Z62" s="390"/>
      <c r="AA62" s="390"/>
      <c r="AB62" s="390"/>
      <c r="AC62" s="390"/>
      <c r="AD62" s="390"/>
    </row>
    <row r="63" spans="1:30" ht="15.75" x14ac:dyDescent="0.25">
      <c r="A63" s="412" t="s">
        <v>345</v>
      </c>
      <c r="B63" s="403"/>
      <c r="C63" s="403"/>
      <c r="D63" s="403"/>
      <c r="E63" s="403"/>
      <c r="F63" s="413"/>
      <c r="G63" s="403"/>
      <c r="H63" s="403"/>
      <c r="I63" s="403"/>
      <c r="J63" s="392" t="s">
        <v>16</v>
      </c>
      <c r="K63" s="392">
        <f>SUM(K64:K65)</f>
        <v>0</v>
      </c>
      <c r="L63" s="392">
        <f>SUM(L64:L65)</f>
        <v>0</v>
      </c>
      <c r="M63" s="390"/>
      <c r="N63" s="390"/>
      <c r="O63" s="390"/>
      <c r="P63" s="390"/>
      <c r="Q63" s="390"/>
      <c r="R63" s="418"/>
      <c r="S63" s="390"/>
      <c r="T63" s="390"/>
      <c r="U63" s="390"/>
      <c r="V63" s="390"/>
      <c r="W63" s="390"/>
      <c r="X63" s="390"/>
      <c r="Y63" s="390"/>
      <c r="Z63" s="390"/>
      <c r="AA63" s="390"/>
      <c r="AB63" s="390"/>
      <c r="AC63" s="390"/>
      <c r="AD63" s="390"/>
    </row>
    <row r="64" spans="1:30" x14ac:dyDescent="0.2">
      <c r="A64" s="414"/>
      <c r="B64" s="390"/>
      <c r="C64" s="390"/>
      <c r="D64" s="378"/>
      <c r="E64" s="378"/>
      <c r="F64" s="408"/>
      <c r="G64" s="378"/>
      <c r="H64" s="378"/>
      <c r="I64" s="378"/>
      <c r="J64" s="409"/>
      <c r="K64" s="383"/>
      <c r="L64" s="383"/>
      <c r="M64" s="378"/>
      <c r="N64" s="378"/>
      <c r="O64" s="378"/>
      <c r="P64" s="378"/>
      <c r="Q64" s="378"/>
      <c r="R64" s="422"/>
      <c r="S64" s="378"/>
      <c r="T64" s="410"/>
      <c r="U64" s="378"/>
      <c r="V64" s="390"/>
      <c r="W64" s="390"/>
      <c r="X64" s="390"/>
      <c r="Y64" s="390"/>
      <c r="Z64" s="390"/>
      <c r="AA64" s="390"/>
      <c r="AB64" s="390"/>
      <c r="AC64" s="390"/>
      <c r="AD64" s="390"/>
    </row>
    <row r="65" spans="1:30" s="436" customFormat="1" x14ac:dyDescent="0.2">
      <c r="A65" s="415"/>
      <c r="B65" s="378"/>
      <c r="C65" s="378"/>
      <c r="D65" s="378"/>
      <c r="E65" s="378"/>
      <c r="F65" s="408"/>
      <c r="G65" s="378"/>
      <c r="H65" s="378"/>
      <c r="I65" s="378"/>
      <c r="J65" s="409"/>
      <c r="K65" s="383"/>
      <c r="L65" s="383"/>
      <c r="M65" s="378"/>
      <c r="N65" s="378"/>
      <c r="O65" s="378"/>
      <c r="P65" s="378"/>
      <c r="Q65" s="378"/>
      <c r="R65" s="422"/>
      <c r="S65" s="378"/>
      <c r="T65" s="410"/>
      <c r="U65" s="378"/>
      <c r="V65" s="378"/>
      <c r="W65" s="378"/>
      <c r="X65" s="378"/>
      <c r="Y65" s="378"/>
      <c r="Z65" s="378"/>
      <c r="AA65" s="378"/>
      <c r="AB65" s="378"/>
      <c r="AC65" s="378"/>
      <c r="AD65" s="378"/>
    </row>
    <row r="66" spans="1:30" s="420" customFormat="1" ht="15.75" x14ac:dyDescent="0.25">
      <c r="A66" s="399" t="s">
        <v>289</v>
      </c>
      <c r="B66" s="400"/>
      <c r="C66" s="400"/>
      <c r="D66" s="400"/>
      <c r="E66" s="400"/>
      <c r="F66" s="401"/>
      <c r="G66" s="400"/>
      <c r="H66" s="400"/>
      <c r="I66" s="400"/>
      <c r="J66" s="400"/>
      <c r="K66" s="402"/>
      <c r="L66" s="402"/>
      <c r="M66" s="400"/>
      <c r="N66" s="400"/>
      <c r="O66" s="400"/>
      <c r="P66" s="400"/>
      <c r="Q66" s="400"/>
      <c r="R66" s="419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</row>
    <row r="67" spans="1:30" ht="15.75" x14ac:dyDescent="0.25">
      <c r="A67" s="403" t="s">
        <v>344</v>
      </c>
      <c r="B67" s="404"/>
      <c r="C67" s="404"/>
      <c r="D67" s="404"/>
      <c r="E67" s="404"/>
      <c r="F67" s="405"/>
      <c r="G67" s="404"/>
      <c r="H67" s="404"/>
      <c r="I67" s="404"/>
      <c r="J67" s="392" t="s">
        <v>16</v>
      </c>
      <c r="K67" s="392">
        <f>SUM(K779:K780)</f>
        <v>0</v>
      </c>
      <c r="L67" s="392">
        <f>SUM(L779:L780)</f>
        <v>0</v>
      </c>
      <c r="M67" s="390"/>
      <c r="N67" s="390"/>
      <c r="O67" s="390"/>
      <c r="P67" s="390"/>
      <c r="Q67" s="390"/>
      <c r="R67" s="418"/>
      <c r="S67" s="390"/>
      <c r="T67" s="390"/>
      <c r="U67" s="390"/>
      <c r="V67" s="390"/>
      <c r="W67" s="390"/>
      <c r="X67" s="390"/>
      <c r="Y67" s="390"/>
      <c r="Z67" s="390"/>
      <c r="AA67" s="390"/>
      <c r="AB67" s="390"/>
      <c r="AC67" s="390"/>
      <c r="AD67" s="390"/>
    </row>
    <row r="68" spans="1:30" s="436" customFormat="1" ht="15.75" x14ac:dyDescent="0.25">
      <c r="A68" s="386"/>
      <c r="B68" s="378"/>
      <c r="C68" s="378"/>
      <c r="D68" s="378"/>
      <c r="E68" s="378"/>
      <c r="F68" s="408"/>
      <c r="G68" s="378"/>
      <c r="H68" s="378"/>
      <c r="I68" s="378"/>
      <c r="J68" s="380"/>
      <c r="K68" s="383"/>
      <c r="L68" s="384"/>
      <c r="M68" s="378"/>
      <c r="N68" s="378"/>
      <c r="O68" s="378"/>
      <c r="P68" s="378"/>
      <c r="Q68" s="378"/>
      <c r="R68" s="422"/>
      <c r="S68" s="378"/>
      <c r="T68" s="385"/>
      <c r="U68" s="410"/>
      <c r="V68" s="411"/>
      <c r="W68" s="378"/>
      <c r="X68" s="378"/>
      <c r="Y68" s="378"/>
      <c r="Z68" s="378"/>
      <c r="AA68" s="378"/>
      <c r="AB68" s="378"/>
      <c r="AC68" s="378"/>
      <c r="AD68" s="378"/>
    </row>
    <row r="69" spans="1:30" x14ac:dyDescent="0.2">
      <c r="A69" s="406"/>
      <c r="B69" s="390"/>
      <c r="C69" s="390"/>
      <c r="D69" s="407"/>
      <c r="E69" s="378"/>
      <c r="F69" s="408"/>
      <c r="G69" s="378"/>
      <c r="H69" s="378"/>
      <c r="I69" s="378"/>
      <c r="J69" s="409"/>
      <c r="K69" s="383"/>
      <c r="L69" s="383"/>
      <c r="M69" s="378"/>
      <c r="N69" s="378"/>
      <c r="O69" s="378"/>
      <c r="P69" s="378"/>
      <c r="Q69" s="378"/>
      <c r="R69" s="422"/>
      <c r="S69" s="378"/>
      <c r="T69" s="385"/>
      <c r="U69" s="410"/>
      <c r="V69" s="411"/>
      <c r="W69" s="390"/>
      <c r="X69" s="390"/>
      <c r="Y69" s="390"/>
      <c r="Z69" s="390"/>
      <c r="AA69" s="390"/>
      <c r="AB69" s="390"/>
      <c r="AC69" s="390"/>
      <c r="AD69" s="390"/>
    </row>
    <row r="70" spans="1:30" ht="15.75" x14ac:dyDescent="0.25">
      <c r="A70" s="412" t="s">
        <v>345</v>
      </c>
      <c r="B70" s="403"/>
      <c r="C70" s="403"/>
      <c r="D70" s="403"/>
      <c r="E70" s="403"/>
      <c r="F70" s="413"/>
      <c r="G70" s="403"/>
      <c r="H70" s="403"/>
      <c r="I70" s="403"/>
      <c r="J70" s="392" t="s">
        <v>16</v>
      </c>
      <c r="K70" s="392">
        <f>SUM(K71:K72)</f>
        <v>0</v>
      </c>
      <c r="L70" s="392">
        <f>SUM(L71:L72)</f>
        <v>0</v>
      </c>
      <c r="M70" s="390"/>
      <c r="N70" s="390"/>
      <c r="O70" s="390"/>
      <c r="P70" s="390"/>
      <c r="Q70" s="390"/>
      <c r="R70" s="418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</row>
    <row r="71" spans="1:30" x14ac:dyDescent="0.2">
      <c r="A71" s="414"/>
      <c r="B71" s="390"/>
      <c r="C71" s="390"/>
      <c r="D71" s="378"/>
      <c r="E71" s="378"/>
      <c r="F71" s="408"/>
      <c r="G71" s="378"/>
      <c r="H71" s="378"/>
      <c r="I71" s="378"/>
      <c r="J71" s="409"/>
      <c r="K71" s="383"/>
      <c r="L71" s="383"/>
      <c r="M71" s="378"/>
      <c r="N71" s="378"/>
      <c r="O71" s="378"/>
      <c r="P71" s="378"/>
      <c r="Q71" s="378"/>
      <c r="R71" s="422"/>
      <c r="S71" s="378"/>
      <c r="T71" s="410"/>
      <c r="U71" s="378"/>
      <c r="V71" s="390"/>
      <c r="W71" s="390"/>
      <c r="X71" s="390"/>
      <c r="Y71" s="390"/>
      <c r="Z71" s="390"/>
      <c r="AA71" s="390"/>
      <c r="AB71" s="390"/>
      <c r="AC71" s="390"/>
      <c r="AD71" s="390"/>
    </row>
    <row r="72" spans="1:30" s="436" customFormat="1" x14ac:dyDescent="0.2">
      <c r="A72" s="415"/>
      <c r="B72" s="378"/>
      <c r="C72" s="378"/>
      <c r="D72" s="378"/>
      <c r="E72" s="378"/>
      <c r="F72" s="408"/>
      <c r="G72" s="378"/>
      <c r="H72" s="378"/>
      <c r="I72" s="378"/>
      <c r="J72" s="409"/>
      <c r="K72" s="383"/>
      <c r="L72" s="383"/>
      <c r="M72" s="378"/>
      <c r="N72" s="378"/>
      <c r="O72" s="378"/>
      <c r="P72" s="378"/>
      <c r="Q72" s="378"/>
      <c r="R72" s="422"/>
      <c r="S72" s="378"/>
      <c r="T72" s="410"/>
      <c r="U72" s="378"/>
      <c r="V72" s="378"/>
      <c r="W72" s="378"/>
      <c r="X72" s="378"/>
      <c r="Y72" s="378"/>
      <c r="Z72" s="378"/>
      <c r="AA72" s="378"/>
      <c r="AB72" s="378"/>
      <c r="AC72" s="378"/>
      <c r="AD72" s="378"/>
    </row>
    <row r="73" spans="1:30" s="420" customFormat="1" ht="15.75" x14ac:dyDescent="0.25">
      <c r="A73" s="285" t="s">
        <v>291</v>
      </c>
      <c r="B73" s="400"/>
      <c r="C73" s="400"/>
      <c r="D73" s="400"/>
      <c r="E73" s="400"/>
      <c r="F73" s="401"/>
      <c r="G73" s="400"/>
      <c r="H73" s="400"/>
      <c r="I73" s="400"/>
      <c r="J73" s="400"/>
      <c r="K73" s="402"/>
      <c r="L73" s="402"/>
      <c r="M73" s="400"/>
      <c r="N73" s="400"/>
      <c r="O73" s="400"/>
      <c r="P73" s="400"/>
      <c r="Q73" s="400"/>
      <c r="R73" s="419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</row>
    <row r="74" spans="1:30" ht="15.75" x14ac:dyDescent="0.25">
      <c r="A74" s="403" t="s">
        <v>344</v>
      </c>
      <c r="B74" s="404"/>
      <c r="C74" s="404"/>
      <c r="D74" s="404"/>
      <c r="E74" s="404"/>
      <c r="F74" s="405"/>
      <c r="G74" s="404"/>
      <c r="H74" s="404"/>
      <c r="I74" s="404"/>
      <c r="J74" s="392" t="s">
        <v>16</v>
      </c>
      <c r="K74" s="392">
        <f>SUM(K75:K76)</f>
        <v>0</v>
      </c>
      <c r="L74" s="392">
        <f>SUM(L75:L76)</f>
        <v>0</v>
      </c>
      <c r="M74" s="390"/>
      <c r="N74" s="390"/>
      <c r="O74" s="390"/>
      <c r="P74" s="390"/>
      <c r="Q74" s="390"/>
      <c r="R74" s="418"/>
      <c r="S74" s="390"/>
      <c r="T74" s="390"/>
      <c r="U74" s="390"/>
      <c r="V74" s="390"/>
      <c r="W74" s="390"/>
      <c r="X74" s="390"/>
      <c r="Y74" s="390"/>
      <c r="Z74" s="390"/>
      <c r="AA74" s="390"/>
      <c r="AB74" s="390"/>
      <c r="AC74" s="390"/>
      <c r="AD74" s="390"/>
    </row>
    <row r="75" spans="1:30" s="436" customFormat="1" ht="15.75" x14ac:dyDescent="0.25">
      <c r="A75" s="386"/>
      <c r="B75" s="378"/>
      <c r="C75" s="378"/>
      <c r="D75" s="378"/>
      <c r="E75" s="378"/>
      <c r="F75" s="408"/>
      <c r="G75" s="378"/>
      <c r="H75" s="378"/>
      <c r="I75" s="378"/>
      <c r="J75" s="380"/>
      <c r="K75" s="383"/>
      <c r="L75" s="384"/>
      <c r="M75" s="378"/>
      <c r="N75" s="378"/>
      <c r="O75" s="378"/>
      <c r="P75" s="378"/>
      <c r="Q75" s="378"/>
      <c r="R75" s="422"/>
      <c r="S75" s="378"/>
      <c r="T75" s="385"/>
      <c r="U75" s="410"/>
      <c r="V75" s="411"/>
      <c r="W75" s="378"/>
      <c r="X75" s="378"/>
      <c r="Y75" s="378"/>
      <c r="Z75" s="378"/>
      <c r="AA75" s="378"/>
      <c r="AB75" s="378"/>
      <c r="AC75" s="378"/>
      <c r="AD75" s="378"/>
    </row>
    <row r="76" spans="1:30" x14ac:dyDescent="0.2">
      <c r="A76" s="406"/>
      <c r="B76" s="390"/>
      <c r="C76" s="390"/>
      <c r="D76" s="407"/>
      <c r="E76" s="378"/>
      <c r="F76" s="408"/>
      <c r="G76" s="378"/>
      <c r="H76" s="378"/>
      <c r="I76" s="378"/>
      <c r="J76" s="409"/>
      <c r="K76" s="383"/>
      <c r="L76" s="383"/>
      <c r="M76" s="378"/>
      <c r="N76" s="378"/>
      <c r="O76" s="378"/>
      <c r="P76" s="378"/>
      <c r="Q76" s="378"/>
      <c r="R76" s="422"/>
      <c r="S76" s="378"/>
      <c r="T76" s="385"/>
      <c r="U76" s="410"/>
      <c r="V76" s="411"/>
      <c r="W76" s="390"/>
      <c r="X76" s="390"/>
      <c r="Y76" s="390"/>
      <c r="Z76" s="390"/>
      <c r="AA76" s="390"/>
      <c r="AB76" s="390"/>
      <c r="AC76" s="390"/>
      <c r="AD76" s="390"/>
    </row>
    <row r="77" spans="1:30" ht="15.75" x14ac:dyDescent="0.25">
      <c r="A77" s="412" t="s">
        <v>345</v>
      </c>
      <c r="B77" s="403"/>
      <c r="C77" s="403"/>
      <c r="D77" s="403"/>
      <c r="E77" s="403"/>
      <c r="F77" s="413"/>
      <c r="G77" s="403"/>
      <c r="H77" s="403"/>
      <c r="I77" s="403"/>
      <c r="J77" s="392" t="s">
        <v>16</v>
      </c>
      <c r="K77" s="392">
        <f>SUM(K78:K79)</f>
        <v>0</v>
      </c>
      <c r="L77" s="392">
        <f>SUM(L78:L79)</f>
        <v>0</v>
      </c>
      <c r="M77" s="390"/>
      <c r="N77" s="390"/>
      <c r="O77" s="390"/>
      <c r="P77" s="390"/>
      <c r="Q77" s="390"/>
      <c r="R77" s="418"/>
      <c r="S77" s="390"/>
      <c r="T77" s="390"/>
      <c r="U77" s="390"/>
      <c r="V77" s="390"/>
      <c r="W77" s="390"/>
      <c r="X77" s="390"/>
      <c r="Y77" s="390"/>
      <c r="Z77" s="390"/>
      <c r="AA77" s="390"/>
      <c r="AB77" s="390"/>
      <c r="AC77" s="390"/>
      <c r="AD77" s="390"/>
    </row>
    <row r="78" spans="1:30" x14ac:dyDescent="0.2">
      <c r="A78" s="414"/>
      <c r="B78" s="390"/>
      <c r="C78" s="390"/>
      <c r="D78" s="378"/>
      <c r="E78" s="378"/>
      <c r="F78" s="408"/>
      <c r="G78" s="378"/>
      <c r="H78" s="378"/>
      <c r="I78" s="378"/>
      <c r="J78" s="409"/>
      <c r="K78" s="383"/>
      <c r="L78" s="383"/>
      <c r="M78" s="378"/>
      <c r="N78" s="378"/>
      <c r="O78" s="378"/>
      <c r="P78" s="378"/>
      <c r="Q78" s="378"/>
      <c r="R78" s="422"/>
      <c r="S78" s="378"/>
      <c r="T78" s="410"/>
      <c r="U78" s="378"/>
      <c r="V78" s="390"/>
      <c r="W78" s="390"/>
      <c r="X78" s="390"/>
      <c r="Y78" s="390"/>
      <c r="Z78" s="390"/>
      <c r="AA78" s="390"/>
      <c r="AB78" s="390"/>
      <c r="AC78" s="390"/>
      <c r="AD78" s="390"/>
    </row>
    <row r="79" spans="1:30" s="436" customFormat="1" x14ac:dyDescent="0.2">
      <c r="A79" s="415"/>
      <c r="B79" s="378"/>
      <c r="C79" s="378"/>
      <c r="D79" s="378"/>
      <c r="E79" s="378"/>
      <c r="F79" s="408"/>
      <c r="G79" s="378"/>
      <c r="H79" s="378"/>
      <c r="I79" s="378"/>
      <c r="J79" s="409"/>
      <c r="K79" s="383"/>
      <c r="L79" s="383"/>
      <c r="M79" s="378"/>
      <c r="N79" s="378"/>
      <c r="O79" s="378"/>
      <c r="P79" s="378"/>
      <c r="Q79" s="378"/>
      <c r="R79" s="422"/>
      <c r="S79" s="378"/>
      <c r="T79" s="410"/>
      <c r="U79" s="378"/>
      <c r="V79" s="378"/>
      <c r="W79" s="378"/>
      <c r="X79" s="378"/>
      <c r="Y79" s="378"/>
      <c r="Z79" s="378"/>
      <c r="AA79" s="378"/>
      <c r="AB79" s="378"/>
      <c r="AC79" s="378"/>
      <c r="AD79" s="378"/>
    </row>
    <row r="80" spans="1:30" s="420" customFormat="1" ht="15.75" x14ac:dyDescent="0.25">
      <c r="A80" s="285" t="s">
        <v>292</v>
      </c>
      <c r="B80" s="400"/>
      <c r="C80" s="400"/>
      <c r="D80" s="400"/>
      <c r="E80" s="400"/>
      <c r="F80" s="401"/>
      <c r="G80" s="400"/>
      <c r="H80" s="400"/>
      <c r="I80" s="400"/>
      <c r="J80" s="400"/>
      <c r="K80" s="402"/>
      <c r="L80" s="402"/>
      <c r="M80" s="400"/>
      <c r="N80" s="400"/>
      <c r="O80" s="400"/>
      <c r="P80" s="400"/>
      <c r="Q80" s="400"/>
      <c r="R80" s="419"/>
      <c r="S80" s="400"/>
      <c r="T80" s="400"/>
      <c r="U80" s="400"/>
      <c r="V80" s="400"/>
      <c r="W80" s="400"/>
      <c r="X80" s="400"/>
      <c r="Y80" s="400"/>
      <c r="Z80" s="400"/>
      <c r="AA80" s="400"/>
      <c r="AB80" s="400"/>
      <c r="AC80" s="400"/>
      <c r="AD80" s="400"/>
    </row>
    <row r="81" spans="1:30" ht="15.75" x14ac:dyDescent="0.25">
      <c r="A81" s="403" t="s">
        <v>344</v>
      </c>
      <c r="B81" s="404"/>
      <c r="C81" s="404"/>
      <c r="D81" s="404"/>
      <c r="E81" s="404"/>
      <c r="F81" s="405"/>
      <c r="G81" s="404"/>
      <c r="H81" s="404"/>
      <c r="I81" s="404"/>
      <c r="J81" s="392" t="s">
        <v>16</v>
      </c>
      <c r="K81" s="392">
        <f>SUM(K793:K794)</f>
        <v>0</v>
      </c>
      <c r="L81" s="392">
        <f>SUM(L793:L794)</f>
        <v>0</v>
      </c>
      <c r="M81" s="390"/>
      <c r="N81" s="390"/>
      <c r="O81" s="390"/>
      <c r="P81" s="390"/>
      <c r="Q81" s="390"/>
      <c r="R81" s="418"/>
      <c r="S81" s="390"/>
      <c r="T81" s="390"/>
      <c r="U81" s="390"/>
      <c r="V81" s="390"/>
      <c r="W81" s="390"/>
      <c r="X81" s="390"/>
      <c r="Y81" s="390"/>
      <c r="Z81" s="390"/>
      <c r="AA81" s="390"/>
      <c r="AB81" s="390"/>
      <c r="AC81" s="390"/>
      <c r="AD81" s="390"/>
    </row>
    <row r="82" spans="1:30" s="436" customFormat="1" ht="15.75" x14ac:dyDescent="0.25">
      <c r="A82" s="386"/>
      <c r="B82" s="378"/>
      <c r="C82" s="378"/>
      <c r="D82" s="378"/>
      <c r="E82" s="378"/>
      <c r="F82" s="408"/>
      <c r="G82" s="378"/>
      <c r="H82" s="378"/>
      <c r="I82" s="378"/>
      <c r="J82" s="380"/>
      <c r="K82" s="383"/>
      <c r="L82" s="384"/>
      <c r="M82" s="378"/>
      <c r="N82" s="378"/>
      <c r="O82" s="378"/>
      <c r="P82" s="378"/>
      <c r="Q82" s="378"/>
      <c r="R82" s="422"/>
      <c r="S82" s="378"/>
      <c r="T82" s="385"/>
      <c r="U82" s="410"/>
      <c r="V82" s="411"/>
      <c r="W82" s="378"/>
      <c r="X82" s="378"/>
      <c r="Y82" s="378"/>
      <c r="Z82" s="378"/>
      <c r="AA82" s="378"/>
      <c r="AB82" s="378"/>
      <c r="AC82" s="378"/>
      <c r="AD82" s="378"/>
    </row>
    <row r="83" spans="1:30" x14ac:dyDescent="0.2">
      <c r="A83" s="406"/>
      <c r="B83" s="390"/>
      <c r="C83" s="390"/>
      <c r="D83" s="407"/>
      <c r="E83" s="378"/>
      <c r="F83" s="408"/>
      <c r="G83" s="378"/>
      <c r="H83" s="378"/>
      <c r="I83" s="378"/>
      <c r="J83" s="409"/>
      <c r="K83" s="383"/>
      <c r="L83" s="383"/>
      <c r="M83" s="378"/>
      <c r="N83" s="378"/>
      <c r="O83" s="378"/>
      <c r="P83" s="378"/>
      <c r="Q83" s="378"/>
      <c r="R83" s="422"/>
      <c r="S83" s="378"/>
      <c r="T83" s="385"/>
      <c r="U83" s="410"/>
      <c r="V83" s="411"/>
      <c r="W83" s="390"/>
      <c r="X83" s="390"/>
      <c r="Y83" s="390"/>
      <c r="Z83" s="390"/>
      <c r="AA83" s="390"/>
      <c r="AB83" s="390"/>
      <c r="AC83" s="390"/>
      <c r="AD83" s="390"/>
    </row>
    <row r="84" spans="1:30" ht="15.75" x14ac:dyDescent="0.25">
      <c r="A84" s="412" t="s">
        <v>345</v>
      </c>
      <c r="B84" s="403"/>
      <c r="C84" s="403"/>
      <c r="D84" s="403"/>
      <c r="E84" s="403"/>
      <c r="F84" s="413"/>
      <c r="G84" s="403"/>
      <c r="H84" s="403"/>
      <c r="I84" s="403"/>
      <c r="J84" s="392" t="s">
        <v>16</v>
      </c>
      <c r="K84" s="392">
        <f>SUM(K85:K86)</f>
        <v>0</v>
      </c>
      <c r="L84" s="392">
        <f>SUM(L85:L86)</f>
        <v>0</v>
      </c>
      <c r="M84" s="390"/>
      <c r="N84" s="390"/>
      <c r="O84" s="390"/>
      <c r="P84" s="390"/>
      <c r="Q84" s="390"/>
      <c r="R84" s="418"/>
      <c r="S84" s="390"/>
      <c r="T84" s="390"/>
      <c r="U84" s="390"/>
      <c r="V84" s="390"/>
      <c r="W84" s="390"/>
      <c r="X84" s="390"/>
      <c r="Y84" s="390"/>
      <c r="Z84" s="390"/>
      <c r="AA84" s="390"/>
      <c r="AB84" s="390"/>
      <c r="AC84" s="390"/>
      <c r="AD84" s="390"/>
    </row>
    <row r="85" spans="1:30" x14ac:dyDescent="0.2">
      <c r="A85" s="414"/>
      <c r="B85" s="390"/>
      <c r="C85" s="390"/>
      <c r="D85" s="378"/>
      <c r="E85" s="378"/>
      <c r="F85" s="408"/>
      <c r="G85" s="378"/>
      <c r="H85" s="378"/>
      <c r="I85" s="378"/>
      <c r="J85" s="409"/>
      <c r="K85" s="383"/>
      <c r="L85" s="383"/>
      <c r="M85" s="378"/>
      <c r="N85" s="378"/>
      <c r="O85" s="378"/>
      <c r="P85" s="378"/>
      <c r="Q85" s="378"/>
      <c r="R85" s="422"/>
      <c r="S85" s="378"/>
      <c r="T85" s="410"/>
      <c r="U85" s="378"/>
      <c r="V85" s="390"/>
      <c r="W85" s="390"/>
      <c r="X85" s="390"/>
      <c r="Y85" s="390"/>
      <c r="Z85" s="390"/>
      <c r="AA85" s="390"/>
      <c r="AB85" s="390"/>
      <c r="AC85" s="390"/>
      <c r="AD85" s="390"/>
    </row>
    <row r="86" spans="1:30" s="436" customFormat="1" x14ac:dyDescent="0.2">
      <c r="A86" s="415"/>
      <c r="B86" s="378"/>
      <c r="C86" s="378"/>
      <c r="D86" s="378"/>
      <c r="E86" s="378"/>
      <c r="F86" s="408"/>
      <c r="G86" s="378"/>
      <c r="H86" s="378"/>
      <c r="I86" s="378"/>
      <c r="J86" s="409"/>
      <c r="K86" s="383"/>
      <c r="L86" s="383"/>
      <c r="M86" s="378"/>
      <c r="N86" s="378"/>
      <c r="O86" s="378"/>
      <c r="P86" s="378"/>
      <c r="Q86" s="378"/>
      <c r="R86" s="422"/>
      <c r="S86" s="378"/>
      <c r="T86" s="410"/>
      <c r="U86" s="378"/>
      <c r="V86" s="378"/>
      <c r="W86" s="378"/>
      <c r="X86" s="378"/>
      <c r="Y86" s="378"/>
      <c r="Z86" s="378"/>
      <c r="AA86" s="378"/>
      <c r="AB86" s="378"/>
      <c r="AC86" s="378"/>
      <c r="AD86" s="378"/>
    </row>
    <row r="87" spans="1:30" s="420" customFormat="1" ht="15.75" x14ac:dyDescent="0.25">
      <c r="A87" s="285" t="s">
        <v>293</v>
      </c>
      <c r="B87" s="400"/>
      <c r="C87" s="400"/>
      <c r="D87" s="400"/>
      <c r="E87" s="400"/>
      <c r="F87" s="401"/>
      <c r="G87" s="400"/>
      <c r="H87" s="400"/>
      <c r="I87" s="400"/>
      <c r="J87" s="400"/>
      <c r="K87" s="402"/>
      <c r="L87" s="402"/>
      <c r="M87" s="400"/>
      <c r="N87" s="400"/>
      <c r="O87" s="400"/>
      <c r="P87" s="400"/>
      <c r="Q87" s="400"/>
      <c r="R87" s="419"/>
      <c r="S87" s="400"/>
      <c r="T87" s="400"/>
      <c r="U87" s="400"/>
      <c r="V87" s="400"/>
      <c r="W87" s="400"/>
      <c r="X87" s="400"/>
      <c r="Y87" s="400"/>
      <c r="Z87" s="400"/>
      <c r="AA87" s="400"/>
      <c r="AB87" s="400"/>
      <c r="AC87" s="400"/>
      <c r="AD87" s="400"/>
    </row>
    <row r="88" spans="1:30" ht="15.75" x14ac:dyDescent="0.25">
      <c r="A88" s="403" t="s">
        <v>344</v>
      </c>
      <c r="B88" s="404"/>
      <c r="C88" s="404"/>
      <c r="D88" s="404"/>
      <c r="E88" s="404"/>
      <c r="F88" s="405"/>
      <c r="G88" s="404"/>
      <c r="H88" s="404"/>
      <c r="I88" s="404"/>
      <c r="J88" s="392" t="s">
        <v>16</v>
      </c>
      <c r="K88" s="392" t="e">
        <f>SUM(#REF!)</f>
        <v>#REF!</v>
      </c>
      <c r="L88" s="392" t="e">
        <f>SUM(#REF!)</f>
        <v>#REF!</v>
      </c>
      <c r="M88" s="390"/>
      <c r="N88" s="390"/>
      <c r="O88" s="390"/>
      <c r="P88" s="390"/>
      <c r="Q88" s="390"/>
      <c r="R88" s="418"/>
      <c r="S88" s="390"/>
      <c r="T88" s="390"/>
      <c r="U88" s="390"/>
      <c r="V88" s="390"/>
      <c r="W88" s="390"/>
      <c r="X88" s="390"/>
      <c r="Y88" s="390"/>
      <c r="Z88" s="390"/>
      <c r="AA88" s="390"/>
      <c r="AB88" s="390"/>
      <c r="AC88" s="390"/>
      <c r="AD88" s="390"/>
    </row>
    <row r="89" spans="1:30" x14ac:dyDescent="0.25">
      <c r="A89" s="435"/>
      <c r="B89" s="435"/>
      <c r="C89" s="435"/>
      <c r="D89" s="435"/>
      <c r="E89" s="435"/>
      <c r="F89" s="435"/>
      <c r="G89" s="435"/>
      <c r="H89" s="435"/>
      <c r="I89" s="435"/>
      <c r="J89" s="442"/>
      <c r="K89" s="435"/>
      <c r="L89" s="435"/>
      <c r="M89" s="435"/>
      <c r="N89" s="435"/>
      <c r="O89" s="435"/>
      <c r="P89" s="435"/>
      <c r="Q89" s="435"/>
      <c r="R89" s="446"/>
      <c r="S89" s="446"/>
      <c r="T89" s="446"/>
      <c r="U89" s="435"/>
      <c r="V89" s="435"/>
      <c r="W89" s="435"/>
      <c r="X89" s="435"/>
      <c r="Y89" s="435"/>
      <c r="Z89" s="435"/>
      <c r="AA89" s="435"/>
      <c r="AB89" s="435"/>
      <c r="AC89" s="435"/>
      <c r="AD89" s="435"/>
    </row>
    <row r="90" spans="1:30" x14ac:dyDescent="0.25">
      <c r="A90" s="435"/>
      <c r="B90" s="435"/>
      <c r="C90" s="435"/>
      <c r="D90" s="435"/>
      <c r="E90" s="435"/>
      <c r="F90" s="435"/>
      <c r="G90" s="435"/>
      <c r="H90" s="435"/>
      <c r="I90" s="435"/>
      <c r="J90" s="442"/>
      <c r="K90" s="435"/>
      <c r="L90" s="435"/>
      <c r="M90" s="435"/>
      <c r="N90" s="435"/>
      <c r="O90" s="435"/>
      <c r="P90" s="435"/>
      <c r="Q90" s="435"/>
      <c r="R90" s="446"/>
      <c r="S90" s="446"/>
      <c r="T90" s="446"/>
      <c r="U90" s="435"/>
      <c r="V90" s="435"/>
      <c r="W90" s="435"/>
      <c r="X90" s="435"/>
      <c r="Y90" s="435"/>
      <c r="Z90" s="435"/>
      <c r="AA90" s="435"/>
      <c r="AB90" s="435"/>
      <c r="AC90" s="435"/>
      <c r="AD90" s="435"/>
    </row>
    <row r="91" spans="1:30" x14ac:dyDescent="0.25">
      <c r="A91" s="435"/>
      <c r="B91" s="435"/>
      <c r="C91" s="435"/>
      <c r="D91" s="435"/>
      <c r="E91" s="435"/>
      <c r="F91" s="435"/>
      <c r="G91" s="435"/>
      <c r="H91" s="435"/>
      <c r="I91" s="435"/>
      <c r="J91" s="442"/>
      <c r="K91" s="435"/>
      <c r="L91" s="435"/>
      <c r="M91" s="435"/>
      <c r="N91" s="435"/>
      <c r="O91" s="435"/>
      <c r="P91" s="435"/>
      <c r="Q91" s="435"/>
      <c r="R91" s="446"/>
      <c r="S91" s="446"/>
      <c r="T91" s="446"/>
      <c r="U91" s="435"/>
      <c r="V91" s="435"/>
      <c r="W91" s="435"/>
      <c r="X91" s="435"/>
      <c r="Y91" s="435"/>
      <c r="Z91" s="435"/>
      <c r="AA91" s="435"/>
      <c r="AB91" s="435"/>
      <c r="AC91" s="435"/>
      <c r="AD91" s="435"/>
    </row>
    <row r="92" spans="1:30" x14ac:dyDescent="0.25">
      <c r="A92" s="435"/>
      <c r="B92" s="435"/>
      <c r="C92" s="435"/>
      <c r="D92" s="435"/>
      <c r="E92" s="435"/>
      <c r="F92" s="435"/>
      <c r="G92" s="435"/>
      <c r="H92" s="435"/>
      <c r="I92" s="435"/>
      <c r="J92" s="442"/>
      <c r="K92" s="435"/>
      <c r="L92" s="435"/>
      <c r="M92" s="435"/>
      <c r="N92" s="435"/>
      <c r="O92" s="435"/>
      <c r="P92" s="435"/>
      <c r="Q92" s="435"/>
      <c r="R92" s="446"/>
      <c r="S92" s="446"/>
      <c r="T92" s="446"/>
      <c r="U92" s="435"/>
      <c r="V92" s="435"/>
      <c r="W92" s="435"/>
      <c r="X92" s="435"/>
      <c r="Y92" s="435"/>
      <c r="Z92" s="435"/>
      <c r="AA92" s="435"/>
      <c r="AB92" s="435"/>
      <c r="AC92" s="435"/>
      <c r="AD92" s="435"/>
    </row>
    <row r="93" spans="1:30" x14ac:dyDescent="0.25">
      <c r="A93" s="435"/>
      <c r="B93" s="435"/>
      <c r="C93" s="435"/>
      <c r="D93" s="435"/>
      <c r="E93" s="435"/>
      <c r="F93" s="435"/>
      <c r="G93" s="435"/>
      <c r="H93" s="435"/>
      <c r="I93" s="435"/>
      <c r="J93" s="442"/>
      <c r="K93" s="435"/>
      <c r="L93" s="435"/>
      <c r="M93" s="435"/>
      <c r="N93" s="435"/>
      <c r="O93" s="435"/>
      <c r="P93" s="435"/>
      <c r="Q93" s="435"/>
      <c r="R93" s="446"/>
      <c r="S93" s="446"/>
      <c r="T93" s="446"/>
      <c r="U93" s="435"/>
      <c r="V93" s="435"/>
      <c r="W93" s="435"/>
      <c r="X93" s="435"/>
      <c r="Y93" s="435"/>
      <c r="Z93" s="435"/>
      <c r="AA93" s="435"/>
      <c r="AB93" s="435"/>
      <c r="AC93" s="435"/>
      <c r="AD93" s="435"/>
    </row>
    <row r="94" spans="1:30" x14ac:dyDescent="0.25">
      <c r="A94" s="435"/>
      <c r="B94" s="435"/>
      <c r="C94" s="435"/>
      <c r="D94" s="435"/>
      <c r="E94" s="435"/>
      <c r="F94" s="435"/>
      <c r="G94" s="435"/>
      <c r="H94" s="435"/>
      <c r="I94" s="435"/>
      <c r="J94" s="442"/>
      <c r="K94" s="435"/>
      <c r="L94" s="435"/>
      <c r="M94" s="435"/>
      <c r="N94" s="435"/>
      <c r="O94" s="435"/>
      <c r="P94" s="435"/>
      <c r="Q94" s="435"/>
      <c r="R94" s="446"/>
      <c r="S94" s="446"/>
      <c r="T94" s="446"/>
      <c r="U94" s="435"/>
      <c r="V94" s="435"/>
      <c r="W94" s="435"/>
      <c r="X94" s="435"/>
      <c r="Y94" s="435"/>
      <c r="Z94" s="435"/>
      <c r="AA94" s="435"/>
      <c r="AB94" s="435"/>
      <c r="AC94" s="435"/>
      <c r="AD94" s="435"/>
    </row>
    <row r="95" spans="1:30" x14ac:dyDescent="0.25">
      <c r="A95" s="435"/>
      <c r="B95" s="435"/>
      <c r="C95" s="435"/>
      <c r="D95" s="435"/>
      <c r="E95" s="435"/>
      <c r="F95" s="435"/>
      <c r="G95" s="435"/>
      <c r="H95" s="435"/>
      <c r="I95" s="435"/>
      <c r="J95" s="442"/>
      <c r="K95" s="435"/>
      <c r="L95" s="435"/>
      <c r="M95" s="435"/>
      <c r="N95" s="435"/>
      <c r="O95" s="435"/>
      <c r="P95" s="435"/>
      <c r="Q95" s="435"/>
      <c r="R95" s="446"/>
      <c r="S95" s="446"/>
      <c r="T95" s="446"/>
      <c r="U95" s="435"/>
      <c r="V95" s="435"/>
      <c r="W95" s="435"/>
      <c r="X95" s="435"/>
      <c r="Y95" s="435"/>
      <c r="Z95" s="435"/>
      <c r="AA95" s="435"/>
      <c r="AB95" s="435"/>
      <c r="AC95" s="435"/>
      <c r="AD95" s="435"/>
    </row>
    <row r="96" spans="1:30" x14ac:dyDescent="0.25">
      <c r="A96" s="435"/>
      <c r="B96" s="435"/>
      <c r="C96" s="435"/>
      <c r="D96" s="435"/>
      <c r="E96" s="435"/>
      <c r="F96" s="435"/>
      <c r="G96" s="435"/>
      <c r="H96" s="435"/>
      <c r="I96" s="435"/>
      <c r="J96" s="442"/>
      <c r="K96" s="435"/>
      <c r="L96" s="435"/>
      <c r="M96" s="435"/>
      <c r="N96" s="435"/>
      <c r="O96" s="435"/>
      <c r="P96" s="435"/>
      <c r="Q96" s="435"/>
      <c r="R96" s="446"/>
      <c r="S96" s="446"/>
      <c r="T96" s="446"/>
      <c r="U96" s="435"/>
      <c r="V96" s="435"/>
      <c r="W96" s="435"/>
      <c r="X96" s="435"/>
      <c r="Y96" s="435"/>
      <c r="Z96" s="435"/>
      <c r="AA96" s="435"/>
      <c r="AB96" s="435"/>
      <c r="AC96" s="435"/>
      <c r="AD96" s="435"/>
    </row>
    <row r="97" spans="1:30" x14ac:dyDescent="0.25">
      <c r="A97" s="435"/>
      <c r="B97" s="435"/>
      <c r="C97" s="435"/>
      <c r="D97" s="435"/>
      <c r="E97" s="435"/>
      <c r="F97" s="435"/>
      <c r="G97" s="435"/>
      <c r="H97" s="435"/>
      <c r="I97" s="435"/>
      <c r="J97" s="442"/>
      <c r="K97" s="435"/>
      <c r="L97" s="435"/>
      <c r="M97" s="435"/>
      <c r="N97" s="435"/>
      <c r="O97" s="435"/>
      <c r="P97" s="435"/>
      <c r="Q97" s="435"/>
      <c r="R97" s="446"/>
      <c r="S97" s="446"/>
      <c r="T97" s="446"/>
      <c r="U97" s="435"/>
      <c r="V97" s="435"/>
      <c r="W97" s="435"/>
      <c r="X97" s="435"/>
      <c r="Y97" s="435"/>
      <c r="Z97" s="435"/>
      <c r="AA97" s="435"/>
      <c r="AB97" s="435"/>
      <c r="AC97" s="435"/>
      <c r="AD97" s="435"/>
    </row>
    <row r="98" spans="1:30" x14ac:dyDescent="0.25">
      <c r="A98" s="435"/>
      <c r="B98" s="435"/>
      <c r="C98" s="435"/>
      <c r="D98" s="435"/>
      <c r="E98" s="435"/>
      <c r="F98" s="435"/>
      <c r="G98" s="435"/>
      <c r="H98" s="435"/>
      <c r="I98" s="435"/>
      <c r="J98" s="442"/>
      <c r="K98" s="435"/>
      <c r="L98" s="435"/>
      <c r="M98" s="435"/>
      <c r="N98" s="435"/>
      <c r="O98" s="435"/>
      <c r="P98" s="435"/>
      <c r="Q98" s="435"/>
      <c r="R98" s="446"/>
      <c r="S98" s="446"/>
      <c r="T98" s="446"/>
      <c r="U98" s="435"/>
      <c r="V98" s="435"/>
      <c r="W98" s="435"/>
      <c r="X98" s="435"/>
      <c r="Y98" s="435"/>
      <c r="Z98" s="435"/>
      <c r="AA98" s="435"/>
      <c r="AB98" s="435"/>
      <c r="AC98" s="435"/>
      <c r="AD98" s="435"/>
    </row>
    <row r="99" spans="1:30" x14ac:dyDescent="0.25">
      <c r="A99" s="435"/>
      <c r="B99" s="435"/>
      <c r="C99" s="435"/>
      <c r="D99" s="435"/>
      <c r="E99" s="435"/>
      <c r="F99" s="435"/>
      <c r="G99" s="435"/>
      <c r="H99" s="435"/>
      <c r="I99" s="435"/>
      <c r="J99" s="442"/>
      <c r="K99" s="435"/>
      <c r="L99" s="435"/>
      <c r="M99" s="435"/>
      <c r="N99" s="435"/>
      <c r="O99" s="435"/>
      <c r="P99" s="435"/>
      <c r="Q99" s="435"/>
      <c r="R99" s="446"/>
      <c r="S99" s="446"/>
      <c r="T99" s="446"/>
      <c r="U99" s="435"/>
      <c r="V99" s="435"/>
      <c r="W99" s="435"/>
      <c r="X99" s="435"/>
      <c r="Y99" s="435"/>
      <c r="Z99" s="435"/>
      <c r="AA99" s="435"/>
      <c r="AB99" s="435"/>
      <c r="AC99" s="435"/>
      <c r="AD99" s="435"/>
    </row>
    <row r="100" spans="1:30" x14ac:dyDescent="0.25">
      <c r="A100" s="435"/>
      <c r="B100" s="435"/>
      <c r="C100" s="435"/>
      <c r="D100" s="435"/>
      <c r="E100" s="435"/>
      <c r="F100" s="435"/>
      <c r="G100" s="435"/>
      <c r="H100" s="435"/>
      <c r="I100" s="435"/>
      <c r="J100" s="442"/>
      <c r="K100" s="435"/>
      <c r="L100" s="435"/>
      <c r="M100" s="435"/>
      <c r="N100" s="435"/>
      <c r="O100" s="435"/>
      <c r="P100" s="435"/>
      <c r="Q100" s="435"/>
      <c r="R100" s="446"/>
      <c r="S100" s="446"/>
      <c r="T100" s="446"/>
      <c r="U100" s="435"/>
      <c r="V100" s="435"/>
      <c r="W100" s="435"/>
      <c r="X100" s="435"/>
      <c r="Y100" s="435"/>
      <c r="Z100" s="435"/>
      <c r="AA100" s="435"/>
      <c r="AB100" s="435"/>
      <c r="AC100" s="435"/>
      <c r="AD100" s="435"/>
    </row>
    <row r="101" spans="1:30" x14ac:dyDescent="0.25">
      <c r="A101" s="435"/>
      <c r="B101" s="435"/>
      <c r="C101" s="435"/>
      <c r="D101" s="435"/>
      <c r="E101" s="435"/>
      <c r="F101" s="435"/>
      <c r="G101" s="435"/>
      <c r="H101" s="435"/>
      <c r="I101" s="435"/>
      <c r="J101" s="442"/>
      <c r="K101" s="435"/>
      <c r="L101" s="435"/>
      <c r="M101" s="435"/>
      <c r="N101" s="435"/>
      <c r="O101" s="435"/>
      <c r="P101" s="435"/>
      <c r="Q101" s="435"/>
      <c r="R101" s="446"/>
      <c r="S101" s="446"/>
      <c r="T101" s="446"/>
      <c r="U101" s="435"/>
      <c r="V101" s="435"/>
      <c r="W101" s="435"/>
      <c r="X101" s="435"/>
      <c r="Y101" s="435"/>
      <c r="Z101" s="435"/>
      <c r="AA101" s="435"/>
      <c r="AB101" s="435"/>
      <c r="AC101" s="435"/>
      <c r="AD101" s="435"/>
    </row>
    <row r="102" spans="1:30" x14ac:dyDescent="0.25">
      <c r="A102" s="435"/>
      <c r="B102" s="435"/>
      <c r="C102" s="435"/>
      <c r="D102" s="435"/>
      <c r="E102" s="435"/>
      <c r="F102" s="435"/>
      <c r="G102" s="435"/>
      <c r="H102" s="435"/>
      <c r="I102" s="435"/>
      <c r="J102" s="442"/>
      <c r="K102" s="435"/>
      <c r="L102" s="435"/>
      <c r="M102" s="435"/>
      <c r="N102" s="435"/>
      <c r="O102" s="435"/>
      <c r="P102" s="435"/>
      <c r="Q102" s="435"/>
      <c r="R102" s="446"/>
      <c r="S102" s="446"/>
      <c r="T102" s="446"/>
      <c r="U102" s="435"/>
      <c r="V102" s="435"/>
      <c r="W102" s="435"/>
      <c r="X102" s="435"/>
      <c r="Y102" s="435"/>
      <c r="Z102" s="435"/>
      <c r="AA102" s="435"/>
      <c r="AB102" s="435"/>
      <c r="AC102" s="435"/>
      <c r="AD102" s="435"/>
    </row>
    <row r="103" spans="1:30" x14ac:dyDescent="0.25">
      <c r="A103" s="435"/>
      <c r="B103" s="435"/>
      <c r="C103" s="435"/>
      <c r="D103" s="435"/>
      <c r="E103" s="435"/>
      <c r="F103" s="435"/>
      <c r="G103" s="435"/>
      <c r="H103" s="435"/>
      <c r="I103" s="435"/>
      <c r="J103" s="442"/>
      <c r="K103" s="435"/>
      <c r="L103" s="435"/>
      <c r="M103" s="435"/>
      <c r="N103" s="435"/>
      <c r="O103" s="435"/>
      <c r="P103" s="435"/>
      <c r="Q103" s="435"/>
      <c r="R103" s="446"/>
      <c r="S103" s="446"/>
      <c r="T103" s="446"/>
      <c r="U103" s="435"/>
      <c r="V103" s="435"/>
      <c r="W103" s="435"/>
      <c r="X103" s="435"/>
      <c r="Y103" s="435"/>
      <c r="Z103" s="435"/>
      <c r="AA103" s="435"/>
      <c r="AB103" s="435"/>
      <c r="AC103" s="435"/>
      <c r="AD103" s="435"/>
    </row>
    <row r="104" spans="1:30" x14ac:dyDescent="0.25">
      <c r="A104" s="435"/>
      <c r="B104" s="435"/>
      <c r="C104" s="435"/>
      <c r="D104" s="435"/>
      <c r="E104" s="435"/>
      <c r="F104" s="435"/>
      <c r="G104" s="435"/>
      <c r="H104" s="435"/>
      <c r="I104" s="435"/>
      <c r="J104" s="442"/>
      <c r="K104" s="435"/>
      <c r="L104" s="435"/>
      <c r="M104" s="435"/>
      <c r="N104" s="435"/>
      <c r="O104" s="435"/>
      <c r="P104" s="435"/>
      <c r="Q104" s="435"/>
      <c r="R104" s="446"/>
      <c r="S104" s="446"/>
      <c r="T104" s="446"/>
      <c r="U104" s="435"/>
      <c r="V104" s="435"/>
      <c r="W104" s="435"/>
      <c r="X104" s="435"/>
      <c r="Y104" s="435"/>
      <c r="Z104" s="435"/>
      <c r="AA104" s="435"/>
      <c r="AB104" s="435"/>
      <c r="AC104" s="435"/>
      <c r="AD104" s="435"/>
    </row>
    <row r="105" spans="1:30" x14ac:dyDescent="0.25">
      <c r="A105" s="435"/>
      <c r="B105" s="435"/>
      <c r="C105" s="435"/>
      <c r="D105" s="435"/>
      <c r="E105" s="435"/>
      <c r="F105" s="435"/>
      <c r="G105" s="435"/>
      <c r="H105" s="435"/>
      <c r="I105" s="435"/>
      <c r="J105" s="442"/>
      <c r="K105" s="435"/>
      <c r="L105" s="435"/>
      <c r="M105" s="435"/>
      <c r="N105" s="435"/>
      <c r="O105" s="435"/>
      <c r="P105" s="435"/>
      <c r="Q105" s="435"/>
      <c r="R105" s="446"/>
      <c r="S105" s="446"/>
      <c r="T105" s="446"/>
      <c r="U105" s="435"/>
      <c r="V105" s="435"/>
      <c r="W105" s="435"/>
      <c r="X105" s="435"/>
      <c r="Y105" s="435"/>
      <c r="Z105" s="435"/>
      <c r="AA105" s="435"/>
      <c r="AB105" s="435"/>
      <c r="AC105" s="435"/>
      <c r="AD105" s="435"/>
    </row>
    <row r="106" spans="1:30" x14ac:dyDescent="0.25">
      <c r="A106" s="435"/>
      <c r="B106" s="435"/>
      <c r="C106" s="435"/>
      <c r="D106" s="435"/>
      <c r="E106" s="435"/>
      <c r="F106" s="435"/>
      <c r="G106" s="435"/>
      <c r="H106" s="435"/>
      <c r="I106" s="435"/>
      <c r="J106" s="442"/>
      <c r="K106" s="435"/>
      <c r="L106" s="435"/>
      <c r="M106" s="435"/>
      <c r="N106" s="435"/>
      <c r="O106" s="435"/>
      <c r="P106" s="435"/>
      <c r="Q106" s="435"/>
      <c r="R106" s="446"/>
      <c r="S106" s="446"/>
      <c r="T106" s="446"/>
      <c r="U106" s="435"/>
      <c r="V106" s="435"/>
      <c r="W106" s="435"/>
      <c r="X106" s="435"/>
      <c r="Y106" s="435"/>
      <c r="Z106" s="435"/>
      <c r="AA106" s="435"/>
      <c r="AB106" s="435"/>
      <c r="AC106" s="435"/>
      <c r="AD106" s="435"/>
    </row>
    <row r="107" spans="1:30" x14ac:dyDescent="0.25">
      <c r="A107" s="435"/>
      <c r="B107" s="435"/>
      <c r="C107" s="435"/>
      <c r="D107" s="435"/>
      <c r="E107" s="435"/>
      <c r="F107" s="435"/>
      <c r="G107" s="435"/>
      <c r="H107" s="435"/>
      <c r="I107" s="435"/>
      <c r="J107" s="442"/>
      <c r="K107" s="435"/>
      <c r="L107" s="435"/>
      <c r="M107" s="435"/>
      <c r="N107" s="435"/>
      <c r="O107" s="435"/>
      <c r="P107" s="435"/>
      <c r="Q107" s="435"/>
      <c r="R107" s="446"/>
      <c r="S107" s="446"/>
      <c r="T107" s="446"/>
      <c r="U107" s="435"/>
      <c r="V107" s="435"/>
      <c r="W107" s="435"/>
      <c r="X107" s="435"/>
      <c r="Y107" s="435"/>
      <c r="Z107" s="435"/>
      <c r="AA107" s="435"/>
      <c r="AB107" s="435"/>
      <c r="AC107" s="435"/>
      <c r="AD107" s="435"/>
    </row>
    <row r="108" spans="1:30" x14ac:dyDescent="0.25">
      <c r="A108" s="435"/>
      <c r="B108" s="435"/>
      <c r="C108" s="435"/>
      <c r="D108" s="435"/>
      <c r="E108" s="435"/>
      <c r="F108" s="435"/>
      <c r="G108" s="435"/>
      <c r="H108" s="435"/>
      <c r="I108" s="435"/>
      <c r="J108" s="442"/>
      <c r="K108" s="435"/>
      <c r="L108" s="435"/>
      <c r="M108" s="435"/>
      <c r="N108" s="435"/>
      <c r="O108" s="435"/>
      <c r="P108" s="435"/>
      <c r="Q108" s="435"/>
      <c r="R108" s="446"/>
      <c r="S108" s="446"/>
      <c r="T108" s="446"/>
      <c r="U108" s="435"/>
      <c r="V108" s="435"/>
      <c r="W108" s="435"/>
      <c r="X108" s="435"/>
      <c r="Y108" s="435"/>
      <c r="Z108" s="435"/>
      <c r="AA108" s="435"/>
      <c r="AB108" s="435"/>
      <c r="AC108" s="435"/>
      <c r="AD108" s="435"/>
    </row>
    <row r="109" spans="1:30" x14ac:dyDescent="0.25">
      <c r="A109" s="435"/>
      <c r="B109" s="435"/>
      <c r="C109" s="435"/>
      <c r="D109" s="435"/>
      <c r="E109" s="435"/>
      <c r="F109" s="435"/>
      <c r="G109" s="435"/>
      <c r="H109" s="435"/>
      <c r="I109" s="435"/>
      <c r="J109" s="442"/>
      <c r="K109" s="435"/>
      <c r="L109" s="435"/>
      <c r="M109" s="435"/>
      <c r="N109" s="435"/>
      <c r="O109" s="435"/>
      <c r="P109" s="435"/>
      <c r="Q109" s="435"/>
      <c r="R109" s="446"/>
      <c r="S109" s="446"/>
      <c r="T109" s="446"/>
      <c r="U109" s="435"/>
      <c r="V109" s="435"/>
      <c r="W109" s="435"/>
      <c r="X109" s="435"/>
      <c r="Y109" s="435"/>
      <c r="Z109" s="435"/>
      <c r="AA109" s="435"/>
      <c r="AB109" s="435"/>
      <c r="AC109" s="435"/>
      <c r="AD109" s="435"/>
    </row>
    <row r="110" spans="1:30" x14ac:dyDescent="0.25">
      <c r="A110" s="435"/>
      <c r="B110" s="435"/>
      <c r="C110" s="435"/>
      <c r="D110" s="435"/>
      <c r="E110" s="435"/>
      <c r="F110" s="435"/>
      <c r="G110" s="435"/>
      <c r="H110" s="435"/>
      <c r="I110" s="435"/>
      <c r="J110" s="442"/>
      <c r="K110" s="435"/>
      <c r="L110" s="435"/>
      <c r="M110" s="435"/>
      <c r="N110" s="435"/>
      <c r="O110" s="435"/>
      <c r="P110" s="435"/>
      <c r="Q110" s="435"/>
      <c r="R110" s="446"/>
      <c r="S110" s="446"/>
      <c r="T110" s="446"/>
      <c r="U110" s="435"/>
      <c r="V110" s="435"/>
      <c r="W110" s="435"/>
      <c r="X110" s="435"/>
      <c r="Y110" s="435"/>
      <c r="Z110" s="435"/>
      <c r="AA110" s="435"/>
      <c r="AB110" s="435"/>
      <c r="AC110" s="435"/>
      <c r="AD110" s="435"/>
    </row>
    <row r="111" spans="1:30" x14ac:dyDescent="0.25">
      <c r="A111" s="435"/>
      <c r="B111" s="435"/>
      <c r="C111" s="435"/>
      <c r="D111" s="435"/>
      <c r="E111" s="435"/>
      <c r="F111" s="435"/>
      <c r="G111" s="435"/>
      <c r="H111" s="435"/>
      <c r="I111" s="435"/>
      <c r="J111" s="442"/>
      <c r="K111" s="435"/>
      <c r="L111" s="435"/>
      <c r="M111" s="435"/>
      <c r="N111" s="435"/>
      <c r="O111" s="435"/>
      <c r="P111" s="435"/>
      <c r="Q111" s="435"/>
      <c r="R111" s="446"/>
      <c r="S111" s="446"/>
      <c r="T111" s="446"/>
      <c r="U111" s="435"/>
      <c r="V111" s="435"/>
      <c r="W111" s="435"/>
      <c r="X111" s="435"/>
      <c r="Y111" s="435"/>
      <c r="Z111" s="435"/>
      <c r="AA111" s="435"/>
      <c r="AB111" s="435"/>
      <c r="AC111" s="435"/>
      <c r="AD111" s="435"/>
    </row>
    <row r="112" spans="1:30" x14ac:dyDescent="0.25">
      <c r="A112" s="435"/>
      <c r="B112" s="435"/>
      <c r="C112" s="435"/>
      <c r="D112" s="435"/>
      <c r="E112" s="435"/>
      <c r="F112" s="435"/>
      <c r="G112" s="435"/>
      <c r="H112" s="435"/>
      <c r="I112" s="435"/>
      <c r="J112" s="442"/>
      <c r="K112" s="435"/>
      <c r="L112" s="435"/>
      <c r="M112" s="435"/>
      <c r="N112" s="435"/>
      <c r="O112" s="435"/>
      <c r="P112" s="435"/>
      <c r="Q112" s="435"/>
      <c r="R112" s="446"/>
      <c r="S112" s="446"/>
      <c r="T112" s="446"/>
      <c r="U112" s="435"/>
      <c r="V112" s="435"/>
      <c r="W112" s="435"/>
      <c r="X112" s="435"/>
      <c r="Y112" s="435"/>
      <c r="Z112" s="435"/>
      <c r="AA112" s="435"/>
      <c r="AB112" s="435"/>
      <c r="AC112" s="435"/>
      <c r="AD112" s="435"/>
    </row>
    <row r="113" spans="1:30" x14ac:dyDescent="0.25">
      <c r="A113" s="435"/>
      <c r="B113" s="435"/>
      <c r="C113" s="435"/>
      <c r="D113" s="435"/>
      <c r="E113" s="435"/>
      <c r="F113" s="435"/>
      <c r="G113" s="445"/>
      <c r="H113" s="445"/>
      <c r="I113" s="445"/>
      <c r="J113" s="442"/>
      <c r="K113" s="445"/>
      <c r="L113" s="435"/>
      <c r="M113" s="445"/>
      <c r="N113" s="445"/>
      <c r="O113" s="445"/>
      <c r="P113" s="435"/>
      <c r="Q113" s="435"/>
      <c r="R113" s="446"/>
      <c r="S113" s="446"/>
      <c r="T113" s="446"/>
      <c r="U113" s="435"/>
      <c r="V113" s="435"/>
      <c r="W113" s="435"/>
      <c r="X113" s="435"/>
      <c r="Y113" s="435"/>
      <c r="Z113" s="435"/>
      <c r="AA113" s="435"/>
      <c r="AB113" s="435"/>
      <c r="AC113" s="435"/>
      <c r="AD113" s="435"/>
    </row>
    <row r="114" spans="1:30" x14ac:dyDescent="0.25">
      <c r="A114" s="435"/>
      <c r="B114" s="435"/>
      <c r="C114" s="435"/>
      <c r="D114" s="435"/>
      <c r="E114" s="435"/>
      <c r="F114" s="435"/>
      <c r="G114" s="445"/>
      <c r="H114" s="445"/>
      <c r="I114" s="445"/>
      <c r="J114" s="442"/>
      <c r="K114" s="435"/>
      <c r="L114" s="435"/>
      <c r="M114" s="445"/>
      <c r="N114" s="445"/>
      <c r="O114" s="445"/>
      <c r="P114" s="435"/>
      <c r="Q114" s="435"/>
      <c r="R114" s="446"/>
      <c r="S114" s="446"/>
      <c r="T114" s="446"/>
      <c r="U114" s="435"/>
      <c r="V114" s="435"/>
      <c r="W114" s="435"/>
      <c r="X114" s="435"/>
      <c r="Y114" s="435"/>
      <c r="Z114" s="435"/>
      <c r="AA114" s="435"/>
      <c r="AB114" s="435"/>
      <c r="AC114" s="435"/>
      <c r="AD114" s="435"/>
    </row>
    <row r="115" spans="1:30" x14ac:dyDescent="0.25">
      <c r="A115" s="435"/>
      <c r="B115" s="435"/>
      <c r="C115" s="435"/>
      <c r="D115" s="435"/>
      <c r="E115" s="435"/>
      <c r="F115" s="435"/>
      <c r="G115" s="445"/>
      <c r="H115" s="445"/>
      <c r="I115" s="445"/>
      <c r="J115" s="442"/>
      <c r="K115" s="435"/>
      <c r="L115" s="435"/>
      <c r="M115" s="445"/>
      <c r="N115" s="445"/>
      <c r="O115" s="445"/>
      <c r="P115" s="435"/>
      <c r="Q115" s="435"/>
      <c r="R115" s="446"/>
      <c r="S115" s="446"/>
      <c r="T115" s="446"/>
      <c r="U115" s="435"/>
      <c r="V115" s="435"/>
      <c r="W115" s="435"/>
      <c r="X115" s="435"/>
      <c r="Y115" s="435"/>
      <c r="Z115" s="435"/>
      <c r="AA115" s="435"/>
      <c r="AB115" s="435"/>
      <c r="AC115" s="435"/>
      <c r="AD115" s="435"/>
    </row>
    <row r="116" spans="1:30" x14ac:dyDescent="0.25">
      <c r="A116" s="435"/>
      <c r="B116" s="435"/>
      <c r="C116" s="435"/>
      <c r="D116" s="435"/>
      <c r="E116" s="435"/>
      <c r="F116" s="435"/>
      <c r="G116" s="445"/>
      <c r="H116" s="445"/>
      <c r="I116" s="445"/>
      <c r="J116" s="442"/>
      <c r="K116" s="435"/>
      <c r="L116" s="435"/>
      <c r="M116" s="445"/>
      <c r="N116" s="445"/>
      <c r="O116" s="445"/>
      <c r="P116" s="435"/>
      <c r="Q116" s="435"/>
      <c r="R116" s="446"/>
      <c r="S116" s="446"/>
      <c r="T116" s="446"/>
      <c r="U116" s="435"/>
      <c r="V116" s="435"/>
      <c r="W116" s="435"/>
      <c r="X116" s="435"/>
      <c r="Y116" s="435"/>
      <c r="Z116" s="435"/>
      <c r="AA116" s="435"/>
      <c r="AB116" s="435"/>
      <c r="AC116" s="435"/>
      <c r="AD116" s="435"/>
    </row>
    <row r="117" spans="1:30" x14ac:dyDescent="0.25">
      <c r="A117" s="435"/>
      <c r="B117" s="435"/>
      <c r="C117" s="435"/>
      <c r="D117" s="435"/>
      <c r="E117" s="435"/>
      <c r="F117" s="435"/>
      <c r="G117" s="445"/>
      <c r="H117" s="445"/>
      <c r="I117" s="445"/>
      <c r="J117" s="447"/>
      <c r="K117" s="435"/>
      <c r="L117" s="435"/>
      <c r="M117" s="445"/>
      <c r="N117" s="445"/>
      <c r="O117" s="445"/>
      <c r="P117" s="435"/>
      <c r="Q117" s="435"/>
      <c r="R117" s="446"/>
      <c r="S117" s="446"/>
      <c r="T117" s="446"/>
      <c r="U117" s="435"/>
      <c r="V117" s="435"/>
      <c r="W117" s="435"/>
      <c r="X117" s="435"/>
      <c r="Y117" s="435"/>
      <c r="Z117" s="435"/>
      <c r="AA117" s="435"/>
      <c r="AB117" s="435"/>
      <c r="AC117" s="435"/>
      <c r="AD117" s="435"/>
    </row>
    <row r="118" spans="1:30" x14ac:dyDescent="0.25">
      <c r="A118" s="435"/>
      <c r="B118" s="435"/>
      <c r="C118" s="435"/>
      <c r="D118" s="435"/>
      <c r="E118" s="435"/>
      <c r="F118" s="435"/>
      <c r="G118" s="445"/>
      <c r="H118" s="445"/>
      <c r="I118" s="445"/>
      <c r="J118" s="442"/>
      <c r="K118" s="435"/>
      <c r="L118" s="435"/>
      <c r="M118" s="445"/>
      <c r="N118" s="445"/>
      <c r="O118" s="445"/>
      <c r="P118" s="435"/>
      <c r="Q118" s="435"/>
      <c r="R118" s="446"/>
      <c r="S118" s="446"/>
      <c r="T118" s="446"/>
      <c r="U118" s="435"/>
      <c r="V118" s="435"/>
      <c r="W118" s="435"/>
      <c r="X118" s="435"/>
      <c r="Y118" s="435"/>
      <c r="Z118" s="435"/>
      <c r="AA118" s="435"/>
      <c r="AB118" s="435"/>
      <c r="AC118" s="435"/>
      <c r="AD118" s="435"/>
    </row>
    <row r="119" spans="1:30" x14ac:dyDescent="0.25">
      <c r="A119" s="435"/>
      <c r="B119" s="435"/>
      <c r="C119" s="435"/>
      <c r="D119" s="435"/>
      <c r="E119" s="435"/>
      <c r="F119" s="435"/>
      <c r="G119" s="445"/>
      <c r="H119" s="445"/>
      <c r="I119" s="445"/>
      <c r="J119" s="442"/>
      <c r="K119" s="435"/>
      <c r="L119" s="435"/>
      <c r="M119" s="445"/>
      <c r="N119" s="445"/>
      <c r="O119" s="445"/>
      <c r="P119" s="435"/>
      <c r="Q119" s="435"/>
      <c r="R119" s="446"/>
      <c r="S119" s="446"/>
      <c r="T119" s="446"/>
      <c r="U119" s="435"/>
      <c r="V119" s="435"/>
      <c r="W119" s="435"/>
      <c r="X119" s="435"/>
      <c r="Y119" s="435"/>
      <c r="Z119" s="435"/>
      <c r="AA119" s="435"/>
      <c r="AB119" s="435"/>
      <c r="AC119" s="435"/>
      <c r="AD119" s="435"/>
    </row>
    <row r="120" spans="1:30" x14ac:dyDescent="0.25">
      <c r="A120" s="435"/>
      <c r="B120" s="435"/>
      <c r="C120" s="435"/>
      <c r="D120" s="435"/>
      <c r="E120" s="435"/>
      <c r="F120" s="435"/>
      <c r="G120" s="445"/>
      <c r="H120" s="445"/>
      <c r="I120" s="445"/>
      <c r="J120" s="442"/>
      <c r="K120" s="435"/>
      <c r="L120" s="435"/>
      <c r="M120" s="445"/>
      <c r="N120" s="445"/>
      <c r="O120" s="445"/>
      <c r="P120" s="435"/>
      <c r="Q120" s="435"/>
      <c r="R120" s="446"/>
      <c r="S120" s="446"/>
      <c r="T120" s="446"/>
      <c r="U120" s="435"/>
      <c r="V120" s="435"/>
      <c r="W120" s="435"/>
      <c r="X120" s="435"/>
      <c r="Y120" s="435"/>
      <c r="Z120" s="435"/>
      <c r="AA120" s="435"/>
      <c r="AB120" s="435"/>
      <c r="AC120" s="435"/>
      <c r="AD120" s="435"/>
    </row>
    <row r="121" spans="1:30" x14ac:dyDescent="0.25">
      <c r="A121" s="435"/>
      <c r="B121" s="435"/>
      <c r="C121" s="435"/>
      <c r="D121" s="435"/>
      <c r="E121" s="435"/>
      <c r="F121" s="435"/>
      <c r="G121" s="445"/>
      <c r="H121" s="445"/>
      <c r="I121" s="445"/>
      <c r="J121" s="442"/>
      <c r="K121" s="435"/>
      <c r="L121" s="435"/>
      <c r="M121" s="445"/>
      <c r="N121" s="445"/>
      <c r="O121" s="445"/>
      <c r="P121" s="435"/>
      <c r="Q121" s="435"/>
      <c r="R121" s="446"/>
      <c r="S121" s="446"/>
      <c r="T121" s="446"/>
      <c r="U121" s="435"/>
      <c r="V121" s="435"/>
      <c r="W121" s="435"/>
      <c r="X121" s="435"/>
      <c r="Y121" s="435"/>
      <c r="Z121" s="435"/>
      <c r="AA121" s="435"/>
      <c r="AB121" s="435"/>
      <c r="AC121" s="435"/>
      <c r="AD121" s="435"/>
    </row>
    <row r="122" spans="1:30" x14ac:dyDescent="0.25">
      <c r="A122" s="435"/>
      <c r="B122" s="435"/>
      <c r="C122" s="435"/>
      <c r="D122" s="435"/>
      <c r="E122" s="435"/>
      <c r="F122" s="435"/>
      <c r="G122" s="445"/>
      <c r="H122" s="445"/>
      <c r="I122" s="445"/>
      <c r="J122" s="442"/>
      <c r="K122" s="435"/>
      <c r="L122" s="435"/>
      <c r="M122" s="445"/>
      <c r="N122" s="445"/>
      <c r="O122" s="445"/>
      <c r="P122" s="435"/>
      <c r="Q122" s="435"/>
      <c r="R122" s="446"/>
      <c r="S122" s="446"/>
      <c r="T122" s="446"/>
      <c r="U122" s="435"/>
      <c r="V122" s="435"/>
      <c r="W122" s="435"/>
      <c r="X122" s="435"/>
      <c r="Y122" s="435"/>
      <c r="Z122" s="435"/>
      <c r="AA122" s="435"/>
      <c r="AB122" s="435"/>
      <c r="AC122" s="435"/>
      <c r="AD122" s="435"/>
    </row>
    <row r="123" spans="1:30" x14ac:dyDescent="0.25">
      <c r="A123" s="435"/>
      <c r="B123" s="435"/>
      <c r="C123" s="435"/>
      <c r="D123" s="435"/>
      <c r="E123" s="435"/>
      <c r="F123" s="435"/>
      <c r="G123" s="445"/>
      <c r="H123" s="445"/>
      <c r="I123" s="445"/>
      <c r="J123" s="442"/>
      <c r="K123" s="435"/>
      <c r="L123" s="435"/>
      <c r="M123" s="445"/>
      <c r="N123" s="445"/>
      <c r="O123" s="445"/>
      <c r="P123" s="435"/>
      <c r="Q123" s="435"/>
      <c r="R123" s="446"/>
      <c r="S123" s="446"/>
      <c r="T123" s="446"/>
      <c r="U123" s="435"/>
      <c r="V123" s="435"/>
      <c r="W123" s="435"/>
      <c r="X123" s="435"/>
      <c r="Y123" s="435"/>
      <c r="Z123" s="435"/>
      <c r="AA123" s="435"/>
      <c r="AB123" s="435"/>
      <c r="AC123" s="435"/>
      <c r="AD123" s="435"/>
    </row>
    <row r="124" spans="1:30" x14ac:dyDescent="0.25">
      <c r="A124" s="435"/>
      <c r="B124" s="435"/>
      <c r="C124" s="435"/>
      <c r="D124" s="435"/>
      <c r="E124" s="435"/>
      <c r="F124" s="435"/>
      <c r="G124" s="445"/>
      <c r="H124" s="445"/>
      <c r="I124" s="445"/>
      <c r="J124" s="442"/>
      <c r="K124" s="435"/>
      <c r="L124" s="435"/>
      <c r="M124" s="445"/>
      <c r="N124" s="445"/>
      <c r="O124" s="445"/>
      <c r="P124" s="435"/>
      <c r="Q124" s="435"/>
      <c r="R124" s="446"/>
      <c r="S124" s="446"/>
      <c r="T124" s="446"/>
      <c r="U124" s="435"/>
      <c r="V124" s="435"/>
      <c r="W124" s="435"/>
      <c r="X124" s="435"/>
      <c r="Y124" s="435"/>
      <c r="Z124" s="435"/>
      <c r="AA124" s="435"/>
      <c r="AB124" s="435"/>
      <c r="AC124" s="435"/>
      <c r="AD124" s="435"/>
    </row>
    <row r="125" spans="1:30" x14ac:dyDescent="0.25">
      <c r="A125" s="435"/>
      <c r="B125" s="435"/>
      <c r="C125" s="435"/>
      <c r="D125" s="435"/>
      <c r="E125" s="435"/>
      <c r="F125" s="435"/>
      <c r="G125" s="445"/>
      <c r="H125" s="445"/>
      <c r="I125" s="445"/>
      <c r="J125" s="442"/>
      <c r="K125" s="435"/>
      <c r="L125" s="435"/>
      <c r="M125" s="445"/>
      <c r="N125" s="445"/>
      <c r="O125" s="445"/>
      <c r="P125" s="435"/>
      <c r="Q125" s="435"/>
      <c r="R125" s="446"/>
      <c r="S125" s="446"/>
      <c r="T125" s="446"/>
      <c r="U125" s="435"/>
      <c r="V125" s="435"/>
      <c r="W125" s="435"/>
      <c r="X125" s="435"/>
      <c r="Y125" s="435"/>
      <c r="Z125" s="435"/>
      <c r="AA125" s="435"/>
      <c r="AB125" s="435"/>
      <c r="AC125" s="435"/>
      <c r="AD125" s="435"/>
    </row>
    <row r="126" spans="1:30" x14ac:dyDescent="0.25">
      <c r="A126" s="435"/>
      <c r="B126" s="435"/>
      <c r="C126" s="435"/>
      <c r="D126" s="435"/>
      <c r="E126" s="435"/>
      <c r="F126" s="435"/>
      <c r="G126" s="445"/>
      <c r="H126" s="445"/>
      <c r="I126" s="445"/>
      <c r="J126" s="442"/>
      <c r="K126" s="435"/>
      <c r="L126" s="435"/>
      <c r="M126" s="445"/>
      <c r="N126" s="445"/>
      <c r="O126" s="445"/>
      <c r="P126" s="435"/>
      <c r="Q126" s="435"/>
      <c r="R126" s="446"/>
      <c r="S126" s="446"/>
      <c r="T126" s="446"/>
      <c r="U126" s="435"/>
      <c r="V126" s="435"/>
      <c r="W126" s="435"/>
      <c r="X126" s="435"/>
      <c r="Y126" s="435"/>
      <c r="Z126" s="435"/>
      <c r="AA126" s="435"/>
      <c r="AB126" s="435"/>
      <c r="AC126" s="435"/>
      <c r="AD126" s="435"/>
    </row>
    <row r="127" spans="1:30" x14ac:dyDescent="0.25">
      <c r="A127" s="435"/>
      <c r="B127" s="435"/>
      <c r="C127" s="435"/>
      <c r="D127" s="435"/>
      <c r="E127" s="435"/>
      <c r="F127" s="435"/>
      <c r="G127" s="445"/>
      <c r="H127" s="445"/>
      <c r="I127" s="445"/>
      <c r="J127" s="442"/>
      <c r="K127" s="435"/>
      <c r="L127" s="435"/>
      <c r="M127" s="445"/>
      <c r="N127" s="445"/>
      <c r="O127" s="445"/>
      <c r="P127" s="435"/>
      <c r="Q127" s="435"/>
      <c r="R127" s="446"/>
      <c r="S127" s="446"/>
      <c r="T127" s="446"/>
      <c r="U127" s="435"/>
      <c r="V127" s="435"/>
      <c r="W127" s="435"/>
      <c r="X127" s="435"/>
      <c r="Y127" s="435"/>
      <c r="Z127" s="435"/>
      <c r="AA127" s="435"/>
      <c r="AB127" s="435"/>
      <c r="AC127" s="435"/>
      <c r="AD127" s="435"/>
    </row>
    <row r="128" spans="1:30" x14ac:dyDescent="0.25">
      <c r="A128" s="435"/>
      <c r="B128" s="435"/>
      <c r="C128" s="435"/>
      <c r="D128" s="435"/>
      <c r="E128" s="435"/>
      <c r="F128" s="435"/>
      <c r="G128" s="445"/>
      <c r="H128" s="445"/>
      <c r="I128" s="435"/>
      <c r="J128" s="442"/>
      <c r="K128" s="435"/>
      <c r="L128" s="435"/>
      <c r="M128" s="445"/>
      <c r="N128" s="445"/>
      <c r="O128" s="445"/>
      <c r="P128" s="435"/>
      <c r="Q128" s="435"/>
      <c r="R128" s="446"/>
      <c r="S128" s="446"/>
      <c r="T128" s="446"/>
      <c r="U128" s="435"/>
      <c r="V128" s="435"/>
      <c r="W128" s="435"/>
      <c r="X128" s="435"/>
      <c r="Y128" s="435"/>
      <c r="Z128" s="435"/>
      <c r="AA128" s="435"/>
      <c r="AB128" s="435"/>
      <c r="AC128" s="435"/>
      <c r="AD128" s="435"/>
    </row>
    <row r="129" spans="1:30" x14ac:dyDescent="0.25">
      <c r="A129" s="435"/>
      <c r="B129" s="435"/>
      <c r="C129" s="435"/>
      <c r="D129" s="435"/>
      <c r="E129" s="435"/>
      <c r="F129" s="435"/>
      <c r="G129" s="445"/>
      <c r="H129" s="445"/>
      <c r="I129" s="435"/>
      <c r="J129" s="442"/>
      <c r="K129" s="435"/>
      <c r="L129" s="435"/>
      <c r="M129" s="445"/>
      <c r="N129" s="445"/>
      <c r="O129" s="445"/>
      <c r="P129" s="435"/>
      <c r="Q129" s="435"/>
      <c r="R129" s="446"/>
      <c r="S129" s="446"/>
      <c r="T129" s="446"/>
      <c r="U129" s="435"/>
      <c r="V129" s="435"/>
      <c r="W129" s="435"/>
      <c r="X129" s="435"/>
      <c r="Y129" s="435"/>
      <c r="Z129" s="435"/>
      <c r="AA129" s="435"/>
      <c r="AB129" s="435"/>
      <c r="AC129" s="435"/>
      <c r="AD129" s="435"/>
    </row>
    <row r="130" spans="1:30" x14ac:dyDescent="0.25">
      <c r="A130" s="435"/>
      <c r="B130" s="435"/>
      <c r="C130" s="435"/>
      <c r="D130" s="435"/>
      <c r="E130" s="435"/>
      <c r="F130" s="435"/>
      <c r="G130" s="445"/>
      <c r="H130" s="445"/>
      <c r="I130" s="435"/>
      <c r="J130" s="442"/>
      <c r="K130" s="435"/>
      <c r="L130" s="435"/>
      <c r="M130" s="445"/>
      <c r="N130" s="445"/>
      <c r="O130" s="445"/>
      <c r="P130" s="435"/>
      <c r="Q130" s="435"/>
      <c r="R130" s="446"/>
      <c r="S130" s="446"/>
      <c r="T130" s="446"/>
      <c r="U130" s="435"/>
      <c r="V130" s="435"/>
      <c r="W130" s="435"/>
      <c r="X130" s="435"/>
      <c r="Y130" s="435"/>
      <c r="Z130" s="435"/>
      <c r="AA130" s="435"/>
      <c r="AB130" s="435"/>
      <c r="AC130" s="435"/>
      <c r="AD130" s="435"/>
    </row>
    <row r="131" spans="1:30" x14ac:dyDescent="0.25">
      <c r="A131" s="435"/>
      <c r="B131" s="435"/>
      <c r="C131" s="435"/>
      <c r="D131" s="435"/>
      <c r="E131" s="435"/>
      <c r="F131" s="435"/>
      <c r="G131" s="445"/>
      <c r="H131" s="445"/>
      <c r="I131" s="435"/>
      <c r="J131" s="442"/>
      <c r="K131" s="435"/>
      <c r="L131" s="435"/>
      <c r="M131" s="445"/>
      <c r="N131" s="445"/>
      <c r="O131" s="445"/>
      <c r="P131" s="435"/>
      <c r="Q131" s="435"/>
      <c r="R131" s="446"/>
      <c r="S131" s="446"/>
      <c r="T131" s="446"/>
      <c r="U131" s="435"/>
      <c r="V131" s="435"/>
      <c r="W131" s="435"/>
      <c r="X131" s="435"/>
      <c r="Y131" s="435"/>
      <c r="Z131" s="435"/>
      <c r="AA131" s="435"/>
      <c r="AB131" s="435"/>
      <c r="AC131" s="435"/>
      <c r="AD131" s="435"/>
    </row>
    <row r="132" spans="1:30" x14ac:dyDescent="0.25">
      <c r="A132" s="435"/>
      <c r="B132" s="435"/>
      <c r="C132" s="435"/>
      <c r="D132" s="435"/>
      <c r="E132" s="435"/>
      <c r="F132" s="435"/>
      <c r="G132" s="445"/>
      <c r="H132" s="445"/>
      <c r="I132" s="435"/>
      <c r="J132" s="442"/>
      <c r="K132" s="435"/>
      <c r="L132" s="435"/>
      <c r="M132" s="445"/>
      <c r="N132" s="445"/>
      <c r="O132" s="445"/>
      <c r="P132" s="435"/>
      <c r="Q132" s="435"/>
      <c r="R132" s="446"/>
      <c r="S132" s="446"/>
      <c r="T132" s="446"/>
      <c r="U132" s="435"/>
      <c r="V132" s="435"/>
      <c r="W132" s="435"/>
      <c r="X132" s="435"/>
      <c r="Y132" s="435"/>
      <c r="Z132" s="435"/>
      <c r="AA132" s="435"/>
      <c r="AB132" s="435"/>
      <c r="AC132" s="435"/>
      <c r="AD132" s="435"/>
    </row>
    <row r="133" spans="1:30" x14ac:dyDescent="0.25">
      <c r="A133" s="435"/>
      <c r="B133" s="435"/>
      <c r="C133" s="435"/>
      <c r="D133" s="435"/>
      <c r="E133" s="435"/>
      <c r="F133" s="435"/>
      <c r="G133" s="445"/>
      <c r="H133" s="445"/>
      <c r="I133" s="435"/>
      <c r="J133" s="442"/>
      <c r="K133" s="435"/>
      <c r="L133" s="435"/>
      <c r="M133" s="445"/>
      <c r="N133" s="445"/>
      <c r="O133" s="445"/>
      <c r="P133" s="435"/>
      <c r="Q133" s="435"/>
      <c r="R133" s="446"/>
      <c r="S133" s="446"/>
      <c r="T133" s="446"/>
      <c r="U133" s="435"/>
      <c r="V133" s="435"/>
      <c r="W133" s="435"/>
      <c r="X133" s="435"/>
      <c r="Y133" s="435"/>
      <c r="Z133" s="435"/>
      <c r="AA133" s="435"/>
      <c r="AB133" s="435"/>
      <c r="AC133" s="435"/>
      <c r="AD133" s="435"/>
    </row>
    <row r="134" spans="1:30" x14ac:dyDescent="0.25">
      <c r="A134" s="435"/>
      <c r="B134" s="435"/>
      <c r="C134" s="435"/>
      <c r="D134" s="435"/>
      <c r="E134" s="435"/>
      <c r="F134" s="435"/>
      <c r="G134" s="445"/>
      <c r="H134" s="445"/>
      <c r="I134" s="435"/>
      <c r="J134" s="442"/>
      <c r="K134" s="435"/>
      <c r="L134" s="435"/>
      <c r="M134" s="445"/>
      <c r="N134" s="445"/>
      <c r="O134" s="445"/>
      <c r="P134" s="435"/>
      <c r="Q134" s="435"/>
      <c r="R134" s="446"/>
      <c r="S134" s="446"/>
      <c r="T134" s="446"/>
      <c r="U134" s="435"/>
      <c r="V134" s="435"/>
      <c r="W134" s="435"/>
      <c r="X134" s="435"/>
      <c r="Y134" s="435"/>
      <c r="Z134" s="435"/>
      <c r="AA134" s="435"/>
      <c r="AB134" s="435"/>
      <c r="AC134" s="435"/>
      <c r="AD134" s="435"/>
    </row>
    <row r="135" spans="1:30" x14ac:dyDescent="0.25">
      <c r="A135" s="435"/>
      <c r="B135" s="435"/>
      <c r="C135" s="435"/>
      <c r="D135" s="435"/>
      <c r="E135" s="435"/>
      <c r="F135" s="435"/>
      <c r="G135" s="445"/>
      <c r="H135" s="445"/>
      <c r="I135" s="435"/>
      <c r="J135" s="442"/>
      <c r="K135" s="435"/>
      <c r="L135" s="435"/>
      <c r="M135" s="445"/>
      <c r="N135" s="445"/>
      <c r="O135" s="445"/>
      <c r="P135" s="435"/>
      <c r="Q135" s="435"/>
      <c r="R135" s="446"/>
      <c r="S135" s="446"/>
      <c r="T135" s="446"/>
      <c r="U135" s="435"/>
      <c r="V135" s="435"/>
      <c r="W135" s="435"/>
      <c r="X135" s="435"/>
      <c r="Y135" s="435"/>
      <c r="Z135" s="435"/>
      <c r="AA135" s="435"/>
      <c r="AB135" s="435"/>
      <c r="AC135" s="435"/>
      <c r="AD135" s="435"/>
    </row>
    <row r="136" spans="1:30" x14ac:dyDescent="0.25">
      <c r="A136" s="435"/>
      <c r="B136" s="435"/>
      <c r="C136" s="435"/>
      <c r="D136" s="435"/>
      <c r="E136" s="435"/>
      <c r="F136" s="435"/>
      <c r="G136" s="445"/>
      <c r="H136" s="445"/>
      <c r="I136" s="435"/>
      <c r="J136" s="442"/>
      <c r="K136" s="435"/>
      <c r="L136" s="435"/>
      <c r="M136" s="445"/>
      <c r="N136" s="445"/>
      <c r="O136" s="445"/>
      <c r="P136" s="435"/>
      <c r="Q136" s="435"/>
      <c r="R136" s="446"/>
      <c r="S136" s="446"/>
      <c r="T136" s="446"/>
      <c r="U136" s="435"/>
      <c r="V136" s="435"/>
      <c r="W136" s="435"/>
      <c r="X136" s="435"/>
      <c r="Y136" s="435"/>
      <c r="Z136" s="435"/>
      <c r="AA136" s="435"/>
      <c r="AB136" s="435"/>
      <c r="AC136" s="435"/>
      <c r="AD136" s="435"/>
    </row>
    <row r="137" spans="1:30" x14ac:dyDescent="0.25">
      <c r="A137" s="435"/>
      <c r="B137" s="435"/>
      <c r="C137" s="435"/>
      <c r="D137" s="435"/>
      <c r="E137" s="435"/>
      <c r="F137" s="435"/>
      <c r="G137" s="445"/>
      <c r="H137" s="445"/>
      <c r="I137" s="435"/>
      <c r="J137" s="442"/>
      <c r="K137" s="435"/>
      <c r="L137" s="435"/>
      <c r="M137" s="445"/>
      <c r="N137" s="445"/>
      <c r="O137" s="445"/>
      <c r="P137" s="435"/>
      <c r="Q137" s="435"/>
      <c r="R137" s="446"/>
      <c r="S137" s="446"/>
      <c r="T137" s="446"/>
      <c r="U137" s="435"/>
      <c r="V137" s="435"/>
      <c r="W137" s="435"/>
      <c r="X137" s="435"/>
      <c r="Y137" s="435"/>
      <c r="Z137" s="435"/>
      <c r="AA137" s="435"/>
      <c r="AB137" s="435"/>
      <c r="AC137" s="435"/>
      <c r="AD137" s="435"/>
    </row>
    <row r="138" spans="1:30" x14ac:dyDescent="0.25">
      <c r="A138" s="435"/>
      <c r="B138" s="435"/>
      <c r="C138" s="435"/>
      <c r="D138" s="435"/>
      <c r="E138" s="435"/>
      <c r="F138" s="435"/>
      <c r="G138" s="445"/>
      <c r="H138" s="445"/>
      <c r="I138" s="435"/>
      <c r="J138" s="442"/>
      <c r="K138" s="435"/>
      <c r="L138" s="435"/>
      <c r="M138" s="445"/>
      <c r="N138" s="445"/>
      <c r="O138" s="445"/>
      <c r="P138" s="435"/>
      <c r="Q138" s="435"/>
      <c r="R138" s="446"/>
      <c r="S138" s="446"/>
      <c r="T138" s="446"/>
      <c r="U138" s="435"/>
      <c r="V138" s="435"/>
      <c r="W138" s="435"/>
      <c r="X138" s="435"/>
      <c r="Y138" s="435"/>
      <c r="Z138" s="435"/>
      <c r="AA138" s="435"/>
      <c r="AB138" s="435"/>
      <c r="AC138" s="435"/>
      <c r="AD138" s="435"/>
    </row>
    <row r="139" spans="1:30" x14ac:dyDescent="0.25">
      <c r="A139" s="435"/>
      <c r="B139" s="435"/>
      <c r="C139" s="435"/>
      <c r="D139" s="435"/>
      <c r="E139" s="435"/>
      <c r="F139" s="435"/>
      <c r="G139" s="445"/>
      <c r="H139" s="445"/>
      <c r="I139" s="435"/>
      <c r="J139" s="442"/>
      <c r="K139" s="435"/>
      <c r="L139" s="435"/>
      <c r="M139" s="445"/>
      <c r="N139" s="445"/>
      <c r="O139" s="445"/>
      <c r="P139" s="435"/>
      <c r="Q139" s="435"/>
      <c r="R139" s="446"/>
      <c r="S139" s="446"/>
      <c r="T139" s="446"/>
      <c r="U139" s="435"/>
      <c r="V139" s="435"/>
      <c r="W139" s="435"/>
      <c r="X139" s="435"/>
      <c r="Y139" s="435"/>
      <c r="Z139" s="435"/>
      <c r="AA139" s="435"/>
      <c r="AB139" s="435"/>
      <c r="AC139" s="435"/>
      <c r="AD139" s="435"/>
    </row>
    <row r="140" spans="1:30" x14ac:dyDescent="0.25">
      <c r="A140" s="435"/>
      <c r="B140" s="435"/>
      <c r="C140" s="435"/>
      <c r="D140" s="435"/>
      <c r="E140" s="435"/>
      <c r="F140" s="435"/>
      <c r="G140" s="445"/>
      <c r="H140" s="445"/>
      <c r="I140" s="435"/>
      <c r="J140" s="442"/>
      <c r="K140" s="435"/>
      <c r="L140" s="435"/>
      <c r="M140" s="445"/>
      <c r="N140" s="445"/>
      <c r="O140" s="445"/>
      <c r="P140" s="435"/>
      <c r="Q140" s="435"/>
      <c r="R140" s="446"/>
      <c r="S140" s="446"/>
      <c r="T140" s="446"/>
      <c r="U140" s="435"/>
      <c r="V140" s="435"/>
      <c r="W140" s="435"/>
      <c r="X140" s="435"/>
      <c r="Y140" s="435"/>
      <c r="Z140" s="435"/>
      <c r="AA140" s="435"/>
      <c r="AB140" s="435"/>
      <c r="AC140" s="435"/>
      <c r="AD140" s="435"/>
    </row>
    <row r="141" spans="1:30" x14ac:dyDescent="0.25">
      <c r="A141" s="435"/>
      <c r="B141" s="435"/>
      <c r="C141" s="435"/>
      <c r="D141" s="435"/>
      <c r="E141" s="435"/>
      <c r="F141" s="435"/>
      <c r="G141" s="445"/>
      <c r="H141" s="445"/>
      <c r="I141" s="435"/>
      <c r="J141" s="442"/>
      <c r="K141" s="435"/>
      <c r="L141" s="435"/>
      <c r="M141" s="445"/>
      <c r="N141" s="445"/>
      <c r="O141" s="445"/>
      <c r="P141" s="435"/>
      <c r="Q141" s="435"/>
      <c r="R141" s="446"/>
      <c r="S141" s="446"/>
      <c r="T141" s="446"/>
      <c r="U141" s="435"/>
      <c r="V141" s="435"/>
      <c r="W141" s="435"/>
      <c r="X141" s="435"/>
      <c r="Y141" s="435"/>
      <c r="Z141" s="435"/>
      <c r="AA141" s="435"/>
      <c r="AB141" s="435"/>
      <c r="AC141" s="435"/>
      <c r="AD141" s="435"/>
    </row>
    <row r="142" spans="1:30" x14ac:dyDescent="0.25">
      <c r="A142" s="435"/>
      <c r="B142" s="435"/>
      <c r="C142" s="435"/>
      <c r="D142" s="435"/>
      <c r="E142" s="435"/>
      <c r="F142" s="435"/>
      <c r="G142" s="445"/>
      <c r="H142" s="445"/>
      <c r="I142" s="435"/>
      <c r="J142" s="442"/>
      <c r="K142" s="435"/>
      <c r="L142" s="435"/>
      <c r="M142" s="445"/>
      <c r="N142" s="445"/>
      <c r="O142" s="445"/>
      <c r="P142" s="435"/>
      <c r="Q142" s="435"/>
      <c r="R142" s="446"/>
      <c r="S142" s="446"/>
      <c r="T142" s="446"/>
      <c r="U142" s="435"/>
      <c r="V142" s="435"/>
      <c r="W142" s="435"/>
      <c r="X142" s="435"/>
      <c r="Y142" s="435"/>
      <c r="Z142" s="435"/>
      <c r="AA142" s="435"/>
      <c r="AB142" s="435"/>
      <c r="AC142" s="435"/>
      <c r="AD142" s="435"/>
    </row>
    <row r="143" spans="1:30" x14ac:dyDescent="0.25">
      <c r="A143" s="435"/>
      <c r="B143" s="435"/>
      <c r="C143" s="435"/>
      <c r="D143" s="435"/>
      <c r="E143" s="435"/>
      <c r="F143" s="435"/>
      <c r="G143" s="435"/>
      <c r="H143" s="435"/>
      <c r="I143" s="435"/>
      <c r="J143" s="442"/>
      <c r="K143" s="435"/>
      <c r="L143" s="435"/>
      <c r="M143" s="435"/>
      <c r="N143" s="435"/>
      <c r="O143" s="435"/>
      <c r="P143" s="435"/>
      <c r="Q143" s="435"/>
      <c r="R143" s="446"/>
      <c r="S143" s="446"/>
      <c r="T143" s="446"/>
      <c r="U143" s="435"/>
      <c r="V143" s="435"/>
      <c r="W143" s="435"/>
      <c r="X143" s="435"/>
      <c r="Y143" s="435"/>
      <c r="Z143" s="435"/>
      <c r="AA143" s="435"/>
      <c r="AB143" s="435"/>
      <c r="AC143" s="435"/>
      <c r="AD143" s="435"/>
    </row>
    <row r="144" spans="1:30" x14ac:dyDescent="0.25">
      <c r="A144" s="435"/>
      <c r="B144" s="435"/>
      <c r="C144" s="435"/>
      <c r="D144" s="435"/>
      <c r="E144" s="435"/>
      <c r="F144" s="435"/>
      <c r="G144" s="435"/>
      <c r="H144" s="435"/>
      <c r="I144" s="435"/>
      <c r="J144" s="442"/>
      <c r="K144" s="435"/>
      <c r="L144" s="435"/>
      <c r="M144" s="435"/>
      <c r="N144" s="435"/>
      <c r="O144" s="435"/>
      <c r="P144" s="435"/>
      <c r="Q144" s="435"/>
      <c r="R144" s="446"/>
      <c r="S144" s="446"/>
      <c r="T144" s="446"/>
      <c r="U144" s="435"/>
      <c r="V144" s="435"/>
      <c r="W144" s="435"/>
      <c r="X144" s="435"/>
      <c r="Y144" s="435"/>
      <c r="Z144" s="435"/>
      <c r="AA144" s="435"/>
      <c r="AB144" s="435"/>
      <c r="AC144" s="435"/>
      <c r="AD144" s="435"/>
    </row>
    <row r="145" spans="1:30" x14ac:dyDescent="0.25">
      <c r="A145" s="435"/>
      <c r="B145" s="435"/>
      <c r="C145" s="435"/>
      <c r="D145" s="435"/>
      <c r="E145" s="435"/>
      <c r="F145" s="435"/>
      <c r="G145" s="435"/>
      <c r="H145" s="435"/>
      <c r="I145" s="435"/>
      <c r="J145" s="442"/>
      <c r="K145" s="435"/>
      <c r="L145" s="435"/>
      <c r="M145" s="435"/>
      <c r="N145" s="435"/>
      <c r="O145" s="435"/>
      <c r="P145" s="435"/>
      <c r="Q145" s="435"/>
      <c r="R145" s="446"/>
      <c r="S145" s="446"/>
      <c r="T145" s="446"/>
      <c r="U145" s="435"/>
      <c r="V145" s="435"/>
      <c r="W145" s="435"/>
      <c r="X145" s="435"/>
      <c r="Y145" s="435"/>
      <c r="Z145" s="435"/>
      <c r="AA145" s="435"/>
      <c r="AB145" s="435"/>
      <c r="AC145" s="435"/>
      <c r="AD145" s="435"/>
    </row>
    <row r="146" spans="1:30" x14ac:dyDescent="0.25">
      <c r="A146" s="435"/>
      <c r="B146" s="435"/>
      <c r="C146" s="435"/>
      <c r="D146" s="435"/>
      <c r="E146" s="435"/>
      <c r="F146" s="435"/>
      <c r="G146" s="435"/>
      <c r="H146" s="435"/>
      <c r="I146" s="435"/>
      <c r="J146" s="442"/>
      <c r="K146" s="435"/>
      <c r="L146" s="435"/>
      <c r="M146" s="435"/>
      <c r="N146" s="435"/>
      <c r="O146" s="435"/>
      <c r="P146" s="435"/>
      <c r="Q146" s="435"/>
      <c r="R146" s="446"/>
      <c r="S146" s="446"/>
      <c r="T146" s="446"/>
      <c r="U146" s="435"/>
      <c r="V146" s="435"/>
      <c r="W146" s="435"/>
      <c r="X146" s="435"/>
      <c r="Y146" s="435"/>
      <c r="Z146" s="435"/>
      <c r="AA146" s="435"/>
      <c r="AB146" s="435"/>
      <c r="AC146" s="435"/>
      <c r="AD146" s="435"/>
    </row>
    <row r="147" spans="1:30" x14ac:dyDescent="0.25">
      <c r="A147" s="435"/>
      <c r="B147" s="435"/>
      <c r="C147" s="435"/>
      <c r="D147" s="435"/>
      <c r="E147" s="435"/>
      <c r="F147" s="435"/>
      <c r="G147" s="435"/>
      <c r="H147" s="435"/>
      <c r="I147" s="435"/>
      <c r="J147" s="442"/>
      <c r="K147" s="435"/>
      <c r="L147" s="435"/>
      <c r="M147" s="435"/>
      <c r="N147" s="435"/>
      <c r="O147" s="435"/>
      <c r="P147" s="435"/>
      <c r="Q147" s="435"/>
      <c r="R147" s="446"/>
      <c r="S147" s="446"/>
      <c r="T147" s="446"/>
      <c r="U147" s="435"/>
      <c r="V147" s="435"/>
      <c r="W147" s="435"/>
      <c r="X147" s="435"/>
      <c r="Y147" s="435"/>
      <c r="Z147" s="435"/>
      <c r="AA147" s="435"/>
      <c r="AB147" s="435"/>
      <c r="AC147" s="435"/>
      <c r="AD147" s="435"/>
    </row>
    <row r="148" spans="1:30" x14ac:dyDescent="0.25">
      <c r="A148" s="435"/>
      <c r="B148" s="435"/>
      <c r="C148" s="435"/>
      <c r="D148" s="435"/>
      <c r="E148" s="435"/>
      <c r="F148" s="435"/>
      <c r="G148" s="435"/>
      <c r="H148" s="435"/>
      <c r="I148" s="435"/>
      <c r="J148" s="442"/>
      <c r="K148" s="435"/>
      <c r="L148" s="435"/>
      <c r="M148" s="435"/>
      <c r="N148" s="435"/>
      <c r="O148" s="435"/>
      <c r="P148" s="435"/>
      <c r="Q148" s="435"/>
      <c r="R148" s="446"/>
      <c r="S148" s="446"/>
      <c r="T148" s="446"/>
      <c r="U148" s="435"/>
      <c r="V148" s="435"/>
      <c r="W148" s="435"/>
      <c r="X148" s="435"/>
      <c r="Y148" s="435"/>
      <c r="Z148" s="435"/>
      <c r="AA148" s="435"/>
      <c r="AB148" s="435"/>
      <c r="AC148" s="435"/>
      <c r="AD148" s="435"/>
    </row>
    <row r="149" spans="1:30" x14ac:dyDescent="0.25">
      <c r="A149" s="435"/>
      <c r="B149" s="435"/>
      <c r="C149" s="435"/>
      <c r="D149" s="435"/>
      <c r="E149" s="435"/>
      <c r="F149" s="435"/>
      <c r="G149" s="435"/>
      <c r="H149" s="435"/>
      <c r="I149" s="435"/>
      <c r="J149" s="442"/>
      <c r="K149" s="435"/>
      <c r="L149" s="435"/>
      <c r="M149" s="435"/>
      <c r="N149" s="435"/>
      <c r="O149" s="435"/>
      <c r="P149" s="435"/>
      <c r="Q149" s="435"/>
      <c r="R149" s="446"/>
      <c r="S149" s="446"/>
      <c r="T149" s="446"/>
      <c r="U149" s="435"/>
      <c r="V149" s="435"/>
      <c r="W149" s="435"/>
      <c r="X149" s="435"/>
      <c r="Y149" s="435"/>
      <c r="Z149" s="435"/>
      <c r="AA149" s="435"/>
      <c r="AB149" s="435"/>
      <c r="AC149" s="435"/>
      <c r="AD149" s="435"/>
    </row>
    <row r="150" spans="1:30" x14ac:dyDescent="0.25">
      <c r="A150" s="435"/>
      <c r="B150" s="435"/>
      <c r="C150" s="435"/>
      <c r="D150" s="435"/>
      <c r="E150" s="435"/>
      <c r="F150" s="435"/>
      <c r="G150" s="435"/>
      <c r="H150" s="435"/>
      <c r="I150" s="435"/>
      <c r="J150" s="442"/>
      <c r="K150" s="435"/>
      <c r="L150" s="435"/>
      <c r="M150" s="435"/>
      <c r="N150" s="435"/>
      <c r="O150" s="435"/>
      <c r="P150" s="435"/>
      <c r="Q150" s="435"/>
      <c r="R150" s="446"/>
      <c r="S150" s="446"/>
      <c r="T150" s="446"/>
      <c r="U150" s="435"/>
      <c r="V150" s="435"/>
      <c r="W150" s="435"/>
      <c r="X150" s="435"/>
      <c r="Y150" s="435"/>
      <c r="Z150" s="435"/>
      <c r="AA150" s="435"/>
      <c r="AB150" s="435"/>
      <c r="AC150" s="435"/>
      <c r="AD150" s="435"/>
    </row>
    <row r="151" spans="1:30" x14ac:dyDescent="0.25">
      <c r="A151" s="435"/>
      <c r="B151" s="435"/>
      <c r="C151" s="435"/>
      <c r="D151" s="435"/>
      <c r="E151" s="435"/>
      <c r="F151" s="435"/>
      <c r="G151" s="435"/>
      <c r="H151" s="435"/>
      <c r="I151" s="435"/>
      <c r="J151" s="442"/>
      <c r="K151" s="435"/>
      <c r="L151" s="435"/>
      <c r="M151" s="435"/>
      <c r="N151" s="435"/>
      <c r="O151" s="435"/>
      <c r="P151" s="435"/>
      <c r="Q151" s="435"/>
      <c r="R151" s="446"/>
      <c r="S151" s="446"/>
      <c r="T151" s="446"/>
      <c r="U151" s="435"/>
      <c r="V151" s="435"/>
      <c r="W151" s="435"/>
      <c r="X151" s="435"/>
      <c r="Y151" s="435"/>
      <c r="Z151" s="435"/>
      <c r="AA151" s="435"/>
      <c r="AB151" s="435"/>
      <c r="AC151" s="435"/>
      <c r="AD151" s="435"/>
    </row>
    <row r="152" spans="1:30" x14ac:dyDescent="0.25">
      <c r="A152" s="435"/>
      <c r="B152" s="435"/>
      <c r="C152" s="435"/>
      <c r="D152" s="435"/>
      <c r="E152" s="435"/>
      <c r="F152" s="435"/>
      <c r="G152" s="435"/>
      <c r="H152" s="435"/>
      <c r="I152" s="435"/>
      <c r="J152" s="442"/>
      <c r="K152" s="435"/>
      <c r="L152" s="435"/>
      <c r="M152" s="435"/>
      <c r="N152" s="435"/>
      <c r="O152" s="435"/>
      <c r="P152" s="435"/>
      <c r="Q152" s="435"/>
      <c r="R152" s="446"/>
      <c r="S152" s="446"/>
      <c r="T152" s="446"/>
      <c r="U152" s="435"/>
      <c r="V152" s="435"/>
      <c r="W152" s="435"/>
      <c r="X152" s="435"/>
      <c r="Y152" s="435"/>
      <c r="Z152" s="435"/>
      <c r="AA152" s="435"/>
      <c r="AB152" s="435"/>
      <c r="AC152" s="435"/>
      <c r="AD152" s="435"/>
    </row>
    <row r="153" spans="1:30" x14ac:dyDescent="0.25">
      <c r="A153" s="435"/>
      <c r="B153" s="435"/>
      <c r="C153" s="435"/>
      <c r="D153" s="435"/>
      <c r="E153" s="435"/>
      <c r="F153" s="435"/>
      <c r="G153" s="435"/>
      <c r="H153" s="435"/>
      <c r="I153" s="435"/>
      <c r="J153" s="442"/>
      <c r="K153" s="435"/>
      <c r="L153" s="435"/>
      <c r="M153" s="435"/>
      <c r="N153" s="435"/>
      <c r="O153" s="435"/>
      <c r="P153" s="435"/>
      <c r="Q153" s="435"/>
      <c r="R153" s="446"/>
      <c r="S153" s="446"/>
      <c r="T153" s="446"/>
      <c r="U153" s="435"/>
      <c r="V153" s="435"/>
      <c r="W153" s="435"/>
      <c r="X153" s="435"/>
      <c r="Y153" s="435"/>
      <c r="Z153" s="435"/>
      <c r="AA153" s="435"/>
      <c r="AB153" s="435"/>
      <c r="AC153" s="435"/>
      <c r="AD153" s="435"/>
    </row>
    <row r="154" spans="1:30" x14ac:dyDescent="0.25">
      <c r="A154" s="435"/>
      <c r="B154" s="435"/>
      <c r="C154" s="435"/>
      <c r="D154" s="435"/>
      <c r="E154" s="435"/>
      <c r="F154" s="435"/>
      <c r="G154" s="435"/>
      <c r="H154" s="435"/>
      <c r="I154" s="435"/>
      <c r="J154" s="442"/>
      <c r="K154" s="435"/>
      <c r="L154" s="435"/>
      <c r="M154" s="435"/>
      <c r="N154" s="435"/>
      <c r="O154" s="435"/>
      <c r="P154" s="435"/>
      <c r="Q154" s="435"/>
      <c r="R154" s="446"/>
      <c r="S154" s="446"/>
      <c r="T154" s="446"/>
      <c r="U154" s="435"/>
      <c r="V154" s="435"/>
      <c r="W154" s="435"/>
      <c r="X154" s="435"/>
      <c r="Y154" s="435"/>
      <c r="Z154" s="435"/>
      <c r="AA154" s="435"/>
      <c r="AB154" s="435"/>
      <c r="AC154" s="435"/>
      <c r="AD154" s="435"/>
    </row>
    <row r="155" spans="1:30" x14ac:dyDescent="0.25">
      <c r="A155" s="435"/>
      <c r="B155" s="435"/>
      <c r="C155" s="435"/>
      <c r="D155" s="435"/>
      <c r="E155" s="435"/>
      <c r="F155" s="435"/>
      <c r="G155" s="435"/>
      <c r="H155" s="435"/>
      <c r="I155" s="435"/>
      <c r="J155" s="442"/>
      <c r="K155" s="435"/>
      <c r="L155" s="435"/>
      <c r="M155" s="435"/>
      <c r="N155" s="435"/>
      <c r="O155" s="435"/>
      <c r="P155" s="435"/>
      <c r="Q155" s="435"/>
      <c r="R155" s="446"/>
      <c r="S155" s="446"/>
      <c r="T155" s="446"/>
      <c r="U155" s="435"/>
      <c r="V155" s="435"/>
      <c r="W155" s="435"/>
      <c r="X155" s="435"/>
      <c r="Y155" s="435"/>
      <c r="Z155" s="435"/>
      <c r="AA155" s="435"/>
      <c r="AB155" s="435"/>
      <c r="AC155" s="435"/>
      <c r="AD155" s="435"/>
    </row>
    <row r="156" spans="1:30" x14ac:dyDescent="0.25">
      <c r="A156" s="435"/>
      <c r="B156" s="435"/>
      <c r="C156" s="435"/>
      <c r="D156" s="435"/>
      <c r="E156" s="435"/>
      <c r="F156" s="435"/>
      <c r="G156" s="435"/>
      <c r="H156" s="435"/>
      <c r="I156" s="435"/>
      <c r="J156" s="442"/>
      <c r="K156" s="435"/>
      <c r="L156" s="435"/>
      <c r="M156" s="435"/>
      <c r="N156" s="435"/>
      <c r="O156" s="435"/>
      <c r="P156" s="435"/>
      <c r="Q156" s="435"/>
      <c r="R156" s="446"/>
      <c r="S156" s="446"/>
      <c r="T156" s="446"/>
      <c r="U156" s="435"/>
      <c r="V156" s="435"/>
      <c r="W156" s="435"/>
      <c r="X156" s="435"/>
      <c r="Y156" s="435"/>
      <c r="Z156" s="435"/>
      <c r="AA156" s="435"/>
      <c r="AB156" s="435"/>
      <c r="AC156" s="435"/>
      <c r="AD156" s="435"/>
    </row>
    <row r="157" spans="1:30" x14ac:dyDescent="0.25">
      <c r="A157" s="435"/>
      <c r="B157" s="435"/>
      <c r="C157" s="435"/>
      <c r="D157" s="435"/>
      <c r="E157" s="435"/>
      <c r="F157" s="435"/>
      <c r="G157" s="435"/>
      <c r="H157" s="435"/>
      <c r="I157" s="435"/>
      <c r="J157" s="435"/>
      <c r="K157" s="435"/>
      <c r="L157" s="435"/>
      <c r="M157" s="435"/>
      <c r="N157" s="435"/>
      <c r="O157" s="435"/>
      <c r="P157" s="435"/>
      <c r="Q157" s="435"/>
      <c r="R157" s="446"/>
      <c r="S157" s="446"/>
      <c r="T157" s="446"/>
      <c r="U157" s="435"/>
      <c r="V157" s="435"/>
      <c r="W157" s="435"/>
      <c r="X157" s="435"/>
      <c r="Y157" s="435"/>
      <c r="Z157" s="435"/>
      <c r="AA157" s="435"/>
      <c r="AB157" s="435"/>
      <c r="AC157" s="435"/>
      <c r="AD157" s="435"/>
    </row>
    <row r="158" spans="1:30" ht="18.75" customHeight="1" x14ac:dyDescent="0.2">
      <c r="A158" s="435"/>
      <c r="B158" s="435"/>
      <c r="C158" s="435"/>
      <c r="D158" s="435"/>
      <c r="E158" s="435"/>
      <c r="F158" s="435"/>
      <c r="G158" s="435"/>
      <c r="H158" s="435"/>
      <c r="I158" s="435"/>
      <c r="J158" s="431"/>
      <c r="K158" s="383"/>
      <c r="L158" s="435"/>
      <c r="M158" s="435"/>
      <c r="N158" s="378"/>
      <c r="O158" s="378"/>
      <c r="P158" s="435"/>
      <c r="Q158" s="435"/>
      <c r="R158" s="448"/>
      <c r="S158" s="370"/>
      <c r="T158" s="378"/>
      <c r="U158" s="435"/>
      <c r="V158" s="435"/>
      <c r="W158" s="435"/>
      <c r="X158" s="435"/>
      <c r="Y158" s="435"/>
      <c r="Z158" s="435"/>
      <c r="AA158" s="435"/>
      <c r="AB158" s="435"/>
      <c r="AC158" s="435"/>
      <c r="AD158" s="435"/>
    </row>
    <row r="159" spans="1:30" ht="18.75" customHeight="1" x14ac:dyDescent="0.2">
      <c r="A159" s="435"/>
      <c r="B159" s="435"/>
      <c r="C159" s="435"/>
      <c r="D159" s="435"/>
      <c r="E159" s="435"/>
      <c r="F159" s="435"/>
      <c r="G159" s="435"/>
      <c r="H159" s="435"/>
      <c r="I159" s="435"/>
      <c r="J159" s="431"/>
      <c r="K159" s="383"/>
      <c r="L159" s="435"/>
      <c r="M159" s="435"/>
      <c r="N159" s="378"/>
      <c r="O159" s="378"/>
      <c r="P159" s="435"/>
      <c r="Q159" s="435"/>
      <c r="R159" s="448"/>
      <c r="S159" s="370"/>
      <c r="T159" s="378"/>
      <c r="U159" s="435"/>
      <c r="V159" s="435"/>
      <c r="W159" s="435"/>
      <c r="X159" s="435"/>
      <c r="Y159" s="435"/>
      <c r="Z159" s="435"/>
      <c r="AA159" s="435"/>
      <c r="AB159" s="435"/>
      <c r="AC159" s="435"/>
      <c r="AD159" s="435"/>
    </row>
    <row r="160" spans="1:30" ht="18.75" customHeight="1" x14ac:dyDescent="0.2">
      <c r="A160" s="435"/>
      <c r="B160" s="435"/>
      <c r="C160" s="435"/>
      <c r="D160" s="435"/>
      <c r="E160" s="435"/>
      <c r="F160" s="435"/>
      <c r="G160" s="435"/>
      <c r="H160" s="435"/>
      <c r="I160" s="435"/>
      <c r="J160" s="431"/>
      <c r="K160" s="383"/>
      <c r="L160" s="435"/>
      <c r="M160" s="435"/>
      <c r="N160" s="378"/>
      <c r="O160" s="378"/>
      <c r="P160" s="435"/>
      <c r="Q160" s="435"/>
      <c r="R160" s="448"/>
      <c r="S160" s="370"/>
      <c r="T160" s="378"/>
      <c r="U160" s="435"/>
      <c r="V160" s="435"/>
      <c r="W160" s="435"/>
      <c r="X160" s="435"/>
      <c r="Y160" s="435"/>
      <c r="Z160" s="435"/>
      <c r="AA160" s="435"/>
      <c r="AB160" s="435"/>
      <c r="AC160" s="435"/>
      <c r="AD160" s="435"/>
    </row>
    <row r="161" spans="1:30" ht="18.75" customHeight="1" x14ac:dyDescent="0.2">
      <c r="A161" s="435"/>
      <c r="B161" s="435"/>
      <c r="C161" s="435"/>
      <c r="D161" s="435"/>
      <c r="E161" s="435"/>
      <c r="F161" s="435"/>
      <c r="G161" s="435"/>
      <c r="H161" s="435"/>
      <c r="I161" s="435"/>
      <c r="J161" s="431"/>
      <c r="K161" s="383"/>
      <c r="L161" s="435"/>
      <c r="M161" s="435"/>
      <c r="N161" s="378"/>
      <c r="O161" s="378"/>
      <c r="P161" s="435"/>
      <c r="Q161" s="435"/>
      <c r="R161" s="448"/>
      <c r="S161" s="370"/>
      <c r="T161" s="378"/>
      <c r="U161" s="435"/>
      <c r="V161" s="435"/>
      <c r="W161" s="435"/>
      <c r="X161" s="435"/>
      <c r="Y161" s="435"/>
      <c r="Z161" s="435"/>
      <c r="AA161" s="435"/>
      <c r="AB161" s="435"/>
      <c r="AC161" s="435"/>
      <c r="AD161" s="435"/>
    </row>
    <row r="162" spans="1:30" ht="18.75" customHeight="1" x14ac:dyDescent="0.2">
      <c r="A162" s="435"/>
      <c r="B162" s="435"/>
      <c r="C162" s="435"/>
      <c r="D162" s="435"/>
      <c r="E162" s="435"/>
      <c r="F162" s="435"/>
      <c r="G162" s="435"/>
      <c r="H162" s="435"/>
      <c r="I162" s="435"/>
      <c r="J162" s="431"/>
      <c r="K162" s="383"/>
      <c r="L162" s="435"/>
      <c r="M162" s="435"/>
      <c r="N162" s="378"/>
      <c r="O162" s="378"/>
      <c r="P162" s="435"/>
      <c r="Q162" s="435"/>
      <c r="R162" s="448"/>
      <c r="S162" s="370"/>
      <c r="T162" s="378"/>
      <c r="U162" s="435"/>
      <c r="V162" s="435"/>
      <c r="W162" s="435"/>
      <c r="X162" s="435"/>
      <c r="Y162" s="435"/>
      <c r="Z162" s="435"/>
      <c r="AA162" s="435"/>
      <c r="AB162" s="435"/>
      <c r="AC162" s="435"/>
      <c r="AD162" s="435"/>
    </row>
    <row r="163" spans="1:30" ht="18.75" customHeight="1" x14ac:dyDescent="0.2">
      <c r="A163" s="435"/>
      <c r="B163" s="435"/>
      <c r="C163" s="435"/>
      <c r="D163" s="435"/>
      <c r="E163" s="435"/>
      <c r="F163" s="435"/>
      <c r="G163" s="435"/>
      <c r="H163" s="435"/>
      <c r="I163" s="435"/>
      <c r="J163" s="431"/>
      <c r="K163" s="383"/>
      <c r="L163" s="435"/>
      <c r="M163" s="435"/>
      <c r="N163" s="378"/>
      <c r="O163" s="378"/>
      <c r="P163" s="435"/>
      <c r="Q163" s="435"/>
      <c r="R163" s="448"/>
      <c r="S163" s="370"/>
      <c r="T163" s="378"/>
      <c r="U163" s="435"/>
      <c r="V163" s="435"/>
      <c r="W163" s="435"/>
      <c r="X163" s="435"/>
      <c r="Y163" s="435"/>
      <c r="Z163" s="435"/>
      <c r="AA163" s="435"/>
      <c r="AB163" s="435"/>
      <c r="AC163" s="435"/>
      <c r="AD163" s="435"/>
    </row>
    <row r="164" spans="1:30" ht="18.75" customHeight="1" x14ac:dyDescent="0.2">
      <c r="A164" s="435"/>
      <c r="B164" s="435"/>
      <c r="C164" s="435"/>
      <c r="D164" s="435"/>
      <c r="E164" s="435"/>
      <c r="F164" s="435"/>
      <c r="G164" s="435"/>
      <c r="H164" s="435"/>
      <c r="I164" s="435"/>
      <c r="J164" s="431"/>
      <c r="K164" s="383"/>
      <c r="L164" s="435"/>
      <c r="M164" s="435"/>
      <c r="N164" s="378"/>
      <c r="O164" s="378"/>
      <c r="P164" s="435"/>
      <c r="Q164" s="435"/>
      <c r="R164" s="448"/>
      <c r="S164" s="370"/>
      <c r="T164" s="378"/>
      <c r="U164" s="435"/>
      <c r="V164" s="435"/>
      <c r="W164" s="435"/>
      <c r="X164" s="435"/>
      <c r="Y164" s="435"/>
      <c r="Z164" s="435"/>
      <c r="AA164" s="435"/>
      <c r="AB164" s="435"/>
      <c r="AC164" s="435"/>
      <c r="AD164" s="435"/>
    </row>
    <row r="165" spans="1:30" ht="18.75" customHeight="1" x14ac:dyDescent="0.2">
      <c r="A165" s="435"/>
      <c r="B165" s="435"/>
      <c r="C165" s="435"/>
      <c r="D165" s="435"/>
      <c r="E165" s="435"/>
      <c r="F165" s="435"/>
      <c r="G165" s="435"/>
      <c r="H165" s="435"/>
      <c r="I165" s="435"/>
      <c r="J165" s="431"/>
      <c r="K165" s="383"/>
      <c r="L165" s="435"/>
      <c r="M165" s="435"/>
      <c r="N165" s="378"/>
      <c r="O165" s="378"/>
      <c r="P165" s="435"/>
      <c r="Q165" s="435"/>
      <c r="R165" s="448"/>
      <c r="S165" s="370"/>
      <c r="T165" s="378"/>
      <c r="U165" s="435"/>
      <c r="V165" s="435"/>
      <c r="W165" s="435"/>
      <c r="X165" s="435"/>
      <c r="Y165" s="435"/>
      <c r="Z165" s="435"/>
      <c r="AA165" s="435"/>
      <c r="AB165" s="435"/>
      <c r="AC165" s="435"/>
      <c r="AD165" s="435"/>
    </row>
    <row r="166" spans="1:30" ht="18.75" customHeight="1" x14ac:dyDescent="0.2">
      <c r="A166" s="435"/>
      <c r="B166" s="435"/>
      <c r="C166" s="435"/>
      <c r="D166" s="435"/>
      <c r="E166" s="435"/>
      <c r="F166" s="435"/>
      <c r="G166" s="435"/>
      <c r="H166" s="435"/>
      <c r="I166" s="435"/>
      <c r="J166" s="431"/>
      <c r="K166" s="383"/>
      <c r="L166" s="435"/>
      <c r="M166" s="435"/>
      <c r="N166" s="378"/>
      <c r="O166" s="378"/>
      <c r="P166" s="435"/>
      <c r="Q166" s="435"/>
      <c r="R166" s="448"/>
      <c r="S166" s="370"/>
      <c r="T166" s="378"/>
      <c r="U166" s="435"/>
      <c r="V166" s="435"/>
      <c r="W166" s="435"/>
      <c r="X166" s="435"/>
      <c r="Y166" s="435"/>
      <c r="Z166" s="435"/>
      <c r="AA166" s="435"/>
      <c r="AB166" s="435"/>
      <c r="AC166" s="435"/>
      <c r="AD166" s="435"/>
    </row>
    <row r="167" spans="1:30" ht="18.75" customHeight="1" x14ac:dyDescent="0.2">
      <c r="A167" s="435"/>
      <c r="B167" s="435"/>
      <c r="C167" s="435"/>
      <c r="D167" s="435"/>
      <c r="E167" s="435"/>
      <c r="F167" s="435"/>
      <c r="G167" s="435"/>
      <c r="H167" s="435"/>
      <c r="I167" s="435"/>
      <c r="J167" s="431"/>
      <c r="K167" s="383"/>
      <c r="L167" s="435"/>
      <c r="M167" s="435"/>
      <c r="N167" s="378"/>
      <c r="O167" s="378"/>
      <c r="P167" s="435"/>
      <c r="Q167" s="435"/>
      <c r="R167" s="448"/>
      <c r="S167" s="370"/>
      <c r="T167" s="378"/>
      <c r="U167" s="435"/>
      <c r="V167" s="435"/>
      <c r="W167" s="435"/>
      <c r="X167" s="435"/>
      <c r="Y167" s="435"/>
      <c r="Z167" s="435"/>
      <c r="AA167" s="435"/>
      <c r="AB167" s="435"/>
      <c r="AC167" s="435"/>
      <c r="AD167" s="435"/>
    </row>
    <row r="168" spans="1:30" ht="18.75" customHeight="1" x14ac:dyDescent="0.2">
      <c r="A168" s="435"/>
      <c r="B168" s="435"/>
      <c r="C168" s="435"/>
      <c r="D168" s="435"/>
      <c r="E168" s="435"/>
      <c r="F168" s="435"/>
      <c r="G168" s="435"/>
      <c r="H168" s="435"/>
      <c r="I168" s="435"/>
      <c r="J168" s="431"/>
      <c r="K168" s="383"/>
      <c r="L168" s="435"/>
      <c r="M168" s="435"/>
      <c r="N168" s="378"/>
      <c r="O168" s="378"/>
      <c r="P168" s="435"/>
      <c r="Q168" s="435"/>
      <c r="R168" s="448"/>
      <c r="S168" s="370"/>
      <c r="T168" s="378"/>
      <c r="U168" s="435"/>
      <c r="V168" s="435"/>
      <c r="W168" s="435"/>
      <c r="X168" s="435"/>
      <c r="Y168" s="435"/>
      <c r="Z168" s="435"/>
      <c r="AA168" s="435"/>
      <c r="AB168" s="435"/>
      <c r="AC168" s="435"/>
      <c r="AD168" s="435"/>
    </row>
    <row r="169" spans="1:30" ht="18.75" customHeight="1" x14ac:dyDescent="0.2">
      <c r="A169" s="435"/>
      <c r="B169" s="435"/>
      <c r="C169" s="435"/>
      <c r="D169" s="435"/>
      <c r="E169" s="435"/>
      <c r="F169" s="435"/>
      <c r="G169" s="435"/>
      <c r="H169" s="435"/>
      <c r="I169" s="435"/>
      <c r="J169" s="431"/>
      <c r="K169" s="383"/>
      <c r="L169" s="435"/>
      <c r="M169" s="435"/>
      <c r="N169" s="378"/>
      <c r="O169" s="378"/>
      <c r="P169" s="435"/>
      <c r="Q169" s="435"/>
      <c r="R169" s="448"/>
      <c r="S169" s="370"/>
      <c r="T169" s="378"/>
      <c r="U169" s="435"/>
      <c r="V169" s="435"/>
      <c r="W169" s="435"/>
      <c r="X169" s="435"/>
      <c r="Y169" s="435"/>
      <c r="Z169" s="435"/>
      <c r="AA169" s="435"/>
      <c r="AB169" s="435"/>
      <c r="AC169" s="435"/>
      <c r="AD169" s="435"/>
    </row>
    <row r="170" spans="1:30" ht="18.75" customHeight="1" x14ac:dyDescent="0.2">
      <c r="A170" s="435"/>
      <c r="B170" s="435"/>
      <c r="C170" s="435"/>
      <c r="D170" s="435"/>
      <c r="E170" s="435"/>
      <c r="F170" s="435"/>
      <c r="G170" s="435"/>
      <c r="H170" s="435"/>
      <c r="I170" s="435"/>
      <c r="J170" s="431"/>
      <c r="K170" s="383"/>
      <c r="L170" s="435"/>
      <c r="M170" s="435"/>
      <c r="N170" s="378"/>
      <c r="O170" s="378"/>
      <c r="P170" s="435"/>
      <c r="Q170" s="435"/>
      <c r="R170" s="448"/>
      <c r="S170" s="370"/>
      <c r="T170" s="378"/>
      <c r="U170" s="435"/>
      <c r="V170" s="435"/>
      <c r="W170" s="435"/>
      <c r="X170" s="435"/>
      <c r="Y170" s="435"/>
      <c r="Z170" s="435"/>
      <c r="AA170" s="435"/>
      <c r="AB170" s="435"/>
      <c r="AC170" s="435"/>
      <c r="AD170" s="435"/>
    </row>
    <row r="171" spans="1:30" ht="18.75" customHeight="1" x14ac:dyDescent="0.2">
      <c r="A171" s="435"/>
      <c r="B171" s="435"/>
      <c r="C171" s="435"/>
      <c r="D171" s="435"/>
      <c r="E171" s="435"/>
      <c r="F171" s="435"/>
      <c r="G171" s="435"/>
      <c r="H171" s="435"/>
      <c r="I171" s="435"/>
      <c r="J171" s="431"/>
      <c r="K171" s="383"/>
      <c r="L171" s="435"/>
      <c r="M171" s="435"/>
      <c r="N171" s="378"/>
      <c r="O171" s="378"/>
      <c r="P171" s="435"/>
      <c r="Q171" s="435"/>
      <c r="R171" s="448"/>
      <c r="S171" s="370"/>
      <c r="T171" s="378"/>
      <c r="U171" s="435"/>
      <c r="V171" s="435"/>
      <c r="W171" s="435"/>
      <c r="X171" s="435"/>
      <c r="Y171" s="435"/>
      <c r="Z171" s="435"/>
      <c r="AA171" s="435"/>
      <c r="AB171" s="435"/>
      <c r="AC171" s="435"/>
      <c r="AD171" s="435"/>
    </row>
    <row r="172" spans="1:30" ht="18.75" customHeight="1" x14ac:dyDescent="0.2">
      <c r="A172" s="435"/>
      <c r="B172" s="435"/>
      <c r="C172" s="435"/>
      <c r="D172" s="435"/>
      <c r="E172" s="435"/>
      <c r="F172" s="435"/>
      <c r="G172" s="435"/>
      <c r="H172" s="435"/>
      <c r="I172" s="435"/>
      <c r="J172" s="431"/>
      <c r="K172" s="383"/>
      <c r="L172" s="435"/>
      <c r="M172" s="435"/>
      <c r="N172" s="378"/>
      <c r="O172" s="378"/>
      <c r="P172" s="435"/>
      <c r="Q172" s="435"/>
      <c r="R172" s="448"/>
      <c r="S172" s="370"/>
      <c r="T172" s="378"/>
      <c r="U172" s="435"/>
      <c r="V172" s="435"/>
      <c r="W172" s="435"/>
      <c r="X172" s="435"/>
      <c r="Y172" s="435"/>
      <c r="Z172" s="435"/>
      <c r="AA172" s="435"/>
      <c r="AB172" s="435"/>
      <c r="AC172" s="435"/>
      <c r="AD172" s="435"/>
    </row>
    <row r="173" spans="1:30" s="437" customFormat="1" ht="18.75" customHeight="1" x14ac:dyDescent="0.25">
      <c r="A173" s="438"/>
      <c r="B173" s="438"/>
      <c r="C173" s="438"/>
      <c r="D173" s="438"/>
      <c r="E173" s="438"/>
      <c r="F173" s="438"/>
      <c r="G173" s="444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43"/>
      <c r="S173" s="438"/>
      <c r="T173" s="438"/>
      <c r="U173" s="438"/>
      <c r="V173" s="438"/>
      <c r="W173" s="438"/>
      <c r="X173" s="438"/>
      <c r="Y173" s="438"/>
      <c r="Z173" s="438"/>
      <c r="AA173" s="438"/>
      <c r="AB173" s="438"/>
      <c r="AC173" s="438"/>
      <c r="AD173" s="438"/>
    </row>
    <row r="174" spans="1:30" s="437" customFormat="1" ht="18.75" customHeight="1" x14ac:dyDescent="0.25">
      <c r="A174" s="438"/>
      <c r="B174" s="438"/>
      <c r="C174" s="438"/>
      <c r="D174" s="438"/>
      <c r="E174" s="438"/>
      <c r="F174" s="438"/>
      <c r="G174" s="438"/>
      <c r="H174" s="438"/>
      <c r="I174" s="438"/>
      <c r="J174" s="439"/>
      <c r="K174" s="438"/>
      <c r="L174" s="438"/>
      <c r="M174" s="438"/>
      <c r="N174" s="438"/>
      <c r="O174" s="438"/>
      <c r="P174" s="438"/>
      <c r="Q174" s="438"/>
      <c r="R174" s="443"/>
      <c r="S174" s="438"/>
      <c r="T174" s="438"/>
      <c r="U174" s="438"/>
      <c r="V174" s="438"/>
      <c r="W174" s="438"/>
      <c r="X174" s="438"/>
      <c r="Y174" s="438"/>
      <c r="Z174" s="438"/>
      <c r="AA174" s="438"/>
      <c r="AB174" s="438"/>
      <c r="AC174" s="438"/>
      <c r="AD174" s="438"/>
    </row>
    <row r="175" spans="1:30" s="437" customFormat="1" ht="18.75" customHeight="1" x14ac:dyDescent="0.25">
      <c r="A175" s="438"/>
      <c r="B175" s="438"/>
      <c r="C175" s="438"/>
      <c r="D175" s="438"/>
      <c r="E175" s="438"/>
      <c r="F175" s="438"/>
      <c r="G175" s="438"/>
      <c r="H175" s="438"/>
      <c r="I175" s="438"/>
      <c r="J175" s="439"/>
      <c r="K175" s="438"/>
      <c r="L175" s="438"/>
      <c r="M175" s="438"/>
      <c r="N175" s="438"/>
      <c r="O175" s="438"/>
      <c r="P175" s="438"/>
      <c r="Q175" s="438"/>
      <c r="R175" s="443"/>
      <c r="S175" s="438"/>
      <c r="T175" s="438"/>
      <c r="U175" s="438"/>
      <c r="V175" s="438"/>
      <c r="W175" s="438"/>
      <c r="X175" s="438"/>
      <c r="Y175" s="438"/>
      <c r="Z175" s="438"/>
      <c r="AA175" s="438"/>
      <c r="AB175" s="438"/>
      <c r="AC175" s="438"/>
      <c r="AD175" s="438"/>
    </row>
    <row r="176" spans="1:30" s="437" customFormat="1" ht="18.75" customHeight="1" x14ac:dyDescent="0.25">
      <c r="A176" s="438"/>
      <c r="B176" s="438"/>
      <c r="C176" s="438"/>
      <c r="D176" s="438"/>
      <c r="E176" s="438"/>
      <c r="F176" s="438"/>
      <c r="G176" s="438"/>
      <c r="H176" s="438"/>
      <c r="I176" s="438"/>
      <c r="J176" s="439"/>
      <c r="K176" s="438"/>
      <c r="L176" s="438"/>
      <c r="M176" s="438"/>
      <c r="N176" s="438"/>
      <c r="O176" s="438"/>
      <c r="P176" s="438"/>
      <c r="Q176" s="438"/>
      <c r="R176" s="443"/>
      <c r="S176" s="438"/>
      <c r="T176" s="438"/>
      <c r="U176" s="438"/>
      <c r="V176" s="438"/>
      <c r="W176" s="438"/>
      <c r="X176" s="438"/>
      <c r="Y176" s="438"/>
      <c r="Z176" s="438"/>
      <c r="AA176" s="438"/>
      <c r="AB176" s="438"/>
      <c r="AC176" s="438"/>
      <c r="AD176" s="438"/>
    </row>
    <row r="177" spans="1:30" s="437" customFormat="1" ht="18.75" customHeight="1" x14ac:dyDescent="0.25">
      <c r="A177" s="438"/>
      <c r="B177" s="438"/>
      <c r="C177" s="438"/>
      <c r="D177" s="438"/>
      <c r="E177" s="438"/>
      <c r="F177" s="438"/>
      <c r="G177" s="438"/>
      <c r="H177" s="438"/>
      <c r="I177" s="438"/>
      <c r="J177" s="439"/>
      <c r="K177" s="438"/>
      <c r="L177" s="438"/>
      <c r="M177" s="438"/>
      <c r="N177" s="438"/>
      <c r="O177" s="438"/>
      <c r="P177" s="438"/>
      <c r="Q177" s="438"/>
      <c r="R177" s="443"/>
      <c r="S177" s="438"/>
      <c r="T177" s="438"/>
      <c r="U177" s="438"/>
      <c r="V177" s="438"/>
      <c r="W177" s="438"/>
      <c r="X177" s="438"/>
      <c r="Y177" s="438"/>
      <c r="Z177" s="438"/>
      <c r="AA177" s="438"/>
      <c r="AB177" s="438"/>
      <c r="AC177" s="438"/>
      <c r="AD177" s="438"/>
    </row>
    <row r="178" spans="1:30" s="437" customFormat="1" ht="18.75" customHeight="1" x14ac:dyDescent="0.25">
      <c r="A178" s="438"/>
      <c r="B178" s="438"/>
      <c r="C178" s="438"/>
      <c r="D178" s="438"/>
      <c r="E178" s="438"/>
      <c r="F178" s="438"/>
      <c r="G178" s="438"/>
      <c r="H178" s="438"/>
      <c r="I178" s="438"/>
      <c r="J178" s="439"/>
      <c r="K178" s="438"/>
      <c r="L178" s="438"/>
      <c r="M178" s="438"/>
      <c r="N178" s="438"/>
      <c r="O178" s="438"/>
      <c r="P178" s="438"/>
      <c r="Q178" s="438"/>
      <c r="R178" s="443"/>
      <c r="S178" s="438"/>
      <c r="T178" s="438"/>
      <c r="U178" s="438"/>
      <c r="V178" s="438"/>
      <c r="W178" s="438"/>
      <c r="X178" s="438"/>
      <c r="Y178" s="438"/>
      <c r="Z178" s="438"/>
      <c r="AA178" s="438"/>
      <c r="AB178" s="438"/>
      <c r="AC178" s="438"/>
      <c r="AD178" s="438"/>
    </row>
    <row r="179" spans="1:30" s="437" customFormat="1" ht="18.75" customHeight="1" x14ac:dyDescent="0.25">
      <c r="A179" s="438"/>
      <c r="B179" s="438"/>
      <c r="C179" s="438"/>
      <c r="D179" s="438"/>
      <c r="E179" s="438"/>
      <c r="F179" s="438"/>
      <c r="G179" s="438"/>
      <c r="H179" s="438"/>
      <c r="I179" s="438"/>
      <c r="J179" s="439"/>
      <c r="K179" s="438"/>
      <c r="L179" s="438"/>
      <c r="M179" s="438"/>
      <c r="N179" s="438"/>
      <c r="O179" s="438"/>
      <c r="P179" s="438"/>
      <c r="Q179" s="438"/>
      <c r="R179" s="443"/>
      <c r="S179" s="438"/>
      <c r="T179" s="438"/>
      <c r="U179" s="438"/>
      <c r="V179" s="438"/>
      <c r="W179" s="438"/>
      <c r="X179" s="438"/>
      <c r="Y179" s="438"/>
      <c r="Z179" s="438"/>
      <c r="AA179" s="438"/>
      <c r="AB179" s="438"/>
      <c r="AC179" s="438"/>
      <c r="AD179" s="438"/>
    </row>
    <row r="180" spans="1:30" s="437" customFormat="1" ht="18.75" customHeight="1" x14ac:dyDescent="0.25">
      <c r="A180" s="438"/>
      <c r="B180" s="438"/>
      <c r="C180" s="438"/>
      <c r="D180" s="438"/>
      <c r="E180" s="438"/>
      <c r="F180" s="438"/>
      <c r="G180" s="438"/>
      <c r="H180" s="438"/>
      <c r="I180" s="438"/>
      <c r="J180" s="439"/>
      <c r="K180" s="438"/>
      <c r="L180" s="438"/>
      <c r="M180" s="438"/>
      <c r="N180" s="438"/>
      <c r="O180" s="438"/>
      <c r="P180" s="438"/>
      <c r="Q180" s="438"/>
      <c r="R180" s="443"/>
      <c r="S180" s="438"/>
      <c r="T180" s="438"/>
      <c r="U180" s="438"/>
      <c r="V180" s="438"/>
      <c r="W180" s="438"/>
      <c r="X180" s="438"/>
      <c r="Y180" s="438"/>
      <c r="Z180" s="438"/>
      <c r="AA180" s="438"/>
      <c r="AB180" s="438"/>
      <c r="AC180" s="438"/>
      <c r="AD180" s="438"/>
    </row>
    <row r="181" spans="1:30" x14ac:dyDescent="0.25">
      <c r="A181" s="435"/>
      <c r="B181" s="435"/>
      <c r="C181" s="435"/>
      <c r="D181" s="435"/>
      <c r="E181" s="435"/>
      <c r="F181" s="435"/>
      <c r="G181" s="435"/>
      <c r="H181" s="435"/>
      <c r="I181" s="435"/>
      <c r="J181" s="435"/>
      <c r="K181" s="435"/>
      <c r="L181" s="435"/>
      <c r="M181" s="435"/>
      <c r="N181" s="435"/>
      <c r="O181" s="435"/>
      <c r="P181" s="435"/>
      <c r="Q181" s="435"/>
      <c r="R181" s="435"/>
      <c r="S181" s="435"/>
      <c r="T181" s="435"/>
      <c r="U181" s="435"/>
      <c r="V181" s="435"/>
      <c r="W181" s="435"/>
      <c r="X181" s="435"/>
      <c r="Y181" s="435"/>
      <c r="Z181" s="435"/>
      <c r="AA181" s="435"/>
      <c r="AB181" s="435"/>
      <c r="AC181" s="435"/>
      <c r="AD181" s="435"/>
    </row>
    <row r="182" spans="1:30" x14ac:dyDescent="0.25">
      <c r="A182" s="435"/>
      <c r="B182" s="435"/>
      <c r="C182" s="435"/>
      <c r="D182" s="435"/>
      <c r="E182" s="435"/>
      <c r="F182" s="435"/>
      <c r="G182" s="435"/>
      <c r="H182" s="435"/>
      <c r="I182" s="435"/>
      <c r="J182" s="435"/>
      <c r="K182" s="435"/>
      <c r="L182" s="435"/>
      <c r="M182" s="435"/>
      <c r="N182" s="435"/>
      <c r="O182" s="435"/>
      <c r="P182" s="435"/>
      <c r="Q182" s="435"/>
      <c r="R182" s="435"/>
      <c r="S182" s="435"/>
      <c r="T182" s="435"/>
      <c r="U182" s="435"/>
      <c r="V182" s="435"/>
      <c r="W182" s="435"/>
      <c r="X182" s="435"/>
      <c r="Y182" s="435"/>
      <c r="Z182" s="435"/>
      <c r="AA182" s="435"/>
      <c r="AB182" s="435"/>
      <c r="AC182" s="435"/>
      <c r="AD182" s="435"/>
    </row>
    <row r="183" spans="1:30" x14ac:dyDescent="0.25">
      <c r="A183" s="435"/>
      <c r="B183" s="435"/>
      <c r="C183" s="435"/>
      <c r="D183" s="435"/>
      <c r="E183" s="435"/>
      <c r="F183" s="435"/>
      <c r="G183" s="435"/>
      <c r="H183" s="435"/>
      <c r="I183" s="435"/>
      <c r="J183" s="435"/>
      <c r="K183" s="435"/>
      <c r="L183" s="435"/>
      <c r="M183" s="435"/>
      <c r="N183" s="435"/>
      <c r="O183" s="435"/>
      <c r="P183" s="435"/>
      <c r="Q183" s="435"/>
      <c r="R183" s="435"/>
      <c r="S183" s="435"/>
      <c r="T183" s="435"/>
      <c r="U183" s="435"/>
      <c r="V183" s="435"/>
      <c r="W183" s="435"/>
      <c r="X183" s="435"/>
      <c r="Y183" s="435"/>
      <c r="Z183" s="435"/>
      <c r="AA183" s="435"/>
      <c r="AB183" s="435"/>
      <c r="AC183" s="435"/>
      <c r="AD183" s="435"/>
    </row>
    <row r="184" spans="1:30" x14ac:dyDescent="0.25">
      <c r="A184" s="435"/>
      <c r="B184" s="435"/>
      <c r="C184" s="435"/>
      <c r="D184" s="435"/>
      <c r="E184" s="435"/>
      <c r="F184" s="435"/>
      <c r="G184" s="435"/>
      <c r="H184" s="435"/>
      <c r="I184" s="435"/>
      <c r="J184" s="435"/>
      <c r="K184" s="435"/>
      <c r="L184" s="435"/>
      <c r="M184" s="435"/>
      <c r="N184" s="435"/>
      <c r="O184" s="435"/>
      <c r="P184" s="435"/>
      <c r="Q184" s="435"/>
      <c r="R184" s="435"/>
      <c r="S184" s="435"/>
      <c r="T184" s="435"/>
      <c r="U184" s="435"/>
      <c r="V184" s="435"/>
      <c r="W184" s="435"/>
      <c r="X184" s="435"/>
      <c r="Y184" s="435"/>
      <c r="Z184" s="435"/>
      <c r="AA184" s="435"/>
      <c r="AB184" s="435"/>
      <c r="AC184" s="435"/>
      <c r="AD184" s="435"/>
    </row>
    <row r="185" spans="1:30" x14ac:dyDescent="0.25">
      <c r="A185" s="435"/>
      <c r="B185" s="435"/>
      <c r="C185" s="435"/>
      <c r="D185" s="435"/>
      <c r="E185" s="435"/>
      <c r="F185" s="435"/>
      <c r="G185" s="435"/>
      <c r="H185" s="435"/>
      <c r="I185" s="435"/>
      <c r="J185" s="435"/>
      <c r="K185" s="435"/>
      <c r="L185" s="435"/>
      <c r="M185" s="435"/>
      <c r="N185" s="435"/>
      <c r="O185" s="435"/>
      <c r="P185" s="435"/>
      <c r="Q185" s="435"/>
      <c r="R185" s="435"/>
      <c r="S185" s="435"/>
      <c r="T185" s="435"/>
      <c r="U185" s="435"/>
      <c r="V185" s="435"/>
      <c r="W185" s="435"/>
      <c r="X185" s="435"/>
      <c r="Y185" s="435"/>
      <c r="Z185" s="435"/>
      <c r="AA185" s="435"/>
      <c r="AB185" s="435"/>
      <c r="AC185" s="435"/>
      <c r="AD185" s="435"/>
    </row>
    <row r="186" spans="1:30" x14ac:dyDescent="0.25">
      <c r="A186" s="435"/>
      <c r="B186" s="435"/>
      <c r="C186" s="435"/>
      <c r="D186" s="435"/>
      <c r="E186" s="435"/>
      <c r="F186" s="435"/>
      <c r="G186" s="435"/>
      <c r="H186" s="435"/>
      <c r="I186" s="435"/>
      <c r="J186" s="435"/>
      <c r="K186" s="435"/>
      <c r="L186" s="435"/>
      <c r="M186" s="435"/>
      <c r="N186" s="435"/>
      <c r="O186" s="435"/>
      <c r="P186" s="435"/>
      <c r="Q186" s="435"/>
      <c r="R186" s="435"/>
      <c r="S186" s="435"/>
      <c r="T186" s="435"/>
      <c r="U186" s="435"/>
      <c r="V186" s="435"/>
      <c r="W186" s="435"/>
      <c r="X186" s="435"/>
      <c r="Y186" s="435"/>
      <c r="Z186" s="435"/>
      <c r="AA186" s="435"/>
      <c r="AB186" s="435"/>
      <c r="AC186" s="435"/>
      <c r="AD186" s="435"/>
    </row>
    <row r="187" spans="1:30" x14ac:dyDescent="0.25">
      <c r="A187" s="435"/>
      <c r="B187" s="435"/>
      <c r="C187" s="435"/>
      <c r="D187" s="435"/>
      <c r="E187" s="435"/>
      <c r="F187" s="435"/>
      <c r="G187" s="435"/>
      <c r="H187" s="435"/>
      <c r="I187" s="435"/>
      <c r="J187" s="435"/>
      <c r="K187" s="435"/>
      <c r="L187" s="435"/>
      <c r="M187" s="435"/>
      <c r="N187" s="435"/>
      <c r="O187" s="435"/>
      <c r="P187" s="435"/>
      <c r="Q187" s="435"/>
      <c r="R187" s="435"/>
      <c r="S187" s="435"/>
      <c r="T187" s="435"/>
      <c r="U187" s="435"/>
      <c r="V187" s="435"/>
      <c r="W187" s="435"/>
      <c r="X187" s="435"/>
      <c r="Y187" s="435"/>
      <c r="Z187" s="435"/>
      <c r="AA187" s="435"/>
      <c r="AB187" s="435"/>
      <c r="AC187" s="435"/>
      <c r="AD187" s="435"/>
    </row>
    <row r="188" spans="1:30" x14ac:dyDescent="0.25">
      <c r="A188" s="435"/>
      <c r="B188" s="435"/>
      <c r="C188" s="435"/>
      <c r="D188" s="435"/>
      <c r="E188" s="435"/>
      <c r="F188" s="435"/>
      <c r="G188" s="435"/>
      <c r="H188" s="435"/>
      <c r="I188" s="435"/>
      <c r="J188" s="435"/>
      <c r="K188" s="435"/>
      <c r="L188" s="435"/>
      <c r="M188" s="435"/>
      <c r="N188" s="435"/>
      <c r="O188" s="435"/>
      <c r="P188" s="435"/>
      <c r="Q188" s="435"/>
      <c r="R188" s="435"/>
      <c r="S188" s="435"/>
      <c r="T188" s="435"/>
      <c r="U188" s="435"/>
      <c r="V188" s="435"/>
      <c r="W188" s="435"/>
      <c r="X188" s="435"/>
      <c r="Y188" s="435"/>
      <c r="Z188" s="435"/>
      <c r="AA188" s="435"/>
      <c r="AB188" s="435"/>
      <c r="AC188" s="435"/>
      <c r="AD188" s="435"/>
    </row>
    <row r="189" spans="1:30" x14ac:dyDescent="0.25">
      <c r="A189" s="435"/>
      <c r="B189" s="435"/>
      <c r="C189" s="435"/>
      <c r="D189" s="435"/>
      <c r="E189" s="435"/>
      <c r="F189" s="435"/>
      <c r="G189" s="435"/>
      <c r="H189" s="435"/>
      <c r="I189" s="435"/>
      <c r="J189" s="435"/>
      <c r="K189" s="435"/>
      <c r="L189" s="435"/>
      <c r="M189" s="435"/>
      <c r="N189" s="435"/>
      <c r="O189" s="435"/>
      <c r="P189" s="435"/>
      <c r="Q189" s="435"/>
      <c r="R189" s="435"/>
      <c r="S189" s="435"/>
      <c r="T189" s="435"/>
      <c r="U189" s="435"/>
      <c r="V189" s="435"/>
      <c r="W189" s="435"/>
      <c r="X189" s="435"/>
      <c r="Y189" s="435"/>
      <c r="Z189" s="435"/>
      <c r="AA189" s="435"/>
      <c r="AB189" s="435"/>
      <c r="AC189" s="435"/>
      <c r="AD189" s="435"/>
    </row>
    <row r="190" spans="1:30" x14ac:dyDescent="0.25">
      <c r="A190" s="435"/>
      <c r="B190" s="435"/>
      <c r="C190" s="435"/>
      <c r="D190" s="435"/>
      <c r="E190" s="435"/>
      <c r="F190" s="435"/>
      <c r="G190" s="435"/>
      <c r="H190" s="435"/>
      <c r="I190" s="435"/>
      <c r="J190" s="435"/>
      <c r="K190" s="435"/>
      <c r="L190" s="435"/>
      <c r="M190" s="435"/>
      <c r="N190" s="435"/>
      <c r="O190" s="435"/>
      <c r="P190" s="435"/>
      <c r="Q190" s="435"/>
      <c r="R190" s="435"/>
      <c r="S190" s="435"/>
      <c r="T190" s="435"/>
      <c r="U190" s="435"/>
      <c r="V190" s="435"/>
      <c r="W190" s="435"/>
      <c r="X190" s="435"/>
      <c r="Y190" s="435"/>
      <c r="Z190" s="435"/>
      <c r="AA190" s="435"/>
      <c r="AB190" s="435"/>
      <c r="AC190" s="435"/>
      <c r="AD190" s="435"/>
    </row>
    <row r="191" spans="1:30" x14ac:dyDescent="0.25">
      <c r="A191" s="435"/>
      <c r="B191" s="435"/>
      <c r="C191" s="435"/>
      <c r="D191" s="435"/>
      <c r="E191" s="435"/>
      <c r="F191" s="435"/>
      <c r="G191" s="435"/>
      <c r="H191" s="435"/>
      <c r="I191" s="435"/>
      <c r="J191" s="435"/>
      <c r="K191" s="435"/>
      <c r="L191" s="435"/>
      <c r="M191" s="435"/>
      <c r="N191" s="435"/>
      <c r="O191" s="435"/>
      <c r="P191" s="435"/>
      <c r="Q191" s="435"/>
      <c r="R191" s="435"/>
      <c r="S191" s="435"/>
      <c r="T191" s="435"/>
      <c r="U191" s="435"/>
      <c r="V191" s="435"/>
      <c r="W191" s="435"/>
      <c r="X191" s="435"/>
      <c r="Y191" s="435"/>
      <c r="Z191" s="435"/>
      <c r="AA191" s="435"/>
      <c r="AB191" s="435"/>
      <c r="AC191" s="435"/>
      <c r="AD191" s="435"/>
    </row>
    <row r="192" spans="1:30" x14ac:dyDescent="0.25">
      <c r="A192" s="435"/>
      <c r="B192" s="435"/>
      <c r="C192" s="435"/>
      <c r="D192" s="435"/>
      <c r="E192" s="435"/>
      <c r="F192" s="435"/>
      <c r="G192" s="435"/>
      <c r="H192" s="435"/>
      <c r="I192" s="435"/>
      <c r="J192" s="435"/>
      <c r="K192" s="435"/>
      <c r="L192" s="435"/>
      <c r="M192" s="435"/>
      <c r="N192" s="435"/>
      <c r="O192" s="435"/>
      <c r="P192" s="435"/>
      <c r="Q192" s="435"/>
      <c r="R192" s="435"/>
      <c r="S192" s="435"/>
      <c r="T192" s="435"/>
      <c r="U192" s="435"/>
      <c r="V192" s="435"/>
      <c r="W192" s="435"/>
      <c r="X192" s="435"/>
      <c r="Y192" s="435"/>
      <c r="Z192" s="435"/>
      <c r="AA192" s="435"/>
      <c r="AB192" s="435"/>
      <c r="AC192" s="435"/>
      <c r="AD192" s="435"/>
    </row>
    <row r="193" spans="1:30" x14ac:dyDescent="0.25">
      <c r="A193" s="435"/>
      <c r="B193" s="435"/>
      <c r="C193" s="435"/>
      <c r="D193" s="435"/>
      <c r="E193" s="435"/>
      <c r="F193" s="435"/>
      <c r="G193" s="435"/>
      <c r="H193" s="435"/>
      <c r="I193" s="435"/>
      <c r="J193" s="435"/>
      <c r="K193" s="435"/>
      <c r="L193" s="435"/>
      <c r="M193" s="435"/>
      <c r="N193" s="435"/>
      <c r="O193" s="435"/>
      <c r="P193" s="435"/>
      <c r="Q193" s="435"/>
      <c r="R193" s="435"/>
      <c r="S193" s="435"/>
      <c r="T193" s="435"/>
      <c r="U193" s="435"/>
      <c r="V193" s="435"/>
      <c r="W193" s="435"/>
      <c r="X193" s="435"/>
      <c r="Y193" s="435"/>
      <c r="Z193" s="435"/>
      <c r="AA193" s="435"/>
      <c r="AB193" s="435"/>
      <c r="AC193" s="435"/>
      <c r="AD193" s="435"/>
    </row>
    <row r="194" spans="1:30" x14ac:dyDescent="0.25">
      <c r="A194" s="435"/>
      <c r="B194" s="435"/>
      <c r="C194" s="435"/>
      <c r="D194" s="435"/>
      <c r="E194" s="435"/>
      <c r="F194" s="435"/>
      <c r="G194" s="435"/>
      <c r="H194" s="435"/>
      <c r="I194" s="435"/>
      <c r="J194" s="435"/>
      <c r="K194" s="435"/>
      <c r="L194" s="435"/>
      <c r="M194" s="435"/>
      <c r="N194" s="435"/>
      <c r="O194" s="435"/>
      <c r="P194" s="435"/>
      <c r="Q194" s="435"/>
      <c r="R194" s="435"/>
      <c r="S194" s="435"/>
      <c r="T194" s="435"/>
      <c r="U194" s="435"/>
      <c r="V194" s="435"/>
      <c r="W194" s="435"/>
      <c r="X194" s="435"/>
      <c r="Y194" s="435"/>
      <c r="Z194" s="435"/>
      <c r="AA194" s="435"/>
      <c r="AB194" s="435"/>
      <c r="AC194" s="435"/>
      <c r="AD194" s="435"/>
    </row>
    <row r="195" spans="1:30" x14ac:dyDescent="0.25">
      <c r="A195" s="435"/>
      <c r="B195" s="435"/>
      <c r="C195" s="435"/>
      <c r="D195" s="435"/>
      <c r="E195" s="435"/>
      <c r="F195" s="435"/>
      <c r="G195" s="435"/>
      <c r="H195" s="435"/>
      <c r="I195" s="435"/>
      <c r="J195" s="435"/>
      <c r="K195" s="435"/>
      <c r="L195" s="435"/>
      <c r="M195" s="435"/>
      <c r="N195" s="435"/>
      <c r="O195" s="435"/>
      <c r="P195" s="435"/>
      <c r="Q195" s="435"/>
      <c r="R195" s="435"/>
      <c r="S195" s="435"/>
      <c r="T195" s="435"/>
      <c r="U195" s="435"/>
      <c r="V195" s="435"/>
      <c r="W195" s="435"/>
      <c r="X195" s="435"/>
      <c r="Y195" s="435"/>
      <c r="Z195" s="435"/>
      <c r="AA195" s="435"/>
      <c r="AB195" s="435"/>
      <c r="AC195" s="435"/>
      <c r="AD195" s="435"/>
    </row>
    <row r="196" spans="1:30" x14ac:dyDescent="0.25">
      <c r="A196" s="435"/>
      <c r="B196" s="435"/>
      <c r="C196" s="435"/>
      <c r="D196" s="435"/>
      <c r="E196" s="435"/>
      <c r="F196" s="435"/>
      <c r="G196" s="435"/>
      <c r="H196" s="435"/>
      <c r="I196" s="435"/>
      <c r="J196" s="435"/>
      <c r="K196" s="435"/>
      <c r="L196" s="435"/>
      <c r="M196" s="435"/>
      <c r="N196" s="435"/>
      <c r="O196" s="435"/>
      <c r="P196" s="435"/>
      <c r="Q196" s="435"/>
      <c r="R196" s="435"/>
      <c r="S196" s="435"/>
      <c r="T196" s="435"/>
      <c r="U196" s="435"/>
      <c r="V196" s="435"/>
      <c r="W196" s="435"/>
      <c r="X196" s="435"/>
      <c r="Y196" s="435"/>
      <c r="Z196" s="435"/>
      <c r="AA196" s="435"/>
      <c r="AB196" s="435"/>
      <c r="AC196" s="435"/>
      <c r="AD196" s="435"/>
    </row>
    <row r="197" spans="1:30" x14ac:dyDescent="0.25">
      <c r="A197" s="435"/>
      <c r="B197" s="435"/>
      <c r="C197" s="435"/>
      <c r="D197" s="435"/>
      <c r="E197" s="435"/>
      <c r="F197" s="435"/>
      <c r="G197" s="435"/>
      <c r="H197" s="435"/>
      <c r="I197" s="435"/>
      <c r="J197" s="435"/>
      <c r="K197" s="435"/>
      <c r="L197" s="435"/>
      <c r="M197" s="435"/>
      <c r="N197" s="435"/>
      <c r="O197" s="435"/>
      <c r="P197" s="435"/>
      <c r="Q197" s="435"/>
      <c r="R197" s="435"/>
      <c r="S197" s="435"/>
      <c r="T197" s="435"/>
      <c r="U197" s="435"/>
      <c r="V197" s="435"/>
      <c r="W197" s="435"/>
      <c r="X197" s="435"/>
      <c r="Y197" s="435"/>
      <c r="Z197" s="435"/>
      <c r="AA197" s="435"/>
      <c r="AB197" s="435"/>
      <c r="AC197" s="435"/>
      <c r="AD197" s="435"/>
    </row>
    <row r="198" spans="1:30" x14ac:dyDescent="0.25">
      <c r="A198" s="435"/>
      <c r="B198" s="435"/>
      <c r="C198" s="435"/>
      <c r="D198" s="435"/>
      <c r="E198" s="435"/>
      <c r="F198" s="435"/>
      <c r="G198" s="435"/>
      <c r="H198" s="435"/>
      <c r="I198" s="435"/>
      <c r="J198" s="435"/>
      <c r="K198" s="435"/>
      <c r="L198" s="435"/>
      <c r="M198" s="435"/>
      <c r="N198" s="435"/>
      <c r="O198" s="435"/>
      <c r="P198" s="435"/>
      <c r="Q198" s="435"/>
      <c r="R198" s="435"/>
      <c r="S198" s="435"/>
      <c r="T198" s="435"/>
      <c r="U198" s="435"/>
      <c r="V198" s="435"/>
      <c r="W198" s="435"/>
      <c r="X198" s="435"/>
      <c r="Y198" s="435"/>
      <c r="Z198" s="435"/>
      <c r="AA198" s="435"/>
      <c r="AB198" s="435"/>
      <c r="AC198" s="435"/>
      <c r="AD198" s="435"/>
    </row>
    <row r="199" spans="1:30" x14ac:dyDescent="0.25">
      <c r="A199" s="435"/>
      <c r="B199" s="435"/>
      <c r="C199" s="435"/>
      <c r="D199" s="435"/>
      <c r="E199" s="435"/>
      <c r="F199" s="435"/>
      <c r="G199" s="435"/>
      <c r="H199" s="435"/>
      <c r="I199" s="435"/>
      <c r="J199" s="435"/>
      <c r="K199" s="435"/>
      <c r="L199" s="435"/>
      <c r="M199" s="435"/>
      <c r="N199" s="435"/>
      <c r="O199" s="435"/>
      <c r="P199" s="435"/>
      <c r="Q199" s="435"/>
      <c r="R199" s="435"/>
      <c r="S199" s="435"/>
      <c r="T199" s="435"/>
      <c r="U199" s="435"/>
      <c r="V199" s="435"/>
      <c r="W199" s="435"/>
      <c r="X199" s="435"/>
      <c r="Y199" s="435"/>
      <c r="Z199" s="435"/>
      <c r="AA199" s="435"/>
      <c r="AB199" s="435"/>
      <c r="AC199" s="435"/>
      <c r="AD199" s="435"/>
    </row>
    <row r="200" spans="1:30" x14ac:dyDescent="0.25">
      <c r="A200" s="435"/>
      <c r="B200" s="435"/>
      <c r="C200" s="435"/>
      <c r="D200" s="435"/>
      <c r="E200" s="435"/>
      <c r="F200" s="435"/>
      <c r="G200" s="435"/>
      <c r="H200" s="435"/>
      <c r="I200" s="435"/>
      <c r="J200" s="435"/>
      <c r="K200" s="435"/>
      <c r="L200" s="435"/>
      <c r="M200" s="435"/>
      <c r="N200" s="435"/>
      <c r="O200" s="435"/>
      <c r="P200" s="435"/>
      <c r="Q200" s="435"/>
      <c r="R200" s="435"/>
      <c r="S200" s="435"/>
      <c r="T200" s="435"/>
      <c r="U200" s="435"/>
      <c r="V200" s="435"/>
      <c r="W200" s="435"/>
      <c r="X200" s="435"/>
      <c r="Y200" s="435"/>
      <c r="Z200" s="435"/>
      <c r="AA200" s="435"/>
      <c r="AB200" s="435"/>
      <c r="AC200" s="435"/>
      <c r="AD200" s="435"/>
    </row>
    <row r="201" spans="1:30" x14ac:dyDescent="0.25">
      <c r="A201" s="435"/>
      <c r="B201" s="435"/>
      <c r="C201" s="435"/>
      <c r="D201" s="435"/>
      <c r="E201" s="435"/>
      <c r="F201" s="435"/>
      <c r="G201" s="435"/>
      <c r="H201" s="435"/>
      <c r="I201" s="435"/>
      <c r="J201" s="435"/>
      <c r="K201" s="435"/>
      <c r="L201" s="435"/>
      <c r="M201" s="435"/>
      <c r="N201" s="435"/>
      <c r="O201" s="435"/>
      <c r="P201" s="435"/>
      <c r="Q201" s="435"/>
      <c r="R201" s="435"/>
      <c r="S201" s="435"/>
      <c r="T201" s="435"/>
      <c r="U201" s="435"/>
      <c r="V201" s="435"/>
      <c r="W201" s="435"/>
      <c r="X201" s="435"/>
      <c r="Y201" s="435"/>
      <c r="Z201" s="435"/>
      <c r="AA201" s="435"/>
      <c r="AB201" s="435"/>
      <c r="AC201" s="435"/>
      <c r="AD201" s="435"/>
    </row>
    <row r="202" spans="1:30" x14ac:dyDescent="0.25">
      <c r="A202" s="435"/>
      <c r="B202" s="435"/>
      <c r="C202" s="435"/>
      <c r="D202" s="435"/>
      <c r="E202" s="435"/>
      <c r="F202" s="435"/>
      <c r="G202" s="435"/>
      <c r="H202" s="435"/>
      <c r="I202" s="435"/>
      <c r="J202" s="435"/>
      <c r="K202" s="435"/>
      <c r="L202" s="435"/>
      <c r="M202" s="435"/>
      <c r="N202" s="435"/>
      <c r="O202" s="435"/>
      <c r="P202" s="435"/>
      <c r="Q202" s="435"/>
      <c r="R202" s="435"/>
      <c r="S202" s="435"/>
      <c r="T202" s="435"/>
      <c r="U202" s="435"/>
      <c r="V202" s="435"/>
      <c r="W202" s="435"/>
      <c r="X202" s="435"/>
      <c r="Y202" s="435"/>
      <c r="Z202" s="435"/>
      <c r="AA202" s="435"/>
      <c r="AB202" s="435"/>
      <c r="AC202" s="435"/>
      <c r="AD202" s="435"/>
    </row>
    <row r="203" spans="1:30" x14ac:dyDescent="0.25">
      <c r="A203" s="435"/>
      <c r="B203" s="435"/>
      <c r="C203" s="435"/>
      <c r="D203" s="435"/>
      <c r="E203" s="435"/>
      <c r="F203" s="435"/>
      <c r="G203" s="435"/>
      <c r="H203" s="435"/>
      <c r="I203" s="435"/>
      <c r="J203" s="435"/>
      <c r="K203" s="435"/>
      <c r="L203" s="435"/>
      <c r="M203" s="435"/>
      <c r="N203" s="435"/>
      <c r="O203" s="435"/>
      <c r="P203" s="435"/>
      <c r="Q203" s="435"/>
      <c r="R203" s="435"/>
      <c r="S203" s="435"/>
      <c r="T203" s="435"/>
      <c r="U203" s="435"/>
      <c r="V203" s="435"/>
      <c r="W203" s="435"/>
      <c r="X203" s="435"/>
      <c r="Y203" s="435"/>
      <c r="Z203" s="435"/>
      <c r="AA203" s="435"/>
      <c r="AB203" s="435"/>
      <c r="AC203" s="435"/>
      <c r="AD203" s="435"/>
    </row>
    <row r="204" spans="1:30" x14ac:dyDescent="0.25">
      <c r="A204" s="435"/>
      <c r="B204" s="435"/>
      <c r="C204" s="435"/>
      <c r="D204" s="435"/>
      <c r="E204" s="435"/>
      <c r="F204" s="435"/>
      <c r="G204" s="435"/>
      <c r="H204" s="435"/>
      <c r="I204" s="435"/>
      <c r="J204" s="435"/>
      <c r="K204" s="435"/>
      <c r="L204" s="435"/>
      <c r="M204" s="435"/>
      <c r="N204" s="435"/>
      <c r="O204" s="435"/>
      <c r="P204" s="435"/>
      <c r="Q204" s="435"/>
      <c r="R204" s="435"/>
      <c r="S204" s="435"/>
      <c r="T204" s="435"/>
      <c r="U204" s="435"/>
      <c r="V204" s="435"/>
      <c r="W204" s="435"/>
      <c r="X204" s="435"/>
      <c r="Y204" s="435"/>
      <c r="Z204" s="435"/>
      <c r="AA204" s="435"/>
      <c r="AB204" s="435"/>
      <c r="AC204" s="435"/>
      <c r="AD204" s="435"/>
    </row>
    <row r="205" spans="1:30" x14ac:dyDescent="0.25">
      <c r="A205" s="435"/>
      <c r="B205" s="435"/>
      <c r="C205" s="435"/>
      <c r="D205" s="435"/>
      <c r="E205" s="435"/>
      <c r="F205" s="435"/>
      <c r="G205" s="435"/>
      <c r="H205" s="435"/>
      <c r="I205" s="435"/>
      <c r="J205" s="435"/>
      <c r="K205" s="435"/>
      <c r="L205" s="435"/>
      <c r="M205" s="435"/>
      <c r="N205" s="435"/>
      <c r="O205" s="435"/>
      <c r="P205" s="435"/>
      <c r="Q205" s="435"/>
      <c r="R205" s="435"/>
      <c r="S205" s="435"/>
      <c r="T205" s="435"/>
      <c r="U205" s="435"/>
      <c r="V205" s="435"/>
      <c r="W205" s="435"/>
      <c r="X205" s="435"/>
      <c r="Y205" s="435"/>
      <c r="Z205" s="435"/>
      <c r="AA205" s="435"/>
      <c r="AB205" s="435"/>
      <c r="AC205" s="435"/>
      <c r="AD205" s="435"/>
    </row>
    <row r="206" spans="1:30" x14ac:dyDescent="0.25">
      <c r="A206" s="435"/>
      <c r="B206" s="435"/>
      <c r="C206" s="435"/>
      <c r="D206" s="435"/>
      <c r="E206" s="435"/>
      <c r="F206" s="435"/>
      <c r="G206" s="435"/>
      <c r="H206" s="435"/>
      <c r="I206" s="435"/>
      <c r="J206" s="435"/>
      <c r="K206" s="435"/>
      <c r="L206" s="435"/>
      <c r="M206" s="435"/>
      <c r="N206" s="435"/>
      <c r="O206" s="435"/>
      <c r="P206" s="435"/>
      <c r="Q206" s="435"/>
      <c r="R206" s="435"/>
      <c r="S206" s="435"/>
      <c r="T206" s="435"/>
      <c r="U206" s="435"/>
      <c r="V206" s="435"/>
      <c r="W206" s="435"/>
      <c r="X206" s="435"/>
      <c r="Y206" s="435"/>
      <c r="Z206" s="435"/>
      <c r="AA206" s="435"/>
      <c r="AB206" s="435"/>
      <c r="AC206" s="435"/>
      <c r="AD206" s="435"/>
    </row>
    <row r="207" spans="1:30" x14ac:dyDescent="0.25">
      <c r="A207" s="435"/>
      <c r="B207" s="435"/>
      <c r="C207" s="435"/>
      <c r="D207" s="435"/>
      <c r="E207" s="435"/>
      <c r="F207" s="435"/>
      <c r="G207" s="435"/>
      <c r="H207" s="435"/>
      <c r="I207" s="435"/>
      <c r="J207" s="435"/>
      <c r="K207" s="435"/>
      <c r="L207" s="435"/>
      <c r="M207" s="435"/>
      <c r="N207" s="435"/>
      <c r="O207" s="435"/>
      <c r="P207" s="435"/>
      <c r="Q207" s="435"/>
      <c r="R207" s="435"/>
      <c r="S207" s="435"/>
      <c r="T207" s="435"/>
      <c r="U207" s="435"/>
      <c r="V207" s="435"/>
      <c r="W207" s="435"/>
      <c r="X207" s="435"/>
      <c r="Y207" s="435"/>
      <c r="Z207" s="435"/>
      <c r="AA207" s="435"/>
      <c r="AB207" s="435"/>
      <c r="AC207" s="435"/>
      <c r="AD207" s="435"/>
    </row>
    <row r="208" spans="1:30" x14ac:dyDescent="0.25">
      <c r="A208" s="435"/>
      <c r="B208" s="435"/>
      <c r="C208" s="435"/>
      <c r="D208" s="435"/>
      <c r="E208" s="435"/>
      <c r="F208" s="435"/>
      <c r="G208" s="435"/>
      <c r="H208" s="435"/>
      <c r="I208" s="435"/>
      <c r="J208" s="435"/>
      <c r="K208" s="435"/>
      <c r="L208" s="435"/>
      <c r="M208" s="435"/>
      <c r="N208" s="435"/>
      <c r="O208" s="435"/>
      <c r="P208" s="435"/>
      <c r="Q208" s="435"/>
      <c r="R208" s="435"/>
      <c r="S208" s="435"/>
      <c r="T208" s="435"/>
      <c r="U208" s="435"/>
      <c r="V208" s="435"/>
      <c r="W208" s="435"/>
      <c r="X208" s="435"/>
      <c r="Y208" s="435"/>
      <c r="Z208" s="435"/>
      <c r="AA208" s="435"/>
      <c r="AB208" s="435"/>
      <c r="AC208" s="435"/>
      <c r="AD208" s="435"/>
    </row>
    <row r="209" spans="1:30" x14ac:dyDescent="0.25">
      <c r="A209" s="435"/>
      <c r="B209" s="435"/>
      <c r="C209" s="435"/>
      <c r="D209" s="435"/>
      <c r="E209" s="435"/>
      <c r="F209" s="435"/>
      <c r="G209" s="435"/>
      <c r="H209" s="435"/>
      <c r="I209" s="435"/>
      <c r="J209" s="435"/>
      <c r="K209" s="435"/>
      <c r="L209" s="435"/>
      <c r="M209" s="435"/>
      <c r="N209" s="435"/>
      <c r="O209" s="435"/>
      <c r="P209" s="435"/>
      <c r="Q209" s="435"/>
      <c r="R209" s="435"/>
      <c r="S209" s="435"/>
      <c r="T209" s="435"/>
      <c r="U209" s="435"/>
      <c r="V209" s="435"/>
      <c r="W209" s="435"/>
      <c r="X209" s="435"/>
      <c r="Y209" s="435"/>
      <c r="Z209" s="435"/>
      <c r="AA209" s="435"/>
      <c r="AB209" s="435"/>
      <c r="AC209" s="435"/>
      <c r="AD209" s="435"/>
    </row>
    <row r="210" spans="1:30" x14ac:dyDescent="0.25">
      <c r="A210" s="435"/>
      <c r="B210" s="435"/>
      <c r="C210" s="435"/>
      <c r="D210" s="435"/>
      <c r="E210" s="435"/>
      <c r="F210" s="435"/>
      <c r="G210" s="435"/>
      <c r="H210" s="435"/>
      <c r="I210" s="435"/>
      <c r="J210" s="435"/>
      <c r="K210" s="435"/>
      <c r="L210" s="435"/>
      <c r="M210" s="435"/>
      <c r="N210" s="435"/>
      <c r="O210" s="435"/>
      <c r="P210" s="435"/>
      <c r="Q210" s="435"/>
      <c r="R210" s="435"/>
      <c r="S210" s="435"/>
      <c r="T210" s="435"/>
      <c r="U210" s="435"/>
      <c r="V210" s="435"/>
      <c r="W210" s="435"/>
      <c r="X210" s="435"/>
      <c r="Y210" s="435"/>
      <c r="Z210" s="435"/>
      <c r="AA210" s="435"/>
      <c r="AB210" s="435"/>
      <c r="AC210" s="435"/>
      <c r="AD210" s="435"/>
    </row>
    <row r="211" spans="1:30" x14ac:dyDescent="0.25">
      <c r="A211" s="435"/>
      <c r="B211" s="435"/>
      <c r="C211" s="435"/>
      <c r="D211" s="435"/>
      <c r="E211" s="435"/>
      <c r="F211" s="435"/>
      <c r="G211" s="435"/>
      <c r="H211" s="435"/>
      <c r="I211" s="435"/>
      <c r="J211" s="435"/>
      <c r="K211" s="435"/>
      <c r="L211" s="435"/>
      <c r="M211" s="435"/>
      <c r="N211" s="435"/>
      <c r="O211" s="435"/>
      <c r="P211" s="435"/>
      <c r="Q211" s="435"/>
      <c r="R211" s="435"/>
      <c r="S211" s="435"/>
      <c r="T211" s="435"/>
      <c r="U211" s="435"/>
      <c r="V211" s="435"/>
      <c r="W211" s="435"/>
      <c r="X211" s="435"/>
      <c r="Y211" s="435"/>
      <c r="Z211" s="435"/>
      <c r="AA211" s="435"/>
      <c r="AB211" s="435"/>
      <c r="AC211" s="435"/>
      <c r="AD211" s="435"/>
    </row>
    <row r="212" spans="1:30" x14ac:dyDescent="0.25">
      <c r="A212" s="435"/>
      <c r="B212" s="435"/>
      <c r="C212" s="435"/>
      <c r="D212" s="435"/>
      <c r="E212" s="435"/>
      <c r="F212" s="435"/>
      <c r="G212" s="435"/>
      <c r="H212" s="435"/>
      <c r="I212" s="435"/>
      <c r="J212" s="435"/>
      <c r="K212" s="435"/>
      <c r="L212" s="435"/>
      <c r="M212" s="435"/>
      <c r="N212" s="435"/>
      <c r="O212" s="435"/>
      <c r="P212" s="435"/>
      <c r="Q212" s="435"/>
      <c r="R212" s="435"/>
      <c r="S212" s="435"/>
      <c r="T212" s="435"/>
      <c r="U212" s="435"/>
      <c r="V212" s="435"/>
      <c r="W212" s="435"/>
      <c r="X212" s="435"/>
      <c r="Y212" s="435"/>
      <c r="Z212" s="435"/>
      <c r="AA212" s="435"/>
      <c r="AB212" s="435"/>
      <c r="AC212" s="435"/>
      <c r="AD212" s="435"/>
    </row>
    <row r="213" spans="1:30" x14ac:dyDescent="0.25">
      <c r="A213" s="435"/>
      <c r="B213" s="435"/>
      <c r="C213" s="435"/>
      <c r="D213" s="435"/>
      <c r="E213" s="435"/>
      <c r="F213" s="435"/>
      <c r="G213" s="435"/>
      <c r="H213" s="435"/>
      <c r="I213" s="435"/>
      <c r="J213" s="435"/>
      <c r="K213" s="435"/>
      <c r="L213" s="435"/>
      <c r="M213" s="435"/>
      <c r="N213" s="435"/>
      <c r="O213" s="435"/>
      <c r="P213" s="435"/>
      <c r="Q213" s="435"/>
      <c r="R213" s="435"/>
      <c r="S213" s="435"/>
      <c r="T213" s="435"/>
      <c r="U213" s="435"/>
      <c r="V213" s="435"/>
      <c r="W213" s="435"/>
      <c r="X213" s="435"/>
      <c r="Y213" s="435"/>
      <c r="Z213" s="435"/>
      <c r="AA213" s="435"/>
      <c r="AB213" s="435"/>
      <c r="AC213" s="435"/>
      <c r="AD213" s="435"/>
    </row>
    <row r="214" spans="1:30" x14ac:dyDescent="0.25">
      <c r="A214" s="435"/>
      <c r="B214" s="435"/>
      <c r="C214" s="435"/>
      <c r="D214" s="435"/>
      <c r="E214" s="435"/>
      <c r="F214" s="435"/>
      <c r="G214" s="435"/>
      <c r="H214" s="435"/>
      <c r="I214" s="435"/>
      <c r="J214" s="435"/>
      <c r="K214" s="435"/>
      <c r="L214" s="435"/>
      <c r="M214" s="435"/>
      <c r="N214" s="435"/>
      <c r="O214" s="435"/>
      <c r="P214" s="435"/>
      <c r="Q214" s="435"/>
      <c r="R214" s="435"/>
      <c r="S214" s="435"/>
      <c r="T214" s="435"/>
      <c r="U214" s="435"/>
      <c r="V214" s="435"/>
      <c r="W214" s="435"/>
      <c r="X214" s="435"/>
      <c r="Y214" s="435"/>
      <c r="Z214" s="435"/>
      <c r="AA214" s="435"/>
      <c r="AB214" s="435"/>
      <c r="AC214" s="435"/>
      <c r="AD214" s="435"/>
    </row>
    <row r="215" spans="1:30" x14ac:dyDescent="0.25">
      <c r="A215" s="435"/>
      <c r="B215" s="435"/>
      <c r="C215" s="435"/>
      <c r="D215" s="435"/>
      <c r="E215" s="435"/>
      <c r="F215" s="435"/>
      <c r="G215" s="435"/>
      <c r="H215" s="435"/>
      <c r="I215" s="435"/>
      <c r="J215" s="435"/>
      <c r="K215" s="435"/>
      <c r="L215" s="435"/>
      <c r="M215" s="435"/>
      <c r="N215" s="435"/>
      <c r="O215" s="435"/>
      <c r="P215" s="435"/>
      <c r="Q215" s="435"/>
      <c r="R215" s="435"/>
      <c r="S215" s="435"/>
      <c r="T215" s="435"/>
      <c r="U215" s="435"/>
      <c r="V215" s="435"/>
      <c r="W215" s="435"/>
      <c r="X215" s="435"/>
      <c r="Y215" s="435"/>
      <c r="Z215" s="435"/>
      <c r="AA215" s="435"/>
      <c r="AB215" s="435"/>
      <c r="AC215" s="435"/>
      <c r="AD215" s="435"/>
    </row>
    <row r="216" spans="1:30" x14ac:dyDescent="0.25">
      <c r="A216" s="435"/>
      <c r="B216" s="435"/>
      <c r="C216" s="435"/>
      <c r="D216" s="435"/>
      <c r="E216" s="435"/>
      <c r="F216" s="435"/>
      <c r="G216" s="435"/>
      <c r="H216" s="435"/>
      <c r="I216" s="435"/>
      <c r="J216" s="435"/>
      <c r="K216" s="435"/>
      <c r="L216" s="435"/>
      <c r="M216" s="435"/>
      <c r="N216" s="435"/>
      <c r="O216" s="435"/>
      <c r="P216" s="435"/>
      <c r="Q216" s="435"/>
      <c r="R216" s="435"/>
      <c r="S216" s="435"/>
      <c r="T216" s="435"/>
      <c r="U216" s="435"/>
      <c r="V216" s="435"/>
      <c r="W216" s="435"/>
      <c r="X216" s="435"/>
      <c r="Y216" s="435"/>
      <c r="Z216" s="435"/>
      <c r="AA216" s="435"/>
      <c r="AB216" s="435"/>
      <c r="AC216" s="435"/>
      <c r="AD216" s="435"/>
    </row>
    <row r="217" spans="1:30" x14ac:dyDescent="0.25">
      <c r="A217" s="435"/>
      <c r="B217" s="435"/>
      <c r="C217" s="435"/>
      <c r="D217" s="435"/>
      <c r="E217" s="435"/>
      <c r="F217" s="435"/>
      <c r="G217" s="435"/>
      <c r="H217" s="435"/>
      <c r="I217" s="435"/>
      <c r="J217" s="435"/>
      <c r="K217" s="435"/>
      <c r="L217" s="435"/>
      <c r="M217" s="435"/>
      <c r="N217" s="435"/>
      <c r="O217" s="435"/>
      <c r="P217" s="435"/>
      <c r="Q217" s="435"/>
      <c r="R217" s="435"/>
      <c r="S217" s="435"/>
      <c r="T217" s="435"/>
      <c r="U217" s="435"/>
      <c r="V217" s="435"/>
      <c r="W217" s="435"/>
      <c r="X217" s="435"/>
      <c r="Y217" s="435"/>
      <c r="Z217" s="435"/>
      <c r="AA217" s="435"/>
      <c r="AB217" s="435"/>
      <c r="AC217" s="435"/>
      <c r="AD217" s="435"/>
    </row>
    <row r="218" spans="1:30" x14ac:dyDescent="0.25">
      <c r="A218" s="435"/>
      <c r="B218" s="435"/>
      <c r="C218" s="435"/>
      <c r="D218" s="435"/>
      <c r="E218" s="435"/>
      <c r="F218" s="435"/>
      <c r="G218" s="435"/>
      <c r="H218" s="435"/>
      <c r="I218" s="435"/>
      <c r="J218" s="435"/>
      <c r="K218" s="435"/>
      <c r="L218" s="435"/>
      <c r="M218" s="435"/>
      <c r="N218" s="435"/>
      <c r="O218" s="435"/>
      <c r="P218" s="435"/>
      <c r="Q218" s="435"/>
      <c r="R218" s="435"/>
      <c r="S218" s="435"/>
      <c r="T218" s="435"/>
      <c r="U218" s="435"/>
      <c r="V218" s="435"/>
      <c r="W218" s="435"/>
      <c r="X218" s="435"/>
      <c r="Y218" s="435"/>
      <c r="Z218" s="435"/>
      <c r="AA218" s="435"/>
      <c r="AB218" s="435"/>
      <c r="AC218" s="435"/>
      <c r="AD218" s="435"/>
    </row>
    <row r="219" spans="1:30" x14ac:dyDescent="0.25">
      <c r="A219" s="435"/>
      <c r="B219" s="435"/>
      <c r="C219" s="435"/>
      <c r="D219" s="435"/>
      <c r="E219" s="435"/>
      <c r="F219" s="435"/>
      <c r="G219" s="435"/>
      <c r="H219" s="435"/>
      <c r="I219" s="435"/>
      <c r="J219" s="435"/>
      <c r="K219" s="435"/>
      <c r="L219" s="435"/>
      <c r="M219" s="435"/>
      <c r="N219" s="435"/>
      <c r="O219" s="435"/>
      <c r="P219" s="435"/>
      <c r="Q219" s="435"/>
      <c r="R219" s="435"/>
      <c r="S219" s="435"/>
      <c r="T219" s="435"/>
      <c r="U219" s="435"/>
      <c r="V219" s="435"/>
      <c r="W219" s="435"/>
      <c r="X219" s="435"/>
      <c r="Y219" s="435"/>
      <c r="Z219" s="435"/>
      <c r="AA219" s="435"/>
      <c r="AB219" s="435"/>
      <c r="AC219" s="435"/>
      <c r="AD219" s="435"/>
    </row>
    <row r="220" spans="1:30" x14ac:dyDescent="0.25">
      <c r="A220" s="435"/>
      <c r="B220" s="435"/>
      <c r="C220" s="435"/>
      <c r="D220" s="435"/>
      <c r="E220" s="435"/>
      <c r="F220" s="435"/>
      <c r="G220" s="435"/>
      <c r="H220" s="435"/>
      <c r="I220" s="435"/>
      <c r="J220" s="435"/>
      <c r="K220" s="435"/>
      <c r="L220" s="435"/>
      <c r="M220" s="435"/>
      <c r="N220" s="435"/>
      <c r="O220" s="435"/>
      <c r="P220" s="435"/>
      <c r="Q220" s="435"/>
      <c r="R220" s="435"/>
      <c r="S220" s="435"/>
      <c r="T220" s="435"/>
      <c r="U220" s="435"/>
      <c r="V220" s="435"/>
      <c r="W220" s="435"/>
      <c r="X220" s="435"/>
      <c r="Y220" s="435"/>
      <c r="Z220" s="435"/>
      <c r="AA220" s="435"/>
      <c r="AB220" s="435"/>
      <c r="AC220" s="435"/>
      <c r="AD220" s="435"/>
    </row>
    <row r="221" spans="1:30" x14ac:dyDescent="0.25">
      <c r="A221" s="435"/>
      <c r="B221" s="435"/>
      <c r="C221" s="435"/>
      <c r="D221" s="435"/>
      <c r="E221" s="435"/>
      <c r="F221" s="435"/>
      <c r="G221" s="435"/>
      <c r="H221" s="435"/>
      <c r="I221" s="435"/>
      <c r="J221" s="435"/>
      <c r="K221" s="435"/>
      <c r="L221" s="435"/>
      <c r="M221" s="435"/>
      <c r="N221" s="435"/>
      <c r="O221" s="435"/>
      <c r="P221" s="435"/>
      <c r="Q221" s="435"/>
      <c r="R221" s="435"/>
      <c r="S221" s="435"/>
      <c r="T221" s="435"/>
      <c r="U221" s="435"/>
      <c r="V221" s="435"/>
      <c r="W221" s="435"/>
      <c r="X221" s="435"/>
      <c r="Y221" s="435"/>
      <c r="Z221" s="435"/>
      <c r="AA221" s="435"/>
      <c r="AB221" s="435"/>
      <c r="AC221" s="435"/>
      <c r="AD221" s="435"/>
    </row>
    <row r="222" spans="1:30" x14ac:dyDescent="0.25">
      <c r="A222" s="435"/>
      <c r="B222" s="435"/>
      <c r="C222" s="435"/>
      <c r="D222" s="435"/>
      <c r="E222" s="435"/>
      <c r="F222" s="435"/>
      <c r="G222" s="435"/>
      <c r="H222" s="435"/>
      <c r="I222" s="435"/>
      <c r="J222" s="435"/>
      <c r="K222" s="435"/>
      <c r="L222" s="435"/>
      <c r="M222" s="435"/>
      <c r="N222" s="435"/>
      <c r="O222" s="435"/>
      <c r="P222" s="435"/>
      <c r="Q222" s="435"/>
      <c r="R222" s="435"/>
      <c r="S222" s="435"/>
      <c r="T222" s="435"/>
      <c r="U222" s="435"/>
      <c r="V222" s="435"/>
      <c r="W222" s="435"/>
      <c r="X222" s="435"/>
      <c r="Y222" s="435"/>
      <c r="Z222" s="435"/>
      <c r="AA222" s="435"/>
      <c r="AB222" s="435"/>
      <c r="AC222" s="435"/>
      <c r="AD222" s="435"/>
    </row>
    <row r="223" spans="1:30" x14ac:dyDescent="0.25">
      <c r="A223" s="435"/>
      <c r="B223" s="435"/>
      <c r="C223" s="435"/>
      <c r="D223" s="435"/>
      <c r="E223" s="435"/>
      <c r="F223" s="435"/>
      <c r="G223" s="435"/>
      <c r="H223" s="435"/>
      <c r="I223" s="435"/>
      <c r="J223" s="435"/>
      <c r="K223" s="435"/>
      <c r="L223" s="435"/>
      <c r="M223" s="435"/>
      <c r="N223" s="435"/>
      <c r="O223" s="435"/>
      <c r="P223" s="435"/>
      <c r="Q223" s="435"/>
      <c r="R223" s="435"/>
      <c r="S223" s="435"/>
      <c r="T223" s="435"/>
      <c r="U223" s="435"/>
      <c r="V223" s="435"/>
      <c r="W223" s="435"/>
      <c r="X223" s="435"/>
      <c r="Y223" s="435"/>
      <c r="Z223" s="435"/>
      <c r="AA223" s="435"/>
      <c r="AB223" s="435"/>
      <c r="AC223" s="435"/>
      <c r="AD223" s="435"/>
    </row>
    <row r="224" spans="1:30" x14ac:dyDescent="0.25">
      <c r="A224" s="435"/>
      <c r="B224" s="435"/>
      <c r="C224" s="435"/>
      <c r="D224" s="435"/>
      <c r="E224" s="435"/>
      <c r="F224" s="435"/>
      <c r="G224" s="435"/>
      <c r="H224" s="435"/>
      <c r="I224" s="435"/>
      <c r="J224" s="435"/>
      <c r="K224" s="435"/>
      <c r="L224" s="435"/>
      <c r="M224" s="435"/>
      <c r="N224" s="435"/>
      <c r="O224" s="435"/>
      <c r="P224" s="435"/>
      <c r="Q224" s="435"/>
      <c r="R224" s="435"/>
      <c r="S224" s="435"/>
      <c r="T224" s="435"/>
      <c r="U224" s="435"/>
      <c r="V224" s="435"/>
      <c r="W224" s="435"/>
      <c r="X224" s="435"/>
      <c r="Y224" s="435"/>
      <c r="Z224" s="435"/>
      <c r="AA224" s="435"/>
      <c r="AB224" s="435"/>
      <c r="AC224" s="435"/>
      <c r="AD224" s="435"/>
    </row>
    <row r="225" spans="1:30" x14ac:dyDescent="0.25">
      <c r="A225" s="435"/>
      <c r="B225" s="435"/>
      <c r="C225" s="435"/>
      <c r="D225" s="435"/>
      <c r="E225" s="435"/>
      <c r="F225" s="435"/>
      <c r="G225" s="435"/>
      <c r="H225" s="435"/>
      <c r="I225" s="435"/>
      <c r="J225" s="435"/>
      <c r="K225" s="435"/>
      <c r="L225" s="435"/>
      <c r="M225" s="435"/>
      <c r="N225" s="435"/>
      <c r="O225" s="435"/>
      <c r="P225" s="435"/>
      <c r="Q225" s="435"/>
      <c r="R225" s="435"/>
      <c r="S225" s="435"/>
      <c r="T225" s="435"/>
      <c r="U225" s="435"/>
      <c r="V225" s="435"/>
      <c r="W225" s="435"/>
      <c r="X225" s="435"/>
      <c r="Y225" s="435"/>
      <c r="Z225" s="435"/>
      <c r="AA225" s="435"/>
      <c r="AB225" s="435"/>
      <c r="AC225" s="435"/>
      <c r="AD225" s="435"/>
    </row>
    <row r="226" spans="1:30" x14ac:dyDescent="0.25">
      <c r="A226" s="435"/>
      <c r="B226" s="435"/>
      <c r="C226" s="435"/>
      <c r="D226" s="435"/>
      <c r="E226" s="435"/>
      <c r="F226" s="435"/>
      <c r="G226" s="435"/>
      <c r="H226" s="435"/>
      <c r="I226" s="435"/>
      <c r="J226" s="435"/>
      <c r="K226" s="435"/>
      <c r="L226" s="435"/>
      <c r="M226" s="435"/>
      <c r="N226" s="435"/>
      <c r="O226" s="435"/>
      <c r="P226" s="435"/>
      <c r="Q226" s="435"/>
      <c r="R226" s="435"/>
      <c r="S226" s="435"/>
      <c r="T226" s="435"/>
      <c r="U226" s="435"/>
      <c r="V226" s="435"/>
      <c r="W226" s="435"/>
      <c r="X226" s="435"/>
      <c r="Y226" s="435"/>
      <c r="Z226" s="435"/>
      <c r="AA226" s="435"/>
      <c r="AB226" s="435"/>
      <c r="AC226" s="435"/>
      <c r="AD226" s="435"/>
    </row>
    <row r="227" spans="1:30" x14ac:dyDescent="0.25">
      <c r="A227" s="435"/>
      <c r="B227" s="435"/>
      <c r="C227" s="435"/>
      <c r="D227" s="435"/>
      <c r="E227" s="435"/>
      <c r="F227" s="435"/>
      <c r="G227" s="435"/>
      <c r="H227" s="435"/>
      <c r="I227" s="435"/>
      <c r="J227" s="435"/>
      <c r="K227" s="435"/>
      <c r="L227" s="435"/>
      <c r="M227" s="435"/>
      <c r="N227" s="435"/>
      <c r="O227" s="435"/>
      <c r="P227" s="435"/>
      <c r="Q227" s="435"/>
      <c r="R227" s="435"/>
      <c r="S227" s="435"/>
      <c r="T227" s="435"/>
      <c r="U227" s="435"/>
      <c r="V227" s="435"/>
      <c r="W227" s="435"/>
      <c r="X227" s="435"/>
      <c r="Y227" s="435"/>
      <c r="Z227" s="435"/>
      <c r="AA227" s="435"/>
      <c r="AB227" s="435"/>
      <c r="AC227" s="435"/>
      <c r="AD227" s="435"/>
    </row>
    <row r="228" spans="1:30" x14ac:dyDescent="0.25">
      <c r="A228" s="435"/>
      <c r="B228" s="435"/>
      <c r="C228" s="435"/>
      <c r="D228" s="435"/>
      <c r="E228" s="435"/>
      <c r="F228" s="435"/>
      <c r="G228" s="435"/>
      <c r="H228" s="435"/>
      <c r="I228" s="435"/>
      <c r="J228" s="435"/>
      <c r="K228" s="435"/>
      <c r="L228" s="435"/>
      <c r="M228" s="435"/>
      <c r="N228" s="435"/>
      <c r="O228" s="435"/>
      <c r="P228" s="435"/>
      <c r="Q228" s="435"/>
      <c r="R228" s="435"/>
      <c r="S228" s="435"/>
      <c r="T228" s="435"/>
      <c r="U228" s="435"/>
      <c r="V228" s="435"/>
      <c r="W228" s="435"/>
      <c r="X228" s="435"/>
      <c r="Y228" s="435"/>
      <c r="Z228" s="435"/>
      <c r="AA228" s="435"/>
      <c r="AB228" s="435"/>
      <c r="AC228" s="435"/>
      <c r="AD228" s="435"/>
    </row>
    <row r="229" spans="1:30" x14ac:dyDescent="0.25">
      <c r="A229" s="435"/>
      <c r="B229" s="435"/>
      <c r="C229" s="435"/>
      <c r="D229" s="435"/>
      <c r="E229" s="435"/>
      <c r="F229" s="435"/>
      <c r="G229" s="435"/>
      <c r="H229" s="435"/>
      <c r="I229" s="435"/>
      <c r="J229" s="435"/>
      <c r="K229" s="435"/>
      <c r="L229" s="435"/>
      <c r="M229" s="435"/>
      <c r="N229" s="435"/>
      <c r="O229" s="435"/>
      <c r="P229" s="435"/>
      <c r="Q229" s="435"/>
      <c r="R229" s="435"/>
      <c r="S229" s="435"/>
      <c r="T229" s="435"/>
      <c r="U229" s="435"/>
      <c r="V229" s="435"/>
      <c r="W229" s="435"/>
      <c r="X229" s="435"/>
      <c r="Y229" s="435"/>
      <c r="Z229" s="435"/>
      <c r="AA229" s="435"/>
      <c r="AB229" s="435"/>
      <c r="AC229" s="435"/>
      <c r="AD229" s="435"/>
    </row>
    <row r="230" spans="1:30" x14ac:dyDescent="0.25">
      <c r="A230" s="435"/>
      <c r="B230" s="435"/>
      <c r="C230" s="435"/>
      <c r="D230" s="435"/>
      <c r="E230" s="435"/>
      <c r="F230" s="435"/>
      <c r="G230" s="435"/>
      <c r="H230" s="435"/>
      <c r="I230" s="435"/>
      <c r="J230" s="435"/>
      <c r="K230" s="435"/>
      <c r="L230" s="435"/>
      <c r="M230" s="435"/>
      <c r="N230" s="435"/>
      <c r="O230" s="435"/>
      <c r="P230" s="435"/>
      <c r="Q230" s="435"/>
      <c r="R230" s="435"/>
      <c r="S230" s="435"/>
      <c r="T230" s="435"/>
      <c r="U230" s="435"/>
      <c r="V230" s="435"/>
      <c r="W230" s="435"/>
      <c r="X230" s="435"/>
      <c r="Y230" s="435"/>
      <c r="Z230" s="435"/>
      <c r="AA230" s="435"/>
      <c r="AB230" s="435"/>
      <c r="AC230" s="435"/>
      <c r="AD230" s="435"/>
    </row>
    <row r="231" spans="1:30" x14ac:dyDescent="0.25">
      <c r="A231" s="435"/>
      <c r="B231" s="435"/>
      <c r="C231" s="435"/>
      <c r="D231" s="435"/>
      <c r="E231" s="435"/>
      <c r="F231" s="435"/>
      <c r="G231" s="435"/>
      <c r="H231" s="435"/>
      <c r="I231" s="435"/>
      <c r="J231" s="435"/>
      <c r="K231" s="435"/>
      <c r="L231" s="435"/>
      <c r="M231" s="435"/>
      <c r="N231" s="435"/>
      <c r="O231" s="435"/>
      <c r="P231" s="435"/>
      <c r="Q231" s="435"/>
      <c r="R231" s="435"/>
      <c r="S231" s="435"/>
      <c r="T231" s="435"/>
      <c r="U231" s="435"/>
      <c r="V231" s="435"/>
      <c r="W231" s="435"/>
      <c r="X231" s="435"/>
      <c r="Y231" s="435"/>
      <c r="Z231" s="435"/>
      <c r="AA231" s="435"/>
      <c r="AB231" s="435"/>
      <c r="AC231" s="435"/>
      <c r="AD231" s="435"/>
    </row>
    <row r="232" spans="1:30" x14ac:dyDescent="0.25">
      <c r="A232" s="435"/>
      <c r="B232" s="435"/>
      <c r="C232" s="435"/>
      <c r="D232" s="435"/>
      <c r="E232" s="435"/>
      <c r="F232" s="435"/>
      <c r="G232" s="435"/>
      <c r="H232" s="435"/>
      <c r="I232" s="435"/>
      <c r="J232" s="435"/>
      <c r="K232" s="435"/>
      <c r="L232" s="435"/>
      <c r="M232" s="435"/>
      <c r="N232" s="435"/>
      <c r="O232" s="435"/>
      <c r="P232" s="435"/>
      <c r="Q232" s="435"/>
      <c r="R232" s="435"/>
      <c r="S232" s="435"/>
      <c r="T232" s="435"/>
      <c r="U232" s="435"/>
      <c r="V232" s="435"/>
      <c r="W232" s="435"/>
      <c r="X232" s="435"/>
      <c r="Y232" s="435"/>
      <c r="Z232" s="435"/>
      <c r="AA232" s="435"/>
      <c r="AB232" s="435"/>
      <c r="AC232" s="435"/>
      <c r="AD232" s="435"/>
    </row>
    <row r="233" spans="1:30" x14ac:dyDescent="0.25">
      <c r="A233" s="435"/>
      <c r="B233" s="435"/>
      <c r="C233" s="435"/>
      <c r="D233" s="435"/>
      <c r="E233" s="435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5"/>
      <c r="V233" s="435"/>
      <c r="W233" s="435"/>
      <c r="X233" s="435"/>
      <c r="Y233" s="435"/>
      <c r="Z233" s="435"/>
      <c r="AA233" s="435"/>
      <c r="AB233" s="435"/>
      <c r="AC233" s="435"/>
      <c r="AD233" s="435"/>
    </row>
    <row r="234" spans="1:30" x14ac:dyDescent="0.25">
      <c r="A234" s="435"/>
      <c r="B234" s="435"/>
      <c r="C234" s="435"/>
      <c r="D234" s="435"/>
      <c r="E234" s="435"/>
      <c r="F234" s="435"/>
      <c r="G234" s="435"/>
      <c r="H234" s="435"/>
      <c r="I234" s="435"/>
      <c r="J234" s="435"/>
      <c r="K234" s="435"/>
      <c r="L234" s="435"/>
      <c r="M234" s="435"/>
      <c r="N234" s="435"/>
      <c r="O234" s="435"/>
      <c r="P234" s="435"/>
      <c r="Q234" s="435"/>
      <c r="R234" s="435"/>
      <c r="S234" s="435"/>
      <c r="T234" s="435"/>
      <c r="U234" s="435"/>
      <c r="V234" s="435"/>
      <c r="W234" s="435"/>
      <c r="X234" s="435"/>
      <c r="Y234" s="435"/>
      <c r="Z234" s="435"/>
      <c r="AA234" s="435"/>
      <c r="AB234" s="435"/>
      <c r="AC234" s="435"/>
      <c r="AD234" s="435"/>
    </row>
    <row r="235" spans="1:30" x14ac:dyDescent="0.25">
      <c r="A235" s="435"/>
      <c r="B235" s="435"/>
      <c r="C235" s="435"/>
      <c r="D235" s="435"/>
      <c r="E235" s="435"/>
      <c r="F235" s="435"/>
      <c r="G235" s="435"/>
      <c r="H235" s="435"/>
      <c r="I235" s="435"/>
      <c r="J235" s="435"/>
      <c r="K235" s="435"/>
      <c r="L235" s="435"/>
      <c r="M235" s="435"/>
      <c r="N235" s="435"/>
      <c r="O235" s="435"/>
      <c r="P235" s="435"/>
      <c r="Q235" s="435"/>
      <c r="R235" s="435"/>
      <c r="S235" s="435"/>
      <c r="T235" s="435"/>
      <c r="U235" s="435"/>
      <c r="V235" s="435"/>
      <c r="W235" s="435"/>
      <c r="X235" s="435"/>
      <c r="Y235" s="435"/>
      <c r="Z235" s="435"/>
      <c r="AA235" s="435"/>
      <c r="AB235" s="435"/>
      <c r="AC235" s="435"/>
      <c r="AD235" s="435"/>
    </row>
    <row r="236" spans="1:30" x14ac:dyDescent="0.25">
      <c r="A236" s="435"/>
      <c r="B236" s="435"/>
      <c r="C236" s="435"/>
      <c r="D236" s="435"/>
      <c r="E236" s="435"/>
      <c r="F236" s="435"/>
      <c r="G236" s="435"/>
      <c r="H236" s="435"/>
      <c r="I236" s="435"/>
      <c r="J236" s="435"/>
      <c r="K236" s="435"/>
      <c r="L236" s="435"/>
      <c r="M236" s="435"/>
      <c r="N236" s="435"/>
      <c r="O236" s="435"/>
      <c r="P236" s="435"/>
      <c r="Q236" s="435"/>
      <c r="R236" s="435"/>
      <c r="S236" s="435"/>
      <c r="T236" s="435"/>
      <c r="U236" s="435"/>
      <c r="V236" s="435"/>
      <c r="W236" s="435"/>
      <c r="X236" s="435"/>
      <c r="Y236" s="435"/>
      <c r="Z236" s="435"/>
      <c r="AA236" s="435"/>
      <c r="AB236" s="435"/>
      <c r="AC236" s="435"/>
      <c r="AD236" s="435"/>
    </row>
    <row r="237" spans="1:30" x14ac:dyDescent="0.25">
      <c r="A237" s="435"/>
      <c r="B237" s="435"/>
      <c r="C237" s="435"/>
      <c r="D237" s="435"/>
      <c r="E237" s="435"/>
      <c r="F237" s="435"/>
      <c r="G237" s="435"/>
      <c r="H237" s="435"/>
      <c r="I237" s="435"/>
      <c r="J237" s="435"/>
      <c r="K237" s="435"/>
      <c r="L237" s="435"/>
      <c r="M237" s="435"/>
      <c r="N237" s="435"/>
      <c r="O237" s="435"/>
      <c r="P237" s="435"/>
      <c r="Q237" s="435"/>
      <c r="R237" s="435"/>
      <c r="S237" s="435"/>
      <c r="T237" s="435"/>
      <c r="U237" s="435"/>
      <c r="V237" s="435"/>
      <c r="W237" s="435"/>
      <c r="X237" s="435"/>
      <c r="Y237" s="435"/>
      <c r="Z237" s="435"/>
      <c r="AA237" s="435"/>
      <c r="AB237" s="435"/>
      <c r="AC237" s="435"/>
      <c r="AD237" s="435"/>
    </row>
    <row r="238" spans="1:30" x14ac:dyDescent="0.25">
      <c r="A238" s="435"/>
      <c r="B238" s="435"/>
      <c r="C238" s="435"/>
      <c r="D238" s="435"/>
      <c r="E238" s="435"/>
      <c r="F238" s="435"/>
      <c r="G238" s="435"/>
      <c r="H238" s="435"/>
      <c r="I238" s="435"/>
      <c r="J238" s="435"/>
      <c r="K238" s="435"/>
      <c r="L238" s="435"/>
      <c r="M238" s="435"/>
      <c r="N238" s="435"/>
      <c r="O238" s="435"/>
      <c r="P238" s="435"/>
      <c r="Q238" s="435"/>
      <c r="R238" s="435"/>
      <c r="S238" s="435"/>
      <c r="T238" s="435"/>
      <c r="U238" s="435"/>
      <c r="V238" s="435"/>
      <c r="W238" s="435"/>
      <c r="X238" s="435"/>
      <c r="Y238" s="435"/>
      <c r="Z238" s="435"/>
      <c r="AA238" s="435"/>
      <c r="AB238" s="435"/>
      <c r="AC238" s="435"/>
      <c r="AD238" s="435"/>
    </row>
    <row r="239" spans="1:30" x14ac:dyDescent="0.25">
      <c r="A239" s="435"/>
      <c r="B239" s="435"/>
      <c r="C239" s="435"/>
      <c r="D239" s="435"/>
      <c r="E239" s="435"/>
      <c r="F239" s="435"/>
      <c r="G239" s="435"/>
      <c r="H239" s="435"/>
      <c r="I239" s="435"/>
      <c r="J239" s="435"/>
      <c r="K239" s="435"/>
      <c r="L239" s="435"/>
      <c r="M239" s="435"/>
      <c r="N239" s="435"/>
      <c r="O239" s="435"/>
      <c r="P239" s="435"/>
      <c r="Q239" s="435"/>
      <c r="R239" s="435"/>
      <c r="S239" s="435"/>
      <c r="T239" s="435"/>
      <c r="U239" s="435"/>
      <c r="V239" s="435"/>
      <c r="W239" s="435"/>
      <c r="X239" s="435"/>
      <c r="Y239" s="435"/>
      <c r="Z239" s="435"/>
      <c r="AA239" s="435"/>
      <c r="AB239" s="435"/>
      <c r="AC239" s="435"/>
      <c r="AD239" s="435"/>
    </row>
    <row r="240" spans="1:30" x14ac:dyDescent="0.25">
      <c r="A240" s="435"/>
      <c r="B240" s="435"/>
      <c r="C240" s="435"/>
      <c r="D240" s="435"/>
      <c r="E240" s="435"/>
      <c r="F240" s="435"/>
      <c r="G240" s="435"/>
      <c r="H240" s="435"/>
      <c r="I240" s="435"/>
      <c r="J240" s="435"/>
      <c r="K240" s="435"/>
      <c r="L240" s="435"/>
      <c r="M240" s="435"/>
      <c r="N240" s="435"/>
      <c r="O240" s="435"/>
      <c r="P240" s="435"/>
      <c r="Q240" s="435"/>
      <c r="R240" s="435"/>
      <c r="S240" s="435"/>
      <c r="T240" s="435"/>
      <c r="U240" s="435"/>
      <c r="V240" s="435"/>
      <c r="W240" s="435"/>
      <c r="X240" s="435"/>
      <c r="Y240" s="435"/>
      <c r="Z240" s="435"/>
      <c r="AA240" s="435"/>
      <c r="AB240" s="435"/>
      <c r="AC240" s="435"/>
      <c r="AD240" s="435"/>
    </row>
    <row r="241" spans="1:30" x14ac:dyDescent="0.25">
      <c r="A241" s="435"/>
      <c r="B241" s="435"/>
      <c r="C241" s="435"/>
      <c r="D241" s="435"/>
      <c r="E241" s="435"/>
      <c r="F241" s="435"/>
      <c r="G241" s="435"/>
      <c r="H241" s="435"/>
      <c r="I241" s="435"/>
      <c r="J241" s="435"/>
      <c r="K241" s="435"/>
      <c r="L241" s="435"/>
      <c r="M241" s="435"/>
      <c r="N241" s="435"/>
      <c r="O241" s="435"/>
      <c r="P241" s="435"/>
      <c r="Q241" s="435"/>
      <c r="R241" s="435"/>
      <c r="S241" s="435"/>
      <c r="T241" s="435"/>
      <c r="U241" s="435"/>
      <c r="V241" s="435"/>
      <c r="W241" s="435"/>
      <c r="X241" s="435"/>
      <c r="Y241" s="435"/>
      <c r="Z241" s="435"/>
      <c r="AA241" s="435"/>
      <c r="AB241" s="435"/>
      <c r="AC241" s="435"/>
      <c r="AD241" s="435"/>
    </row>
    <row r="242" spans="1:30" x14ac:dyDescent="0.25">
      <c r="A242" s="435"/>
      <c r="B242" s="435"/>
      <c r="C242" s="435"/>
      <c r="D242" s="435"/>
      <c r="E242" s="435"/>
      <c r="F242" s="435"/>
      <c r="G242" s="435"/>
      <c r="H242" s="435"/>
      <c r="I242" s="435"/>
      <c r="J242" s="435"/>
      <c r="K242" s="435"/>
      <c r="L242" s="435"/>
      <c r="M242" s="435"/>
      <c r="N242" s="435"/>
      <c r="O242" s="435"/>
      <c r="P242" s="435"/>
      <c r="Q242" s="435"/>
      <c r="R242" s="435"/>
      <c r="S242" s="435"/>
      <c r="T242" s="435"/>
      <c r="U242" s="435"/>
      <c r="V242" s="435"/>
      <c r="W242" s="435"/>
      <c r="X242" s="435"/>
      <c r="Y242" s="435"/>
      <c r="Z242" s="435"/>
      <c r="AA242" s="435"/>
      <c r="AB242" s="435"/>
      <c r="AC242" s="435"/>
      <c r="AD242" s="435"/>
    </row>
    <row r="243" spans="1:30" x14ac:dyDescent="0.25">
      <c r="A243" s="435"/>
      <c r="B243" s="435"/>
      <c r="C243" s="435"/>
      <c r="D243" s="435"/>
      <c r="E243" s="435"/>
      <c r="F243" s="435"/>
      <c r="G243" s="435"/>
      <c r="H243" s="435"/>
      <c r="I243" s="435"/>
      <c r="J243" s="435"/>
      <c r="K243" s="435"/>
      <c r="L243" s="435"/>
      <c r="M243" s="435"/>
      <c r="N243" s="435"/>
      <c r="O243" s="435"/>
      <c r="P243" s="435"/>
      <c r="Q243" s="435"/>
      <c r="R243" s="435"/>
      <c r="S243" s="435"/>
      <c r="T243" s="435"/>
      <c r="U243" s="435"/>
      <c r="V243" s="435"/>
      <c r="W243" s="435"/>
      <c r="X243" s="435"/>
      <c r="Y243" s="435"/>
      <c r="Z243" s="435"/>
      <c r="AA243" s="435"/>
      <c r="AB243" s="435"/>
      <c r="AC243" s="435"/>
      <c r="AD243" s="435"/>
    </row>
    <row r="244" spans="1:30" x14ac:dyDescent="0.25">
      <c r="A244" s="435"/>
      <c r="B244" s="435"/>
      <c r="C244" s="435"/>
      <c r="D244" s="435"/>
      <c r="E244" s="435"/>
      <c r="F244" s="435"/>
      <c r="G244" s="435"/>
      <c r="H244" s="435"/>
      <c r="I244" s="435"/>
      <c r="J244" s="435"/>
      <c r="K244" s="435"/>
      <c r="L244" s="435"/>
      <c r="M244" s="435"/>
      <c r="N244" s="435"/>
      <c r="O244" s="435"/>
      <c r="P244" s="435"/>
      <c r="Q244" s="435"/>
      <c r="R244" s="435"/>
      <c r="S244" s="435"/>
      <c r="T244" s="435"/>
      <c r="U244" s="435"/>
      <c r="V244" s="435"/>
      <c r="W244" s="435"/>
      <c r="X244" s="435"/>
      <c r="Y244" s="435"/>
      <c r="Z244" s="435"/>
      <c r="AA244" s="435"/>
      <c r="AB244" s="435"/>
      <c r="AC244" s="435"/>
      <c r="AD244" s="435"/>
    </row>
    <row r="245" spans="1:30" x14ac:dyDescent="0.25">
      <c r="A245" s="435"/>
      <c r="B245" s="435"/>
      <c r="C245" s="435"/>
      <c r="D245" s="435"/>
      <c r="E245" s="435"/>
      <c r="F245" s="435"/>
      <c r="G245" s="435"/>
      <c r="H245" s="435"/>
      <c r="I245" s="435"/>
      <c r="J245" s="435"/>
      <c r="K245" s="435"/>
      <c r="L245" s="435"/>
      <c r="M245" s="435"/>
      <c r="N245" s="435"/>
      <c r="O245" s="435"/>
      <c r="P245" s="435"/>
      <c r="Q245" s="435"/>
      <c r="R245" s="435"/>
      <c r="S245" s="435"/>
      <c r="T245" s="435"/>
      <c r="U245" s="435"/>
      <c r="V245" s="435"/>
      <c r="W245" s="435"/>
      <c r="X245" s="435"/>
      <c r="Y245" s="435"/>
      <c r="Z245" s="435"/>
      <c r="AA245" s="435"/>
      <c r="AB245" s="435"/>
      <c r="AC245" s="435"/>
      <c r="AD245" s="435"/>
    </row>
    <row r="246" spans="1:30" x14ac:dyDescent="0.25">
      <c r="A246" s="435"/>
      <c r="B246" s="435"/>
      <c r="C246" s="435"/>
      <c r="D246" s="435"/>
      <c r="E246" s="435"/>
      <c r="F246" s="435"/>
      <c r="G246" s="435"/>
      <c r="H246" s="435"/>
      <c r="I246" s="435"/>
      <c r="J246" s="435"/>
      <c r="K246" s="435"/>
      <c r="L246" s="435"/>
      <c r="M246" s="435"/>
      <c r="N246" s="435"/>
      <c r="O246" s="435"/>
      <c r="P246" s="435"/>
      <c r="Q246" s="435"/>
      <c r="R246" s="435"/>
      <c r="S246" s="435"/>
      <c r="T246" s="435"/>
      <c r="U246" s="435"/>
      <c r="V246" s="435"/>
      <c r="W246" s="435"/>
      <c r="X246" s="435"/>
      <c r="Y246" s="435"/>
      <c r="Z246" s="435"/>
      <c r="AA246" s="435"/>
      <c r="AB246" s="435"/>
      <c r="AC246" s="435"/>
      <c r="AD246" s="435"/>
    </row>
    <row r="247" spans="1:30" x14ac:dyDescent="0.25">
      <c r="A247" s="435"/>
      <c r="B247" s="435"/>
      <c r="C247" s="435"/>
      <c r="D247" s="435"/>
      <c r="E247" s="435"/>
      <c r="F247" s="435"/>
      <c r="G247" s="435"/>
      <c r="H247" s="435"/>
      <c r="I247" s="435"/>
      <c r="J247" s="435"/>
      <c r="K247" s="435"/>
      <c r="L247" s="435"/>
      <c r="M247" s="435"/>
      <c r="N247" s="435"/>
      <c r="O247" s="435"/>
      <c r="P247" s="435"/>
      <c r="Q247" s="435"/>
      <c r="R247" s="435"/>
      <c r="S247" s="435"/>
      <c r="T247" s="435"/>
      <c r="U247" s="435"/>
      <c r="V247" s="435"/>
      <c r="W247" s="435"/>
      <c r="X247" s="435"/>
      <c r="Y247" s="435"/>
      <c r="Z247" s="435"/>
      <c r="AA247" s="435"/>
      <c r="AB247" s="435"/>
      <c r="AC247" s="435"/>
      <c r="AD247" s="435"/>
    </row>
    <row r="248" spans="1:30" x14ac:dyDescent="0.25">
      <c r="A248" s="435"/>
      <c r="B248" s="435"/>
      <c r="C248" s="435"/>
      <c r="D248" s="435"/>
      <c r="E248" s="435"/>
      <c r="F248" s="435"/>
      <c r="G248" s="435"/>
      <c r="H248" s="435"/>
      <c r="I248" s="435"/>
      <c r="J248" s="435"/>
      <c r="K248" s="435"/>
      <c r="L248" s="435"/>
      <c r="M248" s="435"/>
      <c r="N248" s="435"/>
      <c r="O248" s="435"/>
      <c r="P248" s="435"/>
      <c r="Q248" s="435"/>
      <c r="R248" s="435"/>
      <c r="S248" s="435"/>
      <c r="T248" s="435"/>
      <c r="U248" s="435"/>
      <c r="V248" s="435"/>
      <c r="W248" s="435"/>
      <c r="X248" s="435"/>
      <c r="Y248" s="435"/>
      <c r="Z248" s="435"/>
      <c r="AA248" s="435"/>
      <c r="AB248" s="435"/>
      <c r="AC248" s="435"/>
      <c r="AD248" s="435"/>
    </row>
    <row r="249" spans="1:30" x14ac:dyDescent="0.25">
      <c r="A249" s="435"/>
      <c r="B249" s="435"/>
      <c r="C249" s="435"/>
      <c r="D249" s="435"/>
      <c r="E249" s="435"/>
      <c r="F249" s="435"/>
      <c r="G249" s="435"/>
      <c r="H249" s="435"/>
      <c r="I249" s="435"/>
      <c r="J249" s="435"/>
      <c r="K249" s="435"/>
      <c r="L249" s="435"/>
      <c r="M249" s="435"/>
      <c r="N249" s="435"/>
      <c r="O249" s="435"/>
      <c r="P249" s="435"/>
      <c r="Q249" s="435"/>
      <c r="R249" s="435"/>
      <c r="S249" s="435"/>
      <c r="T249" s="435"/>
      <c r="U249" s="435"/>
      <c r="V249" s="435"/>
      <c r="W249" s="435"/>
      <c r="X249" s="435"/>
      <c r="Y249" s="435"/>
      <c r="Z249" s="435"/>
      <c r="AA249" s="435"/>
      <c r="AB249" s="435"/>
      <c r="AC249" s="435"/>
      <c r="AD249" s="435"/>
    </row>
    <row r="250" spans="1:30" x14ac:dyDescent="0.25">
      <c r="A250" s="435"/>
      <c r="B250" s="435"/>
      <c r="C250" s="435"/>
      <c r="D250" s="435"/>
      <c r="E250" s="435"/>
      <c r="F250" s="435"/>
      <c r="G250" s="435"/>
      <c r="H250" s="435"/>
      <c r="I250" s="435"/>
      <c r="J250" s="435"/>
      <c r="K250" s="435"/>
      <c r="L250" s="435"/>
      <c r="M250" s="435"/>
      <c r="N250" s="435"/>
      <c r="O250" s="435"/>
      <c r="P250" s="435"/>
      <c r="Q250" s="435"/>
      <c r="R250" s="435"/>
      <c r="S250" s="435"/>
      <c r="T250" s="435"/>
      <c r="U250" s="435"/>
      <c r="V250" s="435"/>
      <c r="W250" s="435"/>
      <c r="X250" s="435"/>
      <c r="Y250" s="435"/>
      <c r="Z250" s="435"/>
      <c r="AA250" s="435"/>
      <c r="AB250" s="435"/>
      <c r="AC250" s="435"/>
      <c r="AD250" s="435"/>
    </row>
    <row r="251" spans="1:30" x14ac:dyDescent="0.25">
      <c r="A251" s="435"/>
      <c r="B251" s="435"/>
      <c r="C251" s="435"/>
      <c r="D251" s="435"/>
      <c r="E251" s="435"/>
      <c r="F251" s="435"/>
      <c r="G251" s="435"/>
      <c r="H251" s="435"/>
      <c r="I251" s="435"/>
      <c r="J251" s="435"/>
      <c r="K251" s="435"/>
      <c r="L251" s="435"/>
      <c r="M251" s="435"/>
      <c r="N251" s="435"/>
      <c r="O251" s="435"/>
      <c r="P251" s="435"/>
      <c r="Q251" s="435"/>
      <c r="R251" s="435"/>
      <c r="S251" s="435"/>
      <c r="T251" s="435"/>
      <c r="U251" s="435"/>
      <c r="V251" s="435"/>
      <c r="W251" s="435"/>
      <c r="X251" s="435"/>
      <c r="Y251" s="435"/>
      <c r="Z251" s="435"/>
      <c r="AA251" s="435"/>
      <c r="AB251" s="435"/>
      <c r="AC251" s="435"/>
      <c r="AD251" s="435"/>
    </row>
    <row r="252" spans="1:30" x14ac:dyDescent="0.25">
      <c r="A252" s="435"/>
      <c r="B252" s="435"/>
      <c r="C252" s="435"/>
      <c r="D252" s="435"/>
      <c r="E252" s="435"/>
      <c r="F252" s="435"/>
      <c r="G252" s="435"/>
      <c r="H252" s="435"/>
      <c r="I252" s="435"/>
      <c r="J252" s="435"/>
      <c r="K252" s="435"/>
      <c r="L252" s="435"/>
      <c r="M252" s="435"/>
      <c r="N252" s="435"/>
      <c r="O252" s="435"/>
      <c r="P252" s="435"/>
      <c r="Q252" s="435"/>
      <c r="R252" s="435"/>
      <c r="S252" s="435"/>
      <c r="T252" s="435"/>
      <c r="U252" s="435"/>
      <c r="V252" s="435"/>
      <c r="W252" s="435"/>
      <c r="X252" s="435"/>
      <c r="Y252" s="435"/>
      <c r="Z252" s="435"/>
      <c r="AA252" s="435"/>
      <c r="AB252" s="435"/>
      <c r="AC252" s="435"/>
      <c r="AD252" s="435"/>
    </row>
    <row r="253" spans="1:30" x14ac:dyDescent="0.25">
      <c r="A253" s="435"/>
      <c r="B253" s="435"/>
      <c r="C253" s="435"/>
      <c r="D253" s="435"/>
      <c r="E253" s="435"/>
      <c r="F253" s="435"/>
      <c r="G253" s="435"/>
      <c r="H253" s="435"/>
      <c r="I253" s="435"/>
      <c r="J253" s="435"/>
      <c r="K253" s="435"/>
      <c r="L253" s="435"/>
      <c r="M253" s="435"/>
      <c r="N253" s="435"/>
      <c r="O253" s="435"/>
      <c r="P253" s="435"/>
      <c r="Q253" s="435"/>
      <c r="R253" s="435"/>
      <c r="S253" s="435"/>
      <c r="T253" s="435"/>
      <c r="U253" s="435"/>
      <c r="V253" s="435"/>
      <c r="W253" s="435"/>
      <c r="X253" s="435"/>
      <c r="Y253" s="435"/>
      <c r="Z253" s="435"/>
      <c r="AA253" s="435"/>
      <c r="AB253" s="435"/>
      <c r="AC253" s="435"/>
      <c r="AD253" s="435"/>
    </row>
    <row r="254" spans="1:30" x14ac:dyDescent="0.25">
      <c r="A254" s="435"/>
      <c r="B254" s="435"/>
      <c r="C254" s="435"/>
      <c r="D254" s="435"/>
      <c r="E254" s="435"/>
      <c r="F254" s="435"/>
      <c r="G254" s="435"/>
      <c r="H254" s="435"/>
      <c r="I254" s="435"/>
      <c r="J254" s="435"/>
      <c r="K254" s="435"/>
      <c r="L254" s="435"/>
      <c r="M254" s="435"/>
      <c r="N254" s="435"/>
      <c r="O254" s="435"/>
      <c r="P254" s="435"/>
      <c r="Q254" s="435"/>
      <c r="R254" s="435"/>
      <c r="S254" s="435"/>
      <c r="T254" s="435"/>
      <c r="U254" s="435"/>
      <c r="V254" s="435"/>
      <c r="W254" s="435"/>
      <c r="X254" s="435"/>
      <c r="Y254" s="435"/>
      <c r="Z254" s="435"/>
      <c r="AA254" s="435"/>
      <c r="AB254" s="435"/>
      <c r="AC254" s="435"/>
      <c r="AD254" s="435"/>
    </row>
    <row r="255" spans="1:30" x14ac:dyDescent="0.25">
      <c r="A255" s="435"/>
      <c r="B255" s="435"/>
      <c r="C255" s="435"/>
      <c r="D255" s="435"/>
      <c r="E255" s="435"/>
      <c r="F255" s="435"/>
      <c r="G255" s="435"/>
      <c r="H255" s="435"/>
      <c r="I255" s="435"/>
      <c r="J255" s="435"/>
      <c r="K255" s="435"/>
      <c r="L255" s="435"/>
      <c r="M255" s="435"/>
      <c r="N255" s="435"/>
      <c r="O255" s="435"/>
      <c r="P255" s="435"/>
      <c r="Q255" s="435"/>
      <c r="R255" s="435"/>
      <c r="S255" s="435"/>
      <c r="T255" s="435"/>
      <c r="U255" s="435"/>
      <c r="V255" s="435"/>
      <c r="W255" s="435"/>
      <c r="X255" s="435"/>
      <c r="Y255" s="435"/>
      <c r="Z255" s="435"/>
      <c r="AA255" s="435"/>
      <c r="AB255" s="435"/>
      <c r="AC255" s="435"/>
      <c r="AD255" s="435"/>
    </row>
    <row r="256" spans="1:30" x14ac:dyDescent="0.25">
      <c r="A256" s="435"/>
      <c r="B256" s="435"/>
      <c r="C256" s="435"/>
      <c r="D256" s="435"/>
      <c r="E256" s="435"/>
      <c r="F256" s="435"/>
      <c r="G256" s="435"/>
      <c r="H256" s="435"/>
      <c r="I256" s="435"/>
      <c r="J256" s="435"/>
      <c r="K256" s="435"/>
      <c r="L256" s="435"/>
      <c r="M256" s="435"/>
      <c r="N256" s="435"/>
      <c r="O256" s="435"/>
      <c r="P256" s="435"/>
      <c r="Q256" s="435"/>
      <c r="R256" s="435"/>
      <c r="S256" s="435"/>
      <c r="T256" s="435"/>
      <c r="U256" s="435"/>
      <c r="V256" s="435"/>
      <c r="W256" s="435"/>
      <c r="X256" s="435"/>
      <c r="Y256" s="435"/>
      <c r="Z256" s="435"/>
      <c r="AA256" s="435"/>
      <c r="AB256" s="435"/>
      <c r="AC256" s="435"/>
      <c r="AD256" s="435"/>
    </row>
    <row r="257" spans="1:30" x14ac:dyDescent="0.25">
      <c r="A257" s="435"/>
      <c r="B257" s="435"/>
      <c r="C257" s="435"/>
      <c r="D257" s="435"/>
      <c r="E257" s="435"/>
      <c r="F257" s="435"/>
      <c r="G257" s="435"/>
      <c r="H257" s="435"/>
      <c r="I257" s="435"/>
      <c r="J257" s="435"/>
      <c r="K257" s="435"/>
      <c r="L257" s="435"/>
      <c r="M257" s="435"/>
      <c r="N257" s="435"/>
      <c r="O257" s="435"/>
      <c r="P257" s="435"/>
      <c r="Q257" s="435"/>
      <c r="R257" s="435"/>
      <c r="S257" s="435"/>
      <c r="T257" s="435"/>
      <c r="U257" s="435"/>
      <c r="V257" s="435"/>
      <c r="W257" s="435"/>
      <c r="X257" s="435"/>
      <c r="Y257" s="435"/>
      <c r="Z257" s="435"/>
      <c r="AA257" s="435"/>
      <c r="AB257" s="435"/>
      <c r="AC257" s="435"/>
      <c r="AD257" s="435"/>
    </row>
    <row r="258" spans="1:30" x14ac:dyDescent="0.25">
      <c r="A258" s="435"/>
      <c r="B258" s="435"/>
      <c r="C258" s="435"/>
      <c r="D258" s="435"/>
      <c r="E258" s="435"/>
      <c r="F258" s="435"/>
      <c r="G258" s="435"/>
      <c r="H258" s="435"/>
      <c r="I258" s="435"/>
      <c r="J258" s="435"/>
      <c r="K258" s="435"/>
      <c r="L258" s="435"/>
      <c r="M258" s="435"/>
      <c r="N258" s="435"/>
      <c r="O258" s="435"/>
      <c r="P258" s="435"/>
      <c r="Q258" s="435"/>
      <c r="R258" s="435"/>
      <c r="S258" s="435"/>
      <c r="T258" s="435"/>
      <c r="U258" s="435"/>
      <c r="V258" s="435"/>
      <c r="W258" s="435"/>
      <c r="X258" s="435"/>
      <c r="Y258" s="435"/>
      <c r="Z258" s="435"/>
      <c r="AA258" s="435"/>
      <c r="AB258" s="435"/>
      <c r="AC258" s="435"/>
      <c r="AD258" s="435"/>
    </row>
    <row r="259" spans="1:30" x14ac:dyDescent="0.25">
      <c r="A259" s="435"/>
      <c r="B259" s="435"/>
      <c r="C259" s="435"/>
      <c r="D259" s="435"/>
      <c r="E259" s="435"/>
      <c r="F259" s="435"/>
      <c r="G259" s="435"/>
      <c r="H259" s="435"/>
      <c r="I259" s="435"/>
      <c r="J259" s="435"/>
      <c r="K259" s="435"/>
      <c r="L259" s="435"/>
      <c r="M259" s="435"/>
      <c r="N259" s="435"/>
      <c r="O259" s="435"/>
      <c r="P259" s="435"/>
      <c r="Q259" s="435"/>
      <c r="R259" s="435"/>
      <c r="S259" s="435"/>
      <c r="T259" s="435"/>
      <c r="U259" s="435"/>
      <c r="V259" s="435"/>
      <c r="W259" s="435"/>
      <c r="X259" s="435"/>
      <c r="Y259" s="435"/>
      <c r="Z259" s="435"/>
      <c r="AA259" s="435"/>
      <c r="AB259" s="435"/>
      <c r="AC259" s="435"/>
      <c r="AD259" s="435"/>
    </row>
    <row r="260" spans="1:30" x14ac:dyDescent="0.25">
      <c r="A260" s="435"/>
      <c r="B260" s="435"/>
      <c r="C260" s="435"/>
      <c r="D260" s="435"/>
      <c r="E260" s="435"/>
      <c r="F260" s="435"/>
      <c r="G260" s="435"/>
      <c r="H260" s="435"/>
      <c r="I260" s="435"/>
      <c r="J260" s="435"/>
      <c r="K260" s="435"/>
      <c r="L260" s="435"/>
      <c r="M260" s="435"/>
      <c r="N260" s="435"/>
      <c r="O260" s="435"/>
      <c r="P260" s="435"/>
      <c r="Q260" s="435"/>
      <c r="R260" s="435"/>
      <c r="S260" s="435"/>
      <c r="T260" s="435"/>
      <c r="U260" s="435"/>
      <c r="V260" s="435"/>
      <c r="W260" s="435"/>
      <c r="X260" s="435"/>
      <c r="Y260" s="435"/>
      <c r="Z260" s="435"/>
      <c r="AA260" s="435"/>
      <c r="AB260" s="435"/>
      <c r="AC260" s="435"/>
      <c r="AD260" s="435"/>
    </row>
    <row r="261" spans="1:30" x14ac:dyDescent="0.25">
      <c r="A261" s="435"/>
      <c r="B261" s="435"/>
      <c r="C261" s="435"/>
      <c r="D261" s="435"/>
      <c r="E261" s="435"/>
      <c r="F261" s="435"/>
      <c r="G261" s="435"/>
      <c r="H261" s="435"/>
      <c r="I261" s="435"/>
      <c r="J261" s="435"/>
      <c r="K261" s="435"/>
      <c r="L261" s="435"/>
      <c r="M261" s="435"/>
      <c r="N261" s="435"/>
      <c r="O261" s="435"/>
      <c r="P261" s="435"/>
      <c r="Q261" s="435"/>
      <c r="R261" s="435"/>
      <c r="S261" s="435"/>
      <c r="T261" s="435"/>
      <c r="U261" s="435"/>
      <c r="V261" s="435"/>
      <c r="W261" s="435"/>
      <c r="X261" s="435"/>
      <c r="Y261" s="435"/>
      <c r="Z261" s="435"/>
      <c r="AA261" s="435"/>
      <c r="AB261" s="435"/>
      <c r="AC261" s="435"/>
      <c r="AD261" s="435"/>
    </row>
    <row r="262" spans="1:30" x14ac:dyDescent="0.25">
      <c r="A262" s="435"/>
      <c r="B262" s="435"/>
      <c r="C262" s="435"/>
      <c r="D262" s="435"/>
      <c r="E262" s="435"/>
      <c r="F262" s="435"/>
      <c r="G262" s="435"/>
      <c r="H262" s="435"/>
      <c r="I262" s="435"/>
      <c r="J262" s="435"/>
      <c r="K262" s="435"/>
      <c r="L262" s="435"/>
      <c r="M262" s="435"/>
      <c r="N262" s="435"/>
      <c r="O262" s="435"/>
      <c r="P262" s="435"/>
      <c r="Q262" s="435"/>
      <c r="R262" s="435"/>
      <c r="S262" s="435"/>
      <c r="T262" s="435"/>
      <c r="U262" s="435"/>
      <c r="V262" s="435"/>
      <c r="W262" s="435"/>
      <c r="X262" s="435"/>
      <c r="Y262" s="435"/>
      <c r="Z262" s="435"/>
      <c r="AA262" s="435"/>
      <c r="AB262" s="435"/>
      <c r="AC262" s="435"/>
      <c r="AD262" s="435"/>
    </row>
    <row r="263" spans="1:30" x14ac:dyDescent="0.25">
      <c r="A263" s="435"/>
      <c r="B263" s="435"/>
      <c r="C263" s="435"/>
      <c r="D263" s="435"/>
      <c r="E263" s="435"/>
      <c r="F263" s="435"/>
      <c r="G263" s="435"/>
      <c r="H263" s="435"/>
      <c r="I263" s="435"/>
      <c r="J263" s="435"/>
      <c r="K263" s="435"/>
      <c r="L263" s="435"/>
      <c r="M263" s="435"/>
      <c r="N263" s="435"/>
      <c r="O263" s="435"/>
      <c r="P263" s="435"/>
      <c r="Q263" s="435"/>
      <c r="R263" s="435"/>
      <c r="S263" s="435"/>
      <c r="T263" s="435"/>
      <c r="U263" s="435"/>
      <c r="V263" s="435"/>
      <c r="W263" s="435"/>
      <c r="X263" s="435"/>
      <c r="Y263" s="435"/>
      <c r="Z263" s="435"/>
      <c r="AA263" s="435"/>
      <c r="AB263" s="435"/>
      <c r="AC263" s="435"/>
      <c r="AD263" s="435"/>
    </row>
    <row r="264" spans="1:30" x14ac:dyDescent="0.25">
      <c r="A264" s="435"/>
      <c r="B264" s="435"/>
      <c r="C264" s="435"/>
      <c r="D264" s="435"/>
      <c r="E264" s="435"/>
      <c r="F264" s="435"/>
      <c r="G264" s="435"/>
      <c r="H264" s="435"/>
      <c r="I264" s="435"/>
      <c r="J264" s="435"/>
      <c r="K264" s="435"/>
      <c r="L264" s="435"/>
      <c r="M264" s="435"/>
      <c r="N264" s="435"/>
      <c r="O264" s="435"/>
      <c r="P264" s="435"/>
      <c r="Q264" s="435"/>
      <c r="R264" s="435"/>
      <c r="S264" s="435"/>
      <c r="T264" s="435"/>
      <c r="U264" s="435"/>
      <c r="V264" s="435"/>
      <c r="W264" s="435"/>
      <c r="X264" s="435"/>
      <c r="Y264" s="435"/>
      <c r="Z264" s="435"/>
      <c r="AA264" s="435"/>
      <c r="AB264" s="435"/>
      <c r="AC264" s="435"/>
      <c r="AD264" s="435"/>
    </row>
    <row r="265" spans="1:30" x14ac:dyDescent="0.25">
      <c r="A265" s="435"/>
      <c r="B265" s="435"/>
      <c r="C265" s="435"/>
      <c r="D265" s="435"/>
      <c r="E265" s="435"/>
      <c r="F265" s="435"/>
      <c r="G265" s="435"/>
      <c r="H265" s="435"/>
      <c r="I265" s="435"/>
      <c r="J265" s="435"/>
      <c r="K265" s="435"/>
      <c r="L265" s="435"/>
      <c r="M265" s="435"/>
      <c r="N265" s="435"/>
      <c r="O265" s="435"/>
      <c r="P265" s="435"/>
      <c r="Q265" s="435"/>
      <c r="R265" s="435"/>
      <c r="S265" s="435"/>
      <c r="T265" s="435"/>
      <c r="U265" s="435"/>
      <c r="V265" s="435"/>
      <c r="W265" s="435"/>
      <c r="X265" s="435"/>
      <c r="Y265" s="435"/>
      <c r="Z265" s="435"/>
      <c r="AA265" s="435"/>
      <c r="AB265" s="435"/>
      <c r="AC265" s="435"/>
      <c r="AD265" s="435"/>
    </row>
    <row r="266" spans="1:30" x14ac:dyDescent="0.25">
      <c r="A266" s="435"/>
      <c r="B266" s="435"/>
      <c r="C266" s="435"/>
      <c r="D266" s="435"/>
      <c r="E266" s="435"/>
      <c r="F266" s="435"/>
      <c r="G266" s="435"/>
      <c r="H266" s="435"/>
      <c r="I266" s="435"/>
      <c r="J266" s="435"/>
      <c r="K266" s="435"/>
      <c r="L266" s="435"/>
      <c r="M266" s="435"/>
      <c r="N266" s="435"/>
      <c r="O266" s="435"/>
      <c r="P266" s="435"/>
      <c r="Q266" s="435"/>
      <c r="R266" s="435"/>
      <c r="S266" s="435"/>
      <c r="T266" s="435"/>
      <c r="U266" s="435"/>
      <c r="V266" s="435"/>
      <c r="W266" s="435"/>
      <c r="X266" s="435"/>
      <c r="Y266" s="435"/>
      <c r="Z266" s="435"/>
      <c r="AA266" s="435"/>
      <c r="AB266" s="435"/>
      <c r="AC266" s="435"/>
      <c r="AD266" s="435"/>
    </row>
    <row r="267" spans="1:30" x14ac:dyDescent="0.25">
      <c r="A267" s="435"/>
      <c r="B267" s="435"/>
      <c r="C267" s="435"/>
      <c r="D267" s="435"/>
      <c r="E267" s="435"/>
      <c r="F267" s="435"/>
      <c r="G267" s="435"/>
      <c r="H267" s="435"/>
      <c r="I267" s="435"/>
      <c r="J267" s="435"/>
      <c r="K267" s="435"/>
      <c r="L267" s="435"/>
      <c r="M267" s="435"/>
      <c r="N267" s="435"/>
      <c r="O267" s="435"/>
      <c r="P267" s="435"/>
      <c r="Q267" s="435"/>
      <c r="R267" s="435"/>
      <c r="S267" s="435"/>
      <c r="T267" s="435"/>
      <c r="U267" s="435"/>
      <c r="V267" s="435"/>
      <c r="W267" s="435"/>
      <c r="X267" s="435"/>
      <c r="Y267" s="435"/>
      <c r="Z267" s="435"/>
      <c r="AA267" s="435"/>
      <c r="AB267" s="435"/>
      <c r="AC267" s="435"/>
      <c r="AD267" s="435"/>
    </row>
    <row r="268" spans="1:30" x14ac:dyDescent="0.25">
      <c r="A268" s="435"/>
      <c r="B268" s="435"/>
      <c r="C268" s="435"/>
      <c r="D268" s="435"/>
      <c r="E268" s="435"/>
      <c r="F268" s="435"/>
      <c r="G268" s="435"/>
      <c r="H268" s="435"/>
      <c r="I268" s="435"/>
      <c r="J268" s="435"/>
      <c r="K268" s="435"/>
      <c r="L268" s="435"/>
      <c r="M268" s="435"/>
      <c r="N268" s="435"/>
      <c r="O268" s="435"/>
      <c r="P268" s="435"/>
      <c r="Q268" s="435"/>
      <c r="R268" s="435"/>
      <c r="S268" s="435"/>
      <c r="T268" s="435"/>
      <c r="U268" s="435"/>
      <c r="V268" s="435"/>
      <c r="W268" s="435"/>
      <c r="X268" s="435"/>
      <c r="Y268" s="435"/>
      <c r="Z268" s="435"/>
      <c r="AA268" s="435"/>
      <c r="AB268" s="435"/>
      <c r="AC268" s="435"/>
      <c r="AD268" s="435"/>
    </row>
    <row r="269" spans="1:30" x14ac:dyDescent="0.25">
      <c r="A269" s="435"/>
      <c r="B269" s="435"/>
      <c r="C269" s="435"/>
      <c r="D269" s="435"/>
      <c r="E269" s="435"/>
      <c r="F269" s="435"/>
      <c r="G269" s="435"/>
      <c r="H269" s="435"/>
      <c r="I269" s="435"/>
      <c r="J269" s="435"/>
      <c r="K269" s="435"/>
      <c r="L269" s="435"/>
      <c r="M269" s="435"/>
      <c r="N269" s="435"/>
      <c r="O269" s="435"/>
      <c r="P269" s="435"/>
      <c r="Q269" s="435"/>
      <c r="R269" s="435"/>
      <c r="S269" s="435"/>
      <c r="T269" s="435"/>
      <c r="U269" s="435"/>
      <c r="V269" s="435"/>
      <c r="W269" s="435"/>
      <c r="X269" s="435"/>
      <c r="Y269" s="435"/>
      <c r="Z269" s="435"/>
      <c r="AA269" s="435"/>
      <c r="AB269" s="435"/>
      <c r="AC269" s="435"/>
      <c r="AD269" s="435"/>
    </row>
    <row r="270" spans="1:30" x14ac:dyDescent="0.25">
      <c r="A270" s="435"/>
      <c r="B270" s="435"/>
      <c r="C270" s="435"/>
      <c r="D270" s="435"/>
      <c r="E270" s="435"/>
      <c r="F270" s="435"/>
      <c r="G270" s="435"/>
      <c r="H270" s="435"/>
      <c r="I270" s="435"/>
      <c r="J270" s="435"/>
      <c r="K270" s="435"/>
      <c r="L270" s="435"/>
      <c r="M270" s="435"/>
      <c r="N270" s="435"/>
      <c r="O270" s="435"/>
      <c r="P270" s="435"/>
      <c r="Q270" s="435"/>
      <c r="R270" s="435"/>
      <c r="S270" s="435"/>
      <c r="T270" s="435"/>
      <c r="U270" s="435"/>
      <c r="V270" s="435"/>
      <c r="W270" s="435"/>
      <c r="X270" s="435"/>
      <c r="Y270" s="435"/>
      <c r="Z270" s="435"/>
      <c r="AA270" s="435"/>
      <c r="AB270" s="435"/>
      <c r="AC270" s="435"/>
      <c r="AD270" s="435"/>
    </row>
    <row r="271" spans="1:30" x14ac:dyDescent="0.25">
      <c r="A271" s="435"/>
      <c r="B271" s="435"/>
      <c r="C271" s="435"/>
      <c r="D271" s="435"/>
      <c r="E271" s="435"/>
      <c r="F271" s="435"/>
      <c r="G271" s="435"/>
      <c r="H271" s="435"/>
      <c r="I271" s="435"/>
      <c r="J271" s="435"/>
      <c r="K271" s="435"/>
      <c r="L271" s="435"/>
      <c r="M271" s="435"/>
      <c r="N271" s="435"/>
      <c r="O271" s="435"/>
      <c r="P271" s="435"/>
      <c r="Q271" s="435"/>
      <c r="R271" s="435"/>
      <c r="S271" s="435"/>
      <c r="T271" s="435"/>
      <c r="U271" s="435"/>
      <c r="V271" s="435"/>
      <c r="W271" s="435"/>
      <c r="X271" s="435"/>
      <c r="Y271" s="435"/>
      <c r="Z271" s="435"/>
      <c r="AA271" s="435"/>
      <c r="AB271" s="435"/>
      <c r="AC271" s="435"/>
      <c r="AD271" s="435"/>
    </row>
    <row r="272" spans="1:30" x14ac:dyDescent="0.25">
      <c r="A272" s="435"/>
      <c r="B272" s="435"/>
      <c r="C272" s="435"/>
      <c r="D272" s="435"/>
      <c r="E272" s="435"/>
      <c r="F272" s="435"/>
      <c r="G272" s="435"/>
      <c r="H272" s="435"/>
      <c r="I272" s="435"/>
      <c r="J272" s="435"/>
      <c r="K272" s="435"/>
      <c r="L272" s="435"/>
      <c r="M272" s="435"/>
      <c r="N272" s="435"/>
      <c r="O272" s="435"/>
      <c r="P272" s="435"/>
      <c r="Q272" s="435"/>
      <c r="R272" s="435"/>
      <c r="S272" s="435"/>
      <c r="T272" s="435"/>
      <c r="U272" s="435"/>
      <c r="V272" s="435"/>
      <c r="W272" s="435"/>
      <c r="X272" s="435"/>
      <c r="Y272" s="435"/>
      <c r="Z272" s="435"/>
      <c r="AA272" s="435"/>
      <c r="AB272" s="435"/>
      <c r="AC272" s="435"/>
      <c r="AD272" s="435"/>
    </row>
    <row r="273" spans="1:30" x14ac:dyDescent="0.25">
      <c r="A273" s="435"/>
      <c r="B273" s="435"/>
      <c r="C273" s="435"/>
      <c r="D273" s="435"/>
      <c r="E273" s="435"/>
      <c r="F273" s="435"/>
      <c r="G273" s="435"/>
      <c r="H273" s="435"/>
      <c r="I273" s="435"/>
      <c r="J273" s="435"/>
      <c r="K273" s="435"/>
      <c r="L273" s="435"/>
      <c r="M273" s="435"/>
      <c r="N273" s="435"/>
      <c r="O273" s="435"/>
      <c r="P273" s="435"/>
      <c r="Q273" s="435"/>
      <c r="R273" s="435"/>
      <c r="S273" s="435"/>
      <c r="T273" s="435"/>
      <c r="U273" s="435"/>
      <c r="V273" s="435"/>
      <c r="W273" s="435"/>
      <c r="X273" s="435"/>
      <c r="Y273" s="435"/>
      <c r="Z273" s="435"/>
      <c r="AA273" s="435"/>
      <c r="AB273" s="435"/>
      <c r="AC273" s="435"/>
      <c r="AD273" s="435"/>
    </row>
    <row r="274" spans="1:30" x14ac:dyDescent="0.25">
      <c r="A274" s="435"/>
      <c r="B274" s="435"/>
      <c r="C274" s="435"/>
      <c r="D274" s="435"/>
      <c r="E274" s="435"/>
      <c r="F274" s="435"/>
      <c r="G274" s="435"/>
      <c r="H274" s="435"/>
      <c r="I274" s="435"/>
      <c r="J274" s="435"/>
      <c r="K274" s="435"/>
      <c r="L274" s="435"/>
      <c r="M274" s="435"/>
      <c r="N274" s="435"/>
      <c r="O274" s="435"/>
      <c r="P274" s="435"/>
      <c r="Q274" s="435"/>
      <c r="R274" s="435"/>
      <c r="S274" s="435"/>
      <c r="T274" s="435"/>
      <c r="U274" s="435"/>
      <c r="V274" s="435"/>
      <c r="W274" s="435"/>
      <c r="X274" s="435"/>
      <c r="Y274" s="435"/>
      <c r="Z274" s="435"/>
      <c r="AA274" s="435"/>
      <c r="AB274" s="435"/>
      <c r="AC274" s="435"/>
      <c r="AD274" s="435"/>
    </row>
    <row r="275" spans="1:30" x14ac:dyDescent="0.25">
      <c r="A275" s="435"/>
      <c r="B275" s="435"/>
      <c r="C275" s="435"/>
      <c r="D275" s="435"/>
      <c r="E275" s="435"/>
      <c r="F275" s="435"/>
      <c r="G275" s="435"/>
      <c r="H275" s="435"/>
      <c r="I275" s="435"/>
      <c r="J275" s="435"/>
      <c r="K275" s="435"/>
      <c r="L275" s="435"/>
      <c r="M275" s="435"/>
      <c r="N275" s="435"/>
      <c r="O275" s="435"/>
      <c r="P275" s="435"/>
      <c r="Q275" s="435"/>
      <c r="R275" s="435"/>
      <c r="S275" s="435"/>
      <c r="T275" s="435"/>
      <c r="U275" s="435"/>
      <c r="V275" s="435"/>
      <c r="W275" s="435"/>
      <c r="X275" s="435"/>
      <c r="Y275" s="435"/>
      <c r="Z275" s="435"/>
      <c r="AA275" s="435"/>
      <c r="AB275" s="435"/>
      <c r="AC275" s="435"/>
      <c r="AD275" s="435"/>
    </row>
    <row r="276" spans="1:30" x14ac:dyDescent="0.25">
      <c r="A276" s="435"/>
      <c r="B276" s="435"/>
      <c r="C276" s="435"/>
      <c r="D276" s="435"/>
      <c r="E276" s="435"/>
      <c r="F276" s="435"/>
      <c r="G276" s="435"/>
      <c r="H276" s="435"/>
      <c r="I276" s="435"/>
      <c r="J276" s="435"/>
      <c r="K276" s="435"/>
      <c r="L276" s="435"/>
      <c r="M276" s="435"/>
      <c r="N276" s="435"/>
      <c r="O276" s="435"/>
      <c r="P276" s="435"/>
      <c r="Q276" s="435"/>
      <c r="R276" s="435"/>
      <c r="S276" s="435"/>
      <c r="T276" s="435"/>
      <c r="U276" s="435"/>
      <c r="V276" s="435"/>
      <c r="W276" s="435"/>
      <c r="X276" s="435"/>
      <c r="Y276" s="435"/>
      <c r="Z276" s="435"/>
      <c r="AA276" s="435"/>
      <c r="AB276" s="435"/>
      <c r="AC276" s="435"/>
      <c r="AD276" s="435"/>
    </row>
    <row r="277" spans="1:30" x14ac:dyDescent="0.25">
      <c r="A277" s="435"/>
      <c r="B277" s="435"/>
      <c r="C277" s="435"/>
      <c r="D277" s="435"/>
      <c r="E277" s="435"/>
      <c r="F277" s="435"/>
      <c r="G277" s="435"/>
      <c r="H277" s="435"/>
      <c r="I277" s="435"/>
      <c r="J277" s="435"/>
      <c r="K277" s="435"/>
      <c r="L277" s="435"/>
      <c r="M277" s="435"/>
      <c r="N277" s="435"/>
      <c r="O277" s="435"/>
      <c r="P277" s="435"/>
      <c r="Q277" s="435"/>
      <c r="R277" s="435"/>
      <c r="S277" s="435"/>
      <c r="T277" s="435"/>
      <c r="U277" s="435"/>
      <c r="V277" s="435"/>
      <c r="W277" s="435"/>
      <c r="X277" s="435"/>
      <c r="Y277" s="435"/>
      <c r="Z277" s="435"/>
      <c r="AA277" s="435"/>
      <c r="AB277" s="435"/>
      <c r="AC277" s="435"/>
      <c r="AD277" s="435"/>
    </row>
    <row r="278" spans="1:30" x14ac:dyDescent="0.25">
      <c r="A278" s="435"/>
      <c r="B278" s="435"/>
      <c r="C278" s="435"/>
      <c r="D278" s="435"/>
      <c r="E278" s="435"/>
      <c r="F278" s="435"/>
      <c r="G278" s="435"/>
      <c r="H278" s="435"/>
      <c r="I278" s="435"/>
      <c r="J278" s="435"/>
      <c r="K278" s="435"/>
      <c r="L278" s="435"/>
      <c r="M278" s="435"/>
      <c r="N278" s="435"/>
      <c r="O278" s="435"/>
      <c r="P278" s="435"/>
      <c r="Q278" s="435"/>
      <c r="R278" s="435"/>
      <c r="S278" s="435"/>
      <c r="T278" s="435"/>
      <c r="U278" s="435"/>
      <c r="V278" s="435"/>
      <c r="W278" s="435"/>
      <c r="X278" s="435"/>
      <c r="Y278" s="435"/>
      <c r="Z278" s="435"/>
      <c r="AA278" s="435"/>
      <c r="AB278" s="435"/>
      <c r="AC278" s="435"/>
      <c r="AD278" s="435"/>
    </row>
    <row r="279" spans="1:30" x14ac:dyDescent="0.25">
      <c r="A279" s="435"/>
      <c r="B279" s="435"/>
      <c r="C279" s="435"/>
      <c r="D279" s="435"/>
      <c r="E279" s="435"/>
      <c r="F279" s="435"/>
      <c r="G279" s="435"/>
      <c r="H279" s="435"/>
      <c r="I279" s="435"/>
      <c r="J279" s="435"/>
      <c r="K279" s="435"/>
      <c r="L279" s="435"/>
      <c r="M279" s="435"/>
      <c r="N279" s="435"/>
      <c r="O279" s="435"/>
      <c r="P279" s="435"/>
      <c r="Q279" s="435"/>
      <c r="R279" s="435"/>
      <c r="S279" s="435"/>
      <c r="T279" s="435"/>
      <c r="U279" s="435"/>
      <c r="V279" s="435"/>
      <c r="W279" s="435"/>
      <c r="X279" s="435"/>
      <c r="Y279" s="435"/>
      <c r="Z279" s="435"/>
      <c r="AA279" s="435"/>
      <c r="AB279" s="435"/>
      <c r="AC279" s="435"/>
      <c r="AD279" s="435"/>
    </row>
    <row r="280" spans="1:30" x14ac:dyDescent="0.25">
      <c r="A280" s="435"/>
      <c r="B280" s="435"/>
      <c r="C280" s="435"/>
      <c r="D280" s="435"/>
      <c r="E280" s="435"/>
      <c r="F280" s="435"/>
      <c r="G280" s="435"/>
      <c r="H280" s="435"/>
      <c r="I280" s="435"/>
      <c r="J280" s="435"/>
      <c r="K280" s="435"/>
      <c r="L280" s="435"/>
      <c r="M280" s="435"/>
      <c r="N280" s="435"/>
      <c r="O280" s="435"/>
      <c r="P280" s="435"/>
      <c r="Q280" s="435"/>
      <c r="R280" s="435"/>
      <c r="S280" s="435"/>
      <c r="T280" s="435"/>
      <c r="U280" s="435"/>
      <c r="V280" s="435"/>
      <c r="W280" s="435"/>
      <c r="X280" s="435"/>
      <c r="Y280" s="435"/>
      <c r="Z280" s="435"/>
      <c r="AA280" s="435"/>
      <c r="AB280" s="435"/>
      <c r="AC280" s="435"/>
      <c r="AD280" s="435"/>
    </row>
    <row r="281" spans="1:30" x14ac:dyDescent="0.25">
      <c r="A281" s="435"/>
      <c r="B281" s="435"/>
      <c r="C281" s="435"/>
      <c r="D281" s="435"/>
      <c r="E281" s="435"/>
      <c r="F281" s="435"/>
      <c r="G281" s="435"/>
      <c r="H281" s="435"/>
      <c r="I281" s="435"/>
      <c r="J281" s="435"/>
      <c r="K281" s="435"/>
      <c r="L281" s="435"/>
      <c r="M281" s="435"/>
      <c r="N281" s="435"/>
      <c r="O281" s="435"/>
      <c r="P281" s="435"/>
      <c r="Q281" s="435"/>
      <c r="R281" s="435"/>
      <c r="S281" s="435"/>
      <c r="T281" s="435"/>
      <c r="U281" s="435"/>
      <c r="V281" s="435"/>
      <c r="W281" s="435"/>
      <c r="X281" s="435"/>
      <c r="Y281" s="435"/>
      <c r="Z281" s="435"/>
      <c r="AA281" s="435"/>
      <c r="AB281" s="435"/>
      <c r="AC281" s="435"/>
      <c r="AD281" s="435"/>
    </row>
    <row r="282" spans="1:30" x14ac:dyDescent="0.25">
      <c r="A282" s="435"/>
      <c r="B282" s="435"/>
      <c r="C282" s="435"/>
      <c r="D282" s="435"/>
      <c r="E282" s="435"/>
      <c r="F282" s="435"/>
      <c r="G282" s="435"/>
      <c r="H282" s="435"/>
      <c r="I282" s="435"/>
      <c r="J282" s="435"/>
      <c r="K282" s="435"/>
      <c r="L282" s="435"/>
      <c r="M282" s="435"/>
      <c r="N282" s="435"/>
      <c r="O282" s="435"/>
      <c r="P282" s="435"/>
      <c r="Q282" s="435"/>
      <c r="R282" s="435"/>
      <c r="S282" s="435"/>
      <c r="T282" s="435"/>
      <c r="U282" s="435"/>
      <c r="V282" s="435"/>
      <c r="W282" s="435"/>
      <c r="X282" s="435"/>
      <c r="Y282" s="435"/>
      <c r="Z282" s="435"/>
      <c r="AA282" s="435"/>
      <c r="AB282" s="435"/>
      <c r="AC282" s="435"/>
      <c r="AD282" s="435"/>
    </row>
    <row r="283" spans="1:30" x14ac:dyDescent="0.25">
      <c r="A283" s="435"/>
      <c r="B283" s="435"/>
      <c r="C283" s="435"/>
      <c r="D283" s="435"/>
      <c r="E283" s="435"/>
      <c r="F283" s="435"/>
      <c r="G283" s="435"/>
      <c r="H283" s="435"/>
      <c r="I283" s="435"/>
      <c r="J283" s="435"/>
      <c r="K283" s="435"/>
      <c r="L283" s="435"/>
      <c r="M283" s="435"/>
      <c r="N283" s="435"/>
      <c r="O283" s="435"/>
      <c r="P283" s="435"/>
      <c r="Q283" s="435"/>
      <c r="R283" s="435"/>
      <c r="S283" s="435"/>
      <c r="T283" s="435"/>
      <c r="U283" s="435"/>
      <c r="V283" s="435"/>
      <c r="W283" s="435"/>
      <c r="X283" s="435"/>
      <c r="Y283" s="435"/>
      <c r="Z283" s="435"/>
      <c r="AA283" s="435"/>
      <c r="AB283" s="435"/>
      <c r="AC283" s="435"/>
      <c r="AD283" s="435"/>
    </row>
    <row r="284" spans="1:30" x14ac:dyDescent="0.25">
      <c r="A284" s="435"/>
      <c r="B284" s="435"/>
      <c r="C284" s="435"/>
      <c r="D284" s="435"/>
      <c r="E284" s="435"/>
      <c r="F284" s="435"/>
      <c r="G284" s="435"/>
      <c r="H284" s="435"/>
      <c r="I284" s="435"/>
      <c r="J284" s="435"/>
      <c r="K284" s="435"/>
      <c r="L284" s="435"/>
      <c r="M284" s="435"/>
      <c r="N284" s="435"/>
      <c r="O284" s="435"/>
      <c r="P284" s="435"/>
      <c r="Q284" s="435"/>
      <c r="R284" s="435"/>
      <c r="S284" s="435"/>
      <c r="T284" s="435"/>
      <c r="U284" s="435"/>
      <c r="V284" s="435"/>
      <c r="W284" s="435"/>
      <c r="X284" s="435"/>
      <c r="Y284" s="435"/>
      <c r="Z284" s="435"/>
      <c r="AA284" s="435"/>
      <c r="AB284" s="435"/>
      <c r="AC284" s="435"/>
      <c r="AD284" s="435"/>
    </row>
    <row r="285" spans="1:30" x14ac:dyDescent="0.25">
      <c r="A285" s="435"/>
      <c r="B285" s="435"/>
      <c r="C285" s="435"/>
      <c r="D285" s="435"/>
      <c r="E285" s="435"/>
      <c r="F285" s="435"/>
      <c r="G285" s="435"/>
      <c r="H285" s="435"/>
      <c r="I285" s="435"/>
      <c r="J285" s="435"/>
      <c r="K285" s="435"/>
      <c r="L285" s="435"/>
      <c r="M285" s="435"/>
      <c r="N285" s="435"/>
      <c r="O285" s="435"/>
      <c r="P285" s="435"/>
      <c r="Q285" s="435"/>
      <c r="R285" s="435"/>
      <c r="S285" s="435"/>
      <c r="T285" s="435"/>
      <c r="U285" s="435"/>
      <c r="V285" s="435"/>
      <c r="W285" s="435"/>
      <c r="X285" s="435"/>
      <c r="Y285" s="435"/>
      <c r="Z285" s="435"/>
      <c r="AA285" s="435"/>
      <c r="AB285" s="435"/>
      <c r="AC285" s="435"/>
      <c r="AD285" s="435"/>
    </row>
    <row r="286" spans="1:30" x14ac:dyDescent="0.25">
      <c r="A286" s="435"/>
      <c r="B286" s="435"/>
      <c r="C286" s="435"/>
      <c r="D286" s="435"/>
      <c r="E286" s="435"/>
      <c r="F286" s="435"/>
      <c r="G286" s="435"/>
      <c r="H286" s="435"/>
      <c r="I286" s="435"/>
      <c r="J286" s="435"/>
      <c r="K286" s="435"/>
      <c r="L286" s="435"/>
      <c r="M286" s="435"/>
      <c r="N286" s="435"/>
      <c r="O286" s="435"/>
      <c r="P286" s="435"/>
      <c r="Q286" s="435"/>
      <c r="R286" s="435"/>
      <c r="S286" s="435"/>
      <c r="T286" s="435"/>
      <c r="U286" s="435"/>
      <c r="V286" s="435"/>
      <c r="W286" s="435"/>
      <c r="X286" s="435"/>
      <c r="Y286" s="435"/>
      <c r="Z286" s="435"/>
      <c r="AA286" s="435"/>
      <c r="AB286" s="435"/>
      <c r="AC286" s="435"/>
      <c r="AD286" s="435"/>
    </row>
    <row r="287" spans="1:30" x14ac:dyDescent="0.25">
      <c r="A287" s="435"/>
      <c r="B287" s="435"/>
      <c r="C287" s="435"/>
      <c r="D287" s="435"/>
      <c r="E287" s="435"/>
      <c r="F287" s="435"/>
      <c r="G287" s="435"/>
      <c r="H287" s="435"/>
      <c r="I287" s="435"/>
      <c r="J287" s="435"/>
      <c r="K287" s="435"/>
      <c r="L287" s="435"/>
      <c r="M287" s="435"/>
      <c r="N287" s="435"/>
      <c r="O287" s="435"/>
      <c r="P287" s="435"/>
      <c r="Q287" s="435"/>
      <c r="R287" s="435"/>
      <c r="S287" s="435"/>
      <c r="T287" s="435"/>
      <c r="U287" s="435"/>
      <c r="V287" s="435"/>
      <c r="W287" s="435"/>
      <c r="X287" s="435"/>
      <c r="Y287" s="435"/>
      <c r="Z287" s="435"/>
      <c r="AA287" s="435"/>
      <c r="AB287" s="435"/>
      <c r="AC287" s="435"/>
      <c r="AD287" s="435"/>
    </row>
    <row r="288" spans="1:30" x14ac:dyDescent="0.25">
      <c r="A288" s="435"/>
      <c r="B288" s="435"/>
      <c r="C288" s="435"/>
      <c r="D288" s="435"/>
      <c r="E288" s="435"/>
      <c r="F288" s="435"/>
      <c r="G288" s="435"/>
      <c r="H288" s="435"/>
      <c r="I288" s="435"/>
      <c r="J288" s="435"/>
      <c r="K288" s="435"/>
      <c r="L288" s="435"/>
      <c r="M288" s="435"/>
      <c r="N288" s="435"/>
      <c r="O288" s="435"/>
      <c r="P288" s="435"/>
      <c r="Q288" s="435"/>
      <c r="R288" s="435"/>
      <c r="S288" s="435"/>
      <c r="T288" s="435"/>
      <c r="U288" s="435"/>
      <c r="V288" s="435"/>
      <c r="W288" s="435"/>
      <c r="X288" s="435"/>
      <c r="Y288" s="435"/>
      <c r="Z288" s="435"/>
      <c r="AA288" s="435"/>
      <c r="AB288" s="435"/>
      <c r="AC288" s="435"/>
      <c r="AD288" s="435"/>
    </row>
    <row r="289" spans="1:30" x14ac:dyDescent="0.25">
      <c r="A289" s="435"/>
      <c r="B289" s="435"/>
      <c r="C289" s="435"/>
      <c r="D289" s="435"/>
      <c r="E289" s="435"/>
      <c r="F289" s="435"/>
      <c r="G289" s="435"/>
      <c r="H289" s="435"/>
      <c r="I289" s="435"/>
      <c r="J289" s="435"/>
      <c r="K289" s="435"/>
      <c r="L289" s="435"/>
      <c r="M289" s="435"/>
      <c r="N289" s="435"/>
      <c r="O289" s="435"/>
      <c r="P289" s="435"/>
      <c r="Q289" s="435"/>
      <c r="R289" s="435"/>
      <c r="S289" s="435"/>
      <c r="T289" s="435"/>
      <c r="U289" s="435"/>
      <c r="V289" s="435"/>
      <c r="W289" s="435"/>
      <c r="X289" s="435"/>
      <c r="Y289" s="435"/>
      <c r="Z289" s="435"/>
      <c r="AA289" s="435"/>
      <c r="AB289" s="435"/>
      <c r="AC289" s="435"/>
      <c r="AD289" s="435"/>
    </row>
    <row r="290" spans="1:30" x14ac:dyDescent="0.25">
      <c r="A290" s="435"/>
      <c r="B290" s="435"/>
      <c r="C290" s="435"/>
      <c r="D290" s="435"/>
      <c r="E290" s="435"/>
      <c r="F290" s="435"/>
      <c r="G290" s="435"/>
      <c r="H290" s="435"/>
      <c r="I290" s="435"/>
      <c r="J290" s="435"/>
      <c r="K290" s="435"/>
      <c r="L290" s="435"/>
      <c r="M290" s="435"/>
      <c r="N290" s="435"/>
      <c r="O290" s="435"/>
      <c r="P290" s="435"/>
      <c r="Q290" s="435"/>
      <c r="R290" s="435"/>
      <c r="S290" s="435"/>
      <c r="T290" s="435"/>
      <c r="U290" s="435"/>
      <c r="V290" s="435"/>
      <c r="W290" s="435"/>
      <c r="X290" s="435"/>
      <c r="Y290" s="435"/>
      <c r="Z290" s="435"/>
      <c r="AA290" s="435"/>
      <c r="AB290" s="435"/>
      <c r="AC290" s="435"/>
      <c r="AD290" s="435"/>
    </row>
    <row r="291" spans="1:30" x14ac:dyDescent="0.25">
      <c r="A291" s="435"/>
      <c r="B291" s="435"/>
      <c r="C291" s="435"/>
      <c r="D291" s="435"/>
      <c r="E291" s="435"/>
      <c r="F291" s="435"/>
      <c r="G291" s="435"/>
      <c r="H291" s="435"/>
      <c r="I291" s="435"/>
      <c r="J291" s="435"/>
      <c r="K291" s="435"/>
      <c r="L291" s="435"/>
      <c r="M291" s="435"/>
      <c r="N291" s="435"/>
      <c r="O291" s="435"/>
      <c r="P291" s="435"/>
      <c r="Q291" s="435"/>
      <c r="R291" s="435"/>
      <c r="S291" s="435"/>
      <c r="T291" s="435"/>
      <c r="U291" s="435"/>
      <c r="V291" s="435"/>
      <c r="W291" s="435"/>
      <c r="X291" s="435"/>
      <c r="Y291" s="435"/>
      <c r="Z291" s="435"/>
      <c r="AA291" s="435"/>
      <c r="AB291" s="435"/>
      <c r="AC291" s="435"/>
      <c r="AD291" s="435"/>
    </row>
    <row r="292" spans="1:30" x14ac:dyDescent="0.25">
      <c r="A292" s="435"/>
      <c r="B292" s="435"/>
      <c r="C292" s="435"/>
      <c r="D292" s="435"/>
      <c r="E292" s="435"/>
      <c r="F292" s="435"/>
      <c r="G292" s="435"/>
      <c r="H292" s="435"/>
      <c r="I292" s="435"/>
      <c r="J292" s="435"/>
      <c r="K292" s="435"/>
      <c r="L292" s="435"/>
      <c r="M292" s="435"/>
      <c r="N292" s="435"/>
      <c r="O292" s="435"/>
      <c r="P292" s="435"/>
      <c r="Q292" s="435"/>
      <c r="R292" s="435"/>
      <c r="S292" s="435"/>
      <c r="T292" s="435"/>
      <c r="U292" s="435"/>
      <c r="V292" s="435"/>
      <c r="W292" s="435"/>
      <c r="X292" s="435"/>
      <c r="Y292" s="435"/>
      <c r="Z292" s="435"/>
      <c r="AA292" s="435"/>
      <c r="AB292" s="435"/>
      <c r="AC292" s="435"/>
      <c r="AD292" s="435"/>
    </row>
    <row r="293" spans="1:30" x14ac:dyDescent="0.25">
      <c r="A293" s="435"/>
      <c r="B293" s="435"/>
      <c r="C293" s="435"/>
      <c r="D293" s="435"/>
      <c r="E293" s="435"/>
      <c r="F293" s="435"/>
      <c r="G293" s="435"/>
      <c r="H293" s="435"/>
      <c r="I293" s="435"/>
      <c r="J293" s="435"/>
      <c r="K293" s="435"/>
      <c r="L293" s="435"/>
      <c r="M293" s="435"/>
      <c r="N293" s="435"/>
      <c r="O293" s="435"/>
      <c r="P293" s="435"/>
      <c r="Q293" s="435"/>
      <c r="R293" s="435"/>
      <c r="S293" s="435"/>
      <c r="T293" s="435"/>
      <c r="U293" s="435"/>
      <c r="V293" s="435"/>
      <c r="W293" s="435"/>
      <c r="X293" s="435"/>
      <c r="Y293" s="435"/>
      <c r="Z293" s="435"/>
      <c r="AA293" s="435"/>
      <c r="AB293" s="435"/>
      <c r="AC293" s="435"/>
      <c r="AD293" s="435"/>
    </row>
    <row r="294" spans="1:30" x14ac:dyDescent="0.25">
      <c r="A294" s="435"/>
      <c r="B294" s="435"/>
      <c r="C294" s="435"/>
      <c r="D294" s="435"/>
      <c r="E294" s="435"/>
      <c r="F294" s="435"/>
      <c r="G294" s="435"/>
      <c r="H294" s="435"/>
      <c r="I294" s="435"/>
      <c r="J294" s="435"/>
      <c r="K294" s="435"/>
      <c r="L294" s="435"/>
      <c r="M294" s="435"/>
      <c r="N294" s="435"/>
      <c r="O294" s="435"/>
      <c r="P294" s="435"/>
      <c r="Q294" s="435"/>
      <c r="R294" s="435"/>
      <c r="S294" s="435"/>
      <c r="T294" s="435"/>
      <c r="U294" s="435"/>
      <c r="V294" s="435"/>
      <c r="W294" s="435"/>
      <c r="X294" s="435"/>
      <c r="Y294" s="435"/>
      <c r="Z294" s="435"/>
      <c r="AA294" s="435"/>
      <c r="AB294" s="435"/>
      <c r="AC294" s="435"/>
      <c r="AD294" s="435"/>
    </row>
    <row r="295" spans="1:30" x14ac:dyDescent="0.25">
      <c r="A295" s="435"/>
      <c r="B295" s="435"/>
      <c r="C295" s="435"/>
      <c r="D295" s="435"/>
      <c r="E295" s="435"/>
      <c r="F295" s="435"/>
      <c r="G295" s="435"/>
      <c r="H295" s="435"/>
      <c r="I295" s="435"/>
      <c r="J295" s="435"/>
      <c r="K295" s="435"/>
      <c r="L295" s="435"/>
      <c r="M295" s="435"/>
      <c r="N295" s="435"/>
      <c r="O295" s="435"/>
      <c r="P295" s="435"/>
      <c r="Q295" s="435"/>
      <c r="R295" s="435"/>
      <c r="S295" s="435"/>
      <c r="T295" s="435"/>
      <c r="U295" s="435"/>
      <c r="V295" s="435"/>
      <c r="W295" s="435"/>
      <c r="X295" s="435"/>
      <c r="Y295" s="435"/>
      <c r="Z295" s="435"/>
      <c r="AA295" s="435"/>
      <c r="AB295" s="435"/>
      <c r="AC295" s="435"/>
      <c r="AD295" s="435"/>
    </row>
    <row r="296" spans="1:30" x14ac:dyDescent="0.25">
      <c r="A296" s="435"/>
      <c r="B296" s="435"/>
      <c r="C296" s="435"/>
      <c r="D296" s="435"/>
      <c r="E296" s="435"/>
      <c r="F296" s="435"/>
      <c r="G296" s="435"/>
      <c r="H296" s="435"/>
      <c r="I296" s="435"/>
      <c r="J296" s="435"/>
      <c r="K296" s="435"/>
      <c r="L296" s="435"/>
      <c r="M296" s="435"/>
      <c r="N296" s="435"/>
      <c r="O296" s="435"/>
      <c r="P296" s="435"/>
      <c r="Q296" s="435"/>
      <c r="R296" s="435"/>
      <c r="S296" s="435"/>
      <c r="T296" s="435"/>
      <c r="U296" s="435"/>
      <c r="V296" s="435"/>
      <c r="W296" s="435"/>
      <c r="X296" s="435"/>
      <c r="Y296" s="435"/>
      <c r="Z296" s="435"/>
      <c r="AA296" s="435"/>
      <c r="AB296" s="435"/>
      <c r="AC296" s="435"/>
      <c r="AD296" s="435"/>
    </row>
    <row r="297" spans="1:30" x14ac:dyDescent="0.25">
      <c r="A297" s="435"/>
      <c r="B297" s="435"/>
      <c r="C297" s="435"/>
      <c r="D297" s="435"/>
      <c r="E297" s="435"/>
      <c r="F297" s="435"/>
      <c r="G297" s="435"/>
      <c r="H297" s="435"/>
      <c r="I297" s="435"/>
      <c r="J297" s="435"/>
      <c r="K297" s="435"/>
      <c r="L297" s="435"/>
      <c r="M297" s="435"/>
      <c r="N297" s="435"/>
      <c r="O297" s="435"/>
      <c r="P297" s="435"/>
      <c r="Q297" s="435"/>
      <c r="R297" s="435"/>
      <c r="S297" s="435"/>
      <c r="T297" s="435"/>
      <c r="U297" s="435"/>
      <c r="V297" s="435"/>
      <c r="W297" s="435"/>
      <c r="X297" s="435"/>
      <c r="Y297" s="435"/>
      <c r="Z297" s="435"/>
      <c r="AA297" s="435"/>
      <c r="AB297" s="435"/>
      <c r="AC297" s="435"/>
      <c r="AD297" s="435"/>
    </row>
    <row r="298" spans="1:30" x14ac:dyDescent="0.25">
      <c r="A298" s="435"/>
      <c r="B298" s="435"/>
      <c r="C298" s="435"/>
      <c r="D298" s="435"/>
      <c r="E298" s="435"/>
      <c r="F298" s="435"/>
      <c r="G298" s="435"/>
      <c r="H298" s="435"/>
      <c r="I298" s="435"/>
      <c r="J298" s="435"/>
      <c r="K298" s="435"/>
      <c r="L298" s="435"/>
      <c r="M298" s="435"/>
      <c r="N298" s="435"/>
      <c r="O298" s="435"/>
      <c r="P298" s="435"/>
      <c r="Q298" s="435"/>
      <c r="R298" s="435"/>
      <c r="S298" s="435"/>
      <c r="T298" s="435"/>
      <c r="U298" s="435"/>
      <c r="V298" s="435"/>
      <c r="W298" s="435"/>
      <c r="X298" s="435"/>
      <c r="Y298" s="435"/>
      <c r="Z298" s="435"/>
      <c r="AA298" s="435"/>
      <c r="AB298" s="435"/>
      <c r="AC298" s="435"/>
      <c r="AD298" s="435"/>
    </row>
    <row r="299" spans="1:30" x14ac:dyDescent="0.25">
      <c r="A299" s="435"/>
      <c r="B299" s="435"/>
      <c r="C299" s="435"/>
      <c r="D299" s="435"/>
      <c r="E299" s="435"/>
      <c r="F299" s="435"/>
      <c r="G299" s="435"/>
      <c r="H299" s="435"/>
      <c r="I299" s="435"/>
      <c r="J299" s="435"/>
      <c r="K299" s="435"/>
      <c r="L299" s="435"/>
      <c r="M299" s="435"/>
      <c r="N299" s="435"/>
      <c r="O299" s="435"/>
      <c r="P299" s="435"/>
      <c r="Q299" s="435"/>
      <c r="R299" s="435"/>
      <c r="S299" s="435"/>
      <c r="T299" s="435"/>
      <c r="U299" s="435"/>
      <c r="V299" s="435"/>
      <c r="W299" s="435"/>
      <c r="X299" s="435"/>
      <c r="Y299" s="435"/>
      <c r="Z299" s="435"/>
      <c r="AA299" s="435"/>
      <c r="AB299" s="435"/>
      <c r="AC299" s="435"/>
      <c r="AD299" s="435"/>
    </row>
    <row r="300" spans="1:30" x14ac:dyDescent="0.25">
      <c r="A300" s="435"/>
      <c r="B300" s="435"/>
      <c r="C300" s="435"/>
      <c r="D300" s="435"/>
      <c r="E300" s="435"/>
      <c r="F300" s="435"/>
      <c r="G300" s="435"/>
      <c r="H300" s="435"/>
      <c r="I300" s="435"/>
      <c r="J300" s="435"/>
      <c r="K300" s="435"/>
      <c r="L300" s="435"/>
      <c r="M300" s="435"/>
      <c r="N300" s="435"/>
      <c r="O300" s="435"/>
      <c r="P300" s="435"/>
      <c r="Q300" s="435"/>
      <c r="R300" s="435"/>
      <c r="S300" s="435"/>
      <c r="T300" s="435"/>
      <c r="U300" s="435"/>
      <c r="V300" s="435"/>
      <c r="W300" s="435"/>
      <c r="X300" s="435"/>
      <c r="Y300" s="435"/>
      <c r="Z300" s="435"/>
      <c r="AA300" s="435"/>
      <c r="AB300" s="435"/>
      <c r="AC300" s="435"/>
      <c r="AD300" s="435"/>
    </row>
    <row r="301" spans="1:30" x14ac:dyDescent="0.25">
      <c r="A301" s="435"/>
      <c r="B301" s="435"/>
      <c r="C301" s="435"/>
      <c r="D301" s="435"/>
      <c r="E301" s="435"/>
      <c r="F301" s="435"/>
      <c r="G301" s="435"/>
      <c r="H301" s="435"/>
      <c r="I301" s="435"/>
      <c r="J301" s="435"/>
      <c r="K301" s="435"/>
      <c r="L301" s="435"/>
      <c r="M301" s="435"/>
      <c r="N301" s="435"/>
      <c r="O301" s="435"/>
      <c r="P301" s="435"/>
      <c r="Q301" s="435"/>
      <c r="R301" s="435"/>
      <c r="S301" s="435"/>
      <c r="T301" s="435"/>
      <c r="U301" s="435"/>
      <c r="V301" s="435"/>
      <c r="W301" s="435"/>
      <c r="X301" s="435"/>
      <c r="Y301" s="435"/>
      <c r="Z301" s="435"/>
      <c r="AA301" s="435"/>
      <c r="AB301" s="435"/>
      <c r="AC301" s="435"/>
      <c r="AD301" s="435"/>
    </row>
    <row r="302" spans="1:30" x14ac:dyDescent="0.25">
      <c r="A302" s="435"/>
      <c r="B302" s="435"/>
      <c r="C302" s="435"/>
      <c r="D302" s="435"/>
      <c r="E302" s="435"/>
      <c r="F302" s="435"/>
      <c r="G302" s="435"/>
      <c r="H302" s="435"/>
      <c r="I302" s="435"/>
      <c r="J302" s="435"/>
      <c r="K302" s="435"/>
      <c r="L302" s="435"/>
      <c r="M302" s="435"/>
      <c r="N302" s="435"/>
      <c r="O302" s="435"/>
      <c r="P302" s="435"/>
      <c r="Q302" s="435"/>
      <c r="R302" s="435"/>
      <c r="S302" s="435"/>
      <c r="T302" s="435"/>
      <c r="U302" s="435"/>
      <c r="V302" s="435"/>
      <c r="W302" s="435"/>
      <c r="X302" s="435"/>
      <c r="Y302" s="435"/>
      <c r="Z302" s="435"/>
      <c r="AA302" s="435"/>
      <c r="AB302" s="435"/>
      <c r="AC302" s="435"/>
      <c r="AD302" s="435"/>
    </row>
    <row r="303" spans="1:30" x14ac:dyDescent="0.25">
      <c r="A303" s="435"/>
      <c r="B303" s="435"/>
      <c r="C303" s="435"/>
      <c r="D303" s="435"/>
      <c r="E303" s="435"/>
      <c r="F303" s="435"/>
      <c r="G303" s="435"/>
      <c r="H303" s="435"/>
      <c r="I303" s="435"/>
      <c r="J303" s="435"/>
      <c r="K303" s="435"/>
      <c r="L303" s="435"/>
      <c r="M303" s="435"/>
      <c r="N303" s="435"/>
      <c r="O303" s="435"/>
      <c r="P303" s="435"/>
      <c r="Q303" s="435"/>
      <c r="R303" s="435"/>
      <c r="S303" s="435"/>
      <c r="T303" s="435"/>
      <c r="U303" s="435"/>
      <c r="V303" s="435"/>
      <c r="W303" s="435"/>
      <c r="X303" s="435"/>
      <c r="Y303" s="435"/>
      <c r="Z303" s="435"/>
      <c r="AA303" s="435"/>
      <c r="AB303" s="435"/>
      <c r="AC303" s="435"/>
      <c r="AD303" s="435"/>
    </row>
    <row r="304" spans="1:30" x14ac:dyDescent="0.25">
      <c r="A304" s="435"/>
      <c r="B304" s="435"/>
      <c r="C304" s="435"/>
      <c r="D304" s="435"/>
      <c r="E304" s="435"/>
      <c r="F304" s="435"/>
      <c r="G304" s="435"/>
      <c r="H304" s="435"/>
      <c r="I304" s="435"/>
      <c r="J304" s="435"/>
      <c r="K304" s="435"/>
      <c r="L304" s="435"/>
      <c r="M304" s="435"/>
      <c r="N304" s="435"/>
      <c r="O304" s="435"/>
      <c r="P304" s="435"/>
      <c r="Q304" s="435"/>
      <c r="R304" s="435"/>
      <c r="S304" s="435"/>
      <c r="T304" s="435"/>
      <c r="U304" s="435"/>
      <c r="V304" s="435"/>
      <c r="W304" s="435"/>
      <c r="X304" s="435"/>
      <c r="Y304" s="435"/>
      <c r="Z304" s="435"/>
      <c r="AA304" s="435"/>
      <c r="AB304" s="435"/>
      <c r="AC304" s="435"/>
      <c r="AD304" s="435"/>
    </row>
    <row r="305" spans="1:30" x14ac:dyDescent="0.25">
      <c r="A305" s="435"/>
      <c r="B305" s="435"/>
      <c r="C305" s="435"/>
      <c r="D305" s="435"/>
      <c r="E305" s="435"/>
      <c r="F305" s="435"/>
      <c r="G305" s="435"/>
      <c r="H305" s="435"/>
      <c r="I305" s="435"/>
      <c r="J305" s="435"/>
      <c r="K305" s="435"/>
      <c r="L305" s="435"/>
      <c r="M305" s="435"/>
      <c r="N305" s="435"/>
      <c r="O305" s="435"/>
      <c r="P305" s="435"/>
      <c r="Q305" s="435"/>
      <c r="R305" s="435"/>
      <c r="S305" s="435"/>
      <c r="T305" s="435"/>
      <c r="U305" s="435"/>
      <c r="V305" s="435"/>
      <c r="W305" s="435"/>
      <c r="X305" s="435"/>
      <c r="Y305" s="435"/>
      <c r="Z305" s="435"/>
      <c r="AA305" s="435"/>
      <c r="AB305" s="435"/>
      <c r="AC305" s="435"/>
      <c r="AD305" s="435"/>
    </row>
    <row r="306" spans="1:30" x14ac:dyDescent="0.25">
      <c r="A306" s="435"/>
      <c r="B306" s="435"/>
      <c r="C306" s="435"/>
      <c r="D306" s="435"/>
      <c r="E306" s="435"/>
      <c r="F306" s="435"/>
      <c r="G306" s="435"/>
      <c r="H306" s="435"/>
      <c r="I306" s="435"/>
      <c r="J306" s="435"/>
      <c r="K306" s="435"/>
      <c r="L306" s="435"/>
      <c r="M306" s="435"/>
      <c r="N306" s="435"/>
      <c r="O306" s="435"/>
      <c r="P306" s="435"/>
      <c r="Q306" s="435"/>
      <c r="R306" s="435"/>
      <c r="S306" s="435"/>
      <c r="T306" s="435"/>
      <c r="U306" s="435"/>
      <c r="V306" s="435"/>
      <c r="W306" s="435"/>
      <c r="X306" s="435"/>
      <c r="Y306" s="435"/>
      <c r="Z306" s="435"/>
      <c r="AA306" s="435"/>
      <c r="AB306" s="435"/>
      <c r="AC306" s="435"/>
      <c r="AD306" s="435"/>
    </row>
    <row r="307" spans="1:30" x14ac:dyDescent="0.25">
      <c r="A307" s="435"/>
      <c r="B307" s="435"/>
      <c r="C307" s="435"/>
      <c r="D307" s="435"/>
      <c r="E307" s="435"/>
      <c r="F307" s="435"/>
      <c r="G307" s="435"/>
      <c r="H307" s="435"/>
      <c r="I307" s="435"/>
      <c r="J307" s="435"/>
      <c r="K307" s="435"/>
      <c r="L307" s="435"/>
      <c r="M307" s="435"/>
      <c r="N307" s="435"/>
      <c r="O307" s="435"/>
      <c r="P307" s="435"/>
      <c r="Q307" s="435"/>
      <c r="R307" s="435"/>
      <c r="S307" s="435"/>
      <c r="T307" s="435"/>
      <c r="U307" s="435"/>
      <c r="V307" s="435"/>
      <c r="W307" s="435"/>
      <c r="X307" s="435"/>
      <c r="Y307" s="435"/>
      <c r="Z307" s="435"/>
      <c r="AA307" s="435"/>
      <c r="AB307" s="435"/>
      <c r="AC307" s="435"/>
      <c r="AD307" s="435"/>
    </row>
    <row r="308" spans="1:30" x14ac:dyDescent="0.25">
      <c r="A308" s="435"/>
      <c r="B308" s="435"/>
      <c r="C308" s="435"/>
      <c r="D308" s="435"/>
      <c r="E308" s="435"/>
      <c r="F308" s="435"/>
      <c r="G308" s="435"/>
      <c r="H308" s="435"/>
      <c r="I308" s="435"/>
      <c r="J308" s="435"/>
      <c r="K308" s="435"/>
      <c r="L308" s="435"/>
      <c r="M308" s="435"/>
      <c r="N308" s="435"/>
      <c r="O308" s="435"/>
      <c r="P308" s="435"/>
      <c r="Q308" s="435"/>
      <c r="R308" s="435"/>
      <c r="S308" s="435"/>
      <c r="T308" s="435"/>
      <c r="U308" s="435"/>
      <c r="V308" s="435"/>
      <c r="W308" s="435"/>
      <c r="X308" s="435"/>
      <c r="Y308" s="435"/>
      <c r="Z308" s="435"/>
      <c r="AA308" s="435"/>
      <c r="AB308" s="435"/>
      <c r="AC308" s="435"/>
      <c r="AD308" s="435"/>
    </row>
    <row r="309" spans="1:30" x14ac:dyDescent="0.25">
      <c r="A309" s="435"/>
      <c r="B309" s="435"/>
      <c r="C309" s="435"/>
      <c r="D309" s="435"/>
      <c r="E309" s="435"/>
      <c r="F309" s="435"/>
      <c r="G309" s="435"/>
      <c r="H309" s="435"/>
      <c r="I309" s="435"/>
      <c r="J309" s="435"/>
      <c r="K309" s="435"/>
      <c r="L309" s="435"/>
      <c r="M309" s="435"/>
      <c r="N309" s="435"/>
      <c r="O309" s="435"/>
      <c r="P309" s="435"/>
      <c r="Q309" s="435"/>
      <c r="R309" s="435"/>
      <c r="S309" s="435"/>
      <c r="T309" s="435"/>
      <c r="U309" s="435"/>
      <c r="V309" s="435"/>
      <c r="W309" s="435"/>
      <c r="X309" s="435"/>
      <c r="Y309" s="435"/>
      <c r="Z309" s="435"/>
      <c r="AA309" s="435"/>
      <c r="AB309" s="435"/>
      <c r="AC309" s="435"/>
      <c r="AD309" s="435"/>
    </row>
    <row r="310" spans="1:30" x14ac:dyDescent="0.25">
      <c r="A310" s="435"/>
      <c r="B310" s="435"/>
      <c r="C310" s="435"/>
      <c r="D310" s="435"/>
      <c r="E310" s="435"/>
      <c r="F310" s="435"/>
      <c r="G310" s="435"/>
      <c r="H310" s="435"/>
      <c r="I310" s="435"/>
      <c r="J310" s="435"/>
      <c r="K310" s="435"/>
      <c r="L310" s="435"/>
      <c r="M310" s="435"/>
      <c r="N310" s="435"/>
      <c r="O310" s="435"/>
      <c r="P310" s="435"/>
      <c r="Q310" s="435"/>
      <c r="R310" s="435"/>
      <c r="S310" s="435"/>
      <c r="T310" s="435"/>
      <c r="U310" s="435"/>
      <c r="V310" s="435"/>
      <c r="W310" s="435"/>
      <c r="X310" s="435"/>
      <c r="Y310" s="435"/>
      <c r="Z310" s="435"/>
      <c r="AA310" s="435"/>
      <c r="AB310" s="435"/>
      <c r="AC310" s="435"/>
      <c r="AD310" s="435"/>
    </row>
    <row r="311" spans="1:30" x14ac:dyDescent="0.25">
      <c r="A311" s="435"/>
      <c r="B311" s="435"/>
      <c r="C311" s="435"/>
      <c r="D311" s="435"/>
      <c r="E311" s="435"/>
      <c r="F311" s="435"/>
      <c r="G311" s="435"/>
      <c r="H311" s="435"/>
      <c r="I311" s="435"/>
      <c r="J311" s="435"/>
      <c r="K311" s="435"/>
      <c r="L311" s="435"/>
      <c r="M311" s="435"/>
      <c r="N311" s="435"/>
      <c r="O311" s="435"/>
      <c r="P311" s="435"/>
      <c r="Q311" s="435"/>
      <c r="R311" s="435"/>
      <c r="S311" s="435"/>
      <c r="T311" s="435"/>
      <c r="U311" s="435"/>
      <c r="V311" s="435"/>
      <c r="W311" s="435"/>
      <c r="X311" s="435"/>
      <c r="Y311" s="435"/>
      <c r="Z311" s="435"/>
      <c r="AA311" s="435"/>
      <c r="AB311" s="435"/>
      <c r="AC311" s="435"/>
      <c r="AD311" s="435"/>
    </row>
    <row r="312" spans="1:30" x14ac:dyDescent="0.25">
      <c r="A312" s="435"/>
      <c r="B312" s="435"/>
      <c r="C312" s="435"/>
      <c r="D312" s="435"/>
      <c r="E312" s="435"/>
      <c r="F312" s="435"/>
      <c r="G312" s="435"/>
      <c r="H312" s="435"/>
      <c r="I312" s="435"/>
      <c r="J312" s="435"/>
      <c r="K312" s="435"/>
      <c r="L312" s="435"/>
      <c r="M312" s="435"/>
      <c r="N312" s="435"/>
      <c r="O312" s="435"/>
      <c r="P312" s="435"/>
      <c r="Q312" s="435"/>
      <c r="R312" s="435"/>
      <c r="S312" s="435"/>
      <c r="T312" s="435"/>
      <c r="U312" s="435"/>
      <c r="V312" s="435"/>
      <c r="W312" s="435"/>
      <c r="X312" s="435"/>
      <c r="Y312" s="435"/>
      <c r="Z312" s="435"/>
      <c r="AA312" s="435"/>
      <c r="AB312" s="435"/>
      <c r="AC312" s="435"/>
      <c r="AD312" s="435"/>
    </row>
    <row r="313" spans="1:30" x14ac:dyDescent="0.25">
      <c r="A313" s="435"/>
      <c r="B313" s="435"/>
      <c r="C313" s="435"/>
      <c r="D313" s="435"/>
      <c r="E313" s="435"/>
      <c r="F313" s="435"/>
      <c r="G313" s="435"/>
      <c r="H313" s="435"/>
      <c r="I313" s="435"/>
      <c r="J313" s="435"/>
      <c r="K313" s="435"/>
      <c r="L313" s="435"/>
      <c r="M313" s="435"/>
      <c r="N313" s="435"/>
      <c r="O313" s="435"/>
      <c r="P313" s="435"/>
      <c r="Q313" s="435"/>
      <c r="R313" s="435"/>
      <c r="S313" s="435"/>
      <c r="T313" s="435"/>
      <c r="U313" s="435"/>
      <c r="V313" s="435"/>
      <c r="W313" s="435"/>
      <c r="X313" s="435"/>
      <c r="Y313" s="435"/>
      <c r="Z313" s="435"/>
      <c r="AA313" s="435"/>
      <c r="AB313" s="435"/>
      <c r="AC313" s="435"/>
      <c r="AD313" s="435"/>
    </row>
    <row r="314" spans="1:30" x14ac:dyDescent="0.25">
      <c r="A314" s="435"/>
      <c r="B314" s="435"/>
      <c r="C314" s="435"/>
      <c r="D314" s="435"/>
      <c r="E314" s="435"/>
      <c r="F314" s="435"/>
      <c r="G314" s="435"/>
      <c r="H314" s="435"/>
      <c r="I314" s="435"/>
      <c r="J314" s="435"/>
      <c r="K314" s="435"/>
      <c r="L314" s="435"/>
      <c r="M314" s="435"/>
      <c r="N314" s="435"/>
      <c r="O314" s="435"/>
      <c r="P314" s="435"/>
      <c r="Q314" s="435"/>
      <c r="R314" s="435"/>
      <c r="S314" s="435"/>
      <c r="T314" s="435"/>
      <c r="U314" s="435"/>
      <c r="V314" s="435"/>
      <c r="W314" s="435"/>
      <c r="X314" s="435"/>
      <c r="Y314" s="435"/>
      <c r="Z314" s="435"/>
      <c r="AA314" s="435"/>
      <c r="AB314" s="435"/>
      <c r="AC314" s="435"/>
      <c r="AD314" s="435"/>
    </row>
    <row r="315" spans="1:30" x14ac:dyDescent="0.25">
      <c r="A315" s="435"/>
      <c r="B315" s="435"/>
      <c r="C315" s="435"/>
      <c r="D315" s="435"/>
      <c r="E315" s="435"/>
      <c r="F315" s="435"/>
      <c r="G315" s="435"/>
      <c r="H315" s="435"/>
      <c r="I315" s="435"/>
      <c r="J315" s="435"/>
      <c r="K315" s="435"/>
      <c r="L315" s="435"/>
      <c r="M315" s="435"/>
      <c r="N315" s="435"/>
      <c r="O315" s="435"/>
      <c r="P315" s="435"/>
      <c r="Q315" s="435"/>
      <c r="R315" s="435"/>
      <c r="S315" s="435"/>
      <c r="T315" s="435"/>
      <c r="U315" s="435"/>
      <c r="V315" s="435"/>
      <c r="W315" s="435"/>
      <c r="X315" s="435"/>
      <c r="Y315" s="435"/>
      <c r="Z315" s="435"/>
      <c r="AA315" s="435"/>
      <c r="AB315" s="435"/>
      <c r="AC315" s="435"/>
      <c r="AD315" s="435"/>
    </row>
    <row r="316" spans="1:30" x14ac:dyDescent="0.25">
      <c r="A316" s="435"/>
      <c r="B316" s="435"/>
      <c r="C316" s="435"/>
      <c r="D316" s="435"/>
      <c r="E316" s="435"/>
      <c r="F316" s="435"/>
      <c r="G316" s="435"/>
      <c r="H316" s="435"/>
      <c r="I316" s="435"/>
      <c r="J316" s="435"/>
      <c r="K316" s="435"/>
      <c r="L316" s="435"/>
      <c r="M316" s="435"/>
      <c r="N316" s="435"/>
      <c r="O316" s="435"/>
      <c r="P316" s="435"/>
      <c r="Q316" s="435"/>
      <c r="R316" s="435"/>
      <c r="S316" s="435"/>
      <c r="T316" s="435"/>
      <c r="U316" s="435"/>
      <c r="V316" s="435"/>
      <c r="W316" s="435"/>
      <c r="X316" s="435"/>
      <c r="Y316" s="435"/>
      <c r="Z316" s="435"/>
      <c r="AA316" s="435"/>
      <c r="AB316" s="435"/>
      <c r="AC316" s="435"/>
      <c r="AD316" s="435"/>
    </row>
    <row r="317" spans="1:30" x14ac:dyDescent="0.25">
      <c r="A317" s="435"/>
      <c r="B317" s="435"/>
      <c r="C317" s="435"/>
      <c r="D317" s="435"/>
      <c r="E317" s="435"/>
      <c r="F317" s="435"/>
      <c r="G317" s="435"/>
      <c r="H317" s="435"/>
      <c r="I317" s="435"/>
      <c r="J317" s="435"/>
      <c r="K317" s="435"/>
      <c r="L317" s="435"/>
      <c r="M317" s="435"/>
      <c r="N317" s="435"/>
      <c r="O317" s="435"/>
      <c r="P317" s="435"/>
      <c r="Q317" s="435"/>
      <c r="R317" s="435"/>
      <c r="S317" s="435"/>
      <c r="T317" s="435"/>
      <c r="U317" s="435"/>
      <c r="V317" s="435"/>
      <c r="W317" s="435"/>
      <c r="X317" s="435"/>
      <c r="Y317" s="435"/>
      <c r="Z317" s="435"/>
      <c r="AA317" s="435"/>
      <c r="AB317" s="435"/>
      <c r="AC317" s="435"/>
      <c r="AD317" s="435"/>
    </row>
    <row r="318" spans="1:30" x14ac:dyDescent="0.25">
      <c r="A318" s="435"/>
      <c r="B318" s="435"/>
      <c r="C318" s="435"/>
      <c r="D318" s="435"/>
      <c r="E318" s="435"/>
      <c r="F318" s="435"/>
      <c r="G318" s="435"/>
      <c r="H318" s="435"/>
      <c r="I318" s="435"/>
      <c r="J318" s="435"/>
      <c r="K318" s="435"/>
      <c r="L318" s="435"/>
      <c r="M318" s="435"/>
      <c r="N318" s="435"/>
      <c r="O318" s="435"/>
      <c r="P318" s="435"/>
      <c r="Q318" s="435"/>
      <c r="R318" s="435"/>
      <c r="S318" s="435"/>
      <c r="T318" s="435"/>
      <c r="U318" s="435"/>
      <c r="V318" s="435"/>
      <c r="W318" s="435"/>
      <c r="X318" s="435"/>
      <c r="Y318" s="435"/>
      <c r="Z318" s="435"/>
      <c r="AA318" s="435"/>
      <c r="AB318" s="435"/>
      <c r="AC318" s="435"/>
      <c r="AD318" s="435"/>
    </row>
    <row r="319" spans="1:30" x14ac:dyDescent="0.25">
      <c r="A319" s="435"/>
      <c r="B319" s="435"/>
      <c r="C319" s="435"/>
      <c r="D319" s="435"/>
      <c r="E319" s="435"/>
      <c r="F319" s="435"/>
      <c r="G319" s="435"/>
      <c r="H319" s="435"/>
      <c r="I319" s="435"/>
      <c r="J319" s="435"/>
      <c r="K319" s="435"/>
      <c r="L319" s="435"/>
      <c r="M319" s="435"/>
      <c r="N319" s="435"/>
      <c r="O319" s="435"/>
      <c r="P319" s="435"/>
      <c r="Q319" s="435"/>
      <c r="R319" s="435"/>
      <c r="S319" s="435"/>
      <c r="T319" s="435"/>
      <c r="U319" s="435"/>
      <c r="V319" s="435"/>
      <c r="W319" s="435"/>
      <c r="X319" s="435"/>
      <c r="Y319" s="435"/>
      <c r="Z319" s="435"/>
      <c r="AA319" s="435"/>
      <c r="AB319" s="435"/>
      <c r="AC319" s="435"/>
      <c r="AD319" s="435"/>
    </row>
    <row r="320" spans="1:30" x14ac:dyDescent="0.25">
      <c r="A320" s="435"/>
      <c r="B320" s="435"/>
      <c r="C320" s="435"/>
      <c r="D320" s="435"/>
      <c r="E320" s="435"/>
      <c r="F320" s="435"/>
      <c r="G320" s="435"/>
      <c r="H320" s="435"/>
      <c r="I320" s="435"/>
      <c r="J320" s="435"/>
      <c r="K320" s="435"/>
      <c r="L320" s="435"/>
      <c r="M320" s="435"/>
      <c r="N320" s="435"/>
      <c r="O320" s="435"/>
      <c r="P320" s="435"/>
      <c r="Q320" s="435"/>
      <c r="R320" s="435"/>
      <c r="S320" s="435"/>
      <c r="T320" s="435"/>
      <c r="U320" s="435"/>
      <c r="V320" s="435"/>
      <c r="W320" s="435"/>
      <c r="X320" s="435"/>
      <c r="Y320" s="435"/>
      <c r="Z320" s="435"/>
      <c r="AA320" s="435"/>
      <c r="AB320" s="435"/>
      <c r="AC320" s="435"/>
      <c r="AD320" s="435"/>
    </row>
    <row r="321" spans="1:30" x14ac:dyDescent="0.25">
      <c r="A321" s="435"/>
      <c r="B321" s="435"/>
      <c r="C321" s="435"/>
      <c r="D321" s="435"/>
      <c r="E321" s="435"/>
      <c r="F321" s="435"/>
      <c r="G321" s="435"/>
      <c r="H321" s="435"/>
      <c r="I321" s="435"/>
      <c r="J321" s="435"/>
      <c r="K321" s="435"/>
      <c r="L321" s="435"/>
      <c r="M321" s="435"/>
      <c r="N321" s="435"/>
      <c r="O321" s="435"/>
      <c r="P321" s="435"/>
      <c r="Q321" s="435"/>
      <c r="R321" s="435"/>
      <c r="S321" s="435"/>
      <c r="T321" s="435"/>
      <c r="U321" s="435"/>
      <c r="V321" s="435"/>
      <c r="W321" s="435"/>
      <c r="X321" s="435"/>
      <c r="Y321" s="435"/>
      <c r="Z321" s="435"/>
      <c r="AA321" s="435"/>
      <c r="AB321" s="435"/>
      <c r="AC321" s="435"/>
      <c r="AD321" s="435"/>
    </row>
    <row r="322" spans="1:30" x14ac:dyDescent="0.25">
      <c r="A322" s="435"/>
      <c r="B322" s="435"/>
      <c r="C322" s="435"/>
      <c r="D322" s="435"/>
      <c r="E322" s="435"/>
      <c r="F322" s="435"/>
      <c r="G322" s="435"/>
      <c r="H322" s="435"/>
      <c r="I322" s="435"/>
      <c r="J322" s="435"/>
      <c r="K322" s="435"/>
      <c r="L322" s="435"/>
      <c r="M322" s="435"/>
      <c r="N322" s="435"/>
      <c r="O322" s="435"/>
      <c r="P322" s="435"/>
      <c r="Q322" s="435"/>
      <c r="R322" s="435"/>
      <c r="S322" s="435"/>
      <c r="T322" s="435"/>
      <c r="U322" s="435"/>
      <c r="V322" s="435"/>
      <c r="W322" s="435"/>
      <c r="X322" s="435"/>
      <c r="Y322" s="435"/>
      <c r="Z322" s="435"/>
      <c r="AA322" s="435"/>
      <c r="AB322" s="435"/>
      <c r="AC322" s="435"/>
      <c r="AD322" s="435"/>
    </row>
    <row r="323" spans="1:30" x14ac:dyDescent="0.25">
      <c r="A323" s="435"/>
      <c r="B323" s="435"/>
      <c r="C323" s="435"/>
      <c r="D323" s="435"/>
      <c r="E323" s="435"/>
      <c r="F323" s="435"/>
      <c r="G323" s="435"/>
      <c r="H323" s="435"/>
      <c r="I323" s="435"/>
      <c r="J323" s="435"/>
      <c r="K323" s="435"/>
      <c r="L323" s="435"/>
      <c r="M323" s="435"/>
      <c r="N323" s="435"/>
      <c r="O323" s="435"/>
      <c r="P323" s="435"/>
      <c r="Q323" s="435"/>
      <c r="R323" s="435"/>
      <c r="S323" s="435"/>
      <c r="T323" s="435"/>
      <c r="U323" s="435"/>
      <c r="V323" s="435"/>
      <c r="W323" s="435"/>
      <c r="X323" s="435"/>
      <c r="Y323" s="435"/>
      <c r="Z323" s="435"/>
      <c r="AA323" s="435"/>
      <c r="AB323" s="435"/>
      <c r="AC323" s="435"/>
      <c r="AD323" s="435"/>
    </row>
    <row r="324" spans="1:30" x14ac:dyDescent="0.25">
      <c r="A324" s="435"/>
      <c r="B324" s="435"/>
      <c r="C324" s="435"/>
      <c r="D324" s="435"/>
      <c r="E324" s="435"/>
      <c r="F324" s="435"/>
      <c r="G324" s="435"/>
      <c r="H324" s="435"/>
      <c r="I324" s="435"/>
      <c r="J324" s="435"/>
      <c r="K324" s="435"/>
      <c r="L324" s="435"/>
      <c r="M324" s="435"/>
      <c r="N324" s="435"/>
      <c r="O324" s="435"/>
      <c r="P324" s="435"/>
      <c r="Q324" s="435"/>
      <c r="R324" s="435"/>
      <c r="S324" s="435"/>
      <c r="T324" s="435"/>
      <c r="U324" s="435"/>
      <c r="V324" s="435"/>
      <c r="W324" s="435"/>
      <c r="X324" s="435"/>
      <c r="Y324" s="435"/>
      <c r="Z324" s="435"/>
      <c r="AA324" s="435"/>
      <c r="AB324" s="435"/>
      <c r="AC324" s="435"/>
      <c r="AD324" s="435"/>
    </row>
    <row r="325" spans="1:30" x14ac:dyDescent="0.25">
      <c r="A325" s="435"/>
      <c r="B325" s="435"/>
      <c r="C325" s="435"/>
      <c r="D325" s="435"/>
      <c r="E325" s="435"/>
      <c r="F325" s="435"/>
      <c r="G325" s="435"/>
      <c r="H325" s="435"/>
      <c r="I325" s="435"/>
      <c r="J325" s="435"/>
      <c r="K325" s="435"/>
      <c r="L325" s="435"/>
      <c r="M325" s="435"/>
      <c r="N325" s="435"/>
      <c r="O325" s="435"/>
      <c r="P325" s="435"/>
      <c r="Q325" s="435"/>
      <c r="R325" s="435"/>
      <c r="S325" s="435"/>
      <c r="T325" s="435"/>
      <c r="U325" s="435"/>
      <c r="V325" s="435"/>
      <c r="W325" s="435"/>
      <c r="X325" s="435"/>
      <c r="Y325" s="435"/>
      <c r="Z325" s="435"/>
      <c r="AA325" s="435"/>
      <c r="AB325" s="435"/>
      <c r="AC325" s="435"/>
      <c r="AD325" s="435"/>
    </row>
    <row r="326" spans="1:30" x14ac:dyDescent="0.25">
      <c r="A326" s="435"/>
      <c r="B326" s="435"/>
      <c r="C326" s="435"/>
      <c r="D326" s="435"/>
      <c r="E326" s="435"/>
      <c r="F326" s="435"/>
      <c r="G326" s="435"/>
      <c r="H326" s="435"/>
      <c r="I326" s="435"/>
      <c r="J326" s="435"/>
      <c r="K326" s="435"/>
      <c r="L326" s="435"/>
      <c r="M326" s="435"/>
      <c r="N326" s="435"/>
      <c r="O326" s="435"/>
      <c r="P326" s="435"/>
      <c r="Q326" s="435"/>
      <c r="R326" s="435"/>
      <c r="S326" s="435"/>
      <c r="T326" s="435"/>
      <c r="U326" s="435"/>
      <c r="V326" s="435"/>
      <c r="W326" s="435"/>
      <c r="X326" s="435"/>
      <c r="Y326" s="435"/>
      <c r="Z326" s="435"/>
      <c r="AA326" s="435"/>
      <c r="AB326" s="435"/>
      <c r="AC326" s="435"/>
      <c r="AD326" s="435"/>
    </row>
    <row r="327" spans="1:30" x14ac:dyDescent="0.25">
      <c r="A327" s="435"/>
      <c r="B327" s="435"/>
      <c r="C327" s="435"/>
      <c r="D327" s="435"/>
      <c r="E327" s="435"/>
      <c r="F327" s="435"/>
      <c r="G327" s="435"/>
      <c r="H327" s="435"/>
      <c r="I327" s="435"/>
      <c r="J327" s="435"/>
      <c r="K327" s="435"/>
      <c r="L327" s="435"/>
      <c r="M327" s="435"/>
      <c r="N327" s="435"/>
      <c r="O327" s="435"/>
      <c r="P327" s="435"/>
      <c r="Q327" s="435"/>
      <c r="R327" s="435"/>
      <c r="S327" s="435"/>
      <c r="T327" s="435"/>
      <c r="U327" s="435"/>
      <c r="V327" s="435"/>
      <c r="W327" s="435"/>
      <c r="X327" s="435"/>
      <c r="Y327" s="435"/>
      <c r="Z327" s="435"/>
      <c r="AA327" s="435"/>
      <c r="AB327" s="435"/>
      <c r="AC327" s="435"/>
      <c r="AD327" s="435"/>
    </row>
    <row r="328" spans="1:30" x14ac:dyDescent="0.25">
      <c r="A328" s="435"/>
      <c r="B328" s="435"/>
      <c r="C328" s="435"/>
      <c r="D328" s="435"/>
      <c r="E328" s="435"/>
      <c r="F328" s="435"/>
      <c r="G328" s="435"/>
      <c r="H328" s="435"/>
      <c r="I328" s="435"/>
      <c r="J328" s="435"/>
      <c r="K328" s="435"/>
      <c r="L328" s="435"/>
      <c r="M328" s="435"/>
      <c r="N328" s="435"/>
      <c r="O328" s="435"/>
      <c r="P328" s="435"/>
      <c r="Q328" s="435"/>
      <c r="R328" s="435"/>
      <c r="S328" s="435"/>
      <c r="T328" s="435"/>
      <c r="U328" s="435"/>
      <c r="V328" s="435"/>
      <c r="W328" s="435"/>
      <c r="X328" s="435"/>
      <c r="Y328" s="435"/>
      <c r="Z328" s="435"/>
      <c r="AA328" s="435"/>
      <c r="AB328" s="435"/>
      <c r="AC328" s="435"/>
      <c r="AD328" s="435"/>
    </row>
    <row r="329" spans="1:30" x14ac:dyDescent="0.25">
      <c r="A329" s="435"/>
      <c r="B329" s="435"/>
      <c r="C329" s="435"/>
      <c r="D329" s="435"/>
      <c r="E329" s="435"/>
      <c r="F329" s="435"/>
      <c r="G329" s="435"/>
      <c r="H329" s="435"/>
      <c r="I329" s="435"/>
      <c r="J329" s="435"/>
      <c r="K329" s="435"/>
      <c r="L329" s="435"/>
      <c r="M329" s="435"/>
      <c r="N329" s="435"/>
      <c r="O329" s="435"/>
      <c r="P329" s="435"/>
      <c r="Q329" s="435"/>
      <c r="R329" s="435"/>
      <c r="S329" s="435"/>
      <c r="T329" s="435"/>
      <c r="U329" s="435"/>
      <c r="V329" s="435"/>
      <c r="W329" s="435"/>
      <c r="X329" s="435"/>
      <c r="Y329" s="435"/>
      <c r="Z329" s="435"/>
      <c r="AA329" s="435"/>
      <c r="AB329" s="435"/>
      <c r="AC329" s="435"/>
      <c r="AD329" s="435"/>
    </row>
    <row r="330" spans="1:30" x14ac:dyDescent="0.25">
      <c r="A330" s="435"/>
      <c r="B330" s="435"/>
      <c r="C330" s="435"/>
      <c r="D330" s="435"/>
      <c r="E330" s="435"/>
      <c r="F330" s="435"/>
      <c r="G330" s="435"/>
      <c r="H330" s="435"/>
      <c r="I330" s="435"/>
      <c r="J330" s="435"/>
      <c r="K330" s="435"/>
      <c r="L330" s="435"/>
      <c r="M330" s="435"/>
      <c r="N330" s="435"/>
      <c r="O330" s="435"/>
      <c r="P330" s="435"/>
      <c r="Q330" s="435"/>
      <c r="R330" s="435"/>
      <c r="S330" s="435"/>
      <c r="T330" s="435"/>
      <c r="U330" s="435"/>
      <c r="V330" s="435"/>
      <c r="W330" s="435"/>
      <c r="X330" s="435"/>
      <c r="Y330" s="435"/>
      <c r="Z330" s="435"/>
      <c r="AA330" s="435"/>
      <c r="AB330" s="435"/>
      <c r="AC330" s="435"/>
      <c r="AD330" s="435"/>
    </row>
    <row r="331" spans="1:30" x14ac:dyDescent="0.25">
      <c r="A331" s="435"/>
      <c r="B331" s="435"/>
      <c r="C331" s="435"/>
      <c r="D331" s="435"/>
      <c r="E331" s="435"/>
      <c r="F331" s="435"/>
      <c r="G331" s="435"/>
      <c r="H331" s="435"/>
      <c r="I331" s="435"/>
      <c r="J331" s="435"/>
      <c r="K331" s="435"/>
      <c r="L331" s="435"/>
      <c r="M331" s="435"/>
      <c r="N331" s="435"/>
      <c r="O331" s="435"/>
      <c r="P331" s="435"/>
      <c r="Q331" s="435"/>
      <c r="R331" s="435"/>
      <c r="S331" s="435"/>
      <c r="T331" s="435"/>
      <c r="U331" s="435"/>
      <c r="V331" s="435"/>
      <c r="W331" s="435"/>
      <c r="X331" s="435"/>
      <c r="Y331" s="435"/>
      <c r="Z331" s="435"/>
      <c r="AA331" s="435"/>
      <c r="AB331" s="435"/>
      <c r="AC331" s="435"/>
      <c r="AD331" s="435"/>
    </row>
    <row r="332" spans="1:30" x14ac:dyDescent="0.25">
      <c r="A332" s="435"/>
      <c r="B332" s="435"/>
      <c r="C332" s="435"/>
      <c r="D332" s="435"/>
      <c r="E332" s="435"/>
      <c r="F332" s="435"/>
      <c r="G332" s="435"/>
      <c r="H332" s="435"/>
      <c r="I332" s="435"/>
      <c r="J332" s="435"/>
      <c r="K332" s="435"/>
      <c r="L332" s="435"/>
      <c r="M332" s="435"/>
      <c r="N332" s="435"/>
      <c r="O332" s="435"/>
      <c r="P332" s="435"/>
      <c r="Q332" s="435"/>
      <c r="R332" s="435"/>
      <c r="S332" s="435"/>
      <c r="T332" s="435"/>
      <c r="U332" s="435"/>
      <c r="V332" s="435"/>
      <c r="W332" s="435"/>
      <c r="X332" s="435"/>
      <c r="Y332" s="435"/>
      <c r="Z332" s="435"/>
      <c r="AA332" s="435"/>
      <c r="AB332" s="435"/>
      <c r="AC332" s="435"/>
      <c r="AD332" s="435"/>
    </row>
    <row r="333" spans="1:30" x14ac:dyDescent="0.25">
      <c r="A333" s="435"/>
      <c r="B333" s="435"/>
      <c r="C333" s="435"/>
      <c r="D333" s="435"/>
      <c r="E333" s="435"/>
      <c r="F333" s="435"/>
      <c r="G333" s="435"/>
      <c r="H333" s="435"/>
      <c r="I333" s="435"/>
      <c r="J333" s="435"/>
      <c r="K333" s="435"/>
      <c r="L333" s="435"/>
      <c r="M333" s="435"/>
      <c r="N333" s="435"/>
      <c r="O333" s="435"/>
      <c r="P333" s="435"/>
      <c r="Q333" s="435"/>
      <c r="R333" s="435"/>
      <c r="S333" s="435"/>
      <c r="T333" s="435"/>
      <c r="U333" s="435"/>
      <c r="V333" s="435"/>
      <c r="W333" s="435"/>
      <c r="X333" s="435"/>
      <c r="Y333" s="435"/>
      <c r="Z333" s="435"/>
      <c r="AA333" s="435"/>
      <c r="AB333" s="435"/>
      <c r="AC333" s="435"/>
      <c r="AD333" s="435"/>
    </row>
    <row r="334" spans="1:30" x14ac:dyDescent="0.25">
      <c r="A334" s="435"/>
      <c r="B334" s="435"/>
      <c r="C334" s="435"/>
      <c r="D334" s="435"/>
      <c r="E334" s="435"/>
      <c r="F334" s="435"/>
      <c r="G334" s="435"/>
      <c r="H334" s="435"/>
      <c r="I334" s="435"/>
      <c r="J334" s="435"/>
      <c r="K334" s="435"/>
      <c r="L334" s="435"/>
      <c r="M334" s="435"/>
      <c r="N334" s="435"/>
      <c r="O334" s="435"/>
      <c r="P334" s="435"/>
      <c r="Q334" s="435"/>
      <c r="R334" s="435"/>
      <c r="S334" s="435"/>
      <c r="T334" s="435"/>
      <c r="U334" s="435"/>
      <c r="V334" s="435"/>
      <c r="W334" s="435"/>
      <c r="X334" s="435"/>
      <c r="Y334" s="435"/>
      <c r="Z334" s="435"/>
      <c r="AA334" s="435"/>
      <c r="AB334" s="435"/>
      <c r="AC334" s="435"/>
      <c r="AD334" s="435"/>
    </row>
    <row r="335" spans="1:30" x14ac:dyDescent="0.25">
      <c r="A335" s="435"/>
      <c r="B335" s="435"/>
      <c r="C335" s="435"/>
      <c r="D335" s="435"/>
      <c r="E335" s="435"/>
      <c r="F335" s="435"/>
      <c r="G335" s="435"/>
      <c r="H335" s="435"/>
      <c r="I335" s="435"/>
      <c r="J335" s="435"/>
      <c r="K335" s="435"/>
      <c r="L335" s="435"/>
      <c r="M335" s="435"/>
      <c r="N335" s="435"/>
      <c r="O335" s="435"/>
      <c r="P335" s="435"/>
      <c r="Q335" s="435"/>
      <c r="R335" s="435"/>
      <c r="S335" s="435"/>
      <c r="T335" s="435"/>
      <c r="U335" s="435"/>
      <c r="V335" s="435"/>
      <c r="W335" s="435"/>
      <c r="X335" s="435"/>
      <c r="Y335" s="435"/>
      <c r="Z335" s="435"/>
      <c r="AA335" s="435"/>
      <c r="AB335" s="435"/>
      <c r="AC335" s="435"/>
      <c r="AD335" s="435"/>
    </row>
    <row r="336" spans="1:30" x14ac:dyDescent="0.25">
      <c r="A336" s="435"/>
      <c r="B336" s="435"/>
      <c r="C336" s="435"/>
      <c r="D336" s="435"/>
      <c r="E336" s="435"/>
      <c r="F336" s="435"/>
      <c r="G336" s="435"/>
      <c r="H336" s="435"/>
      <c r="I336" s="435"/>
      <c r="J336" s="435"/>
      <c r="K336" s="435"/>
      <c r="L336" s="435"/>
      <c r="M336" s="435"/>
      <c r="N336" s="435"/>
      <c r="O336" s="435"/>
      <c r="P336" s="435"/>
      <c r="Q336" s="435"/>
      <c r="R336" s="435"/>
      <c r="S336" s="435"/>
      <c r="T336" s="435"/>
      <c r="U336" s="435"/>
      <c r="V336" s="435"/>
      <c r="W336" s="435"/>
      <c r="X336" s="435"/>
      <c r="Y336" s="435"/>
      <c r="Z336" s="435"/>
      <c r="AA336" s="435"/>
      <c r="AB336" s="435"/>
      <c r="AC336" s="435"/>
      <c r="AD336" s="435"/>
    </row>
    <row r="337" spans="1:30" x14ac:dyDescent="0.25">
      <c r="A337" s="435"/>
      <c r="B337" s="435"/>
      <c r="C337" s="435"/>
      <c r="D337" s="435"/>
      <c r="E337" s="435"/>
      <c r="F337" s="435"/>
      <c r="G337" s="435"/>
      <c r="H337" s="435"/>
      <c r="I337" s="435"/>
      <c r="J337" s="435"/>
      <c r="K337" s="435"/>
      <c r="L337" s="435"/>
      <c r="M337" s="435"/>
      <c r="N337" s="435"/>
      <c r="O337" s="435"/>
      <c r="P337" s="435"/>
      <c r="Q337" s="435"/>
      <c r="R337" s="435"/>
      <c r="S337" s="435"/>
      <c r="T337" s="435"/>
      <c r="U337" s="435"/>
      <c r="V337" s="435"/>
      <c r="W337" s="435"/>
      <c r="X337" s="435"/>
      <c r="Y337" s="435"/>
      <c r="Z337" s="435"/>
      <c r="AA337" s="435"/>
      <c r="AB337" s="435"/>
      <c r="AC337" s="435"/>
      <c r="AD337" s="435"/>
    </row>
    <row r="338" spans="1:30" x14ac:dyDescent="0.25">
      <c r="A338" s="435"/>
      <c r="B338" s="435"/>
      <c r="C338" s="435"/>
      <c r="D338" s="435"/>
      <c r="E338" s="435"/>
      <c r="F338" s="435"/>
      <c r="G338" s="435"/>
      <c r="H338" s="435"/>
      <c r="I338" s="435"/>
      <c r="J338" s="435"/>
      <c r="K338" s="435"/>
      <c r="L338" s="435"/>
      <c r="M338" s="435"/>
      <c r="N338" s="435"/>
      <c r="O338" s="435"/>
      <c r="P338" s="435"/>
      <c r="Q338" s="435"/>
      <c r="R338" s="435"/>
      <c r="S338" s="435"/>
      <c r="T338" s="435"/>
      <c r="U338" s="435"/>
      <c r="V338" s="435"/>
      <c r="W338" s="435"/>
      <c r="X338" s="435"/>
      <c r="Y338" s="435"/>
      <c r="Z338" s="435"/>
      <c r="AA338" s="435"/>
      <c r="AB338" s="435"/>
      <c r="AC338" s="435"/>
      <c r="AD338" s="435"/>
    </row>
    <row r="765" spans="1:30" s="436" customFormat="1" ht="15.75" x14ac:dyDescent="0.25">
      <c r="A765" s="386"/>
      <c r="B765" s="378"/>
      <c r="C765" s="378"/>
      <c r="D765" s="378"/>
      <c r="E765" s="378"/>
      <c r="F765" s="408"/>
      <c r="G765" s="378"/>
      <c r="H765" s="378"/>
      <c r="I765" s="378"/>
      <c r="J765" s="380"/>
      <c r="K765" s="383"/>
      <c r="L765" s="384"/>
      <c r="M765" s="378"/>
      <c r="N765" s="378"/>
      <c r="O765" s="378"/>
      <c r="P765" s="378"/>
      <c r="Q765" s="378"/>
      <c r="R765" s="422"/>
      <c r="S765" s="378"/>
      <c r="T765" s="385"/>
      <c r="U765" s="410"/>
      <c r="V765" s="411"/>
      <c r="W765" s="378"/>
      <c r="X765" s="378"/>
      <c r="Y765" s="378"/>
      <c r="Z765" s="378"/>
      <c r="AA765" s="378"/>
      <c r="AB765" s="378"/>
      <c r="AC765" s="378"/>
      <c r="AD765" s="378"/>
    </row>
    <row r="766" spans="1:30" x14ac:dyDescent="0.2">
      <c r="A766" s="406"/>
      <c r="B766" s="390"/>
      <c r="C766" s="390"/>
      <c r="D766" s="407"/>
      <c r="E766" s="378"/>
      <c r="F766" s="408"/>
      <c r="G766" s="378"/>
      <c r="H766" s="378"/>
      <c r="I766" s="378"/>
      <c r="J766" s="409"/>
      <c r="K766" s="383"/>
      <c r="L766" s="383"/>
      <c r="M766" s="378"/>
      <c r="N766" s="378"/>
      <c r="O766" s="378"/>
      <c r="P766" s="378"/>
      <c r="Q766" s="378"/>
      <c r="R766" s="422"/>
      <c r="S766" s="378"/>
      <c r="T766" s="385"/>
      <c r="U766" s="410"/>
      <c r="V766" s="411"/>
      <c r="W766" s="390"/>
      <c r="X766" s="390"/>
      <c r="Y766" s="390"/>
      <c r="Z766" s="390"/>
      <c r="AA766" s="390"/>
      <c r="AB766" s="390"/>
      <c r="AC766" s="390"/>
      <c r="AD766" s="390"/>
    </row>
    <row r="767" spans="1:30" ht="15.75" x14ac:dyDescent="0.25">
      <c r="A767" s="412" t="s">
        <v>345</v>
      </c>
      <c r="B767" s="403"/>
      <c r="C767" s="403"/>
      <c r="D767" s="403"/>
      <c r="E767" s="403"/>
      <c r="F767" s="413"/>
      <c r="G767" s="403"/>
      <c r="H767" s="403"/>
      <c r="I767" s="403"/>
      <c r="J767" s="392" t="s">
        <v>16</v>
      </c>
      <c r="K767" s="392">
        <f>SUM(K768:K769)</f>
        <v>0</v>
      </c>
      <c r="L767" s="392">
        <f>SUM(L768:L769)</f>
        <v>0</v>
      </c>
      <c r="M767" s="390"/>
      <c r="N767" s="390"/>
      <c r="O767" s="390"/>
      <c r="P767" s="390"/>
      <c r="Q767" s="390"/>
      <c r="R767" s="418"/>
      <c r="S767" s="390"/>
      <c r="T767" s="390"/>
      <c r="U767" s="390"/>
      <c r="V767" s="390"/>
      <c r="W767" s="390"/>
      <c r="X767" s="390"/>
      <c r="Y767" s="390"/>
      <c r="Z767" s="390"/>
      <c r="AA767" s="390"/>
      <c r="AB767" s="390"/>
      <c r="AC767" s="390"/>
      <c r="AD767" s="390"/>
    </row>
    <row r="768" spans="1:30" x14ac:dyDescent="0.2">
      <c r="A768" s="414"/>
      <c r="B768" s="390"/>
      <c r="C768" s="390"/>
      <c r="D768" s="378"/>
      <c r="E768" s="378"/>
      <c r="F768" s="408"/>
      <c r="G768" s="378"/>
      <c r="H768" s="378"/>
      <c r="I768" s="378"/>
      <c r="J768" s="409"/>
      <c r="K768" s="383"/>
      <c r="L768" s="383"/>
      <c r="M768" s="378"/>
      <c r="N768" s="378"/>
      <c r="O768" s="378"/>
      <c r="P768" s="378"/>
      <c r="Q768" s="378"/>
      <c r="R768" s="422"/>
      <c r="S768" s="378"/>
      <c r="T768" s="410"/>
      <c r="U768" s="378"/>
      <c r="V768" s="390"/>
      <c r="W768" s="390"/>
      <c r="X768" s="390"/>
      <c r="Y768" s="390"/>
      <c r="Z768" s="390"/>
      <c r="AA768" s="390"/>
      <c r="AB768" s="390"/>
      <c r="AC768" s="390"/>
      <c r="AD768" s="390"/>
    </row>
    <row r="769" spans="1:30" s="436" customFormat="1" x14ac:dyDescent="0.2">
      <c r="A769" s="415"/>
      <c r="B769" s="378"/>
      <c r="C769" s="378"/>
      <c r="D769" s="378"/>
      <c r="E769" s="378"/>
      <c r="F769" s="408"/>
      <c r="G769" s="378"/>
      <c r="H769" s="378"/>
      <c r="I769" s="378"/>
      <c r="J769" s="409"/>
      <c r="K769" s="383"/>
      <c r="L769" s="383"/>
      <c r="M769" s="378"/>
      <c r="N769" s="378"/>
      <c r="O769" s="378"/>
      <c r="P769" s="378"/>
      <c r="Q769" s="378"/>
      <c r="R769" s="422"/>
      <c r="S769" s="378"/>
      <c r="T769" s="410"/>
      <c r="U769" s="378"/>
      <c r="V769" s="378"/>
      <c r="W769" s="378"/>
      <c r="X769" s="378"/>
      <c r="Y769" s="378"/>
      <c r="Z769" s="378"/>
      <c r="AA769" s="378"/>
      <c r="AB769" s="378"/>
      <c r="AC769" s="378"/>
      <c r="AD769" s="378"/>
    </row>
    <row r="770" spans="1:30" s="420" customFormat="1" ht="15.75" x14ac:dyDescent="0.25">
      <c r="A770" s="399" t="s">
        <v>288</v>
      </c>
      <c r="B770" s="400"/>
      <c r="C770" s="400"/>
      <c r="D770" s="400"/>
      <c r="E770" s="400"/>
      <c r="F770" s="401"/>
      <c r="G770" s="400"/>
      <c r="H770" s="400"/>
      <c r="I770" s="400"/>
      <c r="J770" s="400"/>
      <c r="K770" s="402"/>
      <c r="L770" s="402"/>
      <c r="M770" s="400"/>
      <c r="N770" s="400"/>
      <c r="O770" s="400"/>
      <c r="P770" s="400"/>
      <c r="Q770" s="400"/>
      <c r="R770" s="419"/>
      <c r="S770" s="400"/>
      <c r="T770" s="400"/>
      <c r="U770" s="400"/>
      <c r="V770" s="400"/>
      <c r="W770" s="400"/>
      <c r="X770" s="400"/>
      <c r="Y770" s="400"/>
      <c r="Z770" s="400"/>
      <c r="AA770" s="400"/>
      <c r="AB770" s="400"/>
      <c r="AC770" s="400"/>
      <c r="AD770" s="400"/>
    </row>
    <row r="771" spans="1:30" ht="15.75" x14ac:dyDescent="0.25">
      <c r="A771" s="403" t="s">
        <v>344</v>
      </c>
      <c r="B771" s="404"/>
      <c r="C771" s="404"/>
      <c r="D771" s="404"/>
      <c r="E771" s="404"/>
      <c r="F771" s="405"/>
      <c r="G771" s="404"/>
      <c r="H771" s="404"/>
      <c r="I771" s="404"/>
      <c r="J771" s="392" t="s">
        <v>16</v>
      </c>
      <c r="K771" s="392">
        <f>SUM(K772:K773)</f>
        <v>0</v>
      </c>
      <c r="L771" s="392">
        <f>SUM(L772:L773)</f>
        <v>0</v>
      </c>
      <c r="M771" s="390"/>
      <c r="N771" s="390"/>
      <c r="O771" s="390"/>
      <c r="P771" s="390"/>
      <c r="Q771" s="390"/>
      <c r="R771" s="418"/>
      <c r="S771" s="390"/>
      <c r="T771" s="390"/>
      <c r="U771" s="390"/>
      <c r="V771" s="390"/>
      <c r="W771" s="390"/>
      <c r="X771" s="390"/>
      <c r="Y771" s="390"/>
      <c r="Z771" s="390"/>
      <c r="AA771" s="390"/>
      <c r="AB771" s="390"/>
      <c r="AC771" s="390"/>
      <c r="AD771" s="390"/>
    </row>
    <row r="772" spans="1:30" s="436" customFormat="1" ht="15.75" x14ac:dyDescent="0.25">
      <c r="A772" s="386"/>
      <c r="B772" s="378"/>
      <c r="C772" s="378"/>
      <c r="D772" s="378"/>
      <c r="E772" s="378"/>
      <c r="F772" s="408"/>
      <c r="G772" s="378"/>
      <c r="H772" s="378"/>
      <c r="I772" s="378"/>
      <c r="J772" s="380"/>
      <c r="K772" s="383"/>
      <c r="L772" s="384"/>
      <c r="M772" s="378"/>
      <c r="N772" s="378"/>
      <c r="O772" s="378"/>
      <c r="P772" s="378"/>
      <c r="Q772" s="378"/>
      <c r="R772" s="422"/>
      <c r="S772" s="378"/>
      <c r="T772" s="385"/>
      <c r="U772" s="410"/>
      <c r="V772" s="411"/>
      <c r="W772" s="378"/>
      <c r="X772" s="378"/>
      <c r="Y772" s="378"/>
      <c r="Z772" s="378"/>
      <c r="AA772" s="378"/>
      <c r="AB772" s="378"/>
      <c r="AC772" s="378"/>
      <c r="AD772" s="378"/>
    </row>
    <row r="773" spans="1:30" x14ac:dyDescent="0.2">
      <c r="A773" s="406"/>
      <c r="B773" s="390"/>
      <c r="C773" s="390"/>
      <c r="D773" s="407"/>
      <c r="E773" s="378"/>
      <c r="F773" s="408"/>
      <c r="G773" s="378"/>
      <c r="H773" s="378"/>
      <c r="I773" s="378"/>
      <c r="J773" s="409"/>
      <c r="K773" s="383"/>
      <c r="L773" s="383"/>
      <c r="M773" s="378"/>
      <c r="N773" s="378"/>
      <c r="O773" s="378"/>
      <c r="P773" s="378"/>
      <c r="Q773" s="378"/>
      <c r="R773" s="422"/>
      <c r="S773" s="378"/>
      <c r="T773" s="385"/>
      <c r="U773" s="410"/>
      <c r="V773" s="411"/>
      <c r="W773" s="390"/>
      <c r="X773" s="390"/>
      <c r="Y773" s="390"/>
      <c r="Z773" s="390"/>
      <c r="AA773" s="390"/>
      <c r="AB773" s="390"/>
      <c r="AC773" s="390"/>
      <c r="AD773" s="390"/>
    </row>
    <row r="774" spans="1:30" ht="15.75" x14ac:dyDescent="0.25">
      <c r="A774" s="412" t="s">
        <v>345</v>
      </c>
      <c r="B774" s="403"/>
      <c r="C774" s="403"/>
      <c r="D774" s="403"/>
      <c r="E774" s="403"/>
      <c r="F774" s="413"/>
      <c r="G774" s="403"/>
      <c r="H774" s="403"/>
      <c r="I774" s="403"/>
      <c r="J774" s="392" t="s">
        <v>16</v>
      </c>
      <c r="K774" s="392">
        <f>SUM(K775:K776)</f>
        <v>0</v>
      </c>
      <c r="L774" s="392">
        <f>SUM(L775:L776)</f>
        <v>0</v>
      </c>
      <c r="M774" s="390"/>
      <c r="N774" s="390"/>
      <c r="O774" s="390"/>
      <c r="P774" s="390"/>
      <c r="Q774" s="390"/>
      <c r="R774" s="418"/>
      <c r="S774" s="390"/>
      <c r="T774" s="390"/>
      <c r="U774" s="390"/>
      <c r="V774" s="390"/>
      <c r="W774" s="390"/>
      <c r="X774" s="390"/>
      <c r="Y774" s="390"/>
      <c r="Z774" s="390"/>
      <c r="AA774" s="390"/>
      <c r="AB774" s="390"/>
      <c r="AC774" s="390"/>
      <c r="AD774" s="390"/>
    </row>
    <row r="775" spans="1:30" x14ac:dyDescent="0.2">
      <c r="A775" s="414"/>
      <c r="B775" s="390"/>
      <c r="C775" s="390"/>
      <c r="D775" s="378"/>
      <c r="E775" s="378"/>
      <c r="F775" s="408"/>
      <c r="G775" s="378"/>
      <c r="H775" s="378"/>
      <c r="I775" s="378"/>
      <c r="J775" s="409"/>
      <c r="K775" s="383"/>
      <c r="L775" s="383"/>
      <c r="M775" s="378"/>
      <c r="N775" s="378"/>
      <c r="O775" s="378"/>
      <c r="P775" s="378"/>
      <c r="Q775" s="378"/>
      <c r="R775" s="422"/>
      <c r="S775" s="378"/>
      <c r="T775" s="410"/>
      <c r="U775" s="378"/>
      <c r="V775" s="390"/>
      <c r="W775" s="390"/>
      <c r="X775" s="390"/>
      <c r="Y775" s="390"/>
      <c r="Z775" s="390"/>
      <c r="AA775" s="390"/>
      <c r="AB775" s="390"/>
      <c r="AC775" s="390"/>
      <c r="AD775" s="390"/>
    </row>
    <row r="776" spans="1:30" s="436" customFormat="1" x14ac:dyDescent="0.2">
      <c r="A776" s="415"/>
      <c r="B776" s="378"/>
      <c r="C776" s="378"/>
      <c r="D776" s="378"/>
      <c r="E776" s="378"/>
      <c r="F776" s="408"/>
      <c r="G776" s="378"/>
      <c r="H776" s="378"/>
      <c r="I776" s="378"/>
      <c r="J776" s="409"/>
      <c r="K776" s="383"/>
      <c r="L776" s="383"/>
      <c r="M776" s="378"/>
      <c r="N776" s="378"/>
      <c r="O776" s="378"/>
      <c r="P776" s="378"/>
      <c r="Q776" s="378"/>
      <c r="R776" s="422"/>
      <c r="S776" s="378"/>
      <c r="T776" s="410"/>
      <c r="U776" s="378"/>
      <c r="V776" s="378"/>
      <c r="W776" s="378"/>
      <c r="X776" s="378"/>
      <c r="Y776" s="378"/>
      <c r="Z776" s="378"/>
      <c r="AA776" s="378"/>
      <c r="AB776" s="378"/>
      <c r="AC776" s="378"/>
      <c r="AD776" s="378"/>
    </row>
    <row r="777" spans="1:30" s="420" customFormat="1" ht="15.75" x14ac:dyDescent="0.25">
      <c r="A777" s="399" t="s">
        <v>289</v>
      </c>
      <c r="B777" s="400"/>
      <c r="C777" s="400"/>
      <c r="D777" s="400"/>
      <c r="E777" s="400"/>
      <c r="F777" s="401"/>
      <c r="G777" s="400"/>
      <c r="H777" s="400"/>
      <c r="I777" s="400"/>
      <c r="J777" s="400"/>
      <c r="K777" s="402"/>
      <c r="L777" s="402"/>
      <c r="M777" s="400"/>
      <c r="N777" s="400"/>
      <c r="O777" s="400"/>
      <c r="P777" s="400"/>
      <c r="Q777" s="400"/>
      <c r="R777" s="419"/>
      <c r="S777" s="400"/>
      <c r="T777" s="400"/>
      <c r="U777" s="400"/>
      <c r="V777" s="400"/>
      <c r="W777" s="400"/>
      <c r="X777" s="400"/>
      <c r="Y777" s="400"/>
      <c r="Z777" s="400"/>
      <c r="AA777" s="400"/>
      <c r="AB777" s="400"/>
      <c r="AC777" s="400"/>
      <c r="AD777" s="400"/>
    </row>
    <row r="778" spans="1:30" ht="15.75" x14ac:dyDescent="0.25">
      <c r="A778" s="403" t="s">
        <v>344</v>
      </c>
      <c r="B778" s="404"/>
      <c r="C778" s="404"/>
      <c r="D778" s="404"/>
      <c r="E778" s="404"/>
      <c r="F778" s="405"/>
      <c r="G778" s="404"/>
      <c r="H778" s="404"/>
      <c r="I778" s="404"/>
      <c r="J778" s="392" t="s">
        <v>16</v>
      </c>
      <c r="K778" s="392">
        <f>SUM(K779:K780)</f>
        <v>0</v>
      </c>
      <c r="L778" s="392">
        <f>SUM(L779:L780)</f>
        <v>0</v>
      </c>
      <c r="M778" s="390"/>
      <c r="N778" s="390"/>
      <c r="O778" s="390"/>
      <c r="P778" s="390"/>
      <c r="Q778" s="390"/>
      <c r="R778" s="418"/>
      <c r="S778" s="390"/>
      <c r="T778" s="390"/>
      <c r="U778" s="390"/>
      <c r="V778" s="390"/>
      <c r="W778" s="390"/>
      <c r="X778" s="390"/>
      <c r="Y778" s="390"/>
      <c r="Z778" s="390"/>
      <c r="AA778" s="390"/>
      <c r="AB778" s="390"/>
      <c r="AC778" s="390"/>
      <c r="AD778" s="390"/>
    </row>
    <row r="779" spans="1:30" s="436" customFormat="1" ht="15.75" x14ac:dyDescent="0.25">
      <c r="A779" s="386"/>
      <c r="B779" s="378"/>
      <c r="C779" s="378"/>
      <c r="D779" s="378"/>
      <c r="E779" s="378"/>
      <c r="F779" s="408"/>
      <c r="G779" s="378"/>
      <c r="H779" s="378"/>
      <c r="I779" s="378"/>
      <c r="J779" s="380"/>
      <c r="K779" s="383"/>
      <c r="L779" s="384"/>
      <c r="M779" s="378"/>
      <c r="N779" s="378"/>
      <c r="O779" s="378"/>
      <c r="P779" s="378"/>
      <c r="Q779" s="378"/>
      <c r="R779" s="422"/>
      <c r="S779" s="378"/>
      <c r="T779" s="385"/>
      <c r="U779" s="410"/>
      <c r="V779" s="411"/>
      <c r="W779" s="378"/>
      <c r="X779" s="378"/>
      <c r="Y779" s="378"/>
      <c r="Z779" s="378"/>
      <c r="AA779" s="378"/>
      <c r="AB779" s="378"/>
      <c r="AC779" s="378"/>
      <c r="AD779" s="378"/>
    </row>
    <row r="780" spans="1:30" x14ac:dyDescent="0.2">
      <c r="A780" s="406"/>
      <c r="B780" s="390"/>
      <c r="C780" s="390"/>
      <c r="D780" s="407"/>
      <c r="E780" s="378"/>
      <c r="F780" s="408"/>
      <c r="G780" s="378"/>
      <c r="H780" s="378"/>
      <c r="I780" s="378"/>
      <c r="J780" s="409"/>
      <c r="K780" s="383"/>
      <c r="L780" s="383"/>
      <c r="M780" s="378"/>
      <c r="N780" s="378"/>
      <c r="O780" s="378"/>
      <c r="P780" s="378"/>
      <c r="Q780" s="378"/>
      <c r="R780" s="422"/>
      <c r="S780" s="378"/>
      <c r="T780" s="385"/>
      <c r="U780" s="410"/>
      <c r="V780" s="411"/>
      <c r="W780" s="390"/>
      <c r="X780" s="390"/>
      <c r="Y780" s="390"/>
      <c r="Z780" s="390"/>
      <c r="AA780" s="390"/>
      <c r="AB780" s="390"/>
      <c r="AC780" s="390"/>
      <c r="AD780" s="390"/>
    </row>
    <row r="781" spans="1:30" ht="15.75" x14ac:dyDescent="0.25">
      <c r="A781" s="412" t="s">
        <v>345</v>
      </c>
      <c r="B781" s="403"/>
      <c r="C781" s="403"/>
      <c r="D781" s="403"/>
      <c r="E781" s="403"/>
      <c r="F781" s="413"/>
      <c r="G781" s="403"/>
      <c r="H781" s="403"/>
      <c r="I781" s="403"/>
      <c r="J781" s="392" t="s">
        <v>16</v>
      </c>
      <c r="K781" s="392">
        <f>SUM(K782:K783)</f>
        <v>0</v>
      </c>
      <c r="L781" s="392">
        <f>SUM(L782:L783)</f>
        <v>0</v>
      </c>
      <c r="M781" s="390"/>
      <c r="N781" s="390"/>
      <c r="O781" s="390"/>
      <c r="P781" s="390"/>
      <c r="Q781" s="390"/>
      <c r="R781" s="418"/>
      <c r="S781" s="390"/>
      <c r="T781" s="390"/>
      <c r="U781" s="390"/>
      <c r="V781" s="390"/>
      <c r="W781" s="390"/>
      <c r="X781" s="390"/>
      <c r="Y781" s="390"/>
      <c r="Z781" s="390"/>
      <c r="AA781" s="390"/>
      <c r="AB781" s="390"/>
      <c r="AC781" s="390"/>
      <c r="AD781" s="390"/>
    </row>
    <row r="782" spans="1:30" x14ac:dyDescent="0.2">
      <c r="A782" s="414"/>
      <c r="B782" s="390"/>
      <c r="C782" s="390"/>
      <c r="D782" s="378"/>
      <c r="E782" s="378"/>
      <c r="F782" s="408"/>
      <c r="G782" s="378"/>
      <c r="H782" s="378"/>
      <c r="I782" s="378"/>
      <c r="J782" s="409"/>
      <c r="K782" s="383"/>
      <c r="L782" s="383"/>
      <c r="M782" s="378"/>
      <c r="N782" s="378"/>
      <c r="O782" s="378"/>
      <c r="P782" s="378"/>
      <c r="Q782" s="378"/>
      <c r="R782" s="422"/>
      <c r="S782" s="378"/>
      <c r="T782" s="410"/>
      <c r="U782" s="378"/>
      <c r="V782" s="390"/>
      <c r="W782" s="390"/>
      <c r="X782" s="390"/>
      <c r="Y782" s="390"/>
      <c r="Z782" s="390"/>
      <c r="AA782" s="390"/>
      <c r="AB782" s="390"/>
      <c r="AC782" s="390"/>
      <c r="AD782" s="390"/>
    </row>
    <row r="783" spans="1:30" s="436" customFormat="1" x14ac:dyDescent="0.2">
      <c r="A783" s="415"/>
      <c r="B783" s="378"/>
      <c r="C783" s="378"/>
      <c r="D783" s="378"/>
      <c r="E783" s="378"/>
      <c r="F783" s="408"/>
      <c r="G783" s="378"/>
      <c r="H783" s="378"/>
      <c r="I783" s="378"/>
      <c r="J783" s="409"/>
      <c r="K783" s="383"/>
      <c r="L783" s="383"/>
      <c r="M783" s="378"/>
      <c r="N783" s="378"/>
      <c r="O783" s="378"/>
      <c r="P783" s="378"/>
      <c r="Q783" s="378"/>
      <c r="R783" s="422"/>
      <c r="S783" s="378"/>
      <c r="T783" s="410"/>
      <c r="U783" s="378"/>
      <c r="V783" s="378"/>
      <c r="W783" s="378"/>
      <c r="X783" s="378"/>
      <c r="Y783" s="378"/>
      <c r="Z783" s="378"/>
      <c r="AA783" s="378"/>
      <c r="AB783" s="378"/>
      <c r="AC783" s="378"/>
      <c r="AD783" s="378"/>
    </row>
    <row r="784" spans="1:30" s="420" customFormat="1" ht="15.75" x14ac:dyDescent="0.25">
      <c r="A784" s="399" t="s">
        <v>291</v>
      </c>
      <c r="B784" s="400"/>
      <c r="C784" s="400"/>
      <c r="D784" s="400"/>
      <c r="E784" s="400"/>
      <c r="F784" s="401"/>
      <c r="G784" s="400"/>
      <c r="H784" s="400"/>
      <c r="I784" s="400"/>
      <c r="J784" s="400"/>
      <c r="K784" s="402"/>
      <c r="L784" s="402"/>
      <c r="M784" s="400"/>
      <c r="N784" s="400"/>
      <c r="O784" s="400"/>
      <c r="P784" s="400"/>
      <c r="Q784" s="400"/>
      <c r="R784" s="419"/>
      <c r="S784" s="400"/>
      <c r="T784" s="400"/>
      <c r="U784" s="400"/>
      <c r="V784" s="400"/>
      <c r="W784" s="400"/>
      <c r="X784" s="400"/>
      <c r="Y784" s="400"/>
      <c r="Z784" s="400"/>
      <c r="AA784" s="400"/>
      <c r="AB784" s="400"/>
      <c r="AC784" s="400"/>
      <c r="AD784" s="400"/>
    </row>
    <row r="785" spans="1:30" ht="15.75" x14ac:dyDescent="0.25">
      <c r="A785" s="403" t="s">
        <v>344</v>
      </c>
      <c r="B785" s="404"/>
      <c r="C785" s="404"/>
      <c r="D785" s="404"/>
      <c r="E785" s="404"/>
      <c r="F785" s="405"/>
      <c r="G785" s="404"/>
      <c r="H785" s="404"/>
      <c r="I785" s="404"/>
      <c r="J785" s="392" t="s">
        <v>16</v>
      </c>
      <c r="K785" s="392">
        <f>SUM(K786:K787)</f>
        <v>0</v>
      </c>
      <c r="L785" s="392">
        <f>SUM(L786:L787)</f>
        <v>0</v>
      </c>
      <c r="M785" s="390"/>
      <c r="N785" s="390"/>
      <c r="O785" s="390"/>
      <c r="P785" s="390"/>
      <c r="Q785" s="390"/>
      <c r="R785" s="418"/>
      <c r="S785" s="390"/>
      <c r="T785" s="390"/>
      <c r="U785" s="390"/>
      <c r="V785" s="390"/>
      <c r="W785" s="390"/>
      <c r="X785" s="390"/>
      <c r="Y785" s="390"/>
      <c r="Z785" s="390"/>
      <c r="AA785" s="390"/>
      <c r="AB785" s="390"/>
      <c r="AC785" s="390"/>
      <c r="AD785" s="390"/>
    </row>
    <row r="786" spans="1:30" s="436" customFormat="1" ht="15.75" x14ac:dyDescent="0.25">
      <c r="A786" s="386"/>
      <c r="B786" s="378"/>
      <c r="C786" s="378"/>
      <c r="D786" s="378"/>
      <c r="E786" s="378"/>
      <c r="F786" s="408"/>
      <c r="G786" s="378"/>
      <c r="H786" s="378"/>
      <c r="I786" s="378"/>
      <c r="J786" s="380"/>
      <c r="K786" s="383"/>
      <c r="L786" s="384"/>
      <c r="M786" s="378"/>
      <c r="N786" s="378"/>
      <c r="O786" s="378"/>
      <c r="P786" s="378"/>
      <c r="Q786" s="378"/>
      <c r="R786" s="422"/>
      <c r="S786" s="378"/>
      <c r="T786" s="385"/>
      <c r="U786" s="410"/>
      <c r="V786" s="411"/>
      <c r="W786" s="378"/>
      <c r="X786" s="378"/>
      <c r="Y786" s="378"/>
      <c r="Z786" s="378"/>
      <c r="AA786" s="378"/>
      <c r="AB786" s="378"/>
      <c r="AC786" s="378"/>
      <c r="AD786" s="378"/>
    </row>
    <row r="787" spans="1:30" x14ac:dyDescent="0.2">
      <c r="A787" s="406"/>
      <c r="B787" s="390"/>
      <c r="C787" s="390"/>
      <c r="D787" s="407"/>
      <c r="E787" s="378"/>
      <c r="F787" s="408"/>
      <c r="G787" s="378"/>
      <c r="H787" s="378"/>
      <c r="I787" s="378"/>
      <c r="J787" s="409"/>
      <c r="K787" s="383"/>
      <c r="L787" s="383"/>
      <c r="M787" s="378"/>
      <c r="N787" s="378"/>
      <c r="O787" s="378"/>
      <c r="P787" s="378"/>
      <c r="Q787" s="378"/>
      <c r="R787" s="422"/>
      <c r="S787" s="378"/>
      <c r="T787" s="385"/>
      <c r="U787" s="410"/>
      <c r="V787" s="411"/>
      <c r="W787" s="390"/>
      <c r="X787" s="390"/>
      <c r="Y787" s="390"/>
      <c r="Z787" s="390"/>
      <c r="AA787" s="390"/>
      <c r="AB787" s="390"/>
      <c r="AC787" s="390"/>
      <c r="AD787" s="390"/>
    </row>
    <row r="788" spans="1:30" ht="15.75" x14ac:dyDescent="0.25">
      <c r="A788" s="412" t="s">
        <v>345</v>
      </c>
      <c r="B788" s="403"/>
      <c r="C788" s="403"/>
      <c r="D788" s="403"/>
      <c r="E788" s="403"/>
      <c r="F788" s="413"/>
      <c r="G788" s="403"/>
      <c r="H788" s="403"/>
      <c r="I788" s="403"/>
      <c r="J788" s="392" t="s">
        <v>16</v>
      </c>
      <c r="K788" s="392">
        <f>SUM(K789:K790)</f>
        <v>0</v>
      </c>
      <c r="L788" s="392">
        <f>SUM(L789:L790)</f>
        <v>0</v>
      </c>
      <c r="M788" s="390"/>
      <c r="N788" s="390"/>
      <c r="O788" s="390"/>
      <c r="P788" s="390"/>
      <c r="Q788" s="390"/>
      <c r="R788" s="418"/>
      <c r="S788" s="390"/>
      <c r="T788" s="390"/>
      <c r="U788" s="390"/>
      <c r="V788" s="390"/>
      <c r="W788" s="390"/>
      <c r="X788" s="390"/>
      <c r="Y788" s="390"/>
      <c r="Z788" s="390"/>
      <c r="AA788" s="390"/>
      <c r="AB788" s="390"/>
      <c r="AC788" s="390"/>
      <c r="AD788" s="390"/>
    </row>
    <row r="789" spans="1:30" x14ac:dyDescent="0.2">
      <c r="A789" s="414"/>
      <c r="B789" s="390"/>
      <c r="C789" s="390"/>
      <c r="D789" s="378"/>
      <c r="E789" s="378"/>
      <c r="F789" s="408"/>
      <c r="G789" s="378"/>
      <c r="H789" s="378"/>
      <c r="I789" s="378"/>
      <c r="J789" s="409"/>
      <c r="K789" s="383"/>
      <c r="L789" s="383"/>
      <c r="M789" s="378"/>
      <c r="N789" s="378"/>
      <c r="O789" s="378"/>
      <c r="P789" s="378"/>
      <c r="Q789" s="378"/>
      <c r="R789" s="422"/>
      <c r="S789" s="378"/>
      <c r="T789" s="410"/>
      <c r="U789" s="378"/>
      <c r="V789" s="390"/>
      <c r="W789" s="390"/>
      <c r="X789" s="390"/>
      <c r="Y789" s="390"/>
      <c r="Z789" s="390"/>
      <c r="AA789" s="390"/>
      <c r="AB789" s="390"/>
      <c r="AC789" s="390"/>
      <c r="AD789" s="390"/>
    </row>
    <row r="790" spans="1:30" s="436" customFormat="1" x14ac:dyDescent="0.2">
      <c r="A790" s="415"/>
      <c r="B790" s="378"/>
      <c r="C790" s="378"/>
      <c r="D790" s="378"/>
      <c r="E790" s="378"/>
      <c r="F790" s="408"/>
      <c r="G790" s="378"/>
      <c r="H790" s="378"/>
      <c r="I790" s="378"/>
      <c r="J790" s="409"/>
      <c r="K790" s="383"/>
      <c r="L790" s="383"/>
      <c r="M790" s="378"/>
      <c r="N790" s="378"/>
      <c r="O790" s="378"/>
      <c r="P790" s="378"/>
      <c r="Q790" s="378"/>
      <c r="R790" s="422"/>
      <c r="S790" s="378"/>
      <c r="T790" s="410"/>
      <c r="U790" s="378"/>
      <c r="V790" s="378"/>
      <c r="W790" s="378"/>
      <c r="X790" s="378"/>
      <c r="Y790" s="378"/>
      <c r="Z790" s="378"/>
      <c r="AA790" s="378"/>
      <c r="AB790" s="378"/>
      <c r="AC790" s="378"/>
      <c r="AD790" s="378"/>
    </row>
    <row r="791" spans="1:30" s="420" customFormat="1" ht="15.75" x14ac:dyDescent="0.25">
      <c r="A791" s="399" t="s">
        <v>292</v>
      </c>
      <c r="B791" s="400"/>
      <c r="C791" s="400"/>
      <c r="D791" s="400"/>
      <c r="E791" s="400"/>
      <c r="F791" s="401"/>
      <c r="G791" s="400"/>
      <c r="H791" s="400"/>
      <c r="I791" s="400"/>
      <c r="J791" s="400"/>
      <c r="K791" s="402"/>
      <c r="L791" s="402"/>
      <c r="M791" s="400"/>
      <c r="N791" s="400"/>
      <c r="O791" s="400"/>
      <c r="P791" s="400"/>
      <c r="Q791" s="400"/>
      <c r="R791" s="419"/>
      <c r="S791" s="400"/>
      <c r="T791" s="400"/>
      <c r="U791" s="400"/>
      <c r="V791" s="400"/>
      <c r="W791" s="400"/>
      <c r="X791" s="400"/>
      <c r="Y791" s="400"/>
      <c r="Z791" s="400"/>
      <c r="AA791" s="400"/>
      <c r="AB791" s="400"/>
      <c r="AC791" s="400"/>
      <c r="AD791" s="400"/>
    </row>
    <row r="792" spans="1:30" ht="15.75" x14ac:dyDescent="0.25">
      <c r="A792" s="403" t="s">
        <v>344</v>
      </c>
      <c r="B792" s="404"/>
      <c r="C792" s="404"/>
      <c r="D792" s="404"/>
      <c r="E792" s="404"/>
      <c r="F792" s="405"/>
      <c r="G792" s="404"/>
      <c r="H792" s="404"/>
      <c r="I792" s="404"/>
      <c r="J792" s="392" t="s">
        <v>16</v>
      </c>
      <c r="K792" s="392">
        <f>SUM(K793:K794)</f>
        <v>0</v>
      </c>
      <c r="L792" s="392">
        <f>SUM(L793:L794)</f>
        <v>0</v>
      </c>
      <c r="M792" s="390"/>
      <c r="N792" s="390"/>
      <c r="O792" s="390"/>
      <c r="P792" s="390"/>
      <c r="Q792" s="390"/>
      <c r="R792" s="418"/>
      <c r="S792" s="390"/>
      <c r="T792" s="390"/>
      <c r="U792" s="390"/>
      <c r="V792" s="390"/>
      <c r="W792" s="390"/>
      <c r="X792" s="390"/>
      <c r="Y792" s="390"/>
      <c r="Z792" s="390"/>
      <c r="AA792" s="390"/>
      <c r="AB792" s="390"/>
      <c r="AC792" s="390"/>
      <c r="AD792" s="390"/>
    </row>
    <row r="793" spans="1:30" s="436" customFormat="1" ht="15.75" x14ac:dyDescent="0.25">
      <c r="A793" s="386"/>
      <c r="B793" s="378"/>
      <c r="C793" s="378"/>
      <c r="D793" s="378"/>
      <c r="E793" s="378"/>
      <c r="F793" s="408"/>
      <c r="G793" s="378"/>
      <c r="H793" s="378"/>
      <c r="I793" s="378"/>
      <c r="J793" s="380"/>
      <c r="K793" s="383"/>
      <c r="L793" s="384"/>
      <c r="M793" s="378"/>
      <c r="N793" s="378"/>
      <c r="O793" s="378"/>
      <c r="P793" s="378"/>
      <c r="Q793" s="378"/>
      <c r="R793" s="422"/>
      <c r="S793" s="378"/>
      <c r="T793" s="385"/>
      <c r="U793" s="410"/>
      <c r="V793" s="411"/>
      <c r="W793" s="378"/>
      <c r="X793" s="378"/>
      <c r="Y793" s="378"/>
      <c r="Z793" s="378"/>
      <c r="AA793" s="378"/>
      <c r="AB793" s="378"/>
      <c r="AC793" s="378"/>
      <c r="AD793" s="378"/>
    </row>
    <row r="794" spans="1:30" x14ac:dyDescent="0.2">
      <c r="A794" s="406"/>
      <c r="B794" s="390"/>
      <c r="C794" s="390"/>
      <c r="D794" s="407"/>
      <c r="E794" s="378"/>
      <c r="F794" s="408"/>
      <c r="G794" s="378"/>
      <c r="H794" s="378"/>
      <c r="I794" s="378"/>
      <c r="J794" s="409"/>
      <c r="K794" s="383"/>
      <c r="L794" s="383"/>
      <c r="M794" s="378"/>
      <c r="N794" s="378"/>
      <c r="O794" s="378"/>
      <c r="P794" s="378"/>
      <c r="Q794" s="378"/>
      <c r="R794" s="422"/>
      <c r="S794" s="378"/>
      <c r="T794" s="385"/>
      <c r="U794" s="410"/>
      <c r="V794" s="411"/>
      <c r="W794" s="390"/>
      <c r="X794" s="390"/>
      <c r="Y794" s="390"/>
      <c r="Z794" s="390"/>
      <c r="AA794" s="390"/>
      <c r="AB794" s="390"/>
      <c r="AC794" s="390"/>
      <c r="AD794" s="390"/>
    </row>
    <row r="795" spans="1:30" ht="15.75" x14ac:dyDescent="0.25">
      <c r="A795" s="412" t="s">
        <v>345</v>
      </c>
      <c r="B795" s="403"/>
      <c r="C795" s="403"/>
      <c r="D795" s="403"/>
      <c r="E795" s="403"/>
      <c r="F795" s="413"/>
      <c r="G795" s="403"/>
      <c r="H795" s="403"/>
      <c r="I795" s="403"/>
      <c r="J795" s="392" t="s">
        <v>16</v>
      </c>
      <c r="K795" s="392">
        <f>SUM(K796:K797)</f>
        <v>0</v>
      </c>
      <c r="L795" s="392">
        <f>SUM(L796:L797)</f>
        <v>0</v>
      </c>
      <c r="M795" s="390"/>
      <c r="N795" s="390"/>
      <c r="O795" s="390"/>
      <c r="P795" s="390"/>
      <c r="Q795" s="390"/>
      <c r="R795" s="418"/>
      <c r="S795" s="390"/>
      <c r="T795" s="390"/>
      <c r="U795" s="390"/>
      <c r="V795" s="390"/>
      <c r="W795" s="390"/>
      <c r="X795" s="390"/>
      <c r="Y795" s="390"/>
      <c r="Z795" s="390"/>
      <c r="AA795" s="390"/>
      <c r="AB795" s="390"/>
      <c r="AC795" s="390"/>
      <c r="AD795" s="390"/>
    </row>
    <row r="796" spans="1:30" x14ac:dyDescent="0.2">
      <c r="A796" s="414"/>
      <c r="B796" s="390"/>
      <c r="C796" s="390"/>
      <c r="D796" s="378"/>
      <c r="E796" s="378"/>
      <c r="F796" s="408"/>
      <c r="G796" s="378"/>
      <c r="H796" s="378"/>
      <c r="I796" s="378"/>
      <c r="J796" s="409"/>
      <c r="K796" s="383"/>
      <c r="L796" s="383"/>
      <c r="M796" s="378"/>
      <c r="N796" s="378"/>
      <c r="O796" s="378"/>
      <c r="P796" s="378"/>
      <c r="Q796" s="378"/>
      <c r="R796" s="422"/>
      <c r="S796" s="378"/>
      <c r="T796" s="410"/>
      <c r="U796" s="378"/>
      <c r="V796" s="390"/>
      <c r="W796" s="390"/>
      <c r="X796" s="390"/>
      <c r="Y796" s="390"/>
      <c r="Z796" s="390"/>
      <c r="AA796" s="390"/>
      <c r="AB796" s="390"/>
      <c r="AC796" s="390"/>
      <c r="AD796" s="390"/>
    </row>
    <row r="797" spans="1:30" s="436" customFormat="1" x14ac:dyDescent="0.2">
      <c r="A797" s="415"/>
      <c r="B797" s="378"/>
      <c r="C797" s="378"/>
      <c r="D797" s="378"/>
      <c r="E797" s="378"/>
      <c r="F797" s="408"/>
      <c r="G797" s="378"/>
      <c r="H797" s="378"/>
      <c r="I797" s="378"/>
      <c r="J797" s="409"/>
      <c r="K797" s="383"/>
      <c r="L797" s="383"/>
      <c r="M797" s="378"/>
      <c r="N797" s="378"/>
      <c r="O797" s="378"/>
      <c r="P797" s="378"/>
      <c r="Q797" s="378"/>
      <c r="R797" s="422"/>
      <c r="S797" s="378"/>
      <c r="T797" s="410"/>
      <c r="U797" s="378"/>
      <c r="V797" s="378"/>
      <c r="W797" s="378"/>
      <c r="X797" s="378"/>
      <c r="Y797" s="378"/>
      <c r="Z797" s="378"/>
      <c r="AA797" s="378"/>
      <c r="AB797" s="378"/>
      <c r="AC797" s="378"/>
      <c r="AD797" s="378"/>
    </row>
    <row r="798" spans="1:30" s="420" customFormat="1" ht="15.75" x14ac:dyDescent="0.25">
      <c r="A798" s="399" t="s">
        <v>293</v>
      </c>
      <c r="B798" s="400"/>
      <c r="C798" s="400"/>
      <c r="D798" s="400"/>
      <c r="E798" s="400"/>
      <c r="F798" s="401"/>
      <c r="G798" s="400"/>
      <c r="H798" s="400"/>
      <c r="I798" s="400"/>
      <c r="J798" s="400"/>
      <c r="K798" s="402"/>
      <c r="L798" s="402"/>
      <c r="M798" s="400"/>
      <c r="N798" s="400"/>
      <c r="O798" s="400"/>
      <c r="P798" s="400"/>
      <c r="Q798" s="400"/>
      <c r="R798" s="419"/>
      <c r="S798" s="400"/>
      <c r="T798" s="400"/>
      <c r="U798" s="400"/>
      <c r="V798" s="400"/>
      <c r="W798" s="400"/>
      <c r="X798" s="400"/>
      <c r="Y798" s="400"/>
      <c r="Z798" s="400"/>
      <c r="AA798" s="400"/>
      <c r="AB798" s="400"/>
      <c r="AC798" s="400"/>
      <c r="AD798" s="400"/>
    </row>
    <row r="799" spans="1:30" ht="15.75" x14ac:dyDescent="0.25">
      <c r="A799" s="403" t="s">
        <v>344</v>
      </c>
      <c r="B799" s="404"/>
      <c r="C799" s="404"/>
      <c r="D799" s="404"/>
      <c r="E799" s="404"/>
      <c r="F799" s="405"/>
      <c r="G799" s="404"/>
      <c r="H799" s="404"/>
      <c r="I799" s="404"/>
      <c r="J799" s="392" t="s">
        <v>16</v>
      </c>
      <c r="K799" s="392">
        <f>SUM(K800:K801)</f>
        <v>0</v>
      </c>
      <c r="L799" s="392">
        <f>SUM(L800:L801)</f>
        <v>0</v>
      </c>
      <c r="M799" s="390"/>
      <c r="N799" s="390"/>
      <c r="O799" s="390"/>
      <c r="P799" s="390"/>
      <c r="Q799" s="390"/>
      <c r="R799" s="418"/>
      <c r="S799" s="390"/>
      <c r="T799" s="390"/>
      <c r="U799" s="390"/>
      <c r="V799" s="390"/>
      <c r="W799" s="390"/>
      <c r="X799" s="390"/>
      <c r="Y799" s="390"/>
      <c r="Z799" s="390"/>
      <c r="AA799" s="390"/>
      <c r="AB799" s="390"/>
      <c r="AC799" s="390"/>
      <c r="AD799" s="390"/>
    </row>
    <row r="800" spans="1:30" s="436" customFormat="1" ht="15.75" x14ac:dyDescent="0.25">
      <c r="A800" s="386"/>
      <c r="B800" s="378"/>
      <c r="C800" s="378"/>
      <c r="D800" s="378"/>
      <c r="E800" s="378"/>
      <c r="F800" s="408"/>
      <c r="G800" s="378"/>
      <c r="H800" s="378"/>
      <c r="I800" s="378"/>
      <c r="J800" s="380"/>
      <c r="K800" s="383"/>
      <c r="L800" s="384"/>
      <c r="M800" s="378"/>
      <c r="N800" s="378"/>
      <c r="O800" s="378"/>
      <c r="P800" s="378"/>
      <c r="Q800" s="378"/>
      <c r="R800" s="422"/>
      <c r="S800" s="378"/>
      <c r="T800" s="385"/>
      <c r="U800" s="410"/>
      <c r="V800" s="411"/>
      <c r="W800" s="378"/>
      <c r="X800" s="378"/>
      <c r="Y800" s="378"/>
      <c r="Z800" s="378"/>
      <c r="AA800" s="378"/>
      <c r="AB800" s="378"/>
      <c r="AC800" s="378"/>
      <c r="AD800" s="378"/>
    </row>
    <row r="801" spans="1:30" x14ac:dyDescent="0.2">
      <c r="A801" s="406"/>
      <c r="B801" s="390"/>
      <c r="C801" s="390"/>
      <c r="D801" s="407"/>
      <c r="E801" s="378"/>
      <c r="F801" s="408"/>
      <c r="G801" s="378"/>
      <c r="H801" s="378"/>
      <c r="I801" s="378"/>
      <c r="J801" s="409"/>
      <c r="K801" s="383"/>
      <c r="L801" s="383"/>
      <c r="M801" s="378"/>
      <c r="N801" s="378"/>
      <c r="O801" s="378"/>
      <c r="P801" s="378"/>
      <c r="Q801" s="378"/>
      <c r="R801" s="422"/>
      <c r="S801" s="378"/>
      <c r="T801" s="385"/>
      <c r="U801" s="410"/>
      <c r="V801" s="411"/>
      <c r="W801" s="390"/>
      <c r="X801" s="390"/>
      <c r="Y801" s="390"/>
      <c r="Z801" s="390"/>
      <c r="AA801" s="390"/>
      <c r="AB801" s="390"/>
      <c r="AC801" s="390"/>
      <c r="AD801" s="390"/>
    </row>
    <row r="802" spans="1:30" ht="15.75" x14ac:dyDescent="0.25">
      <c r="A802" s="412" t="s">
        <v>345</v>
      </c>
      <c r="B802" s="403"/>
      <c r="C802" s="403"/>
      <c r="D802" s="403"/>
      <c r="E802" s="403"/>
      <c r="F802" s="413"/>
      <c r="G802" s="403"/>
      <c r="H802" s="403"/>
      <c r="I802" s="403"/>
      <c r="J802" s="392" t="s">
        <v>16</v>
      </c>
      <c r="K802" s="392">
        <f>SUM(K803:K804)</f>
        <v>0</v>
      </c>
      <c r="L802" s="392">
        <f>SUM(L803:L804)</f>
        <v>0</v>
      </c>
      <c r="M802" s="390"/>
      <c r="N802" s="390"/>
      <c r="O802" s="390"/>
      <c r="P802" s="390"/>
      <c r="Q802" s="390"/>
      <c r="R802" s="418"/>
      <c r="S802" s="390"/>
      <c r="T802" s="390"/>
      <c r="U802" s="390"/>
      <c r="V802" s="390"/>
      <c r="W802" s="390"/>
      <c r="X802" s="390"/>
      <c r="Y802" s="390"/>
      <c r="Z802" s="390"/>
      <c r="AA802" s="390"/>
      <c r="AB802" s="390"/>
      <c r="AC802" s="390"/>
      <c r="AD802" s="390"/>
    </row>
    <row r="803" spans="1:30" x14ac:dyDescent="0.2">
      <c r="A803" s="414"/>
      <c r="B803" s="390"/>
      <c r="C803" s="390"/>
      <c r="D803" s="378"/>
      <c r="E803" s="378"/>
      <c r="F803" s="408"/>
      <c r="G803" s="378"/>
      <c r="H803" s="378"/>
      <c r="I803" s="378"/>
      <c r="J803" s="409"/>
      <c r="K803" s="383"/>
      <c r="L803" s="383"/>
      <c r="M803" s="378"/>
      <c r="N803" s="378"/>
      <c r="O803" s="378"/>
      <c r="P803" s="378"/>
      <c r="Q803" s="378"/>
      <c r="R803" s="422"/>
      <c r="S803" s="378"/>
      <c r="T803" s="410"/>
      <c r="U803" s="378"/>
      <c r="V803" s="390"/>
      <c r="W803" s="390"/>
      <c r="X803" s="390"/>
      <c r="Y803" s="390"/>
      <c r="Z803" s="390"/>
      <c r="AA803" s="390"/>
      <c r="AB803" s="390"/>
      <c r="AC803" s="390"/>
      <c r="AD803" s="390"/>
    </row>
    <row r="804" spans="1:30" s="436" customFormat="1" x14ac:dyDescent="0.2">
      <c r="A804" s="415"/>
      <c r="B804" s="378"/>
      <c r="C804" s="378"/>
      <c r="D804" s="378"/>
      <c r="E804" s="378"/>
      <c r="F804" s="408"/>
      <c r="G804" s="378"/>
      <c r="H804" s="378"/>
      <c r="I804" s="378"/>
      <c r="J804" s="409"/>
      <c r="K804" s="383"/>
      <c r="L804" s="383"/>
      <c r="M804" s="378"/>
      <c r="N804" s="378"/>
      <c r="O804" s="378"/>
      <c r="P804" s="378"/>
      <c r="Q804" s="378"/>
      <c r="R804" s="422"/>
      <c r="S804" s="378"/>
      <c r="T804" s="410"/>
      <c r="U804" s="378"/>
      <c r="V804" s="378"/>
      <c r="W804" s="378"/>
      <c r="X804" s="378"/>
      <c r="Y804" s="378"/>
      <c r="Z804" s="378"/>
      <c r="AA804" s="378"/>
      <c r="AB804" s="378"/>
      <c r="AC804" s="378"/>
      <c r="AD804" s="378"/>
    </row>
  </sheetData>
  <mergeCells count="23">
    <mergeCell ref="U6:U7"/>
    <mergeCell ref="Q6:Q7"/>
    <mergeCell ref="A2:E2"/>
    <mergeCell ref="A3:E3"/>
    <mergeCell ref="J6:J7"/>
    <mergeCell ref="S6:S7"/>
    <mergeCell ref="T6:T7"/>
    <mergeCell ref="AB6:AD6"/>
    <mergeCell ref="A5:R5"/>
    <mergeCell ref="G6:I6"/>
    <mergeCell ref="S5:U5"/>
    <mergeCell ref="Y6:AA6"/>
    <mergeCell ref="P6:P7"/>
    <mergeCell ref="A6:A7"/>
    <mergeCell ref="B6:B7"/>
    <mergeCell ref="C6:C7"/>
    <mergeCell ref="E6:E7"/>
    <mergeCell ref="F6:F7"/>
    <mergeCell ref="V5:AD5"/>
    <mergeCell ref="K6:L6"/>
    <mergeCell ref="R6:R7"/>
    <mergeCell ref="V6:X6"/>
    <mergeCell ref="M6:O6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152"/>
  <sheetViews>
    <sheetView zoomScale="55" zoomScaleNormal="55" workbookViewId="0">
      <pane ySplit="8" topLeftCell="A69" activePane="bottomLeft" state="frozen"/>
      <selection pane="bottomLeft" activeCell="K107" sqref="K107"/>
    </sheetView>
  </sheetViews>
  <sheetFormatPr defaultColWidth="9" defaultRowHeight="15" x14ac:dyDescent="0.25"/>
  <cols>
    <col min="1" max="1" width="13.7109375" customWidth="1"/>
    <col min="2" max="2" width="2.5703125" hidden="1" customWidth="1"/>
    <col min="3" max="3" width="10.140625" hidden="1" customWidth="1"/>
    <col min="4" max="4" width="23.7109375" hidden="1" customWidth="1"/>
    <col min="5" max="5" width="29.28515625" customWidth="1"/>
    <col min="6" max="6" width="14.42578125" hidden="1" customWidth="1"/>
    <col min="7" max="7" width="18.85546875" customWidth="1"/>
    <col min="8" max="8" width="21.42578125" bestFit="1" customWidth="1"/>
    <col min="9" max="9" width="17.85546875" customWidth="1"/>
    <col min="10" max="10" width="15.140625" bestFit="1" customWidth="1"/>
    <col min="11" max="11" width="6.5703125" bestFit="1" customWidth="1"/>
    <col min="12" max="12" width="8.85546875" bestFit="1" customWidth="1"/>
    <col min="13" max="13" width="32.7109375" customWidth="1"/>
    <col min="14" max="14" width="36.42578125" customWidth="1"/>
    <col min="15" max="15" width="23.140625" customWidth="1"/>
    <col min="16" max="16" width="16.5703125" customWidth="1"/>
    <col min="17" max="17" width="17.42578125" customWidth="1"/>
    <col min="18" max="18" width="18.42578125" bestFit="1" customWidth="1"/>
    <col min="19" max="19" width="31.5703125" customWidth="1"/>
    <col min="20" max="20" width="19.7109375" customWidth="1"/>
    <col min="21" max="21" width="15.42578125" customWidth="1"/>
    <col min="22" max="22" width="13.7109375" customWidth="1"/>
    <col min="23" max="23" width="11.140625" customWidth="1"/>
    <col min="24" max="24" width="10.7109375" customWidth="1"/>
    <col min="25" max="25" width="13" customWidth="1"/>
    <col min="26" max="30" width="9.140625" customWidth="1"/>
    <col min="31" max="256" width="8.7109375" customWidth="1"/>
  </cols>
  <sheetData>
    <row r="1" spans="1:30" x14ac:dyDescent="0.25">
      <c r="J1" s="220"/>
      <c r="K1" s="221" t="s">
        <v>304</v>
      </c>
      <c r="L1" s="221" t="s">
        <v>305</v>
      </c>
      <c r="M1" s="221" t="s">
        <v>21</v>
      </c>
    </row>
    <row r="2" spans="1:30" ht="17.25" x14ac:dyDescent="0.2">
      <c r="A2" s="797" t="s">
        <v>306</v>
      </c>
      <c r="B2" s="797"/>
      <c r="C2" s="797"/>
      <c r="D2" s="797"/>
      <c r="E2" s="797"/>
      <c r="F2" s="261"/>
      <c r="G2" s="261"/>
      <c r="H2" s="261"/>
      <c r="I2" s="261"/>
      <c r="J2" s="222" t="s">
        <v>307</v>
      </c>
      <c r="K2" s="223">
        <f>K106</f>
        <v>41</v>
      </c>
      <c r="L2" s="223">
        <f>L106</f>
        <v>4</v>
      </c>
      <c r="M2" s="222">
        <f>SUM(K2:L2)</f>
        <v>45</v>
      </c>
      <c r="N2" s="261"/>
      <c r="O2" s="261"/>
      <c r="P2" s="261"/>
      <c r="Q2" s="261"/>
      <c r="R2" s="224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</row>
    <row r="3" spans="1:30" ht="17.25" x14ac:dyDescent="0.3">
      <c r="A3" s="797" t="s">
        <v>308</v>
      </c>
      <c r="B3" s="797"/>
      <c r="C3" s="797"/>
      <c r="D3" s="797"/>
      <c r="E3" s="797"/>
      <c r="F3" s="261"/>
      <c r="G3" s="225"/>
      <c r="H3" s="261"/>
      <c r="I3" s="261"/>
      <c r="J3" s="222" t="s">
        <v>309</v>
      </c>
      <c r="K3" s="223">
        <f>K84</f>
        <v>20</v>
      </c>
      <c r="L3" s="223">
        <f>L84</f>
        <v>0</v>
      </c>
      <c r="M3" s="222">
        <f>SUM(K3:L3)</f>
        <v>20</v>
      </c>
      <c r="N3" s="261"/>
      <c r="O3" s="261"/>
      <c r="P3" s="261"/>
      <c r="Q3" s="261"/>
      <c r="R3" s="224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</row>
    <row r="4" spans="1:30" ht="31.5" customHeight="1" x14ac:dyDescent="0.3">
      <c r="A4" s="263"/>
      <c r="B4" s="263"/>
      <c r="C4" s="263" t="s">
        <v>310</v>
      </c>
      <c r="D4" s="263"/>
      <c r="E4" s="263"/>
      <c r="F4" s="261"/>
      <c r="G4" s="225"/>
      <c r="H4" s="225"/>
      <c r="I4" s="261"/>
      <c r="J4" s="226"/>
      <c r="K4" s="223"/>
      <c r="L4" s="223"/>
      <c r="M4" s="222">
        <f>SUM(M2:M3)</f>
        <v>65</v>
      </c>
      <c r="N4" s="261"/>
      <c r="O4" s="261"/>
      <c r="P4" s="261"/>
      <c r="Q4" s="261"/>
      <c r="R4" s="224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</row>
    <row r="5" spans="1:30" ht="15" customHeight="1" x14ac:dyDescent="0.25">
      <c r="A5" s="798" t="s">
        <v>311</v>
      </c>
      <c r="B5" s="798"/>
      <c r="C5" s="798"/>
      <c r="D5" s="798"/>
      <c r="E5" s="798"/>
      <c r="F5" s="798"/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9" t="s">
        <v>312</v>
      </c>
      <c r="T5" s="799"/>
      <c r="U5" s="799"/>
      <c r="V5" s="801" t="s">
        <v>313</v>
      </c>
      <c r="W5" s="801"/>
      <c r="X5" s="801"/>
      <c r="Y5" s="801"/>
      <c r="Z5" s="801"/>
      <c r="AA5" s="801"/>
      <c r="AB5" s="801"/>
      <c r="AC5" s="801"/>
      <c r="AD5" s="801"/>
    </row>
    <row r="6" spans="1:30" ht="57" customHeight="1" x14ac:dyDescent="0.25">
      <c r="A6" s="795" t="s">
        <v>314</v>
      </c>
      <c r="B6" s="795" t="s">
        <v>315</v>
      </c>
      <c r="C6" s="795" t="s">
        <v>316</v>
      </c>
      <c r="D6" s="264" t="s">
        <v>317</v>
      </c>
      <c r="E6" s="795" t="s">
        <v>318</v>
      </c>
      <c r="F6" s="800"/>
      <c r="G6" s="795" t="s">
        <v>319</v>
      </c>
      <c r="H6" s="795"/>
      <c r="I6" s="795"/>
      <c r="J6" s="795" t="s">
        <v>320</v>
      </c>
      <c r="K6" s="795" t="s">
        <v>321</v>
      </c>
      <c r="L6" s="795"/>
      <c r="M6" s="795" t="s">
        <v>322</v>
      </c>
      <c r="N6" s="795"/>
      <c r="O6" s="795"/>
      <c r="P6" s="795" t="s">
        <v>323</v>
      </c>
      <c r="Q6" s="795" t="s">
        <v>324</v>
      </c>
      <c r="R6" s="793" t="s">
        <v>325</v>
      </c>
      <c r="S6" s="796" t="s">
        <v>326</v>
      </c>
      <c r="T6" s="796" t="s">
        <v>327</v>
      </c>
      <c r="U6" s="796" t="s">
        <v>328</v>
      </c>
      <c r="V6" s="794" t="s">
        <v>329</v>
      </c>
      <c r="W6" s="794"/>
      <c r="X6" s="794"/>
      <c r="Y6" s="794" t="s">
        <v>330</v>
      </c>
      <c r="Z6" s="794"/>
      <c r="AA6" s="794"/>
      <c r="AB6" s="794" t="s">
        <v>331</v>
      </c>
      <c r="AC6" s="794"/>
      <c r="AD6" s="794"/>
    </row>
    <row r="7" spans="1:30" ht="60" x14ac:dyDescent="0.25">
      <c r="A7" s="795"/>
      <c r="B7" s="795"/>
      <c r="C7" s="795"/>
      <c r="D7" s="264" t="s">
        <v>332</v>
      </c>
      <c r="E7" s="795"/>
      <c r="F7" s="800"/>
      <c r="G7" s="264" t="s">
        <v>333</v>
      </c>
      <c r="H7" s="264" t="s">
        <v>334</v>
      </c>
      <c r="I7" s="264" t="s">
        <v>335</v>
      </c>
      <c r="J7" s="795"/>
      <c r="K7" s="264" t="s">
        <v>336</v>
      </c>
      <c r="L7" s="264" t="s">
        <v>337</v>
      </c>
      <c r="M7" s="264" t="s">
        <v>338</v>
      </c>
      <c r="N7" s="264" t="s">
        <v>339</v>
      </c>
      <c r="O7" s="264" t="s">
        <v>340</v>
      </c>
      <c r="P7" s="795"/>
      <c r="Q7" s="795"/>
      <c r="R7" s="793"/>
      <c r="S7" s="796"/>
      <c r="T7" s="796"/>
      <c r="U7" s="796"/>
      <c r="V7" s="227" t="s">
        <v>341</v>
      </c>
      <c r="W7" s="265" t="s">
        <v>342</v>
      </c>
      <c r="X7" s="265" t="s">
        <v>343</v>
      </c>
      <c r="Y7" s="227" t="s">
        <v>341</v>
      </c>
      <c r="Z7" s="265" t="s">
        <v>342</v>
      </c>
      <c r="AA7" s="265" t="s">
        <v>343</v>
      </c>
      <c r="AB7" s="227" t="s">
        <v>341</v>
      </c>
      <c r="AC7" s="265" t="s">
        <v>342</v>
      </c>
      <c r="AD7" s="265" t="s">
        <v>343</v>
      </c>
    </row>
    <row r="8" spans="1:30" ht="17.25" x14ac:dyDescent="0.2">
      <c r="A8" s="261"/>
      <c r="B8" s="261"/>
      <c r="C8" s="261"/>
      <c r="D8" s="261"/>
      <c r="E8" s="261"/>
      <c r="F8" s="266"/>
      <c r="G8" s="261"/>
      <c r="H8" s="261"/>
      <c r="I8" s="261"/>
      <c r="J8" s="261"/>
      <c r="K8" s="267"/>
      <c r="L8" s="267"/>
      <c r="M8" s="261"/>
      <c r="N8" s="261"/>
      <c r="O8" s="261"/>
      <c r="P8" s="261"/>
      <c r="Q8" s="261"/>
      <c r="R8" s="224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</row>
    <row r="9" spans="1:30" ht="17.25" x14ac:dyDescent="0.2">
      <c r="A9" s="261"/>
      <c r="B9" s="261"/>
      <c r="C9" s="261"/>
      <c r="D9" s="261"/>
      <c r="E9" s="261"/>
      <c r="F9" s="266"/>
      <c r="G9" s="261"/>
      <c r="H9" s="261"/>
      <c r="I9" s="261"/>
      <c r="J9" s="261"/>
      <c r="K9" s="267"/>
      <c r="L9" s="267"/>
      <c r="M9" s="261"/>
      <c r="N9" s="261"/>
      <c r="O9" s="261"/>
      <c r="P9" s="261"/>
      <c r="Q9" s="261"/>
      <c r="R9" s="224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</row>
    <row r="10" spans="1:30" s="228" customFormat="1" ht="17.25" x14ac:dyDescent="0.2">
      <c r="A10" s="229" t="s">
        <v>281</v>
      </c>
      <c r="B10" s="230"/>
      <c r="C10" s="230"/>
      <c r="D10" s="230"/>
      <c r="E10" s="230"/>
      <c r="F10" s="231"/>
      <c r="G10" s="230"/>
      <c r="H10" s="230"/>
      <c r="I10" s="230"/>
      <c r="J10" s="230"/>
      <c r="K10" s="232"/>
      <c r="L10" s="232"/>
      <c r="M10" s="230"/>
      <c r="N10" s="230"/>
      <c r="O10" s="230"/>
      <c r="P10" s="230"/>
      <c r="Q10" s="230"/>
      <c r="R10" s="233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</row>
    <row r="11" spans="1:30" ht="17.25" x14ac:dyDescent="0.2">
      <c r="A11" s="234" t="s">
        <v>344</v>
      </c>
      <c r="B11" s="235"/>
      <c r="C11" s="235"/>
      <c r="D11" s="235"/>
      <c r="E11" s="235"/>
      <c r="F11" s="236"/>
      <c r="G11" s="235"/>
      <c r="H11" s="235"/>
      <c r="I11" s="235"/>
      <c r="J11" s="223" t="s">
        <v>16</v>
      </c>
      <c r="K11" s="223">
        <f>SUM(K12:K13)</f>
        <v>0</v>
      </c>
      <c r="L11" s="223">
        <f>SUM(L12:L13)</f>
        <v>0</v>
      </c>
      <c r="M11" s="261"/>
      <c r="N11" s="261"/>
      <c r="O11" s="261"/>
      <c r="P11" s="261"/>
      <c r="Q11" s="261"/>
      <c r="R11" s="224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</row>
    <row r="12" spans="1:30" s="237" customFormat="1" ht="17.25" x14ac:dyDescent="0.2">
      <c r="A12" s="238"/>
      <c r="B12" s="239"/>
      <c r="C12" s="239"/>
      <c r="D12" s="240"/>
      <c r="E12" s="240"/>
      <c r="F12" s="241"/>
      <c r="G12" s="239"/>
      <c r="H12" s="239"/>
      <c r="I12" s="239"/>
      <c r="J12" s="242"/>
      <c r="K12" s="243"/>
      <c r="L12" s="244"/>
      <c r="M12" s="239"/>
      <c r="N12" s="239"/>
      <c r="O12" s="239"/>
      <c r="P12" s="240"/>
      <c r="Q12" s="240"/>
      <c r="R12" s="245"/>
      <c r="S12" s="240"/>
      <c r="T12" s="246"/>
      <c r="U12" s="247"/>
      <c r="V12" s="248"/>
      <c r="W12" s="239"/>
      <c r="X12" s="239"/>
      <c r="Y12" s="239"/>
      <c r="Z12" s="239"/>
      <c r="AA12" s="239"/>
      <c r="AB12" s="239"/>
      <c r="AC12" s="239"/>
      <c r="AD12" s="239"/>
    </row>
    <row r="13" spans="1:30" ht="17.25" x14ac:dyDescent="0.2">
      <c r="A13" s="262"/>
      <c r="B13" s="261"/>
      <c r="C13" s="261"/>
      <c r="D13" s="249"/>
      <c r="E13" s="240"/>
      <c r="F13" s="241"/>
      <c r="G13" s="239"/>
      <c r="H13" s="239"/>
      <c r="I13" s="239"/>
      <c r="J13" s="250"/>
      <c r="K13" s="251"/>
      <c r="L13" s="251"/>
      <c r="M13" s="239"/>
      <c r="N13" s="239"/>
      <c r="O13" s="239"/>
      <c r="P13" s="240"/>
      <c r="Q13" s="240"/>
      <c r="R13" s="245"/>
      <c r="S13" s="240"/>
      <c r="T13" s="246"/>
      <c r="U13" s="247"/>
      <c r="V13" s="248"/>
      <c r="W13" s="261"/>
      <c r="X13" s="261"/>
      <c r="Y13" s="261"/>
      <c r="Z13" s="261"/>
      <c r="AA13" s="261"/>
      <c r="AB13" s="261"/>
      <c r="AC13" s="261"/>
      <c r="AD13" s="261"/>
    </row>
    <row r="14" spans="1:30" ht="17.25" x14ac:dyDescent="0.2">
      <c r="A14" s="252" t="s">
        <v>345</v>
      </c>
      <c r="B14" s="234"/>
      <c r="C14" s="234"/>
      <c r="D14" s="234"/>
      <c r="E14" s="234"/>
      <c r="F14" s="253"/>
      <c r="G14" s="234"/>
      <c r="H14" s="234"/>
      <c r="I14" s="234"/>
      <c r="J14" s="223" t="s">
        <v>16</v>
      </c>
      <c r="K14" s="223">
        <f>SUM(K15:K16)</f>
        <v>0</v>
      </c>
      <c r="L14" s="223">
        <f>SUM(L15:L16)</f>
        <v>0</v>
      </c>
      <c r="M14" s="261"/>
      <c r="N14" s="261"/>
      <c r="O14" s="261"/>
      <c r="P14" s="261"/>
      <c r="Q14" s="261"/>
      <c r="R14" s="224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</row>
    <row r="15" spans="1:30" ht="17.25" x14ac:dyDescent="0.2">
      <c r="A15" s="254"/>
      <c r="B15" s="261"/>
      <c r="C15" s="261"/>
      <c r="D15" s="240"/>
      <c r="E15" s="240"/>
      <c r="F15" s="241"/>
      <c r="G15" s="240"/>
      <c r="H15" s="240"/>
      <c r="I15" s="240"/>
      <c r="J15" s="250"/>
      <c r="K15" s="251"/>
      <c r="L15" s="251"/>
      <c r="M15" s="240"/>
      <c r="N15" s="240"/>
      <c r="O15" s="240"/>
      <c r="P15" s="240"/>
      <c r="Q15" s="240"/>
      <c r="R15" s="245"/>
      <c r="S15" s="240"/>
      <c r="T15" s="247"/>
      <c r="U15" s="240"/>
      <c r="V15" s="261"/>
      <c r="W15" s="261"/>
      <c r="X15" s="261"/>
      <c r="Y15" s="261"/>
      <c r="Z15" s="261"/>
      <c r="AA15" s="261"/>
      <c r="AB15" s="261"/>
      <c r="AC15" s="261"/>
      <c r="AD15" s="261"/>
    </row>
    <row r="16" spans="1:30" s="255" customFormat="1" ht="17.25" x14ac:dyDescent="0.2">
      <c r="A16" s="256"/>
      <c r="B16" s="239"/>
      <c r="C16" s="239"/>
      <c r="D16" s="239"/>
      <c r="E16" s="239"/>
      <c r="F16" s="257"/>
      <c r="G16" s="239"/>
      <c r="H16" s="239"/>
      <c r="I16" s="239"/>
      <c r="J16" s="258"/>
      <c r="K16" s="243"/>
      <c r="L16" s="243"/>
      <c r="M16" s="239"/>
      <c r="N16" s="239"/>
      <c r="O16" s="239"/>
      <c r="P16" s="239"/>
      <c r="Q16" s="239"/>
      <c r="R16" s="259"/>
      <c r="S16" s="239"/>
      <c r="T16" s="260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</row>
    <row r="17" spans="1:30" s="228" customFormat="1" ht="17.25" x14ac:dyDescent="0.2">
      <c r="A17" s="229" t="s">
        <v>282</v>
      </c>
      <c r="B17" s="230"/>
      <c r="C17" s="230"/>
      <c r="D17" s="230"/>
      <c r="E17" s="230"/>
      <c r="F17" s="231"/>
      <c r="G17" s="230"/>
      <c r="H17" s="230"/>
      <c r="I17" s="230"/>
      <c r="J17" s="230"/>
      <c r="K17" s="232"/>
      <c r="L17" s="232"/>
      <c r="M17" s="230"/>
      <c r="N17" s="230"/>
      <c r="O17" s="230"/>
      <c r="P17" s="230"/>
      <c r="Q17" s="230"/>
      <c r="R17" s="233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</row>
    <row r="18" spans="1:30" ht="17.25" x14ac:dyDescent="0.2">
      <c r="A18" s="234" t="s">
        <v>344</v>
      </c>
      <c r="B18" s="235"/>
      <c r="C18" s="235"/>
      <c r="D18" s="235"/>
      <c r="E18" s="235"/>
      <c r="F18" s="236"/>
      <c r="G18" s="235"/>
      <c r="H18" s="235"/>
      <c r="I18" s="235"/>
      <c r="J18" s="223" t="s">
        <v>16</v>
      </c>
      <c r="K18" s="223">
        <f>SUM(K19:K20)</f>
        <v>0</v>
      </c>
      <c r="L18" s="223">
        <f>SUM(L19:L20)</f>
        <v>0</v>
      </c>
      <c r="M18" s="261"/>
      <c r="N18" s="261"/>
      <c r="O18" s="261"/>
      <c r="P18" s="261"/>
      <c r="Q18" s="261"/>
      <c r="R18" s="224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</row>
    <row r="19" spans="1:30" s="237" customFormat="1" ht="17.25" x14ac:dyDescent="0.2">
      <c r="A19" s="238"/>
      <c r="B19" s="239"/>
      <c r="C19" s="239"/>
      <c r="D19" s="240"/>
      <c r="E19" s="240"/>
      <c r="F19" s="241"/>
      <c r="G19" s="239"/>
      <c r="H19" s="239"/>
      <c r="I19" s="239"/>
      <c r="J19" s="242"/>
      <c r="K19" s="243"/>
      <c r="L19" s="244"/>
      <c r="M19" s="239"/>
      <c r="N19" s="239"/>
      <c r="O19" s="239"/>
      <c r="P19" s="240"/>
      <c r="Q19" s="240"/>
      <c r="R19" s="245"/>
      <c r="S19" s="240"/>
      <c r="T19" s="246"/>
      <c r="U19" s="247"/>
      <c r="V19" s="248"/>
      <c r="W19" s="239"/>
      <c r="X19" s="239"/>
      <c r="Y19" s="239"/>
      <c r="Z19" s="239"/>
      <c r="AA19" s="239"/>
      <c r="AB19" s="239"/>
      <c r="AC19" s="239"/>
      <c r="AD19" s="239"/>
    </row>
    <row r="20" spans="1:30" ht="17.25" x14ac:dyDescent="0.2">
      <c r="A20" s="262"/>
      <c r="B20" s="261"/>
      <c r="C20" s="261"/>
      <c r="D20" s="249"/>
      <c r="E20" s="240"/>
      <c r="F20" s="241"/>
      <c r="G20" s="239"/>
      <c r="H20" s="239"/>
      <c r="I20" s="239"/>
      <c r="J20" s="250"/>
      <c r="K20" s="251"/>
      <c r="L20" s="251"/>
      <c r="M20" s="239"/>
      <c r="N20" s="239"/>
      <c r="O20" s="239"/>
      <c r="P20" s="240"/>
      <c r="Q20" s="240"/>
      <c r="R20" s="245"/>
      <c r="S20" s="240"/>
      <c r="T20" s="246"/>
      <c r="U20" s="247"/>
      <c r="V20" s="248"/>
      <c r="W20" s="261"/>
      <c r="X20" s="261"/>
      <c r="Y20" s="261"/>
      <c r="Z20" s="261"/>
      <c r="AA20" s="261"/>
      <c r="AB20" s="261"/>
      <c r="AC20" s="261"/>
      <c r="AD20" s="261"/>
    </row>
    <row r="21" spans="1:30" ht="17.25" x14ac:dyDescent="0.2">
      <c r="A21" s="252" t="s">
        <v>345</v>
      </c>
      <c r="B21" s="234"/>
      <c r="C21" s="234"/>
      <c r="D21" s="234"/>
      <c r="E21" s="234"/>
      <c r="F21" s="253"/>
      <c r="G21" s="234"/>
      <c r="H21" s="234"/>
      <c r="I21" s="234"/>
      <c r="J21" s="223" t="s">
        <v>16</v>
      </c>
      <c r="K21" s="223">
        <f>SUM(K22:K23)</f>
        <v>0</v>
      </c>
      <c r="L21" s="223">
        <f>SUM(L22:L23)</f>
        <v>0</v>
      </c>
      <c r="M21" s="261"/>
      <c r="N21" s="261"/>
      <c r="O21" s="261"/>
      <c r="P21" s="261"/>
      <c r="Q21" s="261"/>
      <c r="R21" s="224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</row>
    <row r="22" spans="1:30" ht="17.25" x14ac:dyDescent="0.2">
      <c r="A22" s="254"/>
      <c r="B22" s="261"/>
      <c r="C22" s="261"/>
      <c r="D22" s="240"/>
      <c r="E22" s="240"/>
      <c r="F22" s="241"/>
      <c r="G22" s="240"/>
      <c r="H22" s="240"/>
      <c r="I22" s="240"/>
      <c r="J22" s="250"/>
      <c r="K22" s="251"/>
      <c r="L22" s="251"/>
      <c r="M22" s="240"/>
      <c r="N22" s="240"/>
      <c r="O22" s="240"/>
      <c r="P22" s="240"/>
      <c r="Q22" s="240"/>
      <c r="R22" s="245"/>
      <c r="S22" s="240"/>
      <c r="T22" s="247"/>
      <c r="U22" s="240"/>
      <c r="V22" s="261"/>
      <c r="W22" s="261"/>
      <c r="X22" s="261"/>
      <c r="Y22" s="261"/>
      <c r="Z22" s="261"/>
      <c r="AA22" s="261"/>
      <c r="AB22" s="261"/>
      <c r="AC22" s="261"/>
      <c r="AD22" s="261"/>
    </row>
    <row r="23" spans="1:30" s="255" customFormat="1" ht="17.25" x14ac:dyDescent="0.2">
      <c r="A23" s="256"/>
      <c r="B23" s="239"/>
      <c r="C23" s="239"/>
      <c r="D23" s="239"/>
      <c r="E23" s="239"/>
      <c r="F23" s="257"/>
      <c r="G23" s="239"/>
      <c r="H23" s="239"/>
      <c r="I23" s="239"/>
      <c r="J23" s="258"/>
      <c r="K23" s="243"/>
      <c r="L23" s="243"/>
      <c r="M23" s="239"/>
      <c r="N23" s="239"/>
      <c r="O23" s="239"/>
      <c r="P23" s="239"/>
      <c r="Q23" s="239"/>
      <c r="R23" s="259"/>
      <c r="S23" s="239"/>
      <c r="T23" s="260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</row>
    <row r="24" spans="1:30" s="228" customFormat="1" ht="17.25" x14ac:dyDescent="0.2">
      <c r="A24" s="229" t="s">
        <v>283</v>
      </c>
      <c r="B24" s="230"/>
      <c r="C24" s="230"/>
      <c r="D24" s="230"/>
      <c r="E24" s="230"/>
      <c r="F24" s="231"/>
      <c r="G24" s="230"/>
      <c r="H24" s="230"/>
      <c r="I24" s="230"/>
      <c r="J24" s="230"/>
      <c r="K24" s="232"/>
      <c r="L24" s="232"/>
      <c r="M24" s="230"/>
      <c r="N24" s="230"/>
      <c r="O24" s="230"/>
      <c r="P24" s="230"/>
      <c r="Q24" s="230"/>
      <c r="R24" s="233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</row>
    <row r="25" spans="1:30" ht="17.25" x14ac:dyDescent="0.2">
      <c r="A25" s="234" t="s">
        <v>344</v>
      </c>
      <c r="B25" s="235"/>
      <c r="C25" s="235"/>
      <c r="D25" s="235"/>
      <c r="E25" s="235"/>
      <c r="F25" s="236"/>
      <c r="G25" s="235"/>
      <c r="H25" s="235"/>
      <c r="I25" s="235"/>
      <c r="J25" s="223" t="s">
        <v>16</v>
      </c>
      <c r="K25" s="223">
        <f>SUM(K26:K27)</f>
        <v>0</v>
      </c>
      <c r="L25" s="223">
        <f>SUM(L26:L27)</f>
        <v>0</v>
      </c>
      <c r="M25" s="261"/>
      <c r="N25" s="261"/>
      <c r="O25" s="261"/>
      <c r="P25" s="261"/>
      <c r="Q25" s="261"/>
      <c r="R25" s="224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</row>
    <row r="26" spans="1:30" s="237" customFormat="1" ht="17.25" x14ac:dyDescent="0.2">
      <c r="A26" s="238"/>
      <c r="B26" s="239"/>
      <c r="C26" s="239"/>
      <c r="D26" s="240"/>
      <c r="E26" s="240"/>
      <c r="F26" s="241"/>
      <c r="G26" s="239"/>
      <c r="H26" s="239"/>
      <c r="I26" s="239"/>
      <c r="J26" s="242"/>
      <c r="K26" s="243"/>
      <c r="L26" s="244"/>
      <c r="M26" s="239"/>
      <c r="N26" s="239"/>
      <c r="O26" s="239"/>
      <c r="P26" s="240"/>
      <c r="Q26" s="240"/>
      <c r="R26" s="245"/>
      <c r="S26" s="240"/>
      <c r="T26" s="246"/>
      <c r="U26" s="247"/>
      <c r="V26" s="248"/>
      <c r="W26" s="239"/>
      <c r="X26" s="239"/>
      <c r="Y26" s="239"/>
      <c r="Z26" s="239"/>
      <c r="AA26" s="239"/>
      <c r="AB26" s="239"/>
      <c r="AC26" s="239"/>
      <c r="AD26" s="239"/>
    </row>
    <row r="27" spans="1:30" ht="17.25" x14ac:dyDescent="0.2">
      <c r="A27" s="262"/>
      <c r="B27" s="261"/>
      <c r="C27" s="261"/>
      <c r="D27" s="249"/>
      <c r="E27" s="240"/>
      <c r="F27" s="241"/>
      <c r="G27" s="239"/>
      <c r="H27" s="239"/>
      <c r="I27" s="239"/>
      <c r="J27" s="250"/>
      <c r="K27" s="251"/>
      <c r="L27" s="251"/>
      <c r="M27" s="239"/>
      <c r="N27" s="239"/>
      <c r="O27" s="239"/>
      <c r="P27" s="240"/>
      <c r="Q27" s="240"/>
      <c r="R27" s="245"/>
      <c r="S27" s="240"/>
      <c r="T27" s="246"/>
      <c r="U27" s="247"/>
      <c r="V27" s="248"/>
      <c r="W27" s="261"/>
      <c r="X27" s="261"/>
      <c r="Y27" s="261"/>
      <c r="Z27" s="261"/>
      <c r="AA27" s="261"/>
      <c r="AB27" s="261"/>
      <c r="AC27" s="261"/>
      <c r="AD27" s="261"/>
    </row>
    <row r="28" spans="1:30" ht="17.25" x14ac:dyDescent="0.2">
      <c r="A28" s="252" t="s">
        <v>345</v>
      </c>
      <c r="B28" s="234"/>
      <c r="C28" s="234"/>
      <c r="D28" s="234"/>
      <c r="E28" s="234"/>
      <c r="F28" s="253"/>
      <c r="G28" s="234"/>
      <c r="H28" s="234"/>
      <c r="I28" s="234"/>
      <c r="J28" s="223" t="s">
        <v>16</v>
      </c>
      <c r="K28" s="223">
        <f>SUM(K29:K30)</f>
        <v>0</v>
      </c>
      <c r="L28" s="223">
        <f>SUM(L29:L30)</f>
        <v>0</v>
      </c>
      <c r="M28" s="261"/>
      <c r="N28" s="261"/>
      <c r="O28" s="261"/>
      <c r="P28" s="261"/>
      <c r="Q28" s="261"/>
      <c r="R28" s="224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</row>
    <row r="29" spans="1:30" ht="17.25" x14ac:dyDescent="0.2">
      <c r="A29" s="254"/>
      <c r="B29" s="261"/>
      <c r="C29" s="261"/>
      <c r="D29" s="240"/>
      <c r="E29" s="240"/>
      <c r="F29" s="241"/>
      <c r="G29" s="240"/>
      <c r="H29" s="240"/>
      <c r="I29" s="240"/>
      <c r="J29" s="250"/>
      <c r="K29" s="251"/>
      <c r="L29" s="251"/>
      <c r="M29" s="240"/>
      <c r="N29" s="240"/>
      <c r="O29" s="240"/>
      <c r="P29" s="240"/>
      <c r="Q29" s="240"/>
      <c r="R29" s="245"/>
      <c r="S29" s="240"/>
      <c r="T29" s="247"/>
      <c r="U29" s="240"/>
      <c r="V29" s="261"/>
      <c r="W29" s="261"/>
      <c r="X29" s="261"/>
      <c r="Y29" s="261"/>
      <c r="Z29" s="261"/>
      <c r="AA29" s="261"/>
      <c r="AB29" s="261"/>
      <c r="AC29" s="261"/>
      <c r="AD29" s="261"/>
    </row>
    <row r="30" spans="1:30" s="255" customFormat="1" ht="17.25" x14ac:dyDescent="0.2">
      <c r="A30" s="256"/>
      <c r="B30" s="239"/>
      <c r="C30" s="239"/>
      <c r="D30" s="239"/>
      <c r="E30" s="239"/>
      <c r="F30" s="257"/>
      <c r="G30" s="239"/>
      <c r="H30" s="239"/>
      <c r="I30" s="239"/>
      <c r="J30" s="258"/>
      <c r="K30" s="243"/>
      <c r="L30" s="243"/>
      <c r="M30" s="239"/>
      <c r="N30" s="239"/>
      <c r="O30" s="239"/>
      <c r="P30" s="239"/>
      <c r="Q30" s="239"/>
      <c r="R30" s="259"/>
      <c r="S30" s="239"/>
      <c r="T30" s="260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</row>
    <row r="31" spans="1:30" s="228" customFormat="1" ht="17.25" x14ac:dyDescent="0.2">
      <c r="A31" s="229" t="s">
        <v>284</v>
      </c>
      <c r="B31" s="230"/>
      <c r="C31" s="230"/>
      <c r="D31" s="230"/>
      <c r="E31" s="230"/>
      <c r="F31" s="231"/>
      <c r="G31" s="230"/>
      <c r="H31" s="230"/>
      <c r="I31" s="230"/>
      <c r="J31" s="230"/>
      <c r="K31" s="232"/>
      <c r="L31" s="232"/>
      <c r="M31" s="230"/>
      <c r="N31" s="230"/>
      <c r="O31" s="230"/>
      <c r="P31" s="230"/>
      <c r="Q31" s="230"/>
      <c r="R31" s="233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</row>
    <row r="32" spans="1:30" ht="17.25" x14ac:dyDescent="0.2">
      <c r="A32" s="234" t="s">
        <v>344</v>
      </c>
      <c r="B32" s="235"/>
      <c r="C32" s="235"/>
      <c r="D32" s="235"/>
      <c r="E32" s="235"/>
      <c r="F32" s="236"/>
      <c r="G32" s="235"/>
      <c r="H32" s="235"/>
      <c r="I32" s="235"/>
      <c r="J32" s="223" t="s">
        <v>16</v>
      </c>
      <c r="K32" s="223">
        <f>SUM(K33:K34)</f>
        <v>0</v>
      </c>
      <c r="L32" s="223">
        <f>SUM(L33:L34)</f>
        <v>0</v>
      </c>
      <c r="M32" s="261"/>
      <c r="N32" s="261"/>
      <c r="O32" s="261"/>
      <c r="P32" s="261"/>
      <c r="Q32" s="261"/>
      <c r="R32" s="224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</row>
    <row r="33" spans="1:30" s="237" customFormat="1" ht="17.25" x14ac:dyDescent="0.2">
      <c r="A33" s="238"/>
      <c r="B33" s="239"/>
      <c r="C33" s="239"/>
      <c r="D33" s="240"/>
      <c r="E33" s="240"/>
      <c r="F33" s="241"/>
      <c r="G33" s="239"/>
      <c r="H33" s="239"/>
      <c r="I33" s="239"/>
      <c r="J33" s="242"/>
      <c r="K33" s="243"/>
      <c r="L33" s="244"/>
      <c r="M33" s="239"/>
      <c r="N33" s="239"/>
      <c r="O33" s="239"/>
      <c r="P33" s="240"/>
      <c r="Q33" s="240"/>
      <c r="R33" s="245"/>
      <c r="S33" s="240"/>
      <c r="T33" s="246"/>
      <c r="U33" s="247"/>
      <c r="V33" s="248"/>
      <c r="W33" s="239"/>
      <c r="X33" s="239"/>
      <c r="Y33" s="239"/>
      <c r="Z33" s="239"/>
      <c r="AA33" s="239"/>
      <c r="AB33" s="239"/>
      <c r="AC33" s="239"/>
      <c r="AD33" s="239"/>
    </row>
    <row r="34" spans="1:30" ht="17.25" x14ac:dyDescent="0.2">
      <c r="A34" s="262"/>
      <c r="B34" s="261"/>
      <c r="C34" s="261"/>
      <c r="D34" s="249"/>
      <c r="E34" s="240"/>
      <c r="F34" s="241"/>
      <c r="G34" s="239"/>
      <c r="H34" s="239"/>
      <c r="I34" s="239"/>
      <c r="J34" s="250"/>
      <c r="K34" s="251"/>
      <c r="L34" s="251"/>
      <c r="M34" s="239"/>
      <c r="N34" s="239"/>
      <c r="O34" s="239"/>
      <c r="P34" s="240"/>
      <c r="Q34" s="240"/>
      <c r="R34" s="245"/>
      <c r="S34" s="240"/>
      <c r="T34" s="246"/>
      <c r="U34" s="247"/>
      <c r="V34" s="248"/>
      <c r="W34" s="261"/>
      <c r="X34" s="261"/>
      <c r="Y34" s="261"/>
      <c r="Z34" s="261"/>
      <c r="AA34" s="261"/>
      <c r="AB34" s="261"/>
      <c r="AC34" s="261"/>
      <c r="AD34" s="261"/>
    </row>
    <row r="35" spans="1:30" ht="17.25" x14ac:dyDescent="0.2">
      <c r="A35" s="252" t="s">
        <v>345</v>
      </c>
      <c r="B35" s="234"/>
      <c r="C35" s="234"/>
      <c r="D35" s="234"/>
      <c r="E35" s="234"/>
      <c r="F35" s="253"/>
      <c r="G35" s="234"/>
      <c r="H35" s="234"/>
      <c r="I35" s="234"/>
      <c r="J35" s="223" t="s">
        <v>16</v>
      </c>
      <c r="K35" s="223">
        <f>SUM(K36:K37)</f>
        <v>0</v>
      </c>
      <c r="L35" s="223">
        <f>SUM(L36:L37)</f>
        <v>0</v>
      </c>
      <c r="M35" s="261"/>
      <c r="N35" s="261"/>
      <c r="O35" s="261"/>
      <c r="P35" s="261"/>
      <c r="Q35" s="261"/>
      <c r="R35" s="224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</row>
    <row r="36" spans="1:30" ht="17.25" x14ac:dyDescent="0.2">
      <c r="A36" s="254"/>
      <c r="B36" s="261"/>
      <c r="C36" s="261"/>
      <c r="D36" s="240"/>
      <c r="E36" s="240"/>
      <c r="F36" s="241"/>
      <c r="G36" s="240"/>
      <c r="H36" s="240"/>
      <c r="I36" s="240"/>
      <c r="J36" s="250"/>
      <c r="K36" s="251"/>
      <c r="L36" s="251"/>
      <c r="M36" s="240"/>
      <c r="N36" s="240"/>
      <c r="O36" s="240"/>
      <c r="P36" s="240"/>
      <c r="Q36" s="240"/>
      <c r="R36" s="245"/>
      <c r="S36" s="240"/>
      <c r="T36" s="247"/>
      <c r="U36" s="240"/>
      <c r="V36" s="261"/>
      <c r="W36" s="261"/>
      <c r="X36" s="261"/>
      <c r="Y36" s="261"/>
      <c r="Z36" s="261"/>
      <c r="AA36" s="261"/>
      <c r="AB36" s="261"/>
      <c r="AC36" s="261"/>
      <c r="AD36" s="261"/>
    </row>
    <row r="37" spans="1:30" s="255" customFormat="1" ht="17.25" x14ac:dyDescent="0.2">
      <c r="A37" s="256"/>
      <c r="B37" s="239"/>
      <c r="C37" s="239"/>
      <c r="D37" s="239"/>
      <c r="E37" s="239"/>
      <c r="F37" s="257"/>
      <c r="G37" s="239"/>
      <c r="H37" s="239"/>
      <c r="I37" s="239"/>
      <c r="J37" s="258"/>
      <c r="K37" s="243"/>
      <c r="L37" s="243"/>
      <c r="M37" s="239"/>
      <c r="N37" s="239"/>
      <c r="O37" s="239"/>
      <c r="P37" s="239"/>
      <c r="Q37" s="239"/>
      <c r="R37" s="259"/>
      <c r="S37" s="239"/>
      <c r="T37" s="260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</row>
    <row r="38" spans="1:30" s="228" customFormat="1" ht="17.25" x14ac:dyDescent="0.2">
      <c r="A38" s="229" t="s">
        <v>285</v>
      </c>
      <c r="B38" s="230"/>
      <c r="C38" s="230"/>
      <c r="D38" s="230"/>
      <c r="E38" s="230"/>
      <c r="F38" s="231"/>
      <c r="G38" s="230"/>
      <c r="H38" s="230"/>
      <c r="I38" s="230"/>
      <c r="J38" s="230"/>
      <c r="K38" s="232"/>
      <c r="L38" s="232"/>
      <c r="M38" s="230"/>
      <c r="N38" s="230"/>
      <c r="O38" s="230"/>
      <c r="P38" s="230"/>
      <c r="Q38" s="230"/>
      <c r="R38" s="233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</row>
    <row r="39" spans="1:30" ht="17.25" x14ac:dyDescent="0.2">
      <c r="A39" s="234" t="s">
        <v>344</v>
      </c>
      <c r="B39" s="235"/>
      <c r="C39" s="235"/>
      <c r="D39" s="235"/>
      <c r="E39" s="235"/>
      <c r="F39" s="236"/>
      <c r="G39" s="235"/>
      <c r="H39" s="235"/>
      <c r="I39" s="235"/>
      <c r="J39" s="223" t="s">
        <v>16</v>
      </c>
      <c r="K39" s="223">
        <f>SUM(K40:K41)</f>
        <v>0</v>
      </c>
      <c r="L39" s="223">
        <f>SUM(L40:L41)</f>
        <v>0</v>
      </c>
      <c r="M39" s="261"/>
      <c r="N39" s="261"/>
      <c r="O39" s="261"/>
      <c r="P39" s="261"/>
      <c r="Q39" s="261"/>
      <c r="R39" s="224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</row>
    <row r="40" spans="1:30" s="237" customFormat="1" ht="17.25" x14ac:dyDescent="0.2">
      <c r="A40" s="238"/>
      <c r="B40" s="239"/>
      <c r="C40" s="239"/>
      <c r="D40" s="240"/>
      <c r="E40" s="240"/>
      <c r="F40" s="241"/>
      <c r="G40" s="239"/>
      <c r="H40" s="239"/>
      <c r="I40" s="239"/>
      <c r="J40" s="242"/>
      <c r="K40" s="243"/>
      <c r="L40" s="244"/>
      <c r="M40" s="239"/>
      <c r="N40" s="239"/>
      <c r="O40" s="239"/>
      <c r="P40" s="240"/>
      <c r="Q40" s="240"/>
      <c r="R40" s="245"/>
      <c r="S40" s="240"/>
      <c r="T40" s="246"/>
      <c r="U40" s="247"/>
      <c r="V40" s="248"/>
      <c r="W40" s="239"/>
      <c r="X40" s="239"/>
      <c r="Y40" s="239"/>
      <c r="Z40" s="239"/>
      <c r="AA40" s="239"/>
      <c r="AB40" s="239"/>
      <c r="AC40" s="239"/>
      <c r="AD40" s="239"/>
    </row>
    <row r="41" spans="1:30" ht="17.25" x14ac:dyDescent="0.2">
      <c r="A41" s="262"/>
      <c r="B41" s="261"/>
      <c r="C41" s="261"/>
      <c r="D41" s="249"/>
      <c r="E41" s="240"/>
      <c r="F41" s="241"/>
      <c r="G41" s="239"/>
      <c r="H41" s="239"/>
      <c r="I41" s="239"/>
      <c r="J41" s="250"/>
      <c r="K41" s="251"/>
      <c r="L41" s="251"/>
      <c r="M41" s="239"/>
      <c r="N41" s="239"/>
      <c r="O41" s="239"/>
      <c r="P41" s="240"/>
      <c r="Q41" s="240"/>
      <c r="R41" s="245"/>
      <c r="S41" s="240"/>
      <c r="T41" s="246"/>
      <c r="U41" s="247"/>
      <c r="V41" s="248"/>
      <c r="W41" s="261"/>
      <c r="X41" s="261"/>
      <c r="Y41" s="261"/>
      <c r="Z41" s="261"/>
      <c r="AA41" s="261"/>
      <c r="AB41" s="261"/>
      <c r="AC41" s="261"/>
      <c r="AD41" s="261"/>
    </row>
    <row r="42" spans="1:30" ht="17.25" x14ac:dyDescent="0.2">
      <c r="A42" s="252" t="s">
        <v>345</v>
      </c>
      <c r="B42" s="234"/>
      <c r="C42" s="234"/>
      <c r="D42" s="234"/>
      <c r="E42" s="234"/>
      <c r="F42" s="253"/>
      <c r="G42" s="234"/>
      <c r="H42" s="234"/>
      <c r="I42" s="234"/>
      <c r="J42" s="223" t="s">
        <v>16</v>
      </c>
      <c r="K42" s="223">
        <f>SUM(K43:K44)</f>
        <v>0</v>
      </c>
      <c r="L42" s="223">
        <f>SUM(L43:L44)</f>
        <v>0</v>
      </c>
      <c r="M42" s="261"/>
      <c r="N42" s="261"/>
      <c r="O42" s="261"/>
      <c r="P42" s="261"/>
      <c r="Q42" s="261"/>
      <c r="R42" s="224"/>
      <c r="S42" s="261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</row>
    <row r="43" spans="1:30" ht="17.25" x14ac:dyDescent="0.2">
      <c r="A43" s="254"/>
      <c r="B43" s="261"/>
      <c r="C43" s="261"/>
      <c r="D43" s="240"/>
      <c r="E43" s="240"/>
      <c r="F43" s="241"/>
      <c r="G43" s="240"/>
      <c r="H43" s="240"/>
      <c r="I43" s="240"/>
      <c r="J43" s="250"/>
      <c r="K43" s="251"/>
      <c r="L43" s="251"/>
      <c r="M43" s="240"/>
      <c r="N43" s="240"/>
      <c r="O43" s="240"/>
      <c r="P43" s="240"/>
      <c r="Q43" s="240"/>
      <c r="R43" s="245"/>
      <c r="S43" s="240"/>
      <c r="T43" s="247"/>
      <c r="U43" s="240"/>
      <c r="V43" s="261"/>
      <c r="W43" s="261"/>
      <c r="X43" s="261"/>
      <c r="Y43" s="261"/>
      <c r="Z43" s="261"/>
      <c r="AA43" s="261"/>
      <c r="AB43" s="261"/>
      <c r="AC43" s="261"/>
      <c r="AD43" s="261"/>
    </row>
    <row r="44" spans="1:30" s="255" customFormat="1" ht="17.25" x14ac:dyDescent="0.2">
      <c r="A44" s="256"/>
      <c r="B44" s="239"/>
      <c r="C44" s="239"/>
      <c r="D44" s="239"/>
      <c r="E44" s="239"/>
      <c r="F44" s="257"/>
      <c r="G44" s="239"/>
      <c r="H44" s="239"/>
      <c r="I44" s="239"/>
      <c r="J44" s="258"/>
      <c r="K44" s="243"/>
      <c r="L44" s="243"/>
      <c r="M44" s="239"/>
      <c r="N44" s="239"/>
      <c r="O44" s="239"/>
      <c r="P44" s="239"/>
      <c r="Q44" s="239"/>
      <c r="R44" s="259"/>
      <c r="S44" s="239"/>
      <c r="T44" s="260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</row>
    <row r="45" spans="1:30" s="228" customFormat="1" ht="17.25" x14ac:dyDescent="0.2">
      <c r="A45" s="229" t="s">
        <v>286</v>
      </c>
      <c r="B45" s="230"/>
      <c r="C45" s="230"/>
      <c r="D45" s="230"/>
      <c r="E45" s="230"/>
      <c r="F45" s="231"/>
      <c r="G45" s="230"/>
      <c r="H45" s="230"/>
      <c r="I45" s="230"/>
      <c r="J45" s="230"/>
      <c r="K45" s="232"/>
      <c r="L45" s="232"/>
      <c r="M45" s="230"/>
      <c r="N45" s="230"/>
      <c r="O45" s="230"/>
      <c r="P45" s="230"/>
      <c r="Q45" s="230"/>
      <c r="R45" s="233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</row>
    <row r="46" spans="1:30" ht="17.25" x14ac:dyDescent="0.2">
      <c r="A46" s="234" t="s">
        <v>344</v>
      </c>
      <c r="B46" s="235"/>
      <c r="C46" s="235"/>
      <c r="D46" s="235"/>
      <c r="E46" s="235"/>
      <c r="F46" s="236"/>
      <c r="G46" s="235"/>
      <c r="H46" s="235"/>
      <c r="I46" s="235"/>
      <c r="J46" s="223" t="s">
        <v>16</v>
      </c>
      <c r="K46" s="223">
        <f>SUM(K47:K48)</f>
        <v>0</v>
      </c>
      <c r="L46" s="223">
        <f>SUM(L47:L48)</f>
        <v>0</v>
      </c>
      <c r="M46" s="261"/>
      <c r="N46" s="261"/>
      <c r="O46" s="261"/>
      <c r="P46" s="261"/>
      <c r="Q46" s="261"/>
      <c r="R46" s="224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</row>
    <row r="47" spans="1:30" s="237" customFormat="1" ht="17.25" x14ac:dyDescent="0.2">
      <c r="A47" s="238"/>
      <c r="B47" s="239"/>
      <c r="C47" s="239"/>
      <c r="D47" s="240"/>
      <c r="E47" s="240"/>
      <c r="F47" s="241"/>
      <c r="G47" s="239"/>
      <c r="H47" s="239"/>
      <c r="I47" s="239"/>
      <c r="J47" s="242"/>
      <c r="K47" s="243"/>
      <c r="L47" s="244"/>
      <c r="M47" s="239"/>
      <c r="N47" s="239"/>
      <c r="O47" s="239"/>
      <c r="P47" s="240"/>
      <c r="Q47" s="240"/>
      <c r="R47" s="245"/>
      <c r="S47" s="240"/>
      <c r="T47" s="246"/>
      <c r="U47" s="247"/>
      <c r="V47" s="248"/>
      <c r="W47" s="239"/>
      <c r="X47" s="239"/>
      <c r="Y47" s="239"/>
      <c r="Z47" s="239"/>
      <c r="AA47" s="239"/>
      <c r="AB47" s="239"/>
      <c r="AC47" s="239"/>
      <c r="AD47" s="239"/>
    </row>
    <row r="48" spans="1:30" ht="17.25" x14ac:dyDescent="0.2">
      <c r="A48" s="262"/>
      <c r="B48" s="261"/>
      <c r="C48" s="261"/>
      <c r="D48" s="249"/>
      <c r="E48" s="240"/>
      <c r="F48" s="241"/>
      <c r="G48" s="239"/>
      <c r="H48" s="239"/>
      <c r="I48" s="239"/>
      <c r="J48" s="250"/>
      <c r="K48" s="251"/>
      <c r="L48" s="251"/>
      <c r="M48" s="239"/>
      <c r="N48" s="239"/>
      <c r="O48" s="239"/>
      <c r="P48" s="240"/>
      <c r="Q48" s="240"/>
      <c r="R48" s="245"/>
      <c r="S48" s="240"/>
      <c r="T48" s="246"/>
      <c r="U48" s="247"/>
      <c r="V48" s="248"/>
      <c r="W48" s="261"/>
      <c r="X48" s="261"/>
      <c r="Y48" s="261"/>
      <c r="Z48" s="261"/>
      <c r="AA48" s="261"/>
      <c r="AB48" s="261"/>
      <c r="AC48" s="261"/>
      <c r="AD48" s="261"/>
    </row>
    <row r="49" spans="1:30" ht="17.25" x14ac:dyDescent="0.2">
      <c r="A49" s="252" t="s">
        <v>345</v>
      </c>
      <c r="B49" s="234"/>
      <c r="C49" s="234"/>
      <c r="D49" s="234"/>
      <c r="E49" s="234"/>
      <c r="F49" s="253"/>
      <c r="G49" s="234"/>
      <c r="H49" s="234"/>
      <c r="I49" s="234"/>
      <c r="J49" s="223" t="s">
        <v>16</v>
      </c>
      <c r="K49" s="223">
        <f>SUM(K50:K51)</f>
        <v>0</v>
      </c>
      <c r="L49" s="223">
        <f>SUM(L50:L51)</f>
        <v>0</v>
      </c>
      <c r="M49" s="261"/>
      <c r="N49" s="261"/>
      <c r="O49" s="261"/>
      <c r="P49" s="261"/>
      <c r="Q49" s="261"/>
      <c r="R49" s="224"/>
      <c r="S49" s="261"/>
      <c r="T49" s="261"/>
      <c r="U49" s="261"/>
      <c r="V49" s="261"/>
      <c r="W49" s="261"/>
      <c r="X49" s="261"/>
      <c r="Y49" s="261"/>
      <c r="Z49" s="261"/>
      <c r="AA49" s="261"/>
      <c r="AB49" s="261"/>
      <c r="AC49" s="261"/>
      <c r="AD49" s="261"/>
    </row>
    <row r="50" spans="1:30" ht="17.25" x14ac:dyDescent="0.2">
      <c r="A50" s="254"/>
      <c r="B50" s="261"/>
      <c r="C50" s="261"/>
      <c r="D50" s="240"/>
      <c r="E50" s="240"/>
      <c r="F50" s="241"/>
      <c r="G50" s="240"/>
      <c r="H50" s="240"/>
      <c r="I50" s="240"/>
      <c r="J50" s="250"/>
      <c r="K50" s="251"/>
      <c r="L50" s="251"/>
      <c r="M50" s="240"/>
      <c r="N50" s="240"/>
      <c r="O50" s="240"/>
      <c r="P50" s="240"/>
      <c r="Q50" s="240"/>
      <c r="R50" s="245"/>
      <c r="S50" s="240"/>
      <c r="T50" s="247"/>
      <c r="U50" s="240"/>
      <c r="V50" s="261"/>
      <c r="W50" s="261"/>
      <c r="X50" s="261"/>
      <c r="Y50" s="261"/>
      <c r="Z50" s="261"/>
      <c r="AA50" s="261"/>
      <c r="AB50" s="261"/>
      <c r="AC50" s="261"/>
      <c r="AD50" s="261"/>
    </row>
    <row r="51" spans="1:30" s="255" customFormat="1" ht="17.25" x14ac:dyDescent="0.2">
      <c r="A51" s="256"/>
      <c r="B51" s="239"/>
      <c r="C51" s="239"/>
      <c r="D51" s="239"/>
      <c r="E51" s="239"/>
      <c r="F51" s="257"/>
      <c r="G51" s="239"/>
      <c r="H51" s="239"/>
      <c r="I51" s="239"/>
      <c r="J51" s="258"/>
      <c r="K51" s="243"/>
      <c r="L51" s="243"/>
      <c r="M51" s="239"/>
      <c r="N51" s="239"/>
      <c r="O51" s="239"/>
      <c r="P51" s="239"/>
      <c r="Q51" s="239"/>
      <c r="R51" s="259"/>
      <c r="S51" s="239"/>
      <c r="T51" s="260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</row>
    <row r="52" spans="1:30" s="228" customFormat="1" ht="17.25" x14ac:dyDescent="0.2">
      <c r="A52" s="229" t="s">
        <v>287</v>
      </c>
      <c r="B52" s="230"/>
      <c r="C52" s="230"/>
      <c r="D52" s="230"/>
      <c r="E52" s="230"/>
      <c r="F52" s="231"/>
      <c r="G52" s="230"/>
      <c r="H52" s="230"/>
      <c r="I52" s="230"/>
      <c r="J52" s="230"/>
      <c r="K52" s="232"/>
      <c r="L52" s="232"/>
      <c r="M52" s="230"/>
      <c r="N52" s="230"/>
      <c r="O52" s="230"/>
      <c r="P52" s="230"/>
      <c r="Q52" s="230"/>
      <c r="R52" s="233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</row>
    <row r="53" spans="1:30" ht="17.25" x14ac:dyDescent="0.2">
      <c r="A53" s="234" t="s">
        <v>344</v>
      </c>
      <c r="B53" s="235"/>
      <c r="C53" s="235"/>
      <c r="D53" s="235"/>
      <c r="E53" s="235"/>
      <c r="F53" s="236"/>
      <c r="G53" s="235"/>
      <c r="H53" s="235"/>
      <c r="I53" s="235"/>
      <c r="J53" s="223" t="s">
        <v>16</v>
      </c>
      <c r="K53" s="223">
        <f>SUM(K54:K55)</f>
        <v>0</v>
      </c>
      <c r="L53" s="223">
        <f>SUM(L54:L55)</f>
        <v>0</v>
      </c>
      <c r="M53" s="261"/>
      <c r="N53" s="261"/>
      <c r="O53" s="261"/>
      <c r="P53" s="261"/>
      <c r="Q53" s="261"/>
      <c r="R53" s="224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</row>
    <row r="54" spans="1:30" s="237" customFormat="1" ht="17.25" x14ac:dyDescent="0.2">
      <c r="A54" s="238"/>
      <c r="B54" s="239"/>
      <c r="C54" s="239"/>
      <c r="D54" s="240"/>
      <c r="E54" s="240"/>
      <c r="F54" s="241"/>
      <c r="G54" s="239"/>
      <c r="H54" s="239"/>
      <c r="I54" s="239"/>
      <c r="J54" s="242"/>
      <c r="K54" s="243"/>
      <c r="L54" s="244"/>
      <c r="M54" s="239"/>
      <c r="N54" s="239"/>
      <c r="O54" s="239"/>
      <c r="P54" s="240"/>
      <c r="Q54" s="240"/>
      <c r="R54" s="245"/>
      <c r="S54" s="240"/>
      <c r="T54" s="246"/>
      <c r="U54" s="247"/>
      <c r="V54" s="248"/>
      <c r="W54" s="239"/>
      <c r="X54" s="239"/>
      <c r="Y54" s="239"/>
      <c r="Z54" s="239"/>
      <c r="AA54" s="239"/>
      <c r="AB54" s="239"/>
      <c r="AC54" s="239"/>
      <c r="AD54" s="239"/>
    </row>
    <row r="55" spans="1:30" ht="17.25" x14ac:dyDescent="0.2">
      <c r="A55" s="262"/>
      <c r="B55" s="261"/>
      <c r="C55" s="261"/>
      <c r="D55" s="249"/>
      <c r="E55" s="240"/>
      <c r="F55" s="241"/>
      <c r="G55" s="239"/>
      <c r="H55" s="239"/>
      <c r="I55" s="239"/>
      <c r="J55" s="250"/>
      <c r="K55" s="251"/>
      <c r="L55" s="251"/>
      <c r="M55" s="239"/>
      <c r="N55" s="239"/>
      <c r="O55" s="239"/>
      <c r="P55" s="240"/>
      <c r="Q55" s="240"/>
      <c r="R55" s="245"/>
      <c r="S55" s="240"/>
      <c r="T55" s="246"/>
      <c r="U55" s="247"/>
      <c r="V55" s="248"/>
      <c r="W55" s="261"/>
      <c r="X55" s="261"/>
      <c r="Y55" s="261"/>
      <c r="Z55" s="261"/>
      <c r="AA55" s="261"/>
      <c r="AB55" s="261"/>
      <c r="AC55" s="261"/>
      <c r="AD55" s="261"/>
    </row>
    <row r="56" spans="1:30" ht="17.25" x14ac:dyDescent="0.2">
      <c r="A56" s="252" t="s">
        <v>345</v>
      </c>
      <c r="B56" s="234"/>
      <c r="C56" s="234"/>
      <c r="D56" s="234"/>
      <c r="E56" s="234"/>
      <c r="F56" s="253"/>
      <c r="G56" s="234"/>
      <c r="H56" s="234"/>
      <c r="I56" s="234"/>
      <c r="J56" s="223" t="s">
        <v>16</v>
      </c>
      <c r="K56" s="223">
        <f>SUM(K57:K58)</f>
        <v>0</v>
      </c>
      <c r="L56" s="223">
        <f>SUM(L57:L58)</f>
        <v>0</v>
      </c>
      <c r="M56" s="261"/>
      <c r="N56" s="261"/>
      <c r="O56" s="261"/>
      <c r="P56" s="261"/>
      <c r="Q56" s="261"/>
      <c r="R56" s="224"/>
      <c r="S56" s="261"/>
      <c r="T56" s="261"/>
      <c r="U56" s="261"/>
      <c r="V56" s="261"/>
      <c r="W56" s="261"/>
      <c r="X56" s="261"/>
      <c r="Y56" s="261"/>
      <c r="Z56" s="261"/>
      <c r="AA56" s="261"/>
      <c r="AB56" s="261"/>
      <c r="AC56" s="261"/>
      <c r="AD56" s="261"/>
    </row>
    <row r="57" spans="1:30" ht="17.25" x14ac:dyDescent="0.2">
      <c r="A57" s="254"/>
      <c r="B57" s="261"/>
      <c r="C57" s="261"/>
      <c r="D57" s="240"/>
      <c r="E57" s="240"/>
      <c r="F57" s="241"/>
      <c r="G57" s="240"/>
      <c r="H57" s="240"/>
      <c r="I57" s="240"/>
      <c r="J57" s="250"/>
      <c r="K57" s="251"/>
      <c r="L57" s="251"/>
      <c r="M57" s="240"/>
      <c r="N57" s="240"/>
      <c r="O57" s="240"/>
      <c r="P57" s="240"/>
      <c r="Q57" s="240"/>
      <c r="R57" s="245"/>
      <c r="S57" s="240"/>
      <c r="T57" s="247"/>
      <c r="U57" s="240"/>
      <c r="V57" s="261"/>
      <c r="W57" s="261"/>
      <c r="X57" s="261"/>
      <c r="Y57" s="261"/>
      <c r="Z57" s="261"/>
      <c r="AA57" s="261"/>
      <c r="AB57" s="261"/>
      <c r="AC57" s="261"/>
      <c r="AD57" s="261"/>
    </row>
    <row r="58" spans="1:30" s="255" customFormat="1" ht="17.25" x14ac:dyDescent="0.2">
      <c r="A58" s="256"/>
      <c r="B58" s="239"/>
      <c r="C58" s="239"/>
      <c r="D58" s="239"/>
      <c r="E58" s="239"/>
      <c r="F58" s="257"/>
      <c r="G58" s="239"/>
      <c r="H58" s="239"/>
      <c r="I58" s="239"/>
      <c r="J58" s="258"/>
      <c r="K58" s="243"/>
      <c r="L58" s="243"/>
      <c r="M58" s="239"/>
      <c r="N58" s="239"/>
      <c r="O58" s="239"/>
      <c r="P58" s="239"/>
      <c r="Q58" s="239"/>
      <c r="R58" s="259"/>
      <c r="S58" s="239"/>
      <c r="T58" s="260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</row>
    <row r="59" spans="1:30" s="228" customFormat="1" ht="17.25" x14ac:dyDescent="0.2">
      <c r="A59" s="229" t="s">
        <v>288</v>
      </c>
      <c r="B59" s="230"/>
      <c r="C59" s="230"/>
      <c r="D59" s="230"/>
      <c r="E59" s="230"/>
      <c r="F59" s="231"/>
      <c r="G59" s="230"/>
      <c r="H59" s="230"/>
      <c r="I59" s="230"/>
      <c r="J59" s="230"/>
      <c r="K59" s="232"/>
      <c r="L59" s="232"/>
      <c r="M59" s="230"/>
      <c r="N59" s="230"/>
      <c r="O59" s="230"/>
      <c r="P59" s="230"/>
      <c r="Q59" s="230"/>
      <c r="R59" s="233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</row>
    <row r="60" spans="1:30" ht="17.25" x14ac:dyDescent="0.2">
      <c r="A60" s="234" t="s">
        <v>344</v>
      </c>
      <c r="B60" s="235"/>
      <c r="C60" s="235"/>
      <c r="D60" s="235"/>
      <c r="E60" s="235"/>
      <c r="F60" s="236"/>
      <c r="G60" s="235"/>
      <c r="H60" s="235"/>
      <c r="I60" s="235"/>
      <c r="J60" s="223" t="s">
        <v>16</v>
      </c>
      <c r="K60" s="223">
        <f>SUM(K61:K62)</f>
        <v>0</v>
      </c>
      <c r="L60" s="223">
        <f>SUM(L61:L62)</f>
        <v>0</v>
      </c>
      <c r="M60" s="261"/>
      <c r="N60" s="261"/>
      <c r="O60" s="261"/>
      <c r="P60" s="261"/>
      <c r="Q60" s="261"/>
      <c r="R60" s="224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</row>
    <row r="61" spans="1:30" s="237" customFormat="1" ht="17.25" x14ac:dyDescent="0.2">
      <c r="A61" s="238"/>
      <c r="B61" s="239"/>
      <c r="C61" s="239"/>
      <c r="D61" s="240"/>
      <c r="E61" s="240"/>
      <c r="F61" s="241"/>
      <c r="G61" s="239"/>
      <c r="H61" s="239"/>
      <c r="I61" s="239"/>
      <c r="J61" s="242"/>
      <c r="K61" s="243"/>
      <c r="L61" s="244"/>
      <c r="M61" s="239"/>
      <c r="N61" s="239"/>
      <c r="O61" s="239"/>
      <c r="P61" s="240"/>
      <c r="Q61" s="240"/>
      <c r="R61" s="245"/>
      <c r="S61" s="240"/>
      <c r="T61" s="246"/>
      <c r="U61" s="247"/>
      <c r="V61" s="248"/>
      <c r="W61" s="239"/>
      <c r="X61" s="239"/>
      <c r="Y61" s="239"/>
      <c r="Z61" s="239"/>
      <c r="AA61" s="239"/>
      <c r="AB61" s="239"/>
      <c r="AC61" s="239"/>
      <c r="AD61" s="239"/>
    </row>
    <row r="62" spans="1:30" ht="17.25" x14ac:dyDescent="0.2">
      <c r="A62" s="262"/>
      <c r="B62" s="261"/>
      <c r="C62" s="261"/>
      <c r="D62" s="249"/>
      <c r="E62" s="240"/>
      <c r="F62" s="241"/>
      <c r="G62" s="239"/>
      <c r="H62" s="239"/>
      <c r="I62" s="239"/>
      <c r="J62" s="250"/>
      <c r="K62" s="251"/>
      <c r="L62" s="251"/>
      <c r="M62" s="239"/>
      <c r="N62" s="239"/>
      <c r="O62" s="239"/>
      <c r="P62" s="240"/>
      <c r="Q62" s="240"/>
      <c r="R62" s="245"/>
      <c r="S62" s="240"/>
      <c r="T62" s="246"/>
      <c r="U62" s="247"/>
      <c r="V62" s="248"/>
      <c r="W62" s="261"/>
      <c r="X62" s="261"/>
      <c r="Y62" s="261"/>
      <c r="Z62" s="261"/>
      <c r="AA62" s="261"/>
      <c r="AB62" s="261"/>
      <c r="AC62" s="261"/>
      <c r="AD62" s="261"/>
    </row>
    <row r="63" spans="1:30" ht="17.25" x14ac:dyDescent="0.2">
      <c r="A63" s="252" t="s">
        <v>345</v>
      </c>
      <c r="B63" s="234"/>
      <c r="C63" s="234"/>
      <c r="D63" s="234"/>
      <c r="E63" s="234"/>
      <c r="F63" s="253"/>
      <c r="G63" s="234"/>
      <c r="H63" s="234"/>
      <c r="I63" s="234"/>
      <c r="J63" s="223" t="s">
        <v>16</v>
      </c>
      <c r="K63" s="223">
        <f>SUM(K64:K65)</f>
        <v>0</v>
      </c>
      <c r="L63" s="223">
        <f>SUM(L64:L65)</f>
        <v>0</v>
      </c>
      <c r="M63" s="261"/>
      <c r="N63" s="261"/>
      <c r="O63" s="261"/>
      <c r="P63" s="261"/>
      <c r="Q63" s="261"/>
      <c r="R63" s="224"/>
      <c r="S63" s="261"/>
      <c r="T63" s="261"/>
      <c r="U63" s="261"/>
      <c r="V63" s="261"/>
      <c r="W63" s="261"/>
      <c r="X63" s="261"/>
      <c r="Y63" s="261"/>
      <c r="Z63" s="261"/>
      <c r="AA63" s="261"/>
      <c r="AB63" s="261"/>
      <c r="AC63" s="261"/>
      <c r="AD63" s="261"/>
    </row>
    <row r="64" spans="1:30" ht="17.25" x14ac:dyDescent="0.2">
      <c r="A64" s="254"/>
      <c r="B64" s="261"/>
      <c r="C64" s="261"/>
      <c r="D64" s="240"/>
      <c r="E64" s="240"/>
      <c r="F64" s="241"/>
      <c r="G64" s="240"/>
      <c r="H64" s="240"/>
      <c r="I64" s="240"/>
      <c r="J64" s="250"/>
      <c r="K64" s="251"/>
      <c r="L64" s="251"/>
      <c r="M64" s="240"/>
      <c r="N64" s="240"/>
      <c r="O64" s="240"/>
      <c r="P64" s="240"/>
      <c r="Q64" s="240"/>
      <c r="R64" s="245"/>
      <c r="S64" s="240"/>
      <c r="T64" s="247"/>
      <c r="U64" s="240"/>
      <c r="V64" s="261"/>
      <c r="W64" s="261"/>
      <c r="X64" s="261"/>
      <c r="Y64" s="261"/>
      <c r="Z64" s="261"/>
      <c r="AA64" s="261"/>
      <c r="AB64" s="261"/>
      <c r="AC64" s="261"/>
      <c r="AD64" s="261"/>
    </row>
    <row r="65" spans="1:30" s="255" customFormat="1" ht="17.25" x14ac:dyDescent="0.2">
      <c r="A65" s="256"/>
      <c r="B65" s="239"/>
      <c r="C65" s="239"/>
      <c r="D65" s="239"/>
      <c r="E65" s="239"/>
      <c r="F65" s="257"/>
      <c r="G65" s="239"/>
      <c r="H65" s="239"/>
      <c r="I65" s="239"/>
      <c r="J65" s="258"/>
      <c r="K65" s="243"/>
      <c r="L65" s="243"/>
      <c r="M65" s="239"/>
      <c r="N65" s="239"/>
      <c r="O65" s="239"/>
      <c r="P65" s="239"/>
      <c r="Q65" s="239"/>
      <c r="R65" s="259"/>
      <c r="S65" s="239"/>
      <c r="T65" s="260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</row>
    <row r="66" spans="1:30" s="228" customFormat="1" ht="17.25" x14ac:dyDescent="0.2">
      <c r="A66" s="229" t="s">
        <v>289</v>
      </c>
      <c r="B66" s="230"/>
      <c r="C66" s="230"/>
      <c r="D66" s="230"/>
      <c r="E66" s="230"/>
      <c r="F66" s="231"/>
      <c r="G66" s="230"/>
      <c r="H66" s="230"/>
      <c r="I66" s="230"/>
      <c r="J66" s="230"/>
      <c r="K66" s="232"/>
      <c r="L66" s="232"/>
      <c r="M66" s="230"/>
      <c r="N66" s="230"/>
      <c r="O66" s="230"/>
      <c r="P66" s="230"/>
      <c r="Q66" s="230"/>
      <c r="R66" s="233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</row>
    <row r="67" spans="1:30" ht="17.25" x14ac:dyDescent="0.2">
      <c r="A67" s="234" t="s">
        <v>344</v>
      </c>
      <c r="B67" s="235"/>
      <c r="C67" s="235"/>
      <c r="D67" s="235"/>
      <c r="E67" s="235"/>
      <c r="F67" s="236"/>
      <c r="G67" s="235"/>
      <c r="H67" s="235"/>
      <c r="I67" s="235"/>
      <c r="J67" s="223" t="s">
        <v>16</v>
      </c>
      <c r="K67" s="223">
        <f>SUM(K68:K69)</f>
        <v>0</v>
      </c>
      <c r="L67" s="223">
        <f>SUM(L68:L69)</f>
        <v>0</v>
      </c>
      <c r="M67" s="261"/>
      <c r="N67" s="261"/>
      <c r="O67" s="261"/>
      <c r="P67" s="261"/>
      <c r="Q67" s="261"/>
      <c r="R67" s="224"/>
      <c r="S67" s="261"/>
      <c r="T67" s="261"/>
      <c r="U67" s="261"/>
      <c r="V67" s="261"/>
      <c r="W67" s="261"/>
      <c r="X67" s="261"/>
      <c r="Y67" s="261"/>
      <c r="Z67" s="261"/>
      <c r="AA67" s="261"/>
      <c r="AB67" s="261"/>
      <c r="AC67" s="261"/>
      <c r="AD67" s="261"/>
    </row>
    <row r="68" spans="1:30" s="237" customFormat="1" ht="17.25" x14ac:dyDescent="0.2">
      <c r="A68" s="238"/>
      <c r="B68" s="239"/>
      <c r="C68" s="239"/>
      <c r="D68" s="240"/>
      <c r="E68" s="240"/>
      <c r="F68" s="241"/>
      <c r="G68" s="239"/>
      <c r="H68" s="239"/>
      <c r="I68" s="239"/>
      <c r="J68" s="242"/>
      <c r="K68" s="243"/>
      <c r="L68" s="244"/>
      <c r="M68" s="239"/>
      <c r="N68" s="239"/>
      <c r="O68" s="239"/>
      <c r="P68" s="240"/>
      <c r="Q68" s="240"/>
      <c r="R68" s="245"/>
      <c r="S68" s="240"/>
      <c r="T68" s="246"/>
      <c r="U68" s="247"/>
      <c r="V68" s="248"/>
      <c r="W68" s="239"/>
      <c r="X68" s="239"/>
      <c r="Y68" s="239"/>
      <c r="Z68" s="239"/>
      <c r="AA68" s="239"/>
      <c r="AB68" s="239"/>
      <c r="AC68" s="239"/>
      <c r="AD68" s="239"/>
    </row>
    <row r="69" spans="1:30" ht="17.25" x14ac:dyDescent="0.2">
      <c r="A69" s="262"/>
      <c r="B69" s="261"/>
      <c r="C69" s="261"/>
      <c r="D69" s="249"/>
      <c r="E69" s="240"/>
      <c r="F69" s="241"/>
      <c r="G69" s="239"/>
      <c r="H69" s="239"/>
      <c r="I69" s="239"/>
      <c r="J69" s="250"/>
      <c r="K69" s="251"/>
      <c r="L69" s="251"/>
      <c r="M69" s="239"/>
      <c r="N69" s="239"/>
      <c r="O69" s="239"/>
      <c r="P69" s="240"/>
      <c r="Q69" s="240"/>
      <c r="R69" s="245"/>
      <c r="S69" s="240"/>
      <c r="T69" s="246"/>
      <c r="U69" s="247"/>
      <c r="V69" s="248"/>
      <c r="W69" s="261"/>
      <c r="X69" s="261"/>
      <c r="Y69" s="261"/>
      <c r="Z69" s="261"/>
      <c r="AA69" s="261"/>
      <c r="AB69" s="261"/>
      <c r="AC69" s="261"/>
      <c r="AD69" s="261"/>
    </row>
    <row r="70" spans="1:30" ht="17.25" x14ac:dyDescent="0.2">
      <c r="A70" s="252" t="s">
        <v>345</v>
      </c>
      <c r="B70" s="234"/>
      <c r="C70" s="234"/>
      <c r="D70" s="234"/>
      <c r="E70" s="234"/>
      <c r="F70" s="253"/>
      <c r="G70" s="234"/>
      <c r="H70" s="234"/>
      <c r="I70" s="234"/>
      <c r="J70" s="223" t="s">
        <v>16</v>
      </c>
      <c r="K70" s="223">
        <f>SUM(K71:K72)</f>
        <v>0</v>
      </c>
      <c r="L70" s="223">
        <f>SUM(L71:L72)</f>
        <v>0</v>
      </c>
      <c r="M70" s="261"/>
      <c r="N70" s="261"/>
      <c r="O70" s="261"/>
      <c r="P70" s="261"/>
      <c r="Q70" s="261"/>
      <c r="R70" s="224"/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261"/>
    </row>
    <row r="71" spans="1:30" ht="17.25" x14ac:dyDescent="0.2">
      <c r="A71" s="254"/>
      <c r="B71" s="261"/>
      <c r="C71" s="261"/>
      <c r="D71" s="240"/>
      <c r="E71" s="240"/>
      <c r="F71" s="241"/>
      <c r="G71" s="240"/>
      <c r="H71" s="240"/>
      <c r="I71" s="240"/>
      <c r="J71" s="250"/>
      <c r="K71" s="251"/>
      <c r="L71" s="251"/>
      <c r="M71" s="240"/>
      <c r="N71" s="240"/>
      <c r="O71" s="240"/>
      <c r="P71" s="240"/>
      <c r="Q71" s="240"/>
      <c r="R71" s="245"/>
      <c r="S71" s="240"/>
      <c r="T71" s="247"/>
      <c r="U71" s="240"/>
      <c r="V71" s="261"/>
      <c r="W71" s="261"/>
      <c r="X71" s="261"/>
      <c r="Y71" s="261"/>
      <c r="Z71" s="261"/>
      <c r="AA71" s="261"/>
      <c r="AB71" s="261"/>
      <c r="AC71" s="261"/>
      <c r="AD71" s="261"/>
    </row>
    <row r="72" spans="1:30" s="255" customFormat="1" ht="17.25" x14ac:dyDescent="0.2">
      <c r="A72" s="256"/>
      <c r="B72" s="239"/>
      <c r="C72" s="239"/>
      <c r="D72" s="239"/>
      <c r="E72" s="239"/>
      <c r="F72" s="257"/>
      <c r="G72" s="239"/>
      <c r="H72" s="239"/>
      <c r="I72" s="239"/>
      <c r="J72" s="258"/>
      <c r="K72" s="243"/>
      <c r="L72" s="243"/>
      <c r="M72" s="239"/>
      <c r="N72" s="239"/>
      <c r="O72" s="239"/>
      <c r="P72" s="239"/>
      <c r="Q72" s="239"/>
      <c r="R72" s="259"/>
      <c r="S72" s="239"/>
      <c r="T72" s="260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</row>
    <row r="73" spans="1:30" s="228" customFormat="1" ht="17.25" x14ac:dyDescent="0.2">
      <c r="A73" s="229" t="s">
        <v>291</v>
      </c>
      <c r="B73" s="230"/>
      <c r="C73" s="230"/>
      <c r="D73" s="230"/>
      <c r="E73" s="230"/>
      <c r="F73" s="231"/>
      <c r="G73" s="230"/>
      <c r="H73" s="230"/>
      <c r="I73" s="230"/>
      <c r="J73" s="230"/>
      <c r="K73" s="232"/>
      <c r="L73" s="232"/>
      <c r="M73" s="230"/>
      <c r="N73" s="230"/>
      <c r="O73" s="230"/>
      <c r="P73" s="230"/>
      <c r="Q73" s="230"/>
      <c r="R73" s="233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</row>
    <row r="74" spans="1:30" ht="17.25" x14ac:dyDescent="0.2">
      <c r="A74" s="234" t="s">
        <v>344</v>
      </c>
      <c r="B74" s="235"/>
      <c r="C74" s="235"/>
      <c r="D74" s="235"/>
      <c r="E74" s="235"/>
      <c r="F74" s="236"/>
      <c r="G74" s="235"/>
      <c r="H74" s="235"/>
      <c r="I74" s="235"/>
      <c r="J74" s="223" t="s">
        <v>16</v>
      </c>
      <c r="K74" s="619">
        <f>SUM(K75:K76)</f>
        <v>0</v>
      </c>
      <c r="L74" s="619">
        <f>SUM(L75:L76)</f>
        <v>0</v>
      </c>
      <c r="M74" s="261"/>
      <c r="N74" s="261"/>
      <c r="O74" s="261"/>
      <c r="P74" s="261"/>
      <c r="Q74" s="261"/>
      <c r="R74" s="224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</row>
    <row r="75" spans="1:30" ht="15" customHeight="1" x14ac:dyDescent="0.2">
      <c r="A75" s="644"/>
      <c r="B75" s="652"/>
      <c r="C75" s="652"/>
      <c r="D75" s="652"/>
      <c r="E75" s="652"/>
      <c r="F75" s="653"/>
      <c r="G75" s="646"/>
      <c r="H75" s="646"/>
      <c r="I75" s="646"/>
      <c r="J75" s="654"/>
      <c r="K75" s="649"/>
      <c r="L75" s="655"/>
      <c r="M75" s="648"/>
      <c r="N75" s="656"/>
      <c r="O75" s="648"/>
      <c r="P75" s="657"/>
      <c r="Q75" s="657"/>
      <c r="R75" s="672"/>
      <c r="S75" s="651"/>
      <c r="T75" s="616"/>
      <c r="U75" s="261"/>
      <c r="V75" s="617"/>
      <c r="W75" s="261"/>
      <c r="X75" s="261"/>
      <c r="Y75" s="261"/>
      <c r="Z75" s="261"/>
      <c r="AA75" s="261"/>
      <c r="AB75" s="261"/>
      <c r="AC75" s="261"/>
      <c r="AD75" s="261"/>
    </row>
    <row r="76" spans="1:30" s="237" customFormat="1" ht="17.25" x14ac:dyDescent="0.2">
      <c r="A76" s="658"/>
      <c r="B76" s="652"/>
      <c r="C76" s="652"/>
      <c r="D76" s="652"/>
      <c r="E76" s="652"/>
      <c r="F76" s="653"/>
      <c r="G76" s="646"/>
      <c r="H76" s="646"/>
      <c r="I76" s="646"/>
      <c r="J76" s="654"/>
      <c r="K76" s="649"/>
      <c r="L76" s="655"/>
      <c r="M76" s="648"/>
      <c r="N76" s="656"/>
      <c r="O76" s="648"/>
      <c r="P76" s="657"/>
      <c r="Q76" s="657"/>
      <c r="R76" s="672"/>
      <c r="S76" s="651"/>
      <c r="T76" s="246"/>
      <c r="U76" s="247"/>
      <c r="V76" s="248"/>
      <c r="W76" s="239"/>
      <c r="X76" s="239"/>
      <c r="Y76" s="239"/>
      <c r="Z76" s="239"/>
      <c r="AA76" s="239"/>
      <c r="AB76" s="239"/>
      <c r="AC76" s="239"/>
      <c r="AD76" s="239"/>
    </row>
    <row r="77" spans="1:30" ht="17.25" x14ac:dyDescent="0.2">
      <c r="A77" s="252" t="s">
        <v>345</v>
      </c>
      <c r="B77" s="234"/>
      <c r="C77" s="234"/>
      <c r="D77" s="234"/>
      <c r="E77" s="234"/>
      <c r="F77" s="253"/>
      <c r="G77" s="234"/>
      <c r="H77" s="234"/>
      <c r="I77" s="234"/>
      <c r="J77" s="223" t="s">
        <v>16</v>
      </c>
      <c r="K77" s="223">
        <f>SUM(K78:K79)</f>
        <v>0</v>
      </c>
      <c r="L77" s="223">
        <f>SUM(L78:L79)</f>
        <v>0</v>
      </c>
      <c r="M77" s="261"/>
      <c r="N77" s="261"/>
      <c r="O77" s="261"/>
      <c r="P77" s="261"/>
      <c r="Q77" s="261"/>
      <c r="R77" s="224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</row>
    <row r="78" spans="1:30" ht="17.25" x14ac:dyDescent="0.2">
      <c r="A78" s="254"/>
      <c r="B78" s="261"/>
      <c r="C78" s="261"/>
      <c r="D78" s="240"/>
      <c r="E78" s="240"/>
      <c r="F78" s="241"/>
      <c r="G78" s="240"/>
      <c r="H78" s="240"/>
      <c r="I78" s="240"/>
      <c r="J78" s="250"/>
      <c r="K78" s="251"/>
      <c r="L78" s="251"/>
      <c r="M78" s="240"/>
      <c r="N78" s="240"/>
      <c r="O78" s="240"/>
      <c r="P78" s="240"/>
      <c r="Q78" s="240"/>
      <c r="R78" s="245"/>
      <c r="S78" s="240"/>
      <c r="T78" s="247"/>
      <c r="U78" s="240"/>
      <c r="V78" s="261"/>
      <c r="W78" s="261"/>
      <c r="X78" s="261"/>
      <c r="Y78" s="261"/>
      <c r="Z78" s="261"/>
      <c r="AA78" s="261"/>
      <c r="AB78" s="261"/>
      <c r="AC78" s="261"/>
      <c r="AD78" s="261"/>
    </row>
    <row r="79" spans="1:30" s="255" customFormat="1" ht="17.25" x14ac:dyDescent="0.2">
      <c r="A79" s="256"/>
      <c r="B79" s="239"/>
      <c r="C79" s="239"/>
      <c r="D79" s="239"/>
      <c r="E79" s="239"/>
      <c r="F79" s="257"/>
      <c r="G79" s="239"/>
      <c r="H79" s="239"/>
      <c r="I79" s="239"/>
      <c r="J79" s="258"/>
      <c r="K79" s="243"/>
      <c r="L79" s="243"/>
      <c r="M79" s="239"/>
      <c r="N79" s="239"/>
      <c r="O79" s="239"/>
      <c r="P79" s="239"/>
      <c r="Q79" s="239"/>
      <c r="R79" s="259"/>
      <c r="S79" s="239"/>
      <c r="T79" s="260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</row>
    <row r="80" spans="1:30" s="228" customFormat="1" ht="17.25" x14ac:dyDescent="0.2">
      <c r="A80" s="229" t="s">
        <v>292</v>
      </c>
      <c r="B80" s="230"/>
      <c r="C80" s="230"/>
      <c r="D80" s="230"/>
      <c r="E80" s="230"/>
      <c r="F80" s="231"/>
      <c r="G80" s="230"/>
      <c r="H80" s="230"/>
      <c r="I80" s="230"/>
      <c r="J80" s="230"/>
      <c r="K80" s="232"/>
      <c r="L80" s="232"/>
      <c r="M80" s="230"/>
      <c r="N80" s="230"/>
      <c r="O80" s="230"/>
      <c r="P80" s="230"/>
      <c r="Q80" s="230"/>
      <c r="R80" s="233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</row>
    <row r="81" spans="1:30" ht="17.25" x14ac:dyDescent="0.2">
      <c r="A81" s="630" t="s">
        <v>344</v>
      </c>
      <c r="B81" s="631"/>
      <c r="C81" s="631"/>
      <c r="D81" s="631"/>
      <c r="E81" s="631"/>
      <c r="F81" s="632"/>
      <c r="G81" s="631"/>
      <c r="H81" s="631"/>
      <c r="I81" s="631"/>
      <c r="J81" s="633" t="s">
        <v>16</v>
      </c>
      <c r="K81" s="633">
        <v>0</v>
      </c>
      <c r="L81" s="633">
        <v>0</v>
      </c>
      <c r="M81" s="634"/>
      <c r="N81" s="634"/>
      <c r="O81" s="634"/>
      <c r="P81" s="634"/>
      <c r="Q81" s="634"/>
      <c r="R81" s="635"/>
      <c r="S81" s="634"/>
      <c r="T81" s="634"/>
      <c r="U81" s="634"/>
      <c r="V81" s="634"/>
      <c r="W81" s="634"/>
      <c r="X81" s="634"/>
      <c r="Y81" s="634"/>
      <c r="Z81" s="634"/>
      <c r="AA81" s="634"/>
      <c r="AB81" s="634"/>
      <c r="AC81" s="634"/>
      <c r="AD81" s="634"/>
    </row>
    <row r="82" spans="1:30" s="544" customFormat="1" x14ac:dyDescent="0.25"/>
    <row r="83" spans="1:30" s="544" customFormat="1" x14ac:dyDescent="0.25"/>
    <row r="84" spans="1:30" ht="17.25" x14ac:dyDescent="0.2">
      <c r="A84" s="636" t="s">
        <v>345</v>
      </c>
      <c r="B84" s="637"/>
      <c r="C84" s="637"/>
      <c r="D84" s="637"/>
      <c r="E84" s="637"/>
      <c r="F84" s="638"/>
      <c r="G84" s="637"/>
      <c r="H84" s="637"/>
      <c r="I84" s="637"/>
      <c r="J84" s="639" t="s">
        <v>16</v>
      </c>
      <c r="K84" s="639">
        <f>SUM(K85:K104)</f>
        <v>20</v>
      </c>
      <c r="L84" s="639">
        <f>SUM(L85:L104)</f>
        <v>0</v>
      </c>
      <c r="M84" s="640"/>
      <c r="N84" s="640"/>
      <c r="O84" s="640"/>
      <c r="P84" s="640"/>
      <c r="Q84" s="640"/>
      <c r="R84" s="641"/>
      <c r="S84" s="640"/>
      <c r="T84" s="640"/>
      <c r="U84" s="640"/>
      <c r="V84" s="640"/>
      <c r="W84" s="640"/>
      <c r="X84" s="640"/>
      <c r="Y84" s="640"/>
      <c r="Z84" s="640"/>
      <c r="AA84" s="640"/>
      <c r="AB84" s="640"/>
      <c r="AC84" s="640"/>
      <c r="AD84" s="640"/>
    </row>
    <row r="85" spans="1:30" s="671" customFormat="1" ht="18.75" customHeight="1" x14ac:dyDescent="0.2">
      <c r="A85" s="696">
        <v>1</v>
      </c>
      <c r="B85" s="693"/>
      <c r="C85" s="693"/>
      <c r="D85" s="693"/>
      <c r="E85" s="820" t="s">
        <v>809</v>
      </c>
      <c r="F85" s="698"/>
      <c r="G85" s="697" t="s">
        <v>487</v>
      </c>
      <c r="H85" s="697" t="s">
        <v>810</v>
      </c>
      <c r="I85" s="697"/>
      <c r="J85" s="701">
        <v>26312</v>
      </c>
      <c r="K85" s="699">
        <v>1</v>
      </c>
      <c r="L85" s="699"/>
      <c r="M85" s="688" t="s">
        <v>389</v>
      </c>
      <c r="N85" s="688" t="s">
        <v>386</v>
      </c>
      <c r="O85" s="688" t="s">
        <v>384</v>
      </c>
      <c r="P85" s="697">
        <v>9461692655</v>
      </c>
      <c r="Q85" s="697"/>
      <c r="R85" s="823">
        <v>44524</v>
      </c>
      <c r="S85" s="820" t="s">
        <v>811</v>
      </c>
      <c r="T85" s="700"/>
      <c r="U85" s="694"/>
      <c r="V85" s="695"/>
      <c r="W85" s="694"/>
      <c r="X85" s="694"/>
      <c r="Y85" s="694"/>
      <c r="Z85" s="694"/>
      <c r="AA85" s="694"/>
      <c r="AB85" s="694"/>
      <c r="AC85" s="694"/>
      <c r="AD85" s="694"/>
    </row>
    <row r="86" spans="1:30" s="671" customFormat="1" ht="15.75" x14ac:dyDescent="0.2">
      <c r="A86" s="696">
        <v>2</v>
      </c>
      <c r="B86" s="693"/>
      <c r="C86" s="693"/>
      <c r="D86" s="693"/>
      <c r="E86" s="821"/>
      <c r="F86" s="698"/>
      <c r="G86" s="697" t="s">
        <v>812</v>
      </c>
      <c r="H86" s="697" t="s">
        <v>565</v>
      </c>
      <c r="I86" s="697" t="s">
        <v>402</v>
      </c>
      <c r="J86" s="701">
        <v>27242</v>
      </c>
      <c r="K86" s="699">
        <v>1</v>
      </c>
      <c r="L86" s="699"/>
      <c r="M86" s="688" t="s">
        <v>389</v>
      </c>
      <c r="N86" s="688" t="s">
        <v>386</v>
      </c>
      <c r="O86" s="688" t="s">
        <v>384</v>
      </c>
      <c r="P86" s="697"/>
      <c r="Q86" s="697"/>
      <c r="R86" s="824"/>
      <c r="S86" s="821"/>
      <c r="T86" s="700"/>
      <c r="U86" s="694"/>
      <c r="V86" s="695"/>
      <c r="W86" s="694"/>
      <c r="X86" s="694"/>
      <c r="Y86" s="694"/>
      <c r="Z86" s="694"/>
      <c r="AA86" s="694"/>
      <c r="AB86" s="694"/>
      <c r="AC86" s="694"/>
      <c r="AD86" s="694"/>
    </row>
    <row r="87" spans="1:30" s="671" customFormat="1" ht="15.75" x14ac:dyDescent="0.2">
      <c r="A87" s="696">
        <v>3</v>
      </c>
      <c r="B87" s="693"/>
      <c r="C87" s="693"/>
      <c r="D87" s="693"/>
      <c r="E87" s="821"/>
      <c r="F87" s="698"/>
      <c r="G87" s="697" t="s">
        <v>813</v>
      </c>
      <c r="H87" s="697" t="s">
        <v>814</v>
      </c>
      <c r="I87" s="697" t="s">
        <v>393</v>
      </c>
      <c r="J87" s="701">
        <v>32435</v>
      </c>
      <c r="K87" s="699">
        <v>1</v>
      </c>
      <c r="L87" s="699"/>
      <c r="M87" s="688" t="s">
        <v>389</v>
      </c>
      <c r="N87" s="688" t="s">
        <v>386</v>
      </c>
      <c r="O87" s="688" t="s">
        <v>384</v>
      </c>
      <c r="P87" s="697"/>
      <c r="Q87" s="697"/>
      <c r="R87" s="824"/>
      <c r="S87" s="821"/>
      <c r="T87" s="700"/>
      <c r="U87" s="694"/>
      <c r="V87" s="695"/>
      <c r="W87" s="694"/>
      <c r="X87" s="694"/>
      <c r="Y87" s="694"/>
      <c r="Z87" s="694"/>
      <c r="AA87" s="694"/>
      <c r="AB87" s="694"/>
      <c r="AC87" s="694"/>
      <c r="AD87" s="694"/>
    </row>
    <row r="88" spans="1:30" s="671" customFormat="1" ht="15.75" x14ac:dyDescent="0.2">
      <c r="A88" s="696">
        <v>4</v>
      </c>
      <c r="B88" s="693"/>
      <c r="C88" s="693"/>
      <c r="D88" s="693"/>
      <c r="E88" s="821"/>
      <c r="F88" s="698"/>
      <c r="G88" s="697" t="s">
        <v>815</v>
      </c>
      <c r="H88" s="697" t="s">
        <v>816</v>
      </c>
      <c r="I88" s="697"/>
      <c r="J88" s="701">
        <v>27026</v>
      </c>
      <c r="K88" s="699">
        <v>1</v>
      </c>
      <c r="L88" s="699"/>
      <c r="M88" s="688" t="s">
        <v>389</v>
      </c>
      <c r="N88" s="688" t="s">
        <v>386</v>
      </c>
      <c r="O88" s="688" t="s">
        <v>384</v>
      </c>
      <c r="P88" s="697"/>
      <c r="Q88" s="697"/>
      <c r="R88" s="824"/>
      <c r="S88" s="821"/>
      <c r="T88" s="700"/>
      <c r="U88" s="694"/>
      <c r="V88" s="695"/>
      <c r="W88" s="694"/>
      <c r="X88" s="694"/>
      <c r="Y88" s="694"/>
      <c r="Z88" s="694"/>
      <c r="AA88" s="694"/>
      <c r="AB88" s="694"/>
      <c r="AC88" s="694"/>
      <c r="AD88" s="694"/>
    </row>
    <row r="89" spans="1:30" s="671" customFormat="1" ht="15.75" x14ac:dyDescent="0.2">
      <c r="A89" s="696">
        <v>5</v>
      </c>
      <c r="B89" s="693"/>
      <c r="C89" s="693"/>
      <c r="D89" s="693"/>
      <c r="E89" s="821"/>
      <c r="F89" s="698"/>
      <c r="G89" s="697" t="s">
        <v>817</v>
      </c>
      <c r="H89" s="697" t="s">
        <v>818</v>
      </c>
      <c r="I89" s="697"/>
      <c r="J89" s="701">
        <v>17608</v>
      </c>
      <c r="K89" s="699">
        <v>1</v>
      </c>
      <c r="L89" s="699"/>
      <c r="M89" s="688" t="s">
        <v>389</v>
      </c>
      <c r="N89" s="688" t="s">
        <v>386</v>
      </c>
      <c r="O89" s="688" t="s">
        <v>384</v>
      </c>
      <c r="P89" s="697"/>
      <c r="Q89" s="697"/>
      <c r="R89" s="824"/>
      <c r="S89" s="821"/>
      <c r="T89" s="700"/>
      <c r="U89" s="694"/>
      <c r="V89" s="695"/>
      <c r="W89" s="694"/>
      <c r="X89" s="694"/>
      <c r="Y89" s="694"/>
      <c r="Z89" s="694"/>
      <c r="AA89" s="694"/>
      <c r="AB89" s="694"/>
      <c r="AC89" s="694"/>
      <c r="AD89" s="694"/>
    </row>
    <row r="90" spans="1:30" s="671" customFormat="1" ht="15.75" x14ac:dyDescent="0.2">
      <c r="A90" s="696">
        <v>6</v>
      </c>
      <c r="B90" s="693"/>
      <c r="C90" s="693"/>
      <c r="D90" s="693"/>
      <c r="E90" s="821"/>
      <c r="F90" s="698"/>
      <c r="G90" s="697" t="s">
        <v>819</v>
      </c>
      <c r="H90" s="697" t="s">
        <v>820</v>
      </c>
      <c r="I90" s="697"/>
      <c r="J90" s="701">
        <v>36571</v>
      </c>
      <c r="K90" s="699">
        <v>1</v>
      </c>
      <c r="L90" s="699"/>
      <c r="M90" s="688" t="s">
        <v>389</v>
      </c>
      <c r="N90" s="688" t="s">
        <v>386</v>
      </c>
      <c r="O90" s="688" t="s">
        <v>384</v>
      </c>
      <c r="P90" s="697"/>
      <c r="Q90" s="697"/>
      <c r="R90" s="824"/>
      <c r="S90" s="821"/>
      <c r="T90" s="700"/>
      <c r="U90" s="694"/>
      <c r="V90" s="695"/>
      <c r="W90" s="694"/>
      <c r="X90" s="694"/>
      <c r="Y90" s="694"/>
      <c r="Z90" s="694"/>
      <c r="AA90" s="694"/>
      <c r="AB90" s="694"/>
      <c r="AC90" s="694"/>
      <c r="AD90" s="694"/>
    </row>
    <row r="91" spans="1:30" s="671" customFormat="1" ht="15.75" x14ac:dyDescent="0.2">
      <c r="A91" s="696">
        <v>7</v>
      </c>
      <c r="B91" s="693"/>
      <c r="C91" s="693"/>
      <c r="D91" s="693"/>
      <c r="E91" s="821"/>
      <c r="F91" s="698"/>
      <c r="G91" s="697" t="s">
        <v>821</v>
      </c>
      <c r="H91" s="697" t="s">
        <v>822</v>
      </c>
      <c r="I91" s="697"/>
      <c r="J91" s="701">
        <v>36519</v>
      </c>
      <c r="K91" s="699">
        <v>1</v>
      </c>
      <c r="L91" s="699"/>
      <c r="M91" s="688" t="s">
        <v>389</v>
      </c>
      <c r="N91" s="688" t="s">
        <v>386</v>
      </c>
      <c r="O91" s="688" t="s">
        <v>384</v>
      </c>
      <c r="P91" s="697"/>
      <c r="Q91" s="697"/>
      <c r="R91" s="824"/>
      <c r="S91" s="821"/>
      <c r="T91" s="700"/>
      <c r="U91" s="694"/>
      <c r="V91" s="695"/>
      <c r="W91" s="694"/>
      <c r="X91" s="694"/>
      <c r="Y91" s="694"/>
      <c r="Z91" s="694"/>
      <c r="AA91" s="694"/>
      <c r="AB91" s="694"/>
      <c r="AC91" s="694"/>
      <c r="AD91" s="694"/>
    </row>
    <row r="92" spans="1:30" s="671" customFormat="1" ht="15.75" x14ac:dyDescent="0.2">
      <c r="A92" s="696">
        <v>8</v>
      </c>
      <c r="B92" s="693"/>
      <c r="C92" s="693"/>
      <c r="D92" s="693"/>
      <c r="E92" s="821"/>
      <c r="F92" s="698"/>
      <c r="G92" s="697" t="s">
        <v>824</v>
      </c>
      <c r="H92" s="697" t="s">
        <v>823</v>
      </c>
      <c r="I92" s="697"/>
      <c r="J92" s="701">
        <v>32665</v>
      </c>
      <c r="K92" s="699">
        <v>1</v>
      </c>
      <c r="L92" s="699"/>
      <c r="M92" s="688" t="s">
        <v>389</v>
      </c>
      <c r="N92" s="688" t="s">
        <v>386</v>
      </c>
      <c r="O92" s="688" t="s">
        <v>384</v>
      </c>
      <c r="P92" s="697">
        <v>9692343121</v>
      </c>
      <c r="Q92" s="697"/>
      <c r="R92" s="824"/>
      <c r="S92" s="821"/>
      <c r="T92" s="700"/>
      <c r="U92" s="694"/>
      <c r="V92" s="695"/>
      <c r="W92" s="694"/>
      <c r="X92" s="694"/>
      <c r="Y92" s="694"/>
      <c r="Z92" s="694"/>
      <c r="AA92" s="694"/>
      <c r="AB92" s="694"/>
      <c r="AC92" s="694"/>
      <c r="AD92" s="694"/>
    </row>
    <row r="93" spans="1:30" s="671" customFormat="1" ht="15.75" x14ac:dyDescent="0.2">
      <c r="A93" s="696">
        <v>9</v>
      </c>
      <c r="B93" s="693"/>
      <c r="C93" s="693"/>
      <c r="D93" s="693"/>
      <c r="E93" s="821"/>
      <c r="F93" s="698"/>
      <c r="G93" s="697" t="s">
        <v>824</v>
      </c>
      <c r="H93" s="697" t="s">
        <v>512</v>
      </c>
      <c r="I93" s="697"/>
      <c r="J93" s="701">
        <v>34741</v>
      </c>
      <c r="K93" s="699">
        <v>1</v>
      </c>
      <c r="L93" s="699"/>
      <c r="M93" s="688" t="s">
        <v>389</v>
      </c>
      <c r="N93" s="688" t="s">
        <v>386</v>
      </c>
      <c r="O93" s="688" t="s">
        <v>384</v>
      </c>
      <c r="P93" s="697"/>
      <c r="Q93" s="697"/>
      <c r="R93" s="824"/>
      <c r="S93" s="821"/>
      <c r="T93" s="700"/>
      <c r="U93" s="694"/>
      <c r="V93" s="695"/>
      <c r="W93" s="694"/>
      <c r="X93" s="694"/>
      <c r="Y93" s="694"/>
      <c r="Z93" s="694"/>
      <c r="AA93" s="694"/>
      <c r="AB93" s="694"/>
      <c r="AC93" s="694"/>
      <c r="AD93" s="694"/>
    </row>
    <row r="94" spans="1:30" s="671" customFormat="1" ht="15.75" x14ac:dyDescent="0.2">
      <c r="A94" s="696">
        <v>10</v>
      </c>
      <c r="B94" s="693"/>
      <c r="C94" s="693"/>
      <c r="D94" s="693"/>
      <c r="E94" s="821"/>
      <c r="F94" s="698"/>
      <c r="G94" s="697" t="s">
        <v>824</v>
      </c>
      <c r="H94" s="697" t="s">
        <v>825</v>
      </c>
      <c r="I94" s="697"/>
      <c r="J94" s="701">
        <v>25111</v>
      </c>
      <c r="K94" s="699">
        <v>1</v>
      </c>
      <c r="L94" s="699"/>
      <c r="M94" s="688" t="s">
        <v>389</v>
      </c>
      <c r="N94" s="688" t="s">
        <v>386</v>
      </c>
      <c r="O94" s="688" t="s">
        <v>384</v>
      </c>
      <c r="P94" s="697">
        <v>9301868045</v>
      </c>
      <c r="Q94" s="697"/>
      <c r="R94" s="824"/>
      <c r="S94" s="821"/>
      <c r="T94" s="700"/>
      <c r="U94" s="694"/>
      <c r="V94" s="695"/>
      <c r="W94" s="694"/>
      <c r="X94" s="694"/>
      <c r="Y94" s="694"/>
      <c r="Z94" s="694"/>
      <c r="AA94" s="694"/>
      <c r="AB94" s="694"/>
      <c r="AC94" s="694"/>
      <c r="AD94" s="694"/>
    </row>
    <row r="95" spans="1:30" s="671" customFormat="1" ht="15.75" x14ac:dyDescent="0.2">
      <c r="A95" s="696">
        <v>11</v>
      </c>
      <c r="B95" s="693"/>
      <c r="C95" s="693"/>
      <c r="D95" s="693"/>
      <c r="E95" s="821"/>
      <c r="F95" s="698"/>
      <c r="G95" s="697" t="s">
        <v>824</v>
      </c>
      <c r="H95" s="697" t="s">
        <v>826</v>
      </c>
      <c r="I95" s="697" t="s">
        <v>404</v>
      </c>
      <c r="J95" s="701">
        <v>35230</v>
      </c>
      <c r="K95" s="699">
        <v>1</v>
      </c>
      <c r="L95" s="699"/>
      <c r="M95" s="688" t="s">
        <v>389</v>
      </c>
      <c r="N95" s="688" t="s">
        <v>386</v>
      </c>
      <c r="O95" s="688" t="s">
        <v>384</v>
      </c>
      <c r="P95" s="697">
        <v>9301868045</v>
      </c>
      <c r="Q95" s="697"/>
      <c r="R95" s="824"/>
      <c r="S95" s="821"/>
      <c r="T95" s="700"/>
      <c r="U95" s="694"/>
      <c r="V95" s="695"/>
      <c r="W95" s="694"/>
      <c r="X95" s="694"/>
      <c r="Y95" s="694"/>
      <c r="Z95" s="694"/>
      <c r="AA95" s="694"/>
      <c r="AB95" s="694"/>
      <c r="AC95" s="694"/>
      <c r="AD95" s="694"/>
    </row>
    <row r="96" spans="1:30" s="671" customFormat="1" ht="15.75" x14ac:dyDescent="0.2">
      <c r="A96" s="696">
        <v>12</v>
      </c>
      <c r="B96" s="693"/>
      <c r="C96" s="693"/>
      <c r="D96" s="693"/>
      <c r="E96" s="821"/>
      <c r="F96" s="698"/>
      <c r="G96" s="697" t="s">
        <v>824</v>
      </c>
      <c r="H96" s="697" t="s">
        <v>827</v>
      </c>
      <c r="I96" s="697" t="s">
        <v>403</v>
      </c>
      <c r="J96" s="701">
        <v>30022</v>
      </c>
      <c r="K96" s="699">
        <v>1</v>
      </c>
      <c r="L96" s="699"/>
      <c r="M96" s="688" t="s">
        <v>389</v>
      </c>
      <c r="N96" s="688" t="s">
        <v>386</v>
      </c>
      <c r="O96" s="688" t="s">
        <v>384</v>
      </c>
      <c r="P96" s="697"/>
      <c r="Q96" s="697"/>
      <c r="R96" s="824"/>
      <c r="S96" s="821"/>
      <c r="T96" s="700"/>
      <c r="U96" s="694"/>
      <c r="V96" s="695"/>
      <c r="W96" s="694"/>
      <c r="X96" s="694"/>
      <c r="Y96" s="694"/>
      <c r="Z96" s="694"/>
      <c r="AA96" s="694"/>
      <c r="AB96" s="694"/>
      <c r="AC96" s="694"/>
      <c r="AD96" s="694"/>
    </row>
    <row r="97" spans="1:30" s="671" customFormat="1" ht="15.75" x14ac:dyDescent="0.2">
      <c r="A97" s="696">
        <v>13</v>
      </c>
      <c r="B97" s="693"/>
      <c r="C97" s="693"/>
      <c r="D97" s="693"/>
      <c r="E97" s="821"/>
      <c r="F97" s="698"/>
      <c r="G97" s="697" t="s">
        <v>828</v>
      </c>
      <c r="H97" s="697" t="s">
        <v>829</v>
      </c>
      <c r="I97" s="697"/>
      <c r="J97" s="701">
        <v>34582</v>
      </c>
      <c r="K97" s="699">
        <v>1</v>
      </c>
      <c r="L97" s="699"/>
      <c r="M97" s="688" t="s">
        <v>389</v>
      </c>
      <c r="N97" s="688" t="s">
        <v>386</v>
      </c>
      <c r="O97" s="688" t="s">
        <v>384</v>
      </c>
      <c r="P97" s="697"/>
      <c r="Q97" s="697"/>
      <c r="R97" s="824"/>
      <c r="S97" s="821"/>
      <c r="T97" s="700"/>
      <c r="U97" s="694"/>
      <c r="V97" s="695"/>
      <c r="W97" s="694"/>
      <c r="X97" s="694"/>
      <c r="Y97" s="694"/>
      <c r="Z97" s="694"/>
      <c r="AA97" s="694"/>
      <c r="AB97" s="694"/>
      <c r="AC97" s="694"/>
      <c r="AD97" s="694"/>
    </row>
    <row r="98" spans="1:30" s="671" customFormat="1" ht="15.75" x14ac:dyDescent="0.2">
      <c r="A98" s="696">
        <v>14</v>
      </c>
      <c r="B98" s="693"/>
      <c r="C98" s="693"/>
      <c r="D98" s="693"/>
      <c r="E98" s="821"/>
      <c r="F98" s="698"/>
      <c r="G98" s="697" t="s">
        <v>828</v>
      </c>
      <c r="H98" s="697" t="s">
        <v>830</v>
      </c>
      <c r="I98" s="697"/>
      <c r="J98" s="701">
        <v>33760</v>
      </c>
      <c r="K98" s="699">
        <v>1</v>
      </c>
      <c r="L98" s="699"/>
      <c r="M98" s="688" t="s">
        <v>389</v>
      </c>
      <c r="N98" s="688" t="s">
        <v>386</v>
      </c>
      <c r="O98" s="688" t="s">
        <v>384</v>
      </c>
      <c r="P98" s="697"/>
      <c r="Q98" s="697"/>
      <c r="R98" s="824"/>
      <c r="S98" s="821"/>
      <c r="T98" s="700"/>
      <c r="U98" s="694"/>
      <c r="V98" s="695"/>
      <c r="W98" s="694"/>
      <c r="X98" s="694"/>
      <c r="Y98" s="694"/>
      <c r="Z98" s="694"/>
      <c r="AA98" s="694"/>
      <c r="AB98" s="694"/>
      <c r="AC98" s="694"/>
      <c r="AD98" s="694"/>
    </row>
    <row r="99" spans="1:30" s="671" customFormat="1" ht="15.75" x14ac:dyDescent="0.2">
      <c r="A99" s="696">
        <v>15</v>
      </c>
      <c r="B99" s="693"/>
      <c r="C99" s="693"/>
      <c r="D99" s="693"/>
      <c r="E99" s="821"/>
      <c r="F99" s="698"/>
      <c r="G99" s="697" t="s">
        <v>828</v>
      </c>
      <c r="H99" s="697" t="s">
        <v>831</v>
      </c>
      <c r="I99" s="697"/>
      <c r="J99" s="701">
        <v>35493</v>
      </c>
      <c r="K99" s="699">
        <v>1</v>
      </c>
      <c r="L99" s="699"/>
      <c r="M99" s="688" t="s">
        <v>389</v>
      </c>
      <c r="N99" s="688" t="s">
        <v>386</v>
      </c>
      <c r="O99" s="688" t="s">
        <v>384</v>
      </c>
      <c r="P99" s="697"/>
      <c r="Q99" s="697"/>
      <c r="R99" s="824"/>
      <c r="S99" s="821"/>
      <c r="T99" s="700"/>
      <c r="U99" s="694"/>
      <c r="V99" s="695"/>
      <c r="W99" s="694"/>
      <c r="X99" s="694"/>
      <c r="Y99" s="694"/>
      <c r="Z99" s="694"/>
      <c r="AA99" s="694"/>
      <c r="AB99" s="694"/>
      <c r="AC99" s="694"/>
      <c r="AD99" s="694"/>
    </row>
    <row r="100" spans="1:30" s="627" customFormat="1" ht="15.75" customHeight="1" x14ac:dyDescent="0.2">
      <c r="A100" s="696">
        <v>16</v>
      </c>
      <c r="B100" s="644"/>
      <c r="C100" s="644"/>
      <c r="D100" s="644"/>
      <c r="E100" s="821"/>
      <c r="F100" s="659"/>
      <c r="G100" s="702" t="s">
        <v>821</v>
      </c>
      <c r="H100" s="702" t="s">
        <v>832</v>
      </c>
      <c r="I100" s="702"/>
      <c r="J100" s="703">
        <v>34271</v>
      </c>
      <c r="K100" s="684">
        <v>1</v>
      </c>
      <c r="L100" s="648"/>
      <c r="M100" s="688" t="s">
        <v>389</v>
      </c>
      <c r="N100" s="688" t="s">
        <v>386</v>
      </c>
      <c r="O100" s="688" t="s">
        <v>384</v>
      </c>
      <c r="P100" s="649"/>
      <c r="Q100" s="649"/>
      <c r="R100" s="824"/>
      <c r="S100" s="821"/>
      <c r="T100" s="626"/>
      <c r="U100" s="300"/>
      <c r="V100" s="301"/>
      <c r="W100" s="295"/>
      <c r="X100" s="295"/>
      <c r="Y100" s="295"/>
      <c r="Z100" s="295"/>
      <c r="AA100" s="295"/>
      <c r="AB100" s="295"/>
      <c r="AC100" s="295"/>
      <c r="AD100" s="295"/>
    </row>
    <row r="101" spans="1:30" s="627" customFormat="1" ht="15.75" customHeight="1" x14ac:dyDescent="0.2">
      <c r="A101" s="696">
        <v>17</v>
      </c>
      <c r="B101" s="644"/>
      <c r="C101" s="644"/>
      <c r="D101" s="644"/>
      <c r="E101" s="821"/>
      <c r="F101" s="659"/>
      <c r="G101" s="702" t="s">
        <v>833</v>
      </c>
      <c r="H101" s="702" t="s">
        <v>834</v>
      </c>
      <c r="I101" s="702" t="s">
        <v>397</v>
      </c>
      <c r="J101" s="703">
        <v>29523</v>
      </c>
      <c r="K101" s="684">
        <v>1</v>
      </c>
      <c r="L101" s="648"/>
      <c r="M101" s="688" t="s">
        <v>389</v>
      </c>
      <c r="N101" s="688" t="s">
        <v>386</v>
      </c>
      <c r="O101" s="688" t="s">
        <v>384</v>
      </c>
      <c r="P101" s="649"/>
      <c r="Q101" s="649"/>
      <c r="R101" s="824"/>
      <c r="S101" s="821"/>
      <c r="T101" s="628"/>
      <c r="U101" s="300"/>
      <c r="V101" s="609"/>
      <c r="W101" s="295"/>
      <c r="X101" s="295"/>
      <c r="Y101" s="295"/>
      <c r="Z101" s="295"/>
      <c r="AA101" s="295"/>
      <c r="AB101" s="295"/>
      <c r="AC101" s="295"/>
      <c r="AD101" s="295"/>
    </row>
    <row r="102" spans="1:30" s="627" customFormat="1" ht="15.75" customHeight="1" x14ac:dyDescent="0.2">
      <c r="A102" s="696">
        <v>18</v>
      </c>
      <c r="B102" s="644"/>
      <c r="C102" s="644"/>
      <c r="D102" s="644"/>
      <c r="E102" s="821"/>
      <c r="F102" s="659"/>
      <c r="G102" s="702" t="s">
        <v>835</v>
      </c>
      <c r="H102" s="702" t="s">
        <v>836</v>
      </c>
      <c r="I102" s="702"/>
      <c r="J102" s="703">
        <v>26337</v>
      </c>
      <c r="K102" s="684">
        <v>1</v>
      </c>
      <c r="L102" s="648"/>
      <c r="M102" s="688" t="s">
        <v>389</v>
      </c>
      <c r="N102" s="688" t="s">
        <v>386</v>
      </c>
      <c r="O102" s="688" t="s">
        <v>384</v>
      </c>
      <c r="P102" s="649"/>
      <c r="Q102" s="649"/>
      <c r="R102" s="824"/>
      <c r="S102" s="821"/>
      <c r="T102" s="628"/>
      <c r="U102" s="300"/>
      <c r="V102" s="609"/>
      <c r="W102" s="295"/>
      <c r="X102" s="295"/>
      <c r="Y102" s="295"/>
      <c r="Z102" s="295"/>
      <c r="AA102" s="295"/>
      <c r="AB102" s="295"/>
      <c r="AC102" s="295"/>
      <c r="AD102" s="295"/>
    </row>
    <row r="103" spans="1:30" s="627" customFormat="1" ht="15.75" customHeight="1" x14ac:dyDescent="0.2">
      <c r="A103" s="696">
        <v>19</v>
      </c>
      <c r="B103" s="644"/>
      <c r="C103" s="644"/>
      <c r="D103" s="644"/>
      <c r="E103" s="821"/>
      <c r="F103" s="659"/>
      <c r="G103" s="702" t="s">
        <v>837</v>
      </c>
      <c r="H103" s="702" t="s">
        <v>838</v>
      </c>
      <c r="I103" s="702"/>
      <c r="J103" s="703">
        <v>32972</v>
      </c>
      <c r="K103" s="684">
        <v>1</v>
      </c>
      <c r="L103" s="648"/>
      <c r="M103" s="688" t="s">
        <v>389</v>
      </c>
      <c r="N103" s="688" t="s">
        <v>386</v>
      </c>
      <c r="O103" s="688" t="s">
        <v>384</v>
      </c>
      <c r="P103" s="649"/>
      <c r="Q103" s="649"/>
      <c r="R103" s="824"/>
      <c r="S103" s="821"/>
      <c r="T103" s="628"/>
      <c r="U103" s="300"/>
      <c r="V103" s="609"/>
      <c r="W103" s="295"/>
      <c r="X103" s="295"/>
      <c r="Y103" s="295"/>
      <c r="Z103" s="295"/>
      <c r="AA103" s="295"/>
      <c r="AB103" s="295"/>
      <c r="AC103" s="295"/>
      <c r="AD103" s="295"/>
    </row>
    <row r="104" spans="1:30" s="627" customFormat="1" ht="15.75" x14ac:dyDescent="0.2">
      <c r="A104" s="696">
        <v>20</v>
      </c>
      <c r="B104" s="644"/>
      <c r="C104" s="644"/>
      <c r="D104" s="644"/>
      <c r="E104" s="822"/>
      <c r="F104" s="659"/>
      <c r="G104" s="702" t="s">
        <v>839</v>
      </c>
      <c r="H104" s="702" t="s">
        <v>522</v>
      </c>
      <c r="I104" s="702" t="s">
        <v>425</v>
      </c>
      <c r="J104" s="703">
        <v>28522</v>
      </c>
      <c r="K104" s="684">
        <v>1</v>
      </c>
      <c r="L104" s="648"/>
      <c r="M104" s="688" t="s">
        <v>389</v>
      </c>
      <c r="N104" s="688" t="s">
        <v>386</v>
      </c>
      <c r="O104" s="688" t="s">
        <v>384</v>
      </c>
      <c r="P104" s="649"/>
      <c r="Q104" s="649"/>
      <c r="R104" s="825"/>
      <c r="S104" s="822"/>
      <c r="T104" s="628"/>
      <c r="U104" s="300"/>
      <c r="V104" s="609"/>
      <c r="W104" s="295"/>
      <c r="X104" s="295"/>
      <c r="Y104" s="295"/>
      <c r="Z104" s="295"/>
      <c r="AA104" s="295"/>
      <c r="AB104" s="295"/>
      <c r="AC104" s="295"/>
      <c r="AD104" s="295"/>
    </row>
    <row r="105" spans="1:30" s="366" customFormat="1" ht="17.25" x14ac:dyDescent="0.2">
      <c r="A105" s="229" t="s">
        <v>293</v>
      </c>
      <c r="B105" s="230"/>
      <c r="C105" s="230"/>
      <c r="D105" s="230"/>
      <c r="E105" s="230"/>
      <c r="F105" s="231"/>
      <c r="G105" s="230"/>
      <c r="H105" s="230"/>
      <c r="I105" s="230"/>
      <c r="J105" s="230"/>
      <c r="K105" s="232"/>
      <c r="L105" s="232"/>
      <c r="M105" s="230"/>
      <c r="N105" s="230"/>
      <c r="O105" s="230"/>
      <c r="P105" s="230"/>
      <c r="Q105" s="230"/>
      <c r="R105" s="233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</row>
    <row r="106" spans="1:30" ht="17.25" x14ac:dyDescent="0.2">
      <c r="A106" s="630" t="s">
        <v>344</v>
      </c>
      <c r="B106" s="631"/>
      <c r="C106" s="631"/>
      <c r="D106" s="631"/>
      <c r="E106" s="631"/>
      <c r="F106" s="632"/>
      <c r="G106" s="631"/>
      <c r="H106" s="631"/>
      <c r="I106" s="631"/>
      <c r="J106" s="633" t="s">
        <v>16</v>
      </c>
      <c r="K106" s="633">
        <f>SUM(K107:K151)</f>
        <v>41</v>
      </c>
      <c r="L106" s="633">
        <f>SUM(L107:L151)</f>
        <v>4</v>
      </c>
      <c r="M106" s="634"/>
      <c r="N106" s="634"/>
      <c r="O106" s="634"/>
      <c r="P106" s="634"/>
      <c r="Q106" s="634"/>
      <c r="R106" s="635"/>
      <c r="S106" s="634"/>
      <c r="T106" s="634"/>
      <c r="U106" s="634"/>
      <c r="V106" s="634"/>
      <c r="W106" s="634"/>
      <c r="X106" s="634"/>
      <c r="Y106" s="634"/>
      <c r="Z106" s="634"/>
      <c r="AA106" s="634"/>
      <c r="AB106" s="634"/>
      <c r="AC106" s="634"/>
      <c r="AD106" s="634"/>
    </row>
    <row r="107" spans="1:30" s="671" customFormat="1" ht="17.25" customHeight="1" x14ac:dyDescent="0.2">
      <c r="A107" s="673">
        <v>1</v>
      </c>
      <c r="B107" s="669"/>
      <c r="C107" s="669"/>
      <c r="D107" s="669"/>
      <c r="E107" s="669"/>
      <c r="F107" s="670"/>
      <c r="G107" s="567" t="s">
        <v>611</v>
      </c>
      <c r="H107" s="567" t="s">
        <v>612</v>
      </c>
      <c r="I107" s="567" t="s">
        <v>459</v>
      </c>
      <c r="J107" s="582">
        <v>20825</v>
      </c>
      <c r="K107" s="668">
        <v>1</v>
      </c>
      <c r="L107" s="668"/>
      <c r="M107" s="668" t="s">
        <v>417</v>
      </c>
      <c r="N107" s="668" t="s">
        <v>613</v>
      </c>
      <c r="O107" s="668" t="s">
        <v>384</v>
      </c>
      <c r="P107" s="669"/>
      <c r="Q107" s="669"/>
      <c r="R107" s="823">
        <v>44532</v>
      </c>
      <c r="S107" s="820" t="s">
        <v>636</v>
      </c>
      <c r="T107" s="669"/>
      <c r="U107" s="669"/>
      <c r="V107" s="669"/>
      <c r="W107" s="669"/>
      <c r="X107" s="669"/>
      <c r="Y107" s="669"/>
      <c r="Z107" s="669"/>
      <c r="AA107" s="669"/>
      <c r="AB107" s="669"/>
      <c r="AC107" s="669"/>
      <c r="AD107" s="669"/>
    </row>
    <row r="108" spans="1:30" s="671" customFormat="1" ht="17.25" x14ac:dyDescent="0.2">
      <c r="A108" s="673">
        <v>2</v>
      </c>
      <c r="B108" s="669"/>
      <c r="C108" s="669"/>
      <c r="D108" s="669"/>
      <c r="E108" s="669"/>
      <c r="F108" s="670"/>
      <c r="G108" s="567" t="s">
        <v>614</v>
      </c>
      <c r="H108" s="567" t="s">
        <v>411</v>
      </c>
      <c r="I108" s="567" t="s">
        <v>459</v>
      </c>
      <c r="J108" s="582">
        <v>24116</v>
      </c>
      <c r="K108" s="668">
        <v>1</v>
      </c>
      <c r="L108" s="668"/>
      <c r="M108" s="668" t="s">
        <v>417</v>
      </c>
      <c r="N108" s="668" t="s">
        <v>613</v>
      </c>
      <c r="O108" s="668" t="s">
        <v>384</v>
      </c>
      <c r="P108" s="669"/>
      <c r="Q108" s="669"/>
      <c r="R108" s="821"/>
      <c r="S108" s="821"/>
      <c r="T108" s="669"/>
      <c r="U108" s="669"/>
      <c r="V108" s="669"/>
      <c r="W108" s="669"/>
      <c r="X108" s="669"/>
      <c r="Y108" s="669"/>
      <c r="Z108" s="669"/>
      <c r="AA108" s="669"/>
      <c r="AB108" s="669"/>
      <c r="AC108" s="669"/>
      <c r="AD108" s="669"/>
    </row>
    <row r="109" spans="1:30" s="671" customFormat="1" ht="17.25" x14ac:dyDescent="0.2">
      <c r="A109" s="673">
        <v>3</v>
      </c>
      <c r="B109" s="669"/>
      <c r="C109" s="669"/>
      <c r="D109" s="669"/>
      <c r="E109" s="669"/>
      <c r="F109" s="670"/>
      <c r="G109" s="567" t="s">
        <v>615</v>
      </c>
      <c r="H109" s="567" t="s">
        <v>616</v>
      </c>
      <c r="I109" s="567" t="s">
        <v>397</v>
      </c>
      <c r="J109" s="582">
        <v>25746</v>
      </c>
      <c r="K109" s="668"/>
      <c r="L109" s="668">
        <v>1</v>
      </c>
      <c r="M109" s="668" t="s">
        <v>417</v>
      </c>
      <c r="N109" s="668" t="s">
        <v>613</v>
      </c>
      <c r="O109" s="668" t="s">
        <v>384</v>
      </c>
      <c r="P109" s="669"/>
      <c r="Q109" s="669"/>
      <c r="R109" s="821"/>
      <c r="S109" s="821"/>
      <c r="T109" s="669"/>
      <c r="U109" s="669"/>
      <c r="V109" s="669"/>
      <c r="W109" s="669"/>
      <c r="X109" s="669"/>
      <c r="Y109" s="669"/>
      <c r="Z109" s="669"/>
      <c r="AA109" s="669"/>
      <c r="AB109" s="669"/>
      <c r="AC109" s="669"/>
      <c r="AD109" s="669"/>
    </row>
    <row r="110" spans="1:30" s="671" customFormat="1" ht="17.25" x14ac:dyDescent="0.2">
      <c r="A110" s="673">
        <v>4</v>
      </c>
      <c r="B110" s="669"/>
      <c r="C110" s="669"/>
      <c r="D110" s="669"/>
      <c r="E110" s="669"/>
      <c r="F110" s="670"/>
      <c r="G110" s="567" t="s">
        <v>617</v>
      </c>
      <c r="H110" s="567" t="s">
        <v>618</v>
      </c>
      <c r="I110" s="567" t="s">
        <v>399</v>
      </c>
      <c r="J110" s="582">
        <v>32048</v>
      </c>
      <c r="K110" s="668">
        <v>1</v>
      </c>
      <c r="L110" s="668"/>
      <c r="M110" s="668" t="s">
        <v>417</v>
      </c>
      <c r="N110" s="668" t="s">
        <v>613</v>
      </c>
      <c r="O110" s="668" t="s">
        <v>384</v>
      </c>
      <c r="P110" s="669"/>
      <c r="Q110" s="669"/>
      <c r="R110" s="821"/>
      <c r="S110" s="821"/>
      <c r="T110" s="669"/>
      <c r="U110" s="669"/>
      <c r="V110" s="669"/>
      <c r="W110" s="669"/>
      <c r="X110" s="669"/>
      <c r="Y110" s="669"/>
      <c r="Z110" s="669"/>
      <c r="AA110" s="669"/>
      <c r="AB110" s="669"/>
      <c r="AC110" s="669"/>
      <c r="AD110" s="669"/>
    </row>
    <row r="111" spans="1:30" s="671" customFormat="1" ht="17.25" x14ac:dyDescent="0.2">
      <c r="A111" s="673">
        <v>5</v>
      </c>
      <c r="B111" s="669"/>
      <c r="C111" s="669"/>
      <c r="D111" s="669"/>
      <c r="E111" s="669"/>
      <c r="F111" s="670"/>
      <c r="G111" s="567" t="s">
        <v>611</v>
      </c>
      <c r="H111" s="567" t="s">
        <v>619</v>
      </c>
      <c r="I111" s="567" t="s">
        <v>397</v>
      </c>
      <c r="J111" s="582">
        <v>35826</v>
      </c>
      <c r="K111" s="668">
        <v>1</v>
      </c>
      <c r="L111" s="668"/>
      <c r="M111" s="668" t="s">
        <v>417</v>
      </c>
      <c r="N111" s="668" t="s">
        <v>613</v>
      </c>
      <c r="O111" s="668" t="s">
        <v>384</v>
      </c>
      <c r="P111" s="669"/>
      <c r="Q111" s="669"/>
      <c r="R111" s="821"/>
      <c r="S111" s="821"/>
      <c r="T111" s="669"/>
      <c r="U111" s="669"/>
      <c r="V111" s="669"/>
      <c r="W111" s="669"/>
      <c r="X111" s="669"/>
      <c r="Y111" s="669"/>
      <c r="Z111" s="669"/>
      <c r="AA111" s="669"/>
      <c r="AB111" s="669"/>
      <c r="AC111" s="669"/>
      <c r="AD111" s="669"/>
    </row>
    <row r="112" spans="1:30" s="671" customFormat="1" ht="17.25" x14ac:dyDescent="0.2">
      <c r="A112" s="673">
        <v>6</v>
      </c>
      <c r="B112" s="669"/>
      <c r="C112" s="669"/>
      <c r="D112" s="669"/>
      <c r="E112" s="669"/>
      <c r="F112" s="670"/>
      <c r="G112" s="567" t="s">
        <v>620</v>
      </c>
      <c r="H112" s="567" t="s">
        <v>621</v>
      </c>
      <c r="I112" s="567" t="s">
        <v>397</v>
      </c>
      <c r="J112" s="582">
        <v>25428</v>
      </c>
      <c r="K112" s="668"/>
      <c r="L112" s="668">
        <v>1</v>
      </c>
      <c r="M112" s="668" t="s">
        <v>417</v>
      </c>
      <c r="N112" s="668" t="s">
        <v>613</v>
      </c>
      <c r="O112" s="668" t="s">
        <v>384</v>
      </c>
      <c r="P112" s="669"/>
      <c r="Q112" s="669"/>
      <c r="R112" s="821"/>
      <c r="S112" s="821"/>
      <c r="T112" s="669"/>
      <c r="U112" s="669"/>
      <c r="V112" s="669"/>
      <c r="W112" s="669"/>
      <c r="X112" s="669"/>
      <c r="Y112" s="669"/>
      <c r="Z112" s="669"/>
      <c r="AA112" s="669"/>
      <c r="AB112" s="669"/>
      <c r="AC112" s="669"/>
      <c r="AD112" s="669"/>
    </row>
    <row r="113" spans="1:30" s="671" customFormat="1" ht="17.25" x14ac:dyDescent="0.2">
      <c r="A113" s="673">
        <v>7</v>
      </c>
      <c r="B113" s="669"/>
      <c r="C113" s="669"/>
      <c r="D113" s="669"/>
      <c r="E113" s="669"/>
      <c r="F113" s="670"/>
      <c r="G113" s="567" t="s">
        <v>614</v>
      </c>
      <c r="H113" s="567" t="s">
        <v>622</v>
      </c>
      <c r="I113" s="567" t="s">
        <v>397</v>
      </c>
      <c r="J113" s="582">
        <v>31232</v>
      </c>
      <c r="K113" s="668">
        <v>1</v>
      </c>
      <c r="L113" s="668"/>
      <c r="M113" s="668" t="s">
        <v>417</v>
      </c>
      <c r="N113" s="668" t="s">
        <v>613</v>
      </c>
      <c r="O113" s="668" t="s">
        <v>384</v>
      </c>
      <c r="P113" s="669"/>
      <c r="Q113" s="669"/>
      <c r="R113" s="821"/>
      <c r="S113" s="821"/>
      <c r="T113" s="669"/>
      <c r="U113" s="669"/>
      <c r="V113" s="669"/>
      <c r="W113" s="669"/>
      <c r="X113" s="669"/>
      <c r="Y113" s="669"/>
      <c r="Z113" s="669"/>
      <c r="AA113" s="669"/>
      <c r="AB113" s="669"/>
      <c r="AC113" s="669"/>
      <c r="AD113" s="669"/>
    </row>
    <row r="114" spans="1:30" s="671" customFormat="1" ht="17.25" x14ac:dyDescent="0.2">
      <c r="A114" s="673">
        <v>8</v>
      </c>
      <c r="B114" s="669"/>
      <c r="C114" s="669"/>
      <c r="D114" s="669"/>
      <c r="E114" s="669"/>
      <c r="F114" s="670"/>
      <c r="G114" s="567" t="s">
        <v>623</v>
      </c>
      <c r="H114" s="567" t="s">
        <v>624</v>
      </c>
      <c r="I114" s="567" t="s">
        <v>423</v>
      </c>
      <c r="J114" s="582">
        <v>25819</v>
      </c>
      <c r="K114" s="668">
        <v>1</v>
      </c>
      <c r="L114" s="668"/>
      <c r="M114" s="668" t="s">
        <v>417</v>
      </c>
      <c r="N114" s="668" t="s">
        <v>613</v>
      </c>
      <c r="O114" s="668" t="s">
        <v>384</v>
      </c>
      <c r="P114" s="669"/>
      <c r="Q114" s="669"/>
      <c r="R114" s="821"/>
      <c r="S114" s="821"/>
      <c r="T114" s="669"/>
      <c r="U114" s="669"/>
      <c r="V114" s="669"/>
      <c r="W114" s="669"/>
      <c r="X114" s="669"/>
      <c r="Y114" s="669"/>
      <c r="Z114" s="669"/>
      <c r="AA114" s="669"/>
      <c r="AB114" s="669"/>
      <c r="AC114" s="669"/>
      <c r="AD114" s="669"/>
    </row>
    <row r="115" spans="1:30" s="671" customFormat="1" ht="17.25" x14ac:dyDescent="0.2">
      <c r="A115" s="673">
        <v>9</v>
      </c>
      <c r="B115" s="669"/>
      <c r="C115" s="669"/>
      <c r="D115" s="669"/>
      <c r="E115" s="669"/>
      <c r="F115" s="670"/>
      <c r="G115" s="567" t="s">
        <v>625</v>
      </c>
      <c r="H115" s="567" t="s">
        <v>626</v>
      </c>
      <c r="I115" s="567" t="s">
        <v>397</v>
      </c>
      <c r="J115" s="582">
        <v>36541</v>
      </c>
      <c r="K115" s="668">
        <v>1</v>
      </c>
      <c r="L115" s="668"/>
      <c r="M115" s="668" t="s">
        <v>417</v>
      </c>
      <c r="N115" s="668" t="s">
        <v>613</v>
      </c>
      <c r="O115" s="668" t="s">
        <v>384</v>
      </c>
      <c r="P115" s="669"/>
      <c r="Q115" s="669"/>
      <c r="R115" s="821"/>
      <c r="S115" s="821"/>
      <c r="T115" s="669"/>
      <c r="U115" s="669"/>
      <c r="V115" s="669"/>
      <c r="W115" s="669"/>
      <c r="X115" s="669"/>
      <c r="Y115" s="669"/>
      <c r="Z115" s="669"/>
      <c r="AA115" s="669"/>
      <c r="AB115" s="669"/>
      <c r="AC115" s="669"/>
      <c r="AD115" s="669"/>
    </row>
    <row r="116" spans="1:30" s="671" customFormat="1" ht="17.25" x14ac:dyDescent="0.2">
      <c r="A116" s="673">
        <v>10</v>
      </c>
      <c r="B116" s="669"/>
      <c r="C116" s="669"/>
      <c r="D116" s="669"/>
      <c r="E116" s="669"/>
      <c r="F116" s="670"/>
      <c r="G116" s="567" t="s">
        <v>627</v>
      </c>
      <c r="H116" s="567" t="s">
        <v>426</v>
      </c>
      <c r="I116" s="567" t="s">
        <v>393</v>
      </c>
      <c r="J116" s="582">
        <v>34521</v>
      </c>
      <c r="K116" s="668">
        <v>1</v>
      </c>
      <c r="L116" s="668"/>
      <c r="M116" s="668" t="s">
        <v>417</v>
      </c>
      <c r="N116" s="668" t="s">
        <v>613</v>
      </c>
      <c r="O116" s="668" t="s">
        <v>384</v>
      </c>
      <c r="P116" s="669"/>
      <c r="Q116" s="669"/>
      <c r="R116" s="821"/>
      <c r="S116" s="821"/>
      <c r="T116" s="669"/>
      <c r="U116" s="669"/>
      <c r="V116" s="669"/>
      <c r="W116" s="669"/>
      <c r="X116" s="669"/>
      <c r="Y116" s="669"/>
      <c r="Z116" s="669"/>
      <c r="AA116" s="669"/>
      <c r="AB116" s="669"/>
      <c r="AC116" s="669"/>
      <c r="AD116" s="669"/>
    </row>
    <row r="117" spans="1:30" ht="17.25" x14ac:dyDescent="0.2">
      <c r="A117" s="673">
        <v>11</v>
      </c>
      <c r="B117" s="669"/>
      <c r="C117" s="669"/>
      <c r="D117" s="669"/>
      <c r="E117" s="669"/>
      <c r="F117" s="670"/>
      <c r="G117" s="567" t="s">
        <v>628</v>
      </c>
      <c r="H117" s="567" t="s">
        <v>414</v>
      </c>
      <c r="I117" s="567" t="s">
        <v>459</v>
      </c>
      <c r="J117" s="582">
        <v>33550</v>
      </c>
      <c r="K117" s="668">
        <v>1</v>
      </c>
      <c r="L117" s="668"/>
      <c r="M117" s="668" t="s">
        <v>417</v>
      </c>
      <c r="N117" s="668" t="s">
        <v>613</v>
      </c>
      <c r="O117" s="668" t="s">
        <v>384</v>
      </c>
      <c r="P117" s="634"/>
      <c r="Q117" s="634"/>
      <c r="R117" s="821"/>
      <c r="S117" s="821"/>
      <c r="T117" s="634"/>
      <c r="U117" s="634"/>
      <c r="V117" s="634"/>
      <c r="W117" s="634"/>
      <c r="X117" s="634"/>
      <c r="Y117" s="634"/>
      <c r="Z117" s="634"/>
      <c r="AA117" s="634"/>
      <c r="AB117" s="634"/>
      <c r="AC117" s="634"/>
      <c r="AD117" s="634"/>
    </row>
    <row r="118" spans="1:30" ht="17.25" x14ac:dyDescent="0.2">
      <c r="A118" s="673">
        <v>12</v>
      </c>
      <c r="B118" s="669"/>
      <c r="C118" s="669"/>
      <c r="D118" s="669"/>
      <c r="E118" s="669"/>
      <c r="F118" s="670"/>
      <c r="G118" s="567" t="s">
        <v>629</v>
      </c>
      <c r="H118" s="567" t="s">
        <v>630</v>
      </c>
      <c r="I118" s="567" t="s">
        <v>397</v>
      </c>
      <c r="J118" s="582">
        <v>31930</v>
      </c>
      <c r="K118" s="668">
        <v>1</v>
      </c>
      <c r="L118" s="668"/>
      <c r="M118" s="668" t="s">
        <v>417</v>
      </c>
      <c r="N118" s="668" t="s">
        <v>613</v>
      </c>
      <c r="O118" s="668" t="s">
        <v>384</v>
      </c>
      <c r="P118" s="634"/>
      <c r="Q118" s="634"/>
      <c r="R118" s="821"/>
      <c r="S118" s="821"/>
      <c r="T118" s="634"/>
      <c r="U118" s="634"/>
      <c r="V118" s="634"/>
      <c r="W118" s="634"/>
      <c r="X118" s="634"/>
      <c r="Y118" s="634"/>
      <c r="Z118" s="634"/>
      <c r="AA118" s="634"/>
      <c r="AB118" s="634"/>
      <c r="AC118" s="634"/>
      <c r="AD118" s="634"/>
    </row>
    <row r="119" spans="1:30" ht="17.25" x14ac:dyDescent="0.2">
      <c r="A119" s="673">
        <v>13</v>
      </c>
      <c r="B119" s="669"/>
      <c r="C119" s="669"/>
      <c r="D119" s="669"/>
      <c r="E119" s="669"/>
      <c r="F119" s="670"/>
      <c r="G119" s="567" t="s">
        <v>631</v>
      </c>
      <c r="H119" s="567" t="s">
        <v>460</v>
      </c>
      <c r="I119" s="567" t="s">
        <v>395</v>
      </c>
      <c r="J119" s="582">
        <v>31913</v>
      </c>
      <c r="K119" s="668">
        <v>1</v>
      </c>
      <c r="L119" s="668"/>
      <c r="M119" s="668" t="s">
        <v>417</v>
      </c>
      <c r="N119" s="668" t="s">
        <v>613</v>
      </c>
      <c r="O119" s="668" t="s">
        <v>384</v>
      </c>
      <c r="P119" s="634"/>
      <c r="Q119" s="634"/>
      <c r="R119" s="821"/>
      <c r="S119" s="821"/>
      <c r="T119" s="634"/>
      <c r="U119" s="634"/>
      <c r="V119" s="634"/>
      <c r="W119" s="634"/>
      <c r="X119" s="634"/>
      <c r="Y119" s="634"/>
      <c r="Z119" s="634"/>
      <c r="AA119" s="634"/>
      <c r="AB119" s="634"/>
      <c r="AC119" s="634"/>
      <c r="AD119" s="634"/>
    </row>
    <row r="120" spans="1:30" ht="17.25" x14ac:dyDescent="0.2">
      <c r="A120" s="673">
        <v>14</v>
      </c>
      <c r="B120" s="669"/>
      <c r="C120" s="669"/>
      <c r="D120" s="669"/>
      <c r="E120" s="669"/>
      <c r="F120" s="670"/>
      <c r="G120" s="567" t="s">
        <v>625</v>
      </c>
      <c r="H120" s="567" t="s">
        <v>441</v>
      </c>
      <c r="I120" s="567" t="s">
        <v>395</v>
      </c>
      <c r="J120" s="582">
        <v>27614</v>
      </c>
      <c r="K120" s="668">
        <v>1</v>
      </c>
      <c r="L120" s="668"/>
      <c r="M120" s="668" t="s">
        <v>417</v>
      </c>
      <c r="N120" s="668" t="s">
        <v>613</v>
      </c>
      <c r="O120" s="668" t="s">
        <v>384</v>
      </c>
      <c r="P120" s="634"/>
      <c r="Q120" s="634"/>
      <c r="R120" s="821"/>
      <c r="S120" s="821"/>
      <c r="T120" s="634"/>
      <c r="U120" s="634"/>
      <c r="V120" s="634"/>
      <c r="W120" s="634"/>
      <c r="X120" s="634"/>
      <c r="Y120" s="634"/>
      <c r="Z120" s="634"/>
      <c r="AA120" s="634"/>
      <c r="AB120" s="634"/>
      <c r="AC120" s="634"/>
      <c r="AD120" s="634"/>
    </row>
    <row r="121" spans="1:30" ht="17.25" x14ac:dyDescent="0.2">
      <c r="A121" s="673">
        <v>15</v>
      </c>
      <c r="B121" s="669"/>
      <c r="C121" s="669"/>
      <c r="D121" s="669"/>
      <c r="E121" s="669"/>
      <c r="F121" s="670"/>
      <c r="G121" s="567" t="s">
        <v>632</v>
      </c>
      <c r="H121" s="567" t="s">
        <v>633</v>
      </c>
      <c r="I121" s="567" t="s">
        <v>634</v>
      </c>
      <c r="J121" s="582">
        <v>20460</v>
      </c>
      <c r="K121" s="668">
        <v>1</v>
      </c>
      <c r="L121" s="668"/>
      <c r="M121" s="668" t="s">
        <v>417</v>
      </c>
      <c r="N121" s="668" t="s">
        <v>613</v>
      </c>
      <c r="O121" s="668" t="s">
        <v>384</v>
      </c>
      <c r="P121" s="634"/>
      <c r="Q121" s="634"/>
      <c r="R121" s="822"/>
      <c r="S121" s="822"/>
      <c r="T121" s="634"/>
      <c r="U121" s="634"/>
      <c r="V121" s="634"/>
      <c r="W121" s="634"/>
      <c r="X121" s="634"/>
      <c r="Y121" s="634"/>
      <c r="Z121" s="634"/>
      <c r="AA121" s="634"/>
      <c r="AB121" s="634"/>
      <c r="AC121" s="634"/>
      <c r="AD121" s="634"/>
    </row>
    <row r="122" spans="1:30" s="671" customFormat="1" ht="17.25" customHeight="1" x14ac:dyDescent="0.2">
      <c r="A122" s="673">
        <v>16</v>
      </c>
      <c r="B122" s="669"/>
      <c r="C122" s="669"/>
      <c r="D122" s="669"/>
      <c r="E122" s="669"/>
      <c r="F122" s="670"/>
      <c r="G122" s="673" t="s">
        <v>546</v>
      </c>
      <c r="H122" s="673" t="s">
        <v>547</v>
      </c>
      <c r="I122" s="673" t="s">
        <v>397</v>
      </c>
      <c r="J122" s="677" t="s">
        <v>548</v>
      </c>
      <c r="K122" s="674">
        <v>1</v>
      </c>
      <c r="L122" s="674"/>
      <c r="M122" s="667" t="s">
        <v>390</v>
      </c>
      <c r="N122" s="667" t="s">
        <v>386</v>
      </c>
      <c r="O122" s="667" t="s">
        <v>384</v>
      </c>
      <c r="P122" s="673">
        <v>9126146828</v>
      </c>
      <c r="Q122" s="673"/>
      <c r="R122" s="823">
        <v>44537</v>
      </c>
      <c r="S122" s="820" t="s">
        <v>549</v>
      </c>
      <c r="T122" s="669"/>
      <c r="U122" s="669"/>
      <c r="V122" s="669"/>
      <c r="W122" s="669"/>
      <c r="X122" s="669"/>
      <c r="Y122" s="669"/>
      <c r="Z122" s="669"/>
      <c r="AA122" s="669"/>
      <c r="AB122" s="669"/>
      <c r="AC122" s="669"/>
      <c r="AD122" s="669"/>
    </row>
    <row r="123" spans="1:30" s="671" customFormat="1" ht="16.5" customHeight="1" x14ac:dyDescent="0.2">
      <c r="A123" s="673">
        <v>17</v>
      </c>
      <c r="B123" s="669"/>
      <c r="C123" s="669"/>
      <c r="D123" s="669"/>
      <c r="E123" s="669"/>
      <c r="F123" s="670"/>
      <c r="G123" s="673" t="s">
        <v>550</v>
      </c>
      <c r="H123" s="673" t="s">
        <v>551</v>
      </c>
      <c r="I123" s="673" t="s">
        <v>387</v>
      </c>
      <c r="J123" s="678">
        <v>29892</v>
      </c>
      <c r="K123" s="674">
        <v>1</v>
      </c>
      <c r="L123" s="674"/>
      <c r="M123" s="667" t="s">
        <v>398</v>
      </c>
      <c r="N123" s="667" t="s">
        <v>386</v>
      </c>
      <c r="O123" s="667" t="s">
        <v>384</v>
      </c>
      <c r="P123" s="673">
        <v>9755894264</v>
      </c>
      <c r="Q123" s="673"/>
      <c r="R123" s="824"/>
      <c r="S123" s="821"/>
      <c r="T123" s="669"/>
      <c r="U123" s="669"/>
      <c r="V123" s="669"/>
      <c r="W123" s="669"/>
      <c r="X123" s="669"/>
      <c r="Y123" s="669"/>
      <c r="Z123" s="669"/>
      <c r="AA123" s="669"/>
      <c r="AB123" s="669"/>
      <c r="AC123" s="669"/>
      <c r="AD123" s="669"/>
    </row>
    <row r="124" spans="1:30" s="671" customFormat="1" ht="17.25" x14ac:dyDescent="0.2">
      <c r="A124" s="673">
        <v>18</v>
      </c>
      <c r="B124" s="669"/>
      <c r="C124" s="669"/>
      <c r="D124" s="669"/>
      <c r="E124" s="669"/>
      <c r="F124" s="670"/>
      <c r="G124" s="673" t="s">
        <v>552</v>
      </c>
      <c r="H124" s="673" t="s">
        <v>553</v>
      </c>
      <c r="I124" s="673" t="s">
        <v>421</v>
      </c>
      <c r="J124" s="678">
        <v>35205</v>
      </c>
      <c r="K124" s="674">
        <v>1</v>
      </c>
      <c r="L124" s="674"/>
      <c r="M124" s="667" t="s">
        <v>554</v>
      </c>
      <c r="N124" s="667" t="s">
        <v>386</v>
      </c>
      <c r="O124" s="667" t="s">
        <v>384</v>
      </c>
      <c r="P124" s="673">
        <v>9124158240</v>
      </c>
      <c r="Q124" s="673"/>
      <c r="R124" s="824"/>
      <c r="S124" s="821"/>
      <c r="T124" s="669"/>
      <c r="U124" s="669"/>
      <c r="V124" s="669"/>
      <c r="W124" s="669"/>
      <c r="X124" s="669"/>
      <c r="Y124" s="669"/>
      <c r="Z124" s="669"/>
      <c r="AA124" s="669"/>
      <c r="AB124" s="669"/>
      <c r="AC124" s="669"/>
      <c r="AD124" s="669"/>
    </row>
    <row r="125" spans="1:30" s="671" customFormat="1" ht="17.25" x14ac:dyDescent="0.2">
      <c r="A125" s="673">
        <v>19</v>
      </c>
      <c r="B125" s="669"/>
      <c r="C125" s="669"/>
      <c r="D125" s="669"/>
      <c r="E125" s="669"/>
      <c r="F125" s="670"/>
      <c r="G125" s="673" t="s">
        <v>555</v>
      </c>
      <c r="H125" s="673" t="s">
        <v>556</v>
      </c>
      <c r="I125" s="673"/>
      <c r="J125" s="678">
        <v>32395</v>
      </c>
      <c r="K125" s="674">
        <v>1</v>
      </c>
      <c r="L125" s="674"/>
      <c r="M125" s="667" t="s">
        <v>502</v>
      </c>
      <c r="N125" s="667" t="s">
        <v>386</v>
      </c>
      <c r="O125" s="667" t="s">
        <v>384</v>
      </c>
      <c r="P125" s="673">
        <v>9664358561</v>
      </c>
      <c r="Q125" s="673"/>
      <c r="R125" s="824"/>
      <c r="S125" s="821"/>
      <c r="T125" s="669"/>
      <c r="U125" s="669"/>
      <c r="V125" s="669"/>
      <c r="W125" s="669"/>
      <c r="X125" s="669"/>
      <c r="Y125" s="669"/>
      <c r="Z125" s="669"/>
      <c r="AA125" s="669"/>
      <c r="AB125" s="669"/>
      <c r="AC125" s="669"/>
      <c r="AD125" s="669"/>
    </row>
    <row r="126" spans="1:30" s="671" customFormat="1" ht="17.25" x14ac:dyDescent="0.2">
      <c r="A126" s="673">
        <v>20</v>
      </c>
      <c r="B126" s="669"/>
      <c r="C126" s="669"/>
      <c r="D126" s="669"/>
      <c r="E126" s="669"/>
      <c r="F126" s="670"/>
      <c r="G126" s="673" t="s">
        <v>557</v>
      </c>
      <c r="H126" s="673" t="s">
        <v>558</v>
      </c>
      <c r="I126" s="673" t="s">
        <v>387</v>
      </c>
      <c r="J126" s="678">
        <v>33507</v>
      </c>
      <c r="K126" s="674"/>
      <c r="L126" s="674">
        <v>1</v>
      </c>
      <c r="M126" s="667" t="s">
        <v>559</v>
      </c>
      <c r="N126" s="667" t="s">
        <v>386</v>
      </c>
      <c r="O126" s="667" t="s">
        <v>384</v>
      </c>
      <c r="P126" s="673">
        <v>9668610280</v>
      </c>
      <c r="Q126" s="673"/>
      <c r="R126" s="824"/>
      <c r="S126" s="821"/>
      <c r="T126" s="669"/>
      <c r="U126" s="669"/>
      <c r="V126" s="669"/>
      <c r="W126" s="669"/>
      <c r="X126" s="669"/>
      <c r="Y126" s="669"/>
      <c r="Z126" s="669"/>
      <c r="AA126" s="669"/>
      <c r="AB126" s="669"/>
      <c r="AC126" s="669"/>
      <c r="AD126" s="669"/>
    </row>
    <row r="127" spans="1:30" s="671" customFormat="1" ht="17.25" x14ac:dyDescent="0.2">
      <c r="A127" s="673">
        <v>21</v>
      </c>
      <c r="B127" s="669"/>
      <c r="C127" s="669"/>
      <c r="D127" s="669"/>
      <c r="E127" s="669"/>
      <c r="F127" s="670"/>
      <c r="G127" s="673" t="s">
        <v>560</v>
      </c>
      <c r="H127" s="673" t="s">
        <v>561</v>
      </c>
      <c r="I127" s="673" t="s">
        <v>397</v>
      </c>
      <c r="J127" s="678">
        <v>30814</v>
      </c>
      <c r="K127" s="674"/>
      <c r="L127" s="674">
        <v>1</v>
      </c>
      <c r="M127" s="667" t="s">
        <v>390</v>
      </c>
      <c r="N127" s="667" t="s">
        <v>386</v>
      </c>
      <c r="O127" s="667" t="s">
        <v>384</v>
      </c>
      <c r="P127" s="673">
        <v>9178049194</v>
      </c>
      <c r="Q127" s="673"/>
      <c r="R127" s="824"/>
      <c r="S127" s="821"/>
      <c r="T127" s="669"/>
      <c r="U127" s="669"/>
      <c r="V127" s="669"/>
      <c r="W127" s="669"/>
      <c r="X127" s="669"/>
      <c r="Y127" s="669"/>
      <c r="Z127" s="669"/>
      <c r="AA127" s="669"/>
      <c r="AB127" s="669"/>
      <c r="AC127" s="669"/>
      <c r="AD127" s="669"/>
    </row>
    <row r="128" spans="1:30" s="671" customFormat="1" ht="17.25" x14ac:dyDescent="0.2">
      <c r="A128" s="673">
        <v>22</v>
      </c>
      <c r="B128" s="669"/>
      <c r="C128" s="669"/>
      <c r="D128" s="669"/>
      <c r="E128" s="669"/>
      <c r="F128" s="670"/>
      <c r="G128" s="673" t="s">
        <v>562</v>
      </c>
      <c r="H128" s="673" t="s">
        <v>409</v>
      </c>
      <c r="I128" s="673" t="s">
        <v>387</v>
      </c>
      <c r="J128" s="678">
        <v>22784</v>
      </c>
      <c r="K128" s="674">
        <v>1</v>
      </c>
      <c r="L128" s="674"/>
      <c r="M128" s="667" t="s">
        <v>563</v>
      </c>
      <c r="N128" s="667" t="s">
        <v>386</v>
      </c>
      <c r="O128" s="667" t="s">
        <v>384</v>
      </c>
      <c r="P128" s="673">
        <v>9263086125</v>
      </c>
      <c r="Q128" s="673"/>
      <c r="R128" s="824"/>
      <c r="S128" s="821"/>
      <c r="T128" s="669"/>
      <c r="U128" s="669"/>
      <c r="V128" s="669"/>
      <c r="W128" s="669"/>
      <c r="X128" s="669"/>
      <c r="Y128" s="669"/>
      <c r="Z128" s="669"/>
      <c r="AA128" s="669"/>
      <c r="AB128" s="669"/>
      <c r="AC128" s="669"/>
      <c r="AD128" s="669"/>
    </row>
    <row r="129" spans="1:30" s="671" customFormat="1" ht="17.25" x14ac:dyDescent="0.2">
      <c r="A129" s="673">
        <v>23</v>
      </c>
      <c r="B129" s="669"/>
      <c r="C129" s="669"/>
      <c r="D129" s="669"/>
      <c r="E129" s="669"/>
      <c r="F129" s="670"/>
      <c r="G129" s="673" t="s">
        <v>564</v>
      </c>
      <c r="H129" s="673" t="s">
        <v>565</v>
      </c>
      <c r="I129" s="673" t="s">
        <v>425</v>
      </c>
      <c r="J129" s="678">
        <v>24929</v>
      </c>
      <c r="K129" s="674">
        <v>1</v>
      </c>
      <c r="L129" s="674"/>
      <c r="M129" s="667" t="s">
        <v>566</v>
      </c>
      <c r="N129" s="667" t="s">
        <v>386</v>
      </c>
      <c r="O129" s="667" t="s">
        <v>384</v>
      </c>
      <c r="P129" s="673">
        <v>9472372221</v>
      </c>
      <c r="Q129" s="673"/>
      <c r="R129" s="824"/>
      <c r="S129" s="821"/>
      <c r="T129" s="669"/>
      <c r="U129" s="669"/>
      <c r="V129" s="669"/>
      <c r="W129" s="669"/>
      <c r="X129" s="669"/>
      <c r="Y129" s="669"/>
      <c r="Z129" s="669"/>
      <c r="AA129" s="669"/>
      <c r="AB129" s="669"/>
      <c r="AC129" s="669"/>
      <c r="AD129" s="669"/>
    </row>
    <row r="130" spans="1:30" s="671" customFormat="1" ht="17.25" x14ac:dyDescent="0.2">
      <c r="A130" s="673">
        <v>24</v>
      </c>
      <c r="B130" s="669"/>
      <c r="C130" s="669"/>
      <c r="D130" s="669"/>
      <c r="E130" s="669"/>
      <c r="F130" s="670"/>
      <c r="G130" s="673" t="s">
        <v>567</v>
      </c>
      <c r="H130" s="673" t="s">
        <v>527</v>
      </c>
      <c r="I130" s="673" t="s">
        <v>421</v>
      </c>
      <c r="J130" s="678">
        <v>24523</v>
      </c>
      <c r="K130" s="674">
        <v>1</v>
      </c>
      <c r="L130" s="674"/>
      <c r="M130" s="667" t="s">
        <v>389</v>
      </c>
      <c r="N130" s="667" t="s">
        <v>386</v>
      </c>
      <c r="O130" s="667" t="s">
        <v>384</v>
      </c>
      <c r="P130" s="673">
        <v>9305762534</v>
      </c>
      <c r="Q130" s="673"/>
      <c r="R130" s="824"/>
      <c r="S130" s="821"/>
      <c r="T130" s="669"/>
      <c r="U130" s="669"/>
      <c r="V130" s="669"/>
      <c r="W130" s="669"/>
      <c r="X130" s="669"/>
      <c r="Y130" s="669"/>
      <c r="Z130" s="669"/>
      <c r="AA130" s="669"/>
      <c r="AB130" s="669"/>
      <c r="AC130" s="669"/>
      <c r="AD130" s="669"/>
    </row>
    <row r="131" spans="1:30" s="671" customFormat="1" ht="17.25" x14ac:dyDescent="0.2">
      <c r="A131" s="673">
        <v>25</v>
      </c>
      <c r="B131" s="669"/>
      <c r="C131" s="669"/>
      <c r="D131" s="669"/>
      <c r="E131" s="669"/>
      <c r="F131" s="670"/>
      <c r="G131" s="673" t="s">
        <v>568</v>
      </c>
      <c r="H131" s="673" t="s">
        <v>569</v>
      </c>
      <c r="I131" s="673" t="s">
        <v>399</v>
      </c>
      <c r="J131" s="678">
        <v>27005</v>
      </c>
      <c r="K131" s="674">
        <v>1</v>
      </c>
      <c r="L131" s="674"/>
      <c r="M131" s="667" t="s">
        <v>389</v>
      </c>
      <c r="N131" s="667" t="s">
        <v>386</v>
      </c>
      <c r="O131" s="667" t="s">
        <v>384</v>
      </c>
      <c r="P131" s="673">
        <v>9394730827</v>
      </c>
      <c r="Q131" s="673"/>
      <c r="R131" s="824"/>
      <c r="S131" s="821"/>
      <c r="T131" s="669"/>
      <c r="U131" s="669"/>
      <c r="V131" s="669"/>
      <c r="W131" s="669"/>
      <c r="X131" s="669"/>
      <c r="Y131" s="669"/>
      <c r="Z131" s="669"/>
      <c r="AA131" s="669"/>
      <c r="AB131" s="669"/>
      <c r="AC131" s="669"/>
      <c r="AD131" s="669"/>
    </row>
    <row r="132" spans="1:30" s="544" customFormat="1" x14ac:dyDescent="0.2">
      <c r="A132" s="673">
        <v>26</v>
      </c>
      <c r="G132" s="435" t="s">
        <v>570</v>
      </c>
      <c r="H132" s="435" t="s">
        <v>571</v>
      </c>
      <c r="I132" s="435" t="s">
        <v>394</v>
      </c>
      <c r="J132" s="440">
        <v>30263</v>
      </c>
      <c r="K132" s="679">
        <v>1</v>
      </c>
      <c r="L132" s="435"/>
      <c r="M132" s="679" t="s">
        <v>559</v>
      </c>
      <c r="N132" s="679" t="s">
        <v>386</v>
      </c>
      <c r="O132" s="679" t="s">
        <v>384</v>
      </c>
      <c r="P132" s="435">
        <v>9431322510</v>
      </c>
      <c r="Q132" s="435"/>
      <c r="R132" s="824"/>
      <c r="S132" s="821"/>
    </row>
    <row r="133" spans="1:30" s="544" customFormat="1" x14ac:dyDescent="0.2">
      <c r="A133" s="673">
        <v>27</v>
      </c>
      <c r="G133" s="435" t="s">
        <v>572</v>
      </c>
      <c r="H133" s="435" t="s">
        <v>456</v>
      </c>
      <c r="I133" s="435"/>
      <c r="J133" s="440">
        <v>29950</v>
      </c>
      <c r="K133" s="679">
        <v>1</v>
      </c>
      <c r="L133" s="435"/>
      <c r="M133" s="679" t="s">
        <v>573</v>
      </c>
      <c r="N133" s="679" t="s">
        <v>386</v>
      </c>
      <c r="O133" s="679" t="s">
        <v>384</v>
      </c>
      <c r="P133" s="435">
        <v>9751100701</v>
      </c>
      <c r="Q133" s="435"/>
      <c r="R133" s="824"/>
      <c r="S133" s="821"/>
    </row>
    <row r="134" spans="1:30" s="544" customFormat="1" x14ac:dyDescent="0.2">
      <c r="A134" s="673">
        <v>28</v>
      </c>
      <c r="G134" s="435" t="s">
        <v>574</v>
      </c>
      <c r="H134" s="435" t="s">
        <v>575</v>
      </c>
      <c r="I134" s="435" t="s">
        <v>420</v>
      </c>
      <c r="J134" s="440">
        <v>24571</v>
      </c>
      <c r="K134" s="679">
        <v>1</v>
      </c>
      <c r="L134" s="435"/>
      <c r="M134" s="679" t="s">
        <v>484</v>
      </c>
      <c r="N134" s="679" t="s">
        <v>386</v>
      </c>
      <c r="O134" s="679" t="s">
        <v>384</v>
      </c>
      <c r="P134" s="435">
        <v>9755281047</v>
      </c>
      <c r="Q134" s="435"/>
      <c r="R134" s="824"/>
      <c r="S134" s="821"/>
    </row>
    <row r="135" spans="1:30" s="544" customFormat="1" x14ac:dyDescent="0.2">
      <c r="A135" s="673">
        <v>29</v>
      </c>
      <c r="G135" s="435" t="s">
        <v>576</v>
      </c>
      <c r="H135" s="435" t="s">
        <v>565</v>
      </c>
      <c r="I135" s="435" t="s">
        <v>395</v>
      </c>
      <c r="J135" s="440">
        <v>31594</v>
      </c>
      <c r="K135" s="679">
        <v>1</v>
      </c>
      <c r="L135" s="435"/>
      <c r="M135" s="679" t="s">
        <v>573</v>
      </c>
      <c r="N135" s="679" t="s">
        <v>386</v>
      </c>
      <c r="O135" s="679" t="s">
        <v>384</v>
      </c>
      <c r="P135" s="435">
        <v>9262986418</v>
      </c>
      <c r="Q135" s="435"/>
      <c r="R135" s="824"/>
      <c r="S135" s="821"/>
    </row>
    <row r="136" spans="1:30" s="544" customFormat="1" x14ac:dyDescent="0.2">
      <c r="A136" s="673">
        <v>30</v>
      </c>
      <c r="G136" s="435" t="s">
        <v>577</v>
      </c>
      <c r="H136" s="435" t="s">
        <v>578</v>
      </c>
      <c r="I136" s="435" t="s">
        <v>395</v>
      </c>
      <c r="J136" s="440">
        <v>28192</v>
      </c>
      <c r="K136" s="679">
        <v>1</v>
      </c>
      <c r="L136" s="435"/>
      <c r="M136" s="679" t="s">
        <v>573</v>
      </c>
      <c r="N136" s="679" t="s">
        <v>386</v>
      </c>
      <c r="O136" s="679" t="s">
        <v>384</v>
      </c>
      <c r="P136" s="435">
        <v>9555005705</v>
      </c>
      <c r="Q136" s="435"/>
      <c r="R136" s="824"/>
      <c r="S136" s="821"/>
    </row>
    <row r="137" spans="1:30" s="544" customFormat="1" x14ac:dyDescent="0.2">
      <c r="A137" s="673">
        <v>31</v>
      </c>
      <c r="G137" s="435" t="s">
        <v>579</v>
      </c>
      <c r="H137" s="435" t="s">
        <v>434</v>
      </c>
      <c r="I137" s="435" t="s">
        <v>421</v>
      </c>
      <c r="J137" s="440">
        <v>24207</v>
      </c>
      <c r="K137" s="679">
        <v>1</v>
      </c>
      <c r="L137" s="435"/>
      <c r="M137" s="679" t="s">
        <v>580</v>
      </c>
      <c r="N137" s="679" t="s">
        <v>386</v>
      </c>
      <c r="O137" s="679" t="s">
        <v>384</v>
      </c>
      <c r="P137" s="435">
        <v>9758418323</v>
      </c>
      <c r="Q137" s="435"/>
      <c r="R137" s="824"/>
      <c r="S137" s="821"/>
    </row>
    <row r="138" spans="1:30" s="544" customFormat="1" x14ac:dyDescent="0.2">
      <c r="A138" s="673">
        <v>32</v>
      </c>
      <c r="G138" s="435" t="s">
        <v>581</v>
      </c>
      <c r="H138" s="435" t="s">
        <v>463</v>
      </c>
      <c r="I138" s="435" t="s">
        <v>404</v>
      </c>
      <c r="J138" s="440">
        <v>27316</v>
      </c>
      <c r="K138" s="679">
        <v>1</v>
      </c>
      <c r="L138" s="435"/>
      <c r="M138" s="679" t="s">
        <v>390</v>
      </c>
      <c r="N138" s="679" t="s">
        <v>386</v>
      </c>
      <c r="O138" s="679" t="s">
        <v>384</v>
      </c>
      <c r="P138" s="435">
        <v>9484298927</v>
      </c>
      <c r="Q138" s="435"/>
      <c r="R138" s="824"/>
      <c r="S138" s="821"/>
    </row>
    <row r="139" spans="1:30" s="544" customFormat="1" x14ac:dyDescent="0.2">
      <c r="A139" s="673">
        <v>33</v>
      </c>
      <c r="G139" s="435" t="s">
        <v>582</v>
      </c>
      <c r="H139" s="435" t="s">
        <v>583</v>
      </c>
      <c r="I139" s="435" t="s">
        <v>584</v>
      </c>
      <c r="J139" s="440">
        <v>22027</v>
      </c>
      <c r="K139" s="679">
        <v>1</v>
      </c>
      <c r="L139" s="435"/>
      <c r="M139" s="679" t="s">
        <v>585</v>
      </c>
      <c r="N139" s="679" t="s">
        <v>386</v>
      </c>
      <c r="O139" s="679" t="s">
        <v>384</v>
      </c>
      <c r="P139" s="435">
        <v>9752688312</v>
      </c>
      <c r="Q139" s="435"/>
      <c r="R139" s="824"/>
      <c r="S139" s="821"/>
    </row>
    <row r="140" spans="1:30" s="544" customFormat="1" x14ac:dyDescent="0.2">
      <c r="A140" s="673">
        <v>34</v>
      </c>
      <c r="G140" s="435" t="s">
        <v>419</v>
      </c>
      <c r="H140" s="435" t="s">
        <v>586</v>
      </c>
      <c r="I140" s="435" t="s">
        <v>410</v>
      </c>
      <c r="J140" s="440">
        <v>29573</v>
      </c>
      <c r="K140" s="679">
        <v>1</v>
      </c>
      <c r="L140" s="435"/>
      <c r="M140" s="679" t="s">
        <v>587</v>
      </c>
      <c r="N140" s="679" t="s">
        <v>386</v>
      </c>
      <c r="O140" s="679" t="s">
        <v>384</v>
      </c>
      <c r="P140" s="435">
        <v>9756786132</v>
      </c>
      <c r="Q140" s="435"/>
      <c r="R140" s="824"/>
      <c r="S140" s="821"/>
    </row>
    <row r="141" spans="1:30" s="544" customFormat="1" x14ac:dyDescent="0.2">
      <c r="A141" s="673">
        <v>35</v>
      </c>
      <c r="G141" s="435" t="s">
        <v>588</v>
      </c>
      <c r="H141" s="435" t="s">
        <v>589</v>
      </c>
      <c r="I141" s="435" t="s">
        <v>404</v>
      </c>
      <c r="J141" s="440">
        <v>29592</v>
      </c>
      <c r="K141" s="679">
        <v>1</v>
      </c>
      <c r="L141" s="435"/>
      <c r="M141" s="679" t="s">
        <v>590</v>
      </c>
      <c r="N141" s="679" t="s">
        <v>386</v>
      </c>
      <c r="O141" s="679" t="s">
        <v>384</v>
      </c>
      <c r="P141" s="435">
        <v>965447810</v>
      </c>
      <c r="Q141" s="435"/>
      <c r="R141" s="824"/>
      <c r="S141" s="821"/>
    </row>
    <row r="142" spans="1:30" s="544" customFormat="1" x14ac:dyDescent="0.2">
      <c r="A142" s="673">
        <v>36</v>
      </c>
      <c r="G142" s="435" t="s">
        <v>591</v>
      </c>
      <c r="H142" s="435" t="s">
        <v>428</v>
      </c>
      <c r="I142" s="435" t="s">
        <v>418</v>
      </c>
      <c r="J142" s="440">
        <v>30788</v>
      </c>
      <c r="K142" s="679">
        <v>1</v>
      </c>
      <c r="L142" s="435"/>
      <c r="M142" s="679" t="s">
        <v>592</v>
      </c>
      <c r="N142" s="679" t="s">
        <v>386</v>
      </c>
      <c r="O142" s="679" t="s">
        <v>384</v>
      </c>
      <c r="P142" s="435">
        <v>9701600194</v>
      </c>
      <c r="Q142" s="435"/>
      <c r="R142" s="824"/>
      <c r="S142" s="821"/>
    </row>
    <row r="143" spans="1:30" s="544" customFormat="1" x14ac:dyDescent="0.2">
      <c r="A143" s="673">
        <v>37</v>
      </c>
      <c r="G143" s="435" t="s">
        <v>593</v>
      </c>
      <c r="H143" s="435" t="s">
        <v>594</v>
      </c>
      <c r="I143" s="435" t="s">
        <v>421</v>
      </c>
      <c r="J143" s="440">
        <v>27245</v>
      </c>
      <c r="K143" s="679">
        <v>1</v>
      </c>
      <c r="L143" s="435"/>
      <c r="M143" s="679" t="s">
        <v>590</v>
      </c>
      <c r="N143" s="679" t="s">
        <v>386</v>
      </c>
      <c r="O143" s="679" t="s">
        <v>384</v>
      </c>
      <c r="P143" s="435">
        <v>9050971381</v>
      </c>
      <c r="Q143" s="435"/>
      <c r="R143" s="824"/>
      <c r="S143" s="821"/>
    </row>
    <row r="144" spans="1:30" s="544" customFormat="1" x14ac:dyDescent="0.2">
      <c r="A144" s="673">
        <v>38</v>
      </c>
      <c r="G144" s="435" t="s">
        <v>595</v>
      </c>
      <c r="H144" s="435" t="s">
        <v>596</v>
      </c>
      <c r="I144" s="435" t="s">
        <v>421</v>
      </c>
      <c r="J144" s="440">
        <v>35701</v>
      </c>
      <c r="K144" s="679">
        <v>1</v>
      </c>
      <c r="L144" s="435"/>
      <c r="M144" s="679" t="s">
        <v>491</v>
      </c>
      <c r="N144" s="679" t="s">
        <v>386</v>
      </c>
      <c r="O144" s="679" t="s">
        <v>384</v>
      </c>
      <c r="P144" s="435">
        <v>9485705927</v>
      </c>
      <c r="Q144" s="435"/>
      <c r="R144" s="824"/>
      <c r="S144" s="821"/>
    </row>
    <row r="145" spans="1:30" s="544" customFormat="1" x14ac:dyDescent="0.2">
      <c r="A145" s="673">
        <v>39</v>
      </c>
      <c r="G145" s="435" t="s">
        <v>597</v>
      </c>
      <c r="H145" s="435" t="s">
        <v>598</v>
      </c>
      <c r="I145" s="435" t="s">
        <v>459</v>
      </c>
      <c r="J145" s="440">
        <v>36278</v>
      </c>
      <c r="K145" s="679">
        <v>1</v>
      </c>
      <c r="L145" s="435"/>
      <c r="M145" s="679" t="s">
        <v>491</v>
      </c>
      <c r="N145" s="679" t="s">
        <v>386</v>
      </c>
      <c r="O145" s="679" t="s">
        <v>384</v>
      </c>
      <c r="P145" s="435">
        <v>9952098223</v>
      </c>
      <c r="Q145" s="435"/>
      <c r="R145" s="824"/>
      <c r="S145" s="821"/>
    </row>
    <row r="146" spans="1:30" s="544" customFormat="1" x14ac:dyDescent="0.2">
      <c r="A146" s="673">
        <v>40</v>
      </c>
      <c r="G146" s="435" t="s">
        <v>599</v>
      </c>
      <c r="H146" s="435" t="s">
        <v>600</v>
      </c>
      <c r="I146" s="435" t="s">
        <v>421</v>
      </c>
      <c r="J146" s="440">
        <v>26037</v>
      </c>
      <c r="K146" s="679">
        <v>1</v>
      </c>
      <c r="L146" s="435"/>
      <c r="M146" s="679" t="s">
        <v>412</v>
      </c>
      <c r="N146" s="679" t="s">
        <v>386</v>
      </c>
      <c r="O146" s="679" t="s">
        <v>384</v>
      </c>
      <c r="P146" s="435">
        <v>9173474494</v>
      </c>
      <c r="Q146" s="435"/>
      <c r="R146" s="824"/>
      <c r="S146" s="821"/>
    </row>
    <row r="147" spans="1:30" s="544" customFormat="1" x14ac:dyDescent="0.2">
      <c r="A147" s="673">
        <v>41</v>
      </c>
      <c r="G147" s="435" t="s">
        <v>601</v>
      </c>
      <c r="H147" s="435" t="s">
        <v>602</v>
      </c>
      <c r="I147" s="435" t="s">
        <v>425</v>
      </c>
      <c r="J147" s="440">
        <v>25639</v>
      </c>
      <c r="K147" s="679">
        <v>1</v>
      </c>
      <c r="L147" s="435"/>
      <c r="M147" s="679" t="s">
        <v>413</v>
      </c>
      <c r="N147" s="679" t="s">
        <v>386</v>
      </c>
      <c r="O147" s="679" t="s">
        <v>384</v>
      </c>
      <c r="P147" s="435">
        <v>9055068819</v>
      </c>
      <c r="Q147" s="435"/>
      <c r="R147" s="824"/>
      <c r="S147" s="821"/>
    </row>
    <row r="148" spans="1:30" s="544" customFormat="1" x14ac:dyDescent="0.2">
      <c r="A148" s="673">
        <v>42</v>
      </c>
      <c r="G148" s="435" t="s">
        <v>603</v>
      </c>
      <c r="H148" s="435" t="s">
        <v>604</v>
      </c>
      <c r="I148" s="435" t="s">
        <v>421</v>
      </c>
      <c r="J148" s="440">
        <v>35036</v>
      </c>
      <c r="K148" s="679">
        <v>1</v>
      </c>
      <c r="L148" s="435"/>
      <c r="M148" s="679" t="s">
        <v>398</v>
      </c>
      <c r="N148" s="679" t="s">
        <v>386</v>
      </c>
      <c r="O148" s="679" t="s">
        <v>384</v>
      </c>
      <c r="P148" s="435">
        <v>9124181666</v>
      </c>
      <c r="Q148" s="435"/>
      <c r="R148" s="824"/>
      <c r="S148" s="821"/>
    </row>
    <row r="149" spans="1:30" s="544" customFormat="1" x14ac:dyDescent="0.2">
      <c r="A149" s="673">
        <v>43</v>
      </c>
      <c r="G149" s="435" t="s">
        <v>605</v>
      </c>
      <c r="H149" s="435" t="s">
        <v>606</v>
      </c>
      <c r="I149" s="435" t="s">
        <v>395</v>
      </c>
      <c r="J149" s="440">
        <v>32624</v>
      </c>
      <c r="K149" s="679">
        <v>1</v>
      </c>
      <c r="L149" s="435"/>
      <c r="M149" s="679" t="s">
        <v>607</v>
      </c>
      <c r="N149" s="679" t="s">
        <v>386</v>
      </c>
      <c r="O149" s="679" t="s">
        <v>384</v>
      </c>
      <c r="P149" s="435">
        <v>9659453418</v>
      </c>
      <c r="Q149" s="435"/>
      <c r="R149" s="824"/>
      <c r="S149" s="821"/>
    </row>
    <row r="150" spans="1:30" s="544" customFormat="1" x14ac:dyDescent="0.2">
      <c r="A150" s="673">
        <v>44</v>
      </c>
      <c r="G150" s="435" t="s">
        <v>595</v>
      </c>
      <c r="H150" s="435" t="s">
        <v>608</v>
      </c>
      <c r="I150" s="435" t="s">
        <v>421</v>
      </c>
      <c r="J150" s="440">
        <v>36112</v>
      </c>
      <c r="K150" s="679">
        <v>1</v>
      </c>
      <c r="L150" s="435"/>
      <c r="M150" s="679" t="s">
        <v>491</v>
      </c>
      <c r="N150" s="679" t="s">
        <v>386</v>
      </c>
      <c r="O150" s="679" t="s">
        <v>384</v>
      </c>
      <c r="P150" s="435">
        <v>9505022120</v>
      </c>
      <c r="Q150" s="435"/>
      <c r="R150" s="824"/>
      <c r="S150" s="821"/>
    </row>
    <row r="151" spans="1:30" s="544" customFormat="1" x14ac:dyDescent="0.2">
      <c r="A151" s="673">
        <v>45</v>
      </c>
      <c r="G151" s="435" t="s">
        <v>609</v>
      </c>
      <c r="H151" s="435" t="s">
        <v>610</v>
      </c>
      <c r="I151" s="435" t="s">
        <v>421</v>
      </c>
      <c r="J151" s="440">
        <v>35319</v>
      </c>
      <c r="K151" s="679">
        <v>1</v>
      </c>
      <c r="L151" s="435"/>
      <c r="M151" s="679" t="s">
        <v>390</v>
      </c>
      <c r="N151" s="679" t="s">
        <v>386</v>
      </c>
      <c r="O151" s="679" t="s">
        <v>384</v>
      </c>
      <c r="P151" s="435">
        <v>9666382434</v>
      </c>
      <c r="Q151" s="435"/>
      <c r="R151" s="825"/>
      <c r="S151" s="822"/>
    </row>
    <row r="152" spans="1:30" ht="17.25" x14ac:dyDescent="0.2">
      <c r="A152" s="636" t="s">
        <v>345</v>
      </c>
      <c r="B152" s="637"/>
      <c r="C152" s="637"/>
      <c r="D152" s="637"/>
      <c r="E152" s="637"/>
      <c r="F152" s="638"/>
      <c r="G152" s="637"/>
      <c r="H152" s="637"/>
      <c r="I152" s="637"/>
      <c r="J152" s="639" t="s">
        <v>16</v>
      </c>
      <c r="K152" s="639">
        <v>0</v>
      </c>
      <c r="L152" s="639">
        <v>0</v>
      </c>
      <c r="M152" s="640"/>
      <c r="N152" s="640"/>
      <c r="O152" s="640"/>
      <c r="P152" s="640"/>
      <c r="Q152" s="640"/>
      <c r="R152" s="641"/>
      <c r="S152" s="640"/>
      <c r="T152" s="640"/>
      <c r="U152" s="640"/>
      <c r="V152" s="640"/>
      <c r="W152" s="640"/>
      <c r="X152" s="640"/>
      <c r="Y152" s="640"/>
      <c r="Z152" s="640"/>
      <c r="AA152" s="640"/>
      <c r="AB152" s="640"/>
      <c r="AC152" s="640"/>
      <c r="AD152" s="640"/>
    </row>
  </sheetData>
  <mergeCells count="30">
    <mergeCell ref="A2:E2"/>
    <mergeCell ref="A3:E3"/>
    <mergeCell ref="J6:J7"/>
    <mergeCell ref="S6:S7"/>
    <mergeCell ref="A5:R5"/>
    <mergeCell ref="G6:I6"/>
    <mergeCell ref="S5:U5"/>
    <mergeCell ref="A6:A7"/>
    <mergeCell ref="B6:B7"/>
    <mergeCell ref="C6:C7"/>
    <mergeCell ref="E6:E7"/>
    <mergeCell ref="F6:F7"/>
    <mergeCell ref="AB6:AD6"/>
    <mergeCell ref="T6:T7"/>
    <mergeCell ref="V5:AD5"/>
    <mergeCell ref="K6:L6"/>
    <mergeCell ref="R6:R7"/>
    <mergeCell ref="V6:X6"/>
    <mergeCell ref="M6:O6"/>
    <mergeCell ref="U6:U7"/>
    <mergeCell ref="Y6:AA6"/>
    <mergeCell ref="P6:P7"/>
    <mergeCell ref="Q6:Q7"/>
    <mergeCell ref="E85:E104"/>
    <mergeCell ref="S85:S104"/>
    <mergeCell ref="R85:R104"/>
    <mergeCell ref="S122:S151"/>
    <mergeCell ref="R122:R151"/>
    <mergeCell ref="R107:R121"/>
    <mergeCell ref="S107:S121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E569"/>
  <sheetViews>
    <sheetView zoomScale="70" zoomScaleNormal="70" workbookViewId="0">
      <pane ySplit="7" topLeftCell="A113" activePane="bottomLeft" state="frozen"/>
      <selection pane="bottomLeft" activeCell="M81" sqref="M81"/>
    </sheetView>
  </sheetViews>
  <sheetFormatPr defaultColWidth="9" defaultRowHeight="15" x14ac:dyDescent="0.25"/>
  <cols>
    <col min="1" max="1" width="15.28515625" style="435" customWidth="1"/>
    <col min="2" max="2" width="14.42578125" style="435" hidden="1"/>
    <col min="3" max="3" width="0.28515625" style="435" customWidth="1"/>
    <col min="4" max="4" width="14.85546875" style="435" hidden="1" customWidth="1"/>
    <col min="5" max="5" width="31.28515625" style="435" hidden="1" customWidth="1"/>
    <col min="6" max="6" width="5.42578125" style="435" hidden="1" customWidth="1"/>
    <col min="7" max="7" width="20.42578125" style="435" customWidth="1"/>
    <col min="8" max="8" width="22.28515625" style="435" bestFit="1" customWidth="1"/>
    <col min="9" max="9" width="12.7109375" style="435" customWidth="1"/>
    <col min="10" max="10" width="15" style="435" customWidth="1"/>
    <col min="11" max="11" width="7.7109375" style="435" customWidth="1"/>
    <col min="12" max="12" width="10.7109375" style="435" customWidth="1"/>
    <col min="13" max="13" width="29.5703125" style="435" bestFit="1" customWidth="1"/>
    <col min="14" max="14" width="29.42578125" style="435" bestFit="1" customWidth="1"/>
    <col min="15" max="15" width="14.140625" style="435" customWidth="1"/>
    <col min="16" max="16" width="15.5703125" style="435" customWidth="1"/>
    <col min="17" max="17" width="17.140625" style="435" customWidth="1"/>
    <col min="18" max="18" width="19.42578125" style="435" bestFit="1" customWidth="1"/>
    <col min="19" max="19" width="53.5703125" style="435" customWidth="1"/>
    <col min="20" max="20" width="19.7109375" style="435" customWidth="1"/>
    <col min="21" max="21" width="15.42578125" style="435" customWidth="1"/>
    <col min="22" max="22" width="13.7109375" style="435" customWidth="1"/>
    <col min="23" max="23" width="11.140625" style="435" customWidth="1"/>
    <col min="24" max="24" width="10.7109375" style="435" customWidth="1"/>
    <col min="25" max="25" width="13" style="435" customWidth="1"/>
    <col min="26" max="30" width="9.140625" style="435" customWidth="1"/>
    <col min="31" max="256" width="8.7109375" style="435" customWidth="1"/>
    <col min="257" max="16384" width="9" style="435"/>
  </cols>
  <sheetData>
    <row r="1" spans="1:30" ht="15.75" x14ac:dyDescent="0.25">
      <c r="J1" s="388"/>
      <c r="K1" s="389" t="s">
        <v>304</v>
      </c>
      <c r="L1" s="389" t="s">
        <v>305</v>
      </c>
      <c r="M1" s="389" t="s">
        <v>21</v>
      </c>
    </row>
    <row r="2" spans="1:30" ht="31.5" x14ac:dyDescent="0.25">
      <c r="A2" s="819" t="s">
        <v>306</v>
      </c>
      <c r="B2" s="819"/>
      <c r="C2" s="819"/>
      <c r="D2" s="819"/>
      <c r="E2" s="819"/>
      <c r="F2" s="390"/>
      <c r="G2" s="390"/>
      <c r="H2" s="390"/>
      <c r="I2" s="390"/>
      <c r="J2" s="391" t="s">
        <v>307</v>
      </c>
      <c r="K2" s="596">
        <f>SUM(K63,K70,K103)</f>
        <v>47</v>
      </c>
      <c r="L2" s="596">
        <f>SUM(L63,L70,L103)</f>
        <v>23</v>
      </c>
      <c r="M2" s="391">
        <f>SUM(K2:L2)</f>
        <v>70</v>
      </c>
      <c r="N2" s="390"/>
      <c r="O2" s="390"/>
      <c r="P2" s="390"/>
      <c r="Q2" s="390"/>
      <c r="R2" s="545"/>
      <c r="S2" s="390"/>
      <c r="T2" s="390"/>
      <c r="U2" s="390"/>
      <c r="V2" s="390"/>
      <c r="W2" s="390"/>
      <c r="X2" s="390"/>
      <c r="Y2" s="390"/>
      <c r="Z2" s="390"/>
      <c r="AA2" s="390"/>
      <c r="AB2" s="390"/>
      <c r="AC2" s="390"/>
      <c r="AD2" s="390"/>
    </row>
    <row r="3" spans="1:30" ht="15.75" x14ac:dyDescent="0.25">
      <c r="A3" s="819" t="s">
        <v>308</v>
      </c>
      <c r="B3" s="819"/>
      <c r="C3" s="819"/>
      <c r="D3" s="819"/>
      <c r="E3" s="819"/>
      <c r="F3" s="390"/>
      <c r="G3" s="393"/>
      <c r="H3" s="390"/>
      <c r="I3" s="390"/>
      <c r="J3" s="391" t="s">
        <v>309</v>
      </c>
      <c r="K3" s="392">
        <f>SUM(K42)</f>
        <v>0</v>
      </c>
      <c r="L3" s="392">
        <f>SUM(L42)</f>
        <v>0</v>
      </c>
      <c r="M3" s="391">
        <f>SUM(K3:L3)</f>
        <v>0</v>
      </c>
      <c r="N3" s="390"/>
      <c r="O3" s="390"/>
      <c r="P3" s="390"/>
      <c r="Q3" s="390"/>
      <c r="R3" s="545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</row>
    <row r="4" spans="1:30" ht="15.75" x14ac:dyDescent="0.25">
      <c r="A4" s="543"/>
      <c r="B4" s="543"/>
      <c r="C4" s="543" t="s">
        <v>310</v>
      </c>
      <c r="D4" s="543"/>
      <c r="E4" s="543"/>
      <c r="F4" s="390"/>
      <c r="G4" s="393"/>
      <c r="H4" s="393"/>
      <c r="I4" s="390"/>
      <c r="J4" s="389"/>
      <c r="K4" s="394"/>
      <c r="L4" s="394"/>
      <c r="M4" s="391">
        <f>SUM(M2:M3)</f>
        <v>70</v>
      </c>
      <c r="N4" s="390"/>
      <c r="O4" s="390"/>
      <c r="P4" s="390"/>
      <c r="Q4" s="390"/>
      <c r="R4" s="545"/>
      <c r="S4" s="390"/>
      <c r="T4" s="390"/>
      <c r="U4" s="390"/>
      <c r="V4" s="390"/>
      <c r="W4" s="390"/>
      <c r="X4" s="390"/>
      <c r="Y4" s="390"/>
      <c r="Z4" s="390"/>
      <c r="AA4" s="390"/>
      <c r="AB4" s="390"/>
      <c r="AC4" s="390"/>
      <c r="AD4" s="390"/>
    </row>
    <row r="5" spans="1:30" ht="15.75" x14ac:dyDescent="0.25">
      <c r="A5" s="812" t="s">
        <v>311</v>
      </c>
      <c r="B5" s="812"/>
      <c r="C5" s="812"/>
      <c r="D5" s="812"/>
      <c r="E5" s="812"/>
      <c r="F5" s="812"/>
      <c r="G5" s="812"/>
      <c r="H5" s="812"/>
      <c r="I5" s="812"/>
      <c r="J5" s="812"/>
      <c r="K5" s="812"/>
      <c r="L5" s="812"/>
      <c r="M5" s="812"/>
      <c r="N5" s="812"/>
      <c r="O5" s="812"/>
      <c r="P5" s="812"/>
      <c r="Q5" s="812"/>
      <c r="R5" s="812"/>
      <c r="S5" s="814" t="s">
        <v>312</v>
      </c>
      <c r="T5" s="814"/>
      <c r="U5" s="814"/>
      <c r="V5" s="816" t="s">
        <v>313</v>
      </c>
      <c r="W5" s="816"/>
      <c r="X5" s="816"/>
      <c r="Y5" s="816"/>
      <c r="Z5" s="816"/>
      <c r="AA5" s="816"/>
      <c r="AB5" s="816"/>
      <c r="AC5" s="816"/>
      <c r="AD5" s="816"/>
    </row>
    <row r="6" spans="1:30" ht="15.75" x14ac:dyDescent="0.25">
      <c r="A6" s="813" t="s">
        <v>314</v>
      </c>
      <c r="B6" s="813" t="s">
        <v>315</v>
      </c>
      <c r="C6" s="813" t="s">
        <v>316</v>
      </c>
      <c r="D6" s="542" t="s">
        <v>317</v>
      </c>
      <c r="E6" s="813" t="s">
        <v>318</v>
      </c>
      <c r="F6" s="815"/>
      <c r="G6" s="813" t="s">
        <v>319</v>
      </c>
      <c r="H6" s="813"/>
      <c r="I6" s="813"/>
      <c r="J6" s="813" t="s">
        <v>320</v>
      </c>
      <c r="K6" s="813" t="s">
        <v>321</v>
      </c>
      <c r="L6" s="813"/>
      <c r="M6" s="813" t="s">
        <v>322</v>
      </c>
      <c r="N6" s="813"/>
      <c r="O6" s="813"/>
      <c r="P6" s="813" t="s">
        <v>323</v>
      </c>
      <c r="Q6" s="813" t="s">
        <v>324</v>
      </c>
      <c r="R6" s="813" t="s">
        <v>325</v>
      </c>
      <c r="S6" s="818" t="s">
        <v>326</v>
      </c>
      <c r="T6" s="818" t="s">
        <v>327</v>
      </c>
      <c r="U6" s="818" t="s">
        <v>328</v>
      </c>
      <c r="V6" s="811" t="s">
        <v>329</v>
      </c>
      <c r="W6" s="811"/>
      <c r="X6" s="811"/>
      <c r="Y6" s="811" t="s">
        <v>330</v>
      </c>
      <c r="Z6" s="811"/>
      <c r="AA6" s="811"/>
      <c r="AB6" s="811" t="s">
        <v>331</v>
      </c>
      <c r="AC6" s="811"/>
      <c r="AD6" s="811"/>
    </row>
    <row r="7" spans="1:30" ht="110.25" x14ac:dyDescent="0.25">
      <c r="A7" s="813"/>
      <c r="B7" s="813"/>
      <c r="C7" s="813"/>
      <c r="D7" s="542" t="s">
        <v>332</v>
      </c>
      <c r="E7" s="813"/>
      <c r="F7" s="815"/>
      <c r="G7" s="542" t="s">
        <v>333</v>
      </c>
      <c r="H7" s="542" t="s">
        <v>334</v>
      </c>
      <c r="I7" s="542" t="s">
        <v>335</v>
      </c>
      <c r="J7" s="813"/>
      <c r="K7" s="395" t="s">
        <v>336</v>
      </c>
      <c r="L7" s="395" t="s">
        <v>337</v>
      </c>
      <c r="M7" s="542" t="s">
        <v>338</v>
      </c>
      <c r="N7" s="542" t="s">
        <v>339</v>
      </c>
      <c r="O7" s="542" t="s">
        <v>340</v>
      </c>
      <c r="P7" s="813"/>
      <c r="Q7" s="813"/>
      <c r="R7" s="813"/>
      <c r="S7" s="818"/>
      <c r="T7" s="818"/>
      <c r="U7" s="818"/>
      <c r="V7" s="396" t="s">
        <v>341</v>
      </c>
      <c r="W7" s="541" t="s">
        <v>342</v>
      </c>
      <c r="X7" s="541" t="s">
        <v>343</v>
      </c>
      <c r="Y7" s="396" t="s">
        <v>341</v>
      </c>
      <c r="Z7" s="541" t="s">
        <v>342</v>
      </c>
      <c r="AA7" s="541" t="s">
        <v>343</v>
      </c>
      <c r="AB7" s="396" t="s">
        <v>341</v>
      </c>
      <c r="AC7" s="541" t="s">
        <v>342</v>
      </c>
      <c r="AD7" s="541" t="s">
        <v>343</v>
      </c>
    </row>
    <row r="8" spans="1:30" x14ac:dyDescent="0.2">
      <c r="A8" s="390"/>
      <c r="B8" s="390"/>
      <c r="C8" s="390"/>
      <c r="D8" s="390"/>
      <c r="E8" s="390"/>
      <c r="F8" s="397"/>
      <c r="G8" s="390"/>
      <c r="H8" s="390"/>
      <c r="I8" s="390"/>
      <c r="J8" s="390"/>
      <c r="K8" s="398"/>
      <c r="L8" s="398"/>
      <c r="M8" s="390"/>
      <c r="N8" s="390"/>
      <c r="O8" s="390"/>
      <c r="P8" s="390"/>
      <c r="Q8" s="390"/>
      <c r="R8" s="545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</row>
    <row r="9" spans="1:30" x14ac:dyDescent="0.2">
      <c r="A9" s="390"/>
      <c r="B9" s="390"/>
      <c r="C9" s="390"/>
      <c r="D9" s="390"/>
      <c r="E9" s="390"/>
      <c r="F9" s="397"/>
      <c r="G9" s="390"/>
      <c r="H9" s="390"/>
      <c r="I9" s="390"/>
      <c r="J9" s="390"/>
      <c r="K9" s="398"/>
      <c r="L9" s="398"/>
      <c r="M9" s="390"/>
      <c r="N9" s="390"/>
      <c r="O9" s="390"/>
      <c r="P9" s="390"/>
      <c r="Q9" s="390"/>
      <c r="R9" s="545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</row>
    <row r="10" spans="1:30" s="547" customFormat="1" ht="15.75" x14ac:dyDescent="0.25">
      <c r="A10" s="399" t="s">
        <v>281</v>
      </c>
      <c r="B10" s="400"/>
      <c r="C10" s="400"/>
      <c r="D10" s="400"/>
      <c r="E10" s="400"/>
      <c r="F10" s="401"/>
      <c r="G10" s="400"/>
      <c r="H10" s="400"/>
      <c r="I10" s="400"/>
      <c r="J10" s="400"/>
      <c r="K10" s="402"/>
      <c r="L10" s="402"/>
      <c r="M10" s="400"/>
      <c r="N10" s="400"/>
      <c r="O10" s="400"/>
      <c r="P10" s="400"/>
      <c r="Q10" s="400"/>
      <c r="R10" s="546"/>
      <c r="S10" s="400"/>
      <c r="T10" s="400"/>
      <c r="U10" s="400"/>
      <c r="V10" s="400"/>
      <c r="W10" s="400"/>
      <c r="X10" s="400"/>
      <c r="Y10" s="400"/>
      <c r="Z10" s="400"/>
      <c r="AA10" s="400"/>
      <c r="AB10" s="400"/>
      <c r="AC10" s="400"/>
      <c r="AD10" s="400"/>
    </row>
    <row r="11" spans="1:30" ht="15.75" customHeight="1" x14ac:dyDescent="0.25">
      <c r="A11" s="403" t="s">
        <v>344</v>
      </c>
      <c r="B11" s="404"/>
      <c r="C11" s="404"/>
      <c r="D11" s="404"/>
      <c r="E11" s="404"/>
      <c r="F11" s="405"/>
      <c r="G11" s="404"/>
      <c r="H11" s="404"/>
      <c r="I11" s="404"/>
      <c r="J11" s="392" t="s">
        <v>16</v>
      </c>
      <c r="K11" s="394">
        <v>0</v>
      </c>
      <c r="L11" s="394">
        <v>0</v>
      </c>
      <c r="M11" s="390"/>
      <c r="N11" s="390"/>
      <c r="O11" s="390"/>
      <c r="P11" s="390"/>
      <c r="Q11" s="390"/>
      <c r="R11" s="545"/>
      <c r="S11" s="390"/>
      <c r="T11" s="390"/>
      <c r="U11" s="390"/>
      <c r="V11" s="390"/>
      <c r="W11" s="390"/>
      <c r="X11" s="390"/>
      <c r="Y11" s="390"/>
      <c r="Z11" s="390"/>
      <c r="AA11" s="390"/>
      <c r="AB11" s="390"/>
      <c r="AC11" s="390"/>
      <c r="AD11" s="390"/>
    </row>
    <row r="12" spans="1:30" ht="15.75" x14ac:dyDescent="0.25">
      <c r="A12" s="412" t="s">
        <v>345</v>
      </c>
      <c r="B12" s="403"/>
      <c r="C12" s="403"/>
      <c r="D12" s="403"/>
      <c r="E12" s="403"/>
      <c r="F12" s="413"/>
      <c r="G12" s="403"/>
      <c r="H12" s="403"/>
      <c r="I12" s="403"/>
      <c r="J12" s="392" t="s">
        <v>16</v>
      </c>
      <c r="K12" s="394">
        <f>SUM(K13:K14)</f>
        <v>0</v>
      </c>
      <c r="L12" s="394">
        <f>SUM(L13:L14)</f>
        <v>0</v>
      </c>
      <c r="M12" s="390"/>
      <c r="N12" s="390"/>
      <c r="O12" s="390"/>
      <c r="P12" s="390"/>
      <c r="Q12" s="390"/>
      <c r="R12" s="545"/>
      <c r="S12" s="390"/>
      <c r="T12" s="390"/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</row>
    <row r="13" spans="1:30" x14ac:dyDescent="0.2">
      <c r="A13" s="414"/>
      <c r="B13" s="390"/>
      <c r="C13" s="390"/>
      <c r="D13" s="378"/>
      <c r="E13" s="378"/>
      <c r="F13" s="408"/>
      <c r="G13" s="378"/>
      <c r="H13" s="378"/>
      <c r="I13" s="378"/>
      <c r="J13" s="409"/>
      <c r="K13" s="383"/>
      <c r="L13" s="383"/>
      <c r="M13" s="378"/>
      <c r="N13" s="378"/>
      <c r="O13" s="378"/>
      <c r="P13" s="378"/>
      <c r="Q13" s="378"/>
      <c r="R13" s="548"/>
      <c r="S13" s="378"/>
      <c r="T13" s="410"/>
      <c r="U13" s="378"/>
      <c r="V13" s="390"/>
      <c r="W13" s="390"/>
      <c r="X13" s="390"/>
      <c r="Y13" s="390"/>
      <c r="Z13" s="390"/>
      <c r="AA13" s="390"/>
      <c r="AB13" s="390"/>
      <c r="AC13" s="390"/>
      <c r="AD13" s="390"/>
    </row>
    <row r="14" spans="1:30" s="549" customFormat="1" x14ac:dyDescent="0.2">
      <c r="A14" s="415"/>
      <c r="B14" s="378"/>
      <c r="C14" s="378"/>
      <c r="D14" s="378"/>
      <c r="E14" s="378"/>
      <c r="F14" s="408"/>
      <c r="G14" s="378"/>
      <c r="H14" s="378"/>
      <c r="I14" s="378"/>
      <c r="J14" s="409"/>
      <c r="K14" s="383"/>
      <c r="L14" s="383"/>
      <c r="M14" s="378"/>
      <c r="N14" s="378"/>
      <c r="O14" s="378"/>
      <c r="P14" s="378"/>
      <c r="Q14" s="378"/>
      <c r="R14" s="548"/>
      <c r="S14" s="378"/>
      <c r="T14" s="410"/>
      <c r="U14" s="378"/>
      <c r="V14" s="378"/>
      <c r="W14" s="378"/>
      <c r="X14" s="378"/>
      <c r="Y14" s="378"/>
      <c r="Z14" s="378"/>
      <c r="AA14" s="378"/>
      <c r="AB14" s="378"/>
      <c r="AC14" s="378"/>
      <c r="AD14" s="378"/>
    </row>
    <row r="15" spans="1:30" s="547" customFormat="1" ht="15.75" x14ac:dyDescent="0.25">
      <c r="A15" s="399" t="s">
        <v>282</v>
      </c>
      <c r="B15" s="400"/>
      <c r="C15" s="400"/>
      <c r="D15" s="400"/>
      <c r="E15" s="400"/>
      <c r="F15" s="401"/>
      <c r="G15" s="400"/>
      <c r="H15" s="400"/>
      <c r="I15" s="400"/>
      <c r="J15" s="400"/>
      <c r="K15" s="402"/>
      <c r="L15" s="402"/>
      <c r="M15" s="400"/>
      <c r="N15" s="400"/>
      <c r="O15" s="400"/>
      <c r="P15" s="400"/>
      <c r="Q15" s="400"/>
      <c r="R15" s="546"/>
      <c r="S15" s="400"/>
      <c r="T15" s="400"/>
      <c r="U15" s="400"/>
      <c r="V15" s="400"/>
      <c r="W15" s="400"/>
      <c r="X15" s="400"/>
      <c r="Y15" s="400"/>
      <c r="Z15" s="400"/>
      <c r="AA15" s="400"/>
      <c r="AB15" s="400"/>
      <c r="AC15" s="400"/>
      <c r="AD15" s="400"/>
    </row>
    <row r="16" spans="1:30" ht="15.75" customHeight="1" x14ac:dyDescent="0.25">
      <c r="A16" s="403" t="s">
        <v>344</v>
      </c>
      <c r="B16" s="404"/>
      <c r="C16" s="404"/>
      <c r="D16" s="404"/>
      <c r="E16" s="404"/>
      <c r="F16" s="405"/>
      <c r="G16" s="404"/>
      <c r="H16" s="404"/>
      <c r="I16" s="404"/>
      <c r="J16" s="392" t="s">
        <v>16</v>
      </c>
      <c r="K16" s="394">
        <v>0</v>
      </c>
      <c r="L16" s="394">
        <v>0</v>
      </c>
      <c r="M16" s="390"/>
      <c r="N16" s="390"/>
      <c r="O16" s="390"/>
      <c r="P16" s="390"/>
      <c r="Q16" s="390"/>
      <c r="R16" s="545"/>
      <c r="S16" s="390"/>
      <c r="T16" s="390"/>
      <c r="U16" s="390"/>
      <c r="V16" s="390"/>
      <c r="W16" s="390"/>
      <c r="X16" s="390"/>
      <c r="Y16" s="390"/>
      <c r="Z16" s="390"/>
      <c r="AA16" s="390"/>
      <c r="AB16" s="390"/>
      <c r="AC16" s="390"/>
      <c r="AD16" s="390"/>
    </row>
    <row r="17" spans="1:30" x14ac:dyDescent="0.2">
      <c r="A17" s="406"/>
      <c r="B17" s="390"/>
      <c r="C17" s="390"/>
      <c r="D17" s="407"/>
      <c r="E17" s="378"/>
      <c r="F17" s="408"/>
      <c r="G17" s="378"/>
      <c r="H17" s="378"/>
      <c r="I17" s="378"/>
      <c r="J17" s="409"/>
      <c r="K17" s="383"/>
      <c r="L17" s="383"/>
      <c r="M17" s="378"/>
      <c r="N17" s="378"/>
      <c r="O17" s="378"/>
      <c r="P17" s="378"/>
      <c r="Q17" s="378"/>
      <c r="R17" s="548"/>
      <c r="S17" s="378"/>
      <c r="T17" s="410"/>
      <c r="U17" s="410"/>
      <c r="V17" s="378"/>
      <c r="W17" s="390"/>
      <c r="X17" s="390"/>
      <c r="Y17" s="390"/>
      <c r="Z17" s="390"/>
      <c r="AA17" s="390"/>
      <c r="AB17" s="390"/>
      <c r="AC17" s="390"/>
      <c r="AD17" s="390"/>
    </row>
    <row r="18" spans="1:30" ht="15.75" x14ac:dyDescent="0.25">
      <c r="A18" s="412" t="s">
        <v>345</v>
      </c>
      <c r="B18" s="403"/>
      <c r="C18" s="403"/>
      <c r="D18" s="403"/>
      <c r="E18" s="403"/>
      <c r="F18" s="413"/>
      <c r="G18" s="403"/>
      <c r="H18" s="403"/>
      <c r="I18" s="403"/>
      <c r="J18" s="392" t="s">
        <v>16</v>
      </c>
      <c r="K18" s="394">
        <f>SUM(K19:K20)</f>
        <v>0</v>
      </c>
      <c r="L18" s="394">
        <f>SUM(L19:L20)</f>
        <v>0</v>
      </c>
      <c r="M18" s="390"/>
      <c r="N18" s="390"/>
      <c r="O18" s="390"/>
      <c r="P18" s="390"/>
      <c r="Q18" s="390"/>
      <c r="R18" s="545"/>
      <c r="S18" s="390"/>
      <c r="T18" s="390"/>
      <c r="U18" s="390"/>
      <c r="V18" s="390"/>
      <c r="W18" s="390"/>
      <c r="X18" s="390"/>
      <c r="Y18" s="390"/>
      <c r="Z18" s="390"/>
      <c r="AA18" s="390"/>
      <c r="AB18" s="390"/>
      <c r="AC18" s="390"/>
      <c r="AD18" s="390"/>
    </row>
    <row r="19" spans="1:30" x14ac:dyDescent="0.2">
      <c r="A19" s="414"/>
      <c r="B19" s="390"/>
      <c r="C19" s="390"/>
      <c r="D19" s="378"/>
      <c r="E19" s="378"/>
      <c r="F19" s="408"/>
      <c r="G19" s="378"/>
      <c r="H19" s="378"/>
      <c r="I19" s="378"/>
      <c r="J19" s="409"/>
      <c r="K19" s="383"/>
      <c r="L19" s="383"/>
      <c r="M19" s="378"/>
      <c r="N19" s="378"/>
      <c r="O19" s="378"/>
      <c r="P19" s="378"/>
      <c r="Q19" s="378"/>
      <c r="R19" s="548"/>
      <c r="S19" s="378"/>
      <c r="T19" s="410"/>
      <c r="U19" s="378"/>
      <c r="V19" s="390"/>
      <c r="W19" s="390"/>
      <c r="X19" s="390"/>
      <c r="Y19" s="390"/>
      <c r="Z19" s="390"/>
      <c r="AA19" s="390"/>
      <c r="AB19" s="390"/>
      <c r="AC19" s="390"/>
      <c r="AD19" s="390"/>
    </row>
    <row r="20" spans="1:30" s="549" customFormat="1" x14ac:dyDescent="0.2">
      <c r="A20" s="415"/>
      <c r="B20" s="378"/>
      <c r="C20" s="378"/>
      <c r="D20" s="378"/>
      <c r="E20" s="378"/>
      <c r="F20" s="408"/>
      <c r="G20" s="378"/>
      <c r="H20" s="378"/>
      <c r="I20" s="378"/>
      <c r="J20" s="409"/>
      <c r="K20" s="383"/>
      <c r="L20" s="383"/>
      <c r="M20" s="378"/>
      <c r="N20" s="378"/>
      <c r="O20" s="378"/>
      <c r="P20" s="378"/>
      <c r="Q20" s="378"/>
      <c r="R20" s="548"/>
      <c r="S20" s="378"/>
      <c r="T20" s="410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</row>
    <row r="21" spans="1:30" s="547" customFormat="1" ht="15.75" x14ac:dyDescent="0.25">
      <c r="A21" s="399" t="s">
        <v>283</v>
      </c>
      <c r="B21" s="400"/>
      <c r="C21" s="400"/>
      <c r="D21" s="400"/>
      <c r="E21" s="400"/>
      <c r="F21" s="401"/>
      <c r="G21" s="400"/>
      <c r="H21" s="400"/>
      <c r="I21" s="400"/>
      <c r="J21" s="400"/>
      <c r="K21" s="402"/>
      <c r="L21" s="402"/>
      <c r="M21" s="400"/>
      <c r="N21" s="400"/>
      <c r="O21" s="400"/>
      <c r="P21" s="400"/>
      <c r="Q21" s="400"/>
      <c r="R21" s="546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0"/>
    </row>
    <row r="22" spans="1:30" ht="18" customHeight="1" x14ac:dyDescent="0.25">
      <c r="A22" s="403" t="s">
        <v>344</v>
      </c>
      <c r="B22" s="404"/>
      <c r="C22" s="404"/>
      <c r="D22" s="404"/>
      <c r="E22" s="404"/>
      <c r="F22" s="405"/>
      <c r="G22" s="404"/>
      <c r="H22" s="404"/>
      <c r="I22" s="404"/>
      <c r="J22" s="392" t="s">
        <v>16</v>
      </c>
      <c r="K22" s="394">
        <v>0</v>
      </c>
      <c r="L22" s="394">
        <v>0</v>
      </c>
      <c r="M22" s="390"/>
      <c r="N22" s="390"/>
      <c r="O22" s="390"/>
      <c r="P22" s="390"/>
      <c r="Q22" s="390"/>
      <c r="R22" s="545"/>
      <c r="S22" s="390"/>
      <c r="T22" s="390"/>
      <c r="U22" s="390"/>
      <c r="V22" s="390"/>
      <c r="W22" s="390"/>
      <c r="X22" s="390"/>
      <c r="Y22" s="390"/>
      <c r="Z22" s="390"/>
      <c r="AA22" s="390"/>
      <c r="AB22" s="390"/>
      <c r="AC22" s="390"/>
      <c r="AD22" s="390"/>
    </row>
    <row r="23" spans="1:30" s="549" customFormat="1" ht="15.75" x14ac:dyDescent="0.2">
      <c r="A23" s="386"/>
      <c r="B23" s="378"/>
      <c r="C23" s="378"/>
      <c r="D23" s="378"/>
      <c r="E23" s="378"/>
      <c r="F23" s="408"/>
      <c r="G23" s="370"/>
      <c r="H23" s="370"/>
      <c r="I23" s="370"/>
      <c r="J23" s="381"/>
      <c r="K23" s="387"/>
      <c r="L23" s="416"/>
      <c r="M23" s="370"/>
      <c r="N23" s="370"/>
      <c r="O23" s="370"/>
      <c r="P23" s="370"/>
      <c r="Q23" s="370"/>
      <c r="R23" s="548"/>
      <c r="S23" s="370"/>
      <c r="T23" s="410"/>
      <c r="U23" s="410"/>
      <c r="V23" s="378"/>
      <c r="W23" s="378"/>
      <c r="X23" s="378"/>
      <c r="Y23" s="378"/>
      <c r="Z23" s="378"/>
      <c r="AA23" s="378"/>
      <c r="AB23" s="378"/>
      <c r="AC23" s="378"/>
      <c r="AD23" s="378"/>
    </row>
    <row r="24" spans="1:30" ht="15.75" x14ac:dyDescent="0.25">
      <c r="A24" s="412" t="s">
        <v>345</v>
      </c>
      <c r="B24" s="403"/>
      <c r="C24" s="403"/>
      <c r="D24" s="403"/>
      <c r="E24" s="403"/>
      <c r="F24" s="413"/>
      <c r="G24" s="403"/>
      <c r="H24" s="403"/>
      <c r="I24" s="403"/>
      <c r="J24" s="392" t="s">
        <v>16</v>
      </c>
      <c r="K24" s="394">
        <f>SUM(K25:K26)</f>
        <v>0</v>
      </c>
      <c r="L24" s="394">
        <f>SUM(L25:L26)</f>
        <v>0</v>
      </c>
      <c r="M24" s="390"/>
      <c r="N24" s="390"/>
      <c r="O24" s="390"/>
      <c r="P24" s="390"/>
      <c r="Q24" s="390"/>
      <c r="R24" s="545"/>
      <c r="S24" s="390"/>
      <c r="T24" s="390"/>
      <c r="U24" s="390"/>
      <c r="V24" s="390"/>
      <c r="W24" s="390"/>
      <c r="X24" s="390"/>
      <c r="Y24" s="390"/>
      <c r="Z24" s="390"/>
      <c r="AA24" s="390"/>
      <c r="AB24" s="390"/>
      <c r="AC24" s="390"/>
      <c r="AD24" s="390"/>
    </row>
    <row r="25" spans="1:30" x14ac:dyDescent="0.2">
      <c r="A25" s="414"/>
      <c r="B25" s="390"/>
      <c r="C25" s="390"/>
      <c r="D25" s="378"/>
      <c r="E25" s="378"/>
      <c r="F25" s="408"/>
      <c r="G25" s="378"/>
      <c r="H25" s="378"/>
      <c r="I25" s="378"/>
      <c r="J25" s="409"/>
      <c r="K25" s="383"/>
      <c r="L25" s="383"/>
      <c r="M25" s="378"/>
      <c r="N25" s="378"/>
      <c r="O25" s="378"/>
      <c r="P25" s="378"/>
      <c r="Q25" s="378"/>
      <c r="R25" s="548"/>
      <c r="S25" s="378"/>
      <c r="T25" s="410"/>
      <c r="U25" s="378"/>
      <c r="V25" s="390"/>
      <c r="W25" s="390"/>
      <c r="X25" s="390"/>
      <c r="Y25" s="390"/>
      <c r="Z25" s="390"/>
      <c r="AA25" s="390"/>
      <c r="AB25" s="390"/>
      <c r="AC25" s="390"/>
      <c r="AD25" s="390"/>
    </row>
    <row r="26" spans="1:30" s="549" customFormat="1" x14ac:dyDescent="0.2">
      <c r="A26" s="415"/>
      <c r="B26" s="378"/>
      <c r="C26" s="378"/>
      <c r="D26" s="378"/>
      <c r="E26" s="378"/>
      <c r="F26" s="408"/>
      <c r="G26" s="378"/>
      <c r="H26" s="378"/>
      <c r="I26" s="378"/>
      <c r="J26" s="409"/>
      <c r="K26" s="383"/>
      <c r="L26" s="383"/>
      <c r="M26" s="378"/>
      <c r="N26" s="378"/>
      <c r="O26" s="378"/>
      <c r="P26" s="378"/>
      <c r="Q26" s="378"/>
      <c r="R26" s="548"/>
      <c r="S26" s="378"/>
      <c r="T26" s="410"/>
      <c r="U26" s="378"/>
      <c r="V26" s="378"/>
      <c r="W26" s="378"/>
      <c r="X26" s="378"/>
      <c r="Y26" s="378"/>
      <c r="Z26" s="378"/>
      <c r="AA26" s="378"/>
      <c r="AB26" s="378"/>
      <c r="AC26" s="378"/>
      <c r="AD26" s="378"/>
    </row>
    <row r="27" spans="1:30" s="547" customFormat="1" ht="15.75" x14ac:dyDescent="0.25">
      <c r="A27" s="399" t="s">
        <v>284</v>
      </c>
      <c r="B27" s="400"/>
      <c r="C27" s="400"/>
      <c r="D27" s="400"/>
      <c r="E27" s="400"/>
      <c r="F27" s="401"/>
      <c r="G27" s="400"/>
      <c r="H27" s="400"/>
      <c r="I27" s="400"/>
      <c r="J27" s="400"/>
      <c r="K27" s="402"/>
      <c r="L27" s="402"/>
      <c r="M27" s="400"/>
      <c r="N27" s="400"/>
      <c r="O27" s="400"/>
      <c r="P27" s="400"/>
      <c r="Q27" s="400"/>
      <c r="R27" s="546"/>
      <c r="S27" s="400"/>
      <c r="T27" s="400"/>
      <c r="U27" s="400"/>
      <c r="V27" s="400"/>
      <c r="W27" s="400"/>
      <c r="X27" s="400"/>
      <c r="Y27" s="400"/>
      <c r="Z27" s="400"/>
      <c r="AA27" s="400"/>
      <c r="AB27" s="400"/>
      <c r="AC27" s="400"/>
      <c r="AD27" s="400"/>
    </row>
    <row r="28" spans="1:30" ht="16.5" customHeight="1" x14ac:dyDescent="0.25">
      <c r="A28" s="403" t="s">
        <v>344</v>
      </c>
      <c r="B28" s="404"/>
      <c r="C28" s="404"/>
      <c r="D28" s="404"/>
      <c r="E28" s="404"/>
      <c r="F28" s="405"/>
      <c r="G28" s="404"/>
      <c r="H28" s="404"/>
      <c r="I28" s="404"/>
      <c r="J28" s="392" t="s">
        <v>16</v>
      </c>
      <c r="K28" s="394">
        <v>0</v>
      </c>
      <c r="L28" s="394">
        <v>0</v>
      </c>
      <c r="M28" s="390"/>
      <c r="N28" s="390"/>
      <c r="O28" s="390"/>
      <c r="P28" s="390"/>
      <c r="Q28" s="390"/>
      <c r="R28" s="545"/>
      <c r="S28" s="390"/>
      <c r="T28" s="390"/>
      <c r="U28" s="390"/>
      <c r="V28" s="390"/>
      <c r="W28" s="390"/>
      <c r="X28" s="390"/>
      <c r="Y28" s="390"/>
      <c r="Z28" s="390"/>
      <c r="AA28" s="390"/>
      <c r="AB28" s="390"/>
      <c r="AC28" s="390"/>
      <c r="AD28" s="390"/>
    </row>
    <row r="29" spans="1:30" x14ac:dyDescent="0.2">
      <c r="A29" s="406"/>
      <c r="B29" s="390"/>
      <c r="C29" s="390"/>
      <c r="D29" s="407"/>
      <c r="E29" s="378"/>
      <c r="F29" s="408"/>
      <c r="G29" s="378"/>
      <c r="H29" s="378"/>
      <c r="I29" s="378"/>
      <c r="J29" s="409"/>
      <c r="K29" s="383"/>
      <c r="L29" s="383"/>
      <c r="M29" s="378"/>
      <c r="N29" s="378"/>
      <c r="O29" s="378"/>
      <c r="P29" s="378"/>
      <c r="Q29" s="378"/>
      <c r="R29" s="548"/>
      <c r="S29" s="378"/>
      <c r="T29" s="410"/>
      <c r="U29" s="410"/>
      <c r="V29" s="378"/>
      <c r="W29" s="390"/>
      <c r="X29" s="390"/>
      <c r="Y29" s="390"/>
      <c r="Z29" s="390"/>
      <c r="AA29" s="390"/>
      <c r="AB29" s="390"/>
      <c r="AC29" s="390"/>
      <c r="AD29" s="390"/>
    </row>
    <row r="30" spans="1:30" ht="15.75" x14ac:dyDescent="0.25">
      <c r="A30" s="412" t="s">
        <v>345</v>
      </c>
      <c r="B30" s="403"/>
      <c r="C30" s="403"/>
      <c r="D30" s="403"/>
      <c r="E30" s="403"/>
      <c r="F30" s="413"/>
      <c r="G30" s="403"/>
      <c r="H30" s="403"/>
      <c r="I30" s="403"/>
      <c r="J30" s="392" t="s">
        <v>16</v>
      </c>
      <c r="K30" s="394">
        <f>SUM(K31:K32)</f>
        <v>0</v>
      </c>
      <c r="L30" s="394">
        <f>SUM(L31:L32)</f>
        <v>0</v>
      </c>
      <c r="M30" s="390"/>
      <c r="N30" s="390"/>
      <c r="O30" s="390"/>
      <c r="P30" s="390"/>
      <c r="Q30" s="390"/>
      <c r="R30" s="545"/>
      <c r="S30" s="390"/>
      <c r="T30" s="390"/>
      <c r="U30" s="390"/>
      <c r="V30" s="390"/>
      <c r="W30" s="390"/>
      <c r="X30" s="390"/>
      <c r="Y30" s="390"/>
      <c r="Z30" s="390"/>
      <c r="AA30" s="390"/>
      <c r="AB30" s="390"/>
      <c r="AC30" s="390"/>
      <c r="AD30" s="390"/>
    </row>
    <row r="31" spans="1:30" x14ac:dyDescent="0.2">
      <c r="A31" s="414"/>
      <c r="B31" s="390"/>
      <c r="C31" s="390"/>
      <c r="D31" s="378"/>
      <c r="E31" s="378"/>
      <c r="F31" s="408"/>
      <c r="G31" s="378"/>
      <c r="H31" s="378"/>
      <c r="I31" s="378"/>
      <c r="J31" s="409"/>
      <c r="K31" s="383"/>
      <c r="L31" s="383"/>
      <c r="M31" s="378"/>
      <c r="N31" s="378"/>
      <c r="O31" s="378"/>
      <c r="P31" s="378"/>
      <c r="Q31" s="378"/>
      <c r="R31" s="548"/>
      <c r="S31" s="378"/>
      <c r="T31" s="410"/>
      <c r="U31" s="378"/>
      <c r="V31" s="390"/>
      <c r="W31" s="390"/>
      <c r="X31" s="390"/>
      <c r="Y31" s="390"/>
      <c r="Z31" s="390"/>
      <c r="AA31" s="390"/>
      <c r="AB31" s="390"/>
      <c r="AC31" s="390"/>
      <c r="AD31" s="390"/>
    </row>
    <row r="32" spans="1:30" s="549" customFormat="1" x14ac:dyDescent="0.2">
      <c r="A32" s="415"/>
      <c r="B32" s="378"/>
      <c r="C32" s="378"/>
      <c r="D32" s="378"/>
      <c r="E32" s="378"/>
      <c r="F32" s="408"/>
      <c r="G32" s="378"/>
      <c r="H32" s="378"/>
      <c r="I32" s="378"/>
      <c r="J32" s="409"/>
      <c r="K32" s="383"/>
      <c r="L32" s="383"/>
      <c r="M32" s="378"/>
      <c r="N32" s="378"/>
      <c r="O32" s="378"/>
      <c r="P32" s="378"/>
      <c r="Q32" s="378"/>
      <c r="R32" s="548"/>
      <c r="S32" s="378"/>
      <c r="T32" s="410"/>
      <c r="U32" s="378"/>
      <c r="V32" s="378"/>
      <c r="W32" s="378"/>
      <c r="X32" s="378"/>
      <c r="Y32" s="378"/>
      <c r="Z32" s="378"/>
      <c r="AA32" s="378"/>
      <c r="AB32" s="378"/>
      <c r="AC32" s="378"/>
      <c r="AD32" s="378"/>
    </row>
    <row r="33" spans="1:30" s="547" customFormat="1" ht="15.75" x14ac:dyDescent="0.25">
      <c r="A33" s="399" t="s">
        <v>285</v>
      </c>
      <c r="B33" s="400"/>
      <c r="C33" s="400"/>
      <c r="D33" s="400"/>
      <c r="E33" s="400"/>
      <c r="F33" s="401"/>
      <c r="G33" s="400"/>
      <c r="H33" s="400"/>
      <c r="I33" s="400"/>
      <c r="J33" s="400"/>
      <c r="K33" s="402"/>
      <c r="L33" s="402"/>
      <c r="M33" s="400"/>
      <c r="N33" s="400"/>
      <c r="O33" s="400"/>
      <c r="P33" s="400"/>
      <c r="Q33" s="400"/>
      <c r="R33" s="546"/>
      <c r="S33" s="400"/>
      <c r="T33" s="400"/>
      <c r="U33" s="400"/>
      <c r="V33" s="400"/>
      <c r="W33" s="400"/>
      <c r="X33" s="400"/>
      <c r="Y33" s="400"/>
      <c r="Z33" s="400"/>
      <c r="AA33" s="400"/>
      <c r="AB33" s="400"/>
      <c r="AC33" s="400"/>
      <c r="AD33" s="400"/>
    </row>
    <row r="34" spans="1:30" ht="15.75" customHeight="1" x14ac:dyDescent="0.25">
      <c r="A34" s="403" t="s">
        <v>344</v>
      </c>
      <c r="B34" s="404"/>
      <c r="C34" s="404"/>
      <c r="D34" s="404"/>
      <c r="E34" s="404"/>
      <c r="F34" s="405"/>
      <c r="G34" s="404"/>
      <c r="H34" s="404"/>
      <c r="I34" s="404"/>
      <c r="J34" s="392" t="s">
        <v>16</v>
      </c>
      <c r="K34" s="394">
        <v>0</v>
      </c>
      <c r="L34" s="394">
        <v>0</v>
      </c>
      <c r="M34" s="390"/>
      <c r="N34" s="390"/>
      <c r="O34" s="390"/>
      <c r="P34" s="390"/>
      <c r="Q34" s="390"/>
      <c r="R34" s="545"/>
      <c r="S34" s="390"/>
      <c r="T34" s="390"/>
      <c r="U34" s="390"/>
      <c r="V34" s="390"/>
      <c r="W34" s="390"/>
      <c r="X34" s="390"/>
      <c r="Y34" s="390"/>
      <c r="Z34" s="390"/>
      <c r="AA34" s="390"/>
      <c r="AB34" s="390"/>
      <c r="AC34" s="390"/>
      <c r="AD34" s="390"/>
    </row>
    <row r="35" spans="1:30" x14ac:dyDescent="0.2">
      <c r="A35" s="406"/>
      <c r="B35" s="390"/>
      <c r="C35" s="390"/>
      <c r="D35" s="407"/>
      <c r="E35" s="378"/>
      <c r="F35" s="408"/>
      <c r="G35" s="378"/>
      <c r="H35" s="378"/>
      <c r="I35" s="378"/>
      <c r="J35" s="409"/>
      <c r="K35" s="383"/>
      <c r="L35" s="383"/>
      <c r="M35" s="378"/>
      <c r="N35" s="378"/>
      <c r="O35" s="378"/>
      <c r="P35" s="378"/>
      <c r="Q35" s="378"/>
      <c r="R35" s="548"/>
      <c r="S35" s="378"/>
      <c r="T35" s="410"/>
      <c r="U35" s="410"/>
      <c r="V35" s="378"/>
      <c r="W35" s="390"/>
      <c r="X35" s="390"/>
      <c r="Y35" s="390"/>
      <c r="Z35" s="390"/>
      <c r="AA35" s="390"/>
      <c r="AB35" s="390"/>
      <c r="AC35" s="390"/>
      <c r="AD35" s="390"/>
    </row>
    <row r="36" spans="1:30" ht="15.75" x14ac:dyDescent="0.25">
      <c r="A36" s="412" t="s">
        <v>345</v>
      </c>
      <c r="B36" s="403"/>
      <c r="C36" s="403"/>
      <c r="D36" s="403"/>
      <c r="E36" s="403"/>
      <c r="F36" s="413"/>
      <c r="G36" s="403"/>
      <c r="H36" s="403"/>
      <c r="I36" s="403"/>
      <c r="J36" s="392" t="s">
        <v>16</v>
      </c>
      <c r="K36" s="394">
        <f>SUM(K37:K38)</f>
        <v>0</v>
      </c>
      <c r="L36" s="394">
        <f>SUM(L37:L38)</f>
        <v>0</v>
      </c>
      <c r="M36" s="390"/>
      <c r="N36" s="390"/>
      <c r="O36" s="390"/>
      <c r="P36" s="390"/>
      <c r="Q36" s="390"/>
      <c r="R36" s="545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</row>
    <row r="37" spans="1:30" x14ac:dyDescent="0.2">
      <c r="A37" s="414"/>
      <c r="B37" s="390"/>
      <c r="C37" s="390"/>
      <c r="D37" s="378"/>
      <c r="E37" s="378"/>
      <c r="F37" s="408"/>
      <c r="G37" s="378"/>
      <c r="H37" s="378"/>
      <c r="I37" s="378"/>
      <c r="J37" s="409"/>
      <c r="K37" s="383"/>
      <c r="L37" s="383"/>
      <c r="M37" s="378"/>
      <c r="N37" s="378"/>
      <c r="O37" s="378"/>
      <c r="P37" s="378"/>
      <c r="Q37" s="378"/>
      <c r="R37" s="548"/>
      <c r="S37" s="378"/>
      <c r="T37" s="410"/>
      <c r="U37" s="378"/>
      <c r="V37" s="390"/>
      <c r="W37" s="390"/>
      <c r="X37" s="390"/>
      <c r="Y37" s="390"/>
      <c r="Z37" s="390"/>
      <c r="AA37" s="390"/>
      <c r="AB37" s="390"/>
      <c r="AC37" s="390"/>
      <c r="AD37" s="390"/>
    </row>
    <row r="38" spans="1:30" s="549" customFormat="1" x14ac:dyDescent="0.2">
      <c r="A38" s="415"/>
      <c r="B38" s="378"/>
      <c r="C38" s="378"/>
      <c r="D38" s="378"/>
      <c r="E38" s="378"/>
      <c r="F38" s="408"/>
      <c r="G38" s="378"/>
      <c r="H38" s="378"/>
      <c r="I38" s="378"/>
      <c r="J38" s="409"/>
      <c r="K38" s="383"/>
      <c r="L38" s="383"/>
      <c r="M38" s="378"/>
      <c r="N38" s="378"/>
      <c r="O38" s="378"/>
      <c r="P38" s="378"/>
      <c r="Q38" s="378"/>
      <c r="R38" s="548"/>
      <c r="S38" s="378"/>
      <c r="T38" s="410"/>
      <c r="U38" s="378"/>
      <c r="V38" s="378"/>
      <c r="W38" s="378"/>
      <c r="X38" s="378"/>
      <c r="Y38" s="378"/>
      <c r="Z38" s="378"/>
      <c r="AA38" s="378"/>
      <c r="AB38" s="378"/>
      <c r="AC38" s="378"/>
      <c r="AD38" s="378"/>
    </row>
    <row r="39" spans="1:30" s="547" customFormat="1" ht="15.75" x14ac:dyDescent="0.25">
      <c r="A39" s="399" t="s">
        <v>286</v>
      </c>
      <c r="B39" s="400"/>
      <c r="C39" s="400"/>
      <c r="D39" s="400"/>
      <c r="E39" s="400"/>
      <c r="F39" s="401"/>
      <c r="G39" s="400"/>
      <c r="H39" s="400"/>
      <c r="I39" s="400"/>
      <c r="J39" s="400"/>
      <c r="K39" s="402"/>
      <c r="L39" s="402"/>
      <c r="M39" s="400"/>
      <c r="N39" s="400"/>
      <c r="O39" s="400"/>
      <c r="P39" s="400"/>
      <c r="Q39" s="400"/>
      <c r="R39" s="546"/>
      <c r="S39" s="400"/>
      <c r="T39" s="400"/>
      <c r="U39" s="400"/>
      <c r="V39" s="400"/>
      <c r="W39" s="400"/>
      <c r="X39" s="400"/>
      <c r="Y39" s="400"/>
      <c r="Z39" s="400"/>
      <c r="AA39" s="400"/>
      <c r="AB39" s="400"/>
      <c r="AC39" s="400"/>
      <c r="AD39" s="400"/>
    </row>
    <row r="40" spans="1:30" ht="18.75" customHeight="1" x14ac:dyDescent="0.25">
      <c r="A40" s="403" t="s">
        <v>344</v>
      </c>
      <c r="B40" s="404"/>
      <c r="C40" s="404"/>
      <c r="D40" s="404"/>
      <c r="E40" s="404"/>
      <c r="F40" s="405"/>
      <c r="G40" s="404"/>
      <c r="H40" s="404"/>
      <c r="I40" s="404"/>
      <c r="J40" s="392" t="s">
        <v>16</v>
      </c>
      <c r="K40" s="394">
        <v>0</v>
      </c>
      <c r="L40" s="394">
        <v>0</v>
      </c>
      <c r="M40" s="390"/>
      <c r="N40" s="390"/>
      <c r="O40" s="390"/>
      <c r="P40" s="390"/>
      <c r="Q40" s="390"/>
      <c r="R40" s="545"/>
      <c r="S40" s="390"/>
      <c r="T40" s="390"/>
      <c r="U40" s="390"/>
      <c r="V40" s="390"/>
      <c r="W40" s="390"/>
      <c r="X40" s="390"/>
      <c r="Y40" s="390"/>
      <c r="Z40" s="390"/>
      <c r="AA40" s="390"/>
      <c r="AB40" s="390"/>
      <c r="AC40" s="390"/>
      <c r="AD40" s="390"/>
    </row>
    <row r="41" spans="1:30" x14ac:dyDescent="0.2">
      <c r="A41" s="406"/>
      <c r="B41" s="390"/>
      <c r="C41" s="390"/>
      <c r="D41" s="407"/>
      <c r="E41" s="378"/>
      <c r="F41" s="408"/>
      <c r="G41" s="378"/>
      <c r="H41" s="378"/>
      <c r="I41" s="378"/>
      <c r="J41" s="409"/>
      <c r="K41" s="383"/>
      <c r="L41" s="383"/>
      <c r="M41" s="378"/>
      <c r="N41" s="378"/>
      <c r="O41" s="378"/>
      <c r="P41" s="378"/>
      <c r="Q41" s="378"/>
      <c r="R41" s="548"/>
      <c r="S41" s="378"/>
      <c r="T41" s="410"/>
      <c r="U41" s="410"/>
      <c r="V41" s="378"/>
      <c r="W41" s="390"/>
      <c r="X41" s="390"/>
      <c r="Y41" s="390"/>
      <c r="Z41" s="390"/>
      <c r="AA41" s="390"/>
      <c r="AB41" s="390"/>
      <c r="AC41" s="390"/>
      <c r="AD41" s="390"/>
    </row>
    <row r="42" spans="1:30" ht="15.75" x14ac:dyDescent="0.25">
      <c r="A42" s="412" t="s">
        <v>345</v>
      </c>
      <c r="B42" s="403"/>
      <c r="C42" s="403"/>
      <c r="D42" s="403"/>
      <c r="E42" s="403"/>
      <c r="F42" s="413"/>
      <c r="G42" s="403"/>
      <c r="H42" s="403"/>
      <c r="I42" s="403"/>
      <c r="J42" s="392" t="s">
        <v>16</v>
      </c>
      <c r="K42" s="394">
        <v>0</v>
      </c>
      <c r="L42" s="394">
        <f>SUM(L43:L44)</f>
        <v>0</v>
      </c>
      <c r="M42" s="390"/>
      <c r="N42" s="390"/>
      <c r="O42" s="390"/>
      <c r="P42" s="390"/>
      <c r="Q42" s="390"/>
      <c r="R42" s="545"/>
      <c r="S42" s="390"/>
      <c r="T42" s="390"/>
      <c r="U42" s="390"/>
      <c r="V42" s="390"/>
      <c r="W42" s="390"/>
      <c r="X42" s="390"/>
      <c r="Y42" s="390"/>
      <c r="Z42" s="390"/>
      <c r="AA42" s="390"/>
      <c r="AB42" s="390"/>
      <c r="AC42" s="390"/>
      <c r="AD42" s="390"/>
    </row>
    <row r="43" spans="1:30" x14ac:dyDescent="0.2">
      <c r="A43" s="414"/>
      <c r="B43" s="390"/>
      <c r="C43" s="390"/>
      <c r="D43" s="378"/>
      <c r="E43" s="378"/>
      <c r="F43" s="408"/>
      <c r="G43" s="378"/>
      <c r="H43" s="378"/>
      <c r="I43" s="378"/>
      <c r="J43" s="409"/>
      <c r="K43" s="383"/>
      <c r="L43" s="383"/>
      <c r="M43" s="378"/>
      <c r="N43" s="378"/>
      <c r="O43" s="378"/>
      <c r="P43" s="378"/>
      <c r="Q43" s="378"/>
      <c r="R43" s="548"/>
      <c r="S43" s="378"/>
      <c r="T43" s="410"/>
      <c r="U43" s="378"/>
      <c r="V43" s="390"/>
      <c r="W43" s="390"/>
      <c r="X43" s="390"/>
      <c r="Y43" s="390"/>
      <c r="Z43" s="390"/>
      <c r="AA43" s="390"/>
      <c r="AB43" s="390"/>
      <c r="AC43" s="390"/>
      <c r="AD43" s="390"/>
    </row>
    <row r="44" spans="1:30" s="549" customFormat="1" x14ac:dyDescent="0.2">
      <c r="A44" s="415"/>
      <c r="B44" s="378"/>
      <c r="C44" s="378"/>
      <c r="D44" s="378"/>
      <c r="E44" s="378"/>
      <c r="F44" s="408"/>
      <c r="G44" s="378"/>
      <c r="H44" s="378"/>
      <c r="I44" s="378"/>
      <c r="J44" s="409"/>
      <c r="K44" s="383"/>
      <c r="L44" s="383"/>
      <c r="M44" s="378"/>
      <c r="N44" s="378"/>
      <c r="O44" s="378"/>
      <c r="P44" s="378"/>
      <c r="Q44" s="378"/>
      <c r="R44" s="548"/>
      <c r="S44" s="378"/>
      <c r="T44" s="410"/>
      <c r="U44" s="378"/>
      <c r="V44" s="378"/>
      <c r="W44" s="378"/>
      <c r="X44" s="378"/>
      <c r="Y44" s="378"/>
      <c r="Z44" s="378"/>
      <c r="AA44" s="378"/>
      <c r="AB44" s="378"/>
      <c r="AC44" s="378"/>
      <c r="AD44" s="378"/>
    </row>
    <row r="45" spans="1:30" s="547" customFormat="1" ht="15.75" x14ac:dyDescent="0.25">
      <c r="A45" s="399" t="s">
        <v>287</v>
      </c>
      <c r="B45" s="400"/>
      <c r="C45" s="400"/>
      <c r="D45" s="400"/>
      <c r="E45" s="400"/>
      <c r="F45" s="401"/>
      <c r="G45" s="400"/>
      <c r="H45" s="400"/>
      <c r="I45" s="400"/>
      <c r="J45" s="400"/>
      <c r="K45" s="402"/>
      <c r="L45" s="402"/>
      <c r="M45" s="400"/>
      <c r="N45" s="400"/>
      <c r="O45" s="400"/>
      <c r="P45" s="400"/>
      <c r="Q45" s="400"/>
      <c r="R45" s="546"/>
      <c r="S45" s="400"/>
      <c r="T45" s="400"/>
      <c r="U45" s="400"/>
      <c r="V45" s="400"/>
      <c r="W45" s="400"/>
      <c r="X45" s="400"/>
      <c r="Y45" s="400"/>
      <c r="Z45" s="400"/>
      <c r="AA45" s="400"/>
      <c r="AB45" s="400"/>
      <c r="AC45" s="400"/>
      <c r="AD45" s="400"/>
    </row>
    <row r="46" spans="1:30" ht="15.75" customHeight="1" x14ac:dyDescent="0.25">
      <c r="A46" s="403" t="s">
        <v>344</v>
      </c>
      <c r="B46" s="404"/>
      <c r="C46" s="404"/>
      <c r="D46" s="404"/>
      <c r="E46" s="404"/>
      <c r="F46" s="405"/>
      <c r="G46" s="404"/>
      <c r="H46" s="404"/>
      <c r="I46" s="404"/>
      <c r="J46" s="392" t="s">
        <v>16</v>
      </c>
      <c r="K46" s="394">
        <v>0</v>
      </c>
      <c r="L46" s="394">
        <v>0</v>
      </c>
      <c r="M46" s="390"/>
      <c r="N46" s="390"/>
      <c r="O46" s="390"/>
      <c r="P46" s="390"/>
      <c r="Q46" s="390"/>
      <c r="R46" s="545"/>
      <c r="S46" s="390"/>
      <c r="T46" s="390"/>
      <c r="U46" s="390"/>
      <c r="V46" s="390"/>
      <c r="W46" s="390"/>
      <c r="X46" s="390"/>
      <c r="Y46" s="390"/>
      <c r="Z46" s="390"/>
      <c r="AA46" s="390"/>
      <c r="AB46" s="390"/>
      <c r="AC46" s="390"/>
      <c r="AD46" s="390"/>
    </row>
    <row r="47" spans="1:30" s="551" customFormat="1" ht="15.75" x14ac:dyDescent="0.25">
      <c r="A47" s="387"/>
      <c r="B47" s="378"/>
      <c r="C47" s="378"/>
      <c r="D47" s="378"/>
      <c r="E47" s="378"/>
      <c r="F47" s="421"/>
      <c r="G47" s="295"/>
      <c r="H47" s="295"/>
      <c r="I47" s="378"/>
      <c r="J47" s="380"/>
      <c r="K47" s="383"/>
      <c r="L47" s="384"/>
      <c r="M47" s="378"/>
      <c r="N47" s="378"/>
      <c r="O47" s="378"/>
      <c r="P47" s="378"/>
      <c r="Q47" s="378"/>
      <c r="R47" s="550"/>
      <c r="S47" s="378"/>
      <c r="T47" s="410"/>
      <c r="U47" s="410"/>
      <c r="V47" s="378"/>
      <c r="W47" s="378"/>
      <c r="X47" s="378"/>
      <c r="Y47" s="378"/>
      <c r="Z47" s="378"/>
      <c r="AA47" s="378"/>
      <c r="AB47" s="378"/>
      <c r="AC47" s="378"/>
      <c r="AD47" s="378"/>
    </row>
    <row r="48" spans="1:30" ht="15.75" x14ac:dyDescent="0.25">
      <c r="A48" s="412" t="s">
        <v>345</v>
      </c>
      <c r="B48" s="403"/>
      <c r="C48" s="403"/>
      <c r="D48" s="403"/>
      <c r="E48" s="403"/>
      <c r="F48" s="413"/>
      <c r="G48" s="403"/>
      <c r="H48" s="403"/>
      <c r="I48" s="403"/>
      <c r="J48" s="392" t="s">
        <v>16</v>
      </c>
      <c r="K48" s="394">
        <f>SUM(K49:K50)</f>
        <v>0</v>
      </c>
      <c r="L48" s="394">
        <f>SUM(L49:L50)</f>
        <v>0</v>
      </c>
      <c r="M48" s="390"/>
      <c r="N48" s="390"/>
      <c r="O48" s="390"/>
      <c r="P48" s="390"/>
      <c r="Q48" s="390"/>
      <c r="R48" s="545"/>
      <c r="S48" s="390"/>
      <c r="T48" s="390"/>
      <c r="U48" s="390"/>
      <c r="V48" s="390"/>
      <c r="W48" s="390"/>
      <c r="X48" s="390"/>
      <c r="Y48" s="390"/>
      <c r="Z48" s="390"/>
      <c r="AA48" s="390"/>
      <c r="AB48" s="390"/>
      <c r="AC48" s="390"/>
      <c r="AD48" s="390"/>
    </row>
    <row r="49" spans="1:31" x14ac:dyDescent="0.2">
      <c r="A49" s="414"/>
      <c r="B49" s="390"/>
      <c r="C49" s="390"/>
      <c r="D49" s="378"/>
      <c r="E49" s="378"/>
      <c r="F49" s="408"/>
      <c r="G49" s="378"/>
      <c r="H49" s="378"/>
      <c r="I49" s="378"/>
      <c r="J49" s="409"/>
      <c r="K49" s="383"/>
      <c r="L49" s="383"/>
      <c r="M49" s="378"/>
      <c r="N49" s="378"/>
      <c r="O49" s="378"/>
      <c r="P49" s="378"/>
      <c r="Q49" s="378"/>
      <c r="R49" s="548"/>
      <c r="S49" s="378"/>
      <c r="T49" s="410"/>
      <c r="U49" s="378"/>
      <c r="V49" s="390"/>
      <c r="W49" s="390"/>
      <c r="X49" s="390"/>
      <c r="Y49" s="390"/>
      <c r="Z49" s="390"/>
      <c r="AA49" s="390"/>
      <c r="AB49" s="390"/>
      <c r="AC49" s="390"/>
      <c r="AD49" s="390"/>
    </row>
    <row r="50" spans="1:31" s="549" customFormat="1" x14ac:dyDescent="0.2">
      <c r="A50" s="415"/>
      <c r="B50" s="378"/>
      <c r="C50" s="378"/>
      <c r="D50" s="378"/>
      <c r="E50" s="378"/>
      <c r="F50" s="408"/>
      <c r="G50" s="378"/>
      <c r="H50" s="378"/>
      <c r="I50" s="378"/>
      <c r="J50" s="409"/>
      <c r="K50" s="383"/>
      <c r="L50" s="383"/>
      <c r="M50" s="378"/>
      <c r="N50" s="378"/>
      <c r="O50" s="378"/>
      <c r="P50" s="378"/>
      <c r="Q50" s="378"/>
      <c r="R50" s="548"/>
      <c r="S50" s="378"/>
      <c r="T50" s="410"/>
      <c r="U50" s="378"/>
      <c r="V50" s="378"/>
      <c r="W50" s="378"/>
      <c r="X50" s="378"/>
      <c r="Y50" s="378"/>
      <c r="Z50" s="378"/>
      <c r="AA50" s="378"/>
      <c r="AB50" s="378"/>
      <c r="AC50" s="378"/>
      <c r="AD50" s="378"/>
    </row>
    <row r="51" spans="1:31" s="547" customFormat="1" ht="15.75" x14ac:dyDescent="0.25">
      <c r="A51" s="399" t="s">
        <v>288</v>
      </c>
      <c r="B51" s="400"/>
      <c r="C51" s="400"/>
      <c r="D51" s="400"/>
      <c r="E51" s="400"/>
      <c r="F51" s="401"/>
      <c r="G51" s="400"/>
      <c r="H51" s="400"/>
      <c r="I51" s="400"/>
      <c r="J51" s="400"/>
      <c r="K51" s="402"/>
      <c r="L51" s="402"/>
      <c r="M51" s="400"/>
      <c r="N51" s="400"/>
      <c r="O51" s="400"/>
      <c r="P51" s="400"/>
      <c r="Q51" s="400"/>
      <c r="R51" s="546"/>
      <c r="S51" s="400"/>
      <c r="T51" s="400"/>
      <c r="U51" s="400"/>
      <c r="V51" s="400"/>
      <c r="W51" s="400"/>
      <c r="X51" s="400"/>
      <c r="Y51" s="400"/>
      <c r="Z51" s="400"/>
      <c r="AA51" s="400"/>
      <c r="AB51" s="400"/>
      <c r="AC51" s="400"/>
      <c r="AD51" s="400"/>
    </row>
    <row r="52" spans="1:31" ht="15.75" x14ac:dyDescent="0.25">
      <c r="A52" s="403" t="s">
        <v>344</v>
      </c>
      <c r="B52" s="404"/>
      <c r="C52" s="404"/>
      <c r="D52" s="404"/>
      <c r="E52" s="404"/>
      <c r="F52" s="405"/>
      <c r="G52" s="404"/>
      <c r="H52" s="404"/>
      <c r="I52" s="404"/>
      <c r="J52" s="392" t="s">
        <v>16</v>
      </c>
      <c r="K52" s="394">
        <v>0</v>
      </c>
      <c r="L52" s="394"/>
      <c r="M52" s="390"/>
      <c r="N52" s="390"/>
      <c r="O52" s="390"/>
      <c r="P52" s="390"/>
      <c r="Q52" s="390"/>
      <c r="R52" s="545"/>
      <c r="S52" s="390"/>
      <c r="T52" s="390"/>
      <c r="U52" s="390"/>
      <c r="V52" s="390"/>
      <c r="W52" s="390"/>
      <c r="X52" s="390"/>
      <c r="Y52" s="390"/>
      <c r="Z52" s="390"/>
      <c r="AA52" s="390"/>
      <c r="AB52" s="390"/>
      <c r="AC52" s="390"/>
      <c r="AD52" s="390"/>
    </row>
    <row r="53" spans="1:31" x14ac:dyDescent="0.2">
      <c r="A53" s="406"/>
      <c r="B53" s="390"/>
      <c r="C53" s="390"/>
      <c r="D53" s="407"/>
      <c r="E53" s="378"/>
      <c r="F53" s="408"/>
      <c r="G53" s="378"/>
      <c r="H53" s="378"/>
      <c r="I53" s="378"/>
      <c r="J53" s="409"/>
      <c r="K53" s="383"/>
      <c r="L53" s="383"/>
      <c r="M53" s="378"/>
      <c r="N53" s="378"/>
      <c r="O53" s="378"/>
      <c r="P53" s="378"/>
      <c r="Q53" s="378"/>
      <c r="R53" s="548"/>
      <c r="S53" s="378"/>
      <c r="T53" s="410"/>
      <c r="U53" s="410"/>
      <c r="V53" s="378"/>
      <c r="W53" s="390"/>
      <c r="X53" s="390"/>
      <c r="Y53" s="390"/>
      <c r="Z53" s="390"/>
      <c r="AA53" s="390"/>
      <c r="AB53" s="390"/>
      <c r="AC53" s="390"/>
      <c r="AD53" s="390"/>
    </row>
    <row r="54" spans="1:31" ht="15.75" x14ac:dyDescent="0.25">
      <c r="A54" s="412" t="s">
        <v>345</v>
      </c>
      <c r="B54" s="403"/>
      <c r="C54" s="403"/>
      <c r="D54" s="403"/>
      <c r="E54" s="403"/>
      <c r="F54" s="413"/>
      <c r="G54" s="403"/>
      <c r="H54" s="403"/>
      <c r="I54" s="403"/>
      <c r="J54" s="392" t="s">
        <v>16</v>
      </c>
      <c r="K54" s="394">
        <f>SUM(K55:K56)</f>
        <v>0</v>
      </c>
      <c r="L54" s="394">
        <f>SUM(L55:L56)</f>
        <v>0</v>
      </c>
      <c r="M54" s="390"/>
      <c r="N54" s="390"/>
      <c r="O54" s="390"/>
      <c r="P54" s="390"/>
      <c r="Q54" s="390"/>
      <c r="R54" s="545"/>
      <c r="S54" s="390"/>
      <c r="T54" s="390"/>
      <c r="U54" s="390"/>
      <c r="V54" s="390"/>
      <c r="W54" s="390"/>
      <c r="X54" s="390"/>
      <c r="Y54" s="390"/>
      <c r="Z54" s="390"/>
      <c r="AA54" s="390"/>
      <c r="AB54" s="390"/>
      <c r="AC54" s="390"/>
      <c r="AD54" s="390"/>
    </row>
    <row r="55" spans="1:31" x14ac:dyDescent="0.2">
      <c r="A55" s="414"/>
      <c r="B55" s="390"/>
      <c r="C55" s="390"/>
      <c r="D55" s="378"/>
      <c r="E55" s="378"/>
      <c r="F55" s="408"/>
      <c r="G55" s="378"/>
      <c r="H55" s="378"/>
      <c r="I55" s="378"/>
      <c r="J55" s="409"/>
      <c r="K55" s="383"/>
      <c r="L55" s="383"/>
      <c r="M55" s="378"/>
      <c r="N55" s="378"/>
      <c r="O55" s="378"/>
      <c r="P55" s="378"/>
      <c r="Q55" s="378"/>
      <c r="R55" s="548"/>
      <c r="S55" s="378"/>
      <c r="T55" s="410"/>
      <c r="U55" s="378"/>
      <c r="V55" s="390"/>
      <c r="W55" s="390"/>
      <c r="X55" s="390"/>
      <c r="Y55" s="390"/>
      <c r="Z55" s="390"/>
      <c r="AA55" s="390"/>
      <c r="AB55" s="390"/>
      <c r="AC55" s="390"/>
      <c r="AD55" s="390"/>
    </row>
    <row r="56" spans="1:31" s="549" customFormat="1" x14ac:dyDescent="0.2">
      <c r="A56" s="415"/>
      <c r="B56" s="378"/>
      <c r="C56" s="378"/>
      <c r="D56" s="378"/>
      <c r="E56" s="378"/>
      <c r="F56" s="408"/>
      <c r="G56" s="378"/>
      <c r="H56" s="378"/>
      <c r="I56" s="378"/>
      <c r="J56" s="409"/>
      <c r="K56" s="383"/>
      <c r="L56" s="383"/>
      <c r="M56" s="378"/>
      <c r="N56" s="378"/>
      <c r="O56" s="378"/>
      <c r="P56" s="378"/>
      <c r="Q56" s="378"/>
      <c r="R56" s="548"/>
      <c r="S56" s="378"/>
      <c r="T56" s="410"/>
      <c r="U56" s="378"/>
      <c r="V56" s="378"/>
      <c r="W56" s="378"/>
      <c r="X56" s="378"/>
      <c r="Y56" s="378"/>
      <c r="Z56" s="378"/>
      <c r="AA56" s="378"/>
      <c r="AB56" s="378"/>
      <c r="AC56" s="378"/>
      <c r="AD56" s="378"/>
    </row>
    <row r="57" spans="1:31" s="547" customFormat="1" ht="15.75" x14ac:dyDescent="0.25">
      <c r="A57" s="399" t="s">
        <v>289</v>
      </c>
      <c r="B57" s="400"/>
      <c r="C57" s="400"/>
      <c r="D57" s="400"/>
      <c r="E57" s="400"/>
      <c r="F57" s="401"/>
      <c r="G57" s="400"/>
      <c r="H57" s="400"/>
      <c r="I57" s="400"/>
      <c r="J57" s="400"/>
      <c r="K57" s="402"/>
      <c r="L57" s="402"/>
      <c r="M57" s="400"/>
      <c r="N57" s="400"/>
      <c r="O57" s="400"/>
      <c r="P57" s="400"/>
      <c r="Q57" s="400"/>
      <c r="R57" s="546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400"/>
      <c r="AD57" s="400"/>
    </row>
    <row r="58" spans="1:31" ht="15.75" x14ac:dyDescent="0.25">
      <c r="A58" s="403" t="s">
        <v>344</v>
      </c>
      <c r="B58" s="404"/>
      <c r="C58" s="404"/>
      <c r="D58" s="404"/>
      <c r="E58" s="404"/>
      <c r="F58" s="405"/>
      <c r="G58" s="404"/>
      <c r="H58" s="404"/>
      <c r="I58" s="404"/>
      <c r="J58" s="392" t="s">
        <v>16</v>
      </c>
      <c r="K58" s="394">
        <v>0</v>
      </c>
      <c r="L58" s="394">
        <v>0</v>
      </c>
      <c r="M58" s="390"/>
      <c r="N58" s="390"/>
      <c r="O58" s="390"/>
      <c r="P58" s="390"/>
      <c r="Q58" s="390"/>
      <c r="R58" s="545"/>
      <c r="S58" s="390"/>
      <c r="T58" s="390"/>
      <c r="U58" s="390"/>
      <c r="V58" s="390"/>
      <c r="W58" s="390"/>
      <c r="X58" s="390"/>
      <c r="Y58" s="390"/>
      <c r="Z58" s="390"/>
      <c r="AA58" s="390"/>
      <c r="AB58" s="390"/>
      <c r="AC58" s="390"/>
      <c r="AD58" s="390"/>
    </row>
    <row r="59" spans="1:31" s="549" customFormat="1" ht="15.75" x14ac:dyDescent="0.25">
      <c r="A59" s="412" t="s">
        <v>345</v>
      </c>
      <c r="B59" s="403"/>
      <c r="C59" s="403"/>
      <c r="D59" s="403"/>
      <c r="E59" s="403"/>
      <c r="F59" s="413"/>
      <c r="G59" s="403"/>
      <c r="H59" s="403"/>
      <c r="I59" s="403"/>
      <c r="J59" s="392" t="s">
        <v>16</v>
      </c>
      <c r="K59" s="394">
        <f>SUM(K60:K61)</f>
        <v>0</v>
      </c>
      <c r="L59" s="394">
        <f>SUM(L60:L61)</f>
        <v>0</v>
      </c>
      <c r="M59" s="308"/>
      <c r="N59" s="295"/>
      <c r="O59" s="295"/>
      <c r="P59" s="308"/>
      <c r="Q59" s="308"/>
      <c r="R59" s="440"/>
      <c r="S59" s="295"/>
      <c r="T59" s="430"/>
      <c r="U59" s="300"/>
      <c r="V59" s="295"/>
      <c r="W59" s="295"/>
      <c r="X59" s="295"/>
      <c r="Y59" s="295"/>
      <c r="Z59" s="295"/>
      <c r="AA59" s="295"/>
      <c r="AB59" s="295"/>
      <c r="AC59" s="310"/>
      <c r="AD59" s="295"/>
      <c r="AE59" s="295"/>
    </row>
    <row r="60" spans="1:31" s="549" customFormat="1" ht="15.75" x14ac:dyDescent="0.2">
      <c r="A60" s="310"/>
      <c r="B60" s="295"/>
      <c r="C60" s="295"/>
      <c r="D60" s="295"/>
      <c r="E60" s="295"/>
      <c r="F60" s="296"/>
      <c r="G60" s="308"/>
      <c r="H60" s="308"/>
      <c r="I60" s="308"/>
      <c r="J60" s="584"/>
      <c r="K60" s="310"/>
      <c r="L60" s="311"/>
      <c r="M60" s="308"/>
      <c r="N60" s="295"/>
      <c r="O60" s="295"/>
      <c r="P60" s="308"/>
      <c r="Q60" s="308"/>
      <c r="R60" s="536"/>
      <c r="S60" s="295"/>
      <c r="T60" s="430"/>
      <c r="U60" s="300"/>
      <c r="V60" s="295"/>
      <c r="W60" s="295"/>
      <c r="X60" s="295"/>
      <c r="Y60" s="295"/>
      <c r="Z60" s="295"/>
      <c r="AA60" s="295"/>
      <c r="AB60" s="295"/>
      <c r="AC60" s="310"/>
      <c r="AD60" s="295"/>
      <c r="AE60" s="295"/>
    </row>
    <row r="61" spans="1:31" s="549" customFormat="1" ht="15.75" x14ac:dyDescent="0.2">
      <c r="A61" s="310"/>
      <c r="B61" s="295"/>
      <c r="C61" s="295"/>
      <c r="D61" s="295"/>
      <c r="E61" s="295"/>
      <c r="F61" s="296"/>
      <c r="G61" s="308"/>
      <c r="H61" s="308"/>
      <c r="I61" s="308"/>
      <c r="J61" s="584"/>
      <c r="K61" s="298"/>
      <c r="L61" s="311"/>
      <c r="M61" s="308"/>
      <c r="N61" s="295"/>
      <c r="O61" s="295"/>
      <c r="P61" s="308"/>
      <c r="Q61" s="308"/>
      <c r="R61" s="536"/>
      <c r="S61" s="295"/>
      <c r="T61" s="430"/>
      <c r="U61" s="300"/>
      <c r="V61" s="295"/>
      <c r="W61" s="295"/>
      <c r="X61" s="295"/>
      <c r="Y61" s="295"/>
      <c r="Z61" s="295"/>
      <c r="AA61" s="295"/>
      <c r="AB61" s="295"/>
      <c r="AC61" s="310"/>
      <c r="AD61" s="295"/>
      <c r="AE61" s="295"/>
    </row>
    <row r="62" spans="1:31" s="549" customFormat="1" ht="15.75" x14ac:dyDescent="0.25">
      <c r="A62" s="285" t="s">
        <v>291</v>
      </c>
      <c r="B62" s="400"/>
      <c r="C62" s="400"/>
      <c r="D62" s="400"/>
      <c r="E62" s="400"/>
      <c r="F62" s="401"/>
      <c r="G62" s="400"/>
      <c r="H62" s="400"/>
      <c r="I62" s="400"/>
      <c r="J62" s="400"/>
      <c r="K62" s="402"/>
      <c r="L62" s="402"/>
      <c r="M62" s="400"/>
      <c r="N62" s="400"/>
      <c r="O62" s="400"/>
      <c r="P62" s="400"/>
      <c r="Q62" s="400"/>
      <c r="R62" s="546"/>
      <c r="S62" s="400"/>
      <c r="T62" s="400"/>
      <c r="U62" s="400"/>
      <c r="V62" s="400"/>
      <c r="W62" s="400"/>
      <c r="X62" s="400"/>
      <c r="Y62" s="400"/>
      <c r="Z62" s="400"/>
      <c r="AA62" s="400"/>
      <c r="AB62" s="400"/>
      <c r="AC62" s="400"/>
      <c r="AD62" s="400"/>
      <c r="AE62" s="295"/>
    </row>
    <row r="63" spans="1:31" s="552" customFormat="1" ht="15.75" x14ac:dyDescent="0.25">
      <c r="A63" s="403" t="s">
        <v>344</v>
      </c>
      <c r="B63" s="404"/>
      <c r="C63" s="404"/>
      <c r="D63" s="404"/>
      <c r="E63" s="404"/>
      <c r="F63" s="405"/>
      <c r="G63" s="404"/>
      <c r="H63" s="404"/>
      <c r="I63" s="404"/>
      <c r="J63" s="392" t="s">
        <v>16</v>
      </c>
      <c r="K63" s="277">
        <f>SUM(K64:K65)</f>
        <v>0</v>
      </c>
      <c r="L63" s="277">
        <f>SUM(L64:L65)</f>
        <v>0</v>
      </c>
      <c r="M63" s="390"/>
      <c r="N63" s="390"/>
      <c r="O63" s="390"/>
      <c r="P63" s="390"/>
      <c r="Q63" s="390"/>
      <c r="R63" s="545"/>
      <c r="S63" s="390"/>
      <c r="T63" s="390"/>
      <c r="U63" s="390"/>
      <c r="V63" s="390"/>
      <c r="W63" s="390"/>
      <c r="X63" s="390"/>
      <c r="Y63" s="390"/>
      <c r="Z63" s="390"/>
      <c r="AA63" s="390"/>
      <c r="AB63" s="390"/>
      <c r="AC63" s="390"/>
      <c r="AD63" s="390"/>
      <c r="AE63" s="270"/>
    </row>
    <row r="64" spans="1:31" s="552" customFormat="1" ht="15.75" x14ac:dyDescent="0.25">
      <c r="A64" s="740"/>
      <c r="B64" s="702"/>
      <c r="C64" s="702"/>
      <c r="D64" s="702"/>
      <c r="E64" s="702"/>
      <c r="F64" s="426"/>
      <c r="G64" s="682"/>
      <c r="H64" s="682"/>
      <c r="I64" s="682"/>
      <c r="J64" s="703"/>
      <c r="K64" s="684"/>
      <c r="L64" s="423"/>
      <c r="M64" s="682"/>
      <c r="N64" s="702"/>
      <c r="O64" s="702"/>
      <c r="P64" s="741"/>
      <c r="Q64" s="735"/>
      <c r="R64" s="742"/>
      <c r="S64" s="446"/>
      <c r="T64" s="735"/>
      <c r="U64" s="735"/>
      <c r="V64" s="735"/>
      <c r="W64" s="735"/>
      <c r="X64" s="735"/>
      <c r="Y64" s="735"/>
      <c r="Z64" s="735"/>
      <c r="AA64" s="735"/>
      <c r="AB64" s="735"/>
      <c r="AC64" s="735"/>
      <c r="AD64" s="735"/>
      <c r="AE64" s="735"/>
    </row>
    <row r="65" spans="1:31" s="552" customFormat="1" ht="15.75" x14ac:dyDescent="0.25">
      <c r="A65" s="740"/>
      <c r="B65" s="702"/>
      <c r="C65" s="702"/>
      <c r="D65" s="702"/>
      <c r="E65" s="702"/>
      <c r="F65" s="426"/>
      <c r="G65" s="682"/>
      <c r="H65" s="682"/>
      <c r="I65" s="702"/>
      <c r="J65" s="703"/>
      <c r="K65" s="684"/>
      <c r="L65" s="423"/>
      <c r="M65" s="743"/>
      <c r="N65" s="735"/>
      <c r="O65" s="735"/>
      <c r="P65" s="735"/>
      <c r="Q65" s="735"/>
      <c r="R65" s="742"/>
      <c r="S65" s="735"/>
      <c r="T65" s="735"/>
      <c r="U65" s="735"/>
      <c r="V65" s="735"/>
      <c r="W65" s="735"/>
      <c r="X65" s="735"/>
      <c r="Y65" s="735"/>
      <c r="Z65" s="735"/>
      <c r="AA65" s="735"/>
      <c r="AB65" s="735"/>
      <c r="AC65" s="735"/>
      <c r="AD65" s="735"/>
      <c r="AE65" s="735"/>
    </row>
    <row r="66" spans="1:31" s="549" customFormat="1" ht="15.75" x14ac:dyDescent="0.25">
      <c r="A66" s="412" t="s">
        <v>345</v>
      </c>
      <c r="B66" s="403"/>
      <c r="C66" s="403"/>
      <c r="D66" s="403"/>
      <c r="E66" s="403"/>
      <c r="F66" s="413"/>
      <c r="G66" s="403"/>
      <c r="H66" s="403"/>
      <c r="I66" s="403"/>
      <c r="J66" s="392" t="s">
        <v>16</v>
      </c>
      <c r="K66" s="394">
        <f>SUM(K67:K68)</f>
        <v>0</v>
      </c>
      <c r="L66" s="394">
        <f>SUM(L67:L68)</f>
        <v>0</v>
      </c>
      <c r="M66" s="308"/>
      <c r="N66" s="295"/>
      <c r="O66" s="295"/>
      <c r="P66" s="308"/>
      <c r="Q66" s="308"/>
      <c r="R66" s="536"/>
      <c r="S66" s="295"/>
      <c r="T66" s="430"/>
      <c r="U66" s="300"/>
      <c r="V66" s="295"/>
      <c r="W66" s="295"/>
      <c r="X66" s="295"/>
      <c r="Y66" s="295"/>
      <c r="Z66" s="295"/>
      <c r="AA66" s="295"/>
      <c r="AB66" s="295"/>
      <c r="AC66" s="310"/>
      <c r="AD66" s="295"/>
      <c r="AE66" s="295"/>
    </row>
    <row r="67" spans="1:31" s="549" customFormat="1" x14ac:dyDescent="0.2">
      <c r="A67" s="310"/>
      <c r="B67" s="295"/>
      <c r="C67" s="295"/>
      <c r="D67" s="295"/>
      <c r="E67" s="295"/>
      <c r="F67" s="296"/>
      <c r="G67" s="295"/>
      <c r="H67" s="295"/>
      <c r="I67" s="295"/>
      <c r="J67" s="585"/>
      <c r="K67" s="298"/>
      <c r="L67" s="298"/>
      <c r="M67" s="308"/>
      <c r="N67" s="295"/>
      <c r="O67" s="295"/>
      <c r="P67" s="308"/>
      <c r="Q67" s="308"/>
      <c r="R67" s="536"/>
      <c r="S67" s="295"/>
      <c r="T67" s="430"/>
      <c r="U67" s="300"/>
      <c r="V67" s="295"/>
      <c r="W67" s="295"/>
      <c r="X67" s="295"/>
      <c r="Y67" s="295"/>
      <c r="Z67" s="295"/>
      <c r="AA67" s="295"/>
      <c r="AB67" s="295"/>
      <c r="AC67" s="310"/>
      <c r="AD67" s="295"/>
      <c r="AE67" s="295"/>
    </row>
    <row r="68" spans="1:31" s="549" customFormat="1" x14ac:dyDescent="0.2">
      <c r="A68" s="310"/>
      <c r="B68" s="295"/>
      <c r="C68" s="295"/>
      <c r="D68" s="295"/>
      <c r="E68" s="295"/>
      <c r="F68" s="296"/>
      <c r="G68" s="295"/>
      <c r="H68" s="295"/>
      <c r="I68" s="295"/>
      <c r="J68" s="585"/>
      <c r="K68" s="310"/>
      <c r="L68" s="298"/>
      <c r="M68" s="308"/>
      <c r="N68" s="295"/>
      <c r="O68" s="295"/>
      <c r="P68" s="308"/>
      <c r="Q68" s="308"/>
      <c r="R68" s="536"/>
      <c r="S68" s="295"/>
      <c r="T68" s="430"/>
      <c r="U68" s="300"/>
      <c r="V68" s="295"/>
      <c r="W68" s="295"/>
      <c r="X68" s="295"/>
      <c r="Y68" s="295"/>
      <c r="Z68" s="295"/>
      <c r="AA68" s="295"/>
      <c r="AB68" s="295"/>
      <c r="AC68" s="310"/>
      <c r="AD68" s="295"/>
      <c r="AE68" s="295"/>
    </row>
    <row r="69" spans="1:31" s="549" customFormat="1" ht="15.75" x14ac:dyDescent="0.25">
      <c r="A69" s="285" t="s">
        <v>292</v>
      </c>
      <c r="B69" s="400"/>
      <c r="C69" s="400"/>
      <c r="D69" s="400"/>
      <c r="E69" s="400"/>
      <c r="F69" s="401"/>
      <c r="G69" s="400"/>
      <c r="H69" s="400"/>
      <c r="I69" s="400"/>
      <c r="J69" s="400"/>
      <c r="K69" s="402"/>
      <c r="L69" s="402"/>
      <c r="M69" s="400"/>
      <c r="N69" s="400"/>
      <c r="O69" s="400"/>
      <c r="P69" s="400"/>
      <c r="Q69" s="400"/>
      <c r="R69" s="546"/>
      <c r="S69" s="400"/>
      <c r="T69" s="400"/>
      <c r="U69" s="400"/>
      <c r="V69" s="400"/>
      <c r="W69" s="400"/>
      <c r="X69" s="400"/>
      <c r="Y69" s="400"/>
      <c r="Z69" s="400"/>
      <c r="AA69" s="400"/>
      <c r="AB69" s="400"/>
      <c r="AC69" s="400"/>
      <c r="AD69" s="400"/>
      <c r="AE69" s="295"/>
    </row>
    <row r="70" spans="1:31" s="549" customFormat="1" ht="15.75" x14ac:dyDescent="0.25">
      <c r="A70" s="403" t="s">
        <v>344</v>
      </c>
      <c r="B70" s="404"/>
      <c r="C70" s="404"/>
      <c r="D70" s="404"/>
      <c r="E70" s="404"/>
      <c r="F70" s="405"/>
      <c r="G70" s="404"/>
      <c r="H70" s="404"/>
      <c r="I70" s="404"/>
      <c r="J70" s="392" t="s">
        <v>16</v>
      </c>
      <c r="K70" s="394">
        <f>SUM(K71:K98)</f>
        <v>12</v>
      </c>
      <c r="L70" s="394">
        <f>SUM(L71:L98)</f>
        <v>16</v>
      </c>
      <c r="M70" s="390"/>
      <c r="N70" s="390"/>
      <c r="O70" s="390"/>
      <c r="P70" s="390"/>
      <c r="Q70" s="390"/>
      <c r="R70" s="545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0"/>
      <c r="AD70" s="390"/>
      <c r="AE70" s="295"/>
    </row>
    <row r="71" spans="1:31" s="739" customFormat="1" x14ac:dyDescent="0.2">
      <c r="A71" s="295">
        <v>1</v>
      </c>
      <c r="B71" s="378"/>
      <c r="C71" s="378"/>
      <c r="D71" s="378"/>
      <c r="E71" s="378"/>
      <c r="F71" s="408"/>
      <c r="G71" s="295" t="s">
        <v>1129</v>
      </c>
      <c r="H71" s="295" t="s">
        <v>1130</v>
      </c>
      <c r="I71" s="295" t="s">
        <v>399</v>
      </c>
      <c r="J71" s="584">
        <v>26841</v>
      </c>
      <c r="K71" s="383">
        <v>1</v>
      </c>
      <c r="L71" s="383"/>
      <c r="M71" s="310" t="s">
        <v>1131</v>
      </c>
      <c r="N71" s="295" t="s">
        <v>478</v>
      </c>
      <c r="O71" s="295" t="s">
        <v>384</v>
      </c>
      <c r="P71" s="378">
        <v>9097810325</v>
      </c>
      <c r="Q71" s="378"/>
      <c r="R71" s="744">
        <v>44522</v>
      </c>
      <c r="S71" s="295" t="s">
        <v>392</v>
      </c>
      <c r="T71" s="378"/>
      <c r="U71" s="378"/>
      <c r="V71" s="378"/>
      <c r="W71" s="378"/>
      <c r="X71" s="378"/>
      <c r="Y71" s="378"/>
      <c r="Z71" s="378"/>
      <c r="AA71" s="378"/>
      <c r="AB71" s="378"/>
      <c r="AC71" s="378"/>
      <c r="AD71" s="378"/>
      <c r="AE71" s="295"/>
    </row>
    <row r="72" spans="1:31" s="739" customFormat="1" ht="15.75" x14ac:dyDescent="0.2">
      <c r="A72" s="295">
        <v>2</v>
      </c>
      <c r="B72" s="378"/>
      <c r="C72" s="378"/>
      <c r="D72" s="378"/>
      <c r="E72" s="378"/>
      <c r="F72" s="408"/>
      <c r="G72" s="295" t="s">
        <v>1132</v>
      </c>
      <c r="H72" s="295" t="s">
        <v>1133</v>
      </c>
      <c r="I72" s="295" t="s">
        <v>397</v>
      </c>
      <c r="J72" s="416"/>
      <c r="K72" s="383">
        <v>1</v>
      </c>
      <c r="L72" s="383"/>
      <c r="M72" s="310" t="s">
        <v>1134</v>
      </c>
      <c r="N72" s="295" t="s">
        <v>478</v>
      </c>
      <c r="O72" s="295" t="s">
        <v>384</v>
      </c>
      <c r="P72" s="378">
        <v>9777178069</v>
      </c>
      <c r="Q72" s="378"/>
      <c r="R72" s="744">
        <v>44522</v>
      </c>
      <c r="S72" s="295" t="s">
        <v>392</v>
      </c>
      <c r="T72" s="378"/>
      <c r="U72" s="378"/>
      <c r="V72" s="378"/>
      <c r="W72" s="378"/>
      <c r="X72" s="378"/>
      <c r="Y72" s="378"/>
      <c r="Z72" s="378"/>
      <c r="AA72" s="378"/>
      <c r="AB72" s="378"/>
      <c r="AC72" s="378"/>
      <c r="AD72" s="378"/>
      <c r="AE72" s="295"/>
    </row>
    <row r="73" spans="1:31" s="739" customFormat="1" x14ac:dyDescent="0.2">
      <c r="A73" s="295">
        <v>3</v>
      </c>
      <c r="B73" s="378"/>
      <c r="C73" s="378"/>
      <c r="D73" s="378"/>
      <c r="E73" s="378"/>
      <c r="F73" s="408"/>
      <c r="G73" s="682" t="s">
        <v>1099</v>
      </c>
      <c r="H73" s="682" t="s">
        <v>528</v>
      </c>
      <c r="I73" s="682" t="s">
        <v>401</v>
      </c>
      <c r="J73" s="703">
        <v>32982</v>
      </c>
      <c r="K73" s="423">
        <v>1</v>
      </c>
      <c r="L73" s="423"/>
      <c r="M73" s="423" t="s">
        <v>492</v>
      </c>
      <c r="N73" s="682" t="s">
        <v>478</v>
      </c>
      <c r="O73" s="682" t="s">
        <v>384</v>
      </c>
      <c r="P73" s="682">
        <v>9464567764</v>
      </c>
      <c r="Q73" s="378"/>
      <c r="R73" s="744">
        <v>44522</v>
      </c>
      <c r="S73" s="682" t="s">
        <v>1100</v>
      </c>
      <c r="T73" s="378"/>
      <c r="U73" s="378"/>
      <c r="V73" s="378"/>
      <c r="W73" s="378"/>
      <c r="X73" s="378"/>
      <c r="Y73" s="378"/>
      <c r="Z73" s="378"/>
      <c r="AA73" s="378"/>
      <c r="AB73" s="378"/>
      <c r="AC73" s="378"/>
      <c r="AD73" s="378"/>
      <c r="AE73" s="295"/>
    </row>
    <row r="74" spans="1:31" s="739" customFormat="1" x14ac:dyDescent="0.2">
      <c r="A74" s="295">
        <v>4</v>
      </c>
      <c r="B74" s="378"/>
      <c r="C74" s="378"/>
      <c r="D74" s="378"/>
      <c r="E74" s="378"/>
      <c r="F74" s="408"/>
      <c r="G74" s="295" t="s">
        <v>1135</v>
      </c>
      <c r="H74" s="295" t="s">
        <v>1136</v>
      </c>
      <c r="I74" s="378"/>
      <c r="J74" s="584">
        <v>35567</v>
      </c>
      <c r="K74" s="383"/>
      <c r="L74" s="383">
        <v>1</v>
      </c>
      <c r="M74" s="310" t="s">
        <v>491</v>
      </c>
      <c r="N74" s="295" t="s">
        <v>478</v>
      </c>
      <c r="O74" s="295" t="s">
        <v>384</v>
      </c>
      <c r="P74" s="378">
        <v>9667819001</v>
      </c>
      <c r="Q74" s="378"/>
      <c r="R74" s="744">
        <v>44522</v>
      </c>
      <c r="S74" s="295" t="s">
        <v>392</v>
      </c>
      <c r="T74" s="378"/>
      <c r="U74" s="378"/>
      <c r="V74" s="378"/>
      <c r="W74" s="378"/>
      <c r="X74" s="378"/>
      <c r="Y74" s="378"/>
      <c r="Z74" s="378"/>
      <c r="AA74" s="378"/>
      <c r="AB74" s="378"/>
      <c r="AC74" s="378"/>
      <c r="AD74" s="378"/>
      <c r="AE74" s="295"/>
    </row>
    <row r="75" spans="1:31" s="739" customFormat="1" x14ac:dyDescent="0.2">
      <c r="A75" s="295">
        <v>5</v>
      </c>
      <c r="B75" s="378"/>
      <c r="C75" s="378"/>
      <c r="D75" s="378"/>
      <c r="E75" s="378"/>
      <c r="F75" s="408"/>
      <c r="G75" s="682" t="s">
        <v>479</v>
      </c>
      <c r="H75" s="682" t="s">
        <v>1110</v>
      </c>
      <c r="I75" s="682" t="s">
        <v>393</v>
      </c>
      <c r="J75" s="703">
        <v>20449</v>
      </c>
      <c r="K75" s="423">
        <v>1</v>
      </c>
      <c r="L75" s="423"/>
      <c r="M75" s="423" t="s">
        <v>388</v>
      </c>
      <c r="N75" s="682" t="s">
        <v>478</v>
      </c>
      <c r="O75" s="682" t="s">
        <v>384</v>
      </c>
      <c r="P75" s="682">
        <v>9104238005</v>
      </c>
      <c r="Q75" s="682"/>
      <c r="R75" s="703">
        <v>44523</v>
      </c>
      <c r="S75" s="735" t="s">
        <v>481</v>
      </c>
      <c r="T75" s="378"/>
      <c r="U75" s="378"/>
      <c r="V75" s="378"/>
      <c r="W75" s="378"/>
      <c r="X75" s="378"/>
      <c r="Y75" s="378"/>
      <c r="Z75" s="378"/>
      <c r="AA75" s="378"/>
      <c r="AB75" s="378"/>
      <c r="AC75" s="378"/>
      <c r="AD75" s="378"/>
      <c r="AE75" s="295"/>
    </row>
    <row r="76" spans="1:31" s="739" customFormat="1" x14ac:dyDescent="0.2">
      <c r="A76" s="295">
        <v>6</v>
      </c>
      <c r="B76" s="378"/>
      <c r="C76" s="378"/>
      <c r="D76" s="378"/>
      <c r="E76" s="378"/>
      <c r="F76" s="408"/>
      <c r="G76" s="295" t="s">
        <v>1137</v>
      </c>
      <c r="H76" s="295" t="s">
        <v>1138</v>
      </c>
      <c r="I76" s="378"/>
      <c r="J76" s="584">
        <v>35175</v>
      </c>
      <c r="K76" s="383"/>
      <c r="L76" s="383">
        <v>1</v>
      </c>
      <c r="M76" s="387"/>
      <c r="N76" s="295" t="s">
        <v>478</v>
      </c>
      <c r="O76" s="295" t="s">
        <v>384</v>
      </c>
      <c r="P76" s="378"/>
      <c r="Q76" s="378"/>
      <c r="R76" s="703">
        <v>44523</v>
      </c>
      <c r="S76" s="295" t="s">
        <v>392</v>
      </c>
      <c r="T76" s="378"/>
      <c r="U76" s="378"/>
      <c r="V76" s="378"/>
      <c r="W76" s="378"/>
      <c r="X76" s="378"/>
      <c r="Y76" s="378"/>
      <c r="Z76" s="378"/>
      <c r="AA76" s="378"/>
      <c r="AB76" s="378"/>
      <c r="AC76" s="378"/>
      <c r="AD76" s="378"/>
      <c r="AE76" s="295"/>
    </row>
    <row r="77" spans="1:31" s="739" customFormat="1" x14ac:dyDescent="0.2">
      <c r="A77" s="295">
        <v>7</v>
      </c>
      <c r="B77" s="378"/>
      <c r="C77" s="378"/>
      <c r="D77" s="378"/>
      <c r="E77" s="378"/>
      <c r="F77" s="408"/>
      <c r="G77" s="295" t="s">
        <v>1116</v>
      </c>
      <c r="H77" s="295" t="s">
        <v>1139</v>
      </c>
      <c r="I77" s="378"/>
      <c r="J77" s="584">
        <v>36323</v>
      </c>
      <c r="K77" s="383"/>
      <c r="L77" s="383">
        <v>1</v>
      </c>
      <c r="M77" s="387"/>
      <c r="N77" s="295" t="s">
        <v>478</v>
      </c>
      <c r="O77" s="295" t="s">
        <v>384</v>
      </c>
      <c r="P77" s="378"/>
      <c r="Q77" s="378"/>
      <c r="R77" s="703">
        <v>44523</v>
      </c>
      <c r="S77" s="295" t="s">
        <v>392</v>
      </c>
      <c r="T77" s="378"/>
      <c r="U77" s="378"/>
      <c r="V77" s="378"/>
      <c r="W77" s="378"/>
      <c r="X77" s="378"/>
      <c r="Y77" s="378"/>
      <c r="Z77" s="378"/>
      <c r="AA77" s="378"/>
      <c r="AB77" s="378"/>
      <c r="AC77" s="378"/>
      <c r="AD77" s="378"/>
      <c r="AE77" s="295"/>
    </row>
    <row r="78" spans="1:31" s="739" customFormat="1" x14ac:dyDescent="0.2">
      <c r="A78" s="295">
        <v>8</v>
      </c>
      <c r="B78" s="378"/>
      <c r="C78" s="378"/>
      <c r="D78" s="378"/>
      <c r="E78" s="378"/>
      <c r="F78" s="408"/>
      <c r="G78" s="295" t="s">
        <v>534</v>
      </c>
      <c r="H78" s="295" t="s">
        <v>1140</v>
      </c>
      <c r="I78" s="295" t="s">
        <v>395</v>
      </c>
      <c r="J78" s="584">
        <v>26897</v>
      </c>
      <c r="K78" s="383"/>
      <c r="L78" s="383">
        <v>1</v>
      </c>
      <c r="M78" s="310" t="s">
        <v>484</v>
      </c>
      <c r="N78" s="295" t="s">
        <v>478</v>
      </c>
      <c r="O78" s="295" t="s">
        <v>384</v>
      </c>
      <c r="P78" s="378">
        <v>9368500335</v>
      </c>
      <c r="Q78" s="378"/>
      <c r="R78" s="703">
        <v>44523</v>
      </c>
      <c r="S78" s="682" t="s">
        <v>408</v>
      </c>
      <c r="T78" s="378"/>
      <c r="U78" s="378"/>
      <c r="V78" s="378"/>
      <c r="W78" s="378"/>
      <c r="X78" s="378"/>
      <c r="Y78" s="378"/>
      <c r="Z78" s="378"/>
      <c r="AA78" s="378"/>
      <c r="AB78" s="378"/>
      <c r="AC78" s="378"/>
      <c r="AD78" s="378"/>
      <c r="AE78" s="295"/>
    </row>
    <row r="79" spans="1:31" s="739" customFormat="1" x14ac:dyDescent="0.2">
      <c r="A79" s="295">
        <v>9</v>
      </c>
      <c r="B79" s="378"/>
      <c r="C79" s="378"/>
      <c r="D79" s="378"/>
      <c r="E79" s="378"/>
      <c r="F79" s="408"/>
      <c r="G79" s="295" t="s">
        <v>1117</v>
      </c>
      <c r="H79" s="295" t="s">
        <v>1141</v>
      </c>
      <c r="I79" s="295" t="s">
        <v>387</v>
      </c>
      <c r="J79" s="584">
        <v>26713</v>
      </c>
      <c r="K79" s="383"/>
      <c r="L79" s="383">
        <v>1</v>
      </c>
      <c r="M79" s="310"/>
      <c r="N79" s="295" t="s">
        <v>396</v>
      </c>
      <c r="O79" s="295" t="s">
        <v>384</v>
      </c>
      <c r="P79" s="378">
        <v>9993947341</v>
      </c>
      <c r="Q79" s="378"/>
      <c r="R79" s="703">
        <v>44523</v>
      </c>
      <c r="S79" s="682" t="s">
        <v>408</v>
      </c>
      <c r="T79" s="378"/>
      <c r="U79" s="378"/>
      <c r="V79" s="378"/>
      <c r="W79" s="378"/>
      <c r="X79" s="378"/>
      <c r="Y79" s="378"/>
      <c r="Z79" s="378"/>
      <c r="AA79" s="378"/>
      <c r="AB79" s="378"/>
      <c r="AC79" s="378"/>
      <c r="AD79" s="378"/>
      <c r="AE79" s="295"/>
    </row>
    <row r="80" spans="1:31" s="739" customFormat="1" x14ac:dyDescent="0.2">
      <c r="A80" s="295">
        <v>10</v>
      </c>
      <c r="B80" s="378"/>
      <c r="C80" s="378"/>
      <c r="D80" s="378"/>
      <c r="E80" s="378"/>
      <c r="F80" s="408"/>
      <c r="G80" s="295" t="s">
        <v>495</v>
      </c>
      <c r="H80" s="295" t="s">
        <v>1142</v>
      </c>
      <c r="I80" s="295" t="s">
        <v>405</v>
      </c>
      <c r="J80" s="584">
        <v>23696</v>
      </c>
      <c r="K80" s="383"/>
      <c r="L80" s="383">
        <v>1</v>
      </c>
      <c r="M80" s="310" t="s">
        <v>388</v>
      </c>
      <c r="N80" s="295" t="s">
        <v>478</v>
      </c>
      <c r="O80" s="295" t="s">
        <v>384</v>
      </c>
      <c r="P80" s="378">
        <v>9061976785</v>
      </c>
      <c r="Q80" s="378"/>
      <c r="R80" s="703">
        <v>44523</v>
      </c>
      <c r="S80" s="682" t="s">
        <v>408</v>
      </c>
      <c r="T80" s="378"/>
      <c r="U80" s="378"/>
      <c r="V80" s="378"/>
      <c r="W80" s="378"/>
      <c r="X80" s="378"/>
      <c r="Y80" s="378"/>
      <c r="Z80" s="378"/>
      <c r="AA80" s="378"/>
      <c r="AB80" s="378"/>
      <c r="AC80" s="378"/>
      <c r="AD80" s="378"/>
      <c r="AE80" s="295"/>
    </row>
    <row r="81" spans="1:31" s="643" customFormat="1" x14ac:dyDescent="0.2">
      <c r="A81" s="295">
        <v>11</v>
      </c>
      <c r="B81" s="682"/>
      <c r="C81" s="682"/>
      <c r="D81" s="682"/>
      <c r="E81" s="682"/>
      <c r="F81" s="426"/>
      <c r="G81" s="682" t="s">
        <v>1097</v>
      </c>
      <c r="H81" s="682" t="s">
        <v>1098</v>
      </c>
      <c r="I81" s="682" t="s">
        <v>393</v>
      </c>
      <c r="J81" s="703">
        <v>28412</v>
      </c>
      <c r="K81" s="423"/>
      <c r="L81" s="423">
        <v>1</v>
      </c>
      <c r="M81" s="423" t="s">
        <v>413</v>
      </c>
      <c r="N81" s="682" t="s">
        <v>478</v>
      </c>
      <c r="O81" s="682" t="s">
        <v>384</v>
      </c>
      <c r="P81" s="682">
        <v>9262311964</v>
      </c>
      <c r="Q81" s="682"/>
      <c r="R81" s="703">
        <v>44523</v>
      </c>
      <c r="S81" s="446" t="s">
        <v>391</v>
      </c>
      <c r="T81" s="370"/>
      <c r="U81" s="370"/>
      <c r="V81" s="370"/>
      <c r="W81" s="370"/>
      <c r="X81" s="370"/>
      <c r="Y81" s="370"/>
      <c r="Z81" s="370"/>
      <c r="AA81" s="370"/>
      <c r="AB81" s="370"/>
      <c r="AC81" s="370"/>
      <c r="AD81" s="370"/>
      <c r="AE81" s="308"/>
    </row>
    <row r="82" spans="1:31" s="643" customFormat="1" x14ac:dyDescent="0.2">
      <c r="A82" s="295">
        <v>12</v>
      </c>
      <c r="B82" s="682"/>
      <c r="C82" s="682"/>
      <c r="D82" s="682"/>
      <c r="E82" s="682"/>
      <c r="F82" s="426"/>
      <c r="G82" s="682" t="s">
        <v>1099</v>
      </c>
      <c r="H82" s="682" t="s">
        <v>528</v>
      </c>
      <c r="I82" s="682" t="s">
        <v>401</v>
      </c>
      <c r="J82" s="703">
        <v>32982</v>
      </c>
      <c r="K82" s="423">
        <v>1</v>
      </c>
      <c r="L82" s="423"/>
      <c r="M82" s="423" t="s">
        <v>492</v>
      </c>
      <c r="N82" s="682" t="s">
        <v>478</v>
      </c>
      <c r="O82" s="682" t="s">
        <v>384</v>
      </c>
      <c r="P82" s="682">
        <v>9464567764</v>
      </c>
      <c r="Q82" s="682"/>
      <c r="R82" s="703">
        <v>44523</v>
      </c>
      <c r="S82" s="682" t="s">
        <v>1100</v>
      </c>
      <c r="T82" s="370"/>
      <c r="U82" s="370"/>
      <c r="V82" s="370"/>
      <c r="W82" s="370"/>
      <c r="X82" s="370"/>
      <c r="Y82" s="370"/>
      <c r="Z82" s="370"/>
      <c r="AA82" s="370"/>
      <c r="AB82" s="370"/>
      <c r="AC82" s="370"/>
      <c r="AD82" s="370"/>
      <c r="AE82" s="308"/>
    </row>
    <row r="83" spans="1:31" s="643" customFormat="1" x14ac:dyDescent="0.2">
      <c r="A83" s="295">
        <v>13</v>
      </c>
      <c r="B83" s="682"/>
      <c r="C83" s="682"/>
      <c r="D83" s="682"/>
      <c r="E83" s="682"/>
      <c r="F83" s="426"/>
      <c r="G83" s="682" t="s">
        <v>1101</v>
      </c>
      <c r="H83" s="682" t="s">
        <v>1102</v>
      </c>
      <c r="I83" s="702" t="s">
        <v>403</v>
      </c>
      <c r="J83" s="703">
        <v>35039</v>
      </c>
      <c r="K83" s="684"/>
      <c r="L83" s="423">
        <v>1</v>
      </c>
      <c r="M83" s="738" t="s">
        <v>491</v>
      </c>
      <c r="N83" s="735" t="s">
        <v>478</v>
      </c>
      <c r="O83" s="735" t="s">
        <v>384</v>
      </c>
      <c r="P83" s="735">
        <v>9096435227</v>
      </c>
      <c r="Q83" s="682"/>
      <c r="R83" s="703">
        <v>44523</v>
      </c>
      <c r="S83" s="446" t="s">
        <v>392</v>
      </c>
      <c r="T83" s="370"/>
      <c r="U83" s="370"/>
      <c r="V83" s="370"/>
      <c r="W83" s="370"/>
      <c r="X83" s="370"/>
      <c r="Y83" s="370"/>
      <c r="Z83" s="370"/>
      <c r="AA83" s="370"/>
      <c r="AB83" s="370"/>
      <c r="AC83" s="370"/>
      <c r="AD83" s="370"/>
      <c r="AE83" s="308"/>
    </row>
    <row r="84" spans="1:31" s="643" customFormat="1" x14ac:dyDescent="0.2">
      <c r="A84" s="295">
        <v>14</v>
      </c>
      <c r="B84" s="682"/>
      <c r="C84" s="682"/>
      <c r="D84" s="682"/>
      <c r="E84" s="682"/>
      <c r="F84" s="426"/>
      <c r="G84" s="682" t="s">
        <v>1103</v>
      </c>
      <c r="H84" s="682" t="s">
        <v>1104</v>
      </c>
      <c r="I84" s="682" t="s">
        <v>404</v>
      </c>
      <c r="J84" s="703">
        <v>35401</v>
      </c>
      <c r="K84" s="423"/>
      <c r="L84" s="423">
        <v>1</v>
      </c>
      <c r="M84" s="423" t="s">
        <v>398</v>
      </c>
      <c r="N84" s="682" t="s">
        <v>478</v>
      </c>
      <c r="O84" s="682" t="s">
        <v>384</v>
      </c>
      <c r="P84" s="682">
        <v>9157157725</v>
      </c>
      <c r="Q84" s="682"/>
      <c r="R84" s="703">
        <v>44523</v>
      </c>
      <c r="S84" s="682" t="s">
        <v>406</v>
      </c>
      <c r="T84" s="370"/>
      <c r="U84" s="370"/>
      <c r="V84" s="370"/>
      <c r="W84" s="370"/>
      <c r="X84" s="370"/>
      <c r="Y84" s="370"/>
      <c r="Z84" s="370"/>
      <c r="AA84" s="370"/>
      <c r="AB84" s="370"/>
      <c r="AC84" s="370"/>
      <c r="AD84" s="370"/>
      <c r="AE84" s="308"/>
    </row>
    <row r="85" spans="1:31" s="643" customFormat="1" x14ac:dyDescent="0.2">
      <c r="A85" s="295">
        <v>15</v>
      </c>
      <c r="B85" s="682"/>
      <c r="C85" s="682"/>
      <c r="D85" s="682"/>
      <c r="E85" s="682"/>
      <c r="F85" s="426"/>
      <c r="G85" s="682" t="s">
        <v>1105</v>
      </c>
      <c r="H85" s="682" t="s">
        <v>1106</v>
      </c>
      <c r="I85" s="682"/>
      <c r="J85" s="703">
        <v>34742</v>
      </c>
      <c r="K85" s="423"/>
      <c r="L85" s="423">
        <v>1</v>
      </c>
      <c r="M85" s="423"/>
      <c r="N85" s="682" t="s">
        <v>478</v>
      </c>
      <c r="O85" s="682" t="s">
        <v>384</v>
      </c>
      <c r="P85" s="682">
        <v>9488012771</v>
      </c>
      <c r="Q85" s="682"/>
      <c r="R85" s="703">
        <v>44524</v>
      </c>
      <c r="S85" s="446" t="s">
        <v>392</v>
      </c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370"/>
      <c r="AE85" s="308"/>
    </row>
    <row r="86" spans="1:31" s="643" customFormat="1" x14ac:dyDescent="0.2">
      <c r="A86" s="295">
        <v>16</v>
      </c>
      <c r="B86" s="682"/>
      <c r="C86" s="682"/>
      <c r="D86" s="682"/>
      <c r="E86" s="682"/>
      <c r="F86" s="426"/>
      <c r="G86" s="682" t="s">
        <v>1143</v>
      </c>
      <c r="H86" s="682" t="s">
        <v>1144</v>
      </c>
      <c r="I86" s="682"/>
      <c r="J86" s="703">
        <v>35046</v>
      </c>
      <c r="K86" s="423">
        <v>1</v>
      </c>
      <c r="L86" s="423"/>
      <c r="M86" s="423" t="s">
        <v>388</v>
      </c>
      <c r="N86" s="682" t="s">
        <v>478</v>
      </c>
      <c r="O86" s="682" t="s">
        <v>384</v>
      </c>
      <c r="P86" s="682">
        <v>9122699295</v>
      </c>
      <c r="Q86" s="682"/>
      <c r="R86" s="703">
        <v>44524</v>
      </c>
      <c r="S86" s="446" t="s">
        <v>392</v>
      </c>
      <c r="T86" s="370"/>
      <c r="U86" s="370"/>
      <c r="V86" s="370"/>
      <c r="W86" s="370"/>
      <c r="X86" s="370"/>
      <c r="Y86" s="370"/>
      <c r="Z86" s="370"/>
      <c r="AA86" s="370"/>
      <c r="AB86" s="370"/>
      <c r="AC86" s="370"/>
      <c r="AD86" s="370"/>
      <c r="AE86" s="308"/>
    </row>
    <row r="87" spans="1:31" s="643" customFormat="1" x14ac:dyDescent="0.2">
      <c r="A87" s="295">
        <v>17</v>
      </c>
      <c r="B87" s="682"/>
      <c r="C87" s="682"/>
      <c r="D87" s="682"/>
      <c r="E87" s="682"/>
      <c r="F87" s="426"/>
      <c r="G87" s="682" t="s">
        <v>1145</v>
      </c>
      <c r="H87" s="682" t="s">
        <v>1146</v>
      </c>
      <c r="I87" s="682"/>
      <c r="J87" s="703">
        <v>33186</v>
      </c>
      <c r="K87" s="423"/>
      <c r="L87" s="423">
        <v>1</v>
      </c>
      <c r="M87" s="423" t="s">
        <v>482</v>
      </c>
      <c r="N87" s="682" t="s">
        <v>478</v>
      </c>
      <c r="O87" s="682" t="s">
        <v>384</v>
      </c>
      <c r="P87" s="682">
        <v>9159439901</v>
      </c>
      <c r="Q87" s="682"/>
      <c r="R87" s="703">
        <v>44524</v>
      </c>
      <c r="S87" s="446" t="s">
        <v>391</v>
      </c>
      <c r="T87" s="370"/>
      <c r="U87" s="370"/>
      <c r="V87" s="370"/>
      <c r="W87" s="370"/>
      <c r="X87" s="370"/>
      <c r="Y87" s="370"/>
      <c r="Z87" s="370"/>
      <c r="AA87" s="370"/>
      <c r="AB87" s="370"/>
      <c r="AC87" s="370"/>
      <c r="AD87" s="370"/>
      <c r="AE87" s="308"/>
    </row>
    <row r="88" spans="1:31" s="643" customFormat="1" x14ac:dyDescent="0.2">
      <c r="A88" s="295">
        <v>18</v>
      </c>
      <c r="B88" s="682"/>
      <c r="C88" s="682"/>
      <c r="D88" s="682"/>
      <c r="E88" s="682"/>
      <c r="F88" s="426"/>
      <c r="G88" s="682" t="s">
        <v>1107</v>
      </c>
      <c r="H88" s="682" t="s">
        <v>1108</v>
      </c>
      <c r="I88" s="682" t="s">
        <v>420</v>
      </c>
      <c r="J88" s="703">
        <v>24371</v>
      </c>
      <c r="K88" s="423">
        <v>1</v>
      </c>
      <c r="L88" s="423"/>
      <c r="M88" s="423"/>
      <c r="N88" s="682" t="s">
        <v>1109</v>
      </c>
      <c r="O88" s="682" t="s">
        <v>384</v>
      </c>
      <c r="P88" s="682">
        <v>9507939611</v>
      </c>
      <c r="Q88" s="682"/>
      <c r="R88" s="703">
        <v>44525</v>
      </c>
      <c r="S88" s="682" t="s">
        <v>408</v>
      </c>
      <c r="T88" s="370"/>
      <c r="U88" s="370"/>
      <c r="V88" s="370"/>
      <c r="W88" s="370"/>
      <c r="X88" s="370"/>
      <c r="Y88" s="370"/>
      <c r="Z88" s="370"/>
      <c r="AA88" s="370"/>
      <c r="AB88" s="370"/>
      <c r="AC88" s="370"/>
      <c r="AD88" s="370"/>
      <c r="AE88" s="308"/>
    </row>
    <row r="89" spans="1:31" s="643" customFormat="1" x14ac:dyDescent="0.2">
      <c r="A89" s="295">
        <v>19</v>
      </c>
      <c r="B89" s="682"/>
      <c r="C89" s="682"/>
      <c r="D89" s="682"/>
      <c r="E89" s="682"/>
      <c r="F89" s="426"/>
      <c r="G89" s="682" t="s">
        <v>479</v>
      </c>
      <c r="H89" s="682" t="s">
        <v>480</v>
      </c>
      <c r="I89" s="682" t="s">
        <v>393</v>
      </c>
      <c r="J89" s="703">
        <v>20449</v>
      </c>
      <c r="K89" s="423">
        <v>1</v>
      </c>
      <c r="L89" s="423"/>
      <c r="M89" s="423" t="s">
        <v>388</v>
      </c>
      <c r="N89" s="682" t="s">
        <v>478</v>
      </c>
      <c r="O89" s="682" t="s">
        <v>384</v>
      </c>
      <c r="P89" s="682">
        <v>9104238005</v>
      </c>
      <c r="Q89" s="682"/>
      <c r="R89" s="703">
        <v>44525</v>
      </c>
      <c r="S89" s="735" t="s">
        <v>481</v>
      </c>
      <c r="T89" s="370"/>
      <c r="U89" s="370"/>
      <c r="V89" s="370"/>
      <c r="W89" s="370"/>
      <c r="X89" s="370"/>
      <c r="Y89" s="370"/>
      <c r="Z89" s="370"/>
      <c r="AA89" s="370"/>
      <c r="AB89" s="370"/>
      <c r="AC89" s="370"/>
      <c r="AD89" s="370"/>
      <c r="AE89" s="308"/>
    </row>
    <row r="90" spans="1:31" s="643" customFormat="1" x14ac:dyDescent="0.2">
      <c r="A90" s="295">
        <v>20</v>
      </c>
      <c r="B90" s="682"/>
      <c r="C90" s="682"/>
      <c r="D90" s="682"/>
      <c r="E90" s="682"/>
      <c r="F90" s="426"/>
      <c r="G90" s="682" t="s">
        <v>1112</v>
      </c>
      <c r="H90" s="682" t="s">
        <v>1111</v>
      </c>
      <c r="I90" s="682" t="s">
        <v>421</v>
      </c>
      <c r="J90" s="703">
        <v>35012</v>
      </c>
      <c r="K90" s="423"/>
      <c r="L90" s="423">
        <v>1</v>
      </c>
      <c r="M90" s="423"/>
      <c r="N90" s="682" t="s">
        <v>407</v>
      </c>
      <c r="O90" s="682" t="s">
        <v>384</v>
      </c>
      <c r="P90" s="682">
        <v>9464845785</v>
      </c>
      <c r="Q90" s="682"/>
      <c r="R90" s="703">
        <v>44525</v>
      </c>
      <c r="S90" s="446" t="s">
        <v>391</v>
      </c>
      <c r="T90" s="370"/>
      <c r="U90" s="370"/>
      <c r="V90" s="370"/>
      <c r="W90" s="370"/>
      <c r="X90" s="370"/>
      <c r="Y90" s="370"/>
      <c r="Z90" s="370"/>
      <c r="AA90" s="370"/>
      <c r="AB90" s="370"/>
      <c r="AC90" s="370"/>
      <c r="AD90" s="370"/>
      <c r="AE90" s="308"/>
    </row>
    <row r="91" spans="1:31" s="643" customFormat="1" x14ac:dyDescent="0.2">
      <c r="A91" s="295">
        <v>21</v>
      </c>
      <c r="B91" s="682"/>
      <c r="C91" s="682"/>
      <c r="D91" s="682"/>
      <c r="E91" s="682"/>
      <c r="F91" s="426"/>
      <c r="G91" s="682" t="s">
        <v>479</v>
      </c>
      <c r="H91" s="682" t="s">
        <v>480</v>
      </c>
      <c r="I91" s="682" t="s">
        <v>393</v>
      </c>
      <c r="J91" s="703">
        <v>20449</v>
      </c>
      <c r="K91" s="423">
        <v>1</v>
      </c>
      <c r="L91" s="423"/>
      <c r="M91" s="423" t="s">
        <v>388</v>
      </c>
      <c r="N91" s="682" t="s">
        <v>478</v>
      </c>
      <c r="O91" s="682" t="s">
        <v>384</v>
      </c>
      <c r="P91" s="682">
        <v>9104238005</v>
      </c>
      <c r="Q91" s="682"/>
      <c r="R91" s="703">
        <v>44525</v>
      </c>
      <c r="S91" s="735" t="s">
        <v>481</v>
      </c>
      <c r="T91" s="370"/>
      <c r="U91" s="370"/>
      <c r="V91" s="370"/>
      <c r="W91" s="370"/>
      <c r="X91" s="370"/>
      <c r="Y91" s="370"/>
      <c r="Z91" s="370"/>
      <c r="AA91" s="370"/>
      <c r="AB91" s="370"/>
      <c r="AC91" s="370"/>
      <c r="AD91" s="370"/>
      <c r="AE91" s="308"/>
    </row>
    <row r="92" spans="1:31" s="643" customFormat="1" x14ac:dyDescent="0.2">
      <c r="A92" s="295">
        <v>22</v>
      </c>
      <c r="B92" s="682"/>
      <c r="C92" s="682"/>
      <c r="D92" s="682"/>
      <c r="E92" s="682"/>
      <c r="F92" s="426"/>
      <c r="G92" s="682" t="s">
        <v>1113</v>
      </c>
      <c r="H92" s="682" t="s">
        <v>1114</v>
      </c>
      <c r="I92" s="682" t="s">
        <v>402</v>
      </c>
      <c r="J92" s="703">
        <v>23089</v>
      </c>
      <c r="K92" s="423">
        <v>1</v>
      </c>
      <c r="L92" s="423"/>
      <c r="M92" s="423"/>
      <c r="N92" s="682" t="s">
        <v>1115</v>
      </c>
      <c r="O92" s="682" t="s">
        <v>384</v>
      </c>
      <c r="P92" s="682">
        <v>9174752380</v>
      </c>
      <c r="Q92" s="682"/>
      <c r="R92" s="703">
        <v>44526</v>
      </c>
      <c r="S92" s="446" t="s">
        <v>392</v>
      </c>
      <c r="T92" s="370"/>
      <c r="U92" s="370"/>
      <c r="V92" s="370"/>
      <c r="W92" s="370"/>
      <c r="X92" s="370"/>
      <c r="Y92" s="370"/>
      <c r="Z92" s="370"/>
      <c r="AA92" s="370"/>
      <c r="AB92" s="370"/>
      <c r="AC92" s="370"/>
      <c r="AD92" s="370"/>
      <c r="AE92" s="308"/>
    </row>
    <row r="93" spans="1:31" s="643" customFormat="1" x14ac:dyDescent="0.2">
      <c r="A93" s="295">
        <v>23</v>
      </c>
      <c r="B93" s="682"/>
      <c r="C93" s="682"/>
      <c r="D93" s="682"/>
      <c r="E93" s="682"/>
      <c r="F93" s="426"/>
      <c r="G93" s="682" t="s">
        <v>1116</v>
      </c>
      <c r="H93" s="682" t="s">
        <v>498</v>
      </c>
      <c r="I93" s="682" t="s">
        <v>634</v>
      </c>
      <c r="J93" s="703">
        <v>21960</v>
      </c>
      <c r="K93" s="423">
        <v>1</v>
      </c>
      <c r="L93" s="423"/>
      <c r="M93" s="423" t="s">
        <v>491</v>
      </c>
      <c r="N93" s="682" t="s">
        <v>478</v>
      </c>
      <c r="O93" s="682" t="s">
        <v>384</v>
      </c>
      <c r="P93" s="682">
        <v>9298388505</v>
      </c>
      <c r="Q93" s="682"/>
      <c r="R93" s="703">
        <v>44529</v>
      </c>
      <c r="S93" s="735" t="s">
        <v>392</v>
      </c>
      <c r="T93" s="370"/>
      <c r="U93" s="370"/>
      <c r="V93" s="370"/>
      <c r="W93" s="370"/>
      <c r="X93" s="370"/>
      <c r="Y93" s="370"/>
      <c r="Z93" s="370"/>
      <c r="AA93" s="370"/>
      <c r="AB93" s="370"/>
      <c r="AC93" s="370"/>
      <c r="AD93" s="370"/>
      <c r="AE93" s="308"/>
    </row>
    <row r="94" spans="1:31" s="643" customFormat="1" x14ac:dyDescent="0.2">
      <c r="A94" s="295">
        <v>24</v>
      </c>
      <c r="B94" s="682"/>
      <c r="C94" s="682"/>
      <c r="D94" s="682"/>
      <c r="E94" s="682"/>
      <c r="F94" s="426"/>
      <c r="G94" s="682" t="s">
        <v>1117</v>
      </c>
      <c r="H94" s="736" t="s">
        <v>1118</v>
      </c>
      <c r="I94" s="682"/>
      <c r="J94" s="703"/>
      <c r="K94" s="423"/>
      <c r="L94" s="423">
        <v>1</v>
      </c>
      <c r="M94" s="423"/>
      <c r="N94" s="702" t="s">
        <v>478</v>
      </c>
      <c r="O94" s="702" t="s">
        <v>384</v>
      </c>
      <c r="P94" s="682"/>
      <c r="Q94" s="682"/>
      <c r="R94" s="703">
        <v>44529</v>
      </c>
      <c r="S94" s="737" t="s">
        <v>391</v>
      </c>
      <c r="T94" s="370"/>
      <c r="U94" s="370"/>
      <c r="V94" s="370"/>
      <c r="W94" s="370"/>
      <c r="X94" s="370"/>
      <c r="Y94" s="370"/>
      <c r="Z94" s="370"/>
      <c r="AA94" s="370"/>
      <c r="AB94" s="370"/>
      <c r="AC94" s="370"/>
      <c r="AD94" s="370"/>
      <c r="AE94" s="308"/>
    </row>
    <row r="95" spans="1:31" s="643" customFormat="1" x14ac:dyDescent="0.2">
      <c r="A95" s="295">
        <v>25</v>
      </c>
      <c r="B95" s="682"/>
      <c r="C95" s="682"/>
      <c r="D95" s="682"/>
      <c r="E95" s="682"/>
      <c r="F95" s="426"/>
      <c r="G95" s="682" t="s">
        <v>1119</v>
      </c>
      <c r="H95" s="682" t="s">
        <v>1120</v>
      </c>
      <c r="I95" s="682"/>
      <c r="J95" s="703">
        <v>34804</v>
      </c>
      <c r="K95" s="423">
        <v>1</v>
      </c>
      <c r="L95" s="423"/>
      <c r="M95" s="423" t="s">
        <v>1121</v>
      </c>
      <c r="N95" s="682" t="s">
        <v>435</v>
      </c>
      <c r="O95" s="682" t="s">
        <v>384</v>
      </c>
      <c r="P95" s="682"/>
      <c r="Q95" s="682"/>
      <c r="R95" s="703">
        <v>44529</v>
      </c>
      <c r="S95" s="737" t="s">
        <v>391</v>
      </c>
      <c r="T95" s="370"/>
      <c r="U95" s="370"/>
      <c r="V95" s="370"/>
      <c r="W95" s="370"/>
      <c r="X95" s="370"/>
      <c r="Y95" s="370"/>
      <c r="Z95" s="370"/>
      <c r="AA95" s="370"/>
      <c r="AB95" s="370"/>
      <c r="AC95" s="370"/>
      <c r="AD95" s="370"/>
      <c r="AE95" s="308"/>
    </row>
    <row r="96" spans="1:31" s="643" customFormat="1" x14ac:dyDescent="0.2">
      <c r="A96" s="295">
        <v>26</v>
      </c>
      <c r="B96" s="682"/>
      <c r="C96" s="682"/>
      <c r="D96" s="682"/>
      <c r="E96" s="682"/>
      <c r="F96" s="426"/>
      <c r="G96" s="682" t="s">
        <v>1122</v>
      </c>
      <c r="H96" s="682" t="s">
        <v>1123</v>
      </c>
      <c r="I96" s="682"/>
      <c r="J96" s="703">
        <v>28772</v>
      </c>
      <c r="K96" s="423"/>
      <c r="L96" s="423">
        <v>1</v>
      </c>
      <c r="M96" s="423" t="s">
        <v>1124</v>
      </c>
      <c r="N96" s="682" t="s">
        <v>478</v>
      </c>
      <c r="O96" s="682" t="s">
        <v>384</v>
      </c>
      <c r="P96" s="682">
        <v>9123337171</v>
      </c>
      <c r="Q96" s="682"/>
      <c r="R96" s="703">
        <v>44529</v>
      </c>
      <c r="S96" s="735" t="s">
        <v>392</v>
      </c>
      <c r="T96" s="370"/>
      <c r="U96" s="370"/>
      <c r="V96" s="370"/>
      <c r="W96" s="370"/>
      <c r="X96" s="370"/>
      <c r="Y96" s="370"/>
      <c r="Z96" s="370"/>
      <c r="AA96" s="370"/>
      <c r="AB96" s="370"/>
      <c r="AC96" s="370"/>
      <c r="AD96" s="370"/>
      <c r="AE96" s="308"/>
    </row>
    <row r="97" spans="1:31" s="643" customFormat="1" x14ac:dyDescent="0.2">
      <c r="A97" s="295">
        <v>27</v>
      </c>
      <c r="B97" s="682"/>
      <c r="C97" s="682"/>
      <c r="D97" s="682"/>
      <c r="E97" s="682"/>
      <c r="F97" s="426"/>
      <c r="G97" s="682" t="s">
        <v>1125</v>
      </c>
      <c r="H97" s="682" t="s">
        <v>1126</v>
      </c>
      <c r="I97" s="682"/>
      <c r="J97" s="703"/>
      <c r="K97" s="423"/>
      <c r="L97" s="423">
        <v>1</v>
      </c>
      <c r="M97" s="423" t="s">
        <v>502</v>
      </c>
      <c r="N97" s="682" t="s">
        <v>478</v>
      </c>
      <c r="O97" s="682" t="s">
        <v>384</v>
      </c>
      <c r="P97" s="682">
        <v>9193399466</v>
      </c>
      <c r="Q97" s="682"/>
      <c r="R97" s="703">
        <v>44529</v>
      </c>
      <c r="S97" s="735" t="s">
        <v>392</v>
      </c>
      <c r="T97" s="370"/>
      <c r="U97" s="370"/>
      <c r="V97" s="370"/>
      <c r="W97" s="370"/>
      <c r="X97" s="370"/>
      <c r="Y97" s="370"/>
      <c r="Z97" s="370"/>
      <c r="AA97" s="370"/>
      <c r="AB97" s="370"/>
      <c r="AC97" s="370"/>
      <c r="AD97" s="370"/>
      <c r="AE97" s="308"/>
    </row>
    <row r="98" spans="1:31" s="643" customFormat="1" x14ac:dyDescent="0.2">
      <c r="A98" s="295">
        <v>28</v>
      </c>
      <c r="B98" s="682"/>
      <c r="C98" s="682"/>
      <c r="D98" s="682"/>
      <c r="E98" s="682"/>
      <c r="F98" s="426"/>
      <c r="G98" s="682" t="s">
        <v>1127</v>
      </c>
      <c r="H98" s="682" t="s">
        <v>1128</v>
      </c>
      <c r="I98" s="682"/>
      <c r="J98" s="703">
        <v>28378</v>
      </c>
      <c r="K98" s="423"/>
      <c r="L98" s="423">
        <v>1</v>
      </c>
      <c r="M98" s="423"/>
      <c r="N98" s="682" t="s">
        <v>478</v>
      </c>
      <c r="O98" s="682" t="s">
        <v>384</v>
      </c>
      <c r="P98" s="682">
        <v>9121697764</v>
      </c>
      <c r="Q98" s="682"/>
      <c r="R98" s="703">
        <v>44529</v>
      </c>
      <c r="S98" s="682" t="s">
        <v>408</v>
      </c>
      <c r="T98" s="370"/>
      <c r="U98" s="370"/>
      <c r="V98" s="370"/>
      <c r="W98" s="370"/>
      <c r="X98" s="370"/>
      <c r="Y98" s="370"/>
      <c r="Z98" s="370"/>
      <c r="AA98" s="370"/>
      <c r="AB98" s="370"/>
      <c r="AC98" s="370"/>
      <c r="AD98" s="370"/>
      <c r="AE98" s="308"/>
    </row>
    <row r="99" spans="1:31" s="549" customFormat="1" ht="15.75" x14ac:dyDescent="0.25">
      <c r="A99" s="412" t="s">
        <v>345</v>
      </c>
      <c r="B99" s="403"/>
      <c r="C99" s="403"/>
      <c r="D99" s="403"/>
      <c r="E99" s="403"/>
      <c r="F99" s="413"/>
      <c r="G99" s="403"/>
      <c r="H99" s="403"/>
      <c r="I99" s="403"/>
      <c r="J99" s="392" t="s">
        <v>16</v>
      </c>
      <c r="K99" s="394">
        <f>SUM(K100:K101)</f>
        <v>0</v>
      </c>
      <c r="L99" s="394">
        <f>SUM(L100:L101)</f>
        <v>0</v>
      </c>
      <c r="M99" s="308"/>
      <c r="N99" s="295"/>
      <c r="O99" s="295"/>
      <c r="P99" s="308"/>
      <c r="Q99" s="308"/>
      <c r="R99" s="536"/>
      <c r="S99" s="295"/>
      <c r="T99" s="430"/>
      <c r="U99" s="300"/>
      <c r="V99" s="295"/>
      <c r="W99" s="295"/>
      <c r="X99" s="295"/>
      <c r="Y99" s="295"/>
      <c r="Z99" s="295"/>
      <c r="AA99" s="295"/>
      <c r="AB99" s="295"/>
      <c r="AC99" s="310"/>
      <c r="AD99" s="295"/>
    </row>
    <row r="100" spans="1:31" s="549" customFormat="1" ht="15.75" x14ac:dyDescent="0.2">
      <c r="A100" s="310"/>
      <c r="B100" s="295"/>
      <c r="C100" s="295"/>
      <c r="D100" s="295"/>
      <c r="E100" s="295"/>
      <c r="F100" s="296"/>
      <c r="G100" s="308"/>
      <c r="H100" s="308"/>
      <c r="I100" s="308"/>
      <c r="J100" s="584"/>
      <c r="K100" s="298"/>
      <c r="L100" s="311"/>
      <c r="M100" s="295"/>
      <c r="N100" s="295"/>
      <c r="O100" s="295"/>
      <c r="P100" s="308"/>
      <c r="Q100" s="308"/>
      <c r="R100" s="536"/>
      <c r="S100" s="295"/>
      <c r="T100" s="430"/>
      <c r="U100" s="300"/>
      <c r="V100" s="295"/>
      <c r="W100" s="295"/>
      <c r="X100" s="295"/>
      <c r="Y100" s="295"/>
      <c r="Z100" s="295"/>
      <c r="AA100" s="295"/>
      <c r="AB100" s="295"/>
      <c r="AC100" s="310"/>
      <c r="AD100" s="295"/>
      <c r="AE100" s="295"/>
    </row>
    <row r="101" spans="1:31" s="549" customFormat="1" ht="15.75" x14ac:dyDescent="0.2">
      <c r="A101" s="310"/>
      <c r="B101" s="295"/>
      <c r="C101" s="295"/>
      <c r="D101" s="295"/>
      <c r="E101" s="295"/>
      <c r="F101" s="296"/>
      <c r="G101" s="308"/>
      <c r="H101" s="308"/>
      <c r="I101" s="308"/>
      <c r="J101" s="584"/>
      <c r="K101" s="298"/>
      <c r="L101" s="311"/>
      <c r="M101" s="308"/>
      <c r="N101" s="295"/>
      <c r="O101" s="295"/>
      <c r="P101" s="308"/>
      <c r="Q101" s="308"/>
      <c r="R101" s="536"/>
      <c r="S101" s="295"/>
      <c r="T101" s="430"/>
      <c r="U101" s="300"/>
      <c r="V101" s="295"/>
      <c r="W101" s="295"/>
      <c r="X101" s="295"/>
      <c r="Y101" s="295"/>
      <c r="Z101" s="295"/>
      <c r="AA101" s="295"/>
      <c r="AB101" s="295"/>
      <c r="AC101" s="310"/>
      <c r="AD101" s="295"/>
      <c r="AE101" s="295"/>
    </row>
    <row r="102" spans="1:31" s="549" customFormat="1" ht="15.75" x14ac:dyDescent="0.25">
      <c r="A102" s="285" t="s">
        <v>293</v>
      </c>
      <c r="B102" s="400"/>
      <c r="C102" s="400"/>
      <c r="D102" s="400"/>
      <c r="E102" s="400"/>
      <c r="F102" s="401"/>
      <c r="G102" s="400"/>
      <c r="H102" s="400"/>
      <c r="I102" s="400"/>
      <c r="J102" s="400"/>
      <c r="K102" s="402"/>
      <c r="L102" s="402"/>
      <c r="M102" s="400"/>
      <c r="N102" s="400"/>
      <c r="O102" s="400"/>
      <c r="P102" s="400"/>
      <c r="Q102" s="400"/>
      <c r="R102" s="546"/>
      <c r="S102" s="400"/>
      <c r="T102" s="400"/>
      <c r="U102" s="400"/>
      <c r="V102" s="400"/>
      <c r="W102" s="400"/>
      <c r="X102" s="400"/>
      <c r="Y102" s="400"/>
      <c r="Z102" s="400"/>
      <c r="AA102" s="400"/>
      <c r="AB102" s="400"/>
      <c r="AC102" s="400"/>
      <c r="AD102" s="400"/>
      <c r="AE102" s="295"/>
    </row>
    <row r="103" spans="1:31" s="549" customFormat="1" ht="15.75" x14ac:dyDescent="0.25">
      <c r="A103" s="403" t="s">
        <v>344</v>
      </c>
      <c r="B103" s="404"/>
      <c r="C103" s="404"/>
      <c r="D103" s="404"/>
      <c r="E103" s="404"/>
      <c r="F103" s="405"/>
      <c r="G103" s="404"/>
      <c r="H103" s="404"/>
      <c r="I103" s="404"/>
      <c r="J103" s="392" t="s">
        <v>16</v>
      </c>
      <c r="K103" s="394">
        <f>SUM(K104:K145)</f>
        <v>35</v>
      </c>
      <c r="L103" s="394">
        <f>SUM(L104:L145)</f>
        <v>7</v>
      </c>
      <c r="M103" s="390"/>
      <c r="N103" s="390"/>
      <c r="O103" s="390"/>
      <c r="P103" s="390"/>
      <c r="Q103" s="390"/>
      <c r="R103" s="545"/>
      <c r="S103" s="390"/>
      <c r="T103" s="390"/>
      <c r="U103" s="390"/>
      <c r="V103" s="390"/>
      <c r="W103" s="390"/>
      <c r="X103" s="390"/>
      <c r="Y103" s="390"/>
      <c r="Z103" s="390"/>
      <c r="AA103" s="390"/>
      <c r="AB103" s="390"/>
      <c r="AC103" s="390"/>
      <c r="AD103" s="390"/>
      <c r="AE103" s="295"/>
    </row>
    <row r="104" spans="1:31" s="739" customFormat="1" ht="15.75" x14ac:dyDescent="0.25">
      <c r="A104" s="308">
        <v>1</v>
      </c>
      <c r="B104" s="378"/>
      <c r="C104" s="378"/>
      <c r="D104" s="378"/>
      <c r="E104" s="378"/>
      <c r="F104" s="408"/>
      <c r="G104" s="295" t="s">
        <v>1047</v>
      </c>
      <c r="H104" s="295" t="s">
        <v>1147</v>
      </c>
      <c r="I104" s="378"/>
      <c r="J104" s="384"/>
      <c r="K104" s="383"/>
      <c r="L104" s="383">
        <v>1</v>
      </c>
      <c r="M104" s="310" t="s">
        <v>413</v>
      </c>
      <c r="N104" s="295" t="s">
        <v>478</v>
      </c>
      <c r="O104" s="295" t="s">
        <v>384</v>
      </c>
      <c r="P104" s="378"/>
      <c r="Q104" s="378"/>
      <c r="R104" s="744">
        <v>44531</v>
      </c>
      <c r="S104" s="295" t="s">
        <v>392</v>
      </c>
      <c r="T104" s="378"/>
      <c r="U104" s="378"/>
      <c r="V104" s="378"/>
      <c r="W104" s="378"/>
      <c r="X104" s="378"/>
      <c r="Y104" s="378"/>
      <c r="Z104" s="378"/>
      <c r="AA104" s="378"/>
      <c r="AB104" s="378"/>
      <c r="AC104" s="378"/>
      <c r="AD104" s="378"/>
      <c r="AE104" s="295"/>
    </row>
    <row r="105" spans="1:31" s="739" customFormat="1" x14ac:dyDescent="0.2">
      <c r="A105" s="308">
        <v>2</v>
      </c>
      <c r="B105" s="378"/>
      <c r="C105" s="378"/>
      <c r="D105" s="378"/>
      <c r="E105" s="378"/>
      <c r="F105" s="408"/>
      <c r="G105" s="295" t="s">
        <v>1148</v>
      </c>
      <c r="H105" s="295" t="s">
        <v>1149</v>
      </c>
      <c r="I105" s="295" t="s">
        <v>394</v>
      </c>
      <c r="J105" s="585">
        <v>34575</v>
      </c>
      <c r="K105" s="383">
        <v>1</v>
      </c>
      <c r="L105" s="383"/>
      <c r="M105" s="310" t="s">
        <v>491</v>
      </c>
      <c r="N105" s="295" t="s">
        <v>478</v>
      </c>
      <c r="O105" s="295" t="s">
        <v>384</v>
      </c>
      <c r="P105" s="378">
        <v>9502089717</v>
      </c>
      <c r="Q105" s="378"/>
      <c r="R105" s="744">
        <v>44532</v>
      </c>
      <c r="S105" s="295" t="s">
        <v>392</v>
      </c>
      <c r="T105" s="378"/>
      <c r="U105" s="378"/>
      <c r="V105" s="378"/>
      <c r="W105" s="378"/>
      <c r="X105" s="378"/>
      <c r="Y105" s="378"/>
      <c r="Z105" s="378"/>
      <c r="AA105" s="378"/>
      <c r="AB105" s="378"/>
      <c r="AC105" s="378"/>
      <c r="AD105" s="378"/>
      <c r="AE105" s="295"/>
    </row>
    <row r="106" spans="1:31" s="739" customFormat="1" x14ac:dyDescent="0.2">
      <c r="A106" s="308">
        <v>3</v>
      </c>
      <c r="B106" s="378"/>
      <c r="C106" s="378"/>
      <c r="D106" s="378"/>
      <c r="E106" s="378"/>
      <c r="F106" s="408"/>
      <c r="G106" s="295" t="s">
        <v>1150</v>
      </c>
      <c r="H106" s="295" t="s">
        <v>1151</v>
      </c>
      <c r="I106" s="295" t="s">
        <v>387</v>
      </c>
      <c r="J106" s="585">
        <v>30874</v>
      </c>
      <c r="K106" s="383"/>
      <c r="L106" s="383">
        <v>1</v>
      </c>
      <c r="M106" s="310" t="s">
        <v>1152</v>
      </c>
      <c r="N106" s="295" t="s">
        <v>478</v>
      </c>
      <c r="O106" s="295" t="s">
        <v>384</v>
      </c>
      <c r="P106" s="378">
        <v>9982764373</v>
      </c>
      <c r="Q106" s="378"/>
      <c r="R106" s="744">
        <v>44533</v>
      </c>
      <c r="S106" s="295" t="s">
        <v>1153</v>
      </c>
      <c r="T106" s="378"/>
      <c r="U106" s="378"/>
      <c r="V106" s="378"/>
      <c r="W106" s="378"/>
      <c r="X106" s="378"/>
      <c r="Y106" s="378"/>
      <c r="Z106" s="378"/>
      <c r="AA106" s="378"/>
      <c r="AB106" s="378"/>
      <c r="AC106" s="378"/>
      <c r="AD106" s="378"/>
      <c r="AE106" s="295"/>
    </row>
    <row r="107" spans="1:31" s="739" customFormat="1" x14ac:dyDescent="0.2">
      <c r="A107" s="308">
        <v>4</v>
      </c>
      <c r="B107" s="378"/>
      <c r="C107" s="378"/>
      <c r="D107" s="378"/>
      <c r="E107" s="378"/>
      <c r="F107" s="408"/>
      <c r="G107" s="295" t="s">
        <v>1154</v>
      </c>
      <c r="H107" s="295" t="s">
        <v>1155</v>
      </c>
      <c r="I107" s="378"/>
      <c r="J107" s="585">
        <v>32914</v>
      </c>
      <c r="K107" s="383"/>
      <c r="L107" s="383">
        <v>1</v>
      </c>
      <c r="M107" s="310" t="s">
        <v>492</v>
      </c>
      <c r="N107" s="295" t="s">
        <v>478</v>
      </c>
      <c r="O107" s="295" t="s">
        <v>384</v>
      </c>
      <c r="P107" s="378">
        <v>9177165808</v>
      </c>
      <c r="Q107" s="378"/>
      <c r="R107" s="744">
        <v>44533</v>
      </c>
      <c r="S107" s="295" t="s">
        <v>392</v>
      </c>
      <c r="T107" s="378"/>
      <c r="U107" s="378"/>
      <c r="V107" s="378"/>
      <c r="W107" s="378"/>
      <c r="X107" s="378"/>
      <c r="Y107" s="378"/>
      <c r="Z107" s="378"/>
      <c r="AA107" s="378"/>
      <c r="AB107" s="378"/>
      <c r="AC107" s="378"/>
      <c r="AD107" s="378"/>
      <c r="AE107" s="295"/>
    </row>
    <row r="108" spans="1:31" s="739" customFormat="1" x14ac:dyDescent="0.2">
      <c r="A108" s="308">
        <v>5</v>
      </c>
      <c r="B108" s="378"/>
      <c r="C108" s="378"/>
      <c r="D108" s="378"/>
      <c r="E108" s="378"/>
      <c r="F108" s="408"/>
      <c r="G108" s="295" t="s">
        <v>1156</v>
      </c>
      <c r="H108" s="295" t="s">
        <v>1157</v>
      </c>
      <c r="I108" s="295" t="s">
        <v>395</v>
      </c>
      <c r="J108" s="585">
        <v>34293</v>
      </c>
      <c r="K108" s="383">
        <v>1</v>
      </c>
      <c r="L108" s="383"/>
      <c r="M108" s="310" t="s">
        <v>492</v>
      </c>
      <c r="N108" s="295" t="s">
        <v>478</v>
      </c>
      <c r="O108" s="295" t="s">
        <v>384</v>
      </c>
      <c r="P108" s="378">
        <v>9464337695</v>
      </c>
      <c r="Q108" s="378"/>
      <c r="R108" s="744">
        <v>44533</v>
      </c>
      <c r="S108" s="682" t="s">
        <v>1100</v>
      </c>
      <c r="T108" s="378"/>
      <c r="U108" s="378"/>
      <c r="V108" s="378"/>
      <c r="W108" s="378"/>
      <c r="X108" s="378"/>
      <c r="Y108" s="378"/>
      <c r="Z108" s="378"/>
      <c r="AA108" s="378"/>
      <c r="AB108" s="378"/>
      <c r="AC108" s="378"/>
      <c r="AD108" s="378"/>
      <c r="AE108" s="295"/>
    </row>
    <row r="109" spans="1:31" s="739" customFormat="1" x14ac:dyDescent="0.2">
      <c r="A109" s="308">
        <v>6</v>
      </c>
      <c r="B109" s="378"/>
      <c r="C109" s="378"/>
      <c r="D109" s="378"/>
      <c r="E109" s="378"/>
      <c r="F109" s="408"/>
      <c r="G109" s="295" t="s">
        <v>1158</v>
      </c>
      <c r="H109" s="295" t="s">
        <v>1159</v>
      </c>
      <c r="I109" s="295" t="s">
        <v>399</v>
      </c>
      <c r="J109" s="585">
        <v>26098</v>
      </c>
      <c r="K109" s="383">
        <v>1</v>
      </c>
      <c r="L109" s="383"/>
      <c r="M109" s="387"/>
      <c r="N109" s="295" t="s">
        <v>478</v>
      </c>
      <c r="O109" s="295" t="s">
        <v>384</v>
      </c>
      <c r="P109" s="378">
        <v>9283332383</v>
      </c>
      <c r="Q109" s="378"/>
      <c r="R109" s="744">
        <v>44536</v>
      </c>
      <c r="S109" s="295" t="s">
        <v>392</v>
      </c>
      <c r="T109" s="378"/>
      <c r="U109" s="378"/>
      <c r="V109" s="378"/>
      <c r="W109" s="378"/>
      <c r="X109" s="378"/>
      <c r="Y109" s="378"/>
      <c r="Z109" s="378"/>
      <c r="AA109" s="378"/>
      <c r="AB109" s="378"/>
      <c r="AC109" s="378"/>
      <c r="AD109" s="378"/>
      <c r="AE109" s="295"/>
    </row>
    <row r="110" spans="1:31" s="739" customFormat="1" x14ac:dyDescent="0.2">
      <c r="A110" s="308">
        <v>7</v>
      </c>
      <c r="B110" s="378"/>
      <c r="C110" s="378"/>
      <c r="D110" s="378"/>
      <c r="E110" s="378"/>
      <c r="F110" s="408"/>
      <c r="G110" s="295" t="s">
        <v>1160</v>
      </c>
      <c r="H110" s="295" t="s">
        <v>1161</v>
      </c>
      <c r="I110" s="295" t="s">
        <v>403</v>
      </c>
      <c r="J110" s="585">
        <v>27717</v>
      </c>
      <c r="K110" s="383"/>
      <c r="L110" s="383">
        <v>1</v>
      </c>
      <c r="M110" s="387"/>
      <c r="N110" s="295" t="s">
        <v>494</v>
      </c>
      <c r="O110" s="295" t="s">
        <v>384</v>
      </c>
      <c r="P110" s="378">
        <v>9107508168</v>
      </c>
      <c r="Q110" s="378"/>
      <c r="R110" s="744">
        <v>44538</v>
      </c>
      <c r="S110" s="295" t="s">
        <v>486</v>
      </c>
      <c r="T110" s="378"/>
      <c r="U110" s="378"/>
      <c r="V110" s="378"/>
      <c r="W110" s="378"/>
      <c r="X110" s="378"/>
      <c r="Y110" s="378"/>
      <c r="Z110" s="378"/>
      <c r="AA110" s="378"/>
      <c r="AB110" s="378"/>
      <c r="AC110" s="378"/>
      <c r="AD110" s="378"/>
      <c r="AE110" s="295"/>
    </row>
    <row r="111" spans="1:31" s="739" customFormat="1" x14ac:dyDescent="0.2">
      <c r="A111" s="308">
        <v>8</v>
      </c>
      <c r="B111" s="378"/>
      <c r="C111" s="378"/>
      <c r="D111" s="378"/>
      <c r="E111" s="378"/>
      <c r="F111" s="408"/>
      <c r="G111" s="295" t="s">
        <v>1162</v>
      </c>
      <c r="H111" s="295" t="s">
        <v>463</v>
      </c>
      <c r="I111" s="295" t="s">
        <v>402</v>
      </c>
      <c r="J111" s="298"/>
      <c r="K111" s="383">
        <v>1</v>
      </c>
      <c r="L111" s="383"/>
      <c r="M111" s="387"/>
      <c r="N111" s="295" t="s">
        <v>1109</v>
      </c>
      <c r="O111" s="295" t="s">
        <v>384</v>
      </c>
      <c r="P111" s="378">
        <v>9104034500</v>
      </c>
      <c r="Q111" s="378"/>
      <c r="R111" s="744">
        <v>44539</v>
      </c>
      <c r="S111" s="295" t="s">
        <v>408</v>
      </c>
      <c r="T111" s="378"/>
      <c r="U111" s="378"/>
      <c r="V111" s="378"/>
      <c r="W111" s="378"/>
      <c r="X111" s="378"/>
      <c r="Y111" s="378"/>
      <c r="Z111" s="378"/>
      <c r="AA111" s="378"/>
      <c r="AB111" s="378"/>
      <c r="AC111" s="378"/>
      <c r="AD111" s="378"/>
      <c r="AE111" s="295"/>
    </row>
    <row r="112" spans="1:31" s="739" customFormat="1" x14ac:dyDescent="0.2">
      <c r="A112" s="308">
        <v>9</v>
      </c>
      <c r="B112" s="378"/>
      <c r="C112" s="378"/>
      <c r="D112" s="378"/>
      <c r="E112" s="378"/>
      <c r="F112" s="408"/>
      <c r="G112" s="295" t="s">
        <v>1163</v>
      </c>
      <c r="H112" s="295" t="s">
        <v>465</v>
      </c>
      <c r="I112" s="295" t="s">
        <v>404</v>
      </c>
      <c r="J112" s="298"/>
      <c r="K112" s="383">
        <v>1</v>
      </c>
      <c r="L112" s="383"/>
      <c r="M112" s="310" t="s">
        <v>1164</v>
      </c>
      <c r="N112" s="295" t="s">
        <v>478</v>
      </c>
      <c r="O112" s="295" t="s">
        <v>384</v>
      </c>
      <c r="P112" s="378"/>
      <c r="Q112" s="378"/>
      <c r="R112" s="744">
        <v>44539</v>
      </c>
      <c r="S112" s="295" t="s">
        <v>486</v>
      </c>
      <c r="T112" s="378"/>
      <c r="U112" s="378"/>
      <c r="V112" s="378"/>
      <c r="W112" s="378"/>
      <c r="X112" s="378"/>
      <c r="Y112" s="378"/>
      <c r="Z112" s="378"/>
      <c r="AA112" s="378"/>
      <c r="AB112" s="378"/>
      <c r="AC112" s="378"/>
      <c r="AD112" s="378"/>
      <c r="AE112" s="295"/>
    </row>
    <row r="113" spans="1:31" s="739" customFormat="1" x14ac:dyDescent="0.2">
      <c r="A113" s="308">
        <v>10</v>
      </c>
      <c r="B113" s="378"/>
      <c r="C113" s="378"/>
      <c r="D113" s="378"/>
      <c r="E113" s="378"/>
      <c r="F113" s="408"/>
      <c r="G113" s="295" t="s">
        <v>1117</v>
      </c>
      <c r="H113" s="295" t="s">
        <v>1141</v>
      </c>
      <c r="I113" s="295" t="s">
        <v>387</v>
      </c>
      <c r="J113" s="584">
        <v>26713</v>
      </c>
      <c r="K113" s="383"/>
      <c r="L113" s="383">
        <v>1</v>
      </c>
      <c r="M113" s="310"/>
      <c r="N113" s="295" t="s">
        <v>396</v>
      </c>
      <c r="O113" s="295" t="s">
        <v>384</v>
      </c>
      <c r="P113" s="378">
        <v>9993947341</v>
      </c>
      <c r="Q113" s="378"/>
      <c r="R113" s="744">
        <v>44539</v>
      </c>
      <c r="S113" s="737" t="s">
        <v>391</v>
      </c>
      <c r="T113" s="378"/>
      <c r="U113" s="378"/>
      <c r="V113" s="378"/>
      <c r="W113" s="378"/>
      <c r="X113" s="378"/>
      <c r="Y113" s="378"/>
      <c r="Z113" s="378"/>
      <c r="AA113" s="378"/>
      <c r="AB113" s="378"/>
      <c r="AC113" s="378"/>
      <c r="AD113" s="378"/>
      <c r="AE113" s="295"/>
    </row>
    <row r="114" spans="1:31" s="739" customFormat="1" x14ac:dyDescent="0.2">
      <c r="A114" s="308">
        <v>11</v>
      </c>
      <c r="B114" s="378"/>
      <c r="C114" s="378"/>
      <c r="D114" s="378"/>
      <c r="E114" s="378"/>
      <c r="F114" s="408"/>
      <c r="G114" s="295" t="s">
        <v>1165</v>
      </c>
      <c r="H114" s="295" t="s">
        <v>1166</v>
      </c>
      <c r="I114" s="378"/>
      <c r="J114" s="585">
        <v>23068</v>
      </c>
      <c r="K114" s="383">
        <v>1</v>
      </c>
      <c r="L114" s="383"/>
      <c r="M114" s="310" t="s">
        <v>502</v>
      </c>
      <c r="N114" s="295" t="s">
        <v>478</v>
      </c>
      <c r="O114" s="295" t="s">
        <v>384</v>
      </c>
      <c r="P114" s="378">
        <v>9260863463</v>
      </c>
      <c r="Q114" s="378"/>
      <c r="R114" s="744">
        <v>44540</v>
      </c>
      <c r="S114" s="295" t="s">
        <v>1167</v>
      </c>
      <c r="T114" s="378"/>
      <c r="U114" s="378"/>
      <c r="V114" s="378"/>
      <c r="W114" s="378"/>
      <c r="X114" s="378"/>
      <c r="Y114" s="378"/>
      <c r="Z114" s="378"/>
      <c r="AA114" s="378"/>
      <c r="AB114" s="378"/>
      <c r="AC114" s="378"/>
      <c r="AD114" s="378"/>
      <c r="AE114" s="295"/>
    </row>
    <row r="115" spans="1:31" s="739" customFormat="1" x14ac:dyDescent="0.2">
      <c r="A115" s="308">
        <v>12</v>
      </c>
      <c r="B115" s="378"/>
      <c r="C115" s="378"/>
      <c r="D115" s="378"/>
      <c r="E115" s="378"/>
      <c r="F115" s="408"/>
      <c r="G115" s="295" t="s">
        <v>1168</v>
      </c>
      <c r="H115" s="295" t="s">
        <v>1169</v>
      </c>
      <c r="I115" s="295" t="s">
        <v>403</v>
      </c>
      <c r="J115" s="585">
        <v>35080</v>
      </c>
      <c r="K115" s="383">
        <v>1</v>
      </c>
      <c r="L115" s="383"/>
      <c r="M115" s="387"/>
      <c r="N115" s="295" t="s">
        <v>871</v>
      </c>
      <c r="O115" s="295" t="s">
        <v>384</v>
      </c>
      <c r="P115" s="378">
        <v>9703167231</v>
      </c>
      <c r="Q115" s="378"/>
      <c r="R115" s="744">
        <v>44543</v>
      </c>
      <c r="S115" s="295" t="s">
        <v>392</v>
      </c>
      <c r="T115" s="378"/>
      <c r="U115" s="378"/>
      <c r="V115" s="378"/>
      <c r="W115" s="378"/>
      <c r="X115" s="378"/>
      <c r="Y115" s="378"/>
      <c r="Z115" s="378"/>
      <c r="AA115" s="378"/>
      <c r="AB115" s="378"/>
      <c r="AC115" s="378"/>
      <c r="AD115" s="378"/>
      <c r="AE115" s="295"/>
    </row>
    <row r="116" spans="1:31" s="739" customFormat="1" x14ac:dyDescent="0.2">
      <c r="A116" s="308">
        <v>13</v>
      </c>
      <c r="B116" s="378"/>
      <c r="C116" s="378"/>
      <c r="D116" s="378"/>
      <c r="E116" s="378"/>
      <c r="F116" s="408"/>
      <c r="G116" s="295" t="s">
        <v>1170</v>
      </c>
      <c r="H116" s="295" t="s">
        <v>1171</v>
      </c>
      <c r="I116" s="378"/>
      <c r="J116" s="585">
        <v>36460</v>
      </c>
      <c r="K116" s="383">
        <v>1</v>
      </c>
      <c r="L116" s="383"/>
      <c r="M116" s="387"/>
      <c r="N116" s="378"/>
      <c r="O116" s="295" t="s">
        <v>384</v>
      </c>
      <c r="P116" s="378">
        <v>9319643761</v>
      </c>
      <c r="Q116" s="378"/>
      <c r="R116" s="744">
        <v>44543</v>
      </c>
      <c r="S116" s="737" t="s">
        <v>391</v>
      </c>
      <c r="T116" s="378"/>
      <c r="U116" s="378"/>
      <c r="V116" s="378"/>
      <c r="W116" s="378"/>
      <c r="X116" s="378"/>
      <c r="Y116" s="378"/>
      <c r="Z116" s="378"/>
      <c r="AA116" s="378"/>
      <c r="AB116" s="378"/>
      <c r="AC116" s="378"/>
      <c r="AD116" s="378"/>
      <c r="AE116" s="295"/>
    </row>
    <row r="117" spans="1:31" s="739" customFormat="1" x14ac:dyDescent="0.2">
      <c r="A117" s="308">
        <v>14</v>
      </c>
      <c r="B117" s="378"/>
      <c r="C117" s="378"/>
      <c r="D117" s="378"/>
      <c r="E117" s="378"/>
      <c r="F117" s="408"/>
      <c r="G117" s="295" t="s">
        <v>1172</v>
      </c>
      <c r="H117" s="295" t="s">
        <v>1173</v>
      </c>
      <c r="I117" s="295" t="s">
        <v>401</v>
      </c>
      <c r="J117" s="585">
        <v>26760</v>
      </c>
      <c r="K117" s="383">
        <v>1</v>
      </c>
      <c r="L117" s="383"/>
      <c r="M117" s="310" t="s">
        <v>1186</v>
      </c>
      <c r="N117" s="295" t="s">
        <v>478</v>
      </c>
      <c r="O117" s="295" t="s">
        <v>384</v>
      </c>
      <c r="P117" s="378"/>
      <c r="Q117" s="378"/>
      <c r="R117" s="744">
        <v>44543</v>
      </c>
      <c r="S117" s="737" t="s">
        <v>391</v>
      </c>
      <c r="T117" s="378"/>
      <c r="U117" s="378"/>
      <c r="V117" s="378"/>
      <c r="W117" s="378"/>
      <c r="X117" s="378"/>
      <c r="Y117" s="378"/>
      <c r="Z117" s="378"/>
      <c r="AA117" s="378"/>
      <c r="AB117" s="378"/>
      <c r="AC117" s="378"/>
      <c r="AD117" s="378"/>
      <c r="AE117" s="295"/>
    </row>
    <row r="118" spans="1:31" s="739" customFormat="1" x14ac:dyDescent="0.2">
      <c r="A118" s="308">
        <v>15</v>
      </c>
      <c r="B118" s="378"/>
      <c r="C118" s="378"/>
      <c r="D118" s="378"/>
      <c r="E118" s="378"/>
      <c r="F118" s="408"/>
      <c r="G118" s="295" t="s">
        <v>1174</v>
      </c>
      <c r="H118" s="295" t="s">
        <v>437</v>
      </c>
      <c r="I118" s="295" t="s">
        <v>397</v>
      </c>
      <c r="J118" s="585">
        <v>32778</v>
      </c>
      <c r="K118" s="383">
        <v>1</v>
      </c>
      <c r="L118" s="383"/>
      <c r="M118" s="310" t="s">
        <v>1186</v>
      </c>
      <c r="N118" s="295" t="s">
        <v>478</v>
      </c>
      <c r="O118" s="295" t="s">
        <v>384</v>
      </c>
      <c r="P118" s="378">
        <v>9974007958</v>
      </c>
      <c r="Q118" s="378"/>
      <c r="R118" s="744">
        <v>44543</v>
      </c>
      <c r="S118" s="737" t="s">
        <v>391</v>
      </c>
      <c r="T118" s="378"/>
      <c r="U118" s="378"/>
      <c r="V118" s="378"/>
      <c r="W118" s="378"/>
      <c r="X118" s="378"/>
      <c r="Y118" s="378"/>
      <c r="Z118" s="378"/>
      <c r="AA118" s="378"/>
      <c r="AB118" s="378"/>
      <c r="AC118" s="378"/>
      <c r="AD118" s="378"/>
      <c r="AE118" s="295"/>
    </row>
    <row r="119" spans="1:31" s="739" customFormat="1" x14ac:dyDescent="0.2">
      <c r="A119" s="308">
        <v>16</v>
      </c>
      <c r="B119" s="378"/>
      <c r="C119" s="378"/>
      <c r="D119" s="378"/>
      <c r="E119" s="378"/>
      <c r="F119" s="408"/>
      <c r="G119" s="295" t="s">
        <v>1175</v>
      </c>
      <c r="H119" s="295" t="s">
        <v>1176</v>
      </c>
      <c r="I119" s="295" t="s">
        <v>425</v>
      </c>
      <c r="J119" s="585">
        <v>25965</v>
      </c>
      <c r="K119" s="383">
        <v>1</v>
      </c>
      <c r="L119" s="383"/>
      <c r="M119" s="310" t="s">
        <v>1186</v>
      </c>
      <c r="N119" s="295" t="s">
        <v>478</v>
      </c>
      <c r="O119" s="295" t="s">
        <v>384</v>
      </c>
      <c r="P119" s="378"/>
      <c r="Q119" s="378"/>
      <c r="R119" s="744">
        <v>44543</v>
      </c>
      <c r="S119" s="737" t="s">
        <v>391</v>
      </c>
      <c r="T119" s="378"/>
      <c r="U119" s="378"/>
      <c r="V119" s="378"/>
      <c r="W119" s="378"/>
      <c r="X119" s="378"/>
      <c r="Y119" s="378"/>
      <c r="Z119" s="378"/>
      <c r="AA119" s="378"/>
      <c r="AB119" s="378"/>
      <c r="AC119" s="378"/>
      <c r="AD119" s="378"/>
      <c r="AE119" s="295"/>
    </row>
    <row r="120" spans="1:31" s="739" customFormat="1" x14ac:dyDescent="0.2">
      <c r="A120" s="308">
        <v>17</v>
      </c>
      <c r="B120" s="378"/>
      <c r="C120" s="378"/>
      <c r="D120" s="378"/>
      <c r="E120" s="378"/>
      <c r="F120" s="408"/>
      <c r="G120" s="295" t="s">
        <v>1177</v>
      </c>
      <c r="H120" s="295" t="s">
        <v>439</v>
      </c>
      <c r="I120" s="378"/>
      <c r="J120" s="585">
        <v>26485</v>
      </c>
      <c r="K120" s="383">
        <v>1</v>
      </c>
      <c r="L120" s="383"/>
      <c r="M120" s="310" t="s">
        <v>1186</v>
      </c>
      <c r="N120" s="295" t="s">
        <v>478</v>
      </c>
      <c r="O120" s="295" t="s">
        <v>384</v>
      </c>
      <c r="P120" s="378">
        <v>9676073591</v>
      </c>
      <c r="Q120" s="378"/>
      <c r="R120" s="744">
        <v>44543</v>
      </c>
      <c r="S120" s="737" t="s">
        <v>391</v>
      </c>
      <c r="T120" s="378"/>
      <c r="U120" s="378"/>
      <c r="V120" s="378"/>
      <c r="W120" s="378"/>
      <c r="X120" s="378"/>
      <c r="Y120" s="378"/>
      <c r="Z120" s="378"/>
      <c r="AA120" s="378"/>
      <c r="AB120" s="378"/>
      <c r="AC120" s="378"/>
      <c r="AD120" s="378"/>
      <c r="AE120" s="295"/>
    </row>
    <row r="121" spans="1:31" s="739" customFormat="1" x14ac:dyDescent="0.2">
      <c r="A121" s="308">
        <v>18</v>
      </c>
      <c r="B121" s="378"/>
      <c r="C121" s="378"/>
      <c r="D121" s="378"/>
      <c r="E121" s="378"/>
      <c r="F121" s="408"/>
      <c r="G121" s="295" t="s">
        <v>1178</v>
      </c>
      <c r="H121" s="295" t="s">
        <v>1179</v>
      </c>
      <c r="I121" s="295" t="s">
        <v>1180</v>
      </c>
      <c r="J121" s="585">
        <v>32901</v>
      </c>
      <c r="K121" s="383">
        <v>1</v>
      </c>
      <c r="L121" s="383"/>
      <c r="M121" s="310" t="s">
        <v>1186</v>
      </c>
      <c r="N121" s="295" t="s">
        <v>478</v>
      </c>
      <c r="O121" s="295" t="s">
        <v>384</v>
      </c>
      <c r="P121" s="378">
        <v>9061822725</v>
      </c>
      <c r="Q121" s="378"/>
      <c r="R121" s="744">
        <v>44543</v>
      </c>
      <c r="S121" s="737" t="s">
        <v>391</v>
      </c>
      <c r="T121" s="378"/>
      <c r="U121" s="378"/>
      <c r="V121" s="378"/>
      <c r="W121" s="378"/>
      <c r="X121" s="378"/>
      <c r="Y121" s="378"/>
      <c r="Z121" s="378"/>
      <c r="AA121" s="378"/>
      <c r="AB121" s="378"/>
      <c r="AC121" s="378"/>
      <c r="AD121" s="378"/>
      <c r="AE121" s="295"/>
    </row>
    <row r="122" spans="1:31" s="739" customFormat="1" x14ac:dyDescent="0.2">
      <c r="A122" s="308">
        <v>19</v>
      </c>
      <c r="B122" s="378"/>
      <c r="C122" s="378"/>
      <c r="D122" s="378"/>
      <c r="E122" s="378"/>
      <c r="F122" s="408"/>
      <c r="G122" s="295" t="s">
        <v>1181</v>
      </c>
      <c r="H122" s="295" t="s">
        <v>1182</v>
      </c>
      <c r="I122" s="378"/>
      <c r="J122" s="585">
        <v>34604</v>
      </c>
      <c r="K122" s="383">
        <v>1</v>
      </c>
      <c r="L122" s="383"/>
      <c r="M122" s="310" t="s">
        <v>1186</v>
      </c>
      <c r="N122" s="295" t="s">
        <v>478</v>
      </c>
      <c r="O122" s="295" t="s">
        <v>384</v>
      </c>
      <c r="P122" s="378">
        <v>91060736753</v>
      </c>
      <c r="Q122" s="378"/>
      <c r="R122" s="744">
        <v>44543</v>
      </c>
      <c r="S122" s="737" t="s">
        <v>391</v>
      </c>
      <c r="T122" s="378"/>
      <c r="U122" s="378"/>
      <c r="V122" s="378"/>
      <c r="W122" s="378"/>
      <c r="X122" s="378"/>
      <c r="Y122" s="378"/>
      <c r="Z122" s="378"/>
      <c r="AA122" s="378"/>
      <c r="AB122" s="378"/>
      <c r="AC122" s="378"/>
      <c r="AD122" s="378"/>
      <c r="AE122" s="295"/>
    </row>
    <row r="123" spans="1:31" s="739" customFormat="1" x14ac:dyDescent="0.2">
      <c r="A123" s="308">
        <v>20</v>
      </c>
      <c r="B123" s="378"/>
      <c r="C123" s="378"/>
      <c r="D123" s="378"/>
      <c r="E123" s="378"/>
      <c r="F123" s="408"/>
      <c r="G123" s="295" t="s">
        <v>1183</v>
      </c>
      <c r="H123" s="295" t="s">
        <v>907</v>
      </c>
      <c r="I123" s="295" t="s">
        <v>425</v>
      </c>
      <c r="J123" s="585">
        <v>22734</v>
      </c>
      <c r="K123" s="383">
        <v>1</v>
      </c>
      <c r="L123" s="383"/>
      <c r="M123" s="310" t="s">
        <v>1186</v>
      </c>
      <c r="N123" s="295" t="s">
        <v>478</v>
      </c>
      <c r="O123" s="295" t="s">
        <v>384</v>
      </c>
      <c r="P123" s="378">
        <v>9059607172</v>
      </c>
      <c r="Q123" s="378"/>
      <c r="R123" s="744">
        <v>44543</v>
      </c>
      <c r="S123" s="737" t="s">
        <v>391</v>
      </c>
      <c r="T123" s="378"/>
      <c r="U123" s="378"/>
      <c r="V123" s="378"/>
      <c r="W123" s="378"/>
      <c r="X123" s="378"/>
      <c r="Y123" s="378"/>
      <c r="Z123" s="378"/>
      <c r="AA123" s="378"/>
      <c r="AB123" s="378"/>
      <c r="AC123" s="378"/>
      <c r="AD123" s="378"/>
      <c r="AE123" s="295"/>
    </row>
    <row r="124" spans="1:31" s="739" customFormat="1" x14ac:dyDescent="0.2">
      <c r="A124" s="308">
        <v>21</v>
      </c>
      <c r="B124" s="378"/>
      <c r="C124" s="378"/>
      <c r="D124" s="378"/>
      <c r="E124" s="378"/>
      <c r="F124" s="408"/>
      <c r="G124" s="295" t="s">
        <v>1183</v>
      </c>
      <c r="H124" s="295" t="s">
        <v>275</v>
      </c>
      <c r="I124" s="378"/>
      <c r="J124" s="585">
        <v>31199</v>
      </c>
      <c r="K124" s="383">
        <v>1</v>
      </c>
      <c r="L124" s="383"/>
      <c r="M124" s="310" t="s">
        <v>1186</v>
      </c>
      <c r="N124" s="295" t="s">
        <v>478</v>
      </c>
      <c r="O124" s="295" t="s">
        <v>384</v>
      </c>
      <c r="P124" s="378">
        <v>9773894856</v>
      </c>
      <c r="Q124" s="378"/>
      <c r="R124" s="744">
        <v>44543</v>
      </c>
      <c r="S124" s="737" t="s">
        <v>391</v>
      </c>
      <c r="T124" s="378"/>
      <c r="U124" s="378"/>
      <c r="V124" s="378"/>
      <c r="W124" s="378"/>
      <c r="X124" s="378"/>
      <c r="Y124" s="378"/>
      <c r="Z124" s="378"/>
      <c r="AA124" s="378"/>
      <c r="AB124" s="378"/>
      <c r="AC124" s="378"/>
      <c r="AD124" s="378"/>
      <c r="AE124" s="295"/>
    </row>
    <row r="125" spans="1:31" s="739" customFormat="1" x14ac:dyDescent="0.2">
      <c r="A125" s="308">
        <v>22</v>
      </c>
      <c r="B125" s="378"/>
      <c r="C125" s="378"/>
      <c r="D125" s="378"/>
      <c r="E125" s="378"/>
      <c r="F125" s="408"/>
      <c r="G125" s="295" t="s">
        <v>761</v>
      </c>
      <c r="H125" s="295" t="s">
        <v>1184</v>
      </c>
      <c r="I125" s="378"/>
      <c r="J125" s="585">
        <v>25884</v>
      </c>
      <c r="K125" s="383">
        <v>1</v>
      </c>
      <c r="L125" s="383"/>
      <c r="M125" s="310" t="s">
        <v>1186</v>
      </c>
      <c r="N125" s="295" t="s">
        <v>478</v>
      </c>
      <c r="O125" s="295" t="s">
        <v>384</v>
      </c>
      <c r="P125" s="378"/>
      <c r="Q125" s="378"/>
      <c r="R125" s="744">
        <v>44543</v>
      </c>
      <c r="S125" s="737" t="s">
        <v>391</v>
      </c>
      <c r="T125" s="378"/>
      <c r="U125" s="378"/>
      <c r="V125" s="378"/>
      <c r="W125" s="378"/>
      <c r="X125" s="378"/>
      <c r="Y125" s="378"/>
      <c r="Z125" s="378"/>
      <c r="AA125" s="378"/>
      <c r="AB125" s="378"/>
      <c r="AC125" s="378"/>
      <c r="AD125" s="378"/>
      <c r="AE125" s="295"/>
    </row>
    <row r="126" spans="1:31" s="739" customFormat="1" x14ac:dyDescent="0.2">
      <c r="A126" s="308">
        <v>23</v>
      </c>
      <c r="B126" s="378"/>
      <c r="C126" s="378"/>
      <c r="D126" s="378"/>
      <c r="E126" s="378"/>
      <c r="F126" s="408"/>
      <c r="G126" s="295" t="s">
        <v>1172</v>
      </c>
      <c r="H126" s="295" t="s">
        <v>1185</v>
      </c>
      <c r="I126" s="295" t="s">
        <v>401</v>
      </c>
      <c r="J126" s="585">
        <v>25625</v>
      </c>
      <c r="K126" s="383">
        <v>1</v>
      </c>
      <c r="L126" s="383"/>
      <c r="M126" s="310" t="s">
        <v>554</v>
      </c>
      <c r="N126" s="295" t="s">
        <v>478</v>
      </c>
      <c r="O126" s="295" t="s">
        <v>384</v>
      </c>
      <c r="P126" s="378">
        <v>9670073591</v>
      </c>
      <c r="Q126" s="378"/>
      <c r="R126" s="744">
        <v>44543</v>
      </c>
      <c r="S126" s="737" t="s">
        <v>391</v>
      </c>
      <c r="T126" s="378"/>
      <c r="U126" s="378"/>
      <c r="V126" s="378"/>
      <c r="W126" s="378"/>
      <c r="X126" s="378"/>
      <c r="Y126" s="378"/>
      <c r="Z126" s="378"/>
      <c r="AA126" s="378"/>
      <c r="AB126" s="378"/>
      <c r="AC126" s="378"/>
      <c r="AD126" s="378"/>
      <c r="AE126" s="295"/>
    </row>
    <row r="127" spans="1:31" s="739" customFormat="1" x14ac:dyDescent="0.2">
      <c r="A127" s="308">
        <v>24</v>
      </c>
      <c r="B127" s="378"/>
      <c r="C127" s="378"/>
      <c r="D127" s="378"/>
      <c r="E127" s="378"/>
      <c r="F127" s="408"/>
      <c r="G127" s="295" t="s">
        <v>1117</v>
      </c>
      <c r="H127" s="295" t="s">
        <v>810</v>
      </c>
      <c r="I127" s="295" t="s">
        <v>459</v>
      </c>
      <c r="J127" s="298"/>
      <c r="K127" s="383">
        <v>1</v>
      </c>
      <c r="L127" s="383"/>
      <c r="M127" s="310" t="s">
        <v>492</v>
      </c>
      <c r="N127" s="295" t="s">
        <v>478</v>
      </c>
      <c r="O127" s="295" t="s">
        <v>384</v>
      </c>
      <c r="P127" s="378">
        <v>9955872323</v>
      </c>
      <c r="Q127" s="378"/>
      <c r="R127" s="744">
        <v>44543</v>
      </c>
      <c r="S127" s="682" t="s">
        <v>1100</v>
      </c>
      <c r="T127" s="378"/>
      <c r="U127" s="378"/>
      <c r="V127" s="378"/>
      <c r="W127" s="378"/>
      <c r="X127" s="378"/>
      <c r="Y127" s="378"/>
      <c r="Z127" s="378"/>
      <c r="AA127" s="378"/>
      <c r="AB127" s="378"/>
      <c r="AC127" s="378"/>
      <c r="AD127" s="378"/>
      <c r="AE127" s="295"/>
    </row>
    <row r="128" spans="1:31" s="739" customFormat="1" x14ac:dyDescent="0.2">
      <c r="A128" s="308">
        <v>25</v>
      </c>
      <c r="B128" s="378"/>
      <c r="C128" s="378"/>
      <c r="D128" s="378"/>
      <c r="E128" s="378"/>
      <c r="F128" s="408"/>
      <c r="G128" s="295" t="s">
        <v>1077</v>
      </c>
      <c r="H128" s="295" t="s">
        <v>1187</v>
      </c>
      <c r="I128" s="378"/>
      <c r="J128" s="298"/>
      <c r="K128" s="383">
        <v>1</v>
      </c>
      <c r="L128" s="383"/>
      <c r="M128" s="310" t="s">
        <v>492</v>
      </c>
      <c r="N128" s="295" t="s">
        <v>478</v>
      </c>
      <c r="O128" s="295" t="s">
        <v>384</v>
      </c>
      <c r="P128" s="378">
        <v>9296704234</v>
      </c>
      <c r="Q128" s="378"/>
      <c r="R128" s="744">
        <v>44543</v>
      </c>
      <c r="S128" s="682" t="s">
        <v>1100</v>
      </c>
      <c r="T128" s="378"/>
      <c r="U128" s="378"/>
      <c r="V128" s="378"/>
      <c r="W128" s="378"/>
      <c r="X128" s="378"/>
      <c r="Y128" s="378"/>
      <c r="Z128" s="378"/>
      <c r="AA128" s="378"/>
      <c r="AB128" s="378"/>
      <c r="AC128" s="378"/>
      <c r="AD128" s="378"/>
      <c r="AE128" s="295"/>
    </row>
    <row r="129" spans="1:31" s="739" customFormat="1" x14ac:dyDescent="0.2">
      <c r="A129" s="308">
        <v>26</v>
      </c>
      <c r="B129" s="378"/>
      <c r="C129" s="378"/>
      <c r="D129" s="378"/>
      <c r="E129" s="378"/>
      <c r="F129" s="408"/>
      <c r="G129" s="295" t="s">
        <v>1183</v>
      </c>
      <c r="H129" s="295" t="s">
        <v>1188</v>
      </c>
      <c r="I129" s="295" t="s">
        <v>395</v>
      </c>
      <c r="J129" s="585">
        <v>31159</v>
      </c>
      <c r="K129" s="383">
        <v>1</v>
      </c>
      <c r="L129" s="383"/>
      <c r="M129" s="310" t="s">
        <v>1186</v>
      </c>
      <c r="N129" s="295" t="s">
        <v>478</v>
      </c>
      <c r="O129" s="295" t="s">
        <v>384</v>
      </c>
      <c r="P129" s="378"/>
      <c r="Q129" s="378"/>
      <c r="R129" s="744">
        <v>44543</v>
      </c>
      <c r="S129" s="737" t="s">
        <v>391</v>
      </c>
      <c r="T129" s="378"/>
      <c r="U129" s="378"/>
      <c r="V129" s="378"/>
      <c r="W129" s="378"/>
      <c r="X129" s="378"/>
      <c r="Y129" s="378"/>
      <c r="Z129" s="378"/>
      <c r="AA129" s="378"/>
      <c r="AB129" s="378"/>
      <c r="AC129" s="378"/>
      <c r="AD129" s="378"/>
      <c r="AE129" s="295"/>
    </row>
    <row r="130" spans="1:31" s="739" customFormat="1" x14ac:dyDescent="0.2">
      <c r="A130" s="308">
        <v>27</v>
      </c>
      <c r="B130" s="378"/>
      <c r="C130" s="378"/>
      <c r="D130" s="378"/>
      <c r="E130" s="378"/>
      <c r="F130" s="408"/>
      <c r="G130" s="295" t="s">
        <v>1189</v>
      </c>
      <c r="H130" s="295" t="s">
        <v>1190</v>
      </c>
      <c r="I130" s="295" t="s">
        <v>397</v>
      </c>
      <c r="J130" s="585">
        <v>33802</v>
      </c>
      <c r="K130" s="383">
        <v>1</v>
      </c>
      <c r="L130" s="383"/>
      <c r="M130" s="310" t="s">
        <v>1186</v>
      </c>
      <c r="N130" s="295" t="s">
        <v>478</v>
      </c>
      <c r="O130" s="295" t="s">
        <v>384</v>
      </c>
      <c r="P130" s="378">
        <v>9090389673</v>
      </c>
      <c r="Q130" s="378"/>
      <c r="R130" s="744">
        <v>44543</v>
      </c>
      <c r="S130" s="737" t="s">
        <v>391</v>
      </c>
      <c r="T130" s="378"/>
      <c r="U130" s="378"/>
      <c r="V130" s="378"/>
      <c r="W130" s="378"/>
      <c r="X130" s="378"/>
      <c r="Y130" s="378"/>
      <c r="Z130" s="378"/>
      <c r="AA130" s="378"/>
      <c r="AB130" s="378"/>
      <c r="AC130" s="378"/>
      <c r="AD130" s="378"/>
      <c r="AE130" s="295"/>
    </row>
    <row r="131" spans="1:31" s="739" customFormat="1" x14ac:dyDescent="0.2">
      <c r="A131" s="308">
        <v>28</v>
      </c>
      <c r="B131" s="378"/>
      <c r="C131" s="378"/>
      <c r="D131" s="378"/>
      <c r="E131" s="378"/>
      <c r="F131" s="408"/>
      <c r="G131" s="295" t="s">
        <v>1175</v>
      </c>
      <c r="H131" s="295" t="s">
        <v>1191</v>
      </c>
      <c r="I131" s="295" t="s">
        <v>395</v>
      </c>
      <c r="J131" s="585">
        <v>34683</v>
      </c>
      <c r="K131" s="383">
        <v>1</v>
      </c>
      <c r="L131" s="383"/>
      <c r="M131" s="310" t="s">
        <v>1186</v>
      </c>
      <c r="N131" s="295" t="s">
        <v>478</v>
      </c>
      <c r="O131" s="295" t="s">
        <v>384</v>
      </c>
      <c r="P131" s="378"/>
      <c r="Q131" s="378"/>
      <c r="R131" s="744">
        <v>44543</v>
      </c>
      <c r="S131" s="737" t="s">
        <v>391</v>
      </c>
      <c r="T131" s="378"/>
      <c r="U131" s="378"/>
      <c r="V131" s="378"/>
      <c r="W131" s="378"/>
      <c r="X131" s="378"/>
      <c r="Y131" s="378"/>
      <c r="Z131" s="378"/>
      <c r="AA131" s="378"/>
      <c r="AB131" s="378"/>
      <c r="AC131" s="378"/>
      <c r="AD131" s="378"/>
      <c r="AE131" s="295"/>
    </row>
    <row r="132" spans="1:31" s="739" customFormat="1" x14ac:dyDescent="0.2">
      <c r="A132" s="308">
        <v>29</v>
      </c>
      <c r="B132" s="378"/>
      <c r="C132" s="378"/>
      <c r="D132" s="378"/>
      <c r="E132" s="378"/>
      <c r="F132" s="408"/>
      <c r="G132" s="295" t="s">
        <v>1189</v>
      </c>
      <c r="H132" s="295" t="s">
        <v>1192</v>
      </c>
      <c r="I132" s="378"/>
      <c r="J132" s="585">
        <v>28275</v>
      </c>
      <c r="K132" s="383">
        <v>1</v>
      </c>
      <c r="L132" s="383"/>
      <c r="M132" s="310" t="s">
        <v>1186</v>
      </c>
      <c r="N132" s="295" t="s">
        <v>478</v>
      </c>
      <c r="O132" s="295" t="s">
        <v>384</v>
      </c>
      <c r="P132" s="378"/>
      <c r="Q132" s="378"/>
      <c r="R132" s="744">
        <v>44543</v>
      </c>
      <c r="S132" s="737" t="s">
        <v>391</v>
      </c>
      <c r="T132" s="378"/>
      <c r="U132" s="378"/>
      <c r="V132" s="378"/>
      <c r="W132" s="378"/>
      <c r="X132" s="378"/>
      <c r="Y132" s="378"/>
      <c r="Z132" s="378"/>
      <c r="AA132" s="378"/>
      <c r="AB132" s="378"/>
      <c r="AC132" s="378"/>
      <c r="AD132" s="378"/>
      <c r="AE132" s="295"/>
    </row>
    <row r="133" spans="1:31" s="739" customFormat="1" x14ac:dyDescent="0.2">
      <c r="A133" s="308">
        <v>30</v>
      </c>
      <c r="B133" s="378"/>
      <c r="C133" s="378"/>
      <c r="D133" s="378"/>
      <c r="E133" s="378"/>
      <c r="F133" s="408"/>
      <c r="G133" s="295" t="s">
        <v>1175</v>
      </c>
      <c r="H133" s="295" t="s">
        <v>1193</v>
      </c>
      <c r="I133" s="378"/>
      <c r="J133" s="298"/>
      <c r="K133" s="383">
        <v>1</v>
      </c>
      <c r="L133" s="383"/>
      <c r="M133" s="310" t="s">
        <v>1186</v>
      </c>
      <c r="N133" s="295" t="s">
        <v>478</v>
      </c>
      <c r="O133" s="295" t="s">
        <v>384</v>
      </c>
      <c r="P133" s="378"/>
      <c r="Q133" s="378"/>
      <c r="R133" s="744">
        <v>44543</v>
      </c>
      <c r="S133" s="737" t="s">
        <v>391</v>
      </c>
      <c r="T133" s="378"/>
      <c r="U133" s="378"/>
      <c r="V133" s="378"/>
      <c r="W133" s="378"/>
      <c r="X133" s="378"/>
      <c r="Y133" s="378"/>
      <c r="Z133" s="378"/>
      <c r="AA133" s="378"/>
      <c r="AB133" s="378"/>
      <c r="AC133" s="378"/>
      <c r="AD133" s="378"/>
      <c r="AE133" s="295"/>
    </row>
    <row r="134" spans="1:31" s="739" customFormat="1" x14ac:dyDescent="0.2">
      <c r="A134" s="308">
        <v>31</v>
      </c>
      <c r="B134" s="378"/>
      <c r="C134" s="378"/>
      <c r="D134" s="378"/>
      <c r="E134" s="378"/>
      <c r="F134" s="408"/>
      <c r="G134" s="295" t="s">
        <v>1172</v>
      </c>
      <c r="H134" s="295" t="s">
        <v>1185</v>
      </c>
      <c r="I134" s="295" t="s">
        <v>401</v>
      </c>
      <c r="J134" s="585">
        <v>25625</v>
      </c>
      <c r="K134" s="383">
        <v>1</v>
      </c>
      <c r="L134" s="383"/>
      <c r="M134" s="310" t="s">
        <v>554</v>
      </c>
      <c r="N134" s="295" t="s">
        <v>478</v>
      </c>
      <c r="O134" s="295" t="s">
        <v>384</v>
      </c>
      <c r="P134" s="378">
        <v>9670073591</v>
      </c>
      <c r="Q134" s="378"/>
      <c r="R134" s="744">
        <v>44544</v>
      </c>
      <c r="S134" s="737" t="s">
        <v>392</v>
      </c>
      <c r="T134" s="378"/>
      <c r="U134" s="378"/>
      <c r="V134" s="378"/>
      <c r="W134" s="378"/>
      <c r="X134" s="378"/>
      <c r="Y134" s="378"/>
      <c r="Z134" s="378"/>
      <c r="AA134" s="378"/>
      <c r="AB134" s="378"/>
      <c r="AC134" s="378"/>
      <c r="AD134" s="378"/>
      <c r="AE134" s="295"/>
    </row>
    <row r="135" spans="1:31" s="739" customFormat="1" x14ac:dyDescent="0.2">
      <c r="A135" s="308">
        <v>32</v>
      </c>
      <c r="B135" s="378"/>
      <c r="C135" s="378"/>
      <c r="D135" s="378"/>
      <c r="E135" s="378"/>
      <c r="F135" s="408"/>
      <c r="G135" s="295" t="s">
        <v>1077</v>
      </c>
      <c r="H135" s="295" t="s">
        <v>1187</v>
      </c>
      <c r="I135" s="378"/>
      <c r="J135" s="298"/>
      <c r="K135" s="383">
        <v>1</v>
      </c>
      <c r="L135" s="383"/>
      <c r="M135" s="310" t="s">
        <v>492</v>
      </c>
      <c r="N135" s="295" t="s">
        <v>478</v>
      </c>
      <c r="O135" s="295" t="s">
        <v>384</v>
      </c>
      <c r="P135" s="378">
        <v>9296704234</v>
      </c>
      <c r="Q135" s="378"/>
      <c r="R135" s="744">
        <v>44544</v>
      </c>
      <c r="S135" s="682" t="s">
        <v>1100</v>
      </c>
      <c r="T135" s="378"/>
      <c r="U135" s="378"/>
      <c r="V135" s="378"/>
      <c r="W135" s="378"/>
      <c r="X135" s="378"/>
      <c r="Y135" s="378"/>
      <c r="Z135" s="378"/>
      <c r="AA135" s="378"/>
      <c r="AB135" s="378"/>
      <c r="AC135" s="378"/>
      <c r="AD135" s="378"/>
      <c r="AE135" s="295"/>
    </row>
    <row r="136" spans="1:31" s="739" customFormat="1" x14ac:dyDescent="0.2">
      <c r="A136" s="308">
        <v>33</v>
      </c>
      <c r="B136" s="378"/>
      <c r="C136" s="378"/>
      <c r="D136" s="378"/>
      <c r="E136" s="378"/>
      <c r="F136" s="408"/>
      <c r="G136" s="295" t="s">
        <v>1194</v>
      </c>
      <c r="H136" s="295" t="s">
        <v>1195</v>
      </c>
      <c r="I136" s="295" t="s">
        <v>393</v>
      </c>
      <c r="J136" s="585">
        <v>30942</v>
      </c>
      <c r="K136" s="383">
        <v>1</v>
      </c>
      <c r="L136" s="383"/>
      <c r="M136" s="310" t="s">
        <v>491</v>
      </c>
      <c r="N136" s="295" t="s">
        <v>478</v>
      </c>
      <c r="O136" s="295" t="s">
        <v>384</v>
      </c>
      <c r="P136" s="378">
        <v>9387732077</v>
      </c>
      <c r="Q136" s="378"/>
      <c r="R136" s="744">
        <v>44544</v>
      </c>
      <c r="S136" s="737" t="s">
        <v>391</v>
      </c>
      <c r="T136" s="378"/>
      <c r="U136" s="378"/>
      <c r="V136" s="378"/>
      <c r="W136" s="378"/>
      <c r="X136" s="378"/>
      <c r="Y136" s="378"/>
      <c r="Z136" s="378"/>
      <c r="AA136" s="378"/>
      <c r="AB136" s="378"/>
      <c r="AC136" s="378"/>
      <c r="AD136" s="378"/>
      <c r="AE136" s="295"/>
    </row>
    <row r="137" spans="1:31" s="739" customFormat="1" x14ac:dyDescent="0.2">
      <c r="A137" s="308">
        <v>34</v>
      </c>
      <c r="B137" s="378"/>
      <c r="C137" s="378"/>
      <c r="D137" s="378"/>
      <c r="E137" s="378"/>
      <c r="F137" s="408"/>
      <c r="G137" s="295" t="s">
        <v>1194</v>
      </c>
      <c r="H137" s="295" t="s">
        <v>1195</v>
      </c>
      <c r="I137" s="295" t="s">
        <v>393</v>
      </c>
      <c r="J137" s="585">
        <v>30942</v>
      </c>
      <c r="K137" s="383">
        <v>1</v>
      </c>
      <c r="L137" s="383"/>
      <c r="M137" s="310" t="s">
        <v>491</v>
      </c>
      <c r="N137" s="295" t="s">
        <v>478</v>
      </c>
      <c r="O137" s="295" t="s">
        <v>384</v>
      </c>
      <c r="P137" s="378">
        <v>9387732077</v>
      </c>
      <c r="Q137" s="378"/>
      <c r="R137" s="744">
        <v>44545</v>
      </c>
      <c r="S137" s="737" t="s">
        <v>391</v>
      </c>
      <c r="T137" s="378"/>
      <c r="U137" s="378"/>
      <c r="V137" s="378"/>
      <c r="W137" s="378"/>
      <c r="X137" s="378"/>
      <c r="Y137" s="378"/>
      <c r="Z137" s="378"/>
      <c r="AA137" s="378"/>
      <c r="AB137" s="378"/>
      <c r="AC137" s="378"/>
      <c r="AD137" s="378"/>
      <c r="AE137" s="295"/>
    </row>
    <row r="138" spans="1:31" s="739" customFormat="1" x14ac:dyDescent="0.2">
      <c r="A138" s="308">
        <v>35</v>
      </c>
      <c r="B138" s="378"/>
      <c r="C138" s="378"/>
      <c r="D138" s="378"/>
      <c r="E138" s="378"/>
      <c r="F138" s="408"/>
      <c r="G138" s="295" t="s">
        <v>1196</v>
      </c>
      <c r="H138" s="295" t="s">
        <v>1197</v>
      </c>
      <c r="I138" s="295" t="s">
        <v>401</v>
      </c>
      <c r="J138" s="585">
        <v>30029</v>
      </c>
      <c r="K138" s="383"/>
      <c r="L138" s="383">
        <v>1</v>
      </c>
      <c r="M138" s="310" t="s">
        <v>483</v>
      </c>
      <c r="N138" s="295" t="s">
        <v>478</v>
      </c>
      <c r="O138" s="295" t="s">
        <v>384</v>
      </c>
      <c r="P138" s="378">
        <v>9078270731</v>
      </c>
      <c r="Q138" s="378"/>
      <c r="R138" s="744">
        <v>44545</v>
      </c>
      <c r="S138" s="295" t="s">
        <v>392</v>
      </c>
      <c r="T138" s="378"/>
      <c r="U138" s="378"/>
      <c r="V138" s="378"/>
      <c r="W138" s="378"/>
      <c r="X138" s="378"/>
      <c r="Y138" s="378"/>
      <c r="Z138" s="378"/>
      <c r="AA138" s="378"/>
      <c r="AB138" s="378"/>
      <c r="AC138" s="378"/>
      <c r="AD138" s="378"/>
      <c r="AE138" s="295"/>
    </row>
    <row r="139" spans="1:31" s="736" customFormat="1" x14ac:dyDescent="0.25">
      <c r="A139" s="682">
        <v>36</v>
      </c>
      <c r="B139" s="682"/>
      <c r="C139" s="682"/>
      <c r="D139" s="682"/>
      <c r="E139" s="682"/>
      <c r="F139" s="426"/>
      <c r="G139" s="736" t="s">
        <v>1199</v>
      </c>
      <c r="H139" s="736" t="s">
        <v>1200</v>
      </c>
      <c r="I139" s="736" t="s">
        <v>405</v>
      </c>
      <c r="J139" s="746"/>
      <c r="K139" s="745">
        <v>1</v>
      </c>
      <c r="M139" s="745"/>
      <c r="N139" s="736" t="s">
        <v>478</v>
      </c>
      <c r="O139" s="736" t="s">
        <v>384</v>
      </c>
      <c r="P139" s="736">
        <v>9638071712</v>
      </c>
      <c r="R139" s="747">
        <v>44546</v>
      </c>
      <c r="S139" s="737" t="s">
        <v>391</v>
      </c>
      <c r="T139" s="682"/>
      <c r="U139" s="682"/>
      <c r="V139" s="682"/>
      <c r="W139" s="682"/>
      <c r="X139" s="682"/>
      <c r="Y139" s="682"/>
      <c r="Z139" s="682"/>
      <c r="AA139" s="682"/>
      <c r="AB139" s="682"/>
      <c r="AC139" s="682"/>
      <c r="AD139" s="682"/>
      <c r="AE139" s="682"/>
    </row>
    <row r="140" spans="1:31" s="739" customFormat="1" x14ac:dyDescent="0.2">
      <c r="A140" s="308">
        <v>37</v>
      </c>
      <c r="B140" s="378"/>
      <c r="C140" s="378"/>
      <c r="D140" s="378"/>
      <c r="E140" s="378"/>
      <c r="F140" s="408"/>
      <c r="G140" s="295" t="s">
        <v>1201</v>
      </c>
      <c r="H140" s="295" t="s">
        <v>1202</v>
      </c>
      <c r="I140" s="295" t="s">
        <v>403</v>
      </c>
      <c r="J140" s="585">
        <v>20658</v>
      </c>
      <c r="K140" s="387"/>
      <c r="L140" s="383">
        <v>1</v>
      </c>
      <c r="M140" s="310" t="s">
        <v>1203</v>
      </c>
      <c r="N140" s="295" t="s">
        <v>396</v>
      </c>
      <c r="O140" s="295" t="s">
        <v>384</v>
      </c>
      <c r="P140" s="378">
        <v>9484141143</v>
      </c>
      <c r="Q140" s="378"/>
      <c r="R140" s="744">
        <v>44546</v>
      </c>
      <c r="S140" s="295" t="s">
        <v>486</v>
      </c>
      <c r="T140" s="378"/>
      <c r="U140" s="378"/>
      <c r="V140" s="378"/>
      <c r="W140" s="378"/>
      <c r="X140" s="378"/>
      <c r="Y140" s="378"/>
      <c r="Z140" s="378"/>
      <c r="AA140" s="378"/>
      <c r="AB140" s="378"/>
      <c r="AC140" s="378"/>
      <c r="AD140" s="378"/>
      <c r="AE140" s="295"/>
    </row>
    <row r="141" spans="1:31" s="739" customFormat="1" x14ac:dyDescent="0.2">
      <c r="A141" s="308">
        <v>38</v>
      </c>
      <c r="B141" s="378"/>
      <c r="C141" s="378"/>
      <c r="D141" s="378"/>
      <c r="E141" s="378"/>
      <c r="F141" s="408"/>
      <c r="G141" s="295" t="s">
        <v>1204</v>
      </c>
      <c r="H141" s="295" t="s">
        <v>1205</v>
      </c>
      <c r="I141" s="295" t="s">
        <v>400</v>
      </c>
      <c r="J141" s="585">
        <v>33827</v>
      </c>
      <c r="K141" s="387">
        <v>1</v>
      </c>
      <c r="L141" s="383"/>
      <c r="M141" s="387"/>
      <c r="N141" s="295" t="s">
        <v>1206</v>
      </c>
      <c r="O141" s="295" t="s">
        <v>1207</v>
      </c>
      <c r="P141" s="378">
        <v>9508477002</v>
      </c>
      <c r="Q141" s="378"/>
      <c r="R141" s="744">
        <v>44546</v>
      </c>
      <c r="S141" s="737" t="s">
        <v>391</v>
      </c>
      <c r="T141" s="378"/>
      <c r="U141" s="378"/>
      <c r="V141" s="378"/>
      <c r="W141" s="378"/>
      <c r="X141" s="378"/>
      <c r="Y141" s="378"/>
      <c r="Z141" s="378"/>
      <c r="AA141" s="378"/>
      <c r="AB141" s="378"/>
      <c r="AC141" s="378"/>
      <c r="AD141" s="378"/>
      <c r="AE141" s="295"/>
    </row>
    <row r="142" spans="1:31" s="739" customFormat="1" x14ac:dyDescent="0.2">
      <c r="A142" s="308">
        <v>39</v>
      </c>
      <c r="B142" s="378"/>
      <c r="C142" s="378"/>
      <c r="D142" s="378"/>
      <c r="E142" s="378"/>
      <c r="F142" s="408"/>
      <c r="G142" s="295" t="s">
        <v>1208</v>
      </c>
      <c r="H142" s="295" t="s">
        <v>1209</v>
      </c>
      <c r="I142" s="378"/>
      <c r="J142" s="585">
        <v>31531</v>
      </c>
      <c r="K142" s="387">
        <v>1</v>
      </c>
      <c r="L142" s="383"/>
      <c r="M142" s="387"/>
      <c r="N142" s="378"/>
      <c r="O142" s="378"/>
      <c r="P142" s="378"/>
      <c r="Q142" s="378"/>
      <c r="R142" s="744">
        <v>44546</v>
      </c>
      <c r="S142" s="295" t="s">
        <v>408</v>
      </c>
      <c r="T142" s="378"/>
      <c r="U142" s="378"/>
      <c r="V142" s="378"/>
      <c r="W142" s="378"/>
      <c r="X142" s="378"/>
      <c r="Y142" s="378"/>
      <c r="Z142" s="378"/>
      <c r="AA142" s="378"/>
      <c r="AB142" s="378"/>
      <c r="AC142" s="378"/>
      <c r="AD142" s="378"/>
      <c r="AE142" s="295"/>
    </row>
    <row r="143" spans="1:31" s="739" customFormat="1" x14ac:dyDescent="0.2">
      <c r="A143" s="308">
        <v>40</v>
      </c>
      <c r="B143" s="378"/>
      <c r="C143" s="378"/>
      <c r="D143" s="378"/>
      <c r="E143" s="378"/>
      <c r="F143" s="408"/>
      <c r="G143" s="295" t="s">
        <v>1210</v>
      </c>
      <c r="H143" s="295" t="s">
        <v>1211</v>
      </c>
      <c r="I143" s="378"/>
      <c r="J143" s="585">
        <v>27838</v>
      </c>
      <c r="K143" s="387">
        <v>1</v>
      </c>
      <c r="L143" s="383"/>
      <c r="M143" s="387"/>
      <c r="N143" s="295" t="s">
        <v>396</v>
      </c>
      <c r="O143" s="295" t="s">
        <v>384</v>
      </c>
      <c r="P143" s="378">
        <v>9758088870</v>
      </c>
      <c r="Q143" s="378"/>
      <c r="R143" s="744">
        <v>44546</v>
      </c>
      <c r="S143" s="737" t="s">
        <v>391</v>
      </c>
      <c r="T143" s="378"/>
      <c r="U143" s="378"/>
      <c r="V143" s="378"/>
      <c r="W143" s="378"/>
      <c r="X143" s="378"/>
      <c r="Y143" s="378"/>
      <c r="Z143" s="378"/>
      <c r="AA143" s="378"/>
      <c r="AB143" s="378"/>
      <c r="AC143" s="378"/>
      <c r="AD143" s="378"/>
      <c r="AE143" s="295"/>
    </row>
    <row r="144" spans="1:31" s="739" customFormat="1" x14ac:dyDescent="0.2">
      <c r="A144" s="308">
        <v>41</v>
      </c>
      <c r="B144" s="378"/>
      <c r="C144" s="378"/>
      <c r="D144" s="378"/>
      <c r="E144" s="378"/>
      <c r="F144" s="408"/>
      <c r="G144" s="295" t="s">
        <v>1212</v>
      </c>
      <c r="H144" s="295" t="s">
        <v>1213</v>
      </c>
      <c r="I144" s="378"/>
      <c r="J144" s="585">
        <v>32161</v>
      </c>
      <c r="K144" s="387">
        <v>1</v>
      </c>
      <c r="L144" s="383"/>
      <c r="M144" s="310" t="s">
        <v>491</v>
      </c>
      <c r="N144" s="295" t="s">
        <v>478</v>
      </c>
      <c r="O144" s="295" t="s">
        <v>384</v>
      </c>
      <c r="P144" s="378">
        <v>9064594258</v>
      </c>
      <c r="Q144" s="378"/>
      <c r="R144" s="744">
        <v>44546</v>
      </c>
      <c r="S144" s="295" t="s">
        <v>392</v>
      </c>
      <c r="T144" s="378"/>
      <c r="U144" s="378"/>
      <c r="V144" s="378"/>
      <c r="W144" s="378"/>
      <c r="X144" s="378"/>
      <c r="Y144" s="378"/>
      <c r="Z144" s="378"/>
      <c r="AA144" s="378"/>
      <c r="AB144" s="378"/>
      <c r="AC144" s="378"/>
      <c r="AD144" s="378"/>
      <c r="AE144" s="295"/>
    </row>
    <row r="145" spans="1:31" s="549" customFormat="1" x14ac:dyDescent="0.2">
      <c r="A145" s="308">
        <v>42</v>
      </c>
      <c r="B145" s="295"/>
      <c r="C145" s="295"/>
      <c r="D145" s="295"/>
      <c r="E145" s="295"/>
      <c r="F145" s="296"/>
      <c r="G145" s="702" t="s">
        <v>1198</v>
      </c>
      <c r="H145" s="702" t="s">
        <v>1074</v>
      </c>
      <c r="I145" s="702"/>
      <c r="J145" s="748">
        <v>33592</v>
      </c>
      <c r="K145" s="684">
        <v>1</v>
      </c>
      <c r="L145" s="684"/>
      <c r="M145" s="423"/>
      <c r="N145" s="702" t="s">
        <v>478</v>
      </c>
      <c r="O145" s="702" t="s">
        <v>384</v>
      </c>
      <c r="P145" s="702">
        <v>938774121</v>
      </c>
      <c r="Q145" s="702"/>
      <c r="R145" s="703">
        <v>44549</v>
      </c>
      <c r="S145" s="702" t="s">
        <v>392</v>
      </c>
      <c r="T145" s="430"/>
      <c r="U145" s="300"/>
      <c r="V145" s="295"/>
      <c r="W145" s="295"/>
      <c r="X145" s="295"/>
      <c r="Y145" s="295"/>
      <c r="Z145" s="295"/>
      <c r="AA145" s="295"/>
      <c r="AB145" s="295"/>
      <c r="AC145" s="310"/>
      <c r="AD145" s="295"/>
      <c r="AE145" s="295"/>
    </row>
    <row r="146" spans="1:31" s="549" customFormat="1" ht="15.75" x14ac:dyDescent="0.25">
      <c r="A146" s="412" t="s">
        <v>345</v>
      </c>
      <c r="B146" s="403"/>
      <c r="C146" s="403"/>
      <c r="D146" s="403"/>
      <c r="E146" s="403"/>
      <c r="F146" s="413"/>
      <c r="G146" s="403"/>
      <c r="H146" s="403"/>
      <c r="I146" s="403"/>
      <c r="J146" s="392" t="s">
        <v>16</v>
      </c>
      <c r="K146" s="394">
        <f>SUM(K147:K148)</f>
        <v>0</v>
      </c>
      <c r="L146" s="394">
        <f>SUM(L147:L148)</f>
        <v>0</v>
      </c>
      <c r="M146" s="308"/>
      <c r="N146" s="295"/>
      <c r="O146" s="295"/>
      <c r="P146" s="308"/>
      <c r="Q146" s="308"/>
      <c r="R146" s="536"/>
      <c r="S146" s="295"/>
      <c r="T146" s="430"/>
      <c r="U146" s="300"/>
      <c r="V146" s="295"/>
      <c r="W146" s="295"/>
      <c r="X146" s="295"/>
      <c r="Y146" s="295"/>
      <c r="Z146" s="295"/>
      <c r="AA146" s="295"/>
      <c r="AB146" s="295"/>
      <c r="AC146" s="310"/>
      <c r="AD146" s="295"/>
      <c r="AE146" s="295"/>
    </row>
    <row r="147" spans="1:31" s="549" customFormat="1" ht="15.75" x14ac:dyDescent="0.2">
      <c r="A147" s="310"/>
      <c r="B147" s="295"/>
      <c r="C147" s="295"/>
      <c r="D147" s="295"/>
      <c r="E147" s="295"/>
      <c r="F147" s="296"/>
      <c r="G147" s="308"/>
      <c r="H147" s="308"/>
      <c r="I147" s="308"/>
      <c r="J147" s="584"/>
      <c r="K147" s="298"/>
      <c r="L147" s="311"/>
      <c r="M147" s="308"/>
      <c r="N147" s="295"/>
      <c r="O147" s="295"/>
      <c r="P147" s="308"/>
      <c r="Q147" s="308"/>
      <c r="R147" s="536"/>
      <c r="S147" s="295"/>
      <c r="T147" s="430"/>
      <c r="U147" s="300"/>
      <c r="V147" s="295"/>
      <c r="W147" s="295"/>
      <c r="X147" s="295"/>
      <c r="Y147" s="295"/>
      <c r="Z147" s="295"/>
      <c r="AA147" s="295"/>
      <c r="AB147" s="295"/>
      <c r="AC147" s="310"/>
      <c r="AD147" s="295"/>
      <c r="AE147" s="295"/>
    </row>
    <row r="148" spans="1:31" s="549" customFormat="1" ht="15.75" x14ac:dyDescent="0.2">
      <c r="A148" s="310"/>
      <c r="B148" s="295"/>
      <c r="C148" s="295"/>
      <c r="D148" s="295"/>
      <c r="E148" s="295"/>
      <c r="F148" s="296"/>
      <c r="G148" s="308"/>
      <c r="H148" s="308"/>
      <c r="I148" s="308"/>
      <c r="J148" s="584"/>
      <c r="K148" s="298"/>
      <c r="L148" s="311"/>
      <c r="M148" s="308"/>
      <c r="N148" s="295"/>
      <c r="O148" s="295"/>
      <c r="P148" s="308"/>
      <c r="Q148" s="308"/>
      <c r="R148" s="536"/>
      <c r="S148" s="295"/>
      <c r="T148" s="430"/>
      <c r="U148" s="300"/>
      <c r="V148" s="295"/>
      <c r="W148" s="295"/>
      <c r="X148" s="295"/>
      <c r="Y148" s="295"/>
      <c r="Z148" s="295"/>
      <c r="AA148" s="295"/>
      <c r="AB148" s="295"/>
      <c r="AC148" s="310"/>
      <c r="AD148" s="295"/>
      <c r="AE148" s="295"/>
    </row>
    <row r="149" spans="1:31" s="549" customFormat="1" ht="15.75" x14ac:dyDescent="0.2">
      <c r="A149" s="310"/>
      <c r="B149" s="295"/>
      <c r="C149" s="295"/>
      <c r="D149" s="295"/>
      <c r="E149" s="295"/>
      <c r="F149" s="296"/>
      <c r="G149" s="308"/>
      <c r="H149" s="308"/>
      <c r="I149" s="308"/>
      <c r="J149" s="584"/>
      <c r="K149" s="310"/>
      <c r="L149" s="311"/>
      <c r="M149" s="308"/>
      <c r="N149" s="295"/>
      <c r="O149" s="295"/>
      <c r="P149" s="308"/>
      <c r="Q149" s="308"/>
      <c r="R149" s="536"/>
      <c r="S149" s="295"/>
      <c r="T149" s="430"/>
      <c r="U149" s="300"/>
      <c r="V149" s="295"/>
      <c r="W149" s="295"/>
      <c r="X149" s="295"/>
      <c r="Y149" s="295"/>
      <c r="Z149" s="295"/>
      <c r="AA149" s="295"/>
      <c r="AB149" s="295"/>
      <c r="AC149" s="310"/>
      <c r="AD149" s="295"/>
      <c r="AE149" s="295"/>
    </row>
    <row r="150" spans="1:31" s="549" customFormat="1" ht="15.75" x14ac:dyDescent="0.2">
      <c r="A150" s="310"/>
      <c r="B150" s="295"/>
      <c r="C150" s="295"/>
      <c r="D150" s="295"/>
      <c r="E150" s="295"/>
      <c r="F150" s="296"/>
      <c r="G150" s="308"/>
      <c r="H150" s="308"/>
      <c r="I150" s="308"/>
      <c r="J150" s="584"/>
      <c r="K150" s="298"/>
      <c r="L150" s="311"/>
      <c r="M150" s="308"/>
      <c r="N150" s="295"/>
      <c r="O150" s="295"/>
      <c r="P150" s="308"/>
      <c r="Q150" s="308"/>
      <c r="R150" s="536"/>
      <c r="S150" s="295"/>
      <c r="T150" s="430"/>
      <c r="U150" s="300"/>
      <c r="V150" s="295"/>
      <c r="W150" s="295"/>
      <c r="X150" s="295"/>
      <c r="Y150" s="295"/>
      <c r="Z150" s="295"/>
      <c r="AA150" s="295"/>
      <c r="AB150" s="295"/>
      <c r="AC150" s="310"/>
      <c r="AD150" s="295"/>
      <c r="AE150" s="295"/>
    </row>
    <row r="151" spans="1:31" s="549" customFormat="1" ht="15.75" x14ac:dyDescent="0.2">
      <c r="A151" s="310"/>
      <c r="B151" s="295"/>
      <c r="C151" s="295"/>
      <c r="D151" s="295"/>
      <c r="E151" s="295"/>
      <c r="F151" s="296"/>
      <c r="G151" s="308"/>
      <c r="H151" s="308"/>
      <c r="I151" s="308"/>
      <c r="J151" s="584"/>
      <c r="K151" s="298"/>
      <c r="L151" s="311"/>
      <c r="M151" s="308"/>
      <c r="N151" s="295"/>
      <c r="O151" s="295"/>
      <c r="P151" s="308"/>
      <c r="Q151" s="308"/>
      <c r="R151" s="536"/>
      <c r="S151" s="295"/>
      <c r="T151" s="430"/>
      <c r="U151" s="300"/>
      <c r="V151" s="295"/>
      <c r="W151" s="295"/>
      <c r="X151" s="295"/>
      <c r="Y151" s="295"/>
      <c r="Z151" s="295"/>
      <c r="AA151" s="295"/>
      <c r="AB151" s="295"/>
      <c r="AC151" s="310"/>
      <c r="AD151" s="295"/>
      <c r="AE151" s="295"/>
    </row>
    <row r="152" spans="1:31" s="549" customFormat="1" ht="15.75" x14ac:dyDescent="0.2">
      <c r="A152" s="310"/>
      <c r="B152" s="295"/>
      <c r="C152" s="295"/>
      <c r="D152" s="295"/>
      <c r="E152" s="295"/>
      <c r="F152" s="296"/>
      <c r="G152" s="308"/>
      <c r="H152" s="308"/>
      <c r="I152" s="308"/>
      <c r="J152" s="584"/>
      <c r="K152" s="310"/>
      <c r="L152" s="311"/>
      <c r="M152" s="308"/>
      <c r="N152" s="295"/>
      <c r="O152" s="295"/>
      <c r="P152" s="308"/>
      <c r="Q152" s="308"/>
      <c r="R152" s="536"/>
      <c r="S152" s="295"/>
      <c r="T152" s="430"/>
      <c r="U152" s="300"/>
      <c r="V152" s="295"/>
      <c r="W152" s="295"/>
      <c r="X152" s="295"/>
      <c r="Y152" s="295"/>
      <c r="Z152" s="295"/>
      <c r="AA152" s="295"/>
      <c r="AB152" s="295"/>
      <c r="AC152" s="310"/>
      <c r="AD152" s="295"/>
      <c r="AE152" s="295"/>
    </row>
    <row r="153" spans="1:31" s="549" customFormat="1" ht="15.75" x14ac:dyDescent="0.2">
      <c r="A153" s="310"/>
      <c r="B153" s="295"/>
      <c r="C153" s="295"/>
      <c r="D153" s="295"/>
      <c r="E153" s="295"/>
      <c r="F153" s="296"/>
      <c r="G153" s="308"/>
      <c r="H153" s="308"/>
      <c r="I153" s="308"/>
      <c r="J153" s="584"/>
      <c r="K153" s="298"/>
      <c r="L153" s="311"/>
      <c r="M153" s="308"/>
      <c r="N153" s="295"/>
      <c r="O153" s="295"/>
      <c r="P153" s="308"/>
      <c r="Q153" s="308"/>
      <c r="R153" s="536"/>
      <c r="S153" s="295"/>
      <c r="T153" s="430"/>
      <c r="U153" s="300"/>
      <c r="V153" s="295"/>
      <c r="W153" s="295"/>
      <c r="X153" s="295"/>
      <c r="Y153" s="295"/>
      <c r="Z153" s="295"/>
      <c r="AA153" s="295"/>
      <c r="AB153" s="295"/>
      <c r="AC153" s="310"/>
      <c r="AD153" s="295"/>
      <c r="AE153" s="295"/>
    </row>
    <row r="154" spans="1:31" s="549" customFormat="1" ht="15.75" x14ac:dyDescent="0.2">
      <c r="A154" s="310"/>
      <c r="B154" s="295"/>
      <c r="C154" s="295"/>
      <c r="D154" s="295"/>
      <c r="E154" s="295"/>
      <c r="F154" s="296"/>
      <c r="G154" s="308"/>
      <c r="H154" s="308"/>
      <c r="I154" s="308"/>
      <c r="J154" s="584"/>
      <c r="K154" s="298"/>
      <c r="L154" s="311"/>
      <c r="M154" s="308"/>
      <c r="N154" s="295"/>
      <c r="O154" s="295"/>
      <c r="P154" s="308"/>
      <c r="Q154" s="308"/>
      <c r="R154" s="536"/>
      <c r="S154" s="295"/>
      <c r="T154" s="430"/>
      <c r="U154" s="300"/>
      <c r="V154" s="295"/>
      <c r="W154" s="295"/>
      <c r="X154" s="295"/>
      <c r="Y154" s="295"/>
      <c r="Z154" s="295"/>
      <c r="AA154" s="295"/>
      <c r="AB154" s="295"/>
      <c r="AC154" s="310"/>
      <c r="AD154" s="295"/>
      <c r="AE154" s="295"/>
    </row>
    <row r="155" spans="1:31" s="549" customFormat="1" ht="15.75" x14ac:dyDescent="0.2">
      <c r="A155" s="310"/>
      <c r="B155" s="295"/>
      <c r="C155" s="295"/>
      <c r="D155" s="295"/>
      <c r="E155" s="295"/>
      <c r="F155" s="296"/>
      <c r="G155" s="308"/>
      <c r="H155" s="308"/>
      <c r="I155" s="308"/>
      <c r="J155" s="584"/>
      <c r="K155" s="310"/>
      <c r="L155" s="311"/>
      <c r="M155" s="308"/>
      <c r="N155" s="295"/>
      <c r="O155" s="295"/>
      <c r="P155" s="308"/>
      <c r="Q155" s="308"/>
      <c r="R155" s="536"/>
      <c r="S155" s="295"/>
      <c r="T155" s="430"/>
      <c r="U155" s="300"/>
      <c r="V155" s="295"/>
      <c r="W155" s="295"/>
      <c r="X155" s="295"/>
      <c r="Y155" s="295"/>
      <c r="Z155" s="295"/>
      <c r="AA155" s="295"/>
      <c r="AB155" s="295"/>
      <c r="AC155" s="310"/>
      <c r="AD155" s="295"/>
      <c r="AE155" s="295"/>
    </row>
    <row r="156" spans="1:31" s="549" customFormat="1" ht="15.75" x14ac:dyDescent="0.2">
      <c r="A156" s="310"/>
      <c r="B156" s="295"/>
      <c r="C156" s="295"/>
      <c r="D156" s="295"/>
      <c r="E156" s="295"/>
      <c r="F156" s="296"/>
      <c r="G156" s="308"/>
      <c r="H156" s="308"/>
      <c r="I156" s="308"/>
      <c r="J156" s="584"/>
      <c r="K156" s="298"/>
      <c r="L156" s="311"/>
      <c r="M156" s="308"/>
      <c r="N156" s="295"/>
      <c r="O156" s="295"/>
      <c r="P156" s="295"/>
      <c r="Q156" s="295"/>
      <c r="R156" s="536"/>
      <c r="S156" s="295"/>
      <c r="T156" s="430"/>
      <c r="U156" s="300"/>
      <c r="V156" s="295"/>
      <c r="W156" s="295"/>
      <c r="X156" s="295"/>
      <c r="Y156" s="295"/>
      <c r="Z156" s="295"/>
      <c r="AA156" s="295"/>
      <c r="AB156" s="295"/>
      <c r="AC156" s="310"/>
      <c r="AD156" s="295"/>
      <c r="AE156" s="295"/>
    </row>
    <row r="157" spans="1:31" s="552" customFormat="1" ht="15.75" x14ac:dyDescent="0.2">
      <c r="A157" s="310"/>
      <c r="B157" s="270"/>
      <c r="C157" s="270"/>
      <c r="D157" s="270"/>
      <c r="E157" s="270"/>
      <c r="F157" s="282"/>
      <c r="G157" s="308"/>
      <c r="H157" s="308"/>
      <c r="I157" s="308"/>
      <c r="J157" s="584"/>
      <c r="K157" s="298"/>
      <c r="L157" s="311"/>
      <c r="M157" s="308"/>
      <c r="N157" s="295"/>
      <c r="O157" s="295"/>
      <c r="P157" s="308"/>
      <c r="Q157" s="308"/>
      <c r="R157" s="536"/>
      <c r="S157" s="295"/>
      <c r="T157" s="430"/>
      <c r="U157" s="270"/>
      <c r="V157" s="295"/>
      <c r="W157" s="295"/>
      <c r="X157" s="295"/>
      <c r="Y157" s="295"/>
      <c r="Z157" s="295"/>
      <c r="AA157" s="295"/>
      <c r="AB157" s="295"/>
      <c r="AC157" s="310"/>
      <c r="AD157" s="270"/>
      <c r="AE157" s="270"/>
    </row>
    <row r="158" spans="1:31" s="552" customFormat="1" ht="15.75" x14ac:dyDescent="0.2">
      <c r="A158" s="310"/>
      <c r="B158" s="270"/>
      <c r="C158" s="270"/>
      <c r="D158" s="270"/>
      <c r="E158" s="270"/>
      <c r="F158" s="282"/>
      <c r="G158" s="308"/>
      <c r="H158" s="308"/>
      <c r="I158" s="308"/>
      <c r="J158" s="584"/>
      <c r="K158" s="310"/>
      <c r="L158" s="311"/>
      <c r="M158" s="308"/>
      <c r="N158" s="295"/>
      <c r="O158" s="295"/>
      <c r="P158" s="308"/>
      <c r="Q158" s="308"/>
      <c r="R158" s="536"/>
      <c r="S158" s="295"/>
      <c r="T158" s="430"/>
      <c r="U158" s="270"/>
      <c r="V158" s="295"/>
      <c r="W158" s="295"/>
      <c r="X158" s="295"/>
      <c r="Y158" s="295"/>
      <c r="Z158" s="295"/>
      <c r="AA158" s="295"/>
      <c r="AB158" s="295"/>
      <c r="AC158" s="310"/>
      <c r="AD158" s="270"/>
      <c r="AE158" s="270"/>
    </row>
    <row r="159" spans="1:31" s="552" customFormat="1" ht="15.75" x14ac:dyDescent="0.2">
      <c r="A159" s="310"/>
      <c r="B159" s="270"/>
      <c r="C159" s="270"/>
      <c r="D159" s="270"/>
      <c r="E159" s="270"/>
      <c r="F159" s="282"/>
      <c r="G159" s="308"/>
      <c r="H159" s="308"/>
      <c r="I159" s="308"/>
      <c r="J159" s="584"/>
      <c r="K159" s="298"/>
      <c r="L159" s="311"/>
      <c r="M159" s="308"/>
      <c r="N159" s="295"/>
      <c r="O159" s="295"/>
      <c r="P159" s="308"/>
      <c r="Q159" s="308"/>
      <c r="R159" s="536"/>
      <c r="S159" s="295"/>
      <c r="T159" s="430"/>
      <c r="U159" s="270"/>
      <c r="V159" s="295"/>
      <c r="W159" s="295"/>
      <c r="X159" s="295"/>
      <c r="Y159" s="295"/>
      <c r="Z159" s="295"/>
      <c r="AA159" s="295"/>
      <c r="AB159" s="295"/>
      <c r="AC159" s="310"/>
      <c r="AD159" s="270"/>
      <c r="AE159" s="270"/>
    </row>
    <row r="160" spans="1:31" s="552" customFormat="1" ht="15.75" x14ac:dyDescent="0.2">
      <c r="A160" s="310"/>
      <c r="B160" s="270"/>
      <c r="C160" s="270"/>
      <c r="D160" s="270"/>
      <c r="E160" s="270"/>
      <c r="F160" s="282"/>
      <c r="G160" s="308"/>
      <c r="H160" s="308"/>
      <c r="I160" s="308"/>
      <c r="J160" s="584"/>
      <c r="K160" s="298"/>
      <c r="L160" s="311"/>
      <c r="M160" s="308"/>
      <c r="N160" s="295"/>
      <c r="O160" s="295"/>
      <c r="P160" s="308"/>
      <c r="Q160" s="308"/>
      <c r="R160" s="536"/>
      <c r="S160" s="295"/>
      <c r="T160" s="430"/>
      <c r="U160" s="270"/>
      <c r="V160" s="295"/>
      <c r="W160" s="295"/>
      <c r="X160" s="295"/>
      <c r="Y160" s="295"/>
      <c r="Z160" s="295"/>
      <c r="AA160" s="295"/>
      <c r="AB160" s="295"/>
      <c r="AC160" s="310"/>
      <c r="AD160" s="270"/>
      <c r="AE160" s="270"/>
    </row>
    <row r="161" spans="1:31" s="552" customFormat="1" ht="15.75" x14ac:dyDescent="0.2">
      <c r="A161" s="310"/>
      <c r="B161" s="270"/>
      <c r="C161" s="270"/>
      <c r="D161" s="270"/>
      <c r="E161" s="270"/>
      <c r="F161" s="282"/>
      <c r="G161" s="308"/>
      <c r="H161" s="308"/>
      <c r="I161" s="308"/>
      <c r="J161" s="584"/>
      <c r="K161" s="310"/>
      <c r="L161" s="311"/>
      <c r="M161" s="308"/>
      <c r="N161" s="295"/>
      <c r="O161" s="295"/>
      <c r="P161" s="308"/>
      <c r="Q161" s="308"/>
      <c r="R161" s="536"/>
      <c r="S161" s="295"/>
      <c r="T161" s="430"/>
      <c r="U161" s="270"/>
      <c r="V161" s="295"/>
      <c r="W161" s="295"/>
      <c r="X161" s="295"/>
      <c r="Y161" s="295"/>
      <c r="Z161" s="295"/>
      <c r="AA161" s="295"/>
      <c r="AB161" s="295"/>
      <c r="AC161" s="310"/>
      <c r="AD161" s="270"/>
      <c r="AE161" s="270"/>
    </row>
    <row r="162" spans="1:31" s="552" customFormat="1" ht="15.75" x14ac:dyDescent="0.2">
      <c r="A162" s="310"/>
      <c r="B162" s="270"/>
      <c r="C162" s="270"/>
      <c r="D162" s="270"/>
      <c r="E162" s="270"/>
      <c r="F162" s="282"/>
      <c r="G162" s="308"/>
      <c r="H162" s="308"/>
      <c r="I162" s="308"/>
      <c r="J162" s="584"/>
      <c r="K162" s="298"/>
      <c r="L162" s="311"/>
      <c r="M162" s="308"/>
      <c r="N162" s="295"/>
      <c r="O162" s="295"/>
      <c r="P162" s="308"/>
      <c r="Q162" s="308"/>
      <c r="R162" s="536"/>
      <c r="S162" s="295"/>
      <c r="T162" s="430"/>
      <c r="U162" s="270"/>
      <c r="V162" s="295"/>
      <c r="W162" s="295"/>
      <c r="X162" s="295"/>
      <c r="Y162" s="295"/>
      <c r="Z162" s="295"/>
      <c r="AA162" s="295"/>
      <c r="AB162" s="295"/>
      <c r="AC162" s="310"/>
      <c r="AD162" s="270"/>
      <c r="AE162" s="270"/>
    </row>
    <row r="163" spans="1:31" s="552" customFormat="1" ht="15.75" x14ac:dyDescent="0.2">
      <c r="A163" s="310"/>
      <c r="B163" s="270"/>
      <c r="C163" s="270"/>
      <c r="D163" s="270"/>
      <c r="E163" s="270"/>
      <c r="F163" s="282"/>
      <c r="G163" s="308"/>
      <c r="H163" s="308"/>
      <c r="I163" s="308"/>
      <c r="J163" s="584"/>
      <c r="K163" s="298"/>
      <c r="L163" s="311"/>
      <c r="M163" s="308"/>
      <c r="N163" s="295"/>
      <c r="O163" s="295"/>
      <c r="P163" s="308"/>
      <c r="Q163" s="308"/>
      <c r="R163" s="536"/>
      <c r="S163" s="295"/>
      <c r="T163" s="430"/>
      <c r="U163" s="270"/>
      <c r="V163" s="295"/>
      <c r="W163" s="295"/>
      <c r="X163" s="295"/>
      <c r="Y163" s="295"/>
      <c r="Z163" s="295"/>
      <c r="AA163" s="295"/>
      <c r="AB163" s="295"/>
      <c r="AC163" s="310"/>
      <c r="AD163" s="270"/>
      <c r="AE163" s="270"/>
    </row>
    <row r="164" spans="1:31" s="552" customFormat="1" ht="15.75" x14ac:dyDescent="0.2">
      <c r="A164" s="310"/>
      <c r="B164" s="270"/>
      <c r="C164" s="270"/>
      <c r="D164" s="270"/>
      <c r="E164" s="270"/>
      <c r="F164" s="282"/>
      <c r="G164" s="308"/>
      <c r="H164" s="308"/>
      <c r="I164" s="308"/>
      <c r="J164" s="584"/>
      <c r="K164" s="310"/>
      <c r="L164" s="311"/>
      <c r="M164" s="308"/>
      <c r="N164" s="295"/>
      <c r="O164" s="295"/>
      <c r="P164" s="308"/>
      <c r="Q164" s="308"/>
      <c r="R164" s="536"/>
      <c r="S164" s="295"/>
      <c r="T164" s="430"/>
      <c r="U164" s="270"/>
      <c r="V164" s="295"/>
      <c r="W164" s="295"/>
      <c r="X164" s="295"/>
      <c r="Y164" s="295"/>
      <c r="Z164" s="295"/>
      <c r="AA164" s="295"/>
      <c r="AB164" s="295"/>
      <c r="AC164" s="310"/>
      <c r="AD164" s="270"/>
      <c r="AE164" s="270"/>
    </row>
    <row r="165" spans="1:31" s="552" customFormat="1" ht="15.75" x14ac:dyDescent="0.2">
      <c r="A165" s="310"/>
      <c r="B165" s="270"/>
      <c r="C165" s="270"/>
      <c r="D165" s="270"/>
      <c r="E165" s="270"/>
      <c r="F165" s="282"/>
      <c r="G165" s="308"/>
      <c r="H165" s="308"/>
      <c r="I165" s="308"/>
      <c r="J165" s="584"/>
      <c r="K165" s="298"/>
      <c r="L165" s="311"/>
      <c r="M165" s="308"/>
      <c r="N165" s="295"/>
      <c r="O165" s="295"/>
      <c r="P165" s="308"/>
      <c r="Q165" s="308"/>
      <c r="R165" s="536"/>
      <c r="S165" s="295"/>
      <c r="T165" s="430"/>
      <c r="U165" s="270"/>
      <c r="V165" s="295"/>
      <c r="W165" s="295"/>
      <c r="X165" s="295"/>
      <c r="Y165" s="295"/>
      <c r="Z165" s="295"/>
      <c r="AA165" s="295"/>
      <c r="AB165" s="295"/>
      <c r="AC165" s="310"/>
      <c r="AD165" s="270"/>
      <c r="AE165" s="270"/>
    </row>
    <row r="166" spans="1:31" s="552" customFormat="1" ht="15.75" x14ac:dyDescent="0.2">
      <c r="A166" s="310"/>
      <c r="B166" s="270"/>
      <c r="C166" s="270"/>
      <c r="D166" s="270"/>
      <c r="E166" s="270"/>
      <c r="F166" s="282"/>
      <c r="G166" s="308"/>
      <c r="H166" s="308"/>
      <c r="I166" s="308"/>
      <c r="J166" s="584"/>
      <c r="K166" s="298"/>
      <c r="L166" s="311"/>
      <c r="M166" s="308"/>
      <c r="N166" s="295"/>
      <c r="O166" s="295"/>
      <c r="P166" s="308"/>
      <c r="Q166" s="308"/>
      <c r="R166" s="536"/>
      <c r="S166" s="295"/>
      <c r="T166" s="430"/>
      <c r="U166" s="270"/>
      <c r="V166" s="295"/>
      <c r="W166" s="295"/>
      <c r="X166" s="295"/>
      <c r="Y166" s="295"/>
      <c r="Z166" s="295"/>
      <c r="AA166" s="295"/>
      <c r="AB166" s="295"/>
      <c r="AC166" s="310"/>
      <c r="AD166" s="270"/>
      <c r="AE166" s="270"/>
    </row>
    <row r="167" spans="1:31" s="552" customFormat="1" ht="15.75" x14ac:dyDescent="0.2">
      <c r="A167" s="310"/>
      <c r="B167" s="270"/>
      <c r="C167" s="270"/>
      <c r="D167" s="270"/>
      <c r="E167" s="270"/>
      <c r="F167" s="282"/>
      <c r="G167" s="308"/>
      <c r="H167" s="308"/>
      <c r="I167" s="308"/>
      <c r="J167" s="584"/>
      <c r="K167" s="310"/>
      <c r="L167" s="311"/>
      <c r="M167" s="308"/>
      <c r="N167" s="295"/>
      <c r="O167" s="295"/>
      <c r="P167" s="308"/>
      <c r="Q167" s="308"/>
      <c r="R167" s="536"/>
      <c r="S167" s="295"/>
      <c r="T167" s="430"/>
      <c r="U167" s="270"/>
      <c r="V167" s="295"/>
      <c r="W167" s="295"/>
      <c r="X167" s="295"/>
      <c r="Y167" s="295"/>
      <c r="Z167" s="295"/>
      <c r="AA167" s="295"/>
      <c r="AB167" s="295"/>
      <c r="AC167" s="310"/>
      <c r="AD167" s="270"/>
      <c r="AE167" s="270"/>
    </row>
    <row r="168" spans="1:31" s="552" customFormat="1" ht="15.75" x14ac:dyDescent="0.2">
      <c r="A168" s="310"/>
      <c r="B168" s="270"/>
      <c r="C168" s="270"/>
      <c r="D168" s="270"/>
      <c r="E168" s="270"/>
      <c r="F168" s="282"/>
      <c r="G168" s="308"/>
      <c r="H168" s="308"/>
      <c r="I168" s="308"/>
      <c r="J168" s="584"/>
      <c r="K168" s="298"/>
      <c r="L168" s="311"/>
      <c r="M168" s="308"/>
      <c r="N168" s="295"/>
      <c r="O168" s="295"/>
      <c r="P168" s="308"/>
      <c r="Q168" s="308"/>
      <c r="R168" s="536"/>
      <c r="S168" s="295"/>
      <c r="T168" s="430"/>
      <c r="U168" s="270"/>
      <c r="V168" s="295"/>
      <c r="W168" s="295"/>
      <c r="X168" s="295"/>
      <c r="Y168" s="295"/>
      <c r="Z168" s="295"/>
      <c r="AA168" s="295"/>
      <c r="AB168" s="295"/>
      <c r="AC168" s="310"/>
      <c r="AD168" s="270"/>
      <c r="AE168" s="270"/>
    </row>
    <row r="169" spans="1:31" s="552" customFormat="1" ht="15.75" x14ac:dyDescent="0.2">
      <c r="A169" s="310"/>
      <c r="B169" s="270"/>
      <c r="C169" s="270"/>
      <c r="D169" s="270"/>
      <c r="E169" s="270"/>
      <c r="F169" s="282"/>
      <c r="G169" s="308"/>
      <c r="H169" s="308"/>
      <c r="I169" s="308"/>
      <c r="J169" s="584"/>
      <c r="K169" s="298"/>
      <c r="L169" s="311"/>
      <c r="M169" s="308"/>
      <c r="N169" s="295"/>
      <c r="O169" s="295"/>
      <c r="P169" s="308"/>
      <c r="Q169" s="308"/>
      <c r="R169" s="536"/>
      <c r="S169" s="295"/>
      <c r="T169" s="430"/>
      <c r="U169" s="270"/>
      <c r="V169" s="295"/>
      <c r="W169" s="295"/>
      <c r="X169" s="295"/>
      <c r="Y169" s="295"/>
      <c r="Z169" s="295"/>
      <c r="AA169" s="295"/>
      <c r="AB169" s="295"/>
      <c r="AC169" s="310"/>
      <c r="AD169" s="270"/>
      <c r="AE169" s="270"/>
    </row>
    <row r="170" spans="1:31" s="552" customFormat="1" ht="15.75" x14ac:dyDescent="0.2">
      <c r="A170" s="310"/>
      <c r="B170" s="270"/>
      <c r="C170" s="270"/>
      <c r="D170" s="270"/>
      <c r="E170" s="270"/>
      <c r="F170" s="282"/>
      <c r="G170" s="308"/>
      <c r="H170" s="308"/>
      <c r="I170" s="308"/>
      <c r="J170" s="584"/>
      <c r="K170" s="310"/>
      <c r="L170" s="311"/>
      <c r="M170" s="308"/>
      <c r="N170" s="295"/>
      <c r="O170" s="295"/>
      <c r="P170" s="308"/>
      <c r="Q170" s="308"/>
      <c r="R170" s="536"/>
      <c r="S170" s="295"/>
      <c r="T170" s="430"/>
      <c r="U170" s="270"/>
      <c r="V170" s="295"/>
      <c r="W170" s="295"/>
      <c r="X170" s="295"/>
      <c r="Y170" s="295"/>
      <c r="Z170" s="295"/>
      <c r="AA170" s="295"/>
      <c r="AB170" s="295"/>
      <c r="AC170" s="310"/>
      <c r="AD170" s="270"/>
      <c r="AE170" s="270"/>
    </row>
    <row r="171" spans="1:31" s="552" customFormat="1" ht="15.75" x14ac:dyDescent="0.2">
      <c r="A171" s="310"/>
      <c r="B171" s="270"/>
      <c r="C171" s="270"/>
      <c r="D171" s="270"/>
      <c r="E171" s="270"/>
      <c r="F171" s="282"/>
      <c r="G171" s="308"/>
      <c r="H171" s="308"/>
      <c r="I171" s="308"/>
      <c r="J171" s="584"/>
      <c r="K171" s="298"/>
      <c r="L171" s="311"/>
      <c r="M171" s="308"/>
      <c r="N171" s="295"/>
      <c r="O171" s="295"/>
      <c r="P171" s="308"/>
      <c r="Q171" s="308"/>
      <c r="R171" s="536"/>
      <c r="S171" s="295"/>
      <c r="T171" s="430"/>
      <c r="U171" s="270"/>
      <c r="V171" s="295"/>
      <c r="W171" s="295"/>
      <c r="X171" s="295"/>
      <c r="Y171" s="295"/>
      <c r="Z171" s="295"/>
      <c r="AA171" s="295"/>
      <c r="AB171" s="295"/>
      <c r="AC171" s="310"/>
      <c r="AD171" s="270"/>
      <c r="AE171" s="270"/>
    </row>
    <row r="172" spans="1:31" s="552" customFormat="1" ht="15.75" x14ac:dyDescent="0.2">
      <c r="A172" s="310"/>
      <c r="B172" s="270"/>
      <c r="C172" s="270"/>
      <c r="D172" s="270"/>
      <c r="E172" s="270"/>
      <c r="F172" s="282"/>
      <c r="G172" s="308"/>
      <c r="H172" s="308"/>
      <c r="I172" s="308"/>
      <c r="J172" s="584"/>
      <c r="K172" s="298"/>
      <c r="L172" s="311"/>
      <c r="M172" s="308"/>
      <c r="N172" s="295"/>
      <c r="O172" s="295"/>
      <c r="P172" s="308"/>
      <c r="Q172" s="308"/>
      <c r="R172" s="536"/>
      <c r="S172" s="295"/>
      <c r="T172" s="430"/>
      <c r="U172" s="270"/>
      <c r="V172" s="295"/>
      <c r="W172" s="295"/>
      <c r="X172" s="295"/>
      <c r="Y172" s="295"/>
      <c r="Z172" s="295"/>
      <c r="AA172" s="295"/>
      <c r="AB172" s="295"/>
      <c r="AC172" s="310"/>
      <c r="AD172" s="270"/>
      <c r="AE172" s="270"/>
    </row>
    <row r="173" spans="1:31" s="552" customFormat="1" ht="15.75" x14ac:dyDescent="0.2">
      <c r="A173" s="310"/>
      <c r="B173" s="270"/>
      <c r="C173" s="270"/>
      <c r="D173" s="270"/>
      <c r="E173" s="270"/>
      <c r="F173" s="282"/>
      <c r="G173" s="308"/>
      <c r="H173" s="308"/>
      <c r="I173" s="308"/>
      <c r="J173" s="584"/>
      <c r="K173" s="310"/>
      <c r="L173" s="311"/>
      <c r="M173" s="308"/>
      <c r="N173" s="295"/>
      <c r="O173" s="295"/>
      <c r="P173" s="308"/>
      <c r="Q173" s="308"/>
      <c r="R173" s="536"/>
      <c r="S173" s="295"/>
      <c r="T173" s="430"/>
      <c r="U173" s="270"/>
      <c r="V173" s="295"/>
      <c r="W173" s="295"/>
      <c r="X173" s="295"/>
      <c r="Y173" s="295"/>
      <c r="Z173" s="295"/>
      <c r="AA173" s="295"/>
      <c r="AB173" s="295"/>
      <c r="AC173" s="310"/>
      <c r="AD173" s="270"/>
      <c r="AE173" s="270"/>
    </row>
    <row r="174" spans="1:31" s="552" customFormat="1" ht="15.75" x14ac:dyDescent="0.2">
      <c r="A174" s="310"/>
      <c r="B174" s="270"/>
      <c r="C174" s="270"/>
      <c r="D174" s="270"/>
      <c r="E174" s="270"/>
      <c r="F174" s="282"/>
      <c r="G174" s="308"/>
      <c r="H174" s="308"/>
      <c r="I174" s="308"/>
      <c r="J174" s="584"/>
      <c r="K174" s="310"/>
      <c r="L174" s="311"/>
      <c r="M174" s="308"/>
      <c r="N174" s="295"/>
      <c r="O174" s="295"/>
      <c r="P174" s="308"/>
      <c r="Q174" s="308"/>
      <c r="R174" s="536"/>
      <c r="S174" s="295"/>
      <c r="T174" s="430"/>
      <c r="U174" s="270"/>
      <c r="V174" s="295"/>
      <c r="W174" s="295"/>
      <c r="X174" s="295"/>
      <c r="Y174" s="295"/>
      <c r="Z174" s="295"/>
      <c r="AA174" s="295"/>
      <c r="AB174" s="295"/>
      <c r="AC174" s="310"/>
      <c r="AD174" s="270"/>
      <c r="AE174" s="270"/>
    </row>
    <row r="175" spans="1:31" s="552" customFormat="1" ht="15.75" x14ac:dyDescent="0.2">
      <c r="A175" s="310"/>
      <c r="B175" s="270"/>
      <c r="C175" s="270"/>
      <c r="D175" s="270"/>
      <c r="E175" s="270"/>
      <c r="F175" s="282"/>
      <c r="G175" s="308"/>
      <c r="H175" s="308"/>
      <c r="I175" s="308"/>
      <c r="J175" s="584"/>
      <c r="K175" s="310"/>
      <c r="L175" s="311"/>
      <c r="M175" s="308"/>
      <c r="N175" s="295"/>
      <c r="O175" s="295"/>
      <c r="P175" s="308"/>
      <c r="Q175" s="308"/>
      <c r="R175" s="536"/>
      <c r="S175" s="295"/>
      <c r="T175" s="430"/>
      <c r="U175" s="270"/>
      <c r="V175" s="295"/>
      <c r="W175" s="295"/>
      <c r="X175" s="295"/>
      <c r="Y175" s="295"/>
      <c r="Z175" s="295"/>
      <c r="AA175" s="295"/>
      <c r="AB175" s="295"/>
      <c r="AC175" s="310"/>
      <c r="AD175" s="270"/>
      <c r="AE175" s="270"/>
    </row>
    <row r="176" spans="1:31" s="552" customFormat="1" ht="15.75" x14ac:dyDescent="0.2">
      <c r="A176" s="310"/>
      <c r="B176" s="270"/>
      <c r="C176" s="270"/>
      <c r="D176" s="270"/>
      <c r="E176" s="270"/>
      <c r="F176" s="282"/>
      <c r="G176" s="308"/>
      <c r="H176" s="308"/>
      <c r="I176" s="308"/>
      <c r="J176" s="584"/>
      <c r="K176" s="310"/>
      <c r="L176" s="311"/>
      <c r="M176" s="308"/>
      <c r="N176" s="295"/>
      <c r="O176" s="295"/>
      <c r="P176" s="308"/>
      <c r="Q176" s="308"/>
      <c r="R176" s="536"/>
      <c r="S176" s="295"/>
      <c r="T176" s="430"/>
      <c r="U176" s="270"/>
      <c r="V176" s="295"/>
      <c r="W176" s="295"/>
      <c r="X176" s="295"/>
      <c r="Y176" s="295"/>
      <c r="Z176" s="295"/>
      <c r="AA176" s="295"/>
      <c r="AB176" s="295"/>
      <c r="AC176" s="310"/>
      <c r="AD176" s="270"/>
      <c r="AE176" s="270"/>
    </row>
    <row r="177" spans="1:31" s="552" customFormat="1" ht="15.75" x14ac:dyDescent="0.2">
      <c r="A177" s="310"/>
      <c r="B177" s="270"/>
      <c r="C177" s="270"/>
      <c r="D177" s="270"/>
      <c r="E177" s="270"/>
      <c r="F177" s="282"/>
      <c r="G177" s="308"/>
      <c r="H177" s="308"/>
      <c r="I177" s="308"/>
      <c r="J177" s="584"/>
      <c r="K177" s="310"/>
      <c r="L177" s="311"/>
      <c r="M177" s="308"/>
      <c r="N177" s="295"/>
      <c r="O177" s="295"/>
      <c r="P177" s="308"/>
      <c r="Q177" s="308"/>
      <c r="R177" s="536"/>
      <c r="S177" s="295"/>
      <c r="T177" s="430"/>
      <c r="U177" s="270"/>
      <c r="V177" s="295"/>
      <c r="W177" s="295"/>
      <c r="X177" s="295"/>
      <c r="Y177" s="295"/>
      <c r="Z177" s="295"/>
      <c r="AA177" s="295"/>
      <c r="AB177" s="295"/>
      <c r="AC177" s="310"/>
      <c r="AD177" s="270"/>
      <c r="AE177" s="270"/>
    </row>
    <row r="178" spans="1:31" s="552" customFormat="1" ht="15.75" x14ac:dyDescent="0.2">
      <c r="A178" s="310"/>
      <c r="B178" s="270"/>
      <c r="C178" s="270"/>
      <c r="D178" s="270"/>
      <c r="E178" s="270"/>
      <c r="F178" s="282"/>
      <c r="G178" s="308"/>
      <c r="H178" s="308"/>
      <c r="I178" s="308"/>
      <c r="J178" s="584"/>
      <c r="K178" s="310"/>
      <c r="L178" s="311"/>
      <c r="M178" s="308"/>
      <c r="N178" s="295"/>
      <c r="O178" s="295"/>
      <c r="P178" s="308"/>
      <c r="Q178" s="308"/>
      <c r="R178" s="536"/>
      <c r="S178" s="295"/>
      <c r="T178" s="430"/>
      <c r="U178" s="270"/>
      <c r="V178" s="295"/>
      <c r="W178" s="295"/>
      <c r="X178" s="295"/>
      <c r="Y178" s="295"/>
      <c r="Z178" s="295"/>
      <c r="AA178" s="295"/>
      <c r="AB178" s="295"/>
      <c r="AC178" s="310"/>
      <c r="AD178" s="270"/>
      <c r="AE178" s="270"/>
    </row>
    <row r="179" spans="1:31" s="552" customFormat="1" ht="15.75" x14ac:dyDescent="0.2">
      <c r="A179" s="310"/>
      <c r="B179" s="270"/>
      <c r="C179" s="270"/>
      <c r="D179" s="270"/>
      <c r="E179" s="270"/>
      <c r="F179" s="282"/>
      <c r="G179" s="308"/>
      <c r="H179" s="308"/>
      <c r="I179" s="308"/>
      <c r="J179" s="584"/>
      <c r="K179" s="310"/>
      <c r="L179" s="311"/>
      <c r="M179" s="308"/>
      <c r="N179" s="295"/>
      <c r="O179" s="295"/>
      <c r="P179" s="308"/>
      <c r="Q179" s="308"/>
      <c r="R179" s="536"/>
      <c r="S179" s="295"/>
      <c r="T179" s="430"/>
      <c r="U179" s="270"/>
      <c r="V179" s="295"/>
      <c r="W179" s="295"/>
      <c r="X179" s="295"/>
      <c r="Y179" s="295"/>
      <c r="Z179" s="295"/>
      <c r="AA179" s="295"/>
      <c r="AB179" s="295"/>
      <c r="AC179" s="310"/>
      <c r="AD179" s="270"/>
      <c r="AE179" s="270"/>
    </row>
    <row r="180" spans="1:31" s="552" customFormat="1" ht="15.75" x14ac:dyDescent="0.2">
      <c r="A180" s="310"/>
      <c r="B180" s="270"/>
      <c r="C180" s="270"/>
      <c r="D180" s="270"/>
      <c r="E180" s="270"/>
      <c r="F180" s="282"/>
      <c r="G180" s="308"/>
      <c r="H180" s="308"/>
      <c r="I180" s="308"/>
      <c r="J180" s="584"/>
      <c r="K180" s="298"/>
      <c r="L180" s="311"/>
      <c r="M180" s="308"/>
      <c r="N180" s="295"/>
      <c r="O180" s="295"/>
      <c r="P180" s="308"/>
      <c r="Q180" s="308"/>
      <c r="R180" s="536"/>
      <c r="S180" s="295"/>
      <c r="T180" s="430"/>
      <c r="U180" s="270"/>
      <c r="V180" s="295"/>
      <c r="W180" s="295"/>
      <c r="X180" s="295"/>
      <c r="Y180" s="295"/>
      <c r="Z180" s="295"/>
      <c r="AA180" s="295"/>
      <c r="AB180" s="295"/>
      <c r="AC180" s="310"/>
      <c r="AD180" s="270"/>
      <c r="AE180" s="270"/>
    </row>
    <row r="181" spans="1:31" s="549" customFormat="1" ht="15.75" x14ac:dyDescent="0.2">
      <c r="A181" s="310"/>
      <c r="B181" s="295"/>
      <c r="C181" s="295"/>
      <c r="D181" s="295"/>
      <c r="E181" s="295"/>
      <c r="F181" s="296"/>
      <c r="G181" s="308"/>
      <c r="H181" s="308"/>
      <c r="I181" s="308"/>
      <c r="J181" s="584"/>
      <c r="K181" s="298"/>
      <c r="L181" s="311"/>
      <c r="M181" s="295"/>
      <c r="N181" s="295"/>
      <c r="O181" s="295"/>
      <c r="P181" s="308"/>
      <c r="Q181" s="308"/>
      <c r="R181" s="536"/>
      <c r="S181" s="295"/>
      <c r="T181" s="430"/>
      <c r="U181" s="300"/>
      <c r="V181" s="295"/>
      <c r="W181" s="295"/>
      <c r="X181" s="295"/>
      <c r="Y181" s="295"/>
      <c r="Z181" s="295"/>
      <c r="AA181" s="295"/>
      <c r="AB181" s="295"/>
      <c r="AC181" s="310"/>
      <c r="AD181" s="295"/>
      <c r="AE181" s="295"/>
    </row>
    <row r="182" spans="1:31" s="549" customFormat="1" ht="15.75" x14ac:dyDescent="0.2">
      <c r="A182" s="310"/>
      <c r="B182" s="295"/>
      <c r="C182" s="295"/>
      <c r="D182" s="295"/>
      <c r="E182" s="295"/>
      <c r="F182" s="296"/>
      <c r="G182" s="308"/>
      <c r="H182" s="308"/>
      <c r="I182" s="308"/>
      <c r="J182" s="584"/>
      <c r="K182" s="310"/>
      <c r="L182" s="311"/>
      <c r="M182" s="295"/>
      <c r="N182" s="295"/>
      <c r="O182" s="295"/>
      <c r="P182" s="308"/>
      <c r="Q182" s="308"/>
      <c r="R182" s="536"/>
      <c r="S182" s="295"/>
      <c r="T182" s="430"/>
      <c r="U182" s="300"/>
      <c r="V182" s="295"/>
      <c r="W182" s="295"/>
      <c r="X182" s="295"/>
      <c r="Y182" s="295"/>
      <c r="Z182" s="295"/>
      <c r="AA182" s="295"/>
      <c r="AB182" s="295"/>
      <c r="AC182" s="310"/>
      <c r="AD182" s="295"/>
      <c r="AE182" s="295"/>
    </row>
    <row r="183" spans="1:31" s="549" customFormat="1" ht="15.75" x14ac:dyDescent="0.2">
      <c r="A183" s="310"/>
      <c r="B183" s="295"/>
      <c r="C183" s="295"/>
      <c r="D183" s="295"/>
      <c r="E183" s="295"/>
      <c r="F183" s="296"/>
      <c r="G183" s="308"/>
      <c r="H183" s="308"/>
      <c r="I183" s="308"/>
      <c r="J183" s="584"/>
      <c r="K183" s="298"/>
      <c r="L183" s="311"/>
      <c r="M183" s="308"/>
      <c r="N183" s="295"/>
      <c r="O183" s="295"/>
      <c r="P183" s="308"/>
      <c r="Q183" s="308"/>
      <c r="R183" s="536"/>
      <c r="S183" s="295"/>
      <c r="T183" s="430"/>
      <c r="U183" s="300"/>
      <c r="V183" s="295"/>
      <c r="W183" s="295"/>
      <c r="X183" s="295"/>
      <c r="Y183" s="295"/>
      <c r="Z183" s="295"/>
      <c r="AA183" s="295"/>
      <c r="AB183" s="295"/>
      <c r="AC183" s="310"/>
      <c r="AD183" s="295"/>
      <c r="AE183" s="295"/>
    </row>
    <row r="184" spans="1:31" s="552" customFormat="1" ht="15.75" x14ac:dyDescent="0.2">
      <c r="A184" s="310"/>
      <c r="B184" s="270"/>
      <c r="C184" s="270"/>
      <c r="D184" s="270"/>
      <c r="E184" s="270"/>
      <c r="F184" s="282"/>
      <c r="G184" s="308"/>
      <c r="H184" s="308"/>
      <c r="I184" s="308"/>
      <c r="J184" s="584"/>
      <c r="K184" s="310"/>
      <c r="L184" s="311"/>
      <c r="M184" s="308"/>
      <c r="N184" s="295"/>
      <c r="O184" s="295"/>
      <c r="P184" s="308"/>
      <c r="Q184" s="308"/>
      <c r="R184" s="536"/>
      <c r="S184" s="295"/>
      <c r="T184" s="430"/>
      <c r="U184" s="270"/>
      <c r="V184" s="295"/>
      <c r="W184" s="295"/>
      <c r="X184" s="295"/>
      <c r="Y184" s="295"/>
      <c r="Z184" s="295"/>
      <c r="AA184" s="295"/>
      <c r="AB184" s="295"/>
      <c r="AC184" s="310"/>
      <c r="AD184" s="270"/>
      <c r="AE184" s="270"/>
    </row>
    <row r="185" spans="1:31" s="552" customFormat="1" ht="15.75" x14ac:dyDescent="0.2">
      <c r="A185" s="310"/>
      <c r="B185" s="270"/>
      <c r="C185" s="270"/>
      <c r="D185" s="270"/>
      <c r="E185" s="270"/>
      <c r="F185" s="282"/>
      <c r="G185" s="308"/>
      <c r="H185" s="308"/>
      <c r="I185" s="308"/>
      <c r="J185" s="584"/>
      <c r="K185" s="310"/>
      <c r="L185" s="311"/>
      <c r="M185" s="308"/>
      <c r="N185" s="295"/>
      <c r="O185" s="295"/>
      <c r="P185" s="308"/>
      <c r="Q185" s="308"/>
      <c r="R185" s="536"/>
      <c r="S185" s="295"/>
      <c r="T185" s="430"/>
      <c r="U185" s="270"/>
      <c r="V185" s="295"/>
      <c r="W185" s="295"/>
      <c r="X185" s="295"/>
      <c r="Y185" s="295"/>
      <c r="Z185" s="295"/>
      <c r="AA185" s="295"/>
      <c r="AB185" s="295"/>
      <c r="AC185" s="310"/>
      <c r="AD185" s="270"/>
      <c r="AE185" s="270"/>
    </row>
    <row r="186" spans="1:31" s="552" customFormat="1" ht="15.75" x14ac:dyDescent="0.2">
      <c r="A186" s="310"/>
      <c r="B186" s="270"/>
      <c r="C186" s="270"/>
      <c r="D186" s="270"/>
      <c r="E186" s="270"/>
      <c r="F186" s="282"/>
      <c r="G186" s="308"/>
      <c r="H186" s="308"/>
      <c r="I186" s="308"/>
      <c r="J186" s="584"/>
      <c r="K186" s="310"/>
      <c r="L186" s="311"/>
      <c r="M186" s="308"/>
      <c r="N186" s="295"/>
      <c r="O186" s="295"/>
      <c r="P186" s="308"/>
      <c r="Q186" s="308"/>
      <c r="R186" s="536"/>
      <c r="S186" s="295"/>
      <c r="T186" s="430"/>
      <c r="U186" s="270"/>
      <c r="V186" s="295"/>
      <c r="W186" s="295"/>
      <c r="X186" s="295"/>
      <c r="Y186" s="295"/>
      <c r="Z186" s="295"/>
      <c r="AA186" s="295"/>
      <c r="AB186" s="295"/>
      <c r="AC186" s="310"/>
      <c r="AD186" s="270"/>
      <c r="AE186" s="270"/>
    </row>
    <row r="187" spans="1:31" s="552" customFormat="1" ht="15.75" x14ac:dyDescent="0.2">
      <c r="A187" s="310"/>
      <c r="B187" s="270"/>
      <c r="C187" s="270"/>
      <c r="D187" s="270"/>
      <c r="E187" s="270"/>
      <c r="F187" s="282"/>
      <c r="G187" s="308"/>
      <c r="H187" s="308"/>
      <c r="I187" s="308"/>
      <c r="J187" s="584"/>
      <c r="K187" s="310"/>
      <c r="L187" s="311"/>
      <c r="M187" s="308"/>
      <c r="N187" s="295"/>
      <c r="O187" s="295"/>
      <c r="P187" s="308"/>
      <c r="Q187" s="308"/>
      <c r="R187" s="536"/>
      <c r="S187" s="295"/>
      <c r="T187" s="430"/>
      <c r="U187" s="270"/>
      <c r="V187" s="295"/>
      <c r="W187" s="295"/>
      <c r="X187" s="295"/>
      <c r="Y187" s="295"/>
      <c r="Z187" s="295"/>
      <c r="AA187" s="295"/>
      <c r="AB187" s="295"/>
      <c r="AC187" s="310"/>
      <c r="AD187" s="270"/>
      <c r="AE187" s="270"/>
    </row>
    <row r="188" spans="1:31" s="549" customFormat="1" ht="15.75" x14ac:dyDescent="0.2">
      <c r="A188" s="310"/>
      <c r="B188" s="295"/>
      <c r="C188" s="295"/>
      <c r="D188" s="295"/>
      <c r="E188" s="295"/>
      <c r="F188" s="296"/>
      <c r="G188" s="308"/>
      <c r="H188" s="308"/>
      <c r="I188" s="308"/>
      <c r="J188" s="584"/>
      <c r="K188" s="298"/>
      <c r="L188" s="311"/>
      <c r="M188" s="308"/>
      <c r="N188" s="295"/>
      <c r="O188" s="295"/>
      <c r="P188" s="308"/>
      <c r="Q188" s="308"/>
      <c r="R188" s="536"/>
      <c r="S188" s="295"/>
      <c r="T188" s="430"/>
      <c r="U188" s="300"/>
      <c r="V188" s="295"/>
      <c r="W188" s="295"/>
      <c r="X188" s="295"/>
      <c r="Y188" s="295"/>
      <c r="Z188" s="295"/>
      <c r="AA188" s="295"/>
      <c r="AB188" s="295"/>
      <c r="AC188" s="310"/>
      <c r="AD188" s="295"/>
      <c r="AE188" s="295"/>
    </row>
    <row r="189" spans="1:31" s="549" customFormat="1" ht="15.75" x14ac:dyDescent="0.2">
      <c r="A189" s="310"/>
      <c r="B189" s="295"/>
      <c r="C189" s="295"/>
      <c r="D189" s="295"/>
      <c r="E189" s="295"/>
      <c r="F189" s="296"/>
      <c r="G189" s="308"/>
      <c r="H189" s="308"/>
      <c r="I189" s="308"/>
      <c r="J189" s="584"/>
      <c r="K189" s="310"/>
      <c r="L189" s="311"/>
      <c r="M189" s="308"/>
      <c r="N189" s="295"/>
      <c r="O189" s="295"/>
      <c r="P189" s="308"/>
      <c r="Q189" s="308"/>
      <c r="R189" s="536"/>
      <c r="S189" s="295"/>
      <c r="T189" s="430"/>
      <c r="U189" s="300"/>
      <c r="V189" s="295"/>
      <c r="W189" s="295"/>
      <c r="X189" s="295"/>
      <c r="Y189" s="295"/>
      <c r="Z189" s="295"/>
      <c r="AA189" s="295"/>
      <c r="AB189" s="295"/>
      <c r="AC189" s="310"/>
      <c r="AD189" s="295"/>
      <c r="AE189" s="295"/>
    </row>
    <row r="190" spans="1:31" s="549" customFormat="1" ht="15.75" x14ac:dyDescent="0.2">
      <c r="A190" s="310"/>
      <c r="B190" s="295"/>
      <c r="C190" s="295"/>
      <c r="D190" s="295"/>
      <c r="E190" s="295"/>
      <c r="F190" s="296"/>
      <c r="G190" s="308"/>
      <c r="H190" s="308"/>
      <c r="I190" s="308"/>
      <c r="J190" s="584"/>
      <c r="K190" s="298"/>
      <c r="L190" s="311"/>
      <c r="M190" s="308"/>
      <c r="N190" s="295"/>
      <c r="O190" s="295"/>
      <c r="P190" s="308"/>
      <c r="Q190" s="308"/>
      <c r="R190" s="536"/>
      <c r="S190" s="295"/>
      <c r="T190" s="430"/>
      <c r="U190" s="300"/>
      <c r="V190" s="295"/>
      <c r="W190" s="295"/>
      <c r="X190" s="295"/>
      <c r="Y190" s="295"/>
      <c r="Z190" s="295"/>
      <c r="AA190" s="295"/>
      <c r="AB190" s="295"/>
      <c r="AC190" s="310"/>
      <c r="AD190" s="295"/>
      <c r="AE190" s="295"/>
    </row>
    <row r="191" spans="1:31" s="549" customFormat="1" ht="15.75" x14ac:dyDescent="0.2">
      <c r="A191" s="310"/>
      <c r="B191" s="295"/>
      <c r="C191" s="295"/>
      <c r="D191" s="295"/>
      <c r="E191" s="295"/>
      <c r="F191" s="296"/>
      <c r="G191" s="308"/>
      <c r="H191" s="308"/>
      <c r="I191" s="308"/>
      <c r="J191" s="584"/>
      <c r="K191" s="298"/>
      <c r="L191" s="311"/>
      <c r="M191" s="308"/>
      <c r="N191" s="295"/>
      <c r="O191" s="295"/>
      <c r="P191" s="308"/>
      <c r="Q191" s="308"/>
      <c r="R191" s="536"/>
      <c r="S191" s="295"/>
      <c r="T191" s="430"/>
      <c r="U191" s="300"/>
      <c r="V191" s="295"/>
      <c r="W191" s="295"/>
      <c r="X191" s="295"/>
      <c r="Y191" s="295"/>
      <c r="Z191" s="295"/>
      <c r="AA191" s="295"/>
      <c r="AB191" s="295"/>
      <c r="AC191" s="310"/>
      <c r="AD191" s="295"/>
      <c r="AE191" s="295"/>
    </row>
    <row r="192" spans="1:31" s="549" customFormat="1" ht="15.75" x14ac:dyDescent="0.2">
      <c r="A192" s="310"/>
      <c r="B192" s="295"/>
      <c r="C192" s="295"/>
      <c r="D192" s="295"/>
      <c r="E192" s="295"/>
      <c r="F192" s="296"/>
      <c r="G192" s="308"/>
      <c r="H192" s="308"/>
      <c r="I192" s="308"/>
      <c r="J192" s="584"/>
      <c r="K192" s="310"/>
      <c r="L192" s="311"/>
      <c r="M192" s="308"/>
      <c r="N192" s="295"/>
      <c r="O192" s="295"/>
      <c r="P192" s="308"/>
      <c r="Q192" s="308"/>
      <c r="R192" s="536"/>
      <c r="S192" s="295"/>
      <c r="T192" s="430"/>
      <c r="U192" s="300"/>
      <c r="V192" s="295"/>
      <c r="W192" s="295"/>
      <c r="X192" s="295"/>
      <c r="Y192" s="295"/>
      <c r="Z192" s="295"/>
      <c r="AA192" s="295"/>
      <c r="AB192" s="295"/>
      <c r="AC192" s="310"/>
      <c r="AD192" s="295"/>
      <c r="AE192" s="295"/>
    </row>
    <row r="193" spans="1:31" s="549" customFormat="1" ht="15.75" x14ac:dyDescent="0.2">
      <c r="A193" s="310"/>
      <c r="B193" s="295"/>
      <c r="C193" s="295"/>
      <c r="D193" s="295"/>
      <c r="E193" s="295"/>
      <c r="F193" s="296"/>
      <c r="G193" s="308"/>
      <c r="H193" s="308"/>
      <c r="I193" s="308"/>
      <c r="J193" s="584"/>
      <c r="K193" s="298"/>
      <c r="L193" s="311"/>
      <c r="M193" s="308"/>
      <c r="N193" s="295"/>
      <c r="O193" s="295"/>
      <c r="P193" s="308"/>
      <c r="Q193" s="308"/>
      <c r="R193" s="536"/>
      <c r="S193" s="295"/>
      <c r="T193" s="430"/>
      <c r="U193" s="300"/>
      <c r="V193" s="295"/>
      <c r="W193" s="295"/>
      <c r="X193" s="295"/>
      <c r="Y193" s="295"/>
      <c r="Z193" s="295"/>
      <c r="AA193" s="295"/>
      <c r="AB193" s="295"/>
      <c r="AC193" s="310"/>
      <c r="AD193" s="295"/>
      <c r="AE193" s="295"/>
    </row>
    <row r="194" spans="1:31" s="549" customFormat="1" ht="15.75" x14ac:dyDescent="0.2">
      <c r="A194" s="310"/>
      <c r="B194" s="295"/>
      <c r="C194" s="295"/>
      <c r="D194" s="295"/>
      <c r="E194" s="295"/>
      <c r="F194" s="296"/>
      <c r="G194" s="308"/>
      <c r="H194" s="308"/>
      <c r="I194" s="308"/>
      <c r="J194" s="584"/>
      <c r="K194" s="298"/>
      <c r="L194" s="311"/>
      <c r="M194" s="308"/>
      <c r="N194" s="295"/>
      <c r="O194" s="295"/>
      <c r="P194" s="308"/>
      <c r="Q194" s="308"/>
      <c r="R194" s="536"/>
      <c r="S194" s="295"/>
      <c r="T194" s="430"/>
      <c r="U194" s="300"/>
      <c r="V194" s="295"/>
      <c r="W194" s="295"/>
      <c r="X194" s="295"/>
      <c r="Y194" s="295"/>
      <c r="Z194" s="295"/>
      <c r="AA194" s="295"/>
      <c r="AB194" s="295"/>
      <c r="AC194" s="310"/>
      <c r="AD194" s="295"/>
      <c r="AE194" s="295"/>
    </row>
    <row r="195" spans="1:31" s="549" customFormat="1" ht="15.75" x14ac:dyDescent="0.2">
      <c r="A195" s="310"/>
      <c r="B195" s="295"/>
      <c r="C195" s="295"/>
      <c r="D195" s="295"/>
      <c r="E195" s="295"/>
      <c r="F195" s="296"/>
      <c r="G195" s="308"/>
      <c r="H195" s="308"/>
      <c r="I195" s="308"/>
      <c r="J195" s="584"/>
      <c r="K195" s="310"/>
      <c r="L195" s="311"/>
      <c r="M195" s="308"/>
      <c r="N195" s="295"/>
      <c r="O195" s="295"/>
      <c r="P195" s="308"/>
      <c r="Q195" s="308"/>
      <c r="R195" s="536"/>
      <c r="S195" s="295"/>
      <c r="T195" s="430"/>
      <c r="U195" s="300"/>
      <c r="V195" s="295"/>
      <c r="W195" s="295"/>
      <c r="X195" s="295"/>
      <c r="Y195" s="295"/>
      <c r="Z195" s="295"/>
      <c r="AA195" s="295"/>
      <c r="AB195" s="295"/>
      <c r="AC195" s="310"/>
      <c r="AD195" s="295"/>
      <c r="AE195" s="295"/>
    </row>
    <row r="196" spans="1:31" s="549" customFormat="1" ht="15.75" x14ac:dyDescent="0.2">
      <c r="A196" s="310"/>
      <c r="B196" s="295"/>
      <c r="C196" s="295"/>
      <c r="D196" s="295"/>
      <c r="E196" s="295"/>
      <c r="F196" s="296"/>
      <c r="G196" s="308"/>
      <c r="H196" s="308"/>
      <c r="I196" s="308"/>
      <c r="J196" s="584"/>
      <c r="K196" s="298"/>
      <c r="L196" s="311"/>
      <c r="M196" s="308"/>
      <c r="N196" s="295"/>
      <c r="O196" s="295"/>
      <c r="P196" s="308"/>
      <c r="Q196" s="308"/>
      <c r="R196" s="536"/>
      <c r="S196" s="295"/>
      <c r="T196" s="430"/>
      <c r="U196" s="300"/>
      <c r="V196" s="295"/>
      <c r="W196" s="295"/>
      <c r="X196" s="295"/>
      <c r="Y196" s="295"/>
      <c r="Z196" s="295"/>
      <c r="AA196" s="295"/>
      <c r="AB196" s="295"/>
      <c r="AC196" s="310"/>
      <c r="AD196" s="295"/>
      <c r="AE196" s="295"/>
    </row>
    <row r="197" spans="1:31" s="549" customFormat="1" ht="15.75" customHeight="1" x14ac:dyDescent="0.2">
      <c r="A197" s="310"/>
      <c r="B197" s="295"/>
      <c r="C197" s="295"/>
      <c r="D197" s="295"/>
      <c r="E197" s="295"/>
      <c r="F197" s="296"/>
      <c r="G197" s="308"/>
      <c r="H197" s="308"/>
      <c r="I197" s="308"/>
      <c r="J197" s="584"/>
      <c r="K197" s="298"/>
      <c r="L197" s="311"/>
      <c r="M197" s="308"/>
      <c r="N197" s="295"/>
      <c r="O197" s="295"/>
      <c r="P197" s="308"/>
      <c r="Q197" s="308"/>
      <c r="R197" s="536"/>
      <c r="S197" s="295"/>
      <c r="T197" s="430"/>
      <c r="U197" s="300"/>
      <c r="V197" s="295"/>
      <c r="W197" s="295"/>
      <c r="X197" s="295"/>
      <c r="Y197" s="295"/>
      <c r="Z197" s="295"/>
      <c r="AA197" s="295"/>
      <c r="AB197" s="295"/>
      <c r="AC197" s="310"/>
      <c r="AD197" s="295"/>
      <c r="AE197" s="295"/>
    </row>
    <row r="198" spans="1:31" s="549" customFormat="1" ht="15.75" x14ac:dyDescent="0.2">
      <c r="A198" s="310"/>
      <c r="B198" s="295"/>
      <c r="C198" s="295"/>
      <c r="D198" s="295"/>
      <c r="E198" s="295"/>
      <c r="F198" s="296"/>
      <c r="G198" s="308"/>
      <c r="H198" s="308"/>
      <c r="I198" s="308"/>
      <c r="J198" s="584"/>
      <c r="K198" s="310"/>
      <c r="L198" s="311"/>
      <c r="M198" s="308"/>
      <c r="N198" s="295"/>
      <c r="O198" s="295"/>
      <c r="P198" s="308"/>
      <c r="Q198" s="308"/>
      <c r="R198" s="536"/>
      <c r="S198" s="295"/>
      <c r="T198" s="430"/>
      <c r="U198" s="300"/>
      <c r="V198" s="295"/>
      <c r="W198" s="295"/>
      <c r="X198" s="295"/>
      <c r="Y198" s="295"/>
      <c r="Z198" s="295"/>
      <c r="AA198" s="295"/>
      <c r="AB198" s="295"/>
      <c r="AC198" s="310"/>
      <c r="AD198" s="295"/>
      <c r="AE198" s="295"/>
    </row>
    <row r="199" spans="1:31" s="549" customFormat="1" ht="15.75" x14ac:dyDescent="0.2">
      <c r="A199" s="310"/>
      <c r="B199" s="295"/>
      <c r="C199" s="295"/>
      <c r="D199" s="295"/>
      <c r="E199" s="295"/>
      <c r="F199" s="296"/>
      <c r="G199" s="308"/>
      <c r="H199" s="308"/>
      <c r="I199" s="308"/>
      <c r="J199" s="584"/>
      <c r="K199" s="298"/>
      <c r="L199" s="311"/>
      <c r="M199" s="308"/>
      <c r="N199" s="295"/>
      <c r="O199" s="295"/>
      <c r="P199" s="308"/>
      <c r="Q199" s="308"/>
      <c r="R199" s="536"/>
      <c r="S199" s="295"/>
      <c r="T199" s="430"/>
      <c r="U199" s="300"/>
      <c r="V199" s="295"/>
      <c r="W199" s="295"/>
      <c r="X199" s="295"/>
      <c r="Y199" s="295"/>
      <c r="Z199" s="295"/>
      <c r="AA199" s="295"/>
      <c r="AB199" s="295"/>
      <c r="AC199" s="310"/>
      <c r="AD199" s="295"/>
      <c r="AE199" s="295"/>
    </row>
    <row r="200" spans="1:31" s="549" customFormat="1" ht="15.75" x14ac:dyDescent="0.2">
      <c r="A200" s="310"/>
      <c r="B200" s="295"/>
      <c r="C200" s="295"/>
      <c r="D200" s="295"/>
      <c r="E200" s="295"/>
      <c r="F200" s="296"/>
      <c r="G200" s="308"/>
      <c r="H200" s="308"/>
      <c r="I200" s="308"/>
      <c r="J200" s="584"/>
      <c r="K200" s="298"/>
      <c r="L200" s="311"/>
      <c r="M200" s="308"/>
      <c r="N200" s="295"/>
      <c r="O200" s="295"/>
      <c r="P200" s="308"/>
      <c r="Q200" s="308"/>
      <c r="R200" s="536"/>
      <c r="S200" s="295"/>
      <c r="T200" s="430"/>
      <c r="U200" s="300"/>
      <c r="V200" s="295"/>
      <c r="W200" s="295"/>
      <c r="X200" s="295"/>
      <c r="Y200" s="295"/>
      <c r="Z200" s="295"/>
      <c r="AA200" s="295"/>
      <c r="AB200" s="295"/>
      <c r="AC200" s="310"/>
      <c r="AD200" s="295"/>
      <c r="AE200" s="295"/>
    </row>
    <row r="201" spans="1:31" s="549" customFormat="1" ht="15.75" x14ac:dyDescent="0.2">
      <c r="A201" s="310"/>
      <c r="B201" s="295"/>
      <c r="C201" s="295"/>
      <c r="D201" s="295"/>
      <c r="E201" s="295"/>
      <c r="F201" s="296"/>
      <c r="G201" s="308"/>
      <c r="H201" s="308"/>
      <c r="I201" s="308"/>
      <c r="J201" s="309"/>
      <c r="K201" s="310"/>
      <c r="L201" s="311"/>
      <c r="M201" s="308"/>
      <c r="N201" s="295"/>
      <c r="O201" s="295"/>
      <c r="P201" s="308"/>
      <c r="Q201" s="308"/>
      <c r="R201" s="536"/>
      <c r="S201" s="295"/>
      <c r="T201" s="430"/>
      <c r="U201" s="300"/>
      <c r="V201" s="295"/>
      <c r="W201" s="295"/>
      <c r="X201" s="295"/>
      <c r="Y201" s="295"/>
      <c r="Z201" s="295"/>
      <c r="AA201" s="295"/>
      <c r="AB201" s="295"/>
      <c r="AC201" s="310"/>
      <c r="AD201" s="295"/>
      <c r="AE201" s="295"/>
    </row>
    <row r="202" spans="1:31" s="549" customFormat="1" ht="15.75" x14ac:dyDescent="0.2">
      <c r="A202" s="310"/>
      <c r="B202" s="295"/>
      <c r="C202" s="295"/>
      <c r="D202" s="295"/>
      <c r="E202" s="295"/>
      <c r="F202" s="296"/>
      <c r="G202" s="308"/>
      <c r="H202" s="308"/>
      <c r="I202" s="308"/>
      <c r="J202" s="309"/>
      <c r="K202" s="298"/>
      <c r="L202" s="311"/>
      <c r="M202" s="308"/>
      <c r="N202" s="295"/>
      <c r="O202" s="295"/>
      <c r="P202" s="308"/>
      <c r="Q202" s="308"/>
      <c r="R202" s="536"/>
      <c r="S202" s="295"/>
      <c r="T202" s="430"/>
      <c r="U202" s="300"/>
      <c r="V202" s="295"/>
      <c r="W202" s="295"/>
      <c r="X202" s="295"/>
      <c r="Y202" s="295"/>
      <c r="Z202" s="295"/>
      <c r="AA202" s="295"/>
      <c r="AB202" s="295"/>
      <c r="AC202" s="310"/>
      <c r="AD202" s="295"/>
      <c r="AE202" s="295"/>
    </row>
    <row r="203" spans="1:31" s="549" customFormat="1" ht="15.75" x14ac:dyDescent="0.2">
      <c r="A203" s="310"/>
      <c r="B203" s="295"/>
      <c r="C203" s="295"/>
      <c r="D203" s="295"/>
      <c r="E203" s="295"/>
      <c r="F203" s="296"/>
      <c r="G203" s="308"/>
      <c r="H203" s="308"/>
      <c r="I203" s="308"/>
      <c r="J203" s="309"/>
      <c r="K203" s="298"/>
      <c r="L203" s="311"/>
      <c r="M203" s="308"/>
      <c r="N203" s="295"/>
      <c r="O203" s="295"/>
      <c r="P203" s="308"/>
      <c r="Q203" s="308"/>
      <c r="R203" s="536"/>
      <c r="S203" s="295"/>
      <c r="T203" s="430"/>
      <c r="U203" s="300"/>
      <c r="V203" s="295"/>
      <c r="W203" s="295"/>
      <c r="X203" s="295"/>
      <c r="Y203" s="295"/>
      <c r="Z203" s="295"/>
      <c r="AA203" s="295"/>
      <c r="AB203" s="295"/>
      <c r="AC203" s="310"/>
      <c r="AD203" s="295"/>
      <c r="AE203" s="295"/>
    </row>
    <row r="204" spans="1:31" s="552" customFormat="1" ht="15.75" x14ac:dyDescent="0.2">
      <c r="A204" s="310"/>
      <c r="B204" s="270"/>
      <c r="C204" s="270"/>
      <c r="D204" s="270"/>
      <c r="E204" s="270"/>
      <c r="F204" s="282"/>
      <c r="G204" s="308"/>
      <c r="H204" s="308"/>
      <c r="I204" s="308"/>
      <c r="J204" s="309"/>
      <c r="K204" s="310"/>
      <c r="L204" s="311"/>
      <c r="M204" s="308"/>
      <c r="N204" s="295"/>
      <c r="O204" s="295"/>
      <c r="P204" s="308"/>
      <c r="Q204" s="308"/>
      <c r="R204" s="536"/>
      <c r="S204" s="295"/>
      <c r="T204" s="430"/>
      <c r="U204" s="270"/>
      <c r="V204" s="295"/>
      <c r="W204" s="295"/>
      <c r="X204" s="295"/>
      <c r="Y204" s="295"/>
      <c r="Z204" s="295"/>
      <c r="AA204" s="295"/>
      <c r="AB204" s="295"/>
      <c r="AC204" s="310"/>
      <c r="AD204" s="270"/>
      <c r="AE204" s="270"/>
    </row>
    <row r="205" spans="1:31" s="549" customFormat="1" x14ac:dyDescent="0.2">
      <c r="A205" s="310"/>
      <c r="B205" s="295"/>
      <c r="C205" s="295"/>
      <c r="D205" s="295"/>
      <c r="E205" s="295"/>
      <c r="F205" s="296"/>
      <c r="G205" s="295"/>
      <c r="H205" s="295"/>
      <c r="I205" s="295"/>
      <c r="J205" s="312"/>
      <c r="K205" s="310"/>
      <c r="L205" s="298"/>
      <c r="M205" s="308"/>
      <c r="N205" s="295"/>
      <c r="O205" s="295"/>
      <c r="P205" s="308"/>
      <c r="Q205" s="308"/>
      <c r="R205" s="536"/>
      <c r="S205" s="295"/>
      <c r="T205" s="430"/>
      <c r="U205" s="300"/>
      <c r="V205" s="295"/>
      <c r="W205" s="295"/>
      <c r="X205" s="295"/>
      <c r="Y205" s="295"/>
      <c r="Z205" s="295"/>
      <c r="AA205" s="295"/>
      <c r="AB205" s="295"/>
      <c r="AC205" s="310"/>
      <c r="AD205" s="295"/>
      <c r="AE205" s="295"/>
    </row>
    <row r="206" spans="1:31" s="549" customFormat="1" x14ac:dyDescent="0.2">
      <c r="A206" s="310"/>
      <c r="B206" s="295"/>
      <c r="C206" s="295"/>
      <c r="D206" s="295"/>
      <c r="E206" s="295"/>
      <c r="F206" s="296"/>
      <c r="G206" s="295"/>
      <c r="H206" s="295"/>
      <c r="I206" s="295"/>
      <c r="J206" s="312"/>
      <c r="K206" s="298"/>
      <c r="L206" s="298"/>
      <c r="M206" s="308"/>
      <c r="N206" s="295"/>
      <c r="O206" s="295"/>
      <c r="P206" s="308"/>
      <c r="Q206" s="308"/>
      <c r="R206" s="536"/>
      <c r="S206" s="295"/>
      <c r="T206" s="430"/>
      <c r="U206" s="300"/>
      <c r="V206" s="295"/>
      <c r="W206" s="295"/>
      <c r="X206" s="295"/>
      <c r="Y206" s="295"/>
      <c r="Z206" s="295"/>
      <c r="AA206" s="295"/>
      <c r="AB206" s="295"/>
      <c r="AC206" s="310"/>
      <c r="AD206" s="295"/>
      <c r="AE206" s="295"/>
    </row>
    <row r="207" spans="1:31" s="549" customFormat="1" x14ac:dyDescent="0.2">
      <c r="A207" s="310"/>
      <c r="B207" s="295"/>
      <c r="C207" s="295"/>
      <c r="D207" s="295"/>
      <c r="E207" s="295"/>
      <c r="F207" s="296"/>
      <c r="G207" s="295"/>
      <c r="H207" s="295"/>
      <c r="I207" s="295"/>
      <c r="J207" s="312"/>
      <c r="K207" s="310"/>
      <c r="L207" s="298"/>
      <c r="M207" s="308"/>
      <c r="N207" s="295"/>
      <c r="O207" s="295"/>
      <c r="P207" s="308"/>
      <c r="Q207" s="308"/>
      <c r="R207" s="536"/>
      <c r="S207" s="295"/>
      <c r="T207" s="430"/>
      <c r="U207" s="300"/>
      <c r="V207" s="295"/>
      <c r="W207" s="295"/>
      <c r="X207" s="295"/>
      <c r="Y207" s="295"/>
      <c r="Z207" s="295"/>
      <c r="AA207" s="295"/>
      <c r="AB207" s="295"/>
      <c r="AC207" s="310"/>
      <c r="AD207" s="295"/>
      <c r="AE207" s="295"/>
    </row>
    <row r="208" spans="1:31" s="549" customFormat="1" x14ac:dyDescent="0.2">
      <c r="A208" s="310"/>
      <c r="B208" s="295"/>
      <c r="C208" s="295"/>
      <c r="D208" s="295"/>
      <c r="E208" s="295"/>
      <c r="F208" s="296"/>
      <c r="G208" s="295"/>
      <c r="H208" s="295"/>
      <c r="I208" s="295"/>
      <c r="J208" s="312"/>
      <c r="K208" s="298"/>
      <c r="L208" s="298"/>
      <c r="M208" s="295"/>
      <c r="N208" s="295"/>
      <c r="O208" s="295"/>
      <c r="P208" s="308"/>
      <c r="Q208" s="308"/>
      <c r="R208" s="536"/>
      <c r="S208" s="295"/>
      <c r="T208" s="430"/>
      <c r="U208" s="300"/>
      <c r="V208" s="295"/>
      <c r="W208" s="295"/>
      <c r="X208" s="295"/>
      <c r="Y208" s="295"/>
      <c r="Z208" s="295"/>
      <c r="AA208" s="295"/>
      <c r="AB208" s="295"/>
      <c r="AC208" s="310"/>
      <c r="AD208" s="295"/>
      <c r="AE208" s="295"/>
    </row>
    <row r="209" spans="1:31" s="549" customFormat="1" x14ac:dyDescent="0.2">
      <c r="A209" s="310"/>
      <c r="B209" s="295"/>
      <c r="C209" s="295"/>
      <c r="D209" s="295"/>
      <c r="E209" s="295"/>
      <c r="F209" s="296"/>
      <c r="G209" s="295"/>
      <c r="H209" s="295"/>
      <c r="I209" s="295"/>
      <c r="J209" s="312"/>
      <c r="K209" s="298"/>
      <c r="L209" s="298"/>
      <c r="M209" s="295"/>
      <c r="N209" s="295"/>
      <c r="O209" s="295"/>
      <c r="P209" s="308"/>
      <c r="Q209" s="308"/>
      <c r="R209" s="536"/>
      <c r="S209" s="295"/>
      <c r="T209" s="430"/>
      <c r="U209" s="300"/>
      <c r="V209" s="295"/>
      <c r="W209" s="295"/>
      <c r="X209" s="295"/>
      <c r="Y209" s="295"/>
      <c r="Z209" s="295"/>
      <c r="AA209" s="295"/>
      <c r="AB209" s="295"/>
      <c r="AC209" s="310"/>
      <c r="AD209" s="295"/>
      <c r="AE209" s="295"/>
    </row>
    <row r="210" spans="1:31" s="552" customFormat="1" ht="15.75" x14ac:dyDescent="0.2">
      <c r="A210" s="310"/>
      <c r="B210" s="270"/>
      <c r="C210" s="270"/>
      <c r="D210" s="270"/>
      <c r="E210" s="270"/>
      <c r="F210" s="282"/>
      <c r="G210" s="308"/>
      <c r="H210" s="308"/>
      <c r="I210" s="308"/>
      <c r="J210" s="309"/>
      <c r="K210" s="310"/>
      <c r="L210" s="311"/>
      <c r="M210" s="295"/>
      <c r="N210" s="295"/>
      <c r="O210" s="295"/>
      <c r="P210" s="308"/>
      <c r="Q210" s="308"/>
      <c r="R210" s="536"/>
      <c r="S210" s="295"/>
      <c r="T210" s="430"/>
      <c r="U210" s="270"/>
      <c r="V210" s="295"/>
      <c r="W210" s="295"/>
      <c r="X210" s="295"/>
      <c r="Y210" s="295"/>
      <c r="Z210" s="295"/>
      <c r="AA210" s="295"/>
      <c r="AB210" s="295"/>
      <c r="AC210" s="310"/>
      <c r="AD210" s="270"/>
      <c r="AE210" s="270"/>
    </row>
    <row r="211" spans="1:31" s="552" customFormat="1" ht="15.75" x14ac:dyDescent="0.2">
      <c r="A211" s="310"/>
      <c r="B211" s="270"/>
      <c r="C211" s="270"/>
      <c r="D211" s="270"/>
      <c r="E211" s="270"/>
      <c r="F211" s="282"/>
      <c r="G211" s="308"/>
      <c r="H211" s="308"/>
      <c r="I211" s="308"/>
      <c r="J211" s="309"/>
      <c r="K211" s="310"/>
      <c r="L211" s="311"/>
      <c r="M211" s="295"/>
      <c r="N211" s="295"/>
      <c r="O211" s="295"/>
      <c r="P211" s="308"/>
      <c r="Q211" s="308"/>
      <c r="R211" s="536"/>
      <c r="S211" s="295"/>
      <c r="T211" s="430"/>
      <c r="U211" s="270"/>
      <c r="V211" s="295"/>
      <c r="W211" s="295"/>
      <c r="X211" s="295"/>
      <c r="Y211" s="295"/>
      <c r="Z211" s="295"/>
      <c r="AA211" s="295"/>
      <c r="AB211" s="295"/>
      <c r="AC211" s="310"/>
      <c r="AD211" s="270"/>
      <c r="AE211" s="270"/>
    </row>
    <row r="212" spans="1:31" s="549" customFormat="1" x14ac:dyDescent="0.2">
      <c r="A212" s="310"/>
      <c r="B212" s="295"/>
      <c r="C212" s="295"/>
      <c r="D212" s="295"/>
      <c r="E212" s="295"/>
      <c r="F212" s="296"/>
      <c r="G212" s="295"/>
      <c r="H212" s="295"/>
      <c r="I212" s="295"/>
      <c r="J212" s="312"/>
      <c r="K212" s="298"/>
      <c r="L212" s="298"/>
      <c r="M212" s="295"/>
      <c r="N212" s="295"/>
      <c r="O212" s="295"/>
      <c r="P212" s="308"/>
      <c r="Q212" s="308"/>
      <c r="R212" s="536"/>
      <c r="S212" s="295"/>
      <c r="T212" s="430"/>
      <c r="U212" s="300"/>
      <c r="V212" s="295"/>
      <c r="W212" s="295"/>
      <c r="X212" s="295"/>
      <c r="Y212" s="295"/>
      <c r="Z212" s="295"/>
      <c r="AA212" s="295"/>
      <c r="AB212" s="295"/>
      <c r="AC212" s="310"/>
      <c r="AD212" s="295"/>
      <c r="AE212" s="295"/>
    </row>
    <row r="213" spans="1:31" s="549" customFormat="1" x14ac:dyDescent="0.2">
      <c r="A213" s="310"/>
      <c r="B213" s="295"/>
      <c r="C213" s="295"/>
      <c r="D213" s="295"/>
      <c r="E213" s="295"/>
      <c r="F213" s="296"/>
      <c r="G213" s="295"/>
      <c r="H213" s="295"/>
      <c r="I213" s="295"/>
      <c r="J213" s="312"/>
      <c r="K213" s="298"/>
      <c r="L213" s="298"/>
      <c r="M213" s="295"/>
      <c r="N213" s="295"/>
      <c r="O213" s="295"/>
      <c r="P213" s="308"/>
      <c r="Q213" s="308"/>
      <c r="R213" s="536"/>
      <c r="S213" s="295"/>
      <c r="T213" s="430"/>
      <c r="U213" s="300"/>
      <c r="V213" s="295"/>
      <c r="W213" s="295"/>
      <c r="X213" s="295"/>
      <c r="Y213" s="295"/>
      <c r="Z213" s="295"/>
      <c r="AA213" s="295"/>
      <c r="AB213" s="295"/>
      <c r="AC213" s="310"/>
      <c r="AD213" s="295"/>
      <c r="AE213" s="295"/>
    </row>
    <row r="214" spans="1:31" s="549" customFormat="1" x14ac:dyDescent="0.2">
      <c r="A214" s="310"/>
      <c r="B214" s="295"/>
      <c r="C214" s="295"/>
      <c r="D214" s="295"/>
      <c r="E214" s="295"/>
      <c r="F214" s="296"/>
      <c r="G214" s="295"/>
      <c r="H214" s="295"/>
      <c r="I214" s="295"/>
      <c r="J214" s="312"/>
      <c r="K214" s="310"/>
      <c r="L214" s="298"/>
      <c r="M214" s="295"/>
      <c r="N214" s="295"/>
      <c r="O214" s="295"/>
      <c r="P214" s="308"/>
      <c r="Q214" s="308"/>
      <c r="R214" s="536"/>
      <c r="S214" s="295"/>
      <c r="T214" s="430"/>
      <c r="U214" s="300"/>
      <c r="V214" s="295"/>
      <c r="W214" s="295"/>
      <c r="X214" s="295"/>
      <c r="Y214" s="295"/>
      <c r="Z214" s="295"/>
      <c r="AA214" s="295"/>
      <c r="AB214" s="295"/>
      <c r="AC214" s="310"/>
      <c r="AD214" s="295"/>
      <c r="AE214" s="295"/>
    </row>
    <row r="215" spans="1:31" s="549" customFormat="1" x14ac:dyDescent="0.2">
      <c r="A215" s="310"/>
      <c r="B215" s="295"/>
      <c r="C215" s="295"/>
      <c r="D215" s="295"/>
      <c r="E215" s="295"/>
      <c r="F215" s="296"/>
      <c r="G215" s="295"/>
      <c r="H215" s="295"/>
      <c r="I215" s="295"/>
      <c r="J215" s="312"/>
      <c r="K215" s="298"/>
      <c r="L215" s="298"/>
      <c r="M215" s="295"/>
      <c r="N215" s="295"/>
      <c r="O215" s="295"/>
      <c r="P215" s="308"/>
      <c r="Q215" s="308"/>
      <c r="R215" s="536"/>
      <c r="S215" s="295"/>
      <c r="T215" s="430"/>
      <c r="U215" s="300"/>
      <c r="V215" s="295"/>
      <c r="W215" s="295"/>
      <c r="X215" s="295"/>
      <c r="Y215" s="295"/>
      <c r="Z215" s="295"/>
      <c r="AA215" s="295"/>
      <c r="AB215" s="295"/>
      <c r="AC215" s="310"/>
      <c r="AD215" s="295"/>
      <c r="AE215" s="295"/>
    </row>
    <row r="216" spans="1:31" s="552" customFormat="1" ht="15.75" x14ac:dyDescent="0.2">
      <c r="A216" s="310"/>
      <c r="B216" s="270"/>
      <c r="C216" s="270"/>
      <c r="D216" s="270"/>
      <c r="E216" s="270"/>
      <c r="F216" s="282"/>
      <c r="G216" s="425"/>
      <c r="H216" s="296"/>
      <c r="I216" s="296"/>
      <c r="J216" s="537"/>
      <c r="K216" s="423"/>
      <c r="L216" s="428"/>
      <c r="M216" s="427"/>
      <c r="N216" s="296"/>
      <c r="O216" s="296"/>
      <c r="P216" s="426"/>
      <c r="Q216" s="426"/>
      <c r="R216" s="424"/>
      <c r="S216" s="429"/>
      <c r="T216" s="379"/>
      <c r="U216" s="270"/>
      <c r="V216" s="295"/>
      <c r="W216" s="295"/>
      <c r="X216" s="295"/>
      <c r="Y216" s="295"/>
      <c r="Z216" s="295"/>
      <c r="AA216" s="295"/>
      <c r="AB216" s="295"/>
      <c r="AC216" s="310"/>
      <c r="AD216" s="270"/>
      <c r="AE216" s="270"/>
    </row>
    <row r="217" spans="1:31" s="549" customFormat="1" ht="15.75" x14ac:dyDescent="0.2">
      <c r="A217" s="310"/>
      <c r="B217" s="295"/>
      <c r="C217" s="295"/>
      <c r="D217" s="295"/>
      <c r="E217" s="295"/>
      <c r="F217" s="296"/>
      <c r="G217" s="382"/>
      <c r="H217" s="308"/>
      <c r="I217" s="308"/>
      <c r="J217" s="309"/>
      <c r="K217" s="298"/>
      <c r="L217" s="311"/>
      <c r="M217" s="308"/>
      <c r="N217" s="295"/>
      <c r="O217" s="295"/>
      <c r="P217" s="308"/>
      <c r="Q217" s="308"/>
      <c r="R217" s="536"/>
      <c r="S217" s="382"/>
      <c r="T217" s="430"/>
      <c r="U217" s="300"/>
      <c r="V217" s="295"/>
      <c r="W217" s="295"/>
      <c r="X217" s="295"/>
      <c r="Y217" s="295"/>
      <c r="Z217" s="295"/>
      <c r="AA217" s="295"/>
      <c r="AB217" s="295"/>
      <c r="AC217" s="310"/>
      <c r="AD217" s="295"/>
      <c r="AE217" s="295"/>
    </row>
    <row r="218" spans="1:31" s="552" customFormat="1" ht="15.75" x14ac:dyDescent="0.2">
      <c r="A218" s="310"/>
      <c r="B218" s="270"/>
      <c r="C218" s="270"/>
      <c r="D218" s="270"/>
      <c r="E218" s="270"/>
      <c r="F218" s="282"/>
      <c r="G218" s="308"/>
      <c r="H218" s="308"/>
      <c r="I218" s="308"/>
      <c r="J218" s="309"/>
      <c r="K218" s="310"/>
      <c r="L218" s="311"/>
      <c r="M218" s="308"/>
      <c r="N218" s="295"/>
      <c r="O218" s="295"/>
      <c r="P218" s="308"/>
      <c r="Q218" s="308"/>
      <c r="R218" s="536"/>
      <c r="S218" s="295"/>
      <c r="T218" s="430"/>
      <c r="U218" s="270"/>
      <c r="V218" s="295"/>
      <c r="W218" s="295"/>
      <c r="X218" s="295"/>
      <c r="Y218" s="295"/>
      <c r="Z218" s="295"/>
      <c r="AA218" s="295"/>
      <c r="AB218" s="295"/>
      <c r="AC218" s="310"/>
      <c r="AD218" s="270"/>
      <c r="AE218" s="270"/>
    </row>
    <row r="219" spans="1:31" s="552" customFormat="1" ht="15.75" x14ac:dyDescent="0.2">
      <c r="A219" s="310"/>
      <c r="B219" s="270"/>
      <c r="C219" s="270"/>
      <c r="D219" s="270"/>
      <c r="E219" s="270"/>
      <c r="F219" s="282"/>
      <c r="G219" s="308"/>
      <c r="H219" s="308"/>
      <c r="I219" s="308"/>
      <c r="J219" s="309"/>
      <c r="K219" s="310"/>
      <c r="L219" s="311"/>
      <c r="M219" s="308"/>
      <c r="N219" s="295"/>
      <c r="O219" s="295"/>
      <c r="P219" s="308"/>
      <c r="Q219" s="308"/>
      <c r="R219" s="536"/>
      <c r="S219" s="295"/>
      <c r="T219" s="430"/>
      <c r="U219" s="270"/>
      <c r="V219" s="295"/>
      <c r="W219" s="295"/>
      <c r="X219" s="295"/>
      <c r="Y219" s="295"/>
      <c r="Z219" s="295"/>
      <c r="AA219" s="295"/>
      <c r="AB219" s="295"/>
      <c r="AC219" s="310"/>
      <c r="AD219" s="270"/>
      <c r="AE219" s="270"/>
    </row>
    <row r="220" spans="1:31" s="552" customFormat="1" ht="15.75" x14ac:dyDescent="0.2">
      <c r="A220" s="310"/>
      <c r="B220" s="270"/>
      <c r="C220" s="270"/>
      <c r="D220" s="270"/>
      <c r="E220" s="270"/>
      <c r="F220" s="282"/>
      <c r="G220" s="308"/>
      <c r="H220" s="308"/>
      <c r="I220" s="308"/>
      <c r="J220" s="309"/>
      <c r="K220" s="310"/>
      <c r="L220" s="311"/>
      <c r="M220" s="308"/>
      <c r="N220" s="295"/>
      <c r="O220" s="295"/>
      <c r="P220" s="308"/>
      <c r="Q220" s="308"/>
      <c r="R220" s="536"/>
      <c r="S220" s="295"/>
      <c r="T220" s="430"/>
      <c r="U220" s="270"/>
      <c r="V220" s="295"/>
      <c r="W220" s="295"/>
      <c r="X220" s="295"/>
      <c r="Y220" s="295"/>
      <c r="Z220" s="295"/>
      <c r="AA220" s="295"/>
      <c r="AB220" s="295"/>
      <c r="AC220" s="310"/>
      <c r="AD220" s="270"/>
      <c r="AE220" s="270"/>
    </row>
    <row r="221" spans="1:31" s="552" customFormat="1" ht="15.75" x14ac:dyDescent="0.2">
      <c r="A221" s="310"/>
      <c r="B221" s="270"/>
      <c r="C221" s="270"/>
      <c r="D221" s="270"/>
      <c r="E221" s="270"/>
      <c r="F221" s="282"/>
      <c r="G221" s="308"/>
      <c r="H221" s="308"/>
      <c r="I221" s="308"/>
      <c r="J221" s="309"/>
      <c r="K221" s="310"/>
      <c r="L221" s="311"/>
      <c r="M221" s="308"/>
      <c r="N221" s="295"/>
      <c r="O221" s="295"/>
      <c r="P221" s="308"/>
      <c r="Q221" s="308"/>
      <c r="R221" s="536"/>
      <c r="S221" s="295"/>
      <c r="T221" s="430"/>
      <c r="U221" s="270"/>
      <c r="V221" s="295"/>
      <c r="W221" s="295"/>
      <c r="X221" s="295"/>
      <c r="Y221" s="295"/>
      <c r="Z221" s="295"/>
      <c r="AA221" s="295"/>
      <c r="AB221" s="295"/>
      <c r="AC221" s="310"/>
      <c r="AD221" s="270"/>
      <c r="AE221" s="270"/>
    </row>
    <row r="222" spans="1:31" s="552" customFormat="1" ht="15.75" x14ac:dyDescent="0.2">
      <c r="A222" s="310"/>
      <c r="B222" s="270"/>
      <c r="C222" s="270"/>
      <c r="D222" s="270"/>
      <c r="E222" s="270"/>
      <c r="F222" s="282"/>
      <c r="G222" s="308"/>
      <c r="H222" s="308"/>
      <c r="I222" s="308"/>
      <c r="J222" s="309"/>
      <c r="K222" s="310"/>
      <c r="L222" s="311"/>
      <c r="M222" s="308"/>
      <c r="N222" s="295"/>
      <c r="O222" s="295"/>
      <c r="P222" s="308"/>
      <c r="Q222" s="308"/>
      <c r="R222" s="536"/>
      <c r="S222" s="295"/>
      <c r="T222" s="430"/>
      <c r="U222" s="270"/>
      <c r="V222" s="295"/>
      <c r="W222" s="295"/>
      <c r="X222" s="295"/>
      <c r="Y222" s="295"/>
      <c r="Z222" s="295"/>
      <c r="AA222" s="295"/>
      <c r="AB222" s="295"/>
      <c r="AC222" s="310"/>
      <c r="AD222" s="270"/>
      <c r="AE222" s="270"/>
    </row>
    <row r="223" spans="1:31" s="549" customFormat="1" x14ac:dyDescent="0.2">
      <c r="A223" s="307"/>
      <c r="B223" s="295"/>
      <c r="C223" s="295"/>
      <c r="D223" s="295"/>
      <c r="E223" s="295"/>
      <c r="F223" s="296"/>
      <c r="G223" s="295"/>
      <c r="H223" s="295"/>
      <c r="I223" s="295"/>
      <c r="J223" s="312"/>
      <c r="K223" s="298"/>
      <c r="L223" s="298"/>
      <c r="M223" s="295"/>
      <c r="N223" s="295"/>
      <c r="O223" s="295"/>
      <c r="P223" s="295"/>
      <c r="Q223" s="295"/>
      <c r="R223" s="554"/>
      <c r="S223" s="295"/>
      <c r="T223" s="300"/>
      <c r="U223" s="300"/>
      <c r="V223" s="295"/>
      <c r="W223" s="295"/>
      <c r="X223" s="295"/>
      <c r="Y223" s="295"/>
      <c r="Z223" s="295"/>
      <c r="AA223" s="295"/>
      <c r="AB223" s="295"/>
      <c r="AC223" s="295"/>
      <c r="AD223" s="295"/>
    </row>
    <row r="224" spans="1:31" s="549" customFormat="1" x14ac:dyDescent="0.2">
      <c r="A224" s="386"/>
      <c r="B224" s="378"/>
      <c r="C224" s="378"/>
      <c r="D224" s="378"/>
      <c r="E224" s="378"/>
      <c r="F224" s="408"/>
      <c r="G224" s="378"/>
      <c r="H224" s="378"/>
      <c r="I224" s="378"/>
      <c r="J224" s="380"/>
      <c r="K224" s="383"/>
      <c r="L224" s="383"/>
      <c r="M224" s="378"/>
      <c r="N224" s="378"/>
      <c r="O224" s="378"/>
      <c r="P224" s="378"/>
      <c r="Q224" s="378"/>
      <c r="R224" s="548"/>
      <c r="S224" s="378"/>
      <c r="T224" s="410"/>
      <c r="U224" s="410"/>
      <c r="V224" s="378"/>
      <c r="W224" s="378"/>
      <c r="X224" s="378"/>
      <c r="Y224" s="378"/>
      <c r="Z224" s="378"/>
      <c r="AA224" s="378"/>
      <c r="AB224" s="378"/>
      <c r="AC224" s="378"/>
      <c r="AD224" s="378"/>
    </row>
    <row r="225" spans="1:31" x14ac:dyDescent="0.2">
      <c r="A225" s="406"/>
      <c r="B225" s="390"/>
      <c r="C225" s="390"/>
      <c r="D225" s="407"/>
      <c r="E225" s="378"/>
      <c r="F225" s="408"/>
      <c r="G225" s="378"/>
      <c r="H225" s="378"/>
      <c r="I225" s="378"/>
      <c r="J225" s="409"/>
      <c r="K225" s="383"/>
      <c r="L225" s="383"/>
      <c r="M225" s="378"/>
      <c r="N225" s="378"/>
      <c r="O225" s="378"/>
      <c r="P225" s="378"/>
      <c r="Q225" s="378"/>
      <c r="R225" s="548"/>
      <c r="S225" s="378"/>
      <c r="T225" s="410"/>
      <c r="U225" s="410"/>
      <c r="V225" s="378"/>
      <c r="W225" s="390"/>
      <c r="X225" s="390"/>
      <c r="Y225" s="390"/>
      <c r="Z225" s="390"/>
      <c r="AA225" s="390"/>
      <c r="AB225" s="390"/>
      <c r="AC225" s="390"/>
      <c r="AD225" s="390"/>
    </row>
    <row r="226" spans="1:31" ht="15.75" x14ac:dyDescent="0.25">
      <c r="A226" s="412" t="s">
        <v>345</v>
      </c>
      <c r="B226" s="403"/>
      <c r="C226" s="403"/>
      <c r="D226" s="403"/>
      <c r="E226" s="403"/>
      <c r="F226" s="413"/>
      <c r="G226" s="403"/>
      <c r="H226" s="403"/>
      <c r="I226" s="403"/>
      <c r="J226" s="392" t="s">
        <v>16</v>
      </c>
      <c r="K226" s="394">
        <f>SUM(K227:K228)</f>
        <v>0</v>
      </c>
      <c r="L226" s="394">
        <f>SUM(L227:L228)</f>
        <v>0</v>
      </c>
      <c r="M226" s="390"/>
      <c r="N226" s="390"/>
      <c r="O226" s="390"/>
      <c r="P226" s="390"/>
      <c r="Q226" s="390"/>
      <c r="R226" s="545"/>
      <c r="S226" s="390"/>
      <c r="T226" s="390"/>
      <c r="U226" s="390"/>
      <c r="V226" s="390"/>
      <c r="W226" s="390"/>
      <c r="X226" s="390"/>
      <c r="Y226" s="390"/>
      <c r="Z226" s="390"/>
      <c r="AA226" s="390"/>
      <c r="AB226" s="390"/>
      <c r="AC226" s="390"/>
      <c r="AD226" s="390"/>
    </row>
    <row r="227" spans="1:31" x14ac:dyDescent="0.2">
      <c r="A227" s="414"/>
      <c r="B227" s="390"/>
      <c r="C227" s="390"/>
      <c r="D227" s="378"/>
      <c r="E227" s="378"/>
      <c r="F227" s="408"/>
      <c r="G227" s="378"/>
      <c r="H227" s="378"/>
      <c r="I227" s="378"/>
      <c r="J227" s="409"/>
      <c r="K227" s="383"/>
      <c r="L227" s="383"/>
      <c r="M227" s="378"/>
      <c r="N227" s="378"/>
      <c r="O227" s="378"/>
      <c r="P227" s="378"/>
      <c r="Q227" s="378"/>
      <c r="R227" s="548"/>
      <c r="S227" s="378"/>
      <c r="T227" s="410"/>
      <c r="U227" s="378"/>
      <c r="V227" s="390"/>
      <c r="W227" s="390"/>
      <c r="X227" s="390"/>
      <c r="Y227" s="390"/>
      <c r="Z227" s="390"/>
      <c r="AA227" s="390"/>
      <c r="AB227" s="390"/>
      <c r="AC227" s="390"/>
      <c r="AD227" s="390"/>
    </row>
    <row r="228" spans="1:31" s="549" customFormat="1" x14ac:dyDescent="0.2">
      <c r="A228" s="415"/>
      <c r="B228" s="378"/>
      <c r="C228" s="378"/>
      <c r="D228" s="378"/>
      <c r="E228" s="378"/>
      <c r="F228" s="408"/>
      <c r="G228" s="378"/>
      <c r="H228" s="378"/>
      <c r="I228" s="378"/>
      <c r="J228" s="409"/>
      <c r="K228" s="383"/>
      <c r="L228" s="383"/>
      <c r="M228" s="378"/>
      <c r="N228" s="378"/>
      <c r="O228" s="378"/>
      <c r="P228" s="378"/>
      <c r="Q228" s="378"/>
      <c r="R228" s="548"/>
      <c r="S228" s="378"/>
      <c r="T228" s="410"/>
      <c r="U228" s="378"/>
      <c r="V228" s="378"/>
      <c r="W228" s="378"/>
      <c r="X228" s="378"/>
      <c r="Y228" s="378"/>
      <c r="Z228" s="378"/>
      <c r="AA228" s="378"/>
      <c r="AB228" s="378"/>
      <c r="AC228" s="378"/>
      <c r="AD228" s="378"/>
    </row>
    <row r="229" spans="1:31" s="547" customFormat="1" ht="15.75" x14ac:dyDescent="0.25">
      <c r="A229" s="399" t="s">
        <v>291</v>
      </c>
      <c r="B229" s="400"/>
      <c r="C229" s="400"/>
      <c r="D229" s="400"/>
      <c r="E229" s="400"/>
      <c r="F229" s="401"/>
      <c r="G229" s="400"/>
      <c r="H229" s="400"/>
      <c r="I229" s="400"/>
      <c r="J229" s="400"/>
      <c r="K229" s="402"/>
      <c r="L229" s="402"/>
      <c r="M229" s="400"/>
      <c r="N229" s="400"/>
      <c r="O229" s="400"/>
      <c r="P229" s="400"/>
      <c r="Q229" s="400"/>
      <c r="R229" s="546"/>
      <c r="S229" s="400"/>
      <c r="T229" s="400"/>
      <c r="U229" s="400"/>
      <c r="V229" s="400"/>
      <c r="W229" s="400"/>
      <c r="X229" s="400"/>
      <c r="Y229" s="400"/>
      <c r="Z229" s="400"/>
      <c r="AA229" s="400"/>
      <c r="AB229" s="400"/>
      <c r="AC229" s="400"/>
      <c r="AD229" s="400"/>
    </row>
    <row r="230" spans="1:31" ht="15.75" x14ac:dyDescent="0.25">
      <c r="A230" s="403" t="s">
        <v>344</v>
      </c>
      <c r="B230" s="404"/>
      <c r="C230" s="404"/>
      <c r="D230" s="404"/>
      <c r="E230" s="404"/>
      <c r="F230" s="405"/>
      <c r="G230" s="404"/>
      <c r="H230" s="404"/>
      <c r="I230" s="404"/>
      <c r="J230" s="392" t="s">
        <v>16</v>
      </c>
      <c r="K230" s="394">
        <f>SUM(K391:K392)</f>
        <v>0</v>
      </c>
      <c r="L230" s="394">
        <f>SUM(L391:L392)</f>
        <v>0</v>
      </c>
      <c r="M230" s="390"/>
      <c r="N230" s="390"/>
      <c r="O230" s="390"/>
      <c r="P230" s="390"/>
      <c r="Q230" s="390"/>
      <c r="R230" s="545"/>
      <c r="S230" s="390"/>
      <c r="T230" s="390"/>
      <c r="U230" s="390"/>
      <c r="V230" s="390"/>
      <c r="W230" s="390"/>
      <c r="X230" s="390"/>
      <c r="Y230" s="390"/>
      <c r="Z230" s="390"/>
      <c r="AA230" s="390"/>
      <c r="AB230" s="390"/>
      <c r="AC230" s="390"/>
      <c r="AD230" s="390"/>
    </row>
    <row r="231" spans="1:31" s="551" customFormat="1" ht="15.75" x14ac:dyDescent="0.25">
      <c r="A231" s="310"/>
      <c r="B231" s="295"/>
      <c r="C231" s="295"/>
      <c r="D231" s="295"/>
      <c r="E231" s="295"/>
      <c r="F231" s="421"/>
      <c r="G231" s="295"/>
      <c r="H231" s="295"/>
      <c r="I231" s="295"/>
      <c r="J231" s="312"/>
      <c r="K231" s="298"/>
      <c r="L231" s="540"/>
      <c r="M231" s="295"/>
      <c r="N231" s="295"/>
      <c r="O231" s="295"/>
      <c r="P231" s="295"/>
      <c r="Q231" s="295"/>
      <c r="R231" s="553"/>
      <c r="S231" s="295"/>
      <c r="T231" s="300"/>
      <c r="U231" s="300"/>
      <c r="V231" s="295"/>
      <c r="W231" s="295"/>
      <c r="X231" s="295"/>
      <c r="Y231" s="295"/>
      <c r="Z231" s="295"/>
      <c r="AA231" s="295"/>
      <c r="AB231" s="295"/>
      <c r="AC231" s="295"/>
      <c r="AD231" s="295"/>
    </row>
    <row r="232" spans="1:31" s="549" customFormat="1" x14ac:dyDescent="0.2">
      <c r="A232" s="310"/>
      <c r="B232" s="295"/>
      <c r="C232" s="295"/>
      <c r="D232" s="295"/>
      <c r="E232" s="295"/>
      <c r="F232" s="296"/>
      <c r="G232" s="295"/>
      <c r="H232" s="295"/>
      <c r="I232" s="295"/>
      <c r="J232" s="312"/>
      <c r="K232" s="298"/>
      <c r="L232" s="298"/>
      <c r="M232" s="295"/>
      <c r="N232" s="295"/>
      <c r="O232" s="295"/>
      <c r="P232" s="295"/>
      <c r="Q232" s="295"/>
      <c r="R232" s="553"/>
      <c r="S232" s="295"/>
      <c r="T232" s="300"/>
      <c r="U232" s="300"/>
      <c r="V232" s="295"/>
      <c r="W232" s="295"/>
      <c r="X232" s="295"/>
      <c r="Y232" s="295"/>
      <c r="Z232" s="295"/>
      <c r="AA232" s="295"/>
      <c r="AB232" s="295"/>
      <c r="AC232" s="295"/>
      <c r="AD232" s="295"/>
    </row>
    <row r="233" spans="1:31" s="549" customFormat="1" ht="15.75" x14ac:dyDescent="0.2">
      <c r="A233" s="310"/>
      <c r="B233" s="295"/>
      <c r="C233" s="295"/>
      <c r="D233" s="295"/>
      <c r="E233" s="295"/>
      <c r="F233" s="296"/>
      <c r="G233" s="308"/>
      <c r="H233" s="308"/>
      <c r="I233" s="308"/>
      <c r="J233" s="309"/>
      <c r="K233" s="298"/>
      <c r="L233" s="311"/>
      <c r="M233" s="295"/>
      <c r="N233" s="295"/>
      <c r="O233" s="295"/>
      <c r="P233" s="308"/>
      <c r="Q233" s="308"/>
      <c r="R233" s="553"/>
      <c r="S233" s="295"/>
      <c r="T233" s="430"/>
      <c r="U233" s="300"/>
      <c r="V233" s="295"/>
      <c r="W233" s="295"/>
      <c r="X233" s="295"/>
      <c r="Y233" s="295"/>
      <c r="Z233" s="295"/>
      <c r="AA233" s="295"/>
      <c r="AB233" s="295"/>
      <c r="AC233" s="310"/>
      <c r="AD233" s="295"/>
      <c r="AE233" s="295"/>
    </row>
    <row r="234" spans="1:31" s="549" customFormat="1" ht="15.75" x14ac:dyDescent="0.2">
      <c r="A234" s="310"/>
      <c r="B234" s="295"/>
      <c r="C234" s="295"/>
      <c r="D234" s="295"/>
      <c r="E234" s="295"/>
      <c r="F234" s="296"/>
      <c r="G234" s="308"/>
      <c r="H234" s="308"/>
      <c r="I234" s="308"/>
      <c r="J234" s="309"/>
      <c r="K234" s="298"/>
      <c r="L234" s="311"/>
      <c r="M234" s="308"/>
      <c r="N234" s="295"/>
      <c r="O234" s="295"/>
      <c r="P234" s="308"/>
      <c r="Q234" s="308"/>
      <c r="R234" s="553"/>
      <c r="S234" s="295"/>
      <c r="T234" s="430"/>
      <c r="U234" s="300"/>
      <c r="V234" s="295"/>
      <c r="W234" s="295"/>
      <c r="X234" s="295"/>
      <c r="Y234" s="295"/>
      <c r="Z234" s="295"/>
      <c r="AA234" s="295"/>
      <c r="AB234" s="295"/>
      <c r="AC234" s="310"/>
      <c r="AD234" s="295"/>
      <c r="AE234" s="295"/>
    </row>
    <row r="235" spans="1:31" s="549" customFormat="1" ht="15.75" x14ac:dyDescent="0.2">
      <c r="A235" s="310"/>
      <c r="B235" s="295"/>
      <c r="C235" s="295"/>
      <c r="D235" s="295"/>
      <c r="E235" s="295"/>
      <c r="F235" s="296"/>
      <c r="G235" s="308"/>
      <c r="H235" s="308"/>
      <c r="I235" s="308"/>
      <c r="J235" s="309"/>
      <c r="K235" s="310"/>
      <c r="L235" s="311"/>
      <c r="M235" s="308"/>
      <c r="N235" s="295"/>
      <c r="O235" s="295"/>
      <c r="P235" s="308"/>
      <c r="Q235" s="308"/>
      <c r="R235" s="553"/>
      <c r="S235" s="295"/>
      <c r="T235" s="430"/>
      <c r="U235" s="300"/>
      <c r="V235" s="295"/>
      <c r="W235" s="295"/>
      <c r="X235" s="295"/>
      <c r="Y235" s="295"/>
      <c r="Z235" s="295"/>
      <c r="AA235" s="295"/>
      <c r="AB235" s="295"/>
      <c r="AC235" s="310"/>
      <c r="AD235" s="295"/>
      <c r="AE235" s="295"/>
    </row>
    <row r="236" spans="1:31" s="549" customFormat="1" ht="15.75" x14ac:dyDescent="0.2">
      <c r="A236" s="310"/>
      <c r="B236" s="295"/>
      <c r="C236" s="295"/>
      <c r="D236" s="295"/>
      <c r="E236" s="295"/>
      <c r="F236" s="296"/>
      <c r="G236" s="308"/>
      <c r="H236" s="308"/>
      <c r="I236" s="308"/>
      <c r="J236" s="309"/>
      <c r="K236" s="298"/>
      <c r="L236" s="311"/>
      <c r="M236" s="308"/>
      <c r="N236" s="295"/>
      <c r="O236" s="295"/>
      <c r="P236" s="308"/>
      <c r="Q236" s="308"/>
      <c r="R236" s="553"/>
      <c r="S236" s="295"/>
      <c r="T236" s="430"/>
      <c r="U236" s="300"/>
      <c r="V236" s="295"/>
      <c r="W236" s="295"/>
      <c r="X236" s="295"/>
      <c r="Y236" s="295"/>
      <c r="Z236" s="295"/>
      <c r="AA236" s="295"/>
      <c r="AB236" s="295"/>
      <c r="AC236" s="310"/>
      <c r="AD236" s="295"/>
      <c r="AE236" s="295"/>
    </row>
    <row r="237" spans="1:31" s="549" customFormat="1" ht="15.75" x14ac:dyDescent="0.2">
      <c r="A237" s="310"/>
      <c r="B237" s="295"/>
      <c r="C237" s="295"/>
      <c r="D237" s="295"/>
      <c r="E237" s="295"/>
      <c r="F237" s="296"/>
      <c r="G237" s="308"/>
      <c r="H237" s="308"/>
      <c r="I237" s="308"/>
      <c r="J237" s="309"/>
      <c r="K237" s="298"/>
      <c r="L237" s="311"/>
      <c r="M237" s="308"/>
      <c r="N237" s="295"/>
      <c r="O237" s="295"/>
      <c r="P237" s="308"/>
      <c r="Q237" s="308"/>
      <c r="R237" s="553"/>
      <c r="S237" s="295"/>
      <c r="T237" s="430"/>
      <c r="U237" s="300"/>
      <c r="V237" s="295"/>
      <c r="W237" s="295"/>
      <c r="X237" s="295"/>
      <c r="Y237" s="295"/>
      <c r="Z237" s="295"/>
      <c r="AA237" s="295"/>
      <c r="AB237" s="295"/>
      <c r="AC237" s="310"/>
      <c r="AD237" s="295"/>
      <c r="AE237" s="295"/>
    </row>
    <row r="238" spans="1:31" s="549" customFormat="1" ht="15.75" x14ac:dyDescent="0.2">
      <c r="A238" s="310"/>
      <c r="B238" s="295"/>
      <c r="C238" s="295"/>
      <c r="D238" s="295"/>
      <c r="E238" s="295"/>
      <c r="F238" s="296"/>
      <c r="G238" s="308"/>
      <c r="H238" s="308"/>
      <c r="I238" s="308"/>
      <c r="J238" s="309"/>
      <c r="K238" s="310"/>
      <c r="L238" s="311"/>
      <c r="M238" s="308"/>
      <c r="N238" s="295"/>
      <c r="O238" s="295"/>
      <c r="P238" s="308"/>
      <c r="Q238" s="308"/>
      <c r="R238" s="553"/>
      <c r="S238" s="295"/>
      <c r="T238" s="430"/>
      <c r="U238" s="300"/>
      <c r="V238" s="295"/>
      <c r="W238" s="295"/>
      <c r="X238" s="295"/>
      <c r="Y238" s="295"/>
      <c r="Z238" s="295"/>
      <c r="AA238" s="295"/>
      <c r="AB238" s="295"/>
      <c r="AC238" s="310"/>
      <c r="AD238" s="295"/>
      <c r="AE238" s="295"/>
    </row>
    <row r="239" spans="1:31" s="549" customFormat="1" ht="15.75" x14ac:dyDescent="0.2">
      <c r="A239" s="310"/>
      <c r="B239" s="295"/>
      <c r="C239" s="295"/>
      <c r="D239" s="295"/>
      <c r="E239" s="295"/>
      <c r="F239" s="296"/>
      <c r="G239" s="308"/>
      <c r="H239" s="308"/>
      <c r="I239" s="308"/>
      <c r="J239" s="309"/>
      <c r="K239" s="298"/>
      <c r="L239" s="311"/>
      <c r="M239" s="308"/>
      <c r="N239" s="295"/>
      <c r="O239" s="295"/>
      <c r="P239" s="308"/>
      <c r="Q239" s="308"/>
      <c r="R239" s="553"/>
      <c r="S239" s="295"/>
      <c r="T239" s="430"/>
      <c r="U239" s="300"/>
      <c r="V239" s="295"/>
      <c r="W239" s="295"/>
      <c r="X239" s="295"/>
      <c r="Y239" s="295"/>
      <c r="Z239" s="295"/>
      <c r="AA239" s="295"/>
      <c r="AB239" s="295"/>
      <c r="AC239" s="310"/>
      <c r="AD239" s="295"/>
      <c r="AE239" s="295"/>
    </row>
    <row r="240" spans="1:31" s="549" customFormat="1" ht="15.75" x14ac:dyDescent="0.2">
      <c r="A240" s="310"/>
      <c r="B240" s="295"/>
      <c r="C240" s="295"/>
      <c r="D240" s="295"/>
      <c r="E240" s="295"/>
      <c r="F240" s="296"/>
      <c r="G240" s="308"/>
      <c r="H240" s="308"/>
      <c r="I240" s="308"/>
      <c r="J240" s="309"/>
      <c r="K240" s="298"/>
      <c r="L240" s="311"/>
      <c r="M240" s="308"/>
      <c r="N240" s="295"/>
      <c r="O240" s="295"/>
      <c r="P240" s="308"/>
      <c r="Q240" s="308"/>
      <c r="R240" s="553"/>
      <c r="S240" s="295"/>
      <c r="T240" s="430"/>
      <c r="U240" s="300"/>
      <c r="V240" s="295"/>
      <c r="W240" s="295"/>
      <c r="X240" s="295"/>
      <c r="Y240" s="295"/>
      <c r="Z240" s="295"/>
      <c r="AA240" s="295"/>
      <c r="AB240" s="295"/>
      <c r="AC240" s="310"/>
      <c r="AD240" s="295"/>
      <c r="AE240" s="295"/>
    </row>
    <row r="241" spans="1:31" s="549" customFormat="1" ht="15.75" x14ac:dyDescent="0.2">
      <c r="A241" s="310"/>
      <c r="B241" s="295"/>
      <c r="C241" s="295"/>
      <c r="D241" s="295"/>
      <c r="E241" s="295"/>
      <c r="F241" s="296"/>
      <c r="G241" s="308"/>
      <c r="H241" s="308"/>
      <c r="I241" s="308"/>
      <c r="J241" s="309"/>
      <c r="K241" s="310"/>
      <c r="L241" s="311"/>
      <c r="M241" s="308"/>
      <c r="N241" s="295"/>
      <c r="O241" s="295"/>
      <c r="P241" s="308"/>
      <c r="Q241" s="308"/>
      <c r="R241" s="553"/>
      <c r="S241" s="295"/>
      <c r="T241" s="430"/>
      <c r="U241" s="300"/>
      <c r="V241" s="295"/>
      <c r="W241" s="295"/>
      <c r="X241" s="295"/>
      <c r="Y241" s="295"/>
      <c r="Z241" s="295"/>
      <c r="AA241" s="295"/>
      <c r="AB241" s="295"/>
      <c r="AC241" s="310"/>
      <c r="AD241" s="295"/>
      <c r="AE241" s="295"/>
    </row>
    <row r="242" spans="1:31" s="549" customFormat="1" ht="15.75" x14ac:dyDescent="0.2">
      <c r="A242" s="310"/>
      <c r="B242" s="295"/>
      <c r="C242" s="295"/>
      <c r="D242" s="295"/>
      <c r="E242" s="295"/>
      <c r="F242" s="296"/>
      <c r="G242" s="308"/>
      <c r="H242" s="308"/>
      <c r="I242" s="308"/>
      <c r="J242" s="309"/>
      <c r="K242" s="298"/>
      <c r="L242" s="311"/>
      <c r="M242" s="308"/>
      <c r="N242" s="295"/>
      <c r="O242" s="295"/>
      <c r="P242" s="308"/>
      <c r="Q242" s="308"/>
      <c r="R242" s="553"/>
      <c r="S242" s="295"/>
      <c r="T242" s="430"/>
      <c r="U242" s="300"/>
      <c r="V242" s="295"/>
      <c r="W242" s="295"/>
      <c r="X242" s="295"/>
      <c r="Y242" s="295"/>
      <c r="Z242" s="295"/>
      <c r="AA242" s="295"/>
      <c r="AB242" s="295"/>
      <c r="AC242" s="310"/>
      <c r="AD242" s="295"/>
      <c r="AE242" s="295"/>
    </row>
    <row r="243" spans="1:31" s="549" customFormat="1" ht="15.75" x14ac:dyDescent="0.2">
      <c r="A243" s="310"/>
      <c r="B243" s="295"/>
      <c r="C243" s="295"/>
      <c r="D243" s="295"/>
      <c r="E243" s="295"/>
      <c r="F243" s="296"/>
      <c r="G243" s="308"/>
      <c r="H243" s="308"/>
      <c r="I243" s="308"/>
      <c r="J243" s="309"/>
      <c r="K243" s="298"/>
      <c r="L243" s="311"/>
      <c r="M243" s="308"/>
      <c r="N243" s="295"/>
      <c r="O243" s="295"/>
      <c r="P243" s="308"/>
      <c r="Q243" s="308"/>
      <c r="R243" s="553"/>
      <c r="S243" s="295"/>
      <c r="T243" s="430"/>
      <c r="U243" s="300"/>
      <c r="V243" s="295"/>
      <c r="W243" s="295"/>
      <c r="X243" s="295"/>
      <c r="Y243" s="295"/>
      <c r="Z243" s="295"/>
      <c r="AA243" s="295"/>
      <c r="AB243" s="295"/>
      <c r="AC243" s="310"/>
      <c r="AD243" s="295"/>
      <c r="AE243" s="295"/>
    </row>
    <row r="244" spans="1:31" s="549" customFormat="1" ht="15.75" x14ac:dyDescent="0.2">
      <c r="A244" s="310"/>
      <c r="B244" s="295"/>
      <c r="C244" s="295"/>
      <c r="D244" s="295"/>
      <c r="E244" s="295"/>
      <c r="F244" s="296"/>
      <c r="G244" s="308"/>
      <c r="H244" s="308"/>
      <c r="I244" s="308"/>
      <c r="J244" s="309"/>
      <c r="K244" s="310"/>
      <c r="L244" s="311"/>
      <c r="M244" s="308"/>
      <c r="N244" s="295"/>
      <c r="O244" s="295"/>
      <c r="P244" s="308"/>
      <c r="Q244" s="308"/>
      <c r="R244" s="553"/>
      <c r="S244" s="295"/>
      <c r="T244" s="430"/>
      <c r="U244" s="300"/>
      <c r="V244" s="295"/>
      <c r="W244" s="295"/>
      <c r="X244" s="295"/>
      <c r="Y244" s="295"/>
      <c r="Z244" s="295"/>
      <c r="AA244" s="295"/>
      <c r="AB244" s="295"/>
      <c r="AC244" s="310"/>
      <c r="AD244" s="295"/>
      <c r="AE244" s="295"/>
    </row>
    <row r="245" spans="1:31" s="549" customFormat="1" ht="15.75" x14ac:dyDescent="0.2">
      <c r="A245" s="310"/>
      <c r="B245" s="295"/>
      <c r="C245" s="295"/>
      <c r="D245" s="295"/>
      <c r="E245" s="295"/>
      <c r="F245" s="296"/>
      <c r="G245" s="308"/>
      <c r="H245" s="308"/>
      <c r="I245" s="308"/>
      <c r="J245" s="309"/>
      <c r="K245" s="298"/>
      <c r="L245" s="311"/>
      <c r="M245" s="308"/>
      <c r="N245" s="295"/>
      <c r="O245" s="295"/>
      <c r="P245" s="308"/>
      <c r="Q245" s="308"/>
      <c r="R245" s="553"/>
      <c r="S245" s="295"/>
      <c r="T245" s="430"/>
      <c r="U245" s="300"/>
      <c r="V245" s="295"/>
      <c r="W245" s="295"/>
      <c r="X245" s="295"/>
      <c r="Y245" s="295"/>
      <c r="Z245" s="295"/>
      <c r="AA245" s="295"/>
      <c r="AB245" s="295"/>
      <c r="AC245" s="310"/>
      <c r="AD245" s="295"/>
      <c r="AE245" s="295"/>
    </row>
    <row r="246" spans="1:31" s="549" customFormat="1" ht="15.75" x14ac:dyDescent="0.2">
      <c r="A246" s="310"/>
      <c r="B246" s="295"/>
      <c r="C246" s="295"/>
      <c r="D246" s="295"/>
      <c r="E246" s="295"/>
      <c r="F246" s="296"/>
      <c r="G246" s="308"/>
      <c r="H246" s="308"/>
      <c r="I246" s="308"/>
      <c r="J246" s="309"/>
      <c r="K246" s="298"/>
      <c r="L246" s="311"/>
      <c r="M246" s="308"/>
      <c r="N246" s="295"/>
      <c r="O246" s="295"/>
      <c r="P246" s="308"/>
      <c r="Q246" s="308"/>
      <c r="R246" s="553"/>
      <c r="S246" s="295"/>
      <c r="T246" s="430"/>
      <c r="U246" s="300"/>
      <c r="V246" s="295"/>
      <c r="W246" s="295"/>
      <c r="X246" s="295"/>
      <c r="Y246" s="295"/>
      <c r="Z246" s="295"/>
      <c r="AA246" s="295"/>
      <c r="AB246" s="295"/>
      <c r="AC246" s="310"/>
      <c r="AD246" s="295"/>
      <c r="AE246" s="295"/>
    </row>
    <row r="247" spans="1:31" s="549" customFormat="1" ht="15.75" x14ac:dyDescent="0.2">
      <c r="A247" s="310"/>
      <c r="B247" s="295"/>
      <c r="C247" s="295"/>
      <c r="D247" s="295"/>
      <c r="E247" s="295"/>
      <c r="F247" s="296"/>
      <c r="G247" s="308"/>
      <c r="H247" s="308"/>
      <c r="I247" s="308"/>
      <c r="J247" s="309"/>
      <c r="K247" s="310"/>
      <c r="L247" s="311"/>
      <c r="M247" s="308"/>
      <c r="N247" s="295"/>
      <c r="O247" s="295"/>
      <c r="P247" s="308"/>
      <c r="Q247" s="308"/>
      <c r="R247" s="553"/>
      <c r="S247" s="295"/>
      <c r="T247" s="430"/>
      <c r="U247" s="300"/>
      <c r="V247" s="295"/>
      <c r="W247" s="295"/>
      <c r="X247" s="295"/>
      <c r="Y247" s="295"/>
      <c r="Z247" s="295"/>
      <c r="AA247" s="295"/>
      <c r="AB247" s="295"/>
      <c r="AC247" s="310"/>
      <c r="AD247" s="295"/>
      <c r="AE247" s="295"/>
    </row>
    <row r="248" spans="1:31" s="549" customFormat="1" ht="15.75" x14ac:dyDescent="0.2">
      <c r="A248" s="310"/>
      <c r="B248" s="295"/>
      <c r="C248" s="295"/>
      <c r="D248" s="295"/>
      <c r="E248" s="295"/>
      <c r="F248" s="296"/>
      <c r="G248" s="308"/>
      <c r="H248" s="308"/>
      <c r="I248" s="308"/>
      <c r="J248" s="309"/>
      <c r="K248" s="298"/>
      <c r="L248" s="311"/>
      <c r="M248" s="308"/>
      <c r="N248" s="295"/>
      <c r="O248" s="295"/>
      <c r="P248" s="295"/>
      <c r="Q248" s="295"/>
      <c r="R248" s="553"/>
      <c r="S248" s="295"/>
      <c r="T248" s="430"/>
      <c r="U248" s="300"/>
      <c r="V248" s="295"/>
      <c r="W248" s="295"/>
      <c r="X248" s="295"/>
      <c r="Y248" s="295"/>
      <c r="Z248" s="295"/>
      <c r="AA248" s="295"/>
      <c r="AB248" s="295"/>
      <c r="AC248" s="310"/>
      <c r="AD248" s="295"/>
      <c r="AE248" s="295"/>
    </row>
    <row r="249" spans="1:31" s="552" customFormat="1" ht="15.75" x14ac:dyDescent="0.2">
      <c r="A249" s="310"/>
      <c r="B249" s="270"/>
      <c r="C249" s="270"/>
      <c r="D249" s="270"/>
      <c r="E249" s="270"/>
      <c r="F249" s="282"/>
      <c r="G249" s="308"/>
      <c r="H249" s="308"/>
      <c r="I249" s="308"/>
      <c r="J249" s="309"/>
      <c r="K249" s="298"/>
      <c r="L249" s="311"/>
      <c r="M249" s="308"/>
      <c r="N249" s="295"/>
      <c r="O249" s="295"/>
      <c r="P249" s="308"/>
      <c r="Q249" s="308"/>
      <c r="R249" s="553"/>
      <c r="S249" s="295"/>
      <c r="T249" s="430"/>
      <c r="U249" s="270"/>
      <c r="V249" s="295"/>
      <c r="W249" s="295"/>
      <c r="X249" s="295"/>
      <c r="Y249" s="295"/>
      <c r="Z249" s="295"/>
      <c r="AA249" s="295"/>
      <c r="AB249" s="295"/>
      <c r="AC249" s="310"/>
      <c r="AD249" s="270"/>
      <c r="AE249" s="270"/>
    </row>
    <row r="250" spans="1:31" s="552" customFormat="1" ht="15.75" x14ac:dyDescent="0.2">
      <c r="A250" s="310"/>
      <c r="B250" s="270"/>
      <c r="C250" s="270"/>
      <c r="D250" s="270"/>
      <c r="E250" s="270"/>
      <c r="F250" s="282"/>
      <c r="G250" s="308"/>
      <c r="H250" s="308"/>
      <c r="I250" s="308"/>
      <c r="J250" s="309"/>
      <c r="K250" s="310"/>
      <c r="L250" s="311"/>
      <c r="M250" s="308"/>
      <c r="N250" s="295"/>
      <c r="O250" s="295"/>
      <c r="P250" s="308"/>
      <c r="Q250" s="308"/>
      <c r="R250" s="553"/>
      <c r="S250" s="295"/>
      <c r="T250" s="430"/>
      <c r="U250" s="270"/>
      <c r="V250" s="295"/>
      <c r="W250" s="295"/>
      <c r="X250" s="295"/>
      <c r="Y250" s="295"/>
      <c r="Z250" s="295"/>
      <c r="AA250" s="295"/>
      <c r="AB250" s="295"/>
      <c r="AC250" s="310"/>
      <c r="AD250" s="270"/>
      <c r="AE250" s="270"/>
    </row>
    <row r="251" spans="1:31" s="552" customFormat="1" ht="15.75" x14ac:dyDescent="0.2">
      <c r="A251" s="310"/>
      <c r="B251" s="270"/>
      <c r="C251" s="270"/>
      <c r="D251" s="270"/>
      <c r="E251" s="270"/>
      <c r="F251" s="282"/>
      <c r="G251" s="308"/>
      <c r="H251" s="308"/>
      <c r="I251" s="308"/>
      <c r="J251" s="309"/>
      <c r="K251" s="298"/>
      <c r="L251" s="311"/>
      <c r="M251" s="308"/>
      <c r="N251" s="295"/>
      <c r="O251" s="295"/>
      <c r="P251" s="308"/>
      <c r="Q251" s="308"/>
      <c r="R251" s="553"/>
      <c r="S251" s="295"/>
      <c r="T251" s="430"/>
      <c r="U251" s="270"/>
      <c r="V251" s="295"/>
      <c r="W251" s="295"/>
      <c r="X251" s="295"/>
      <c r="Y251" s="295"/>
      <c r="Z251" s="295"/>
      <c r="AA251" s="295"/>
      <c r="AB251" s="295"/>
      <c r="AC251" s="310"/>
      <c r="AD251" s="270"/>
      <c r="AE251" s="270"/>
    </row>
    <row r="252" spans="1:31" s="552" customFormat="1" ht="15.75" x14ac:dyDescent="0.2">
      <c r="A252" s="310"/>
      <c r="B252" s="270"/>
      <c r="C252" s="270"/>
      <c r="D252" s="270"/>
      <c r="E252" s="270"/>
      <c r="F252" s="282"/>
      <c r="G252" s="308"/>
      <c r="H252" s="308"/>
      <c r="I252" s="308"/>
      <c r="J252" s="309"/>
      <c r="K252" s="298"/>
      <c r="L252" s="311"/>
      <c r="M252" s="308"/>
      <c r="N252" s="295"/>
      <c r="O252" s="295"/>
      <c r="P252" s="308"/>
      <c r="Q252" s="308"/>
      <c r="R252" s="553"/>
      <c r="S252" s="295"/>
      <c r="T252" s="430"/>
      <c r="U252" s="270"/>
      <c r="V252" s="295"/>
      <c r="W252" s="295"/>
      <c r="X252" s="295"/>
      <c r="Y252" s="295"/>
      <c r="Z252" s="295"/>
      <c r="AA252" s="295"/>
      <c r="AB252" s="295"/>
      <c r="AC252" s="310"/>
      <c r="AD252" s="270"/>
      <c r="AE252" s="270"/>
    </row>
    <row r="253" spans="1:31" s="552" customFormat="1" ht="15.75" x14ac:dyDescent="0.2">
      <c r="A253" s="310"/>
      <c r="B253" s="270"/>
      <c r="C253" s="270"/>
      <c r="D253" s="270"/>
      <c r="E253" s="270"/>
      <c r="F253" s="282"/>
      <c r="G253" s="308"/>
      <c r="H253" s="308"/>
      <c r="I253" s="308"/>
      <c r="J253" s="309"/>
      <c r="K253" s="310"/>
      <c r="L253" s="311"/>
      <c r="M253" s="308"/>
      <c r="N253" s="295"/>
      <c r="O253" s="295"/>
      <c r="P253" s="308"/>
      <c r="Q253" s="308"/>
      <c r="R253" s="553"/>
      <c r="S253" s="295"/>
      <c r="T253" s="430"/>
      <c r="U253" s="270"/>
      <c r="V253" s="295"/>
      <c r="W253" s="295"/>
      <c r="X253" s="295"/>
      <c r="Y253" s="295"/>
      <c r="Z253" s="295"/>
      <c r="AA253" s="295"/>
      <c r="AB253" s="295"/>
      <c r="AC253" s="310"/>
      <c r="AD253" s="270"/>
      <c r="AE253" s="270"/>
    </row>
    <row r="254" spans="1:31" s="552" customFormat="1" ht="15.75" x14ac:dyDescent="0.2">
      <c r="A254" s="310"/>
      <c r="B254" s="270"/>
      <c r="C254" s="270"/>
      <c r="D254" s="270"/>
      <c r="E254" s="270"/>
      <c r="F254" s="282"/>
      <c r="G254" s="425"/>
      <c r="H254" s="296"/>
      <c r="I254" s="296"/>
      <c r="J254" s="537"/>
      <c r="K254" s="423"/>
      <c r="L254" s="372"/>
      <c r="M254" s="427"/>
      <c r="N254" s="296"/>
      <c r="O254" s="296"/>
      <c r="P254" s="426"/>
      <c r="Q254" s="426"/>
      <c r="R254" s="538"/>
      <c r="S254" s="371"/>
      <c r="T254" s="379"/>
      <c r="U254" s="270"/>
      <c r="V254" s="295"/>
      <c r="W254" s="295"/>
      <c r="X254" s="295"/>
      <c r="Y254" s="295"/>
      <c r="Z254" s="295"/>
      <c r="AA254" s="295"/>
      <c r="AB254" s="295"/>
      <c r="AC254" s="310"/>
      <c r="AD254" s="270"/>
      <c r="AE254" s="270"/>
    </row>
    <row r="255" spans="1:31" s="552" customFormat="1" x14ac:dyDescent="0.2">
      <c r="A255" s="310"/>
      <c r="B255" s="270"/>
      <c r="C255" s="270"/>
      <c r="D255" s="270"/>
      <c r="E255" s="270"/>
      <c r="F255" s="282"/>
      <c r="G255" s="539"/>
      <c r="H255" s="296"/>
      <c r="I255" s="296"/>
      <c r="J255" s="537"/>
      <c r="K255" s="310"/>
      <c r="L255" s="310"/>
      <c r="M255" s="539"/>
      <c r="N255" s="296"/>
      <c r="O255" s="296"/>
      <c r="P255" s="296"/>
      <c r="Q255" s="296"/>
      <c r="R255" s="538"/>
      <c r="S255" s="295"/>
      <c r="T255" s="379"/>
      <c r="U255" s="270"/>
      <c r="V255" s="295"/>
      <c r="W255" s="295"/>
      <c r="X255" s="295"/>
      <c r="Y255" s="295"/>
      <c r="Z255" s="295"/>
      <c r="AA255" s="295"/>
      <c r="AB255" s="295"/>
      <c r="AC255" s="310"/>
      <c r="AD255" s="270"/>
      <c r="AE255" s="270"/>
    </row>
    <row r="256" spans="1:31" s="552" customFormat="1" ht="15.75" x14ac:dyDescent="0.2">
      <c r="A256" s="310"/>
      <c r="B256" s="270"/>
      <c r="C256" s="270"/>
      <c r="D256" s="270"/>
      <c r="E256" s="270"/>
      <c r="F256" s="282"/>
      <c r="G256" s="308"/>
      <c r="H256" s="308"/>
      <c r="I256" s="309"/>
      <c r="J256" s="309"/>
      <c r="K256" s="298"/>
      <c r="L256" s="311"/>
      <c r="M256" s="308"/>
      <c r="N256" s="295"/>
      <c r="O256" s="295"/>
      <c r="P256" s="308"/>
      <c r="Q256" s="308"/>
      <c r="R256" s="553"/>
      <c r="S256" s="295"/>
      <c r="T256" s="430"/>
      <c r="U256" s="270"/>
      <c r="V256" s="295"/>
      <c r="W256" s="295"/>
      <c r="X256" s="295"/>
      <c r="Y256" s="295"/>
      <c r="Z256" s="295"/>
      <c r="AA256" s="295"/>
      <c r="AB256" s="295"/>
      <c r="AC256" s="310"/>
      <c r="AD256" s="270"/>
      <c r="AE256" s="270"/>
    </row>
    <row r="257" spans="1:31" s="552" customFormat="1" ht="15.75" x14ac:dyDescent="0.2">
      <c r="A257" s="310"/>
      <c r="B257" s="270"/>
      <c r="C257" s="270"/>
      <c r="D257" s="270"/>
      <c r="E257" s="270"/>
      <c r="F257" s="282"/>
      <c r="G257" s="308"/>
      <c r="H257" s="308"/>
      <c r="I257" s="308"/>
      <c r="J257" s="309"/>
      <c r="K257" s="298"/>
      <c r="L257" s="311"/>
      <c r="M257" s="308"/>
      <c r="N257" s="295"/>
      <c r="O257" s="295"/>
      <c r="P257" s="308"/>
      <c r="Q257" s="308"/>
      <c r="R257" s="553"/>
      <c r="S257" s="295"/>
      <c r="T257" s="430"/>
      <c r="U257" s="270"/>
      <c r="V257" s="295"/>
      <c r="W257" s="295"/>
      <c r="X257" s="295"/>
      <c r="Y257" s="295"/>
      <c r="Z257" s="295"/>
      <c r="AA257" s="295"/>
      <c r="AB257" s="295"/>
      <c r="AC257" s="310"/>
      <c r="AD257" s="270"/>
      <c r="AE257" s="270"/>
    </row>
    <row r="258" spans="1:31" s="552" customFormat="1" ht="15.75" x14ac:dyDescent="0.2">
      <c r="A258" s="310"/>
      <c r="B258" s="270"/>
      <c r="C258" s="270"/>
      <c r="D258" s="270"/>
      <c r="E258" s="270"/>
      <c r="F258" s="282"/>
      <c r="G258" s="308"/>
      <c r="H258" s="308"/>
      <c r="I258" s="308"/>
      <c r="J258" s="309"/>
      <c r="K258" s="310"/>
      <c r="L258" s="311"/>
      <c r="M258" s="308"/>
      <c r="N258" s="295"/>
      <c r="O258" s="295"/>
      <c r="P258" s="308"/>
      <c r="Q258" s="308"/>
      <c r="R258" s="553"/>
      <c r="S258" s="295"/>
      <c r="T258" s="430"/>
      <c r="U258" s="270"/>
      <c r="V258" s="295"/>
      <c r="W258" s="295"/>
      <c r="X258" s="295"/>
      <c r="Y258" s="295"/>
      <c r="Z258" s="295"/>
      <c r="AA258" s="295"/>
      <c r="AB258" s="295"/>
      <c r="AC258" s="310"/>
      <c r="AD258" s="270"/>
      <c r="AE258" s="270"/>
    </row>
    <row r="259" spans="1:31" s="552" customFormat="1" ht="15.75" x14ac:dyDescent="0.2">
      <c r="A259" s="310"/>
      <c r="B259" s="270"/>
      <c r="C259" s="270"/>
      <c r="D259" s="270"/>
      <c r="E259" s="270"/>
      <c r="F259" s="282"/>
      <c r="G259" s="308"/>
      <c r="H259" s="308"/>
      <c r="I259" s="308"/>
      <c r="J259" s="309"/>
      <c r="K259" s="298"/>
      <c r="L259" s="311"/>
      <c r="M259" s="308"/>
      <c r="N259" s="295"/>
      <c r="O259" s="295"/>
      <c r="P259" s="308"/>
      <c r="Q259" s="308"/>
      <c r="R259" s="553"/>
      <c r="S259" s="295"/>
      <c r="T259" s="430"/>
      <c r="U259" s="270"/>
      <c r="V259" s="295"/>
      <c r="W259" s="295"/>
      <c r="X259" s="295"/>
      <c r="Y259" s="295"/>
      <c r="Z259" s="295"/>
      <c r="AA259" s="295"/>
      <c r="AB259" s="295"/>
      <c r="AC259" s="310"/>
      <c r="AD259" s="270"/>
      <c r="AE259" s="270"/>
    </row>
    <row r="260" spans="1:31" s="552" customFormat="1" ht="15.75" x14ac:dyDescent="0.2">
      <c r="A260" s="310"/>
      <c r="B260" s="270"/>
      <c r="C260" s="270"/>
      <c r="D260" s="270"/>
      <c r="E260" s="270"/>
      <c r="F260" s="282"/>
      <c r="G260" s="308"/>
      <c r="H260" s="308"/>
      <c r="I260" s="308"/>
      <c r="J260" s="309"/>
      <c r="K260" s="298"/>
      <c r="L260" s="311"/>
      <c r="M260" s="308"/>
      <c r="N260" s="295"/>
      <c r="O260" s="295"/>
      <c r="P260" s="308"/>
      <c r="Q260" s="308"/>
      <c r="R260" s="553"/>
      <c r="S260" s="295"/>
      <c r="T260" s="430"/>
      <c r="U260" s="270"/>
      <c r="V260" s="295"/>
      <c r="W260" s="295"/>
      <c r="X260" s="295"/>
      <c r="Y260" s="295"/>
      <c r="Z260" s="295"/>
      <c r="AA260" s="295"/>
      <c r="AB260" s="295"/>
      <c r="AC260" s="310"/>
      <c r="AD260" s="270"/>
      <c r="AE260" s="270"/>
    </row>
    <row r="261" spans="1:31" s="552" customFormat="1" ht="15.75" x14ac:dyDescent="0.2">
      <c r="A261" s="310"/>
      <c r="B261" s="270"/>
      <c r="C261" s="270"/>
      <c r="D261" s="270"/>
      <c r="E261" s="270"/>
      <c r="F261" s="282"/>
      <c r="G261" s="308"/>
      <c r="H261" s="308"/>
      <c r="I261" s="308"/>
      <c r="J261" s="309"/>
      <c r="K261" s="310"/>
      <c r="L261" s="311"/>
      <c r="M261" s="308"/>
      <c r="N261" s="295"/>
      <c r="O261" s="295"/>
      <c r="P261" s="308"/>
      <c r="Q261" s="308"/>
      <c r="R261" s="553"/>
      <c r="S261" s="295"/>
      <c r="T261" s="430"/>
      <c r="U261" s="270"/>
      <c r="V261" s="295"/>
      <c r="W261" s="295"/>
      <c r="X261" s="295"/>
      <c r="Y261" s="295"/>
      <c r="Z261" s="295"/>
      <c r="AA261" s="295"/>
      <c r="AB261" s="295"/>
      <c r="AC261" s="310"/>
      <c r="AD261" s="270"/>
      <c r="AE261" s="270"/>
    </row>
    <row r="262" spans="1:31" s="552" customFormat="1" ht="15.75" x14ac:dyDescent="0.2">
      <c r="A262" s="310"/>
      <c r="B262" s="270"/>
      <c r="C262" s="270"/>
      <c r="D262" s="270"/>
      <c r="E262" s="270"/>
      <c r="F262" s="282"/>
      <c r="G262" s="308"/>
      <c r="H262" s="308"/>
      <c r="I262" s="308"/>
      <c r="J262" s="309"/>
      <c r="K262" s="298"/>
      <c r="L262" s="311"/>
      <c r="M262" s="308"/>
      <c r="N262" s="295"/>
      <c r="O262" s="295"/>
      <c r="P262" s="308"/>
      <c r="Q262" s="308"/>
      <c r="R262" s="553"/>
      <c r="S262" s="295"/>
      <c r="T262" s="430"/>
      <c r="U262" s="270"/>
      <c r="V262" s="295"/>
      <c r="W262" s="295"/>
      <c r="X262" s="295"/>
      <c r="Y262" s="295"/>
      <c r="Z262" s="295"/>
      <c r="AA262" s="295"/>
      <c r="AB262" s="295"/>
      <c r="AC262" s="310"/>
      <c r="AD262" s="270"/>
      <c r="AE262" s="270"/>
    </row>
    <row r="263" spans="1:31" s="552" customFormat="1" ht="15.75" x14ac:dyDescent="0.2">
      <c r="A263" s="310"/>
      <c r="B263" s="270"/>
      <c r="C263" s="270"/>
      <c r="D263" s="270"/>
      <c r="E263" s="270"/>
      <c r="F263" s="282"/>
      <c r="G263" s="308"/>
      <c r="H263" s="308"/>
      <c r="I263" s="308"/>
      <c r="J263" s="309"/>
      <c r="K263" s="298"/>
      <c r="L263" s="311"/>
      <c r="M263" s="308"/>
      <c r="N263" s="295"/>
      <c r="O263" s="295"/>
      <c r="P263" s="308"/>
      <c r="Q263" s="308"/>
      <c r="R263" s="553"/>
      <c r="S263" s="295"/>
      <c r="T263" s="430"/>
      <c r="U263" s="270"/>
      <c r="V263" s="295"/>
      <c r="W263" s="295"/>
      <c r="X263" s="295"/>
      <c r="Y263" s="295"/>
      <c r="Z263" s="295"/>
      <c r="AA263" s="295"/>
      <c r="AB263" s="295"/>
      <c r="AC263" s="310"/>
      <c r="AD263" s="270"/>
      <c r="AE263" s="270"/>
    </row>
    <row r="264" spans="1:31" s="552" customFormat="1" ht="15.75" x14ac:dyDescent="0.2">
      <c r="A264" s="310"/>
      <c r="B264" s="270"/>
      <c r="C264" s="270"/>
      <c r="D264" s="270"/>
      <c r="E264" s="270"/>
      <c r="F264" s="282"/>
      <c r="G264" s="308"/>
      <c r="H264" s="308"/>
      <c r="I264" s="308"/>
      <c r="J264" s="309"/>
      <c r="K264" s="310"/>
      <c r="L264" s="311"/>
      <c r="M264" s="308"/>
      <c r="N264" s="295"/>
      <c r="O264" s="295"/>
      <c r="P264" s="308"/>
      <c r="Q264" s="308"/>
      <c r="R264" s="553"/>
      <c r="S264" s="295"/>
      <c r="T264" s="430"/>
      <c r="U264" s="270"/>
      <c r="V264" s="295"/>
      <c r="W264" s="295"/>
      <c r="X264" s="295"/>
      <c r="Y264" s="295"/>
      <c r="Z264" s="295"/>
      <c r="AA264" s="295"/>
      <c r="AB264" s="295"/>
      <c r="AC264" s="310"/>
      <c r="AD264" s="270"/>
      <c r="AE264" s="270"/>
    </row>
    <row r="265" spans="1:31" s="552" customFormat="1" ht="15.75" x14ac:dyDescent="0.2">
      <c r="A265" s="310"/>
      <c r="B265" s="270"/>
      <c r="C265" s="270"/>
      <c r="D265" s="270"/>
      <c r="E265" s="270"/>
      <c r="F265" s="282"/>
      <c r="G265" s="308"/>
      <c r="H265" s="308"/>
      <c r="I265" s="308"/>
      <c r="J265" s="309"/>
      <c r="K265" s="298"/>
      <c r="L265" s="311"/>
      <c r="M265" s="308"/>
      <c r="N265" s="295"/>
      <c r="O265" s="295"/>
      <c r="P265" s="308"/>
      <c r="Q265" s="308"/>
      <c r="R265" s="553"/>
      <c r="S265" s="295"/>
      <c r="T265" s="430"/>
      <c r="U265" s="270"/>
      <c r="V265" s="295"/>
      <c r="W265" s="295"/>
      <c r="X265" s="295"/>
      <c r="Y265" s="295"/>
      <c r="Z265" s="295"/>
      <c r="AA265" s="295"/>
      <c r="AB265" s="295"/>
      <c r="AC265" s="310"/>
      <c r="AD265" s="270"/>
      <c r="AE265" s="270"/>
    </row>
    <row r="266" spans="1:31" s="552" customFormat="1" ht="15.75" x14ac:dyDescent="0.2">
      <c r="A266" s="310"/>
      <c r="B266" s="270"/>
      <c r="C266" s="270"/>
      <c r="D266" s="270"/>
      <c r="E266" s="270"/>
      <c r="F266" s="282"/>
      <c r="G266" s="308"/>
      <c r="H266" s="308"/>
      <c r="I266" s="308"/>
      <c r="J266" s="309"/>
      <c r="K266" s="298"/>
      <c r="L266" s="311"/>
      <c r="M266" s="308"/>
      <c r="N266" s="295"/>
      <c r="O266" s="295"/>
      <c r="P266" s="308"/>
      <c r="Q266" s="308"/>
      <c r="R266" s="553"/>
      <c r="S266" s="295"/>
      <c r="T266" s="430"/>
      <c r="U266" s="270"/>
      <c r="V266" s="295"/>
      <c r="W266" s="295"/>
      <c r="X266" s="295"/>
      <c r="Y266" s="295"/>
      <c r="Z266" s="295"/>
      <c r="AA266" s="295"/>
      <c r="AB266" s="295"/>
      <c r="AC266" s="310"/>
      <c r="AD266" s="270"/>
      <c r="AE266" s="270"/>
    </row>
    <row r="267" spans="1:31" s="552" customFormat="1" ht="15.75" x14ac:dyDescent="0.2">
      <c r="A267" s="310"/>
      <c r="B267" s="270"/>
      <c r="C267" s="270"/>
      <c r="D267" s="270"/>
      <c r="E267" s="270"/>
      <c r="F267" s="282"/>
      <c r="G267" s="308"/>
      <c r="H267" s="308"/>
      <c r="I267" s="308"/>
      <c r="J267" s="309"/>
      <c r="K267" s="310"/>
      <c r="L267" s="311"/>
      <c r="M267" s="308"/>
      <c r="N267" s="295"/>
      <c r="O267" s="295"/>
      <c r="P267" s="308"/>
      <c r="Q267" s="308"/>
      <c r="R267" s="553"/>
      <c r="S267" s="295"/>
      <c r="T267" s="430"/>
      <c r="U267" s="270"/>
      <c r="V267" s="295"/>
      <c r="W267" s="295"/>
      <c r="X267" s="295"/>
      <c r="Y267" s="295"/>
      <c r="Z267" s="295"/>
      <c r="AA267" s="295"/>
      <c r="AB267" s="295"/>
      <c r="AC267" s="310"/>
      <c r="AD267" s="270"/>
      <c r="AE267" s="270"/>
    </row>
    <row r="268" spans="1:31" s="552" customFormat="1" ht="15.75" x14ac:dyDescent="0.2">
      <c r="A268" s="310"/>
      <c r="B268" s="270"/>
      <c r="C268" s="270"/>
      <c r="D268" s="270"/>
      <c r="E268" s="270"/>
      <c r="F268" s="282"/>
      <c r="G268" s="308"/>
      <c r="H268" s="308"/>
      <c r="I268" s="308"/>
      <c r="J268" s="309"/>
      <c r="K268" s="310"/>
      <c r="L268" s="311"/>
      <c r="M268" s="308"/>
      <c r="N268" s="295"/>
      <c r="O268" s="295"/>
      <c r="P268" s="308"/>
      <c r="Q268" s="308"/>
      <c r="R268" s="553"/>
      <c r="S268" s="295"/>
      <c r="T268" s="430"/>
      <c r="U268" s="270"/>
      <c r="V268" s="295"/>
      <c r="W268" s="295"/>
      <c r="X268" s="295"/>
      <c r="Y268" s="295"/>
      <c r="Z268" s="295"/>
      <c r="AA268" s="295"/>
      <c r="AB268" s="295"/>
      <c r="AC268" s="310"/>
      <c r="AD268" s="270"/>
      <c r="AE268" s="270"/>
    </row>
    <row r="269" spans="1:31" s="552" customFormat="1" ht="15.75" x14ac:dyDescent="0.2">
      <c r="A269" s="310"/>
      <c r="B269" s="270"/>
      <c r="C269" s="270"/>
      <c r="D269" s="270"/>
      <c r="E269" s="270"/>
      <c r="F269" s="282"/>
      <c r="G269" s="308"/>
      <c r="H269" s="308"/>
      <c r="I269" s="308"/>
      <c r="J269" s="309"/>
      <c r="K269" s="310"/>
      <c r="L269" s="311"/>
      <c r="M269" s="308"/>
      <c r="N269" s="295"/>
      <c r="O269" s="295"/>
      <c r="P269" s="308"/>
      <c r="Q269" s="308"/>
      <c r="R269" s="553"/>
      <c r="S269" s="295"/>
      <c r="T269" s="430"/>
      <c r="U269" s="270"/>
      <c r="V269" s="295"/>
      <c r="W269" s="295"/>
      <c r="X269" s="295"/>
      <c r="Y269" s="295"/>
      <c r="Z269" s="295"/>
      <c r="AA269" s="295"/>
      <c r="AB269" s="295"/>
      <c r="AC269" s="310"/>
      <c r="AD269" s="270"/>
      <c r="AE269" s="270"/>
    </row>
    <row r="270" spans="1:31" s="552" customFormat="1" ht="15.75" x14ac:dyDescent="0.2">
      <c r="A270" s="310"/>
      <c r="B270" s="270"/>
      <c r="C270" s="270"/>
      <c r="D270" s="270"/>
      <c r="E270" s="270"/>
      <c r="F270" s="282"/>
      <c r="G270" s="308"/>
      <c r="H270" s="308"/>
      <c r="I270" s="308"/>
      <c r="J270" s="309"/>
      <c r="K270" s="310"/>
      <c r="L270" s="311"/>
      <c r="M270" s="308"/>
      <c r="N270" s="295"/>
      <c r="O270" s="295"/>
      <c r="P270" s="308"/>
      <c r="Q270" s="308"/>
      <c r="R270" s="553"/>
      <c r="S270" s="295"/>
      <c r="T270" s="430"/>
      <c r="U270" s="270"/>
      <c r="V270" s="295"/>
      <c r="W270" s="295"/>
      <c r="X270" s="295"/>
      <c r="Y270" s="295"/>
      <c r="Z270" s="295"/>
      <c r="AA270" s="295"/>
      <c r="AB270" s="295"/>
      <c r="AC270" s="310"/>
      <c r="AD270" s="270"/>
      <c r="AE270" s="270"/>
    </row>
    <row r="271" spans="1:31" s="552" customFormat="1" ht="15.75" x14ac:dyDescent="0.2">
      <c r="A271" s="310"/>
      <c r="B271" s="270"/>
      <c r="C271" s="270"/>
      <c r="D271" s="270"/>
      <c r="E271" s="270"/>
      <c r="F271" s="282"/>
      <c r="G271" s="308"/>
      <c r="H271" s="308"/>
      <c r="I271" s="308"/>
      <c r="J271" s="309"/>
      <c r="K271" s="310"/>
      <c r="L271" s="311"/>
      <c r="M271" s="308"/>
      <c r="N271" s="295"/>
      <c r="O271" s="295"/>
      <c r="P271" s="308"/>
      <c r="Q271" s="308"/>
      <c r="R271" s="553"/>
      <c r="S271" s="295"/>
      <c r="T271" s="430"/>
      <c r="U271" s="270"/>
      <c r="V271" s="295"/>
      <c r="W271" s="295"/>
      <c r="X271" s="295"/>
      <c r="Y271" s="295"/>
      <c r="Z271" s="295"/>
      <c r="AA271" s="295"/>
      <c r="AB271" s="295"/>
      <c r="AC271" s="310"/>
      <c r="AD271" s="270"/>
      <c r="AE271" s="270"/>
    </row>
    <row r="272" spans="1:31" s="552" customFormat="1" ht="15.75" x14ac:dyDescent="0.2">
      <c r="A272" s="310"/>
      <c r="B272" s="270"/>
      <c r="C272" s="270"/>
      <c r="D272" s="270"/>
      <c r="E272" s="270"/>
      <c r="F272" s="282"/>
      <c r="G272" s="308"/>
      <c r="H272" s="308"/>
      <c r="I272" s="308"/>
      <c r="J272" s="309"/>
      <c r="K272" s="310"/>
      <c r="L272" s="311"/>
      <c r="M272" s="308"/>
      <c r="N272" s="295"/>
      <c r="O272" s="295"/>
      <c r="P272" s="308"/>
      <c r="Q272" s="308"/>
      <c r="R272" s="553"/>
      <c r="S272" s="295"/>
      <c r="T272" s="430"/>
      <c r="U272" s="270"/>
      <c r="V272" s="295"/>
      <c r="W272" s="295"/>
      <c r="X272" s="295"/>
      <c r="Y272" s="295"/>
      <c r="Z272" s="295"/>
      <c r="AA272" s="295"/>
      <c r="AB272" s="295"/>
      <c r="AC272" s="310"/>
      <c r="AD272" s="270"/>
      <c r="AE272" s="270"/>
    </row>
    <row r="273" spans="1:31" s="552" customFormat="1" ht="15.75" x14ac:dyDescent="0.2">
      <c r="A273" s="310"/>
      <c r="B273" s="270"/>
      <c r="C273" s="270"/>
      <c r="D273" s="270"/>
      <c r="E273" s="270"/>
      <c r="F273" s="282"/>
      <c r="G273" s="425"/>
      <c r="H273" s="296"/>
      <c r="I273" s="296"/>
      <c r="J273" s="537"/>
      <c r="K273" s="426"/>
      <c r="L273" s="372"/>
      <c r="M273" s="427"/>
      <c r="N273" s="296"/>
      <c r="O273" s="296"/>
      <c r="P273" s="426"/>
      <c r="Q273" s="426"/>
      <c r="R273" s="538"/>
      <c r="S273" s="371"/>
      <c r="T273" s="379"/>
      <c r="U273" s="270"/>
      <c r="V273" s="295"/>
      <c r="W273" s="295"/>
      <c r="X273" s="295"/>
      <c r="Y273" s="295"/>
      <c r="Z273" s="295"/>
      <c r="AA273" s="295"/>
      <c r="AB273" s="295"/>
      <c r="AC273" s="310"/>
      <c r="AD273" s="270"/>
      <c r="AE273" s="270"/>
    </row>
    <row r="274" spans="1:31" s="552" customFormat="1" ht="15.75" x14ac:dyDescent="0.2">
      <c r="A274" s="310"/>
      <c r="B274" s="270"/>
      <c r="C274" s="270"/>
      <c r="D274" s="270"/>
      <c r="E274" s="270"/>
      <c r="F274" s="282"/>
      <c r="G274" s="308"/>
      <c r="H274" s="308"/>
      <c r="I274" s="308"/>
      <c r="J274" s="309"/>
      <c r="K274" s="310"/>
      <c r="L274" s="311"/>
      <c r="M274" s="308"/>
      <c r="N274" s="295"/>
      <c r="O274" s="295"/>
      <c r="P274" s="308"/>
      <c r="Q274" s="308"/>
      <c r="R274" s="553"/>
      <c r="S274" s="295"/>
      <c r="T274" s="430"/>
      <c r="U274" s="270"/>
      <c r="V274" s="295"/>
      <c r="W274" s="295"/>
      <c r="X274" s="295"/>
      <c r="Y274" s="295"/>
      <c r="Z274" s="295"/>
      <c r="AA274" s="295"/>
      <c r="AB274" s="295"/>
      <c r="AC274" s="310"/>
      <c r="AD274" s="270"/>
      <c r="AE274" s="270"/>
    </row>
    <row r="275" spans="1:31" s="552" customFormat="1" ht="15.75" x14ac:dyDescent="0.2">
      <c r="A275" s="310"/>
      <c r="B275" s="270"/>
      <c r="C275" s="270"/>
      <c r="D275" s="270"/>
      <c r="E275" s="270"/>
      <c r="F275" s="282"/>
      <c r="G275" s="308"/>
      <c r="H275" s="308"/>
      <c r="I275" s="308"/>
      <c r="J275" s="309"/>
      <c r="K275" s="298"/>
      <c r="L275" s="311"/>
      <c r="M275" s="308"/>
      <c r="N275" s="295"/>
      <c r="O275" s="295"/>
      <c r="P275" s="308"/>
      <c r="Q275" s="308"/>
      <c r="R275" s="553"/>
      <c r="S275" s="295"/>
      <c r="T275" s="430"/>
      <c r="U275" s="270"/>
      <c r="V275" s="295"/>
      <c r="W275" s="295"/>
      <c r="X275" s="295"/>
      <c r="Y275" s="295"/>
      <c r="Z275" s="295"/>
      <c r="AA275" s="295"/>
      <c r="AB275" s="295"/>
      <c r="AC275" s="310"/>
      <c r="AD275" s="270"/>
      <c r="AE275" s="270"/>
    </row>
    <row r="276" spans="1:31" s="549" customFormat="1" ht="15.75" x14ac:dyDescent="0.2">
      <c r="A276" s="310"/>
      <c r="B276" s="295"/>
      <c r="C276" s="295"/>
      <c r="D276" s="295"/>
      <c r="E276" s="295"/>
      <c r="F276" s="296"/>
      <c r="G276" s="308"/>
      <c r="H276" s="308"/>
      <c r="I276" s="308"/>
      <c r="J276" s="309"/>
      <c r="K276" s="298"/>
      <c r="L276" s="311"/>
      <c r="M276" s="295"/>
      <c r="N276" s="295"/>
      <c r="O276" s="295"/>
      <c r="P276" s="308"/>
      <c r="Q276" s="308"/>
      <c r="R276" s="553"/>
      <c r="S276" s="295"/>
      <c r="T276" s="430"/>
      <c r="U276" s="300"/>
      <c r="V276" s="295"/>
      <c r="W276" s="295"/>
      <c r="X276" s="295"/>
      <c r="Y276" s="295"/>
      <c r="Z276" s="295"/>
      <c r="AA276" s="295"/>
      <c r="AB276" s="295"/>
      <c r="AC276" s="310"/>
      <c r="AD276" s="295"/>
      <c r="AE276" s="295"/>
    </row>
    <row r="277" spans="1:31" s="549" customFormat="1" ht="15.75" x14ac:dyDescent="0.2">
      <c r="A277" s="310"/>
      <c r="B277" s="295"/>
      <c r="C277" s="295"/>
      <c r="D277" s="295"/>
      <c r="E277" s="295"/>
      <c r="F277" s="296"/>
      <c r="G277" s="308"/>
      <c r="H277" s="308"/>
      <c r="I277" s="308"/>
      <c r="J277" s="309"/>
      <c r="K277" s="310"/>
      <c r="L277" s="311"/>
      <c r="M277" s="295"/>
      <c r="N277" s="295"/>
      <c r="O277" s="295"/>
      <c r="P277" s="308"/>
      <c r="Q277" s="308"/>
      <c r="R277" s="553"/>
      <c r="S277" s="295"/>
      <c r="T277" s="430"/>
      <c r="U277" s="300"/>
      <c r="V277" s="295"/>
      <c r="W277" s="295"/>
      <c r="X277" s="295"/>
      <c r="Y277" s="295"/>
      <c r="Z277" s="295"/>
      <c r="AA277" s="295"/>
      <c r="AB277" s="295"/>
      <c r="AC277" s="310"/>
      <c r="AD277" s="295"/>
      <c r="AE277" s="295"/>
    </row>
    <row r="278" spans="1:31" s="549" customFormat="1" ht="15.75" x14ac:dyDescent="0.2">
      <c r="A278" s="310"/>
      <c r="B278" s="295"/>
      <c r="C278" s="295"/>
      <c r="D278" s="295"/>
      <c r="E278" s="295"/>
      <c r="F278" s="296"/>
      <c r="G278" s="308"/>
      <c r="H278" s="308"/>
      <c r="I278" s="308"/>
      <c r="J278" s="309"/>
      <c r="K278" s="298"/>
      <c r="L278" s="311"/>
      <c r="M278" s="308"/>
      <c r="N278" s="295"/>
      <c r="O278" s="295"/>
      <c r="P278" s="308"/>
      <c r="Q278" s="308"/>
      <c r="R278" s="553"/>
      <c r="S278" s="295"/>
      <c r="T278" s="430"/>
      <c r="U278" s="300"/>
      <c r="V278" s="295"/>
      <c r="W278" s="295"/>
      <c r="X278" s="295"/>
      <c r="Y278" s="295"/>
      <c r="Z278" s="295"/>
      <c r="AA278" s="295"/>
      <c r="AB278" s="295"/>
      <c r="AC278" s="310"/>
      <c r="AD278" s="295"/>
      <c r="AE278" s="295"/>
    </row>
    <row r="279" spans="1:31" s="552" customFormat="1" ht="15.75" x14ac:dyDescent="0.2">
      <c r="A279" s="310"/>
      <c r="B279" s="270"/>
      <c r="C279" s="270"/>
      <c r="D279" s="270"/>
      <c r="E279" s="270"/>
      <c r="F279" s="282"/>
      <c r="G279" s="308"/>
      <c r="H279" s="308"/>
      <c r="I279" s="308"/>
      <c r="J279" s="309"/>
      <c r="K279" s="310"/>
      <c r="L279" s="311"/>
      <c r="M279" s="308"/>
      <c r="N279" s="295"/>
      <c r="O279" s="295"/>
      <c r="P279" s="308"/>
      <c r="Q279" s="308"/>
      <c r="R279" s="553"/>
      <c r="S279" s="295"/>
      <c r="T279" s="430"/>
      <c r="U279" s="270"/>
      <c r="V279" s="295"/>
      <c r="W279" s="295"/>
      <c r="X279" s="295"/>
      <c r="Y279" s="295"/>
      <c r="Z279" s="295"/>
      <c r="AA279" s="295"/>
      <c r="AB279" s="295"/>
      <c r="AC279" s="310"/>
      <c r="AD279" s="270"/>
      <c r="AE279" s="270"/>
    </row>
    <row r="280" spans="1:31" s="552" customFormat="1" ht="15.75" x14ac:dyDescent="0.2">
      <c r="A280" s="310"/>
      <c r="B280" s="270"/>
      <c r="C280" s="270"/>
      <c r="D280" s="270"/>
      <c r="E280" s="270"/>
      <c r="F280" s="282"/>
      <c r="G280" s="308"/>
      <c r="H280" s="308"/>
      <c r="I280" s="308"/>
      <c r="J280" s="309"/>
      <c r="K280" s="310"/>
      <c r="L280" s="311"/>
      <c r="M280" s="308"/>
      <c r="N280" s="295"/>
      <c r="O280" s="295"/>
      <c r="P280" s="308"/>
      <c r="Q280" s="308"/>
      <c r="R280" s="553"/>
      <c r="S280" s="295"/>
      <c r="T280" s="430"/>
      <c r="U280" s="270"/>
      <c r="V280" s="295"/>
      <c r="W280" s="295"/>
      <c r="X280" s="295"/>
      <c r="Y280" s="295"/>
      <c r="Z280" s="295"/>
      <c r="AA280" s="295"/>
      <c r="AB280" s="295"/>
      <c r="AC280" s="310"/>
      <c r="AD280" s="270"/>
      <c r="AE280" s="270"/>
    </row>
    <row r="281" spans="1:31" s="552" customFormat="1" ht="15.75" x14ac:dyDescent="0.2">
      <c r="A281" s="310"/>
      <c r="B281" s="270"/>
      <c r="C281" s="270"/>
      <c r="D281" s="270"/>
      <c r="E281" s="270"/>
      <c r="F281" s="282"/>
      <c r="G281" s="308"/>
      <c r="H281" s="308"/>
      <c r="I281" s="308"/>
      <c r="J281" s="309"/>
      <c r="K281" s="310"/>
      <c r="L281" s="311"/>
      <c r="M281" s="308"/>
      <c r="N281" s="295"/>
      <c r="O281" s="295"/>
      <c r="P281" s="308"/>
      <c r="Q281" s="308"/>
      <c r="R281" s="553"/>
      <c r="S281" s="295"/>
      <c r="T281" s="430"/>
      <c r="U281" s="270"/>
      <c r="V281" s="295"/>
      <c r="W281" s="295"/>
      <c r="X281" s="295"/>
      <c r="Y281" s="295"/>
      <c r="Z281" s="295"/>
      <c r="AA281" s="295"/>
      <c r="AB281" s="295"/>
      <c r="AC281" s="310"/>
      <c r="AD281" s="270"/>
      <c r="AE281" s="270"/>
    </row>
    <row r="282" spans="1:31" s="552" customFormat="1" ht="15.75" x14ac:dyDescent="0.2">
      <c r="A282" s="310"/>
      <c r="B282" s="270"/>
      <c r="C282" s="270"/>
      <c r="D282" s="270"/>
      <c r="E282" s="270"/>
      <c r="F282" s="282"/>
      <c r="G282" s="308"/>
      <c r="H282" s="308"/>
      <c r="I282" s="308"/>
      <c r="J282" s="309"/>
      <c r="K282" s="310"/>
      <c r="L282" s="311"/>
      <c r="M282" s="308"/>
      <c r="N282" s="295"/>
      <c r="O282" s="295"/>
      <c r="P282" s="308"/>
      <c r="Q282" s="308"/>
      <c r="R282" s="553"/>
      <c r="S282" s="295"/>
      <c r="T282" s="430"/>
      <c r="U282" s="270"/>
      <c r="V282" s="295"/>
      <c r="W282" s="295"/>
      <c r="X282" s="295"/>
      <c r="Y282" s="295"/>
      <c r="Z282" s="295"/>
      <c r="AA282" s="295"/>
      <c r="AB282" s="295"/>
      <c r="AC282" s="310"/>
      <c r="AD282" s="270"/>
      <c r="AE282" s="270"/>
    </row>
    <row r="283" spans="1:31" s="549" customFormat="1" ht="15.75" x14ac:dyDescent="0.2">
      <c r="A283" s="310"/>
      <c r="B283" s="295"/>
      <c r="C283" s="295"/>
      <c r="D283" s="295"/>
      <c r="E283" s="295"/>
      <c r="F283" s="296"/>
      <c r="G283" s="308"/>
      <c r="H283" s="308"/>
      <c r="I283" s="308"/>
      <c r="J283" s="309"/>
      <c r="K283" s="298"/>
      <c r="L283" s="311"/>
      <c r="M283" s="308"/>
      <c r="N283" s="295"/>
      <c r="O283" s="295"/>
      <c r="P283" s="308"/>
      <c r="Q283" s="308"/>
      <c r="R283" s="536"/>
      <c r="S283" s="295"/>
      <c r="T283" s="430"/>
      <c r="U283" s="300"/>
      <c r="V283" s="295"/>
      <c r="W283" s="295"/>
      <c r="X283" s="295"/>
      <c r="Y283" s="295"/>
      <c r="Z283" s="295"/>
      <c r="AA283" s="295"/>
      <c r="AB283" s="295"/>
      <c r="AC283" s="310"/>
      <c r="AD283" s="295"/>
      <c r="AE283" s="295"/>
    </row>
    <row r="284" spans="1:31" s="549" customFormat="1" ht="15.75" x14ac:dyDescent="0.2">
      <c r="A284" s="310"/>
      <c r="B284" s="295"/>
      <c r="C284" s="295"/>
      <c r="D284" s="295"/>
      <c r="E284" s="295"/>
      <c r="F284" s="296"/>
      <c r="G284" s="308"/>
      <c r="H284" s="308"/>
      <c r="I284" s="308"/>
      <c r="J284" s="309"/>
      <c r="K284" s="310"/>
      <c r="L284" s="311"/>
      <c r="M284" s="308"/>
      <c r="N284" s="295"/>
      <c r="O284" s="295"/>
      <c r="P284" s="308"/>
      <c r="Q284" s="308"/>
      <c r="R284" s="536"/>
      <c r="S284" s="295"/>
      <c r="T284" s="430"/>
      <c r="U284" s="300"/>
      <c r="V284" s="295"/>
      <c r="W284" s="295"/>
      <c r="X284" s="295"/>
      <c r="Y284" s="295"/>
      <c r="Z284" s="295"/>
      <c r="AA284" s="295"/>
      <c r="AB284" s="295"/>
      <c r="AC284" s="310"/>
      <c r="AD284" s="295"/>
      <c r="AE284" s="295"/>
    </row>
    <row r="285" spans="1:31" s="549" customFormat="1" ht="15.75" x14ac:dyDescent="0.2">
      <c r="A285" s="310"/>
      <c r="B285" s="295"/>
      <c r="C285" s="295"/>
      <c r="D285" s="295"/>
      <c r="E285" s="295"/>
      <c r="F285" s="296"/>
      <c r="G285" s="308"/>
      <c r="H285" s="308"/>
      <c r="I285" s="308"/>
      <c r="J285" s="309"/>
      <c r="K285" s="298"/>
      <c r="L285" s="311"/>
      <c r="M285" s="308"/>
      <c r="N285" s="295"/>
      <c r="O285" s="295"/>
      <c r="P285" s="308"/>
      <c r="Q285" s="308"/>
      <c r="R285" s="536"/>
      <c r="S285" s="295"/>
      <c r="T285" s="430"/>
      <c r="U285" s="300"/>
      <c r="V285" s="295"/>
      <c r="W285" s="295"/>
      <c r="X285" s="295"/>
      <c r="Y285" s="295"/>
      <c r="Z285" s="295"/>
      <c r="AA285" s="295"/>
      <c r="AB285" s="295"/>
      <c r="AC285" s="310"/>
      <c r="AD285" s="295"/>
      <c r="AE285" s="295"/>
    </row>
    <row r="286" spans="1:31" s="549" customFormat="1" ht="15.75" x14ac:dyDescent="0.2">
      <c r="A286" s="310"/>
      <c r="B286" s="295"/>
      <c r="C286" s="295"/>
      <c r="D286" s="295"/>
      <c r="E286" s="295"/>
      <c r="F286" s="296"/>
      <c r="G286" s="308"/>
      <c r="H286" s="308"/>
      <c r="I286" s="308"/>
      <c r="J286" s="309"/>
      <c r="K286" s="298"/>
      <c r="L286" s="311"/>
      <c r="M286" s="308"/>
      <c r="N286" s="295"/>
      <c r="O286" s="295"/>
      <c r="P286" s="308"/>
      <c r="Q286" s="308"/>
      <c r="R286" s="536"/>
      <c r="S286" s="295"/>
      <c r="T286" s="430"/>
      <c r="U286" s="300"/>
      <c r="V286" s="295"/>
      <c r="W286" s="295"/>
      <c r="X286" s="295"/>
      <c r="Y286" s="295"/>
      <c r="Z286" s="295"/>
      <c r="AA286" s="295"/>
      <c r="AB286" s="295"/>
      <c r="AC286" s="310"/>
      <c r="AD286" s="295"/>
      <c r="AE286" s="295"/>
    </row>
    <row r="287" spans="1:31" s="549" customFormat="1" ht="15.75" x14ac:dyDescent="0.2">
      <c r="A287" s="310"/>
      <c r="B287" s="295"/>
      <c r="C287" s="295"/>
      <c r="D287" s="295"/>
      <c r="E287" s="295"/>
      <c r="F287" s="296"/>
      <c r="G287" s="308"/>
      <c r="H287" s="308"/>
      <c r="I287" s="308"/>
      <c r="J287" s="309"/>
      <c r="K287" s="310"/>
      <c r="L287" s="311"/>
      <c r="M287" s="308"/>
      <c r="N287" s="295"/>
      <c r="O287" s="295"/>
      <c r="P287" s="308"/>
      <c r="Q287" s="308"/>
      <c r="R287" s="536"/>
      <c r="S287" s="295"/>
      <c r="T287" s="430"/>
      <c r="U287" s="300"/>
      <c r="V287" s="295"/>
      <c r="W287" s="295"/>
      <c r="X287" s="295"/>
      <c r="Y287" s="295"/>
      <c r="Z287" s="295"/>
      <c r="AA287" s="295"/>
      <c r="AB287" s="295"/>
      <c r="AC287" s="310"/>
      <c r="AD287" s="295"/>
      <c r="AE287" s="295"/>
    </row>
    <row r="288" spans="1:31" s="549" customFormat="1" ht="15.75" x14ac:dyDescent="0.2">
      <c r="A288" s="310"/>
      <c r="B288" s="295"/>
      <c r="C288" s="295"/>
      <c r="D288" s="295"/>
      <c r="E288" s="295"/>
      <c r="F288" s="296"/>
      <c r="G288" s="308"/>
      <c r="H288" s="308"/>
      <c r="I288" s="308"/>
      <c r="J288" s="309"/>
      <c r="K288" s="298"/>
      <c r="L288" s="311"/>
      <c r="M288" s="308"/>
      <c r="N288" s="295"/>
      <c r="O288" s="295"/>
      <c r="P288" s="308"/>
      <c r="Q288" s="308"/>
      <c r="R288" s="536"/>
      <c r="S288" s="295"/>
      <c r="T288" s="430"/>
      <c r="U288" s="300"/>
      <c r="V288" s="295"/>
      <c r="W288" s="295"/>
      <c r="X288" s="295"/>
      <c r="Y288" s="295"/>
      <c r="Z288" s="295"/>
      <c r="AA288" s="295"/>
      <c r="AB288" s="295"/>
      <c r="AC288" s="310"/>
      <c r="AD288" s="295"/>
      <c r="AE288" s="295"/>
    </row>
    <row r="289" spans="1:31" s="549" customFormat="1" ht="15.75" x14ac:dyDescent="0.2">
      <c r="A289" s="310"/>
      <c r="B289" s="295"/>
      <c r="C289" s="295"/>
      <c r="D289" s="295"/>
      <c r="E289" s="295"/>
      <c r="F289" s="296"/>
      <c r="G289" s="308"/>
      <c r="H289" s="308"/>
      <c r="I289" s="308"/>
      <c r="J289" s="309"/>
      <c r="K289" s="298"/>
      <c r="L289" s="311"/>
      <c r="M289" s="308"/>
      <c r="N289" s="295"/>
      <c r="O289" s="295"/>
      <c r="P289" s="308"/>
      <c r="Q289" s="308"/>
      <c r="R289" s="536"/>
      <c r="S289" s="295"/>
      <c r="T289" s="430"/>
      <c r="U289" s="300"/>
      <c r="V289" s="295"/>
      <c r="W289" s="295"/>
      <c r="X289" s="295"/>
      <c r="Y289" s="295"/>
      <c r="Z289" s="295"/>
      <c r="AA289" s="295"/>
      <c r="AB289" s="295"/>
      <c r="AC289" s="310"/>
      <c r="AD289" s="295"/>
      <c r="AE289" s="295"/>
    </row>
    <row r="290" spans="1:31" s="549" customFormat="1" ht="15.75" x14ac:dyDescent="0.2">
      <c r="A290" s="310"/>
      <c r="B290" s="295"/>
      <c r="C290" s="295"/>
      <c r="D290" s="295"/>
      <c r="E290" s="295"/>
      <c r="F290" s="296"/>
      <c r="G290" s="308"/>
      <c r="H290" s="308"/>
      <c r="I290" s="308"/>
      <c r="J290" s="309"/>
      <c r="K290" s="310"/>
      <c r="L290" s="311"/>
      <c r="M290" s="308"/>
      <c r="N290" s="295"/>
      <c r="O290" s="295"/>
      <c r="P290" s="308"/>
      <c r="Q290" s="308"/>
      <c r="R290" s="536"/>
      <c r="S290" s="295"/>
      <c r="T290" s="430"/>
      <c r="U290" s="300"/>
      <c r="V290" s="295"/>
      <c r="W290" s="295"/>
      <c r="X290" s="295"/>
      <c r="Y290" s="295"/>
      <c r="Z290" s="295"/>
      <c r="AA290" s="295"/>
      <c r="AB290" s="295"/>
      <c r="AC290" s="310"/>
      <c r="AD290" s="295"/>
      <c r="AE290" s="295"/>
    </row>
    <row r="291" spans="1:31" s="549" customFormat="1" ht="15.75" x14ac:dyDescent="0.2">
      <c r="A291" s="310"/>
      <c r="B291" s="295"/>
      <c r="C291" s="295"/>
      <c r="D291" s="295"/>
      <c r="E291" s="295"/>
      <c r="F291" s="296"/>
      <c r="G291" s="308"/>
      <c r="H291" s="308"/>
      <c r="I291" s="308"/>
      <c r="J291" s="309"/>
      <c r="K291" s="298"/>
      <c r="L291" s="311"/>
      <c r="M291" s="308"/>
      <c r="N291" s="295"/>
      <c r="O291" s="295"/>
      <c r="P291" s="308"/>
      <c r="Q291" s="308"/>
      <c r="R291" s="536"/>
      <c r="S291" s="295"/>
      <c r="T291" s="430"/>
      <c r="U291" s="300"/>
      <c r="V291" s="295"/>
      <c r="W291" s="295"/>
      <c r="X291" s="295"/>
      <c r="Y291" s="295"/>
      <c r="Z291" s="295"/>
      <c r="AA291" s="295"/>
      <c r="AB291" s="295"/>
      <c r="AC291" s="310"/>
      <c r="AD291" s="295"/>
      <c r="AE291" s="295"/>
    </row>
    <row r="292" spans="1:31" s="549" customFormat="1" ht="15.75" customHeight="1" x14ac:dyDescent="0.2">
      <c r="A292" s="310"/>
      <c r="B292" s="295"/>
      <c r="C292" s="295"/>
      <c r="D292" s="295"/>
      <c r="E292" s="295"/>
      <c r="F292" s="296"/>
      <c r="G292" s="308"/>
      <c r="H292" s="308"/>
      <c r="I292" s="308"/>
      <c r="J292" s="309"/>
      <c r="K292" s="298"/>
      <c r="L292" s="311"/>
      <c r="M292" s="308"/>
      <c r="N292" s="295"/>
      <c r="O292" s="295"/>
      <c r="P292" s="308"/>
      <c r="Q292" s="308"/>
      <c r="R292" s="536"/>
      <c r="S292" s="295"/>
      <c r="T292" s="430"/>
      <c r="U292" s="300"/>
      <c r="V292" s="295"/>
      <c r="W292" s="295"/>
      <c r="X292" s="295"/>
      <c r="Y292" s="295"/>
      <c r="Z292" s="295"/>
      <c r="AA292" s="295"/>
      <c r="AB292" s="295"/>
      <c r="AC292" s="310"/>
      <c r="AD292" s="295"/>
      <c r="AE292" s="295"/>
    </row>
    <row r="293" spans="1:31" s="549" customFormat="1" ht="15.75" x14ac:dyDescent="0.2">
      <c r="A293" s="310"/>
      <c r="B293" s="295"/>
      <c r="C293" s="295"/>
      <c r="D293" s="295"/>
      <c r="E293" s="295"/>
      <c r="F293" s="296"/>
      <c r="G293" s="308"/>
      <c r="H293" s="308"/>
      <c r="I293" s="308"/>
      <c r="J293" s="309"/>
      <c r="K293" s="310"/>
      <c r="L293" s="311"/>
      <c r="M293" s="308"/>
      <c r="N293" s="295"/>
      <c r="O293" s="295"/>
      <c r="P293" s="308"/>
      <c r="Q293" s="308"/>
      <c r="R293" s="536"/>
      <c r="S293" s="295"/>
      <c r="T293" s="430"/>
      <c r="U293" s="300"/>
      <c r="V293" s="295"/>
      <c r="W293" s="295"/>
      <c r="X293" s="295"/>
      <c r="Y293" s="295"/>
      <c r="Z293" s="295"/>
      <c r="AA293" s="295"/>
      <c r="AB293" s="295"/>
      <c r="AC293" s="310"/>
      <c r="AD293" s="295"/>
      <c r="AE293" s="295"/>
    </row>
    <row r="294" spans="1:31" s="549" customFormat="1" ht="15.75" x14ac:dyDescent="0.2">
      <c r="A294" s="310"/>
      <c r="B294" s="295"/>
      <c r="C294" s="295"/>
      <c r="D294" s="295"/>
      <c r="E294" s="295"/>
      <c r="F294" s="296"/>
      <c r="G294" s="308"/>
      <c r="H294" s="308"/>
      <c r="I294" s="308"/>
      <c r="J294" s="309"/>
      <c r="K294" s="298"/>
      <c r="L294" s="311"/>
      <c r="M294" s="308"/>
      <c r="N294" s="295"/>
      <c r="O294" s="295"/>
      <c r="P294" s="308"/>
      <c r="Q294" s="308"/>
      <c r="R294" s="536"/>
      <c r="S294" s="295"/>
      <c r="T294" s="430"/>
      <c r="U294" s="300"/>
      <c r="V294" s="295"/>
      <c r="W294" s="295"/>
      <c r="X294" s="295"/>
      <c r="Y294" s="295"/>
      <c r="Z294" s="295"/>
      <c r="AA294" s="295"/>
      <c r="AB294" s="295"/>
      <c r="AC294" s="310"/>
      <c r="AD294" s="295"/>
      <c r="AE294" s="295"/>
    </row>
    <row r="295" spans="1:31" s="549" customFormat="1" ht="15.75" x14ac:dyDescent="0.2">
      <c r="A295" s="310"/>
      <c r="B295" s="295"/>
      <c r="C295" s="295"/>
      <c r="D295" s="295"/>
      <c r="E295" s="295"/>
      <c r="F295" s="296"/>
      <c r="G295" s="308"/>
      <c r="H295" s="308"/>
      <c r="I295" s="308"/>
      <c r="J295" s="309"/>
      <c r="K295" s="298"/>
      <c r="L295" s="311"/>
      <c r="M295" s="308"/>
      <c r="N295" s="295"/>
      <c r="O295" s="295"/>
      <c r="P295" s="308"/>
      <c r="Q295" s="308"/>
      <c r="R295" s="536"/>
      <c r="S295" s="295"/>
      <c r="T295" s="430"/>
      <c r="U295" s="300"/>
      <c r="V295" s="295"/>
      <c r="W295" s="295"/>
      <c r="X295" s="295"/>
      <c r="Y295" s="295"/>
      <c r="Z295" s="295"/>
      <c r="AA295" s="295"/>
      <c r="AB295" s="295"/>
      <c r="AC295" s="310"/>
      <c r="AD295" s="295"/>
      <c r="AE295" s="295"/>
    </row>
    <row r="296" spans="1:31" s="549" customFormat="1" ht="15.75" x14ac:dyDescent="0.2">
      <c r="A296" s="310"/>
      <c r="B296" s="295"/>
      <c r="C296" s="295"/>
      <c r="D296" s="295"/>
      <c r="E296" s="295"/>
      <c r="F296" s="296"/>
      <c r="G296" s="308"/>
      <c r="H296" s="308"/>
      <c r="I296" s="308"/>
      <c r="J296" s="309"/>
      <c r="K296" s="310"/>
      <c r="L296" s="311"/>
      <c r="M296" s="308"/>
      <c r="N296" s="295"/>
      <c r="O296" s="295"/>
      <c r="P296" s="308"/>
      <c r="Q296" s="308"/>
      <c r="R296" s="536"/>
      <c r="S296" s="295"/>
      <c r="T296" s="430"/>
      <c r="U296" s="300"/>
      <c r="V296" s="295"/>
      <c r="W296" s="295"/>
      <c r="X296" s="295"/>
      <c r="Y296" s="295"/>
      <c r="Z296" s="295"/>
      <c r="AA296" s="295"/>
      <c r="AB296" s="295"/>
      <c r="AC296" s="310"/>
      <c r="AD296" s="295"/>
      <c r="AE296" s="295"/>
    </row>
    <row r="297" spans="1:31" s="549" customFormat="1" ht="15.75" x14ac:dyDescent="0.2">
      <c r="A297" s="310"/>
      <c r="B297" s="295"/>
      <c r="C297" s="295"/>
      <c r="D297" s="295"/>
      <c r="E297" s="295"/>
      <c r="F297" s="296"/>
      <c r="G297" s="308"/>
      <c r="H297" s="308"/>
      <c r="I297" s="308"/>
      <c r="J297" s="309"/>
      <c r="K297" s="298"/>
      <c r="L297" s="311"/>
      <c r="M297" s="308"/>
      <c r="N297" s="295"/>
      <c r="O297" s="295"/>
      <c r="P297" s="308"/>
      <c r="Q297" s="308"/>
      <c r="R297" s="536"/>
      <c r="S297" s="295"/>
      <c r="T297" s="430"/>
      <c r="U297" s="300"/>
      <c r="V297" s="295"/>
      <c r="W297" s="295"/>
      <c r="X297" s="295"/>
      <c r="Y297" s="295"/>
      <c r="Z297" s="295"/>
      <c r="AA297" s="295"/>
      <c r="AB297" s="295"/>
      <c r="AC297" s="310"/>
      <c r="AD297" s="295"/>
      <c r="AE297" s="295"/>
    </row>
    <row r="298" spans="1:31" s="549" customFormat="1" ht="15.75" x14ac:dyDescent="0.2">
      <c r="A298" s="310"/>
      <c r="B298" s="295"/>
      <c r="C298" s="295"/>
      <c r="D298" s="295"/>
      <c r="E298" s="295"/>
      <c r="F298" s="296"/>
      <c r="G298" s="308"/>
      <c r="H298" s="308"/>
      <c r="I298" s="308"/>
      <c r="J298" s="309"/>
      <c r="K298" s="298"/>
      <c r="L298" s="311"/>
      <c r="M298" s="308"/>
      <c r="N298" s="295"/>
      <c r="O298" s="295"/>
      <c r="P298" s="308"/>
      <c r="Q298" s="308"/>
      <c r="R298" s="536"/>
      <c r="S298" s="295"/>
      <c r="T298" s="430"/>
      <c r="U298" s="300"/>
      <c r="V298" s="295"/>
      <c r="W298" s="295"/>
      <c r="X298" s="295"/>
      <c r="Y298" s="295"/>
      <c r="Z298" s="295"/>
      <c r="AA298" s="295"/>
      <c r="AB298" s="295"/>
      <c r="AC298" s="310"/>
      <c r="AD298" s="295"/>
      <c r="AE298" s="295"/>
    </row>
    <row r="299" spans="1:31" s="552" customFormat="1" ht="15.75" x14ac:dyDescent="0.2">
      <c r="A299" s="310"/>
      <c r="B299" s="270"/>
      <c r="C299" s="270"/>
      <c r="D299" s="270"/>
      <c r="E299" s="270"/>
      <c r="F299" s="282"/>
      <c r="G299" s="308"/>
      <c r="H299" s="308"/>
      <c r="I299" s="308"/>
      <c r="J299" s="309"/>
      <c r="K299" s="310"/>
      <c r="L299" s="311"/>
      <c r="M299" s="308"/>
      <c r="N299" s="295"/>
      <c r="O299" s="295"/>
      <c r="P299" s="308"/>
      <c r="Q299" s="308"/>
      <c r="R299" s="536"/>
      <c r="S299" s="295"/>
      <c r="T299" s="430"/>
      <c r="U299" s="270"/>
      <c r="V299" s="295"/>
      <c r="W299" s="295"/>
      <c r="X299" s="295"/>
      <c r="Y299" s="295"/>
      <c r="Z299" s="295"/>
      <c r="AA299" s="295"/>
      <c r="AB299" s="295"/>
      <c r="AC299" s="310"/>
      <c r="AD299" s="270"/>
      <c r="AE299" s="270"/>
    </row>
    <row r="300" spans="1:31" s="549" customFormat="1" x14ac:dyDescent="0.2">
      <c r="A300" s="310"/>
      <c r="B300" s="295"/>
      <c r="C300" s="295"/>
      <c r="D300" s="295"/>
      <c r="E300" s="295"/>
      <c r="F300" s="296"/>
      <c r="G300" s="295"/>
      <c r="H300" s="295"/>
      <c r="I300" s="295"/>
      <c r="J300" s="309"/>
      <c r="K300" s="310"/>
      <c r="L300" s="298"/>
      <c r="M300" s="308"/>
      <c r="N300" s="295"/>
      <c r="O300" s="295"/>
      <c r="P300" s="308"/>
      <c r="Q300" s="308"/>
      <c r="R300" s="536"/>
      <c r="S300" s="295"/>
      <c r="T300" s="430"/>
      <c r="U300" s="300"/>
      <c r="V300" s="295"/>
      <c r="W300" s="295"/>
      <c r="X300" s="295"/>
      <c r="Y300" s="295"/>
      <c r="Z300" s="295"/>
      <c r="AA300" s="295"/>
      <c r="AB300" s="295"/>
      <c r="AC300" s="310"/>
      <c r="AD300" s="295"/>
      <c r="AE300" s="295"/>
    </row>
    <row r="301" spans="1:31" s="549" customFormat="1" x14ac:dyDescent="0.2">
      <c r="A301" s="310"/>
      <c r="B301" s="295"/>
      <c r="C301" s="295"/>
      <c r="D301" s="295"/>
      <c r="E301" s="295"/>
      <c r="F301" s="296"/>
      <c r="G301" s="295"/>
      <c r="H301" s="295"/>
      <c r="I301" s="295"/>
      <c r="J301" s="312"/>
      <c r="K301" s="298"/>
      <c r="L301" s="298"/>
      <c r="M301" s="308"/>
      <c r="N301" s="295"/>
      <c r="O301" s="295"/>
      <c r="P301" s="308"/>
      <c r="Q301" s="308"/>
      <c r="R301" s="536"/>
      <c r="S301" s="295"/>
      <c r="T301" s="430"/>
      <c r="U301" s="300"/>
      <c r="V301" s="295"/>
      <c r="W301" s="295"/>
      <c r="X301" s="295"/>
      <c r="Y301" s="295"/>
      <c r="Z301" s="295"/>
      <c r="AA301" s="295"/>
      <c r="AB301" s="295"/>
      <c r="AC301" s="310"/>
      <c r="AD301" s="295"/>
      <c r="AE301" s="295"/>
    </row>
    <row r="302" spans="1:31" s="549" customFormat="1" x14ac:dyDescent="0.2">
      <c r="A302" s="310"/>
      <c r="B302" s="295"/>
      <c r="C302" s="295"/>
      <c r="D302" s="295"/>
      <c r="E302" s="295"/>
      <c r="F302" s="296"/>
      <c r="G302" s="295"/>
      <c r="H302" s="295"/>
      <c r="I302" s="295"/>
      <c r="J302" s="312"/>
      <c r="K302" s="298"/>
      <c r="L302" s="298"/>
      <c r="M302" s="308"/>
      <c r="N302" s="295"/>
      <c r="O302" s="295"/>
      <c r="P302" s="308"/>
      <c r="Q302" s="308"/>
      <c r="R302" s="536"/>
      <c r="S302" s="295"/>
      <c r="T302" s="430"/>
      <c r="U302" s="300"/>
      <c r="V302" s="295"/>
      <c r="W302" s="295"/>
      <c r="X302" s="295"/>
      <c r="Y302" s="295"/>
      <c r="Z302" s="295"/>
      <c r="AA302" s="295"/>
      <c r="AB302" s="295"/>
      <c r="AC302" s="310"/>
      <c r="AD302" s="295"/>
      <c r="AE302" s="295"/>
    </row>
    <row r="303" spans="1:31" s="549" customFormat="1" x14ac:dyDescent="0.2">
      <c r="A303" s="310"/>
      <c r="B303" s="295"/>
      <c r="C303" s="295"/>
      <c r="D303" s="295"/>
      <c r="E303" s="295"/>
      <c r="F303" s="296"/>
      <c r="G303" s="295"/>
      <c r="H303" s="295"/>
      <c r="I303" s="295"/>
      <c r="J303" s="312"/>
      <c r="K303" s="310"/>
      <c r="L303" s="298"/>
      <c r="M303" s="308"/>
      <c r="N303" s="295"/>
      <c r="O303" s="295"/>
      <c r="P303" s="308"/>
      <c r="Q303" s="308"/>
      <c r="R303" s="536"/>
      <c r="S303" s="295"/>
      <c r="T303" s="430"/>
      <c r="U303" s="300"/>
      <c r="V303" s="295"/>
      <c r="W303" s="295"/>
      <c r="X303" s="295"/>
      <c r="Y303" s="295"/>
      <c r="Z303" s="295"/>
      <c r="AA303" s="295"/>
      <c r="AB303" s="295"/>
      <c r="AC303" s="310"/>
      <c r="AD303" s="295"/>
      <c r="AE303" s="295"/>
    </row>
    <row r="304" spans="1:31" s="549" customFormat="1" x14ac:dyDescent="0.2">
      <c r="A304" s="310"/>
      <c r="B304" s="295"/>
      <c r="C304" s="295"/>
      <c r="D304" s="295"/>
      <c r="E304" s="295"/>
      <c r="F304" s="296"/>
      <c r="G304" s="295"/>
      <c r="H304" s="295"/>
      <c r="I304" s="295"/>
      <c r="J304" s="312"/>
      <c r="K304" s="298"/>
      <c r="L304" s="298"/>
      <c r="M304" s="295"/>
      <c r="N304" s="295"/>
      <c r="O304" s="295"/>
      <c r="P304" s="308"/>
      <c r="Q304" s="308"/>
      <c r="R304" s="536"/>
      <c r="S304" s="295"/>
      <c r="T304" s="430"/>
      <c r="U304" s="300"/>
      <c r="V304" s="295"/>
      <c r="W304" s="295"/>
      <c r="X304" s="295"/>
      <c r="Y304" s="295"/>
      <c r="Z304" s="295"/>
      <c r="AA304" s="295"/>
      <c r="AB304" s="295"/>
      <c r="AC304" s="310"/>
      <c r="AD304" s="295"/>
      <c r="AE304" s="295"/>
    </row>
    <row r="305" spans="1:31" s="549" customFormat="1" x14ac:dyDescent="0.2">
      <c r="A305" s="310"/>
      <c r="B305" s="295"/>
      <c r="C305" s="295"/>
      <c r="D305" s="295"/>
      <c r="E305" s="295"/>
      <c r="F305" s="296"/>
      <c r="G305" s="295"/>
      <c r="H305" s="295"/>
      <c r="I305" s="295"/>
      <c r="J305" s="312"/>
      <c r="K305" s="298"/>
      <c r="L305" s="298"/>
      <c r="M305" s="295"/>
      <c r="N305" s="295"/>
      <c r="O305" s="295"/>
      <c r="P305" s="308"/>
      <c r="Q305" s="308"/>
      <c r="R305" s="536"/>
      <c r="S305" s="295"/>
      <c r="T305" s="430"/>
      <c r="U305" s="300"/>
      <c r="V305" s="295"/>
      <c r="W305" s="295"/>
      <c r="X305" s="295"/>
      <c r="Y305" s="295"/>
      <c r="Z305" s="295"/>
      <c r="AA305" s="295"/>
      <c r="AB305" s="295"/>
      <c r="AC305" s="310"/>
      <c r="AD305" s="295"/>
      <c r="AE305" s="295"/>
    </row>
    <row r="306" spans="1:31" s="549" customFormat="1" x14ac:dyDescent="0.2">
      <c r="A306" s="310"/>
      <c r="B306" s="295"/>
      <c r="C306" s="295"/>
      <c r="D306" s="295"/>
      <c r="E306" s="295"/>
      <c r="F306" s="296"/>
      <c r="G306" s="295"/>
      <c r="H306" s="295"/>
      <c r="I306" s="295"/>
      <c r="J306" s="312"/>
      <c r="K306" s="310"/>
      <c r="L306" s="298"/>
      <c r="M306" s="295"/>
      <c r="N306" s="295"/>
      <c r="O306" s="295"/>
      <c r="P306" s="308"/>
      <c r="Q306" s="308"/>
      <c r="R306" s="536"/>
      <c r="S306" s="295"/>
      <c r="T306" s="430"/>
      <c r="U306" s="300"/>
      <c r="V306" s="295"/>
      <c r="W306" s="295"/>
      <c r="X306" s="295"/>
      <c r="Y306" s="295"/>
      <c r="Z306" s="295"/>
      <c r="AA306" s="295"/>
      <c r="AB306" s="295"/>
      <c r="AC306" s="310"/>
      <c r="AD306" s="295"/>
      <c r="AE306" s="295"/>
    </row>
    <row r="307" spans="1:31" s="549" customFormat="1" x14ac:dyDescent="0.2">
      <c r="A307" s="310"/>
      <c r="B307" s="295"/>
      <c r="C307" s="295"/>
      <c r="D307" s="295"/>
      <c r="E307" s="295"/>
      <c r="F307" s="296"/>
      <c r="G307" s="295"/>
      <c r="H307" s="295"/>
      <c r="I307" s="295"/>
      <c r="J307" s="312"/>
      <c r="K307" s="298"/>
      <c r="L307" s="298"/>
      <c r="M307" s="295"/>
      <c r="N307" s="295"/>
      <c r="O307" s="295"/>
      <c r="P307" s="295"/>
      <c r="Q307" s="295"/>
      <c r="R307" s="536"/>
      <c r="S307" s="295"/>
      <c r="T307" s="300"/>
      <c r="U307" s="300"/>
      <c r="V307" s="295"/>
      <c r="W307" s="295"/>
      <c r="X307" s="295"/>
      <c r="Y307" s="295"/>
      <c r="Z307" s="295"/>
      <c r="AA307" s="295"/>
      <c r="AB307" s="295"/>
      <c r="AC307" s="295"/>
      <c r="AD307" s="295"/>
    </row>
    <row r="308" spans="1:31" s="549" customFormat="1" ht="15.75" x14ac:dyDescent="0.2">
      <c r="A308" s="310"/>
      <c r="B308" s="295"/>
      <c r="C308" s="295"/>
      <c r="D308" s="295"/>
      <c r="E308" s="295"/>
      <c r="F308" s="296"/>
      <c r="G308" s="308"/>
      <c r="H308" s="308"/>
      <c r="I308" s="308"/>
      <c r="J308" s="309"/>
      <c r="K308" s="298"/>
      <c r="L308" s="311"/>
      <c r="M308" s="295"/>
      <c r="N308" s="295"/>
      <c r="O308" s="295"/>
      <c r="P308" s="308"/>
      <c r="Q308" s="308"/>
      <c r="R308" s="536"/>
      <c r="S308" s="295"/>
      <c r="T308" s="430"/>
      <c r="U308" s="300"/>
      <c r="V308" s="295"/>
      <c r="W308" s="295"/>
      <c r="X308" s="295"/>
      <c r="Y308" s="295"/>
      <c r="Z308" s="295"/>
      <c r="AA308" s="295"/>
      <c r="AB308" s="295"/>
      <c r="AC308" s="310"/>
      <c r="AD308" s="295"/>
      <c r="AE308" s="295"/>
    </row>
    <row r="309" spans="1:31" s="549" customFormat="1" ht="15.75" x14ac:dyDescent="0.2">
      <c r="A309" s="310"/>
      <c r="B309" s="295"/>
      <c r="C309" s="295"/>
      <c r="D309" s="295"/>
      <c r="E309" s="295"/>
      <c r="F309" s="296"/>
      <c r="G309" s="308"/>
      <c r="H309" s="308"/>
      <c r="I309" s="308"/>
      <c r="J309" s="309"/>
      <c r="K309" s="298"/>
      <c r="L309" s="311"/>
      <c r="M309" s="308"/>
      <c r="N309" s="295"/>
      <c r="O309" s="295"/>
      <c r="P309" s="308"/>
      <c r="Q309" s="308"/>
      <c r="R309" s="536"/>
      <c r="S309" s="295"/>
      <c r="T309" s="430"/>
      <c r="U309" s="300"/>
      <c r="V309" s="295"/>
      <c r="W309" s="295"/>
      <c r="X309" s="295"/>
      <c r="Y309" s="295"/>
      <c r="Z309" s="295"/>
      <c r="AA309" s="295"/>
      <c r="AB309" s="295"/>
      <c r="AC309" s="310"/>
      <c r="AD309" s="295"/>
      <c r="AE309" s="295"/>
    </row>
    <row r="310" spans="1:31" s="549" customFormat="1" ht="15.75" x14ac:dyDescent="0.2">
      <c r="A310" s="310"/>
      <c r="B310" s="295"/>
      <c r="C310" s="295"/>
      <c r="D310" s="295"/>
      <c r="E310" s="295"/>
      <c r="F310" s="296"/>
      <c r="G310" s="308"/>
      <c r="H310" s="308"/>
      <c r="I310" s="308"/>
      <c r="J310" s="309"/>
      <c r="K310" s="310"/>
      <c r="L310" s="311"/>
      <c r="M310" s="308"/>
      <c r="N310" s="295"/>
      <c r="O310" s="295"/>
      <c r="P310" s="308"/>
      <c r="Q310" s="308"/>
      <c r="R310" s="536"/>
      <c r="S310" s="295"/>
      <c r="T310" s="430"/>
      <c r="U310" s="300"/>
      <c r="V310" s="295"/>
      <c r="W310" s="295"/>
      <c r="X310" s="295"/>
      <c r="Y310" s="295"/>
      <c r="Z310" s="295"/>
      <c r="AA310" s="295"/>
      <c r="AB310" s="295"/>
      <c r="AC310" s="310"/>
      <c r="AD310" s="295"/>
      <c r="AE310" s="295"/>
    </row>
    <row r="311" spans="1:31" s="549" customFormat="1" ht="15.75" x14ac:dyDescent="0.2">
      <c r="A311" s="310"/>
      <c r="B311" s="295"/>
      <c r="C311" s="295"/>
      <c r="D311" s="295"/>
      <c r="E311" s="295"/>
      <c r="F311" s="296"/>
      <c r="G311" s="308"/>
      <c r="H311" s="308"/>
      <c r="I311" s="308"/>
      <c r="J311" s="309"/>
      <c r="K311" s="298"/>
      <c r="L311" s="311"/>
      <c r="M311" s="308"/>
      <c r="N311" s="295"/>
      <c r="O311" s="295"/>
      <c r="P311" s="308"/>
      <c r="Q311" s="308"/>
      <c r="R311" s="536"/>
      <c r="S311" s="295"/>
      <c r="T311" s="430"/>
      <c r="U311" s="300"/>
      <c r="V311" s="295"/>
      <c r="W311" s="295"/>
      <c r="X311" s="295"/>
      <c r="Y311" s="295"/>
      <c r="Z311" s="295"/>
      <c r="AA311" s="295"/>
      <c r="AB311" s="295"/>
      <c r="AC311" s="310"/>
      <c r="AD311" s="295"/>
      <c r="AE311" s="295"/>
    </row>
    <row r="312" spans="1:31" s="549" customFormat="1" ht="15.75" x14ac:dyDescent="0.2">
      <c r="A312" s="310"/>
      <c r="B312" s="295"/>
      <c r="C312" s="295"/>
      <c r="D312" s="295"/>
      <c r="E312" s="295"/>
      <c r="F312" s="296"/>
      <c r="G312" s="308"/>
      <c r="H312" s="308"/>
      <c r="I312" s="308"/>
      <c r="J312" s="309"/>
      <c r="K312" s="298"/>
      <c r="L312" s="311"/>
      <c r="M312" s="308"/>
      <c r="N312" s="295"/>
      <c r="O312" s="295"/>
      <c r="P312" s="308"/>
      <c r="Q312" s="308"/>
      <c r="R312" s="536"/>
      <c r="S312" s="295"/>
      <c r="T312" s="430"/>
      <c r="U312" s="300"/>
      <c r="V312" s="295"/>
      <c r="W312" s="295"/>
      <c r="X312" s="295"/>
      <c r="Y312" s="295"/>
      <c r="Z312" s="295"/>
      <c r="AA312" s="295"/>
      <c r="AB312" s="295"/>
      <c r="AC312" s="310"/>
      <c r="AD312" s="295"/>
      <c r="AE312" s="295"/>
    </row>
    <row r="313" spans="1:31" s="549" customFormat="1" ht="15.75" x14ac:dyDescent="0.2">
      <c r="A313" s="310"/>
      <c r="B313" s="295"/>
      <c r="C313" s="295"/>
      <c r="D313" s="295"/>
      <c r="E313" s="295"/>
      <c r="F313" s="296"/>
      <c r="G313" s="308"/>
      <c r="H313" s="308"/>
      <c r="I313" s="308"/>
      <c r="J313" s="309"/>
      <c r="K313" s="310"/>
      <c r="L313" s="311"/>
      <c r="M313" s="308"/>
      <c r="N313" s="295"/>
      <c r="O313" s="295"/>
      <c r="P313" s="308"/>
      <c r="Q313" s="308"/>
      <c r="R313" s="536"/>
      <c r="S313" s="295"/>
      <c r="T313" s="430"/>
      <c r="U313" s="300"/>
      <c r="V313" s="295"/>
      <c r="W313" s="295"/>
      <c r="X313" s="295"/>
      <c r="Y313" s="295"/>
      <c r="Z313" s="295"/>
      <c r="AA313" s="295"/>
      <c r="AB313" s="295"/>
      <c r="AC313" s="310"/>
      <c r="AD313" s="295"/>
      <c r="AE313" s="295"/>
    </row>
    <row r="314" spans="1:31" s="549" customFormat="1" ht="15.75" x14ac:dyDescent="0.2">
      <c r="A314" s="310"/>
      <c r="B314" s="295"/>
      <c r="C314" s="295"/>
      <c r="D314" s="295"/>
      <c r="E314" s="295"/>
      <c r="F314" s="296"/>
      <c r="G314" s="308"/>
      <c r="H314" s="308"/>
      <c r="I314" s="308"/>
      <c r="J314" s="309"/>
      <c r="K314" s="298"/>
      <c r="L314" s="311"/>
      <c r="M314" s="308"/>
      <c r="N314" s="295"/>
      <c r="O314" s="295"/>
      <c r="P314" s="308"/>
      <c r="Q314" s="308"/>
      <c r="R314" s="536"/>
      <c r="S314" s="295"/>
      <c r="T314" s="430"/>
      <c r="U314" s="300"/>
      <c r="V314" s="295"/>
      <c r="W314" s="295"/>
      <c r="X314" s="295"/>
      <c r="Y314" s="295"/>
      <c r="Z314" s="295"/>
      <c r="AA314" s="295"/>
      <c r="AB314" s="295"/>
      <c r="AC314" s="310"/>
      <c r="AD314" s="295"/>
      <c r="AE314" s="295"/>
    </row>
    <row r="315" spans="1:31" s="549" customFormat="1" ht="15.75" x14ac:dyDescent="0.2">
      <c r="A315" s="310"/>
      <c r="B315" s="295"/>
      <c r="C315" s="295"/>
      <c r="D315" s="295"/>
      <c r="E315" s="295"/>
      <c r="F315" s="296"/>
      <c r="G315" s="308"/>
      <c r="H315" s="308"/>
      <c r="I315" s="308"/>
      <c r="J315" s="309"/>
      <c r="K315" s="298"/>
      <c r="L315" s="311"/>
      <c r="M315" s="308"/>
      <c r="N315" s="295"/>
      <c r="O315" s="295"/>
      <c r="P315" s="308"/>
      <c r="Q315" s="308"/>
      <c r="R315" s="536"/>
      <c r="S315" s="295"/>
      <c r="T315" s="430"/>
      <c r="U315" s="300"/>
      <c r="V315" s="295"/>
      <c r="W315" s="295"/>
      <c r="X315" s="295"/>
      <c r="Y315" s="295"/>
      <c r="Z315" s="295"/>
      <c r="AA315" s="295"/>
      <c r="AB315" s="295"/>
      <c r="AC315" s="310"/>
      <c r="AD315" s="295"/>
      <c r="AE315" s="295"/>
    </row>
    <row r="316" spans="1:31" s="549" customFormat="1" ht="15.75" x14ac:dyDescent="0.2">
      <c r="A316" s="310"/>
      <c r="B316" s="295"/>
      <c r="C316" s="295"/>
      <c r="D316" s="295"/>
      <c r="E316" s="295"/>
      <c r="F316" s="296"/>
      <c r="G316" s="308"/>
      <c r="H316" s="308"/>
      <c r="I316" s="308"/>
      <c r="J316" s="309"/>
      <c r="K316" s="310"/>
      <c r="L316" s="311"/>
      <c r="M316" s="308"/>
      <c r="N316" s="295"/>
      <c r="O316" s="295"/>
      <c r="P316" s="308"/>
      <c r="Q316" s="308"/>
      <c r="R316" s="536"/>
      <c r="S316" s="295"/>
      <c r="T316" s="430"/>
      <c r="U316" s="300"/>
      <c r="V316" s="295"/>
      <c r="W316" s="295"/>
      <c r="X316" s="295"/>
      <c r="Y316" s="295"/>
      <c r="Z316" s="295"/>
      <c r="AA316" s="295"/>
      <c r="AB316" s="295"/>
      <c r="AC316" s="310"/>
      <c r="AD316" s="295"/>
      <c r="AE316" s="295"/>
    </row>
    <row r="317" spans="1:31" s="549" customFormat="1" ht="15.75" x14ac:dyDescent="0.2">
      <c r="A317" s="310"/>
      <c r="B317" s="295"/>
      <c r="C317" s="295"/>
      <c r="D317" s="295"/>
      <c r="E317" s="295"/>
      <c r="F317" s="296"/>
      <c r="G317" s="308"/>
      <c r="H317" s="308"/>
      <c r="I317" s="308"/>
      <c r="J317" s="309"/>
      <c r="K317" s="298"/>
      <c r="L317" s="311"/>
      <c r="M317" s="308"/>
      <c r="N317" s="295"/>
      <c r="O317" s="295"/>
      <c r="P317" s="308"/>
      <c r="Q317" s="308"/>
      <c r="R317" s="536"/>
      <c r="S317" s="295"/>
      <c r="T317" s="430"/>
      <c r="U317" s="300"/>
      <c r="V317" s="295"/>
      <c r="W317" s="295"/>
      <c r="X317" s="295"/>
      <c r="Y317" s="295"/>
      <c r="Z317" s="295"/>
      <c r="AA317" s="295"/>
      <c r="AB317" s="295"/>
      <c r="AC317" s="310"/>
      <c r="AD317" s="295"/>
      <c r="AE317" s="295"/>
    </row>
    <row r="318" spans="1:31" s="549" customFormat="1" ht="15.75" x14ac:dyDescent="0.2">
      <c r="A318" s="310"/>
      <c r="B318" s="295"/>
      <c r="C318" s="295"/>
      <c r="D318" s="295"/>
      <c r="E318" s="295"/>
      <c r="F318" s="296"/>
      <c r="G318" s="308"/>
      <c r="H318" s="308"/>
      <c r="I318" s="308"/>
      <c r="J318" s="309"/>
      <c r="K318" s="298"/>
      <c r="L318" s="311"/>
      <c r="M318" s="308"/>
      <c r="N318" s="295"/>
      <c r="O318" s="295"/>
      <c r="P318" s="308"/>
      <c r="Q318" s="308"/>
      <c r="R318" s="536"/>
      <c r="S318" s="295"/>
      <c r="T318" s="430"/>
      <c r="U318" s="300"/>
      <c r="V318" s="295"/>
      <c r="W318" s="295"/>
      <c r="X318" s="295"/>
      <c r="Y318" s="295"/>
      <c r="Z318" s="295"/>
      <c r="AA318" s="295"/>
      <c r="AB318" s="295"/>
      <c r="AC318" s="310"/>
      <c r="AD318" s="295"/>
      <c r="AE318" s="295"/>
    </row>
    <row r="319" spans="1:31" s="549" customFormat="1" ht="15.75" x14ac:dyDescent="0.2">
      <c r="A319" s="310"/>
      <c r="B319" s="295"/>
      <c r="C319" s="295"/>
      <c r="D319" s="295"/>
      <c r="E319" s="295"/>
      <c r="F319" s="296"/>
      <c r="G319" s="308"/>
      <c r="H319" s="308"/>
      <c r="I319" s="308"/>
      <c r="J319" s="309"/>
      <c r="K319" s="310"/>
      <c r="L319" s="311"/>
      <c r="M319" s="308"/>
      <c r="N319" s="295"/>
      <c r="O319" s="295"/>
      <c r="P319" s="308"/>
      <c r="Q319" s="308"/>
      <c r="R319" s="536"/>
      <c r="S319" s="295"/>
      <c r="T319" s="430"/>
      <c r="U319" s="300"/>
      <c r="V319" s="295"/>
      <c r="W319" s="295"/>
      <c r="X319" s="295"/>
      <c r="Y319" s="295"/>
      <c r="Z319" s="295"/>
      <c r="AA319" s="295"/>
      <c r="AB319" s="295"/>
      <c r="AC319" s="310"/>
      <c r="AD319" s="295"/>
      <c r="AE319" s="295"/>
    </row>
    <row r="320" spans="1:31" s="549" customFormat="1" ht="15.75" x14ac:dyDescent="0.2">
      <c r="A320" s="310"/>
      <c r="B320" s="295"/>
      <c r="C320" s="295"/>
      <c r="D320" s="295"/>
      <c r="E320" s="295"/>
      <c r="F320" s="296"/>
      <c r="G320" s="308"/>
      <c r="H320" s="308"/>
      <c r="I320" s="308"/>
      <c r="J320" s="309"/>
      <c r="K320" s="298"/>
      <c r="L320" s="311"/>
      <c r="M320" s="308"/>
      <c r="N320" s="295"/>
      <c r="O320" s="295"/>
      <c r="P320" s="308"/>
      <c r="Q320" s="308"/>
      <c r="R320" s="536"/>
      <c r="S320" s="295"/>
      <c r="T320" s="430"/>
      <c r="U320" s="300"/>
      <c r="V320" s="295"/>
      <c r="W320" s="295"/>
      <c r="X320" s="295"/>
      <c r="Y320" s="295"/>
      <c r="Z320" s="295"/>
      <c r="AA320" s="295"/>
      <c r="AB320" s="295"/>
      <c r="AC320" s="310"/>
      <c r="AD320" s="295"/>
      <c r="AE320" s="295"/>
    </row>
    <row r="321" spans="1:31" s="549" customFormat="1" ht="15.75" x14ac:dyDescent="0.2">
      <c r="A321" s="310"/>
      <c r="B321" s="295"/>
      <c r="C321" s="295"/>
      <c r="D321" s="295"/>
      <c r="E321" s="295"/>
      <c r="F321" s="296"/>
      <c r="G321" s="308"/>
      <c r="H321" s="308"/>
      <c r="I321" s="308"/>
      <c r="J321" s="309"/>
      <c r="K321" s="298"/>
      <c r="L321" s="311"/>
      <c r="M321" s="308"/>
      <c r="N321" s="295"/>
      <c r="O321" s="295"/>
      <c r="P321" s="308"/>
      <c r="Q321" s="308"/>
      <c r="R321" s="536"/>
      <c r="S321" s="295"/>
      <c r="T321" s="430"/>
      <c r="U321" s="300"/>
      <c r="V321" s="295"/>
      <c r="W321" s="295"/>
      <c r="X321" s="295"/>
      <c r="Y321" s="295"/>
      <c r="Z321" s="295"/>
      <c r="AA321" s="295"/>
      <c r="AB321" s="295"/>
      <c r="AC321" s="310"/>
      <c r="AD321" s="295"/>
      <c r="AE321" s="295"/>
    </row>
    <row r="322" spans="1:31" s="549" customFormat="1" ht="15.75" x14ac:dyDescent="0.2">
      <c r="A322" s="310"/>
      <c r="B322" s="295"/>
      <c r="C322" s="295"/>
      <c r="D322" s="295"/>
      <c r="E322" s="295"/>
      <c r="F322" s="296"/>
      <c r="G322" s="308"/>
      <c r="H322" s="308"/>
      <c r="I322" s="308"/>
      <c r="J322" s="309"/>
      <c r="K322" s="310"/>
      <c r="L322" s="311"/>
      <c r="M322" s="308"/>
      <c r="N322" s="295"/>
      <c r="O322" s="295"/>
      <c r="P322" s="308"/>
      <c r="Q322" s="308"/>
      <c r="R322" s="536"/>
      <c r="S322" s="295"/>
      <c r="T322" s="430"/>
      <c r="U322" s="300"/>
      <c r="V322" s="295"/>
      <c r="W322" s="295"/>
      <c r="X322" s="295"/>
      <c r="Y322" s="295"/>
      <c r="Z322" s="295"/>
      <c r="AA322" s="295"/>
      <c r="AB322" s="295"/>
      <c r="AC322" s="310"/>
      <c r="AD322" s="295"/>
      <c r="AE322" s="295"/>
    </row>
    <row r="323" spans="1:31" s="549" customFormat="1" ht="15.75" x14ac:dyDescent="0.2">
      <c r="A323" s="310"/>
      <c r="B323" s="295"/>
      <c r="C323" s="295"/>
      <c r="D323" s="295"/>
      <c r="E323" s="295"/>
      <c r="F323" s="296"/>
      <c r="G323" s="308"/>
      <c r="H323" s="308"/>
      <c r="I323" s="308"/>
      <c r="J323" s="309"/>
      <c r="K323" s="298"/>
      <c r="L323" s="311"/>
      <c r="M323" s="308"/>
      <c r="N323" s="295"/>
      <c r="O323" s="295"/>
      <c r="P323" s="295"/>
      <c r="Q323" s="295"/>
      <c r="R323" s="536"/>
      <c r="S323" s="295"/>
      <c r="T323" s="430"/>
      <c r="U323" s="300"/>
      <c r="V323" s="295"/>
      <c r="W323" s="295"/>
      <c r="X323" s="295"/>
      <c r="Y323" s="295"/>
      <c r="Z323" s="295"/>
      <c r="AA323" s="295"/>
      <c r="AB323" s="295"/>
      <c r="AC323" s="310"/>
      <c r="AD323" s="295"/>
      <c r="AE323" s="295"/>
    </row>
    <row r="324" spans="1:31" s="552" customFormat="1" ht="15.75" x14ac:dyDescent="0.2">
      <c r="A324" s="310"/>
      <c r="B324" s="270"/>
      <c r="C324" s="270"/>
      <c r="D324" s="270"/>
      <c r="E324" s="270"/>
      <c r="F324" s="282"/>
      <c r="G324" s="308"/>
      <c r="H324" s="308"/>
      <c r="I324" s="308"/>
      <c r="J324" s="309"/>
      <c r="K324" s="298"/>
      <c r="L324" s="311"/>
      <c r="M324" s="308"/>
      <c r="N324" s="295"/>
      <c r="O324" s="295"/>
      <c r="P324" s="308"/>
      <c r="Q324" s="308"/>
      <c r="R324" s="536"/>
      <c r="S324" s="295"/>
      <c r="T324" s="430"/>
      <c r="U324" s="270"/>
      <c r="V324" s="295"/>
      <c r="W324" s="295"/>
      <c r="X324" s="295"/>
      <c r="Y324" s="295"/>
      <c r="Z324" s="295"/>
      <c r="AA324" s="295"/>
      <c r="AB324" s="295"/>
      <c r="AC324" s="310"/>
      <c r="AD324" s="270"/>
      <c r="AE324" s="270"/>
    </row>
    <row r="325" spans="1:31" s="552" customFormat="1" ht="15.75" x14ac:dyDescent="0.2">
      <c r="A325" s="310"/>
      <c r="B325" s="270"/>
      <c r="C325" s="270"/>
      <c r="D325" s="270"/>
      <c r="E325" s="270"/>
      <c r="F325" s="282"/>
      <c r="G325" s="308"/>
      <c r="H325" s="308"/>
      <c r="I325" s="308"/>
      <c r="J325" s="309"/>
      <c r="K325" s="310"/>
      <c r="L325" s="311"/>
      <c r="M325" s="308"/>
      <c r="N325" s="295"/>
      <c r="O325" s="295"/>
      <c r="P325" s="308"/>
      <c r="Q325" s="308"/>
      <c r="R325" s="536"/>
      <c r="S325" s="295"/>
      <c r="T325" s="430"/>
      <c r="U325" s="270"/>
      <c r="V325" s="295"/>
      <c r="W325" s="295"/>
      <c r="X325" s="295"/>
      <c r="Y325" s="295"/>
      <c r="Z325" s="295"/>
      <c r="AA325" s="295"/>
      <c r="AB325" s="295"/>
      <c r="AC325" s="310"/>
      <c r="AD325" s="270"/>
      <c r="AE325" s="270"/>
    </row>
    <row r="326" spans="1:31" s="552" customFormat="1" ht="15.75" x14ac:dyDescent="0.2">
      <c r="A326" s="310"/>
      <c r="B326" s="270"/>
      <c r="C326" s="270"/>
      <c r="D326" s="270"/>
      <c r="E326" s="270"/>
      <c r="F326" s="282"/>
      <c r="G326" s="308"/>
      <c r="H326" s="308"/>
      <c r="I326" s="308"/>
      <c r="J326" s="309"/>
      <c r="K326" s="298"/>
      <c r="L326" s="311"/>
      <c r="M326" s="308"/>
      <c r="N326" s="295"/>
      <c r="O326" s="295"/>
      <c r="P326" s="308"/>
      <c r="Q326" s="308"/>
      <c r="R326" s="536"/>
      <c r="S326" s="295"/>
      <c r="T326" s="430"/>
      <c r="U326" s="270"/>
      <c r="V326" s="295"/>
      <c r="W326" s="295"/>
      <c r="X326" s="295"/>
      <c r="Y326" s="295"/>
      <c r="Z326" s="295"/>
      <c r="AA326" s="295"/>
      <c r="AB326" s="295"/>
      <c r="AC326" s="310"/>
      <c r="AD326" s="270"/>
      <c r="AE326" s="270"/>
    </row>
    <row r="327" spans="1:31" s="552" customFormat="1" ht="15.75" x14ac:dyDescent="0.2">
      <c r="A327" s="310"/>
      <c r="B327" s="270"/>
      <c r="C327" s="270"/>
      <c r="D327" s="270"/>
      <c r="E327" s="270"/>
      <c r="F327" s="282"/>
      <c r="G327" s="308"/>
      <c r="H327" s="308"/>
      <c r="I327" s="308"/>
      <c r="J327" s="309"/>
      <c r="K327" s="298"/>
      <c r="L327" s="311"/>
      <c r="M327" s="308"/>
      <c r="N327" s="295"/>
      <c r="O327" s="295"/>
      <c r="P327" s="308"/>
      <c r="Q327" s="308"/>
      <c r="R327" s="536"/>
      <c r="S327" s="295"/>
      <c r="T327" s="430"/>
      <c r="U327" s="270"/>
      <c r="V327" s="295"/>
      <c r="W327" s="295"/>
      <c r="X327" s="295"/>
      <c r="Y327" s="295"/>
      <c r="Z327" s="295"/>
      <c r="AA327" s="295"/>
      <c r="AB327" s="295"/>
      <c r="AC327" s="310"/>
      <c r="AD327" s="270"/>
      <c r="AE327" s="270"/>
    </row>
    <row r="328" spans="1:31" s="552" customFormat="1" ht="15.75" x14ac:dyDescent="0.2">
      <c r="A328" s="310"/>
      <c r="B328" s="270"/>
      <c r="C328" s="270"/>
      <c r="D328" s="270"/>
      <c r="E328" s="270"/>
      <c r="F328" s="282"/>
      <c r="G328" s="308"/>
      <c r="H328" s="308"/>
      <c r="I328" s="308"/>
      <c r="J328" s="309"/>
      <c r="K328" s="310"/>
      <c r="L328" s="311"/>
      <c r="M328" s="308"/>
      <c r="N328" s="295"/>
      <c r="O328" s="295"/>
      <c r="P328" s="308"/>
      <c r="Q328" s="308"/>
      <c r="R328" s="536"/>
      <c r="S328" s="295"/>
      <c r="T328" s="430"/>
      <c r="U328" s="270"/>
      <c r="V328" s="295"/>
      <c r="W328" s="295"/>
      <c r="X328" s="295"/>
      <c r="Y328" s="295"/>
      <c r="Z328" s="295"/>
      <c r="AA328" s="295"/>
      <c r="AB328" s="295"/>
      <c r="AC328" s="310"/>
      <c r="AD328" s="270"/>
      <c r="AE328" s="270"/>
    </row>
    <row r="329" spans="1:31" s="552" customFormat="1" ht="15.75" x14ac:dyDescent="0.2">
      <c r="A329" s="310"/>
      <c r="B329" s="270"/>
      <c r="C329" s="270"/>
      <c r="D329" s="270"/>
      <c r="E329" s="270"/>
      <c r="F329" s="282"/>
      <c r="G329" s="308"/>
      <c r="H329" s="308"/>
      <c r="I329" s="308"/>
      <c r="J329" s="309"/>
      <c r="K329" s="298"/>
      <c r="L329" s="311"/>
      <c r="M329" s="308"/>
      <c r="N329" s="295"/>
      <c r="O329" s="295"/>
      <c r="P329" s="308"/>
      <c r="Q329" s="308"/>
      <c r="R329" s="536"/>
      <c r="S329" s="295"/>
      <c r="T329" s="430"/>
      <c r="U329" s="270"/>
      <c r="V329" s="295"/>
      <c r="W329" s="295"/>
      <c r="X329" s="295"/>
      <c r="Y329" s="295"/>
      <c r="Z329" s="295"/>
      <c r="AA329" s="295"/>
      <c r="AB329" s="295"/>
      <c r="AC329" s="310"/>
      <c r="AD329" s="270"/>
      <c r="AE329" s="270"/>
    </row>
    <row r="330" spans="1:31" s="552" customFormat="1" ht="15.75" x14ac:dyDescent="0.2">
      <c r="A330" s="310"/>
      <c r="B330" s="270"/>
      <c r="C330" s="270"/>
      <c r="D330" s="270"/>
      <c r="E330" s="270"/>
      <c r="F330" s="282"/>
      <c r="G330" s="308"/>
      <c r="H330" s="308"/>
      <c r="I330" s="308"/>
      <c r="J330" s="309"/>
      <c r="K330" s="298"/>
      <c r="L330" s="311"/>
      <c r="M330" s="308"/>
      <c r="N330" s="295"/>
      <c r="O330" s="295"/>
      <c r="P330" s="308"/>
      <c r="Q330" s="308"/>
      <c r="R330" s="536"/>
      <c r="S330" s="295"/>
      <c r="T330" s="430"/>
      <c r="U330" s="270"/>
      <c r="V330" s="295"/>
      <c r="W330" s="295"/>
      <c r="X330" s="295"/>
      <c r="Y330" s="295"/>
      <c r="Z330" s="295"/>
      <c r="AA330" s="295"/>
      <c r="AB330" s="295"/>
      <c r="AC330" s="310"/>
      <c r="AD330" s="270"/>
      <c r="AE330" s="270"/>
    </row>
    <row r="331" spans="1:31" s="552" customFormat="1" ht="15.75" x14ac:dyDescent="0.2">
      <c r="A331" s="310"/>
      <c r="B331" s="270"/>
      <c r="C331" s="270"/>
      <c r="D331" s="270"/>
      <c r="E331" s="270"/>
      <c r="F331" s="282"/>
      <c r="G331" s="308"/>
      <c r="H331" s="308"/>
      <c r="I331" s="308"/>
      <c r="J331" s="309"/>
      <c r="K331" s="310"/>
      <c r="L331" s="311"/>
      <c r="M331" s="308"/>
      <c r="N331" s="295"/>
      <c r="O331" s="295"/>
      <c r="P331" s="308"/>
      <c r="Q331" s="308"/>
      <c r="R331" s="536"/>
      <c r="S331" s="295"/>
      <c r="T331" s="430"/>
      <c r="U331" s="270"/>
      <c r="V331" s="295"/>
      <c r="W331" s="295"/>
      <c r="X331" s="295"/>
      <c r="Y331" s="295"/>
      <c r="Z331" s="295"/>
      <c r="AA331" s="295"/>
      <c r="AB331" s="295"/>
      <c r="AC331" s="310"/>
      <c r="AD331" s="270"/>
      <c r="AE331" s="270"/>
    </row>
    <row r="332" spans="1:31" s="552" customFormat="1" ht="15.75" x14ac:dyDescent="0.2">
      <c r="A332" s="310"/>
      <c r="B332" s="270"/>
      <c r="C332" s="270"/>
      <c r="D332" s="270"/>
      <c r="E332" s="270"/>
      <c r="F332" s="282"/>
      <c r="G332" s="308"/>
      <c r="H332" s="308"/>
      <c r="I332" s="308"/>
      <c r="J332" s="309"/>
      <c r="K332" s="298"/>
      <c r="L332" s="311"/>
      <c r="M332" s="308"/>
      <c r="N332" s="295"/>
      <c r="O332" s="295"/>
      <c r="P332" s="308"/>
      <c r="Q332" s="308"/>
      <c r="R332" s="536"/>
      <c r="S332" s="295"/>
      <c r="T332" s="430"/>
      <c r="U332" s="270"/>
      <c r="V332" s="295"/>
      <c r="W332" s="295"/>
      <c r="X332" s="295"/>
      <c r="Y332" s="295"/>
      <c r="Z332" s="295"/>
      <c r="AA332" s="295"/>
      <c r="AB332" s="295"/>
      <c r="AC332" s="310"/>
      <c r="AD332" s="270"/>
      <c r="AE332" s="270"/>
    </row>
    <row r="333" spans="1:31" s="552" customFormat="1" ht="15.75" x14ac:dyDescent="0.2">
      <c r="A333" s="310"/>
      <c r="B333" s="270"/>
      <c r="C333" s="270"/>
      <c r="D333" s="270"/>
      <c r="E333" s="270"/>
      <c r="F333" s="282"/>
      <c r="G333" s="308"/>
      <c r="H333" s="308"/>
      <c r="I333" s="308"/>
      <c r="J333" s="309"/>
      <c r="K333" s="298"/>
      <c r="L333" s="311"/>
      <c r="M333" s="308"/>
      <c r="N333" s="295"/>
      <c r="O333" s="295"/>
      <c r="P333" s="308"/>
      <c r="Q333" s="308"/>
      <c r="R333" s="536"/>
      <c r="S333" s="295"/>
      <c r="T333" s="430"/>
      <c r="U333" s="270"/>
      <c r="V333" s="295"/>
      <c r="W333" s="295"/>
      <c r="X333" s="295"/>
      <c r="Y333" s="295"/>
      <c r="Z333" s="295"/>
      <c r="AA333" s="295"/>
      <c r="AB333" s="295"/>
      <c r="AC333" s="310"/>
      <c r="AD333" s="270"/>
      <c r="AE333" s="270"/>
    </row>
    <row r="334" spans="1:31" s="552" customFormat="1" ht="15.75" x14ac:dyDescent="0.2">
      <c r="A334" s="310"/>
      <c r="B334" s="270"/>
      <c r="C334" s="270"/>
      <c r="D334" s="270"/>
      <c r="E334" s="270"/>
      <c r="F334" s="282"/>
      <c r="G334" s="308"/>
      <c r="H334" s="308"/>
      <c r="I334" s="308"/>
      <c r="J334" s="309"/>
      <c r="K334" s="310"/>
      <c r="L334" s="311"/>
      <c r="M334" s="308"/>
      <c r="N334" s="295"/>
      <c r="O334" s="295"/>
      <c r="P334" s="308"/>
      <c r="Q334" s="308"/>
      <c r="R334" s="536"/>
      <c r="S334" s="295"/>
      <c r="T334" s="430"/>
      <c r="U334" s="270"/>
      <c r="V334" s="295"/>
      <c r="W334" s="295"/>
      <c r="X334" s="295"/>
      <c r="Y334" s="295"/>
      <c r="Z334" s="295"/>
      <c r="AA334" s="295"/>
      <c r="AB334" s="295"/>
      <c r="AC334" s="310"/>
      <c r="AD334" s="270"/>
      <c r="AE334" s="270"/>
    </row>
    <row r="335" spans="1:31" s="552" customFormat="1" ht="15.75" x14ac:dyDescent="0.2">
      <c r="A335" s="310"/>
      <c r="B335" s="270"/>
      <c r="C335" s="270"/>
      <c r="D335" s="270"/>
      <c r="E335" s="270"/>
      <c r="F335" s="282"/>
      <c r="G335" s="308"/>
      <c r="H335" s="308"/>
      <c r="I335" s="308"/>
      <c r="J335" s="309"/>
      <c r="K335" s="298"/>
      <c r="L335" s="311"/>
      <c r="M335" s="308"/>
      <c r="N335" s="295"/>
      <c r="O335" s="295"/>
      <c r="P335" s="308"/>
      <c r="Q335" s="308"/>
      <c r="R335" s="536"/>
      <c r="S335" s="295"/>
      <c r="T335" s="430"/>
      <c r="U335" s="270"/>
      <c r="V335" s="295"/>
      <c r="W335" s="295"/>
      <c r="X335" s="295"/>
      <c r="Y335" s="295"/>
      <c r="Z335" s="295"/>
      <c r="AA335" s="295"/>
      <c r="AB335" s="295"/>
      <c r="AC335" s="310"/>
      <c r="AD335" s="270"/>
      <c r="AE335" s="270"/>
    </row>
    <row r="336" spans="1:31" s="552" customFormat="1" ht="15.75" x14ac:dyDescent="0.2">
      <c r="A336" s="310"/>
      <c r="B336" s="270"/>
      <c r="C336" s="270"/>
      <c r="D336" s="270"/>
      <c r="E336" s="270"/>
      <c r="F336" s="282"/>
      <c r="G336" s="308"/>
      <c r="H336" s="308"/>
      <c r="I336" s="308"/>
      <c r="J336" s="309"/>
      <c r="K336" s="298"/>
      <c r="L336" s="311"/>
      <c r="M336" s="308"/>
      <c r="N336" s="295"/>
      <c r="O336" s="295"/>
      <c r="P336" s="308"/>
      <c r="Q336" s="308"/>
      <c r="R336" s="536"/>
      <c r="S336" s="295"/>
      <c r="T336" s="430"/>
      <c r="U336" s="270"/>
      <c r="V336" s="295"/>
      <c r="W336" s="295"/>
      <c r="X336" s="295"/>
      <c r="Y336" s="295"/>
      <c r="Z336" s="295"/>
      <c r="AA336" s="295"/>
      <c r="AB336" s="295"/>
      <c r="AC336" s="310"/>
      <c r="AD336" s="270"/>
      <c r="AE336" s="270"/>
    </row>
    <row r="337" spans="1:31" s="552" customFormat="1" ht="15.75" x14ac:dyDescent="0.2">
      <c r="A337" s="310"/>
      <c r="B337" s="270"/>
      <c r="C337" s="270"/>
      <c r="D337" s="270"/>
      <c r="E337" s="270"/>
      <c r="F337" s="282"/>
      <c r="G337" s="308"/>
      <c r="H337" s="308"/>
      <c r="I337" s="308"/>
      <c r="J337" s="309"/>
      <c r="K337" s="310"/>
      <c r="L337" s="311"/>
      <c r="M337" s="308"/>
      <c r="N337" s="295"/>
      <c r="O337" s="295"/>
      <c r="P337" s="308"/>
      <c r="Q337" s="308"/>
      <c r="R337" s="536"/>
      <c r="S337" s="295"/>
      <c r="T337" s="430"/>
      <c r="U337" s="270"/>
      <c r="V337" s="295"/>
      <c r="W337" s="295"/>
      <c r="X337" s="295"/>
      <c r="Y337" s="295"/>
      <c r="Z337" s="295"/>
      <c r="AA337" s="295"/>
      <c r="AB337" s="295"/>
      <c r="AC337" s="310"/>
      <c r="AD337" s="270"/>
      <c r="AE337" s="270"/>
    </row>
    <row r="338" spans="1:31" s="552" customFormat="1" ht="15.75" x14ac:dyDescent="0.2">
      <c r="A338" s="310"/>
      <c r="B338" s="270"/>
      <c r="C338" s="270"/>
      <c r="D338" s="270"/>
      <c r="E338" s="270"/>
      <c r="F338" s="282"/>
      <c r="G338" s="308"/>
      <c r="H338" s="308"/>
      <c r="I338" s="308"/>
      <c r="J338" s="309"/>
      <c r="K338" s="298"/>
      <c r="L338" s="311"/>
      <c r="M338" s="308"/>
      <c r="N338" s="295"/>
      <c r="O338" s="295"/>
      <c r="P338" s="308"/>
      <c r="Q338" s="308"/>
      <c r="R338" s="536"/>
      <c r="S338" s="295"/>
      <c r="T338" s="430"/>
      <c r="U338" s="270"/>
      <c r="V338" s="295"/>
      <c r="W338" s="295"/>
      <c r="X338" s="295"/>
      <c r="Y338" s="295"/>
      <c r="Z338" s="295"/>
      <c r="AA338" s="295"/>
      <c r="AB338" s="295"/>
      <c r="AC338" s="310"/>
      <c r="AD338" s="270"/>
      <c r="AE338" s="270"/>
    </row>
    <row r="339" spans="1:31" s="552" customFormat="1" ht="15.75" x14ac:dyDescent="0.2">
      <c r="A339" s="310"/>
      <c r="B339" s="270"/>
      <c r="C339" s="270"/>
      <c r="D339" s="270"/>
      <c r="E339" s="270"/>
      <c r="F339" s="282"/>
      <c r="G339" s="308"/>
      <c r="H339" s="308"/>
      <c r="I339" s="308"/>
      <c r="J339" s="309"/>
      <c r="K339" s="298"/>
      <c r="L339" s="311"/>
      <c r="M339" s="308"/>
      <c r="N339" s="295"/>
      <c r="O339" s="295"/>
      <c r="P339" s="308"/>
      <c r="Q339" s="308"/>
      <c r="R339" s="536"/>
      <c r="S339" s="295"/>
      <c r="T339" s="430"/>
      <c r="U339" s="270"/>
      <c r="V339" s="295"/>
      <c r="W339" s="295"/>
      <c r="X339" s="295"/>
      <c r="Y339" s="295"/>
      <c r="Z339" s="295"/>
      <c r="AA339" s="295"/>
      <c r="AB339" s="295"/>
      <c r="AC339" s="310"/>
      <c r="AD339" s="270"/>
      <c r="AE339" s="270"/>
    </row>
    <row r="340" spans="1:31" s="552" customFormat="1" ht="15.75" x14ac:dyDescent="0.2">
      <c r="A340" s="310"/>
      <c r="B340" s="270"/>
      <c r="C340" s="270"/>
      <c r="D340" s="270"/>
      <c r="E340" s="270"/>
      <c r="F340" s="282"/>
      <c r="G340" s="308"/>
      <c r="H340" s="308"/>
      <c r="I340" s="308"/>
      <c r="J340" s="309"/>
      <c r="K340" s="310"/>
      <c r="L340" s="311"/>
      <c r="M340" s="308"/>
      <c r="N340" s="295"/>
      <c r="O340" s="295"/>
      <c r="P340" s="308"/>
      <c r="Q340" s="308"/>
      <c r="R340" s="536"/>
      <c r="S340" s="295"/>
      <c r="T340" s="430"/>
      <c r="U340" s="270"/>
      <c r="V340" s="295"/>
      <c r="W340" s="295"/>
      <c r="X340" s="295"/>
      <c r="Y340" s="295"/>
      <c r="Z340" s="295"/>
      <c r="AA340" s="295"/>
      <c r="AB340" s="295"/>
      <c r="AC340" s="310"/>
      <c r="AD340" s="270"/>
      <c r="AE340" s="270"/>
    </row>
    <row r="341" spans="1:31" s="552" customFormat="1" ht="15.75" x14ac:dyDescent="0.2">
      <c r="A341" s="310"/>
      <c r="B341" s="270"/>
      <c r="C341" s="270"/>
      <c r="D341" s="270"/>
      <c r="E341" s="270"/>
      <c r="F341" s="282"/>
      <c r="G341" s="308"/>
      <c r="H341" s="308"/>
      <c r="I341" s="308"/>
      <c r="J341" s="309"/>
      <c r="K341" s="310"/>
      <c r="L341" s="311"/>
      <c r="M341" s="308"/>
      <c r="N341" s="295"/>
      <c r="O341" s="295"/>
      <c r="P341" s="308"/>
      <c r="Q341" s="308"/>
      <c r="R341" s="536"/>
      <c r="S341" s="295"/>
      <c r="T341" s="430"/>
      <c r="U341" s="270"/>
      <c r="V341" s="295"/>
      <c r="W341" s="295"/>
      <c r="X341" s="295"/>
      <c r="Y341" s="295"/>
      <c r="Z341" s="295"/>
      <c r="AA341" s="295"/>
      <c r="AB341" s="295"/>
      <c r="AC341" s="310"/>
      <c r="AD341" s="270"/>
      <c r="AE341" s="270"/>
    </row>
    <row r="342" spans="1:31" s="552" customFormat="1" ht="15.75" x14ac:dyDescent="0.2">
      <c r="A342" s="310"/>
      <c r="B342" s="270"/>
      <c r="C342" s="270"/>
      <c r="D342" s="270"/>
      <c r="E342" s="270"/>
      <c r="F342" s="282"/>
      <c r="G342" s="308"/>
      <c r="H342" s="308"/>
      <c r="I342" s="308"/>
      <c r="J342" s="309"/>
      <c r="K342" s="310"/>
      <c r="L342" s="311"/>
      <c r="M342" s="308"/>
      <c r="N342" s="295"/>
      <c r="O342" s="295"/>
      <c r="P342" s="308"/>
      <c r="Q342" s="308"/>
      <c r="R342" s="536"/>
      <c r="S342" s="295"/>
      <c r="T342" s="430"/>
      <c r="U342" s="270"/>
      <c r="V342" s="295"/>
      <c r="W342" s="295"/>
      <c r="X342" s="295"/>
      <c r="Y342" s="295"/>
      <c r="Z342" s="295"/>
      <c r="AA342" s="295"/>
      <c r="AB342" s="295"/>
      <c r="AC342" s="310"/>
      <c r="AD342" s="270"/>
      <c r="AE342" s="270"/>
    </row>
    <row r="343" spans="1:31" s="552" customFormat="1" ht="15.75" x14ac:dyDescent="0.2">
      <c r="A343" s="310"/>
      <c r="B343" s="270"/>
      <c r="C343" s="270"/>
      <c r="D343" s="270"/>
      <c r="E343" s="270"/>
      <c r="F343" s="282"/>
      <c r="G343" s="308"/>
      <c r="H343" s="308"/>
      <c r="I343" s="308"/>
      <c r="J343" s="309"/>
      <c r="K343" s="310"/>
      <c r="L343" s="311"/>
      <c r="M343" s="308"/>
      <c r="N343" s="295"/>
      <c r="O343" s="295"/>
      <c r="P343" s="308"/>
      <c r="Q343" s="308"/>
      <c r="R343" s="536"/>
      <c r="S343" s="295"/>
      <c r="T343" s="430"/>
      <c r="U343" s="270"/>
      <c r="V343" s="295"/>
      <c r="W343" s="295"/>
      <c r="X343" s="295"/>
      <c r="Y343" s="295"/>
      <c r="Z343" s="295"/>
      <c r="AA343" s="295"/>
      <c r="AB343" s="295"/>
      <c r="AC343" s="310"/>
      <c r="AD343" s="270"/>
      <c r="AE343" s="270"/>
    </row>
    <row r="344" spans="1:31" s="552" customFormat="1" ht="15.75" x14ac:dyDescent="0.2">
      <c r="A344" s="310"/>
      <c r="B344" s="270"/>
      <c r="C344" s="270"/>
      <c r="D344" s="270"/>
      <c r="E344" s="270"/>
      <c r="F344" s="282"/>
      <c r="G344" s="308"/>
      <c r="H344" s="308"/>
      <c r="I344" s="308"/>
      <c r="J344" s="309"/>
      <c r="K344" s="310"/>
      <c r="L344" s="311"/>
      <c r="M344" s="308"/>
      <c r="N344" s="295"/>
      <c r="O344" s="295"/>
      <c r="P344" s="308"/>
      <c r="Q344" s="308"/>
      <c r="R344" s="536"/>
      <c r="S344" s="295"/>
      <c r="T344" s="430"/>
      <c r="U344" s="270"/>
      <c r="V344" s="295"/>
      <c r="W344" s="295"/>
      <c r="X344" s="295"/>
      <c r="Y344" s="295"/>
      <c r="Z344" s="295"/>
      <c r="AA344" s="295"/>
      <c r="AB344" s="295"/>
      <c r="AC344" s="310"/>
      <c r="AD344" s="270"/>
      <c r="AE344" s="270"/>
    </row>
    <row r="345" spans="1:31" s="552" customFormat="1" ht="15.75" x14ac:dyDescent="0.2">
      <c r="A345" s="310"/>
      <c r="B345" s="270"/>
      <c r="C345" s="270"/>
      <c r="D345" s="270"/>
      <c r="E345" s="270"/>
      <c r="F345" s="282"/>
      <c r="G345" s="308"/>
      <c r="H345" s="308"/>
      <c r="I345" s="308"/>
      <c r="J345" s="309"/>
      <c r="K345" s="310"/>
      <c r="L345" s="311"/>
      <c r="M345" s="308"/>
      <c r="N345" s="295"/>
      <c r="O345" s="295"/>
      <c r="P345" s="308"/>
      <c r="Q345" s="308"/>
      <c r="R345" s="536"/>
      <c r="S345" s="295"/>
      <c r="T345" s="430"/>
      <c r="U345" s="270"/>
      <c r="V345" s="295"/>
      <c r="W345" s="295"/>
      <c r="X345" s="295"/>
      <c r="Y345" s="295"/>
      <c r="Z345" s="295"/>
      <c r="AA345" s="295"/>
      <c r="AB345" s="295"/>
      <c r="AC345" s="310"/>
      <c r="AD345" s="270"/>
      <c r="AE345" s="270"/>
    </row>
    <row r="346" spans="1:31" s="552" customFormat="1" ht="15.75" x14ac:dyDescent="0.2">
      <c r="A346" s="310"/>
      <c r="B346" s="270"/>
      <c r="C346" s="270"/>
      <c r="D346" s="270"/>
      <c r="E346" s="270"/>
      <c r="F346" s="282"/>
      <c r="G346" s="308"/>
      <c r="H346" s="308"/>
      <c r="I346" s="308"/>
      <c r="J346" s="309"/>
      <c r="K346" s="310"/>
      <c r="L346" s="311"/>
      <c r="M346" s="308"/>
      <c r="N346" s="295"/>
      <c r="O346" s="295"/>
      <c r="P346" s="308"/>
      <c r="Q346" s="308"/>
      <c r="R346" s="536"/>
      <c r="S346" s="295"/>
      <c r="T346" s="430"/>
      <c r="U346" s="270"/>
      <c r="V346" s="295"/>
      <c r="W346" s="295"/>
      <c r="X346" s="295"/>
      <c r="Y346" s="295"/>
      <c r="Z346" s="295"/>
      <c r="AA346" s="295"/>
      <c r="AB346" s="295"/>
      <c r="AC346" s="310"/>
      <c r="AD346" s="270"/>
      <c r="AE346" s="270"/>
    </row>
    <row r="347" spans="1:31" s="552" customFormat="1" ht="15.75" x14ac:dyDescent="0.2">
      <c r="A347" s="310"/>
      <c r="B347" s="270"/>
      <c r="C347" s="270"/>
      <c r="D347" s="270"/>
      <c r="E347" s="270"/>
      <c r="F347" s="282"/>
      <c r="G347" s="308"/>
      <c r="H347" s="308"/>
      <c r="I347" s="308"/>
      <c r="J347" s="309"/>
      <c r="K347" s="298"/>
      <c r="L347" s="311"/>
      <c r="M347" s="308"/>
      <c r="N347" s="295"/>
      <c r="O347" s="295"/>
      <c r="P347" s="308"/>
      <c r="Q347" s="308"/>
      <c r="R347" s="536"/>
      <c r="S347" s="295"/>
      <c r="T347" s="430"/>
      <c r="U347" s="270"/>
      <c r="V347" s="295"/>
      <c r="W347" s="295"/>
      <c r="X347" s="295"/>
      <c r="Y347" s="295"/>
      <c r="Z347" s="295"/>
      <c r="AA347" s="295"/>
      <c r="AB347" s="295"/>
      <c r="AC347" s="310"/>
      <c r="AD347" s="270"/>
      <c r="AE347" s="270"/>
    </row>
    <row r="348" spans="1:31" s="549" customFormat="1" ht="15.75" x14ac:dyDescent="0.2">
      <c r="A348" s="310"/>
      <c r="B348" s="295"/>
      <c r="C348" s="295"/>
      <c r="D348" s="295"/>
      <c r="E348" s="295"/>
      <c r="F348" s="296"/>
      <c r="G348" s="308"/>
      <c r="H348" s="308"/>
      <c r="I348" s="308"/>
      <c r="J348" s="309"/>
      <c r="K348" s="298"/>
      <c r="L348" s="311"/>
      <c r="M348" s="295"/>
      <c r="N348" s="295"/>
      <c r="O348" s="295"/>
      <c r="P348" s="308"/>
      <c r="Q348" s="308"/>
      <c r="R348" s="536"/>
      <c r="S348" s="295"/>
      <c r="T348" s="430"/>
      <c r="U348" s="300"/>
      <c r="V348" s="295"/>
      <c r="W348" s="295"/>
      <c r="X348" s="295"/>
      <c r="Y348" s="295"/>
      <c r="Z348" s="295"/>
      <c r="AA348" s="295"/>
      <c r="AB348" s="295"/>
      <c r="AC348" s="310"/>
      <c r="AD348" s="295"/>
      <c r="AE348" s="295"/>
    </row>
    <row r="349" spans="1:31" s="549" customFormat="1" ht="15.75" x14ac:dyDescent="0.2">
      <c r="A349" s="310"/>
      <c r="B349" s="295"/>
      <c r="C349" s="295"/>
      <c r="D349" s="295"/>
      <c r="E349" s="295"/>
      <c r="F349" s="296"/>
      <c r="G349" s="308"/>
      <c r="H349" s="308"/>
      <c r="I349" s="308"/>
      <c r="J349" s="309"/>
      <c r="K349" s="310"/>
      <c r="L349" s="311"/>
      <c r="M349" s="295"/>
      <c r="N349" s="295"/>
      <c r="O349" s="295"/>
      <c r="P349" s="308"/>
      <c r="Q349" s="308"/>
      <c r="R349" s="536"/>
      <c r="S349" s="295"/>
      <c r="T349" s="430"/>
      <c r="U349" s="300"/>
      <c r="V349" s="295"/>
      <c r="W349" s="295"/>
      <c r="X349" s="295"/>
      <c r="Y349" s="295"/>
      <c r="Z349" s="295"/>
      <c r="AA349" s="295"/>
      <c r="AB349" s="295"/>
      <c r="AC349" s="310"/>
      <c r="AD349" s="295"/>
      <c r="AE349" s="295"/>
    </row>
    <row r="350" spans="1:31" s="549" customFormat="1" ht="15.75" x14ac:dyDescent="0.2">
      <c r="A350" s="310"/>
      <c r="B350" s="295"/>
      <c r="C350" s="295"/>
      <c r="D350" s="295"/>
      <c r="E350" s="295"/>
      <c r="F350" s="296"/>
      <c r="G350" s="308"/>
      <c r="H350" s="308"/>
      <c r="I350" s="308"/>
      <c r="J350" s="309"/>
      <c r="K350" s="298"/>
      <c r="L350" s="311"/>
      <c r="M350" s="308"/>
      <c r="N350" s="295"/>
      <c r="O350" s="295"/>
      <c r="P350" s="308"/>
      <c r="Q350" s="308"/>
      <c r="R350" s="536"/>
      <c r="S350" s="295"/>
      <c r="T350" s="430"/>
      <c r="U350" s="300"/>
      <c r="V350" s="295"/>
      <c r="W350" s="295"/>
      <c r="X350" s="295"/>
      <c r="Y350" s="295"/>
      <c r="Z350" s="295"/>
      <c r="AA350" s="295"/>
      <c r="AB350" s="295"/>
      <c r="AC350" s="310"/>
      <c r="AD350" s="295"/>
      <c r="AE350" s="295"/>
    </row>
    <row r="351" spans="1:31" s="552" customFormat="1" ht="15.75" x14ac:dyDescent="0.2">
      <c r="A351" s="310"/>
      <c r="B351" s="270"/>
      <c r="C351" s="270"/>
      <c r="D351" s="270"/>
      <c r="E351" s="270"/>
      <c r="F351" s="282"/>
      <c r="G351" s="308"/>
      <c r="H351" s="308"/>
      <c r="I351" s="308"/>
      <c r="J351" s="309"/>
      <c r="K351" s="310"/>
      <c r="L351" s="311"/>
      <c r="M351" s="308"/>
      <c r="N351" s="295"/>
      <c r="O351" s="295"/>
      <c r="P351" s="308"/>
      <c r="Q351" s="308"/>
      <c r="R351" s="536"/>
      <c r="S351" s="295"/>
      <c r="T351" s="430"/>
      <c r="U351" s="270"/>
      <c r="V351" s="295"/>
      <c r="W351" s="295"/>
      <c r="X351" s="295"/>
      <c r="Y351" s="295"/>
      <c r="Z351" s="295"/>
      <c r="AA351" s="295"/>
      <c r="AB351" s="295"/>
      <c r="AC351" s="310"/>
      <c r="AD351" s="270"/>
      <c r="AE351" s="270"/>
    </row>
    <row r="352" spans="1:31" s="552" customFormat="1" ht="15.75" x14ac:dyDescent="0.2">
      <c r="A352" s="310"/>
      <c r="B352" s="270"/>
      <c r="C352" s="270"/>
      <c r="D352" s="270"/>
      <c r="E352" s="270"/>
      <c r="F352" s="282"/>
      <c r="G352" s="308"/>
      <c r="H352" s="308"/>
      <c r="I352" s="308"/>
      <c r="J352" s="309"/>
      <c r="K352" s="310"/>
      <c r="L352" s="311"/>
      <c r="M352" s="308"/>
      <c r="N352" s="295"/>
      <c r="O352" s="295"/>
      <c r="P352" s="308"/>
      <c r="Q352" s="308"/>
      <c r="R352" s="536"/>
      <c r="S352" s="295"/>
      <c r="T352" s="430"/>
      <c r="U352" s="270"/>
      <c r="V352" s="295"/>
      <c r="W352" s="295"/>
      <c r="X352" s="295"/>
      <c r="Y352" s="295"/>
      <c r="Z352" s="295"/>
      <c r="AA352" s="295"/>
      <c r="AB352" s="295"/>
      <c r="AC352" s="310"/>
      <c r="AD352" s="270"/>
      <c r="AE352" s="270"/>
    </row>
    <row r="353" spans="1:31" s="552" customFormat="1" ht="15.75" x14ac:dyDescent="0.2">
      <c r="A353" s="310"/>
      <c r="B353" s="270"/>
      <c r="C353" s="270"/>
      <c r="D353" s="270"/>
      <c r="E353" s="270"/>
      <c r="F353" s="282"/>
      <c r="G353" s="308"/>
      <c r="H353" s="308"/>
      <c r="I353" s="308"/>
      <c r="J353" s="309"/>
      <c r="K353" s="310"/>
      <c r="L353" s="311"/>
      <c r="M353" s="308"/>
      <c r="N353" s="295"/>
      <c r="O353" s="295"/>
      <c r="P353" s="308"/>
      <c r="Q353" s="308"/>
      <c r="R353" s="536"/>
      <c r="S353" s="295"/>
      <c r="T353" s="430"/>
      <c r="U353" s="270"/>
      <c r="V353" s="295"/>
      <c r="W353" s="295"/>
      <c r="X353" s="295"/>
      <c r="Y353" s="295"/>
      <c r="Z353" s="295"/>
      <c r="AA353" s="295"/>
      <c r="AB353" s="295"/>
      <c r="AC353" s="310"/>
      <c r="AD353" s="270"/>
      <c r="AE353" s="270"/>
    </row>
    <row r="354" spans="1:31" s="552" customFormat="1" ht="15.75" x14ac:dyDescent="0.2">
      <c r="A354" s="310"/>
      <c r="B354" s="270"/>
      <c r="C354" s="270"/>
      <c r="D354" s="270"/>
      <c r="E354" s="270"/>
      <c r="F354" s="282"/>
      <c r="G354" s="308"/>
      <c r="H354" s="308"/>
      <c r="I354" s="308"/>
      <c r="J354" s="309"/>
      <c r="K354" s="310"/>
      <c r="L354" s="311"/>
      <c r="M354" s="308"/>
      <c r="N354" s="295"/>
      <c r="O354" s="295"/>
      <c r="P354" s="308"/>
      <c r="Q354" s="308"/>
      <c r="R354" s="536"/>
      <c r="S354" s="295"/>
      <c r="T354" s="430"/>
      <c r="U354" s="270"/>
      <c r="V354" s="295"/>
      <c r="W354" s="295"/>
      <c r="X354" s="295"/>
      <c r="Y354" s="295"/>
      <c r="Z354" s="295"/>
      <c r="AA354" s="295"/>
      <c r="AB354" s="295"/>
      <c r="AC354" s="310"/>
      <c r="AD354" s="270"/>
      <c r="AE354" s="270"/>
    </row>
    <row r="355" spans="1:31" s="549" customFormat="1" ht="15.75" x14ac:dyDescent="0.2">
      <c r="A355" s="310"/>
      <c r="B355" s="295"/>
      <c r="C355" s="295"/>
      <c r="D355" s="295"/>
      <c r="E355" s="295"/>
      <c r="F355" s="296"/>
      <c r="G355" s="308"/>
      <c r="H355" s="308"/>
      <c r="I355" s="308"/>
      <c r="J355" s="309"/>
      <c r="K355" s="298"/>
      <c r="L355" s="311"/>
      <c r="M355" s="308"/>
      <c r="N355" s="295"/>
      <c r="O355" s="295"/>
      <c r="P355" s="308"/>
      <c r="Q355" s="308"/>
      <c r="R355" s="536"/>
      <c r="S355" s="295"/>
      <c r="T355" s="430"/>
      <c r="U355" s="300"/>
      <c r="V355" s="295"/>
      <c r="W355" s="295"/>
      <c r="X355" s="295"/>
      <c r="Y355" s="295"/>
      <c r="Z355" s="295"/>
      <c r="AA355" s="295"/>
      <c r="AB355" s="295"/>
      <c r="AC355" s="310"/>
      <c r="AD355" s="295"/>
      <c r="AE355" s="295"/>
    </row>
    <row r="356" spans="1:31" s="549" customFormat="1" ht="15.75" x14ac:dyDescent="0.2">
      <c r="A356" s="310"/>
      <c r="B356" s="295"/>
      <c r="C356" s="295"/>
      <c r="D356" s="295"/>
      <c r="E356" s="295"/>
      <c r="F356" s="296"/>
      <c r="G356" s="308"/>
      <c r="H356" s="308"/>
      <c r="I356" s="308"/>
      <c r="J356" s="309"/>
      <c r="K356" s="310"/>
      <c r="L356" s="311"/>
      <c r="M356" s="308"/>
      <c r="N356" s="295"/>
      <c r="O356" s="295"/>
      <c r="P356" s="308"/>
      <c r="Q356" s="308"/>
      <c r="R356" s="536"/>
      <c r="S356" s="295"/>
      <c r="T356" s="430"/>
      <c r="U356" s="300"/>
      <c r="V356" s="295"/>
      <c r="W356" s="295"/>
      <c r="X356" s="295"/>
      <c r="Y356" s="295"/>
      <c r="Z356" s="295"/>
      <c r="AA356" s="295"/>
      <c r="AB356" s="295"/>
      <c r="AC356" s="310"/>
      <c r="AD356" s="295"/>
      <c r="AE356" s="295"/>
    </row>
    <row r="357" spans="1:31" s="549" customFormat="1" ht="15.75" x14ac:dyDescent="0.2">
      <c r="A357" s="310"/>
      <c r="B357" s="295"/>
      <c r="C357" s="295"/>
      <c r="D357" s="295"/>
      <c r="E357" s="295"/>
      <c r="F357" s="296"/>
      <c r="G357" s="308"/>
      <c r="H357" s="308"/>
      <c r="I357" s="308"/>
      <c r="J357" s="309"/>
      <c r="K357" s="298"/>
      <c r="L357" s="311"/>
      <c r="M357" s="308"/>
      <c r="N357" s="295"/>
      <c r="O357" s="295"/>
      <c r="P357" s="308"/>
      <c r="Q357" s="308"/>
      <c r="R357" s="536"/>
      <c r="S357" s="295"/>
      <c r="T357" s="430"/>
      <c r="U357" s="300"/>
      <c r="V357" s="295"/>
      <c r="W357" s="295"/>
      <c r="X357" s="295"/>
      <c r="Y357" s="295"/>
      <c r="Z357" s="295"/>
      <c r="AA357" s="295"/>
      <c r="AB357" s="295"/>
      <c r="AC357" s="310"/>
      <c r="AD357" s="295"/>
      <c r="AE357" s="295"/>
    </row>
    <row r="358" spans="1:31" s="549" customFormat="1" ht="15.75" x14ac:dyDescent="0.2">
      <c r="A358" s="310"/>
      <c r="B358" s="295"/>
      <c r="C358" s="295"/>
      <c r="D358" s="295"/>
      <c r="E358" s="295"/>
      <c r="F358" s="296"/>
      <c r="G358" s="308"/>
      <c r="H358" s="308"/>
      <c r="I358" s="308"/>
      <c r="J358" s="309"/>
      <c r="K358" s="298"/>
      <c r="L358" s="311"/>
      <c r="M358" s="308"/>
      <c r="N358" s="295"/>
      <c r="O358" s="295"/>
      <c r="P358" s="308"/>
      <c r="Q358" s="308"/>
      <c r="R358" s="536"/>
      <c r="S358" s="295"/>
      <c r="T358" s="430"/>
      <c r="U358" s="300"/>
      <c r="V358" s="295"/>
      <c r="W358" s="295"/>
      <c r="X358" s="295"/>
      <c r="Y358" s="295"/>
      <c r="Z358" s="295"/>
      <c r="AA358" s="295"/>
      <c r="AB358" s="295"/>
      <c r="AC358" s="310"/>
      <c r="AD358" s="295"/>
      <c r="AE358" s="295"/>
    </row>
    <row r="359" spans="1:31" s="549" customFormat="1" ht="15.75" x14ac:dyDescent="0.2">
      <c r="A359" s="310"/>
      <c r="B359" s="295"/>
      <c r="C359" s="295"/>
      <c r="D359" s="295"/>
      <c r="E359" s="295"/>
      <c r="F359" s="296"/>
      <c r="G359" s="308"/>
      <c r="H359" s="308"/>
      <c r="I359" s="308"/>
      <c r="J359" s="309"/>
      <c r="K359" s="310"/>
      <c r="L359" s="311"/>
      <c r="M359" s="308"/>
      <c r="N359" s="295"/>
      <c r="O359" s="295"/>
      <c r="P359" s="308"/>
      <c r="Q359" s="308"/>
      <c r="R359" s="536"/>
      <c r="S359" s="295"/>
      <c r="T359" s="430"/>
      <c r="U359" s="300"/>
      <c r="V359" s="295"/>
      <c r="W359" s="295"/>
      <c r="X359" s="295"/>
      <c r="Y359" s="295"/>
      <c r="Z359" s="295"/>
      <c r="AA359" s="295"/>
      <c r="AB359" s="295"/>
      <c r="AC359" s="310"/>
      <c r="AD359" s="295"/>
      <c r="AE359" s="295"/>
    </row>
    <row r="360" spans="1:31" s="549" customFormat="1" ht="15.75" x14ac:dyDescent="0.2">
      <c r="A360" s="310"/>
      <c r="B360" s="295"/>
      <c r="C360" s="295"/>
      <c r="D360" s="295"/>
      <c r="E360" s="295"/>
      <c r="F360" s="296"/>
      <c r="G360" s="308"/>
      <c r="H360" s="308"/>
      <c r="I360" s="308"/>
      <c r="J360" s="309"/>
      <c r="K360" s="298"/>
      <c r="L360" s="311"/>
      <c r="M360" s="308"/>
      <c r="N360" s="295"/>
      <c r="O360" s="295"/>
      <c r="P360" s="308"/>
      <c r="Q360" s="308"/>
      <c r="R360" s="536"/>
      <c r="S360" s="295"/>
      <c r="T360" s="430"/>
      <c r="U360" s="300"/>
      <c r="V360" s="295"/>
      <c r="W360" s="295"/>
      <c r="X360" s="295"/>
      <c r="Y360" s="295"/>
      <c r="Z360" s="295"/>
      <c r="AA360" s="295"/>
      <c r="AB360" s="295"/>
      <c r="AC360" s="310"/>
      <c r="AD360" s="295"/>
      <c r="AE360" s="295"/>
    </row>
    <row r="361" spans="1:31" s="549" customFormat="1" ht="15.75" x14ac:dyDescent="0.2">
      <c r="A361" s="310"/>
      <c r="B361" s="295"/>
      <c r="C361" s="295"/>
      <c r="D361" s="295"/>
      <c r="E361" s="295"/>
      <c r="F361" s="296"/>
      <c r="G361" s="308"/>
      <c r="H361" s="308"/>
      <c r="I361" s="308"/>
      <c r="J361" s="309"/>
      <c r="K361" s="298"/>
      <c r="L361" s="311"/>
      <c r="M361" s="308"/>
      <c r="N361" s="295"/>
      <c r="O361" s="295"/>
      <c r="P361" s="308"/>
      <c r="Q361" s="308"/>
      <c r="R361" s="536"/>
      <c r="S361" s="295"/>
      <c r="T361" s="430"/>
      <c r="U361" s="300"/>
      <c r="V361" s="295"/>
      <c r="W361" s="295"/>
      <c r="X361" s="295"/>
      <c r="Y361" s="295"/>
      <c r="Z361" s="295"/>
      <c r="AA361" s="295"/>
      <c r="AB361" s="295"/>
      <c r="AC361" s="310"/>
      <c r="AD361" s="295"/>
      <c r="AE361" s="295"/>
    </row>
    <row r="362" spans="1:31" s="549" customFormat="1" ht="15.75" x14ac:dyDescent="0.2">
      <c r="A362" s="310"/>
      <c r="B362" s="295"/>
      <c r="C362" s="295"/>
      <c r="D362" s="295"/>
      <c r="E362" s="295"/>
      <c r="F362" s="296"/>
      <c r="G362" s="308"/>
      <c r="H362" s="308"/>
      <c r="I362" s="308"/>
      <c r="J362" s="309"/>
      <c r="K362" s="310"/>
      <c r="L362" s="311"/>
      <c r="M362" s="308"/>
      <c r="N362" s="295"/>
      <c r="O362" s="295"/>
      <c r="P362" s="308"/>
      <c r="Q362" s="308"/>
      <c r="R362" s="536"/>
      <c r="S362" s="295"/>
      <c r="T362" s="430"/>
      <c r="U362" s="300"/>
      <c r="V362" s="295"/>
      <c r="W362" s="295"/>
      <c r="X362" s="295"/>
      <c r="Y362" s="295"/>
      <c r="Z362" s="295"/>
      <c r="AA362" s="295"/>
      <c r="AB362" s="295"/>
      <c r="AC362" s="310"/>
      <c r="AD362" s="295"/>
      <c r="AE362" s="295"/>
    </row>
    <row r="363" spans="1:31" s="549" customFormat="1" ht="15.75" x14ac:dyDescent="0.2">
      <c r="A363" s="310"/>
      <c r="B363" s="295"/>
      <c r="C363" s="295"/>
      <c r="D363" s="295"/>
      <c r="E363" s="295"/>
      <c r="F363" s="296"/>
      <c r="G363" s="308"/>
      <c r="H363" s="308"/>
      <c r="I363" s="308"/>
      <c r="J363" s="309"/>
      <c r="K363" s="298"/>
      <c r="L363" s="311"/>
      <c r="M363" s="308"/>
      <c r="N363" s="295"/>
      <c r="O363" s="295"/>
      <c r="P363" s="308"/>
      <c r="Q363" s="308"/>
      <c r="R363" s="536"/>
      <c r="S363" s="295"/>
      <c r="T363" s="430"/>
      <c r="U363" s="300"/>
      <c r="V363" s="295"/>
      <c r="W363" s="295"/>
      <c r="X363" s="295"/>
      <c r="Y363" s="295"/>
      <c r="Z363" s="295"/>
      <c r="AA363" s="295"/>
      <c r="AB363" s="295"/>
      <c r="AC363" s="310"/>
      <c r="AD363" s="295"/>
      <c r="AE363" s="295"/>
    </row>
    <row r="364" spans="1:31" s="549" customFormat="1" ht="15.75" customHeight="1" x14ac:dyDescent="0.2">
      <c r="A364" s="310"/>
      <c r="B364" s="295"/>
      <c r="C364" s="295"/>
      <c r="D364" s="295"/>
      <c r="E364" s="295"/>
      <c r="F364" s="296"/>
      <c r="G364" s="308"/>
      <c r="H364" s="308"/>
      <c r="I364" s="308"/>
      <c r="J364" s="309"/>
      <c r="K364" s="298"/>
      <c r="L364" s="311"/>
      <c r="M364" s="308"/>
      <c r="N364" s="295"/>
      <c r="O364" s="295"/>
      <c r="P364" s="308"/>
      <c r="Q364" s="308"/>
      <c r="R364" s="536"/>
      <c r="S364" s="295"/>
      <c r="T364" s="430"/>
      <c r="U364" s="300"/>
      <c r="V364" s="295"/>
      <c r="W364" s="295"/>
      <c r="X364" s="295"/>
      <c r="Y364" s="295"/>
      <c r="Z364" s="295"/>
      <c r="AA364" s="295"/>
      <c r="AB364" s="295"/>
      <c r="AC364" s="310"/>
      <c r="AD364" s="295"/>
      <c r="AE364" s="295"/>
    </row>
    <row r="365" spans="1:31" s="549" customFormat="1" ht="15.75" x14ac:dyDescent="0.2">
      <c r="A365" s="310"/>
      <c r="B365" s="295"/>
      <c r="C365" s="295"/>
      <c r="D365" s="295"/>
      <c r="E365" s="295"/>
      <c r="F365" s="296"/>
      <c r="G365" s="308"/>
      <c r="H365" s="308"/>
      <c r="I365" s="308"/>
      <c r="J365" s="309"/>
      <c r="K365" s="310"/>
      <c r="L365" s="311"/>
      <c r="M365" s="308"/>
      <c r="N365" s="295"/>
      <c r="O365" s="295"/>
      <c r="P365" s="308"/>
      <c r="Q365" s="308"/>
      <c r="R365" s="536"/>
      <c r="S365" s="295"/>
      <c r="T365" s="430"/>
      <c r="U365" s="300"/>
      <c r="V365" s="295"/>
      <c r="W365" s="295"/>
      <c r="X365" s="295"/>
      <c r="Y365" s="295"/>
      <c r="Z365" s="295"/>
      <c r="AA365" s="295"/>
      <c r="AB365" s="295"/>
      <c r="AC365" s="310"/>
      <c r="AD365" s="295"/>
      <c r="AE365" s="295"/>
    </row>
    <row r="366" spans="1:31" s="549" customFormat="1" ht="15.75" x14ac:dyDescent="0.2">
      <c r="A366" s="310"/>
      <c r="B366" s="295"/>
      <c r="C366" s="295"/>
      <c r="D366" s="295"/>
      <c r="E366" s="295"/>
      <c r="F366" s="296"/>
      <c r="G366" s="308"/>
      <c r="H366" s="308"/>
      <c r="I366" s="308"/>
      <c r="J366" s="309"/>
      <c r="K366" s="298"/>
      <c r="L366" s="311"/>
      <c r="M366" s="308"/>
      <c r="N366" s="295"/>
      <c r="O366" s="295"/>
      <c r="P366" s="308"/>
      <c r="Q366" s="308"/>
      <c r="R366" s="536"/>
      <c r="S366" s="295"/>
      <c r="T366" s="430"/>
      <c r="U366" s="300"/>
      <c r="V366" s="295"/>
      <c r="W366" s="295"/>
      <c r="X366" s="295"/>
      <c r="Y366" s="295"/>
      <c r="Z366" s="295"/>
      <c r="AA366" s="295"/>
      <c r="AB366" s="295"/>
      <c r="AC366" s="310"/>
      <c r="AD366" s="295"/>
      <c r="AE366" s="295"/>
    </row>
    <row r="367" spans="1:31" s="549" customFormat="1" ht="15.75" x14ac:dyDescent="0.2">
      <c r="A367" s="310"/>
      <c r="B367" s="295"/>
      <c r="C367" s="295"/>
      <c r="D367" s="295"/>
      <c r="E367" s="295"/>
      <c r="F367" s="296"/>
      <c r="G367" s="308"/>
      <c r="H367" s="308"/>
      <c r="I367" s="308"/>
      <c r="J367" s="309"/>
      <c r="K367" s="298"/>
      <c r="L367" s="311"/>
      <c r="M367" s="308"/>
      <c r="N367" s="295"/>
      <c r="O367" s="295"/>
      <c r="P367" s="308"/>
      <c r="Q367" s="308"/>
      <c r="R367" s="536"/>
      <c r="S367" s="295"/>
      <c r="T367" s="430"/>
      <c r="U367" s="300"/>
      <c r="V367" s="295"/>
      <c r="W367" s="295"/>
      <c r="X367" s="295"/>
      <c r="Y367" s="295"/>
      <c r="Z367" s="295"/>
      <c r="AA367" s="295"/>
      <c r="AB367" s="295"/>
      <c r="AC367" s="310"/>
      <c r="AD367" s="295"/>
      <c r="AE367" s="295"/>
    </row>
    <row r="368" spans="1:31" s="549" customFormat="1" ht="15.75" x14ac:dyDescent="0.2">
      <c r="A368" s="310"/>
      <c r="B368" s="295"/>
      <c r="C368" s="295"/>
      <c r="D368" s="295"/>
      <c r="E368" s="295"/>
      <c r="F368" s="296"/>
      <c r="G368" s="308"/>
      <c r="H368" s="308"/>
      <c r="I368" s="308"/>
      <c r="J368" s="309"/>
      <c r="K368" s="310"/>
      <c r="L368" s="311"/>
      <c r="M368" s="308"/>
      <c r="N368" s="295"/>
      <c r="O368" s="295"/>
      <c r="P368" s="308"/>
      <c r="Q368" s="308"/>
      <c r="R368" s="536"/>
      <c r="S368" s="295"/>
      <c r="T368" s="430"/>
      <c r="U368" s="300"/>
      <c r="V368" s="295"/>
      <c r="W368" s="295"/>
      <c r="X368" s="295"/>
      <c r="Y368" s="295"/>
      <c r="Z368" s="295"/>
      <c r="AA368" s="295"/>
      <c r="AB368" s="295"/>
      <c r="AC368" s="310"/>
      <c r="AD368" s="295"/>
      <c r="AE368" s="295"/>
    </row>
    <row r="369" spans="1:31" s="549" customFormat="1" ht="15.75" x14ac:dyDescent="0.2">
      <c r="A369" s="310"/>
      <c r="B369" s="295"/>
      <c r="C369" s="295"/>
      <c r="D369" s="295"/>
      <c r="E369" s="295"/>
      <c r="F369" s="296"/>
      <c r="G369" s="308"/>
      <c r="H369" s="308"/>
      <c r="I369" s="308"/>
      <c r="J369" s="309"/>
      <c r="K369" s="298"/>
      <c r="L369" s="311"/>
      <c r="M369" s="308"/>
      <c r="N369" s="295"/>
      <c r="O369" s="295"/>
      <c r="P369" s="308"/>
      <c r="Q369" s="308"/>
      <c r="R369" s="536"/>
      <c r="S369" s="295"/>
      <c r="T369" s="430"/>
      <c r="U369" s="300"/>
      <c r="V369" s="295"/>
      <c r="W369" s="295"/>
      <c r="X369" s="295"/>
      <c r="Y369" s="295"/>
      <c r="Z369" s="295"/>
      <c r="AA369" s="295"/>
      <c r="AB369" s="295"/>
      <c r="AC369" s="310"/>
      <c r="AD369" s="295"/>
      <c r="AE369" s="295"/>
    </row>
    <row r="370" spans="1:31" s="549" customFormat="1" ht="15.75" x14ac:dyDescent="0.2">
      <c r="A370" s="310"/>
      <c r="B370" s="295"/>
      <c r="C370" s="295"/>
      <c r="D370" s="295"/>
      <c r="E370" s="295"/>
      <c r="F370" s="296"/>
      <c r="G370" s="308"/>
      <c r="H370" s="308"/>
      <c r="I370" s="308"/>
      <c r="J370" s="309"/>
      <c r="K370" s="298"/>
      <c r="L370" s="311"/>
      <c r="M370" s="308"/>
      <c r="N370" s="295"/>
      <c r="O370" s="295"/>
      <c r="P370" s="308"/>
      <c r="Q370" s="308"/>
      <c r="R370" s="536"/>
      <c r="S370" s="295"/>
      <c r="T370" s="430"/>
      <c r="U370" s="300"/>
      <c r="V370" s="295"/>
      <c r="W370" s="295"/>
      <c r="X370" s="295"/>
      <c r="Y370" s="295"/>
      <c r="Z370" s="295"/>
      <c r="AA370" s="295"/>
      <c r="AB370" s="295"/>
      <c r="AC370" s="310"/>
      <c r="AD370" s="295"/>
      <c r="AE370" s="295"/>
    </row>
    <row r="371" spans="1:31" s="552" customFormat="1" ht="15.75" x14ac:dyDescent="0.2">
      <c r="A371" s="310"/>
      <c r="B371" s="270"/>
      <c r="C371" s="270"/>
      <c r="D371" s="270"/>
      <c r="E371" s="270"/>
      <c r="F371" s="282"/>
      <c r="G371" s="308"/>
      <c r="H371" s="308"/>
      <c r="I371" s="308"/>
      <c r="J371" s="309"/>
      <c r="K371" s="310"/>
      <c r="L371" s="311"/>
      <c r="M371" s="308"/>
      <c r="N371" s="295"/>
      <c r="O371" s="295"/>
      <c r="P371" s="308"/>
      <c r="Q371" s="308"/>
      <c r="R371" s="536"/>
      <c r="S371" s="295"/>
      <c r="T371" s="430"/>
      <c r="U371" s="270"/>
      <c r="V371" s="295"/>
      <c r="W371" s="295"/>
      <c r="X371" s="295"/>
      <c r="Y371" s="295"/>
      <c r="Z371" s="295"/>
      <c r="AA371" s="295"/>
      <c r="AB371" s="295"/>
      <c r="AC371" s="310"/>
      <c r="AD371" s="270"/>
      <c r="AE371" s="270"/>
    </row>
    <row r="372" spans="1:31" s="549" customFormat="1" x14ac:dyDescent="0.2">
      <c r="A372" s="310"/>
      <c r="B372" s="295"/>
      <c r="C372" s="295"/>
      <c r="D372" s="295"/>
      <c r="E372" s="295"/>
      <c r="F372" s="296"/>
      <c r="G372" s="295"/>
      <c r="H372" s="295"/>
      <c r="I372" s="295"/>
      <c r="J372" s="312"/>
      <c r="K372" s="310"/>
      <c r="L372" s="298"/>
      <c r="M372" s="308"/>
      <c r="N372" s="295"/>
      <c r="O372" s="295"/>
      <c r="P372" s="308"/>
      <c r="Q372" s="308"/>
      <c r="R372" s="536"/>
      <c r="S372" s="295"/>
      <c r="T372" s="430"/>
      <c r="U372" s="300"/>
      <c r="V372" s="295"/>
      <c r="W372" s="295"/>
      <c r="X372" s="295"/>
      <c r="Y372" s="295"/>
      <c r="Z372" s="295"/>
      <c r="AA372" s="295"/>
      <c r="AB372" s="295"/>
      <c r="AC372" s="310"/>
      <c r="AD372" s="295"/>
      <c r="AE372" s="295"/>
    </row>
    <row r="373" spans="1:31" s="549" customFormat="1" x14ac:dyDescent="0.2">
      <c r="A373" s="310"/>
      <c r="B373" s="295"/>
      <c r="C373" s="295"/>
      <c r="D373" s="295"/>
      <c r="E373" s="295"/>
      <c r="F373" s="296"/>
      <c r="G373" s="295"/>
      <c r="H373" s="295"/>
      <c r="I373" s="295"/>
      <c r="J373" s="312"/>
      <c r="K373" s="298"/>
      <c r="L373" s="298"/>
      <c r="M373" s="308"/>
      <c r="N373" s="295"/>
      <c r="O373" s="295"/>
      <c r="P373" s="308"/>
      <c r="Q373" s="308"/>
      <c r="R373" s="536"/>
      <c r="S373" s="295"/>
      <c r="T373" s="430"/>
      <c r="U373" s="300"/>
      <c r="V373" s="295"/>
      <c r="W373" s="295"/>
      <c r="X373" s="295"/>
      <c r="Y373" s="295"/>
      <c r="Z373" s="295"/>
      <c r="AA373" s="295"/>
      <c r="AB373" s="295"/>
      <c r="AC373" s="310"/>
      <c r="AD373" s="295"/>
      <c r="AE373" s="295"/>
    </row>
    <row r="374" spans="1:31" s="549" customFormat="1" x14ac:dyDescent="0.2">
      <c r="A374" s="310"/>
      <c r="B374" s="295"/>
      <c r="C374" s="295"/>
      <c r="D374" s="295"/>
      <c r="E374" s="295"/>
      <c r="F374" s="296"/>
      <c r="G374" s="295"/>
      <c r="H374" s="295"/>
      <c r="I374" s="295"/>
      <c r="J374" s="312"/>
      <c r="K374" s="310"/>
      <c r="L374" s="298"/>
      <c r="M374" s="308"/>
      <c r="N374" s="295"/>
      <c r="O374" s="295"/>
      <c r="P374" s="308"/>
      <c r="Q374" s="308"/>
      <c r="R374" s="536"/>
      <c r="S374" s="295"/>
      <c r="T374" s="430"/>
      <c r="U374" s="300"/>
      <c r="V374" s="295"/>
      <c r="W374" s="295"/>
      <c r="X374" s="295"/>
      <c r="Y374" s="295"/>
      <c r="Z374" s="295"/>
      <c r="AA374" s="295"/>
      <c r="AB374" s="295"/>
      <c r="AC374" s="310"/>
      <c r="AD374" s="295"/>
      <c r="AE374" s="295"/>
    </row>
    <row r="375" spans="1:31" s="549" customFormat="1" x14ac:dyDescent="0.2">
      <c r="A375" s="310"/>
      <c r="B375" s="295"/>
      <c r="C375" s="295"/>
      <c r="D375" s="295"/>
      <c r="E375" s="295"/>
      <c r="F375" s="296"/>
      <c r="G375" s="295"/>
      <c r="H375" s="295"/>
      <c r="I375" s="295"/>
      <c r="J375" s="312"/>
      <c r="K375" s="298"/>
      <c r="L375" s="298"/>
      <c r="M375" s="295"/>
      <c r="N375" s="295"/>
      <c r="O375" s="295"/>
      <c r="P375" s="308"/>
      <c r="Q375" s="308"/>
      <c r="R375" s="536"/>
      <c r="S375" s="295"/>
      <c r="T375" s="430"/>
      <c r="U375" s="300"/>
      <c r="V375" s="295"/>
      <c r="W375" s="295"/>
      <c r="X375" s="295"/>
      <c r="Y375" s="295"/>
      <c r="Z375" s="295"/>
      <c r="AA375" s="295"/>
      <c r="AB375" s="295"/>
      <c r="AC375" s="310"/>
      <c r="AD375" s="295"/>
      <c r="AE375" s="295"/>
    </row>
    <row r="376" spans="1:31" s="549" customFormat="1" x14ac:dyDescent="0.2">
      <c r="A376" s="310"/>
      <c r="B376" s="295"/>
      <c r="C376" s="295"/>
      <c r="D376" s="295"/>
      <c r="E376" s="295"/>
      <c r="F376" s="296"/>
      <c r="G376" s="295"/>
      <c r="H376" s="295"/>
      <c r="I376" s="295"/>
      <c r="J376" s="312"/>
      <c r="K376" s="298"/>
      <c r="L376" s="298"/>
      <c r="M376" s="295"/>
      <c r="N376" s="295"/>
      <c r="O376" s="295"/>
      <c r="P376" s="308"/>
      <c r="Q376" s="308"/>
      <c r="R376" s="536"/>
      <c r="S376" s="295"/>
      <c r="T376" s="430"/>
      <c r="U376" s="300"/>
      <c r="V376" s="295"/>
      <c r="W376" s="295"/>
      <c r="X376" s="295"/>
      <c r="Y376" s="295"/>
      <c r="Z376" s="295"/>
      <c r="AA376" s="295"/>
      <c r="AB376" s="295"/>
      <c r="AC376" s="310"/>
      <c r="AD376" s="295"/>
      <c r="AE376" s="295"/>
    </row>
    <row r="377" spans="1:31" s="552" customFormat="1" ht="15.75" x14ac:dyDescent="0.2">
      <c r="A377" s="310"/>
      <c r="B377" s="270"/>
      <c r="C377" s="270"/>
      <c r="D377" s="270"/>
      <c r="E377" s="270"/>
      <c r="F377" s="282"/>
      <c r="G377" s="308"/>
      <c r="H377" s="308"/>
      <c r="I377" s="308"/>
      <c r="J377" s="309"/>
      <c r="K377" s="310"/>
      <c r="L377" s="311"/>
      <c r="M377" s="295"/>
      <c r="N377" s="295"/>
      <c r="O377" s="295"/>
      <c r="P377" s="308"/>
      <c r="Q377" s="308"/>
      <c r="R377" s="536"/>
      <c r="S377" s="295"/>
      <c r="T377" s="430"/>
      <c r="U377" s="270"/>
      <c r="V377" s="295"/>
      <c r="W377" s="295"/>
      <c r="X377" s="295"/>
      <c r="Y377" s="295"/>
      <c r="Z377" s="295"/>
      <c r="AA377" s="295"/>
      <c r="AB377" s="295"/>
      <c r="AC377" s="310"/>
      <c r="AD377" s="270"/>
      <c r="AE377" s="270"/>
    </row>
    <row r="378" spans="1:31" s="552" customFormat="1" ht="15.75" x14ac:dyDescent="0.2">
      <c r="A378" s="310"/>
      <c r="B378" s="270"/>
      <c r="C378" s="270"/>
      <c r="D378" s="270"/>
      <c r="E378" s="270"/>
      <c r="F378" s="282"/>
      <c r="G378" s="308"/>
      <c r="H378" s="308"/>
      <c r="I378" s="308"/>
      <c r="J378" s="309"/>
      <c r="K378" s="310"/>
      <c r="L378" s="311"/>
      <c r="M378" s="295"/>
      <c r="N378" s="295"/>
      <c r="O378" s="295"/>
      <c r="P378" s="308"/>
      <c r="Q378" s="308"/>
      <c r="R378" s="536"/>
      <c r="S378" s="295"/>
      <c r="T378" s="430"/>
      <c r="U378" s="270"/>
      <c r="V378" s="295"/>
      <c r="W378" s="295"/>
      <c r="X378" s="295"/>
      <c r="Y378" s="295"/>
      <c r="Z378" s="295"/>
      <c r="AA378" s="295"/>
      <c r="AB378" s="295"/>
      <c r="AC378" s="310"/>
      <c r="AD378" s="270"/>
      <c r="AE378" s="270"/>
    </row>
    <row r="379" spans="1:31" s="549" customFormat="1" x14ac:dyDescent="0.2">
      <c r="A379" s="310"/>
      <c r="B379" s="295"/>
      <c r="C379" s="295"/>
      <c r="D379" s="295"/>
      <c r="E379" s="295"/>
      <c r="F379" s="296"/>
      <c r="G379" s="295"/>
      <c r="H379" s="295"/>
      <c r="I379" s="295"/>
      <c r="J379" s="312"/>
      <c r="K379" s="298"/>
      <c r="L379" s="298"/>
      <c r="M379" s="295"/>
      <c r="N379" s="295"/>
      <c r="O379" s="295"/>
      <c r="P379" s="308"/>
      <c r="Q379" s="308"/>
      <c r="R379" s="536"/>
      <c r="S379" s="295"/>
      <c r="T379" s="430"/>
      <c r="U379" s="300"/>
      <c r="V379" s="295"/>
      <c r="W379" s="295"/>
      <c r="X379" s="295"/>
      <c r="Y379" s="295"/>
      <c r="Z379" s="295"/>
      <c r="AA379" s="295"/>
      <c r="AB379" s="295"/>
      <c r="AC379" s="310"/>
      <c r="AD379" s="295"/>
      <c r="AE379" s="295"/>
    </row>
    <row r="380" spans="1:31" s="549" customFormat="1" x14ac:dyDescent="0.2">
      <c r="A380" s="310"/>
      <c r="B380" s="295"/>
      <c r="C380" s="295"/>
      <c r="D380" s="295"/>
      <c r="E380" s="295"/>
      <c r="F380" s="296"/>
      <c r="G380" s="295"/>
      <c r="H380" s="295"/>
      <c r="I380" s="295"/>
      <c r="J380" s="312"/>
      <c r="K380" s="298"/>
      <c r="L380" s="298"/>
      <c r="M380" s="295"/>
      <c r="N380" s="295"/>
      <c r="O380" s="295"/>
      <c r="P380" s="308"/>
      <c r="Q380" s="308"/>
      <c r="R380" s="536"/>
      <c r="S380" s="295"/>
      <c r="T380" s="430"/>
      <c r="U380" s="300"/>
      <c r="V380" s="295"/>
      <c r="W380" s="295"/>
      <c r="X380" s="295"/>
      <c r="Y380" s="295"/>
      <c r="Z380" s="295"/>
      <c r="AA380" s="295"/>
      <c r="AB380" s="295"/>
      <c r="AC380" s="310"/>
      <c r="AD380" s="295"/>
      <c r="AE380" s="295"/>
    </row>
    <row r="381" spans="1:31" s="549" customFormat="1" x14ac:dyDescent="0.2">
      <c r="A381" s="310"/>
      <c r="B381" s="295"/>
      <c r="C381" s="295"/>
      <c r="D381" s="295"/>
      <c r="E381" s="295"/>
      <c r="F381" s="296"/>
      <c r="G381" s="295"/>
      <c r="H381" s="295"/>
      <c r="I381" s="295"/>
      <c r="J381" s="312"/>
      <c r="K381" s="310"/>
      <c r="L381" s="298"/>
      <c r="M381" s="295"/>
      <c r="N381" s="295"/>
      <c r="O381" s="295"/>
      <c r="P381" s="308"/>
      <c r="Q381" s="308"/>
      <c r="R381" s="536"/>
      <c r="S381" s="295"/>
      <c r="T381" s="430"/>
      <c r="U381" s="300"/>
      <c r="V381" s="295"/>
      <c r="W381" s="295"/>
      <c r="X381" s="295"/>
      <c r="Y381" s="295"/>
      <c r="Z381" s="295"/>
      <c r="AA381" s="295"/>
      <c r="AB381" s="295"/>
      <c r="AC381" s="310"/>
      <c r="AD381" s="295"/>
      <c r="AE381" s="295"/>
    </row>
    <row r="382" spans="1:31" s="549" customFormat="1" x14ac:dyDescent="0.2">
      <c r="A382" s="310"/>
      <c r="B382" s="295"/>
      <c r="C382" s="295"/>
      <c r="D382" s="295"/>
      <c r="E382" s="295"/>
      <c r="F382" s="296"/>
      <c r="G382" s="295"/>
      <c r="H382" s="295"/>
      <c r="I382" s="295"/>
      <c r="J382" s="312"/>
      <c r="K382" s="298"/>
      <c r="L382" s="298"/>
      <c r="M382" s="295"/>
      <c r="N382" s="295"/>
      <c r="O382" s="295"/>
      <c r="P382" s="308"/>
      <c r="Q382" s="308"/>
      <c r="R382" s="536"/>
      <c r="S382" s="295"/>
      <c r="T382" s="430"/>
      <c r="U382" s="300"/>
      <c r="V382" s="295"/>
      <c r="W382" s="295"/>
      <c r="X382" s="295"/>
      <c r="Y382" s="295"/>
      <c r="Z382" s="295"/>
      <c r="AA382" s="295"/>
      <c r="AB382" s="295"/>
      <c r="AC382" s="310"/>
      <c r="AD382" s="295"/>
      <c r="AE382" s="295"/>
    </row>
    <row r="383" spans="1:31" s="552" customFormat="1" ht="15.75" x14ac:dyDescent="0.2">
      <c r="A383" s="310"/>
      <c r="B383" s="270"/>
      <c r="C383" s="270"/>
      <c r="D383" s="270"/>
      <c r="E383" s="270"/>
      <c r="F383" s="282"/>
      <c r="G383" s="425"/>
      <c r="H383" s="296"/>
      <c r="I383" s="296"/>
      <c r="J383" s="537"/>
      <c r="K383" s="423"/>
      <c r="L383" s="428"/>
      <c r="M383" s="427"/>
      <c r="N383" s="296"/>
      <c r="O383" s="296"/>
      <c r="P383" s="426"/>
      <c r="Q383" s="426"/>
      <c r="R383" s="424"/>
      <c r="S383" s="429"/>
      <c r="T383" s="379"/>
      <c r="U383" s="270"/>
      <c r="V383" s="295"/>
      <c r="W383" s="295"/>
      <c r="X383" s="295"/>
      <c r="Y383" s="295"/>
      <c r="Z383" s="295"/>
      <c r="AA383" s="295"/>
      <c r="AB383" s="295"/>
      <c r="AC383" s="310"/>
      <c r="AD383" s="270"/>
      <c r="AE383" s="270"/>
    </row>
    <row r="384" spans="1:31" s="549" customFormat="1" ht="15.75" x14ac:dyDescent="0.2">
      <c r="A384" s="310"/>
      <c r="B384" s="295"/>
      <c r="C384" s="295"/>
      <c r="D384" s="295"/>
      <c r="E384" s="295"/>
      <c r="F384" s="296"/>
      <c r="G384" s="382"/>
      <c r="H384" s="308"/>
      <c r="I384" s="308"/>
      <c r="J384" s="309"/>
      <c r="K384" s="298"/>
      <c r="L384" s="311"/>
      <c r="M384" s="308"/>
      <c r="N384" s="295"/>
      <c r="O384" s="295"/>
      <c r="P384" s="308"/>
      <c r="Q384" s="308"/>
      <c r="R384" s="536"/>
      <c r="S384" s="382"/>
      <c r="T384" s="430"/>
      <c r="U384" s="300"/>
      <c r="V384" s="295"/>
      <c r="W384" s="295"/>
      <c r="X384" s="295"/>
      <c r="Y384" s="295"/>
      <c r="Z384" s="295"/>
      <c r="AA384" s="295"/>
      <c r="AB384" s="295"/>
      <c r="AC384" s="310"/>
      <c r="AD384" s="295"/>
      <c r="AE384" s="295"/>
    </row>
    <row r="385" spans="1:31" s="552" customFormat="1" ht="15.75" x14ac:dyDescent="0.2">
      <c r="A385" s="310"/>
      <c r="B385" s="270"/>
      <c r="C385" s="270"/>
      <c r="D385" s="270"/>
      <c r="E385" s="270"/>
      <c r="F385" s="282"/>
      <c r="G385" s="308"/>
      <c r="H385" s="308"/>
      <c r="I385" s="308"/>
      <c r="J385" s="309"/>
      <c r="K385" s="310"/>
      <c r="L385" s="311"/>
      <c r="M385" s="308"/>
      <c r="N385" s="295"/>
      <c r="O385" s="295"/>
      <c r="P385" s="308"/>
      <c r="Q385" s="308"/>
      <c r="R385" s="536"/>
      <c r="S385" s="295"/>
      <c r="T385" s="430"/>
      <c r="U385" s="270"/>
      <c r="V385" s="295"/>
      <c r="W385" s="295"/>
      <c r="X385" s="295"/>
      <c r="Y385" s="295"/>
      <c r="Z385" s="295"/>
      <c r="AA385" s="295"/>
      <c r="AB385" s="295"/>
      <c r="AC385" s="310"/>
      <c r="AD385" s="270"/>
      <c r="AE385" s="270"/>
    </row>
    <row r="386" spans="1:31" s="552" customFormat="1" ht="15.75" x14ac:dyDescent="0.2">
      <c r="A386" s="310"/>
      <c r="B386" s="270"/>
      <c r="C386" s="270"/>
      <c r="D386" s="270"/>
      <c r="E386" s="270"/>
      <c r="F386" s="282"/>
      <c r="G386" s="308"/>
      <c r="H386" s="308"/>
      <c r="I386" s="308"/>
      <c r="J386" s="309"/>
      <c r="K386" s="310"/>
      <c r="L386" s="311"/>
      <c r="M386" s="308"/>
      <c r="N386" s="295"/>
      <c r="O386" s="295"/>
      <c r="P386" s="308"/>
      <c r="Q386" s="308"/>
      <c r="R386" s="536"/>
      <c r="S386" s="295"/>
      <c r="T386" s="430"/>
      <c r="U386" s="270"/>
      <c r="V386" s="295"/>
      <c r="W386" s="295"/>
      <c r="X386" s="295"/>
      <c r="Y386" s="295"/>
      <c r="Z386" s="295"/>
      <c r="AA386" s="295"/>
      <c r="AB386" s="295"/>
      <c r="AC386" s="310"/>
      <c r="AD386" s="270"/>
      <c r="AE386" s="270"/>
    </row>
    <row r="387" spans="1:31" s="552" customFormat="1" ht="15.75" x14ac:dyDescent="0.2">
      <c r="A387" s="310"/>
      <c r="B387" s="270"/>
      <c r="C387" s="270"/>
      <c r="D387" s="270"/>
      <c r="E387" s="270"/>
      <c r="F387" s="282"/>
      <c r="G387" s="308"/>
      <c r="H387" s="308"/>
      <c r="I387" s="308"/>
      <c r="J387" s="309"/>
      <c r="K387" s="310"/>
      <c r="L387" s="311"/>
      <c r="M387" s="308"/>
      <c r="N387" s="295"/>
      <c r="O387" s="295"/>
      <c r="P387" s="308"/>
      <c r="Q387" s="308"/>
      <c r="R387" s="536"/>
      <c r="S387" s="295"/>
      <c r="T387" s="430"/>
      <c r="U387" s="270"/>
      <c r="V387" s="295"/>
      <c r="W387" s="295"/>
      <c r="X387" s="295"/>
      <c r="Y387" s="295"/>
      <c r="Z387" s="295"/>
      <c r="AA387" s="295"/>
      <c r="AB387" s="295"/>
      <c r="AC387" s="310"/>
      <c r="AD387" s="270"/>
      <c r="AE387" s="270"/>
    </row>
    <row r="388" spans="1:31" s="552" customFormat="1" ht="15.75" x14ac:dyDescent="0.2">
      <c r="A388" s="310"/>
      <c r="B388" s="270"/>
      <c r="C388" s="270"/>
      <c r="D388" s="270"/>
      <c r="E388" s="270"/>
      <c r="F388" s="282"/>
      <c r="G388" s="308"/>
      <c r="H388" s="308"/>
      <c r="I388" s="308"/>
      <c r="J388" s="309"/>
      <c r="K388" s="310"/>
      <c r="L388" s="311"/>
      <c r="M388" s="308"/>
      <c r="N388" s="295"/>
      <c r="O388" s="295"/>
      <c r="P388" s="308"/>
      <c r="Q388" s="308"/>
      <c r="R388" s="536"/>
      <c r="S388" s="295"/>
      <c r="T388" s="430"/>
      <c r="U388" s="270"/>
      <c r="V388" s="295"/>
      <c r="W388" s="295"/>
      <c r="X388" s="295"/>
      <c r="Y388" s="295"/>
      <c r="Z388" s="295"/>
      <c r="AA388" s="295"/>
      <c r="AB388" s="295"/>
      <c r="AC388" s="310"/>
      <c r="AD388" s="270"/>
      <c r="AE388" s="270"/>
    </row>
    <row r="389" spans="1:31" s="552" customFormat="1" ht="15.75" x14ac:dyDescent="0.2">
      <c r="A389" s="310"/>
      <c r="B389" s="270"/>
      <c r="C389" s="270"/>
      <c r="D389" s="270"/>
      <c r="E389" s="270"/>
      <c r="F389" s="282"/>
      <c r="G389" s="308"/>
      <c r="H389" s="308"/>
      <c r="I389" s="308"/>
      <c r="J389" s="309"/>
      <c r="K389" s="310"/>
      <c r="L389" s="311"/>
      <c r="M389" s="308"/>
      <c r="N389" s="295"/>
      <c r="O389" s="295"/>
      <c r="P389" s="308"/>
      <c r="Q389" s="308"/>
      <c r="R389" s="536"/>
      <c r="S389" s="295"/>
      <c r="T389" s="430"/>
      <c r="U389" s="270"/>
      <c r="V389" s="295"/>
      <c r="W389" s="295"/>
      <c r="X389" s="295"/>
      <c r="Y389" s="295"/>
      <c r="Z389" s="295"/>
      <c r="AA389" s="295"/>
      <c r="AB389" s="295"/>
      <c r="AC389" s="310"/>
      <c r="AD389" s="270"/>
      <c r="AE389" s="270"/>
    </row>
    <row r="390" spans="1:31" s="549" customFormat="1" x14ac:dyDescent="0.2">
      <c r="A390" s="307"/>
      <c r="B390" s="295"/>
      <c r="C390" s="295"/>
      <c r="D390" s="295"/>
      <c r="E390" s="295"/>
      <c r="F390" s="296"/>
      <c r="G390" s="295"/>
      <c r="H390" s="295"/>
      <c r="I390" s="295"/>
      <c r="J390" s="312"/>
      <c r="K390" s="298"/>
      <c r="L390" s="298"/>
      <c r="M390" s="295"/>
      <c r="N390" s="295"/>
      <c r="O390" s="295"/>
      <c r="P390" s="295"/>
      <c r="Q390" s="295"/>
      <c r="R390" s="554"/>
      <c r="S390" s="295"/>
      <c r="T390" s="300"/>
      <c r="U390" s="300"/>
      <c r="V390" s="295"/>
      <c r="W390" s="295"/>
      <c r="X390" s="295"/>
      <c r="Y390" s="295"/>
      <c r="Z390" s="295"/>
      <c r="AA390" s="295"/>
      <c r="AB390" s="295"/>
      <c r="AC390" s="295"/>
      <c r="AD390" s="295"/>
    </row>
    <row r="391" spans="1:31" s="549" customFormat="1" x14ac:dyDescent="0.2">
      <c r="A391" s="386"/>
      <c r="B391" s="378"/>
      <c r="C391" s="378"/>
      <c r="D391" s="378"/>
      <c r="E391" s="378"/>
      <c r="F391" s="408"/>
      <c r="G391" s="378"/>
      <c r="H391" s="378"/>
      <c r="I391" s="378"/>
      <c r="J391" s="380"/>
      <c r="K391" s="383"/>
      <c r="L391" s="383"/>
      <c r="M391" s="378"/>
      <c r="N391" s="378"/>
      <c r="O391" s="378"/>
      <c r="P391" s="378"/>
      <c r="Q391" s="378"/>
      <c r="R391" s="548"/>
      <c r="S391" s="378"/>
      <c r="T391" s="410"/>
      <c r="U391" s="410"/>
      <c r="V391" s="378"/>
      <c r="W391" s="378"/>
      <c r="X391" s="378"/>
      <c r="Y391" s="378"/>
      <c r="Z391" s="378"/>
      <c r="AA391" s="378"/>
      <c r="AB391" s="378"/>
      <c r="AC391" s="378"/>
      <c r="AD391" s="378"/>
    </row>
    <row r="392" spans="1:31" x14ac:dyDescent="0.2">
      <c r="A392" s="406"/>
      <c r="B392" s="390"/>
      <c r="C392" s="390"/>
      <c r="D392" s="407"/>
      <c r="E392" s="378"/>
      <c r="F392" s="408"/>
      <c r="G392" s="378"/>
      <c r="H392" s="378"/>
      <c r="I392" s="378"/>
      <c r="J392" s="409"/>
      <c r="K392" s="383"/>
      <c r="L392" s="383"/>
      <c r="M392" s="378"/>
      <c r="N392" s="378"/>
      <c r="O392" s="378"/>
      <c r="P392" s="378"/>
      <c r="Q392" s="378"/>
      <c r="R392" s="548"/>
      <c r="S392" s="378"/>
      <c r="T392" s="410"/>
      <c r="U392" s="410"/>
      <c r="V392" s="378"/>
      <c r="W392" s="390"/>
      <c r="X392" s="390"/>
      <c r="Y392" s="390"/>
      <c r="Z392" s="390"/>
      <c r="AA392" s="390"/>
      <c r="AB392" s="390"/>
      <c r="AC392" s="390"/>
      <c r="AD392" s="390"/>
    </row>
    <row r="393" spans="1:31" ht="15.75" x14ac:dyDescent="0.25">
      <c r="A393" s="412" t="s">
        <v>345</v>
      </c>
      <c r="B393" s="403"/>
      <c r="C393" s="403"/>
      <c r="D393" s="403"/>
      <c r="E393" s="403"/>
      <c r="F393" s="413"/>
      <c r="G393" s="403"/>
      <c r="H393" s="403"/>
      <c r="I393" s="403"/>
      <c r="J393" s="392" t="s">
        <v>16</v>
      </c>
      <c r="K393" s="394">
        <f>SUM(K394:K395)</f>
        <v>0</v>
      </c>
      <c r="L393" s="394">
        <f>SUM(L394:L395)</f>
        <v>0</v>
      </c>
      <c r="M393" s="390"/>
      <c r="N393" s="390"/>
      <c r="O393" s="390"/>
      <c r="P393" s="390"/>
      <c r="Q393" s="390"/>
      <c r="R393" s="545"/>
      <c r="S393" s="390"/>
      <c r="T393" s="390"/>
      <c r="U393" s="390"/>
      <c r="V393" s="390"/>
      <c r="W393" s="390"/>
      <c r="X393" s="390"/>
      <c r="Y393" s="390"/>
      <c r="Z393" s="390"/>
      <c r="AA393" s="390"/>
      <c r="AB393" s="390"/>
      <c r="AC393" s="390"/>
      <c r="AD393" s="390"/>
    </row>
    <row r="394" spans="1:31" x14ac:dyDescent="0.2">
      <c r="A394" s="414"/>
      <c r="B394" s="390"/>
      <c r="C394" s="390"/>
      <c r="D394" s="378"/>
      <c r="E394" s="378"/>
      <c r="F394" s="408"/>
      <c r="G394" s="378"/>
      <c r="H394" s="378"/>
      <c r="I394" s="378"/>
      <c r="J394" s="409"/>
      <c r="K394" s="383"/>
      <c r="L394" s="383"/>
      <c r="M394" s="378"/>
      <c r="N394" s="378"/>
      <c r="O394" s="378"/>
      <c r="P394" s="378"/>
      <c r="Q394" s="378"/>
      <c r="R394" s="548"/>
      <c r="S394" s="378"/>
      <c r="T394" s="410"/>
      <c r="U394" s="378"/>
      <c r="V394" s="390"/>
      <c r="W394" s="390"/>
      <c r="X394" s="390"/>
      <c r="Y394" s="390"/>
      <c r="Z394" s="390"/>
      <c r="AA394" s="390"/>
      <c r="AB394" s="390"/>
      <c r="AC394" s="390"/>
      <c r="AD394" s="390"/>
    </row>
    <row r="395" spans="1:31" s="549" customFormat="1" x14ac:dyDescent="0.2">
      <c r="A395" s="415"/>
      <c r="B395" s="378"/>
      <c r="C395" s="378"/>
      <c r="D395" s="378"/>
      <c r="E395" s="378"/>
      <c r="F395" s="408"/>
      <c r="G395" s="378"/>
      <c r="H395" s="378"/>
      <c r="I395" s="378"/>
      <c r="J395" s="409"/>
      <c r="K395" s="383"/>
      <c r="L395" s="383"/>
      <c r="M395" s="378"/>
      <c r="N395" s="378"/>
      <c r="O395" s="378"/>
      <c r="P395" s="378"/>
      <c r="Q395" s="378"/>
      <c r="R395" s="548"/>
      <c r="S395" s="378"/>
      <c r="T395" s="410"/>
      <c r="U395" s="378"/>
      <c r="V395" s="378"/>
      <c r="W395" s="378"/>
      <c r="X395" s="378"/>
      <c r="Y395" s="378"/>
      <c r="Z395" s="378"/>
      <c r="AA395" s="378"/>
      <c r="AB395" s="378"/>
      <c r="AC395" s="378"/>
      <c r="AD395" s="378"/>
    </row>
    <row r="396" spans="1:31" s="547" customFormat="1" ht="15.75" x14ac:dyDescent="0.25">
      <c r="A396" s="399" t="s">
        <v>292</v>
      </c>
      <c r="B396" s="400"/>
      <c r="C396" s="400"/>
      <c r="D396" s="400"/>
      <c r="E396" s="400"/>
      <c r="F396" s="401"/>
      <c r="G396" s="400"/>
      <c r="H396" s="400"/>
      <c r="I396" s="400"/>
      <c r="J396" s="400"/>
      <c r="K396" s="402"/>
      <c r="L396" s="402"/>
      <c r="M396" s="400"/>
      <c r="N396" s="400"/>
      <c r="O396" s="400"/>
      <c r="P396" s="400"/>
      <c r="Q396" s="400"/>
      <c r="R396" s="546"/>
      <c r="S396" s="400"/>
      <c r="T396" s="400"/>
      <c r="U396" s="400"/>
      <c r="V396" s="400"/>
      <c r="W396" s="400"/>
      <c r="X396" s="400"/>
      <c r="Y396" s="400"/>
      <c r="Z396" s="400"/>
      <c r="AA396" s="400"/>
      <c r="AB396" s="400"/>
      <c r="AC396" s="400"/>
      <c r="AD396" s="400"/>
    </row>
    <row r="397" spans="1:31" ht="15.75" x14ac:dyDescent="0.25">
      <c r="A397" s="403" t="s">
        <v>344</v>
      </c>
      <c r="B397" s="404"/>
      <c r="C397" s="404"/>
      <c r="D397" s="404"/>
      <c r="E397" s="404"/>
      <c r="F397" s="405"/>
      <c r="G397" s="404"/>
      <c r="H397" s="404"/>
      <c r="I397" s="404"/>
      <c r="J397" s="392" t="s">
        <v>16</v>
      </c>
      <c r="K397" s="394">
        <f>SUM(K558:K559)</f>
        <v>0</v>
      </c>
      <c r="L397" s="394">
        <f>SUM(L558:L559)</f>
        <v>0</v>
      </c>
      <c r="M397" s="390"/>
      <c r="N397" s="390"/>
      <c r="O397" s="390"/>
      <c r="P397" s="390"/>
      <c r="Q397" s="390"/>
      <c r="R397" s="545"/>
      <c r="S397" s="390"/>
      <c r="T397" s="390"/>
      <c r="U397" s="390"/>
      <c r="V397" s="390"/>
      <c r="W397" s="390"/>
      <c r="X397" s="390"/>
      <c r="Y397" s="390"/>
      <c r="Z397" s="390"/>
      <c r="AA397" s="390"/>
      <c r="AB397" s="390"/>
      <c r="AC397" s="390"/>
      <c r="AD397" s="390"/>
    </row>
    <row r="398" spans="1:31" s="551" customFormat="1" ht="15.75" x14ac:dyDescent="0.25">
      <c r="A398" s="310"/>
      <c r="B398" s="295"/>
      <c r="C398" s="295"/>
      <c r="D398" s="295"/>
      <c r="E398" s="295"/>
      <c r="F398" s="421"/>
      <c r="G398" s="295"/>
      <c r="H398" s="295"/>
      <c r="I398" s="295"/>
      <c r="J398" s="312"/>
      <c r="K398" s="298"/>
      <c r="L398" s="540"/>
      <c r="M398" s="295"/>
      <c r="N398" s="295"/>
      <c r="O398" s="295"/>
      <c r="P398" s="295"/>
      <c r="Q398" s="295"/>
      <c r="R398" s="553"/>
      <c r="S398" s="295"/>
      <c r="T398" s="300"/>
      <c r="U398" s="300"/>
      <c r="V398" s="295"/>
      <c r="W398" s="295"/>
      <c r="X398" s="295"/>
      <c r="Y398" s="295"/>
      <c r="Z398" s="295"/>
      <c r="AA398" s="295"/>
      <c r="AB398" s="295"/>
      <c r="AC398" s="295"/>
      <c r="AD398" s="295"/>
    </row>
    <row r="399" spans="1:31" s="549" customFormat="1" x14ac:dyDescent="0.2">
      <c r="A399" s="310"/>
      <c r="B399" s="295"/>
      <c r="C399" s="295"/>
      <c r="D399" s="295"/>
      <c r="E399" s="295"/>
      <c r="F399" s="296"/>
      <c r="G399" s="295"/>
      <c r="H399" s="295"/>
      <c r="I399" s="295"/>
      <c r="J399" s="312"/>
      <c r="K399" s="298"/>
      <c r="L399" s="298"/>
      <c r="M399" s="295"/>
      <c r="N399" s="295"/>
      <c r="O399" s="295"/>
      <c r="P399" s="295"/>
      <c r="Q399" s="295"/>
      <c r="R399" s="553"/>
      <c r="S399" s="295"/>
      <c r="T399" s="300"/>
      <c r="U399" s="300"/>
      <c r="V399" s="295"/>
      <c r="W399" s="295"/>
      <c r="X399" s="295"/>
      <c r="Y399" s="295"/>
      <c r="Z399" s="295"/>
      <c r="AA399" s="295"/>
      <c r="AB399" s="295"/>
      <c r="AC399" s="295"/>
      <c r="AD399" s="295"/>
    </row>
    <row r="400" spans="1:31" s="549" customFormat="1" ht="15.75" x14ac:dyDescent="0.2">
      <c r="A400" s="310"/>
      <c r="B400" s="295"/>
      <c r="C400" s="295"/>
      <c r="D400" s="295"/>
      <c r="E400" s="295"/>
      <c r="F400" s="296"/>
      <c r="G400" s="308"/>
      <c r="H400" s="308"/>
      <c r="I400" s="308"/>
      <c r="J400" s="309"/>
      <c r="K400" s="298"/>
      <c r="L400" s="311"/>
      <c r="M400" s="295"/>
      <c r="N400" s="295"/>
      <c r="O400" s="295"/>
      <c r="P400" s="308"/>
      <c r="Q400" s="308"/>
      <c r="R400" s="553"/>
      <c r="S400" s="295"/>
      <c r="T400" s="430"/>
      <c r="U400" s="300"/>
      <c r="V400" s="295"/>
      <c r="W400" s="295"/>
      <c r="X400" s="295"/>
      <c r="Y400" s="295"/>
      <c r="Z400" s="295"/>
      <c r="AA400" s="295"/>
      <c r="AB400" s="295"/>
      <c r="AC400" s="310"/>
      <c r="AD400" s="295"/>
      <c r="AE400" s="295"/>
    </row>
    <row r="401" spans="1:31" s="549" customFormat="1" ht="15.75" x14ac:dyDescent="0.2">
      <c r="A401" s="310"/>
      <c r="B401" s="295"/>
      <c r="C401" s="295"/>
      <c r="D401" s="295"/>
      <c r="E401" s="295"/>
      <c r="F401" s="296"/>
      <c r="G401" s="308"/>
      <c r="H401" s="308"/>
      <c r="I401" s="308"/>
      <c r="J401" s="309"/>
      <c r="K401" s="298"/>
      <c r="L401" s="311"/>
      <c r="M401" s="308"/>
      <c r="N401" s="295"/>
      <c r="O401" s="295"/>
      <c r="P401" s="308"/>
      <c r="Q401" s="308"/>
      <c r="R401" s="553"/>
      <c r="S401" s="295"/>
      <c r="T401" s="430"/>
      <c r="U401" s="300"/>
      <c r="V401" s="295"/>
      <c r="W401" s="295"/>
      <c r="X401" s="295"/>
      <c r="Y401" s="295"/>
      <c r="Z401" s="295"/>
      <c r="AA401" s="295"/>
      <c r="AB401" s="295"/>
      <c r="AC401" s="310"/>
      <c r="AD401" s="295"/>
      <c r="AE401" s="295"/>
    </row>
    <row r="402" spans="1:31" s="549" customFormat="1" ht="15.75" x14ac:dyDescent="0.2">
      <c r="A402" s="310"/>
      <c r="B402" s="295"/>
      <c r="C402" s="295"/>
      <c r="D402" s="295"/>
      <c r="E402" s="295"/>
      <c r="F402" s="296"/>
      <c r="G402" s="308"/>
      <c r="H402" s="308"/>
      <c r="I402" s="308"/>
      <c r="J402" s="309"/>
      <c r="K402" s="310"/>
      <c r="L402" s="311"/>
      <c r="M402" s="308"/>
      <c r="N402" s="295"/>
      <c r="O402" s="295"/>
      <c r="P402" s="308"/>
      <c r="Q402" s="308"/>
      <c r="R402" s="553"/>
      <c r="S402" s="295"/>
      <c r="T402" s="430"/>
      <c r="U402" s="300"/>
      <c r="V402" s="295"/>
      <c r="W402" s="295"/>
      <c r="X402" s="295"/>
      <c r="Y402" s="295"/>
      <c r="Z402" s="295"/>
      <c r="AA402" s="295"/>
      <c r="AB402" s="295"/>
      <c r="AC402" s="310"/>
      <c r="AD402" s="295"/>
      <c r="AE402" s="295"/>
    </row>
    <row r="403" spans="1:31" s="549" customFormat="1" ht="15.75" x14ac:dyDescent="0.2">
      <c r="A403" s="310"/>
      <c r="B403" s="295"/>
      <c r="C403" s="295"/>
      <c r="D403" s="295"/>
      <c r="E403" s="295"/>
      <c r="F403" s="296"/>
      <c r="G403" s="308"/>
      <c r="H403" s="308"/>
      <c r="I403" s="308"/>
      <c r="J403" s="309"/>
      <c r="K403" s="298"/>
      <c r="L403" s="311"/>
      <c r="M403" s="308"/>
      <c r="N403" s="295"/>
      <c r="O403" s="295"/>
      <c r="P403" s="308"/>
      <c r="Q403" s="308"/>
      <c r="R403" s="553"/>
      <c r="S403" s="295"/>
      <c r="T403" s="430"/>
      <c r="U403" s="300"/>
      <c r="V403" s="295"/>
      <c r="W403" s="295"/>
      <c r="X403" s="295"/>
      <c r="Y403" s="295"/>
      <c r="Z403" s="295"/>
      <c r="AA403" s="295"/>
      <c r="AB403" s="295"/>
      <c r="AC403" s="310"/>
      <c r="AD403" s="295"/>
      <c r="AE403" s="295"/>
    </row>
    <row r="404" spans="1:31" s="549" customFormat="1" ht="15.75" x14ac:dyDescent="0.2">
      <c r="A404" s="310"/>
      <c r="B404" s="295"/>
      <c r="C404" s="295"/>
      <c r="D404" s="295"/>
      <c r="E404" s="295"/>
      <c r="F404" s="296"/>
      <c r="G404" s="308"/>
      <c r="H404" s="308"/>
      <c r="I404" s="308"/>
      <c r="J404" s="309"/>
      <c r="K404" s="298"/>
      <c r="L404" s="311"/>
      <c r="M404" s="308"/>
      <c r="N404" s="295"/>
      <c r="O404" s="295"/>
      <c r="P404" s="308"/>
      <c r="Q404" s="308"/>
      <c r="R404" s="553"/>
      <c r="S404" s="295"/>
      <c r="T404" s="430"/>
      <c r="U404" s="300"/>
      <c r="V404" s="295"/>
      <c r="W404" s="295"/>
      <c r="X404" s="295"/>
      <c r="Y404" s="295"/>
      <c r="Z404" s="295"/>
      <c r="AA404" s="295"/>
      <c r="AB404" s="295"/>
      <c r="AC404" s="310"/>
      <c r="AD404" s="295"/>
      <c r="AE404" s="295"/>
    </row>
    <row r="405" spans="1:31" s="549" customFormat="1" ht="15.75" x14ac:dyDescent="0.2">
      <c r="A405" s="310"/>
      <c r="B405" s="295"/>
      <c r="C405" s="295"/>
      <c r="D405" s="295"/>
      <c r="E405" s="295"/>
      <c r="F405" s="296"/>
      <c r="G405" s="308"/>
      <c r="H405" s="308"/>
      <c r="I405" s="308"/>
      <c r="J405" s="309"/>
      <c r="K405" s="310"/>
      <c r="L405" s="311"/>
      <c r="M405" s="308"/>
      <c r="N405" s="295"/>
      <c r="O405" s="295"/>
      <c r="P405" s="308"/>
      <c r="Q405" s="308"/>
      <c r="R405" s="553"/>
      <c r="S405" s="295"/>
      <c r="T405" s="430"/>
      <c r="U405" s="300"/>
      <c r="V405" s="295"/>
      <c r="W405" s="295"/>
      <c r="X405" s="295"/>
      <c r="Y405" s="295"/>
      <c r="Z405" s="295"/>
      <c r="AA405" s="295"/>
      <c r="AB405" s="295"/>
      <c r="AC405" s="310"/>
      <c r="AD405" s="295"/>
      <c r="AE405" s="295"/>
    </row>
    <row r="406" spans="1:31" s="549" customFormat="1" ht="15.75" x14ac:dyDescent="0.2">
      <c r="A406" s="310"/>
      <c r="B406" s="295"/>
      <c r="C406" s="295"/>
      <c r="D406" s="295"/>
      <c r="E406" s="295"/>
      <c r="F406" s="296"/>
      <c r="G406" s="308"/>
      <c r="H406" s="308"/>
      <c r="I406" s="308"/>
      <c r="J406" s="309"/>
      <c r="K406" s="298"/>
      <c r="L406" s="311"/>
      <c r="M406" s="308"/>
      <c r="N406" s="295"/>
      <c r="O406" s="295"/>
      <c r="P406" s="308"/>
      <c r="Q406" s="308"/>
      <c r="R406" s="553"/>
      <c r="S406" s="295"/>
      <c r="T406" s="430"/>
      <c r="U406" s="300"/>
      <c r="V406" s="295"/>
      <c r="W406" s="295"/>
      <c r="X406" s="295"/>
      <c r="Y406" s="295"/>
      <c r="Z406" s="295"/>
      <c r="AA406" s="295"/>
      <c r="AB406" s="295"/>
      <c r="AC406" s="310"/>
      <c r="AD406" s="295"/>
      <c r="AE406" s="295"/>
    </row>
    <row r="407" spans="1:31" s="549" customFormat="1" ht="15.75" x14ac:dyDescent="0.2">
      <c r="A407" s="310"/>
      <c r="B407" s="295"/>
      <c r="C407" s="295"/>
      <c r="D407" s="295"/>
      <c r="E407" s="295"/>
      <c r="F407" s="296"/>
      <c r="G407" s="308"/>
      <c r="H407" s="308"/>
      <c r="I407" s="308"/>
      <c r="J407" s="309"/>
      <c r="K407" s="298"/>
      <c r="L407" s="311"/>
      <c r="M407" s="308"/>
      <c r="N407" s="295"/>
      <c r="O407" s="295"/>
      <c r="P407" s="308"/>
      <c r="Q407" s="308"/>
      <c r="R407" s="553"/>
      <c r="S407" s="295"/>
      <c r="T407" s="430"/>
      <c r="U407" s="300"/>
      <c r="V407" s="295"/>
      <c r="W407" s="295"/>
      <c r="X407" s="295"/>
      <c r="Y407" s="295"/>
      <c r="Z407" s="295"/>
      <c r="AA407" s="295"/>
      <c r="AB407" s="295"/>
      <c r="AC407" s="310"/>
      <c r="AD407" s="295"/>
      <c r="AE407" s="295"/>
    </row>
    <row r="408" spans="1:31" s="549" customFormat="1" ht="15.75" x14ac:dyDescent="0.2">
      <c r="A408" s="310"/>
      <c r="B408" s="295"/>
      <c r="C408" s="295"/>
      <c r="D408" s="295"/>
      <c r="E408" s="295"/>
      <c r="F408" s="296"/>
      <c r="G408" s="308"/>
      <c r="H408" s="308"/>
      <c r="I408" s="308"/>
      <c r="J408" s="309"/>
      <c r="K408" s="310"/>
      <c r="L408" s="311"/>
      <c r="M408" s="308"/>
      <c r="N408" s="295"/>
      <c r="O408" s="295"/>
      <c r="P408" s="308"/>
      <c r="Q408" s="308"/>
      <c r="R408" s="553"/>
      <c r="S408" s="295"/>
      <c r="T408" s="430"/>
      <c r="U408" s="300"/>
      <c r="V408" s="295"/>
      <c r="W408" s="295"/>
      <c r="X408" s="295"/>
      <c r="Y408" s="295"/>
      <c r="Z408" s="295"/>
      <c r="AA408" s="295"/>
      <c r="AB408" s="295"/>
      <c r="AC408" s="310"/>
      <c r="AD408" s="295"/>
      <c r="AE408" s="295"/>
    </row>
    <row r="409" spans="1:31" s="549" customFormat="1" ht="15.75" x14ac:dyDescent="0.2">
      <c r="A409" s="310"/>
      <c r="B409" s="295"/>
      <c r="C409" s="295"/>
      <c r="D409" s="295"/>
      <c r="E409" s="295"/>
      <c r="F409" s="296"/>
      <c r="G409" s="308"/>
      <c r="H409" s="308"/>
      <c r="I409" s="308"/>
      <c r="J409" s="309"/>
      <c r="K409" s="298"/>
      <c r="L409" s="311"/>
      <c r="M409" s="308"/>
      <c r="N409" s="295"/>
      <c r="O409" s="295"/>
      <c r="P409" s="308"/>
      <c r="Q409" s="308"/>
      <c r="R409" s="553"/>
      <c r="S409" s="295"/>
      <c r="T409" s="430"/>
      <c r="U409" s="300"/>
      <c r="V409" s="295"/>
      <c r="W409" s="295"/>
      <c r="X409" s="295"/>
      <c r="Y409" s="295"/>
      <c r="Z409" s="295"/>
      <c r="AA409" s="295"/>
      <c r="AB409" s="295"/>
      <c r="AC409" s="310"/>
      <c r="AD409" s="295"/>
      <c r="AE409" s="295"/>
    </row>
    <row r="410" spans="1:31" s="549" customFormat="1" ht="15.75" x14ac:dyDescent="0.2">
      <c r="A410" s="310"/>
      <c r="B410" s="295"/>
      <c r="C410" s="295"/>
      <c r="D410" s="295"/>
      <c r="E410" s="295"/>
      <c r="F410" s="296"/>
      <c r="G410" s="308"/>
      <c r="H410" s="308"/>
      <c r="I410" s="308"/>
      <c r="J410" s="309"/>
      <c r="K410" s="298"/>
      <c r="L410" s="311"/>
      <c r="M410" s="308"/>
      <c r="N410" s="295"/>
      <c r="O410" s="295"/>
      <c r="P410" s="308"/>
      <c r="Q410" s="308"/>
      <c r="R410" s="553"/>
      <c r="S410" s="295"/>
      <c r="T410" s="430"/>
      <c r="U410" s="300"/>
      <c r="V410" s="295"/>
      <c r="W410" s="295"/>
      <c r="X410" s="295"/>
      <c r="Y410" s="295"/>
      <c r="Z410" s="295"/>
      <c r="AA410" s="295"/>
      <c r="AB410" s="295"/>
      <c r="AC410" s="310"/>
      <c r="AD410" s="295"/>
      <c r="AE410" s="295"/>
    </row>
    <row r="411" spans="1:31" s="549" customFormat="1" ht="15.75" x14ac:dyDescent="0.2">
      <c r="A411" s="310"/>
      <c r="B411" s="295"/>
      <c r="C411" s="295"/>
      <c r="D411" s="295"/>
      <c r="E411" s="295"/>
      <c r="F411" s="296"/>
      <c r="G411" s="308"/>
      <c r="H411" s="308"/>
      <c r="I411" s="308"/>
      <c r="J411" s="309"/>
      <c r="K411" s="310"/>
      <c r="L411" s="311"/>
      <c r="M411" s="308"/>
      <c r="N411" s="295"/>
      <c r="O411" s="295"/>
      <c r="P411" s="308"/>
      <c r="Q411" s="308"/>
      <c r="R411" s="553"/>
      <c r="S411" s="295"/>
      <c r="T411" s="430"/>
      <c r="U411" s="300"/>
      <c r="V411" s="295"/>
      <c r="W411" s="295"/>
      <c r="X411" s="295"/>
      <c r="Y411" s="295"/>
      <c r="Z411" s="295"/>
      <c r="AA411" s="295"/>
      <c r="AB411" s="295"/>
      <c r="AC411" s="310"/>
      <c r="AD411" s="295"/>
      <c r="AE411" s="295"/>
    </row>
    <row r="412" spans="1:31" s="549" customFormat="1" ht="15.75" x14ac:dyDescent="0.2">
      <c r="A412" s="310"/>
      <c r="B412" s="295"/>
      <c r="C412" s="295"/>
      <c r="D412" s="295"/>
      <c r="E412" s="295"/>
      <c r="F412" s="296"/>
      <c r="G412" s="308"/>
      <c r="H412" s="308"/>
      <c r="I412" s="308"/>
      <c r="J412" s="309"/>
      <c r="K412" s="298"/>
      <c r="L412" s="311"/>
      <c r="M412" s="308"/>
      <c r="N412" s="295"/>
      <c r="O412" s="295"/>
      <c r="P412" s="308"/>
      <c r="Q412" s="308"/>
      <c r="R412" s="553"/>
      <c r="S412" s="295"/>
      <c r="T412" s="430"/>
      <c r="U412" s="300"/>
      <c r="V412" s="295"/>
      <c r="W412" s="295"/>
      <c r="X412" s="295"/>
      <c r="Y412" s="295"/>
      <c r="Z412" s="295"/>
      <c r="AA412" s="295"/>
      <c r="AB412" s="295"/>
      <c r="AC412" s="310"/>
      <c r="AD412" s="295"/>
      <c r="AE412" s="295"/>
    </row>
    <row r="413" spans="1:31" s="549" customFormat="1" ht="15.75" x14ac:dyDescent="0.2">
      <c r="A413" s="310"/>
      <c r="B413" s="295"/>
      <c r="C413" s="295"/>
      <c r="D413" s="295"/>
      <c r="E413" s="295"/>
      <c r="F413" s="296"/>
      <c r="G413" s="308"/>
      <c r="H413" s="308"/>
      <c r="I413" s="308"/>
      <c r="J413" s="309"/>
      <c r="K413" s="298"/>
      <c r="L413" s="311"/>
      <c r="M413" s="308"/>
      <c r="N413" s="295"/>
      <c r="O413" s="295"/>
      <c r="P413" s="308"/>
      <c r="Q413" s="308"/>
      <c r="R413" s="553"/>
      <c r="S413" s="295"/>
      <c r="T413" s="430"/>
      <c r="U413" s="300"/>
      <c r="V413" s="295"/>
      <c r="W413" s="295"/>
      <c r="X413" s="295"/>
      <c r="Y413" s="295"/>
      <c r="Z413" s="295"/>
      <c r="AA413" s="295"/>
      <c r="AB413" s="295"/>
      <c r="AC413" s="310"/>
      <c r="AD413" s="295"/>
      <c r="AE413" s="295"/>
    </row>
    <row r="414" spans="1:31" s="549" customFormat="1" ht="15.75" x14ac:dyDescent="0.2">
      <c r="A414" s="310"/>
      <c r="B414" s="295"/>
      <c r="C414" s="295"/>
      <c r="D414" s="295"/>
      <c r="E414" s="295"/>
      <c r="F414" s="296"/>
      <c r="G414" s="308"/>
      <c r="H414" s="308"/>
      <c r="I414" s="308"/>
      <c r="J414" s="309"/>
      <c r="K414" s="310"/>
      <c r="L414" s="311"/>
      <c r="M414" s="308"/>
      <c r="N414" s="295"/>
      <c r="O414" s="295"/>
      <c r="P414" s="308"/>
      <c r="Q414" s="308"/>
      <c r="R414" s="553"/>
      <c r="S414" s="295"/>
      <c r="T414" s="430"/>
      <c r="U414" s="300"/>
      <c r="V414" s="295"/>
      <c r="W414" s="295"/>
      <c r="X414" s="295"/>
      <c r="Y414" s="295"/>
      <c r="Z414" s="295"/>
      <c r="AA414" s="295"/>
      <c r="AB414" s="295"/>
      <c r="AC414" s="310"/>
      <c r="AD414" s="295"/>
      <c r="AE414" s="295"/>
    </row>
    <row r="415" spans="1:31" s="549" customFormat="1" ht="15.75" x14ac:dyDescent="0.2">
      <c r="A415" s="310"/>
      <c r="B415" s="295"/>
      <c r="C415" s="295"/>
      <c r="D415" s="295"/>
      <c r="E415" s="295"/>
      <c r="F415" s="296"/>
      <c r="G415" s="308"/>
      <c r="H415" s="308"/>
      <c r="I415" s="308"/>
      <c r="J415" s="309"/>
      <c r="K415" s="298"/>
      <c r="L415" s="311"/>
      <c r="M415" s="308"/>
      <c r="N415" s="295"/>
      <c r="O415" s="295"/>
      <c r="P415" s="295"/>
      <c r="Q415" s="295"/>
      <c r="R415" s="553"/>
      <c r="S415" s="295"/>
      <c r="T415" s="430"/>
      <c r="U415" s="300"/>
      <c r="V415" s="295"/>
      <c r="W415" s="295"/>
      <c r="X415" s="295"/>
      <c r="Y415" s="295"/>
      <c r="Z415" s="295"/>
      <c r="AA415" s="295"/>
      <c r="AB415" s="295"/>
      <c r="AC415" s="310"/>
      <c r="AD415" s="295"/>
      <c r="AE415" s="295"/>
    </row>
    <row r="416" spans="1:31" s="552" customFormat="1" ht="15.75" x14ac:dyDescent="0.2">
      <c r="A416" s="310"/>
      <c r="B416" s="270"/>
      <c r="C416" s="270"/>
      <c r="D416" s="270"/>
      <c r="E416" s="270"/>
      <c r="F416" s="282"/>
      <c r="G416" s="308"/>
      <c r="H416" s="308"/>
      <c r="I416" s="308"/>
      <c r="J416" s="309"/>
      <c r="K416" s="298"/>
      <c r="L416" s="311"/>
      <c r="M416" s="308"/>
      <c r="N416" s="295"/>
      <c r="O416" s="295"/>
      <c r="P416" s="308"/>
      <c r="Q416" s="308"/>
      <c r="R416" s="553"/>
      <c r="S416" s="295"/>
      <c r="T416" s="430"/>
      <c r="U416" s="270"/>
      <c r="V416" s="295"/>
      <c r="W416" s="295"/>
      <c r="X416" s="295"/>
      <c r="Y416" s="295"/>
      <c r="Z416" s="295"/>
      <c r="AA416" s="295"/>
      <c r="AB416" s="295"/>
      <c r="AC416" s="310"/>
      <c r="AD416" s="270"/>
      <c r="AE416" s="270"/>
    </row>
    <row r="417" spans="1:31" s="552" customFormat="1" ht="15.75" x14ac:dyDescent="0.2">
      <c r="A417" s="310"/>
      <c r="B417" s="270"/>
      <c r="C417" s="270"/>
      <c r="D417" s="270"/>
      <c r="E417" s="270"/>
      <c r="F417" s="282"/>
      <c r="G417" s="308"/>
      <c r="H417" s="308"/>
      <c r="I417" s="308"/>
      <c r="J417" s="309"/>
      <c r="K417" s="310"/>
      <c r="L417" s="311"/>
      <c r="M417" s="308"/>
      <c r="N417" s="295"/>
      <c r="O417" s="295"/>
      <c r="P417" s="308"/>
      <c r="Q417" s="308"/>
      <c r="R417" s="553"/>
      <c r="S417" s="295"/>
      <c r="T417" s="430"/>
      <c r="U417" s="270"/>
      <c r="V417" s="295"/>
      <c r="W417" s="295"/>
      <c r="X417" s="295"/>
      <c r="Y417" s="295"/>
      <c r="Z417" s="295"/>
      <c r="AA417" s="295"/>
      <c r="AB417" s="295"/>
      <c r="AC417" s="310"/>
      <c r="AD417" s="270"/>
      <c r="AE417" s="270"/>
    </row>
    <row r="418" spans="1:31" s="552" customFormat="1" ht="15.75" x14ac:dyDescent="0.2">
      <c r="A418" s="310"/>
      <c r="B418" s="270"/>
      <c r="C418" s="270"/>
      <c r="D418" s="270"/>
      <c r="E418" s="270"/>
      <c r="F418" s="282"/>
      <c r="G418" s="308"/>
      <c r="H418" s="308"/>
      <c r="I418" s="308"/>
      <c r="J418" s="309"/>
      <c r="K418" s="298"/>
      <c r="L418" s="311"/>
      <c r="M418" s="308"/>
      <c r="N418" s="295"/>
      <c r="O418" s="295"/>
      <c r="P418" s="308"/>
      <c r="Q418" s="308"/>
      <c r="R418" s="553"/>
      <c r="S418" s="295"/>
      <c r="T418" s="430"/>
      <c r="U418" s="270"/>
      <c r="V418" s="295"/>
      <c r="W418" s="295"/>
      <c r="X418" s="295"/>
      <c r="Y418" s="295"/>
      <c r="Z418" s="295"/>
      <c r="AA418" s="295"/>
      <c r="AB418" s="295"/>
      <c r="AC418" s="310"/>
      <c r="AD418" s="270"/>
      <c r="AE418" s="270"/>
    </row>
    <row r="419" spans="1:31" s="552" customFormat="1" ht="15.75" x14ac:dyDescent="0.2">
      <c r="A419" s="310"/>
      <c r="B419" s="270"/>
      <c r="C419" s="270"/>
      <c r="D419" s="270"/>
      <c r="E419" s="270"/>
      <c r="F419" s="282"/>
      <c r="G419" s="308"/>
      <c r="H419" s="308"/>
      <c r="I419" s="308"/>
      <c r="J419" s="309"/>
      <c r="K419" s="298"/>
      <c r="L419" s="311"/>
      <c r="M419" s="308"/>
      <c r="N419" s="295"/>
      <c r="O419" s="295"/>
      <c r="P419" s="308"/>
      <c r="Q419" s="308"/>
      <c r="R419" s="553"/>
      <c r="S419" s="295"/>
      <c r="T419" s="430"/>
      <c r="U419" s="270"/>
      <c r="V419" s="295"/>
      <c r="W419" s="295"/>
      <c r="X419" s="295"/>
      <c r="Y419" s="295"/>
      <c r="Z419" s="295"/>
      <c r="AA419" s="295"/>
      <c r="AB419" s="295"/>
      <c r="AC419" s="310"/>
      <c r="AD419" s="270"/>
      <c r="AE419" s="270"/>
    </row>
    <row r="420" spans="1:31" s="552" customFormat="1" ht="15.75" x14ac:dyDescent="0.2">
      <c r="A420" s="310"/>
      <c r="B420" s="270"/>
      <c r="C420" s="270"/>
      <c r="D420" s="270"/>
      <c r="E420" s="270"/>
      <c r="F420" s="282"/>
      <c r="G420" s="308"/>
      <c r="H420" s="308"/>
      <c r="I420" s="308"/>
      <c r="J420" s="309"/>
      <c r="K420" s="310"/>
      <c r="L420" s="311"/>
      <c r="M420" s="308"/>
      <c r="N420" s="295"/>
      <c r="O420" s="295"/>
      <c r="P420" s="308"/>
      <c r="Q420" s="308"/>
      <c r="R420" s="553"/>
      <c r="S420" s="295"/>
      <c r="T420" s="430"/>
      <c r="U420" s="270"/>
      <c r="V420" s="295"/>
      <c r="W420" s="295"/>
      <c r="X420" s="295"/>
      <c r="Y420" s="295"/>
      <c r="Z420" s="295"/>
      <c r="AA420" s="295"/>
      <c r="AB420" s="295"/>
      <c r="AC420" s="310"/>
      <c r="AD420" s="270"/>
      <c r="AE420" s="270"/>
    </row>
    <row r="421" spans="1:31" s="552" customFormat="1" ht="15.75" x14ac:dyDescent="0.2">
      <c r="A421" s="310"/>
      <c r="B421" s="270"/>
      <c r="C421" s="270"/>
      <c r="D421" s="270"/>
      <c r="E421" s="270"/>
      <c r="F421" s="282"/>
      <c r="G421" s="425"/>
      <c r="H421" s="296"/>
      <c r="I421" s="296"/>
      <c r="J421" s="537"/>
      <c r="K421" s="423"/>
      <c r="L421" s="372"/>
      <c r="M421" s="427"/>
      <c r="N421" s="296"/>
      <c r="O421" s="296"/>
      <c r="P421" s="426"/>
      <c r="Q421" s="426"/>
      <c r="R421" s="538"/>
      <c r="S421" s="371"/>
      <c r="T421" s="379"/>
      <c r="U421" s="270"/>
      <c r="V421" s="295"/>
      <c r="W421" s="295"/>
      <c r="X421" s="295"/>
      <c r="Y421" s="295"/>
      <c r="Z421" s="295"/>
      <c r="AA421" s="295"/>
      <c r="AB421" s="295"/>
      <c r="AC421" s="310"/>
      <c r="AD421" s="270"/>
      <c r="AE421" s="270"/>
    </row>
    <row r="422" spans="1:31" s="552" customFormat="1" x14ac:dyDescent="0.2">
      <c r="A422" s="310"/>
      <c r="B422" s="270"/>
      <c r="C422" s="270"/>
      <c r="D422" s="270"/>
      <c r="E422" s="270"/>
      <c r="F422" s="282"/>
      <c r="G422" s="539"/>
      <c r="H422" s="296"/>
      <c r="I422" s="296"/>
      <c r="J422" s="537"/>
      <c r="K422" s="310"/>
      <c r="L422" s="310"/>
      <c r="M422" s="539"/>
      <c r="N422" s="296"/>
      <c r="O422" s="296"/>
      <c r="P422" s="296"/>
      <c r="Q422" s="296"/>
      <c r="R422" s="538"/>
      <c r="S422" s="295"/>
      <c r="T422" s="379"/>
      <c r="U422" s="270"/>
      <c r="V422" s="295"/>
      <c r="W422" s="295"/>
      <c r="X422" s="295"/>
      <c r="Y422" s="295"/>
      <c r="Z422" s="295"/>
      <c r="AA422" s="295"/>
      <c r="AB422" s="295"/>
      <c r="AC422" s="310"/>
      <c r="AD422" s="270"/>
      <c r="AE422" s="270"/>
    </row>
    <row r="423" spans="1:31" s="552" customFormat="1" ht="15.75" x14ac:dyDescent="0.2">
      <c r="A423" s="310"/>
      <c r="B423" s="270"/>
      <c r="C423" s="270"/>
      <c r="D423" s="270"/>
      <c r="E423" s="270"/>
      <c r="F423" s="282"/>
      <c r="G423" s="308"/>
      <c r="H423" s="308"/>
      <c r="I423" s="309"/>
      <c r="J423" s="309"/>
      <c r="K423" s="298"/>
      <c r="L423" s="311"/>
      <c r="M423" s="308"/>
      <c r="N423" s="295"/>
      <c r="O423" s="295"/>
      <c r="P423" s="308"/>
      <c r="Q423" s="308"/>
      <c r="R423" s="553"/>
      <c r="S423" s="295"/>
      <c r="T423" s="430"/>
      <c r="U423" s="270"/>
      <c r="V423" s="295"/>
      <c r="W423" s="295"/>
      <c r="X423" s="295"/>
      <c r="Y423" s="295"/>
      <c r="Z423" s="295"/>
      <c r="AA423" s="295"/>
      <c r="AB423" s="295"/>
      <c r="AC423" s="310"/>
      <c r="AD423" s="270"/>
      <c r="AE423" s="270"/>
    </row>
    <row r="424" spans="1:31" s="552" customFormat="1" ht="15.75" x14ac:dyDescent="0.2">
      <c r="A424" s="310"/>
      <c r="B424" s="270"/>
      <c r="C424" s="270"/>
      <c r="D424" s="270"/>
      <c r="E424" s="270"/>
      <c r="F424" s="282"/>
      <c r="G424" s="308"/>
      <c r="H424" s="308"/>
      <c r="I424" s="308"/>
      <c r="J424" s="309"/>
      <c r="K424" s="298"/>
      <c r="L424" s="311"/>
      <c r="M424" s="308"/>
      <c r="N424" s="295"/>
      <c r="O424" s="295"/>
      <c r="P424" s="308"/>
      <c r="Q424" s="308"/>
      <c r="R424" s="553"/>
      <c r="S424" s="295"/>
      <c r="T424" s="430"/>
      <c r="U424" s="270"/>
      <c r="V424" s="295"/>
      <c r="W424" s="295"/>
      <c r="X424" s="295"/>
      <c r="Y424" s="295"/>
      <c r="Z424" s="295"/>
      <c r="AA424" s="295"/>
      <c r="AB424" s="295"/>
      <c r="AC424" s="310"/>
      <c r="AD424" s="270"/>
      <c r="AE424" s="270"/>
    </row>
    <row r="425" spans="1:31" s="552" customFormat="1" ht="15.75" x14ac:dyDescent="0.2">
      <c r="A425" s="310"/>
      <c r="B425" s="270"/>
      <c r="C425" s="270"/>
      <c r="D425" s="270"/>
      <c r="E425" s="270"/>
      <c r="F425" s="282"/>
      <c r="G425" s="308"/>
      <c r="H425" s="308"/>
      <c r="I425" s="308"/>
      <c r="J425" s="309"/>
      <c r="K425" s="310"/>
      <c r="L425" s="311"/>
      <c r="M425" s="308"/>
      <c r="N425" s="295"/>
      <c r="O425" s="295"/>
      <c r="P425" s="308"/>
      <c r="Q425" s="308"/>
      <c r="R425" s="553"/>
      <c r="S425" s="295"/>
      <c r="T425" s="430"/>
      <c r="U425" s="270"/>
      <c r="V425" s="295"/>
      <c r="W425" s="295"/>
      <c r="X425" s="295"/>
      <c r="Y425" s="295"/>
      <c r="Z425" s="295"/>
      <c r="AA425" s="295"/>
      <c r="AB425" s="295"/>
      <c r="AC425" s="310"/>
      <c r="AD425" s="270"/>
      <c r="AE425" s="270"/>
    </row>
    <row r="426" spans="1:31" s="552" customFormat="1" ht="15.75" x14ac:dyDescent="0.2">
      <c r="A426" s="310"/>
      <c r="B426" s="270"/>
      <c r="C426" s="270"/>
      <c r="D426" s="270"/>
      <c r="E426" s="270"/>
      <c r="F426" s="282"/>
      <c r="G426" s="308"/>
      <c r="H426" s="308"/>
      <c r="I426" s="308"/>
      <c r="J426" s="309"/>
      <c r="K426" s="298"/>
      <c r="L426" s="311"/>
      <c r="M426" s="308"/>
      <c r="N426" s="295"/>
      <c r="O426" s="295"/>
      <c r="P426" s="308"/>
      <c r="Q426" s="308"/>
      <c r="R426" s="553"/>
      <c r="S426" s="295"/>
      <c r="T426" s="430"/>
      <c r="U426" s="270"/>
      <c r="V426" s="295"/>
      <c r="W426" s="295"/>
      <c r="X426" s="295"/>
      <c r="Y426" s="295"/>
      <c r="Z426" s="295"/>
      <c r="AA426" s="295"/>
      <c r="AB426" s="295"/>
      <c r="AC426" s="310"/>
      <c r="AD426" s="270"/>
      <c r="AE426" s="270"/>
    </row>
    <row r="427" spans="1:31" s="552" customFormat="1" ht="15.75" x14ac:dyDescent="0.2">
      <c r="A427" s="310"/>
      <c r="B427" s="270"/>
      <c r="C427" s="270"/>
      <c r="D427" s="270"/>
      <c r="E427" s="270"/>
      <c r="F427" s="282"/>
      <c r="G427" s="308"/>
      <c r="H427" s="308"/>
      <c r="I427" s="308"/>
      <c r="J427" s="309"/>
      <c r="K427" s="298"/>
      <c r="L427" s="311"/>
      <c r="M427" s="308"/>
      <c r="N427" s="295"/>
      <c r="O427" s="295"/>
      <c r="P427" s="308"/>
      <c r="Q427" s="308"/>
      <c r="R427" s="553"/>
      <c r="S427" s="295"/>
      <c r="T427" s="430"/>
      <c r="U427" s="270"/>
      <c r="V427" s="295"/>
      <c r="W427" s="295"/>
      <c r="X427" s="295"/>
      <c r="Y427" s="295"/>
      <c r="Z427" s="295"/>
      <c r="AA427" s="295"/>
      <c r="AB427" s="295"/>
      <c r="AC427" s="310"/>
      <c r="AD427" s="270"/>
      <c r="AE427" s="270"/>
    </row>
    <row r="428" spans="1:31" s="552" customFormat="1" ht="15.75" x14ac:dyDescent="0.2">
      <c r="A428" s="310"/>
      <c r="B428" s="270"/>
      <c r="C428" s="270"/>
      <c r="D428" s="270"/>
      <c r="E428" s="270"/>
      <c r="F428" s="282"/>
      <c r="G428" s="308"/>
      <c r="H428" s="308"/>
      <c r="I428" s="308"/>
      <c r="J428" s="309"/>
      <c r="K428" s="310"/>
      <c r="L428" s="311"/>
      <c r="M428" s="308"/>
      <c r="N428" s="295"/>
      <c r="O428" s="295"/>
      <c r="P428" s="308"/>
      <c r="Q428" s="308"/>
      <c r="R428" s="553"/>
      <c r="S428" s="295"/>
      <c r="T428" s="430"/>
      <c r="U428" s="270"/>
      <c r="V428" s="295"/>
      <c r="W428" s="295"/>
      <c r="X428" s="295"/>
      <c r="Y428" s="295"/>
      <c r="Z428" s="295"/>
      <c r="AA428" s="295"/>
      <c r="AB428" s="295"/>
      <c r="AC428" s="310"/>
      <c r="AD428" s="270"/>
      <c r="AE428" s="270"/>
    </row>
    <row r="429" spans="1:31" s="552" customFormat="1" ht="15.75" x14ac:dyDescent="0.2">
      <c r="A429" s="310"/>
      <c r="B429" s="270"/>
      <c r="C429" s="270"/>
      <c r="D429" s="270"/>
      <c r="E429" s="270"/>
      <c r="F429" s="282"/>
      <c r="G429" s="308"/>
      <c r="H429" s="308"/>
      <c r="I429" s="308"/>
      <c r="J429" s="309"/>
      <c r="K429" s="298"/>
      <c r="L429" s="311"/>
      <c r="M429" s="308"/>
      <c r="N429" s="295"/>
      <c r="O429" s="295"/>
      <c r="P429" s="308"/>
      <c r="Q429" s="308"/>
      <c r="R429" s="553"/>
      <c r="S429" s="295"/>
      <c r="T429" s="430"/>
      <c r="U429" s="270"/>
      <c r="V429" s="295"/>
      <c r="W429" s="295"/>
      <c r="X429" s="295"/>
      <c r="Y429" s="295"/>
      <c r="Z429" s="295"/>
      <c r="AA429" s="295"/>
      <c r="AB429" s="295"/>
      <c r="AC429" s="310"/>
      <c r="AD429" s="270"/>
      <c r="AE429" s="270"/>
    </row>
    <row r="430" spans="1:31" s="552" customFormat="1" ht="15.75" x14ac:dyDescent="0.2">
      <c r="A430" s="310"/>
      <c r="B430" s="270"/>
      <c r="C430" s="270"/>
      <c r="D430" s="270"/>
      <c r="E430" s="270"/>
      <c r="F430" s="282"/>
      <c r="G430" s="308"/>
      <c r="H430" s="308"/>
      <c r="I430" s="308"/>
      <c r="J430" s="309"/>
      <c r="K430" s="298"/>
      <c r="L430" s="311"/>
      <c r="M430" s="308"/>
      <c r="N430" s="295"/>
      <c r="O430" s="295"/>
      <c r="P430" s="308"/>
      <c r="Q430" s="308"/>
      <c r="R430" s="553"/>
      <c r="S430" s="295"/>
      <c r="T430" s="430"/>
      <c r="U430" s="270"/>
      <c r="V430" s="295"/>
      <c r="W430" s="295"/>
      <c r="X430" s="295"/>
      <c r="Y430" s="295"/>
      <c r="Z430" s="295"/>
      <c r="AA430" s="295"/>
      <c r="AB430" s="295"/>
      <c r="AC430" s="310"/>
      <c r="AD430" s="270"/>
      <c r="AE430" s="270"/>
    </row>
    <row r="431" spans="1:31" s="552" customFormat="1" ht="15.75" x14ac:dyDescent="0.2">
      <c r="A431" s="310"/>
      <c r="B431" s="270"/>
      <c r="C431" s="270"/>
      <c r="D431" s="270"/>
      <c r="E431" s="270"/>
      <c r="F431" s="282"/>
      <c r="G431" s="308"/>
      <c r="H431" s="308"/>
      <c r="I431" s="308"/>
      <c r="J431" s="309"/>
      <c r="K431" s="310"/>
      <c r="L431" s="311"/>
      <c r="M431" s="308"/>
      <c r="N431" s="295"/>
      <c r="O431" s="295"/>
      <c r="P431" s="308"/>
      <c r="Q431" s="308"/>
      <c r="R431" s="553"/>
      <c r="S431" s="295"/>
      <c r="T431" s="430"/>
      <c r="U431" s="270"/>
      <c r="V431" s="295"/>
      <c r="W431" s="295"/>
      <c r="X431" s="295"/>
      <c r="Y431" s="295"/>
      <c r="Z431" s="295"/>
      <c r="AA431" s="295"/>
      <c r="AB431" s="295"/>
      <c r="AC431" s="310"/>
      <c r="AD431" s="270"/>
      <c r="AE431" s="270"/>
    </row>
    <row r="432" spans="1:31" s="552" customFormat="1" ht="15.75" x14ac:dyDescent="0.2">
      <c r="A432" s="310"/>
      <c r="B432" s="270"/>
      <c r="C432" s="270"/>
      <c r="D432" s="270"/>
      <c r="E432" s="270"/>
      <c r="F432" s="282"/>
      <c r="G432" s="308"/>
      <c r="H432" s="308"/>
      <c r="I432" s="308"/>
      <c r="J432" s="309"/>
      <c r="K432" s="298"/>
      <c r="L432" s="311"/>
      <c r="M432" s="308"/>
      <c r="N432" s="295"/>
      <c r="O432" s="295"/>
      <c r="P432" s="308"/>
      <c r="Q432" s="308"/>
      <c r="R432" s="553"/>
      <c r="S432" s="295"/>
      <c r="T432" s="430"/>
      <c r="U432" s="270"/>
      <c r="V432" s="295"/>
      <c r="W432" s="295"/>
      <c r="X432" s="295"/>
      <c r="Y432" s="295"/>
      <c r="Z432" s="295"/>
      <c r="AA432" s="295"/>
      <c r="AB432" s="295"/>
      <c r="AC432" s="310"/>
      <c r="AD432" s="270"/>
      <c r="AE432" s="270"/>
    </row>
    <row r="433" spans="1:31" s="552" customFormat="1" ht="15.75" x14ac:dyDescent="0.2">
      <c r="A433" s="310"/>
      <c r="B433" s="270"/>
      <c r="C433" s="270"/>
      <c r="D433" s="270"/>
      <c r="E433" s="270"/>
      <c r="F433" s="282"/>
      <c r="G433" s="308"/>
      <c r="H433" s="308"/>
      <c r="I433" s="308"/>
      <c r="J433" s="309"/>
      <c r="K433" s="298"/>
      <c r="L433" s="311"/>
      <c r="M433" s="308"/>
      <c r="N433" s="295"/>
      <c r="O433" s="295"/>
      <c r="P433" s="308"/>
      <c r="Q433" s="308"/>
      <c r="R433" s="553"/>
      <c r="S433" s="295"/>
      <c r="T433" s="430"/>
      <c r="U433" s="270"/>
      <c r="V433" s="295"/>
      <c r="W433" s="295"/>
      <c r="X433" s="295"/>
      <c r="Y433" s="295"/>
      <c r="Z433" s="295"/>
      <c r="AA433" s="295"/>
      <c r="AB433" s="295"/>
      <c r="AC433" s="310"/>
      <c r="AD433" s="270"/>
      <c r="AE433" s="270"/>
    </row>
    <row r="434" spans="1:31" s="552" customFormat="1" ht="15.75" x14ac:dyDescent="0.2">
      <c r="A434" s="310"/>
      <c r="B434" s="270"/>
      <c r="C434" s="270"/>
      <c r="D434" s="270"/>
      <c r="E434" s="270"/>
      <c r="F434" s="282"/>
      <c r="G434" s="308"/>
      <c r="H434" s="308"/>
      <c r="I434" s="308"/>
      <c r="J434" s="309"/>
      <c r="K434" s="310"/>
      <c r="L434" s="311"/>
      <c r="M434" s="308"/>
      <c r="N434" s="295"/>
      <c r="O434" s="295"/>
      <c r="P434" s="308"/>
      <c r="Q434" s="308"/>
      <c r="R434" s="553"/>
      <c r="S434" s="295"/>
      <c r="T434" s="430"/>
      <c r="U434" s="270"/>
      <c r="V434" s="295"/>
      <c r="W434" s="295"/>
      <c r="X434" s="295"/>
      <c r="Y434" s="295"/>
      <c r="Z434" s="295"/>
      <c r="AA434" s="295"/>
      <c r="AB434" s="295"/>
      <c r="AC434" s="310"/>
      <c r="AD434" s="270"/>
      <c r="AE434" s="270"/>
    </row>
    <row r="435" spans="1:31" s="552" customFormat="1" ht="15.75" x14ac:dyDescent="0.2">
      <c r="A435" s="310"/>
      <c r="B435" s="270"/>
      <c r="C435" s="270"/>
      <c r="D435" s="270"/>
      <c r="E435" s="270"/>
      <c r="F435" s="282"/>
      <c r="G435" s="308"/>
      <c r="H435" s="308"/>
      <c r="I435" s="308"/>
      <c r="J435" s="309"/>
      <c r="K435" s="310"/>
      <c r="L435" s="311"/>
      <c r="M435" s="308"/>
      <c r="N435" s="295"/>
      <c r="O435" s="295"/>
      <c r="P435" s="308"/>
      <c r="Q435" s="308"/>
      <c r="R435" s="553"/>
      <c r="S435" s="295"/>
      <c r="T435" s="430"/>
      <c r="U435" s="270"/>
      <c r="V435" s="295"/>
      <c r="W435" s="295"/>
      <c r="X435" s="295"/>
      <c r="Y435" s="295"/>
      <c r="Z435" s="295"/>
      <c r="AA435" s="295"/>
      <c r="AB435" s="295"/>
      <c r="AC435" s="310"/>
      <c r="AD435" s="270"/>
      <c r="AE435" s="270"/>
    </row>
    <row r="436" spans="1:31" s="552" customFormat="1" ht="15.75" x14ac:dyDescent="0.2">
      <c r="A436" s="310"/>
      <c r="B436" s="270"/>
      <c r="C436" s="270"/>
      <c r="D436" s="270"/>
      <c r="E436" s="270"/>
      <c r="F436" s="282"/>
      <c r="G436" s="308"/>
      <c r="H436" s="308"/>
      <c r="I436" s="308"/>
      <c r="J436" s="309"/>
      <c r="K436" s="310"/>
      <c r="L436" s="311"/>
      <c r="M436" s="308"/>
      <c r="N436" s="295"/>
      <c r="O436" s="295"/>
      <c r="P436" s="308"/>
      <c r="Q436" s="308"/>
      <c r="R436" s="553"/>
      <c r="S436" s="295"/>
      <c r="T436" s="430"/>
      <c r="U436" s="270"/>
      <c r="V436" s="295"/>
      <c r="W436" s="295"/>
      <c r="X436" s="295"/>
      <c r="Y436" s="295"/>
      <c r="Z436" s="295"/>
      <c r="AA436" s="295"/>
      <c r="AB436" s="295"/>
      <c r="AC436" s="310"/>
      <c r="AD436" s="270"/>
      <c r="AE436" s="270"/>
    </row>
    <row r="437" spans="1:31" s="552" customFormat="1" ht="15.75" x14ac:dyDescent="0.2">
      <c r="A437" s="310"/>
      <c r="B437" s="270"/>
      <c r="C437" s="270"/>
      <c r="D437" s="270"/>
      <c r="E437" s="270"/>
      <c r="F437" s="282"/>
      <c r="G437" s="308"/>
      <c r="H437" s="308"/>
      <c r="I437" s="308"/>
      <c r="J437" s="309"/>
      <c r="K437" s="310"/>
      <c r="L437" s="311"/>
      <c r="M437" s="308"/>
      <c r="N437" s="295"/>
      <c r="O437" s="295"/>
      <c r="P437" s="308"/>
      <c r="Q437" s="308"/>
      <c r="R437" s="553"/>
      <c r="S437" s="295"/>
      <c r="T437" s="430"/>
      <c r="U437" s="270"/>
      <c r="V437" s="295"/>
      <c r="W437" s="295"/>
      <c r="X437" s="295"/>
      <c r="Y437" s="295"/>
      <c r="Z437" s="295"/>
      <c r="AA437" s="295"/>
      <c r="AB437" s="295"/>
      <c r="AC437" s="310"/>
      <c r="AD437" s="270"/>
      <c r="AE437" s="270"/>
    </row>
    <row r="438" spans="1:31" s="552" customFormat="1" ht="15.75" x14ac:dyDescent="0.2">
      <c r="A438" s="310"/>
      <c r="B438" s="270"/>
      <c r="C438" s="270"/>
      <c r="D438" s="270"/>
      <c r="E438" s="270"/>
      <c r="F438" s="282"/>
      <c r="G438" s="308"/>
      <c r="H438" s="308"/>
      <c r="I438" s="308"/>
      <c r="J438" s="309"/>
      <c r="K438" s="310"/>
      <c r="L438" s="311"/>
      <c r="M438" s="308"/>
      <c r="N438" s="295"/>
      <c r="O438" s="295"/>
      <c r="P438" s="308"/>
      <c r="Q438" s="308"/>
      <c r="R438" s="553"/>
      <c r="S438" s="295"/>
      <c r="T438" s="430"/>
      <c r="U438" s="270"/>
      <c r="V438" s="295"/>
      <c r="W438" s="295"/>
      <c r="X438" s="295"/>
      <c r="Y438" s="295"/>
      <c r="Z438" s="295"/>
      <c r="AA438" s="295"/>
      <c r="AB438" s="295"/>
      <c r="AC438" s="310"/>
      <c r="AD438" s="270"/>
      <c r="AE438" s="270"/>
    </row>
    <row r="439" spans="1:31" s="552" customFormat="1" ht="15.75" x14ac:dyDescent="0.2">
      <c r="A439" s="310"/>
      <c r="B439" s="270"/>
      <c r="C439" s="270"/>
      <c r="D439" s="270"/>
      <c r="E439" s="270"/>
      <c r="F439" s="282"/>
      <c r="G439" s="308"/>
      <c r="H439" s="308"/>
      <c r="I439" s="308"/>
      <c r="J439" s="309"/>
      <c r="K439" s="310"/>
      <c r="L439" s="311"/>
      <c r="M439" s="308"/>
      <c r="N439" s="295"/>
      <c r="O439" s="295"/>
      <c r="P439" s="308"/>
      <c r="Q439" s="308"/>
      <c r="R439" s="553"/>
      <c r="S439" s="295"/>
      <c r="T439" s="430"/>
      <c r="U439" s="270"/>
      <c r="V439" s="295"/>
      <c r="W439" s="295"/>
      <c r="X439" s="295"/>
      <c r="Y439" s="295"/>
      <c r="Z439" s="295"/>
      <c r="AA439" s="295"/>
      <c r="AB439" s="295"/>
      <c r="AC439" s="310"/>
      <c r="AD439" s="270"/>
      <c r="AE439" s="270"/>
    </row>
    <row r="440" spans="1:31" s="552" customFormat="1" ht="15.75" x14ac:dyDescent="0.2">
      <c r="A440" s="310"/>
      <c r="B440" s="270"/>
      <c r="C440" s="270"/>
      <c r="D440" s="270"/>
      <c r="E440" s="270"/>
      <c r="F440" s="282"/>
      <c r="G440" s="425"/>
      <c r="H440" s="296"/>
      <c r="I440" s="296"/>
      <c r="J440" s="537"/>
      <c r="K440" s="426"/>
      <c r="L440" s="372"/>
      <c r="M440" s="427"/>
      <c r="N440" s="296"/>
      <c r="O440" s="296"/>
      <c r="P440" s="426"/>
      <c r="Q440" s="426"/>
      <c r="R440" s="538"/>
      <c r="S440" s="371"/>
      <c r="T440" s="379"/>
      <c r="U440" s="270"/>
      <c r="V440" s="295"/>
      <c r="W440" s="295"/>
      <c r="X440" s="295"/>
      <c r="Y440" s="295"/>
      <c r="Z440" s="295"/>
      <c r="AA440" s="295"/>
      <c r="AB440" s="295"/>
      <c r="AC440" s="310"/>
      <c r="AD440" s="270"/>
      <c r="AE440" s="270"/>
    </row>
    <row r="441" spans="1:31" s="552" customFormat="1" ht="15.75" x14ac:dyDescent="0.2">
      <c r="A441" s="310"/>
      <c r="B441" s="270"/>
      <c r="C441" s="270"/>
      <c r="D441" s="270"/>
      <c r="E441" s="270"/>
      <c r="F441" s="282"/>
      <c r="G441" s="308"/>
      <c r="H441" s="308"/>
      <c r="I441" s="308"/>
      <c r="J441" s="309"/>
      <c r="K441" s="310"/>
      <c r="L441" s="311"/>
      <c r="M441" s="308"/>
      <c r="N441" s="295"/>
      <c r="O441" s="295"/>
      <c r="P441" s="308"/>
      <c r="Q441" s="308"/>
      <c r="R441" s="553"/>
      <c r="S441" s="295"/>
      <c r="T441" s="430"/>
      <c r="U441" s="270"/>
      <c r="V441" s="295"/>
      <c r="W441" s="295"/>
      <c r="X441" s="295"/>
      <c r="Y441" s="295"/>
      <c r="Z441" s="295"/>
      <c r="AA441" s="295"/>
      <c r="AB441" s="295"/>
      <c r="AC441" s="310"/>
      <c r="AD441" s="270"/>
      <c r="AE441" s="270"/>
    </row>
    <row r="442" spans="1:31" s="552" customFormat="1" ht="15.75" x14ac:dyDescent="0.2">
      <c r="A442" s="310"/>
      <c r="B442" s="270"/>
      <c r="C442" s="270"/>
      <c r="D442" s="270"/>
      <c r="E442" s="270"/>
      <c r="F442" s="282"/>
      <c r="G442" s="308"/>
      <c r="H442" s="308"/>
      <c r="I442" s="308"/>
      <c r="J442" s="309"/>
      <c r="K442" s="298"/>
      <c r="L442" s="311"/>
      <c r="M442" s="308"/>
      <c r="N442" s="295"/>
      <c r="O442" s="295"/>
      <c r="P442" s="308"/>
      <c r="Q442" s="308"/>
      <c r="R442" s="553"/>
      <c r="S442" s="295"/>
      <c r="T442" s="430"/>
      <c r="U442" s="270"/>
      <c r="V442" s="295"/>
      <c r="W442" s="295"/>
      <c r="X442" s="295"/>
      <c r="Y442" s="295"/>
      <c r="Z442" s="295"/>
      <c r="AA442" s="295"/>
      <c r="AB442" s="295"/>
      <c r="AC442" s="310"/>
      <c r="AD442" s="270"/>
      <c r="AE442" s="270"/>
    </row>
    <row r="443" spans="1:31" s="549" customFormat="1" ht="15.75" x14ac:dyDescent="0.2">
      <c r="A443" s="310"/>
      <c r="B443" s="295"/>
      <c r="C443" s="295"/>
      <c r="D443" s="295"/>
      <c r="E443" s="295"/>
      <c r="F443" s="296"/>
      <c r="G443" s="308"/>
      <c r="H443" s="308"/>
      <c r="I443" s="308"/>
      <c r="J443" s="309"/>
      <c r="K443" s="298"/>
      <c r="L443" s="311"/>
      <c r="M443" s="295"/>
      <c r="N443" s="295"/>
      <c r="O443" s="295"/>
      <c r="P443" s="308"/>
      <c r="Q443" s="308"/>
      <c r="R443" s="553"/>
      <c r="S443" s="295"/>
      <c r="T443" s="430"/>
      <c r="U443" s="300"/>
      <c r="V443" s="295"/>
      <c r="W443" s="295"/>
      <c r="X443" s="295"/>
      <c r="Y443" s="295"/>
      <c r="Z443" s="295"/>
      <c r="AA443" s="295"/>
      <c r="AB443" s="295"/>
      <c r="AC443" s="310"/>
      <c r="AD443" s="295"/>
      <c r="AE443" s="295"/>
    </row>
    <row r="444" spans="1:31" s="549" customFormat="1" ht="15.75" x14ac:dyDescent="0.2">
      <c r="A444" s="310"/>
      <c r="B444" s="295"/>
      <c r="C444" s="295"/>
      <c r="D444" s="295"/>
      <c r="E444" s="295"/>
      <c r="F444" s="296"/>
      <c r="G444" s="308"/>
      <c r="H444" s="308"/>
      <c r="I444" s="308"/>
      <c r="J444" s="309"/>
      <c r="K444" s="310"/>
      <c r="L444" s="311"/>
      <c r="M444" s="295"/>
      <c r="N444" s="295"/>
      <c r="O444" s="295"/>
      <c r="P444" s="308"/>
      <c r="Q444" s="308"/>
      <c r="R444" s="553"/>
      <c r="S444" s="295"/>
      <c r="T444" s="430"/>
      <c r="U444" s="300"/>
      <c r="V444" s="295"/>
      <c r="W444" s="295"/>
      <c r="X444" s="295"/>
      <c r="Y444" s="295"/>
      <c r="Z444" s="295"/>
      <c r="AA444" s="295"/>
      <c r="AB444" s="295"/>
      <c r="AC444" s="310"/>
      <c r="AD444" s="295"/>
      <c r="AE444" s="295"/>
    </row>
    <row r="445" spans="1:31" s="549" customFormat="1" ht="15.75" x14ac:dyDescent="0.2">
      <c r="A445" s="310"/>
      <c r="B445" s="295"/>
      <c r="C445" s="295"/>
      <c r="D445" s="295"/>
      <c r="E445" s="295"/>
      <c r="F445" s="296"/>
      <c r="G445" s="308"/>
      <c r="H445" s="308"/>
      <c r="I445" s="308"/>
      <c r="J445" s="309"/>
      <c r="K445" s="298"/>
      <c r="L445" s="311"/>
      <c r="M445" s="308"/>
      <c r="N445" s="295"/>
      <c r="O445" s="295"/>
      <c r="P445" s="308"/>
      <c r="Q445" s="308"/>
      <c r="R445" s="553"/>
      <c r="S445" s="295"/>
      <c r="T445" s="430"/>
      <c r="U445" s="300"/>
      <c r="V445" s="295"/>
      <c r="W445" s="295"/>
      <c r="X445" s="295"/>
      <c r="Y445" s="295"/>
      <c r="Z445" s="295"/>
      <c r="AA445" s="295"/>
      <c r="AB445" s="295"/>
      <c r="AC445" s="310"/>
      <c r="AD445" s="295"/>
      <c r="AE445" s="295"/>
    </row>
    <row r="446" spans="1:31" s="552" customFormat="1" ht="15.75" x14ac:dyDescent="0.2">
      <c r="A446" s="310"/>
      <c r="B446" s="270"/>
      <c r="C446" s="270"/>
      <c r="D446" s="270"/>
      <c r="E446" s="270"/>
      <c r="F446" s="282"/>
      <c r="G446" s="308"/>
      <c r="H446" s="308"/>
      <c r="I446" s="308"/>
      <c r="J446" s="309"/>
      <c r="K446" s="310"/>
      <c r="L446" s="311"/>
      <c r="M446" s="308"/>
      <c r="N446" s="295"/>
      <c r="O446" s="295"/>
      <c r="P446" s="308"/>
      <c r="Q446" s="308"/>
      <c r="R446" s="553"/>
      <c r="S446" s="295"/>
      <c r="T446" s="430"/>
      <c r="U446" s="270"/>
      <c r="V446" s="295"/>
      <c r="W446" s="295"/>
      <c r="X446" s="295"/>
      <c r="Y446" s="295"/>
      <c r="Z446" s="295"/>
      <c r="AA446" s="295"/>
      <c r="AB446" s="295"/>
      <c r="AC446" s="310"/>
      <c r="AD446" s="270"/>
      <c r="AE446" s="270"/>
    </row>
    <row r="447" spans="1:31" s="552" customFormat="1" ht="15.75" x14ac:dyDescent="0.2">
      <c r="A447" s="310"/>
      <c r="B447" s="270"/>
      <c r="C447" s="270"/>
      <c r="D447" s="270"/>
      <c r="E447" s="270"/>
      <c r="F447" s="282"/>
      <c r="G447" s="308"/>
      <c r="H447" s="308"/>
      <c r="I447" s="308"/>
      <c r="J447" s="309"/>
      <c r="K447" s="310"/>
      <c r="L447" s="311"/>
      <c r="M447" s="308"/>
      <c r="N447" s="295"/>
      <c r="O447" s="295"/>
      <c r="P447" s="308"/>
      <c r="Q447" s="308"/>
      <c r="R447" s="553"/>
      <c r="S447" s="295"/>
      <c r="T447" s="430"/>
      <c r="U447" s="270"/>
      <c r="V447" s="295"/>
      <c r="W447" s="295"/>
      <c r="X447" s="295"/>
      <c r="Y447" s="295"/>
      <c r="Z447" s="295"/>
      <c r="AA447" s="295"/>
      <c r="AB447" s="295"/>
      <c r="AC447" s="310"/>
      <c r="AD447" s="270"/>
      <c r="AE447" s="270"/>
    </row>
    <row r="448" spans="1:31" s="552" customFormat="1" ht="15.75" x14ac:dyDescent="0.2">
      <c r="A448" s="310"/>
      <c r="B448" s="270"/>
      <c r="C448" s="270"/>
      <c r="D448" s="270"/>
      <c r="E448" s="270"/>
      <c r="F448" s="282"/>
      <c r="G448" s="308"/>
      <c r="H448" s="308"/>
      <c r="I448" s="308"/>
      <c r="J448" s="309"/>
      <c r="K448" s="310"/>
      <c r="L448" s="311"/>
      <c r="M448" s="308"/>
      <c r="N448" s="295"/>
      <c r="O448" s="295"/>
      <c r="P448" s="308"/>
      <c r="Q448" s="308"/>
      <c r="R448" s="553"/>
      <c r="S448" s="295"/>
      <c r="T448" s="430"/>
      <c r="U448" s="270"/>
      <c r="V448" s="295"/>
      <c r="W448" s="295"/>
      <c r="X448" s="295"/>
      <c r="Y448" s="295"/>
      <c r="Z448" s="295"/>
      <c r="AA448" s="295"/>
      <c r="AB448" s="295"/>
      <c r="AC448" s="310"/>
      <c r="AD448" s="270"/>
      <c r="AE448" s="270"/>
    </row>
    <row r="449" spans="1:31" s="552" customFormat="1" ht="15.75" x14ac:dyDescent="0.2">
      <c r="A449" s="310"/>
      <c r="B449" s="270"/>
      <c r="C449" s="270"/>
      <c r="D449" s="270"/>
      <c r="E449" s="270"/>
      <c r="F449" s="282"/>
      <c r="G449" s="308"/>
      <c r="H449" s="308"/>
      <c r="I449" s="308"/>
      <c r="J449" s="309"/>
      <c r="K449" s="310"/>
      <c r="L449" s="311"/>
      <c r="M449" s="308"/>
      <c r="N449" s="295"/>
      <c r="O449" s="295"/>
      <c r="P449" s="308"/>
      <c r="Q449" s="308"/>
      <c r="R449" s="553"/>
      <c r="S449" s="295"/>
      <c r="T449" s="430"/>
      <c r="U449" s="270"/>
      <c r="V449" s="295"/>
      <c r="W449" s="295"/>
      <c r="X449" s="295"/>
      <c r="Y449" s="295"/>
      <c r="Z449" s="295"/>
      <c r="AA449" s="295"/>
      <c r="AB449" s="295"/>
      <c r="AC449" s="310"/>
      <c r="AD449" s="270"/>
      <c r="AE449" s="270"/>
    </row>
    <row r="450" spans="1:31" s="549" customFormat="1" ht="15.75" x14ac:dyDescent="0.2">
      <c r="A450" s="310"/>
      <c r="B450" s="295"/>
      <c r="C450" s="295"/>
      <c r="D450" s="295"/>
      <c r="E450" s="295"/>
      <c r="F450" s="296"/>
      <c r="G450" s="308"/>
      <c r="H450" s="308"/>
      <c r="I450" s="308"/>
      <c r="J450" s="309"/>
      <c r="K450" s="298"/>
      <c r="L450" s="311"/>
      <c r="M450" s="308"/>
      <c r="N450" s="295"/>
      <c r="O450" s="295"/>
      <c r="P450" s="308"/>
      <c r="Q450" s="308"/>
      <c r="R450" s="536"/>
      <c r="S450" s="295"/>
      <c r="T450" s="430"/>
      <c r="U450" s="300"/>
      <c r="V450" s="295"/>
      <c r="W450" s="295"/>
      <c r="X450" s="295"/>
      <c r="Y450" s="295"/>
      <c r="Z450" s="295"/>
      <c r="AA450" s="295"/>
      <c r="AB450" s="295"/>
      <c r="AC450" s="310"/>
      <c r="AD450" s="295"/>
      <c r="AE450" s="295"/>
    </row>
    <row r="451" spans="1:31" s="549" customFormat="1" ht="15.75" x14ac:dyDescent="0.2">
      <c r="A451" s="310"/>
      <c r="B451" s="295"/>
      <c r="C451" s="295"/>
      <c r="D451" s="295"/>
      <c r="E451" s="295"/>
      <c r="F451" s="296"/>
      <c r="G451" s="308"/>
      <c r="H451" s="308"/>
      <c r="I451" s="308"/>
      <c r="J451" s="309"/>
      <c r="K451" s="310"/>
      <c r="L451" s="311"/>
      <c r="M451" s="308"/>
      <c r="N451" s="295"/>
      <c r="O451" s="295"/>
      <c r="P451" s="308"/>
      <c r="Q451" s="308"/>
      <c r="R451" s="536"/>
      <c r="S451" s="295"/>
      <c r="T451" s="430"/>
      <c r="U451" s="300"/>
      <c r="V451" s="295"/>
      <c r="W451" s="295"/>
      <c r="X451" s="295"/>
      <c r="Y451" s="295"/>
      <c r="Z451" s="295"/>
      <c r="AA451" s="295"/>
      <c r="AB451" s="295"/>
      <c r="AC451" s="310"/>
      <c r="AD451" s="295"/>
      <c r="AE451" s="295"/>
    </row>
    <row r="452" spans="1:31" s="549" customFormat="1" ht="15.75" x14ac:dyDescent="0.2">
      <c r="A452" s="310"/>
      <c r="B452" s="295"/>
      <c r="C452" s="295"/>
      <c r="D452" s="295"/>
      <c r="E452" s="295"/>
      <c r="F452" s="296"/>
      <c r="G452" s="308"/>
      <c r="H452" s="308"/>
      <c r="I452" s="308"/>
      <c r="J452" s="309"/>
      <c r="K452" s="298"/>
      <c r="L452" s="311"/>
      <c r="M452" s="308"/>
      <c r="N452" s="295"/>
      <c r="O452" s="295"/>
      <c r="P452" s="308"/>
      <c r="Q452" s="308"/>
      <c r="R452" s="536"/>
      <c r="S452" s="295"/>
      <c r="T452" s="430"/>
      <c r="U452" s="300"/>
      <c r="V452" s="295"/>
      <c r="W452" s="295"/>
      <c r="X452" s="295"/>
      <c r="Y452" s="295"/>
      <c r="Z452" s="295"/>
      <c r="AA452" s="295"/>
      <c r="AB452" s="295"/>
      <c r="AC452" s="310"/>
      <c r="AD452" s="295"/>
      <c r="AE452" s="295"/>
    </row>
    <row r="453" spans="1:31" s="549" customFormat="1" ht="15.75" x14ac:dyDescent="0.2">
      <c r="A453" s="310"/>
      <c r="B453" s="295"/>
      <c r="C453" s="295"/>
      <c r="D453" s="295"/>
      <c r="E453" s="295"/>
      <c r="F453" s="296"/>
      <c r="G453" s="308"/>
      <c r="H453" s="308"/>
      <c r="I453" s="308"/>
      <c r="J453" s="309"/>
      <c r="K453" s="298"/>
      <c r="L453" s="311"/>
      <c r="M453" s="308"/>
      <c r="N453" s="295"/>
      <c r="O453" s="295"/>
      <c r="P453" s="308"/>
      <c r="Q453" s="308"/>
      <c r="R453" s="536"/>
      <c r="S453" s="295"/>
      <c r="T453" s="430"/>
      <c r="U453" s="300"/>
      <c r="V453" s="295"/>
      <c r="W453" s="295"/>
      <c r="X453" s="295"/>
      <c r="Y453" s="295"/>
      <c r="Z453" s="295"/>
      <c r="AA453" s="295"/>
      <c r="AB453" s="295"/>
      <c r="AC453" s="310"/>
      <c r="AD453" s="295"/>
      <c r="AE453" s="295"/>
    </row>
    <row r="454" spans="1:31" s="549" customFormat="1" ht="15.75" x14ac:dyDescent="0.2">
      <c r="A454" s="310"/>
      <c r="B454" s="295"/>
      <c r="C454" s="295"/>
      <c r="D454" s="295"/>
      <c r="E454" s="295"/>
      <c r="F454" s="296"/>
      <c r="G454" s="308"/>
      <c r="H454" s="308"/>
      <c r="I454" s="308"/>
      <c r="J454" s="309"/>
      <c r="K454" s="310"/>
      <c r="L454" s="311"/>
      <c r="M454" s="308"/>
      <c r="N454" s="295"/>
      <c r="O454" s="295"/>
      <c r="P454" s="308"/>
      <c r="Q454" s="308"/>
      <c r="R454" s="536"/>
      <c r="S454" s="295"/>
      <c r="T454" s="430"/>
      <c r="U454" s="300"/>
      <c r="V454" s="295"/>
      <c r="W454" s="295"/>
      <c r="X454" s="295"/>
      <c r="Y454" s="295"/>
      <c r="Z454" s="295"/>
      <c r="AA454" s="295"/>
      <c r="AB454" s="295"/>
      <c r="AC454" s="310"/>
      <c r="AD454" s="295"/>
      <c r="AE454" s="295"/>
    </row>
    <row r="455" spans="1:31" s="549" customFormat="1" ht="15.75" x14ac:dyDescent="0.2">
      <c r="A455" s="310"/>
      <c r="B455" s="295"/>
      <c r="C455" s="295"/>
      <c r="D455" s="295"/>
      <c r="E455" s="295"/>
      <c r="F455" s="296"/>
      <c r="G455" s="308"/>
      <c r="H455" s="308"/>
      <c r="I455" s="308"/>
      <c r="J455" s="309"/>
      <c r="K455" s="298"/>
      <c r="L455" s="311"/>
      <c r="M455" s="308"/>
      <c r="N455" s="295"/>
      <c r="O455" s="295"/>
      <c r="P455" s="308"/>
      <c r="Q455" s="308"/>
      <c r="R455" s="536"/>
      <c r="S455" s="295"/>
      <c r="T455" s="430"/>
      <c r="U455" s="300"/>
      <c r="V455" s="295"/>
      <c r="W455" s="295"/>
      <c r="X455" s="295"/>
      <c r="Y455" s="295"/>
      <c r="Z455" s="295"/>
      <c r="AA455" s="295"/>
      <c r="AB455" s="295"/>
      <c r="AC455" s="310"/>
      <c r="AD455" s="295"/>
      <c r="AE455" s="295"/>
    </row>
    <row r="456" spans="1:31" s="549" customFormat="1" ht="15.75" x14ac:dyDescent="0.2">
      <c r="A456" s="310"/>
      <c r="B456" s="295"/>
      <c r="C456" s="295"/>
      <c r="D456" s="295"/>
      <c r="E456" s="295"/>
      <c r="F456" s="296"/>
      <c r="G456" s="308"/>
      <c r="H456" s="308"/>
      <c r="I456" s="308"/>
      <c r="J456" s="309"/>
      <c r="K456" s="298"/>
      <c r="L456" s="311"/>
      <c r="M456" s="308"/>
      <c r="N456" s="295"/>
      <c r="O456" s="295"/>
      <c r="P456" s="308"/>
      <c r="Q456" s="308"/>
      <c r="R456" s="536"/>
      <c r="S456" s="295"/>
      <c r="T456" s="430"/>
      <c r="U456" s="300"/>
      <c r="V456" s="295"/>
      <c r="W456" s="295"/>
      <c r="X456" s="295"/>
      <c r="Y456" s="295"/>
      <c r="Z456" s="295"/>
      <c r="AA456" s="295"/>
      <c r="AB456" s="295"/>
      <c r="AC456" s="310"/>
      <c r="AD456" s="295"/>
      <c r="AE456" s="295"/>
    </row>
    <row r="457" spans="1:31" s="549" customFormat="1" ht="15.75" x14ac:dyDescent="0.2">
      <c r="A457" s="310"/>
      <c r="B457" s="295"/>
      <c r="C457" s="295"/>
      <c r="D457" s="295"/>
      <c r="E457" s="295"/>
      <c r="F457" s="296"/>
      <c r="G457" s="308"/>
      <c r="H457" s="308"/>
      <c r="I457" s="308"/>
      <c r="J457" s="309"/>
      <c r="K457" s="310"/>
      <c r="L457" s="311"/>
      <c r="M457" s="308"/>
      <c r="N457" s="295"/>
      <c r="O457" s="295"/>
      <c r="P457" s="308"/>
      <c r="Q457" s="308"/>
      <c r="R457" s="536"/>
      <c r="S457" s="295"/>
      <c r="T457" s="430"/>
      <c r="U457" s="300"/>
      <c r="V457" s="295"/>
      <c r="W457" s="295"/>
      <c r="X457" s="295"/>
      <c r="Y457" s="295"/>
      <c r="Z457" s="295"/>
      <c r="AA457" s="295"/>
      <c r="AB457" s="295"/>
      <c r="AC457" s="310"/>
      <c r="AD457" s="295"/>
      <c r="AE457" s="295"/>
    </row>
    <row r="458" spans="1:31" s="549" customFormat="1" ht="15.75" x14ac:dyDescent="0.2">
      <c r="A458" s="310"/>
      <c r="B458" s="295"/>
      <c r="C458" s="295"/>
      <c r="D458" s="295"/>
      <c r="E458" s="295"/>
      <c r="F458" s="296"/>
      <c r="G458" s="308"/>
      <c r="H458" s="308"/>
      <c r="I458" s="308"/>
      <c r="J458" s="309"/>
      <c r="K458" s="298"/>
      <c r="L458" s="311"/>
      <c r="M458" s="308"/>
      <c r="N458" s="295"/>
      <c r="O458" s="295"/>
      <c r="P458" s="308"/>
      <c r="Q458" s="308"/>
      <c r="R458" s="536"/>
      <c r="S458" s="295"/>
      <c r="T458" s="430"/>
      <c r="U458" s="300"/>
      <c r="V458" s="295"/>
      <c r="W458" s="295"/>
      <c r="X458" s="295"/>
      <c r="Y458" s="295"/>
      <c r="Z458" s="295"/>
      <c r="AA458" s="295"/>
      <c r="AB458" s="295"/>
      <c r="AC458" s="310"/>
      <c r="AD458" s="295"/>
      <c r="AE458" s="295"/>
    </row>
    <row r="459" spans="1:31" s="549" customFormat="1" ht="15.75" customHeight="1" x14ac:dyDescent="0.2">
      <c r="A459" s="310"/>
      <c r="B459" s="295"/>
      <c r="C459" s="295"/>
      <c r="D459" s="295"/>
      <c r="E459" s="295"/>
      <c r="F459" s="296"/>
      <c r="G459" s="308"/>
      <c r="H459" s="308"/>
      <c r="I459" s="308"/>
      <c r="J459" s="309"/>
      <c r="K459" s="298"/>
      <c r="L459" s="311"/>
      <c r="M459" s="308"/>
      <c r="N459" s="295"/>
      <c r="O459" s="295"/>
      <c r="P459" s="308"/>
      <c r="Q459" s="308"/>
      <c r="R459" s="536"/>
      <c r="S459" s="295"/>
      <c r="T459" s="430"/>
      <c r="U459" s="300"/>
      <c r="V459" s="295"/>
      <c r="W459" s="295"/>
      <c r="X459" s="295"/>
      <c r="Y459" s="295"/>
      <c r="Z459" s="295"/>
      <c r="AA459" s="295"/>
      <c r="AB459" s="295"/>
      <c r="AC459" s="310"/>
      <c r="AD459" s="295"/>
      <c r="AE459" s="295"/>
    </row>
    <row r="460" spans="1:31" s="549" customFormat="1" ht="15.75" x14ac:dyDescent="0.2">
      <c r="A460" s="310"/>
      <c r="B460" s="295"/>
      <c r="C460" s="295"/>
      <c r="D460" s="295"/>
      <c r="E460" s="295"/>
      <c r="F460" s="296"/>
      <c r="G460" s="308"/>
      <c r="H460" s="308"/>
      <c r="I460" s="308"/>
      <c r="J460" s="309"/>
      <c r="K460" s="310"/>
      <c r="L460" s="311"/>
      <c r="M460" s="308"/>
      <c r="N460" s="295"/>
      <c r="O460" s="295"/>
      <c r="P460" s="308"/>
      <c r="Q460" s="308"/>
      <c r="R460" s="536"/>
      <c r="S460" s="295"/>
      <c r="T460" s="430"/>
      <c r="U460" s="300"/>
      <c r="V460" s="295"/>
      <c r="W460" s="295"/>
      <c r="X460" s="295"/>
      <c r="Y460" s="295"/>
      <c r="Z460" s="295"/>
      <c r="AA460" s="295"/>
      <c r="AB460" s="295"/>
      <c r="AC460" s="310"/>
      <c r="AD460" s="295"/>
      <c r="AE460" s="295"/>
    </row>
    <row r="461" spans="1:31" s="549" customFormat="1" ht="15.75" x14ac:dyDescent="0.2">
      <c r="A461" s="310"/>
      <c r="B461" s="295"/>
      <c r="C461" s="295"/>
      <c r="D461" s="295"/>
      <c r="E461" s="295"/>
      <c r="F461" s="296"/>
      <c r="G461" s="308"/>
      <c r="H461" s="308"/>
      <c r="I461" s="308"/>
      <c r="J461" s="309"/>
      <c r="K461" s="298"/>
      <c r="L461" s="311"/>
      <c r="M461" s="308"/>
      <c r="N461" s="295"/>
      <c r="O461" s="295"/>
      <c r="P461" s="308"/>
      <c r="Q461" s="308"/>
      <c r="R461" s="536"/>
      <c r="S461" s="295"/>
      <c r="T461" s="430"/>
      <c r="U461" s="300"/>
      <c r="V461" s="295"/>
      <c r="W461" s="295"/>
      <c r="X461" s="295"/>
      <c r="Y461" s="295"/>
      <c r="Z461" s="295"/>
      <c r="AA461" s="295"/>
      <c r="AB461" s="295"/>
      <c r="AC461" s="310"/>
      <c r="AD461" s="295"/>
      <c r="AE461" s="295"/>
    </row>
    <row r="462" spans="1:31" s="549" customFormat="1" ht="15.75" x14ac:dyDescent="0.2">
      <c r="A462" s="310"/>
      <c r="B462" s="295"/>
      <c r="C462" s="295"/>
      <c r="D462" s="295"/>
      <c r="E462" s="295"/>
      <c r="F462" s="296"/>
      <c r="G462" s="308"/>
      <c r="H462" s="308"/>
      <c r="I462" s="308"/>
      <c r="J462" s="309"/>
      <c r="K462" s="298"/>
      <c r="L462" s="311"/>
      <c r="M462" s="308"/>
      <c r="N462" s="295"/>
      <c r="O462" s="295"/>
      <c r="P462" s="308"/>
      <c r="Q462" s="308"/>
      <c r="R462" s="536"/>
      <c r="S462" s="295"/>
      <c r="T462" s="430"/>
      <c r="U462" s="300"/>
      <c r="V462" s="295"/>
      <c r="W462" s="295"/>
      <c r="X462" s="295"/>
      <c r="Y462" s="295"/>
      <c r="Z462" s="295"/>
      <c r="AA462" s="295"/>
      <c r="AB462" s="295"/>
      <c r="AC462" s="310"/>
      <c r="AD462" s="295"/>
      <c r="AE462" s="295"/>
    </row>
    <row r="463" spans="1:31" s="549" customFormat="1" ht="15.75" x14ac:dyDescent="0.2">
      <c r="A463" s="310"/>
      <c r="B463" s="295"/>
      <c r="C463" s="295"/>
      <c r="D463" s="295"/>
      <c r="E463" s="295"/>
      <c r="F463" s="296"/>
      <c r="G463" s="308"/>
      <c r="H463" s="308"/>
      <c r="I463" s="308"/>
      <c r="J463" s="309"/>
      <c r="K463" s="310"/>
      <c r="L463" s="311"/>
      <c r="M463" s="308"/>
      <c r="N463" s="295"/>
      <c r="O463" s="295"/>
      <c r="P463" s="308"/>
      <c r="Q463" s="308"/>
      <c r="R463" s="536"/>
      <c r="S463" s="295"/>
      <c r="T463" s="430"/>
      <c r="U463" s="300"/>
      <c r="V463" s="295"/>
      <c r="W463" s="295"/>
      <c r="X463" s="295"/>
      <c r="Y463" s="295"/>
      <c r="Z463" s="295"/>
      <c r="AA463" s="295"/>
      <c r="AB463" s="295"/>
      <c r="AC463" s="310"/>
      <c r="AD463" s="295"/>
      <c r="AE463" s="295"/>
    </row>
    <row r="464" spans="1:31" s="549" customFormat="1" ht="15.75" x14ac:dyDescent="0.2">
      <c r="A464" s="310"/>
      <c r="B464" s="295"/>
      <c r="C464" s="295"/>
      <c r="D464" s="295"/>
      <c r="E464" s="295"/>
      <c r="F464" s="296"/>
      <c r="G464" s="308"/>
      <c r="H464" s="308"/>
      <c r="I464" s="308"/>
      <c r="J464" s="309"/>
      <c r="K464" s="298"/>
      <c r="L464" s="311"/>
      <c r="M464" s="308"/>
      <c r="N464" s="295"/>
      <c r="O464" s="295"/>
      <c r="P464" s="308"/>
      <c r="Q464" s="308"/>
      <c r="R464" s="536"/>
      <c r="S464" s="295"/>
      <c r="T464" s="430"/>
      <c r="U464" s="300"/>
      <c r="V464" s="295"/>
      <c r="W464" s="295"/>
      <c r="X464" s="295"/>
      <c r="Y464" s="295"/>
      <c r="Z464" s="295"/>
      <c r="AA464" s="295"/>
      <c r="AB464" s="295"/>
      <c r="AC464" s="310"/>
      <c r="AD464" s="295"/>
      <c r="AE464" s="295"/>
    </row>
    <row r="465" spans="1:31" s="549" customFormat="1" ht="15.75" x14ac:dyDescent="0.2">
      <c r="A465" s="310"/>
      <c r="B465" s="295"/>
      <c r="C465" s="295"/>
      <c r="D465" s="295"/>
      <c r="E465" s="295"/>
      <c r="F465" s="296"/>
      <c r="G465" s="308"/>
      <c r="H465" s="308"/>
      <c r="I465" s="308"/>
      <c r="J465" s="309"/>
      <c r="K465" s="298"/>
      <c r="L465" s="311"/>
      <c r="M465" s="308"/>
      <c r="N465" s="295"/>
      <c r="O465" s="295"/>
      <c r="P465" s="308"/>
      <c r="Q465" s="308"/>
      <c r="R465" s="536"/>
      <c r="S465" s="295"/>
      <c r="T465" s="430"/>
      <c r="U465" s="300"/>
      <c r="V465" s="295"/>
      <c r="W465" s="295"/>
      <c r="X465" s="295"/>
      <c r="Y465" s="295"/>
      <c r="Z465" s="295"/>
      <c r="AA465" s="295"/>
      <c r="AB465" s="295"/>
      <c r="AC465" s="310"/>
      <c r="AD465" s="295"/>
      <c r="AE465" s="295"/>
    </row>
    <row r="466" spans="1:31" s="552" customFormat="1" ht="15.75" x14ac:dyDescent="0.2">
      <c r="A466" s="310"/>
      <c r="B466" s="270"/>
      <c r="C466" s="270"/>
      <c r="D466" s="270"/>
      <c r="E466" s="270"/>
      <c r="F466" s="282"/>
      <c r="G466" s="308"/>
      <c r="H466" s="308"/>
      <c r="I466" s="308"/>
      <c r="J466" s="309"/>
      <c r="K466" s="310"/>
      <c r="L466" s="311"/>
      <c r="M466" s="308"/>
      <c r="N466" s="295"/>
      <c r="O466" s="295"/>
      <c r="P466" s="308"/>
      <c r="Q466" s="308"/>
      <c r="R466" s="536"/>
      <c r="S466" s="295"/>
      <c r="T466" s="430"/>
      <c r="U466" s="270"/>
      <c r="V466" s="295"/>
      <c r="W466" s="295"/>
      <c r="X466" s="295"/>
      <c r="Y466" s="295"/>
      <c r="Z466" s="295"/>
      <c r="AA466" s="295"/>
      <c r="AB466" s="295"/>
      <c r="AC466" s="310"/>
      <c r="AD466" s="270"/>
      <c r="AE466" s="270"/>
    </row>
    <row r="467" spans="1:31" s="549" customFormat="1" x14ac:dyDescent="0.2">
      <c r="A467" s="310"/>
      <c r="B467" s="295"/>
      <c r="C467" s="295"/>
      <c r="D467" s="295"/>
      <c r="E467" s="295"/>
      <c r="F467" s="296"/>
      <c r="G467" s="295"/>
      <c r="H467" s="295"/>
      <c r="I467" s="295"/>
      <c r="J467" s="309"/>
      <c r="K467" s="310"/>
      <c r="L467" s="298"/>
      <c r="M467" s="308"/>
      <c r="N467" s="295"/>
      <c r="O467" s="295"/>
      <c r="P467" s="308"/>
      <c r="Q467" s="308"/>
      <c r="R467" s="536"/>
      <c r="S467" s="295"/>
      <c r="T467" s="430"/>
      <c r="U467" s="300"/>
      <c r="V467" s="295"/>
      <c r="W467" s="295"/>
      <c r="X467" s="295"/>
      <c r="Y467" s="295"/>
      <c r="Z467" s="295"/>
      <c r="AA467" s="295"/>
      <c r="AB467" s="295"/>
      <c r="AC467" s="310"/>
      <c r="AD467" s="295"/>
      <c r="AE467" s="295"/>
    </row>
    <row r="468" spans="1:31" s="549" customFormat="1" x14ac:dyDescent="0.2">
      <c r="A468" s="310"/>
      <c r="B468" s="295"/>
      <c r="C468" s="295"/>
      <c r="D468" s="295"/>
      <c r="E468" s="295"/>
      <c r="F468" s="296"/>
      <c r="G468" s="295"/>
      <c r="H468" s="295"/>
      <c r="I468" s="295"/>
      <c r="J468" s="312"/>
      <c r="K468" s="298"/>
      <c r="L468" s="298"/>
      <c r="M468" s="308"/>
      <c r="N468" s="295"/>
      <c r="O468" s="295"/>
      <c r="P468" s="308"/>
      <c r="Q468" s="308"/>
      <c r="R468" s="536"/>
      <c r="S468" s="295"/>
      <c r="T468" s="430"/>
      <c r="U468" s="300"/>
      <c r="V468" s="295"/>
      <c r="W468" s="295"/>
      <c r="X468" s="295"/>
      <c r="Y468" s="295"/>
      <c r="Z468" s="295"/>
      <c r="AA468" s="295"/>
      <c r="AB468" s="295"/>
      <c r="AC468" s="310"/>
      <c r="AD468" s="295"/>
      <c r="AE468" s="295"/>
    </row>
    <row r="469" spans="1:31" s="549" customFormat="1" x14ac:dyDescent="0.2">
      <c r="A469" s="310"/>
      <c r="B469" s="295"/>
      <c r="C469" s="295"/>
      <c r="D469" s="295"/>
      <c r="E469" s="295"/>
      <c r="F469" s="296"/>
      <c r="G469" s="295"/>
      <c r="H469" s="295"/>
      <c r="I469" s="295"/>
      <c r="J469" s="312"/>
      <c r="K469" s="298"/>
      <c r="L469" s="298"/>
      <c r="M469" s="308"/>
      <c r="N469" s="295"/>
      <c r="O469" s="295"/>
      <c r="P469" s="308"/>
      <c r="Q469" s="308"/>
      <c r="R469" s="536"/>
      <c r="S469" s="295"/>
      <c r="T469" s="430"/>
      <c r="U469" s="300"/>
      <c r="V469" s="295"/>
      <c r="W469" s="295"/>
      <c r="X469" s="295"/>
      <c r="Y469" s="295"/>
      <c r="Z469" s="295"/>
      <c r="AA469" s="295"/>
      <c r="AB469" s="295"/>
      <c r="AC469" s="310"/>
      <c r="AD469" s="295"/>
      <c r="AE469" s="295"/>
    </row>
    <row r="470" spans="1:31" s="549" customFormat="1" x14ac:dyDescent="0.2">
      <c r="A470" s="310"/>
      <c r="B470" s="295"/>
      <c r="C470" s="295"/>
      <c r="D470" s="295"/>
      <c r="E470" s="295"/>
      <c r="F470" s="296"/>
      <c r="G470" s="295"/>
      <c r="H470" s="295"/>
      <c r="I470" s="295"/>
      <c r="J470" s="312"/>
      <c r="K470" s="310"/>
      <c r="L470" s="298"/>
      <c r="M470" s="308"/>
      <c r="N470" s="295"/>
      <c r="O470" s="295"/>
      <c r="P470" s="308"/>
      <c r="Q470" s="308"/>
      <c r="R470" s="536"/>
      <c r="S470" s="295"/>
      <c r="T470" s="430"/>
      <c r="U470" s="300"/>
      <c r="V470" s="295"/>
      <c r="W470" s="295"/>
      <c r="X470" s="295"/>
      <c r="Y470" s="295"/>
      <c r="Z470" s="295"/>
      <c r="AA470" s="295"/>
      <c r="AB470" s="295"/>
      <c r="AC470" s="310"/>
      <c r="AD470" s="295"/>
      <c r="AE470" s="295"/>
    </row>
    <row r="471" spans="1:31" s="549" customFormat="1" x14ac:dyDescent="0.2">
      <c r="A471" s="310"/>
      <c r="B471" s="295"/>
      <c r="C471" s="295"/>
      <c r="D471" s="295"/>
      <c r="E471" s="295"/>
      <c r="F471" s="296"/>
      <c r="G471" s="295"/>
      <c r="H471" s="295"/>
      <c r="I471" s="295"/>
      <c r="J471" s="312"/>
      <c r="K471" s="298"/>
      <c r="L471" s="298"/>
      <c r="M471" s="295"/>
      <c r="N471" s="295"/>
      <c r="O471" s="295"/>
      <c r="P471" s="308"/>
      <c r="Q471" s="308"/>
      <c r="R471" s="536"/>
      <c r="S471" s="295"/>
      <c r="T471" s="430"/>
      <c r="U471" s="300"/>
      <c r="V471" s="295"/>
      <c r="W471" s="295"/>
      <c r="X471" s="295"/>
      <c r="Y471" s="295"/>
      <c r="Z471" s="295"/>
      <c r="AA471" s="295"/>
      <c r="AB471" s="295"/>
      <c r="AC471" s="310"/>
      <c r="AD471" s="295"/>
      <c r="AE471" s="295"/>
    </row>
    <row r="472" spans="1:31" s="549" customFormat="1" x14ac:dyDescent="0.2">
      <c r="A472" s="310"/>
      <c r="B472" s="295"/>
      <c r="C472" s="295"/>
      <c r="D472" s="295"/>
      <c r="E472" s="295"/>
      <c r="F472" s="296"/>
      <c r="G472" s="295"/>
      <c r="H472" s="295"/>
      <c r="I472" s="295"/>
      <c r="J472" s="312"/>
      <c r="K472" s="298"/>
      <c r="L472" s="298"/>
      <c r="M472" s="295"/>
      <c r="N472" s="295"/>
      <c r="O472" s="295"/>
      <c r="P472" s="308"/>
      <c r="Q472" s="308"/>
      <c r="R472" s="536"/>
      <c r="S472" s="295"/>
      <c r="T472" s="430"/>
      <c r="U472" s="300"/>
      <c r="V472" s="295"/>
      <c r="W472" s="295"/>
      <c r="X472" s="295"/>
      <c r="Y472" s="295"/>
      <c r="Z472" s="295"/>
      <c r="AA472" s="295"/>
      <c r="AB472" s="295"/>
      <c r="AC472" s="310"/>
      <c r="AD472" s="295"/>
      <c r="AE472" s="295"/>
    </row>
    <row r="473" spans="1:31" s="549" customFormat="1" x14ac:dyDescent="0.2">
      <c r="A473" s="310"/>
      <c r="B473" s="295"/>
      <c r="C473" s="295"/>
      <c r="D473" s="295"/>
      <c r="E473" s="295"/>
      <c r="F473" s="296"/>
      <c r="G473" s="295"/>
      <c r="H473" s="295"/>
      <c r="I473" s="295"/>
      <c r="J473" s="312"/>
      <c r="K473" s="310"/>
      <c r="L473" s="298"/>
      <c r="M473" s="295"/>
      <c r="N473" s="295"/>
      <c r="O473" s="295"/>
      <c r="P473" s="308"/>
      <c r="Q473" s="308"/>
      <c r="R473" s="536"/>
      <c r="S473" s="295"/>
      <c r="T473" s="430"/>
      <c r="U473" s="300"/>
      <c r="V473" s="295"/>
      <c r="W473" s="295"/>
      <c r="X473" s="295"/>
      <c r="Y473" s="295"/>
      <c r="Z473" s="295"/>
      <c r="AA473" s="295"/>
      <c r="AB473" s="295"/>
      <c r="AC473" s="310"/>
      <c r="AD473" s="295"/>
      <c r="AE473" s="295"/>
    </row>
    <row r="474" spans="1:31" s="549" customFormat="1" x14ac:dyDescent="0.2">
      <c r="A474" s="310"/>
      <c r="B474" s="295"/>
      <c r="C474" s="295"/>
      <c r="D474" s="295"/>
      <c r="E474" s="295"/>
      <c r="F474" s="296"/>
      <c r="G474" s="295"/>
      <c r="H474" s="295"/>
      <c r="I474" s="295"/>
      <c r="J474" s="312"/>
      <c r="K474" s="298"/>
      <c r="L474" s="298"/>
      <c r="M474" s="295"/>
      <c r="N474" s="295"/>
      <c r="O474" s="295"/>
      <c r="P474" s="295"/>
      <c r="Q474" s="295"/>
      <c r="R474" s="536"/>
      <c r="S474" s="295"/>
      <c r="T474" s="300"/>
      <c r="U474" s="300"/>
      <c r="V474" s="295"/>
      <c r="W474" s="295"/>
      <c r="X474" s="295"/>
      <c r="Y474" s="295"/>
      <c r="Z474" s="295"/>
      <c r="AA474" s="295"/>
      <c r="AB474" s="295"/>
      <c r="AC474" s="295"/>
      <c r="AD474" s="295"/>
    </row>
    <row r="475" spans="1:31" s="549" customFormat="1" ht="15.75" x14ac:dyDescent="0.2">
      <c r="A475" s="310"/>
      <c r="B475" s="295"/>
      <c r="C475" s="295"/>
      <c r="D475" s="295"/>
      <c r="E475" s="295"/>
      <c r="F475" s="296"/>
      <c r="G475" s="308"/>
      <c r="H475" s="308"/>
      <c r="I475" s="308"/>
      <c r="J475" s="309"/>
      <c r="K475" s="298"/>
      <c r="L475" s="311"/>
      <c r="M475" s="295"/>
      <c r="N475" s="295"/>
      <c r="O475" s="295"/>
      <c r="P475" s="308"/>
      <c r="Q475" s="308"/>
      <c r="R475" s="536"/>
      <c r="S475" s="295"/>
      <c r="T475" s="430"/>
      <c r="U475" s="300"/>
      <c r="V475" s="295"/>
      <c r="W475" s="295"/>
      <c r="X475" s="295"/>
      <c r="Y475" s="295"/>
      <c r="Z475" s="295"/>
      <c r="AA475" s="295"/>
      <c r="AB475" s="295"/>
      <c r="AC475" s="310"/>
      <c r="AD475" s="295"/>
      <c r="AE475" s="295"/>
    </row>
    <row r="476" spans="1:31" s="549" customFormat="1" ht="15.75" x14ac:dyDescent="0.2">
      <c r="A476" s="310"/>
      <c r="B476" s="295"/>
      <c r="C476" s="295"/>
      <c r="D476" s="295"/>
      <c r="E476" s="295"/>
      <c r="F476" s="296"/>
      <c r="G476" s="308"/>
      <c r="H476" s="308"/>
      <c r="I476" s="308"/>
      <c r="J476" s="309"/>
      <c r="K476" s="298"/>
      <c r="L476" s="311"/>
      <c r="M476" s="308"/>
      <c r="N476" s="295"/>
      <c r="O476" s="295"/>
      <c r="P476" s="308"/>
      <c r="Q476" s="308"/>
      <c r="R476" s="536"/>
      <c r="S476" s="295"/>
      <c r="T476" s="430"/>
      <c r="U476" s="300"/>
      <c r="V476" s="295"/>
      <c r="W476" s="295"/>
      <c r="X476" s="295"/>
      <c r="Y476" s="295"/>
      <c r="Z476" s="295"/>
      <c r="AA476" s="295"/>
      <c r="AB476" s="295"/>
      <c r="AC476" s="310"/>
      <c r="AD476" s="295"/>
      <c r="AE476" s="295"/>
    </row>
    <row r="477" spans="1:31" s="549" customFormat="1" ht="15.75" x14ac:dyDescent="0.2">
      <c r="A477" s="310"/>
      <c r="B477" s="295"/>
      <c r="C477" s="295"/>
      <c r="D477" s="295"/>
      <c r="E477" s="295"/>
      <c r="F477" s="296"/>
      <c r="G477" s="308"/>
      <c r="H477" s="308"/>
      <c r="I477" s="308"/>
      <c r="J477" s="309"/>
      <c r="K477" s="310"/>
      <c r="L477" s="311"/>
      <c r="M477" s="308"/>
      <c r="N477" s="295"/>
      <c r="O477" s="295"/>
      <c r="P477" s="308"/>
      <c r="Q477" s="308"/>
      <c r="R477" s="536"/>
      <c r="S477" s="295"/>
      <c r="T477" s="430"/>
      <c r="U477" s="300"/>
      <c r="V477" s="295"/>
      <c r="W477" s="295"/>
      <c r="X477" s="295"/>
      <c r="Y477" s="295"/>
      <c r="Z477" s="295"/>
      <c r="AA477" s="295"/>
      <c r="AB477" s="295"/>
      <c r="AC477" s="310"/>
      <c r="AD477" s="295"/>
      <c r="AE477" s="295"/>
    </row>
    <row r="478" spans="1:31" s="549" customFormat="1" ht="15.75" x14ac:dyDescent="0.2">
      <c r="A478" s="310"/>
      <c r="B478" s="295"/>
      <c r="C478" s="295"/>
      <c r="D478" s="295"/>
      <c r="E478" s="295"/>
      <c r="F478" s="296"/>
      <c r="G478" s="308"/>
      <c r="H478" s="308"/>
      <c r="I478" s="308"/>
      <c r="J478" s="309"/>
      <c r="K478" s="298"/>
      <c r="L478" s="311"/>
      <c r="M478" s="308"/>
      <c r="N478" s="295"/>
      <c r="O478" s="295"/>
      <c r="P478" s="308"/>
      <c r="Q478" s="308"/>
      <c r="R478" s="536"/>
      <c r="S478" s="295"/>
      <c r="T478" s="430"/>
      <c r="U478" s="300"/>
      <c r="V478" s="295"/>
      <c r="W478" s="295"/>
      <c r="X478" s="295"/>
      <c r="Y478" s="295"/>
      <c r="Z478" s="295"/>
      <c r="AA478" s="295"/>
      <c r="AB478" s="295"/>
      <c r="AC478" s="310"/>
      <c r="AD478" s="295"/>
      <c r="AE478" s="295"/>
    </row>
    <row r="479" spans="1:31" s="549" customFormat="1" ht="15.75" x14ac:dyDescent="0.2">
      <c r="A479" s="310"/>
      <c r="B479" s="295"/>
      <c r="C479" s="295"/>
      <c r="D479" s="295"/>
      <c r="E479" s="295"/>
      <c r="F479" s="296"/>
      <c r="G479" s="308"/>
      <c r="H479" s="308"/>
      <c r="I479" s="308"/>
      <c r="J479" s="309"/>
      <c r="K479" s="298"/>
      <c r="L479" s="311"/>
      <c r="M479" s="308"/>
      <c r="N479" s="295"/>
      <c r="O479" s="295"/>
      <c r="P479" s="308"/>
      <c r="Q479" s="308"/>
      <c r="R479" s="536"/>
      <c r="S479" s="295"/>
      <c r="T479" s="430"/>
      <c r="U479" s="300"/>
      <c r="V479" s="295"/>
      <c r="W479" s="295"/>
      <c r="X479" s="295"/>
      <c r="Y479" s="295"/>
      <c r="Z479" s="295"/>
      <c r="AA479" s="295"/>
      <c r="AB479" s="295"/>
      <c r="AC479" s="310"/>
      <c r="AD479" s="295"/>
      <c r="AE479" s="295"/>
    </row>
    <row r="480" spans="1:31" s="549" customFormat="1" ht="15.75" x14ac:dyDescent="0.2">
      <c r="A480" s="310"/>
      <c r="B480" s="295"/>
      <c r="C480" s="295"/>
      <c r="D480" s="295"/>
      <c r="E480" s="295"/>
      <c r="F480" s="296"/>
      <c r="G480" s="308"/>
      <c r="H480" s="308"/>
      <c r="I480" s="308"/>
      <c r="J480" s="309"/>
      <c r="K480" s="310"/>
      <c r="L480" s="311"/>
      <c r="M480" s="308"/>
      <c r="N480" s="295"/>
      <c r="O480" s="295"/>
      <c r="P480" s="308"/>
      <c r="Q480" s="308"/>
      <c r="R480" s="536"/>
      <c r="S480" s="295"/>
      <c r="T480" s="430"/>
      <c r="U480" s="300"/>
      <c r="V480" s="295"/>
      <c r="W480" s="295"/>
      <c r="X480" s="295"/>
      <c r="Y480" s="295"/>
      <c r="Z480" s="295"/>
      <c r="AA480" s="295"/>
      <c r="AB480" s="295"/>
      <c r="AC480" s="310"/>
      <c r="AD480" s="295"/>
      <c r="AE480" s="295"/>
    </row>
    <row r="481" spans="1:31" s="549" customFormat="1" ht="15.75" x14ac:dyDescent="0.2">
      <c r="A481" s="310"/>
      <c r="B481" s="295"/>
      <c r="C481" s="295"/>
      <c r="D481" s="295"/>
      <c r="E481" s="295"/>
      <c r="F481" s="296"/>
      <c r="G481" s="308"/>
      <c r="H481" s="308"/>
      <c r="I481" s="308"/>
      <c r="J481" s="309"/>
      <c r="K481" s="298"/>
      <c r="L481" s="311"/>
      <c r="M481" s="308"/>
      <c r="N481" s="295"/>
      <c r="O481" s="295"/>
      <c r="P481" s="308"/>
      <c r="Q481" s="308"/>
      <c r="R481" s="536"/>
      <c r="S481" s="295"/>
      <c r="T481" s="430"/>
      <c r="U481" s="300"/>
      <c r="V481" s="295"/>
      <c r="W481" s="295"/>
      <c r="X481" s="295"/>
      <c r="Y481" s="295"/>
      <c r="Z481" s="295"/>
      <c r="AA481" s="295"/>
      <c r="AB481" s="295"/>
      <c r="AC481" s="310"/>
      <c r="AD481" s="295"/>
      <c r="AE481" s="295"/>
    </row>
    <row r="482" spans="1:31" s="549" customFormat="1" ht="15.75" x14ac:dyDescent="0.2">
      <c r="A482" s="310"/>
      <c r="B482" s="295"/>
      <c r="C482" s="295"/>
      <c r="D482" s="295"/>
      <c r="E482" s="295"/>
      <c r="F482" s="296"/>
      <c r="G482" s="308"/>
      <c r="H482" s="308"/>
      <c r="I482" s="308"/>
      <c r="J482" s="309"/>
      <c r="K482" s="298"/>
      <c r="L482" s="311"/>
      <c r="M482" s="308"/>
      <c r="N482" s="295"/>
      <c r="O482" s="295"/>
      <c r="P482" s="308"/>
      <c r="Q482" s="308"/>
      <c r="R482" s="536"/>
      <c r="S482" s="295"/>
      <c r="T482" s="430"/>
      <c r="U482" s="300"/>
      <c r="V482" s="295"/>
      <c r="W482" s="295"/>
      <c r="X482" s="295"/>
      <c r="Y482" s="295"/>
      <c r="Z482" s="295"/>
      <c r="AA482" s="295"/>
      <c r="AB482" s="295"/>
      <c r="AC482" s="310"/>
      <c r="AD482" s="295"/>
      <c r="AE482" s="295"/>
    </row>
    <row r="483" spans="1:31" s="549" customFormat="1" ht="15.75" x14ac:dyDescent="0.2">
      <c r="A483" s="310"/>
      <c r="B483" s="295"/>
      <c r="C483" s="295"/>
      <c r="D483" s="295"/>
      <c r="E483" s="295"/>
      <c r="F483" s="296"/>
      <c r="G483" s="308"/>
      <c r="H483" s="308"/>
      <c r="I483" s="308"/>
      <c r="J483" s="309"/>
      <c r="K483" s="310"/>
      <c r="L483" s="311"/>
      <c r="M483" s="308"/>
      <c r="N483" s="295"/>
      <c r="O483" s="295"/>
      <c r="P483" s="308"/>
      <c r="Q483" s="308"/>
      <c r="R483" s="536"/>
      <c r="S483" s="295"/>
      <c r="T483" s="430"/>
      <c r="U483" s="300"/>
      <c r="V483" s="295"/>
      <c r="W483" s="295"/>
      <c r="X483" s="295"/>
      <c r="Y483" s="295"/>
      <c r="Z483" s="295"/>
      <c r="AA483" s="295"/>
      <c r="AB483" s="295"/>
      <c r="AC483" s="310"/>
      <c r="AD483" s="295"/>
      <c r="AE483" s="295"/>
    </row>
    <row r="484" spans="1:31" s="549" customFormat="1" ht="15.75" x14ac:dyDescent="0.2">
      <c r="A484" s="310"/>
      <c r="B484" s="295"/>
      <c r="C484" s="295"/>
      <c r="D484" s="295"/>
      <c r="E484" s="295"/>
      <c r="F484" s="296"/>
      <c r="G484" s="308"/>
      <c r="H484" s="308"/>
      <c r="I484" s="308"/>
      <c r="J484" s="309"/>
      <c r="K484" s="298"/>
      <c r="L484" s="311"/>
      <c r="M484" s="308"/>
      <c r="N484" s="295"/>
      <c r="O484" s="295"/>
      <c r="P484" s="308"/>
      <c r="Q484" s="308"/>
      <c r="R484" s="536"/>
      <c r="S484" s="295"/>
      <c r="T484" s="430"/>
      <c r="U484" s="300"/>
      <c r="V484" s="295"/>
      <c r="W484" s="295"/>
      <c r="X484" s="295"/>
      <c r="Y484" s="295"/>
      <c r="Z484" s="295"/>
      <c r="AA484" s="295"/>
      <c r="AB484" s="295"/>
      <c r="AC484" s="310"/>
      <c r="AD484" s="295"/>
      <c r="AE484" s="295"/>
    </row>
    <row r="485" spans="1:31" s="549" customFormat="1" ht="15.75" x14ac:dyDescent="0.2">
      <c r="A485" s="310"/>
      <c r="B485" s="295"/>
      <c r="C485" s="295"/>
      <c r="D485" s="295"/>
      <c r="E485" s="295"/>
      <c r="F485" s="296"/>
      <c r="G485" s="308"/>
      <c r="H485" s="308"/>
      <c r="I485" s="308"/>
      <c r="J485" s="309"/>
      <c r="K485" s="298"/>
      <c r="L485" s="311"/>
      <c r="M485" s="308"/>
      <c r="N485" s="295"/>
      <c r="O485" s="295"/>
      <c r="P485" s="308"/>
      <c r="Q485" s="308"/>
      <c r="R485" s="536"/>
      <c r="S485" s="295"/>
      <c r="T485" s="430"/>
      <c r="U485" s="300"/>
      <c r="V485" s="295"/>
      <c r="W485" s="295"/>
      <c r="X485" s="295"/>
      <c r="Y485" s="295"/>
      <c r="Z485" s="295"/>
      <c r="AA485" s="295"/>
      <c r="AB485" s="295"/>
      <c r="AC485" s="310"/>
      <c r="AD485" s="295"/>
      <c r="AE485" s="295"/>
    </row>
    <row r="486" spans="1:31" s="549" customFormat="1" ht="15.75" x14ac:dyDescent="0.2">
      <c r="A486" s="310"/>
      <c r="B486" s="295"/>
      <c r="C486" s="295"/>
      <c r="D486" s="295"/>
      <c r="E486" s="295"/>
      <c r="F486" s="296"/>
      <c r="G486" s="308"/>
      <c r="H486" s="308"/>
      <c r="I486" s="308"/>
      <c r="J486" s="309"/>
      <c r="K486" s="310"/>
      <c r="L486" s="311"/>
      <c r="M486" s="308"/>
      <c r="N486" s="295"/>
      <c r="O486" s="295"/>
      <c r="P486" s="308"/>
      <c r="Q486" s="308"/>
      <c r="R486" s="536"/>
      <c r="S486" s="295"/>
      <c r="T486" s="430"/>
      <c r="U486" s="300"/>
      <c r="V486" s="295"/>
      <c r="W486" s="295"/>
      <c r="X486" s="295"/>
      <c r="Y486" s="295"/>
      <c r="Z486" s="295"/>
      <c r="AA486" s="295"/>
      <c r="AB486" s="295"/>
      <c r="AC486" s="310"/>
      <c r="AD486" s="295"/>
      <c r="AE486" s="295"/>
    </row>
    <row r="487" spans="1:31" s="549" customFormat="1" ht="15.75" x14ac:dyDescent="0.2">
      <c r="A487" s="310"/>
      <c r="B487" s="295"/>
      <c r="C487" s="295"/>
      <c r="D487" s="295"/>
      <c r="E487" s="295"/>
      <c r="F487" s="296"/>
      <c r="G487" s="308"/>
      <c r="H487" s="308"/>
      <c r="I487" s="308"/>
      <c r="J487" s="309"/>
      <c r="K487" s="298"/>
      <c r="L487" s="311"/>
      <c r="M487" s="308"/>
      <c r="N487" s="295"/>
      <c r="O487" s="295"/>
      <c r="P487" s="308"/>
      <c r="Q487" s="308"/>
      <c r="R487" s="536"/>
      <c r="S487" s="295"/>
      <c r="T487" s="430"/>
      <c r="U487" s="300"/>
      <c r="V487" s="295"/>
      <c r="W487" s="295"/>
      <c r="X487" s="295"/>
      <c r="Y487" s="295"/>
      <c r="Z487" s="295"/>
      <c r="AA487" s="295"/>
      <c r="AB487" s="295"/>
      <c r="AC487" s="310"/>
      <c r="AD487" s="295"/>
      <c r="AE487" s="295"/>
    </row>
    <row r="488" spans="1:31" s="549" customFormat="1" ht="15.75" x14ac:dyDescent="0.2">
      <c r="A488" s="310"/>
      <c r="B488" s="295"/>
      <c r="C488" s="295"/>
      <c r="D488" s="295"/>
      <c r="E488" s="295"/>
      <c r="F488" s="296"/>
      <c r="G488" s="308"/>
      <c r="H488" s="308"/>
      <c r="I488" s="308"/>
      <c r="J488" s="309"/>
      <c r="K488" s="298"/>
      <c r="L488" s="311"/>
      <c r="M488" s="308"/>
      <c r="N488" s="295"/>
      <c r="O488" s="295"/>
      <c r="P488" s="308"/>
      <c r="Q488" s="308"/>
      <c r="R488" s="536"/>
      <c r="S488" s="295"/>
      <c r="T488" s="430"/>
      <c r="U488" s="300"/>
      <c r="V488" s="295"/>
      <c r="W488" s="295"/>
      <c r="X488" s="295"/>
      <c r="Y488" s="295"/>
      <c r="Z488" s="295"/>
      <c r="AA488" s="295"/>
      <c r="AB488" s="295"/>
      <c r="AC488" s="310"/>
      <c r="AD488" s="295"/>
      <c r="AE488" s="295"/>
    </row>
    <row r="489" spans="1:31" s="549" customFormat="1" ht="15.75" x14ac:dyDescent="0.2">
      <c r="A489" s="310"/>
      <c r="B489" s="295"/>
      <c r="C489" s="295"/>
      <c r="D489" s="295"/>
      <c r="E489" s="295"/>
      <c r="F489" s="296"/>
      <c r="G489" s="308"/>
      <c r="H489" s="308"/>
      <c r="I489" s="308"/>
      <c r="J489" s="309"/>
      <c r="K489" s="310"/>
      <c r="L489" s="311"/>
      <c r="M489" s="308"/>
      <c r="N489" s="295"/>
      <c r="O489" s="295"/>
      <c r="P489" s="308"/>
      <c r="Q489" s="308"/>
      <c r="R489" s="536"/>
      <c r="S489" s="295"/>
      <c r="T489" s="430"/>
      <c r="U489" s="300"/>
      <c r="V489" s="295"/>
      <c r="W489" s="295"/>
      <c r="X489" s="295"/>
      <c r="Y489" s="295"/>
      <c r="Z489" s="295"/>
      <c r="AA489" s="295"/>
      <c r="AB489" s="295"/>
      <c r="AC489" s="310"/>
      <c r="AD489" s="295"/>
      <c r="AE489" s="295"/>
    </row>
    <row r="490" spans="1:31" s="549" customFormat="1" ht="15.75" x14ac:dyDescent="0.2">
      <c r="A490" s="310"/>
      <c r="B490" s="295"/>
      <c r="C490" s="295"/>
      <c r="D490" s="295"/>
      <c r="E490" s="295"/>
      <c r="F490" s="296"/>
      <c r="G490" s="308"/>
      <c r="H490" s="308"/>
      <c r="I490" s="308"/>
      <c r="J490" s="309"/>
      <c r="K490" s="298"/>
      <c r="L490" s="311"/>
      <c r="M490" s="308"/>
      <c r="N490" s="295"/>
      <c r="O490" s="295"/>
      <c r="P490" s="295"/>
      <c r="Q490" s="295"/>
      <c r="R490" s="536"/>
      <c r="S490" s="295"/>
      <c r="T490" s="430"/>
      <c r="U490" s="300"/>
      <c r="V490" s="295"/>
      <c r="W490" s="295"/>
      <c r="X490" s="295"/>
      <c r="Y490" s="295"/>
      <c r="Z490" s="295"/>
      <c r="AA490" s="295"/>
      <c r="AB490" s="295"/>
      <c r="AC490" s="310"/>
      <c r="AD490" s="295"/>
      <c r="AE490" s="295"/>
    </row>
    <row r="491" spans="1:31" s="552" customFormat="1" ht="15.75" x14ac:dyDescent="0.2">
      <c r="A491" s="310"/>
      <c r="B491" s="270"/>
      <c r="C491" s="270"/>
      <c r="D491" s="270"/>
      <c r="E491" s="270"/>
      <c r="F491" s="282"/>
      <c r="G491" s="308"/>
      <c r="H491" s="308"/>
      <c r="I491" s="308"/>
      <c r="J491" s="309"/>
      <c r="K491" s="298"/>
      <c r="L491" s="311"/>
      <c r="M491" s="308"/>
      <c r="N491" s="295"/>
      <c r="O491" s="295"/>
      <c r="P491" s="308"/>
      <c r="Q491" s="308"/>
      <c r="R491" s="536"/>
      <c r="S491" s="295"/>
      <c r="T491" s="430"/>
      <c r="U491" s="270"/>
      <c r="V491" s="295"/>
      <c r="W491" s="295"/>
      <c r="X491" s="295"/>
      <c r="Y491" s="295"/>
      <c r="Z491" s="295"/>
      <c r="AA491" s="295"/>
      <c r="AB491" s="295"/>
      <c r="AC491" s="310"/>
      <c r="AD491" s="270"/>
      <c r="AE491" s="270"/>
    </row>
    <row r="492" spans="1:31" s="552" customFormat="1" ht="15.75" x14ac:dyDescent="0.2">
      <c r="A492" s="310"/>
      <c r="B492" s="270"/>
      <c r="C492" s="270"/>
      <c r="D492" s="270"/>
      <c r="E492" s="270"/>
      <c r="F492" s="282"/>
      <c r="G492" s="308"/>
      <c r="H492" s="308"/>
      <c r="I492" s="308"/>
      <c r="J492" s="309"/>
      <c r="K492" s="310"/>
      <c r="L492" s="311"/>
      <c r="M492" s="308"/>
      <c r="N492" s="295"/>
      <c r="O492" s="295"/>
      <c r="P492" s="308"/>
      <c r="Q492" s="308"/>
      <c r="R492" s="536"/>
      <c r="S492" s="295"/>
      <c r="T492" s="430"/>
      <c r="U492" s="270"/>
      <c r="V492" s="295"/>
      <c r="W492" s="295"/>
      <c r="X492" s="295"/>
      <c r="Y492" s="295"/>
      <c r="Z492" s="295"/>
      <c r="AA492" s="295"/>
      <c r="AB492" s="295"/>
      <c r="AC492" s="310"/>
      <c r="AD492" s="270"/>
      <c r="AE492" s="270"/>
    </row>
    <row r="493" spans="1:31" s="552" customFormat="1" ht="15.75" x14ac:dyDescent="0.2">
      <c r="A493" s="310"/>
      <c r="B493" s="270"/>
      <c r="C493" s="270"/>
      <c r="D493" s="270"/>
      <c r="E493" s="270"/>
      <c r="F493" s="282"/>
      <c r="G493" s="308"/>
      <c r="H493" s="308"/>
      <c r="I493" s="308"/>
      <c r="J493" s="309"/>
      <c r="K493" s="298"/>
      <c r="L493" s="311"/>
      <c r="M493" s="308"/>
      <c r="N493" s="295"/>
      <c r="O493" s="295"/>
      <c r="P493" s="308"/>
      <c r="Q493" s="308"/>
      <c r="R493" s="536"/>
      <c r="S493" s="295"/>
      <c r="T493" s="430"/>
      <c r="U493" s="270"/>
      <c r="V493" s="295"/>
      <c r="W493" s="295"/>
      <c r="X493" s="295"/>
      <c r="Y493" s="295"/>
      <c r="Z493" s="295"/>
      <c r="AA493" s="295"/>
      <c r="AB493" s="295"/>
      <c r="AC493" s="310"/>
      <c r="AD493" s="270"/>
      <c r="AE493" s="270"/>
    </row>
    <row r="494" spans="1:31" s="552" customFormat="1" ht="15.75" x14ac:dyDescent="0.2">
      <c r="A494" s="310"/>
      <c r="B494" s="270"/>
      <c r="C494" s="270"/>
      <c r="D494" s="270"/>
      <c r="E494" s="270"/>
      <c r="F494" s="282"/>
      <c r="G494" s="308"/>
      <c r="H494" s="308"/>
      <c r="I494" s="308"/>
      <c r="J494" s="309"/>
      <c r="K494" s="298"/>
      <c r="L494" s="311"/>
      <c r="M494" s="308"/>
      <c r="N494" s="295"/>
      <c r="O494" s="295"/>
      <c r="P494" s="308"/>
      <c r="Q494" s="308"/>
      <c r="R494" s="536"/>
      <c r="S494" s="295"/>
      <c r="T494" s="430"/>
      <c r="U494" s="270"/>
      <c r="V494" s="295"/>
      <c r="W494" s="295"/>
      <c r="X494" s="295"/>
      <c r="Y494" s="295"/>
      <c r="Z494" s="295"/>
      <c r="AA494" s="295"/>
      <c r="AB494" s="295"/>
      <c r="AC494" s="310"/>
      <c r="AD494" s="270"/>
      <c r="AE494" s="270"/>
    </row>
    <row r="495" spans="1:31" s="552" customFormat="1" ht="15.75" x14ac:dyDescent="0.2">
      <c r="A495" s="310"/>
      <c r="B495" s="270"/>
      <c r="C495" s="270"/>
      <c r="D495" s="270"/>
      <c r="E495" s="270"/>
      <c r="F495" s="282"/>
      <c r="G495" s="308"/>
      <c r="H495" s="308"/>
      <c r="I495" s="308"/>
      <c r="J495" s="309"/>
      <c r="K495" s="310"/>
      <c r="L495" s="311"/>
      <c r="M495" s="308"/>
      <c r="N495" s="295"/>
      <c r="O495" s="295"/>
      <c r="P495" s="308"/>
      <c r="Q495" s="308"/>
      <c r="R495" s="536"/>
      <c r="S495" s="295"/>
      <c r="T495" s="430"/>
      <c r="U495" s="270"/>
      <c r="V495" s="295"/>
      <c r="W495" s="295"/>
      <c r="X495" s="295"/>
      <c r="Y495" s="295"/>
      <c r="Z495" s="295"/>
      <c r="AA495" s="295"/>
      <c r="AB495" s="295"/>
      <c r="AC495" s="310"/>
      <c r="AD495" s="270"/>
      <c r="AE495" s="270"/>
    </row>
    <row r="496" spans="1:31" s="552" customFormat="1" ht="15.75" x14ac:dyDescent="0.2">
      <c r="A496" s="310"/>
      <c r="B496" s="270"/>
      <c r="C496" s="270"/>
      <c r="D496" s="270"/>
      <c r="E496" s="270"/>
      <c r="F496" s="282"/>
      <c r="G496" s="308"/>
      <c r="H496" s="308"/>
      <c r="I496" s="308"/>
      <c r="J496" s="309"/>
      <c r="K496" s="298"/>
      <c r="L496" s="311"/>
      <c r="M496" s="308"/>
      <c r="N496" s="295"/>
      <c r="O496" s="295"/>
      <c r="P496" s="308"/>
      <c r="Q496" s="308"/>
      <c r="R496" s="536"/>
      <c r="S496" s="295"/>
      <c r="T496" s="430"/>
      <c r="U496" s="270"/>
      <c r="V496" s="295"/>
      <c r="W496" s="295"/>
      <c r="X496" s="295"/>
      <c r="Y496" s="295"/>
      <c r="Z496" s="295"/>
      <c r="AA496" s="295"/>
      <c r="AB496" s="295"/>
      <c r="AC496" s="310"/>
      <c r="AD496" s="270"/>
      <c r="AE496" s="270"/>
    </row>
    <row r="497" spans="1:31" s="552" customFormat="1" ht="15.75" x14ac:dyDescent="0.2">
      <c r="A497" s="310"/>
      <c r="B497" s="270"/>
      <c r="C497" s="270"/>
      <c r="D497" s="270"/>
      <c r="E497" s="270"/>
      <c r="F497" s="282"/>
      <c r="G497" s="308"/>
      <c r="H497" s="308"/>
      <c r="I497" s="308"/>
      <c r="J497" s="309"/>
      <c r="K497" s="298"/>
      <c r="L497" s="311"/>
      <c r="M497" s="308"/>
      <c r="N497" s="295"/>
      <c r="O497" s="295"/>
      <c r="P497" s="308"/>
      <c r="Q497" s="308"/>
      <c r="R497" s="536"/>
      <c r="S497" s="295"/>
      <c r="T497" s="430"/>
      <c r="U497" s="270"/>
      <c r="V497" s="295"/>
      <c r="W497" s="295"/>
      <c r="X497" s="295"/>
      <c r="Y497" s="295"/>
      <c r="Z497" s="295"/>
      <c r="AA497" s="295"/>
      <c r="AB497" s="295"/>
      <c r="AC497" s="310"/>
      <c r="AD497" s="270"/>
      <c r="AE497" s="270"/>
    </row>
    <row r="498" spans="1:31" s="552" customFormat="1" ht="15.75" x14ac:dyDescent="0.2">
      <c r="A498" s="310"/>
      <c r="B498" s="270"/>
      <c r="C498" s="270"/>
      <c r="D498" s="270"/>
      <c r="E498" s="270"/>
      <c r="F498" s="282"/>
      <c r="G498" s="308"/>
      <c r="H498" s="308"/>
      <c r="I498" s="308"/>
      <c r="J498" s="309"/>
      <c r="K498" s="310"/>
      <c r="L498" s="311"/>
      <c r="M498" s="308"/>
      <c r="N498" s="295"/>
      <c r="O498" s="295"/>
      <c r="P498" s="308"/>
      <c r="Q498" s="308"/>
      <c r="R498" s="536"/>
      <c r="S498" s="295"/>
      <c r="T498" s="430"/>
      <c r="U498" s="270"/>
      <c r="V498" s="295"/>
      <c r="W498" s="295"/>
      <c r="X498" s="295"/>
      <c r="Y498" s="295"/>
      <c r="Z498" s="295"/>
      <c r="AA498" s="295"/>
      <c r="AB498" s="295"/>
      <c r="AC498" s="310"/>
      <c r="AD498" s="270"/>
      <c r="AE498" s="270"/>
    </row>
    <row r="499" spans="1:31" s="552" customFormat="1" ht="15.75" x14ac:dyDescent="0.2">
      <c r="A499" s="310"/>
      <c r="B499" s="270"/>
      <c r="C499" s="270"/>
      <c r="D499" s="270"/>
      <c r="E499" s="270"/>
      <c r="F499" s="282"/>
      <c r="G499" s="308"/>
      <c r="H499" s="308"/>
      <c r="I499" s="308"/>
      <c r="J499" s="309"/>
      <c r="K499" s="298"/>
      <c r="L499" s="311"/>
      <c r="M499" s="308"/>
      <c r="N499" s="295"/>
      <c r="O499" s="295"/>
      <c r="P499" s="308"/>
      <c r="Q499" s="308"/>
      <c r="R499" s="536"/>
      <c r="S499" s="295"/>
      <c r="T499" s="430"/>
      <c r="U499" s="270"/>
      <c r="V499" s="295"/>
      <c r="W499" s="295"/>
      <c r="X499" s="295"/>
      <c r="Y499" s="295"/>
      <c r="Z499" s="295"/>
      <c r="AA499" s="295"/>
      <c r="AB499" s="295"/>
      <c r="AC499" s="310"/>
      <c r="AD499" s="270"/>
      <c r="AE499" s="270"/>
    </row>
    <row r="500" spans="1:31" s="552" customFormat="1" ht="15.75" x14ac:dyDescent="0.2">
      <c r="A500" s="310"/>
      <c r="B500" s="270"/>
      <c r="C500" s="270"/>
      <c r="D500" s="270"/>
      <c r="E500" s="270"/>
      <c r="F500" s="282"/>
      <c r="G500" s="308"/>
      <c r="H500" s="308"/>
      <c r="I500" s="308"/>
      <c r="J500" s="309"/>
      <c r="K500" s="298"/>
      <c r="L500" s="311"/>
      <c r="M500" s="308"/>
      <c r="N500" s="295"/>
      <c r="O500" s="295"/>
      <c r="P500" s="308"/>
      <c r="Q500" s="308"/>
      <c r="R500" s="536"/>
      <c r="S500" s="295"/>
      <c r="T500" s="430"/>
      <c r="U500" s="270"/>
      <c r="V500" s="295"/>
      <c r="W500" s="295"/>
      <c r="X500" s="295"/>
      <c r="Y500" s="295"/>
      <c r="Z500" s="295"/>
      <c r="AA500" s="295"/>
      <c r="AB500" s="295"/>
      <c r="AC500" s="310"/>
      <c r="AD500" s="270"/>
      <c r="AE500" s="270"/>
    </row>
    <row r="501" spans="1:31" s="552" customFormat="1" ht="15.75" x14ac:dyDescent="0.2">
      <c r="A501" s="310"/>
      <c r="B501" s="270"/>
      <c r="C501" s="270"/>
      <c r="D501" s="270"/>
      <c r="E501" s="270"/>
      <c r="F501" s="282"/>
      <c r="G501" s="308"/>
      <c r="H501" s="308"/>
      <c r="I501" s="308"/>
      <c r="J501" s="309"/>
      <c r="K501" s="310"/>
      <c r="L501" s="311"/>
      <c r="M501" s="308"/>
      <c r="N501" s="295"/>
      <c r="O501" s="295"/>
      <c r="P501" s="308"/>
      <c r="Q501" s="308"/>
      <c r="R501" s="536"/>
      <c r="S501" s="295"/>
      <c r="T501" s="430"/>
      <c r="U501" s="270"/>
      <c r="V501" s="295"/>
      <c r="W501" s="295"/>
      <c r="X501" s="295"/>
      <c r="Y501" s="295"/>
      <c r="Z501" s="295"/>
      <c r="AA501" s="295"/>
      <c r="AB501" s="295"/>
      <c r="AC501" s="310"/>
      <c r="AD501" s="270"/>
      <c r="AE501" s="270"/>
    </row>
    <row r="502" spans="1:31" s="552" customFormat="1" ht="15.75" x14ac:dyDescent="0.2">
      <c r="A502" s="310"/>
      <c r="B502" s="270"/>
      <c r="C502" s="270"/>
      <c r="D502" s="270"/>
      <c r="E502" s="270"/>
      <c r="F502" s="282"/>
      <c r="G502" s="308"/>
      <c r="H502" s="308"/>
      <c r="I502" s="308"/>
      <c r="J502" s="309"/>
      <c r="K502" s="298"/>
      <c r="L502" s="311"/>
      <c r="M502" s="308"/>
      <c r="N502" s="295"/>
      <c r="O502" s="295"/>
      <c r="P502" s="308"/>
      <c r="Q502" s="308"/>
      <c r="R502" s="536"/>
      <c r="S502" s="295"/>
      <c r="T502" s="430"/>
      <c r="U502" s="270"/>
      <c r="V502" s="295"/>
      <c r="W502" s="295"/>
      <c r="X502" s="295"/>
      <c r="Y502" s="295"/>
      <c r="Z502" s="295"/>
      <c r="AA502" s="295"/>
      <c r="AB502" s="295"/>
      <c r="AC502" s="310"/>
      <c r="AD502" s="270"/>
      <c r="AE502" s="270"/>
    </row>
    <row r="503" spans="1:31" s="552" customFormat="1" ht="15.75" x14ac:dyDescent="0.2">
      <c r="A503" s="310"/>
      <c r="B503" s="270"/>
      <c r="C503" s="270"/>
      <c r="D503" s="270"/>
      <c r="E503" s="270"/>
      <c r="F503" s="282"/>
      <c r="G503" s="308"/>
      <c r="H503" s="308"/>
      <c r="I503" s="308"/>
      <c r="J503" s="309"/>
      <c r="K503" s="298"/>
      <c r="L503" s="311"/>
      <c r="M503" s="308"/>
      <c r="N503" s="295"/>
      <c r="O503" s="295"/>
      <c r="P503" s="308"/>
      <c r="Q503" s="308"/>
      <c r="R503" s="536"/>
      <c r="S503" s="295"/>
      <c r="T503" s="430"/>
      <c r="U503" s="270"/>
      <c r="V503" s="295"/>
      <c r="W503" s="295"/>
      <c r="X503" s="295"/>
      <c r="Y503" s="295"/>
      <c r="Z503" s="295"/>
      <c r="AA503" s="295"/>
      <c r="AB503" s="295"/>
      <c r="AC503" s="310"/>
      <c r="AD503" s="270"/>
      <c r="AE503" s="270"/>
    </row>
    <row r="504" spans="1:31" s="552" customFormat="1" ht="15.75" x14ac:dyDescent="0.2">
      <c r="A504" s="310"/>
      <c r="B504" s="270"/>
      <c r="C504" s="270"/>
      <c r="D504" s="270"/>
      <c r="E504" s="270"/>
      <c r="F504" s="282"/>
      <c r="G504" s="308"/>
      <c r="H504" s="308"/>
      <c r="I504" s="308"/>
      <c r="J504" s="309"/>
      <c r="K504" s="310"/>
      <c r="L504" s="311"/>
      <c r="M504" s="308"/>
      <c r="N504" s="295"/>
      <c r="O504" s="295"/>
      <c r="P504" s="308"/>
      <c r="Q504" s="308"/>
      <c r="R504" s="536"/>
      <c r="S504" s="295"/>
      <c r="T504" s="430"/>
      <c r="U504" s="270"/>
      <c r="V504" s="295"/>
      <c r="W504" s="295"/>
      <c r="X504" s="295"/>
      <c r="Y504" s="295"/>
      <c r="Z504" s="295"/>
      <c r="AA504" s="295"/>
      <c r="AB504" s="295"/>
      <c r="AC504" s="310"/>
      <c r="AD504" s="270"/>
      <c r="AE504" s="270"/>
    </row>
    <row r="505" spans="1:31" s="552" customFormat="1" ht="15.75" x14ac:dyDescent="0.2">
      <c r="A505" s="310"/>
      <c r="B505" s="270"/>
      <c r="C505" s="270"/>
      <c r="D505" s="270"/>
      <c r="E505" s="270"/>
      <c r="F505" s="282"/>
      <c r="G505" s="308"/>
      <c r="H505" s="308"/>
      <c r="I505" s="308"/>
      <c r="J505" s="309"/>
      <c r="K505" s="298"/>
      <c r="L505" s="311"/>
      <c r="M505" s="308"/>
      <c r="N505" s="295"/>
      <c r="O505" s="295"/>
      <c r="P505" s="308"/>
      <c r="Q505" s="308"/>
      <c r="R505" s="536"/>
      <c r="S505" s="295"/>
      <c r="T505" s="430"/>
      <c r="U505" s="270"/>
      <c r="V505" s="295"/>
      <c r="W505" s="295"/>
      <c r="X505" s="295"/>
      <c r="Y505" s="295"/>
      <c r="Z505" s="295"/>
      <c r="AA505" s="295"/>
      <c r="AB505" s="295"/>
      <c r="AC505" s="310"/>
      <c r="AD505" s="270"/>
      <c r="AE505" s="270"/>
    </row>
    <row r="506" spans="1:31" s="552" customFormat="1" ht="15.75" x14ac:dyDescent="0.2">
      <c r="A506" s="310"/>
      <c r="B506" s="270"/>
      <c r="C506" s="270"/>
      <c r="D506" s="270"/>
      <c r="E506" s="270"/>
      <c r="F506" s="282"/>
      <c r="G506" s="308"/>
      <c r="H506" s="308"/>
      <c r="I506" s="308"/>
      <c r="J506" s="309"/>
      <c r="K506" s="298"/>
      <c r="L506" s="311"/>
      <c r="M506" s="308"/>
      <c r="N506" s="295"/>
      <c r="O506" s="295"/>
      <c r="P506" s="308"/>
      <c r="Q506" s="308"/>
      <c r="R506" s="536"/>
      <c r="S506" s="295"/>
      <c r="T506" s="430"/>
      <c r="U506" s="270"/>
      <c r="V506" s="295"/>
      <c r="W506" s="295"/>
      <c r="X506" s="295"/>
      <c r="Y506" s="295"/>
      <c r="Z506" s="295"/>
      <c r="AA506" s="295"/>
      <c r="AB506" s="295"/>
      <c r="AC506" s="310"/>
      <c r="AD506" s="270"/>
      <c r="AE506" s="270"/>
    </row>
    <row r="507" spans="1:31" s="552" customFormat="1" ht="15.75" x14ac:dyDescent="0.2">
      <c r="A507" s="310"/>
      <c r="B507" s="270"/>
      <c r="C507" s="270"/>
      <c r="D507" s="270"/>
      <c r="E507" s="270"/>
      <c r="F507" s="282"/>
      <c r="G507" s="308"/>
      <c r="H507" s="308"/>
      <c r="I507" s="308"/>
      <c r="J507" s="309"/>
      <c r="K507" s="310"/>
      <c r="L507" s="311"/>
      <c r="M507" s="308"/>
      <c r="N507" s="295"/>
      <c r="O507" s="295"/>
      <c r="P507" s="308"/>
      <c r="Q507" s="308"/>
      <c r="R507" s="536"/>
      <c r="S507" s="295"/>
      <c r="T507" s="430"/>
      <c r="U507" s="270"/>
      <c r="V507" s="295"/>
      <c r="W507" s="295"/>
      <c r="X507" s="295"/>
      <c r="Y507" s="295"/>
      <c r="Z507" s="295"/>
      <c r="AA507" s="295"/>
      <c r="AB507" s="295"/>
      <c r="AC507" s="310"/>
      <c r="AD507" s="270"/>
      <c r="AE507" s="270"/>
    </row>
    <row r="508" spans="1:31" s="552" customFormat="1" ht="15.75" x14ac:dyDescent="0.2">
      <c r="A508" s="310"/>
      <c r="B508" s="270"/>
      <c r="C508" s="270"/>
      <c r="D508" s="270"/>
      <c r="E508" s="270"/>
      <c r="F508" s="282"/>
      <c r="G508" s="308"/>
      <c r="H508" s="308"/>
      <c r="I508" s="308"/>
      <c r="J508" s="309"/>
      <c r="K508" s="310"/>
      <c r="L508" s="311"/>
      <c r="M508" s="308"/>
      <c r="N508" s="295"/>
      <c r="O508" s="295"/>
      <c r="P508" s="308"/>
      <c r="Q508" s="308"/>
      <c r="R508" s="536"/>
      <c r="S508" s="295"/>
      <c r="T508" s="430"/>
      <c r="U508" s="270"/>
      <c r="V508" s="295"/>
      <c r="W508" s="295"/>
      <c r="X508" s="295"/>
      <c r="Y508" s="295"/>
      <c r="Z508" s="295"/>
      <c r="AA508" s="295"/>
      <c r="AB508" s="295"/>
      <c r="AC508" s="310"/>
      <c r="AD508" s="270"/>
      <c r="AE508" s="270"/>
    </row>
    <row r="509" spans="1:31" s="552" customFormat="1" ht="15.75" x14ac:dyDescent="0.2">
      <c r="A509" s="310"/>
      <c r="B509" s="270"/>
      <c r="C509" s="270"/>
      <c r="D509" s="270"/>
      <c r="E509" s="270"/>
      <c r="F509" s="282"/>
      <c r="G509" s="308"/>
      <c r="H509" s="308"/>
      <c r="I509" s="308"/>
      <c r="J509" s="309"/>
      <c r="K509" s="310"/>
      <c r="L509" s="311"/>
      <c r="M509" s="308"/>
      <c r="N509" s="295"/>
      <c r="O509" s="295"/>
      <c r="P509" s="308"/>
      <c r="Q509" s="308"/>
      <c r="R509" s="536"/>
      <c r="S509" s="295"/>
      <c r="T509" s="430"/>
      <c r="U509" s="270"/>
      <c r="V509" s="295"/>
      <c r="W509" s="295"/>
      <c r="X509" s="295"/>
      <c r="Y509" s="295"/>
      <c r="Z509" s="295"/>
      <c r="AA509" s="295"/>
      <c r="AB509" s="295"/>
      <c r="AC509" s="310"/>
      <c r="AD509" s="270"/>
      <c r="AE509" s="270"/>
    </row>
    <row r="510" spans="1:31" s="552" customFormat="1" ht="15.75" x14ac:dyDescent="0.2">
      <c r="A510" s="310"/>
      <c r="B510" s="270"/>
      <c r="C510" s="270"/>
      <c r="D510" s="270"/>
      <c r="E510" s="270"/>
      <c r="F510" s="282"/>
      <c r="G510" s="308"/>
      <c r="H510" s="308"/>
      <c r="I510" s="308"/>
      <c r="J510" s="309"/>
      <c r="K510" s="310"/>
      <c r="L510" s="311"/>
      <c r="M510" s="308"/>
      <c r="N510" s="295"/>
      <c r="O510" s="295"/>
      <c r="P510" s="308"/>
      <c r="Q510" s="308"/>
      <c r="R510" s="536"/>
      <c r="S510" s="295"/>
      <c r="T510" s="430"/>
      <c r="U510" s="270"/>
      <c r="V510" s="295"/>
      <c r="W510" s="295"/>
      <c r="X510" s="295"/>
      <c r="Y510" s="295"/>
      <c r="Z510" s="295"/>
      <c r="AA510" s="295"/>
      <c r="AB510" s="295"/>
      <c r="AC510" s="310"/>
      <c r="AD510" s="270"/>
      <c r="AE510" s="270"/>
    </row>
    <row r="511" spans="1:31" s="552" customFormat="1" ht="15.75" x14ac:dyDescent="0.2">
      <c r="A511" s="310"/>
      <c r="B511" s="270"/>
      <c r="C511" s="270"/>
      <c r="D511" s="270"/>
      <c r="E511" s="270"/>
      <c r="F511" s="282"/>
      <c r="G511" s="308"/>
      <c r="H511" s="308"/>
      <c r="I511" s="308"/>
      <c r="J511" s="309"/>
      <c r="K511" s="310"/>
      <c r="L511" s="311"/>
      <c r="M511" s="308"/>
      <c r="N511" s="295"/>
      <c r="O511" s="295"/>
      <c r="P511" s="308"/>
      <c r="Q511" s="308"/>
      <c r="R511" s="536"/>
      <c r="S511" s="295"/>
      <c r="T511" s="430"/>
      <c r="U511" s="270"/>
      <c r="V511" s="295"/>
      <c r="W511" s="295"/>
      <c r="X511" s="295"/>
      <c r="Y511" s="295"/>
      <c r="Z511" s="295"/>
      <c r="AA511" s="295"/>
      <c r="AB511" s="295"/>
      <c r="AC511" s="310"/>
      <c r="AD511" s="270"/>
      <c r="AE511" s="270"/>
    </row>
    <row r="512" spans="1:31" s="552" customFormat="1" ht="15.75" x14ac:dyDescent="0.2">
      <c r="A512" s="310"/>
      <c r="B512" s="270"/>
      <c r="C512" s="270"/>
      <c r="D512" s="270"/>
      <c r="E512" s="270"/>
      <c r="F512" s="282"/>
      <c r="G512" s="308"/>
      <c r="H512" s="308"/>
      <c r="I512" s="308"/>
      <c r="J512" s="309"/>
      <c r="K512" s="310"/>
      <c r="L512" s="311"/>
      <c r="M512" s="308"/>
      <c r="N512" s="295"/>
      <c r="O512" s="295"/>
      <c r="P512" s="308"/>
      <c r="Q512" s="308"/>
      <c r="R512" s="536"/>
      <c r="S512" s="295"/>
      <c r="T512" s="430"/>
      <c r="U512" s="270"/>
      <c r="V512" s="295"/>
      <c r="W512" s="295"/>
      <c r="X512" s="295"/>
      <c r="Y512" s="295"/>
      <c r="Z512" s="295"/>
      <c r="AA512" s="295"/>
      <c r="AB512" s="295"/>
      <c r="AC512" s="310"/>
      <c r="AD512" s="270"/>
      <c r="AE512" s="270"/>
    </row>
    <row r="513" spans="1:31" s="552" customFormat="1" ht="15.75" x14ac:dyDescent="0.2">
      <c r="A513" s="310"/>
      <c r="B513" s="270"/>
      <c r="C513" s="270"/>
      <c r="D513" s="270"/>
      <c r="E513" s="270"/>
      <c r="F513" s="282"/>
      <c r="G513" s="308"/>
      <c r="H513" s="308"/>
      <c r="I513" s="308"/>
      <c r="J513" s="309"/>
      <c r="K513" s="310"/>
      <c r="L513" s="311"/>
      <c r="M513" s="308"/>
      <c r="N513" s="295"/>
      <c r="O513" s="295"/>
      <c r="P513" s="308"/>
      <c r="Q513" s="308"/>
      <c r="R513" s="536"/>
      <c r="S513" s="295"/>
      <c r="T513" s="430"/>
      <c r="U513" s="270"/>
      <c r="V513" s="295"/>
      <c r="W513" s="295"/>
      <c r="X513" s="295"/>
      <c r="Y513" s="295"/>
      <c r="Z513" s="295"/>
      <c r="AA513" s="295"/>
      <c r="AB513" s="295"/>
      <c r="AC513" s="310"/>
      <c r="AD513" s="270"/>
      <c r="AE513" s="270"/>
    </row>
    <row r="514" spans="1:31" s="552" customFormat="1" ht="15.75" x14ac:dyDescent="0.2">
      <c r="A514" s="310"/>
      <c r="B514" s="270"/>
      <c r="C514" s="270"/>
      <c r="D514" s="270"/>
      <c r="E514" s="270"/>
      <c r="F514" s="282"/>
      <c r="G514" s="308"/>
      <c r="H514" s="308"/>
      <c r="I514" s="308"/>
      <c r="J514" s="309"/>
      <c r="K514" s="298"/>
      <c r="L514" s="311"/>
      <c r="M514" s="308"/>
      <c r="N514" s="295"/>
      <c r="O514" s="295"/>
      <c r="P514" s="308"/>
      <c r="Q514" s="308"/>
      <c r="R514" s="536"/>
      <c r="S514" s="295"/>
      <c r="T514" s="430"/>
      <c r="U514" s="270"/>
      <c r="V514" s="295"/>
      <c r="W514" s="295"/>
      <c r="X514" s="295"/>
      <c r="Y514" s="295"/>
      <c r="Z514" s="295"/>
      <c r="AA514" s="295"/>
      <c r="AB514" s="295"/>
      <c r="AC514" s="310"/>
      <c r="AD514" s="270"/>
      <c r="AE514" s="270"/>
    </row>
    <row r="515" spans="1:31" s="549" customFormat="1" ht="15.75" x14ac:dyDescent="0.2">
      <c r="A515" s="310"/>
      <c r="B515" s="295"/>
      <c r="C515" s="295"/>
      <c r="D515" s="295"/>
      <c r="E515" s="295"/>
      <c r="F515" s="296"/>
      <c r="G515" s="308"/>
      <c r="H515" s="308"/>
      <c r="I515" s="308"/>
      <c r="J515" s="309"/>
      <c r="K515" s="298"/>
      <c r="L515" s="311"/>
      <c r="M515" s="295"/>
      <c r="N515" s="295"/>
      <c r="O515" s="295"/>
      <c r="P515" s="308"/>
      <c r="Q515" s="308"/>
      <c r="R515" s="536"/>
      <c r="S515" s="295"/>
      <c r="T515" s="430"/>
      <c r="U515" s="300"/>
      <c r="V515" s="295"/>
      <c r="W515" s="295"/>
      <c r="X515" s="295"/>
      <c r="Y515" s="295"/>
      <c r="Z515" s="295"/>
      <c r="AA515" s="295"/>
      <c r="AB515" s="295"/>
      <c r="AC515" s="310"/>
      <c r="AD515" s="295"/>
      <c r="AE515" s="295"/>
    </row>
    <row r="516" spans="1:31" s="549" customFormat="1" ht="15.75" x14ac:dyDescent="0.2">
      <c r="A516" s="310"/>
      <c r="B516" s="295"/>
      <c r="C516" s="295"/>
      <c r="D516" s="295"/>
      <c r="E516" s="295"/>
      <c r="F516" s="296"/>
      <c r="G516" s="308"/>
      <c r="H516" s="308"/>
      <c r="I516" s="308"/>
      <c r="J516" s="309"/>
      <c r="K516" s="310"/>
      <c r="L516" s="311"/>
      <c r="M516" s="295"/>
      <c r="N516" s="295"/>
      <c r="O516" s="295"/>
      <c r="P516" s="308"/>
      <c r="Q516" s="308"/>
      <c r="R516" s="536"/>
      <c r="S516" s="295"/>
      <c r="T516" s="430"/>
      <c r="U516" s="300"/>
      <c r="V516" s="295"/>
      <c r="W516" s="295"/>
      <c r="X516" s="295"/>
      <c r="Y516" s="295"/>
      <c r="Z516" s="295"/>
      <c r="AA516" s="295"/>
      <c r="AB516" s="295"/>
      <c r="AC516" s="310"/>
      <c r="AD516" s="295"/>
      <c r="AE516" s="295"/>
    </row>
    <row r="517" spans="1:31" s="549" customFormat="1" ht="15.75" x14ac:dyDescent="0.2">
      <c r="A517" s="310"/>
      <c r="B517" s="295"/>
      <c r="C517" s="295"/>
      <c r="D517" s="295"/>
      <c r="E517" s="295"/>
      <c r="F517" s="296"/>
      <c r="G517" s="308"/>
      <c r="H517" s="308"/>
      <c r="I517" s="308"/>
      <c r="J517" s="309"/>
      <c r="K517" s="298"/>
      <c r="L517" s="311"/>
      <c r="M517" s="308"/>
      <c r="N517" s="295"/>
      <c r="O517" s="295"/>
      <c r="P517" s="308"/>
      <c r="Q517" s="308"/>
      <c r="R517" s="536"/>
      <c r="S517" s="295"/>
      <c r="T517" s="430"/>
      <c r="U517" s="300"/>
      <c r="V517" s="295"/>
      <c r="W517" s="295"/>
      <c r="X517" s="295"/>
      <c r="Y517" s="295"/>
      <c r="Z517" s="295"/>
      <c r="AA517" s="295"/>
      <c r="AB517" s="295"/>
      <c r="AC517" s="310"/>
      <c r="AD517" s="295"/>
      <c r="AE517" s="295"/>
    </row>
    <row r="518" spans="1:31" s="552" customFormat="1" ht="15.75" x14ac:dyDescent="0.2">
      <c r="A518" s="310"/>
      <c r="B518" s="270"/>
      <c r="C518" s="270"/>
      <c r="D518" s="270"/>
      <c r="E518" s="270"/>
      <c r="F518" s="282"/>
      <c r="G518" s="308"/>
      <c r="H518" s="308"/>
      <c r="I518" s="308"/>
      <c r="J518" s="309"/>
      <c r="K518" s="310"/>
      <c r="L518" s="311"/>
      <c r="M518" s="308"/>
      <c r="N518" s="295"/>
      <c r="O518" s="295"/>
      <c r="P518" s="308"/>
      <c r="Q518" s="308"/>
      <c r="R518" s="536"/>
      <c r="S518" s="295"/>
      <c r="T518" s="430"/>
      <c r="U518" s="270"/>
      <c r="V518" s="295"/>
      <c r="W518" s="295"/>
      <c r="X518" s="295"/>
      <c r="Y518" s="295"/>
      <c r="Z518" s="295"/>
      <c r="AA518" s="295"/>
      <c r="AB518" s="295"/>
      <c r="AC518" s="310"/>
      <c r="AD518" s="270"/>
      <c r="AE518" s="270"/>
    </row>
    <row r="519" spans="1:31" s="552" customFormat="1" ht="15.75" x14ac:dyDescent="0.2">
      <c r="A519" s="310"/>
      <c r="B519" s="270"/>
      <c r="C519" s="270"/>
      <c r="D519" s="270"/>
      <c r="E519" s="270"/>
      <c r="F519" s="282"/>
      <c r="G519" s="308"/>
      <c r="H519" s="308"/>
      <c r="I519" s="308"/>
      <c r="J519" s="309"/>
      <c r="K519" s="310"/>
      <c r="L519" s="311"/>
      <c r="M519" s="308"/>
      <c r="N519" s="295"/>
      <c r="O519" s="295"/>
      <c r="P519" s="308"/>
      <c r="Q519" s="308"/>
      <c r="R519" s="536"/>
      <c r="S519" s="295"/>
      <c r="T519" s="430"/>
      <c r="U519" s="270"/>
      <c r="V519" s="295"/>
      <c r="W519" s="295"/>
      <c r="X519" s="295"/>
      <c r="Y519" s="295"/>
      <c r="Z519" s="295"/>
      <c r="AA519" s="295"/>
      <c r="AB519" s="295"/>
      <c r="AC519" s="310"/>
      <c r="AD519" s="270"/>
      <c r="AE519" s="270"/>
    </row>
    <row r="520" spans="1:31" s="552" customFormat="1" ht="15.75" x14ac:dyDescent="0.2">
      <c r="A520" s="310"/>
      <c r="B520" s="270"/>
      <c r="C520" s="270"/>
      <c r="D520" s="270"/>
      <c r="E520" s="270"/>
      <c r="F520" s="282"/>
      <c r="G520" s="308"/>
      <c r="H520" s="308"/>
      <c r="I520" s="308"/>
      <c r="J520" s="309"/>
      <c r="K520" s="310"/>
      <c r="L520" s="311"/>
      <c r="M520" s="308"/>
      <c r="N520" s="295"/>
      <c r="O520" s="295"/>
      <c r="P520" s="308"/>
      <c r="Q520" s="308"/>
      <c r="R520" s="536"/>
      <c r="S520" s="295"/>
      <c r="T520" s="430"/>
      <c r="U520" s="270"/>
      <c r="V520" s="295"/>
      <c r="W520" s="295"/>
      <c r="X520" s="295"/>
      <c r="Y520" s="295"/>
      <c r="Z520" s="295"/>
      <c r="AA520" s="295"/>
      <c r="AB520" s="295"/>
      <c r="AC520" s="310"/>
      <c r="AD520" s="270"/>
      <c r="AE520" s="270"/>
    </row>
    <row r="521" spans="1:31" s="552" customFormat="1" ht="15.75" x14ac:dyDescent="0.2">
      <c r="A521" s="310"/>
      <c r="B521" s="270"/>
      <c r="C521" s="270"/>
      <c r="D521" s="270"/>
      <c r="E521" s="270"/>
      <c r="F521" s="282"/>
      <c r="G521" s="308"/>
      <c r="H521" s="308"/>
      <c r="I521" s="308"/>
      <c r="J521" s="309"/>
      <c r="K521" s="310"/>
      <c r="L521" s="311"/>
      <c r="M521" s="308"/>
      <c r="N521" s="295"/>
      <c r="O521" s="295"/>
      <c r="P521" s="308"/>
      <c r="Q521" s="308"/>
      <c r="R521" s="536"/>
      <c r="S521" s="295"/>
      <c r="T521" s="430"/>
      <c r="U521" s="270"/>
      <c r="V521" s="295"/>
      <c r="W521" s="295"/>
      <c r="X521" s="295"/>
      <c r="Y521" s="295"/>
      <c r="Z521" s="295"/>
      <c r="AA521" s="295"/>
      <c r="AB521" s="295"/>
      <c r="AC521" s="310"/>
      <c r="AD521" s="270"/>
      <c r="AE521" s="270"/>
    </row>
    <row r="522" spans="1:31" s="549" customFormat="1" ht="15.75" x14ac:dyDescent="0.2">
      <c r="A522" s="310"/>
      <c r="B522" s="295"/>
      <c r="C522" s="295"/>
      <c r="D522" s="295"/>
      <c r="E522" s="295"/>
      <c r="F522" s="296"/>
      <c r="G522" s="308"/>
      <c r="H522" s="308"/>
      <c r="I522" s="308"/>
      <c r="J522" s="309"/>
      <c r="K522" s="298"/>
      <c r="L522" s="311"/>
      <c r="M522" s="308"/>
      <c r="N522" s="295"/>
      <c r="O522" s="295"/>
      <c r="P522" s="308"/>
      <c r="Q522" s="308"/>
      <c r="R522" s="536"/>
      <c r="S522" s="295"/>
      <c r="T522" s="430"/>
      <c r="U522" s="300"/>
      <c r="V522" s="295"/>
      <c r="W522" s="295"/>
      <c r="X522" s="295"/>
      <c r="Y522" s="295"/>
      <c r="Z522" s="295"/>
      <c r="AA522" s="295"/>
      <c r="AB522" s="295"/>
      <c r="AC522" s="310"/>
      <c r="AD522" s="295"/>
      <c r="AE522" s="295"/>
    </row>
    <row r="523" spans="1:31" s="549" customFormat="1" ht="15.75" x14ac:dyDescent="0.2">
      <c r="A523" s="310"/>
      <c r="B523" s="295"/>
      <c r="C523" s="295"/>
      <c r="D523" s="295"/>
      <c r="E523" s="295"/>
      <c r="F523" s="296"/>
      <c r="G523" s="308"/>
      <c r="H523" s="308"/>
      <c r="I523" s="308"/>
      <c r="J523" s="309"/>
      <c r="K523" s="310"/>
      <c r="L523" s="311"/>
      <c r="M523" s="308"/>
      <c r="N523" s="295"/>
      <c r="O523" s="295"/>
      <c r="P523" s="308"/>
      <c r="Q523" s="308"/>
      <c r="R523" s="536"/>
      <c r="S523" s="295"/>
      <c r="T523" s="430"/>
      <c r="U523" s="300"/>
      <c r="V523" s="295"/>
      <c r="W523" s="295"/>
      <c r="X523" s="295"/>
      <c r="Y523" s="295"/>
      <c r="Z523" s="295"/>
      <c r="AA523" s="295"/>
      <c r="AB523" s="295"/>
      <c r="AC523" s="310"/>
      <c r="AD523" s="295"/>
      <c r="AE523" s="295"/>
    </row>
    <row r="524" spans="1:31" s="549" customFormat="1" ht="15.75" x14ac:dyDescent="0.2">
      <c r="A524" s="310"/>
      <c r="B524" s="295"/>
      <c r="C524" s="295"/>
      <c r="D524" s="295"/>
      <c r="E524" s="295"/>
      <c r="F524" s="296"/>
      <c r="G524" s="308"/>
      <c r="H524" s="308"/>
      <c r="I524" s="308"/>
      <c r="J524" s="309"/>
      <c r="K524" s="298"/>
      <c r="L524" s="311"/>
      <c r="M524" s="308"/>
      <c r="N524" s="295"/>
      <c r="O524" s="295"/>
      <c r="P524" s="308"/>
      <c r="Q524" s="308"/>
      <c r="R524" s="536"/>
      <c r="S524" s="295"/>
      <c r="T524" s="430"/>
      <c r="U524" s="300"/>
      <c r="V524" s="295"/>
      <c r="W524" s="295"/>
      <c r="X524" s="295"/>
      <c r="Y524" s="295"/>
      <c r="Z524" s="295"/>
      <c r="AA524" s="295"/>
      <c r="AB524" s="295"/>
      <c r="AC524" s="310"/>
      <c r="AD524" s="295"/>
      <c r="AE524" s="295"/>
    </row>
    <row r="525" spans="1:31" s="549" customFormat="1" ht="15.75" x14ac:dyDescent="0.2">
      <c r="A525" s="310"/>
      <c r="B525" s="295"/>
      <c r="C525" s="295"/>
      <c r="D525" s="295"/>
      <c r="E525" s="295"/>
      <c r="F525" s="296"/>
      <c r="G525" s="308"/>
      <c r="H525" s="308"/>
      <c r="I525" s="308"/>
      <c r="J525" s="309"/>
      <c r="K525" s="298"/>
      <c r="L525" s="311"/>
      <c r="M525" s="308"/>
      <c r="N525" s="295"/>
      <c r="O525" s="295"/>
      <c r="P525" s="308"/>
      <c r="Q525" s="308"/>
      <c r="R525" s="536"/>
      <c r="S525" s="295"/>
      <c r="T525" s="430"/>
      <c r="U525" s="300"/>
      <c r="V525" s="295"/>
      <c r="W525" s="295"/>
      <c r="X525" s="295"/>
      <c r="Y525" s="295"/>
      <c r="Z525" s="295"/>
      <c r="AA525" s="295"/>
      <c r="AB525" s="295"/>
      <c r="AC525" s="310"/>
      <c r="AD525" s="295"/>
      <c r="AE525" s="295"/>
    </row>
    <row r="526" spans="1:31" s="549" customFormat="1" ht="15.75" x14ac:dyDescent="0.2">
      <c r="A526" s="310"/>
      <c r="B526" s="295"/>
      <c r="C526" s="295"/>
      <c r="D526" s="295"/>
      <c r="E526" s="295"/>
      <c r="F526" s="296"/>
      <c r="G526" s="308"/>
      <c r="H526" s="308"/>
      <c r="I526" s="308"/>
      <c r="J526" s="309"/>
      <c r="K526" s="310"/>
      <c r="L526" s="311"/>
      <c r="M526" s="308"/>
      <c r="N526" s="295"/>
      <c r="O526" s="295"/>
      <c r="P526" s="308"/>
      <c r="Q526" s="308"/>
      <c r="R526" s="536"/>
      <c r="S526" s="295"/>
      <c r="T526" s="430"/>
      <c r="U526" s="300"/>
      <c r="V526" s="295"/>
      <c r="W526" s="295"/>
      <c r="X526" s="295"/>
      <c r="Y526" s="295"/>
      <c r="Z526" s="295"/>
      <c r="AA526" s="295"/>
      <c r="AB526" s="295"/>
      <c r="AC526" s="310"/>
      <c r="AD526" s="295"/>
      <c r="AE526" s="295"/>
    </row>
    <row r="527" spans="1:31" s="549" customFormat="1" ht="15.75" x14ac:dyDescent="0.2">
      <c r="A527" s="310"/>
      <c r="B527" s="295"/>
      <c r="C527" s="295"/>
      <c r="D527" s="295"/>
      <c r="E527" s="295"/>
      <c r="F527" s="296"/>
      <c r="G527" s="308"/>
      <c r="H527" s="308"/>
      <c r="I527" s="308"/>
      <c r="J527" s="309"/>
      <c r="K527" s="298"/>
      <c r="L527" s="311"/>
      <c r="M527" s="308"/>
      <c r="N527" s="295"/>
      <c r="O527" s="295"/>
      <c r="P527" s="308"/>
      <c r="Q527" s="308"/>
      <c r="R527" s="536"/>
      <c r="S527" s="295"/>
      <c r="T527" s="430"/>
      <c r="U527" s="300"/>
      <c r="V527" s="295"/>
      <c r="W527" s="295"/>
      <c r="X527" s="295"/>
      <c r="Y527" s="295"/>
      <c r="Z527" s="295"/>
      <c r="AA527" s="295"/>
      <c r="AB527" s="295"/>
      <c r="AC527" s="310"/>
      <c r="AD527" s="295"/>
      <c r="AE527" s="295"/>
    </row>
    <row r="528" spans="1:31" s="549" customFormat="1" ht="15.75" x14ac:dyDescent="0.2">
      <c r="A528" s="310"/>
      <c r="B528" s="295"/>
      <c r="C528" s="295"/>
      <c r="D528" s="295"/>
      <c r="E528" s="295"/>
      <c r="F528" s="296"/>
      <c r="G528" s="308"/>
      <c r="H528" s="308"/>
      <c r="I528" s="308"/>
      <c r="J528" s="309"/>
      <c r="K528" s="298"/>
      <c r="L528" s="311"/>
      <c r="M528" s="308"/>
      <c r="N528" s="295"/>
      <c r="O528" s="295"/>
      <c r="P528" s="308"/>
      <c r="Q528" s="308"/>
      <c r="R528" s="536"/>
      <c r="S528" s="295"/>
      <c r="T528" s="430"/>
      <c r="U528" s="300"/>
      <c r="V528" s="295"/>
      <c r="W528" s="295"/>
      <c r="X528" s="295"/>
      <c r="Y528" s="295"/>
      <c r="Z528" s="295"/>
      <c r="AA528" s="295"/>
      <c r="AB528" s="295"/>
      <c r="AC528" s="310"/>
      <c r="AD528" s="295"/>
      <c r="AE528" s="295"/>
    </row>
    <row r="529" spans="1:31" s="549" customFormat="1" ht="15.75" x14ac:dyDescent="0.2">
      <c r="A529" s="310"/>
      <c r="B529" s="295"/>
      <c r="C529" s="295"/>
      <c r="D529" s="295"/>
      <c r="E529" s="295"/>
      <c r="F529" s="296"/>
      <c r="G529" s="308"/>
      <c r="H529" s="308"/>
      <c r="I529" s="308"/>
      <c r="J529" s="309"/>
      <c r="K529" s="310"/>
      <c r="L529" s="311"/>
      <c r="M529" s="308"/>
      <c r="N529" s="295"/>
      <c r="O529" s="295"/>
      <c r="P529" s="308"/>
      <c r="Q529" s="308"/>
      <c r="R529" s="536"/>
      <c r="S529" s="295"/>
      <c r="T529" s="430"/>
      <c r="U529" s="300"/>
      <c r="V529" s="295"/>
      <c r="W529" s="295"/>
      <c r="X529" s="295"/>
      <c r="Y529" s="295"/>
      <c r="Z529" s="295"/>
      <c r="AA529" s="295"/>
      <c r="AB529" s="295"/>
      <c r="AC529" s="310"/>
      <c r="AD529" s="295"/>
      <c r="AE529" s="295"/>
    </row>
    <row r="530" spans="1:31" s="549" customFormat="1" ht="15.75" x14ac:dyDescent="0.2">
      <c r="A530" s="310"/>
      <c r="B530" s="295"/>
      <c r="C530" s="295"/>
      <c r="D530" s="295"/>
      <c r="E530" s="295"/>
      <c r="F530" s="296"/>
      <c r="G530" s="308"/>
      <c r="H530" s="308"/>
      <c r="I530" s="308"/>
      <c r="J530" s="309"/>
      <c r="K530" s="298"/>
      <c r="L530" s="311"/>
      <c r="M530" s="308"/>
      <c r="N530" s="295"/>
      <c r="O530" s="295"/>
      <c r="P530" s="308"/>
      <c r="Q530" s="308"/>
      <c r="R530" s="536"/>
      <c r="S530" s="295"/>
      <c r="T530" s="430"/>
      <c r="U530" s="300"/>
      <c r="V530" s="295"/>
      <c r="W530" s="295"/>
      <c r="X530" s="295"/>
      <c r="Y530" s="295"/>
      <c r="Z530" s="295"/>
      <c r="AA530" s="295"/>
      <c r="AB530" s="295"/>
      <c r="AC530" s="310"/>
      <c r="AD530" s="295"/>
      <c r="AE530" s="295"/>
    </row>
    <row r="531" spans="1:31" s="549" customFormat="1" ht="15.75" customHeight="1" x14ac:dyDescent="0.2">
      <c r="A531" s="310"/>
      <c r="B531" s="295"/>
      <c r="C531" s="295"/>
      <c r="D531" s="295"/>
      <c r="E531" s="295"/>
      <c r="F531" s="296"/>
      <c r="G531" s="308"/>
      <c r="H531" s="308"/>
      <c r="I531" s="308"/>
      <c r="J531" s="309"/>
      <c r="K531" s="298"/>
      <c r="L531" s="311"/>
      <c r="M531" s="308"/>
      <c r="N531" s="295"/>
      <c r="O531" s="295"/>
      <c r="P531" s="308"/>
      <c r="Q531" s="308"/>
      <c r="R531" s="536"/>
      <c r="S531" s="295"/>
      <c r="T531" s="430"/>
      <c r="U531" s="300"/>
      <c r="V531" s="295"/>
      <c r="W531" s="295"/>
      <c r="X531" s="295"/>
      <c r="Y531" s="295"/>
      <c r="Z531" s="295"/>
      <c r="AA531" s="295"/>
      <c r="AB531" s="295"/>
      <c r="AC531" s="310"/>
      <c r="AD531" s="295"/>
      <c r="AE531" s="295"/>
    </row>
    <row r="532" spans="1:31" s="549" customFormat="1" ht="15.75" x14ac:dyDescent="0.2">
      <c r="A532" s="310"/>
      <c r="B532" s="295"/>
      <c r="C532" s="295"/>
      <c r="D532" s="295"/>
      <c r="E532" s="295"/>
      <c r="F532" s="296"/>
      <c r="G532" s="308"/>
      <c r="H532" s="308"/>
      <c r="I532" s="308"/>
      <c r="J532" s="309"/>
      <c r="K532" s="310"/>
      <c r="L532" s="311"/>
      <c r="M532" s="308"/>
      <c r="N532" s="295"/>
      <c r="O532" s="295"/>
      <c r="P532" s="308"/>
      <c r="Q532" s="308"/>
      <c r="R532" s="536"/>
      <c r="S532" s="295"/>
      <c r="T532" s="430"/>
      <c r="U532" s="300"/>
      <c r="V532" s="295"/>
      <c r="W532" s="295"/>
      <c r="X532" s="295"/>
      <c r="Y532" s="295"/>
      <c r="Z532" s="295"/>
      <c r="AA532" s="295"/>
      <c r="AB532" s="295"/>
      <c r="AC532" s="310"/>
      <c r="AD532" s="295"/>
      <c r="AE532" s="295"/>
    </row>
    <row r="533" spans="1:31" s="549" customFormat="1" ht="15.75" x14ac:dyDescent="0.2">
      <c r="A533" s="310"/>
      <c r="B533" s="295"/>
      <c r="C533" s="295"/>
      <c r="D533" s="295"/>
      <c r="E533" s="295"/>
      <c r="F533" s="296"/>
      <c r="G533" s="308"/>
      <c r="H533" s="308"/>
      <c r="I533" s="308"/>
      <c r="J533" s="309"/>
      <c r="K533" s="298"/>
      <c r="L533" s="311"/>
      <c r="M533" s="308"/>
      <c r="N533" s="295"/>
      <c r="O533" s="295"/>
      <c r="P533" s="308"/>
      <c r="Q533" s="308"/>
      <c r="R533" s="536"/>
      <c r="S533" s="295"/>
      <c r="T533" s="430"/>
      <c r="U533" s="300"/>
      <c r="V533" s="295"/>
      <c r="W533" s="295"/>
      <c r="X533" s="295"/>
      <c r="Y533" s="295"/>
      <c r="Z533" s="295"/>
      <c r="AA533" s="295"/>
      <c r="AB533" s="295"/>
      <c r="AC533" s="310"/>
      <c r="AD533" s="295"/>
      <c r="AE533" s="295"/>
    </row>
    <row r="534" spans="1:31" s="549" customFormat="1" ht="15.75" x14ac:dyDescent="0.2">
      <c r="A534" s="310"/>
      <c r="B534" s="295"/>
      <c r="C534" s="295"/>
      <c r="D534" s="295"/>
      <c r="E534" s="295"/>
      <c r="F534" s="296"/>
      <c r="G534" s="308"/>
      <c r="H534" s="308"/>
      <c r="I534" s="308"/>
      <c r="J534" s="309"/>
      <c r="K534" s="298"/>
      <c r="L534" s="311"/>
      <c r="M534" s="308"/>
      <c r="N534" s="295"/>
      <c r="O534" s="295"/>
      <c r="P534" s="308"/>
      <c r="Q534" s="308"/>
      <c r="R534" s="536"/>
      <c r="S534" s="295"/>
      <c r="T534" s="430"/>
      <c r="U534" s="300"/>
      <c r="V534" s="295"/>
      <c r="W534" s="295"/>
      <c r="X534" s="295"/>
      <c r="Y534" s="295"/>
      <c r="Z534" s="295"/>
      <c r="AA534" s="295"/>
      <c r="AB534" s="295"/>
      <c r="AC534" s="310"/>
      <c r="AD534" s="295"/>
      <c r="AE534" s="295"/>
    </row>
    <row r="535" spans="1:31" s="549" customFormat="1" ht="15.75" x14ac:dyDescent="0.2">
      <c r="A535" s="310"/>
      <c r="B535" s="295"/>
      <c r="C535" s="295"/>
      <c r="D535" s="295"/>
      <c r="E535" s="295"/>
      <c r="F535" s="296"/>
      <c r="G535" s="308"/>
      <c r="H535" s="308"/>
      <c r="I535" s="308"/>
      <c r="J535" s="309"/>
      <c r="K535" s="310"/>
      <c r="L535" s="311"/>
      <c r="M535" s="308"/>
      <c r="N535" s="295"/>
      <c r="O535" s="295"/>
      <c r="P535" s="308"/>
      <c r="Q535" s="308"/>
      <c r="R535" s="536"/>
      <c r="S535" s="295"/>
      <c r="T535" s="430"/>
      <c r="U535" s="300"/>
      <c r="V535" s="295"/>
      <c r="W535" s="295"/>
      <c r="X535" s="295"/>
      <c r="Y535" s="295"/>
      <c r="Z535" s="295"/>
      <c r="AA535" s="295"/>
      <c r="AB535" s="295"/>
      <c r="AC535" s="310"/>
      <c r="AD535" s="295"/>
      <c r="AE535" s="295"/>
    </row>
    <row r="536" spans="1:31" s="549" customFormat="1" ht="15.75" x14ac:dyDescent="0.2">
      <c r="A536" s="310"/>
      <c r="B536" s="295"/>
      <c r="C536" s="295"/>
      <c r="D536" s="295"/>
      <c r="E536" s="295"/>
      <c r="F536" s="296"/>
      <c r="G536" s="308"/>
      <c r="H536" s="308"/>
      <c r="I536" s="308"/>
      <c r="J536" s="309"/>
      <c r="K536" s="298"/>
      <c r="L536" s="311"/>
      <c r="M536" s="308"/>
      <c r="N536" s="295"/>
      <c r="O536" s="295"/>
      <c r="P536" s="308"/>
      <c r="Q536" s="308"/>
      <c r="R536" s="536"/>
      <c r="S536" s="295"/>
      <c r="T536" s="430"/>
      <c r="U536" s="300"/>
      <c r="V536" s="295"/>
      <c r="W536" s="295"/>
      <c r="X536" s="295"/>
      <c r="Y536" s="295"/>
      <c r="Z536" s="295"/>
      <c r="AA536" s="295"/>
      <c r="AB536" s="295"/>
      <c r="AC536" s="310"/>
      <c r="AD536" s="295"/>
      <c r="AE536" s="295"/>
    </row>
    <row r="537" spans="1:31" s="549" customFormat="1" ht="15.75" x14ac:dyDescent="0.2">
      <c r="A537" s="310"/>
      <c r="B537" s="295"/>
      <c r="C537" s="295"/>
      <c r="D537" s="295"/>
      <c r="E537" s="295"/>
      <c r="F537" s="296"/>
      <c r="G537" s="308"/>
      <c r="H537" s="308"/>
      <c r="I537" s="308"/>
      <c r="J537" s="309"/>
      <c r="K537" s="298"/>
      <c r="L537" s="311"/>
      <c r="M537" s="308"/>
      <c r="N537" s="295"/>
      <c r="O537" s="295"/>
      <c r="P537" s="308"/>
      <c r="Q537" s="308"/>
      <c r="R537" s="536"/>
      <c r="S537" s="295"/>
      <c r="T537" s="430"/>
      <c r="U537" s="300"/>
      <c r="V537" s="295"/>
      <c r="W537" s="295"/>
      <c r="X537" s="295"/>
      <c r="Y537" s="295"/>
      <c r="Z537" s="295"/>
      <c r="AA537" s="295"/>
      <c r="AB537" s="295"/>
      <c r="AC537" s="310"/>
      <c r="AD537" s="295"/>
      <c r="AE537" s="295"/>
    </row>
    <row r="538" spans="1:31" s="552" customFormat="1" ht="15.75" x14ac:dyDescent="0.2">
      <c r="A538" s="310"/>
      <c r="B538" s="270"/>
      <c r="C538" s="270"/>
      <c r="D538" s="270"/>
      <c r="E538" s="270"/>
      <c r="F538" s="282"/>
      <c r="G538" s="308"/>
      <c r="H538" s="308"/>
      <c r="I538" s="308"/>
      <c r="J538" s="309"/>
      <c r="K538" s="310"/>
      <c r="L538" s="311"/>
      <c r="M538" s="308"/>
      <c r="N538" s="295"/>
      <c r="O538" s="295"/>
      <c r="P538" s="308"/>
      <c r="Q538" s="308"/>
      <c r="R538" s="536"/>
      <c r="S538" s="295"/>
      <c r="T538" s="430"/>
      <c r="U538" s="270"/>
      <c r="V538" s="295"/>
      <c r="W538" s="295"/>
      <c r="X538" s="295"/>
      <c r="Y538" s="295"/>
      <c r="Z538" s="295"/>
      <c r="AA538" s="295"/>
      <c r="AB538" s="295"/>
      <c r="AC538" s="310"/>
      <c r="AD538" s="270"/>
      <c r="AE538" s="270"/>
    </row>
    <row r="539" spans="1:31" s="549" customFormat="1" x14ac:dyDescent="0.2">
      <c r="A539" s="310"/>
      <c r="B539" s="295"/>
      <c r="C539" s="295"/>
      <c r="D539" s="295"/>
      <c r="E539" s="295"/>
      <c r="F539" s="296"/>
      <c r="G539" s="295"/>
      <c r="H539" s="295"/>
      <c r="I539" s="295"/>
      <c r="J539" s="312"/>
      <c r="K539" s="310"/>
      <c r="L539" s="298"/>
      <c r="M539" s="308"/>
      <c r="N539" s="295"/>
      <c r="O539" s="295"/>
      <c r="P539" s="308"/>
      <c r="Q539" s="308"/>
      <c r="R539" s="536"/>
      <c r="S539" s="295"/>
      <c r="T539" s="430"/>
      <c r="U539" s="300"/>
      <c r="V539" s="295"/>
      <c r="W539" s="295"/>
      <c r="X539" s="295"/>
      <c r="Y539" s="295"/>
      <c r="Z539" s="295"/>
      <c r="AA539" s="295"/>
      <c r="AB539" s="295"/>
      <c r="AC539" s="310"/>
      <c r="AD539" s="295"/>
      <c r="AE539" s="295"/>
    </row>
    <row r="540" spans="1:31" s="549" customFormat="1" x14ac:dyDescent="0.2">
      <c r="A540" s="310"/>
      <c r="B540" s="295"/>
      <c r="C540" s="295"/>
      <c r="D540" s="295"/>
      <c r="E540" s="295"/>
      <c r="F540" s="296"/>
      <c r="G540" s="295"/>
      <c r="H540" s="295"/>
      <c r="I540" s="295"/>
      <c r="J540" s="312"/>
      <c r="K540" s="298"/>
      <c r="L540" s="298"/>
      <c r="M540" s="308"/>
      <c r="N540" s="295"/>
      <c r="O540" s="295"/>
      <c r="P540" s="308"/>
      <c r="Q540" s="308"/>
      <c r="R540" s="536"/>
      <c r="S540" s="295"/>
      <c r="T540" s="430"/>
      <c r="U540" s="300"/>
      <c r="V540" s="295"/>
      <c r="W540" s="295"/>
      <c r="X540" s="295"/>
      <c r="Y540" s="295"/>
      <c r="Z540" s="295"/>
      <c r="AA540" s="295"/>
      <c r="AB540" s="295"/>
      <c r="AC540" s="310"/>
      <c r="AD540" s="295"/>
      <c r="AE540" s="295"/>
    </row>
    <row r="541" spans="1:31" s="549" customFormat="1" x14ac:dyDescent="0.2">
      <c r="A541" s="310"/>
      <c r="B541" s="295"/>
      <c r="C541" s="295"/>
      <c r="D541" s="295"/>
      <c r="E541" s="295"/>
      <c r="F541" s="296"/>
      <c r="G541" s="295"/>
      <c r="H541" s="295"/>
      <c r="I541" s="295"/>
      <c r="J541" s="312"/>
      <c r="K541" s="310"/>
      <c r="L541" s="298"/>
      <c r="M541" s="308"/>
      <c r="N541" s="295"/>
      <c r="O541" s="295"/>
      <c r="P541" s="308"/>
      <c r="Q541" s="308"/>
      <c r="R541" s="536"/>
      <c r="S541" s="295"/>
      <c r="T541" s="430"/>
      <c r="U541" s="300"/>
      <c r="V541" s="295"/>
      <c r="W541" s="295"/>
      <c r="X541" s="295"/>
      <c r="Y541" s="295"/>
      <c r="Z541" s="295"/>
      <c r="AA541" s="295"/>
      <c r="AB541" s="295"/>
      <c r="AC541" s="310"/>
      <c r="AD541" s="295"/>
      <c r="AE541" s="295"/>
    </row>
    <row r="542" spans="1:31" s="549" customFormat="1" x14ac:dyDescent="0.2">
      <c r="A542" s="310"/>
      <c r="B542" s="295"/>
      <c r="C542" s="295"/>
      <c r="D542" s="295"/>
      <c r="E542" s="295"/>
      <c r="F542" s="296"/>
      <c r="G542" s="295"/>
      <c r="H542" s="295"/>
      <c r="I542" s="295"/>
      <c r="J542" s="312"/>
      <c r="K542" s="298"/>
      <c r="L542" s="298"/>
      <c r="M542" s="295"/>
      <c r="N542" s="295"/>
      <c r="O542" s="295"/>
      <c r="P542" s="308"/>
      <c r="Q542" s="308"/>
      <c r="R542" s="536"/>
      <c r="S542" s="295"/>
      <c r="T542" s="430"/>
      <c r="U542" s="300"/>
      <c r="V542" s="295"/>
      <c r="W542" s="295"/>
      <c r="X542" s="295"/>
      <c r="Y542" s="295"/>
      <c r="Z542" s="295"/>
      <c r="AA542" s="295"/>
      <c r="AB542" s="295"/>
      <c r="AC542" s="310"/>
      <c r="AD542" s="295"/>
      <c r="AE542" s="295"/>
    </row>
    <row r="543" spans="1:31" s="549" customFormat="1" x14ac:dyDescent="0.2">
      <c r="A543" s="310"/>
      <c r="B543" s="295"/>
      <c r="C543" s="295"/>
      <c r="D543" s="295"/>
      <c r="E543" s="295"/>
      <c r="F543" s="296"/>
      <c r="G543" s="295"/>
      <c r="H543" s="295"/>
      <c r="I543" s="295"/>
      <c r="J543" s="312"/>
      <c r="K543" s="298"/>
      <c r="L543" s="298"/>
      <c r="M543" s="295"/>
      <c r="N543" s="295"/>
      <c r="O543" s="295"/>
      <c r="P543" s="308"/>
      <c r="Q543" s="308"/>
      <c r="R543" s="536"/>
      <c r="S543" s="295"/>
      <c r="T543" s="430"/>
      <c r="U543" s="300"/>
      <c r="V543" s="295"/>
      <c r="W543" s="295"/>
      <c r="X543" s="295"/>
      <c r="Y543" s="295"/>
      <c r="Z543" s="295"/>
      <c r="AA543" s="295"/>
      <c r="AB543" s="295"/>
      <c r="AC543" s="310"/>
      <c r="AD543" s="295"/>
      <c r="AE543" s="295"/>
    </row>
    <row r="544" spans="1:31" s="552" customFormat="1" ht="15.75" x14ac:dyDescent="0.2">
      <c r="A544" s="310"/>
      <c r="B544" s="270"/>
      <c r="C544" s="270"/>
      <c r="D544" s="270"/>
      <c r="E544" s="270"/>
      <c r="F544" s="282"/>
      <c r="G544" s="308"/>
      <c r="H544" s="308"/>
      <c r="I544" s="308"/>
      <c r="J544" s="309"/>
      <c r="K544" s="310"/>
      <c r="L544" s="311"/>
      <c r="M544" s="295"/>
      <c r="N544" s="295"/>
      <c r="O544" s="295"/>
      <c r="P544" s="308"/>
      <c r="Q544" s="308"/>
      <c r="R544" s="536"/>
      <c r="S544" s="295"/>
      <c r="T544" s="430"/>
      <c r="U544" s="270"/>
      <c r="V544" s="295"/>
      <c r="W544" s="295"/>
      <c r="X544" s="295"/>
      <c r="Y544" s="295"/>
      <c r="Z544" s="295"/>
      <c r="AA544" s="295"/>
      <c r="AB544" s="295"/>
      <c r="AC544" s="310"/>
      <c r="AD544" s="270"/>
      <c r="AE544" s="270"/>
    </row>
    <row r="545" spans="1:31" s="552" customFormat="1" ht="15.75" x14ac:dyDescent="0.2">
      <c r="A545" s="310"/>
      <c r="B545" s="270"/>
      <c r="C545" s="270"/>
      <c r="D545" s="270"/>
      <c r="E545" s="270"/>
      <c r="F545" s="282"/>
      <c r="G545" s="308"/>
      <c r="H545" s="308"/>
      <c r="I545" s="308"/>
      <c r="J545" s="309"/>
      <c r="K545" s="310"/>
      <c r="L545" s="311"/>
      <c r="M545" s="295"/>
      <c r="N545" s="295"/>
      <c r="O545" s="295"/>
      <c r="P545" s="308"/>
      <c r="Q545" s="308"/>
      <c r="R545" s="536"/>
      <c r="S545" s="295"/>
      <c r="T545" s="430"/>
      <c r="U545" s="270"/>
      <c r="V545" s="295"/>
      <c r="W545" s="295"/>
      <c r="X545" s="295"/>
      <c r="Y545" s="295"/>
      <c r="Z545" s="295"/>
      <c r="AA545" s="295"/>
      <c r="AB545" s="295"/>
      <c r="AC545" s="310"/>
      <c r="AD545" s="270"/>
      <c r="AE545" s="270"/>
    </row>
    <row r="546" spans="1:31" s="549" customFormat="1" x14ac:dyDescent="0.2">
      <c r="A546" s="310"/>
      <c r="B546" s="295"/>
      <c r="C546" s="295"/>
      <c r="D546" s="295"/>
      <c r="E546" s="295"/>
      <c r="F546" s="296"/>
      <c r="G546" s="295"/>
      <c r="H546" s="295"/>
      <c r="I546" s="295"/>
      <c r="J546" s="312"/>
      <c r="K546" s="298"/>
      <c r="L546" s="298"/>
      <c r="M546" s="295"/>
      <c r="N546" s="295"/>
      <c r="O546" s="295"/>
      <c r="P546" s="308"/>
      <c r="Q546" s="308"/>
      <c r="R546" s="536"/>
      <c r="S546" s="295"/>
      <c r="T546" s="430"/>
      <c r="U546" s="300"/>
      <c r="V546" s="295"/>
      <c r="W546" s="295"/>
      <c r="X546" s="295"/>
      <c r="Y546" s="295"/>
      <c r="Z546" s="295"/>
      <c r="AA546" s="295"/>
      <c r="AB546" s="295"/>
      <c r="AC546" s="310"/>
      <c r="AD546" s="295"/>
      <c r="AE546" s="295"/>
    </row>
    <row r="547" spans="1:31" s="549" customFormat="1" x14ac:dyDescent="0.2">
      <c r="A547" s="310"/>
      <c r="B547" s="295"/>
      <c r="C547" s="295"/>
      <c r="D547" s="295"/>
      <c r="E547" s="295"/>
      <c r="F547" s="296"/>
      <c r="G547" s="295"/>
      <c r="H547" s="295"/>
      <c r="I547" s="295"/>
      <c r="J547" s="312"/>
      <c r="K547" s="298"/>
      <c r="L547" s="298"/>
      <c r="M547" s="295"/>
      <c r="N547" s="295"/>
      <c r="O547" s="295"/>
      <c r="P547" s="308"/>
      <c r="Q547" s="308"/>
      <c r="R547" s="536"/>
      <c r="S547" s="295"/>
      <c r="T547" s="430"/>
      <c r="U547" s="300"/>
      <c r="V547" s="295"/>
      <c r="W547" s="295"/>
      <c r="X547" s="295"/>
      <c r="Y547" s="295"/>
      <c r="Z547" s="295"/>
      <c r="AA547" s="295"/>
      <c r="AB547" s="295"/>
      <c r="AC547" s="310"/>
      <c r="AD547" s="295"/>
      <c r="AE547" s="295"/>
    </row>
    <row r="548" spans="1:31" s="549" customFormat="1" x14ac:dyDescent="0.2">
      <c r="A548" s="310"/>
      <c r="B548" s="295"/>
      <c r="C548" s="295"/>
      <c r="D548" s="295"/>
      <c r="E548" s="295"/>
      <c r="F548" s="296"/>
      <c r="G548" s="295"/>
      <c r="H548" s="295"/>
      <c r="I548" s="295"/>
      <c r="J548" s="312"/>
      <c r="K548" s="310"/>
      <c r="L548" s="298"/>
      <c r="M548" s="295"/>
      <c r="N548" s="295"/>
      <c r="O548" s="295"/>
      <c r="P548" s="308"/>
      <c r="Q548" s="308"/>
      <c r="R548" s="536"/>
      <c r="S548" s="295"/>
      <c r="T548" s="430"/>
      <c r="U548" s="300"/>
      <c r="V548" s="295"/>
      <c r="W548" s="295"/>
      <c r="X548" s="295"/>
      <c r="Y548" s="295"/>
      <c r="Z548" s="295"/>
      <c r="AA548" s="295"/>
      <c r="AB548" s="295"/>
      <c r="AC548" s="310"/>
      <c r="AD548" s="295"/>
      <c r="AE548" s="295"/>
    </row>
    <row r="549" spans="1:31" s="549" customFormat="1" x14ac:dyDescent="0.2">
      <c r="A549" s="310"/>
      <c r="B549" s="295"/>
      <c r="C549" s="295"/>
      <c r="D549" s="295"/>
      <c r="E549" s="295"/>
      <c r="F549" s="296"/>
      <c r="G549" s="295"/>
      <c r="H549" s="295"/>
      <c r="I549" s="295"/>
      <c r="J549" s="312"/>
      <c r="K549" s="298"/>
      <c r="L549" s="298"/>
      <c r="M549" s="295"/>
      <c r="N549" s="295"/>
      <c r="O549" s="295"/>
      <c r="P549" s="308"/>
      <c r="Q549" s="308"/>
      <c r="R549" s="536"/>
      <c r="S549" s="295"/>
      <c r="T549" s="430"/>
      <c r="U549" s="300"/>
      <c r="V549" s="295"/>
      <c r="W549" s="295"/>
      <c r="X549" s="295"/>
      <c r="Y549" s="295"/>
      <c r="Z549" s="295"/>
      <c r="AA549" s="295"/>
      <c r="AB549" s="295"/>
      <c r="AC549" s="310"/>
      <c r="AD549" s="295"/>
      <c r="AE549" s="295"/>
    </row>
    <row r="550" spans="1:31" s="552" customFormat="1" ht="15.75" x14ac:dyDescent="0.2">
      <c r="A550" s="310"/>
      <c r="B550" s="270"/>
      <c r="C550" s="270"/>
      <c r="D550" s="270"/>
      <c r="E550" s="270"/>
      <c r="F550" s="282"/>
      <c r="G550" s="425"/>
      <c r="H550" s="296"/>
      <c r="I550" s="296"/>
      <c r="J550" s="537"/>
      <c r="K550" s="423"/>
      <c r="L550" s="428"/>
      <c r="M550" s="427"/>
      <c r="N550" s="296"/>
      <c r="O550" s="296"/>
      <c r="P550" s="426"/>
      <c r="Q550" s="426"/>
      <c r="R550" s="424"/>
      <c r="S550" s="429"/>
      <c r="T550" s="379"/>
      <c r="U550" s="270"/>
      <c r="V550" s="295"/>
      <c r="W550" s="295"/>
      <c r="X550" s="295"/>
      <c r="Y550" s="295"/>
      <c r="Z550" s="295"/>
      <c r="AA550" s="295"/>
      <c r="AB550" s="295"/>
      <c r="AC550" s="310"/>
      <c r="AD550" s="270"/>
      <c r="AE550" s="270"/>
    </row>
    <row r="551" spans="1:31" s="549" customFormat="1" ht="15.75" x14ac:dyDescent="0.2">
      <c r="A551" s="310"/>
      <c r="B551" s="295"/>
      <c r="C551" s="295"/>
      <c r="D551" s="295"/>
      <c r="E551" s="295"/>
      <c r="F551" s="296"/>
      <c r="G551" s="382"/>
      <c r="H551" s="308"/>
      <c r="I551" s="308"/>
      <c r="J551" s="309"/>
      <c r="K551" s="298"/>
      <c r="L551" s="311"/>
      <c r="M551" s="308"/>
      <c r="N551" s="295"/>
      <c r="O551" s="295"/>
      <c r="P551" s="308"/>
      <c r="Q551" s="308"/>
      <c r="R551" s="536"/>
      <c r="S551" s="382"/>
      <c r="T551" s="430"/>
      <c r="U551" s="300"/>
      <c r="V551" s="295"/>
      <c r="W551" s="295"/>
      <c r="X551" s="295"/>
      <c r="Y551" s="295"/>
      <c r="Z551" s="295"/>
      <c r="AA551" s="295"/>
      <c r="AB551" s="295"/>
      <c r="AC551" s="310"/>
      <c r="AD551" s="295"/>
      <c r="AE551" s="295"/>
    </row>
    <row r="552" spans="1:31" s="552" customFormat="1" ht="15.75" x14ac:dyDescent="0.2">
      <c r="A552" s="310"/>
      <c r="B552" s="270"/>
      <c r="C552" s="270"/>
      <c r="D552" s="270"/>
      <c r="E552" s="270"/>
      <c r="F552" s="282"/>
      <c r="G552" s="308"/>
      <c r="H552" s="308"/>
      <c r="I552" s="308"/>
      <c r="J552" s="309"/>
      <c r="K552" s="310"/>
      <c r="L552" s="311"/>
      <c r="M552" s="308"/>
      <c r="N552" s="295"/>
      <c r="O552" s="295"/>
      <c r="P552" s="308"/>
      <c r="Q552" s="308"/>
      <c r="R552" s="536"/>
      <c r="S552" s="295"/>
      <c r="T552" s="430"/>
      <c r="U552" s="270"/>
      <c r="V552" s="295"/>
      <c r="W552" s="295"/>
      <c r="X552" s="295"/>
      <c r="Y552" s="295"/>
      <c r="Z552" s="295"/>
      <c r="AA552" s="295"/>
      <c r="AB552" s="295"/>
      <c r="AC552" s="310"/>
      <c r="AD552" s="270"/>
      <c r="AE552" s="270"/>
    </row>
    <row r="553" spans="1:31" s="552" customFormat="1" ht="15.75" x14ac:dyDescent="0.2">
      <c r="A553" s="310"/>
      <c r="B553" s="270"/>
      <c r="C553" s="270"/>
      <c r="D553" s="270"/>
      <c r="E553" s="270"/>
      <c r="F553" s="282"/>
      <c r="G553" s="308"/>
      <c r="H553" s="308"/>
      <c r="I553" s="308"/>
      <c r="J553" s="309"/>
      <c r="K553" s="310"/>
      <c r="L553" s="311"/>
      <c r="M553" s="308"/>
      <c r="N553" s="295"/>
      <c r="O553" s="295"/>
      <c r="P553" s="308"/>
      <c r="Q553" s="308"/>
      <c r="R553" s="536"/>
      <c r="S553" s="295"/>
      <c r="T553" s="430"/>
      <c r="U553" s="270"/>
      <c r="V553" s="295"/>
      <c r="W553" s="295"/>
      <c r="X553" s="295"/>
      <c r="Y553" s="295"/>
      <c r="Z553" s="295"/>
      <c r="AA553" s="295"/>
      <c r="AB553" s="295"/>
      <c r="AC553" s="310"/>
      <c r="AD553" s="270"/>
      <c r="AE553" s="270"/>
    </row>
    <row r="554" spans="1:31" s="552" customFormat="1" ht="15.75" x14ac:dyDescent="0.2">
      <c r="A554" s="310"/>
      <c r="B554" s="270"/>
      <c r="C554" s="270"/>
      <c r="D554" s="270"/>
      <c r="E554" s="270"/>
      <c r="F554" s="282"/>
      <c r="G554" s="308"/>
      <c r="H554" s="308"/>
      <c r="I554" s="308"/>
      <c r="J554" s="309"/>
      <c r="K554" s="310"/>
      <c r="L554" s="311"/>
      <c r="M554" s="308"/>
      <c r="N554" s="295"/>
      <c r="O554" s="295"/>
      <c r="P554" s="308"/>
      <c r="Q554" s="308"/>
      <c r="R554" s="536"/>
      <c r="S554" s="295"/>
      <c r="T554" s="430"/>
      <c r="U554" s="270"/>
      <c r="V554" s="295"/>
      <c r="W554" s="295"/>
      <c r="X554" s="295"/>
      <c r="Y554" s="295"/>
      <c r="Z554" s="295"/>
      <c r="AA554" s="295"/>
      <c r="AB554" s="295"/>
      <c r="AC554" s="310"/>
      <c r="AD554" s="270"/>
      <c r="AE554" s="270"/>
    </row>
    <row r="555" spans="1:31" s="552" customFormat="1" ht="15.75" x14ac:dyDescent="0.2">
      <c r="A555" s="310"/>
      <c r="B555" s="270"/>
      <c r="C555" s="270"/>
      <c r="D555" s="270"/>
      <c r="E555" s="270"/>
      <c r="F555" s="282"/>
      <c r="G555" s="308"/>
      <c r="H555" s="308"/>
      <c r="I555" s="308"/>
      <c r="J555" s="309"/>
      <c r="K555" s="310"/>
      <c r="L555" s="311"/>
      <c r="M555" s="308"/>
      <c r="N555" s="295"/>
      <c r="O555" s="295"/>
      <c r="P555" s="308"/>
      <c r="Q555" s="308"/>
      <c r="R555" s="536"/>
      <c r="S555" s="295"/>
      <c r="T555" s="430"/>
      <c r="U555" s="270"/>
      <c r="V555" s="295"/>
      <c r="W555" s="295"/>
      <c r="X555" s="295"/>
      <c r="Y555" s="295"/>
      <c r="Z555" s="295"/>
      <c r="AA555" s="295"/>
      <c r="AB555" s="295"/>
      <c r="AC555" s="310"/>
      <c r="AD555" s="270"/>
      <c r="AE555" s="270"/>
    </row>
    <row r="556" spans="1:31" s="552" customFormat="1" ht="15.75" x14ac:dyDescent="0.2">
      <c r="A556" s="310"/>
      <c r="B556" s="270"/>
      <c r="C556" s="270"/>
      <c r="D556" s="270"/>
      <c r="E556" s="270"/>
      <c r="F556" s="282"/>
      <c r="G556" s="308"/>
      <c r="H556" s="308"/>
      <c r="I556" s="308"/>
      <c r="J556" s="309"/>
      <c r="K556" s="310"/>
      <c r="L556" s="311"/>
      <c r="M556" s="308"/>
      <c r="N556" s="295"/>
      <c r="O556" s="295"/>
      <c r="P556" s="308"/>
      <c r="Q556" s="308"/>
      <c r="R556" s="536"/>
      <c r="S556" s="295"/>
      <c r="T556" s="430"/>
      <c r="U556" s="270"/>
      <c r="V556" s="295"/>
      <c r="W556" s="295"/>
      <c r="X556" s="295"/>
      <c r="Y556" s="295"/>
      <c r="Z556" s="295"/>
      <c r="AA556" s="295"/>
      <c r="AB556" s="295"/>
      <c r="AC556" s="310"/>
      <c r="AD556" s="270"/>
      <c r="AE556" s="270"/>
    </row>
    <row r="557" spans="1:31" s="549" customFormat="1" x14ac:dyDescent="0.2">
      <c r="A557" s="307"/>
      <c r="B557" s="295"/>
      <c r="C557" s="295"/>
      <c r="D557" s="295"/>
      <c r="E557" s="295"/>
      <c r="F557" s="296"/>
      <c r="G557" s="295"/>
      <c r="H557" s="295"/>
      <c r="I557" s="295"/>
      <c r="J557" s="312"/>
      <c r="K557" s="298"/>
      <c r="L557" s="298"/>
      <c r="M557" s="295"/>
      <c r="N557" s="295"/>
      <c r="O557" s="295"/>
      <c r="P557" s="295"/>
      <c r="Q557" s="295"/>
      <c r="R557" s="554"/>
      <c r="S557" s="295"/>
      <c r="T557" s="300"/>
      <c r="U557" s="300"/>
      <c r="V557" s="295"/>
      <c r="W557" s="295"/>
      <c r="X557" s="295"/>
      <c r="Y557" s="295"/>
      <c r="Z557" s="295"/>
      <c r="AA557" s="295"/>
      <c r="AB557" s="295"/>
      <c r="AC557" s="295"/>
      <c r="AD557" s="295"/>
    </row>
    <row r="558" spans="1:31" s="549" customFormat="1" x14ac:dyDescent="0.2">
      <c r="A558" s="386"/>
      <c r="B558" s="378"/>
      <c r="C558" s="378"/>
      <c r="D558" s="378"/>
      <c r="E558" s="378"/>
      <c r="F558" s="408"/>
      <c r="G558" s="378"/>
      <c r="H558" s="378"/>
      <c r="I558" s="378"/>
      <c r="J558" s="380"/>
      <c r="K558" s="383"/>
      <c r="L558" s="383"/>
      <c r="M558" s="378"/>
      <c r="N558" s="378"/>
      <c r="O558" s="378"/>
      <c r="P558" s="378"/>
      <c r="Q558" s="378"/>
      <c r="R558" s="548"/>
      <c r="S558" s="378"/>
      <c r="T558" s="410"/>
      <c r="U558" s="410"/>
      <c r="V558" s="378"/>
      <c r="W558" s="378"/>
      <c r="X558" s="378"/>
      <c r="Y558" s="378"/>
      <c r="Z558" s="378"/>
      <c r="AA558" s="378"/>
      <c r="AB558" s="378"/>
      <c r="AC558" s="378"/>
      <c r="AD558" s="378"/>
    </row>
    <row r="559" spans="1:31" x14ac:dyDescent="0.2">
      <c r="A559" s="406"/>
      <c r="B559" s="390"/>
      <c r="C559" s="390"/>
      <c r="D559" s="407"/>
      <c r="E559" s="378"/>
      <c r="F559" s="408"/>
      <c r="G559" s="378"/>
      <c r="H559" s="378"/>
      <c r="I559" s="378"/>
      <c r="J559" s="409"/>
      <c r="K559" s="383"/>
      <c r="L559" s="383"/>
      <c r="M559" s="378"/>
      <c r="N559" s="378"/>
      <c r="O559" s="378"/>
      <c r="P559" s="378"/>
      <c r="Q559" s="378"/>
      <c r="R559" s="548"/>
      <c r="S559" s="378"/>
      <c r="T559" s="410"/>
      <c r="U559" s="410"/>
      <c r="V559" s="378"/>
      <c r="W559" s="390"/>
      <c r="X559" s="390"/>
      <c r="Y559" s="390"/>
      <c r="Z559" s="390"/>
      <c r="AA559" s="390"/>
      <c r="AB559" s="390"/>
      <c r="AC559" s="390"/>
      <c r="AD559" s="390"/>
    </row>
    <row r="560" spans="1:31" ht="15.75" x14ac:dyDescent="0.25">
      <c r="A560" s="412" t="s">
        <v>345</v>
      </c>
      <c r="B560" s="403"/>
      <c r="C560" s="403"/>
      <c r="D560" s="403"/>
      <c r="E560" s="403"/>
      <c r="F560" s="413"/>
      <c r="G560" s="403"/>
      <c r="H560" s="403"/>
      <c r="I560" s="403"/>
      <c r="J560" s="392" t="s">
        <v>16</v>
      </c>
      <c r="K560" s="394">
        <f>SUM(K561:K562)</f>
        <v>0</v>
      </c>
      <c r="L560" s="394">
        <f>SUM(L561:L562)</f>
        <v>0</v>
      </c>
      <c r="M560" s="390"/>
      <c r="N560" s="390"/>
      <c r="O560" s="390"/>
      <c r="P560" s="390"/>
      <c r="Q560" s="390"/>
      <c r="R560" s="545"/>
      <c r="S560" s="390"/>
      <c r="T560" s="390"/>
      <c r="U560" s="390"/>
      <c r="V560" s="390"/>
      <c r="W560" s="390"/>
      <c r="X560" s="390"/>
      <c r="Y560" s="390"/>
      <c r="Z560" s="390"/>
      <c r="AA560" s="390"/>
      <c r="AB560" s="390"/>
      <c r="AC560" s="390"/>
      <c r="AD560" s="390"/>
    </row>
    <row r="561" spans="1:30" x14ac:dyDescent="0.2">
      <c r="A561" s="414"/>
      <c r="B561" s="390"/>
      <c r="C561" s="390"/>
      <c r="D561" s="378"/>
      <c r="E561" s="378"/>
      <c r="F561" s="408"/>
      <c r="G561" s="378"/>
      <c r="H561" s="378"/>
      <c r="I561" s="378"/>
      <c r="J561" s="409"/>
      <c r="K561" s="383"/>
      <c r="L561" s="383"/>
      <c r="M561" s="378"/>
      <c r="N561" s="378"/>
      <c r="O561" s="378"/>
      <c r="P561" s="378"/>
      <c r="Q561" s="378"/>
      <c r="R561" s="548"/>
      <c r="S561" s="378"/>
      <c r="T561" s="410"/>
      <c r="U561" s="378"/>
      <c r="V561" s="390"/>
      <c r="W561" s="390"/>
      <c r="X561" s="390"/>
      <c r="Y561" s="390"/>
      <c r="Z561" s="390"/>
      <c r="AA561" s="390"/>
      <c r="AB561" s="390"/>
      <c r="AC561" s="390"/>
      <c r="AD561" s="390"/>
    </row>
    <row r="562" spans="1:30" s="549" customFormat="1" x14ac:dyDescent="0.2">
      <c r="A562" s="415"/>
      <c r="B562" s="378"/>
      <c r="C562" s="378"/>
      <c r="D562" s="378"/>
      <c r="E562" s="378"/>
      <c r="F562" s="408"/>
      <c r="G562" s="378"/>
      <c r="H562" s="378"/>
      <c r="I562" s="378"/>
      <c r="J562" s="409"/>
      <c r="K562" s="383"/>
      <c r="L562" s="383"/>
      <c r="M562" s="378"/>
      <c r="N562" s="378"/>
      <c r="O562" s="378"/>
      <c r="P562" s="378"/>
      <c r="Q562" s="378"/>
      <c r="R562" s="548"/>
      <c r="S562" s="378"/>
      <c r="T562" s="410"/>
      <c r="U562" s="378"/>
      <c r="V562" s="378"/>
      <c r="W562" s="378"/>
      <c r="X562" s="378"/>
      <c r="Y562" s="378"/>
      <c r="Z562" s="378"/>
      <c r="AA562" s="378"/>
      <c r="AB562" s="378"/>
      <c r="AC562" s="378"/>
      <c r="AD562" s="378"/>
    </row>
    <row r="563" spans="1:30" s="547" customFormat="1" ht="15.75" x14ac:dyDescent="0.25">
      <c r="A563" s="399" t="s">
        <v>293</v>
      </c>
      <c r="B563" s="400"/>
      <c r="C563" s="400"/>
      <c r="D563" s="400"/>
      <c r="E563" s="400"/>
      <c r="F563" s="401"/>
      <c r="G563" s="400"/>
      <c r="H563" s="400"/>
      <c r="I563" s="400"/>
      <c r="J563" s="400"/>
      <c r="K563" s="402"/>
      <c r="L563" s="402"/>
      <c r="M563" s="400"/>
      <c r="N563" s="400"/>
      <c r="O563" s="400"/>
      <c r="P563" s="400"/>
      <c r="Q563" s="400"/>
      <c r="R563" s="546"/>
      <c r="S563" s="400"/>
      <c r="T563" s="400"/>
      <c r="U563" s="400"/>
      <c r="V563" s="400"/>
      <c r="W563" s="400"/>
      <c r="X563" s="400"/>
      <c r="Y563" s="400"/>
      <c r="Z563" s="400"/>
      <c r="AA563" s="400"/>
      <c r="AB563" s="400"/>
      <c r="AC563" s="400"/>
      <c r="AD563" s="400"/>
    </row>
    <row r="564" spans="1:30" ht="15.75" x14ac:dyDescent="0.25">
      <c r="A564" s="403" t="s">
        <v>344</v>
      </c>
      <c r="B564" s="404"/>
      <c r="C564" s="404"/>
      <c r="D564" s="404"/>
      <c r="E564" s="404"/>
      <c r="F564" s="405"/>
      <c r="G564" s="404"/>
      <c r="H564" s="404"/>
      <c r="I564" s="404"/>
      <c r="J564" s="392" t="s">
        <v>16</v>
      </c>
      <c r="K564" s="394">
        <f>SUM(K565:K566)</f>
        <v>0</v>
      </c>
      <c r="L564" s="394">
        <f>SUM(L565:L566)</f>
        <v>0</v>
      </c>
      <c r="M564" s="390"/>
      <c r="N564" s="390"/>
      <c r="O564" s="390"/>
      <c r="P564" s="390"/>
      <c r="Q564" s="390"/>
      <c r="R564" s="545"/>
      <c r="S564" s="390"/>
      <c r="T564" s="390"/>
      <c r="U564" s="390"/>
      <c r="V564" s="390"/>
      <c r="W564" s="390"/>
      <c r="X564" s="390"/>
      <c r="Y564" s="390"/>
      <c r="Z564" s="390"/>
      <c r="AA564" s="390"/>
      <c r="AB564" s="390"/>
      <c r="AC564" s="390"/>
      <c r="AD564" s="390"/>
    </row>
    <row r="565" spans="1:30" s="549" customFormat="1" x14ac:dyDescent="0.2">
      <c r="A565" s="386"/>
      <c r="B565" s="378"/>
      <c r="C565" s="378"/>
      <c r="D565" s="378"/>
      <c r="E565" s="378"/>
      <c r="F565" s="408"/>
      <c r="G565" s="378"/>
      <c r="H565" s="378"/>
      <c r="I565" s="378"/>
      <c r="J565" s="380"/>
      <c r="K565" s="383"/>
      <c r="L565" s="383"/>
      <c r="M565" s="378"/>
      <c r="N565" s="378"/>
      <c r="O565" s="378"/>
      <c r="P565" s="378"/>
      <c r="Q565" s="378"/>
      <c r="R565" s="548"/>
      <c r="S565" s="378"/>
      <c r="T565" s="410"/>
      <c r="U565" s="410"/>
      <c r="V565" s="378"/>
      <c r="W565" s="378"/>
      <c r="X565" s="378"/>
      <c r="Y565" s="378"/>
      <c r="Z565" s="378"/>
      <c r="AA565" s="378"/>
      <c r="AB565" s="378"/>
      <c r="AC565" s="378"/>
      <c r="AD565" s="378"/>
    </row>
    <row r="566" spans="1:30" x14ac:dyDescent="0.2">
      <c r="A566" s="406"/>
      <c r="B566" s="390"/>
      <c r="C566" s="390"/>
      <c r="D566" s="407"/>
      <c r="E566" s="378"/>
      <c r="F566" s="408"/>
      <c r="G566" s="378"/>
      <c r="H566" s="378"/>
      <c r="I566" s="378"/>
      <c r="J566" s="409"/>
      <c r="K566" s="383"/>
      <c r="L566" s="383"/>
      <c r="M566" s="378"/>
      <c r="N566" s="378"/>
      <c r="O566" s="378"/>
      <c r="P566" s="378"/>
      <c r="Q566" s="378"/>
      <c r="R566" s="548"/>
      <c r="S566" s="378"/>
      <c r="T566" s="410"/>
      <c r="U566" s="410"/>
      <c r="V566" s="378"/>
      <c r="W566" s="390"/>
      <c r="X566" s="390"/>
      <c r="Y566" s="390"/>
      <c r="Z566" s="390"/>
      <c r="AA566" s="390"/>
      <c r="AB566" s="390"/>
      <c r="AC566" s="390"/>
      <c r="AD566" s="390"/>
    </row>
    <row r="567" spans="1:30" ht="15.75" x14ac:dyDescent="0.25">
      <c r="A567" s="412" t="s">
        <v>345</v>
      </c>
      <c r="B567" s="403"/>
      <c r="C567" s="403"/>
      <c r="D567" s="403"/>
      <c r="E567" s="403"/>
      <c r="F567" s="413"/>
      <c r="G567" s="403"/>
      <c r="H567" s="403"/>
      <c r="I567" s="403"/>
      <c r="J567" s="392" t="s">
        <v>16</v>
      </c>
      <c r="K567" s="394">
        <f>SUM(K568:K569)</f>
        <v>0</v>
      </c>
      <c r="L567" s="394">
        <f>SUM(L568:L569)</f>
        <v>0</v>
      </c>
      <c r="M567" s="390"/>
      <c r="N567" s="390"/>
      <c r="O567" s="390"/>
      <c r="P567" s="390"/>
      <c r="Q567" s="390"/>
      <c r="R567" s="545"/>
      <c r="S567" s="390"/>
      <c r="T567" s="390"/>
      <c r="U567" s="390"/>
      <c r="V567" s="390"/>
      <c r="W567" s="390"/>
      <c r="X567" s="390"/>
      <c r="Y567" s="390"/>
      <c r="Z567" s="390"/>
      <c r="AA567" s="390"/>
      <c r="AB567" s="390"/>
      <c r="AC567" s="390"/>
      <c r="AD567" s="390"/>
    </row>
    <row r="568" spans="1:30" x14ac:dyDescent="0.2">
      <c r="A568" s="414"/>
      <c r="B568" s="390"/>
      <c r="C568" s="390"/>
      <c r="D568" s="378"/>
      <c r="E568" s="378"/>
      <c r="F568" s="408"/>
      <c r="G568" s="378"/>
      <c r="H568" s="378"/>
      <c r="I568" s="378"/>
      <c r="J568" s="409"/>
      <c r="K568" s="383"/>
      <c r="L568" s="383"/>
      <c r="M568" s="378"/>
      <c r="N568" s="378"/>
      <c r="O568" s="378"/>
      <c r="P568" s="378"/>
      <c r="Q568" s="378"/>
      <c r="R568" s="548"/>
      <c r="S568" s="378"/>
      <c r="T568" s="410"/>
      <c r="U568" s="378"/>
      <c r="V568" s="390"/>
      <c r="W568" s="390"/>
      <c r="X568" s="390"/>
      <c r="Y568" s="390"/>
      <c r="Z568" s="390"/>
      <c r="AA568" s="390"/>
      <c r="AB568" s="390"/>
      <c r="AC568" s="390"/>
      <c r="AD568" s="390"/>
    </row>
    <row r="569" spans="1:30" s="549" customFormat="1" x14ac:dyDescent="0.2">
      <c r="A569" s="415"/>
      <c r="B569" s="378"/>
      <c r="C569" s="378"/>
      <c r="D569" s="378"/>
      <c r="E569" s="378"/>
      <c r="F569" s="408"/>
      <c r="G569" s="378"/>
      <c r="H569" s="378"/>
      <c r="I569" s="378"/>
      <c r="J569" s="409"/>
      <c r="K569" s="383"/>
      <c r="L569" s="383"/>
      <c r="M569" s="378"/>
      <c r="N569" s="378"/>
      <c r="O569" s="378"/>
      <c r="P569" s="378"/>
      <c r="Q569" s="378"/>
      <c r="R569" s="548"/>
      <c r="S569" s="378"/>
      <c r="T569" s="410"/>
      <c r="U569" s="378"/>
      <c r="V569" s="378"/>
      <c r="W569" s="378"/>
      <c r="X569" s="378"/>
      <c r="Y569" s="378"/>
      <c r="Z569" s="378"/>
      <c r="AA569" s="378"/>
      <c r="AB569" s="378"/>
      <c r="AC569" s="378"/>
      <c r="AD569" s="378"/>
    </row>
  </sheetData>
  <mergeCells count="23">
    <mergeCell ref="A2:E2"/>
    <mergeCell ref="A3:E3"/>
    <mergeCell ref="J6:J7"/>
    <mergeCell ref="AB6:AD6"/>
    <mergeCell ref="A5:R5"/>
    <mergeCell ref="G6:I6"/>
    <mergeCell ref="S5:U5"/>
    <mergeCell ref="Y6:AA6"/>
    <mergeCell ref="P6:P7"/>
    <mergeCell ref="A6:A7"/>
    <mergeCell ref="B6:B7"/>
    <mergeCell ref="C6:C7"/>
    <mergeCell ref="E6:E7"/>
    <mergeCell ref="F6:F7"/>
    <mergeCell ref="V5:AD5"/>
    <mergeCell ref="K6:L6"/>
    <mergeCell ref="R6:R7"/>
    <mergeCell ref="V6:X6"/>
    <mergeCell ref="M6:O6"/>
    <mergeCell ref="S6:S7"/>
    <mergeCell ref="T6:T7"/>
    <mergeCell ref="U6:U7"/>
    <mergeCell ref="Q6:Q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113"/>
  <sheetViews>
    <sheetView zoomScale="60" zoomScaleNormal="60" workbookViewId="0">
      <pane ySplit="7" topLeftCell="A41" activePane="bottomLeft" state="frozen"/>
      <selection pane="bottomLeft" activeCell="K72" sqref="K72"/>
    </sheetView>
  </sheetViews>
  <sheetFormatPr defaultColWidth="9" defaultRowHeight="15" x14ac:dyDescent="0.25"/>
  <cols>
    <col min="1" max="1" width="16.7109375" customWidth="1"/>
    <col min="2" max="2" width="9" hidden="1" customWidth="1"/>
    <col min="3" max="3" width="13.85546875" hidden="1" customWidth="1"/>
    <col min="4" max="4" width="0.140625" customWidth="1"/>
    <col min="5" max="5" width="31.28515625" hidden="1" customWidth="1"/>
    <col min="6" max="6" width="5.42578125" customWidth="1"/>
    <col min="7" max="7" width="23" customWidth="1"/>
    <col min="8" max="8" width="23.7109375" customWidth="1"/>
    <col min="9" max="9" width="15.28515625" bestFit="1" customWidth="1"/>
    <col min="10" max="10" width="18.7109375" customWidth="1"/>
    <col min="11" max="11" width="11.7109375" customWidth="1"/>
    <col min="12" max="12" width="12.7109375" customWidth="1"/>
    <col min="13" max="13" width="37.7109375" customWidth="1"/>
    <col min="14" max="14" width="31.7109375" customWidth="1"/>
    <col min="15" max="15" width="28.42578125" customWidth="1"/>
    <col min="16" max="16" width="18.85546875" customWidth="1"/>
    <col min="17" max="17" width="17.140625" customWidth="1"/>
    <col min="18" max="18" width="14.42578125" style="441" customWidth="1"/>
    <col min="19" max="19" width="31.5703125" bestFit="1" customWidth="1"/>
    <col min="20" max="20" width="15.28515625" customWidth="1"/>
    <col min="21" max="21" width="15.42578125" customWidth="1"/>
    <col min="22" max="22" width="13.7109375" customWidth="1"/>
    <col min="23" max="23" width="11.140625" customWidth="1"/>
    <col min="24" max="24" width="10.7109375" customWidth="1"/>
    <col min="25" max="25" width="13" customWidth="1"/>
    <col min="26" max="30" width="9.140625" customWidth="1"/>
    <col min="31" max="256" width="8.7109375" customWidth="1"/>
  </cols>
  <sheetData>
    <row r="1" spans="1:30" ht="15.75" x14ac:dyDescent="0.25">
      <c r="J1" s="268"/>
      <c r="K1" s="269" t="s">
        <v>304</v>
      </c>
      <c r="L1" s="269" t="s">
        <v>305</v>
      </c>
      <c r="M1" s="269" t="s">
        <v>21</v>
      </c>
    </row>
    <row r="2" spans="1:30" ht="15.75" x14ac:dyDescent="0.25">
      <c r="A2" s="839" t="s">
        <v>306</v>
      </c>
      <c r="B2" s="839"/>
      <c r="C2" s="839"/>
      <c r="D2" s="839"/>
      <c r="E2" s="839"/>
      <c r="F2" s="270"/>
      <c r="G2" s="270"/>
      <c r="H2" s="270"/>
      <c r="I2" s="270"/>
      <c r="J2" s="271" t="s">
        <v>307</v>
      </c>
      <c r="K2" s="272">
        <f>K62</f>
        <v>0</v>
      </c>
      <c r="L2" s="272">
        <f>L62</f>
        <v>0</v>
      </c>
      <c r="M2" s="271">
        <f>SUM(K2:L2)</f>
        <v>0</v>
      </c>
      <c r="N2" s="270"/>
      <c r="O2" s="270"/>
      <c r="P2" s="270"/>
      <c r="Q2" s="270"/>
      <c r="R2" s="273"/>
      <c r="S2" s="270"/>
      <c r="T2" s="373"/>
      <c r="U2" s="270"/>
      <c r="V2" s="270"/>
      <c r="W2" s="270"/>
      <c r="X2" s="270"/>
      <c r="Y2" s="270"/>
      <c r="Z2" s="270"/>
      <c r="AA2" s="270"/>
      <c r="AB2" s="270"/>
      <c r="AC2" s="270"/>
      <c r="AD2" s="270"/>
    </row>
    <row r="3" spans="1:30" ht="15.75" x14ac:dyDescent="0.25">
      <c r="A3" s="839" t="s">
        <v>308</v>
      </c>
      <c r="B3" s="839"/>
      <c r="C3" s="839"/>
      <c r="D3" s="839"/>
      <c r="E3" s="839"/>
      <c r="F3" s="270"/>
      <c r="G3" s="274"/>
      <c r="H3" s="270"/>
      <c r="I3" s="270"/>
      <c r="J3" s="271" t="s">
        <v>309</v>
      </c>
      <c r="K3" s="272"/>
      <c r="L3" s="272"/>
      <c r="M3" s="271">
        <f>SUM(K3:L3)</f>
        <v>0</v>
      </c>
      <c r="N3" s="270"/>
      <c r="O3" s="270"/>
      <c r="P3" s="270"/>
      <c r="Q3" s="270"/>
      <c r="R3" s="273"/>
      <c r="S3" s="270"/>
      <c r="T3" s="373"/>
      <c r="U3" s="270"/>
      <c r="V3" s="270"/>
      <c r="W3" s="270"/>
      <c r="X3" s="270"/>
      <c r="Y3" s="270"/>
      <c r="Z3" s="270"/>
      <c r="AA3" s="270"/>
      <c r="AB3" s="270"/>
      <c r="AC3" s="270"/>
      <c r="AD3" s="270"/>
    </row>
    <row r="4" spans="1:30" ht="15.75" x14ac:dyDescent="0.25">
      <c r="A4" s="275"/>
      <c r="B4" s="275"/>
      <c r="C4" s="275" t="s">
        <v>310</v>
      </c>
      <c r="D4" s="275"/>
      <c r="E4" s="275"/>
      <c r="F4" s="270"/>
      <c r="G4" s="274"/>
      <c r="H4" s="274"/>
      <c r="I4" s="270"/>
      <c r="J4" s="276"/>
      <c r="K4" s="277"/>
      <c r="L4" s="277"/>
      <c r="M4" s="271">
        <f>SUM(M2:M3)</f>
        <v>0</v>
      </c>
      <c r="N4" s="270"/>
      <c r="O4" s="270"/>
      <c r="P4" s="270"/>
      <c r="Q4" s="270"/>
      <c r="R4" s="273"/>
      <c r="S4" s="270"/>
      <c r="T4" s="373"/>
      <c r="U4" s="270"/>
      <c r="V4" s="270"/>
      <c r="W4" s="270"/>
      <c r="X4" s="270"/>
      <c r="Y4" s="270"/>
      <c r="Z4" s="270"/>
      <c r="AA4" s="270"/>
      <c r="AB4" s="270"/>
      <c r="AC4" s="270"/>
      <c r="AD4" s="270"/>
    </row>
    <row r="5" spans="1:30" ht="15.75" x14ac:dyDescent="0.25">
      <c r="A5" s="840" t="s">
        <v>311</v>
      </c>
      <c r="B5" s="840"/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30" t="s">
        <v>312</v>
      </c>
      <c r="T5" s="831"/>
      <c r="U5" s="830"/>
      <c r="V5" s="826" t="s">
        <v>313</v>
      </c>
      <c r="W5" s="826"/>
      <c r="X5" s="826"/>
      <c r="Y5" s="826"/>
      <c r="Z5" s="826"/>
      <c r="AA5" s="826"/>
      <c r="AB5" s="826"/>
      <c r="AC5" s="826"/>
      <c r="AD5" s="826"/>
    </row>
    <row r="6" spans="1:30" ht="33" customHeight="1" x14ac:dyDescent="0.25">
      <c r="A6" s="827" t="s">
        <v>314</v>
      </c>
      <c r="B6" s="827" t="s">
        <v>315</v>
      </c>
      <c r="C6" s="827" t="s">
        <v>316</v>
      </c>
      <c r="D6" s="278" t="s">
        <v>317</v>
      </c>
      <c r="E6" s="827" t="s">
        <v>318</v>
      </c>
      <c r="F6" s="828"/>
      <c r="G6" s="827" t="s">
        <v>319</v>
      </c>
      <c r="H6" s="827"/>
      <c r="I6" s="827"/>
      <c r="J6" s="827" t="s">
        <v>320</v>
      </c>
      <c r="K6" s="827" t="s">
        <v>321</v>
      </c>
      <c r="L6" s="827"/>
      <c r="M6" s="832" t="s">
        <v>322</v>
      </c>
      <c r="N6" s="833"/>
      <c r="O6" s="834"/>
      <c r="P6" s="827" t="s">
        <v>323</v>
      </c>
      <c r="Q6" s="827" t="s">
        <v>324</v>
      </c>
      <c r="R6" s="817" t="s">
        <v>383</v>
      </c>
      <c r="S6" s="818" t="s">
        <v>326</v>
      </c>
      <c r="T6" s="837" t="s">
        <v>385</v>
      </c>
      <c r="U6" s="836" t="s">
        <v>328</v>
      </c>
      <c r="V6" s="829" t="s">
        <v>329</v>
      </c>
      <c r="W6" s="829"/>
      <c r="X6" s="829"/>
      <c r="Y6" s="829" t="s">
        <v>330</v>
      </c>
      <c r="Z6" s="829"/>
      <c r="AA6" s="829"/>
      <c r="AB6" s="829" t="s">
        <v>331</v>
      </c>
      <c r="AC6" s="829"/>
      <c r="AD6" s="829"/>
    </row>
    <row r="7" spans="1:30" ht="36" customHeight="1" x14ac:dyDescent="0.25">
      <c r="A7" s="827"/>
      <c r="B7" s="827"/>
      <c r="C7" s="827"/>
      <c r="D7" s="278" t="s">
        <v>332</v>
      </c>
      <c r="E7" s="827"/>
      <c r="F7" s="828"/>
      <c r="G7" s="278" t="s">
        <v>333</v>
      </c>
      <c r="H7" s="278" t="s">
        <v>334</v>
      </c>
      <c r="I7" s="278" t="s">
        <v>335</v>
      </c>
      <c r="J7" s="827"/>
      <c r="K7" s="279" t="s">
        <v>336</v>
      </c>
      <c r="L7" s="279" t="s">
        <v>337</v>
      </c>
      <c r="M7" s="278" t="s">
        <v>338</v>
      </c>
      <c r="N7" s="278" t="s">
        <v>339</v>
      </c>
      <c r="O7" s="278" t="s">
        <v>340</v>
      </c>
      <c r="P7" s="827"/>
      <c r="Q7" s="827"/>
      <c r="R7" s="835"/>
      <c r="S7" s="818"/>
      <c r="T7" s="838"/>
      <c r="U7" s="836"/>
      <c r="V7" s="280" t="s">
        <v>341</v>
      </c>
      <c r="W7" s="281" t="s">
        <v>342</v>
      </c>
      <c r="X7" s="281" t="s">
        <v>343</v>
      </c>
      <c r="Y7" s="280" t="s">
        <v>341</v>
      </c>
      <c r="Z7" s="281" t="s">
        <v>342</v>
      </c>
      <c r="AA7" s="281" t="s">
        <v>343</v>
      </c>
      <c r="AB7" s="280" t="s">
        <v>341</v>
      </c>
      <c r="AC7" s="281" t="s">
        <v>342</v>
      </c>
      <c r="AD7" s="281" t="s">
        <v>343</v>
      </c>
    </row>
    <row r="8" spans="1:30" x14ac:dyDescent="0.2">
      <c r="A8" s="270"/>
      <c r="B8" s="270"/>
      <c r="C8" s="270"/>
      <c r="D8" s="270"/>
      <c r="E8" s="270"/>
      <c r="F8" s="282"/>
      <c r="G8" s="270"/>
      <c r="H8" s="270"/>
      <c r="I8" s="270"/>
      <c r="J8" s="270"/>
      <c r="K8" s="283"/>
      <c r="L8" s="283"/>
      <c r="M8" s="270"/>
      <c r="N8" s="270"/>
      <c r="O8" s="270"/>
      <c r="P8" s="270"/>
      <c r="Q8" s="270"/>
      <c r="R8" s="273"/>
      <c r="S8" s="270"/>
      <c r="T8" s="373"/>
      <c r="U8" s="270"/>
      <c r="V8" s="270"/>
      <c r="W8" s="270"/>
      <c r="X8" s="270"/>
      <c r="Y8" s="270"/>
      <c r="Z8" s="270"/>
      <c r="AA8" s="270"/>
      <c r="AB8" s="270"/>
      <c r="AC8" s="270"/>
      <c r="AD8" s="270"/>
    </row>
    <row r="9" spans="1:30" x14ac:dyDescent="0.2">
      <c r="A9" s="270"/>
      <c r="B9" s="270"/>
      <c r="C9" s="270"/>
      <c r="D9" s="270"/>
      <c r="E9" s="270"/>
      <c r="F9" s="282"/>
      <c r="G9" s="270"/>
      <c r="H9" s="270"/>
      <c r="I9" s="270"/>
      <c r="J9" s="270"/>
      <c r="K9" s="283"/>
      <c r="L9" s="283"/>
      <c r="M9" s="270"/>
      <c r="N9" s="270"/>
      <c r="O9" s="270"/>
      <c r="P9" s="270"/>
      <c r="Q9" s="270"/>
      <c r="R9" s="273"/>
      <c r="S9" s="270"/>
      <c r="T9" s="373"/>
      <c r="U9" s="270"/>
      <c r="V9" s="270"/>
      <c r="W9" s="270"/>
      <c r="X9" s="270"/>
      <c r="Y9" s="270"/>
      <c r="Z9" s="270"/>
      <c r="AA9" s="270"/>
      <c r="AB9" s="270"/>
      <c r="AC9" s="270"/>
      <c r="AD9" s="270"/>
    </row>
    <row r="10" spans="1:30" s="284" customFormat="1" ht="15.75" x14ac:dyDescent="0.25">
      <c r="A10" s="285" t="s">
        <v>281</v>
      </c>
      <c r="B10" s="286"/>
      <c r="C10" s="286"/>
      <c r="D10" s="286"/>
      <c r="E10" s="286"/>
      <c r="F10" s="287"/>
      <c r="G10" s="286"/>
      <c r="H10" s="286"/>
      <c r="I10" s="286"/>
      <c r="J10" s="286"/>
      <c r="K10" s="288"/>
      <c r="L10" s="288"/>
      <c r="M10" s="286"/>
      <c r="N10" s="286"/>
      <c r="O10" s="286"/>
      <c r="P10" s="286"/>
      <c r="Q10" s="286"/>
      <c r="R10" s="289"/>
      <c r="S10" s="286"/>
      <c r="T10" s="374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</row>
    <row r="11" spans="1:30" ht="15.75" x14ac:dyDescent="0.25">
      <c r="A11" s="290" t="s">
        <v>344</v>
      </c>
      <c r="B11" s="291"/>
      <c r="C11" s="291"/>
      <c r="D11" s="291"/>
      <c r="E11" s="291"/>
      <c r="F11" s="292"/>
      <c r="G11" s="291"/>
      <c r="H11" s="291"/>
      <c r="I11" s="291"/>
      <c r="J11" s="272" t="s">
        <v>16</v>
      </c>
      <c r="K11" s="277"/>
      <c r="L11" s="277"/>
      <c r="M11" s="270"/>
      <c r="N11" s="270"/>
      <c r="O11" s="270"/>
      <c r="P11" s="270"/>
      <c r="Q11" s="270"/>
      <c r="R11" s="273"/>
      <c r="S11" s="270"/>
      <c r="T11" s="373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</row>
    <row r="12" spans="1:30" s="562" customFormat="1" ht="15.75" x14ac:dyDescent="0.25">
      <c r="A12" s="557"/>
      <c r="B12" s="556"/>
      <c r="C12" s="556"/>
      <c r="D12" s="556"/>
      <c r="E12" s="556"/>
      <c r="F12" s="555"/>
      <c r="G12" s="556"/>
      <c r="H12" s="556"/>
      <c r="I12" s="556"/>
      <c r="J12" s="559"/>
      <c r="K12" s="560"/>
      <c r="L12" s="560"/>
      <c r="M12" s="556"/>
      <c r="N12" s="556"/>
      <c r="O12" s="556"/>
      <c r="P12" s="556"/>
      <c r="Q12" s="556"/>
      <c r="R12" s="561"/>
      <c r="S12" s="556"/>
      <c r="T12" s="597"/>
      <c r="U12" s="556"/>
      <c r="V12" s="598"/>
      <c r="W12" s="556"/>
      <c r="X12" s="556"/>
      <c r="Y12" s="556"/>
      <c r="Z12" s="556"/>
      <c r="AA12" s="556"/>
      <c r="AB12" s="556"/>
      <c r="AC12" s="556"/>
      <c r="AD12" s="556"/>
    </row>
    <row r="13" spans="1:30" s="562" customFormat="1" ht="15.75" x14ac:dyDescent="0.25">
      <c r="A13" s="557"/>
      <c r="B13" s="556"/>
      <c r="C13" s="556"/>
      <c r="D13" s="556"/>
      <c r="E13" s="556"/>
      <c r="F13" s="555"/>
      <c r="G13" s="556"/>
      <c r="H13" s="556"/>
      <c r="I13" s="556"/>
      <c r="J13" s="559"/>
      <c r="K13" s="560"/>
      <c r="L13" s="560"/>
      <c r="M13" s="556"/>
      <c r="N13" s="556"/>
      <c r="O13" s="556"/>
      <c r="P13" s="556"/>
      <c r="Q13" s="556"/>
      <c r="R13" s="561"/>
      <c r="S13" s="556"/>
      <c r="T13" s="597"/>
      <c r="U13" s="556"/>
      <c r="V13" s="598"/>
      <c r="W13" s="556"/>
      <c r="X13" s="556"/>
      <c r="Y13" s="556"/>
      <c r="Z13" s="556"/>
      <c r="AA13" s="556"/>
      <c r="AB13" s="556"/>
      <c r="AC13" s="556"/>
      <c r="AD13" s="556"/>
    </row>
    <row r="14" spans="1:30" s="562" customFormat="1" ht="15.75" x14ac:dyDescent="0.25">
      <c r="A14" s="557"/>
      <c r="B14" s="556"/>
      <c r="C14" s="556"/>
      <c r="D14" s="556"/>
      <c r="E14" s="556"/>
      <c r="F14" s="555"/>
      <c r="G14" s="556"/>
      <c r="H14" s="556"/>
      <c r="I14" s="556"/>
      <c r="J14" s="559"/>
      <c r="K14" s="560"/>
      <c r="L14" s="560"/>
      <c r="M14" s="556"/>
      <c r="N14" s="556"/>
      <c r="O14" s="556"/>
      <c r="P14" s="556"/>
      <c r="Q14" s="556"/>
      <c r="R14" s="561"/>
      <c r="S14" s="556"/>
      <c r="T14" s="597"/>
      <c r="U14" s="556"/>
      <c r="V14" s="598"/>
      <c r="W14" s="556"/>
      <c r="X14" s="556"/>
      <c r="Y14" s="556"/>
      <c r="Z14" s="556"/>
      <c r="AA14" s="556"/>
      <c r="AB14" s="556"/>
      <c r="AC14" s="556"/>
      <c r="AD14" s="556"/>
    </row>
    <row r="15" spans="1:30" x14ac:dyDescent="0.2">
      <c r="A15" s="293"/>
      <c r="B15" s="270"/>
      <c r="C15" s="270"/>
      <c r="D15" s="294"/>
      <c r="E15" s="295"/>
      <c r="F15" s="296"/>
      <c r="G15" s="295"/>
      <c r="H15" s="295"/>
      <c r="I15" s="295"/>
      <c r="J15" s="297"/>
      <c r="K15" s="298"/>
      <c r="L15" s="298"/>
      <c r="M15" s="295"/>
      <c r="N15" s="295"/>
      <c r="O15" s="295"/>
      <c r="P15" s="295"/>
      <c r="Q15" s="295"/>
      <c r="R15" s="299"/>
      <c r="S15" s="295"/>
      <c r="T15" s="375"/>
      <c r="U15" s="300"/>
      <c r="V15" s="301"/>
      <c r="W15" s="270"/>
      <c r="X15" s="270"/>
      <c r="Y15" s="270"/>
      <c r="Z15" s="270"/>
      <c r="AA15" s="270"/>
      <c r="AB15" s="270"/>
      <c r="AC15" s="270"/>
      <c r="AD15" s="270"/>
    </row>
    <row r="16" spans="1:30" ht="15.75" x14ac:dyDescent="0.25">
      <c r="A16" s="302" t="s">
        <v>345</v>
      </c>
      <c r="B16" s="290"/>
      <c r="C16" s="290"/>
      <c r="D16" s="290"/>
      <c r="E16" s="290"/>
      <c r="F16" s="303"/>
      <c r="G16" s="290"/>
      <c r="H16" s="290"/>
      <c r="I16" s="290"/>
      <c r="J16" s="272" t="s">
        <v>16</v>
      </c>
      <c r="K16" s="277">
        <f>SUM(K17:K18)</f>
        <v>0</v>
      </c>
      <c r="L16" s="277">
        <f>SUM(L17:L18)</f>
        <v>0</v>
      </c>
      <c r="M16" s="270"/>
      <c r="N16" s="270"/>
      <c r="O16" s="270"/>
      <c r="P16" s="270"/>
      <c r="Q16" s="270"/>
      <c r="R16" s="273"/>
      <c r="S16" s="270"/>
      <c r="T16" s="373"/>
      <c r="U16" s="270"/>
      <c r="V16" s="270"/>
      <c r="W16" s="270"/>
      <c r="X16" s="270"/>
      <c r="Y16" s="270"/>
      <c r="Z16" s="270"/>
      <c r="AA16" s="270"/>
      <c r="AB16" s="270"/>
      <c r="AC16" s="270"/>
      <c r="AD16" s="270"/>
    </row>
    <row r="17" spans="1:30" x14ac:dyDescent="0.2">
      <c r="A17" s="304"/>
      <c r="B17" s="270"/>
      <c r="C17" s="270"/>
      <c r="D17" s="295"/>
      <c r="E17" s="295"/>
      <c r="F17" s="296"/>
      <c r="G17" s="295"/>
      <c r="H17" s="295"/>
      <c r="I17" s="295"/>
      <c r="J17" s="297"/>
      <c r="K17" s="298"/>
      <c r="L17" s="298"/>
      <c r="M17" s="295"/>
      <c r="N17" s="295"/>
      <c r="O17" s="295"/>
      <c r="P17" s="295"/>
      <c r="Q17" s="295"/>
      <c r="R17" s="299"/>
      <c r="S17" s="295"/>
      <c r="T17" s="376"/>
      <c r="U17" s="295"/>
      <c r="V17" s="270"/>
      <c r="W17" s="270"/>
      <c r="X17" s="270"/>
      <c r="Y17" s="270"/>
      <c r="Z17" s="270"/>
      <c r="AA17" s="270"/>
      <c r="AB17" s="270"/>
      <c r="AC17" s="270"/>
      <c r="AD17" s="270"/>
    </row>
    <row r="18" spans="1:30" s="305" customFormat="1" x14ac:dyDescent="0.2">
      <c r="A18" s="306"/>
      <c r="B18" s="295"/>
      <c r="C18" s="295"/>
      <c r="D18" s="295"/>
      <c r="E18" s="295"/>
      <c r="F18" s="296"/>
      <c r="G18" s="295"/>
      <c r="H18" s="295"/>
      <c r="I18" s="295"/>
      <c r="J18" s="297"/>
      <c r="K18" s="298"/>
      <c r="L18" s="298"/>
      <c r="M18" s="295"/>
      <c r="N18" s="295"/>
      <c r="O18" s="295"/>
      <c r="P18" s="295"/>
      <c r="Q18" s="295"/>
      <c r="R18" s="299"/>
      <c r="S18" s="295"/>
      <c r="T18" s="376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</row>
    <row r="19" spans="1:30" s="284" customFormat="1" ht="15.75" x14ac:dyDescent="0.25">
      <c r="A19" s="285" t="s">
        <v>282</v>
      </c>
      <c r="B19" s="286"/>
      <c r="C19" s="286"/>
      <c r="D19" s="286"/>
      <c r="E19" s="286"/>
      <c r="F19" s="287"/>
      <c r="G19" s="286"/>
      <c r="H19" s="286"/>
      <c r="I19" s="286"/>
      <c r="J19" s="286"/>
      <c r="K19" s="288"/>
      <c r="L19" s="288"/>
      <c r="M19" s="286"/>
      <c r="N19" s="286"/>
      <c r="O19" s="286"/>
      <c r="P19" s="286"/>
      <c r="Q19" s="286"/>
      <c r="R19" s="289"/>
      <c r="S19" s="286"/>
      <c r="T19" s="374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</row>
    <row r="20" spans="1:30" ht="15.75" x14ac:dyDescent="0.25">
      <c r="A20" s="290" t="s">
        <v>344</v>
      </c>
      <c r="B20" s="291"/>
      <c r="C20" s="291"/>
      <c r="D20" s="291"/>
      <c r="E20" s="291"/>
      <c r="F20" s="292"/>
      <c r="G20" s="291"/>
      <c r="H20" s="291"/>
      <c r="I20" s="291"/>
      <c r="J20" s="272" t="s">
        <v>16</v>
      </c>
      <c r="K20" s="277"/>
      <c r="L20" s="277" t="e">
        <f>SUM(#REF!)</f>
        <v>#REF!</v>
      </c>
      <c r="M20" s="270"/>
      <c r="N20" s="270"/>
      <c r="O20" s="270"/>
      <c r="P20" s="270"/>
      <c r="Q20" s="270"/>
      <c r="R20" s="273"/>
      <c r="S20" s="270"/>
      <c r="T20" s="373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</row>
    <row r="21" spans="1:30" x14ac:dyDescent="0.2">
      <c r="A21" s="293"/>
      <c r="B21" s="270"/>
      <c r="C21" s="270"/>
      <c r="D21" s="294"/>
      <c r="E21" s="295"/>
      <c r="F21" s="296"/>
      <c r="G21" s="295"/>
      <c r="H21" s="295"/>
      <c r="I21" s="295"/>
      <c r="J21" s="297"/>
      <c r="K21" s="298"/>
      <c r="L21" s="298"/>
      <c r="M21" s="295"/>
      <c r="N21" s="295"/>
      <c r="O21" s="295"/>
      <c r="P21" s="295"/>
      <c r="Q21" s="295"/>
      <c r="R21" s="299"/>
      <c r="S21" s="295"/>
      <c r="T21" s="375"/>
      <c r="U21" s="300"/>
      <c r="V21" s="301"/>
      <c r="W21" s="270"/>
      <c r="X21" s="270"/>
      <c r="Y21" s="270"/>
      <c r="Z21" s="270"/>
      <c r="AA21" s="270"/>
      <c r="AB21" s="270"/>
      <c r="AC21" s="270"/>
      <c r="AD21" s="270"/>
    </row>
    <row r="22" spans="1:30" ht="15.75" x14ac:dyDescent="0.25">
      <c r="A22" s="302" t="s">
        <v>345</v>
      </c>
      <c r="B22" s="290"/>
      <c r="C22" s="290"/>
      <c r="D22" s="290"/>
      <c r="E22" s="290"/>
      <c r="F22" s="303"/>
      <c r="G22" s="290"/>
      <c r="H22" s="290"/>
      <c r="I22" s="290"/>
      <c r="J22" s="272" t="s">
        <v>16</v>
      </c>
      <c r="K22" s="277">
        <f>SUM(K23:K24)</f>
        <v>0</v>
      </c>
      <c r="L22" s="277">
        <f>SUM(L23:L24)</f>
        <v>0</v>
      </c>
      <c r="M22" s="270"/>
      <c r="N22" s="270"/>
      <c r="O22" s="270"/>
      <c r="P22" s="270"/>
      <c r="Q22" s="270"/>
      <c r="R22" s="273"/>
      <c r="S22" s="270"/>
      <c r="T22" s="373"/>
      <c r="U22" s="270"/>
      <c r="V22" s="270"/>
      <c r="W22" s="270"/>
      <c r="X22" s="270"/>
      <c r="Y22" s="270"/>
      <c r="Z22" s="270"/>
      <c r="AA22" s="270"/>
      <c r="AB22" s="270"/>
      <c r="AC22" s="270"/>
      <c r="AD22" s="270"/>
    </row>
    <row r="23" spans="1:30" x14ac:dyDescent="0.2">
      <c r="A23" s="304"/>
      <c r="B23" s="270"/>
      <c r="C23" s="270"/>
      <c r="D23" s="295"/>
      <c r="E23" s="295"/>
      <c r="F23" s="296"/>
      <c r="G23" s="295"/>
      <c r="H23" s="295"/>
      <c r="I23" s="295"/>
      <c r="J23" s="297"/>
      <c r="K23" s="298"/>
      <c r="L23" s="298"/>
      <c r="M23" s="295"/>
      <c r="N23" s="295"/>
      <c r="O23" s="295"/>
      <c r="P23" s="295"/>
      <c r="Q23" s="295"/>
      <c r="R23" s="299"/>
      <c r="S23" s="295"/>
      <c r="T23" s="376"/>
      <c r="U23" s="295"/>
      <c r="V23" s="270"/>
      <c r="W23" s="270"/>
      <c r="X23" s="270"/>
      <c r="Y23" s="270"/>
      <c r="Z23" s="270"/>
      <c r="AA23" s="270"/>
      <c r="AB23" s="270"/>
      <c r="AC23" s="270"/>
      <c r="AD23" s="270"/>
    </row>
    <row r="24" spans="1:30" s="305" customFormat="1" x14ac:dyDescent="0.2">
      <c r="A24" s="306"/>
      <c r="B24" s="295"/>
      <c r="C24" s="295"/>
      <c r="D24" s="295"/>
      <c r="E24" s="295"/>
      <c r="F24" s="296"/>
      <c r="G24" s="295"/>
      <c r="H24" s="295"/>
      <c r="I24" s="295"/>
      <c r="J24" s="297"/>
      <c r="K24" s="298"/>
      <c r="L24" s="298"/>
      <c r="M24" s="295"/>
      <c r="N24" s="295"/>
      <c r="O24" s="295"/>
      <c r="P24" s="295"/>
      <c r="Q24" s="295"/>
      <c r="R24" s="299"/>
      <c r="S24" s="295"/>
      <c r="T24" s="376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</row>
    <row r="25" spans="1:30" s="284" customFormat="1" ht="15.75" x14ac:dyDescent="0.25">
      <c r="A25" s="285" t="s">
        <v>283</v>
      </c>
      <c r="B25" s="286"/>
      <c r="C25" s="286"/>
      <c r="D25" s="286"/>
      <c r="E25" s="286"/>
      <c r="F25" s="287"/>
      <c r="G25" s="286"/>
      <c r="H25" s="286"/>
      <c r="I25" s="286"/>
      <c r="J25" s="286"/>
      <c r="K25" s="288"/>
      <c r="L25" s="288"/>
      <c r="M25" s="286"/>
      <c r="N25" s="286"/>
      <c r="O25" s="286"/>
      <c r="P25" s="286"/>
      <c r="Q25" s="286"/>
      <c r="R25" s="289"/>
      <c r="S25" s="286"/>
      <c r="T25" s="374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</row>
    <row r="26" spans="1:30" ht="15.75" x14ac:dyDescent="0.25">
      <c r="A26" s="290" t="s">
        <v>344</v>
      </c>
      <c r="B26" s="291"/>
      <c r="C26" s="291"/>
      <c r="D26" s="291"/>
      <c r="E26" s="291"/>
      <c r="F26" s="292"/>
      <c r="G26" s="291"/>
      <c r="H26" s="291"/>
      <c r="I26" s="291"/>
      <c r="J26" s="272" t="s">
        <v>16</v>
      </c>
      <c r="K26" s="277">
        <v>0</v>
      </c>
      <c r="L26" s="277" t="e">
        <f>SUM(#REF!)</f>
        <v>#REF!</v>
      </c>
      <c r="M26" s="270"/>
      <c r="N26" s="270"/>
      <c r="O26" s="270"/>
      <c r="P26" s="270"/>
      <c r="Q26" s="270"/>
      <c r="R26" s="273"/>
      <c r="S26" s="270"/>
      <c r="T26" s="373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</row>
    <row r="27" spans="1:30" s="305" customFormat="1" ht="15.75" x14ac:dyDescent="0.2">
      <c r="A27" s="307"/>
      <c r="B27" s="295"/>
      <c r="C27" s="295"/>
      <c r="D27" s="295"/>
      <c r="E27" s="295"/>
      <c r="F27" s="296"/>
      <c r="G27" s="308"/>
      <c r="H27" s="308"/>
      <c r="I27" s="308"/>
      <c r="J27" s="309"/>
      <c r="K27" s="310"/>
      <c r="L27" s="311"/>
      <c r="M27" s="308"/>
      <c r="N27" s="308"/>
      <c r="O27" s="308"/>
      <c r="P27" s="308"/>
      <c r="Q27" s="308"/>
      <c r="R27" s="299"/>
      <c r="S27" s="308"/>
      <c r="T27" s="377"/>
      <c r="U27" s="300"/>
      <c r="V27" s="301"/>
      <c r="W27" s="295"/>
      <c r="X27" s="295"/>
      <c r="Y27" s="295"/>
      <c r="Z27" s="295"/>
      <c r="AA27" s="295"/>
      <c r="AB27" s="295"/>
      <c r="AC27" s="295"/>
      <c r="AD27" s="295"/>
    </row>
    <row r="28" spans="1:30" ht="15.75" x14ac:dyDescent="0.25">
      <c r="A28" s="302" t="s">
        <v>345</v>
      </c>
      <c r="B28" s="290"/>
      <c r="C28" s="290"/>
      <c r="D28" s="290"/>
      <c r="E28" s="290"/>
      <c r="F28" s="303"/>
      <c r="G28" s="290"/>
      <c r="H28" s="290"/>
      <c r="I28" s="290"/>
      <c r="J28" s="272" t="s">
        <v>16</v>
      </c>
      <c r="K28" s="277">
        <f>SUM(K29:K29)</f>
        <v>0</v>
      </c>
      <c r="L28" s="277">
        <f>SUM(L29:L29)</f>
        <v>0</v>
      </c>
      <c r="M28" s="270"/>
      <c r="N28" s="270"/>
      <c r="O28" s="270"/>
      <c r="P28" s="270"/>
      <c r="Q28" s="270"/>
      <c r="R28" s="273"/>
      <c r="S28" s="270"/>
      <c r="T28" s="373"/>
      <c r="U28" s="270"/>
      <c r="V28" s="270"/>
      <c r="W28" s="270"/>
      <c r="X28" s="270"/>
      <c r="Y28" s="270"/>
      <c r="Z28" s="270"/>
      <c r="AA28" s="270"/>
      <c r="AB28" s="270"/>
      <c r="AC28" s="270"/>
      <c r="AD28" s="270"/>
    </row>
    <row r="29" spans="1:30" x14ac:dyDescent="0.2">
      <c r="A29" s="304"/>
      <c r="B29" s="270"/>
      <c r="C29" s="270"/>
      <c r="D29" s="295"/>
      <c r="E29" s="295"/>
      <c r="F29" s="296"/>
      <c r="G29" s="295"/>
      <c r="H29" s="295"/>
      <c r="I29" s="295"/>
      <c r="J29" s="297"/>
      <c r="K29" s="298"/>
      <c r="L29" s="298"/>
      <c r="M29" s="295"/>
      <c r="N29" s="295"/>
      <c r="O29" s="295"/>
      <c r="P29" s="295"/>
      <c r="Q29" s="295"/>
      <c r="R29" s="299"/>
      <c r="S29" s="295"/>
      <c r="T29" s="376"/>
      <c r="U29" s="295"/>
      <c r="V29" s="270"/>
      <c r="W29" s="270"/>
      <c r="X29" s="270"/>
      <c r="Y29" s="270"/>
      <c r="Z29" s="270"/>
      <c r="AA29" s="270"/>
      <c r="AB29" s="270"/>
      <c r="AC29" s="270"/>
      <c r="AD29" s="270"/>
    </row>
    <row r="30" spans="1:30" s="284" customFormat="1" ht="15.75" x14ac:dyDescent="0.25">
      <c r="A30" s="285" t="s">
        <v>284</v>
      </c>
      <c r="B30" s="286"/>
      <c r="C30" s="286"/>
      <c r="D30" s="286"/>
      <c r="E30" s="286"/>
      <c r="F30" s="287"/>
      <c r="G30" s="286"/>
      <c r="H30" s="286"/>
      <c r="I30" s="286"/>
      <c r="J30" s="286"/>
      <c r="K30" s="288"/>
      <c r="L30" s="288"/>
      <c r="M30" s="286"/>
      <c r="N30" s="286"/>
      <c r="O30" s="286"/>
      <c r="P30" s="286"/>
      <c r="Q30" s="286"/>
      <c r="R30" s="289"/>
      <c r="S30" s="286"/>
      <c r="T30" s="374"/>
      <c r="U30" s="286"/>
      <c r="V30" s="286"/>
      <c r="W30" s="286"/>
      <c r="X30" s="286"/>
      <c r="Y30" s="286"/>
      <c r="Z30" s="286"/>
      <c r="AA30" s="286"/>
      <c r="AB30" s="286"/>
      <c r="AC30" s="286"/>
      <c r="AD30" s="286"/>
    </row>
    <row r="31" spans="1:30" ht="15.75" x14ac:dyDescent="0.25">
      <c r="A31" s="290" t="s">
        <v>344</v>
      </c>
      <c r="B31" s="291"/>
      <c r="C31" s="291"/>
      <c r="D31" s="291"/>
      <c r="E31" s="291"/>
      <c r="F31" s="292"/>
      <c r="G31" s="291"/>
      <c r="H31" s="291"/>
      <c r="I31" s="291"/>
      <c r="J31" s="272" t="s">
        <v>16</v>
      </c>
      <c r="K31" s="277">
        <f>SUM(K32:K32)</f>
        <v>0</v>
      </c>
      <c r="L31" s="277">
        <f>SUM(L32:L32)</f>
        <v>0</v>
      </c>
      <c r="M31" s="270"/>
      <c r="N31" s="270"/>
      <c r="O31" s="270"/>
      <c r="P31" s="270"/>
      <c r="Q31" s="270"/>
      <c r="R31" s="273"/>
      <c r="S31" s="270"/>
      <c r="T31" s="373"/>
      <c r="U31" s="270"/>
      <c r="V31" s="270"/>
      <c r="W31" s="270"/>
      <c r="X31" s="270"/>
      <c r="Y31" s="270"/>
      <c r="Z31" s="270"/>
      <c r="AA31" s="270"/>
      <c r="AB31" s="270"/>
      <c r="AC31" s="270"/>
      <c r="AD31" s="270"/>
    </row>
    <row r="32" spans="1:30" x14ac:dyDescent="0.2">
      <c r="A32" s="293"/>
      <c r="B32" s="270"/>
      <c r="C32" s="270"/>
      <c r="D32" s="294"/>
      <c r="E32" s="295"/>
      <c r="F32" s="296"/>
      <c r="G32" s="295"/>
      <c r="H32" s="295"/>
      <c r="I32" s="295"/>
      <c r="J32" s="297"/>
      <c r="K32" s="298"/>
      <c r="L32" s="298"/>
      <c r="M32" s="295"/>
      <c r="N32" s="295"/>
      <c r="O32" s="295"/>
      <c r="P32" s="295"/>
      <c r="Q32" s="295"/>
      <c r="R32" s="299"/>
      <c r="S32" s="295"/>
      <c r="T32" s="375"/>
      <c r="U32" s="300"/>
      <c r="V32" s="301"/>
      <c r="W32" s="270"/>
      <c r="X32" s="270"/>
      <c r="Y32" s="270"/>
      <c r="Z32" s="270"/>
      <c r="AA32" s="270"/>
      <c r="AB32" s="270"/>
      <c r="AC32" s="270"/>
      <c r="AD32" s="270"/>
    </row>
    <row r="33" spans="1:30" ht="15.75" x14ac:dyDescent="0.25">
      <c r="A33" s="302" t="s">
        <v>345</v>
      </c>
      <c r="B33" s="290"/>
      <c r="C33" s="290"/>
      <c r="D33" s="290"/>
      <c r="E33" s="290"/>
      <c r="F33" s="303"/>
      <c r="G33" s="290"/>
      <c r="H33" s="290"/>
      <c r="I33" s="290"/>
      <c r="J33" s="272" t="s">
        <v>16</v>
      </c>
      <c r="K33" s="277">
        <f>SUM(K34:K35)</f>
        <v>0</v>
      </c>
      <c r="L33" s="277">
        <f>SUM(L34:L35)</f>
        <v>0</v>
      </c>
      <c r="M33" s="270"/>
      <c r="N33" s="270"/>
      <c r="O33" s="270"/>
      <c r="P33" s="270"/>
      <c r="Q33" s="270"/>
      <c r="R33" s="273"/>
      <c r="S33" s="270"/>
      <c r="T33" s="373"/>
      <c r="U33" s="270"/>
      <c r="V33" s="270"/>
      <c r="W33" s="270"/>
      <c r="X33" s="270"/>
      <c r="Y33" s="270"/>
      <c r="Z33" s="270"/>
      <c r="AA33" s="270"/>
      <c r="AB33" s="270"/>
      <c r="AC33" s="270"/>
      <c r="AD33" s="270"/>
    </row>
    <row r="34" spans="1:30" x14ac:dyDescent="0.2">
      <c r="A34" s="304"/>
      <c r="B34" s="270"/>
      <c r="C34" s="270"/>
      <c r="D34" s="295"/>
      <c r="E34" s="295"/>
      <c r="F34" s="296"/>
      <c r="G34" s="295"/>
      <c r="H34" s="295"/>
      <c r="I34" s="295"/>
      <c r="J34" s="297"/>
      <c r="K34" s="298"/>
      <c r="L34" s="298"/>
      <c r="M34" s="295"/>
      <c r="N34" s="295"/>
      <c r="O34" s="295"/>
      <c r="P34" s="295"/>
      <c r="Q34" s="295"/>
      <c r="R34" s="299"/>
      <c r="S34" s="295"/>
      <c r="T34" s="376"/>
      <c r="U34" s="295"/>
      <c r="V34" s="270"/>
      <c r="W34" s="270"/>
      <c r="X34" s="270"/>
      <c r="Y34" s="270"/>
      <c r="Z34" s="270"/>
      <c r="AA34" s="270"/>
      <c r="AB34" s="270"/>
      <c r="AC34" s="270"/>
      <c r="AD34" s="270"/>
    </row>
    <row r="35" spans="1:30" s="305" customFormat="1" x14ac:dyDescent="0.2">
      <c r="A35" s="306"/>
      <c r="B35" s="295"/>
      <c r="C35" s="295"/>
      <c r="D35" s="295"/>
      <c r="E35" s="295"/>
      <c r="F35" s="296"/>
      <c r="G35" s="295"/>
      <c r="H35" s="295"/>
      <c r="I35" s="295"/>
      <c r="J35" s="297"/>
      <c r="K35" s="298"/>
      <c r="L35" s="298"/>
      <c r="M35" s="295"/>
      <c r="N35" s="295"/>
      <c r="O35" s="295"/>
      <c r="P35" s="295"/>
      <c r="Q35" s="295"/>
      <c r="R35" s="299"/>
      <c r="S35" s="295"/>
      <c r="T35" s="376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</row>
    <row r="36" spans="1:30" s="284" customFormat="1" ht="15.75" x14ac:dyDescent="0.25">
      <c r="A36" s="285" t="s">
        <v>285</v>
      </c>
      <c r="B36" s="286"/>
      <c r="C36" s="286"/>
      <c r="D36" s="286"/>
      <c r="E36" s="286"/>
      <c r="F36" s="287"/>
      <c r="G36" s="286"/>
      <c r="H36" s="286"/>
      <c r="I36" s="286"/>
      <c r="J36" s="286"/>
      <c r="K36" s="288"/>
      <c r="L36" s="288"/>
      <c r="M36" s="286"/>
      <c r="N36" s="286"/>
      <c r="O36" s="286"/>
      <c r="P36" s="286"/>
      <c r="Q36" s="286"/>
      <c r="R36" s="289"/>
      <c r="S36" s="286"/>
      <c r="T36" s="374"/>
      <c r="U36" s="286"/>
      <c r="V36" s="286"/>
      <c r="W36" s="286"/>
      <c r="X36" s="286"/>
      <c r="Y36" s="286"/>
      <c r="Z36" s="286"/>
      <c r="AA36" s="286"/>
      <c r="AB36" s="286"/>
      <c r="AC36" s="286"/>
      <c r="AD36" s="286"/>
    </row>
    <row r="37" spans="1:30" ht="15.75" x14ac:dyDescent="0.25">
      <c r="A37" s="290" t="s">
        <v>344</v>
      </c>
      <c r="B37" s="291"/>
      <c r="C37" s="291"/>
      <c r="D37" s="291"/>
      <c r="E37" s="291"/>
      <c r="F37" s="292"/>
      <c r="G37" s="291"/>
      <c r="H37" s="291"/>
      <c r="I37" s="291"/>
      <c r="J37" s="272" t="s">
        <v>16</v>
      </c>
      <c r="K37" s="277">
        <f>SUM(K38:K38)</f>
        <v>0</v>
      </c>
      <c r="L37" s="277">
        <f>SUM(L38:L38)</f>
        <v>0</v>
      </c>
      <c r="M37" s="270"/>
      <c r="N37" s="270"/>
      <c r="O37" s="270"/>
      <c r="P37" s="270"/>
      <c r="Q37" s="270"/>
      <c r="R37" s="273"/>
      <c r="S37" s="270"/>
      <c r="T37" s="373"/>
      <c r="U37" s="270"/>
      <c r="V37" s="270"/>
      <c r="W37" s="270"/>
      <c r="X37" s="270"/>
      <c r="Y37" s="270"/>
      <c r="Z37" s="270"/>
      <c r="AA37" s="270"/>
      <c r="AB37" s="270"/>
      <c r="AC37" s="270"/>
      <c r="AD37" s="270"/>
    </row>
    <row r="38" spans="1:30" x14ac:dyDescent="0.2">
      <c r="A38" s="293"/>
      <c r="B38" s="270"/>
      <c r="C38" s="270"/>
      <c r="D38" s="294"/>
      <c r="E38" s="295"/>
      <c r="F38" s="296"/>
      <c r="G38" s="295"/>
      <c r="H38" s="295"/>
      <c r="I38" s="295"/>
      <c r="J38" s="297"/>
      <c r="K38" s="298"/>
      <c r="L38" s="298"/>
      <c r="M38" s="295"/>
      <c r="N38" s="295"/>
      <c r="O38" s="295"/>
      <c r="P38" s="295"/>
      <c r="Q38" s="295"/>
      <c r="R38" s="299"/>
      <c r="S38" s="295"/>
      <c r="T38" s="375"/>
      <c r="U38" s="300"/>
      <c r="V38" s="301"/>
      <c r="W38" s="270"/>
      <c r="X38" s="270"/>
      <c r="Y38" s="270"/>
      <c r="Z38" s="270"/>
      <c r="AA38" s="270"/>
      <c r="AB38" s="270"/>
      <c r="AC38" s="270"/>
      <c r="AD38" s="270"/>
    </row>
    <row r="39" spans="1:30" ht="15.75" x14ac:dyDescent="0.25">
      <c r="A39" s="302" t="s">
        <v>345</v>
      </c>
      <c r="B39" s="290"/>
      <c r="C39" s="290"/>
      <c r="D39" s="290"/>
      <c r="E39" s="290"/>
      <c r="F39" s="303"/>
      <c r="G39" s="290"/>
      <c r="H39" s="290"/>
      <c r="I39" s="290"/>
      <c r="J39" s="272" t="s">
        <v>16</v>
      </c>
      <c r="K39" s="277">
        <f>SUM(K40:K41)</f>
        <v>0</v>
      </c>
      <c r="L39" s="277">
        <f>SUM(L40:L41)</f>
        <v>0</v>
      </c>
      <c r="M39" s="270"/>
      <c r="N39" s="270"/>
      <c r="O39" s="270"/>
      <c r="P39" s="270"/>
      <c r="Q39" s="270"/>
      <c r="R39" s="273"/>
      <c r="S39" s="270"/>
      <c r="T39" s="373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</row>
    <row r="40" spans="1:30" x14ac:dyDescent="0.2">
      <c r="A40" s="304"/>
      <c r="B40" s="270"/>
      <c r="C40" s="270"/>
      <c r="D40" s="295"/>
      <c r="E40" s="295"/>
      <c r="F40" s="296"/>
      <c r="G40" s="295"/>
      <c r="H40" s="295"/>
      <c r="I40" s="295"/>
      <c r="J40" s="297"/>
      <c r="K40" s="298"/>
      <c r="L40" s="298"/>
      <c r="M40" s="295"/>
      <c r="N40" s="295"/>
      <c r="O40" s="295"/>
      <c r="P40" s="295"/>
      <c r="Q40" s="295"/>
      <c r="R40" s="299"/>
      <c r="S40" s="295"/>
      <c r="T40" s="376"/>
      <c r="U40" s="295"/>
      <c r="V40" s="270"/>
      <c r="W40" s="270"/>
      <c r="X40" s="270"/>
      <c r="Y40" s="270"/>
      <c r="Z40" s="270"/>
      <c r="AA40" s="270"/>
      <c r="AB40" s="270"/>
      <c r="AC40" s="270"/>
      <c r="AD40" s="270"/>
    </row>
    <row r="41" spans="1:30" s="305" customFormat="1" x14ac:dyDescent="0.2">
      <c r="A41" s="306"/>
      <c r="B41" s="295"/>
      <c r="C41" s="295"/>
      <c r="D41" s="295"/>
      <c r="E41" s="295"/>
      <c r="F41" s="296"/>
      <c r="G41" s="295"/>
      <c r="H41" s="295"/>
      <c r="I41" s="295"/>
      <c r="J41" s="297"/>
      <c r="K41" s="298"/>
      <c r="L41" s="298"/>
      <c r="M41" s="295"/>
      <c r="N41" s="295"/>
      <c r="O41" s="295"/>
      <c r="P41" s="295"/>
      <c r="Q41" s="295"/>
      <c r="R41" s="299"/>
      <c r="S41" s="295"/>
      <c r="T41" s="376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</row>
    <row r="42" spans="1:30" s="284" customFormat="1" ht="15.75" x14ac:dyDescent="0.25">
      <c r="A42" s="285" t="s">
        <v>286</v>
      </c>
      <c r="B42" s="286"/>
      <c r="C42" s="286"/>
      <c r="D42" s="286"/>
      <c r="E42" s="286"/>
      <c r="F42" s="287"/>
      <c r="G42" s="286"/>
      <c r="H42" s="286"/>
      <c r="I42" s="286"/>
      <c r="J42" s="286"/>
      <c r="K42" s="288"/>
      <c r="L42" s="288"/>
      <c r="M42" s="286"/>
      <c r="N42" s="286"/>
      <c r="O42" s="286"/>
      <c r="P42" s="286"/>
      <c r="Q42" s="286"/>
      <c r="R42" s="289"/>
      <c r="S42" s="286"/>
      <c r="T42" s="374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</row>
    <row r="43" spans="1:30" ht="15.75" x14ac:dyDescent="0.25">
      <c r="A43" s="290" t="s">
        <v>344</v>
      </c>
      <c r="B43" s="291"/>
      <c r="C43" s="291"/>
      <c r="D43" s="291"/>
      <c r="E43" s="291"/>
      <c r="F43" s="292"/>
      <c r="G43" s="291"/>
      <c r="H43" s="291"/>
      <c r="I43" s="291"/>
      <c r="J43" s="272" t="s">
        <v>16</v>
      </c>
      <c r="K43" s="277">
        <f>SUM(K44:K44)</f>
        <v>0</v>
      </c>
      <c r="L43" s="277">
        <f>SUM(L44:L44)</f>
        <v>0</v>
      </c>
      <c r="M43" s="270"/>
      <c r="N43" s="270"/>
      <c r="O43" s="270"/>
      <c r="P43" s="270"/>
      <c r="Q43" s="270"/>
      <c r="R43" s="273"/>
      <c r="S43" s="270"/>
      <c r="T43" s="373"/>
      <c r="U43" s="270"/>
      <c r="V43" s="270"/>
      <c r="W43" s="270"/>
      <c r="X43" s="270"/>
      <c r="Y43" s="270"/>
      <c r="Z43" s="270"/>
      <c r="AA43" s="270"/>
      <c r="AB43" s="270"/>
      <c r="AC43" s="270"/>
      <c r="AD43" s="270"/>
    </row>
    <row r="44" spans="1:30" x14ac:dyDescent="0.2">
      <c r="A44" s="293"/>
      <c r="B44" s="270"/>
      <c r="C44" s="270"/>
      <c r="D44" s="294"/>
      <c r="E44" s="295"/>
      <c r="F44" s="296"/>
      <c r="G44" s="295"/>
      <c r="H44" s="295"/>
      <c r="I44" s="295"/>
      <c r="J44" s="297"/>
      <c r="K44" s="298"/>
      <c r="L44" s="298"/>
      <c r="M44" s="295"/>
      <c r="N44" s="295"/>
      <c r="O44" s="295"/>
      <c r="P44" s="295"/>
      <c r="Q44" s="295"/>
      <c r="R44" s="299"/>
      <c r="S44" s="295"/>
      <c r="T44" s="375"/>
      <c r="U44" s="300"/>
      <c r="V44" s="301"/>
      <c r="W44" s="270"/>
      <c r="X44" s="270"/>
      <c r="Y44" s="270"/>
      <c r="Z44" s="270"/>
      <c r="AA44" s="270"/>
      <c r="AB44" s="270"/>
      <c r="AC44" s="270"/>
      <c r="AD44" s="270"/>
    </row>
    <row r="45" spans="1:30" ht="15.75" x14ac:dyDescent="0.25">
      <c r="A45" s="302" t="s">
        <v>345</v>
      </c>
      <c r="B45" s="290"/>
      <c r="C45" s="290"/>
      <c r="D45" s="290"/>
      <c r="E45" s="290"/>
      <c r="F45" s="303"/>
      <c r="G45" s="290"/>
      <c r="H45" s="290"/>
      <c r="I45" s="290"/>
      <c r="J45" s="272" t="s">
        <v>16</v>
      </c>
      <c r="K45" s="277">
        <f>SUM(K46:K47)</f>
        <v>0</v>
      </c>
      <c r="L45" s="277">
        <f>SUM(L46:L47)</f>
        <v>0</v>
      </c>
      <c r="M45" s="270"/>
      <c r="N45" s="270"/>
      <c r="O45" s="270"/>
      <c r="P45" s="270"/>
      <c r="Q45" s="270"/>
      <c r="R45" s="273"/>
      <c r="S45" s="270"/>
      <c r="T45" s="373"/>
      <c r="U45" s="270"/>
      <c r="V45" s="270"/>
      <c r="W45" s="270"/>
      <c r="X45" s="270"/>
      <c r="Y45" s="270"/>
      <c r="Z45" s="270"/>
      <c r="AA45" s="270"/>
      <c r="AB45" s="270"/>
      <c r="AC45" s="270"/>
      <c r="AD45" s="270"/>
    </row>
    <row r="46" spans="1:30" x14ac:dyDescent="0.2">
      <c r="A46" s="304"/>
      <c r="B46" s="270"/>
      <c r="C46" s="270"/>
      <c r="D46" s="295"/>
      <c r="E46" s="295"/>
      <c r="F46" s="296"/>
      <c r="G46" s="295"/>
      <c r="H46" s="295"/>
      <c r="I46" s="295"/>
      <c r="J46" s="297"/>
      <c r="K46" s="298"/>
      <c r="L46" s="298"/>
      <c r="M46" s="295"/>
      <c r="N46" s="295"/>
      <c r="O46" s="295"/>
      <c r="P46" s="295"/>
      <c r="Q46" s="295"/>
      <c r="R46" s="299"/>
      <c r="S46" s="295"/>
      <c r="T46" s="376"/>
      <c r="U46" s="295"/>
      <c r="V46" s="270"/>
      <c r="W46" s="270"/>
      <c r="X46" s="270"/>
      <c r="Y46" s="270"/>
      <c r="Z46" s="270"/>
      <c r="AA46" s="270"/>
      <c r="AB46" s="270"/>
      <c r="AC46" s="270"/>
      <c r="AD46" s="270"/>
    </row>
    <row r="47" spans="1:30" s="305" customFormat="1" x14ac:dyDescent="0.2">
      <c r="A47" s="306"/>
      <c r="B47" s="295"/>
      <c r="C47" s="295"/>
      <c r="D47" s="295"/>
      <c r="E47" s="295"/>
      <c r="F47" s="296"/>
      <c r="G47" s="295"/>
      <c r="H47" s="295"/>
      <c r="I47" s="295"/>
      <c r="J47" s="297"/>
      <c r="K47" s="298"/>
      <c r="L47" s="298"/>
      <c r="M47" s="295"/>
      <c r="N47" s="295"/>
      <c r="O47" s="295"/>
      <c r="P47" s="295"/>
      <c r="Q47" s="295"/>
      <c r="R47" s="299"/>
      <c r="S47" s="295"/>
      <c r="T47" s="376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</row>
    <row r="48" spans="1:30" s="284" customFormat="1" ht="15.75" x14ac:dyDescent="0.25">
      <c r="A48" s="285" t="s">
        <v>287</v>
      </c>
      <c r="B48" s="286"/>
      <c r="C48" s="286"/>
      <c r="D48" s="286"/>
      <c r="E48" s="286"/>
      <c r="F48" s="287"/>
      <c r="G48" s="286"/>
      <c r="H48" s="286"/>
      <c r="I48" s="286"/>
      <c r="J48" s="286"/>
      <c r="K48" s="288"/>
      <c r="L48" s="288"/>
      <c r="M48" s="286"/>
      <c r="N48" s="286"/>
      <c r="O48" s="286"/>
      <c r="P48" s="286"/>
      <c r="Q48" s="286"/>
      <c r="R48" s="289"/>
      <c r="S48" s="286"/>
      <c r="T48" s="374"/>
      <c r="U48" s="286"/>
      <c r="V48" s="286"/>
      <c r="W48" s="286"/>
      <c r="X48" s="286"/>
      <c r="Y48" s="286"/>
      <c r="Z48" s="286"/>
      <c r="AA48" s="286"/>
      <c r="AB48" s="286"/>
      <c r="AC48" s="286"/>
      <c r="AD48" s="286"/>
    </row>
    <row r="49" spans="1:30" ht="15.75" x14ac:dyDescent="0.25">
      <c r="A49" s="290" t="s">
        <v>344</v>
      </c>
      <c r="B49" s="291"/>
      <c r="C49" s="291"/>
      <c r="D49" s="291"/>
      <c r="E49" s="291"/>
      <c r="F49" s="292"/>
      <c r="G49" s="291"/>
      <c r="H49" s="291"/>
      <c r="I49" s="291"/>
      <c r="J49" s="272" t="s">
        <v>16</v>
      </c>
      <c r="K49" s="277">
        <v>0</v>
      </c>
      <c r="L49" s="277" t="e">
        <f>SUM(#REF!)</f>
        <v>#REF!</v>
      </c>
      <c r="M49" s="270"/>
      <c r="N49" s="270"/>
      <c r="O49" s="270"/>
      <c r="P49" s="270"/>
      <c r="Q49" s="270"/>
      <c r="R49" s="273"/>
      <c r="S49" s="270"/>
      <c r="T49" s="373"/>
      <c r="U49" s="270"/>
      <c r="V49" s="270"/>
      <c r="W49" s="270"/>
      <c r="X49" s="270"/>
      <c r="Y49" s="270"/>
      <c r="Z49" s="270"/>
      <c r="AA49" s="270"/>
      <c r="AB49" s="270"/>
      <c r="AC49" s="270"/>
      <c r="AD49" s="270"/>
    </row>
    <row r="50" spans="1:30" x14ac:dyDescent="0.2">
      <c r="A50" s="293"/>
      <c r="B50" s="270"/>
      <c r="C50" s="270"/>
      <c r="D50" s="294"/>
      <c r="E50" s="295"/>
      <c r="F50" s="296"/>
      <c r="G50" s="295"/>
      <c r="H50" s="295"/>
      <c r="I50" s="295"/>
      <c r="J50" s="297"/>
      <c r="K50" s="298"/>
      <c r="L50" s="298"/>
      <c r="M50" s="295"/>
      <c r="N50" s="295"/>
      <c r="O50" s="295"/>
      <c r="P50" s="295"/>
      <c r="Q50" s="295"/>
      <c r="R50" s="299"/>
      <c r="S50" s="295"/>
      <c r="T50" s="375"/>
      <c r="U50" s="300"/>
      <c r="V50" s="301"/>
      <c r="W50" s="270"/>
      <c r="X50" s="270"/>
      <c r="Y50" s="270"/>
      <c r="Z50" s="270"/>
      <c r="AA50" s="270"/>
      <c r="AB50" s="270"/>
      <c r="AC50" s="270"/>
      <c r="AD50" s="270"/>
    </row>
    <row r="51" spans="1:30" ht="15.75" x14ac:dyDescent="0.25">
      <c r="A51" s="302" t="s">
        <v>345</v>
      </c>
      <c r="B51" s="290"/>
      <c r="C51" s="290"/>
      <c r="D51" s="290"/>
      <c r="E51" s="290"/>
      <c r="F51" s="303"/>
      <c r="G51" s="290"/>
      <c r="H51" s="290"/>
      <c r="I51" s="290"/>
      <c r="J51" s="272" t="s">
        <v>16</v>
      </c>
      <c r="K51" s="277">
        <f>SUM(K52:K53)</f>
        <v>0</v>
      </c>
      <c r="L51" s="277">
        <f>SUM(L52:L53)</f>
        <v>0</v>
      </c>
      <c r="M51" s="270"/>
      <c r="N51" s="270"/>
      <c r="O51" s="270"/>
      <c r="P51" s="270"/>
      <c r="Q51" s="270"/>
      <c r="R51" s="273"/>
      <c r="S51" s="270"/>
      <c r="T51" s="373"/>
      <c r="U51" s="270"/>
      <c r="V51" s="270"/>
      <c r="W51" s="270"/>
      <c r="X51" s="270"/>
      <c r="Y51" s="270"/>
      <c r="Z51" s="270"/>
      <c r="AA51" s="270"/>
      <c r="AB51" s="270"/>
      <c r="AC51" s="270"/>
      <c r="AD51" s="270"/>
    </row>
    <row r="52" spans="1:30" x14ac:dyDescent="0.2">
      <c r="A52" s="304"/>
      <c r="B52" s="270"/>
      <c r="C52" s="270"/>
      <c r="D52" s="295"/>
      <c r="E52" s="295"/>
      <c r="F52" s="296"/>
      <c r="G52" s="295"/>
      <c r="H52" s="295"/>
      <c r="I52" s="295"/>
      <c r="J52" s="297"/>
      <c r="K52" s="298"/>
      <c r="L52" s="298"/>
      <c r="M52" s="295"/>
      <c r="N52" s="295"/>
      <c r="O52" s="295"/>
      <c r="P52" s="295"/>
      <c r="Q52" s="295"/>
      <c r="R52" s="299"/>
      <c r="S52" s="295"/>
      <c r="T52" s="376"/>
      <c r="U52" s="295"/>
      <c r="V52" s="270"/>
      <c r="W52" s="270"/>
      <c r="X52" s="270"/>
      <c r="Y52" s="270"/>
      <c r="Z52" s="270"/>
      <c r="AA52" s="270"/>
      <c r="AB52" s="270"/>
      <c r="AC52" s="270"/>
      <c r="AD52" s="270"/>
    </row>
    <row r="53" spans="1:30" s="305" customFormat="1" x14ac:dyDescent="0.2">
      <c r="A53" s="306"/>
      <c r="B53" s="295"/>
      <c r="C53" s="295"/>
      <c r="D53" s="295"/>
      <c r="E53" s="295"/>
      <c r="F53" s="296"/>
      <c r="G53" s="295"/>
      <c r="H53" s="295"/>
      <c r="I53" s="295"/>
      <c r="J53" s="297"/>
      <c r="K53" s="298"/>
      <c r="L53" s="298"/>
      <c r="M53" s="295"/>
      <c r="N53" s="295"/>
      <c r="O53" s="295"/>
      <c r="P53" s="295"/>
      <c r="Q53" s="295"/>
      <c r="R53" s="299"/>
      <c r="S53" s="295"/>
      <c r="T53" s="376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</row>
    <row r="54" spans="1:30" s="284" customFormat="1" ht="15.75" x14ac:dyDescent="0.25">
      <c r="A54" s="285" t="s">
        <v>288</v>
      </c>
      <c r="B54" s="286"/>
      <c r="C54" s="286"/>
      <c r="D54" s="286"/>
      <c r="E54" s="286"/>
      <c r="F54" s="287"/>
      <c r="G54" s="286"/>
      <c r="H54" s="286"/>
      <c r="I54" s="286"/>
      <c r="J54" s="286"/>
      <c r="K54" s="288"/>
      <c r="L54" s="288"/>
      <c r="M54" s="286"/>
      <c r="N54" s="286"/>
      <c r="O54" s="286"/>
      <c r="P54" s="286"/>
      <c r="Q54" s="286"/>
      <c r="R54" s="289"/>
      <c r="S54" s="286"/>
      <c r="T54" s="374"/>
      <c r="U54" s="286"/>
      <c r="V54" s="286"/>
      <c r="W54" s="286"/>
      <c r="X54" s="286"/>
      <c r="Y54" s="286"/>
      <c r="Z54" s="286"/>
      <c r="AA54" s="286"/>
      <c r="AB54" s="286"/>
      <c r="AC54" s="286"/>
      <c r="AD54" s="286"/>
    </row>
    <row r="55" spans="1:30" ht="15.75" x14ac:dyDescent="0.25">
      <c r="A55" s="290" t="s">
        <v>344</v>
      </c>
      <c r="B55" s="291"/>
      <c r="C55" s="291"/>
      <c r="D55" s="291"/>
      <c r="E55" s="291"/>
      <c r="F55" s="292"/>
      <c r="G55" s="291"/>
      <c r="H55" s="291"/>
      <c r="I55" s="291"/>
      <c r="J55" s="272" t="s">
        <v>16</v>
      </c>
      <c r="K55" s="277">
        <f>SUM(K56:K57)</f>
        <v>0</v>
      </c>
      <c r="L55" s="277">
        <f>SUM(L56:L57)</f>
        <v>0</v>
      </c>
      <c r="M55" s="270"/>
      <c r="N55" s="270"/>
      <c r="O55" s="270"/>
      <c r="P55" s="270"/>
      <c r="Q55" s="270"/>
      <c r="R55" s="273"/>
      <c r="S55" s="270"/>
      <c r="T55" s="373"/>
      <c r="U55" s="270"/>
      <c r="V55" s="270"/>
      <c r="W55" s="270"/>
      <c r="X55" s="270"/>
      <c r="Y55" s="270"/>
      <c r="Z55" s="270"/>
      <c r="AA55" s="270"/>
      <c r="AB55" s="270"/>
      <c r="AC55" s="270"/>
      <c r="AD55" s="270"/>
    </row>
    <row r="56" spans="1:30" s="305" customFormat="1" x14ac:dyDescent="0.2">
      <c r="A56" s="307"/>
      <c r="B56" s="295"/>
      <c r="C56" s="295"/>
      <c r="D56" s="295"/>
      <c r="E56" s="295"/>
      <c r="F56" s="296"/>
      <c r="G56" s="295"/>
      <c r="H56" s="295"/>
      <c r="I56" s="295"/>
      <c r="J56" s="312"/>
      <c r="K56" s="298"/>
      <c r="L56" s="298"/>
      <c r="M56" s="295"/>
      <c r="N56" s="295"/>
      <c r="O56" s="295"/>
      <c r="P56" s="295"/>
      <c r="Q56" s="295"/>
      <c r="R56" s="299"/>
      <c r="S56" s="295"/>
      <c r="T56" s="375"/>
      <c r="U56" s="300"/>
      <c r="V56" s="301"/>
      <c r="W56" s="295"/>
      <c r="X56" s="295"/>
      <c r="Y56" s="295"/>
      <c r="Z56" s="295"/>
      <c r="AA56" s="295"/>
      <c r="AB56" s="295"/>
      <c r="AC56" s="295"/>
      <c r="AD56" s="295"/>
    </row>
    <row r="57" spans="1:30" x14ac:dyDescent="0.2">
      <c r="A57" s="293"/>
      <c r="B57" s="270"/>
      <c r="C57" s="270"/>
      <c r="D57" s="294"/>
      <c r="E57" s="295"/>
      <c r="F57" s="296"/>
      <c r="G57" s="295"/>
      <c r="H57" s="295"/>
      <c r="I57" s="295"/>
      <c r="J57" s="297"/>
      <c r="K57" s="298"/>
      <c r="L57" s="298"/>
      <c r="M57" s="295"/>
      <c r="N57" s="295"/>
      <c r="O57" s="295"/>
      <c r="P57" s="295"/>
      <c r="Q57" s="295"/>
      <c r="R57" s="299"/>
      <c r="S57" s="295"/>
      <c r="T57" s="375"/>
      <c r="U57" s="300"/>
      <c r="V57" s="301"/>
      <c r="W57" s="270"/>
      <c r="X57" s="270"/>
      <c r="Y57" s="270"/>
      <c r="Z57" s="270"/>
      <c r="AA57" s="270"/>
      <c r="AB57" s="270"/>
      <c r="AC57" s="270"/>
      <c r="AD57" s="270"/>
    </row>
    <row r="58" spans="1:30" ht="15.75" x14ac:dyDescent="0.25">
      <c r="A58" s="302" t="s">
        <v>345</v>
      </c>
      <c r="B58" s="290"/>
      <c r="C58" s="290"/>
      <c r="D58" s="290"/>
      <c r="E58" s="290"/>
      <c r="F58" s="303"/>
      <c r="G58" s="290"/>
      <c r="H58" s="290"/>
      <c r="I58" s="290"/>
      <c r="J58" s="272" t="s">
        <v>16</v>
      </c>
      <c r="K58" s="277">
        <f>SUM(K59:K60)</f>
        <v>0</v>
      </c>
      <c r="L58" s="277">
        <f>SUM(L59:L60)</f>
        <v>0</v>
      </c>
      <c r="M58" s="270"/>
      <c r="N58" s="270"/>
      <c r="O58" s="270"/>
      <c r="P58" s="270"/>
      <c r="Q58" s="270"/>
      <c r="R58" s="273"/>
      <c r="S58" s="270"/>
      <c r="T58" s="373"/>
      <c r="U58" s="270"/>
      <c r="V58" s="270"/>
      <c r="W58" s="270"/>
      <c r="X58" s="270"/>
      <c r="Y58" s="270"/>
      <c r="Z58" s="270"/>
      <c r="AA58" s="270"/>
      <c r="AB58" s="270"/>
      <c r="AC58" s="270"/>
      <c r="AD58" s="270"/>
    </row>
    <row r="59" spans="1:30" x14ac:dyDescent="0.2">
      <c r="A59" s="304"/>
      <c r="B59" s="270"/>
      <c r="C59" s="270"/>
      <c r="D59" s="295"/>
      <c r="E59" s="295"/>
      <c r="F59" s="296"/>
      <c r="G59" s="295"/>
      <c r="H59" s="295"/>
      <c r="I59" s="295"/>
      <c r="J59" s="297"/>
      <c r="K59" s="298"/>
      <c r="L59" s="298"/>
      <c r="M59" s="295"/>
      <c r="N59" s="295"/>
      <c r="O59" s="295"/>
      <c r="P59" s="295"/>
      <c r="Q59" s="295"/>
      <c r="R59" s="299"/>
      <c r="S59" s="295"/>
      <c r="T59" s="376"/>
      <c r="U59" s="295"/>
      <c r="V59" s="270"/>
      <c r="W59" s="270"/>
      <c r="X59" s="270"/>
      <c r="Y59" s="270"/>
      <c r="Z59" s="270"/>
      <c r="AA59" s="270"/>
      <c r="AB59" s="270"/>
      <c r="AC59" s="270"/>
      <c r="AD59" s="270"/>
    </row>
    <row r="60" spans="1:30" s="305" customFormat="1" x14ac:dyDescent="0.2">
      <c r="A60" s="306"/>
      <c r="B60" s="295"/>
      <c r="C60" s="295"/>
      <c r="D60" s="295"/>
      <c r="E60" s="295"/>
      <c r="F60" s="296"/>
      <c r="G60" s="295"/>
      <c r="H60" s="295"/>
      <c r="I60" s="295"/>
      <c r="J60" s="297"/>
      <c r="K60" s="298"/>
      <c r="L60" s="298"/>
      <c r="M60" s="295"/>
      <c r="N60" s="295"/>
      <c r="O60" s="295"/>
      <c r="P60" s="295"/>
      <c r="Q60" s="295"/>
      <c r="R60" s="299"/>
      <c r="S60" s="295"/>
      <c r="T60" s="376"/>
      <c r="U60" s="295"/>
      <c r="V60" s="295"/>
      <c r="W60" s="295"/>
      <c r="X60" s="295"/>
      <c r="Y60" s="295"/>
      <c r="Z60" s="295"/>
      <c r="AA60" s="295"/>
      <c r="AB60" s="295"/>
      <c r="AC60" s="295"/>
      <c r="AD60" s="295"/>
    </row>
    <row r="61" spans="1:30" s="284" customFormat="1" ht="15.75" x14ac:dyDescent="0.25">
      <c r="A61" s="285" t="s">
        <v>289</v>
      </c>
      <c r="B61" s="286"/>
      <c r="C61" s="286"/>
      <c r="D61" s="286"/>
      <c r="E61" s="286"/>
      <c r="F61" s="287"/>
      <c r="G61" s="286"/>
      <c r="H61" s="286"/>
      <c r="I61" s="286"/>
      <c r="J61" s="286"/>
      <c r="K61" s="288"/>
      <c r="L61" s="288"/>
      <c r="M61" s="286"/>
      <c r="N61" s="286"/>
      <c r="O61" s="286"/>
      <c r="P61" s="286"/>
      <c r="Q61" s="286"/>
      <c r="R61" s="289"/>
      <c r="S61" s="286"/>
      <c r="T61" s="374"/>
      <c r="U61" s="286"/>
      <c r="V61" s="286"/>
      <c r="W61" s="286"/>
      <c r="X61" s="286"/>
      <c r="Y61" s="286"/>
      <c r="Z61" s="286"/>
      <c r="AA61" s="286"/>
      <c r="AB61" s="286"/>
      <c r="AC61" s="286"/>
      <c r="AD61" s="286"/>
    </row>
    <row r="62" spans="1:30" ht="15.75" x14ac:dyDescent="0.25">
      <c r="A62" s="290" t="s">
        <v>344</v>
      </c>
      <c r="B62" s="291"/>
      <c r="C62" s="291"/>
      <c r="D62" s="291"/>
      <c r="E62" s="291"/>
      <c r="F62" s="292"/>
      <c r="G62" s="291"/>
      <c r="H62" s="291"/>
      <c r="I62" s="291"/>
      <c r="J62" s="272" t="s">
        <v>16</v>
      </c>
      <c r="K62" s="277">
        <f>SUM(K63:K63)</f>
        <v>0</v>
      </c>
      <c r="L62" s="277">
        <f>SUM(L63:L63)</f>
        <v>0</v>
      </c>
      <c r="M62" s="270"/>
      <c r="N62" s="270"/>
      <c r="O62" s="270"/>
      <c r="P62" s="270"/>
      <c r="Q62" s="270"/>
      <c r="R62" s="273"/>
      <c r="S62" s="270"/>
      <c r="T62" s="373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</row>
    <row r="63" spans="1:30" x14ac:dyDescent="0.2">
      <c r="A63" s="293"/>
      <c r="B63" s="270"/>
      <c r="C63" s="270"/>
      <c r="D63" s="294"/>
      <c r="E63" s="295"/>
      <c r="F63" s="296"/>
      <c r="G63" s="295"/>
      <c r="H63" s="295"/>
      <c r="I63" s="295"/>
      <c r="J63" s="297"/>
      <c r="K63" s="298"/>
      <c r="L63" s="298"/>
      <c r="M63" s="295"/>
      <c r="N63" s="295"/>
      <c r="O63" s="295"/>
      <c r="P63" s="295"/>
      <c r="Q63" s="295"/>
      <c r="R63" s="299"/>
      <c r="S63" s="295"/>
      <c r="T63" s="375"/>
      <c r="U63" s="300"/>
      <c r="V63" s="535"/>
      <c r="W63" s="283"/>
      <c r="X63" s="283"/>
      <c r="Y63" s="283"/>
      <c r="Z63" s="283"/>
      <c r="AA63" s="283"/>
      <c r="AB63" s="283"/>
      <c r="AC63" s="270"/>
      <c r="AD63" s="270"/>
    </row>
    <row r="64" spans="1:30" ht="15.75" x14ac:dyDescent="0.25">
      <c r="A64" s="302" t="s">
        <v>345</v>
      </c>
      <c r="B64" s="290"/>
      <c r="C64" s="290"/>
      <c r="D64" s="290"/>
      <c r="E64" s="290"/>
      <c r="F64" s="303"/>
      <c r="G64" s="290"/>
      <c r="H64" s="290"/>
      <c r="I64" s="290"/>
      <c r="J64" s="272" t="s">
        <v>16</v>
      </c>
      <c r="K64" s="277">
        <f>SUM(K65:K66)</f>
        <v>0</v>
      </c>
      <c r="L64" s="277">
        <f>SUM(L65:L66)</f>
        <v>0</v>
      </c>
      <c r="M64" s="270"/>
      <c r="N64" s="270"/>
      <c r="O64" s="270"/>
      <c r="P64" s="270"/>
      <c r="Q64" s="270"/>
      <c r="R64" s="273"/>
      <c r="S64" s="270"/>
      <c r="T64" s="373"/>
      <c r="U64" s="270"/>
      <c r="V64" s="270"/>
      <c r="W64" s="270"/>
      <c r="X64" s="270"/>
      <c r="Y64" s="270"/>
      <c r="Z64" s="270"/>
      <c r="AA64" s="270"/>
      <c r="AB64" s="270"/>
      <c r="AC64" s="270"/>
      <c r="AD64" s="270"/>
    </row>
    <row r="65" spans="1:30" x14ac:dyDescent="0.2">
      <c r="A65" s="304"/>
      <c r="B65" s="270"/>
      <c r="C65" s="270"/>
      <c r="D65" s="295"/>
      <c r="E65" s="295"/>
      <c r="F65" s="296"/>
      <c r="G65" s="295"/>
      <c r="H65" s="295"/>
      <c r="I65" s="295"/>
      <c r="J65" s="297"/>
      <c r="K65" s="298"/>
      <c r="L65" s="298"/>
      <c r="M65" s="295"/>
      <c r="N65" s="295"/>
      <c r="O65" s="295"/>
      <c r="P65" s="295"/>
      <c r="Q65" s="295"/>
      <c r="R65" s="299"/>
      <c r="S65" s="295"/>
      <c r="T65" s="376"/>
      <c r="U65" s="295"/>
      <c r="V65" s="270"/>
      <c r="W65" s="270"/>
      <c r="X65" s="270"/>
      <c r="Y65" s="270"/>
      <c r="Z65" s="270"/>
      <c r="AA65" s="270"/>
      <c r="AB65" s="270"/>
      <c r="AC65" s="270"/>
      <c r="AD65" s="270"/>
    </row>
    <row r="66" spans="1:30" s="305" customFormat="1" x14ac:dyDescent="0.2">
      <c r="A66" s="306"/>
      <c r="B66" s="295"/>
      <c r="C66" s="295"/>
      <c r="D66" s="295"/>
      <c r="E66" s="295"/>
      <c r="F66" s="296"/>
      <c r="G66" s="295"/>
      <c r="H66" s="295"/>
      <c r="I66" s="295"/>
      <c r="J66" s="297"/>
      <c r="K66" s="298"/>
      <c r="L66" s="298"/>
      <c r="M66" s="295"/>
      <c r="N66" s="295"/>
      <c r="O66" s="295"/>
      <c r="P66" s="295"/>
      <c r="Q66" s="295"/>
      <c r="R66" s="299"/>
      <c r="S66" s="295"/>
      <c r="T66" s="376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</row>
    <row r="67" spans="1:30" s="284" customFormat="1" ht="15.75" x14ac:dyDescent="0.25">
      <c r="A67" s="285" t="s">
        <v>291</v>
      </c>
      <c r="B67" s="286"/>
      <c r="C67" s="286"/>
      <c r="D67" s="286"/>
      <c r="E67" s="286"/>
      <c r="F67" s="287"/>
      <c r="G67" s="286"/>
      <c r="H67" s="286"/>
      <c r="I67" s="286"/>
      <c r="J67" s="286"/>
      <c r="K67" s="288"/>
      <c r="L67" s="288"/>
      <c r="M67" s="286"/>
      <c r="N67" s="286"/>
      <c r="O67" s="286"/>
      <c r="P67" s="286"/>
      <c r="Q67" s="286"/>
      <c r="R67" s="289"/>
      <c r="S67" s="286"/>
      <c r="T67" s="374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</row>
    <row r="68" spans="1:30" ht="15.75" x14ac:dyDescent="0.25">
      <c r="A68" s="290" t="s">
        <v>344</v>
      </c>
      <c r="B68" s="291"/>
      <c r="C68" s="291"/>
      <c r="D68" s="291"/>
      <c r="E68" s="291"/>
      <c r="F68" s="292"/>
      <c r="G68" s="291"/>
      <c r="H68" s="291"/>
      <c r="I68" s="291"/>
      <c r="J68" s="272" t="s">
        <v>16</v>
      </c>
      <c r="K68" s="277">
        <f>SUM(K98:K98)</f>
        <v>0</v>
      </c>
      <c r="L68" s="277">
        <f>SUM(L98:L98)</f>
        <v>0</v>
      </c>
      <c r="M68" s="270"/>
      <c r="N68" s="270"/>
      <c r="O68" s="270"/>
      <c r="P68" s="270"/>
      <c r="Q68" s="270"/>
      <c r="R68" s="273"/>
      <c r="S68" s="270"/>
      <c r="T68" s="373"/>
      <c r="U68" s="270"/>
      <c r="V68" s="270"/>
      <c r="W68" s="270"/>
      <c r="X68" s="270"/>
      <c r="Y68" s="270"/>
      <c r="Z68" s="270"/>
      <c r="AA68" s="270"/>
      <c r="AB68" s="270"/>
      <c r="AC68" s="270"/>
      <c r="AD68" s="270"/>
    </row>
    <row r="69" spans="1:30" s="606" customFormat="1" x14ac:dyDescent="0.25">
      <c r="A69" s="599"/>
      <c r="B69" s="587"/>
      <c r="C69" s="587"/>
      <c r="D69" s="587"/>
      <c r="E69" s="587"/>
      <c r="F69" s="600"/>
      <c r="G69" s="587"/>
      <c r="H69" s="587"/>
      <c r="I69" s="587"/>
      <c r="J69" s="601"/>
      <c r="K69" s="602"/>
      <c r="L69" s="602"/>
      <c r="M69" s="587"/>
      <c r="N69" s="587"/>
      <c r="O69" s="587"/>
      <c r="P69" s="587"/>
      <c r="Q69" s="587"/>
      <c r="R69" s="603"/>
      <c r="S69" s="587"/>
      <c r="T69" s="604"/>
      <c r="U69" s="587"/>
      <c r="V69" s="605"/>
      <c r="W69" s="587"/>
      <c r="X69" s="587"/>
      <c r="Y69" s="587"/>
      <c r="Z69" s="587"/>
      <c r="AA69" s="587"/>
      <c r="AB69" s="587"/>
      <c r="AC69" s="587"/>
      <c r="AD69" s="587"/>
    </row>
    <row r="70" spans="1:30" s="606" customFormat="1" x14ac:dyDescent="0.25">
      <c r="A70" s="599"/>
      <c r="B70" s="587"/>
      <c r="C70" s="587"/>
      <c r="D70" s="587"/>
      <c r="E70" s="587"/>
      <c r="F70" s="600"/>
      <c r="G70" s="587"/>
      <c r="H70" s="587"/>
      <c r="I70" s="587"/>
      <c r="J70" s="601"/>
      <c r="K70" s="602"/>
      <c r="L70" s="602"/>
      <c r="M70" s="587"/>
      <c r="N70" s="587"/>
      <c r="O70" s="587"/>
      <c r="P70" s="587"/>
      <c r="Q70" s="587"/>
      <c r="R70" s="603"/>
      <c r="S70" s="587"/>
      <c r="T70" s="604"/>
      <c r="U70" s="587"/>
      <c r="V70" s="605"/>
      <c r="W70" s="587"/>
      <c r="X70" s="587"/>
      <c r="Y70" s="587"/>
      <c r="Z70" s="587"/>
      <c r="AA70" s="587"/>
      <c r="AB70" s="587"/>
      <c r="AC70" s="587"/>
      <c r="AD70" s="587"/>
    </row>
    <row r="71" spans="1:30" s="606" customFormat="1" x14ac:dyDescent="0.25">
      <c r="A71" s="599"/>
      <c r="B71" s="587"/>
      <c r="C71" s="587"/>
      <c r="D71" s="587"/>
      <c r="E71" s="587"/>
      <c r="F71" s="600"/>
      <c r="G71" s="587"/>
      <c r="H71" s="587"/>
      <c r="I71" s="587"/>
      <c r="J71" s="601"/>
      <c r="K71" s="602"/>
      <c r="L71" s="602"/>
      <c r="M71" s="587"/>
      <c r="N71" s="587"/>
      <c r="O71" s="587"/>
      <c r="P71" s="587"/>
      <c r="Q71" s="587"/>
      <c r="R71" s="603"/>
      <c r="S71" s="587"/>
      <c r="T71" s="604"/>
      <c r="U71" s="587"/>
      <c r="V71" s="605"/>
      <c r="W71" s="587"/>
      <c r="X71" s="587"/>
      <c r="Y71" s="587"/>
      <c r="Z71" s="587"/>
      <c r="AA71" s="587"/>
      <c r="AB71" s="587"/>
      <c r="AC71" s="587"/>
      <c r="AD71" s="587"/>
    </row>
    <row r="72" spans="1:30" s="606" customFormat="1" x14ac:dyDescent="0.25">
      <c r="A72" s="599"/>
      <c r="B72" s="587"/>
      <c r="C72" s="587"/>
      <c r="D72" s="587"/>
      <c r="E72" s="587"/>
      <c r="F72" s="600"/>
      <c r="G72" s="587"/>
      <c r="H72" s="587"/>
      <c r="I72" s="587"/>
      <c r="J72" s="601"/>
      <c r="K72" s="602"/>
      <c r="L72" s="602"/>
      <c r="M72" s="587"/>
      <c r="N72" s="587"/>
      <c r="O72" s="587"/>
      <c r="P72" s="587"/>
      <c r="Q72" s="587"/>
      <c r="R72" s="603"/>
      <c r="S72" s="587"/>
      <c r="T72" s="604"/>
      <c r="U72" s="587"/>
      <c r="V72" s="605"/>
      <c r="W72" s="587"/>
      <c r="X72" s="587"/>
      <c r="Y72" s="587"/>
      <c r="Z72" s="587"/>
      <c r="AA72" s="587"/>
      <c r="AB72" s="587"/>
      <c r="AC72" s="587"/>
      <c r="AD72" s="587"/>
    </row>
    <row r="73" spans="1:30" s="606" customFormat="1" x14ac:dyDescent="0.25">
      <c r="A73" s="599"/>
      <c r="B73" s="587"/>
      <c r="C73" s="587"/>
      <c r="D73" s="587"/>
      <c r="E73" s="587"/>
      <c r="F73" s="600"/>
      <c r="G73" s="587"/>
      <c r="H73" s="587"/>
      <c r="I73" s="587"/>
      <c r="J73" s="601"/>
      <c r="K73" s="602"/>
      <c r="L73" s="602"/>
      <c r="M73" s="587"/>
      <c r="N73" s="587"/>
      <c r="O73" s="587"/>
      <c r="P73" s="587"/>
      <c r="Q73" s="587"/>
      <c r="R73" s="603"/>
      <c r="S73" s="587"/>
      <c r="T73" s="604"/>
      <c r="U73" s="587"/>
      <c r="V73" s="605"/>
      <c r="W73" s="587"/>
      <c r="X73" s="587"/>
      <c r="Y73" s="587"/>
      <c r="Z73" s="587"/>
      <c r="AA73" s="587"/>
      <c r="AB73" s="587"/>
      <c r="AC73" s="587"/>
      <c r="AD73" s="587"/>
    </row>
    <row r="74" spans="1:30" s="606" customFormat="1" x14ac:dyDescent="0.25">
      <c r="A74" s="599"/>
      <c r="B74" s="587"/>
      <c r="C74" s="587"/>
      <c r="D74" s="587"/>
      <c r="E74" s="587"/>
      <c r="F74" s="600"/>
      <c r="G74" s="587"/>
      <c r="H74" s="587"/>
      <c r="I74" s="587"/>
      <c r="J74" s="601"/>
      <c r="K74" s="602"/>
      <c r="L74" s="602"/>
      <c r="M74" s="587"/>
      <c r="N74" s="587"/>
      <c r="O74" s="587"/>
      <c r="P74" s="587"/>
      <c r="Q74" s="587"/>
      <c r="R74" s="603"/>
      <c r="S74" s="587"/>
      <c r="T74" s="604"/>
      <c r="U74" s="587"/>
      <c r="V74" s="605"/>
      <c r="W74" s="587"/>
      <c r="X74" s="587"/>
      <c r="Y74" s="587"/>
      <c r="Z74" s="587"/>
      <c r="AA74" s="587"/>
      <c r="AB74" s="587"/>
      <c r="AC74" s="587"/>
      <c r="AD74" s="587"/>
    </row>
    <row r="75" spans="1:30" s="606" customFormat="1" x14ac:dyDescent="0.25">
      <c r="A75" s="599"/>
      <c r="B75" s="587"/>
      <c r="C75" s="587"/>
      <c r="D75" s="587"/>
      <c r="E75" s="587"/>
      <c r="F75" s="600"/>
      <c r="G75" s="587"/>
      <c r="H75" s="587"/>
      <c r="I75" s="587"/>
      <c r="J75" s="601"/>
      <c r="K75" s="602"/>
      <c r="L75" s="602"/>
      <c r="M75" s="587"/>
      <c r="N75" s="587"/>
      <c r="O75" s="587"/>
      <c r="P75" s="587"/>
      <c r="Q75" s="587"/>
      <c r="R75" s="603"/>
      <c r="S75" s="587"/>
      <c r="T75" s="604"/>
      <c r="U75" s="587"/>
      <c r="V75" s="605"/>
      <c r="W75" s="587"/>
      <c r="X75" s="587"/>
      <c r="Y75" s="587"/>
      <c r="Z75" s="587"/>
      <c r="AA75" s="587"/>
      <c r="AB75" s="587"/>
      <c r="AC75" s="587"/>
      <c r="AD75" s="587"/>
    </row>
    <row r="76" spans="1:30" s="606" customFormat="1" x14ac:dyDescent="0.25">
      <c r="A76" s="599"/>
      <c r="B76" s="587"/>
      <c r="C76" s="587"/>
      <c r="D76" s="587"/>
      <c r="E76" s="587"/>
      <c r="F76" s="600"/>
      <c r="G76" s="587"/>
      <c r="H76" s="587"/>
      <c r="I76" s="587"/>
      <c r="J76" s="601"/>
      <c r="K76" s="602"/>
      <c r="L76" s="602"/>
      <c r="M76" s="587"/>
      <c r="N76" s="587"/>
      <c r="O76" s="587"/>
      <c r="P76" s="587"/>
      <c r="Q76" s="587"/>
      <c r="R76" s="603"/>
      <c r="S76" s="587"/>
      <c r="T76" s="604"/>
      <c r="U76" s="587"/>
      <c r="V76" s="605"/>
      <c r="W76" s="587"/>
      <c r="X76" s="587"/>
      <c r="Y76" s="587"/>
      <c r="Z76" s="587"/>
      <c r="AA76" s="587"/>
      <c r="AB76" s="587"/>
      <c r="AC76" s="587"/>
      <c r="AD76" s="587"/>
    </row>
    <row r="77" spans="1:30" s="606" customFormat="1" x14ac:dyDescent="0.25">
      <c r="A77" s="599"/>
      <c r="B77" s="587"/>
      <c r="C77" s="587"/>
      <c r="D77" s="587"/>
      <c r="E77" s="587"/>
      <c r="F77" s="600"/>
      <c r="G77" s="587"/>
      <c r="H77" s="587"/>
      <c r="I77" s="587"/>
      <c r="J77" s="601"/>
      <c r="K77" s="602"/>
      <c r="L77" s="602"/>
      <c r="M77" s="587"/>
      <c r="N77" s="587"/>
      <c r="O77" s="587"/>
      <c r="P77" s="587"/>
      <c r="Q77" s="587"/>
      <c r="R77" s="603"/>
      <c r="S77" s="587"/>
      <c r="T77" s="604"/>
      <c r="U77" s="587"/>
      <c r="V77" s="605"/>
      <c r="W77" s="587"/>
      <c r="X77" s="587"/>
      <c r="Y77" s="587"/>
      <c r="Z77" s="587"/>
      <c r="AA77" s="587"/>
      <c r="AB77" s="587"/>
      <c r="AC77" s="587"/>
      <c r="AD77" s="587"/>
    </row>
    <row r="78" spans="1:30" s="606" customFormat="1" x14ac:dyDescent="0.25">
      <c r="A78" s="599"/>
      <c r="B78" s="587"/>
      <c r="C78" s="587"/>
      <c r="D78" s="587"/>
      <c r="E78" s="587"/>
      <c r="F78" s="600"/>
      <c r="G78" s="587"/>
      <c r="H78" s="587"/>
      <c r="I78" s="587"/>
      <c r="J78" s="601"/>
      <c r="K78" s="602"/>
      <c r="L78" s="602"/>
      <c r="M78" s="587"/>
      <c r="N78" s="587"/>
      <c r="O78" s="587"/>
      <c r="P78" s="587"/>
      <c r="Q78" s="587"/>
      <c r="R78" s="603"/>
      <c r="S78" s="587"/>
      <c r="T78" s="604"/>
      <c r="U78" s="587"/>
      <c r="V78" s="605"/>
      <c r="W78" s="587"/>
      <c r="X78" s="587"/>
      <c r="Y78" s="587"/>
      <c r="Z78" s="587"/>
      <c r="AA78" s="587"/>
      <c r="AB78" s="587"/>
      <c r="AC78" s="587"/>
      <c r="AD78" s="587"/>
    </row>
    <row r="79" spans="1:30" s="606" customFormat="1" x14ac:dyDescent="0.25">
      <c r="A79" s="599"/>
      <c r="B79" s="587"/>
      <c r="C79" s="587"/>
      <c r="D79" s="587"/>
      <c r="E79" s="587"/>
      <c r="F79" s="600"/>
      <c r="G79" s="587"/>
      <c r="H79" s="587"/>
      <c r="I79" s="587"/>
      <c r="J79" s="601"/>
      <c r="K79" s="602"/>
      <c r="L79" s="602"/>
      <c r="M79" s="587"/>
      <c r="N79" s="587"/>
      <c r="O79" s="587"/>
      <c r="P79" s="587"/>
      <c r="Q79" s="587"/>
      <c r="R79" s="603"/>
      <c r="S79" s="587"/>
      <c r="T79" s="604"/>
      <c r="U79" s="587"/>
      <c r="V79" s="605"/>
      <c r="W79" s="587"/>
      <c r="X79" s="587"/>
      <c r="Y79" s="587"/>
      <c r="Z79" s="587"/>
      <c r="AA79" s="587"/>
      <c r="AB79" s="587"/>
      <c r="AC79" s="587"/>
      <c r="AD79" s="587"/>
    </row>
    <row r="80" spans="1:30" s="606" customFormat="1" x14ac:dyDescent="0.25">
      <c r="A80" s="599"/>
      <c r="B80" s="587"/>
      <c r="C80" s="587"/>
      <c r="D80" s="587"/>
      <c r="E80" s="587"/>
      <c r="F80" s="600"/>
      <c r="G80" s="587"/>
      <c r="H80" s="587"/>
      <c r="I80" s="587"/>
      <c r="J80" s="601"/>
      <c r="K80" s="602"/>
      <c r="L80" s="602"/>
      <c r="M80" s="587"/>
      <c r="N80" s="587"/>
      <c r="O80" s="587"/>
      <c r="P80" s="587"/>
      <c r="Q80" s="587"/>
      <c r="R80" s="603"/>
      <c r="S80" s="587"/>
      <c r="T80" s="604"/>
      <c r="U80" s="587"/>
      <c r="V80" s="605"/>
      <c r="W80" s="587"/>
      <c r="X80" s="587"/>
      <c r="Y80" s="587"/>
      <c r="Z80" s="587"/>
      <c r="AA80" s="587"/>
      <c r="AB80" s="587"/>
      <c r="AC80" s="587"/>
      <c r="AD80" s="587"/>
    </row>
    <row r="81" spans="1:30" s="606" customFormat="1" x14ac:dyDescent="0.25">
      <c r="A81" s="599"/>
      <c r="B81" s="587"/>
      <c r="C81" s="587"/>
      <c r="D81" s="587"/>
      <c r="E81" s="587"/>
      <c r="F81" s="600"/>
      <c r="G81" s="587"/>
      <c r="H81" s="587"/>
      <c r="I81" s="587"/>
      <c r="J81" s="601"/>
      <c r="K81" s="602"/>
      <c r="L81" s="602"/>
      <c r="M81" s="587"/>
      <c r="N81" s="587"/>
      <c r="O81" s="587"/>
      <c r="P81" s="587"/>
      <c r="Q81" s="587"/>
      <c r="R81" s="603"/>
      <c r="S81" s="587"/>
      <c r="T81" s="604"/>
      <c r="U81" s="587"/>
      <c r="V81" s="605"/>
      <c r="W81" s="587"/>
      <c r="X81" s="587"/>
      <c r="Y81" s="587"/>
      <c r="Z81" s="587"/>
      <c r="AA81" s="587"/>
      <c r="AB81" s="587"/>
      <c r="AC81" s="587"/>
      <c r="AD81" s="587"/>
    </row>
    <row r="82" spans="1:30" s="606" customFormat="1" x14ac:dyDescent="0.25">
      <c r="A82" s="599"/>
      <c r="B82" s="587"/>
      <c r="C82" s="587"/>
      <c r="D82" s="587"/>
      <c r="E82" s="587"/>
      <c r="F82" s="600"/>
      <c r="G82" s="587"/>
      <c r="H82" s="587"/>
      <c r="I82" s="587"/>
      <c r="J82" s="601"/>
      <c r="K82" s="602"/>
      <c r="L82" s="602"/>
      <c r="M82" s="587"/>
      <c r="N82" s="587"/>
      <c r="O82" s="587"/>
      <c r="P82" s="587"/>
      <c r="Q82" s="587"/>
      <c r="R82" s="603"/>
      <c r="S82" s="587"/>
      <c r="T82" s="604"/>
      <c r="U82" s="587"/>
      <c r="V82" s="605"/>
      <c r="W82" s="587"/>
      <c r="X82" s="587"/>
      <c r="Y82" s="587"/>
      <c r="Z82" s="587"/>
      <c r="AA82" s="587"/>
      <c r="AB82" s="587"/>
      <c r="AC82" s="587"/>
      <c r="AD82" s="587"/>
    </row>
    <row r="83" spans="1:30" s="606" customFormat="1" x14ac:dyDescent="0.25">
      <c r="A83" s="599"/>
      <c r="B83" s="587"/>
      <c r="C83" s="587"/>
      <c r="D83" s="587"/>
      <c r="E83" s="587"/>
      <c r="F83" s="600"/>
      <c r="G83" s="587"/>
      <c r="H83" s="587"/>
      <c r="I83" s="587"/>
      <c r="J83" s="601"/>
      <c r="K83" s="602"/>
      <c r="L83" s="602"/>
      <c r="M83" s="587"/>
      <c r="N83" s="587"/>
      <c r="O83" s="587"/>
      <c r="P83" s="587"/>
      <c r="Q83" s="587"/>
      <c r="R83" s="603"/>
      <c r="S83" s="587"/>
      <c r="T83" s="604"/>
      <c r="U83" s="587"/>
      <c r="V83" s="605"/>
      <c r="W83" s="587"/>
      <c r="X83" s="587"/>
      <c r="Y83" s="587"/>
      <c r="Z83" s="587"/>
      <c r="AA83" s="587"/>
      <c r="AB83" s="587"/>
      <c r="AC83" s="587"/>
      <c r="AD83" s="587"/>
    </row>
    <row r="84" spans="1:30" s="606" customFormat="1" x14ac:dyDescent="0.25">
      <c r="A84" s="599"/>
      <c r="B84" s="587"/>
      <c r="C84" s="587"/>
      <c r="D84" s="587"/>
      <c r="E84" s="587"/>
      <c r="F84" s="600"/>
      <c r="G84" s="587"/>
      <c r="H84" s="587"/>
      <c r="I84" s="587"/>
      <c r="J84" s="601"/>
      <c r="K84" s="602"/>
      <c r="L84" s="602"/>
      <c r="M84" s="587"/>
      <c r="N84" s="587"/>
      <c r="O84" s="587"/>
      <c r="P84" s="587"/>
      <c r="Q84" s="587"/>
      <c r="R84" s="603"/>
      <c r="S84" s="587"/>
      <c r="T84" s="604"/>
      <c r="U84" s="587"/>
      <c r="V84" s="605"/>
      <c r="W84" s="587"/>
      <c r="X84" s="587"/>
      <c r="Y84" s="587"/>
      <c r="Z84" s="587"/>
      <c r="AA84" s="587"/>
      <c r="AB84" s="587"/>
      <c r="AC84" s="587"/>
      <c r="AD84" s="587"/>
    </row>
    <row r="85" spans="1:30" s="606" customFormat="1" x14ac:dyDescent="0.25">
      <c r="A85" s="599"/>
      <c r="B85" s="587"/>
      <c r="C85" s="587"/>
      <c r="D85" s="587"/>
      <c r="E85" s="587"/>
      <c r="F85" s="600"/>
      <c r="G85" s="587"/>
      <c r="H85" s="587"/>
      <c r="I85" s="587"/>
      <c r="J85" s="601"/>
      <c r="K85" s="602"/>
      <c r="L85" s="602"/>
      <c r="M85" s="587"/>
      <c r="N85" s="587"/>
      <c r="O85" s="587"/>
      <c r="P85" s="587"/>
      <c r="Q85" s="587"/>
      <c r="R85" s="603"/>
      <c r="S85" s="587"/>
      <c r="T85" s="604"/>
      <c r="U85" s="587"/>
      <c r="V85" s="605"/>
      <c r="W85" s="587"/>
      <c r="X85" s="587"/>
      <c r="Y85" s="587"/>
      <c r="Z85" s="587"/>
      <c r="AA85" s="587"/>
      <c r="AB85" s="587"/>
      <c r="AC85" s="587"/>
      <c r="AD85" s="587"/>
    </row>
    <row r="86" spans="1:30" s="606" customFormat="1" x14ac:dyDescent="0.25">
      <c r="A86" s="599"/>
      <c r="B86" s="587"/>
      <c r="C86" s="587"/>
      <c r="D86" s="587"/>
      <c r="E86" s="587"/>
      <c r="F86" s="600"/>
      <c r="G86" s="587"/>
      <c r="H86" s="587"/>
      <c r="I86" s="587"/>
      <c r="J86" s="601"/>
      <c r="K86" s="602"/>
      <c r="L86" s="602"/>
      <c r="M86" s="587"/>
      <c r="N86" s="587"/>
      <c r="O86" s="587"/>
      <c r="P86" s="587"/>
      <c r="Q86" s="587"/>
      <c r="R86" s="603"/>
      <c r="S86" s="587"/>
      <c r="T86" s="604"/>
      <c r="U86" s="587"/>
      <c r="V86" s="605"/>
      <c r="W86" s="587"/>
      <c r="X86" s="587"/>
      <c r="Y86" s="587"/>
      <c r="Z86" s="587"/>
      <c r="AA86" s="587"/>
      <c r="AB86" s="587"/>
      <c r="AC86" s="587"/>
      <c r="AD86" s="587"/>
    </row>
    <row r="87" spans="1:30" s="606" customFormat="1" x14ac:dyDescent="0.25">
      <c r="A87" s="599"/>
      <c r="B87" s="587"/>
      <c r="C87" s="587"/>
      <c r="D87" s="587"/>
      <c r="E87" s="587"/>
      <c r="F87" s="600"/>
      <c r="G87" s="587"/>
      <c r="H87" s="587"/>
      <c r="I87" s="587"/>
      <c r="J87" s="601"/>
      <c r="K87" s="602"/>
      <c r="L87" s="602"/>
      <c r="M87" s="587"/>
      <c r="N87" s="587"/>
      <c r="O87" s="587"/>
      <c r="P87" s="587"/>
      <c r="Q87" s="587"/>
      <c r="R87" s="603"/>
      <c r="S87" s="587"/>
      <c r="T87" s="604"/>
      <c r="U87" s="587"/>
      <c r="V87" s="605"/>
      <c r="W87" s="587"/>
      <c r="X87" s="587"/>
      <c r="Y87" s="587"/>
      <c r="Z87" s="587"/>
      <c r="AA87" s="587"/>
      <c r="AB87" s="587"/>
      <c r="AC87" s="587"/>
      <c r="AD87" s="587"/>
    </row>
    <row r="88" spans="1:30" s="606" customFormat="1" x14ac:dyDescent="0.25">
      <c r="A88" s="599"/>
      <c r="B88" s="587"/>
      <c r="C88" s="587"/>
      <c r="D88" s="587"/>
      <c r="E88" s="587"/>
      <c r="F88" s="600"/>
      <c r="G88" s="587"/>
      <c r="H88" s="587"/>
      <c r="I88" s="587"/>
      <c r="J88" s="601"/>
      <c r="K88" s="602"/>
      <c r="L88" s="602"/>
      <c r="M88" s="587"/>
      <c r="N88" s="587"/>
      <c r="O88" s="587"/>
      <c r="P88" s="587"/>
      <c r="Q88" s="587"/>
      <c r="R88" s="603"/>
      <c r="S88" s="587"/>
      <c r="T88" s="604"/>
      <c r="U88" s="587"/>
      <c r="V88" s="605"/>
      <c r="W88" s="587"/>
      <c r="X88" s="587"/>
      <c r="Y88" s="587"/>
      <c r="Z88" s="587"/>
      <c r="AA88" s="587"/>
      <c r="AB88" s="587"/>
      <c r="AC88" s="587"/>
      <c r="AD88" s="587"/>
    </row>
    <row r="89" spans="1:30" s="606" customFormat="1" x14ac:dyDescent="0.25">
      <c r="A89" s="599"/>
      <c r="B89" s="587"/>
      <c r="C89" s="587"/>
      <c r="D89" s="587"/>
      <c r="E89" s="587"/>
      <c r="F89" s="600"/>
      <c r="G89" s="587"/>
      <c r="H89" s="587"/>
      <c r="I89" s="587"/>
      <c r="J89" s="601"/>
      <c r="K89" s="602"/>
      <c r="L89" s="602"/>
      <c r="M89" s="587"/>
      <c r="N89" s="587"/>
      <c r="O89" s="587"/>
      <c r="P89" s="587"/>
      <c r="Q89" s="587"/>
      <c r="R89" s="603"/>
      <c r="S89" s="587"/>
      <c r="T89" s="604"/>
      <c r="U89" s="587"/>
      <c r="V89" s="605"/>
      <c r="W89" s="587"/>
      <c r="X89" s="587"/>
      <c r="Y89" s="587"/>
      <c r="Z89" s="587"/>
      <c r="AA89" s="587"/>
      <c r="AB89" s="587"/>
      <c r="AC89" s="587"/>
      <c r="AD89" s="587"/>
    </row>
    <row r="90" spans="1:30" s="606" customFormat="1" x14ac:dyDescent="0.25">
      <c r="A90" s="599"/>
      <c r="B90" s="587"/>
      <c r="C90" s="587"/>
      <c r="D90" s="587"/>
      <c r="E90" s="587"/>
      <c r="F90" s="600"/>
      <c r="G90" s="587"/>
      <c r="H90" s="587"/>
      <c r="I90" s="587"/>
      <c r="J90" s="601"/>
      <c r="K90" s="602"/>
      <c r="L90" s="602"/>
      <c r="M90" s="587"/>
      <c r="N90" s="587"/>
      <c r="O90" s="587"/>
      <c r="P90" s="587"/>
      <c r="Q90" s="587"/>
      <c r="R90" s="603"/>
      <c r="S90" s="587"/>
      <c r="T90" s="604"/>
      <c r="U90" s="587"/>
      <c r="V90" s="605"/>
      <c r="W90" s="587"/>
      <c r="X90" s="587"/>
      <c r="Y90" s="587"/>
      <c r="Z90" s="587"/>
      <c r="AA90" s="587"/>
      <c r="AB90" s="587"/>
      <c r="AC90" s="587"/>
      <c r="AD90" s="587"/>
    </row>
    <row r="91" spans="1:30" s="606" customFormat="1" x14ac:dyDescent="0.25">
      <c r="A91" s="599"/>
      <c r="B91" s="587"/>
      <c r="C91" s="587"/>
      <c r="D91" s="587"/>
      <c r="E91" s="587"/>
      <c r="F91" s="600"/>
      <c r="G91" s="587"/>
      <c r="H91" s="587"/>
      <c r="I91" s="587"/>
      <c r="J91" s="601"/>
      <c r="K91" s="602"/>
      <c r="L91" s="602"/>
      <c r="M91" s="587"/>
      <c r="N91" s="587"/>
      <c r="O91" s="587"/>
      <c r="P91" s="587"/>
      <c r="Q91" s="587"/>
      <c r="R91" s="603"/>
      <c r="S91" s="587"/>
      <c r="T91" s="604"/>
      <c r="U91" s="587"/>
      <c r="V91" s="605"/>
      <c r="W91" s="587"/>
      <c r="X91" s="587"/>
      <c r="Y91" s="587"/>
      <c r="Z91" s="587"/>
      <c r="AA91" s="587"/>
      <c r="AB91" s="587"/>
      <c r="AC91" s="587"/>
      <c r="AD91" s="587"/>
    </row>
    <row r="92" spans="1:30" s="606" customFormat="1" x14ac:dyDescent="0.25">
      <c r="A92" s="599"/>
      <c r="B92" s="587"/>
      <c r="C92" s="587"/>
      <c r="D92" s="587"/>
      <c r="E92" s="587"/>
      <c r="F92" s="600"/>
      <c r="G92" s="587"/>
      <c r="H92" s="587"/>
      <c r="I92" s="587"/>
      <c r="J92" s="601"/>
      <c r="K92" s="602"/>
      <c r="L92" s="602"/>
      <c r="M92" s="587"/>
      <c r="N92" s="587"/>
      <c r="O92" s="587"/>
      <c r="P92" s="587"/>
      <c r="Q92" s="587"/>
      <c r="R92" s="603"/>
      <c r="S92" s="587"/>
      <c r="T92" s="604"/>
      <c r="U92" s="587"/>
      <c r="V92" s="605"/>
      <c r="W92" s="587"/>
      <c r="X92" s="587"/>
      <c r="Y92" s="587"/>
      <c r="Z92" s="587"/>
      <c r="AA92" s="587"/>
      <c r="AB92" s="587"/>
      <c r="AC92" s="587"/>
      <c r="AD92" s="587"/>
    </row>
    <row r="93" spans="1:30" s="606" customFormat="1" x14ac:dyDescent="0.25">
      <c r="A93" s="599"/>
      <c r="B93" s="587"/>
      <c r="C93" s="587"/>
      <c r="D93" s="587"/>
      <c r="E93" s="587"/>
      <c r="F93" s="600"/>
      <c r="G93" s="587"/>
      <c r="H93" s="587"/>
      <c r="I93" s="587"/>
      <c r="J93" s="601"/>
      <c r="K93" s="602"/>
      <c r="L93" s="602"/>
      <c r="M93" s="587"/>
      <c r="N93" s="587"/>
      <c r="O93" s="587"/>
      <c r="P93" s="587"/>
      <c r="Q93" s="587"/>
      <c r="R93" s="603"/>
      <c r="S93" s="587"/>
      <c r="T93" s="604"/>
      <c r="U93" s="587"/>
      <c r="V93" s="605"/>
      <c r="W93" s="587"/>
      <c r="X93" s="587"/>
      <c r="Y93" s="587"/>
      <c r="Z93" s="587"/>
      <c r="AA93" s="587"/>
      <c r="AB93" s="587"/>
      <c r="AC93" s="587"/>
      <c r="AD93" s="587"/>
    </row>
    <row r="94" spans="1:30" s="606" customFormat="1" x14ac:dyDescent="0.25">
      <c r="A94" s="599"/>
      <c r="B94" s="587"/>
      <c r="C94" s="587"/>
      <c r="D94" s="587"/>
      <c r="E94" s="587"/>
      <c r="F94" s="600"/>
      <c r="G94" s="587"/>
      <c r="H94" s="587"/>
      <c r="I94" s="587"/>
      <c r="J94" s="601"/>
      <c r="K94" s="602"/>
      <c r="L94" s="602"/>
      <c r="M94" s="587"/>
      <c r="N94" s="587"/>
      <c r="O94" s="587"/>
      <c r="P94" s="587"/>
      <c r="Q94" s="587"/>
      <c r="R94" s="603"/>
      <c r="S94" s="587"/>
      <c r="T94" s="604"/>
      <c r="U94" s="587"/>
      <c r="V94" s="605"/>
      <c r="W94" s="587"/>
      <c r="X94" s="587"/>
      <c r="Y94" s="587"/>
      <c r="Z94" s="587"/>
      <c r="AA94" s="587"/>
      <c r="AB94" s="587"/>
      <c r="AC94" s="587"/>
      <c r="AD94" s="587"/>
    </row>
    <row r="95" spans="1:30" s="606" customFormat="1" x14ac:dyDescent="0.25">
      <c r="A95" s="599"/>
      <c r="B95" s="587"/>
      <c r="C95" s="587"/>
      <c r="D95" s="587"/>
      <c r="E95" s="587"/>
      <c r="F95" s="600"/>
      <c r="G95" s="587"/>
      <c r="H95" s="587"/>
      <c r="I95" s="587"/>
      <c r="J95" s="601"/>
      <c r="K95" s="602"/>
      <c r="L95" s="602"/>
      <c r="M95" s="587"/>
      <c r="N95" s="587"/>
      <c r="O95" s="587"/>
      <c r="P95" s="587"/>
      <c r="Q95" s="587"/>
      <c r="R95" s="603"/>
      <c r="S95" s="587"/>
      <c r="T95" s="604"/>
      <c r="U95" s="587"/>
      <c r="V95" s="605"/>
      <c r="W95" s="587"/>
      <c r="X95" s="587"/>
      <c r="Y95" s="587"/>
      <c r="Z95" s="587"/>
      <c r="AA95" s="587"/>
      <c r="AB95" s="587"/>
      <c r="AC95" s="587"/>
      <c r="AD95" s="587"/>
    </row>
    <row r="96" spans="1:30" s="606" customFormat="1" x14ac:dyDescent="0.25">
      <c r="A96" s="599"/>
      <c r="B96" s="587"/>
      <c r="C96" s="587"/>
      <c r="D96" s="587"/>
      <c r="E96" s="587"/>
      <c r="F96" s="600"/>
      <c r="G96" s="587"/>
      <c r="H96" s="587"/>
      <c r="I96" s="587"/>
      <c r="J96" s="601"/>
      <c r="K96" s="602"/>
      <c r="L96" s="602"/>
      <c r="M96" s="587"/>
      <c r="N96" s="587"/>
      <c r="O96" s="587"/>
      <c r="P96" s="587"/>
      <c r="Q96" s="587"/>
      <c r="R96" s="603"/>
      <c r="S96" s="587"/>
      <c r="T96" s="604"/>
      <c r="U96" s="587"/>
      <c r="V96" s="605"/>
      <c r="W96" s="587"/>
      <c r="X96" s="587"/>
      <c r="Y96" s="587"/>
      <c r="Z96" s="587"/>
      <c r="AA96" s="587"/>
      <c r="AB96" s="587"/>
      <c r="AC96" s="587"/>
      <c r="AD96" s="587"/>
    </row>
    <row r="97" spans="1:30" s="606" customFormat="1" x14ac:dyDescent="0.25">
      <c r="A97" s="599"/>
      <c r="B97" s="587"/>
      <c r="C97" s="587"/>
      <c r="D97" s="587"/>
      <c r="E97" s="587"/>
      <c r="F97" s="600"/>
      <c r="G97" s="587"/>
      <c r="H97" s="587"/>
      <c r="I97" s="587"/>
      <c r="J97" s="601"/>
      <c r="K97" s="602"/>
      <c r="L97" s="602"/>
      <c r="M97" s="587"/>
      <c r="N97" s="587"/>
      <c r="O97" s="587"/>
      <c r="P97" s="587"/>
      <c r="Q97" s="587"/>
      <c r="R97" s="603"/>
      <c r="S97" s="587"/>
      <c r="T97" s="604"/>
      <c r="U97" s="587"/>
      <c r="V97" s="605"/>
      <c r="W97" s="587"/>
      <c r="X97" s="587"/>
      <c r="Y97" s="587"/>
      <c r="Z97" s="587"/>
      <c r="AA97" s="587"/>
      <c r="AB97" s="587"/>
      <c r="AC97" s="587"/>
      <c r="AD97" s="587"/>
    </row>
    <row r="98" spans="1:30" s="608" customFormat="1" x14ac:dyDescent="0.2">
      <c r="A98" s="347"/>
      <c r="B98" s="315"/>
      <c r="C98" s="315"/>
      <c r="D98" s="348"/>
      <c r="E98" s="338"/>
      <c r="F98" s="339"/>
      <c r="G98" s="338"/>
      <c r="H98" s="338"/>
      <c r="I98" s="338"/>
      <c r="J98" s="349"/>
      <c r="K98" s="341"/>
      <c r="L98" s="341"/>
      <c r="M98" s="338"/>
      <c r="N98" s="338"/>
      <c r="O98" s="338"/>
      <c r="P98" s="338"/>
      <c r="Q98" s="338"/>
      <c r="R98" s="365"/>
      <c r="S98" s="338"/>
      <c r="T98" s="607"/>
      <c r="U98" s="345"/>
      <c r="V98" s="346"/>
      <c r="W98" s="315"/>
      <c r="X98" s="315"/>
      <c r="Y98" s="315"/>
      <c r="Z98" s="315"/>
      <c r="AA98" s="315"/>
      <c r="AB98" s="315"/>
      <c r="AC98" s="315"/>
      <c r="AD98" s="315"/>
    </row>
    <row r="99" spans="1:30" ht="15.75" x14ac:dyDescent="0.25">
      <c r="A99" s="302" t="s">
        <v>345</v>
      </c>
      <c r="B99" s="290"/>
      <c r="C99" s="290"/>
      <c r="D99" s="290"/>
      <c r="E99" s="290"/>
      <c r="F99" s="303"/>
      <c r="G99" s="290"/>
      <c r="H99" s="290"/>
      <c r="I99" s="290"/>
      <c r="J99" s="272" t="s">
        <v>16</v>
      </c>
      <c r="K99" s="277">
        <f>SUM(K100:K101)</f>
        <v>0</v>
      </c>
      <c r="L99" s="277">
        <f>SUM(L100:L101)</f>
        <v>0</v>
      </c>
      <c r="M99" s="270"/>
      <c r="N99" s="270"/>
      <c r="O99" s="270"/>
      <c r="P99" s="270"/>
      <c r="Q99" s="270"/>
      <c r="R99" s="273"/>
      <c r="S99" s="270"/>
      <c r="T99" s="373"/>
      <c r="U99" s="270"/>
      <c r="V99" s="270"/>
      <c r="W99" s="270"/>
      <c r="X99" s="270"/>
      <c r="Y99" s="270"/>
      <c r="Z99" s="270"/>
      <c r="AA99" s="270"/>
      <c r="AB99" s="270"/>
      <c r="AC99" s="270"/>
      <c r="AD99" s="270"/>
    </row>
    <row r="100" spans="1:30" x14ac:dyDescent="0.2">
      <c r="A100" s="304"/>
      <c r="B100" s="270"/>
      <c r="C100" s="270"/>
      <c r="D100" s="295"/>
      <c r="E100" s="295"/>
      <c r="F100" s="296"/>
      <c r="G100" s="295"/>
      <c r="H100" s="295"/>
      <c r="I100" s="295"/>
      <c r="J100" s="297"/>
      <c r="K100" s="298"/>
      <c r="L100" s="298"/>
      <c r="M100" s="295"/>
      <c r="N100" s="295"/>
      <c r="O100" s="295"/>
      <c r="P100" s="295"/>
      <c r="Q100" s="295"/>
      <c r="R100" s="299"/>
      <c r="S100" s="295"/>
      <c r="T100" s="376"/>
      <c r="U100" s="295"/>
      <c r="V100" s="270"/>
      <c r="W100" s="270"/>
      <c r="X100" s="270"/>
      <c r="Y100" s="270"/>
      <c r="Z100" s="270"/>
      <c r="AA100" s="270"/>
      <c r="AB100" s="270"/>
      <c r="AC100" s="270"/>
      <c r="AD100" s="270"/>
    </row>
    <row r="101" spans="1:30" s="305" customFormat="1" x14ac:dyDescent="0.2">
      <c r="A101" s="306"/>
      <c r="B101" s="295"/>
      <c r="C101" s="295"/>
      <c r="D101" s="295"/>
      <c r="E101" s="295"/>
      <c r="F101" s="296"/>
      <c r="G101" s="295"/>
      <c r="H101" s="295"/>
      <c r="I101" s="295"/>
      <c r="J101" s="297"/>
      <c r="K101" s="298"/>
      <c r="L101" s="298"/>
      <c r="M101" s="295"/>
      <c r="N101" s="295"/>
      <c r="O101" s="295"/>
      <c r="P101" s="295"/>
      <c r="Q101" s="295"/>
      <c r="R101" s="299"/>
      <c r="S101" s="295"/>
      <c r="T101" s="376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</row>
    <row r="102" spans="1:30" s="284" customFormat="1" ht="15.75" x14ac:dyDescent="0.25">
      <c r="A102" s="285" t="s">
        <v>292</v>
      </c>
      <c r="B102" s="286"/>
      <c r="C102" s="286"/>
      <c r="D102" s="286"/>
      <c r="E102" s="286"/>
      <c r="F102" s="287"/>
      <c r="G102" s="286"/>
      <c r="H102" s="286"/>
      <c r="I102" s="286"/>
      <c r="J102" s="286"/>
      <c r="K102" s="288"/>
      <c r="L102" s="288"/>
      <c r="M102" s="286"/>
      <c r="N102" s="286"/>
      <c r="O102" s="286"/>
      <c r="P102" s="286"/>
      <c r="Q102" s="286"/>
      <c r="R102" s="289"/>
      <c r="S102" s="286"/>
      <c r="T102" s="374"/>
      <c r="U102" s="286"/>
      <c r="V102" s="286"/>
      <c r="W102" s="286"/>
      <c r="X102" s="286"/>
      <c r="Y102" s="286"/>
      <c r="Z102" s="286"/>
      <c r="AA102" s="286"/>
      <c r="AB102" s="286"/>
      <c r="AC102" s="286"/>
      <c r="AD102" s="286"/>
    </row>
    <row r="103" spans="1:30" ht="15.75" x14ac:dyDescent="0.25">
      <c r="A103" s="290" t="s">
        <v>344</v>
      </c>
      <c r="B103" s="291"/>
      <c r="C103" s="291"/>
      <c r="D103" s="291"/>
      <c r="E103" s="291"/>
      <c r="F103" s="292"/>
      <c r="G103" s="291"/>
      <c r="H103" s="291"/>
      <c r="I103" s="291"/>
      <c r="J103" s="272" t="s">
        <v>16</v>
      </c>
      <c r="K103" s="277">
        <f>SUM(K104:K104)</f>
        <v>0</v>
      </c>
      <c r="L103" s="277">
        <f>SUM(L104:L104)</f>
        <v>0</v>
      </c>
      <c r="M103" s="270"/>
      <c r="N103" s="270"/>
      <c r="O103" s="270"/>
      <c r="P103" s="270"/>
      <c r="Q103" s="270"/>
      <c r="R103" s="273"/>
      <c r="S103" s="270"/>
      <c r="T103" s="373"/>
      <c r="U103" s="270"/>
      <c r="V103" s="270"/>
      <c r="W103" s="270"/>
      <c r="X103" s="270"/>
      <c r="Y103" s="270"/>
      <c r="Z103" s="270"/>
      <c r="AA103" s="270"/>
      <c r="AB103" s="270"/>
      <c r="AC103" s="270"/>
      <c r="AD103" s="270"/>
    </row>
    <row r="104" spans="1:30" x14ac:dyDescent="0.2">
      <c r="A104" s="293"/>
      <c r="B104" s="270"/>
      <c r="C104" s="270"/>
      <c r="D104" s="294"/>
      <c r="E104" s="295"/>
      <c r="F104" s="296"/>
      <c r="G104" s="295"/>
      <c r="H104" s="295"/>
      <c r="I104" s="295"/>
      <c r="J104" s="297"/>
      <c r="K104" s="298"/>
      <c r="L104" s="298"/>
      <c r="M104" s="295"/>
      <c r="N104" s="295"/>
      <c r="O104" s="295"/>
      <c r="P104" s="295"/>
      <c r="Q104" s="295"/>
      <c r="R104" s="299"/>
      <c r="S104" s="295"/>
      <c r="T104" s="375"/>
      <c r="U104" s="300"/>
      <c r="V104" s="301"/>
      <c r="W104" s="270"/>
      <c r="X104" s="270"/>
      <c r="Y104" s="270"/>
      <c r="Z104" s="270"/>
      <c r="AA104" s="270"/>
      <c r="AB104" s="270"/>
      <c r="AC104" s="270"/>
      <c r="AD104" s="270"/>
    </row>
    <row r="105" spans="1:30" ht="15.75" x14ac:dyDescent="0.25">
      <c r="A105" s="302" t="s">
        <v>345</v>
      </c>
      <c r="B105" s="290"/>
      <c r="C105" s="290"/>
      <c r="D105" s="290"/>
      <c r="E105" s="290"/>
      <c r="F105" s="303"/>
      <c r="G105" s="290"/>
      <c r="H105" s="290"/>
      <c r="I105" s="290"/>
      <c r="J105" s="272" t="s">
        <v>16</v>
      </c>
      <c r="K105" s="277">
        <f>SUM(K106:K107)</f>
        <v>0</v>
      </c>
      <c r="L105" s="277">
        <f>SUM(L106:L107)</f>
        <v>0</v>
      </c>
      <c r="M105" s="270"/>
      <c r="N105" s="270"/>
      <c r="O105" s="270"/>
      <c r="P105" s="270"/>
      <c r="Q105" s="270"/>
      <c r="R105" s="273"/>
      <c r="S105" s="270"/>
      <c r="T105" s="373"/>
      <c r="U105" s="270"/>
      <c r="V105" s="270"/>
      <c r="W105" s="270"/>
      <c r="X105" s="270"/>
      <c r="Y105" s="270"/>
      <c r="Z105" s="270"/>
      <c r="AA105" s="270"/>
      <c r="AB105" s="270"/>
      <c r="AC105" s="270"/>
      <c r="AD105" s="270"/>
    </row>
    <row r="106" spans="1:30" x14ac:dyDescent="0.2">
      <c r="A106" s="304"/>
      <c r="B106" s="270"/>
      <c r="C106" s="270"/>
      <c r="D106" s="295"/>
      <c r="E106" s="295"/>
      <c r="F106" s="296"/>
      <c r="G106" s="295"/>
      <c r="H106" s="295"/>
      <c r="I106" s="295"/>
      <c r="J106" s="297"/>
      <c r="K106" s="298"/>
      <c r="L106" s="298"/>
      <c r="M106" s="295"/>
      <c r="N106" s="295"/>
      <c r="O106" s="295"/>
      <c r="P106" s="295"/>
      <c r="Q106" s="295"/>
      <c r="R106" s="299"/>
      <c r="S106" s="295"/>
      <c r="T106" s="376"/>
      <c r="U106" s="295"/>
      <c r="V106" s="270"/>
      <c r="W106" s="270"/>
      <c r="X106" s="270"/>
      <c r="Y106" s="270"/>
      <c r="Z106" s="270"/>
      <c r="AA106" s="270"/>
      <c r="AB106" s="270"/>
      <c r="AC106" s="270"/>
      <c r="AD106" s="270"/>
    </row>
    <row r="107" spans="1:30" s="305" customFormat="1" x14ac:dyDescent="0.2">
      <c r="A107" s="306"/>
      <c r="B107" s="295"/>
      <c r="C107" s="295"/>
      <c r="D107" s="295"/>
      <c r="E107" s="295"/>
      <c r="F107" s="296"/>
      <c r="G107" s="295"/>
      <c r="H107" s="295"/>
      <c r="I107" s="295"/>
      <c r="J107" s="297"/>
      <c r="K107" s="298"/>
      <c r="L107" s="298"/>
      <c r="M107" s="295"/>
      <c r="N107" s="295"/>
      <c r="O107" s="295"/>
      <c r="P107" s="295"/>
      <c r="Q107" s="295"/>
      <c r="R107" s="299"/>
      <c r="S107" s="295"/>
      <c r="T107" s="376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</row>
    <row r="108" spans="1:30" s="284" customFormat="1" ht="15.75" x14ac:dyDescent="0.25">
      <c r="A108" s="285" t="s">
        <v>293</v>
      </c>
      <c r="B108" s="286"/>
      <c r="C108" s="286"/>
      <c r="D108" s="286"/>
      <c r="E108" s="286"/>
      <c r="F108" s="287"/>
      <c r="G108" s="286"/>
      <c r="H108" s="286"/>
      <c r="I108" s="286"/>
      <c r="J108" s="286"/>
      <c r="K108" s="288"/>
      <c r="L108" s="288"/>
      <c r="M108" s="286"/>
      <c r="N108" s="286"/>
      <c r="O108" s="286"/>
      <c r="P108" s="286"/>
      <c r="Q108" s="286"/>
      <c r="R108" s="289"/>
      <c r="S108" s="286"/>
      <c r="T108" s="374"/>
      <c r="U108" s="286"/>
      <c r="V108" s="286"/>
      <c r="W108" s="286"/>
      <c r="X108" s="286"/>
      <c r="Y108" s="286"/>
      <c r="Z108" s="286"/>
      <c r="AA108" s="286"/>
      <c r="AB108" s="286"/>
      <c r="AC108" s="286"/>
      <c r="AD108" s="286"/>
    </row>
    <row r="109" spans="1:30" ht="15.75" x14ac:dyDescent="0.25">
      <c r="A109" s="290" t="s">
        <v>344</v>
      </c>
      <c r="B109" s="291"/>
      <c r="C109" s="291"/>
      <c r="D109" s="291"/>
      <c r="E109" s="291"/>
      <c r="F109" s="292"/>
      <c r="G109" s="291"/>
      <c r="H109" s="291"/>
      <c r="I109" s="291"/>
      <c r="J109" s="272" t="s">
        <v>16</v>
      </c>
      <c r="K109" s="277" t="e">
        <f>SUM(#REF!)</f>
        <v>#REF!</v>
      </c>
      <c r="L109" s="277" t="e">
        <f>SUM(#REF!)</f>
        <v>#REF!</v>
      </c>
      <c r="M109" s="270"/>
      <c r="N109" s="270"/>
      <c r="O109" s="270"/>
      <c r="P109" s="270"/>
      <c r="Q109" s="270"/>
      <c r="R109" s="273"/>
      <c r="S109" s="270"/>
      <c r="T109" s="373"/>
      <c r="U109" s="270"/>
      <c r="V109" s="270"/>
      <c r="W109" s="270"/>
      <c r="X109" s="270"/>
      <c r="Y109" s="270"/>
      <c r="Z109" s="270"/>
      <c r="AA109" s="270"/>
      <c r="AB109" s="270"/>
      <c r="AC109" s="270"/>
      <c r="AD109" s="270"/>
    </row>
    <row r="110" spans="1:30" s="562" customFormat="1" ht="15.75" x14ac:dyDescent="0.25">
      <c r="A110" s="557"/>
      <c r="B110" s="556"/>
      <c r="C110" s="556"/>
      <c r="D110" s="556"/>
      <c r="E110" s="556"/>
      <c r="F110" s="555"/>
      <c r="G110" s="556"/>
      <c r="H110" s="556"/>
      <c r="I110" s="556"/>
      <c r="J110" s="559"/>
      <c r="K110" s="560"/>
      <c r="L110" s="560"/>
      <c r="M110" s="556"/>
      <c r="N110" s="556"/>
      <c r="O110" s="556"/>
      <c r="P110" s="556"/>
      <c r="Q110" s="556"/>
      <c r="R110" s="561"/>
      <c r="S110" s="556"/>
      <c r="T110" s="556"/>
      <c r="U110" s="556"/>
      <c r="V110" s="556"/>
      <c r="W110" s="556"/>
      <c r="X110" s="556"/>
      <c r="Y110" s="556"/>
      <c r="Z110" s="556"/>
      <c r="AA110" s="556"/>
      <c r="AB110" s="556"/>
      <c r="AC110" s="556"/>
      <c r="AD110" s="556"/>
    </row>
    <row r="111" spans="1:30" ht="15.75" x14ac:dyDescent="0.25">
      <c r="A111" s="302" t="s">
        <v>345</v>
      </c>
      <c r="B111" s="290"/>
      <c r="C111" s="290"/>
      <c r="D111" s="290"/>
      <c r="E111" s="290"/>
      <c r="F111" s="303"/>
      <c r="G111" s="290"/>
      <c r="H111" s="290"/>
      <c r="I111" s="290"/>
      <c r="J111" s="272" t="s">
        <v>16</v>
      </c>
      <c r="K111" s="277">
        <f>SUM(K112:K113)</f>
        <v>0</v>
      </c>
      <c r="L111" s="277">
        <f>SUM(L112:L113)</f>
        <v>0</v>
      </c>
      <c r="M111" s="270"/>
      <c r="N111" s="270"/>
      <c r="O111" s="270"/>
      <c r="P111" s="270"/>
      <c r="Q111" s="270"/>
      <c r="R111" s="273"/>
      <c r="S111" s="270"/>
      <c r="T111" s="373"/>
      <c r="U111" s="270"/>
      <c r="V111" s="270"/>
      <c r="W111" s="270"/>
      <c r="X111" s="270"/>
      <c r="Y111" s="270"/>
      <c r="Z111" s="270"/>
      <c r="AA111" s="270"/>
      <c r="AB111" s="270"/>
      <c r="AC111" s="270"/>
      <c r="AD111" s="270"/>
    </row>
    <row r="112" spans="1:30" x14ac:dyDescent="0.2">
      <c r="A112" s="304"/>
      <c r="B112" s="270"/>
      <c r="C112" s="270"/>
      <c r="D112" s="295"/>
      <c r="E112" s="295"/>
      <c r="F112" s="296"/>
      <c r="G112" s="295"/>
      <c r="H112" s="295"/>
      <c r="I112" s="295"/>
      <c r="J112" s="297"/>
      <c r="K112" s="298"/>
      <c r="L112" s="298"/>
      <c r="M112" s="295"/>
      <c r="N112" s="295"/>
      <c r="O112" s="295"/>
      <c r="P112" s="295"/>
      <c r="Q112" s="295"/>
      <c r="R112" s="299"/>
      <c r="S112" s="295"/>
      <c r="T112" s="376"/>
      <c r="U112" s="295"/>
      <c r="V112" s="270"/>
      <c r="W112" s="270"/>
      <c r="X112" s="270"/>
      <c r="Y112" s="270"/>
      <c r="Z112" s="270"/>
      <c r="AA112" s="270"/>
      <c r="AB112" s="270"/>
      <c r="AC112" s="270"/>
      <c r="AD112" s="270"/>
    </row>
    <row r="113" spans="1:30" s="305" customFormat="1" x14ac:dyDescent="0.2">
      <c r="A113" s="306"/>
      <c r="B113" s="295"/>
      <c r="C113" s="295"/>
      <c r="D113" s="295"/>
      <c r="E113" s="295"/>
      <c r="F113" s="296"/>
      <c r="G113" s="295"/>
      <c r="H113" s="295"/>
      <c r="I113" s="295"/>
      <c r="J113" s="297"/>
      <c r="K113" s="298"/>
      <c r="L113" s="298"/>
      <c r="M113" s="295"/>
      <c r="N113" s="295"/>
      <c r="O113" s="295"/>
      <c r="P113" s="295"/>
      <c r="Q113" s="295"/>
      <c r="R113" s="299"/>
      <c r="S113" s="295"/>
      <c r="T113" s="376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</row>
  </sheetData>
  <mergeCells count="23">
    <mergeCell ref="R6:R7"/>
    <mergeCell ref="U6:U7"/>
    <mergeCell ref="S6:S7"/>
    <mergeCell ref="T6:T7"/>
    <mergeCell ref="A2:E2"/>
    <mergeCell ref="A3:E3"/>
    <mergeCell ref="A5:R5"/>
    <mergeCell ref="V5:AD5"/>
    <mergeCell ref="A6:A7"/>
    <mergeCell ref="B6:B7"/>
    <mergeCell ref="C6:C7"/>
    <mergeCell ref="E6:E7"/>
    <mergeCell ref="F6:F7"/>
    <mergeCell ref="Q6:Q7"/>
    <mergeCell ref="AB6:AD6"/>
    <mergeCell ref="V6:X6"/>
    <mergeCell ref="Y6:AA6"/>
    <mergeCell ref="S5:U5"/>
    <mergeCell ref="G6:I6"/>
    <mergeCell ref="J6:J7"/>
    <mergeCell ref="K6:L6"/>
    <mergeCell ref="M6:O6"/>
    <mergeCell ref="P6:P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2"/>
  </sheetPr>
  <dimension ref="A1:AD334"/>
  <sheetViews>
    <sheetView zoomScale="110" workbookViewId="0">
      <pane ySplit="7" topLeftCell="A273" activePane="bottomLeft" state="frozen"/>
      <selection pane="bottomLeft" activeCell="J80" sqref="J80"/>
    </sheetView>
  </sheetViews>
  <sheetFormatPr defaultColWidth="9" defaultRowHeight="15" x14ac:dyDescent="0.25"/>
  <cols>
    <col min="1" max="1" width="11.5703125" customWidth="1"/>
    <col min="2" max="2" width="10.140625" customWidth="1"/>
    <col min="3" max="3" width="11.7109375" customWidth="1"/>
    <col min="4" max="4" width="18.140625" customWidth="1"/>
    <col min="5" max="5" width="23.140625" customWidth="1"/>
    <col min="6" max="6" width="5.42578125" customWidth="1"/>
    <col min="7" max="8" width="18.5703125" customWidth="1"/>
    <col min="9" max="9" width="14.28515625" customWidth="1"/>
    <col min="10" max="10" width="14.42578125" customWidth="1"/>
    <col min="11" max="11" width="6.85546875" customWidth="1"/>
    <col min="12" max="12" width="9.5703125" customWidth="1"/>
    <col min="13" max="13" width="24.85546875" customWidth="1"/>
    <col min="14" max="14" width="28.28515625" customWidth="1"/>
    <col min="15" max="15" width="23.42578125" customWidth="1"/>
    <col min="16" max="16" width="12.85546875" customWidth="1"/>
    <col min="17" max="17" width="15.42578125" customWidth="1"/>
    <col min="18" max="18" width="16.5703125" customWidth="1"/>
    <col min="19" max="19" width="39.85546875" customWidth="1"/>
    <col min="20" max="20" width="19.7109375" customWidth="1"/>
    <col min="21" max="21" width="15.42578125" customWidth="1"/>
    <col min="22" max="22" width="13.7109375" customWidth="1"/>
    <col min="23" max="23" width="11.140625" customWidth="1"/>
    <col min="24" max="24" width="10.7109375" customWidth="1"/>
    <col min="25" max="25" width="13" customWidth="1"/>
    <col min="26" max="30" width="9.140625" customWidth="1"/>
    <col min="31" max="256" width="8.7109375" customWidth="1"/>
  </cols>
  <sheetData>
    <row r="1" spans="1:30" x14ac:dyDescent="0.25">
      <c r="J1" s="313"/>
      <c r="K1" s="314" t="s">
        <v>304</v>
      </c>
      <c r="L1" s="314" t="s">
        <v>305</v>
      </c>
      <c r="M1" s="314" t="s">
        <v>21</v>
      </c>
    </row>
    <row r="2" spans="1:30" x14ac:dyDescent="0.25">
      <c r="A2" s="845" t="s">
        <v>306</v>
      </c>
      <c r="B2" s="845"/>
      <c r="C2" s="845"/>
      <c r="D2" s="845"/>
      <c r="E2" s="845"/>
      <c r="F2" s="315"/>
      <c r="G2" s="315"/>
      <c r="H2" s="315"/>
      <c r="I2" s="315"/>
      <c r="J2" s="316" t="s">
        <v>307</v>
      </c>
      <c r="K2" s="317"/>
      <c r="L2" s="317"/>
      <c r="M2" s="316">
        <f>SUM(K2:L2)</f>
        <v>0</v>
      </c>
      <c r="N2" s="315"/>
      <c r="O2" s="315"/>
      <c r="P2" s="315"/>
      <c r="Q2" s="315"/>
      <c r="R2" s="318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</row>
    <row r="3" spans="1:30" x14ac:dyDescent="0.25">
      <c r="A3" s="845" t="s">
        <v>308</v>
      </c>
      <c r="B3" s="845"/>
      <c r="C3" s="845"/>
      <c r="D3" s="845"/>
      <c r="E3" s="845"/>
      <c r="F3" s="315"/>
      <c r="G3" s="319"/>
      <c r="H3" s="315"/>
      <c r="I3" s="315"/>
      <c r="J3" s="316" t="s">
        <v>309</v>
      </c>
      <c r="K3" s="317"/>
      <c r="L3" s="317"/>
      <c r="M3" s="316">
        <f>SUM(K3:L3)</f>
        <v>0</v>
      </c>
      <c r="N3" s="315"/>
      <c r="O3" s="315"/>
      <c r="P3" s="315"/>
      <c r="Q3" s="315"/>
      <c r="R3" s="318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</row>
    <row r="4" spans="1:30" x14ac:dyDescent="0.25">
      <c r="A4" s="320"/>
      <c r="B4" s="320"/>
      <c r="C4" s="320" t="s">
        <v>310</v>
      </c>
      <c r="D4" s="320"/>
      <c r="E4" s="320"/>
      <c r="F4" s="315"/>
      <c r="G4" s="319"/>
      <c r="H4" s="319"/>
      <c r="I4" s="315"/>
      <c r="J4" s="321"/>
      <c r="K4" s="317"/>
      <c r="L4" s="317"/>
      <c r="M4" s="316">
        <f>SUM(M2:M3)</f>
        <v>0</v>
      </c>
      <c r="N4" s="315"/>
      <c r="O4" s="315"/>
      <c r="P4" s="315"/>
      <c r="Q4" s="315"/>
      <c r="R4" s="318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</row>
    <row r="5" spans="1:30" ht="15" customHeight="1" x14ac:dyDescent="0.25">
      <c r="A5" s="846" t="s">
        <v>311</v>
      </c>
      <c r="B5" s="846"/>
      <c r="C5" s="846"/>
      <c r="D5" s="846"/>
      <c r="E5" s="846"/>
      <c r="F5" s="846"/>
      <c r="G5" s="846"/>
      <c r="H5" s="846"/>
      <c r="I5" s="846"/>
      <c r="J5" s="846"/>
      <c r="K5" s="846"/>
      <c r="L5" s="846"/>
      <c r="M5" s="846"/>
      <c r="N5" s="846"/>
      <c r="O5" s="846"/>
      <c r="P5" s="846"/>
      <c r="Q5" s="846"/>
      <c r="R5" s="846"/>
      <c r="S5" s="847" t="s">
        <v>312</v>
      </c>
      <c r="T5" s="847"/>
      <c r="U5" s="847"/>
      <c r="V5" s="849" t="s">
        <v>313</v>
      </c>
      <c r="W5" s="849"/>
      <c r="X5" s="849"/>
      <c r="Y5" s="849"/>
      <c r="Z5" s="849"/>
      <c r="AA5" s="849"/>
      <c r="AB5" s="849"/>
      <c r="AC5" s="849"/>
      <c r="AD5" s="849"/>
    </row>
    <row r="6" spans="1:30" ht="24.75" customHeight="1" x14ac:dyDescent="0.25">
      <c r="A6" s="843" t="s">
        <v>314</v>
      </c>
      <c r="B6" s="843" t="s">
        <v>315</v>
      </c>
      <c r="C6" s="843" t="s">
        <v>316</v>
      </c>
      <c r="D6" s="322" t="s">
        <v>317</v>
      </c>
      <c r="E6" s="843" t="s">
        <v>318</v>
      </c>
      <c r="F6" s="848"/>
      <c r="G6" s="843" t="s">
        <v>319</v>
      </c>
      <c r="H6" s="843"/>
      <c r="I6" s="843"/>
      <c r="J6" s="843" t="s">
        <v>320</v>
      </c>
      <c r="K6" s="843" t="s">
        <v>321</v>
      </c>
      <c r="L6" s="843"/>
      <c r="M6" s="843" t="s">
        <v>322</v>
      </c>
      <c r="N6" s="843"/>
      <c r="O6" s="843"/>
      <c r="P6" s="843" t="s">
        <v>323</v>
      </c>
      <c r="Q6" s="843" t="s">
        <v>324</v>
      </c>
      <c r="R6" s="841" t="s">
        <v>325</v>
      </c>
      <c r="S6" s="844" t="s">
        <v>326</v>
      </c>
      <c r="T6" s="844" t="s">
        <v>327</v>
      </c>
      <c r="U6" s="844" t="s">
        <v>328</v>
      </c>
      <c r="V6" s="842" t="s">
        <v>329</v>
      </c>
      <c r="W6" s="842"/>
      <c r="X6" s="842"/>
      <c r="Y6" s="842" t="s">
        <v>330</v>
      </c>
      <c r="Z6" s="842"/>
      <c r="AA6" s="842"/>
      <c r="AB6" s="842" t="s">
        <v>331</v>
      </c>
      <c r="AC6" s="842"/>
      <c r="AD6" s="842"/>
    </row>
    <row r="7" spans="1:30" ht="19.5" customHeight="1" x14ac:dyDescent="0.25">
      <c r="A7" s="843"/>
      <c r="B7" s="843"/>
      <c r="C7" s="843"/>
      <c r="D7" s="322" t="s">
        <v>332</v>
      </c>
      <c r="E7" s="843"/>
      <c r="F7" s="848"/>
      <c r="G7" s="322" t="s">
        <v>333</v>
      </c>
      <c r="H7" s="322" t="s">
        <v>334</v>
      </c>
      <c r="I7" s="322" t="s">
        <v>335</v>
      </c>
      <c r="J7" s="843"/>
      <c r="K7" s="322" t="s">
        <v>336</v>
      </c>
      <c r="L7" s="322" t="s">
        <v>337</v>
      </c>
      <c r="M7" s="322" t="s">
        <v>338</v>
      </c>
      <c r="N7" s="322" t="s">
        <v>339</v>
      </c>
      <c r="O7" s="322" t="s">
        <v>340</v>
      </c>
      <c r="P7" s="843"/>
      <c r="Q7" s="843"/>
      <c r="R7" s="841"/>
      <c r="S7" s="844"/>
      <c r="T7" s="844"/>
      <c r="U7" s="844"/>
      <c r="V7" s="323" t="s">
        <v>341</v>
      </c>
      <c r="W7" s="324" t="s">
        <v>342</v>
      </c>
      <c r="X7" s="324" t="s">
        <v>343</v>
      </c>
      <c r="Y7" s="323" t="s">
        <v>341</v>
      </c>
      <c r="Z7" s="324" t="s">
        <v>342</v>
      </c>
      <c r="AA7" s="324" t="s">
        <v>343</v>
      </c>
      <c r="AB7" s="323" t="s">
        <v>341</v>
      </c>
      <c r="AC7" s="324" t="s">
        <v>342</v>
      </c>
      <c r="AD7" s="324" t="s">
        <v>343</v>
      </c>
    </row>
    <row r="8" spans="1:30" x14ac:dyDescent="0.2">
      <c r="A8" s="315"/>
      <c r="B8" s="315"/>
      <c r="C8" s="315"/>
      <c r="D8" s="315"/>
      <c r="E8" s="315"/>
      <c r="F8" s="325"/>
      <c r="G8" s="315"/>
      <c r="H8" s="315"/>
      <c r="I8" s="315"/>
      <c r="J8" s="315"/>
      <c r="K8" s="326"/>
      <c r="L8" s="326"/>
      <c r="M8" s="315"/>
      <c r="N8" s="315"/>
      <c r="O8" s="315"/>
      <c r="P8" s="315"/>
      <c r="Q8" s="315"/>
      <c r="R8" s="318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315"/>
      <c r="AD8" s="315"/>
    </row>
    <row r="9" spans="1:30" x14ac:dyDescent="0.2">
      <c r="A9" s="315"/>
      <c r="B9" s="315"/>
      <c r="C9" s="315"/>
      <c r="D9" s="315"/>
      <c r="E9" s="315"/>
      <c r="F9" s="325"/>
      <c r="G9" s="315"/>
      <c r="H9" s="315"/>
      <c r="I9" s="315"/>
      <c r="J9" s="315"/>
      <c r="K9" s="326"/>
      <c r="L9" s="326"/>
      <c r="M9" s="315"/>
      <c r="N9" s="315"/>
      <c r="O9" s="315"/>
      <c r="P9" s="315"/>
      <c r="Q9" s="315"/>
      <c r="R9" s="318"/>
      <c r="S9" s="315"/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</row>
    <row r="10" spans="1:30" s="327" customFormat="1" x14ac:dyDescent="0.25">
      <c r="A10" s="328" t="s">
        <v>281</v>
      </c>
      <c r="B10" s="329"/>
      <c r="C10" s="329"/>
      <c r="D10" s="329"/>
      <c r="E10" s="329"/>
      <c r="F10" s="330"/>
      <c r="G10" s="329"/>
      <c r="H10" s="329"/>
      <c r="I10" s="329"/>
      <c r="J10" s="329"/>
      <c r="K10" s="331"/>
      <c r="L10" s="331"/>
      <c r="M10" s="329"/>
      <c r="N10" s="329"/>
      <c r="O10" s="329"/>
      <c r="P10" s="329"/>
      <c r="Q10" s="329"/>
      <c r="R10" s="332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</row>
    <row r="11" spans="1:30" ht="30" x14ac:dyDescent="0.25">
      <c r="A11" s="333" t="s">
        <v>344</v>
      </c>
      <c r="B11" s="334"/>
      <c r="C11" s="334"/>
      <c r="D11" s="334"/>
      <c r="E11" s="334"/>
      <c r="F11" s="335"/>
      <c r="G11" s="334"/>
      <c r="H11" s="334"/>
      <c r="I11" s="334"/>
      <c r="J11" s="317" t="s">
        <v>16</v>
      </c>
      <c r="K11" s="317">
        <f>SUM(K12:K13)</f>
        <v>0</v>
      </c>
      <c r="L11" s="317">
        <f>SUM(L12:L13)</f>
        <v>0</v>
      </c>
      <c r="M11" s="315"/>
      <c r="N11" s="315"/>
      <c r="O11" s="315"/>
      <c r="P11" s="315"/>
      <c r="Q11" s="315"/>
      <c r="R11" s="318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</row>
    <row r="12" spans="1:30" s="336" customFormat="1" x14ac:dyDescent="0.25">
      <c r="A12" s="337"/>
      <c r="B12" s="338"/>
      <c r="C12" s="338"/>
      <c r="D12" s="338"/>
      <c r="E12" s="338"/>
      <c r="F12" s="339"/>
      <c r="G12" s="338"/>
      <c r="H12" s="338"/>
      <c r="I12" s="338"/>
      <c r="J12" s="340"/>
      <c r="K12" s="341"/>
      <c r="L12" s="342"/>
      <c r="M12" s="338"/>
      <c r="N12" s="338"/>
      <c r="O12" s="338"/>
      <c r="P12" s="338"/>
      <c r="Q12" s="338"/>
      <c r="R12" s="343"/>
      <c r="S12" s="338"/>
      <c r="T12" s="344"/>
      <c r="U12" s="345"/>
      <c r="V12" s="346"/>
      <c r="W12" s="338"/>
      <c r="X12" s="338"/>
      <c r="Y12" s="338"/>
      <c r="Z12" s="338"/>
      <c r="AA12" s="338"/>
      <c r="AB12" s="338"/>
      <c r="AC12" s="338"/>
      <c r="AD12" s="338"/>
    </row>
    <row r="13" spans="1:30" x14ac:dyDescent="0.2">
      <c r="A13" s="347"/>
      <c r="B13" s="315"/>
      <c r="C13" s="315"/>
      <c r="D13" s="348"/>
      <c r="E13" s="338"/>
      <c r="F13" s="339"/>
      <c r="G13" s="338"/>
      <c r="H13" s="338"/>
      <c r="I13" s="338"/>
      <c r="J13" s="349"/>
      <c r="K13" s="341"/>
      <c r="L13" s="341"/>
      <c r="M13" s="338"/>
      <c r="N13" s="338"/>
      <c r="O13" s="338"/>
      <c r="P13" s="338"/>
      <c r="Q13" s="338"/>
      <c r="R13" s="343"/>
      <c r="S13" s="338"/>
      <c r="T13" s="344"/>
      <c r="U13" s="345"/>
      <c r="V13" s="346"/>
      <c r="W13" s="315"/>
      <c r="X13" s="315"/>
      <c r="Y13" s="315"/>
      <c r="Z13" s="315"/>
      <c r="AA13" s="315"/>
      <c r="AB13" s="315"/>
      <c r="AC13" s="315"/>
      <c r="AD13" s="315"/>
    </row>
    <row r="14" spans="1:30" x14ac:dyDescent="0.25">
      <c r="A14" s="350" t="s">
        <v>345</v>
      </c>
      <c r="B14" s="333"/>
      <c r="C14" s="333"/>
      <c r="D14" s="333"/>
      <c r="E14" s="333"/>
      <c r="F14" s="351"/>
      <c r="G14" s="333"/>
      <c r="H14" s="333"/>
      <c r="I14" s="333"/>
      <c r="J14" s="317" t="s">
        <v>16</v>
      </c>
      <c r="K14" s="317">
        <f>SUM(K15:K16)</f>
        <v>0</v>
      </c>
      <c r="L14" s="317">
        <f>SUM(L15:L16)</f>
        <v>0</v>
      </c>
      <c r="M14" s="315"/>
      <c r="N14" s="315"/>
      <c r="O14" s="315"/>
      <c r="P14" s="315"/>
      <c r="Q14" s="315"/>
      <c r="R14" s="318"/>
      <c r="S14" s="315"/>
      <c r="T14" s="315"/>
      <c r="U14" s="315"/>
      <c r="V14" s="315"/>
      <c r="W14" s="315"/>
      <c r="X14" s="315"/>
      <c r="Y14" s="315"/>
      <c r="Z14" s="315"/>
      <c r="AA14" s="315"/>
      <c r="AB14" s="315"/>
      <c r="AC14" s="315"/>
      <c r="AD14" s="315"/>
    </row>
    <row r="15" spans="1:30" x14ac:dyDescent="0.2">
      <c r="A15" s="352"/>
      <c r="B15" s="315"/>
      <c r="C15" s="315"/>
      <c r="D15" s="338"/>
      <c r="E15" s="338"/>
      <c r="F15" s="339"/>
      <c r="G15" s="338"/>
      <c r="H15" s="338"/>
      <c r="I15" s="338"/>
      <c r="J15" s="349"/>
      <c r="K15" s="341"/>
      <c r="L15" s="341"/>
      <c r="M15" s="338"/>
      <c r="N15" s="338"/>
      <c r="O15" s="338"/>
      <c r="P15" s="338"/>
      <c r="Q15" s="338"/>
      <c r="R15" s="343"/>
      <c r="S15" s="338"/>
      <c r="T15" s="345"/>
      <c r="U15" s="338"/>
      <c r="V15" s="315"/>
      <c r="W15" s="315"/>
      <c r="X15" s="315"/>
      <c r="Y15" s="315"/>
      <c r="Z15" s="315"/>
      <c r="AA15" s="315"/>
      <c r="AB15" s="315"/>
      <c r="AC15" s="315"/>
      <c r="AD15" s="315"/>
    </row>
    <row r="16" spans="1:30" s="336" customFormat="1" ht="14.25" x14ac:dyDescent="0.2">
      <c r="A16" s="353"/>
      <c r="B16" s="338"/>
      <c r="C16" s="338"/>
      <c r="D16" s="338"/>
      <c r="E16" s="338"/>
      <c r="F16" s="339"/>
      <c r="G16" s="338"/>
      <c r="H16" s="338"/>
      <c r="I16" s="338"/>
      <c r="J16" s="349"/>
      <c r="K16" s="341"/>
      <c r="L16" s="341"/>
      <c r="M16" s="338"/>
      <c r="N16" s="338"/>
      <c r="O16" s="338"/>
      <c r="P16" s="338"/>
      <c r="Q16" s="338"/>
      <c r="R16" s="343"/>
      <c r="S16" s="338"/>
      <c r="T16" s="345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</row>
    <row r="17" spans="1:30" s="327" customFormat="1" x14ac:dyDescent="0.25">
      <c r="A17" s="328" t="s">
        <v>282</v>
      </c>
      <c r="B17" s="329"/>
      <c r="C17" s="329"/>
      <c r="D17" s="329"/>
      <c r="E17" s="329"/>
      <c r="F17" s="330"/>
      <c r="G17" s="329"/>
      <c r="H17" s="329"/>
      <c r="I17" s="329"/>
      <c r="J17" s="329"/>
      <c r="K17" s="331"/>
      <c r="L17" s="331"/>
      <c r="M17" s="329"/>
      <c r="N17" s="329"/>
      <c r="O17" s="329"/>
      <c r="P17" s="329"/>
      <c r="Q17" s="329"/>
      <c r="R17" s="332"/>
      <c r="S17" s="329"/>
      <c r="T17" s="329"/>
      <c r="U17" s="329"/>
      <c r="V17" s="329"/>
      <c r="W17" s="329"/>
      <c r="X17" s="329"/>
      <c r="Y17" s="329"/>
      <c r="Z17" s="329"/>
      <c r="AA17" s="329"/>
      <c r="AB17" s="329"/>
      <c r="AC17" s="329"/>
      <c r="AD17" s="329"/>
    </row>
    <row r="18" spans="1:30" ht="30" x14ac:dyDescent="0.25">
      <c r="A18" s="333" t="s">
        <v>344</v>
      </c>
      <c r="B18" s="334"/>
      <c r="C18" s="334"/>
      <c r="D18" s="334"/>
      <c r="E18" s="334"/>
      <c r="F18" s="335"/>
      <c r="G18" s="334"/>
      <c r="H18" s="334"/>
      <c r="I18" s="334"/>
      <c r="J18" s="317" t="s">
        <v>16</v>
      </c>
      <c r="K18" s="317">
        <f>SUM(K19:K20)</f>
        <v>0</v>
      </c>
      <c r="L18" s="317">
        <f>SUM(L19:L20)</f>
        <v>0</v>
      </c>
      <c r="M18" s="315"/>
      <c r="N18" s="315"/>
      <c r="O18" s="315"/>
      <c r="P18" s="315"/>
      <c r="Q18" s="315"/>
      <c r="R18" s="318"/>
      <c r="S18" s="315"/>
      <c r="T18" s="315"/>
      <c r="U18" s="315"/>
      <c r="V18" s="315"/>
      <c r="W18" s="315"/>
      <c r="X18" s="315"/>
      <c r="Y18" s="315"/>
      <c r="Z18" s="315"/>
      <c r="AA18" s="315"/>
      <c r="AB18" s="315"/>
      <c r="AC18" s="315"/>
      <c r="AD18" s="315"/>
    </row>
    <row r="19" spans="1:30" s="336" customFormat="1" x14ac:dyDescent="0.25">
      <c r="A19" s="337"/>
      <c r="B19" s="338"/>
      <c r="C19" s="338"/>
      <c r="D19" s="338"/>
      <c r="E19" s="338"/>
      <c r="F19" s="339"/>
      <c r="G19" s="338"/>
      <c r="H19" s="338"/>
      <c r="I19" s="338"/>
      <c r="J19" s="340"/>
      <c r="K19" s="341"/>
      <c r="L19" s="342"/>
      <c r="M19" s="338"/>
      <c r="N19" s="338"/>
      <c r="O19" s="338"/>
      <c r="P19" s="338"/>
      <c r="Q19" s="338"/>
      <c r="R19" s="343"/>
      <c r="S19" s="338"/>
      <c r="T19" s="344"/>
      <c r="U19" s="345"/>
      <c r="V19" s="346"/>
      <c r="W19" s="338"/>
      <c r="X19" s="338"/>
      <c r="Y19" s="338"/>
      <c r="Z19" s="338"/>
      <c r="AA19" s="338"/>
      <c r="AB19" s="338"/>
      <c r="AC19" s="338"/>
      <c r="AD19" s="338"/>
    </row>
    <row r="20" spans="1:30" x14ac:dyDescent="0.2">
      <c r="A20" s="347"/>
      <c r="B20" s="315"/>
      <c r="C20" s="315"/>
      <c r="D20" s="348"/>
      <c r="E20" s="338"/>
      <c r="F20" s="339"/>
      <c r="G20" s="338"/>
      <c r="H20" s="338"/>
      <c r="I20" s="338"/>
      <c r="J20" s="349"/>
      <c r="K20" s="341"/>
      <c r="L20" s="341"/>
      <c r="M20" s="338"/>
      <c r="N20" s="338"/>
      <c r="O20" s="338"/>
      <c r="P20" s="338"/>
      <c r="Q20" s="338"/>
      <c r="R20" s="343"/>
      <c r="S20" s="338"/>
      <c r="T20" s="344"/>
      <c r="U20" s="345"/>
      <c r="V20" s="346"/>
      <c r="W20" s="315"/>
      <c r="X20" s="315"/>
      <c r="Y20" s="315"/>
      <c r="Z20" s="315"/>
      <c r="AA20" s="315"/>
      <c r="AB20" s="315"/>
      <c r="AC20" s="315"/>
      <c r="AD20" s="315"/>
    </row>
    <row r="21" spans="1:30" x14ac:dyDescent="0.25">
      <c r="A21" s="350" t="s">
        <v>345</v>
      </c>
      <c r="B21" s="333"/>
      <c r="C21" s="333"/>
      <c r="D21" s="333"/>
      <c r="E21" s="333"/>
      <c r="F21" s="351"/>
      <c r="G21" s="333"/>
      <c r="H21" s="333"/>
      <c r="I21" s="333"/>
      <c r="J21" s="317" t="s">
        <v>16</v>
      </c>
      <c r="K21" s="317">
        <f>SUM(K22:K23)</f>
        <v>0</v>
      </c>
      <c r="L21" s="317">
        <f>SUM(L22:L23)</f>
        <v>0</v>
      </c>
      <c r="M21" s="315"/>
      <c r="N21" s="315"/>
      <c r="O21" s="315"/>
      <c r="P21" s="315"/>
      <c r="Q21" s="315"/>
      <c r="R21" s="318"/>
      <c r="S21" s="315"/>
      <c r="T21" s="315"/>
      <c r="U21" s="315"/>
      <c r="V21" s="315"/>
      <c r="W21" s="315"/>
      <c r="X21" s="315"/>
      <c r="Y21" s="315"/>
      <c r="Z21" s="315"/>
      <c r="AA21" s="315"/>
      <c r="AB21" s="315"/>
      <c r="AC21" s="315"/>
      <c r="AD21" s="315"/>
    </row>
    <row r="22" spans="1:30" x14ac:dyDescent="0.2">
      <c r="A22" s="352"/>
      <c r="B22" s="315"/>
      <c r="C22" s="315"/>
      <c r="D22" s="338"/>
      <c r="E22" s="338"/>
      <c r="F22" s="339"/>
      <c r="G22" s="338"/>
      <c r="H22" s="338"/>
      <c r="I22" s="338"/>
      <c r="J22" s="349"/>
      <c r="K22" s="341"/>
      <c r="L22" s="341"/>
      <c r="M22" s="338"/>
      <c r="N22" s="338"/>
      <c r="O22" s="338"/>
      <c r="P22" s="338"/>
      <c r="Q22" s="338"/>
      <c r="R22" s="343"/>
      <c r="S22" s="338"/>
      <c r="T22" s="345"/>
      <c r="U22" s="338"/>
      <c r="V22" s="315"/>
      <c r="W22" s="315"/>
      <c r="X22" s="315"/>
      <c r="Y22" s="315"/>
      <c r="Z22" s="315"/>
      <c r="AA22" s="315"/>
      <c r="AB22" s="315"/>
      <c r="AC22" s="315"/>
      <c r="AD22" s="315"/>
    </row>
    <row r="23" spans="1:30" s="336" customFormat="1" ht="14.25" x14ac:dyDescent="0.2">
      <c r="A23" s="353"/>
      <c r="B23" s="338"/>
      <c r="C23" s="338"/>
      <c r="D23" s="338"/>
      <c r="E23" s="338"/>
      <c r="F23" s="339"/>
      <c r="G23" s="338"/>
      <c r="H23" s="338"/>
      <c r="I23" s="338"/>
      <c r="J23" s="349"/>
      <c r="K23" s="341"/>
      <c r="L23" s="341"/>
      <c r="M23" s="338"/>
      <c r="N23" s="338"/>
      <c r="O23" s="338"/>
      <c r="P23" s="338"/>
      <c r="Q23" s="338"/>
      <c r="R23" s="343"/>
      <c r="S23" s="338"/>
      <c r="T23" s="345"/>
      <c r="U23" s="338"/>
      <c r="V23" s="338"/>
      <c r="W23" s="338"/>
      <c r="X23" s="338"/>
      <c r="Y23" s="338"/>
      <c r="Z23" s="338"/>
      <c r="AA23" s="338"/>
      <c r="AB23" s="338"/>
      <c r="AC23" s="338"/>
      <c r="AD23" s="338"/>
    </row>
    <row r="24" spans="1:30" s="327" customFormat="1" x14ac:dyDescent="0.25">
      <c r="A24" s="328" t="s">
        <v>283</v>
      </c>
      <c r="B24" s="329"/>
      <c r="C24" s="329"/>
      <c r="D24" s="329"/>
      <c r="E24" s="329"/>
      <c r="F24" s="330"/>
      <c r="G24" s="329"/>
      <c r="H24" s="329"/>
      <c r="I24" s="329"/>
      <c r="J24" s="329"/>
      <c r="K24" s="331"/>
      <c r="L24" s="331"/>
      <c r="M24" s="329"/>
      <c r="N24" s="329"/>
      <c r="O24" s="329"/>
      <c r="P24" s="329"/>
      <c r="Q24" s="329"/>
      <c r="R24" s="332"/>
      <c r="S24" s="329"/>
      <c r="T24" s="329"/>
      <c r="U24" s="329"/>
      <c r="V24" s="329"/>
      <c r="W24" s="329"/>
      <c r="X24" s="329"/>
      <c r="Y24" s="329"/>
      <c r="Z24" s="329"/>
      <c r="AA24" s="329"/>
      <c r="AB24" s="329"/>
      <c r="AC24" s="329"/>
      <c r="AD24" s="329"/>
    </row>
    <row r="25" spans="1:30" ht="30" x14ac:dyDescent="0.25">
      <c r="A25" s="333" t="s">
        <v>344</v>
      </c>
      <c r="B25" s="334"/>
      <c r="C25" s="334"/>
      <c r="D25" s="334"/>
      <c r="E25" s="334"/>
      <c r="F25" s="335"/>
      <c r="G25" s="334"/>
      <c r="H25" s="334"/>
      <c r="I25" s="334"/>
      <c r="J25" s="317" t="s">
        <v>16</v>
      </c>
      <c r="K25" s="317">
        <f>SUM(K26:K268)</f>
        <v>0</v>
      </c>
      <c r="L25" s="317">
        <f>SUM(L26:L268)</f>
        <v>0</v>
      </c>
      <c r="M25" s="315"/>
      <c r="N25" s="315"/>
      <c r="O25" s="315"/>
      <c r="P25" s="315"/>
      <c r="Q25" s="315"/>
      <c r="R25" s="318"/>
      <c r="S25" s="315"/>
      <c r="T25" s="315"/>
      <c r="U25" s="315"/>
      <c r="V25" s="315"/>
      <c r="W25" s="315"/>
      <c r="X25" s="315"/>
      <c r="Y25" s="315"/>
      <c r="Z25" s="315"/>
      <c r="AA25" s="315"/>
      <c r="AB25" s="315"/>
      <c r="AC25" s="315"/>
      <c r="AD25" s="315"/>
    </row>
    <row r="26" spans="1:30" s="354" customFormat="1" x14ac:dyDescent="0.25">
      <c r="A26" s="339"/>
      <c r="B26" s="355"/>
      <c r="C26" s="355"/>
      <c r="D26" s="355"/>
      <c r="E26" s="355"/>
      <c r="F26" s="339"/>
      <c r="G26" s="355"/>
      <c r="H26" s="355"/>
      <c r="I26" s="355"/>
      <c r="J26" s="356"/>
      <c r="K26" s="357"/>
      <c r="L26" s="358"/>
      <c r="M26" s="355"/>
      <c r="N26" s="355"/>
      <c r="O26" s="355"/>
      <c r="P26" s="355"/>
      <c r="Q26" s="355"/>
      <c r="R26" s="359"/>
      <c r="S26" s="355"/>
      <c r="T26" s="360"/>
      <c r="U26" s="361"/>
      <c r="V26" s="362"/>
      <c r="W26" s="355"/>
      <c r="X26" s="355"/>
      <c r="Y26" s="355"/>
      <c r="Z26" s="355"/>
      <c r="AA26" s="355"/>
      <c r="AB26" s="355"/>
      <c r="AC26" s="355"/>
      <c r="AD26" s="355"/>
    </row>
    <row r="27" spans="1:30" s="354" customFormat="1" x14ac:dyDescent="0.25">
      <c r="A27" s="339"/>
      <c r="B27" s="355"/>
      <c r="C27" s="355"/>
      <c r="D27" s="355"/>
      <c r="E27" s="355"/>
      <c r="F27" s="339"/>
      <c r="G27" s="355"/>
      <c r="H27" s="355"/>
      <c r="I27" s="355"/>
      <c r="J27" s="356"/>
      <c r="K27" s="357"/>
      <c r="L27" s="358"/>
      <c r="M27" s="355"/>
      <c r="N27" s="355"/>
      <c r="O27" s="355"/>
      <c r="P27" s="355"/>
      <c r="Q27" s="355"/>
      <c r="R27" s="359"/>
      <c r="S27" s="355"/>
      <c r="T27" s="363"/>
      <c r="U27" s="361"/>
      <c r="V27" s="364"/>
      <c r="W27" s="355"/>
      <c r="X27" s="355"/>
      <c r="Y27" s="355"/>
      <c r="Z27" s="355"/>
      <c r="AA27" s="355"/>
      <c r="AB27" s="355"/>
      <c r="AC27" s="355"/>
      <c r="AD27" s="355"/>
    </row>
    <row r="28" spans="1:30" s="354" customFormat="1" x14ac:dyDescent="0.25">
      <c r="A28" s="339"/>
      <c r="B28" s="355"/>
      <c r="C28" s="355"/>
      <c r="D28" s="355"/>
      <c r="E28" s="355"/>
      <c r="F28" s="339"/>
      <c r="G28" s="355"/>
      <c r="H28" s="355"/>
      <c r="I28" s="355"/>
      <c r="J28" s="356"/>
      <c r="K28" s="357"/>
      <c r="L28" s="358"/>
      <c r="M28" s="355"/>
      <c r="N28" s="355"/>
      <c r="O28" s="355"/>
      <c r="P28" s="355"/>
      <c r="Q28" s="355"/>
      <c r="R28" s="359"/>
      <c r="S28" s="355"/>
      <c r="T28" s="363"/>
      <c r="U28" s="361"/>
      <c r="V28" s="364"/>
      <c r="W28" s="355"/>
      <c r="X28" s="355"/>
      <c r="Y28" s="355"/>
      <c r="Z28" s="355"/>
      <c r="AA28" s="355"/>
      <c r="AB28" s="355"/>
      <c r="AC28" s="355"/>
      <c r="AD28" s="355"/>
    </row>
    <row r="29" spans="1:30" s="354" customFormat="1" x14ac:dyDescent="0.25">
      <c r="A29" s="339"/>
      <c r="B29" s="355"/>
      <c r="C29" s="355"/>
      <c r="D29" s="355"/>
      <c r="E29" s="355"/>
      <c r="F29" s="339"/>
      <c r="G29" s="355"/>
      <c r="H29" s="355"/>
      <c r="I29" s="355"/>
      <c r="J29" s="356"/>
      <c r="K29" s="357"/>
      <c r="L29" s="358"/>
      <c r="M29" s="355"/>
      <c r="N29" s="355"/>
      <c r="O29" s="355"/>
      <c r="P29" s="355"/>
      <c r="Q29" s="355"/>
      <c r="R29" s="359"/>
      <c r="S29" s="355"/>
      <c r="T29" s="363"/>
      <c r="U29" s="361"/>
      <c r="V29" s="364"/>
      <c r="W29" s="355"/>
      <c r="X29" s="355"/>
      <c r="Y29" s="355"/>
      <c r="Z29" s="355"/>
      <c r="AA29" s="355"/>
      <c r="AB29" s="355"/>
      <c r="AC29" s="355"/>
      <c r="AD29" s="355"/>
    </row>
    <row r="30" spans="1:30" s="354" customFormat="1" x14ac:dyDescent="0.25">
      <c r="A30" s="339"/>
      <c r="B30" s="355"/>
      <c r="C30" s="355"/>
      <c r="D30" s="355"/>
      <c r="E30" s="355"/>
      <c r="F30" s="339"/>
      <c r="G30" s="355"/>
      <c r="H30" s="355"/>
      <c r="I30" s="355"/>
      <c r="J30" s="356"/>
      <c r="K30" s="357"/>
      <c r="L30" s="358"/>
      <c r="M30" s="355"/>
      <c r="N30" s="355"/>
      <c r="O30" s="355"/>
      <c r="P30" s="355"/>
      <c r="Q30" s="355"/>
      <c r="R30" s="359"/>
      <c r="S30" s="355"/>
      <c r="T30" s="363"/>
      <c r="U30" s="361"/>
      <c r="V30" s="364"/>
      <c r="W30" s="355"/>
      <c r="X30" s="355"/>
      <c r="Y30" s="355"/>
      <c r="Z30" s="355"/>
      <c r="AA30" s="355"/>
      <c r="AB30" s="355"/>
      <c r="AC30" s="355"/>
      <c r="AD30" s="355"/>
    </row>
    <row r="31" spans="1:30" s="354" customFormat="1" x14ac:dyDescent="0.25">
      <c r="A31" s="339"/>
      <c r="B31" s="355"/>
      <c r="C31" s="355"/>
      <c r="D31" s="355"/>
      <c r="E31" s="355"/>
      <c r="F31" s="339"/>
      <c r="G31" s="355"/>
      <c r="H31" s="355"/>
      <c r="I31" s="355"/>
      <c r="J31" s="356"/>
      <c r="K31" s="357"/>
      <c r="L31" s="358"/>
      <c r="M31" s="355"/>
      <c r="N31" s="355"/>
      <c r="O31" s="355"/>
      <c r="P31" s="355"/>
      <c r="Q31" s="355"/>
      <c r="R31" s="359"/>
      <c r="S31" s="355"/>
      <c r="T31" s="363"/>
      <c r="U31" s="361"/>
      <c r="V31" s="364"/>
      <c r="W31" s="355"/>
      <c r="X31" s="355"/>
      <c r="Y31" s="355"/>
      <c r="Z31" s="355"/>
      <c r="AA31" s="355"/>
      <c r="AB31" s="355"/>
      <c r="AC31" s="355"/>
      <c r="AD31" s="355"/>
    </row>
    <row r="32" spans="1:30" s="354" customFormat="1" x14ac:dyDescent="0.25">
      <c r="A32" s="339"/>
      <c r="B32" s="355"/>
      <c r="C32" s="355"/>
      <c r="D32" s="355"/>
      <c r="E32" s="355"/>
      <c r="F32" s="339"/>
      <c r="G32" s="355"/>
      <c r="H32" s="355"/>
      <c r="I32" s="355"/>
      <c r="J32" s="356"/>
      <c r="K32" s="357"/>
      <c r="L32" s="358"/>
      <c r="M32" s="355"/>
      <c r="N32" s="355"/>
      <c r="O32" s="355"/>
      <c r="P32" s="355"/>
      <c r="Q32" s="355"/>
      <c r="R32" s="359"/>
      <c r="S32" s="355"/>
      <c r="T32" s="363"/>
      <c r="U32" s="361"/>
      <c r="V32" s="364"/>
      <c r="W32" s="355"/>
      <c r="X32" s="355"/>
      <c r="Y32" s="355"/>
      <c r="Z32" s="355"/>
      <c r="AA32" s="355"/>
      <c r="AB32" s="355"/>
      <c r="AC32" s="355"/>
      <c r="AD32" s="355"/>
    </row>
    <row r="33" spans="1:30" s="354" customFormat="1" x14ac:dyDescent="0.25">
      <c r="A33" s="339"/>
      <c r="B33" s="355"/>
      <c r="C33" s="355"/>
      <c r="D33" s="355"/>
      <c r="E33" s="355"/>
      <c r="F33" s="339"/>
      <c r="G33" s="355"/>
      <c r="H33" s="355"/>
      <c r="I33" s="355"/>
      <c r="J33" s="356"/>
      <c r="K33" s="357"/>
      <c r="L33" s="358"/>
      <c r="M33" s="355"/>
      <c r="N33" s="355"/>
      <c r="O33" s="355"/>
      <c r="P33" s="355"/>
      <c r="Q33" s="355"/>
      <c r="R33" s="359"/>
      <c r="S33" s="355"/>
      <c r="T33" s="363"/>
      <c r="U33" s="361"/>
      <c r="V33" s="364"/>
      <c r="W33" s="355"/>
      <c r="X33" s="355"/>
      <c r="Y33" s="355"/>
      <c r="Z33" s="355"/>
      <c r="AA33" s="355"/>
      <c r="AB33" s="355"/>
      <c r="AC33" s="355"/>
      <c r="AD33" s="355"/>
    </row>
    <row r="34" spans="1:30" s="354" customFormat="1" x14ac:dyDescent="0.25">
      <c r="A34" s="339"/>
      <c r="B34" s="355"/>
      <c r="C34" s="355"/>
      <c r="D34" s="355"/>
      <c r="E34" s="355"/>
      <c r="F34" s="339"/>
      <c r="G34" s="355"/>
      <c r="H34" s="355"/>
      <c r="I34" s="355"/>
      <c r="J34" s="356"/>
      <c r="K34" s="357"/>
      <c r="L34" s="358"/>
      <c r="M34" s="355"/>
      <c r="N34" s="355"/>
      <c r="O34" s="355"/>
      <c r="P34" s="355"/>
      <c r="Q34" s="355"/>
      <c r="R34" s="359"/>
      <c r="S34" s="355"/>
      <c r="T34" s="363"/>
      <c r="U34" s="361"/>
      <c r="V34" s="364"/>
      <c r="W34" s="355"/>
      <c r="X34" s="355"/>
      <c r="Y34" s="355"/>
      <c r="Z34" s="355"/>
      <c r="AA34" s="355"/>
      <c r="AB34" s="355"/>
      <c r="AC34" s="355"/>
      <c r="AD34" s="355"/>
    </row>
    <row r="35" spans="1:30" s="354" customFormat="1" x14ac:dyDescent="0.25">
      <c r="A35" s="339"/>
      <c r="B35" s="355"/>
      <c r="C35" s="355"/>
      <c r="D35" s="355"/>
      <c r="E35" s="355"/>
      <c r="F35" s="339"/>
      <c r="G35" s="355"/>
      <c r="H35" s="355"/>
      <c r="I35" s="355"/>
      <c r="J35" s="356"/>
      <c r="K35" s="357"/>
      <c r="L35" s="358"/>
      <c r="M35" s="355"/>
      <c r="N35" s="355"/>
      <c r="O35" s="355"/>
      <c r="P35" s="355"/>
      <c r="Q35" s="355"/>
      <c r="R35" s="359"/>
      <c r="S35" s="355"/>
      <c r="T35" s="363"/>
      <c r="U35" s="361"/>
      <c r="V35" s="364"/>
      <c r="W35" s="355"/>
      <c r="X35" s="355"/>
      <c r="Y35" s="355"/>
      <c r="Z35" s="355"/>
      <c r="AA35" s="355"/>
      <c r="AB35" s="355"/>
      <c r="AC35" s="355"/>
      <c r="AD35" s="355"/>
    </row>
    <row r="36" spans="1:30" s="354" customFormat="1" x14ac:dyDescent="0.25">
      <c r="A36" s="339"/>
      <c r="B36" s="355"/>
      <c r="C36" s="355"/>
      <c r="D36" s="355"/>
      <c r="E36" s="355"/>
      <c r="F36" s="339"/>
      <c r="G36" s="355"/>
      <c r="H36" s="355"/>
      <c r="I36" s="355"/>
      <c r="J36" s="356"/>
      <c r="K36" s="357"/>
      <c r="L36" s="358"/>
      <c r="M36" s="355"/>
      <c r="N36" s="355"/>
      <c r="O36" s="355"/>
      <c r="P36" s="355"/>
      <c r="Q36" s="355"/>
      <c r="R36" s="359"/>
      <c r="S36" s="355"/>
      <c r="T36" s="363"/>
      <c r="U36" s="361"/>
      <c r="V36" s="364"/>
      <c r="W36" s="355"/>
      <c r="X36" s="355"/>
      <c r="Y36" s="355"/>
      <c r="Z36" s="355"/>
      <c r="AA36" s="355"/>
      <c r="AB36" s="355"/>
      <c r="AC36" s="355"/>
      <c r="AD36" s="355"/>
    </row>
    <row r="37" spans="1:30" s="354" customFormat="1" x14ac:dyDescent="0.25">
      <c r="A37" s="339"/>
      <c r="B37" s="355"/>
      <c r="C37" s="355"/>
      <c r="D37" s="355"/>
      <c r="E37" s="355"/>
      <c r="F37" s="339"/>
      <c r="G37" s="355"/>
      <c r="H37" s="355"/>
      <c r="I37" s="355"/>
      <c r="J37" s="356"/>
      <c r="K37" s="357"/>
      <c r="L37" s="358"/>
      <c r="M37" s="355"/>
      <c r="N37" s="355"/>
      <c r="O37" s="355"/>
      <c r="P37" s="355"/>
      <c r="Q37" s="355"/>
      <c r="R37" s="359"/>
      <c r="S37" s="355"/>
      <c r="T37" s="363"/>
      <c r="U37" s="361"/>
      <c r="V37" s="364"/>
      <c r="W37" s="355"/>
      <c r="X37" s="355"/>
      <c r="Y37" s="355"/>
      <c r="Z37" s="355"/>
      <c r="AA37" s="355"/>
      <c r="AB37" s="355"/>
      <c r="AC37" s="355"/>
      <c r="AD37" s="355"/>
    </row>
    <row r="38" spans="1:30" s="354" customFormat="1" x14ac:dyDescent="0.25">
      <c r="A38" s="339"/>
      <c r="B38" s="355"/>
      <c r="C38" s="355"/>
      <c r="D38" s="355"/>
      <c r="E38" s="355"/>
      <c r="F38" s="339"/>
      <c r="G38" s="355"/>
      <c r="H38" s="355"/>
      <c r="I38" s="355"/>
      <c r="J38" s="356"/>
      <c r="K38" s="357"/>
      <c r="L38" s="358"/>
      <c r="M38" s="355"/>
      <c r="N38" s="355"/>
      <c r="O38" s="355"/>
      <c r="P38" s="355"/>
      <c r="Q38" s="355"/>
      <c r="R38" s="359"/>
      <c r="S38" s="355"/>
      <c r="T38" s="363"/>
      <c r="U38" s="361"/>
      <c r="V38" s="364"/>
      <c r="W38" s="355"/>
      <c r="X38" s="355"/>
      <c r="Y38" s="355"/>
      <c r="Z38" s="355"/>
      <c r="AA38" s="355"/>
      <c r="AB38" s="355"/>
      <c r="AC38" s="355"/>
      <c r="AD38" s="355"/>
    </row>
    <row r="39" spans="1:30" s="354" customFormat="1" x14ac:dyDescent="0.25">
      <c r="A39" s="339"/>
      <c r="B39" s="355"/>
      <c r="C39" s="355"/>
      <c r="D39" s="355"/>
      <c r="E39" s="355"/>
      <c r="F39" s="339"/>
      <c r="G39" s="355"/>
      <c r="H39" s="355"/>
      <c r="I39" s="355"/>
      <c r="J39" s="356"/>
      <c r="K39" s="357"/>
      <c r="L39" s="358"/>
      <c r="M39" s="355"/>
      <c r="N39" s="355"/>
      <c r="O39" s="355"/>
      <c r="P39" s="355"/>
      <c r="Q39" s="355"/>
      <c r="R39" s="359"/>
      <c r="S39" s="355"/>
      <c r="T39" s="363"/>
      <c r="U39" s="361"/>
      <c r="V39" s="364"/>
      <c r="W39" s="355"/>
      <c r="X39" s="355"/>
      <c r="Y39" s="355"/>
      <c r="Z39" s="355"/>
      <c r="AA39" s="355"/>
      <c r="AB39" s="355"/>
      <c r="AC39" s="355"/>
      <c r="AD39" s="355"/>
    </row>
    <row r="40" spans="1:30" s="354" customFormat="1" x14ac:dyDescent="0.25">
      <c r="A40" s="339"/>
      <c r="B40" s="355"/>
      <c r="C40" s="355"/>
      <c r="D40" s="355"/>
      <c r="E40" s="355"/>
      <c r="F40" s="339"/>
      <c r="G40" s="355"/>
      <c r="H40" s="355"/>
      <c r="I40" s="355"/>
      <c r="J40" s="356"/>
      <c r="K40" s="357"/>
      <c r="L40" s="358"/>
      <c r="M40" s="355"/>
      <c r="N40" s="355"/>
      <c r="O40" s="355"/>
      <c r="P40" s="355"/>
      <c r="Q40" s="355"/>
      <c r="R40" s="359"/>
      <c r="S40" s="355"/>
      <c r="T40" s="363"/>
      <c r="U40" s="361"/>
      <c r="V40" s="364"/>
      <c r="W40" s="355"/>
      <c r="X40" s="355"/>
      <c r="Y40" s="355"/>
      <c r="Z40" s="355"/>
      <c r="AA40" s="355"/>
      <c r="AB40" s="355"/>
      <c r="AC40" s="355"/>
      <c r="AD40" s="355"/>
    </row>
    <row r="41" spans="1:30" s="354" customFormat="1" x14ac:dyDescent="0.25">
      <c r="A41" s="339"/>
      <c r="B41" s="355"/>
      <c r="C41" s="355"/>
      <c r="D41" s="355"/>
      <c r="E41" s="355"/>
      <c r="F41" s="339"/>
      <c r="G41" s="355"/>
      <c r="H41" s="355"/>
      <c r="I41" s="355"/>
      <c r="J41" s="356"/>
      <c r="K41" s="357"/>
      <c r="L41" s="358"/>
      <c r="M41" s="355"/>
      <c r="N41" s="355"/>
      <c r="O41" s="355"/>
      <c r="P41" s="355"/>
      <c r="Q41" s="355"/>
      <c r="R41" s="359"/>
      <c r="S41" s="355"/>
      <c r="T41" s="363"/>
      <c r="U41" s="361"/>
      <c r="V41" s="364"/>
      <c r="W41" s="355"/>
      <c r="X41" s="355"/>
      <c r="Y41" s="355"/>
      <c r="Z41" s="355"/>
      <c r="AA41" s="355"/>
      <c r="AB41" s="355"/>
      <c r="AC41" s="355"/>
      <c r="AD41" s="355"/>
    </row>
    <row r="42" spans="1:30" s="354" customFormat="1" x14ac:dyDescent="0.25">
      <c r="A42" s="339"/>
      <c r="B42" s="355"/>
      <c r="C42" s="355"/>
      <c r="D42" s="355"/>
      <c r="E42" s="355"/>
      <c r="F42" s="339"/>
      <c r="G42" s="355"/>
      <c r="H42" s="355"/>
      <c r="I42" s="355"/>
      <c r="J42" s="356"/>
      <c r="K42" s="357"/>
      <c r="L42" s="358"/>
      <c r="M42" s="355"/>
      <c r="N42" s="355"/>
      <c r="O42" s="355"/>
      <c r="P42" s="355"/>
      <c r="Q42" s="355"/>
      <c r="R42" s="359"/>
      <c r="S42" s="355"/>
      <c r="T42" s="363"/>
      <c r="U42" s="361"/>
      <c r="V42" s="364"/>
      <c r="W42" s="355"/>
      <c r="X42" s="355"/>
      <c r="Y42" s="355"/>
      <c r="Z42" s="355"/>
      <c r="AA42" s="355"/>
      <c r="AB42" s="355"/>
      <c r="AC42" s="355"/>
      <c r="AD42" s="355"/>
    </row>
    <row r="43" spans="1:30" s="354" customFormat="1" x14ac:dyDescent="0.25">
      <c r="A43" s="339"/>
      <c r="B43" s="355"/>
      <c r="C43" s="355"/>
      <c r="D43" s="355"/>
      <c r="E43" s="355"/>
      <c r="F43" s="339"/>
      <c r="G43" s="355"/>
      <c r="H43" s="355"/>
      <c r="I43" s="355"/>
      <c r="J43" s="356"/>
      <c r="K43" s="357"/>
      <c r="L43" s="358"/>
      <c r="M43" s="355"/>
      <c r="N43" s="355"/>
      <c r="O43" s="355"/>
      <c r="P43" s="355"/>
      <c r="Q43" s="355"/>
      <c r="R43" s="359"/>
      <c r="S43" s="355"/>
      <c r="T43" s="363"/>
      <c r="U43" s="361"/>
      <c r="V43" s="364"/>
      <c r="W43" s="355"/>
      <c r="X43" s="355"/>
      <c r="Y43" s="355"/>
      <c r="Z43" s="355"/>
      <c r="AA43" s="355"/>
      <c r="AB43" s="355"/>
      <c r="AC43" s="355"/>
      <c r="AD43" s="355"/>
    </row>
    <row r="44" spans="1:30" s="354" customFormat="1" x14ac:dyDescent="0.25">
      <c r="A44" s="339"/>
      <c r="B44" s="355"/>
      <c r="C44" s="355"/>
      <c r="D44" s="355"/>
      <c r="E44" s="355"/>
      <c r="F44" s="339"/>
      <c r="G44" s="355"/>
      <c r="H44" s="355"/>
      <c r="I44" s="355"/>
      <c r="J44" s="356"/>
      <c r="K44" s="357"/>
      <c r="L44" s="358"/>
      <c r="M44" s="355"/>
      <c r="N44" s="355"/>
      <c r="O44" s="355"/>
      <c r="P44" s="355"/>
      <c r="Q44" s="355"/>
      <c r="R44" s="359"/>
      <c r="S44" s="355"/>
      <c r="T44" s="363"/>
      <c r="U44" s="361"/>
      <c r="V44" s="364"/>
      <c r="W44" s="355"/>
      <c r="X44" s="355"/>
      <c r="Y44" s="355"/>
      <c r="Z44" s="355"/>
      <c r="AA44" s="355"/>
      <c r="AB44" s="355"/>
      <c r="AC44" s="355"/>
      <c r="AD44" s="355"/>
    </row>
    <row r="45" spans="1:30" s="354" customFormat="1" x14ac:dyDescent="0.25">
      <c r="A45" s="339"/>
      <c r="B45" s="355"/>
      <c r="C45" s="355"/>
      <c r="D45" s="355"/>
      <c r="E45" s="355"/>
      <c r="F45" s="339"/>
      <c r="G45" s="355"/>
      <c r="H45" s="355"/>
      <c r="I45" s="355"/>
      <c r="J45" s="356"/>
      <c r="K45" s="357"/>
      <c r="L45" s="358"/>
      <c r="M45" s="355"/>
      <c r="N45" s="355"/>
      <c r="O45" s="355"/>
      <c r="P45" s="355"/>
      <c r="Q45" s="355"/>
      <c r="R45" s="359"/>
      <c r="S45" s="355"/>
      <c r="T45" s="363"/>
      <c r="U45" s="361"/>
      <c r="V45" s="364"/>
      <c r="W45" s="355"/>
      <c r="X45" s="355"/>
      <c r="Y45" s="355"/>
      <c r="Z45" s="355"/>
      <c r="AA45" s="355"/>
      <c r="AB45" s="355"/>
      <c r="AC45" s="355"/>
      <c r="AD45" s="355"/>
    </row>
    <row r="46" spans="1:30" s="354" customFormat="1" x14ac:dyDescent="0.25">
      <c r="A46" s="339"/>
      <c r="B46" s="355"/>
      <c r="C46" s="355"/>
      <c r="D46" s="355"/>
      <c r="E46" s="355"/>
      <c r="F46" s="339"/>
      <c r="G46" s="355"/>
      <c r="H46" s="355"/>
      <c r="I46" s="355"/>
      <c r="J46" s="356"/>
      <c r="K46" s="357"/>
      <c r="L46" s="358"/>
      <c r="M46" s="355"/>
      <c r="N46" s="355"/>
      <c r="O46" s="355"/>
      <c r="P46" s="355"/>
      <c r="Q46" s="355"/>
      <c r="R46" s="359"/>
      <c r="S46" s="355"/>
      <c r="T46" s="363"/>
      <c r="U46" s="361"/>
      <c r="V46" s="364"/>
      <c r="W46" s="355"/>
      <c r="X46" s="355"/>
      <c r="Y46" s="355"/>
      <c r="Z46" s="355"/>
      <c r="AA46" s="355"/>
      <c r="AB46" s="355"/>
      <c r="AC46" s="355"/>
      <c r="AD46" s="355"/>
    </row>
    <row r="47" spans="1:30" s="354" customFormat="1" x14ac:dyDescent="0.25">
      <c r="A47" s="339"/>
      <c r="B47" s="355"/>
      <c r="C47" s="355"/>
      <c r="D47" s="355"/>
      <c r="E47" s="355"/>
      <c r="F47" s="339"/>
      <c r="G47" s="355"/>
      <c r="H47" s="355"/>
      <c r="I47" s="355"/>
      <c r="J47" s="356"/>
      <c r="K47" s="357"/>
      <c r="L47" s="358"/>
      <c r="M47" s="355"/>
      <c r="N47" s="355"/>
      <c r="O47" s="355"/>
      <c r="P47" s="355"/>
      <c r="Q47" s="355"/>
      <c r="R47" s="359"/>
      <c r="S47" s="355"/>
      <c r="T47" s="363"/>
      <c r="U47" s="361"/>
      <c r="V47" s="364"/>
      <c r="W47" s="355"/>
      <c r="X47" s="355"/>
      <c r="Y47" s="355"/>
      <c r="Z47" s="355"/>
      <c r="AA47" s="355"/>
      <c r="AB47" s="355"/>
      <c r="AC47" s="355"/>
      <c r="AD47" s="355"/>
    </row>
    <row r="48" spans="1:30" s="354" customFormat="1" x14ac:dyDescent="0.25">
      <c r="A48" s="339"/>
      <c r="B48" s="355"/>
      <c r="C48" s="355"/>
      <c r="D48" s="355"/>
      <c r="E48" s="355"/>
      <c r="F48" s="339"/>
      <c r="G48" s="355"/>
      <c r="H48" s="355"/>
      <c r="I48" s="355"/>
      <c r="J48" s="356"/>
      <c r="K48" s="357"/>
      <c r="L48" s="358"/>
      <c r="M48" s="355"/>
      <c r="N48" s="355"/>
      <c r="O48" s="355"/>
      <c r="P48" s="355"/>
      <c r="Q48" s="355"/>
      <c r="R48" s="359"/>
      <c r="S48" s="355"/>
      <c r="T48" s="363"/>
      <c r="U48" s="361"/>
      <c r="V48" s="364"/>
      <c r="W48" s="355"/>
      <c r="X48" s="355"/>
      <c r="Y48" s="355"/>
      <c r="Z48" s="355"/>
      <c r="AA48" s="355"/>
      <c r="AB48" s="355"/>
      <c r="AC48" s="355"/>
      <c r="AD48" s="355"/>
    </row>
    <row r="49" spans="1:30" s="354" customFormat="1" x14ac:dyDescent="0.25">
      <c r="A49" s="339"/>
      <c r="B49" s="355"/>
      <c r="C49" s="355"/>
      <c r="D49" s="355"/>
      <c r="E49" s="355"/>
      <c r="F49" s="339"/>
      <c r="G49" s="355"/>
      <c r="H49" s="355"/>
      <c r="I49" s="355"/>
      <c r="J49" s="356"/>
      <c r="K49" s="357"/>
      <c r="L49" s="358"/>
      <c r="M49" s="355"/>
      <c r="N49" s="355"/>
      <c r="O49" s="355"/>
      <c r="P49" s="355"/>
      <c r="Q49" s="355"/>
      <c r="R49" s="359"/>
      <c r="S49" s="355"/>
      <c r="T49" s="363"/>
      <c r="U49" s="361"/>
      <c r="V49" s="364"/>
      <c r="W49" s="355"/>
      <c r="X49" s="355"/>
      <c r="Y49" s="355"/>
      <c r="Z49" s="355"/>
      <c r="AA49" s="355"/>
      <c r="AB49" s="355"/>
      <c r="AC49" s="355"/>
      <c r="AD49" s="355"/>
    </row>
    <row r="50" spans="1:30" s="354" customFormat="1" x14ac:dyDescent="0.25">
      <c r="A50" s="339"/>
      <c r="B50" s="355"/>
      <c r="C50" s="355"/>
      <c r="D50" s="355"/>
      <c r="E50" s="355"/>
      <c r="F50" s="339"/>
      <c r="G50" s="355"/>
      <c r="H50" s="355"/>
      <c r="I50" s="355"/>
      <c r="J50" s="356"/>
      <c r="K50" s="357"/>
      <c r="L50" s="358"/>
      <c r="M50" s="355"/>
      <c r="N50" s="355"/>
      <c r="O50" s="355"/>
      <c r="P50" s="355"/>
      <c r="Q50" s="355"/>
      <c r="R50" s="359"/>
      <c r="S50" s="355"/>
      <c r="T50" s="363"/>
      <c r="U50" s="361"/>
      <c r="V50" s="364"/>
      <c r="W50" s="355"/>
      <c r="X50" s="355"/>
      <c r="Y50" s="355"/>
      <c r="Z50" s="355"/>
      <c r="AA50" s="355"/>
      <c r="AB50" s="355"/>
      <c r="AC50" s="355"/>
      <c r="AD50" s="355"/>
    </row>
    <row r="51" spans="1:30" s="354" customFormat="1" x14ac:dyDescent="0.25">
      <c r="A51" s="339"/>
      <c r="B51" s="355"/>
      <c r="C51" s="355"/>
      <c r="D51" s="355"/>
      <c r="E51" s="355"/>
      <c r="F51" s="339"/>
      <c r="G51" s="355"/>
      <c r="H51" s="355"/>
      <c r="I51" s="355"/>
      <c r="J51" s="356"/>
      <c r="K51" s="357"/>
      <c r="L51" s="358"/>
      <c r="M51" s="355"/>
      <c r="N51" s="355"/>
      <c r="O51" s="355"/>
      <c r="P51" s="355"/>
      <c r="Q51" s="355"/>
      <c r="R51" s="359"/>
      <c r="S51" s="355"/>
      <c r="T51" s="363"/>
      <c r="U51" s="361"/>
      <c r="V51" s="364"/>
      <c r="W51" s="355"/>
      <c r="X51" s="355"/>
      <c r="Y51" s="355"/>
      <c r="Z51" s="355"/>
      <c r="AA51" s="355"/>
      <c r="AB51" s="355"/>
      <c r="AC51" s="355"/>
      <c r="AD51" s="355"/>
    </row>
    <row r="52" spans="1:30" s="354" customFormat="1" x14ac:dyDescent="0.25">
      <c r="A52" s="339"/>
      <c r="B52" s="355"/>
      <c r="C52" s="355"/>
      <c r="D52" s="355"/>
      <c r="E52" s="355"/>
      <c r="F52" s="339"/>
      <c r="G52" s="355"/>
      <c r="H52" s="355"/>
      <c r="I52" s="355"/>
      <c r="J52" s="356"/>
      <c r="K52" s="357"/>
      <c r="L52" s="358"/>
      <c r="M52" s="355"/>
      <c r="N52" s="355"/>
      <c r="O52" s="355"/>
      <c r="P52" s="355"/>
      <c r="Q52" s="355"/>
      <c r="R52" s="359"/>
      <c r="S52" s="355"/>
      <c r="T52" s="363"/>
      <c r="U52" s="361"/>
      <c r="V52" s="364"/>
      <c r="W52" s="355"/>
      <c r="X52" s="355"/>
      <c r="Y52" s="355"/>
      <c r="Z52" s="355"/>
      <c r="AA52" s="355"/>
      <c r="AB52" s="355"/>
      <c r="AC52" s="355"/>
      <c r="AD52" s="355"/>
    </row>
    <row r="53" spans="1:30" s="354" customFormat="1" x14ac:dyDescent="0.25">
      <c r="A53" s="339"/>
      <c r="B53" s="355"/>
      <c r="C53" s="355"/>
      <c r="D53" s="355"/>
      <c r="E53" s="355"/>
      <c r="F53" s="339"/>
      <c r="G53" s="355"/>
      <c r="H53" s="355"/>
      <c r="I53" s="355"/>
      <c r="J53" s="356"/>
      <c r="K53" s="357"/>
      <c r="L53" s="358"/>
      <c r="M53" s="355"/>
      <c r="N53" s="355"/>
      <c r="O53" s="355"/>
      <c r="P53" s="355"/>
      <c r="Q53" s="355"/>
      <c r="R53" s="359"/>
      <c r="S53" s="355"/>
      <c r="T53" s="363"/>
      <c r="U53" s="361"/>
      <c r="V53" s="364"/>
      <c r="W53" s="355"/>
      <c r="X53" s="355"/>
      <c r="Y53" s="355"/>
      <c r="Z53" s="355"/>
      <c r="AA53" s="355"/>
      <c r="AB53" s="355"/>
      <c r="AC53" s="355"/>
      <c r="AD53" s="355"/>
    </row>
    <row r="54" spans="1:30" s="354" customFormat="1" x14ac:dyDescent="0.25">
      <c r="A54" s="339"/>
      <c r="B54" s="355"/>
      <c r="C54" s="355"/>
      <c r="D54" s="355"/>
      <c r="E54" s="355"/>
      <c r="F54" s="339"/>
      <c r="G54" s="355"/>
      <c r="H54" s="355"/>
      <c r="I54" s="355"/>
      <c r="J54" s="356"/>
      <c r="K54" s="357"/>
      <c r="L54" s="358"/>
      <c r="M54" s="355"/>
      <c r="N54" s="355"/>
      <c r="O54" s="355"/>
      <c r="P54" s="355"/>
      <c r="Q54" s="355"/>
      <c r="R54" s="359"/>
      <c r="S54" s="355"/>
      <c r="T54" s="363"/>
      <c r="U54" s="361"/>
      <c r="V54" s="364"/>
      <c r="W54" s="355"/>
      <c r="X54" s="355"/>
      <c r="Y54" s="355"/>
      <c r="Z54" s="355"/>
      <c r="AA54" s="355"/>
      <c r="AB54" s="355"/>
      <c r="AC54" s="355"/>
      <c r="AD54" s="355"/>
    </row>
    <row r="55" spans="1:30" s="354" customFormat="1" x14ac:dyDescent="0.25">
      <c r="A55" s="339"/>
      <c r="B55" s="355"/>
      <c r="C55" s="355"/>
      <c r="D55" s="355"/>
      <c r="E55" s="355"/>
      <c r="F55" s="339"/>
      <c r="G55" s="355"/>
      <c r="H55" s="355"/>
      <c r="I55" s="355"/>
      <c r="J55" s="356"/>
      <c r="K55" s="357"/>
      <c r="L55" s="358"/>
      <c r="M55" s="355"/>
      <c r="N55" s="355"/>
      <c r="O55" s="355"/>
      <c r="P55" s="355"/>
      <c r="Q55" s="355"/>
      <c r="R55" s="359"/>
      <c r="S55" s="355"/>
      <c r="T55" s="363"/>
      <c r="U55" s="361"/>
      <c r="V55" s="364"/>
      <c r="W55" s="355"/>
      <c r="X55" s="355"/>
      <c r="Y55" s="355"/>
      <c r="Z55" s="355"/>
      <c r="AA55" s="355"/>
      <c r="AB55" s="355"/>
      <c r="AC55" s="355"/>
      <c r="AD55" s="355"/>
    </row>
    <row r="56" spans="1:30" s="354" customFormat="1" x14ac:dyDescent="0.25">
      <c r="A56" s="339"/>
      <c r="B56" s="355"/>
      <c r="C56" s="355"/>
      <c r="D56" s="355"/>
      <c r="E56" s="355"/>
      <c r="F56" s="339"/>
      <c r="G56" s="355"/>
      <c r="H56" s="355"/>
      <c r="I56" s="355"/>
      <c r="J56" s="356"/>
      <c r="K56" s="357"/>
      <c r="L56" s="358"/>
      <c r="M56" s="355"/>
      <c r="N56" s="355"/>
      <c r="O56" s="355"/>
      <c r="P56" s="355"/>
      <c r="Q56" s="355"/>
      <c r="R56" s="359"/>
      <c r="S56" s="355"/>
      <c r="T56" s="363"/>
      <c r="U56" s="361"/>
      <c r="V56" s="364"/>
      <c r="W56" s="355"/>
      <c r="X56" s="355"/>
      <c r="Y56" s="355"/>
      <c r="Z56" s="355"/>
      <c r="AA56" s="355"/>
      <c r="AB56" s="355"/>
      <c r="AC56" s="355"/>
      <c r="AD56" s="355"/>
    </row>
    <row r="57" spans="1:30" s="354" customFormat="1" x14ac:dyDescent="0.25">
      <c r="A57" s="339"/>
      <c r="B57" s="355"/>
      <c r="C57" s="355"/>
      <c r="D57" s="355"/>
      <c r="E57" s="355"/>
      <c r="F57" s="339"/>
      <c r="G57" s="355"/>
      <c r="H57" s="355"/>
      <c r="I57" s="355"/>
      <c r="J57" s="356"/>
      <c r="K57" s="357"/>
      <c r="L57" s="358"/>
      <c r="M57" s="355"/>
      <c r="N57" s="355"/>
      <c r="O57" s="355"/>
      <c r="P57" s="355"/>
      <c r="Q57" s="355"/>
      <c r="R57" s="359"/>
      <c r="S57" s="355"/>
      <c r="T57" s="363"/>
      <c r="U57" s="361"/>
      <c r="V57" s="364"/>
      <c r="W57" s="355"/>
      <c r="X57" s="355"/>
      <c r="Y57" s="355"/>
      <c r="Z57" s="355"/>
      <c r="AA57" s="355"/>
      <c r="AB57" s="355"/>
      <c r="AC57" s="355"/>
      <c r="AD57" s="355"/>
    </row>
    <row r="58" spans="1:30" s="354" customFormat="1" x14ac:dyDescent="0.25">
      <c r="A58" s="339"/>
      <c r="B58" s="355"/>
      <c r="C58" s="355"/>
      <c r="D58" s="355"/>
      <c r="E58" s="355"/>
      <c r="F58" s="339"/>
      <c r="G58" s="355"/>
      <c r="H58" s="355"/>
      <c r="I58" s="355"/>
      <c r="J58" s="356"/>
      <c r="K58" s="357"/>
      <c r="L58" s="358"/>
      <c r="M58" s="355"/>
      <c r="N58" s="355"/>
      <c r="O58" s="355"/>
      <c r="P58" s="355"/>
      <c r="Q58" s="355"/>
      <c r="R58" s="359"/>
      <c r="S58" s="355"/>
      <c r="T58" s="363"/>
      <c r="U58" s="361"/>
      <c r="V58" s="364"/>
      <c r="W58" s="355"/>
      <c r="X58" s="355"/>
      <c r="Y58" s="355"/>
      <c r="Z58" s="355"/>
      <c r="AA58" s="355"/>
      <c r="AB58" s="355"/>
      <c r="AC58" s="355"/>
      <c r="AD58" s="355"/>
    </row>
    <row r="59" spans="1:30" s="354" customFormat="1" x14ac:dyDescent="0.25">
      <c r="A59" s="339"/>
      <c r="B59" s="355"/>
      <c r="C59" s="355"/>
      <c r="D59" s="355"/>
      <c r="E59" s="355"/>
      <c r="F59" s="339"/>
      <c r="G59" s="355"/>
      <c r="H59" s="355"/>
      <c r="I59" s="355"/>
      <c r="J59" s="356"/>
      <c r="K59" s="357"/>
      <c r="L59" s="358"/>
      <c r="M59" s="355"/>
      <c r="N59" s="355"/>
      <c r="O59" s="355"/>
      <c r="P59" s="355"/>
      <c r="Q59" s="355"/>
      <c r="R59" s="359"/>
      <c r="S59" s="355"/>
      <c r="T59" s="363"/>
      <c r="U59" s="361"/>
      <c r="V59" s="364"/>
      <c r="W59" s="355"/>
      <c r="X59" s="355"/>
      <c r="Y59" s="355"/>
      <c r="Z59" s="355"/>
      <c r="AA59" s="355"/>
      <c r="AB59" s="355"/>
      <c r="AC59" s="355"/>
      <c r="AD59" s="355"/>
    </row>
    <row r="60" spans="1:30" s="354" customFormat="1" x14ac:dyDescent="0.25">
      <c r="A60" s="339"/>
      <c r="B60" s="355"/>
      <c r="C60" s="355"/>
      <c r="D60" s="355"/>
      <c r="E60" s="355"/>
      <c r="F60" s="339"/>
      <c r="G60" s="355"/>
      <c r="H60" s="355"/>
      <c r="I60" s="355"/>
      <c r="J60" s="356"/>
      <c r="K60" s="357"/>
      <c r="L60" s="358"/>
      <c r="M60" s="355"/>
      <c r="N60" s="355"/>
      <c r="O60" s="355"/>
      <c r="P60" s="355"/>
      <c r="Q60" s="355"/>
      <c r="R60" s="365"/>
      <c r="S60" s="355"/>
      <c r="T60" s="363"/>
      <c r="U60" s="361"/>
      <c r="V60" s="364"/>
      <c r="W60" s="355"/>
      <c r="X60" s="355"/>
      <c r="Y60" s="355"/>
      <c r="Z60" s="355"/>
      <c r="AA60" s="355"/>
      <c r="AB60" s="355"/>
      <c r="AC60" s="355"/>
      <c r="AD60" s="355"/>
    </row>
    <row r="61" spans="1:30" s="354" customFormat="1" x14ac:dyDescent="0.25">
      <c r="A61" s="339"/>
      <c r="B61" s="355"/>
      <c r="C61" s="355"/>
      <c r="D61" s="355"/>
      <c r="E61" s="355"/>
      <c r="F61" s="339"/>
      <c r="G61" s="355"/>
      <c r="H61" s="355"/>
      <c r="I61" s="355"/>
      <c r="J61" s="356"/>
      <c r="K61" s="357"/>
      <c r="L61" s="358"/>
      <c r="M61" s="355"/>
      <c r="N61" s="355"/>
      <c r="O61" s="355"/>
      <c r="P61" s="355"/>
      <c r="Q61" s="355"/>
      <c r="R61" s="365"/>
      <c r="S61" s="355"/>
      <c r="T61" s="363"/>
      <c r="U61" s="361"/>
      <c r="V61" s="364"/>
      <c r="W61" s="355"/>
      <c r="X61" s="355"/>
      <c r="Y61" s="355"/>
      <c r="Z61" s="355"/>
      <c r="AA61" s="355"/>
      <c r="AB61" s="355"/>
      <c r="AC61" s="355"/>
      <c r="AD61" s="355"/>
    </row>
    <row r="62" spans="1:30" s="354" customFormat="1" x14ac:dyDescent="0.25">
      <c r="A62" s="339"/>
      <c r="B62" s="355"/>
      <c r="C62" s="355"/>
      <c r="D62" s="355"/>
      <c r="E62" s="355"/>
      <c r="F62" s="339"/>
      <c r="G62" s="355"/>
      <c r="H62" s="355"/>
      <c r="I62" s="355"/>
      <c r="J62" s="356"/>
      <c r="K62" s="357"/>
      <c r="L62" s="358"/>
      <c r="M62" s="355"/>
      <c r="N62" s="355"/>
      <c r="O62" s="355"/>
      <c r="P62" s="355"/>
      <c r="Q62" s="355"/>
      <c r="R62" s="365"/>
      <c r="S62" s="355"/>
      <c r="T62" s="363"/>
      <c r="U62" s="361"/>
      <c r="V62" s="364"/>
      <c r="W62" s="355"/>
      <c r="X62" s="355"/>
      <c r="Y62" s="355"/>
      <c r="Z62" s="355"/>
      <c r="AA62" s="355"/>
      <c r="AB62" s="355"/>
      <c r="AC62" s="355"/>
      <c r="AD62" s="355"/>
    </row>
    <row r="63" spans="1:30" s="354" customFormat="1" x14ac:dyDescent="0.25">
      <c r="A63" s="339"/>
      <c r="B63" s="355"/>
      <c r="C63" s="355"/>
      <c r="D63" s="355"/>
      <c r="E63" s="355"/>
      <c r="F63" s="339"/>
      <c r="G63" s="355"/>
      <c r="H63" s="355"/>
      <c r="I63" s="355"/>
      <c r="J63" s="356"/>
      <c r="K63" s="357"/>
      <c r="L63" s="358"/>
      <c r="M63" s="355"/>
      <c r="N63" s="355"/>
      <c r="O63" s="355"/>
      <c r="P63" s="355"/>
      <c r="Q63" s="355"/>
      <c r="R63" s="365"/>
      <c r="S63" s="355"/>
      <c r="T63" s="363"/>
      <c r="U63" s="361"/>
      <c r="V63" s="364"/>
      <c r="W63" s="355"/>
      <c r="X63" s="355"/>
      <c r="Y63" s="355"/>
      <c r="Z63" s="355"/>
      <c r="AA63" s="355"/>
      <c r="AB63" s="355"/>
      <c r="AC63" s="355"/>
      <c r="AD63" s="355"/>
    </row>
    <row r="64" spans="1:30" s="354" customFormat="1" x14ac:dyDescent="0.25">
      <c r="A64" s="339"/>
      <c r="B64" s="355"/>
      <c r="C64" s="355"/>
      <c r="D64" s="355"/>
      <c r="E64" s="355"/>
      <c r="F64" s="339"/>
      <c r="G64" s="355"/>
      <c r="H64" s="355"/>
      <c r="I64" s="355"/>
      <c r="J64" s="356"/>
      <c r="K64" s="357"/>
      <c r="L64" s="358"/>
      <c r="M64" s="355"/>
      <c r="N64" s="355"/>
      <c r="O64" s="355"/>
      <c r="P64" s="355"/>
      <c r="Q64" s="355"/>
      <c r="R64" s="365"/>
      <c r="S64" s="355"/>
      <c r="T64" s="363"/>
      <c r="U64" s="361"/>
      <c r="V64" s="364"/>
      <c r="W64" s="355"/>
      <c r="X64" s="355"/>
      <c r="Y64" s="355"/>
      <c r="Z64" s="355"/>
      <c r="AA64" s="355"/>
      <c r="AB64" s="355"/>
      <c r="AC64" s="355"/>
      <c r="AD64" s="355"/>
    </row>
    <row r="65" spans="1:30" s="354" customFormat="1" ht="17.25" customHeight="1" x14ac:dyDescent="0.25">
      <c r="A65" s="339"/>
      <c r="B65" s="355"/>
      <c r="C65" s="355"/>
      <c r="D65" s="355"/>
      <c r="E65" s="355"/>
      <c r="F65" s="339"/>
      <c r="G65" s="355"/>
      <c r="H65" s="355"/>
      <c r="I65" s="355"/>
      <c r="J65" s="356"/>
      <c r="K65" s="357"/>
      <c r="L65" s="358"/>
      <c r="M65" s="355"/>
      <c r="N65" s="355"/>
      <c r="O65" s="355"/>
      <c r="P65" s="355"/>
      <c r="Q65" s="355"/>
      <c r="R65" s="365"/>
      <c r="S65" s="355"/>
      <c r="T65" s="363"/>
      <c r="U65" s="361"/>
      <c r="V65" s="364"/>
      <c r="W65" s="355"/>
      <c r="X65" s="355"/>
      <c r="Y65" s="355"/>
      <c r="Z65" s="355"/>
      <c r="AA65" s="355"/>
      <c r="AB65" s="355"/>
      <c r="AC65" s="355"/>
      <c r="AD65" s="355"/>
    </row>
    <row r="66" spans="1:30" s="354" customFormat="1" x14ac:dyDescent="0.25">
      <c r="A66" s="339"/>
      <c r="B66" s="355"/>
      <c r="C66" s="355"/>
      <c r="D66" s="355"/>
      <c r="E66" s="355"/>
      <c r="F66" s="339"/>
      <c r="G66" s="355"/>
      <c r="H66" s="355"/>
      <c r="I66" s="355"/>
      <c r="J66" s="356"/>
      <c r="K66" s="357"/>
      <c r="L66" s="358"/>
      <c r="M66" s="355"/>
      <c r="N66" s="355"/>
      <c r="O66" s="355"/>
      <c r="P66" s="355"/>
      <c r="Q66" s="355"/>
      <c r="R66" s="365"/>
      <c r="S66" s="355"/>
      <c r="T66" s="363"/>
      <c r="U66" s="361"/>
      <c r="V66" s="364"/>
      <c r="W66" s="355"/>
      <c r="X66" s="355"/>
      <c r="Y66" s="355"/>
      <c r="Z66" s="355"/>
      <c r="AA66" s="355"/>
      <c r="AB66" s="355"/>
      <c r="AC66" s="355"/>
      <c r="AD66" s="355"/>
    </row>
    <row r="67" spans="1:30" s="354" customFormat="1" x14ac:dyDescent="0.25">
      <c r="A67" s="339"/>
      <c r="B67" s="355"/>
      <c r="C67" s="355"/>
      <c r="D67" s="355"/>
      <c r="E67" s="355"/>
      <c r="F67" s="339"/>
      <c r="G67" s="355"/>
      <c r="H67" s="355"/>
      <c r="I67" s="355"/>
      <c r="J67" s="356"/>
      <c r="K67" s="357"/>
      <c r="L67" s="358"/>
      <c r="M67" s="355"/>
      <c r="N67" s="355"/>
      <c r="O67" s="355"/>
      <c r="P67" s="355"/>
      <c r="Q67" s="355"/>
      <c r="R67" s="365"/>
      <c r="S67" s="355"/>
      <c r="T67" s="363"/>
      <c r="U67" s="361"/>
      <c r="V67" s="364"/>
      <c r="W67" s="355"/>
      <c r="X67" s="355"/>
      <c r="Y67" s="355"/>
      <c r="Z67" s="355"/>
      <c r="AA67" s="355"/>
      <c r="AB67" s="355"/>
      <c r="AC67" s="355"/>
      <c r="AD67" s="355"/>
    </row>
    <row r="68" spans="1:30" s="354" customFormat="1" x14ac:dyDescent="0.25">
      <c r="A68" s="339"/>
      <c r="B68" s="355"/>
      <c r="C68" s="355"/>
      <c r="D68" s="355"/>
      <c r="E68" s="355"/>
      <c r="F68" s="339"/>
      <c r="G68" s="355"/>
      <c r="H68" s="355"/>
      <c r="I68" s="355"/>
      <c r="J68" s="356"/>
      <c r="K68" s="357"/>
      <c r="L68" s="358"/>
      <c r="M68" s="355"/>
      <c r="N68" s="355"/>
      <c r="O68" s="355"/>
      <c r="P68" s="355"/>
      <c r="Q68" s="355"/>
      <c r="R68" s="365"/>
      <c r="S68" s="355"/>
      <c r="T68" s="363"/>
      <c r="U68" s="361"/>
      <c r="V68" s="364"/>
      <c r="W68" s="355"/>
      <c r="X68" s="355"/>
      <c r="Y68" s="355"/>
      <c r="Z68" s="355"/>
      <c r="AA68" s="355"/>
      <c r="AB68" s="355"/>
      <c r="AC68" s="355"/>
      <c r="AD68" s="355"/>
    </row>
    <row r="69" spans="1:30" s="354" customFormat="1" x14ac:dyDescent="0.25">
      <c r="A69" s="339"/>
      <c r="B69" s="355"/>
      <c r="C69" s="355"/>
      <c r="D69" s="355"/>
      <c r="E69" s="355"/>
      <c r="F69" s="339"/>
      <c r="G69" s="355"/>
      <c r="H69" s="355"/>
      <c r="I69" s="355"/>
      <c r="J69" s="356"/>
      <c r="K69" s="357"/>
      <c r="L69" s="358"/>
      <c r="M69" s="355"/>
      <c r="N69" s="355"/>
      <c r="O69" s="355"/>
      <c r="P69" s="355"/>
      <c r="Q69" s="355"/>
      <c r="R69" s="365"/>
      <c r="S69" s="355"/>
      <c r="T69" s="363"/>
      <c r="U69" s="361"/>
      <c r="V69" s="364"/>
      <c r="W69" s="355"/>
      <c r="X69" s="355"/>
      <c r="Y69" s="355"/>
      <c r="Z69" s="355"/>
      <c r="AA69" s="355"/>
      <c r="AB69" s="355"/>
      <c r="AC69" s="355"/>
      <c r="AD69" s="355"/>
    </row>
    <row r="70" spans="1:30" s="354" customFormat="1" x14ac:dyDescent="0.25">
      <c r="A70" s="339"/>
      <c r="B70" s="355"/>
      <c r="C70" s="355"/>
      <c r="D70" s="355"/>
      <c r="E70" s="355"/>
      <c r="F70" s="339"/>
      <c r="G70" s="355"/>
      <c r="H70" s="355"/>
      <c r="I70" s="355"/>
      <c r="J70" s="356"/>
      <c r="K70" s="357"/>
      <c r="L70" s="358"/>
      <c r="M70" s="355"/>
      <c r="N70" s="355"/>
      <c r="O70" s="355"/>
      <c r="P70" s="355"/>
      <c r="Q70" s="355"/>
      <c r="R70" s="365"/>
      <c r="S70" s="355"/>
      <c r="T70" s="363"/>
      <c r="U70" s="361"/>
      <c r="V70" s="364"/>
      <c r="W70" s="355"/>
      <c r="X70" s="355"/>
      <c r="Y70" s="355"/>
      <c r="Z70" s="355"/>
      <c r="AA70" s="355"/>
      <c r="AB70" s="355"/>
      <c r="AC70" s="355"/>
      <c r="AD70" s="355"/>
    </row>
    <row r="71" spans="1:30" s="354" customFormat="1" x14ac:dyDescent="0.25">
      <c r="A71" s="339"/>
      <c r="B71" s="355"/>
      <c r="C71" s="355"/>
      <c r="D71" s="355"/>
      <c r="E71" s="355"/>
      <c r="F71" s="339"/>
      <c r="G71" s="355"/>
      <c r="H71" s="355"/>
      <c r="I71" s="355"/>
      <c r="J71" s="356"/>
      <c r="K71" s="357"/>
      <c r="L71" s="358"/>
      <c r="M71" s="355"/>
      <c r="N71" s="355"/>
      <c r="O71" s="355"/>
      <c r="P71" s="355"/>
      <c r="Q71" s="355"/>
      <c r="R71" s="365"/>
      <c r="S71" s="355"/>
      <c r="T71" s="363"/>
      <c r="U71" s="361"/>
      <c r="V71" s="364"/>
      <c r="W71" s="355"/>
      <c r="X71" s="355"/>
      <c r="Y71" s="355"/>
      <c r="Z71" s="355"/>
      <c r="AA71" s="355"/>
      <c r="AB71" s="355"/>
      <c r="AC71" s="355"/>
      <c r="AD71" s="355"/>
    </row>
    <row r="72" spans="1:30" s="354" customFormat="1" x14ac:dyDescent="0.25">
      <c r="A72" s="339"/>
      <c r="B72" s="355"/>
      <c r="C72" s="355"/>
      <c r="D72" s="355"/>
      <c r="E72" s="355"/>
      <c r="F72" s="339"/>
      <c r="G72" s="355"/>
      <c r="H72" s="355"/>
      <c r="I72" s="355"/>
      <c r="J72" s="356"/>
      <c r="K72" s="357"/>
      <c r="L72" s="358"/>
      <c r="M72" s="355"/>
      <c r="N72" s="355"/>
      <c r="O72" s="355"/>
      <c r="P72" s="355"/>
      <c r="Q72" s="355"/>
      <c r="R72" s="365"/>
      <c r="S72" s="355"/>
      <c r="T72" s="363"/>
      <c r="U72" s="361"/>
      <c r="V72" s="364"/>
      <c r="W72" s="355"/>
      <c r="X72" s="355"/>
      <c r="Y72" s="355"/>
      <c r="Z72" s="355"/>
      <c r="AA72" s="355"/>
      <c r="AB72" s="355"/>
      <c r="AC72" s="355"/>
      <c r="AD72" s="355"/>
    </row>
    <row r="73" spans="1:30" s="354" customFormat="1" x14ac:dyDescent="0.25">
      <c r="A73" s="339"/>
      <c r="B73" s="355"/>
      <c r="C73" s="355"/>
      <c r="D73" s="355"/>
      <c r="E73" s="355"/>
      <c r="F73" s="339"/>
      <c r="G73" s="355"/>
      <c r="H73" s="355"/>
      <c r="I73" s="355"/>
      <c r="J73" s="356"/>
      <c r="K73" s="357"/>
      <c r="L73" s="358"/>
      <c r="M73" s="355"/>
      <c r="N73" s="355"/>
      <c r="O73" s="355"/>
      <c r="P73" s="355"/>
      <c r="Q73" s="355"/>
      <c r="R73" s="365"/>
      <c r="S73" s="355"/>
      <c r="T73" s="363"/>
      <c r="U73" s="361"/>
      <c r="V73" s="364"/>
      <c r="W73" s="355"/>
      <c r="X73" s="355"/>
      <c r="Y73" s="355"/>
      <c r="Z73" s="355"/>
      <c r="AA73" s="355"/>
      <c r="AB73" s="355"/>
      <c r="AC73" s="355"/>
      <c r="AD73" s="355"/>
    </row>
    <row r="74" spans="1:30" s="354" customFormat="1" x14ac:dyDescent="0.25">
      <c r="A74" s="339"/>
      <c r="B74" s="355"/>
      <c r="C74" s="355"/>
      <c r="D74" s="355"/>
      <c r="E74" s="355"/>
      <c r="F74" s="339"/>
      <c r="G74" s="355"/>
      <c r="H74" s="355"/>
      <c r="I74" s="355"/>
      <c r="J74" s="356"/>
      <c r="K74" s="357"/>
      <c r="L74" s="358"/>
      <c r="M74" s="355"/>
      <c r="N74" s="355"/>
      <c r="O74" s="355"/>
      <c r="P74" s="355"/>
      <c r="Q74" s="355"/>
      <c r="R74" s="365"/>
      <c r="S74" s="355"/>
      <c r="T74" s="363"/>
      <c r="U74" s="361"/>
      <c r="V74" s="364"/>
      <c r="W74" s="355"/>
      <c r="X74" s="355"/>
      <c r="Y74" s="355"/>
      <c r="Z74" s="355"/>
      <c r="AA74" s="355"/>
      <c r="AB74" s="355"/>
      <c r="AC74" s="355"/>
      <c r="AD74" s="355"/>
    </row>
    <row r="75" spans="1:30" s="354" customFormat="1" x14ac:dyDescent="0.25">
      <c r="A75" s="339"/>
      <c r="B75" s="355"/>
      <c r="C75" s="355"/>
      <c r="D75" s="355"/>
      <c r="E75" s="355"/>
      <c r="F75" s="339"/>
      <c r="G75" s="355"/>
      <c r="H75" s="355"/>
      <c r="I75" s="355"/>
      <c r="J75" s="356"/>
      <c r="K75" s="357"/>
      <c r="L75" s="358"/>
      <c r="M75" s="355"/>
      <c r="N75" s="355"/>
      <c r="O75" s="355"/>
      <c r="P75" s="355"/>
      <c r="Q75" s="355"/>
      <c r="R75" s="365"/>
      <c r="S75" s="355"/>
      <c r="T75" s="363"/>
      <c r="U75" s="361"/>
      <c r="V75" s="364"/>
      <c r="W75" s="355"/>
      <c r="X75" s="355"/>
      <c r="Y75" s="355"/>
      <c r="Z75" s="355"/>
      <c r="AA75" s="355"/>
      <c r="AB75" s="355"/>
      <c r="AC75" s="355"/>
      <c r="AD75" s="355"/>
    </row>
    <row r="76" spans="1:30" s="354" customFormat="1" x14ac:dyDescent="0.25">
      <c r="A76" s="339"/>
      <c r="B76" s="355"/>
      <c r="C76" s="355"/>
      <c r="D76" s="355"/>
      <c r="E76" s="355"/>
      <c r="F76" s="339"/>
      <c r="G76" s="355"/>
      <c r="H76" s="355"/>
      <c r="I76" s="355"/>
      <c r="J76" s="356"/>
      <c r="K76" s="357"/>
      <c r="L76" s="358"/>
      <c r="M76" s="355"/>
      <c r="N76" s="355"/>
      <c r="O76" s="355"/>
      <c r="P76" s="355"/>
      <c r="Q76" s="355"/>
      <c r="R76" s="365"/>
      <c r="S76" s="355"/>
      <c r="T76" s="363"/>
      <c r="U76" s="361"/>
      <c r="V76" s="364"/>
      <c r="W76" s="355"/>
      <c r="X76" s="355"/>
      <c r="Y76" s="355"/>
      <c r="Z76" s="355"/>
      <c r="AA76" s="355"/>
      <c r="AB76" s="355"/>
      <c r="AC76" s="355"/>
      <c r="AD76" s="355"/>
    </row>
    <row r="77" spans="1:30" s="354" customFormat="1" x14ac:dyDescent="0.25">
      <c r="A77" s="339"/>
      <c r="B77" s="355"/>
      <c r="C77" s="355"/>
      <c r="D77" s="355"/>
      <c r="E77" s="355"/>
      <c r="F77" s="339"/>
      <c r="G77" s="355"/>
      <c r="H77" s="355"/>
      <c r="I77" s="355"/>
      <c r="J77" s="356"/>
      <c r="K77" s="357"/>
      <c r="L77" s="358"/>
      <c r="M77" s="355"/>
      <c r="N77" s="355"/>
      <c r="O77" s="355"/>
      <c r="P77" s="355"/>
      <c r="Q77" s="355"/>
      <c r="R77" s="365"/>
      <c r="S77" s="355"/>
      <c r="T77" s="363"/>
      <c r="U77" s="361"/>
      <c r="V77" s="364"/>
      <c r="W77" s="355"/>
      <c r="X77" s="355"/>
      <c r="Y77" s="355"/>
      <c r="Z77" s="355"/>
      <c r="AA77" s="355"/>
      <c r="AB77" s="355"/>
      <c r="AC77" s="355"/>
      <c r="AD77" s="355"/>
    </row>
    <row r="78" spans="1:30" s="354" customFormat="1" x14ac:dyDescent="0.25">
      <c r="A78" s="339"/>
      <c r="B78" s="355"/>
      <c r="C78" s="355"/>
      <c r="D78" s="355"/>
      <c r="E78" s="355"/>
      <c r="F78" s="339"/>
      <c r="G78" s="355"/>
      <c r="H78" s="355"/>
      <c r="I78" s="355"/>
      <c r="J78" s="356"/>
      <c r="K78" s="357"/>
      <c r="L78" s="358"/>
      <c r="M78" s="355"/>
      <c r="N78" s="355"/>
      <c r="O78" s="355"/>
      <c r="P78" s="355"/>
      <c r="Q78" s="355"/>
      <c r="R78" s="365"/>
      <c r="S78" s="355"/>
      <c r="T78" s="363"/>
      <c r="U78" s="361"/>
      <c r="V78" s="364"/>
      <c r="W78" s="355"/>
      <c r="X78" s="355"/>
      <c r="Y78" s="355"/>
      <c r="Z78" s="355"/>
      <c r="AA78" s="355"/>
      <c r="AB78" s="355"/>
      <c r="AC78" s="355"/>
      <c r="AD78" s="355"/>
    </row>
    <row r="79" spans="1:30" s="354" customFormat="1" x14ac:dyDescent="0.25">
      <c r="A79" s="339"/>
      <c r="B79" s="355"/>
      <c r="C79" s="355"/>
      <c r="D79" s="355"/>
      <c r="E79" s="355"/>
      <c r="F79" s="339"/>
      <c r="G79" s="355"/>
      <c r="H79" s="355"/>
      <c r="I79" s="355"/>
      <c r="J79" s="356"/>
      <c r="K79" s="357"/>
      <c r="L79" s="358"/>
      <c r="M79" s="355"/>
      <c r="N79" s="355"/>
      <c r="O79" s="355"/>
      <c r="P79" s="355"/>
      <c r="Q79" s="355"/>
      <c r="R79" s="365"/>
      <c r="S79" s="355"/>
      <c r="T79" s="363"/>
      <c r="U79" s="361"/>
      <c r="V79" s="364"/>
      <c r="W79" s="355"/>
      <c r="X79" s="355"/>
      <c r="Y79" s="355"/>
      <c r="Z79" s="355"/>
      <c r="AA79" s="355"/>
      <c r="AB79" s="355"/>
      <c r="AC79" s="355"/>
      <c r="AD79" s="355"/>
    </row>
    <row r="80" spans="1:30" s="354" customFormat="1" x14ac:dyDescent="0.25">
      <c r="A80" s="339"/>
      <c r="B80" s="355"/>
      <c r="C80" s="355"/>
      <c r="D80" s="355"/>
      <c r="E80" s="355"/>
      <c r="F80" s="339"/>
      <c r="G80" s="355"/>
      <c r="H80" s="355"/>
      <c r="I80" s="355"/>
      <c r="J80" s="356"/>
      <c r="K80" s="357"/>
      <c r="L80" s="358"/>
      <c r="M80" s="355"/>
      <c r="N80" s="355"/>
      <c r="O80" s="355"/>
      <c r="P80" s="355"/>
      <c r="Q80" s="355"/>
      <c r="R80" s="365"/>
      <c r="S80" s="355"/>
      <c r="T80" s="363"/>
      <c r="U80" s="361"/>
      <c r="V80" s="364"/>
      <c r="W80" s="355"/>
      <c r="X80" s="355"/>
      <c r="Y80" s="355"/>
      <c r="Z80" s="355"/>
      <c r="AA80" s="355"/>
      <c r="AB80" s="355"/>
      <c r="AC80" s="355"/>
      <c r="AD80" s="355"/>
    </row>
    <row r="81" spans="1:30" s="354" customFormat="1" x14ac:dyDescent="0.25">
      <c r="A81" s="339"/>
      <c r="B81" s="355"/>
      <c r="C81" s="355"/>
      <c r="D81" s="355"/>
      <c r="E81" s="355"/>
      <c r="F81" s="339"/>
      <c r="G81" s="355"/>
      <c r="H81" s="355"/>
      <c r="I81" s="355"/>
      <c r="J81" s="356"/>
      <c r="K81" s="357"/>
      <c r="L81" s="358"/>
      <c r="M81" s="355"/>
      <c r="N81" s="355"/>
      <c r="O81" s="355"/>
      <c r="P81" s="355"/>
      <c r="Q81" s="355"/>
      <c r="R81" s="365"/>
      <c r="S81" s="355"/>
      <c r="T81" s="363"/>
      <c r="U81" s="361"/>
      <c r="V81" s="364"/>
      <c r="W81" s="355"/>
      <c r="X81" s="355"/>
      <c r="Y81" s="355"/>
      <c r="Z81" s="355"/>
      <c r="AA81" s="355"/>
      <c r="AB81" s="355"/>
      <c r="AC81" s="355"/>
      <c r="AD81" s="355"/>
    </row>
    <row r="82" spans="1:30" s="354" customFormat="1" x14ac:dyDescent="0.25">
      <c r="A82" s="339"/>
      <c r="B82" s="355"/>
      <c r="C82" s="355"/>
      <c r="D82" s="355"/>
      <c r="E82" s="355"/>
      <c r="F82" s="339"/>
      <c r="G82" s="355"/>
      <c r="H82" s="355"/>
      <c r="I82" s="355"/>
      <c r="J82" s="356"/>
      <c r="K82" s="357"/>
      <c r="L82" s="358"/>
      <c r="M82" s="355"/>
      <c r="N82" s="355"/>
      <c r="O82" s="355"/>
      <c r="P82" s="355"/>
      <c r="Q82" s="355"/>
      <c r="R82" s="365"/>
      <c r="S82" s="355"/>
      <c r="T82" s="363"/>
      <c r="U82" s="361"/>
      <c r="V82" s="364"/>
      <c r="W82" s="355"/>
      <c r="X82" s="355"/>
      <c r="Y82" s="355"/>
      <c r="Z82" s="355"/>
      <c r="AA82" s="355"/>
      <c r="AB82" s="355"/>
      <c r="AC82" s="355"/>
      <c r="AD82" s="355"/>
    </row>
    <row r="83" spans="1:30" s="354" customFormat="1" x14ac:dyDescent="0.25">
      <c r="A83" s="339"/>
      <c r="B83" s="355"/>
      <c r="C83" s="355"/>
      <c r="D83" s="355"/>
      <c r="E83" s="355"/>
      <c r="F83" s="339"/>
      <c r="G83" s="355"/>
      <c r="H83" s="355"/>
      <c r="I83" s="355"/>
      <c r="J83" s="356"/>
      <c r="K83" s="357"/>
      <c r="L83" s="358"/>
      <c r="M83" s="355"/>
      <c r="N83" s="355"/>
      <c r="O83" s="355"/>
      <c r="P83" s="355"/>
      <c r="Q83" s="355"/>
      <c r="R83" s="365"/>
      <c r="S83" s="355"/>
      <c r="T83" s="363"/>
      <c r="U83" s="361"/>
      <c r="V83" s="364"/>
      <c r="W83" s="355"/>
      <c r="X83" s="355"/>
      <c r="Y83" s="355"/>
      <c r="Z83" s="355"/>
      <c r="AA83" s="355"/>
      <c r="AB83" s="355"/>
      <c r="AC83" s="355"/>
      <c r="AD83" s="355"/>
    </row>
    <row r="84" spans="1:30" s="354" customFormat="1" x14ac:dyDescent="0.25">
      <c r="A84" s="339"/>
      <c r="B84" s="355"/>
      <c r="C84" s="355"/>
      <c r="D84" s="355"/>
      <c r="E84" s="355"/>
      <c r="F84" s="339"/>
      <c r="G84" s="355"/>
      <c r="H84" s="355"/>
      <c r="I84" s="355"/>
      <c r="J84" s="356"/>
      <c r="K84" s="357"/>
      <c r="L84" s="358"/>
      <c r="M84" s="355"/>
      <c r="N84" s="355"/>
      <c r="O84" s="355"/>
      <c r="P84" s="355"/>
      <c r="Q84" s="355"/>
      <c r="R84" s="365"/>
      <c r="S84" s="355"/>
      <c r="T84" s="363"/>
      <c r="U84" s="361"/>
      <c r="V84" s="364"/>
      <c r="W84" s="355"/>
      <c r="X84" s="355"/>
      <c r="Y84" s="355"/>
      <c r="Z84" s="355"/>
      <c r="AA84" s="355"/>
      <c r="AB84" s="355"/>
      <c r="AC84" s="355"/>
      <c r="AD84" s="355"/>
    </row>
    <row r="85" spans="1:30" s="354" customFormat="1" x14ac:dyDescent="0.25">
      <c r="A85" s="339"/>
      <c r="B85" s="355"/>
      <c r="C85" s="355"/>
      <c r="D85" s="355"/>
      <c r="E85" s="355"/>
      <c r="F85" s="339"/>
      <c r="G85" s="355"/>
      <c r="H85" s="355"/>
      <c r="I85" s="355"/>
      <c r="J85" s="356"/>
      <c r="K85" s="357"/>
      <c r="L85" s="358"/>
      <c r="M85" s="355"/>
      <c r="N85" s="355"/>
      <c r="O85" s="355"/>
      <c r="P85" s="355"/>
      <c r="Q85" s="355"/>
      <c r="R85" s="365"/>
      <c r="S85" s="355"/>
      <c r="T85" s="363"/>
      <c r="U85" s="361"/>
      <c r="V85" s="364"/>
      <c r="W85" s="355"/>
      <c r="X85" s="355"/>
      <c r="Y85" s="355"/>
      <c r="Z85" s="355"/>
      <c r="AA85" s="355"/>
      <c r="AB85" s="355"/>
      <c r="AC85" s="355"/>
      <c r="AD85" s="355"/>
    </row>
    <row r="86" spans="1:30" s="354" customFormat="1" x14ac:dyDescent="0.25">
      <c r="A86" s="339"/>
      <c r="B86" s="355"/>
      <c r="C86" s="355"/>
      <c r="D86" s="355"/>
      <c r="E86" s="355"/>
      <c r="F86" s="339"/>
      <c r="G86" s="355"/>
      <c r="H86" s="355"/>
      <c r="I86" s="355"/>
      <c r="J86" s="356"/>
      <c r="K86" s="357"/>
      <c r="L86" s="358"/>
      <c r="M86" s="355"/>
      <c r="N86" s="355"/>
      <c r="O86" s="355"/>
      <c r="P86" s="355"/>
      <c r="Q86" s="355"/>
      <c r="R86" s="365"/>
      <c r="S86" s="355"/>
      <c r="T86" s="363"/>
      <c r="U86" s="361"/>
      <c r="V86" s="364"/>
      <c r="W86" s="355"/>
      <c r="X86" s="355"/>
      <c r="Y86" s="355"/>
      <c r="Z86" s="355"/>
      <c r="AA86" s="355"/>
      <c r="AB86" s="355"/>
      <c r="AC86" s="355"/>
      <c r="AD86" s="355"/>
    </row>
    <row r="87" spans="1:30" s="354" customFormat="1" x14ac:dyDescent="0.25">
      <c r="A87" s="339"/>
      <c r="B87" s="355"/>
      <c r="C87" s="355"/>
      <c r="D87" s="355"/>
      <c r="E87" s="355"/>
      <c r="F87" s="339"/>
      <c r="G87" s="355"/>
      <c r="H87" s="355"/>
      <c r="I87" s="355"/>
      <c r="J87" s="356"/>
      <c r="K87" s="357"/>
      <c r="L87" s="358"/>
      <c r="M87" s="355"/>
      <c r="N87" s="355"/>
      <c r="O87" s="355"/>
      <c r="P87" s="355"/>
      <c r="Q87" s="355"/>
      <c r="R87" s="365"/>
      <c r="S87" s="355"/>
      <c r="T87" s="363"/>
      <c r="U87" s="361"/>
      <c r="V87" s="364"/>
      <c r="W87" s="355"/>
      <c r="X87" s="355"/>
      <c r="Y87" s="355"/>
      <c r="Z87" s="355"/>
      <c r="AA87" s="355"/>
      <c r="AB87" s="355"/>
      <c r="AC87" s="355"/>
      <c r="AD87" s="355"/>
    </row>
    <row r="88" spans="1:30" s="354" customFormat="1" x14ac:dyDescent="0.25">
      <c r="A88" s="339"/>
      <c r="B88" s="355"/>
      <c r="C88" s="355"/>
      <c r="D88" s="355"/>
      <c r="E88" s="355"/>
      <c r="F88" s="339"/>
      <c r="G88" s="355"/>
      <c r="H88" s="355"/>
      <c r="I88" s="355"/>
      <c r="J88" s="356"/>
      <c r="K88" s="357"/>
      <c r="L88" s="358"/>
      <c r="M88" s="355"/>
      <c r="N88" s="355"/>
      <c r="O88" s="355"/>
      <c r="P88" s="355"/>
      <c r="Q88" s="355"/>
      <c r="R88" s="365"/>
      <c r="S88" s="355"/>
      <c r="T88" s="363"/>
      <c r="U88" s="361"/>
      <c r="V88" s="364"/>
      <c r="W88" s="355"/>
      <c r="X88" s="355"/>
      <c r="Y88" s="355"/>
      <c r="Z88" s="355"/>
      <c r="AA88" s="355"/>
      <c r="AB88" s="355"/>
      <c r="AC88" s="355"/>
      <c r="AD88" s="355"/>
    </row>
    <row r="89" spans="1:30" s="354" customFormat="1" x14ac:dyDescent="0.25">
      <c r="A89" s="339"/>
      <c r="B89" s="355"/>
      <c r="C89" s="355"/>
      <c r="D89" s="355"/>
      <c r="E89" s="355"/>
      <c r="F89" s="339"/>
      <c r="G89" s="355"/>
      <c r="H89" s="355"/>
      <c r="I89" s="355"/>
      <c r="J89" s="356"/>
      <c r="K89" s="357"/>
      <c r="L89" s="358"/>
      <c r="M89" s="355"/>
      <c r="N89" s="355"/>
      <c r="O89" s="355"/>
      <c r="P89" s="355"/>
      <c r="Q89" s="355"/>
      <c r="R89" s="365"/>
      <c r="S89" s="355"/>
      <c r="T89" s="363"/>
      <c r="U89" s="361"/>
      <c r="V89" s="364"/>
      <c r="W89" s="355"/>
      <c r="X89" s="355"/>
      <c r="Y89" s="355"/>
      <c r="Z89" s="355"/>
      <c r="AA89" s="355"/>
      <c r="AB89" s="355"/>
      <c r="AC89" s="355"/>
      <c r="AD89" s="355"/>
    </row>
    <row r="90" spans="1:30" s="354" customFormat="1" x14ac:dyDescent="0.25">
      <c r="A90" s="339"/>
      <c r="B90" s="355"/>
      <c r="C90" s="355"/>
      <c r="D90" s="355"/>
      <c r="E90" s="355"/>
      <c r="F90" s="339"/>
      <c r="G90" s="355"/>
      <c r="H90" s="355"/>
      <c r="I90" s="355"/>
      <c r="J90" s="356"/>
      <c r="K90" s="357"/>
      <c r="L90" s="358"/>
      <c r="M90" s="355"/>
      <c r="N90" s="355"/>
      <c r="O90" s="355"/>
      <c r="P90" s="355"/>
      <c r="Q90" s="355"/>
      <c r="R90" s="365"/>
      <c r="S90" s="355"/>
      <c r="T90" s="363"/>
      <c r="U90" s="361"/>
      <c r="V90" s="364"/>
      <c r="W90" s="355"/>
      <c r="X90" s="355"/>
      <c r="Y90" s="355"/>
      <c r="Z90" s="355"/>
      <c r="AA90" s="355"/>
      <c r="AB90" s="355"/>
      <c r="AC90" s="355"/>
      <c r="AD90" s="355"/>
    </row>
    <row r="91" spans="1:30" s="354" customFormat="1" x14ac:dyDescent="0.25">
      <c r="A91" s="339"/>
      <c r="B91" s="355"/>
      <c r="C91" s="355"/>
      <c r="D91" s="355"/>
      <c r="E91" s="355"/>
      <c r="F91" s="339"/>
      <c r="G91" s="355"/>
      <c r="H91" s="355"/>
      <c r="I91" s="355"/>
      <c r="J91" s="356"/>
      <c r="K91" s="357"/>
      <c r="L91" s="358"/>
      <c r="M91" s="355"/>
      <c r="N91" s="355"/>
      <c r="O91" s="355"/>
      <c r="P91" s="355"/>
      <c r="Q91" s="355"/>
      <c r="R91" s="365"/>
      <c r="S91" s="355"/>
      <c r="T91" s="363"/>
      <c r="U91" s="361"/>
      <c r="V91" s="364"/>
      <c r="W91" s="355"/>
      <c r="X91" s="355"/>
      <c r="Y91" s="355"/>
      <c r="Z91" s="355"/>
      <c r="AA91" s="355"/>
      <c r="AB91" s="355"/>
      <c r="AC91" s="355"/>
      <c r="AD91" s="355"/>
    </row>
    <row r="92" spans="1:30" s="354" customFormat="1" x14ac:dyDescent="0.25">
      <c r="A92" s="339"/>
      <c r="B92" s="355"/>
      <c r="C92" s="355"/>
      <c r="D92" s="355"/>
      <c r="E92" s="355"/>
      <c r="F92" s="339"/>
      <c r="G92" s="355"/>
      <c r="H92" s="355"/>
      <c r="I92" s="355"/>
      <c r="J92" s="356"/>
      <c r="K92" s="357"/>
      <c r="L92" s="358"/>
      <c r="M92" s="355"/>
      <c r="N92" s="355"/>
      <c r="O92" s="355"/>
      <c r="P92" s="355"/>
      <c r="Q92" s="355"/>
      <c r="R92" s="365"/>
      <c r="S92" s="355"/>
      <c r="T92" s="363"/>
      <c r="U92" s="361"/>
      <c r="V92" s="364"/>
      <c r="W92" s="355"/>
      <c r="X92" s="355"/>
      <c r="Y92" s="355"/>
      <c r="Z92" s="355"/>
      <c r="AA92" s="355"/>
      <c r="AB92" s="355"/>
      <c r="AC92" s="355"/>
      <c r="AD92" s="355"/>
    </row>
    <row r="93" spans="1:30" s="354" customFormat="1" x14ac:dyDescent="0.25">
      <c r="A93" s="339"/>
      <c r="B93" s="355"/>
      <c r="C93" s="355"/>
      <c r="D93" s="355"/>
      <c r="E93" s="355"/>
      <c r="F93" s="339"/>
      <c r="G93" s="355"/>
      <c r="H93" s="355"/>
      <c r="I93" s="355"/>
      <c r="J93" s="356"/>
      <c r="K93" s="357"/>
      <c r="L93" s="358"/>
      <c r="M93" s="355"/>
      <c r="N93" s="355"/>
      <c r="O93" s="355"/>
      <c r="P93" s="355"/>
      <c r="Q93" s="355"/>
      <c r="R93" s="365"/>
      <c r="S93" s="355"/>
      <c r="T93" s="363"/>
      <c r="U93" s="361"/>
      <c r="V93" s="364"/>
      <c r="W93" s="355"/>
      <c r="X93" s="355"/>
      <c r="Y93" s="355"/>
      <c r="Z93" s="355"/>
      <c r="AA93" s="355"/>
      <c r="AB93" s="355"/>
      <c r="AC93" s="355"/>
      <c r="AD93" s="355"/>
    </row>
    <row r="94" spans="1:30" s="354" customFormat="1" x14ac:dyDescent="0.25">
      <c r="A94" s="339"/>
      <c r="B94" s="355"/>
      <c r="C94" s="355"/>
      <c r="D94" s="355"/>
      <c r="E94" s="355"/>
      <c r="F94" s="339"/>
      <c r="G94" s="355"/>
      <c r="H94" s="355"/>
      <c r="I94" s="355"/>
      <c r="J94" s="356"/>
      <c r="K94" s="357"/>
      <c r="L94" s="358"/>
      <c r="M94" s="355"/>
      <c r="N94" s="355"/>
      <c r="O94" s="355"/>
      <c r="P94" s="355"/>
      <c r="Q94" s="355"/>
      <c r="R94" s="365"/>
      <c r="S94" s="355"/>
      <c r="T94" s="363"/>
      <c r="U94" s="361"/>
      <c r="V94" s="364"/>
      <c r="W94" s="355"/>
      <c r="X94" s="355"/>
      <c r="Y94" s="355"/>
      <c r="Z94" s="355"/>
      <c r="AA94" s="355"/>
      <c r="AB94" s="355"/>
      <c r="AC94" s="355"/>
      <c r="AD94" s="355"/>
    </row>
    <row r="95" spans="1:30" s="354" customFormat="1" x14ac:dyDescent="0.25">
      <c r="A95" s="339"/>
      <c r="B95" s="355"/>
      <c r="C95" s="355"/>
      <c r="D95" s="355"/>
      <c r="E95" s="355"/>
      <c r="F95" s="339"/>
      <c r="G95" s="355"/>
      <c r="H95" s="355"/>
      <c r="I95" s="355"/>
      <c r="J95" s="356"/>
      <c r="K95" s="357"/>
      <c r="L95" s="358"/>
      <c r="M95" s="355"/>
      <c r="N95" s="355"/>
      <c r="O95" s="355"/>
      <c r="P95" s="355"/>
      <c r="Q95" s="355"/>
      <c r="R95" s="365"/>
      <c r="S95" s="355"/>
      <c r="T95" s="363"/>
      <c r="U95" s="361"/>
      <c r="V95" s="364"/>
      <c r="W95" s="355"/>
      <c r="X95" s="355"/>
      <c r="Y95" s="355"/>
      <c r="Z95" s="355"/>
      <c r="AA95" s="355"/>
      <c r="AB95" s="355"/>
      <c r="AC95" s="355"/>
      <c r="AD95" s="355"/>
    </row>
    <row r="96" spans="1:30" s="354" customFormat="1" x14ac:dyDescent="0.25">
      <c r="A96" s="339"/>
      <c r="B96" s="355"/>
      <c r="C96" s="355"/>
      <c r="D96" s="355"/>
      <c r="E96" s="355"/>
      <c r="F96" s="339"/>
      <c r="G96" s="355"/>
      <c r="H96" s="355"/>
      <c r="I96" s="355"/>
      <c r="J96" s="356"/>
      <c r="K96" s="357"/>
      <c r="L96" s="358"/>
      <c r="M96" s="355"/>
      <c r="N96" s="355"/>
      <c r="O96" s="355"/>
      <c r="P96" s="355"/>
      <c r="Q96" s="355"/>
      <c r="R96" s="365"/>
      <c r="S96" s="355"/>
      <c r="T96" s="363"/>
      <c r="U96" s="361"/>
      <c r="V96" s="364"/>
      <c r="W96" s="355"/>
      <c r="X96" s="355"/>
      <c r="Y96" s="355"/>
      <c r="Z96" s="355"/>
      <c r="AA96" s="355"/>
      <c r="AB96" s="355"/>
      <c r="AC96" s="355"/>
      <c r="AD96" s="355"/>
    </row>
    <row r="97" spans="1:30" s="354" customFormat="1" x14ac:dyDescent="0.25">
      <c r="A97" s="339"/>
      <c r="B97" s="355"/>
      <c r="C97" s="355"/>
      <c r="D97" s="355"/>
      <c r="E97" s="355"/>
      <c r="F97" s="339"/>
      <c r="G97" s="355"/>
      <c r="H97" s="355"/>
      <c r="I97" s="355"/>
      <c r="J97" s="356"/>
      <c r="K97" s="357"/>
      <c r="L97" s="358"/>
      <c r="M97" s="355"/>
      <c r="N97" s="355"/>
      <c r="O97" s="355"/>
      <c r="P97" s="355"/>
      <c r="Q97" s="355"/>
      <c r="R97" s="365"/>
      <c r="S97" s="355"/>
      <c r="T97" s="363"/>
      <c r="U97" s="361"/>
      <c r="V97" s="364"/>
      <c r="W97" s="355"/>
      <c r="X97" s="355"/>
      <c r="Y97" s="355"/>
      <c r="Z97" s="355"/>
      <c r="AA97" s="355"/>
      <c r="AB97" s="355"/>
      <c r="AC97" s="355"/>
      <c r="AD97" s="355"/>
    </row>
    <row r="98" spans="1:30" s="354" customFormat="1" x14ac:dyDescent="0.25">
      <c r="A98" s="339"/>
      <c r="B98" s="355"/>
      <c r="C98" s="355"/>
      <c r="D98" s="355"/>
      <c r="E98" s="355"/>
      <c r="F98" s="339"/>
      <c r="G98" s="355"/>
      <c r="H98" s="355"/>
      <c r="I98" s="355"/>
      <c r="J98" s="356"/>
      <c r="K98" s="357"/>
      <c r="L98" s="358"/>
      <c r="M98" s="355"/>
      <c r="N98" s="355"/>
      <c r="O98" s="355"/>
      <c r="P98" s="355"/>
      <c r="Q98" s="355"/>
      <c r="R98" s="365"/>
      <c r="S98" s="355"/>
      <c r="T98" s="363"/>
      <c r="U98" s="361"/>
      <c r="V98" s="364"/>
      <c r="W98" s="355"/>
      <c r="X98" s="355"/>
      <c r="Y98" s="355"/>
      <c r="Z98" s="355"/>
      <c r="AA98" s="355"/>
      <c r="AB98" s="355"/>
      <c r="AC98" s="355"/>
      <c r="AD98" s="355"/>
    </row>
    <row r="99" spans="1:30" s="354" customFormat="1" x14ac:dyDescent="0.25">
      <c r="A99" s="339"/>
      <c r="B99" s="355"/>
      <c r="C99" s="355"/>
      <c r="D99" s="355"/>
      <c r="E99" s="355"/>
      <c r="F99" s="339"/>
      <c r="G99" s="355"/>
      <c r="H99" s="355"/>
      <c r="I99" s="355"/>
      <c r="J99" s="356"/>
      <c r="K99" s="357"/>
      <c r="L99" s="358"/>
      <c r="M99" s="355"/>
      <c r="N99" s="355"/>
      <c r="O99" s="355"/>
      <c r="P99" s="355"/>
      <c r="Q99" s="355"/>
      <c r="R99" s="365"/>
      <c r="S99" s="355"/>
      <c r="T99" s="363"/>
      <c r="U99" s="361"/>
      <c r="V99" s="364"/>
      <c r="W99" s="355"/>
      <c r="X99" s="355"/>
      <c r="Y99" s="355"/>
      <c r="Z99" s="355"/>
      <c r="AA99" s="355"/>
      <c r="AB99" s="355"/>
      <c r="AC99" s="355"/>
      <c r="AD99" s="355"/>
    </row>
    <row r="100" spans="1:30" s="354" customFormat="1" x14ac:dyDescent="0.25">
      <c r="A100" s="339"/>
      <c r="B100" s="355"/>
      <c r="C100" s="355"/>
      <c r="D100" s="355"/>
      <c r="E100" s="355"/>
      <c r="F100" s="339"/>
      <c r="G100" s="355"/>
      <c r="H100" s="355"/>
      <c r="I100" s="355"/>
      <c r="J100" s="356"/>
      <c r="K100" s="357"/>
      <c r="L100" s="358"/>
      <c r="M100" s="355"/>
      <c r="N100" s="355"/>
      <c r="O100" s="355"/>
      <c r="P100" s="355"/>
      <c r="Q100" s="355"/>
      <c r="R100" s="365"/>
      <c r="S100" s="355"/>
      <c r="T100" s="363"/>
      <c r="U100" s="361"/>
      <c r="V100" s="364"/>
      <c r="W100" s="355"/>
      <c r="X100" s="355"/>
      <c r="Y100" s="355"/>
      <c r="Z100" s="355"/>
      <c r="AA100" s="355"/>
      <c r="AB100" s="355"/>
      <c r="AC100" s="355"/>
      <c r="AD100" s="355"/>
    </row>
    <row r="101" spans="1:30" s="354" customFormat="1" x14ac:dyDescent="0.25">
      <c r="A101" s="339"/>
      <c r="B101" s="355"/>
      <c r="C101" s="355"/>
      <c r="D101" s="355"/>
      <c r="E101" s="355"/>
      <c r="F101" s="339"/>
      <c r="G101" s="355"/>
      <c r="H101" s="355"/>
      <c r="I101" s="355"/>
      <c r="J101" s="356"/>
      <c r="K101" s="357"/>
      <c r="L101" s="358"/>
      <c r="M101" s="355"/>
      <c r="N101" s="355"/>
      <c r="O101" s="355"/>
      <c r="P101" s="355"/>
      <c r="Q101" s="355"/>
      <c r="R101" s="365"/>
      <c r="S101" s="355"/>
      <c r="T101" s="363"/>
      <c r="U101" s="361"/>
      <c r="V101" s="364"/>
      <c r="W101" s="355"/>
      <c r="X101" s="355"/>
      <c r="Y101" s="355"/>
      <c r="Z101" s="355"/>
      <c r="AA101" s="355"/>
      <c r="AB101" s="355"/>
      <c r="AC101" s="355"/>
      <c r="AD101" s="355"/>
    </row>
    <row r="102" spans="1:30" s="354" customFormat="1" x14ac:dyDescent="0.25">
      <c r="A102" s="339"/>
      <c r="B102" s="355"/>
      <c r="C102" s="355"/>
      <c r="D102" s="355"/>
      <c r="E102" s="355"/>
      <c r="F102" s="339"/>
      <c r="G102" s="355"/>
      <c r="H102" s="355"/>
      <c r="I102" s="355"/>
      <c r="J102" s="356"/>
      <c r="K102" s="357"/>
      <c r="L102" s="358"/>
      <c r="M102" s="355"/>
      <c r="N102" s="355"/>
      <c r="O102" s="355"/>
      <c r="P102" s="355"/>
      <c r="Q102" s="355"/>
      <c r="R102" s="365"/>
      <c r="S102" s="355"/>
      <c r="T102" s="363"/>
      <c r="U102" s="361"/>
      <c r="V102" s="364"/>
      <c r="W102" s="355"/>
      <c r="X102" s="355"/>
      <c r="Y102" s="355"/>
      <c r="Z102" s="355"/>
      <c r="AA102" s="355"/>
      <c r="AB102" s="355"/>
      <c r="AC102" s="355"/>
      <c r="AD102" s="355"/>
    </row>
    <row r="103" spans="1:30" s="354" customFormat="1" x14ac:dyDescent="0.25">
      <c r="A103" s="339"/>
      <c r="B103" s="355"/>
      <c r="C103" s="355"/>
      <c r="D103" s="355"/>
      <c r="E103" s="355"/>
      <c r="F103" s="339"/>
      <c r="G103" s="355"/>
      <c r="H103" s="355"/>
      <c r="I103" s="355"/>
      <c r="J103" s="356"/>
      <c r="K103" s="357"/>
      <c r="L103" s="358"/>
      <c r="M103" s="355"/>
      <c r="N103" s="355"/>
      <c r="O103" s="355"/>
      <c r="P103" s="355"/>
      <c r="Q103" s="355"/>
      <c r="R103" s="365"/>
      <c r="S103" s="355"/>
      <c r="T103" s="363"/>
      <c r="U103" s="361"/>
      <c r="V103" s="364"/>
      <c r="W103" s="355"/>
      <c r="X103" s="355"/>
      <c r="Y103" s="355"/>
      <c r="Z103" s="355"/>
      <c r="AA103" s="355"/>
      <c r="AB103" s="355"/>
      <c r="AC103" s="355"/>
      <c r="AD103" s="355"/>
    </row>
    <row r="104" spans="1:30" s="354" customFormat="1" x14ac:dyDescent="0.25">
      <c r="A104" s="339"/>
      <c r="B104" s="355"/>
      <c r="C104" s="355"/>
      <c r="D104" s="355"/>
      <c r="E104" s="355"/>
      <c r="F104" s="339"/>
      <c r="G104" s="355"/>
      <c r="H104" s="355"/>
      <c r="I104" s="355"/>
      <c r="J104" s="356"/>
      <c r="K104" s="357"/>
      <c r="L104" s="358"/>
      <c r="M104" s="355"/>
      <c r="N104" s="355"/>
      <c r="O104" s="355"/>
      <c r="P104" s="355"/>
      <c r="Q104" s="355"/>
      <c r="R104" s="365"/>
      <c r="S104" s="355"/>
      <c r="T104" s="363"/>
      <c r="U104" s="361"/>
      <c r="V104" s="364"/>
      <c r="W104" s="355"/>
      <c r="X104" s="355"/>
      <c r="Y104" s="355"/>
      <c r="Z104" s="355"/>
      <c r="AA104" s="355"/>
      <c r="AB104" s="355"/>
      <c r="AC104" s="355"/>
      <c r="AD104" s="355"/>
    </row>
    <row r="105" spans="1:30" s="354" customFormat="1" x14ac:dyDescent="0.25">
      <c r="A105" s="339"/>
      <c r="B105" s="355"/>
      <c r="C105" s="355"/>
      <c r="D105" s="355"/>
      <c r="E105" s="355"/>
      <c r="F105" s="339"/>
      <c r="G105" s="355"/>
      <c r="H105" s="355"/>
      <c r="I105" s="355"/>
      <c r="J105" s="356"/>
      <c r="K105" s="357"/>
      <c r="L105" s="358"/>
      <c r="M105" s="355"/>
      <c r="N105" s="355"/>
      <c r="O105" s="355"/>
      <c r="P105" s="355"/>
      <c r="Q105" s="355"/>
      <c r="R105" s="365"/>
      <c r="S105" s="355"/>
      <c r="T105" s="363"/>
      <c r="U105" s="361"/>
      <c r="V105" s="364"/>
      <c r="W105" s="355"/>
      <c r="X105" s="355"/>
      <c r="Y105" s="355"/>
      <c r="Z105" s="355"/>
      <c r="AA105" s="355"/>
      <c r="AB105" s="355"/>
      <c r="AC105" s="355"/>
      <c r="AD105" s="355"/>
    </row>
    <row r="106" spans="1:30" s="354" customFormat="1" x14ac:dyDescent="0.25">
      <c r="A106" s="339"/>
      <c r="B106" s="355"/>
      <c r="C106" s="355"/>
      <c r="D106" s="355"/>
      <c r="E106" s="355"/>
      <c r="F106" s="339"/>
      <c r="G106" s="355"/>
      <c r="H106" s="355"/>
      <c r="I106" s="355"/>
      <c r="J106" s="356"/>
      <c r="K106" s="357"/>
      <c r="L106" s="358"/>
      <c r="M106" s="355"/>
      <c r="N106" s="355"/>
      <c r="O106" s="355"/>
      <c r="P106" s="355"/>
      <c r="Q106" s="355"/>
      <c r="R106" s="365"/>
      <c r="S106" s="355"/>
      <c r="T106" s="363"/>
      <c r="U106" s="361"/>
      <c r="V106" s="364"/>
      <c r="W106" s="355"/>
      <c r="X106" s="355"/>
      <c r="Y106" s="355"/>
      <c r="Z106" s="355"/>
      <c r="AA106" s="355"/>
      <c r="AB106" s="355"/>
      <c r="AC106" s="355"/>
      <c r="AD106" s="355"/>
    </row>
    <row r="107" spans="1:30" s="354" customFormat="1" x14ac:dyDescent="0.25">
      <c r="A107" s="339"/>
      <c r="B107" s="355"/>
      <c r="C107" s="355"/>
      <c r="D107" s="355"/>
      <c r="E107" s="355"/>
      <c r="F107" s="339"/>
      <c r="G107" s="355"/>
      <c r="H107" s="355"/>
      <c r="I107" s="355"/>
      <c r="J107" s="356"/>
      <c r="K107" s="357"/>
      <c r="L107" s="358"/>
      <c r="M107" s="355"/>
      <c r="N107" s="355"/>
      <c r="O107" s="355"/>
      <c r="P107" s="355"/>
      <c r="Q107" s="355"/>
      <c r="R107" s="365"/>
      <c r="S107" s="355"/>
      <c r="T107" s="363"/>
      <c r="U107" s="361"/>
      <c r="V107" s="364"/>
      <c r="W107" s="355"/>
      <c r="X107" s="355"/>
      <c r="Y107" s="355"/>
      <c r="Z107" s="355"/>
      <c r="AA107" s="355"/>
      <c r="AB107" s="355"/>
      <c r="AC107" s="355"/>
      <c r="AD107" s="355"/>
    </row>
    <row r="108" spans="1:30" s="354" customFormat="1" x14ac:dyDescent="0.25">
      <c r="A108" s="339"/>
      <c r="B108" s="355"/>
      <c r="C108" s="355"/>
      <c r="D108" s="355"/>
      <c r="E108" s="355"/>
      <c r="F108" s="339"/>
      <c r="G108" s="355"/>
      <c r="H108" s="355"/>
      <c r="I108" s="355"/>
      <c r="J108" s="356"/>
      <c r="K108" s="357"/>
      <c r="L108" s="358"/>
      <c r="M108" s="355"/>
      <c r="N108" s="355"/>
      <c r="O108" s="355"/>
      <c r="P108" s="355"/>
      <c r="Q108" s="355"/>
      <c r="R108" s="365"/>
      <c r="S108" s="355"/>
      <c r="T108" s="363"/>
      <c r="U108" s="361"/>
      <c r="V108" s="364"/>
      <c r="W108" s="355"/>
      <c r="X108" s="355"/>
      <c r="Y108" s="355"/>
      <c r="Z108" s="355"/>
      <c r="AA108" s="355"/>
      <c r="AB108" s="355"/>
      <c r="AC108" s="355"/>
      <c r="AD108" s="355"/>
    </row>
    <row r="109" spans="1:30" s="354" customFormat="1" x14ac:dyDescent="0.25">
      <c r="A109" s="339"/>
      <c r="B109" s="355"/>
      <c r="C109" s="355"/>
      <c r="D109" s="355"/>
      <c r="E109" s="355"/>
      <c r="F109" s="339"/>
      <c r="G109" s="355"/>
      <c r="H109" s="355"/>
      <c r="I109" s="355"/>
      <c r="J109" s="356"/>
      <c r="K109" s="357"/>
      <c r="L109" s="358"/>
      <c r="M109" s="355"/>
      <c r="N109" s="355"/>
      <c r="O109" s="355"/>
      <c r="P109" s="355"/>
      <c r="Q109" s="355"/>
      <c r="R109" s="365"/>
      <c r="S109" s="355"/>
      <c r="T109" s="363"/>
      <c r="U109" s="361"/>
      <c r="V109" s="364"/>
      <c r="W109" s="355"/>
      <c r="X109" s="355"/>
      <c r="Y109" s="355"/>
      <c r="Z109" s="355"/>
      <c r="AA109" s="355"/>
      <c r="AB109" s="355"/>
      <c r="AC109" s="355"/>
      <c r="AD109" s="355"/>
    </row>
    <row r="110" spans="1:30" s="354" customFormat="1" x14ac:dyDescent="0.25">
      <c r="A110" s="339"/>
      <c r="B110" s="355"/>
      <c r="C110" s="355"/>
      <c r="D110" s="355"/>
      <c r="E110" s="355"/>
      <c r="F110" s="339"/>
      <c r="G110" s="355"/>
      <c r="H110" s="355"/>
      <c r="I110" s="355"/>
      <c r="J110" s="356"/>
      <c r="K110" s="357"/>
      <c r="L110" s="358"/>
      <c r="M110" s="355"/>
      <c r="N110" s="355"/>
      <c r="O110" s="355"/>
      <c r="P110" s="355"/>
      <c r="Q110" s="355"/>
      <c r="R110" s="365"/>
      <c r="S110" s="355"/>
      <c r="T110" s="363"/>
      <c r="U110" s="361"/>
      <c r="V110" s="364"/>
      <c r="W110" s="355"/>
      <c r="X110" s="355"/>
      <c r="Y110" s="355"/>
      <c r="Z110" s="355"/>
      <c r="AA110" s="355"/>
      <c r="AB110" s="355"/>
      <c r="AC110" s="355"/>
      <c r="AD110" s="355"/>
    </row>
    <row r="111" spans="1:30" s="354" customFormat="1" x14ac:dyDescent="0.25">
      <c r="A111" s="339"/>
      <c r="B111" s="355"/>
      <c r="C111" s="355"/>
      <c r="D111" s="355"/>
      <c r="E111" s="355"/>
      <c r="F111" s="339"/>
      <c r="G111" s="355"/>
      <c r="H111" s="355"/>
      <c r="I111" s="355"/>
      <c r="J111" s="356"/>
      <c r="K111" s="357"/>
      <c r="L111" s="358"/>
      <c r="M111" s="355"/>
      <c r="N111" s="355"/>
      <c r="O111" s="355"/>
      <c r="P111" s="355"/>
      <c r="Q111" s="355"/>
      <c r="R111" s="365"/>
      <c r="S111" s="355"/>
      <c r="T111" s="363"/>
      <c r="U111" s="361"/>
      <c r="V111" s="364"/>
      <c r="W111" s="355"/>
      <c r="X111" s="355"/>
      <c r="Y111" s="355"/>
      <c r="Z111" s="355"/>
      <c r="AA111" s="355"/>
      <c r="AB111" s="355"/>
      <c r="AC111" s="355"/>
      <c r="AD111" s="355"/>
    </row>
    <row r="112" spans="1:30" s="354" customFormat="1" x14ac:dyDescent="0.25">
      <c r="A112" s="339"/>
      <c r="B112" s="355"/>
      <c r="C112" s="355"/>
      <c r="D112" s="355"/>
      <c r="E112" s="355"/>
      <c r="F112" s="339"/>
      <c r="G112" s="355"/>
      <c r="H112" s="355"/>
      <c r="I112" s="355"/>
      <c r="J112" s="356"/>
      <c r="K112" s="357"/>
      <c r="L112" s="358"/>
      <c r="M112" s="355"/>
      <c r="N112" s="355"/>
      <c r="O112" s="355"/>
      <c r="P112" s="355"/>
      <c r="Q112" s="355"/>
      <c r="R112" s="365"/>
      <c r="S112" s="355"/>
      <c r="T112" s="363"/>
      <c r="U112" s="361"/>
      <c r="V112" s="364"/>
      <c r="W112" s="355"/>
      <c r="X112" s="355"/>
      <c r="Y112" s="355"/>
      <c r="Z112" s="355"/>
      <c r="AA112" s="355"/>
      <c r="AB112" s="355"/>
      <c r="AC112" s="355"/>
      <c r="AD112" s="355"/>
    </row>
    <row r="113" spans="1:30" s="354" customFormat="1" x14ac:dyDescent="0.25">
      <c r="A113" s="339"/>
      <c r="B113" s="355"/>
      <c r="C113" s="355"/>
      <c r="D113" s="355"/>
      <c r="E113" s="355"/>
      <c r="F113" s="339"/>
      <c r="G113" s="355"/>
      <c r="H113" s="355"/>
      <c r="I113" s="355"/>
      <c r="J113" s="356"/>
      <c r="K113" s="357"/>
      <c r="L113" s="358"/>
      <c r="M113" s="355"/>
      <c r="N113" s="355"/>
      <c r="O113" s="355"/>
      <c r="P113" s="355"/>
      <c r="Q113" s="355"/>
      <c r="R113" s="365"/>
      <c r="S113" s="355"/>
      <c r="T113" s="363"/>
      <c r="U113" s="361"/>
      <c r="V113" s="364"/>
      <c r="W113" s="355"/>
      <c r="X113" s="355"/>
      <c r="Y113" s="355"/>
      <c r="Z113" s="355"/>
      <c r="AA113" s="355"/>
      <c r="AB113" s="355"/>
      <c r="AC113" s="355"/>
      <c r="AD113" s="355"/>
    </row>
    <row r="114" spans="1:30" s="354" customFormat="1" x14ac:dyDescent="0.25">
      <c r="A114" s="339"/>
      <c r="B114" s="355"/>
      <c r="C114" s="355"/>
      <c r="D114" s="355"/>
      <c r="E114" s="355"/>
      <c r="F114" s="339"/>
      <c r="G114" s="355"/>
      <c r="H114" s="355"/>
      <c r="I114" s="355"/>
      <c r="J114" s="356"/>
      <c r="K114" s="357"/>
      <c r="L114" s="358"/>
      <c r="M114" s="355"/>
      <c r="N114" s="355"/>
      <c r="O114" s="355"/>
      <c r="P114" s="355"/>
      <c r="Q114" s="355"/>
      <c r="R114" s="365"/>
      <c r="S114" s="355"/>
      <c r="T114" s="363"/>
      <c r="U114" s="361"/>
      <c r="V114" s="364"/>
      <c r="W114" s="355"/>
      <c r="X114" s="355"/>
      <c r="Y114" s="355"/>
      <c r="Z114" s="355"/>
      <c r="AA114" s="355"/>
      <c r="AB114" s="355"/>
      <c r="AC114" s="355"/>
      <c r="AD114" s="355"/>
    </row>
    <row r="115" spans="1:30" s="354" customFormat="1" x14ac:dyDescent="0.25">
      <c r="A115" s="339"/>
      <c r="B115" s="355"/>
      <c r="C115" s="355"/>
      <c r="D115" s="355"/>
      <c r="E115" s="355"/>
      <c r="F115" s="339"/>
      <c r="G115" s="355"/>
      <c r="H115" s="355"/>
      <c r="I115" s="355"/>
      <c r="J115" s="356"/>
      <c r="K115" s="357"/>
      <c r="L115" s="358"/>
      <c r="M115" s="355"/>
      <c r="N115" s="355"/>
      <c r="O115" s="355"/>
      <c r="P115" s="355"/>
      <c r="Q115" s="355"/>
      <c r="R115" s="365"/>
      <c r="S115" s="355"/>
      <c r="T115" s="363"/>
      <c r="U115" s="361"/>
      <c r="V115" s="364"/>
      <c r="W115" s="355"/>
      <c r="X115" s="355"/>
      <c r="Y115" s="355"/>
      <c r="Z115" s="355"/>
      <c r="AA115" s="355"/>
      <c r="AB115" s="355"/>
      <c r="AC115" s="355"/>
      <c r="AD115" s="355"/>
    </row>
    <row r="116" spans="1:30" s="354" customFormat="1" x14ac:dyDescent="0.25">
      <c r="A116" s="339"/>
      <c r="B116" s="355"/>
      <c r="C116" s="355"/>
      <c r="D116" s="355"/>
      <c r="E116" s="355"/>
      <c r="F116" s="339"/>
      <c r="G116" s="355"/>
      <c r="H116" s="355"/>
      <c r="I116" s="355"/>
      <c r="J116" s="356"/>
      <c r="K116" s="357"/>
      <c r="L116" s="358"/>
      <c r="M116" s="355"/>
      <c r="N116" s="355"/>
      <c r="O116" s="355"/>
      <c r="P116" s="355"/>
      <c r="Q116" s="355"/>
      <c r="R116" s="365"/>
      <c r="S116" s="355"/>
      <c r="T116" s="363"/>
      <c r="U116" s="361"/>
      <c r="V116" s="364"/>
      <c r="W116" s="355"/>
      <c r="X116" s="355"/>
      <c r="Y116" s="355"/>
      <c r="Z116" s="355"/>
      <c r="AA116" s="355"/>
      <c r="AB116" s="355"/>
      <c r="AC116" s="355"/>
      <c r="AD116" s="355"/>
    </row>
    <row r="117" spans="1:30" s="354" customFormat="1" x14ac:dyDescent="0.25">
      <c r="A117" s="339"/>
      <c r="B117" s="355"/>
      <c r="C117" s="355"/>
      <c r="D117" s="355"/>
      <c r="E117" s="355"/>
      <c r="F117" s="339"/>
      <c r="G117" s="355"/>
      <c r="H117" s="355"/>
      <c r="I117" s="355"/>
      <c r="J117" s="356"/>
      <c r="K117" s="357"/>
      <c r="L117" s="358"/>
      <c r="M117" s="355"/>
      <c r="N117" s="355"/>
      <c r="O117" s="355"/>
      <c r="P117" s="355"/>
      <c r="Q117" s="355"/>
      <c r="R117" s="365"/>
      <c r="S117" s="355"/>
      <c r="T117" s="363"/>
      <c r="U117" s="361"/>
      <c r="V117" s="364"/>
      <c r="W117" s="355"/>
      <c r="X117" s="355"/>
      <c r="Y117" s="355"/>
      <c r="Z117" s="355"/>
      <c r="AA117" s="355"/>
      <c r="AB117" s="355"/>
      <c r="AC117" s="355"/>
      <c r="AD117" s="355"/>
    </row>
    <row r="118" spans="1:30" s="354" customFormat="1" x14ac:dyDescent="0.25">
      <c r="A118" s="339"/>
      <c r="B118" s="355"/>
      <c r="C118" s="355"/>
      <c r="D118" s="355"/>
      <c r="E118" s="355"/>
      <c r="F118" s="339"/>
      <c r="G118" s="355"/>
      <c r="H118" s="355"/>
      <c r="I118" s="355"/>
      <c r="J118" s="356"/>
      <c r="K118" s="357"/>
      <c r="L118" s="358"/>
      <c r="M118" s="355"/>
      <c r="N118" s="355"/>
      <c r="O118" s="355"/>
      <c r="P118" s="355"/>
      <c r="Q118" s="355"/>
      <c r="R118" s="365"/>
      <c r="S118" s="355"/>
      <c r="T118" s="363"/>
      <c r="U118" s="361"/>
      <c r="V118" s="364"/>
      <c r="W118" s="355"/>
      <c r="X118" s="355"/>
      <c r="Y118" s="355"/>
      <c r="Z118" s="355"/>
      <c r="AA118" s="355"/>
      <c r="AB118" s="355"/>
      <c r="AC118" s="355"/>
      <c r="AD118" s="355"/>
    </row>
    <row r="119" spans="1:30" s="354" customFormat="1" x14ac:dyDescent="0.25">
      <c r="A119" s="339"/>
      <c r="B119" s="355"/>
      <c r="C119" s="355"/>
      <c r="D119" s="355"/>
      <c r="E119" s="355"/>
      <c r="F119" s="339"/>
      <c r="G119" s="355"/>
      <c r="H119" s="355"/>
      <c r="I119" s="355"/>
      <c r="J119" s="356"/>
      <c r="K119" s="357"/>
      <c r="L119" s="358"/>
      <c r="M119" s="355"/>
      <c r="N119" s="355"/>
      <c r="O119" s="355"/>
      <c r="P119" s="355"/>
      <c r="Q119" s="355"/>
      <c r="R119" s="365"/>
      <c r="S119" s="355"/>
      <c r="T119" s="363"/>
      <c r="U119" s="361"/>
      <c r="V119" s="364"/>
      <c r="W119" s="355"/>
      <c r="X119" s="355"/>
      <c r="Y119" s="355"/>
      <c r="Z119" s="355"/>
      <c r="AA119" s="355"/>
      <c r="AB119" s="355"/>
      <c r="AC119" s="355"/>
      <c r="AD119" s="355"/>
    </row>
    <row r="120" spans="1:30" s="354" customFormat="1" x14ac:dyDescent="0.25">
      <c r="A120" s="339"/>
      <c r="B120" s="355"/>
      <c r="C120" s="355"/>
      <c r="D120" s="355"/>
      <c r="E120" s="355"/>
      <c r="F120" s="339"/>
      <c r="G120" s="355"/>
      <c r="H120" s="355"/>
      <c r="I120" s="355"/>
      <c r="J120" s="356"/>
      <c r="K120" s="357"/>
      <c r="L120" s="358"/>
      <c r="M120" s="355"/>
      <c r="N120" s="355"/>
      <c r="O120" s="355"/>
      <c r="P120" s="355"/>
      <c r="Q120" s="355"/>
      <c r="R120" s="365"/>
      <c r="S120" s="355"/>
      <c r="T120" s="363"/>
      <c r="U120" s="361"/>
      <c r="V120" s="364"/>
      <c r="W120" s="355"/>
      <c r="X120" s="355"/>
      <c r="Y120" s="355"/>
      <c r="Z120" s="355"/>
      <c r="AA120" s="355"/>
      <c r="AB120" s="355"/>
      <c r="AC120" s="355"/>
      <c r="AD120" s="355"/>
    </row>
    <row r="121" spans="1:30" s="354" customFormat="1" x14ac:dyDescent="0.25">
      <c r="A121" s="339"/>
      <c r="B121" s="355"/>
      <c r="C121" s="355"/>
      <c r="D121" s="355"/>
      <c r="E121" s="355"/>
      <c r="F121" s="339"/>
      <c r="G121" s="355"/>
      <c r="H121" s="355"/>
      <c r="I121" s="355"/>
      <c r="J121" s="356"/>
      <c r="K121" s="357"/>
      <c r="L121" s="358"/>
      <c r="M121" s="355"/>
      <c r="N121" s="355"/>
      <c r="O121" s="355"/>
      <c r="P121" s="355"/>
      <c r="Q121" s="355"/>
      <c r="R121" s="365"/>
      <c r="S121" s="355"/>
      <c r="T121" s="363"/>
      <c r="U121" s="361"/>
      <c r="V121" s="364"/>
      <c r="W121" s="355"/>
      <c r="X121" s="355"/>
      <c r="Y121" s="355"/>
      <c r="Z121" s="355"/>
      <c r="AA121" s="355"/>
      <c r="AB121" s="355"/>
      <c r="AC121" s="355"/>
      <c r="AD121" s="355"/>
    </row>
    <row r="122" spans="1:30" s="354" customFormat="1" x14ac:dyDescent="0.25">
      <c r="A122" s="339"/>
      <c r="B122" s="355"/>
      <c r="C122" s="355"/>
      <c r="D122" s="355"/>
      <c r="E122" s="355"/>
      <c r="F122" s="339"/>
      <c r="G122" s="355"/>
      <c r="H122" s="355"/>
      <c r="I122" s="355"/>
      <c r="J122" s="356"/>
      <c r="K122" s="357"/>
      <c r="L122" s="358"/>
      <c r="M122" s="355"/>
      <c r="N122" s="355"/>
      <c r="O122" s="355"/>
      <c r="P122" s="355"/>
      <c r="Q122" s="355"/>
      <c r="R122" s="365"/>
      <c r="S122" s="355"/>
      <c r="T122" s="363"/>
      <c r="U122" s="361"/>
      <c r="V122" s="364"/>
      <c r="W122" s="355"/>
      <c r="X122" s="355"/>
      <c r="Y122" s="355"/>
      <c r="Z122" s="355"/>
      <c r="AA122" s="355"/>
      <c r="AB122" s="355"/>
      <c r="AC122" s="355"/>
      <c r="AD122" s="355"/>
    </row>
    <row r="123" spans="1:30" s="354" customFormat="1" x14ac:dyDescent="0.25">
      <c r="A123" s="339"/>
      <c r="B123" s="355"/>
      <c r="C123" s="355"/>
      <c r="D123" s="355"/>
      <c r="E123" s="355"/>
      <c r="F123" s="339"/>
      <c r="G123" s="355"/>
      <c r="H123" s="355"/>
      <c r="I123" s="355"/>
      <c r="J123" s="356"/>
      <c r="K123" s="357"/>
      <c r="L123" s="358"/>
      <c r="M123" s="355"/>
      <c r="N123" s="355"/>
      <c r="O123" s="355"/>
      <c r="P123" s="355"/>
      <c r="Q123" s="355"/>
      <c r="R123" s="365"/>
      <c r="S123" s="355"/>
      <c r="T123" s="363"/>
      <c r="U123" s="361"/>
      <c r="V123" s="364"/>
      <c r="W123" s="355"/>
      <c r="X123" s="355"/>
      <c r="Y123" s="355"/>
      <c r="Z123" s="355"/>
      <c r="AA123" s="355"/>
      <c r="AB123" s="355"/>
      <c r="AC123" s="355"/>
      <c r="AD123" s="355"/>
    </row>
    <row r="124" spans="1:30" s="354" customFormat="1" x14ac:dyDescent="0.25">
      <c r="A124" s="339"/>
      <c r="B124" s="355"/>
      <c r="C124" s="355"/>
      <c r="D124" s="355"/>
      <c r="E124" s="355"/>
      <c r="F124" s="339"/>
      <c r="G124" s="355"/>
      <c r="H124" s="355"/>
      <c r="I124" s="355"/>
      <c r="J124" s="356"/>
      <c r="K124" s="357"/>
      <c r="L124" s="358"/>
      <c r="M124" s="355"/>
      <c r="N124" s="355"/>
      <c r="O124" s="355"/>
      <c r="P124" s="355"/>
      <c r="Q124" s="355"/>
      <c r="R124" s="365"/>
      <c r="S124" s="355"/>
      <c r="T124" s="363"/>
      <c r="U124" s="361"/>
      <c r="V124" s="364"/>
      <c r="W124" s="355"/>
      <c r="X124" s="355"/>
      <c r="Y124" s="355"/>
      <c r="Z124" s="355"/>
      <c r="AA124" s="355"/>
      <c r="AB124" s="355"/>
      <c r="AC124" s="355"/>
      <c r="AD124" s="355"/>
    </row>
    <row r="125" spans="1:30" s="354" customFormat="1" x14ac:dyDescent="0.25">
      <c r="A125" s="339"/>
      <c r="B125" s="355"/>
      <c r="C125" s="355"/>
      <c r="D125" s="355"/>
      <c r="E125" s="355"/>
      <c r="F125" s="339"/>
      <c r="G125" s="355"/>
      <c r="H125" s="355"/>
      <c r="I125" s="355"/>
      <c r="J125" s="356"/>
      <c r="K125" s="357"/>
      <c r="L125" s="358"/>
      <c r="M125" s="355"/>
      <c r="N125" s="355"/>
      <c r="O125" s="355"/>
      <c r="P125" s="355"/>
      <c r="Q125" s="355"/>
      <c r="R125" s="365"/>
      <c r="S125" s="355"/>
      <c r="T125" s="363"/>
      <c r="U125" s="361"/>
      <c r="V125" s="364"/>
      <c r="W125" s="355"/>
      <c r="X125" s="355"/>
      <c r="Y125" s="355"/>
      <c r="Z125" s="355"/>
      <c r="AA125" s="355"/>
      <c r="AB125" s="355"/>
      <c r="AC125" s="355"/>
      <c r="AD125" s="355"/>
    </row>
    <row r="126" spans="1:30" s="354" customFormat="1" x14ac:dyDescent="0.25">
      <c r="A126" s="339"/>
      <c r="B126" s="355"/>
      <c r="C126" s="355"/>
      <c r="D126" s="355"/>
      <c r="E126" s="355"/>
      <c r="F126" s="339"/>
      <c r="G126" s="355"/>
      <c r="H126" s="355"/>
      <c r="I126" s="355"/>
      <c r="J126" s="356"/>
      <c r="K126" s="357"/>
      <c r="L126" s="358"/>
      <c r="M126" s="355"/>
      <c r="N126" s="355"/>
      <c r="O126" s="355"/>
      <c r="P126" s="355"/>
      <c r="Q126" s="355"/>
      <c r="R126" s="365"/>
      <c r="S126" s="355"/>
      <c r="T126" s="363"/>
      <c r="U126" s="361"/>
      <c r="V126" s="364"/>
      <c r="W126" s="355"/>
      <c r="X126" s="355"/>
      <c r="Y126" s="355"/>
      <c r="Z126" s="355"/>
      <c r="AA126" s="355"/>
      <c r="AB126" s="355"/>
      <c r="AC126" s="355"/>
      <c r="AD126" s="355"/>
    </row>
    <row r="127" spans="1:30" s="354" customFormat="1" x14ac:dyDescent="0.25">
      <c r="A127" s="339"/>
      <c r="B127" s="355"/>
      <c r="C127" s="355"/>
      <c r="D127" s="355"/>
      <c r="E127" s="355"/>
      <c r="F127" s="339"/>
      <c r="G127" s="355"/>
      <c r="H127" s="355"/>
      <c r="I127" s="355"/>
      <c r="J127" s="356"/>
      <c r="K127" s="357"/>
      <c r="L127" s="358"/>
      <c r="M127" s="355"/>
      <c r="N127" s="355"/>
      <c r="O127" s="355"/>
      <c r="P127" s="355"/>
      <c r="Q127" s="355"/>
      <c r="R127" s="365"/>
      <c r="S127" s="355"/>
      <c r="T127" s="363"/>
      <c r="U127" s="361"/>
      <c r="V127" s="364"/>
      <c r="W127" s="355"/>
      <c r="X127" s="355"/>
      <c r="Y127" s="355"/>
      <c r="Z127" s="355"/>
      <c r="AA127" s="355"/>
      <c r="AB127" s="355"/>
      <c r="AC127" s="355"/>
      <c r="AD127" s="355"/>
    </row>
    <row r="128" spans="1:30" s="354" customFormat="1" x14ac:dyDescent="0.25">
      <c r="A128" s="339"/>
      <c r="B128" s="355"/>
      <c r="C128" s="355"/>
      <c r="D128" s="355"/>
      <c r="E128" s="355"/>
      <c r="F128" s="339"/>
      <c r="G128" s="355"/>
      <c r="H128" s="355"/>
      <c r="I128" s="355"/>
      <c r="J128" s="356"/>
      <c r="K128" s="357"/>
      <c r="L128" s="358"/>
      <c r="M128" s="355"/>
      <c r="N128" s="355"/>
      <c r="O128" s="355"/>
      <c r="P128" s="355"/>
      <c r="Q128" s="355"/>
      <c r="R128" s="365"/>
      <c r="S128" s="355"/>
      <c r="T128" s="363"/>
      <c r="U128" s="361"/>
      <c r="V128" s="364"/>
      <c r="W128" s="355"/>
      <c r="X128" s="355"/>
      <c r="Y128" s="355"/>
      <c r="Z128" s="355"/>
      <c r="AA128" s="355"/>
      <c r="AB128" s="355"/>
      <c r="AC128" s="355"/>
      <c r="AD128" s="355"/>
    </row>
    <row r="129" spans="1:30" s="354" customFormat="1" x14ac:dyDescent="0.25">
      <c r="A129" s="339"/>
      <c r="B129" s="355"/>
      <c r="C129" s="355"/>
      <c r="D129" s="355"/>
      <c r="E129" s="355"/>
      <c r="F129" s="339"/>
      <c r="G129" s="355"/>
      <c r="H129" s="355"/>
      <c r="I129" s="355"/>
      <c r="J129" s="356"/>
      <c r="K129" s="357"/>
      <c r="L129" s="358"/>
      <c r="M129" s="355"/>
      <c r="N129" s="355"/>
      <c r="O129" s="355"/>
      <c r="P129" s="355"/>
      <c r="Q129" s="355"/>
      <c r="R129" s="365"/>
      <c r="S129" s="355"/>
      <c r="T129" s="363"/>
      <c r="U129" s="361"/>
      <c r="V129" s="364"/>
      <c r="W129" s="355"/>
      <c r="X129" s="355"/>
      <c r="Y129" s="355"/>
      <c r="Z129" s="355"/>
      <c r="AA129" s="355"/>
      <c r="AB129" s="355"/>
      <c r="AC129" s="355"/>
      <c r="AD129" s="355"/>
    </row>
    <row r="130" spans="1:30" s="354" customFormat="1" x14ac:dyDescent="0.25">
      <c r="A130" s="339"/>
      <c r="B130" s="355"/>
      <c r="C130" s="355"/>
      <c r="D130" s="355"/>
      <c r="E130" s="355"/>
      <c r="F130" s="339"/>
      <c r="G130" s="355"/>
      <c r="H130" s="355"/>
      <c r="I130" s="355"/>
      <c r="J130" s="356"/>
      <c r="K130" s="357"/>
      <c r="L130" s="358"/>
      <c r="M130" s="355"/>
      <c r="N130" s="355"/>
      <c r="O130" s="355"/>
      <c r="P130" s="355"/>
      <c r="Q130" s="355"/>
      <c r="R130" s="365"/>
      <c r="S130" s="355"/>
      <c r="T130" s="363"/>
      <c r="U130" s="361"/>
      <c r="V130" s="364"/>
      <c r="W130" s="355"/>
      <c r="X130" s="355"/>
      <c r="Y130" s="355"/>
      <c r="Z130" s="355"/>
      <c r="AA130" s="355"/>
      <c r="AB130" s="355"/>
      <c r="AC130" s="355"/>
      <c r="AD130" s="355"/>
    </row>
    <row r="131" spans="1:30" s="354" customFormat="1" x14ac:dyDescent="0.25">
      <c r="A131" s="339"/>
      <c r="B131" s="355"/>
      <c r="C131" s="355"/>
      <c r="D131" s="355"/>
      <c r="E131" s="355"/>
      <c r="F131" s="339"/>
      <c r="G131" s="355"/>
      <c r="H131" s="355"/>
      <c r="I131" s="355"/>
      <c r="J131" s="356"/>
      <c r="K131" s="357"/>
      <c r="L131" s="358"/>
      <c r="M131" s="355"/>
      <c r="N131" s="355"/>
      <c r="O131" s="355"/>
      <c r="P131" s="355"/>
      <c r="Q131" s="355"/>
      <c r="R131" s="365"/>
      <c r="S131" s="355"/>
      <c r="T131" s="363"/>
      <c r="U131" s="361"/>
      <c r="V131" s="364"/>
      <c r="W131" s="355"/>
      <c r="X131" s="355"/>
      <c r="Y131" s="355"/>
      <c r="Z131" s="355"/>
      <c r="AA131" s="355"/>
      <c r="AB131" s="355"/>
      <c r="AC131" s="355"/>
      <c r="AD131" s="355"/>
    </row>
    <row r="132" spans="1:30" s="354" customFormat="1" x14ac:dyDescent="0.25">
      <c r="A132" s="339"/>
      <c r="B132" s="355"/>
      <c r="C132" s="355"/>
      <c r="D132" s="355"/>
      <c r="E132" s="355"/>
      <c r="F132" s="339"/>
      <c r="G132" s="355"/>
      <c r="H132" s="355"/>
      <c r="I132" s="355"/>
      <c r="J132" s="356"/>
      <c r="K132" s="357"/>
      <c r="L132" s="358"/>
      <c r="M132" s="355"/>
      <c r="N132" s="355"/>
      <c r="O132" s="355"/>
      <c r="P132" s="355"/>
      <c r="Q132" s="355"/>
      <c r="R132" s="365"/>
      <c r="S132" s="355"/>
      <c r="T132" s="363"/>
      <c r="U132" s="361"/>
      <c r="V132" s="364"/>
      <c r="W132" s="355"/>
      <c r="X132" s="355"/>
      <c r="Y132" s="355"/>
      <c r="Z132" s="355"/>
      <c r="AA132" s="355"/>
      <c r="AB132" s="355"/>
      <c r="AC132" s="355"/>
      <c r="AD132" s="355"/>
    </row>
    <row r="133" spans="1:30" s="354" customFormat="1" x14ac:dyDescent="0.25">
      <c r="A133" s="339"/>
      <c r="B133" s="355"/>
      <c r="C133" s="355"/>
      <c r="D133" s="355"/>
      <c r="E133" s="355"/>
      <c r="F133" s="339"/>
      <c r="G133" s="355"/>
      <c r="H133" s="355"/>
      <c r="I133" s="355"/>
      <c r="J133" s="356"/>
      <c r="K133" s="357"/>
      <c r="L133" s="358"/>
      <c r="M133" s="355"/>
      <c r="N133" s="355"/>
      <c r="O133" s="355"/>
      <c r="P133" s="355"/>
      <c r="Q133" s="355"/>
      <c r="R133" s="365"/>
      <c r="S133" s="355"/>
      <c r="T133" s="363"/>
      <c r="U133" s="361"/>
      <c r="V133" s="364"/>
      <c r="W133" s="355"/>
      <c r="X133" s="355"/>
      <c r="Y133" s="355"/>
      <c r="Z133" s="355"/>
      <c r="AA133" s="355"/>
      <c r="AB133" s="355"/>
      <c r="AC133" s="355"/>
      <c r="AD133" s="355"/>
    </row>
    <row r="134" spans="1:30" s="354" customFormat="1" x14ac:dyDescent="0.25">
      <c r="A134" s="339"/>
      <c r="B134" s="355"/>
      <c r="C134" s="355"/>
      <c r="D134" s="355"/>
      <c r="E134" s="355"/>
      <c r="F134" s="339"/>
      <c r="G134" s="355"/>
      <c r="H134" s="355"/>
      <c r="I134" s="355"/>
      <c r="J134" s="356"/>
      <c r="K134" s="357"/>
      <c r="L134" s="358"/>
      <c r="M134" s="355"/>
      <c r="N134" s="355"/>
      <c r="O134" s="355"/>
      <c r="P134" s="355"/>
      <c r="Q134" s="355"/>
      <c r="R134" s="365"/>
      <c r="S134" s="355"/>
      <c r="T134" s="363"/>
      <c r="U134" s="361"/>
      <c r="V134" s="364"/>
      <c r="W134" s="355"/>
      <c r="X134" s="355"/>
      <c r="Y134" s="355"/>
      <c r="Z134" s="355"/>
      <c r="AA134" s="355"/>
      <c r="AB134" s="355"/>
      <c r="AC134" s="355"/>
      <c r="AD134" s="355"/>
    </row>
    <row r="135" spans="1:30" s="354" customFormat="1" x14ac:dyDescent="0.25">
      <c r="A135" s="339"/>
      <c r="B135" s="355"/>
      <c r="C135" s="355"/>
      <c r="D135" s="355"/>
      <c r="E135" s="355"/>
      <c r="F135" s="339"/>
      <c r="G135" s="355"/>
      <c r="H135" s="355"/>
      <c r="I135" s="355"/>
      <c r="J135" s="356"/>
      <c r="K135" s="357"/>
      <c r="L135" s="358"/>
      <c r="M135" s="355"/>
      <c r="N135" s="355"/>
      <c r="O135" s="355"/>
      <c r="P135" s="355"/>
      <c r="Q135" s="355"/>
      <c r="R135" s="365"/>
      <c r="S135" s="355"/>
      <c r="T135" s="363"/>
      <c r="U135" s="361"/>
      <c r="V135" s="364"/>
      <c r="W135" s="355"/>
      <c r="X135" s="355"/>
      <c r="Y135" s="355"/>
      <c r="Z135" s="355"/>
      <c r="AA135" s="355"/>
      <c r="AB135" s="355"/>
      <c r="AC135" s="355"/>
      <c r="AD135" s="355"/>
    </row>
    <row r="136" spans="1:30" s="354" customFormat="1" x14ac:dyDescent="0.25">
      <c r="A136" s="339"/>
      <c r="B136" s="355"/>
      <c r="C136" s="355"/>
      <c r="D136" s="355"/>
      <c r="E136" s="355"/>
      <c r="F136" s="339"/>
      <c r="G136" s="355"/>
      <c r="H136" s="355"/>
      <c r="I136" s="355"/>
      <c r="J136" s="356"/>
      <c r="K136" s="357"/>
      <c r="L136" s="358"/>
      <c r="M136" s="355"/>
      <c r="N136" s="355"/>
      <c r="O136" s="355"/>
      <c r="P136" s="355"/>
      <c r="Q136" s="355"/>
      <c r="R136" s="365"/>
      <c r="S136" s="355"/>
      <c r="T136" s="363"/>
      <c r="U136" s="361"/>
      <c r="V136" s="364"/>
      <c r="W136" s="355"/>
      <c r="X136" s="355"/>
      <c r="Y136" s="355"/>
      <c r="Z136" s="355"/>
      <c r="AA136" s="355"/>
      <c r="AB136" s="355"/>
      <c r="AC136" s="355"/>
      <c r="AD136" s="355"/>
    </row>
    <row r="137" spans="1:30" s="354" customFormat="1" x14ac:dyDescent="0.25">
      <c r="A137" s="339"/>
      <c r="B137" s="355"/>
      <c r="C137" s="355"/>
      <c r="D137" s="355"/>
      <c r="E137" s="355"/>
      <c r="F137" s="339"/>
      <c r="G137" s="355"/>
      <c r="H137" s="355"/>
      <c r="I137" s="355"/>
      <c r="J137" s="356"/>
      <c r="K137" s="357"/>
      <c r="L137" s="358"/>
      <c r="M137" s="355"/>
      <c r="N137" s="355"/>
      <c r="O137" s="355"/>
      <c r="P137" s="355"/>
      <c r="Q137" s="355"/>
      <c r="R137" s="365"/>
      <c r="S137" s="355"/>
      <c r="T137" s="363"/>
      <c r="U137" s="361"/>
      <c r="V137" s="364"/>
      <c r="W137" s="355"/>
      <c r="X137" s="355"/>
      <c r="Y137" s="355"/>
      <c r="Z137" s="355"/>
      <c r="AA137" s="355"/>
      <c r="AB137" s="355"/>
      <c r="AC137" s="355"/>
      <c r="AD137" s="355"/>
    </row>
    <row r="138" spans="1:30" s="354" customFormat="1" x14ac:dyDescent="0.25">
      <c r="A138" s="339"/>
      <c r="B138" s="355"/>
      <c r="C138" s="355"/>
      <c r="D138" s="355"/>
      <c r="E138" s="355"/>
      <c r="F138" s="339"/>
      <c r="G138" s="355"/>
      <c r="H138" s="355"/>
      <c r="I138" s="355"/>
      <c r="J138" s="356"/>
      <c r="K138" s="357"/>
      <c r="L138" s="358"/>
      <c r="M138" s="355"/>
      <c r="N138" s="355"/>
      <c r="O138" s="355"/>
      <c r="P138" s="355"/>
      <c r="Q138" s="355"/>
      <c r="R138" s="365"/>
      <c r="S138" s="355"/>
      <c r="T138" s="363"/>
      <c r="U138" s="361"/>
      <c r="V138" s="364"/>
      <c r="W138" s="355"/>
      <c r="X138" s="355"/>
      <c r="Y138" s="355"/>
      <c r="Z138" s="355"/>
      <c r="AA138" s="355"/>
      <c r="AB138" s="355"/>
      <c r="AC138" s="355"/>
      <c r="AD138" s="355"/>
    </row>
    <row r="139" spans="1:30" s="354" customFormat="1" x14ac:dyDescent="0.25">
      <c r="A139" s="339"/>
      <c r="B139" s="355"/>
      <c r="C139" s="355"/>
      <c r="D139" s="355"/>
      <c r="E139" s="355"/>
      <c r="F139" s="339"/>
      <c r="G139" s="355"/>
      <c r="H139" s="355"/>
      <c r="I139" s="355"/>
      <c r="J139" s="356"/>
      <c r="K139" s="357"/>
      <c r="L139" s="358"/>
      <c r="M139" s="355"/>
      <c r="N139" s="355"/>
      <c r="O139" s="355"/>
      <c r="P139" s="355"/>
      <c r="Q139" s="355"/>
      <c r="R139" s="365"/>
      <c r="S139" s="355"/>
      <c r="T139" s="363"/>
      <c r="U139" s="361"/>
      <c r="V139" s="364"/>
      <c r="W139" s="355"/>
      <c r="X139" s="355"/>
      <c r="Y139" s="355"/>
      <c r="Z139" s="355"/>
      <c r="AA139" s="355"/>
      <c r="AB139" s="355"/>
      <c r="AC139" s="355"/>
      <c r="AD139" s="355"/>
    </row>
    <row r="140" spans="1:30" s="354" customFormat="1" x14ac:dyDescent="0.25">
      <c r="A140" s="339"/>
      <c r="B140" s="355"/>
      <c r="C140" s="355"/>
      <c r="D140" s="355"/>
      <c r="E140" s="355"/>
      <c r="F140" s="339"/>
      <c r="G140" s="355"/>
      <c r="H140" s="355"/>
      <c r="I140" s="355"/>
      <c r="J140" s="356"/>
      <c r="K140" s="357"/>
      <c r="L140" s="358"/>
      <c r="M140" s="355"/>
      <c r="N140" s="355"/>
      <c r="O140" s="355"/>
      <c r="P140" s="355"/>
      <c r="Q140" s="355"/>
      <c r="R140" s="365"/>
      <c r="S140" s="355"/>
      <c r="T140" s="363"/>
      <c r="U140" s="361"/>
      <c r="V140" s="364"/>
      <c r="W140" s="355"/>
      <c r="X140" s="355"/>
      <c r="Y140" s="355"/>
      <c r="Z140" s="355"/>
      <c r="AA140" s="355"/>
      <c r="AB140" s="355"/>
      <c r="AC140" s="355"/>
      <c r="AD140" s="355"/>
    </row>
    <row r="141" spans="1:30" s="354" customFormat="1" x14ac:dyDescent="0.25">
      <c r="A141" s="339"/>
      <c r="B141" s="355"/>
      <c r="C141" s="355"/>
      <c r="D141" s="355"/>
      <c r="E141" s="355"/>
      <c r="F141" s="339"/>
      <c r="G141" s="355"/>
      <c r="H141" s="355"/>
      <c r="I141" s="355"/>
      <c r="J141" s="356"/>
      <c r="K141" s="357"/>
      <c r="L141" s="358"/>
      <c r="M141" s="355"/>
      <c r="N141" s="355"/>
      <c r="O141" s="355"/>
      <c r="P141" s="355"/>
      <c r="Q141" s="355"/>
      <c r="R141" s="365"/>
      <c r="S141" s="355"/>
      <c r="T141" s="363"/>
      <c r="U141" s="361"/>
      <c r="V141" s="364"/>
      <c r="W141" s="355"/>
      <c r="X141" s="355"/>
      <c r="Y141" s="355"/>
      <c r="Z141" s="355"/>
      <c r="AA141" s="355"/>
      <c r="AB141" s="355"/>
      <c r="AC141" s="355"/>
      <c r="AD141" s="355"/>
    </row>
    <row r="142" spans="1:30" s="354" customFormat="1" x14ac:dyDescent="0.25">
      <c r="A142" s="339"/>
      <c r="B142" s="355"/>
      <c r="C142" s="355"/>
      <c r="D142" s="355"/>
      <c r="E142" s="355"/>
      <c r="F142" s="339"/>
      <c r="G142" s="355"/>
      <c r="H142" s="355"/>
      <c r="I142" s="355"/>
      <c r="J142" s="356"/>
      <c r="K142" s="357"/>
      <c r="L142" s="358"/>
      <c r="M142" s="355"/>
      <c r="N142" s="355"/>
      <c r="O142" s="355"/>
      <c r="P142" s="355"/>
      <c r="Q142" s="355"/>
      <c r="R142" s="365"/>
      <c r="S142" s="355"/>
      <c r="T142" s="363"/>
      <c r="U142" s="361"/>
      <c r="V142" s="364"/>
      <c r="W142" s="355"/>
      <c r="X142" s="355"/>
      <c r="Y142" s="355"/>
      <c r="Z142" s="355"/>
      <c r="AA142" s="355"/>
      <c r="AB142" s="355"/>
      <c r="AC142" s="355"/>
      <c r="AD142" s="355"/>
    </row>
    <row r="143" spans="1:30" s="354" customFormat="1" x14ac:dyDescent="0.25">
      <c r="A143" s="339"/>
      <c r="B143" s="355"/>
      <c r="C143" s="355"/>
      <c r="D143" s="355"/>
      <c r="E143" s="355"/>
      <c r="F143" s="339"/>
      <c r="G143" s="355"/>
      <c r="H143" s="355"/>
      <c r="I143" s="355"/>
      <c r="J143" s="356"/>
      <c r="K143" s="357"/>
      <c r="L143" s="358"/>
      <c r="M143" s="355"/>
      <c r="N143" s="355"/>
      <c r="O143" s="355"/>
      <c r="P143" s="355"/>
      <c r="Q143" s="355"/>
      <c r="R143" s="365"/>
      <c r="S143" s="355"/>
      <c r="T143" s="363"/>
      <c r="U143" s="361"/>
      <c r="V143" s="364"/>
      <c r="W143" s="355"/>
      <c r="X143" s="355"/>
      <c r="Y143" s="355"/>
      <c r="Z143" s="355"/>
      <c r="AA143" s="355"/>
      <c r="AB143" s="355"/>
      <c r="AC143" s="355"/>
      <c r="AD143" s="355"/>
    </row>
    <row r="144" spans="1:30" s="354" customFormat="1" x14ac:dyDescent="0.25">
      <c r="A144" s="339"/>
      <c r="B144" s="355"/>
      <c r="C144" s="355"/>
      <c r="D144" s="355"/>
      <c r="E144" s="355"/>
      <c r="F144" s="339"/>
      <c r="G144" s="355"/>
      <c r="H144" s="355"/>
      <c r="I144" s="355"/>
      <c r="J144" s="356"/>
      <c r="K144" s="357"/>
      <c r="L144" s="358"/>
      <c r="M144" s="355"/>
      <c r="N144" s="355"/>
      <c r="O144" s="355"/>
      <c r="P144" s="355"/>
      <c r="Q144" s="355"/>
      <c r="R144" s="365"/>
      <c r="S144" s="355"/>
      <c r="T144" s="363"/>
      <c r="U144" s="361"/>
      <c r="V144" s="364"/>
      <c r="W144" s="355"/>
      <c r="X144" s="355"/>
      <c r="Y144" s="355"/>
      <c r="Z144" s="355"/>
      <c r="AA144" s="355"/>
      <c r="AB144" s="355"/>
      <c r="AC144" s="355"/>
      <c r="AD144" s="355"/>
    </row>
    <row r="145" spans="1:30" s="354" customFormat="1" x14ac:dyDescent="0.25">
      <c r="A145" s="339"/>
      <c r="B145" s="355"/>
      <c r="C145" s="355"/>
      <c r="D145" s="355"/>
      <c r="E145" s="355"/>
      <c r="F145" s="339"/>
      <c r="G145" s="355"/>
      <c r="H145" s="355"/>
      <c r="I145" s="355"/>
      <c r="J145" s="356"/>
      <c r="K145" s="357"/>
      <c r="L145" s="358"/>
      <c r="M145" s="355"/>
      <c r="N145" s="355"/>
      <c r="O145" s="355"/>
      <c r="P145" s="355"/>
      <c r="Q145" s="355"/>
      <c r="R145" s="365"/>
      <c r="S145" s="355"/>
      <c r="T145" s="363"/>
      <c r="U145" s="361"/>
      <c r="V145" s="364"/>
      <c r="W145" s="355"/>
      <c r="X145" s="355"/>
      <c r="Y145" s="355"/>
      <c r="Z145" s="355"/>
      <c r="AA145" s="355"/>
      <c r="AB145" s="355"/>
      <c r="AC145" s="355"/>
      <c r="AD145" s="355"/>
    </row>
    <row r="146" spans="1:30" s="354" customFormat="1" x14ac:dyDescent="0.25">
      <c r="A146" s="339"/>
      <c r="B146" s="355"/>
      <c r="C146" s="355"/>
      <c r="D146" s="355"/>
      <c r="E146" s="355"/>
      <c r="F146" s="339"/>
      <c r="G146" s="355"/>
      <c r="H146" s="355"/>
      <c r="I146" s="355"/>
      <c r="J146" s="356"/>
      <c r="K146" s="357"/>
      <c r="L146" s="358"/>
      <c r="M146" s="355"/>
      <c r="N146" s="355"/>
      <c r="O146" s="355"/>
      <c r="P146" s="355"/>
      <c r="Q146" s="355"/>
      <c r="R146" s="365"/>
      <c r="S146" s="355"/>
      <c r="T146" s="363"/>
      <c r="U146" s="361"/>
      <c r="V146" s="364"/>
      <c r="W146" s="355"/>
      <c r="X146" s="355"/>
      <c r="Y146" s="355"/>
      <c r="Z146" s="355"/>
      <c r="AA146" s="355"/>
      <c r="AB146" s="355"/>
      <c r="AC146" s="355"/>
      <c r="AD146" s="355"/>
    </row>
    <row r="147" spans="1:30" s="354" customFormat="1" x14ac:dyDescent="0.25">
      <c r="A147" s="339"/>
      <c r="B147" s="355"/>
      <c r="C147" s="355"/>
      <c r="D147" s="355"/>
      <c r="E147" s="355"/>
      <c r="F147" s="339"/>
      <c r="G147" s="355"/>
      <c r="H147" s="355"/>
      <c r="I147" s="355"/>
      <c r="J147" s="356"/>
      <c r="K147" s="357"/>
      <c r="L147" s="358"/>
      <c r="M147" s="355"/>
      <c r="N147" s="355"/>
      <c r="O147" s="355"/>
      <c r="P147" s="355"/>
      <c r="Q147" s="355"/>
      <c r="R147" s="365"/>
      <c r="S147" s="355"/>
      <c r="T147" s="363"/>
      <c r="U147" s="361"/>
      <c r="V147" s="364"/>
      <c r="W147" s="355"/>
      <c r="X147" s="355"/>
      <c r="Y147" s="355"/>
      <c r="Z147" s="355"/>
      <c r="AA147" s="355"/>
      <c r="AB147" s="355"/>
      <c r="AC147" s="355"/>
      <c r="AD147" s="355"/>
    </row>
    <row r="148" spans="1:30" s="354" customFormat="1" x14ac:dyDescent="0.25">
      <c r="A148" s="339"/>
      <c r="B148" s="355"/>
      <c r="C148" s="355"/>
      <c r="D148" s="355"/>
      <c r="E148" s="355"/>
      <c r="F148" s="339"/>
      <c r="G148" s="355"/>
      <c r="H148" s="355"/>
      <c r="I148" s="355"/>
      <c r="J148" s="356"/>
      <c r="K148" s="357"/>
      <c r="L148" s="358"/>
      <c r="M148" s="355"/>
      <c r="N148" s="355"/>
      <c r="O148" s="355"/>
      <c r="P148" s="355"/>
      <c r="Q148" s="355"/>
      <c r="R148" s="365"/>
      <c r="S148" s="355"/>
      <c r="T148" s="363"/>
      <c r="U148" s="361"/>
      <c r="V148" s="364"/>
      <c r="W148" s="355"/>
      <c r="X148" s="355"/>
      <c r="Y148" s="355"/>
      <c r="Z148" s="355"/>
      <c r="AA148" s="355"/>
      <c r="AB148" s="355"/>
      <c r="AC148" s="355"/>
      <c r="AD148" s="355"/>
    </row>
    <row r="149" spans="1:30" s="354" customFormat="1" x14ac:dyDescent="0.25">
      <c r="A149" s="339"/>
      <c r="B149" s="355"/>
      <c r="C149" s="355"/>
      <c r="D149" s="355"/>
      <c r="E149" s="355"/>
      <c r="F149" s="339"/>
      <c r="G149" s="355"/>
      <c r="H149" s="355"/>
      <c r="I149" s="355"/>
      <c r="J149" s="356"/>
      <c r="K149" s="357"/>
      <c r="L149" s="358"/>
      <c r="M149" s="355"/>
      <c r="N149" s="355"/>
      <c r="O149" s="355"/>
      <c r="P149" s="355"/>
      <c r="Q149" s="355"/>
      <c r="R149" s="365"/>
      <c r="S149" s="355"/>
      <c r="T149" s="363"/>
      <c r="U149" s="361"/>
      <c r="V149" s="364"/>
      <c r="W149" s="355"/>
      <c r="X149" s="355"/>
      <c r="Y149" s="355"/>
      <c r="Z149" s="355"/>
      <c r="AA149" s="355"/>
      <c r="AB149" s="355"/>
      <c r="AC149" s="355"/>
      <c r="AD149" s="355"/>
    </row>
    <row r="150" spans="1:30" s="354" customFormat="1" x14ac:dyDescent="0.25">
      <c r="A150" s="339"/>
      <c r="B150" s="355"/>
      <c r="C150" s="355"/>
      <c r="D150" s="355"/>
      <c r="E150" s="355"/>
      <c r="F150" s="339"/>
      <c r="G150" s="355"/>
      <c r="H150" s="355"/>
      <c r="I150" s="355"/>
      <c r="J150" s="356"/>
      <c r="K150" s="357"/>
      <c r="L150" s="358"/>
      <c r="M150" s="355"/>
      <c r="N150" s="355"/>
      <c r="O150" s="355"/>
      <c r="P150" s="355"/>
      <c r="Q150" s="355"/>
      <c r="R150" s="365"/>
      <c r="S150" s="355"/>
      <c r="T150" s="363"/>
      <c r="U150" s="361"/>
      <c r="V150" s="364"/>
      <c r="W150" s="355"/>
      <c r="X150" s="355"/>
      <c r="Y150" s="355"/>
      <c r="Z150" s="355"/>
      <c r="AA150" s="355"/>
      <c r="AB150" s="355"/>
      <c r="AC150" s="355"/>
      <c r="AD150" s="355"/>
    </row>
    <row r="151" spans="1:30" s="354" customFormat="1" x14ac:dyDescent="0.25">
      <c r="A151" s="339"/>
      <c r="B151" s="355"/>
      <c r="C151" s="355"/>
      <c r="D151" s="355"/>
      <c r="E151" s="355"/>
      <c r="F151" s="339"/>
      <c r="G151" s="355"/>
      <c r="H151" s="355"/>
      <c r="I151" s="355"/>
      <c r="J151" s="356"/>
      <c r="K151" s="357"/>
      <c r="L151" s="358"/>
      <c r="M151" s="355"/>
      <c r="N151" s="355"/>
      <c r="O151" s="355"/>
      <c r="P151" s="355"/>
      <c r="Q151" s="355"/>
      <c r="R151" s="365"/>
      <c r="S151" s="355"/>
      <c r="T151" s="363"/>
      <c r="U151" s="361"/>
      <c r="V151" s="364"/>
      <c r="W151" s="355"/>
      <c r="X151" s="355"/>
      <c r="Y151" s="355"/>
      <c r="Z151" s="355"/>
      <c r="AA151" s="355"/>
      <c r="AB151" s="355"/>
      <c r="AC151" s="355"/>
      <c r="AD151" s="355"/>
    </row>
    <row r="152" spans="1:30" s="354" customFormat="1" x14ac:dyDescent="0.25">
      <c r="A152" s="339"/>
      <c r="B152" s="355"/>
      <c r="C152" s="355"/>
      <c r="D152" s="355"/>
      <c r="E152" s="355"/>
      <c r="F152" s="339"/>
      <c r="G152" s="355"/>
      <c r="H152" s="355"/>
      <c r="I152" s="355"/>
      <c r="J152" s="356"/>
      <c r="K152" s="357"/>
      <c r="L152" s="358"/>
      <c r="M152" s="355"/>
      <c r="N152" s="355"/>
      <c r="O152" s="355"/>
      <c r="P152" s="355"/>
      <c r="Q152" s="355"/>
      <c r="R152" s="365"/>
      <c r="S152" s="355"/>
      <c r="T152" s="363"/>
      <c r="U152" s="361"/>
      <c r="V152" s="364"/>
      <c r="W152" s="355"/>
      <c r="X152" s="355"/>
      <c r="Y152" s="355"/>
      <c r="Z152" s="355"/>
      <c r="AA152" s="355"/>
      <c r="AB152" s="355"/>
      <c r="AC152" s="355"/>
      <c r="AD152" s="355"/>
    </row>
    <row r="153" spans="1:30" s="354" customFormat="1" x14ac:dyDescent="0.25">
      <c r="A153" s="339"/>
      <c r="B153" s="355"/>
      <c r="C153" s="355"/>
      <c r="D153" s="355"/>
      <c r="E153" s="355"/>
      <c r="F153" s="339"/>
      <c r="G153" s="355"/>
      <c r="H153" s="355"/>
      <c r="I153" s="355"/>
      <c r="J153" s="356"/>
      <c r="K153" s="357"/>
      <c r="L153" s="358"/>
      <c r="M153" s="355"/>
      <c r="N153" s="355"/>
      <c r="O153" s="355"/>
      <c r="P153" s="355"/>
      <c r="Q153" s="355"/>
      <c r="R153" s="365"/>
      <c r="S153" s="355"/>
      <c r="T153" s="363"/>
      <c r="U153" s="361"/>
      <c r="V153" s="364"/>
      <c r="W153" s="355"/>
      <c r="X153" s="355"/>
      <c r="Y153" s="355"/>
      <c r="Z153" s="355"/>
      <c r="AA153" s="355"/>
      <c r="AB153" s="355"/>
      <c r="AC153" s="355"/>
      <c r="AD153" s="355"/>
    </row>
    <row r="154" spans="1:30" s="354" customFormat="1" x14ac:dyDescent="0.25">
      <c r="A154" s="339"/>
      <c r="B154" s="355"/>
      <c r="C154" s="355"/>
      <c r="D154" s="355"/>
      <c r="E154" s="355"/>
      <c r="F154" s="339"/>
      <c r="G154" s="355"/>
      <c r="H154" s="355"/>
      <c r="I154" s="355"/>
      <c r="J154" s="356"/>
      <c r="K154" s="357"/>
      <c r="L154" s="358"/>
      <c r="M154" s="355"/>
      <c r="N154" s="355"/>
      <c r="O154" s="355"/>
      <c r="P154" s="355"/>
      <c r="Q154" s="355"/>
      <c r="R154" s="365"/>
      <c r="S154" s="355"/>
      <c r="T154" s="363"/>
      <c r="U154" s="361"/>
      <c r="V154" s="364"/>
      <c r="W154" s="355"/>
      <c r="X154" s="355"/>
      <c r="Y154" s="355"/>
      <c r="Z154" s="355"/>
      <c r="AA154" s="355"/>
      <c r="AB154" s="355"/>
      <c r="AC154" s="355"/>
      <c r="AD154" s="355"/>
    </row>
    <row r="155" spans="1:30" s="354" customFormat="1" x14ac:dyDescent="0.25">
      <c r="A155" s="339"/>
      <c r="B155" s="355"/>
      <c r="C155" s="355"/>
      <c r="D155" s="355"/>
      <c r="E155" s="355"/>
      <c r="F155" s="339"/>
      <c r="G155" s="355"/>
      <c r="H155" s="355"/>
      <c r="I155" s="355"/>
      <c r="J155" s="356"/>
      <c r="K155" s="357"/>
      <c r="L155" s="358"/>
      <c r="M155" s="355"/>
      <c r="N155" s="355"/>
      <c r="O155" s="355"/>
      <c r="P155" s="355"/>
      <c r="Q155" s="355"/>
      <c r="R155" s="365"/>
      <c r="S155" s="355"/>
      <c r="T155" s="363"/>
      <c r="U155" s="361"/>
      <c r="V155" s="364"/>
      <c r="W155" s="355"/>
      <c r="X155" s="355"/>
      <c r="Y155" s="355"/>
      <c r="Z155" s="355"/>
      <c r="AA155" s="355"/>
      <c r="AB155" s="355"/>
      <c r="AC155" s="355"/>
      <c r="AD155" s="355"/>
    </row>
    <row r="156" spans="1:30" s="354" customFormat="1" x14ac:dyDescent="0.25">
      <c r="A156" s="339"/>
      <c r="B156" s="355"/>
      <c r="C156" s="355"/>
      <c r="D156" s="355"/>
      <c r="E156" s="355"/>
      <c r="F156" s="339"/>
      <c r="G156" s="355"/>
      <c r="H156" s="355"/>
      <c r="I156" s="355"/>
      <c r="J156" s="356"/>
      <c r="K156" s="357"/>
      <c r="L156" s="358"/>
      <c r="M156" s="355"/>
      <c r="N156" s="355"/>
      <c r="O156" s="355"/>
      <c r="P156" s="355"/>
      <c r="Q156" s="355"/>
      <c r="R156" s="365"/>
      <c r="S156" s="355"/>
      <c r="T156" s="363"/>
      <c r="U156" s="361"/>
      <c r="V156" s="364"/>
      <c r="W156" s="355"/>
      <c r="X156" s="355"/>
      <c r="Y156" s="355"/>
      <c r="Z156" s="355"/>
      <c r="AA156" s="355"/>
      <c r="AB156" s="355"/>
      <c r="AC156" s="355"/>
      <c r="AD156" s="355"/>
    </row>
    <row r="157" spans="1:30" s="354" customFormat="1" x14ac:dyDescent="0.25">
      <c r="A157" s="339"/>
      <c r="B157" s="355"/>
      <c r="C157" s="355"/>
      <c r="D157" s="355"/>
      <c r="E157" s="355"/>
      <c r="F157" s="339"/>
      <c r="G157" s="355"/>
      <c r="H157" s="355"/>
      <c r="I157" s="355"/>
      <c r="J157" s="356"/>
      <c r="K157" s="357"/>
      <c r="L157" s="358"/>
      <c r="M157" s="355"/>
      <c r="N157" s="355"/>
      <c r="O157" s="355"/>
      <c r="P157" s="355"/>
      <c r="Q157" s="355"/>
      <c r="R157" s="365"/>
      <c r="S157" s="355"/>
      <c r="T157" s="363"/>
      <c r="U157" s="361"/>
      <c r="V157" s="364"/>
      <c r="W157" s="355"/>
      <c r="X157" s="355"/>
      <c r="Y157" s="355"/>
      <c r="Z157" s="355"/>
      <c r="AA157" s="355"/>
      <c r="AB157" s="355"/>
      <c r="AC157" s="355"/>
      <c r="AD157" s="355"/>
    </row>
    <row r="158" spans="1:30" s="354" customFormat="1" x14ac:dyDescent="0.25">
      <c r="A158" s="339"/>
      <c r="B158" s="355"/>
      <c r="C158" s="355"/>
      <c r="D158" s="355"/>
      <c r="E158" s="355"/>
      <c r="F158" s="339"/>
      <c r="G158" s="355"/>
      <c r="H158" s="355"/>
      <c r="I158" s="355"/>
      <c r="J158" s="356"/>
      <c r="K158" s="357"/>
      <c r="L158" s="358"/>
      <c r="M158" s="355"/>
      <c r="N158" s="355"/>
      <c r="O158" s="355"/>
      <c r="P158" s="355"/>
      <c r="Q158" s="355"/>
      <c r="R158" s="365"/>
      <c r="S158" s="355"/>
      <c r="T158" s="363"/>
      <c r="U158" s="361"/>
      <c r="V158" s="364"/>
      <c r="W158" s="355"/>
      <c r="X158" s="355"/>
      <c r="Y158" s="355"/>
      <c r="Z158" s="355"/>
      <c r="AA158" s="355"/>
      <c r="AB158" s="355"/>
      <c r="AC158" s="355"/>
      <c r="AD158" s="355"/>
    </row>
    <row r="159" spans="1:30" s="354" customFormat="1" x14ac:dyDescent="0.25">
      <c r="A159" s="339"/>
      <c r="B159" s="355"/>
      <c r="C159" s="355"/>
      <c r="D159" s="355"/>
      <c r="E159" s="355"/>
      <c r="F159" s="339"/>
      <c r="G159" s="355"/>
      <c r="H159" s="355"/>
      <c r="I159" s="355"/>
      <c r="J159" s="356"/>
      <c r="K159" s="357"/>
      <c r="L159" s="358"/>
      <c r="M159" s="355"/>
      <c r="N159" s="355"/>
      <c r="O159" s="355"/>
      <c r="P159" s="355"/>
      <c r="Q159" s="355"/>
      <c r="R159" s="365"/>
      <c r="S159" s="355"/>
      <c r="T159" s="363"/>
      <c r="U159" s="361"/>
      <c r="V159" s="364"/>
      <c r="W159" s="355"/>
      <c r="X159" s="355"/>
      <c r="Y159" s="355"/>
      <c r="Z159" s="355"/>
      <c r="AA159" s="355"/>
      <c r="AB159" s="355"/>
      <c r="AC159" s="355"/>
      <c r="AD159" s="355"/>
    </row>
    <row r="160" spans="1:30" s="354" customFormat="1" x14ac:dyDescent="0.25">
      <c r="A160" s="339"/>
      <c r="B160" s="355"/>
      <c r="C160" s="355"/>
      <c r="D160" s="355"/>
      <c r="E160" s="355"/>
      <c r="F160" s="339"/>
      <c r="G160" s="355"/>
      <c r="H160" s="355"/>
      <c r="I160" s="355"/>
      <c r="J160" s="356"/>
      <c r="K160" s="357"/>
      <c r="L160" s="358"/>
      <c r="M160" s="355"/>
      <c r="N160" s="355"/>
      <c r="O160" s="355"/>
      <c r="P160" s="355"/>
      <c r="Q160" s="355"/>
      <c r="R160" s="365"/>
      <c r="S160" s="355"/>
      <c r="T160" s="363"/>
      <c r="U160" s="361"/>
      <c r="V160" s="364"/>
      <c r="W160" s="355"/>
      <c r="X160" s="355"/>
      <c r="Y160" s="355"/>
      <c r="Z160" s="355"/>
      <c r="AA160" s="355"/>
      <c r="AB160" s="355"/>
      <c r="AC160" s="355"/>
      <c r="AD160" s="355"/>
    </row>
    <row r="161" spans="1:30" s="354" customFormat="1" x14ac:dyDescent="0.25">
      <c r="A161" s="339"/>
      <c r="B161" s="355"/>
      <c r="C161" s="355"/>
      <c r="D161" s="355"/>
      <c r="E161" s="355"/>
      <c r="F161" s="339"/>
      <c r="G161" s="355"/>
      <c r="H161" s="355"/>
      <c r="I161" s="355"/>
      <c r="J161" s="356"/>
      <c r="K161" s="357"/>
      <c r="L161" s="358"/>
      <c r="M161" s="355"/>
      <c r="N161" s="355"/>
      <c r="O161" s="355"/>
      <c r="P161" s="355"/>
      <c r="Q161" s="355"/>
      <c r="R161" s="365"/>
      <c r="S161" s="355"/>
      <c r="T161" s="363"/>
      <c r="U161" s="361"/>
      <c r="V161" s="364"/>
      <c r="W161" s="355"/>
      <c r="X161" s="355"/>
      <c r="Y161" s="355"/>
      <c r="Z161" s="355"/>
      <c r="AA161" s="355"/>
      <c r="AB161" s="355"/>
      <c r="AC161" s="355"/>
      <c r="AD161" s="355"/>
    </row>
    <row r="162" spans="1:30" s="354" customFormat="1" x14ac:dyDescent="0.25">
      <c r="A162" s="339"/>
      <c r="B162" s="355"/>
      <c r="C162" s="355"/>
      <c r="D162" s="355"/>
      <c r="E162" s="355"/>
      <c r="F162" s="339"/>
      <c r="G162" s="355"/>
      <c r="H162" s="355"/>
      <c r="I162" s="355"/>
      <c r="J162" s="356"/>
      <c r="K162" s="357"/>
      <c r="L162" s="358"/>
      <c r="M162" s="355"/>
      <c r="N162" s="355"/>
      <c r="O162" s="355"/>
      <c r="P162" s="355"/>
      <c r="Q162" s="355"/>
      <c r="R162" s="365"/>
      <c r="S162" s="355"/>
      <c r="T162" s="363"/>
      <c r="U162" s="361"/>
      <c r="V162" s="364"/>
      <c r="W162" s="355"/>
      <c r="X162" s="355"/>
      <c r="Y162" s="355"/>
      <c r="Z162" s="355"/>
      <c r="AA162" s="355"/>
      <c r="AB162" s="355"/>
      <c r="AC162" s="355"/>
      <c r="AD162" s="355"/>
    </row>
    <row r="163" spans="1:30" s="354" customFormat="1" x14ac:dyDescent="0.25">
      <c r="A163" s="339"/>
      <c r="B163" s="355"/>
      <c r="C163" s="355"/>
      <c r="D163" s="355"/>
      <c r="E163" s="355"/>
      <c r="F163" s="339"/>
      <c r="G163" s="355"/>
      <c r="H163" s="355"/>
      <c r="I163" s="355"/>
      <c r="J163" s="356"/>
      <c r="K163" s="357"/>
      <c r="L163" s="358"/>
      <c r="M163" s="355"/>
      <c r="N163" s="355"/>
      <c r="O163" s="355"/>
      <c r="P163" s="355"/>
      <c r="Q163" s="355"/>
      <c r="R163" s="365"/>
      <c r="S163" s="355"/>
      <c r="T163" s="363"/>
      <c r="U163" s="361"/>
      <c r="V163" s="364"/>
      <c r="W163" s="355"/>
      <c r="X163" s="355"/>
      <c r="Y163" s="355"/>
      <c r="Z163" s="355"/>
      <c r="AA163" s="355"/>
      <c r="AB163" s="355"/>
      <c r="AC163" s="355"/>
      <c r="AD163" s="355"/>
    </row>
    <row r="164" spans="1:30" s="354" customFormat="1" x14ac:dyDescent="0.25">
      <c r="A164" s="339"/>
      <c r="B164" s="355"/>
      <c r="C164" s="355"/>
      <c r="D164" s="355"/>
      <c r="E164" s="355"/>
      <c r="F164" s="339"/>
      <c r="G164" s="355"/>
      <c r="H164" s="355"/>
      <c r="I164" s="355"/>
      <c r="J164" s="356"/>
      <c r="K164" s="357"/>
      <c r="L164" s="358"/>
      <c r="M164" s="355"/>
      <c r="N164" s="355"/>
      <c r="O164" s="355"/>
      <c r="P164" s="355"/>
      <c r="Q164" s="355"/>
      <c r="R164" s="365"/>
      <c r="S164" s="355"/>
      <c r="T164" s="363"/>
      <c r="U164" s="361"/>
      <c r="V164" s="364"/>
      <c r="W164" s="355"/>
      <c r="X164" s="355"/>
      <c r="Y164" s="355"/>
      <c r="Z164" s="355"/>
      <c r="AA164" s="355"/>
      <c r="AB164" s="355"/>
      <c r="AC164" s="355"/>
      <c r="AD164" s="355"/>
    </row>
    <row r="165" spans="1:30" s="354" customFormat="1" x14ac:dyDescent="0.25">
      <c r="A165" s="339"/>
      <c r="B165" s="355"/>
      <c r="C165" s="355"/>
      <c r="D165" s="355"/>
      <c r="E165" s="355"/>
      <c r="F165" s="339"/>
      <c r="G165" s="355"/>
      <c r="H165" s="355"/>
      <c r="I165" s="355"/>
      <c r="J165" s="356"/>
      <c r="K165" s="357"/>
      <c r="L165" s="358"/>
      <c r="M165" s="355"/>
      <c r="N165" s="355"/>
      <c r="O165" s="355"/>
      <c r="P165" s="355"/>
      <c r="Q165" s="355"/>
      <c r="R165" s="365"/>
      <c r="S165" s="355"/>
      <c r="T165" s="363"/>
      <c r="U165" s="361"/>
      <c r="V165" s="364"/>
      <c r="W165" s="355"/>
      <c r="X165" s="355"/>
      <c r="Y165" s="355"/>
      <c r="Z165" s="355"/>
      <c r="AA165" s="355"/>
      <c r="AB165" s="355"/>
      <c r="AC165" s="355"/>
      <c r="AD165" s="355"/>
    </row>
    <row r="166" spans="1:30" s="354" customFormat="1" x14ac:dyDescent="0.25">
      <c r="A166" s="339"/>
      <c r="B166" s="355"/>
      <c r="C166" s="355"/>
      <c r="D166" s="355"/>
      <c r="E166" s="355"/>
      <c r="F166" s="339"/>
      <c r="G166" s="355"/>
      <c r="H166" s="355"/>
      <c r="I166" s="355"/>
      <c r="J166" s="356"/>
      <c r="K166" s="357"/>
      <c r="L166" s="358"/>
      <c r="M166" s="355"/>
      <c r="N166" s="355"/>
      <c r="O166" s="355"/>
      <c r="P166" s="355"/>
      <c r="Q166" s="355"/>
      <c r="R166" s="365"/>
      <c r="S166" s="355"/>
      <c r="T166" s="363"/>
      <c r="U166" s="361"/>
      <c r="V166" s="364"/>
      <c r="W166" s="355"/>
      <c r="X166" s="355"/>
      <c r="Y166" s="355"/>
      <c r="Z166" s="355"/>
      <c r="AA166" s="355"/>
      <c r="AB166" s="355"/>
      <c r="AC166" s="355"/>
      <c r="AD166" s="355"/>
    </row>
    <row r="167" spans="1:30" s="354" customFormat="1" x14ac:dyDescent="0.25">
      <c r="A167" s="339"/>
      <c r="B167" s="355"/>
      <c r="C167" s="355"/>
      <c r="D167" s="355"/>
      <c r="E167" s="355"/>
      <c r="F167" s="339"/>
      <c r="G167" s="355"/>
      <c r="H167" s="355"/>
      <c r="I167" s="355"/>
      <c r="J167" s="356"/>
      <c r="K167" s="357"/>
      <c r="L167" s="358"/>
      <c r="M167" s="355"/>
      <c r="N167" s="355"/>
      <c r="O167" s="355"/>
      <c r="P167" s="355"/>
      <c r="Q167" s="355"/>
      <c r="R167" s="365"/>
      <c r="S167" s="355"/>
      <c r="T167" s="363"/>
      <c r="U167" s="361"/>
      <c r="V167" s="364"/>
      <c r="W167" s="355"/>
      <c r="X167" s="355"/>
      <c r="Y167" s="355"/>
      <c r="Z167" s="355"/>
      <c r="AA167" s="355"/>
      <c r="AB167" s="355"/>
      <c r="AC167" s="355"/>
      <c r="AD167" s="355"/>
    </row>
    <row r="168" spans="1:30" s="354" customFormat="1" x14ac:dyDescent="0.25">
      <c r="A168" s="339"/>
      <c r="B168" s="355"/>
      <c r="C168" s="355"/>
      <c r="D168" s="355"/>
      <c r="E168" s="355"/>
      <c r="F168" s="339"/>
      <c r="G168" s="355"/>
      <c r="H168" s="355"/>
      <c r="I168" s="355"/>
      <c r="J168" s="356"/>
      <c r="K168" s="357"/>
      <c r="L168" s="358"/>
      <c r="M168" s="355"/>
      <c r="N168" s="355"/>
      <c r="O168" s="355"/>
      <c r="P168" s="355"/>
      <c r="Q168" s="355"/>
      <c r="R168" s="365"/>
      <c r="S168" s="355"/>
      <c r="T168" s="363"/>
      <c r="U168" s="361"/>
      <c r="V168" s="364"/>
      <c r="W168" s="355"/>
      <c r="X168" s="355"/>
      <c r="Y168" s="355"/>
      <c r="Z168" s="355"/>
      <c r="AA168" s="355"/>
      <c r="AB168" s="355"/>
      <c r="AC168" s="355"/>
      <c r="AD168" s="355"/>
    </row>
    <row r="169" spans="1:30" s="354" customFormat="1" x14ac:dyDescent="0.25">
      <c r="A169" s="339"/>
      <c r="B169" s="355"/>
      <c r="C169" s="355"/>
      <c r="D169" s="355"/>
      <c r="E169" s="355"/>
      <c r="F169" s="339"/>
      <c r="G169" s="355"/>
      <c r="H169" s="355"/>
      <c r="I169" s="355"/>
      <c r="J169" s="356"/>
      <c r="K169" s="357"/>
      <c r="L169" s="358"/>
      <c r="M169" s="355"/>
      <c r="N169" s="355"/>
      <c r="O169" s="355"/>
      <c r="P169" s="355"/>
      <c r="Q169" s="355"/>
      <c r="R169" s="365"/>
      <c r="S169" s="355"/>
      <c r="T169" s="363"/>
      <c r="U169" s="361"/>
      <c r="V169" s="364"/>
      <c r="W169" s="355"/>
      <c r="X169" s="355"/>
      <c r="Y169" s="355"/>
      <c r="Z169" s="355"/>
      <c r="AA169" s="355"/>
      <c r="AB169" s="355"/>
      <c r="AC169" s="355"/>
      <c r="AD169" s="355"/>
    </row>
    <row r="170" spans="1:30" s="354" customFormat="1" x14ac:dyDescent="0.25">
      <c r="A170" s="339"/>
      <c r="B170" s="355"/>
      <c r="C170" s="355"/>
      <c r="D170" s="355"/>
      <c r="E170" s="355"/>
      <c r="F170" s="339"/>
      <c r="G170" s="355"/>
      <c r="H170" s="355"/>
      <c r="I170" s="355"/>
      <c r="J170" s="356"/>
      <c r="K170" s="357"/>
      <c r="L170" s="358"/>
      <c r="M170" s="355"/>
      <c r="N170" s="355"/>
      <c r="O170" s="355"/>
      <c r="P170" s="355"/>
      <c r="Q170" s="355"/>
      <c r="R170" s="365"/>
      <c r="S170" s="355"/>
      <c r="T170" s="363"/>
      <c r="U170" s="361"/>
      <c r="V170" s="364"/>
      <c r="W170" s="355"/>
      <c r="X170" s="355"/>
      <c r="Y170" s="355"/>
      <c r="Z170" s="355"/>
      <c r="AA170" s="355"/>
      <c r="AB170" s="355"/>
      <c r="AC170" s="355"/>
      <c r="AD170" s="355"/>
    </row>
    <row r="171" spans="1:30" s="354" customFormat="1" x14ac:dyDescent="0.25">
      <c r="A171" s="339"/>
      <c r="B171" s="355"/>
      <c r="C171" s="355"/>
      <c r="D171" s="355"/>
      <c r="E171" s="355"/>
      <c r="F171" s="339"/>
      <c r="G171" s="355"/>
      <c r="H171" s="355"/>
      <c r="I171" s="355"/>
      <c r="J171" s="356"/>
      <c r="K171" s="357"/>
      <c r="L171" s="358"/>
      <c r="M171" s="355"/>
      <c r="N171" s="355"/>
      <c r="O171" s="355"/>
      <c r="P171" s="355"/>
      <c r="Q171" s="355"/>
      <c r="R171" s="365"/>
      <c r="S171" s="355"/>
      <c r="T171" s="363"/>
      <c r="U171" s="361"/>
      <c r="V171" s="364"/>
      <c r="W171" s="355"/>
      <c r="X171" s="355"/>
      <c r="Y171" s="355"/>
      <c r="Z171" s="355"/>
      <c r="AA171" s="355"/>
      <c r="AB171" s="355"/>
      <c r="AC171" s="355"/>
      <c r="AD171" s="355"/>
    </row>
    <row r="172" spans="1:30" s="354" customFormat="1" x14ac:dyDescent="0.25">
      <c r="A172" s="339"/>
      <c r="B172" s="355"/>
      <c r="C172" s="355"/>
      <c r="D172" s="355"/>
      <c r="E172" s="355"/>
      <c r="F172" s="339"/>
      <c r="G172" s="355"/>
      <c r="H172" s="355"/>
      <c r="I172" s="355"/>
      <c r="J172" s="356"/>
      <c r="K172" s="357"/>
      <c r="L172" s="358"/>
      <c r="M172" s="355"/>
      <c r="N172" s="355"/>
      <c r="O172" s="355"/>
      <c r="P172" s="355"/>
      <c r="Q172" s="355"/>
      <c r="R172" s="365"/>
      <c r="S172" s="355"/>
      <c r="T172" s="363"/>
      <c r="U172" s="361"/>
      <c r="V172" s="364"/>
      <c r="W172" s="355"/>
      <c r="X172" s="355"/>
      <c r="Y172" s="355"/>
      <c r="Z172" s="355"/>
      <c r="AA172" s="355"/>
      <c r="AB172" s="355"/>
      <c r="AC172" s="355"/>
      <c r="AD172" s="355"/>
    </row>
    <row r="173" spans="1:30" s="354" customFormat="1" x14ac:dyDescent="0.25">
      <c r="A173" s="339"/>
      <c r="B173" s="355"/>
      <c r="C173" s="355"/>
      <c r="D173" s="355"/>
      <c r="E173" s="355"/>
      <c r="F173" s="339"/>
      <c r="G173" s="355"/>
      <c r="H173" s="355"/>
      <c r="I173" s="355"/>
      <c r="J173" s="356"/>
      <c r="K173" s="357"/>
      <c r="L173" s="358"/>
      <c r="M173" s="355"/>
      <c r="N173" s="355"/>
      <c r="O173" s="355"/>
      <c r="P173" s="355"/>
      <c r="Q173" s="355"/>
      <c r="R173" s="365"/>
      <c r="S173" s="355"/>
      <c r="T173" s="363"/>
      <c r="U173" s="361"/>
      <c r="V173" s="364"/>
      <c r="W173" s="355"/>
      <c r="X173" s="355"/>
      <c r="Y173" s="355"/>
      <c r="Z173" s="355"/>
      <c r="AA173" s="355"/>
      <c r="AB173" s="355"/>
      <c r="AC173" s="355"/>
      <c r="AD173" s="355"/>
    </row>
    <row r="174" spans="1:30" s="354" customFormat="1" x14ac:dyDescent="0.25">
      <c r="A174" s="339"/>
      <c r="B174" s="355"/>
      <c r="C174" s="355"/>
      <c r="D174" s="355"/>
      <c r="E174" s="355"/>
      <c r="F174" s="339"/>
      <c r="G174" s="355"/>
      <c r="H174" s="355"/>
      <c r="I174" s="355"/>
      <c r="J174" s="356"/>
      <c r="K174" s="357"/>
      <c r="L174" s="358"/>
      <c r="M174" s="355"/>
      <c r="N174" s="355"/>
      <c r="O174" s="355"/>
      <c r="P174" s="355"/>
      <c r="Q174" s="355"/>
      <c r="R174" s="365"/>
      <c r="S174" s="355"/>
      <c r="T174" s="363"/>
      <c r="U174" s="361"/>
      <c r="V174" s="364"/>
      <c r="W174" s="355"/>
      <c r="X174" s="355"/>
      <c r="Y174" s="355"/>
      <c r="Z174" s="355"/>
      <c r="AA174" s="355"/>
      <c r="AB174" s="355"/>
      <c r="AC174" s="355"/>
      <c r="AD174" s="355"/>
    </row>
    <row r="175" spans="1:30" s="354" customFormat="1" x14ac:dyDescent="0.25">
      <c r="A175" s="339"/>
      <c r="B175" s="355"/>
      <c r="C175" s="355"/>
      <c r="D175" s="355"/>
      <c r="E175" s="355"/>
      <c r="F175" s="339"/>
      <c r="G175" s="355"/>
      <c r="H175" s="355"/>
      <c r="I175" s="355"/>
      <c r="J175" s="356"/>
      <c r="K175" s="357"/>
      <c r="L175" s="358"/>
      <c r="M175" s="355"/>
      <c r="N175" s="355"/>
      <c r="O175" s="355"/>
      <c r="P175" s="355"/>
      <c r="Q175" s="355"/>
      <c r="R175" s="365"/>
      <c r="S175" s="355"/>
      <c r="T175" s="363"/>
      <c r="U175" s="361"/>
      <c r="V175" s="364"/>
      <c r="W175" s="355"/>
      <c r="X175" s="355"/>
      <c r="Y175" s="355"/>
      <c r="Z175" s="355"/>
      <c r="AA175" s="355"/>
      <c r="AB175" s="355"/>
      <c r="AC175" s="355"/>
      <c r="AD175" s="355"/>
    </row>
    <row r="176" spans="1:30" s="354" customFormat="1" x14ac:dyDescent="0.25">
      <c r="A176" s="339"/>
      <c r="B176" s="355"/>
      <c r="C176" s="355"/>
      <c r="D176" s="355"/>
      <c r="E176" s="355"/>
      <c r="F176" s="339"/>
      <c r="G176" s="355"/>
      <c r="H176" s="355"/>
      <c r="I176" s="355"/>
      <c r="J176" s="356"/>
      <c r="K176" s="357"/>
      <c r="L176" s="358"/>
      <c r="M176" s="355"/>
      <c r="N176" s="355"/>
      <c r="O176" s="355"/>
      <c r="P176" s="355"/>
      <c r="Q176" s="355"/>
      <c r="R176" s="365"/>
      <c r="S176" s="355"/>
      <c r="T176" s="363"/>
      <c r="U176" s="361"/>
      <c r="V176" s="364"/>
      <c r="W176" s="355"/>
      <c r="X176" s="355"/>
      <c r="Y176" s="355"/>
      <c r="Z176" s="355"/>
      <c r="AA176" s="355"/>
      <c r="AB176" s="355"/>
      <c r="AC176" s="355"/>
      <c r="AD176" s="355"/>
    </row>
    <row r="177" spans="1:30" s="354" customFormat="1" x14ac:dyDescent="0.25">
      <c r="A177" s="339"/>
      <c r="B177" s="355"/>
      <c r="C177" s="355"/>
      <c r="D177" s="355"/>
      <c r="E177" s="355"/>
      <c r="F177" s="339"/>
      <c r="G177" s="355"/>
      <c r="H177" s="355"/>
      <c r="I177" s="355"/>
      <c r="J177" s="356"/>
      <c r="K177" s="357"/>
      <c r="L177" s="358"/>
      <c r="M177" s="355"/>
      <c r="N177" s="355"/>
      <c r="O177" s="355"/>
      <c r="P177" s="355"/>
      <c r="Q177" s="355"/>
      <c r="R177" s="365"/>
      <c r="S177" s="355"/>
      <c r="T177" s="363"/>
      <c r="U177" s="361"/>
      <c r="V177" s="364"/>
      <c r="W177" s="355"/>
      <c r="X177" s="355"/>
      <c r="Y177" s="355"/>
      <c r="Z177" s="355"/>
      <c r="AA177" s="355"/>
      <c r="AB177" s="355"/>
      <c r="AC177" s="355"/>
      <c r="AD177" s="355"/>
    </row>
    <row r="178" spans="1:30" s="354" customFormat="1" x14ac:dyDescent="0.25">
      <c r="A178" s="339"/>
      <c r="B178" s="355"/>
      <c r="C178" s="355"/>
      <c r="D178" s="355"/>
      <c r="E178" s="355"/>
      <c r="F178" s="339"/>
      <c r="G178" s="355"/>
      <c r="H178" s="355"/>
      <c r="I178" s="355"/>
      <c r="J178" s="356"/>
      <c r="K178" s="357"/>
      <c r="L178" s="358"/>
      <c r="M178" s="355"/>
      <c r="N178" s="355"/>
      <c r="O178" s="355"/>
      <c r="P178" s="355"/>
      <c r="Q178" s="355"/>
      <c r="R178" s="365"/>
      <c r="S178" s="355"/>
      <c r="T178" s="363"/>
      <c r="U178" s="361"/>
      <c r="V178" s="364"/>
      <c r="W178" s="355"/>
      <c r="X178" s="355"/>
      <c r="Y178" s="355"/>
      <c r="Z178" s="355"/>
      <c r="AA178" s="355"/>
      <c r="AB178" s="355"/>
      <c r="AC178" s="355"/>
      <c r="AD178" s="355"/>
    </row>
    <row r="179" spans="1:30" s="354" customFormat="1" x14ac:dyDescent="0.25">
      <c r="A179" s="339"/>
      <c r="B179" s="355"/>
      <c r="C179" s="355"/>
      <c r="D179" s="355"/>
      <c r="E179" s="355"/>
      <c r="F179" s="339"/>
      <c r="G179" s="355"/>
      <c r="H179" s="355"/>
      <c r="I179" s="355"/>
      <c r="J179" s="356"/>
      <c r="K179" s="357"/>
      <c r="L179" s="358"/>
      <c r="M179" s="355"/>
      <c r="N179" s="355"/>
      <c r="O179" s="355"/>
      <c r="P179" s="355"/>
      <c r="Q179" s="355"/>
      <c r="R179" s="365"/>
      <c r="S179" s="355"/>
      <c r="T179" s="363"/>
      <c r="U179" s="361"/>
      <c r="V179" s="364"/>
      <c r="W179" s="355"/>
      <c r="X179" s="355"/>
      <c r="Y179" s="355"/>
      <c r="Z179" s="355"/>
      <c r="AA179" s="355"/>
      <c r="AB179" s="355"/>
      <c r="AC179" s="355"/>
      <c r="AD179" s="355"/>
    </row>
    <row r="180" spans="1:30" s="354" customFormat="1" x14ac:dyDescent="0.25">
      <c r="A180" s="339"/>
      <c r="B180" s="355"/>
      <c r="C180" s="355"/>
      <c r="D180" s="355"/>
      <c r="E180" s="355"/>
      <c r="F180" s="339"/>
      <c r="G180" s="355"/>
      <c r="H180" s="355"/>
      <c r="I180" s="355"/>
      <c r="J180" s="356"/>
      <c r="K180" s="357"/>
      <c r="L180" s="358"/>
      <c r="M180" s="355"/>
      <c r="N180" s="355"/>
      <c r="O180" s="355"/>
      <c r="P180" s="355"/>
      <c r="Q180" s="355"/>
      <c r="R180" s="365"/>
      <c r="S180" s="355"/>
      <c r="T180" s="363"/>
      <c r="U180" s="361"/>
      <c r="V180" s="364"/>
      <c r="W180" s="355"/>
      <c r="X180" s="355"/>
      <c r="Y180" s="355"/>
      <c r="Z180" s="355"/>
      <c r="AA180" s="355"/>
      <c r="AB180" s="355"/>
      <c r="AC180" s="355"/>
      <c r="AD180" s="355"/>
    </row>
    <row r="181" spans="1:30" s="354" customFormat="1" x14ac:dyDescent="0.25">
      <c r="A181" s="339"/>
      <c r="B181" s="355"/>
      <c r="C181" s="355"/>
      <c r="D181" s="355"/>
      <c r="E181" s="355"/>
      <c r="F181" s="339"/>
      <c r="G181" s="355"/>
      <c r="H181" s="355"/>
      <c r="I181" s="355"/>
      <c r="J181" s="356"/>
      <c r="K181" s="357"/>
      <c r="L181" s="358"/>
      <c r="M181" s="355"/>
      <c r="N181" s="355"/>
      <c r="O181" s="355"/>
      <c r="P181" s="355"/>
      <c r="Q181" s="355"/>
      <c r="R181" s="365"/>
      <c r="S181" s="355"/>
      <c r="T181" s="363"/>
      <c r="U181" s="361"/>
      <c r="V181" s="364"/>
      <c r="W181" s="355"/>
      <c r="X181" s="355"/>
      <c r="Y181" s="355"/>
      <c r="Z181" s="355"/>
      <c r="AA181" s="355"/>
      <c r="AB181" s="355"/>
      <c r="AC181" s="355"/>
      <c r="AD181" s="355"/>
    </row>
    <row r="182" spans="1:30" s="354" customFormat="1" x14ac:dyDescent="0.25">
      <c r="A182" s="339"/>
      <c r="B182" s="355"/>
      <c r="C182" s="355"/>
      <c r="D182" s="355"/>
      <c r="E182" s="355"/>
      <c r="F182" s="339"/>
      <c r="G182" s="355"/>
      <c r="H182" s="355"/>
      <c r="I182" s="355"/>
      <c r="J182" s="356"/>
      <c r="K182" s="357"/>
      <c r="L182" s="358"/>
      <c r="M182" s="355"/>
      <c r="N182" s="355"/>
      <c r="O182" s="355"/>
      <c r="P182" s="355"/>
      <c r="Q182" s="355"/>
      <c r="R182" s="365"/>
      <c r="S182" s="355"/>
      <c r="T182" s="363"/>
      <c r="U182" s="361"/>
      <c r="V182" s="364"/>
      <c r="W182" s="355"/>
      <c r="X182" s="355"/>
      <c r="Y182" s="355"/>
      <c r="Z182" s="355"/>
      <c r="AA182" s="355"/>
      <c r="AB182" s="355"/>
      <c r="AC182" s="355"/>
      <c r="AD182" s="355"/>
    </row>
    <row r="183" spans="1:30" s="354" customFormat="1" x14ac:dyDescent="0.25">
      <c r="A183" s="339"/>
      <c r="B183" s="355"/>
      <c r="C183" s="355"/>
      <c r="D183" s="355"/>
      <c r="E183" s="355"/>
      <c r="F183" s="339"/>
      <c r="G183" s="355"/>
      <c r="H183" s="355"/>
      <c r="I183" s="355"/>
      <c r="J183" s="356"/>
      <c r="K183" s="357"/>
      <c r="L183" s="358"/>
      <c r="M183" s="355"/>
      <c r="N183" s="355"/>
      <c r="O183" s="355"/>
      <c r="P183" s="355"/>
      <c r="Q183" s="355"/>
      <c r="R183" s="365"/>
      <c r="S183" s="355"/>
      <c r="T183" s="363"/>
      <c r="U183" s="361"/>
      <c r="V183" s="364"/>
      <c r="W183" s="355"/>
      <c r="X183" s="355"/>
      <c r="Y183" s="355"/>
      <c r="Z183" s="355"/>
      <c r="AA183" s="355"/>
      <c r="AB183" s="355"/>
      <c r="AC183" s="355"/>
      <c r="AD183" s="355"/>
    </row>
    <row r="184" spans="1:30" s="354" customFormat="1" x14ac:dyDescent="0.25">
      <c r="A184" s="339"/>
      <c r="B184" s="355"/>
      <c r="C184" s="355"/>
      <c r="D184" s="355"/>
      <c r="E184" s="355"/>
      <c r="F184" s="339"/>
      <c r="G184" s="355"/>
      <c r="H184" s="355"/>
      <c r="I184" s="355"/>
      <c r="J184" s="356"/>
      <c r="K184" s="357"/>
      <c r="L184" s="358"/>
      <c r="M184" s="355"/>
      <c r="N184" s="355"/>
      <c r="O184" s="355"/>
      <c r="P184" s="355"/>
      <c r="Q184" s="355"/>
      <c r="R184" s="365"/>
      <c r="S184" s="355"/>
      <c r="T184" s="363"/>
      <c r="U184" s="361"/>
      <c r="V184" s="364"/>
      <c r="W184" s="355"/>
      <c r="X184" s="355"/>
      <c r="Y184" s="355"/>
      <c r="Z184" s="355"/>
      <c r="AA184" s="355"/>
      <c r="AB184" s="355"/>
      <c r="AC184" s="355"/>
      <c r="AD184" s="355"/>
    </row>
    <row r="185" spans="1:30" s="354" customFormat="1" x14ac:dyDescent="0.25">
      <c r="A185" s="339"/>
      <c r="B185" s="355"/>
      <c r="C185" s="355"/>
      <c r="D185" s="355"/>
      <c r="E185" s="355"/>
      <c r="F185" s="339"/>
      <c r="G185" s="355"/>
      <c r="H185" s="355"/>
      <c r="I185" s="355"/>
      <c r="J185" s="356"/>
      <c r="K185" s="357"/>
      <c r="L185" s="358"/>
      <c r="M185" s="355"/>
      <c r="N185" s="355"/>
      <c r="O185" s="355"/>
      <c r="P185" s="355"/>
      <c r="Q185" s="355"/>
      <c r="R185" s="365"/>
      <c r="S185" s="355"/>
      <c r="T185" s="363"/>
      <c r="U185" s="361"/>
      <c r="V185" s="364"/>
      <c r="W185" s="355"/>
      <c r="X185" s="355"/>
      <c r="Y185" s="355"/>
      <c r="Z185" s="355"/>
      <c r="AA185" s="355"/>
      <c r="AB185" s="355"/>
      <c r="AC185" s="355"/>
      <c r="AD185" s="355"/>
    </row>
    <row r="186" spans="1:30" s="354" customFormat="1" x14ac:dyDescent="0.25">
      <c r="A186" s="339"/>
      <c r="B186" s="355"/>
      <c r="C186" s="355"/>
      <c r="D186" s="355"/>
      <c r="E186" s="355"/>
      <c r="F186" s="339"/>
      <c r="G186" s="355"/>
      <c r="H186" s="355"/>
      <c r="I186" s="355"/>
      <c r="J186" s="356"/>
      <c r="K186" s="357"/>
      <c r="L186" s="358"/>
      <c r="M186" s="355"/>
      <c r="N186" s="355"/>
      <c r="O186" s="355"/>
      <c r="P186" s="355"/>
      <c r="Q186" s="355"/>
      <c r="R186" s="365"/>
      <c r="S186" s="355"/>
      <c r="T186" s="363"/>
      <c r="U186" s="361"/>
      <c r="V186" s="364"/>
      <c r="W186" s="355"/>
      <c r="X186" s="355"/>
      <c r="Y186" s="355"/>
      <c r="Z186" s="355"/>
      <c r="AA186" s="355"/>
      <c r="AB186" s="355"/>
      <c r="AC186" s="355"/>
      <c r="AD186" s="355"/>
    </row>
    <row r="187" spans="1:30" s="354" customFormat="1" x14ac:dyDescent="0.25">
      <c r="A187" s="339"/>
      <c r="B187" s="355"/>
      <c r="C187" s="355"/>
      <c r="D187" s="355"/>
      <c r="E187" s="355"/>
      <c r="F187" s="339"/>
      <c r="G187" s="355"/>
      <c r="H187" s="355"/>
      <c r="I187" s="355"/>
      <c r="J187" s="356"/>
      <c r="K187" s="357"/>
      <c r="L187" s="358"/>
      <c r="M187" s="355"/>
      <c r="N187" s="355"/>
      <c r="O187" s="355"/>
      <c r="P187" s="355"/>
      <c r="Q187" s="355"/>
      <c r="R187" s="365"/>
      <c r="S187" s="355"/>
      <c r="T187" s="363"/>
      <c r="U187" s="361"/>
      <c r="V187" s="364"/>
      <c r="W187" s="355"/>
      <c r="X187" s="355"/>
      <c r="Y187" s="355"/>
      <c r="Z187" s="355"/>
      <c r="AA187" s="355"/>
      <c r="AB187" s="355"/>
      <c r="AC187" s="355"/>
      <c r="AD187" s="355"/>
    </row>
    <row r="188" spans="1:30" s="354" customFormat="1" x14ac:dyDescent="0.25">
      <c r="A188" s="339"/>
      <c r="B188" s="355"/>
      <c r="C188" s="355"/>
      <c r="D188" s="355"/>
      <c r="E188" s="355"/>
      <c r="F188" s="339"/>
      <c r="G188" s="355"/>
      <c r="H188" s="355"/>
      <c r="I188" s="355"/>
      <c r="J188" s="356"/>
      <c r="K188" s="357"/>
      <c r="L188" s="358"/>
      <c r="M188" s="355"/>
      <c r="N188" s="355"/>
      <c r="O188" s="355"/>
      <c r="P188" s="355"/>
      <c r="Q188" s="355"/>
      <c r="R188" s="365"/>
      <c r="S188" s="355"/>
      <c r="T188" s="363"/>
      <c r="U188" s="361"/>
      <c r="V188" s="364"/>
      <c r="W188" s="355"/>
      <c r="X188" s="355"/>
      <c r="Y188" s="355"/>
      <c r="Z188" s="355"/>
      <c r="AA188" s="355"/>
      <c r="AB188" s="355"/>
      <c r="AC188" s="355"/>
      <c r="AD188" s="355"/>
    </row>
    <row r="189" spans="1:30" s="354" customFormat="1" x14ac:dyDescent="0.25">
      <c r="A189" s="339"/>
      <c r="B189" s="355"/>
      <c r="C189" s="355"/>
      <c r="D189" s="355"/>
      <c r="E189" s="355"/>
      <c r="F189" s="339"/>
      <c r="G189" s="355"/>
      <c r="H189" s="355"/>
      <c r="I189" s="355"/>
      <c r="J189" s="356"/>
      <c r="K189" s="357"/>
      <c r="L189" s="358"/>
      <c r="M189" s="355"/>
      <c r="N189" s="355"/>
      <c r="O189" s="355"/>
      <c r="P189" s="355"/>
      <c r="Q189" s="355"/>
      <c r="R189" s="365"/>
      <c r="S189" s="355"/>
      <c r="T189" s="363"/>
      <c r="U189" s="361"/>
      <c r="V189" s="364"/>
      <c r="W189" s="355"/>
      <c r="X189" s="355"/>
      <c r="Y189" s="355"/>
      <c r="Z189" s="355"/>
      <c r="AA189" s="355"/>
      <c r="AB189" s="355"/>
      <c r="AC189" s="355"/>
      <c r="AD189" s="355"/>
    </row>
    <row r="190" spans="1:30" s="354" customFormat="1" x14ac:dyDescent="0.25">
      <c r="A190" s="339"/>
      <c r="B190" s="355"/>
      <c r="C190" s="355"/>
      <c r="D190" s="355"/>
      <c r="E190" s="355"/>
      <c r="F190" s="339"/>
      <c r="G190" s="355"/>
      <c r="H190" s="355"/>
      <c r="I190" s="355"/>
      <c r="J190" s="356"/>
      <c r="K190" s="357"/>
      <c r="L190" s="358"/>
      <c r="M190" s="355"/>
      <c r="N190" s="355"/>
      <c r="O190" s="355"/>
      <c r="P190" s="355"/>
      <c r="Q190" s="355"/>
      <c r="R190" s="365"/>
      <c r="S190" s="355"/>
      <c r="T190" s="363"/>
      <c r="U190" s="361"/>
      <c r="V190" s="364"/>
      <c r="W190" s="355"/>
      <c r="X190" s="355"/>
      <c r="Y190" s="355"/>
      <c r="Z190" s="355"/>
      <c r="AA190" s="355"/>
      <c r="AB190" s="355"/>
      <c r="AC190" s="355"/>
      <c r="AD190" s="355"/>
    </row>
    <row r="191" spans="1:30" s="354" customFormat="1" x14ac:dyDescent="0.25">
      <c r="A191" s="339"/>
      <c r="B191" s="355"/>
      <c r="C191" s="355"/>
      <c r="D191" s="355"/>
      <c r="E191" s="355"/>
      <c r="F191" s="339"/>
      <c r="G191" s="355"/>
      <c r="H191" s="355"/>
      <c r="I191" s="355"/>
      <c r="J191" s="356"/>
      <c r="K191" s="357"/>
      <c r="L191" s="358"/>
      <c r="M191" s="355"/>
      <c r="N191" s="355"/>
      <c r="O191" s="355"/>
      <c r="P191" s="355"/>
      <c r="Q191" s="355"/>
      <c r="R191" s="365"/>
      <c r="S191" s="355"/>
      <c r="T191" s="363"/>
      <c r="U191" s="361"/>
      <c r="V191" s="364"/>
      <c r="W191" s="355"/>
      <c r="X191" s="355"/>
      <c r="Y191" s="355"/>
      <c r="Z191" s="355"/>
      <c r="AA191" s="355"/>
      <c r="AB191" s="355"/>
      <c r="AC191" s="355"/>
      <c r="AD191" s="355"/>
    </row>
    <row r="192" spans="1:30" s="354" customFormat="1" x14ac:dyDescent="0.25">
      <c r="A192" s="339"/>
      <c r="B192" s="355"/>
      <c r="C192" s="355"/>
      <c r="D192" s="355"/>
      <c r="E192" s="355"/>
      <c r="F192" s="339"/>
      <c r="G192" s="355"/>
      <c r="H192" s="355"/>
      <c r="I192" s="355"/>
      <c r="J192" s="356"/>
      <c r="K192" s="357"/>
      <c r="L192" s="358"/>
      <c r="M192" s="355"/>
      <c r="N192" s="355"/>
      <c r="O192" s="355"/>
      <c r="P192" s="355"/>
      <c r="Q192" s="355"/>
      <c r="R192" s="365"/>
      <c r="S192" s="355"/>
      <c r="T192" s="363"/>
      <c r="U192" s="361"/>
      <c r="V192" s="364"/>
      <c r="W192" s="355"/>
      <c r="X192" s="355"/>
      <c r="Y192" s="355"/>
      <c r="Z192" s="355"/>
      <c r="AA192" s="355"/>
      <c r="AB192" s="355"/>
      <c r="AC192" s="355"/>
      <c r="AD192" s="355"/>
    </row>
    <row r="193" spans="1:30" s="354" customFormat="1" x14ac:dyDescent="0.25">
      <c r="A193" s="339"/>
      <c r="B193" s="355"/>
      <c r="C193" s="355"/>
      <c r="D193" s="355"/>
      <c r="E193" s="355"/>
      <c r="F193" s="339"/>
      <c r="G193" s="355"/>
      <c r="H193" s="355"/>
      <c r="I193" s="355"/>
      <c r="J193" s="356"/>
      <c r="K193" s="357"/>
      <c r="L193" s="358"/>
      <c r="M193" s="355"/>
      <c r="N193" s="355"/>
      <c r="O193" s="355"/>
      <c r="P193" s="355"/>
      <c r="Q193" s="355"/>
      <c r="R193" s="365"/>
      <c r="S193" s="355"/>
      <c r="T193" s="363"/>
      <c r="U193" s="361"/>
      <c r="V193" s="364"/>
      <c r="W193" s="355"/>
      <c r="X193" s="355"/>
      <c r="Y193" s="355"/>
      <c r="Z193" s="355"/>
      <c r="AA193" s="355"/>
      <c r="AB193" s="355"/>
      <c r="AC193" s="355"/>
      <c r="AD193" s="355"/>
    </row>
    <row r="194" spans="1:30" s="354" customFormat="1" x14ac:dyDescent="0.25">
      <c r="A194" s="339"/>
      <c r="B194" s="355"/>
      <c r="C194" s="355"/>
      <c r="D194" s="355"/>
      <c r="E194" s="355"/>
      <c r="F194" s="339"/>
      <c r="G194" s="355"/>
      <c r="H194" s="355"/>
      <c r="I194" s="355"/>
      <c r="J194" s="356"/>
      <c r="K194" s="357"/>
      <c r="L194" s="358"/>
      <c r="M194" s="355"/>
      <c r="N194" s="355"/>
      <c r="O194" s="355"/>
      <c r="P194" s="355"/>
      <c r="Q194" s="355"/>
      <c r="R194" s="365"/>
      <c r="S194" s="355"/>
      <c r="T194" s="363"/>
      <c r="U194" s="361"/>
      <c r="V194" s="364"/>
      <c r="W194" s="355"/>
      <c r="X194" s="355"/>
      <c r="Y194" s="355"/>
      <c r="Z194" s="355"/>
      <c r="AA194" s="355"/>
      <c r="AB194" s="355"/>
      <c r="AC194" s="355"/>
      <c r="AD194" s="355"/>
    </row>
    <row r="195" spans="1:30" s="354" customFormat="1" x14ac:dyDescent="0.25">
      <c r="A195" s="339"/>
      <c r="B195" s="355"/>
      <c r="C195" s="355"/>
      <c r="D195" s="355"/>
      <c r="E195" s="355"/>
      <c r="F195" s="339"/>
      <c r="G195" s="355"/>
      <c r="H195" s="355"/>
      <c r="I195" s="355"/>
      <c r="J195" s="356"/>
      <c r="K195" s="357"/>
      <c r="L195" s="358"/>
      <c r="M195" s="355"/>
      <c r="N195" s="355"/>
      <c r="O195" s="355"/>
      <c r="P195" s="355"/>
      <c r="Q195" s="355"/>
      <c r="R195" s="365"/>
      <c r="S195" s="355"/>
      <c r="T195" s="363"/>
      <c r="U195" s="361"/>
      <c r="V195" s="364"/>
      <c r="W195" s="355"/>
      <c r="X195" s="355"/>
      <c r="Y195" s="355"/>
      <c r="Z195" s="355"/>
      <c r="AA195" s="355"/>
      <c r="AB195" s="355"/>
      <c r="AC195" s="355"/>
      <c r="AD195" s="355"/>
    </row>
    <row r="196" spans="1:30" s="354" customFormat="1" x14ac:dyDescent="0.25">
      <c r="A196" s="339"/>
      <c r="B196" s="355"/>
      <c r="C196" s="355"/>
      <c r="D196" s="355"/>
      <c r="E196" s="355"/>
      <c r="F196" s="339"/>
      <c r="G196" s="355"/>
      <c r="H196" s="355"/>
      <c r="I196" s="355"/>
      <c r="J196" s="356"/>
      <c r="K196" s="357"/>
      <c r="L196" s="358"/>
      <c r="M196" s="355"/>
      <c r="N196" s="355"/>
      <c r="O196" s="355"/>
      <c r="P196" s="355"/>
      <c r="Q196" s="355"/>
      <c r="R196" s="365"/>
      <c r="S196" s="355"/>
      <c r="T196" s="363"/>
      <c r="U196" s="361"/>
      <c r="V196" s="364"/>
      <c r="W196" s="355"/>
      <c r="X196" s="355"/>
      <c r="Y196" s="355"/>
      <c r="Z196" s="355"/>
      <c r="AA196" s="355"/>
      <c r="AB196" s="355"/>
      <c r="AC196" s="355"/>
      <c r="AD196" s="355"/>
    </row>
    <row r="197" spans="1:30" s="354" customFormat="1" x14ac:dyDescent="0.25">
      <c r="A197" s="339"/>
      <c r="B197" s="355"/>
      <c r="C197" s="355"/>
      <c r="D197" s="355"/>
      <c r="E197" s="355"/>
      <c r="F197" s="339"/>
      <c r="G197" s="355"/>
      <c r="H197" s="355"/>
      <c r="I197" s="355"/>
      <c r="J197" s="356"/>
      <c r="K197" s="357"/>
      <c r="L197" s="358"/>
      <c r="M197" s="355"/>
      <c r="N197" s="355"/>
      <c r="O197" s="355"/>
      <c r="P197" s="355"/>
      <c r="Q197" s="355"/>
      <c r="R197" s="365"/>
      <c r="S197" s="355"/>
      <c r="T197" s="363"/>
      <c r="U197" s="361"/>
      <c r="V197" s="364"/>
      <c r="W197" s="355"/>
      <c r="X197" s="355"/>
      <c r="Y197" s="355"/>
      <c r="Z197" s="355"/>
      <c r="AA197" s="355"/>
      <c r="AB197" s="355"/>
      <c r="AC197" s="355"/>
      <c r="AD197" s="355"/>
    </row>
    <row r="198" spans="1:30" s="354" customFormat="1" x14ac:dyDescent="0.25">
      <c r="A198" s="339"/>
      <c r="B198" s="355"/>
      <c r="C198" s="355"/>
      <c r="D198" s="355"/>
      <c r="E198" s="355"/>
      <c r="F198" s="339"/>
      <c r="G198" s="355"/>
      <c r="H198" s="355"/>
      <c r="I198" s="355"/>
      <c r="J198" s="356"/>
      <c r="K198" s="357"/>
      <c r="L198" s="358"/>
      <c r="M198" s="355"/>
      <c r="N198" s="355"/>
      <c r="O198" s="355"/>
      <c r="P198" s="355"/>
      <c r="Q198" s="355"/>
      <c r="R198" s="365"/>
      <c r="S198" s="355"/>
      <c r="T198" s="363"/>
      <c r="U198" s="361"/>
      <c r="V198" s="364"/>
      <c r="W198" s="355"/>
      <c r="X198" s="355"/>
      <c r="Y198" s="355"/>
      <c r="Z198" s="355"/>
      <c r="AA198" s="355"/>
      <c r="AB198" s="355"/>
      <c r="AC198" s="355"/>
      <c r="AD198" s="355"/>
    </row>
    <row r="199" spans="1:30" s="354" customFormat="1" x14ac:dyDescent="0.25">
      <c r="A199" s="339"/>
      <c r="B199" s="355"/>
      <c r="C199" s="355"/>
      <c r="D199" s="355"/>
      <c r="E199" s="355"/>
      <c r="F199" s="339"/>
      <c r="G199" s="355"/>
      <c r="H199" s="355"/>
      <c r="I199" s="355"/>
      <c r="J199" s="356"/>
      <c r="K199" s="357"/>
      <c r="L199" s="358"/>
      <c r="M199" s="355"/>
      <c r="N199" s="355"/>
      <c r="O199" s="355"/>
      <c r="P199" s="355"/>
      <c r="Q199" s="355"/>
      <c r="R199" s="365"/>
      <c r="S199" s="355"/>
      <c r="T199" s="363"/>
      <c r="U199" s="361"/>
      <c r="V199" s="364"/>
      <c r="W199" s="355"/>
      <c r="X199" s="355"/>
      <c r="Y199" s="355"/>
      <c r="Z199" s="355"/>
      <c r="AA199" s="355"/>
      <c r="AB199" s="355"/>
      <c r="AC199" s="355"/>
      <c r="AD199" s="355"/>
    </row>
    <row r="200" spans="1:30" s="354" customFormat="1" x14ac:dyDescent="0.25">
      <c r="A200" s="339"/>
      <c r="B200" s="355"/>
      <c r="C200" s="355"/>
      <c r="D200" s="355"/>
      <c r="E200" s="355"/>
      <c r="F200" s="339"/>
      <c r="G200" s="355"/>
      <c r="H200" s="355"/>
      <c r="I200" s="355"/>
      <c r="J200" s="356"/>
      <c r="K200" s="357"/>
      <c r="L200" s="358"/>
      <c r="M200" s="355"/>
      <c r="N200" s="355"/>
      <c r="O200" s="355"/>
      <c r="P200" s="355"/>
      <c r="Q200" s="355"/>
      <c r="R200" s="365"/>
      <c r="S200" s="355"/>
      <c r="T200" s="363"/>
      <c r="U200" s="361"/>
      <c r="V200" s="364"/>
      <c r="W200" s="355"/>
      <c r="X200" s="355"/>
      <c r="Y200" s="355"/>
      <c r="Z200" s="355"/>
      <c r="AA200" s="355"/>
      <c r="AB200" s="355"/>
      <c r="AC200" s="355"/>
      <c r="AD200" s="355"/>
    </row>
    <row r="201" spans="1:30" s="354" customFormat="1" x14ac:dyDescent="0.25">
      <c r="A201" s="339"/>
      <c r="B201" s="355"/>
      <c r="C201" s="355"/>
      <c r="D201" s="355"/>
      <c r="E201" s="355"/>
      <c r="F201" s="339"/>
      <c r="G201" s="355"/>
      <c r="H201" s="355"/>
      <c r="I201" s="355"/>
      <c r="J201" s="356"/>
      <c r="K201" s="357"/>
      <c r="L201" s="358"/>
      <c r="M201" s="355"/>
      <c r="N201" s="355"/>
      <c r="O201" s="355"/>
      <c r="P201" s="355"/>
      <c r="Q201" s="355"/>
      <c r="R201" s="365"/>
      <c r="S201" s="355"/>
      <c r="T201" s="363"/>
      <c r="U201" s="361"/>
      <c r="V201" s="364"/>
      <c r="W201" s="355"/>
      <c r="X201" s="355"/>
      <c r="Y201" s="355"/>
      <c r="Z201" s="355"/>
      <c r="AA201" s="355"/>
      <c r="AB201" s="355"/>
      <c r="AC201" s="355"/>
      <c r="AD201" s="355"/>
    </row>
    <row r="202" spans="1:30" s="354" customFormat="1" x14ac:dyDescent="0.25">
      <c r="A202" s="339"/>
      <c r="B202" s="355"/>
      <c r="C202" s="355"/>
      <c r="D202" s="355"/>
      <c r="E202" s="355"/>
      <c r="F202" s="339"/>
      <c r="G202" s="355"/>
      <c r="H202" s="355"/>
      <c r="I202" s="355"/>
      <c r="J202" s="356"/>
      <c r="K202" s="357"/>
      <c r="L202" s="358"/>
      <c r="M202" s="355"/>
      <c r="N202" s="355"/>
      <c r="O202" s="355"/>
      <c r="P202" s="355"/>
      <c r="Q202" s="355"/>
      <c r="R202" s="365"/>
      <c r="S202" s="355"/>
      <c r="T202" s="363"/>
      <c r="U202" s="361"/>
      <c r="V202" s="364"/>
      <c r="W202" s="355"/>
      <c r="X202" s="355"/>
      <c r="Y202" s="355"/>
      <c r="Z202" s="355"/>
      <c r="AA202" s="355"/>
      <c r="AB202" s="355"/>
      <c r="AC202" s="355"/>
      <c r="AD202" s="355"/>
    </row>
    <row r="203" spans="1:30" s="354" customFormat="1" x14ac:dyDescent="0.25">
      <c r="A203" s="339"/>
      <c r="B203" s="355"/>
      <c r="C203" s="355"/>
      <c r="D203" s="355"/>
      <c r="E203" s="355"/>
      <c r="F203" s="339"/>
      <c r="G203" s="355"/>
      <c r="H203" s="355"/>
      <c r="I203" s="355"/>
      <c r="J203" s="356"/>
      <c r="K203" s="357"/>
      <c r="L203" s="358"/>
      <c r="M203" s="355"/>
      <c r="N203" s="355"/>
      <c r="O203" s="355"/>
      <c r="P203" s="355"/>
      <c r="Q203" s="355"/>
      <c r="R203" s="365"/>
      <c r="S203" s="355"/>
      <c r="T203" s="363"/>
      <c r="U203" s="361"/>
      <c r="V203" s="364"/>
      <c r="W203" s="355"/>
      <c r="X203" s="355"/>
      <c r="Y203" s="355"/>
      <c r="Z203" s="355"/>
      <c r="AA203" s="355"/>
      <c r="AB203" s="355"/>
      <c r="AC203" s="355"/>
      <c r="AD203" s="355"/>
    </row>
    <row r="204" spans="1:30" s="354" customFormat="1" x14ac:dyDescent="0.25">
      <c r="A204" s="339"/>
      <c r="B204" s="355"/>
      <c r="C204" s="355"/>
      <c r="D204" s="355"/>
      <c r="E204" s="355"/>
      <c r="F204" s="339"/>
      <c r="G204" s="355"/>
      <c r="H204" s="355"/>
      <c r="I204" s="355"/>
      <c r="J204" s="356"/>
      <c r="K204" s="357"/>
      <c r="L204" s="358"/>
      <c r="M204" s="355"/>
      <c r="N204" s="355"/>
      <c r="O204" s="355"/>
      <c r="P204" s="355"/>
      <c r="Q204" s="355"/>
      <c r="R204" s="365"/>
      <c r="S204" s="355"/>
      <c r="T204" s="363"/>
      <c r="U204" s="361"/>
      <c r="V204" s="364"/>
      <c r="W204" s="355"/>
      <c r="X204" s="355"/>
      <c r="Y204" s="355"/>
      <c r="Z204" s="355"/>
      <c r="AA204" s="355"/>
      <c r="AB204" s="355"/>
      <c r="AC204" s="355"/>
      <c r="AD204" s="355"/>
    </row>
    <row r="205" spans="1:30" s="354" customFormat="1" x14ac:dyDescent="0.25">
      <c r="A205" s="339"/>
      <c r="B205" s="355"/>
      <c r="C205" s="355"/>
      <c r="D205" s="355"/>
      <c r="E205" s="355"/>
      <c r="F205" s="339"/>
      <c r="G205" s="355"/>
      <c r="H205" s="355"/>
      <c r="I205" s="355"/>
      <c r="J205" s="356"/>
      <c r="K205" s="357"/>
      <c r="L205" s="358"/>
      <c r="M205" s="355"/>
      <c r="N205" s="355"/>
      <c r="O205" s="355"/>
      <c r="P205" s="355"/>
      <c r="Q205" s="355"/>
      <c r="R205" s="365"/>
      <c r="S205" s="355"/>
      <c r="T205" s="363"/>
      <c r="U205" s="361"/>
      <c r="V205" s="364"/>
      <c r="W205" s="355"/>
      <c r="X205" s="355"/>
      <c r="Y205" s="355"/>
      <c r="Z205" s="355"/>
      <c r="AA205" s="355"/>
      <c r="AB205" s="355"/>
      <c r="AC205" s="355"/>
      <c r="AD205" s="355"/>
    </row>
    <row r="206" spans="1:30" s="354" customFormat="1" x14ac:dyDescent="0.25">
      <c r="A206" s="339"/>
      <c r="B206" s="355"/>
      <c r="C206" s="355"/>
      <c r="D206" s="355"/>
      <c r="E206" s="355"/>
      <c r="F206" s="339"/>
      <c r="G206" s="355"/>
      <c r="H206" s="355"/>
      <c r="I206" s="355"/>
      <c r="J206" s="356"/>
      <c r="K206" s="357"/>
      <c r="L206" s="358"/>
      <c r="M206" s="355"/>
      <c r="N206" s="355"/>
      <c r="O206" s="355"/>
      <c r="P206" s="355"/>
      <c r="Q206" s="355"/>
      <c r="R206" s="365"/>
      <c r="S206" s="355"/>
      <c r="T206" s="363"/>
      <c r="U206" s="361"/>
      <c r="V206" s="364"/>
      <c r="W206" s="355"/>
      <c r="X206" s="355"/>
      <c r="Y206" s="355"/>
      <c r="Z206" s="355"/>
      <c r="AA206" s="355"/>
      <c r="AB206" s="355"/>
      <c r="AC206" s="355"/>
      <c r="AD206" s="355"/>
    </row>
    <row r="207" spans="1:30" s="354" customFormat="1" x14ac:dyDescent="0.25">
      <c r="A207" s="339"/>
      <c r="B207" s="355"/>
      <c r="C207" s="355"/>
      <c r="D207" s="355"/>
      <c r="E207" s="355"/>
      <c r="F207" s="339"/>
      <c r="G207" s="355"/>
      <c r="H207" s="355"/>
      <c r="I207" s="355"/>
      <c r="J207" s="356"/>
      <c r="K207" s="357"/>
      <c r="L207" s="358"/>
      <c r="M207" s="355"/>
      <c r="N207" s="355"/>
      <c r="O207" s="355"/>
      <c r="P207" s="355"/>
      <c r="Q207" s="355"/>
      <c r="R207" s="365"/>
      <c r="S207" s="355"/>
      <c r="T207" s="363"/>
      <c r="U207" s="361"/>
      <c r="V207" s="364"/>
      <c r="W207" s="355"/>
      <c r="X207" s="355"/>
      <c r="Y207" s="355"/>
      <c r="Z207" s="355"/>
      <c r="AA207" s="355"/>
      <c r="AB207" s="355"/>
      <c r="AC207" s="355"/>
      <c r="AD207" s="355"/>
    </row>
    <row r="208" spans="1:30" s="354" customFormat="1" x14ac:dyDescent="0.25">
      <c r="A208" s="339"/>
      <c r="B208" s="355"/>
      <c r="C208" s="355"/>
      <c r="D208" s="355"/>
      <c r="E208" s="355"/>
      <c r="F208" s="339"/>
      <c r="G208" s="355"/>
      <c r="H208" s="355"/>
      <c r="I208" s="355"/>
      <c r="J208" s="356"/>
      <c r="K208" s="357"/>
      <c r="L208" s="358"/>
      <c r="M208" s="355"/>
      <c r="N208" s="355"/>
      <c r="O208" s="355"/>
      <c r="P208" s="355"/>
      <c r="Q208" s="355"/>
      <c r="R208" s="365"/>
      <c r="S208" s="355"/>
      <c r="T208" s="363"/>
      <c r="U208" s="361"/>
      <c r="V208" s="364"/>
      <c r="W208" s="355"/>
      <c r="X208" s="355"/>
      <c r="Y208" s="355"/>
      <c r="Z208" s="355"/>
      <c r="AA208" s="355"/>
      <c r="AB208" s="355"/>
      <c r="AC208" s="355"/>
      <c r="AD208" s="355"/>
    </row>
    <row r="209" spans="1:30" s="354" customFormat="1" x14ac:dyDescent="0.25">
      <c r="A209" s="339"/>
      <c r="B209" s="355"/>
      <c r="C209" s="355"/>
      <c r="D209" s="355"/>
      <c r="E209" s="355"/>
      <c r="F209" s="339"/>
      <c r="G209" s="355"/>
      <c r="H209" s="355"/>
      <c r="I209" s="355"/>
      <c r="J209" s="356"/>
      <c r="K209" s="357"/>
      <c r="L209" s="358"/>
      <c r="M209" s="355"/>
      <c r="N209" s="355"/>
      <c r="O209" s="355"/>
      <c r="P209" s="355"/>
      <c r="Q209" s="355"/>
      <c r="R209" s="365"/>
      <c r="S209" s="355"/>
      <c r="T209" s="363"/>
      <c r="U209" s="361"/>
      <c r="V209" s="364"/>
      <c r="W209" s="355"/>
      <c r="X209" s="355"/>
      <c r="Y209" s="355"/>
      <c r="Z209" s="355"/>
      <c r="AA209" s="355"/>
      <c r="AB209" s="355"/>
      <c r="AC209" s="355"/>
      <c r="AD209" s="355"/>
    </row>
    <row r="210" spans="1:30" s="354" customFormat="1" x14ac:dyDescent="0.25">
      <c r="A210" s="339"/>
      <c r="B210" s="355"/>
      <c r="C210" s="355"/>
      <c r="D210" s="355"/>
      <c r="E210" s="355"/>
      <c r="F210" s="339"/>
      <c r="G210" s="355"/>
      <c r="H210" s="355"/>
      <c r="I210" s="355"/>
      <c r="J210" s="356"/>
      <c r="K210" s="357"/>
      <c r="L210" s="358"/>
      <c r="M210" s="355"/>
      <c r="N210" s="355"/>
      <c r="O210" s="355"/>
      <c r="P210" s="355"/>
      <c r="Q210" s="355"/>
      <c r="R210" s="365"/>
      <c r="S210" s="355"/>
      <c r="T210" s="363"/>
      <c r="U210" s="361"/>
      <c r="V210" s="364"/>
      <c r="W210" s="355"/>
      <c r="X210" s="355"/>
      <c r="Y210" s="355"/>
      <c r="Z210" s="355"/>
      <c r="AA210" s="355"/>
      <c r="AB210" s="355"/>
      <c r="AC210" s="355"/>
      <c r="AD210" s="355"/>
    </row>
    <row r="211" spans="1:30" s="354" customFormat="1" x14ac:dyDescent="0.25">
      <c r="A211" s="339"/>
      <c r="B211" s="355"/>
      <c r="C211" s="355"/>
      <c r="D211" s="355"/>
      <c r="E211" s="355"/>
      <c r="F211" s="339"/>
      <c r="G211" s="355"/>
      <c r="H211" s="355"/>
      <c r="I211" s="355"/>
      <c r="J211" s="356"/>
      <c r="K211" s="357"/>
      <c r="L211" s="358"/>
      <c r="M211" s="355"/>
      <c r="N211" s="355"/>
      <c r="O211" s="355"/>
      <c r="P211" s="355"/>
      <c r="Q211" s="355"/>
      <c r="R211" s="365"/>
      <c r="S211" s="355"/>
      <c r="T211" s="363"/>
      <c r="U211" s="361"/>
      <c r="V211" s="364"/>
      <c r="W211" s="355"/>
      <c r="X211" s="355"/>
      <c r="Y211" s="355"/>
      <c r="Z211" s="355"/>
      <c r="AA211" s="355"/>
      <c r="AB211" s="355"/>
      <c r="AC211" s="355"/>
      <c r="AD211" s="355"/>
    </row>
    <row r="212" spans="1:30" s="354" customFormat="1" x14ac:dyDescent="0.25">
      <c r="A212" s="339"/>
      <c r="B212" s="355"/>
      <c r="C212" s="355"/>
      <c r="D212" s="355"/>
      <c r="E212" s="355"/>
      <c r="F212" s="339"/>
      <c r="G212" s="355"/>
      <c r="H212" s="355"/>
      <c r="I212" s="355"/>
      <c r="J212" s="356"/>
      <c r="K212" s="357"/>
      <c r="L212" s="358"/>
      <c r="M212" s="355"/>
      <c r="N212" s="355"/>
      <c r="O212" s="355"/>
      <c r="P212" s="355"/>
      <c r="Q212" s="355"/>
      <c r="R212" s="365"/>
      <c r="S212" s="355"/>
      <c r="T212" s="363"/>
      <c r="U212" s="361"/>
      <c r="V212" s="364"/>
      <c r="W212" s="355"/>
      <c r="X212" s="355"/>
      <c r="Y212" s="355"/>
      <c r="Z212" s="355"/>
      <c r="AA212" s="355"/>
      <c r="AB212" s="355"/>
      <c r="AC212" s="355"/>
      <c r="AD212" s="355"/>
    </row>
    <row r="213" spans="1:30" s="354" customFormat="1" x14ac:dyDescent="0.25">
      <c r="A213" s="339"/>
      <c r="B213" s="355"/>
      <c r="C213" s="355"/>
      <c r="D213" s="355"/>
      <c r="E213" s="355"/>
      <c r="F213" s="339"/>
      <c r="G213" s="355"/>
      <c r="H213" s="355"/>
      <c r="I213" s="355"/>
      <c r="J213" s="356"/>
      <c r="K213" s="357"/>
      <c r="L213" s="358"/>
      <c r="M213" s="355"/>
      <c r="N213" s="355"/>
      <c r="O213" s="355"/>
      <c r="P213" s="355"/>
      <c r="Q213" s="355"/>
      <c r="R213" s="365"/>
      <c r="S213" s="355"/>
      <c r="T213" s="363"/>
      <c r="U213" s="361"/>
      <c r="V213" s="364"/>
      <c r="W213" s="355"/>
      <c r="X213" s="355"/>
      <c r="Y213" s="355"/>
      <c r="Z213" s="355"/>
      <c r="AA213" s="355"/>
      <c r="AB213" s="355"/>
      <c r="AC213" s="355"/>
      <c r="AD213" s="355"/>
    </row>
    <row r="214" spans="1:30" s="354" customFormat="1" x14ac:dyDescent="0.25">
      <c r="A214" s="339"/>
      <c r="B214" s="355"/>
      <c r="C214" s="355"/>
      <c r="D214" s="355"/>
      <c r="E214" s="355"/>
      <c r="F214" s="339"/>
      <c r="G214" s="355"/>
      <c r="H214" s="355"/>
      <c r="I214" s="355"/>
      <c r="J214" s="356"/>
      <c r="K214" s="357"/>
      <c r="L214" s="358"/>
      <c r="M214" s="355"/>
      <c r="N214" s="355"/>
      <c r="O214" s="355"/>
      <c r="P214" s="355"/>
      <c r="Q214" s="355"/>
      <c r="R214" s="365"/>
      <c r="S214" s="355"/>
      <c r="T214" s="363"/>
      <c r="U214" s="361"/>
      <c r="V214" s="364"/>
      <c r="W214" s="355"/>
      <c r="X214" s="355"/>
      <c r="Y214" s="355"/>
      <c r="Z214" s="355"/>
      <c r="AA214" s="355"/>
      <c r="AB214" s="355"/>
      <c r="AC214" s="355"/>
      <c r="AD214" s="355"/>
    </row>
    <row r="215" spans="1:30" s="354" customFormat="1" x14ac:dyDescent="0.25">
      <c r="A215" s="339"/>
      <c r="B215" s="355"/>
      <c r="C215" s="355"/>
      <c r="D215" s="355"/>
      <c r="E215" s="355"/>
      <c r="F215" s="339"/>
      <c r="G215" s="355"/>
      <c r="H215" s="355"/>
      <c r="I215" s="355"/>
      <c r="J215" s="356"/>
      <c r="K215" s="357"/>
      <c r="L215" s="358"/>
      <c r="M215" s="355"/>
      <c r="N215" s="355"/>
      <c r="O215" s="355"/>
      <c r="P215" s="355"/>
      <c r="Q215" s="355"/>
      <c r="R215" s="365"/>
      <c r="S215" s="355"/>
      <c r="T215" s="363"/>
      <c r="U215" s="361"/>
      <c r="V215" s="364"/>
      <c r="W215" s="355"/>
      <c r="X215" s="355"/>
      <c r="Y215" s="355"/>
      <c r="Z215" s="355"/>
      <c r="AA215" s="355"/>
      <c r="AB215" s="355"/>
      <c r="AC215" s="355"/>
      <c r="AD215" s="355"/>
    </row>
    <row r="216" spans="1:30" s="354" customFormat="1" x14ac:dyDescent="0.25">
      <c r="A216" s="339"/>
      <c r="B216" s="355"/>
      <c r="C216" s="355"/>
      <c r="D216" s="355"/>
      <c r="E216" s="355"/>
      <c r="F216" s="339"/>
      <c r="G216" s="355"/>
      <c r="H216" s="355"/>
      <c r="I216" s="355"/>
      <c r="J216" s="356"/>
      <c r="K216" s="357"/>
      <c r="L216" s="358"/>
      <c r="M216" s="355"/>
      <c r="N216" s="355"/>
      <c r="O216" s="355"/>
      <c r="P216" s="355"/>
      <c r="Q216" s="355"/>
      <c r="R216" s="365"/>
      <c r="S216" s="355"/>
      <c r="T216" s="363"/>
      <c r="U216" s="361"/>
      <c r="V216" s="364"/>
      <c r="W216" s="355"/>
      <c r="X216" s="355"/>
      <c r="Y216" s="355"/>
      <c r="Z216" s="355"/>
      <c r="AA216" s="355"/>
      <c r="AB216" s="355"/>
      <c r="AC216" s="355"/>
      <c r="AD216" s="355"/>
    </row>
    <row r="217" spans="1:30" s="354" customFormat="1" x14ac:dyDescent="0.25">
      <c r="A217" s="339"/>
      <c r="B217" s="355"/>
      <c r="C217" s="355"/>
      <c r="D217" s="355"/>
      <c r="E217" s="355"/>
      <c r="F217" s="339"/>
      <c r="G217" s="355"/>
      <c r="H217" s="355"/>
      <c r="I217" s="355"/>
      <c r="J217" s="356"/>
      <c r="K217" s="357"/>
      <c r="L217" s="358"/>
      <c r="M217" s="355"/>
      <c r="N217" s="355"/>
      <c r="O217" s="355"/>
      <c r="P217" s="355"/>
      <c r="Q217" s="355"/>
      <c r="R217" s="365"/>
      <c r="S217" s="355"/>
      <c r="T217" s="363"/>
      <c r="U217" s="361"/>
      <c r="V217" s="364"/>
      <c r="W217" s="355"/>
      <c r="X217" s="355"/>
      <c r="Y217" s="355"/>
      <c r="Z217" s="355"/>
      <c r="AA217" s="355"/>
      <c r="AB217" s="355"/>
      <c r="AC217" s="355"/>
      <c r="AD217" s="355"/>
    </row>
    <row r="218" spans="1:30" s="354" customFormat="1" x14ac:dyDescent="0.25">
      <c r="A218" s="339"/>
      <c r="B218" s="355"/>
      <c r="C218" s="355"/>
      <c r="D218" s="355"/>
      <c r="E218" s="355"/>
      <c r="F218" s="339"/>
      <c r="G218" s="355"/>
      <c r="H218" s="355"/>
      <c r="I218" s="355"/>
      <c r="J218" s="356"/>
      <c r="K218" s="357"/>
      <c r="L218" s="358"/>
      <c r="M218" s="355"/>
      <c r="N218" s="355"/>
      <c r="O218" s="355"/>
      <c r="P218" s="355"/>
      <c r="Q218" s="355"/>
      <c r="R218" s="365"/>
      <c r="S218" s="355"/>
      <c r="T218" s="363"/>
      <c r="U218" s="361"/>
      <c r="V218" s="364"/>
      <c r="W218" s="355"/>
      <c r="X218" s="355"/>
      <c r="Y218" s="355"/>
      <c r="Z218" s="355"/>
      <c r="AA218" s="355"/>
      <c r="AB218" s="355"/>
      <c r="AC218" s="355"/>
      <c r="AD218" s="355"/>
    </row>
    <row r="219" spans="1:30" s="354" customFormat="1" x14ac:dyDescent="0.25">
      <c r="A219" s="339"/>
      <c r="B219" s="355"/>
      <c r="C219" s="355"/>
      <c r="D219" s="355"/>
      <c r="E219" s="355"/>
      <c r="F219" s="339"/>
      <c r="G219" s="355"/>
      <c r="H219" s="355"/>
      <c r="I219" s="355"/>
      <c r="J219" s="356"/>
      <c r="K219" s="357"/>
      <c r="L219" s="358"/>
      <c r="M219" s="355"/>
      <c r="N219" s="355"/>
      <c r="O219" s="355"/>
      <c r="P219" s="355"/>
      <c r="Q219" s="355"/>
      <c r="R219" s="365"/>
      <c r="S219" s="355"/>
      <c r="T219" s="363"/>
      <c r="U219" s="361"/>
      <c r="V219" s="364"/>
      <c r="W219" s="355"/>
      <c r="X219" s="355"/>
      <c r="Y219" s="355"/>
      <c r="Z219" s="355"/>
      <c r="AA219" s="355"/>
      <c r="AB219" s="355"/>
      <c r="AC219" s="355"/>
      <c r="AD219" s="355"/>
    </row>
    <row r="220" spans="1:30" s="354" customFormat="1" x14ac:dyDescent="0.25">
      <c r="A220" s="339"/>
      <c r="B220" s="355"/>
      <c r="C220" s="355"/>
      <c r="D220" s="355"/>
      <c r="E220" s="355"/>
      <c r="F220" s="339"/>
      <c r="G220" s="355"/>
      <c r="H220" s="355"/>
      <c r="I220" s="355"/>
      <c r="J220" s="356"/>
      <c r="K220" s="357"/>
      <c r="L220" s="358"/>
      <c r="M220" s="355"/>
      <c r="N220" s="355"/>
      <c r="O220" s="355"/>
      <c r="P220" s="355"/>
      <c r="Q220" s="355"/>
      <c r="R220" s="365"/>
      <c r="S220" s="355"/>
      <c r="T220" s="363"/>
      <c r="U220" s="361"/>
      <c r="V220" s="364"/>
      <c r="W220" s="355"/>
      <c r="X220" s="355"/>
      <c r="Y220" s="355"/>
      <c r="Z220" s="355"/>
      <c r="AA220" s="355"/>
      <c r="AB220" s="355"/>
      <c r="AC220" s="355"/>
      <c r="AD220" s="355"/>
    </row>
    <row r="221" spans="1:30" s="354" customFormat="1" x14ac:dyDescent="0.25">
      <c r="A221" s="339"/>
      <c r="B221" s="355"/>
      <c r="C221" s="355"/>
      <c r="D221" s="355"/>
      <c r="E221" s="355"/>
      <c r="F221" s="339"/>
      <c r="G221" s="355"/>
      <c r="H221" s="355"/>
      <c r="I221" s="355"/>
      <c r="J221" s="356"/>
      <c r="K221" s="357"/>
      <c r="L221" s="358"/>
      <c r="M221" s="355"/>
      <c r="N221" s="355"/>
      <c r="O221" s="355"/>
      <c r="P221" s="355"/>
      <c r="Q221" s="355"/>
      <c r="R221" s="365"/>
      <c r="S221" s="355"/>
      <c r="T221" s="363"/>
      <c r="U221" s="361"/>
      <c r="V221" s="364"/>
      <c r="W221" s="355"/>
      <c r="X221" s="355"/>
      <c r="Y221" s="355"/>
      <c r="Z221" s="355"/>
      <c r="AA221" s="355"/>
      <c r="AB221" s="355"/>
      <c r="AC221" s="355"/>
      <c r="AD221" s="355"/>
    </row>
    <row r="222" spans="1:30" s="354" customFormat="1" x14ac:dyDescent="0.25">
      <c r="A222" s="339"/>
      <c r="B222" s="355"/>
      <c r="C222" s="355"/>
      <c r="D222" s="355"/>
      <c r="E222" s="355"/>
      <c r="F222" s="339"/>
      <c r="G222" s="355"/>
      <c r="H222" s="355"/>
      <c r="I222" s="355"/>
      <c r="J222" s="356"/>
      <c r="K222" s="357"/>
      <c r="L222" s="358"/>
      <c r="M222" s="355"/>
      <c r="N222" s="355"/>
      <c r="O222" s="355"/>
      <c r="P222" s="355"/>
      <c r="Q222" s="355"/>
      <c r="R222" s="365"/>
      <c r="S222" s="355"/>
      <c r="T222" s="363"/>
      <c r="U222" s="361"/>
      <c r="V222" s="364"/>
      <c r="W222" s="355"/>
      <c r="X222" s="355"/>
      <c r="Y222" s="355"/>
      <c r="Z222" s="355"/>
      <c r="AA222" s="355"/>
      <c r="AB222" s="355"/>
      <c r="AC222" s="355"/>
      <c r="AD222" s="355"/>
    </row>
    <row r="223" spans="1:30" s="354" customFormat="1" x14ac:dyDescent="0.25">
      <c r="A223" s="339"/>
      <c r="B223" s="355"/>
      <c r="C223" s="355"/>
      <c r="D223" s="355"/>
      <c r="E223" s="355"/>
      <c r="F223" s="339"/>
      <c r="G223" s="355"/>
      <c r="H223" s="355"/>
      <c r="I223" s="355"/>
      <c r="J223" s="356"/>
      <c r="K223" s="357"/>
      <c r="L223" s="358"/>
      <c r="M223" s="355"/>
      <c r="N223" s="355"/>
      <c r="O223" s="355"/>
      <c r="P223" s="355"/>
      <c r="Q223" s="355"/>
      <c r="R223" s="365"/>
      <c r="S223" s="355"/>
      <c r="T223" s="363"/>
      <c r="U223" s="361"/>
      <c r="V223" s="364"/>
      <c r="W223" s="355"/>
      <c r="X223" s="355"/>
      <c r="Y223" s="355"/>
      <c r="Z223" s="355"/>
      <c r="AA223" s="355"/>
      <c r="AB223" s="355"/>
      <c r="AC223" s="355"/>
      <c r="AD223" s="355"/>
    </row>
    <row r="224" spans="1:30" s="354" customFormat="1" x14ac:dyDescent="0.25">
      <c r="A224" s="339"/>
      <c r="B224" s="355"/>
      <c r="C224" s="355"/>
      <c r="D224" s="355"/>
      <c r="E224" s="355"/>
      <c r="F224" s="339"/>
      <c r="G224" s="355"/>
      <c r="H224" s="355"/>
      <c r="I224" s="355"/>
      <c r="J224" s="356"/>
      <c r="K224" s="357"/>
      <c r="L224" s="358"/>
      <c r="M224" s="355"/>
      <c r="N224" s="355"/>
      <c r="O224" s="355"/>
      <c r="P224" s="355"/>
      <c r="Q224" s="355"/>
      <c r="R224" s="365"/>
      <c r="S224" s="355"/>
      <c r="T224" s="363"/>
      <c r="U224" s="361"/>
      <c r="V224" s="364"/>
      <c r="W224" s="355"/>
      <c r="X224" s="355"/>
      <c r="Y224" s="355"/>
      <c r="Z224" s="355"/>
      <c r="AA224" s="355"/>
      <c r="AB224" s="355"/>
      <c r="AC224" s="355"/>
      <c r="AD224" s="355"/>
    </row>
    <row r="225" spans="1:30" s="354" customFormat="1" x14ac:dyDescent="0.25">
      <c r="A225" s="339"/>
      <c r="B225" s="355"/>
      <c r="C225" s="355"/>
      <c r="D225" s="355"/>
      <c r="E225" s="355"/>
      <c r="F225" s="339"/>
      <c r="G225" s="355"/>
      <c r="H225" s="355"/>
      <c r="I225" s="355"/>
      <c r="J225" s="356"/>
      <c r="K225" s="357"/>
      <c r="L225" s="358"/>
      <c r="M225" s="355"/>
      <c r="N225" s="355"/>
      <c r="O225" s="355"/>
      <c r="P225" s="355"/>
      <c r="Q225" s="355"/>
      <c r="R225" s="365"/>
      <c r="S225" s="355"/>
      <c r="T225" s="363"/>
      <c r="U225" s="361"/>
      <c r="V225" s="364"/>
      <c r="W225" s="355"/>
      <c r="X225" s="355"/>
      <c r="Y225" s="355"/>
      <c r="Z225" s="355"/>
      <c r="AA225" s="355"/>
      <c r="AB225" s="355"/>
      <c r="AC225" s="355"/>
      <c r="AD225" s="355"/>
    </row>
    <row r="226" spans="1:30" s="354" customFormat="1" x14ac:dyDescent="0.25">
      <c r="A226" s="339"/>
      <c r="B226" s="355"/>
      <c r="C226" s="355"/>
      <c r="D226" s="355"/>
      <c r="E226" s="355"/>
      <c r="F226" s="339"/>
      <c r="G226" s="355"/>
      <c r="H226" s="355"/>
      <c r="I226" s="355"/>
      <c r="J226" s="356"/>
      <c r="K226" s="357"/>
      <c r="L226" s="358"/>
      <c r="M226" s="355"/>
      <c r="N226" s="355"/>
      <c r="O226" s="355"/>
      <c r="P226" s="355"/>
      <c r="Q226" s="355"/>
      <c r="R226" s="365"/>
      <c r="S226" s="355"/>
      <c r="T226" s="363"/>
      <c r="U226" s="361"/>
      <c r="V226" s="364"/>
      <c r="W226" s="355"/>
      <c r="X226" s="355"/>
      <c r="Y226" s="355"/>
      <c r="Z226" s="355"/>
      <c r="AA226" s="355"/>
      <c r="AB226" s="355"/>
      <c r="AC226" s="355"/>
      <c r="AD226" s="355"/>
    </row>
    <row r="227" spans="1:30" s="354" customFormat="1" x14ac:dyDescent="0.25">
      <c r="A227" s="339"/>
      <c r="B227" s="355"/>
      <c r="C227" s="355"/>
      <c r="D227" s="355"/>
      <c r="E227" s="355"/>
      <c r="F227" s="339"/>
      <c r="G227" s="355"/>
      <c r="H227" s="355"/>
      <c r="I227" s="355"/>
      <c r="J227" s="356"/>
      <c r="K227" s="357"/>
      <c r="L227" s="358"/>
      <c r="M227" s="355"/>
      <c r="N227" s="355"/>
      <c r="O227" s="355"/>
      <c r="P227" s="355"/>
      <c r="Q227" s="355"/>
      <c r="R227" s="365"/>
      <c r="S227" s="355"/>
      <c r="T227" s="363"/>
      <c r="U227" s="361"/>
      <c r="V227" s="364"/>
      <c r="W227" s="355"/>
      <c r="X227" s="355"/>
      <c r="Y227" s="355"/>
      <c r="Z227" s="355"/>
      <c r="AA227" s="355"/>
      <c r="AB227" s="355"/>
      <c r="AC227" s="355"/>
      <c r="AD227" s="355"/>
    </row>
    <row r="228" spans="1:30" s="354" customFormat="1" x14ac:dyDescent="0.25">
      <c r="A228" s="339"/>
      <c r="B228" s="355"/>
      <c r="C228" s="355"/>
      <c r="D228" s="355"/>
      <c r="E228" s="355"/>
      <c r="F228" s="339"/>
      <c r="G228" s="355"/>
      <c r="H228" s="355"/>
      <c r="I228" s="355"/>
      <c r="J228" s="356"/>
      <c r="K228" s="357"/>
      <c r="L228" s="358"/>
      <c r="M228" s="355"/>
      <c r="N228" s="355"/>
      <c r="O228" s="355"/>
      <c r="P228" s="355"/>
      <c r="Q228" s="355"/>
      <c r="R228" s="365"/>
      <c r="S228" s="355"/>
      <c r="T228" s="363"/>
      <c r="U228" s="361"/>
      <c r="V228" s="364"/>
      <c r="W228" s="355"/>
      <c r="X228" s="355"/>
      <c r="Y228" s="355"/>
      <c r="Z228" s="355"/>
      <c r="AA228" s="355"/>
      <c r="AB228" s="355"/>
      <c r="AC228" s="355"/>
      <c r="AD228" s="355"/>
    </row>
    <row r="229" spans="1:30" s="354" customFormat="1" x14ac:dyDescent="0.25">
      <c r="A229" s="339"/>
      <c r="B229" s="355"/>
      <c r="C229" s="355"/>
      <c r="D229" s="355"/>
      <c r="E229" s="355"/>
      <c r="F229" s="339"/>
      <c r="G229" s="355"/>
      <c r="H229" s="355"/>
      <c r="I229" s="355"/>
      <c r="J229" s="356"/>
      <c r="K229" s="357"/>
      <c r="L229" s="358"/>
      <c r="M229" s="355"/>
      <c r="N229" s="355"/>
      <c r="O229" s="355"/>
      <c r="P229" s="355"/>
      <c r="Q229" s="355"/>
      <c r="R229" s="365"/>
      <c r="S229" s="355"/>
      <c r="T229" s="363"/>
      <c r="U229" s="361"/>
      <c r="V229" s="364"/>
      <c r="W229" s="355"/>
      <c r="X229" s="355"/>
      <c r="Y229" s="355"/>
      <c r="Z229" s="355"/>
      <c r="AA229" s="355"/>
      <c r="AB229" s="355"/>
      <c r="AC229" s="355"/>
      <c r="AD229" s="355"/>
    </row>
    <row r="230" spans="1:30" s="354" customFormat="1" x14ac:dyDescent="0.25">
      <c r="A230" s="339"/>
      <c r="B230" s="355"/>
      <c r="C230" s="355"/>
      <c r="D230" s="355"/>
      <c r="E230" s="355"/>
      <c r="F230" s="339"/>
      <c r="G230" s="355"/>
      <c r="H230" s="355"/>
      <c r="I230" s="355"/>
      <c r="J230" s="356"/>
      <c r="K230" s="357"/>
      <c r="L230" s="358"/>
      <c r="M230" s="355"/>
      <c r="N230" s="355"/>
      <c r="O230" s="355"/>
      <c r="P230" s="355"/>
      <c r="Q230" s="355"/>
      <c r="R230" s="365"/>
      <c r="S230" s="355"/>
      <c r="T230" s="363"/>
      <c r="U230" s="361"/>
      <c r="V230" s="364"/>
      <c r="W230" s="355"/>
      <c r="X230" s="355"/>
      <c r="Y230" s="355"/>
      <c r="Z230" s="355"/>
      <c r="AA230" s="355"/>
      <c r="AB230" s="355"/>
      <c r="AC230" s="355"/>
      <c r="AD230" s="355"/>
    </row>
    <row r="231" spans="1:30" s="354" customFormat="1" x14ac:dyDescent="0.25">
      <c r="A231" s="339"/>
      <c r="B231" s="355"/>
      <c r="C231" s="355"/>
      <c r="D231" s="355"/>
      <c r="E231" s="355"/>
      <c r="F231" s="339"/>
      <c r="G231" s="355"/>
      <c r="H231" s="355"/>
      <c r="I231" s="355"/>
      <c r="J231" s="356"/>
      <c r="K231" s="357"/>
      <c r="L231" s="358"/>
      <c r="M231" s="355"/>
      <c r="N231" s="355"/>
      <c r="O231" s="355"/>
      <c r="P231" s="355"/>
      <c r="Q231" s="355"/>
      <c r="R231" s="365"/>
      <c r="S231" s="355"/>
      <c r="T231" s="363"/>
      <c r="U231" s="361"/>
      <c r="V231" s="364"/>
      <c r="W231" s="355"/>
      <c r="X231" s="355"/>
      <c r="Y231" s="355"/>
      <c r="Z231" s="355"/>
      <c r="AA231" s="355"/>
      <c r="AB231" s="355"/>
      <c r="AC231" s="355"/>
      <c r="AD231" s="355"/>
    </row>
    <row r="232" spans="1:30" s="354" customFormat="1" x14ac:dyDescent="0.25">
      <c r="A232" s="339"/>
      <c r="B232" s="355"/>
      <c r="C232" s="355"/>
      <c r="D232" s="355"/>
      <c r="E232" s="355"/>
      <c r="F232" s="339"/>
      <c r="G232" s="355"/>
      <c r="H232" s="355"/>
      <c r="I232" s="355"/>
      <c r="J232" s="356"/>
      <c r="K232" s="357"/>
      <c r="L232" s="358"/>
      <c r="M232" s="355"/>
      <c r="N232" s="355"/>
      <c r="O232" s="355"/>
      <c r="P232" s="355"/>
      <c r="Q232" s="355"/>
      <c r="R232" s="365"/>
      <c r="S232" s="355"/>
      <c r="T232" s="363"/>
      <c r="U232" s="361"/>
      <c r="V232" s="364"/>
      <c r="W232" s="355"/>
      <c r="X232" s="355"/>
      <c r="Y232" s="355"/>
      <c r="Z232" s="355"/>
      <c r="AA232" s="355"/>
      <c r="AB232" s="355"/>
      <c r="AC232" s="355"/>
      <c r="AD232" s="355"/>
    </row>
    <row r="233" spans="1:30" s="354" customFormat="1" x14ac:dyDescent="0.25">
      <c r="A233" s="339"/>
      <c r="B233" s="355"/>
      <c r="C233" s="355"/>
      <c r="D233" s="355"/>
      <c r="E233" s="355"/>
      <c r="F233" s="339"/>
      <c r="G233" s="355"/>
      <c r="H233" s="355"/>
      <c r="I233" s="355"/>
      <c r="J233" s="356"/>
      <c r="K233" s="357"/>
      <c r="L233" s="358"/>
      <c r="M233" s="355"/>
      <c r="N233" s="355"/>
      <c r="O233" s="355"/>
      <c r="P233" s="355"/>
      <c r="Q233" s="355"/>
      <c r="R233" s="365"/>
      <c r="S233" s="355"/>
      <c r="T233" s="363"/>
      <c r="U233" s="361"/>
      <c r="V233" s="364"/>
      <c r="W233" s="355"/>
      <c r="X233" s="355"/>
      <c r="Y233" s="355"/>
      <c r="Z233" s="355"/>
      <c r="AA233" s="355"/>
      <c r="AB233" s="355"/>
      <c r="AC233" s="355"/>
      <c r="AD233" s="355"/>
    </row>
    <row r="234" spans="1:30" s="354" customFormat="1" x14ac:dyDescent="0.25">
      <c r="A234" s="339"/>
      <c r="B234" s="355"/>
      <c r="C234" s="355"/>
      <c r="D234" s="355"/>
      <c r="E234" s="355"/>
      <c r="F234" s="339"/>
      <c r="G234" s="355"/>
      <c r="H234" s="355"/>
      <c r="I234" s="355"/>
      <c r="J234" s="356"/>
      <c r="K234" s="357"/>
      <c r="L234" s="358"/>
      <c r="M234" s="355"/>
      <c r="N234" s="355"/>
      <c r="O234" s="355"/>
      <c r="P234" s="355"/>
      <c r="Q234" s="355"/>
      <c r="R234" s="365"/>
      <c r="S234" s="355"/>
      <c r="T234" s="363"/>
      <c r="U234" s="361"/>
      <c r="V234" s="364"/>
      <c r="W234" s="355"/>
      <c r="X234" s="355"/>
      <c r="Y234" s="355"/>
      <c r="Z234" s="355"/>
      <c r="AA234" s="355"/>
      <c r="AB234" s="355"/>
      <c r="AC234" s="355"/>
      <c r="AD234" s="355"/>
    </row>
    <row r="235" spans="1:30" s="354" customFormat="1" x14ac:dyDescent="0.25">
      <c r="A235" s="339"/>
      <c r="B235" s="355"/>
      <c r="C235" s="355"/>
      <c r="D235" s="355"/>
      <c r="E235" s="355"/>
      <c r="F235" s="339"/>
      <c r="G235" s="355"/>
      <c r="H235" s="355"/>
      <c r="I235" s="355"/>
      <c r="J235" s="356"/>
      <c r="K235" s="357"/>
      <c r="L235" s="358"/>
      <c r="M235" s="355"/>
      <c r="N235" s="355"/>
      <c r="O235" s="355"/>
      <c r="P235" s="355"/>
      <c r="Q235" s="355"/>
      <c r="R235" s="365"/>
      <c r="S235" s="355"/>
      <c r="T235" s="363"/>
      <c r="U235" s="361"/>
      <c r="V235" s="364"/>
      <c r="W235" s="355"/>
      <c r="X235" s="355"/>
      <c r="Y235" s="355"/>
      <c r="Z235" s="355"/>
      <c r="AA235" s="355"/>
      <c r="AB235" s="355"/>
      <c r="AC235" s="355"/>
      <c r="AD235" s="355"/>
    </row>
    <row r="236" spans="1:30" s="354" customFormat="1" x14ac:dyDescent="0.25">
      <c r="A236" s="339"/>
      <c r="B236" s="355"/>
      <c r="C236" s="355"/>
      <c r="D236" s="355"/>
      <c r="E236" s="355"/>
      <c r="F236" s="339"/>
      <c r="G236" s="355"/>
      <c r="H236" s="355"/>
      <c r="I236" s="355"/>
      <c r="J236" s="356"/>
      <c r="K236" s="357"/>
      <c r="L236" s="358"/>
      <c r="M236" s="355"/>
      <c r="N236" s="355"/>
      <c r="O236" s="355"/>
      <c r="P236" s="355"/>
      <c r="Q236" s="355"/>
      <c r="R236" s="365"/>
      <c r="S236" s="355"/>
      <c r="T236" s="363"/>
      <c r="U236" s="361"/>
      <c r="V236" s="364"/>
      <c r="W236" s="355"/>
      <c r="X236" s="355"/>
      <c r="Y236" s="355"/>
      <c r="Z236" s="355"/>
      <c r="AA236" s="355"/>
      <c r="AB236" s="355"/>
      <c r="AC236" s="355"/>
      <c r="AD236" s="355"/>
    </row>
    <row r="237" spans="1:30" s="354" customFormat="1" x14ac:dyDescent="0.25">
      <c r="A237" s="339"/>
      <c r="B237" s="355"/>
      <c r="C237" s="355"/>
      <c r="D237" s="355"/>
      <c r="E237" s="355"/>
      <c r="F237" s="339"/>
      <c r="G237" s="355"/>
      <c r="H237" s="355"/>
      <c r="I237" s="355"/>
      <c r="J237" s="356"/>
      <c r="K237" s="357"/>
      <c r="L237" s="358"/>
      <c r="M237" s="355"/>
      <c r="N237" s="355"/>
      <c r="O237" s="355"/>
      <c r="P237" s="355"/>
      <c r="Q237" s="355"/>
      <c r="R237" s="365"/>
      <c r="S237" s="355"/>
      <c r="T237" s="363"/>
      <c r="U237" s="361"/>
      <c r="V237" s="364"/>
      <c r="W237" s="355"/>
      <c r="X237" s="355"/>
      <c r="Y237" s="355"/>
      <c r="Z237" s="355"/>
      <c r="AA237" s="355"/>
      <c r="AB237" s="355"/>
      <c r="AC237" s="355"/>
      <c r="AD237" s="355"/>
    </row>
    <row r="238" spans="1:30" s="354" customFormat="1" x14ac:dyDescent="0.25">
      <c r="A238" s="339"/>
      <c r="B238" s="355"/>
      <c r="C238" s="355"/>
      <c r="D238" s="355"/>
      <c r="E238" s="355"/>
      <c r="F238" s="339"/>
      <c r="G238" s="355"/>
      <c r="H238" s="355"/>
      <c r="I238" s="355"/>
      <c r="J238" s="356"/>
      <c r="K238" s="357"/>
      <c r="L238" s="358"/>
      <c r="M238" s="355"/>
      <c r="N238" s="355"/>
      <c r="O238" s="355"/>
      <c r="P238" s="355"/>
      <c r="Q238" s="355"/>
      <c r="R238" s="365"/>
      <c r="S238" s="355"/>
      <c r="T238" s="363"/>
      <c r="U238" s="361"/>
      <c r="V238" s="364"/>
      <c r="W238" s="355"/>
      <c r="X238" s="355"/>
      <c r="Y238" s="355"/>
      <c r="Z238" s="355"/>
      <c r="AA238" s="355"/>
      <c r="AB238" s="355"/>
      <c r="AC238" s="355"/>
      <c r="AD238" s="355"/>
    </row>
    <row r="239" spans="1:30" s="354" customFormat="1" x14ac:dyDescent="0.25">
      <c r="A239" s="339"/>
      <c r="B239" s="355"/>
      <c r="C239" s="355"/>
      <c r="D239" s="355"/>
      <c r="E239" s="355"/>
      <c r="F239" s="339"/>
      <c r="G239" s="355"/>
      <c r="H239" s="355"/>
      <c r="I239" s="355"/>
      <c r="J239" s="356"/>
      <c r="K239" s="357"/>
      <c r="L239" s="358"/>
      <c r="M239" s="355"/>
      <c r="N239" s="355"/>
      <c r="O239" s="355"/>
      <c r="P239" s="355"/>
      <c r="Q239" s="355"/>
      <c r="R239" s="365"/>
      <c r="S239" s="355"/>
      <c r="T239" s="363"/>
      <c r="U239" s="361"/>
      <c r="V239" s="364"/>
      <c r="W239" s="355"/>
      <c r="X239" s="355"/>
      <c r="Y239" s="355"/>
      <c r="Z239" s="355"/>
      <c r="AA239" s="355"/>
      <c r="AB239" s="355"/>
      <c r="AC239" s="355"/>
      <c r="AD239" s="355"/>
    </row>
    <row r="240" spans="1:30" s="354" customFormat="1" x14ac:dyDescent="0.25">
      <c r="A240" s="339"/>
      <c r="B240" s="355"/>
      <c r="C240" s="355"/>
      <c r="D240" s="355"/>
      <c r="E240" s="355"/>
      <c r="F240" s="339"/>
      <c r="G240" s="355"/>
      <c r="H240" s="355"/>
      <c r="I240" s="355"/>
      <c r="J240" s="356"/>
      <c r="K240" s="357"/>
      <c r="L240" s="358"/>
      <c r="M240" s="355"/>
      <c r="N240" s="355"/>
      <c r="O240" s="355"/>
      <c r="P240" s="355"/>
      <c r="Q240" s="355"/>
      <c r="R240" s="365"/>
      <c r="S240" s="355"/>
      <c r="T240" s="363"/>
      <c r="U240" s="361"/>
      <c r="V240" s="364"/>
      <c r="W240" s="355"/>
      <c r="X240" s="355"/>
      <c r="Y240" s="355"/>
      <c r="Z240" s="355"/>
      <c r="AA240" s="355"/>
      <c r="AB240" s="355"/>
      <c r="AC240" s="355"/>
      <c r="AD240" s="355"/>
    </row>
    <row r="241" spans="1:30" s="354" customFormat="1" x14ac:dyDescent="0.25">
      <c r="A241" s="339"/>
      <c r="B241" s="355"/>
      <c r="C241" s="355"/>
      <c r="D241" s="355"/>
      <c r="E241" s="355"/>
      <c r="F241" s="339"/>
      <c r="G241" s="355"/>
      <c r="H241" s="355"/>
      <c r="I241" s="355"/>
      <c r="J241" s="356"/>
      <c r="K241" s="357"/>
      <c r="L241" s="358"/>
      <c r="M241" s="355"/>
      <c r="N241" s="355"/>
      <c r="O241" s="355"/>
      <c r="P241" s="355"/>
      <c r="Q241" s="355"/>
      <c r="R241" s="365"/>
      <c r="S241" s="355"/>
      <c r="T241" s="363"/>
      <c r="U241" s="361"/>
      <c r="V241" s="364"/>
      <c r="W241" s="355"/>
      <c r="X241" s="355"/>
      <c r="Y241" s="355"/>
      <c r="Z241" s="355"/>
      <c r="AA241" s="355"/>
      <c r="AB241" s="355"/>
      <c r="AC241" s="355"/>
      <c r="AD241" s="355"/>
    </row>
    <row r="242" spans="1:30" s="354" customFormat="1" x14ac:dyDescent="0.25">
      <c r="A242" s="339"/>
      <c r="B242" s="355"/>
      <c r="C242" s="355"/>
      <c r="D242" s="355"/>
      <c r="E242" s="355"/>
      <c r="F242" s="339"/>
      <c r="G242" s="355"/>
      <c r="H242" s="355"/>
      <c r="I242" s="355"/>
      <c r="J242" s="356"/>
      <c r="K242" s="357"/>
      <c r="L242" s="358"/>
      <c r="M242" s="355"/>
      <c r="N242" s="355"/>
      <c r="O242" s="355"/>
      <c r="P242" s="355"/>
      <c r="Q242" s="355"/>
      <c r="R242" s="365"/>
      <c r="S242" s="355"/>
      <c r="T242" s="363"/>
      <c r="U242" s="361"/>
      <c r="V242" s="364"/>
      <c r="W242" s="355"/>
      <c r="X242" s="355"/>
      <c r="Y242" s="355"/>
      <c r="Z242" s="355"/>
      <c r="AA242" s="355"/>
      <c r="AB242" s="355"/>
      <c r="AC242" s="355"/>
      <c r="AD242" s="355"/>
    </row>
    <row r="243" spans="1:30" s="354" customFormat="1" x14ac:dyDescent="0.25">
      <c r="A243" s="339"/>
      <c r="B243" s="355"/>
      <c r="C243" s="355"/>
      <c r="D243" s="355"/>
      <c r="E243" s="355"/>
      <c r="F243" s="339"/>
      <c r="G243" s="355"/>
      <c r="H243" s="355"/>
      <c r="I243" s="355"/>
      <c r="J243" s="356"/>
      <c r="K243" s="357"/>
      <c r="L243" s="358"/>
      <c r="M243" s="355"/>
      <c r="N243" s="355"/>
      <c r="O243" s="355"/>
      <c r="P243" s="355"/>
      <c r="Q243" s="355"/>
      <c r="R243" s="365"/>
      <c r="S243" s="355"/>
      <c r="T243" s="363"/>
      <c r="U243" s="361"/>
      <c r="V243" s="364"/>
      <c r="W243" s="355"/>
      <c r="X243" s="355"/>
      <c r="Y243" s="355"/>
      <c r="Z243" s="355"/>
      <c r="AA243" s="355"/>
      <c r="AB243" s="355"/>
      <c r="AC243" s="355"/>
      <c r="AD243" s="355"/>
    </row>
    <row r="244" spans="1:30" s="354" customFormat="1" x14ac:dyDescent="0.25">
      <c r="A244" s="339"/>
      <c r="B244" s="355"/>
      <c r="C244" s="355"/>
      <c r="D244" s="355"/>
      <c r="E244" s="355"/>
      <c r="F244" s="339"/>
      <c r="G244" s="355"/>
      <c r="H244" s="355"/>
      <c r="I244" s="355"/>
      <c r="J244" s="356"/>
      <c r="K244" s="357"/>
      <c r="L244" s="358"/>
      <c r="M244" s="355"/>
      <c r="N244" s="355"/>
      <c r="O244" s="355"/>
      <c r="P244" s="355"/>
      <c r="Q244" s="355"/>
      <c r="R244" s="365"/>
      <c r="S244" s="355"/>
      <c r="T244" s="363"/>
      <c r="U244" s="361"/>
      <c r="V244" s="364"/>
      <c r="W244" s="355"/>
      <c r="X244" s="355"/>
      <c r="Y244" s="355"/>
      <c r="Z244" s="355"/>
      <c r="AA244" s="355"/>
      <c r="AB244" s="355"/>
      <c r="AC244" s="355"/>
      <c r="AD244" s="355"/>
    </row>
    <row r="245" spans="1:30" s="354" customFormat="1" x14ac:dyDescent="0.25">
      <c r="A245" s="339"/>
      <c r="B245" s="355"/>
      <c r="C245" s="355"/>
      <c r="D245" s="355"/>
      <c r="E245" s="355"/>
      <c r="F245" s="339"/>
      <c r="G245" s="355"/>
      <c r="H245" s="355"/>
      <c r="I245" s="355"/>
      <c r="J245" s="356"/>
      <c r="K245" s="357"/>
      <c r="L245" s="358"/>
      <c r="M245" s="355"/>
      <c r="N245" s="355"/>
      <c r="O245" s="355"/>
      <c r="P245" s="355"/>
      <c r="Q245" s="355"/>
      <c r="R245" s="365"/>
      <c r="S245" s="355"/>
      <c r="T245" s="363"/>
      <c r="U245" s="361"/>
      <c r="V245" s="364"/>
      <c r="W245" s="355"/>
      <c r="X245" s="355"/>
      <c r="Y245" s="355"/>
      <c r="Z245" s="355"/>
      <c r="AA245" s="355"/>
      <c r="AB245" s="355"/>
      <c r="AC245" s="355"/>
      <c r="AD245" s="355"/>
    </row>
    <row r="246" spans="1:30" s="354" customFormat="1" x14ac:dyDescent="0.25">
      <c r="A246" s="339"/>
      <c r="B246" s="355"/>
      <c r="C246" s="355"/>
      <c r="D246" s="355"/>
      <c r="E246" s="355"/>
      <c r="F246" s="339"/>
      <c r="G246" s="355"/>
      <c r="H246" s="355"/>
      <c r="I246" s="355"/>
      <c r="J246" s="356"/>
      <c r="K246" s="357"/>
      <c r="L246" s="358"/>
      <c r="M246" s="355"/>
      <c r="N246" s="355"/>
      <c r="O246" s="355"/>
      <c r="P246" s="355"/>
      <c r="Q246" s="355"/>
      <c r="R246" s="365"/>
      <c r="S246" s="355"/>
      <c r="T246" s="363"/>
      <c r="U246" s="361"/>
      <c r="V246" s="364"/>
      <c r="W246" s="355"/>
      <c r="X246" s="355"/>
      <c r="Y246" s="355"/>
      <c r="Z246" s="355"/>
      <c r="AA246" s="355"/>
      <c r="AB246" s="355"/>
      <c r="AC246" s="355"/>
      <c r="AD246" s="355"/>
    </row>
    <row r="247" spans="1:30" s="354" customFormat="1" x14ac:dyDescent="0.25">
      <c r="A247" s="339"/>
      <c r="B247" s="355"/>
      <c r="C247" s="355"/>
      <c r="D247" s="355"/>
      <c r="E247" s="355"/>
      <c r="F247" s="339"/>
      <c r="G247" s="355"/>
      <c r="H247" s="355"/>
      <c r="I247" s="355"/>
      <c r="J247" s="356"/>
      <c r="K247" s="357"/>
      <c r="L247" s="358"/>
      <c r="M247" s="355"/>
      <c r="N247" s="355"/>
      <c r="O247" s="355"/>
      <c r="P247" s="355"/>
      <c r="Q247" s="355"/>
      <c r="R247" s="365"/>
      <c r="S247" s="355"/>
      <c r="T247" s="363"/>
      <c r="U247" s="361"/>
      <c r="V247" s="364"/>
      <c r="W247" s="355"/>
      <c r="X247" s="355"/>
      <c r="Y247" s="355"/>
      <c r="Z247" s="355"/>
      <c r="AA247" s="355"/>
      <c r="AB247" s="355"/>
      <c r="AC247" s="355"/>
      <c r="AD247" s="355"/>
    </row>
    <row r="248" spans="1:30" s="354" customFormat="1" x14ac:dyDescent="0.25">
      <c r="A248" s="339"/>
      <c r="B248" s="355"/>
      <c r="C248" s="355"/>
      <c r="D248" s="355"/>
      <c r="E248" s="355"/>
      <c r="F248" s="339"/>
      <c r="G248" s="355"/>
      <c r="H248" s="355"/>
      <c r="I248" s="355"/>
      <c r="J248" s="356"/>
      <c r="K248" s="357"/>
      <c r="L248" s="358"/>
      <c r="M248" s="355"/>
      <c r="N248" s="355"/>
      <c r="O248" s="355"/>
      <c r="P248" s="355"/>
      <c r="Q248" s="355"/>
      <c r="R248" s="365"/>
      <c r="S248" s="355"/>
      <c r="T248" s="363"/>
      <c r="U248" s="361"/>
      <c r="V248" s="364"/>
      <c r="W248" s="355"/>
      <c r="X248" s="355"/>
      <c r="Y248" s="355"/>
      <c r="Z248" s="355"/>
      <c r="AA248" s="355"/>
      <c r="AB248" s="355"/>
      <c r="AC248" s="355"/>
      <c r="AD248" s="355"/>
    </row>
    <row r="249" spans="1:30" s="354" customFormat="1" x14ac:dyDescent="0.25">
      <c r="A249" s="339"/>
      <c r="B249" s="355"/>
      <c r="C249" s="355"/>
      <c r="D249" s="355"/>
      <c r="E249" s="355"/>
      <c r="F249" s="339"/>
      <c r="G249" s="355"/>
      <c r="H249" s="355"/>
      <c r="I249" s="355"/>
      <c r="J249" s="356"/>
      <c r="K249" s="357"/>
      <c r="L249" s="358"/>
      <c r="M249" s="355"/>
      <c r="N249" s="355"/>
      <c r="O249" s="355"/>
      <c r="P249" s="355"/>
      <c r="Q249" s="355"/>
      <c r="R249" s="365"/>
      <c r="S249" s="355"/>
      <c r="T249" s="363"/>
      <c r="U249" s="361"/>
      <c r="V249" s="364"/>
      <c r="W249" s="355"/>
      <c r="X249" s="355"/>
      <c r="Y249" s="355"/>
      <c r="Z249" s="355"/>
      <c r="AA249" s="355"/>
      <c r="AB249" s="355"/>
      <c r="AC249" s="355"/>
      <c r="AD249" s="355"/>
    </row>
    <row r="250" spans="1:30" s="354" customFormat="1" x14ac:dyDescent="0.25">
      <c r="A250" s="339"/>
      <c r="B250" s="355"/>
      <c r="C250" s="355"/>
      <c r="D250" s="355"/>
      <c r="E250" s="355"/>
      <c r="F250" s="339"/>
      <c r="G250" s="355"/>
      <c r="H250" s="355"/>
      <c r="I250" s="355"/>
      <c r="J250" s="356"/>
      <c r="K250" s="357"/>
      <c r="L250" s="358"/>
      <c r="M250" s="355"/>
      <c r="N250" s="355"/>
      <c r="O250" s="355"/>
      <c r="P250" s="355"/>
      <c r="Q250" s="355"/>
      <c r="R250" s="365"/>
      <c r="S250" s="355"/>
      <c r="T250" s="363"/>
      <c r="U250" s="361"/>
      <c r="V250" s="364"/>
      <c r="W250" s="355"/>
      <c r="X250" s="355"/>
      <c r="Y250" s="355"/>
      <c r="Z250" s="355"/>
      <c r="AA250" s="355"/>
      <c r="AB250" s="355"/>
      <c r="AC250" s="355"/>
      <c r="AD250" s="355"/>
    </row>
    <row r="251" spans="1:30" s="354" customFormat="1" x14ac:dyDescent="0.25">
      <c r="A251" s="339"/>
      <c r="B251" s="355"/>
      <c r="C251" s="355"/>
      <c r="D251" s="355"/>
      <c r="E251" s="355"/>
      <c r="F251" s="339"/>
      <c r="G251" s="355"/>
      <c r="H251" s="355"/>
      <c r="I251" s="355"/>
      <c r="J251" s="356"/>
      <c r="K251" s="357"/>
      <c r="L251" s="358"/>
      <c r="M251" s="355"/>
      <c r="N251" s="355"/>
      <c r="O251" s="355"/>
      <c r="P251" s="355"/>
      <c r="Q251" s="355"/>
      <c r="R251" s="365"/>
      <c r="S251" s="355"/>
      <c r="T251" s="363"/>
      <c r="U251" s="361"/>
      <c r="V251" s="364"/>
      <c r="W251" s="355"/>
      <c r="X251" s="355"/>
      <c r="Y251" s="355"/>
      <c r="Z251" s="355"/>
      <c r="AA251" s="355"/>
      <c r="AB251" s="355"/>
      <c r="AC251" s="355"/>
      <c r="AD251" s="355"/>
    </row>
    <row r="252" spans="1:30" s="354" customFormat="1" x14ac:dyDescent="0.25">
      <c r="A252" s="339"/>
      <c r="B252" s="355"/>
      <c r="C252" s="355"/>
      <c r="D252" s="355"/>
      <c r="E252" s="355"/>
      <c r="F252" s="339"/>
      <c r="G252" s="355"/>
      <c r="H252" s="355"/>
      <c r="I252" s="355"/>
      <c r="J252" s="356"/>
      <c r="K252" s="357"/>
      <c r="L252" s="358"/>
      <c r="M252" s="355"/>
      <c r="N252" s="355"/>
      <c r="O252" s="355"/>
      <c r="P252" s="355"/>
      <c r="Q252" s="355"/>
      <c r="R252" s="365"/>
      <c r="S252" s="355"/>
      <c r="T252" s="363"/>
      <c r="U252" s="361"/>
      <c r="V252" s="364"/>
      <c r="W252" s="355"/>
      <c r="X252" s="355"/>
      <c r="Y252" s="355"/>
      <c r="Z252" s="355"/>
      <c r="AA252" s="355"/>
      <c r="AB252" s="355"/>
      <c r="AC252" s="355"/>
      <c r="AD252" s="355"/>
    </row>
    <row r="253" spans="1:30" s="354" customFormat="1" x14ac:dyDescent="0.25">
      <c r="A253" s="339"/>
      <c r="B253" s="355"/>
      <c r="C253" s="355"/>
      <c r="D253" s="355"/>
      <c r="E253" s="355"/>
      <c r="F253" s="339"/>
      <c r="G253" s="355"/>
      <c r="H253" s="355"/>
      <c r="I253" s="355"/>
      <c r="J253" s="356"/>
      <c r="K253" s="357"/>
      <c r="L253" s="358"/>
      <c r="M253" s="355"/>
      <c r="N253" s="355"/>
      <c r="O253" s="355"/>
      <c r="P253" s="355"/>
      <c r="Q253" s="355"/>
      <c r="R253" s="365"/>
      <c r="S253" s="355"/>
      <c r="T253" s="363"/>
      <c r="U253" s="361"/>
      <c r="V253" s="364"/>
      <c r="W253" s="355"/>
      <c r="X253" s="355"/>
      <c r="Y253" s="355"/>
      <c r="Z253" s="355"/>
      <c r="AA253" s="355"/>
      <c r="AB253" s="355"/>
      <c r="AC253" s="355"/>
      <c r="AD253" s="355"/>
    </row>
    <row r="254" spans="1:30" s="354" customFormat="1" x14ac:dyDescent="0.25">
      <c r="A254" s="339"/>
      <c r="B254" s="355"/>
      <c r="C254" s="355"/>
      <c r="D254" s="355"/>
      <c r="E254" s="355"/>
      <c r="F254" s="339"/>
      <c r="G254" s="355"/>
      <c r="H254" s="355"/>
      <c r="I254" s="355"/>
      <c r="J254" s="356"/>
      <c r="K254" s="357"/>
      <c r="L254" s="358"/>
      <c r="M254" s="355"/>
      <c r="N254" s="355"/>
      <c r="O254" s="355"/>
      <c r="P254" s="355"/>
      <c r="Q254" s="355"/>
      <c r="R254" s="365"/>
      <c r="S254" s="355"/>
      <c r="T254" s="363"/>
      <c r="U254" s="361"/>
      <c r="V254" s="364"/>
      <c r="W254" s="355"/>
      <c r="X254" s="355"/>
      <c r="Y254" s="355"/>
      <c r="Z254" s="355"/>
      <c r="AA254" s="355"/>
      <c r="AB254" s="355"/>
      <c r="AC254" s="355"/>
      <c r="AD254" s="355"/>
    </row>
    <row r="255" spans="1:30" s="354" customFormat="1" x14ac:dyDescent="0.25">
      <c r="A255" s="339"/>
      <c r="B255" s="355"/>
      <c r="C255" s="355"/>
      <c r="D255" s="355"/>
      <c r="E255" s="355"/>
      <c r="F255" s="339"/>
      <c r="G255" s="355"/>
      <c r="H255" s="355"/>
      <c r="I255" s="355"/>
      <c r="J255" s="356"/>
      <c r="K255" s="357"/>
      <c r="L255" s="358"/>
      <c r="M255" s="355"/>
      <c r="N255" s="355"/>
      <c r="O255" s="355"/>
      <c r="P255" s="355"/>
      <c r="Q255" s="355"/>
      <c r="R255" s="365"/>
      <c r="S255" s="355"/>
      <c r="T255" s="363"/>
      <c r="U255" s="361"/>
      <c r="V255" s="364"/>
      <c r="W255" s="355"/>
      <c r="X255" s="355"/>
      <c r="Y255" s="355"/>
      <c r="Z255" s="355"/>
      <c r="AA255" s="355"/>
      <c r="AB255" s="355"/>
      <c r="AC255" s="355"/>
      <c r="AD255" s="355"/>
    </row>
    <row r="256" spans="1:30" s="354" customFormat="1" x14ac:dyDescent="0.25">
      <c r="A256" s="339"/>
      <c r="B256" s="355"/>
      <c r="C256" s="355"/>
      <c r="D256" s="355"/>
      <c r="E256" s="355"/>
      <c r="F256" s="339"/>
      <c r="G256" s="355"/>
      <c r="H256" s="355"/>
      <c r="I256" s="355"/>
      <c r="J256" s="356"/>
      <c r="K256" s="357"/>
      <c r="L256" s="358"/>
      <c r="M256" s="355"/>
      <c r="N256" s="355"/>
      <c r="O256" s="355"/>
      <c r="P256" s="355"/>
      <c r="Q256" s="355"/>
      <c r="R256" s="365"/>
      <c r="S256" s="355"/>
      <c r="T256" s="363"/>
      <c r="U256" s="361"/>
      <c r="V256" s="364"/>
      <c r="W256" s="355"/>
      <c r="X256" s="355"/>
      <c r="Y256" s="355"/>
      <c r="Z256" s="355"/>
      <c r="AA256" s="355"/>
      <c r="AB256" s="355"/>
      <c r="AC256" s="355"/>
      <c r="AD256" s="355"/>
    </row>
    <row r="257" spans="1:30" s="354" customFormat="1" x14ac:dyDescent="0.25">
      <c r="A257" s="339"/>
      <c r="B257" s="355"/>
      <c r="C257" s="355"/>
      <c r="D257" s="355"/>
      <c r="E257" s="355"/>
      <c r="F257" s="339"/>
      <c r="G257" s="355"/>
      <c r="H257" s="355"/>
      <c r="I257" s="355"/>
      <c r="J257" s="356"/>
      <c r="K257" s="357"/>
      <c r="L257" s="358"/>
      <c r="M257" s="355"/>
      <c r="N257" s="355"/>
      <c r="O257" s="355"/>
      <c r="P257" s="355"/>
      <c r="Q257" s="355"/>
      <c r="R257" s="365"/>
      <c r="S257" s="355"/>
      <c r="T257" s="363"/>
      <c r="U257" s="361"/>
      <c r="V257" s="364"/>
      <c r="W257" s="355"/>
      <c r="X257" s="355"/>
      <c r="Y257" s="355"/>
      <c r="Z257" s="355"/>
      <c r="AA257" s="355"/>
      <c r="AB257" s="355"/>
      <c r="AC257" s="355"/>
      <c r="AD257" s="355"/>
    </row>
    <row r="258" spans="1:30" s="354" customFormat="1" x14ac:dyDescent="0.25">
      <c r="A258" s="339"/>
      <c r="B258" s="355"/>
      <c r="C258" s="355"/>
      <c r="D258" s="355"/>
      <c r="E258" s="355"/>
      <c r="F258" s="339"/>
      <c r="G258" s="355"/>
      <c r="H258" s="355"/>
      <c r="I258" s="355"/>
      <c r="J258" s="356"/>
      <c r="K258" s="357"/>
      <c r="L258" s="358"/>
      <c r="M258" s="355"/>
      <c r="N258" s="355"/>
      <c r="O258" s="355"/>
      <c r="P258" s="355"/>
      <c r="Q258" s="355"/>
      <c r="R258" s="365"/>
      <c r="S258" s="355"/>
      <c r="T258" s="363"/>
      <c r="U258" s="361"/>
      <c r="V258" s="364"/>
      <c r="W258" s="355"/>
      <c r="X258" s="355"/>
      <c r="Y258" s="355"/>
      <c r="Z258" s="355"/>
      <c r="AA258" s="355"/>
      <c r="AB258" s="355"/>
      <c r="AC258" s="355"/>
      <c r="AD258" s="355"/>
    </row>
    <row r="259" spans="1:30" s="354" customFormat="1" x14ac:dyDescent="0.25">
      <c r="A259" s="339"/>
      <c r="B259" s="355"/>
      <c r="C259" s="355"/>
      <c r="D259" s="355"/>
      <c r="E259" s="355"/>
      <c r="F259" s="339"/>
      <c r="G259" s="355"/>
      <c r="H259" s="355"/>
      <c r="I259" s="355"/>
      <c r="J259" s="356"/>
      <c r="K259" s="357"/>
      <c r="L259" s="358"/>
      <c r="M259" s="355"/>
      <c r="N259" s="355"/>
      <c r="O259" s="355"/>
      <c r="P259" s="355"/>
      <c r="Q259" s="355"/>
      <c r="R259" s="365"/>
      <c r="S259" s="355"/>
      <c r="T259" s="363"/>
      <c r="U259" s="361"/>
      <c r="V259" s="364"/>
      <c r="W259" s="355"/>
      <c r="X259" s="355"/>
      <c r="Y259" s="355"/>
      <c r="Z259" s="355"/>
      <c r="AA259" s="355"/>
      <c r="AB259" s="355"/>
      <c r="AC259" s="355"/>
      <c r="AD259" s="355"/>
    </row>
    <row r="260" spans="1:30" s="354" customFormat="1" x14ac:dyDescent="0.25">
      <c r="A260" s="339"/>
      <c r="B260" s="355"/>
      <c r="C260" s="355"/>
      <c r="D260" s="355"/>
      <c r="E260" s="355"/>
      <c r="F260" s="339"/>
      <c r="G260" s="355"/>
      <c r="H260" s="355"/>
      <c r="I260" s="355"/>
      <c r="J260" s="356"/>
      <c r="K260" s="357"/>
      <c r="L260" s="358"/>
      <c r="M260" s="355"/>
      <c r="N260" s="355"/>
      <c r="O260" s="355"/>
      <c r="P260" s="355"/>
      <c r="Q260" s="355"/>
      <c r="R260" s="365"/>
      <c r="S260" s="355"/>
      <c r="T260" s="363"/>
      <c r="U260" s="361"/>
      <c r="V260" s="364"/>
      <c r="W260" s="355"/>
      <c r="X260" s="355"/>
      <c r="Y260" s="355"/>
      <c r="Z260" s="355"/>
      <c r="AA260" s="355"/>
      <c r="AB260" s="355"/>
      <c r="AC260" s="355"/>
      <c r="AD260" s="355"/>
    </row>
    <row r="261" spans="1:30" s="354" customFormat="1" x14ac:dyDescent="0.25">
      <c r="A261" s="339"/>
      <c r="B261" s="355"/>
      <c r="C261" s="355"/>
      <c r="D261" s="355"/>
      <c r="E261" s="355"/>
      <c r="F261" s="339"/>
      <c r="G261" s="355"/>
      <c r="H261" s="355"/>
      <c r="I261" s="355"/>
      <c r="J261" s="356"/>
      <c r="K261" s="357"/>
      <c r="L261" s="358"/>
      <c r="M261" s="355"/>
      <c r="N261" s="355"/>
      <c r="O261" s="355"/>
      <c r="P261" s="355"/>
      <c r="Q261" s="355"/>
      <c r="R261" s="365"/>
      <c r="S261" s="355"/>
      <c r="T261" s="363"/>
      <c r="U261" s="361"/>
      <c r="V261" s="364"/>
      <c r="W261" s="355"/>
      <c r="X261" s="355"/>
      <c r="Y261" s="355"/>
      <c r="Z261" s="355"/>
      <c r="AA261" s="355"/>
      <c r="AB261" s="355"/>
      <c r="AC261" s="355"/>
      <c r="AD261" s="355"/>
    </row>
    <row r="262" spans="1:30" s="354" customFormat="1" x14ac:dyDescent="0.25">
      <c r="A262" s="339"/>
      <c r="B262" s="355"/>
      <c r="C262" s="355"/>
      <c r="D262" s="355"/>
      <c r="E262" s="355"/>
      <c r="F262" s="339"/>
      <c r="G262" s="355"/>
      <c r="H262" s="355"/>
      <c r="I262" s="355"/>
      <c r="J262" s="356"/>
      <c r="K262" s="357"/>
      <c r="L262" s="358"/>
      <c r="M262" s="355"/>
      <c r="N262" s="355"/>
      <c r="O262" s="355"/>
      <c r="P262" s="355"/>
      <c r="Q262" s="355"/>
      <c r="R262" s="365"/>
      <c r="S262" s="355"/>
      <c r="T262" s="363"/>
      <c r="U262" s="361"/>
      <c r="V262" s="364"/>
      <c r="W262" s="355"/>
      <c r="X262" s="355"/>
      <c r="Y262" s="355"/>
      <c r="Z262" s="355"/>
      <c r="AA262" s="355"/>
      <c r="AB262" s="355"/>
      <c r="AC262" s="355"/>
      <c r="AD262" s="355"/>
    </row>
    <row r="263" spans="1:30" s="354" customFormat="1" x14ac:dyDescent="0.25">
      <c r="A263" s="339"/>
      <c r="B263" s="355"/>
      <c r="C263" s="355"/>
      <c r="D263" s="355"/>
      <c r="E263" s="355"/>
      <c r="F263" s="339"/>
      <c r="G263" s="355"/>
      <c r="H263" s="355"/>
      <c r="I263" s="355"/>
      <c r="J263" s="356"/>
      <c r="K263" s="357"/>
      <c r="L263" s="358"/>
      <c r="M263" s="355"/>
      <c r="N263" s="355"/>
      <c r="O263" s="355"/>
      <c r="P263" s="355"/>
      <c r="Q263" s="355"/>
      <c r="R263" s="365"/>
      <c r="S263" s="355"/>
      <c r="T263" s="363"/>
      <c r="U263" s="361"/>
      <c r="V263" s="364"/>
      <c r="W263" s="355"/>
      <c r="X263" s="355"/>
      <c r="Y263" s="355"/>
      <c r="Z263" s="355"/>
      <c r="AA263" s="355"/>
      <c r="AB263" s="355"/>
      <c r="AC263" s="355"/>
      <c r="AD263" s="355"/>
    </row>
    <row r="264" spans="1:30" s="354" customFormat="1" x14ac:dyDescent="0.25">
      <c r="A264" s="339"/>
      <c r="B264" s="355"/>
      <c r="C264" s="355"/>
      <c r="D264" s="355"/>
      <c r="E264" s="355"/>
      <c r="F264" s="339"/>
      <c r="G264" s="355"/>
      <c r="H264" s="355"/>
      <c r="I264" s="355"/>
      <c r="J264" s="356"/>
      <c r="K264" s="357"/>
      <c r="L264" s="358"/>
      <c r="M264" s="355"/>
      <c r="N264" s="355"/>
      <c r="O264" s="355"/>
      <c r="P264" s="355"/>
      <c r="Q264" s="355"/>
      <c r="R264" s="365"/>
      <c r="S264" s="355"/>
      <c r="T264" s="363"/>
      <c r="U264" s="361"/>
      <c r="V264" s="364"/>
      <c r="W264" s="355"/>
      <c r="X264" s="355"/>
      <c r="Y264" s="355"/>
      <c r="Z264" s="355"/>
      <c r="AA264" s="355"/>
      <c r="AB264" s="355"/>
      <c r="AC264" s="355"/>
      <c r="AD264" s="355"/>
    </row>
    <row r="265" spans="1:30" s="354" customFormat="1" x14ac:dyDescent="0.25">
      <c r="A265" s="339"/>
      <c r="B265" s="355"/>
      <c r="C265" s="355"/>
      <c r="D265" s="355"/>
      <c r="E265" s="355"/>
      <c r="F265" s="339"/>
      <c r="G265" s="355"/>
      <c r="H265" s="355"/>
      <c r="I265" s="355"/>
      <c r="J265" s="356"/>
      <c r="K265" s="357"/>
      <c r="L265" s="358"/>
      <c r="M265" s="355"/>
      <c r="N265" s="355"/>
      <c r="O265" s="355"/>
      <c r="P265" s="355"/>
      <c r="Q265" s="355"/>
      <c r="R265" s="365"/>
      <c r="S265" s="355"/>
      <c r="T265" s="363"/>
      <c r="U265" s="361"/>
      <c r="V265" s="364"/>
      <c r="W265" s="355"/>
      <c r="X265" s="355"/>
      <c r="Y265" s="355"/>
      <c r="Z265" s="355"/>
      <c r="AA265" s="355"/>
      <c r="AB265" s="355"/>
      <c r="AC265" s="355"/>
      <c r="AD265" s="355"/>
    </row>
    <row r="266" spans="1:30" s="354" customFormat="1" x14ac:dyDescent="0.25">
      <c r="A266" s="339"/>
      <c r="B266" s="355"/>
      <c r="C266" s="355"/>
      <c r="D266" s="355"/>
      <c r="E266" s="355"/>
      <c r="F266" s="339"/>
      <c r="G266" s="355"/>
      <c r="H266" s="355"/>
      <c r="I266" s="355"/>
      <c r="J266" s="356"/>
      <c r="K266" s="357"/>
      <c r="L266" s="358"/>
      <c r="M266" s="355"/>
      <c r="N266" s="355"/>
      <c r="O266" s="355"/>
      <c r="P266" s="355"/>
      <c r="Q266" s="355"/>
      <c r="R266" s="365"/>
      <c r="S266" s="355"/>
      <c r="T266" s="363"/>
      <c r="U266" s="361"/>
      <c r="V266" s="364"/>
      <c r="W266" s="355"/>
      <c r="X266" s="355"/>
      <c r="Y266" s="355"/>
      <c r="Z266" s="355"/>
      <c r="AA266" s="355"/>
      <c r="AB266" s="355"/>
      <c r="AC266" s="355"/>
      <c r="AD266" s="355"/>
    </row>
    <row r="267" spans="1:30" s="354" customFormat="1" x14ac:dyDescent="0.25">
      <c r="A267" s="339"/>
      <c r="B267" s="355"/>
      <c r="C267" s="355"/>
      <c r="D267" s="355"/>
      <c r="E267" s="355"/>
      <c r="F267" s="339"/>
      <c r="G267" s="355"/>
      <c r="H267" s="355"/>
      <c r="I267" s="355"/>
      <c r="J267" s="356"/>
      <c r="K267" s="357"/>
      <c r="L267" s="358"/>
      <c r="M267" s="355"/>
      <c r="N267" s="355"/>
      <c r="O267" s="355"/>
      <c r="P267" s="355"/>
      <c r="Q267" s="355"/>
      <c r="R267" s="365"/>
      <c r="S267" s="355"/>
      <c r="T267" s="363"/>
      <c r="U267" s="361"/>
      <c r="V267" s="364"/>
      <c r="W267" s="355"/>
      <c r="X267" s="355"/>
      <c r="Y267" s="355"/>
      <c r="Z267" s="355"/>
      <c r="AA267" s="355"/>
      <c r="AB267" s="355"/>
      <c r="AC267" s="355"/>
      <c r="AD267" s="355"/>
    </row>
    <row r="268" spans="1:30" s="366" customFormat="1" ht="14.25" x14ac:dyDescent="0.25">
      <c r="A268" s="325"/>
      <c r="B268" s="367"/>
      <c r="C268" s="367"/>
      <c r="D268" s="368"/>
      <c r="E268" s="355"/>
      <c r="F268" s="339"/>
      <c r="G268" s="355"/>
      <c r="H268" s="355"/>
      <c r="I268" s="355"/>
      <c r="J268" s="369"/>
      <c r="K268" s="357"/>
      <c r="L268" s="357"/>
      <c r="M268" s="355"/>
      <c r="N268" s="355"/>
      <c r="O268" s="355"/>
      <c r="P268" s="355"/>
      <c r="Q268" s="355"/>
      <c r="R268" s="359"/>
      <c r="S268" s="355"/>
      <c r="T268" s="360"/>
      <c r="U268" s="361"/>
      <c r="V268" s="362"/>
      <c r="W268" s="367"/>
      <c r="X268" s="367"/>
      <c r="Y268" s="367"/>
      <c r="Z268" s="367"/>
      <c r="AA268" s="367"/>
      <c r="AB268" s="367"/>
      <c r="AC268" s="367"/>
      <c r="AD268" s="367"/>
    </row>
    <row r="269" spans="1:30" x14ac:dyDescent="0.25">
      <c r="A269" s="350" t="s">
        <v>345</v>
      </c>
      <c r="B269" s="333"/>
      <c r="C269" s="333"/>
      <c r="D269" s="333"/>
      <c r="E269" s="333"/>
      <c r="F269" s="351"/>
      <c r="G269" s="333"/>
      <c r="H269" s="333"/>
      <c r="I269" s="333"/>
      <c r="J269" s="317" t="s">
        <v>16</v>
      </c>
      <c r="K269" s="317">
        <f>SUM(K270:K271)</f>
        <v>0</v>
      </c>
      <c r="L269" s="317">
        <f>SUM(L270:L271)</f>
        <v>0</v>
      </c>
      <c r="M269" s="315"/>
      <c r="N269" s="315"/>
      <c r="O269" s="315"/>
      <c r="P269" s="315"/>
      <c r="Q269" s="315"/>
      <c r="R269" s="318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</row>
    <row r="270" spans="1:30" x14ac:dyDescent="0.2">
      <c r="A270" s="352"/>
      <c r="B270" s="315"/>
      <c r="C270" s="315"/>
      <c r="D270" s="338"/>
      <c r="E270" s="338"/>
      <c r="F270" s="339"/>
      <c r="G270" s="338"/>
      <c r="H270" s="338"/>
      <c r="I270" s="338"/>
      <c r="J270" s="349"/>
      <c r="K270" s="341"/>
      <c r="L270" s="341"/>
      <c r="M270" s="338"/>
      <c r="N270" s="338"/>
      <c r="O270" s="338"/>
      <c r="P270" s="338"/>
      <c r="Q270" s="338"/>
      <c r="R270" s="343"/>
      <c r="S270" s="338"/>
      <c r="T270" s="345"/>
      <c r="U270" s="338"/>
      <c r="V270" s="315"/>
      <c r="W270" s="315"/>
      <c r="X270" s="315"/>
      <c r="Y270" s="315"/>
      <c r="Z270" s="315"/>
      <c r="AA270" s="315"/>
      <c r="AB270" s="315"/>
      <c r="AC270" s="315"/>
      <c r="AD270" s="315"/>
    </row>
    <row r="271" spans="1:30" s="336" customFormat="1" ht="14.25" x14ac:dyDescent="0.2">
      <c r="A271" s="353"/>
      <c r="B271" s="338"/>
      <c r="C271" s="338"/>
      <c r="D271" s="338"/>
      <c r="E271" s="338"/>
      <c r="F271" s="339"/>
      <c r="G271" s="338"/>
      <c r="H271" s="338"/>
      <c r="I271" s="338"/>
      <c r="J271" s="349"/>
      <c r="K271" s="341"/>
      <c r="L271" s="341"/>
      <c r="M271" s="338"/>
      <c r="N271" s="338"/>
      <c r="O271" s="338"/>
      <c r="P271" s="338"/>
      <c r="Q271" s="338"/>
      <c r="R271" s="343"/>
      <c r="S271" s="338"/>
      <c r="T271" s="345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</row>
    <row r="272" spans="1:30" s="327" customFormat="1" x14ac:dyDescent="0.25">
      <c r="A272" s="328" t="s">
        <v>284</v>
      </c>
      <c r="B272" s="329"/>
      <c r="C272" s="329"/>
      <c r="D272" s="329"/>
      <c r="E272" s="329"/>
      <c r="F272" s="330"/>
      <c r="G272" s="329"/>
      <c r="H272" s="329"/>
      <c r="I272" s="329"/>
      <c r="J272" s="329"/>
      <c r="K272" s="331"/>
      <c r="L272" s="331"/>
      <c r="M272" s="329"/>
      <c r="N272" s="329"/>
      <c r="O272" s="329"/>
      <c r="P272" s="329"/>
      <c r="Q272" s="329"/>
      <c r="R272" s="332"/>
      <c r="S272" s="329"/>
      <c r="T272" s="329"/>
      <c r="U272" s="329"/>
      <c r="V272" s="329"/>
      <c r="W272" s="329"/>
      <c r="X272" s="329"/>
      <c r="Y272" s="329"/>
      <c r="Z272" s="329"/>
      <c r="AA272" s="329"/>
      <c r="AB272" s="329"/>
      <c r="AC272" s="329"/>
      <c r="AD272" s="329"/>
    </row>
    <row r="273" spans="1:30" ht="30" x14ac:dyDescent="0.25">
      <c r="A273" s="333" t="s">
        <v>344</v>
      </c>
      <c r="B273" s="334"/>
      <c r="C273" s="334"/>
      <c r="D273" s="334"/>
      <c r="E273" s="334"/>
      <c r="F273" s="335"/>
      <c r="G273" s="334"/>
      <c r="H273" s="334"/>
      <c r="I273" s="334"/>
      <c r="J273" s="317" t="s">
        <v>16</v>
      </c>
      <c r="K273" s="317">
        <f>SUM(K274:K275)</f>
        <v>0</v>
      </c>
      <c r="L273" s="317">
        <f>SUM(L274:L275)</f>
        <v>0</v>
      </c>
      <c r="M273" s="315"/>
      <c r="N273" s="315"/>
      <c r="O273" s="315"/>
      <c r="P273" s="315"/>
      <c r="Q273" s="315"/>
      <c r="R273" s="318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</row>
    <row r="274" spans="1:30" s="336" customFormat="1" x14ac:dyDescent="0.25">
      <c r="A274" s="337"/>
      <c r="B274" s="338"/>
      <c r="C274" s="338"/>
      <c r="D274" s="338"/>
      <c r="E274" s="338"/>
      <c r="F274" s="339"/>
      <c r="G274" s="338"/>
      <c r="H274" s="338"/>
      <c r="I274" s="338"/>
      <c r="J274" s="340"/>
      <c r="K274" s="341"/>
      <c r="L274" s="342"/>
      <c r="M274" s="338"/>
      <c r="N274" s="338"/>
      <c r="O274" s="338"/>
      <c r="P274" s="338"/>
      <c r="Q274" s="338"/>
      <c r="R274" s="343"/>
      <c r="S274" s="338"/>
      <c r="T274" s="344"/>
      <c r="U274" s="345"/>
      <c r="V274" s="346"/>
      <c r="W274" s="338"/>
      <c r="X274" s="338"/>
      <c r="Y274" s="338"/>
      <c r="Z274" s="338"/>
      <c r="AA274" s="338"/>
      <c r="AB274" s="338"/>
      <c r="AC274" s="338"/>
      <c r="AD274" s="338"/>
    </row>
    <row r="275" spans="1:30" x14ac:dyDescent="0.2">
      <c r="A275" s="347"/>
      <c r="B275" s="315"/>
      <c r="C275" s="315"/>
      <c r="D275" s="348"/>
      <c r="E275" s="338"/>
      <c r="F275" s="339"/>
      <c r="G275" s="338"/>
      <c r="H275" s="338"/>
      <c r="I275" s="338"/>
      <c r="J275" s="349"/>
      <c r="K275" s="341"/>
      <c r="L275" s="341"/>
      <c r="M275" s="338"/>
      <c r="N275" s="338"/>
      <c r="O275" s="338"/>
      <c r="P275" s="338"/>
      <c r="Q275" s="338"/>
      <c r="R275" s="343"/>
      <c r="S275" s="338"/>
      <c r="T275" s="344"/>
      <c r="U275" s="345"/>
      <c r="V275" s="346"/>
      <c r="W275" s="315"/>
      <c r="X275" s="315"/>
      <c r="Y275" s="315"/>
      <c r="Z275" s="315"/>
      <c r="AA275" s="315"/>
      <c r="AB275" s="315"/>
      <c r="AC275" s="315"/>
      <c r="AD275" s="315"/>
    </row>
    <row r="276" spans="1:30" x14ac:dyDescent="0.25">
      <c r="A276" s="350" t="s">
        <v>345</v>
      </c>
      <c r="B276" s="333"/>
      <c r="C276" s="333"/>
      <c r="D276" s="333"/>
      <c r="E276" s="333"/>
      <c r="F276" s="351"/>
      <c r="G276" s="333"/>
      <c r="H276" s="333"/>
      <c r="I276" s="333"/>
      <c r="J276" s="317" t="s">
        <v>16</v>
      </c>
      <c r="K276" s="317">
        <f>SUM(K277:K278)</f>
        <v>0</v>
      </c>
      <c r="L276" s="317">
        <f>SUM(L277:L278)</f>
        <v>0</v>
      </c>
      <c r="M276" s="315"/>
      <c r="N276" s="315"/>
      <c r="O276" s="315"/>
      <c r="P276" s="315"/>
      <c r="Q276" s="315"/>
      <c r="R276" s="318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</row>
    <row r="277" spans="1:30" x14ac:dyDescent="0.2">
      <c r="A277" s="352"/>
      <c r="B277" s="315"/>
      <c r="C277" s="315"/>
      <c r="D277" s="338"/>
      <c r="E277" s="338"/>
      <c r="F277" s="339"/>
      <c r="G277" s="338"/>
      <c r="H277" s="338"/>
      <c r="I277" s="338"/>
      <c r="J277" s="349"/>
      <c r="K277" s="341"/>
      <c r="L277" s="341"/>
      <c r="M277" s="338"/>
      <c r="N277" s="338"/>
      <c r="O277" s="338"/>
      <c r="P277" s="338"/>
      <c r="Q277" s="338"/>
      <c r="R277" s="343"/>
      <c r="S277" s="338"/>
      <c r="T277" s="345"/>
      <c r="U277" s="338"/>
      <c r="V277" s="315"/>
      <c r="W277" s="315"/>
      <c r="X277" s="315"/>
      <c r="Y277" s="315"/>
      <c r="Z277" s="315"/>
      <c r="AA277" s="315"/>
      <c r="AB277" s="315"/>
      <c r="AC277" s="315"/>
      <c r="AD277" s="315"/>
    </row>
    <row r="278" spans="1:30" s="336" customFormat="1" ht="14.25" x14ac:dyDescent="0.2">
      <c r="A278" s="353"/>
      <c r="B278" s="338"/>
      <c r="C278" s="338"/>
      <c r="D278" s="338"/>
      <c r="E278" s="338"/>
      <c r="F278" s="339"/>
      <c r="G278" s="338"/>
      <c r="H278" s="338"/>
      <c r="I278" s="338"/>
      <c r="J278" s="349"/>
      <c r="K278" s="341"/>
      <c r="L278" s="341"/>
      <c r="M278" s="338"/>
      <c r="N278" s="338"/>
      <c r="O278" s="338"/>
      <c r="P278" s="338"/>
      <c r="Q278" s="338"/>
      <c r="R278" s="343"/>
      <c r="S278" s="338"/>
      <c r="T278" s="345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</row>
    <row r="279" spans="1:30" s="327" customFormat="1" x14ac:dyDescent="0.25">
      <c r="A279" s="328" t="s">
        <v>285</v>
      </c>
      <c r="B279" s="329"/>
      <c r="C279" s="329"/>
      <c r="D279" s="329"/>
      <c r="E279" s="329"/>
      <c r="F279" s="330"/>
      <c r="G279" s="329"/>
      <c r="H279" s="329"/>
      <c r="I279" s="329"/>
      <c r="J279" s="329"/>
      <c r="K279" s="331"/>
      <c r="L279" s="331"/>
      <c r="M279" s="329"/>
      <c r="N279" s="329"/>
      <c r="O279" s="329"/>
      <c r="P279" s="329"/>
      <c r="Q279" s="329"/>
      <c r="R279" s="332"/>
      <c r="S279" s="329"/>
      <c r="T279" s="329"/>
      <c r="U279" s="329"/>
      <c r="V279" s="329"/>
      <c r="W279" s="329"/>
      <c r="X279" s="329"/>
      <c r="Y279" s="329"/>
      <c r="Z279" s="329"/>
      <c r="AA279" s="329"/>
      <c r="AB279" s="329"/>
      <c r="AC279" s="329"/>
      <c r="AD279" s="329"/>
    </row>
    <row r="280" spans="1:30" ht="30" x14ac:dyDescent="0.25">
      <c r="A280" s="333" t="s">
        <v>344</v>
      </c>
      <c r="B280" s="334"/>
      <c r="C280" s="334"/>
      <c r="D280" s="334"/>
      <c r="E280" s="334"/>
      <c r="F280" s="335"/>
      <c r="G280" s="334"/>
      <c r="H280" s="334"/>
      <c r="I280" s="334"/>
      <c r="J280" s="317" t="s">
        <v>16</v>
      </c>
      <c r="K280" s="317">
        <f>SUM(K281:K282)</f>
        <v>0</v>
      </c>
      <c r="L280" s="317">
        <f>SUM(L281:L282)</f>
        <v>0</v>
      </c>
      <c r="M280" s="315"/>
      <c r="N280" s="315"/>
      <c r="O280" s="315"/>
      <c r="P280" s="315"/>
      <c r="Q280" s="315"/>
      <c r="R280" s="318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</row>
    <row r="281" spans="1:30" s="336" customFormat="1" x14ac:dyDescent="0.25">
      <c r="A281" s="337"/>
      <c r="B281" s="338"/>
      <c r="C281" s="338"/>
      <c r="D281" s="338"/>
      <c r="E281" s="338"/>
      <c r="F281" s="339"/>
      <c r="G281" s="338"/>
      <c r="H281" s="338"/>
      <c r="I281" s="338"/>
      <c r="J281" s="340"/>
      <c r="K281" s="341"/>
      <c r="L281" s="342"/>
      <c r="M281" s="338"/>
      <c r="N281" s="338"/>
      <c r="O281" s="338"/>
      <c r="P281" s="338"/>
      <c r="Q281" s="338"/>
      <c r="R281" s="343"/>
      <c r="S281" s="338"/>
      <c r="T281" s="344"/>
      <c r="U281" s="345"/>
      <c r="V281" s="346"/>
      <c r="W281" s="338"/>
      <c r="X281" s="338"/>
      <c r="Y281" s="338"/>
      <c r="Z281" s="338"/>
      <c r="AA281" s="338"/>
      <c r="AB281" s="338"/>
      <c r="AC281" s="338"/>
      <c r="AD281" s="338"/>
    </row>
    <row r="282" spans="1:30" x14ac:dyDescent="0.2">
      <c r="A282" s="347"/>
      <c r="B282" s="315"/>
      <c r="C282" s="315"/>
      <c r="D282" s="348"/>
      <c r="E282" s="338"/>
      <c r="F282" s="339"/>
      <c r="G282" s="338"/>
      <c r="H282" s="338"/>
      <c r="I282" s="338"/>
      <c r="J282" s="349"/>
      <c r="K282" s="341"/>
      <c r="L282" s="341"/>
      <c r="M282" s="338"/>
      <c r="N282" s="338"/>
      <c r="O282" s="338"/>
      <c r="P282" s="338"/>
      <c r="Q282" s="338"/>
      <c r="R282" s="343"/>
      <c r="S282" s="338"/>
      <c r="T282" s="344"/>
      <c r="U282" s="345"/>
      <c r="V282" s="346"/>
      <c r="W282" s="315"/>
      <c r="X282" s="315"/>
      <c r="Y282" s="315"/>
      <c r="Z282" s="315"/>
      <c r="AA282" s="315"/>
      <c r="AB282" s="315"/>
      <c r="AC282" s="315"/>
      <c r="AD282" s="315"/>
    </row>
    <row r="283" spans="1:30" x14ac:dyDescent="0.25">
      <c r="A283" s="350" t="s">
        <v>345</v>
      </c>
      <c r="B283" s="333"/>
      <c r="C283" s="333"/>
      <c r="D283" s="333"/>
      <c r="E283" s="333"/>
      <c r="F283" s="351"/>
      <c r="G283" s="333"/>
      <c r="H283" s="333"/>
      <c r="I283" s="333"/>
      <c r="J283" s="317" t="s">
        <v>16</v>
      </c>
      <c r="K283" s="317">
        <f>SUM(K284:K285)</f>
        <v>0</v>
      </c>
      <c r="L283" s="317">
        <f>SUM(L284:L285)</f>
        <v>0</v>
      </c>
      <c r="M283" s="315"/>
      <c r="N283" s="315"/>
      <c r="O283" s="315"/>
      <c r="P283" s="315"/>
      <c r="Q283" s="315"/>
      <c r="R283" s="318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</row>
    <row r="284" spans="1:30" x14ac:dyDescent="0.2">
      <c r="A284" s="352"/>
      <c r="B284" s="315"/>
      <c r="C284" s="315"/>
      <c r="D284" s="338"/>
      <c r="E284" s="338"/>
      <c r="F284" s="339"/>
      <c r="G284" s="338"/>
      <c r="H284" s="338"/>
      <c r="I284" s="338"/>
      <c r="J284" s="349"/>
      <c r="K284" s="341"/>
      <c r="L284" s="341"/>
      <c r="M284" s="338"/>
      <c r="N284" s="338"/>
      <c r="O284" s="338"/>
      <c r="P284" s="338"/>
      <c r="Q284" s="338"/>
      <c r="R284" s="343"/>
      <c r="S284" s="338"/>
      <c r="T284" s="345"/>
      <c r="U284" s="338"/>
      <c r="V284" s="315"/>
      <c r="W284" s="315"/>
      <c r="X284" s="315"/>
      <c r="Y284" s="315"/>
      <c r="Z284" s="315"/>
      <c r="AA284" s="315"/>
      <c r="AB284" s="315"/>
      <c r="AC284" s="315"/>
      <c r="AD284" s="315"/>
    </row>
    <row r="285" spans="1:30" s="336" customFormat="1" ht="14.25" x14ac:dyDescent="0.2">
      <c r="A285" s="353"/>
      <c r="B285" s="338"/>
      <c r="C285" s="338"/>
      <c r="D285" s="338"/>
      <c r="E285" s="338"/>
      <c r="F285" s="339"/>
      <c r="G285" s="338"/>
      <c r="H285" s="338"/>
      <c r="I285" s="338"/>
      <c r="J285" s="349"/>
      <c r="K285" s="341"/>
      <c r="L285" s="341"/>
      <c r="M285" s="338"/>
      <c r="N285" s="338"/>
      <c r="O285" s="338"/>
      <c r="P285" s="338"/>
      <c r="Q285" s="338"/>
      <c r="R285" s="343"/>
      <c r="S285" s="338"/>
      <c r="T285" s="345"/>
      <c r="U285" s="338"/>
      <c r="V285" s="338"/>
      <c r="W285" s="338"/>
      <c r="X285" s="338"/>
      <c r="Y285" s="338"/>
      <c r="Z285" s="338"/>
      <c r="AA285" s="338"/>
      <c r="AB285" s="338"/>
      <c r="AC285" s="338"/>
      <c r="AD285" s="338"/>
    </row>
    <row r="286" spans="1:30" s="327" customFormat="1" x14ac:dyDescent="0.25">
      <c r="A286" s="328" t="s">
        <v>286</v>
      </c>
      <c r="B286" s="329"/>
      <c r="C286" s="329"/>
      <c r="D286" s="329"/>
      <c r="E286" s="329"/>
      <c r="F286" s="330"/>
      <c r="G286" s="329"/>
      <c r="H286" s="329"/>
      <c r="I286" s="329"/>
      <c r="J286" s="329"/>
      <c r="K286" s="331"/>
      <c r="L286" s="331"/>
      <c r="M286" s="329"/>
      <c r="N286" s="329"/>
      <c r="O286" s="329"/>
      <c r="P286" s="329"/>
      <c r="Q286" s="329"/>
      <c r="R286" s="332"/>
      <c r="S286" s="329"/>
      <c r="T286" s="329"/>
      <c r="U286" s="329"/>
      <c r="V286" s="329"/>
      <c r="W286" s="329"/>
      <c r="X286" s="329"/>
      <c r="Y286" s="329"/>
      <c r="Z286" s="329"/>
      <c r="AA286" s="329"/>
      <c r="AB286" s="329"/>
      <c r="AC286" s="329"/>
      <c r="AD286" s="329"/>
    </row>
    <row r="287" spans="1:30" ht="30" x14ac:dyDescent="0.25">
      <c r="A287" s="333" t="s">
        <v>344</v>
      </c>
      <c r="B287" s="334"/>
      <c r="C287" s="334"/>
      <c r="D287" s="334"/>
      <c r="E287" s="334"/>
      <c r="F287" s="335"/>
      <c r="G287" s="334"/>
      <c r="H287" s="334"/>
      <c r="I287" s="334"/>
      <c r="J287" s="317" t="s">
        <v>16</v>
      </c>
      <c r="K287" s="317">
        <f>SUM(K288:K289)</f>
        <v>0</v>
      </c>
      <c r="L287" s="317">
        <f>SUM(L288:L289)</f>
        <v>0</v>
      </c>
      <c r="M287" s="315"/>
      <c r="N287" s="315"/>
      <c r="O287" s="315"/>
      <c r="P287" s="315"/>
      <c r="Q287" s="315"/>
      <c r="R287" s="318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</row>
    <row r="288" spans="1:30" s="336" customFormat="1" x14ac:dyDescent="0.25">
      <c r="A288" s="337"/>
      <c r="B288" s="338"/>
      <c r="C288" s="338"/>
      <c r="D288" s="338"/>
      <c r="E288" s="338"/>
      <c r="F288" s="339"/>
      <c r="G288" s="338"/>
      <c r="H288" s="338"/>
      <c r="I288" s="338"/>
      <c r="J288" s="340"/>
      <c r="K288" s="341"/>
      <c r="L288" s="342"/>
      <c r="M288" s="338"/>
      <c r="N288" s="338"/>
      <c r="O288" s="338"/>
      <c r="P288" s="338"/>
      <c r="Q288" s="338"/>
      <c r="R288" s="343"/>
      <c r="S288" s="338"/>
      <c r="T288" s="344"/>
      <c r="U288" s="345"/>
      <c r="V288" s="346"/>
      <c r="W288" s="338"/>
      <c r="X288" s="338"/>
      <c r="Y288" s="338"/>
      <c r="Z288" s="338"/>
      <c r="AA288" s="338"/>
      <c r="AB288" s="338"/>
      <c r="AC288" s="338"/>
      <c r="AD288" s="338"/>
    </row>
    <row r="289" spans="1:30" x14ac:dyDescent="0.2">
      <c r="A289" s="347"/>
      <c r="B289" s="315"/>
      <c r="C289" s="315"/>
      <c r="D289" s="348"/>
      <c r="E289" s="338"/>
      <c r="F289" s="339"/>
      <c r="G289" s="338"/>
      <c r="H289" s="338"/>
      <c r="I289" s="338"/>
      <c r="J289" s="349"/>
      <c r="K289" s="341"/>
      <c r="L289" s="341"/>
      <c r="M289" s="338"/>
      <c r="N289" s="338"/>
      <c r="O289" s="338"/>
      <c r="P289" s="338"/>
      <c r="Q289" s="338"/>
      <c r="R289" s="343"/>
      <c r="S289" s="338"/>
      <c r="T289" s="344"/>
      <c r="U289" s="345"/>
      <c r="V289" s="346"/>
      <c r="W289" s="315"/>
      <c r="X289" s="315"/>
      <c r="Y289" s="315"/>
      <c r="Z289" s="315"/>
      <c r="AA289" s="315"/>
      <c r="AB289" s="315"/>
      <c r="AC289" s="315"/>
      <c r="AD289" s="315"/>
    </row>
    <row r="290" spans="1:30" x14ac:dyDescent="0.25">
      <c r="A290" s="350" t="s">
        <v>345</v>
      </c>
      <c r="B290" s="333"/>
      <c r="C290" s="333"/>
      <c r="D290" s="333"/>
      <c r="E290" s="333"/>
      <c r="F290" s="351"/>
      <c r="G290" s="333"/>
      <c r="H290" s="333"/>
      <c r="I290" s="333"/>
      <c r="J290" s="317" t="s">
        <v>16</v>
      </c>
      <c r="K290" s="317">
        <f>SUM(K291:K292)</f>
        <v>0</v>
      </c>
      <c r="L290" s="317">
        <f>SUM(L291:L292)</f>
        <v>0</v>
      </c>
      <c r="M290" s="315"/>
      <c r="N290" s="315"/>
      <c r="O290" s="315"/>
      <c r="P290" s="315"/>
      <c r="Q290" s="315"/>
      <c r="R290" s="318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</row>
    <row r="291" spans="1:30" x14ac:dyDescent="0.2">
      <c r="A291" s="352"/>
      <c r="B291" s="315"/>
      <c r="C291" s="315"/>
      <c r="D291" s="338"/>
      <c r="E291" s="338"/>
      <c r="F291" s="339"/>
      <c r="G291" s="338"/>
      <c r="H291" s="338"/>
      <c r="I291" s="338"/>
      <c r="J291" s="349"/>
      <c r="K291" s="341"/>
      <c r="L291" s="341"/>
      <c r="M291" s="338"/>
      <c r="N291" s="338"/>
      <c r="O291" s="338"/>
      <c r="P291" s="338"/>
      <c r="Q291" s="338"/>
      <c r="R291" s="343"/>
      <c r="S291" s="338"/>
      <c r="T291" s="345"/>
      <c r="U291" s="338"/>
      <c r="V291" s="315"/>
      <c r="W291" s="315"/>
      <c r="X291" s="315"/>
      <c r="Y291" s="315"/>
      <c r="Z291" s="315"/>
      <c r="AA291" s="315"/>
      <c r="AB291" s="315"/>
      <c r="AC291" s="315"/>
      <c r="AD291" s="315"/>
    </row>
    <row r="292" spans="1:30" s="336" customFormat="1" ht="14.25" x14ac:dyDescent="0.2">
      <c r="A292" s="353"/>
      <c r="B292" s="338"/>
      <c r="C292" s="338"/>
      <c r="D292" s="338"/>
      <c r="E292" s="338"/>
      <c r="F292" s="339"/>
      <c r="G292" s="338"/>
      <c r="H292" s="338"/>
      <c r="I292" s="338"/>
      <c r="J292" s="349"/>
      <c r="K292" s="341"/>
      <c r="L292" s="341"/>
      <c r="M292" s="338"/>
      <c r="N292" s="338"/>
      <c r="O292" s="338"/>
      <c r="P292" s="338"/>
      <c r="Q292" s="338"/>
      <c r="R292" s="343"/>
      <c r="S292" s="338"/>
      <c r="T292" s="345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</row>
    <row r="293" spans="1:30" s="327" customFormat="1" x14ac:dyDescent="0.25">
      <c r="A293" s="328" t="s">
        <v>287</v>
      </c>
      <c r="B293" s="329"/>
      <c r="C293" s="329"/>
      <c r="D293" s="329"/>
      <c r="E293" s="329"/>
      <c r="F293" s="330"/>
      <c r="G293" s="329"/>
      <c r="H293" s="329"/>
      <c r="I293" s="329"/>
      <c r="J293" s="329"/>
      <c r="K293" s="331"/>
      <c r="L293" s="331"/>
      <c r="M293" s="329"/>
      <c r="N293" s="329"/>
      <c r="O293" s="329"/>
      <c r="P293" s="329"/>
      <c r="Q293" s="329"/>
      <c r="R293" s="332"/>
      <c r="S293" s="329"/>
      <c r="T293" s="329"/>
      <c r="U293" s="329"/>
      <c r="V293" s="329"/>
      <c r="W293" s="329"/>
      <c r="X293" s="329"/>
      <c r="Y293" s="329"/>
      <c r="Z293" s="329"/>
      <c r="AA293" s="329"/>
      <c r="AB293" s="329"/>
      <c r="AC293" s="329"/>
      <c r="AD293" s="329"/>
    </row>
    <row r="294" spans="1:30" ht="30" x14ac:dyDescent="0.25">
      <c r="A294" s="333" t="s">
        <v>344</v>
      </c>
      <c r="B294" s="334"/>
      <c r="C294" s="334"/>
      <c r="D294" s="334"/>
      <c r="E294" s="334"/>
      <c r="F294" s="335"/>
      <c r="G294" s="334"/>
      <c r="H294" s="334"/>
      <c r="I294" s="334"/>
      <c r="J294" s="317" t="s">
        <v>16</v>
      </c>
      <c r="K294" s="317">
        <f>SUM(K295:K296)</f>
        <v>0</v>
      </c>
      <c r="L294" s="317">
        <f>SUM(L295:L296)</f>
        <v>0</v>
      </c>
      <c r="M294" s="315"/>
      <c r="N294" s="315"/>
      <c r="O294" s="315"/>
      <c r="P294" s="315"/>
      <c r="Q294" s="315"/>
      <c r="R294" s="318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</row>
    <row r="295" spans="1:30" s="336" customFormat="1" x14ac:dyDescent="0.25">
      <c r="A295" s="337"/>
      <c r="B295" s="338"/>
      <c r="C295" s="338"/>
      <c r="D295" s="338"/>
      <c r="E295" s="338"/>
      <c r="F295" s="339"/>
      <c r="G295" s="338"/>
      <c r="H295" s="338"/>
      <c r="I295" s="338"/>
      <c r="J295" s="340"/>
      <c r="K295" s="341"/>
      <c r="L295" s="342"/>
      <c r="M295" s="338"/>
      <c r="N295" s="338"/>
      <c r="O295" s="338"/>
      <c r="P295" s="338"/>
      <c r="Q295" s="338"/>
      <c r="R295" s="343"/>
      <c r="S295" s="338"/>
      <c r="T295" s="344"/>
      <c r="U295" s="345"/>
      <c r="V295" s="346"/>
      <c r="W295" s="338"/>
      <c r="X295" s="338"/>
      <c r="Y295" s="338"/>
      <c r="Z295" s="338"/>
      <c r="AA295" s="338"/>
      <c r="AB295" s="338"/>
      <c r="AC295" s="338"/>
      <c r="AD295" s="338"/>
    </row>
    <row r="296" spans="1:30" x14ac:dyDescent="0.2">
      <c r="A296" s="347"/>
      <c r="B296" s="315"/>
      <c r="C296" s="315"/>
      <c r="D296" s="348"/>
      <c r="E296" s="338"/>
      <c r="F296" s="339"/>
      <c r="G296" s="338"/>
      <c r="H296" s="338"/>
      <c r="I296" s="338"/>
      <c r="J296" s="349"/>
      <c r="K296" s="341"/>
      <c r="L296" s="341"/>
      <c r="M296" s="338"/>
      <c r="N296" s="338"/>
      <c r="O296" s="338"/>
      <c r="P296" s="338"/>
      <c r="Q296" s="338"/>
      <c r="R296" s="343"/>
      <c r="S296" s="338"/>
      <c r="T296" s="344"/>
      <c r="U296" s="345"/>
      <c r="V296" s="346"/>
      <c r="W296" s="315"/>
      <c r="X296" s="315"/>
      <c r="Y296" s="315"/>
      <c r="Z296" s="315"/>
      <c r="AA296" s="315"/>
      <c r="AB296" s="315"/>
      <c r="AC296" s="315"/>
      <c r="AD296" s="315"/>
    </row>
    <row r="297" spans="1:30" x14ac:dyDescent="0.25">
      <c r="A297" s="350" t="s">
        <v>345</v>
      </c>
      <c r="B297" s="333"/>
      <c r="C297" s="333"/>
      <c r="D297" s="333"/>
      <c r="E297" s="333"/>
      <c r="F297" s="351"/>
      <c r="G297" s="333"/>
      <c r="H297" s="333"/>
      <c r="I297" s="333"/>
      <c r="J297" s="317" t="s">
        <v>16</v>
      </c>
      <c r="K297" s="317">
        <f>SUM(K298:K299)</f>
        <v>0</v>
      </c>
      <c r="L297" s="317">
        <f>SUM(L298:L299)</f>
        <v>0</v>
      </c>
      <c r="M297" s="315"/>
      <c r="N297" s="315"/>
      <c r="O297" s="315"/>
      <c r="P297" s="315"/>
      <c r="Q297" s="315"/>
      <c r="R297" s="318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</row>
    <row r="298" spans="1:30" x14ac:dyDescent="0.2">
      <c r="A298" s="352"/>
      <c r="B298" s="315"/>
      <c r="C298" s="315"/>
      <c r="D298" s="338"/>
      <c r="E298" s="338"/>
      <c r="F298" s="339"/>
      <c r="G298" s="338"/>
      <c r="H298" s="338"/>
      <c r="I298" s="338"/>
      <c r="J298" s="349"/>
      <c r="K298" s="341"/>
      <c r="L298" s="341"/>
      <c r="M298" s="338"/>
      <c r="N298" s="338"/>
      <c r="O298" s="338"/>
      <c r="P298" s="338"/>
      <c r="Q298" s="338"/>
      <c r="R298" s="343"/>
      <c r="S298" s="338"/>
      <c r="T298" s="345"/>
      <c r="U298" s="338"/>
      <c r="V298" s="315"/>
      <c r="W298" s="315"/>
      <c r="X298" s="315"/>
      <c r="Y298" s="315"/>
      <c r="Z298" s="315"/>
      <c r="AA298" s="315"/>
      <c r="AB298" s="315"/>
      <c r="AC298" s="315"/>
      <c r="AD298" s="315"/>
    </row>
    <row r="299" spans="1:30" s="336" customFormat="1" ht="14.25" x14ac:dyDescent="0.2">
      <c r="A299" s="353"/>
      <c r="B299" s="338"/>
      <c r="C299" s="338"/>
      <c r="D299" s="338"/>
      <c r="E299" s="338"/>
      <c r="F299" s="339"/>
      <c r="G299" s="338"/>
      <c r="H299" s="338"/>
      <c r="I299" s="338"/>
      <c r="J299" s="349"/>
      <c r="K299" s="341"/>
      <c r="L299" s="341"/>
      <c r="M299" s="338"/>
      <c r="N299" s="338"/>
      <c r="O299" s="338"/>
      <c r="P299" s="338"/>
      <c r="Q299" s="338"/>
      <c r="R299" s="343"/>
      <c r="S299" s="338"/>
      <c r="T299" s="345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</row>
    <row r="300" spans="1:30" s="327" customFormat="1" x14ac:dyDescent="0.25">
      <c r="A300" s="328" t="s">
        <v>288</v>
      </c>
      <c r="B300" s="329"/>
      <c r="C300" s="329"/>
      <c r="D300" s="329"/>
      <c r="E300" s="329"/>
      <c r="F300" s="330"/>
      <c r="G300" s="329"/>
      <c r="H300" s="329"/>
      <c r="I300" s="329"/>
      <c r="J300" s="329"/>
      <c r="K300" s="331"/>
      <c r="L300" s="331"/>
      <c r="M300" s="329"/>
      <c r="N300" s="329"/>
      <c r="O300" s="329"/>
      <c r="P300" s="329"/>
      <c r="Q300" s="329"/>
      <c r="R300" s="332"/>
      <c r="S300" s="329"/>
      <c r="T300" s="329"/>
      <c r="U300" s="329"/>
      <c r="V300" s="329"/>
      <c r="W300" s="329"/>
      <c r="X300" s="329"/>
      <c r="Y300" s="329"/>
      <c r="Z300" s="329"/>
      <c r="AA300" s="329"/>
      <c r="AB300" s="329"/>
      <c r="AC300" s="329"/>
      <c r="AD300" s="329"/>
    </row>
    <row r="301" spans="1:30" ht="30" x14ac:dyDescent="0.25">
      <c r="A301" s="333" t="s">
        <v>344</v>
      </c>
      <c r="B301" s="334"/>
      <c r="C301" s="334"/>
      <c r="D301" s="334"/>
      <c r="E301" s="334"/>
      <c r="F301" s="335"/>
      <c r="G301" s="334"/>
      <c r="H301" s="334"/>
      <c r="I301" s="334"/>
      <c r="J301" s="317" t="s">
        <v>16</v>
      </c>
      <c r="K301" s="317">
        <f>SUM(K302:K303)</f>
        <v>0</v>
      </c>
      <c r="L301" s="317">
        <f>SUM(L302:L303)</f>
        <v>0</v>
      </c>
      <c r="M301" s="315"/>
      <c r="N301" s="315"/>
      <c r="O301" s="315"/>
      <c r="P301" s="315"/>
      <c r="Q301" s="315"/>
      <c r="R301" s="318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</row>
    <row r="302" spans="1:30" s="336" customFormat="1" x14ac:dyDescent="0.25">
      <c r="A302" s="337"/>
      <c r="B302" s="338"/>
      <c r="C302" s="338"/>
      <c r="D302" s="338"/>
      <c r="E302" s="338"/>
      <c r="F302" s="339"/>
      <c r="G302" s="338"/>
      <c r="H302" s="338"/>
      <c r="I302" s="338"/>
      <c r="J302" s="340"/>
      <c r="K302" s="341"/>
      <c r="L302" s="342"/>
      <c r="M302" s="338"/>
      <c r="N302" s="338"/>
      <c r="O302" s="338"/>
      <c r="P302" s="338"/>
      <c r="Q302" s="338"/>
      <c r="R302" s="343"/>
      <c r="S302" s="338"/>
      <c r="T302" s="344"/>
      <c r="U302" s="345"/>
      <c r="V302" s="346"/>
      <c r="W302" s="338"/>
      <c r="X302" s="338"/>
      <c r="Y302" s="338"/>
      <c r="Z302" s="338"/>
      <c r="AA302" s="338"/>
      <c r="AB302" s="338"/>
      <c r="AC302" s="338"/>
      <c r="AD302" s="338"/>
    </row>
    <row r="303" spans="1:30" x14ac:dyDescent="0.2">
      <c r="A303" s="347"/>
      <c r="B303" s="315"/>
      <c r="C303" s="315"/>
      <c r="D303" s="348"/>
      <c r="E303" s="338"/>
      <c r="F303" s="339"/>
      <c r="G303" s="338"/>
      <c r="H303" s="338"/>
      <c r="I303" s="338"/>
      <c r="J303" s="349"/>
      <c r="K303" s="341"/>
      <c r="L303" s="341"/>
      <c r="M303" s="338"/>
      <c r="N303" s="338"/>
      <c r="O303" s="338"/>
      <c r="P303" s="338"/>
      <c r="Q303" s="338"/>
      <c r="R303" s="343"/>
      <c r="S303" s="338"/>
      <c r="T303" s="344"/>
      <c r="U303" s="345"/>
      <c r="V303" s="346"/>
      <c r="W303" s="315"/>
      <c r="X303" s="315"/>
      <c r="Y303" s="315"/>
      <c r="Z303" s="315"/>
      <c r="AA303" s="315"/>
      <c r="AB303" s="315"/>
      <c r="AC303" s="315"/>
      <c r="AD303" s="315"/>
    </row>
    <row r="304" spans="1:30" x14ac:dyDescent="0.25">
      <c r="A304" s="350" t="s">
        <v>345</v>
      </c>
      <c r="B304" s="333"/>
      <c r="C304" s="333"/>
      <c r="D304" s="333"/>
      <c r="E304" s="333"/>
      <c r="F304" s="351"/>
      <c r="G304" s="333"/>
      <c r="H304" s="333"/>
      <c r="I304" s="333"/>
      <c r="J304" s="317" t="s">
        <v>16</v>
      </c>
      <c r="K304" s="317">
        <f>SUM(K305:K306)</f>
        <v>0</v>
      </c>
      <c r="L304" s="317">
        <f>SUM(L305:L306)</f>
        <v>0</v>
      </c>
      <c r="M304" s="315"/>
      <c r="N304" s="315"/>
      <c r="O304" s="315"/>
      <c r="P304" s="315"/>
      <c r="Q304" s="315"/>
      <c r="R304" s="318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</row>
    <row r="305" spans="1:30" x14ac:dyDescent="0.2">
      <c r="A305" s="352"/>
      <c r="B305" s="315"/>
      <c r="C305" s="315"/>
      <c r="D305" s="338"/>
      <c r="E305" s="338"/>
      <c r="F305" s="339"/>
      <c r="G305" s="338"/>
      <c r="H305" s="338"/>
      <c r="I305" s="338"/>
      <c r="J305" s="349"/>
      <c r="K305" s="341"/>
      <c r="L305" s="341"/>
      <c r="M305" s="338"/>
      <c r="N305" s="338"/>
      <c r="O305" s="338"/>
      <c r="P305" s="338"/>
      <c r="Q305" s="338"/>
      <c r="R305" s="343"/>
      <c r="S305" s="338"/>
      <c r="T305" s="345"/>
      <c r="U305" s="338"/>
      <c r="V305" s="315"/>
      <c r="W305" s="315"/>
      <c r="X305" s="315"/>
      <c r="Y305" s="315"/>
      <c r="Z305" s="315"/>
      <c r="AA305" s="315"/>
      <c r="AB305" s="315"/>
      <c r="AC305" s="315"/>
      <c r="AD305" s="315"/>
    </row>
    <row r="306" spans="1:30" s="336" customFormat="1" ht="14.25" x14ac:dyDescent="0.2">
      <c r="A306" s="353"/>
      <c r="B306" s="338"/>
      <c r="C306" s="338"/>
      <c r="D306" s="338"/>
      <c r="E306" s="338"/>
      <c r="F306" s="339"/>
      <c r="G306" s="338"/>
      <c r="H306" s="338"/>
      <c r="I306" s="338"/>
      <c r="J306" s="349"/>
      <c r="K306" s="341"/>
      <c r="L306" s="341"/>
      <c r="M306" s="338"/>
      <c r="N306" s="338"/>
      <c r="O306" s="338"/>
      <c r="P306" s="338"/>
      <c r="Q306" s="338"/>
      <c r="R306" s="343"/>
      <c r="S306" s="338"/>
      <c r="T306" s="345"/>
      <c r="U306" s="338"/>
      <c r="V306" s="338"/>
      <c r="W306" s="338"/>
      <c r="X306" s="338"/>
      <c r="Y306" s="338"/>
      <c r="Z306" s="338"/>
      <c r="AA306" s="338"/>
      <c r="AB306" s="338"/>
      <c r="AC306" s="338"/>
      <c r="AD306" s="338"/>
    </row>
    <row r="307" spans="1:30" s="327" customFormat="1" ht="30" x14ac:dyDescent="0.25">
      <c r="A307" s="328" t="s">
        <v>289</v>
      </c>
      <c r="B307" s="329"/>
      <c r="C307" s="329"/>
      <c r="D307" s="329"/>
      <c r="E307" s="329"/>
      <c r="F307" s="330"/>
      <c r="G307" s="329"/>
      <c r="H307" s="329"/>
      <c r="I307" s="329"/>
      <c r="J307" s="329"/>
      <c r="K307" s="331"/>
      <c r="L307" s="331"/>
      <c r="M307" s="329"/>
      <c r="N307" s="329"/>
      <c r="O307" s="329"/>
      <c r="P307" s="329"/>
      <c r="Q307" s="329"/>
      <c r="R307" s="332"/>
      <c r="S307" s="329"/>
      <c r="T307" s="329"/>
      <c r="U307" s="329"/>
      <c r="V307" s="329"/>
      <c r="W307" s="329"/>
      <c r="X307" s="329"/>
      <c r="Y307" s="329"/>
      <c r="Z307" s="329"/>
      <c r="AA307" s="329"/>
      <c r="AB307" s="329"/>
      <c r="AC307" s="329"/>
      <c r="AD307" s="329"/>
    </row>
    <row r="308" spans="1:30" ht="30" x14ac:dyDescent="0.25">
      <c r="A308" s="333" t="s">
        <v>344</v>
      </c>
      <c r="B308" s="334"/>
      <c r="C308" s="334"/>
      <c r="D308" s="334"/>
      <c r="E308" s="334"/>
      <c r="F308" s="335"/>
      <c r="G308" s="334"/>
      <c r="H308" s="334"/>
      <c r="I308" s="334"/>
      <c r="J308" s="317" t="s">
        <v>16</v>
      </c>
      <c r="K308" s="317">
        <f>SUM(K309:K310)</f>
        <v>0</v>
      </c>
      <c r="L308" s="317">
        <f>SUM(L309:L310)</f>
        <v>0</v>
      </c>
      <c r="M308" s="315"/>
      <c r="N308" s="315"/>
      <c r="O308" s="315"/>
      <c r="P308" s="315"/>
      <c r="Q308" s="315"/>
      <c r="R308" s="318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</row>
    <row r="309" spans="1:30" s="336" customFormat="1" x14ac:dyDescent="0.25">
      <c r="A309" s="337"/>
      <c r="B309" s="338"/>
      <c r="C309" s="338"/>
      <c r="D309" s="338"/>
      <c r="E309" s="338"/>
      <c r="F309" s="339"/>
      <c r="G309" s="338"/>
      <c r="H309" s="338"/>
      <c r="I309" s="338"/>
      <c r="J309" s="340"/>
      <c r="K309" s="341"/>
      <c r="L309" s="342"/>
      <c r="M309" s="338"/>
      <c r="N309" s="338"/>
      <c r="O309" s="338"/>
      <c r="P309" s="338"/>
      <c r="Q309" s="338"/>
      <c r="R309" s="343"/>
      <c r="S309" s="338"/>
      <c r="T309" s="344"/>
      <c r="U309" s="345"/>
      <c r="V309" s="346"/>
      <c r="W309" s="338"/>
      <c r="X309" s="338"/>
      <c r="Y309" s="338"/>
      <c r="Z309" s="338"/>
      <c r="AA309" s="338"/>
      <c r="AB309" s="338"/>
      <c r="AC309" s="338"/>
      <c r="AD309" s="338"/>
    </row>
    <row r="310" spans="1:30" x14ac:dyDescent="0.2">
      <c r="A310" s="347"/>
      <c r="B310" s="315"/>
      <c r="C310" s="315"/>
      <c r="D310" s="348"/>
      <c r="E310" s="338"/>
      <c r="F310" s="339"/>
      <c r="G310" s="338"/>
      <c r="H310" s="338"/>
      <c r="I310" s="338"/>
      <c r="J310" s="349"/>
      <c r="K310" s="341"/>
      <c r="L310" s="341"/>
      <c r="M310" s="338"/>
      <c r="N310" s="338"/>
      <c r="O310" s="338"/>
      <c r="P310" s="338"/>
      <c r="Q310" s="338"/>
      <c r="R310" s="343"/>
      <c r="S310" s="338"/>
      <c r="T310" s="344"/>
      <c r="U310" s="345"/>
      <c r="V310" s="346"/>
      <c r="W310" s="315"/>
      <c r="X310" s="315"/>
      <c r="Y310" s="315"/>
      <c r="Z310" s="315"/>
      <c r="AA310" s="315"/>
      <c r="AB310" s="315"/>
      <c r="AC310" s="315"/>
      <c r="AD310" s="315"/>
    </row>
    <row r="311" spans="1:30" x14ac:dyDescent="0.25">
      <c r="A311" s="350" t="s">
        <v>345</v>
      </c>
      <c r="B311" s="333"/>
      <c r="C311" s="333"/>
      <c r="D311" s="333"/>
      <c r="E311" s="333"/>
      <c r="F311" s="351"/>
      <c r="G311" s="333"/>
      <c r="H311" s="333"/>
      <c r="I311" s="333"/>
      <c r="J311" s="317" t="s">
        <v>16</v>
      </c>
      <c r="K311" s="317">
        <f>SUM(K312:K313)</f>
        <v>0</v>
      </c>
      <c r="L311" s="317">
        <f>SUM(L312:L313)</f>
        <v>0</v>
      </c>
      <c r="M311" s="315"/>
      <c r="N311" s="315"/>
      <c r="O311" s="315"/>
      <c r="P311" s="315"/>
      <c r="Q311" s="315"/>
      <c r="R311" s="318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</row>
    <row r="312" spans="1:30" x14ac:dyDescent="0.2">
      <c r="A312" s="352"/>
      <c r="B312" s="315"/>
      <c r="C312" s="315"/>
      <c r="D312" s="338"/>
      <c r="E312" s="338"/>
      <c r="F312" s="339"/>
      <c r="G312" s="338"/>
      <c r="H312" s="338"/>
      <c r="I312" s="338"/>
      <c r="J312" s="349"/>
      <c r="K312" s="341"/>
      <c r="L312" s="341"/>
      <c r="M312" s="338"/>
      <c r="N312" s="338"/>
      <c r="O312" s="338"/>
      <c r="P312" s="338"/>
      <c r="Q312" s="338"/>
      <c r="R312" s="343"/>
      <c r="S312" s="338"/>
      <c r="T312" s="345"/>
      <c r="U312" s="338"/>
      <c r="V312" s="315"/>
      <c r="W312" s="315"/>
      <c r="X312" s="315"/>
      <c r="Y312" s="315"/>
      <c r="Z312" s="315"/>
      <c r="AA312" s="315"/>
      <c r="AB312" s="315"/>
      <c r="AC312" s="315"/>
      <c r="AD312" s="315"/>
    </row>
    <row r="313" spans="1:30" s="336" customFormat="1" ht="14.25" x14ac:dyDescent="0.2">
      <c r="A313" s="353"/>
      <c r="B313" s="338"/>
      <c r="C313" s="338"/>
      <c r="D313" s="338"/>
      <c r="E313" s="338"/>
      <c r="F313" s="339"/>
      <c r="G313" s="338"/>
      <c r="H313" s="338"/>
      <c r="I313" s="338"/>
      <c r="J313" s="349"/>
      <c r="K313" s="341"/>
      <c r="L313" s="341"/>
      <c r="M313" s="338"/>
      <c r="N313" s="338"/>
      <c r="O313" s="338"/>
      <c r="P313" s="338"/>
      <c r="Q313" s="338"/>
      <c r="R313" s="343"/>
      <c r="S313" s="338"/>
      <c r="T313" s="345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</row>
    <row r="314" spans="1:30" s="327" customFormat="1" x14ac:dyDescent="0.25">
      <c r="A314" s="328" t="s">
        <v>291</v>
      </c>
      <c r="B314" s="329"/>
      <c r="C314" s="329"/>
      <c r="D314" s="329"/>
      <c r="E314" s="329"/>
      <c r="F314" s="330"/>
      <c r="G314" s="329"/>
      <c r="H314" s="329"/>
      <c r="I314" s="329"/>
      <c r="J314" s="329"/>
      <c r="K314" s="331"/>
      <c r="L314" s="331"/>
      <c r="M314" s="329"/>
      <c r="N314" s="329"/>
      <c r="O314" s="329"/>
      <c r="P314" s="329"/>
      <c r="Q314" s="329"/>
      <c r="R314" s="332"/>
      <c r="S314" s="329"/>
      <c r="T314" s="329"/>
      <c r="U314" s="329"/>
      <c r="V314" s="329"/>
      <c r="W314" s="329"/>
      <c r="X314" s="329"/>
      <c r="Y314" s="329"/>
      <c r="Z314" s="329"/>
      <c r="AA314" s="329"/>
      <c r="AB314" s="329"/>
      <c r="AC314" s="329"/>
      <c r="AD314" s="329"/>
    </row>
    <row r="315" spans="1:30" ht="30" x14ac:dyDescent="0.25">
      <c r="A315" s="333" t="s">
        <v>344</v>
      </c>
      <c r="B315" s="334"/>
      <c r="C315" s="334"/>
      <c r="D315" s="334"/>
      <c r="E315" s="334"/>
      <c r="F315" s="335"/>
      <c r="G315" s="334"/>
      <c r="H315" s="334"/>
      <c r="I315" s="334"/>
      <c r="J315" s="317" t="s">
        <v>16</v>
      </c>
      <c r="K315" s="317">
        <f>SUM(K316:K317)</f>
        <v>0</v>
      </c>
      <c r="L315" s="317">
        <f>SUM(L316:L317)</f>
        <v>0</v>
      </c>
      <c r="M315" s="315"/>
      <c r="N315" s="315"/>
      <c r="O315" s="315"/>
      <c r="P315" s="315"/>
      <c r="Q315" s="315"/>
      <c r="R315" s="318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</row>
    <row r="316" spans="1:30" s="336" customFormat="1" x14ac:dyDescent="0.25">
      <c r="A316" s="337"/>
      <c r="B316" s="338"/>
      <c r="C316" s="338"/>
      <c r="D316" s="338"/>
      <c r="E316" s="338"/>
      <c r="F316" s="339"/>
      <c r="G316" s="338"/>
      <c r="H316" s="338"/>
      <c r="I316" s="338"/>
      <c r="J316" s="340"/>
      <c r="K316" s="341"/>
      <c r="L316" s="342"/>
      <c r="M316" s="338"/>
      <c r="N316" s="338"/>
      <c r="O316" s="338"/>
      <c r="P316" s="338"/>
      <c r="Q316" s="338"/>
      <c r="R316" s="343"/>
      <c r="S316" s="338"/>
      <c r="T316" s="344"/>
      <c r="U316" s="345"/>
      <c r="V316" s="346"/>
      <c r="W316" s="338"/>
      <c r="X316" s="338"/>
      <c r="Y316" s="338"/>
      <c r="Z316" s="338"/>
      <c r="AA316" s="338"/>
      <c r="AB316" s="338"/>
      <c r="AC316" s="338"/>
      <c r="AD316" s="338"/>
    </row>
    <row r="317" spans="1:30" x14ac:dyDescent="0.2">
      <c r="A317" s="347"/>
      <c r="B317" s="315"/>
      <c r="C317" s="315"/>
      <c r="D317" s="348"/>
      <c r="E317" s="338"/>
      <c r="F317" s="339"/>
      <c r="G317" s="338"/>
      <c r="H317" s="338"/>
      <c r="I317" s="338"/>
      <c r="J317" s="349"/>
      <c r="K317" s="341"/>
      <c r="L317" s="341"/>
      <c r="M317" s="338"/>
      <c r="N317" s="338"/>
      <c r="O317" s="338"/>
      <c r="P317" s="338"/>
      <c r="Q317" s="338"/>
      <c r="R317" s="343"/>
      <c r="S317" s="338"/>
      <c r="T317" s="344"/>
      <c r="U317" s="345"/>
      <c r="V317" s="346"/>
      <c r="W317" s="315"/>
      <c r="X317" s="315"/>
      <c r="Y317" s="315"/>
      <c r="Z317" s="315"/>
      <c r="AA317" s="315"/>
      <c r="AB317" s="315"/>
      <c r="AC317" s="315"/>
      <c r="AD317" s="315"/>
    </row>
    <row r="318" spans="1:30" x14ac:dyDescent="0.25">
      <c r="A318" s="350" t="s">
        <v>345</v>
      </c>
      <c r="B318" s="333"/>
      <c r="C318" s="333"/>
      <c r="D318" s="333"/>
      <c r="E318" s="333"/>
      <c r="F318" s="351"/>
      <c r="G318" s="333"/>
      <c r="H318" s="333"/>
      <c r="I318" s="333"/>
      <c r="J318" s="317" t="s">
        <v>16</v>
      </c>
      <c r="K318" s="317">
        <f>SUM(K319:K320)</f>
        <v>0</v>
      </c>
      <c r="L318" s="317">
        <f>SUM(L319:L320)</f>
        <v>0</v>
      </c>
      <c r="M318" s="315"/>
      <c r="N318" s="315"/>
      <c r="O318" s="315"/>
      <c r="P318" s="315"/>
      <c r="Q318" s="315"/>
      <c r="R318" s="318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</row>
    <row r="319" spans="1:30" x14ac:dyDescent="0.2">
      <c r="A319" s="352"/>
      <c r="B319" s="315"/>
      <c r="C319" s="315"/>
      <c r="D319" s="338"/>
      <c r="E319" s="338"/>
      <c r="F319" s="339"/>
      <c r="G319" s="338"/>
      <c r="H319" s="338"/>
      <c r="I319" s="338"/>
      <c r="J319" s="349"/>
      <c r="K319" s="341"/>
      <c r="L319" s="341"/>
      <c r="M319" s="338"/>
      <c r="N319" s="338"/>
      <c r="O319" s="338"/>
      <c r="P319" s="338"/>
      <c r="Q319" s="338"/>
      <c r="R319" s="343"/>
      <c r="S319" s="338"/>
      <c r="T319" s="345"/>
      <c r="U319" s="338"/>
      <c r="V319" s="315"/>
      <c r="W319" s="315"/>
      <c r="X319" s="315"/>
      <c r="Y319" s="315"/>
      <c r="Z319" s="315"/>
      <c r="AA319" s="315"/>
      <c r="AB319" s="315"/>
      <c r="AC319" s="315"/>
      <c r="AD319" s="315"/>
    </row>
    <row r="320" spans="1:30" s="336" customFormat="1" ht="14.25" x14ac:dyDescent="0.2">
      <c r="A320" s="353"/>
      <c r="B320" s="338"/>
      <c r="C320" s="338"/>
      <c r="D320" s="338"/>
      <c r="E320" s="338"/>
      <c r="F320" s="339"/>
      <c r="G320" s="338"/>
      <c r="H320" s="338"/>
      <c r="I320" s="338"/>
      <c r="J320" s="349"/>
      <c r="K320" s="341"/>
      <c r="L320" s="341"/>
      <c r="M320" s="338"/>
      <c r="N320" s="338"/>
      <c r="O320" s="338"/>
      <c r="P320" s="338"/>
      <c r="Q320" s="338"/>
      <c r="R320" s="343"/>
      <c r="S320" s="338"/>
      <c r="T320" s="345"/>
      <c r="U320" s="338"/>
      <c r="V320" s="338"/>
      <c r="W320" s="338"/>
      <c r="X320" s="338"/>
      <c r="Y320" s="338"/>
      <c r="Z320" s="338"/>
      <c r="AA320" s="338"/>
      <c r="AB320" s="338"/>
      <c r="AC320" s="338"/>
      <c r="AD320" s="338"/>
    </row>
    <row r="321" spans="1:30" s="327" customFormat="1" ht="30" x14ac:dyDescent="0.25">
      <c r="A321" s="328" t="s">
        <v>292</v>
      </c>
      <c r="B321" s="329"/>
      <c r="C321" s="329"/>
      <c r="D321" s="329"/>
      <c r="E321" s="329"/>
      <c r="F321" s="330"/>
      <c r="G321" s="329"/>
      <c r="H321" s="329"/>
      <c r="I321" s="329"/>
      <c r="J321" s="329"/>
      <c r="K321" s="331"/>
      <c r="L321" s="331"/>
      <c r="M321" s="329"/>
      <c r="N321" s="329"/>
      <c r="O321" s="329"/>
      <c r="P321" s="329"/>
      <c r="Q321" s="329"/>
      <c r="R321" s="332"/>
      <c r="S321" s="329"/>
      <c r="T321" s="329"/>
      <c r="U321" s="329"/>
      <c r="V321" s="329"/>
      <c r="W321" s="329"/>
      <c r="X321" s="329"/>
      <c r="Y321" s="329"/>
      <c r="Z321" s="329"/>
      <c r="AA321" s="329"/>
      <c r="AB321" s="329"/>
      <c r="AC321" s="329"/>
      <c r="AD321" s="329"/>
    </row>
    <row r="322" spans="1:30" ht="30" x14ac:dyDescent="0.25">
      <c r="A322" s="333" t="s">
        <v>344</v>
      </c>
      <c r="B322" s="334"/>
      <c r="C322" s="334"/>
      <c r="D322" s="334"/>
      <c r="E322" s="334"/>
      <c r="F322" s="335"/>
      <c r="G322" s="334"/>
      <c r="H322" s="334"/>
      <c r="I322" s="334"/>
      <c r="J322" s="317" t="s">
        <v>16</v>
      </c>
      <c r="K322" s="317">
        <f>SUM(K323:K324)</f>
        <v>0</v>
      </c>
      <c r="L322" s="317">
        <f>SUM(L323:L324)</f>
        <v>0</v>
      </c>
      <c r="M322" s="315"/>
      <c r="N322" s="315"/>
      <c r="O322" s="315"/>
      <c r="P322" s="315"/>
      <c r="Q322" s="315"/>
      <c r="R322" s="318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</row>
    <row r="323" spans="1:30" s="336" customFormat="1" x14ac:dyDescent="0.25">
      <c r="A323" s="337"/>
      <c r="B323" s="338"/>
      <c r="C323" s="338"/>
      <c r="D323" s="338"/>
      <c r="E323" s="338"/>
      <c r="F323" s="339"/>
      <c r="G323" s="338"/>
      <c r="H323" s="338"/>
      <c r="I323" s="338"/>
      <c r="J323" s="340"/>
      <c r="K323" s="341"/>
      <c r="L323" s="342"/>
      <c r="M323" s="338"/>
      <c r="N323" s="338"/>
      <c r="O323" s="338"/>
      <c r="P323" s="338"/>
      <c r="Q323" s="338"/>
      <c r="R323" s="343"/>
      <c r="S323" s="338"/>
      <c r="T323" s="344"/>
      <c r="U323" s="345"/>
      <c r="V323" s="346"/>
      <c r="W323" s="338"/>
      <c r="X323" s="338"/>
      <c r="Y323" s="338"/>
      <c r="Z323" s="338"/>
      <c r="AA323" s="338"/>
      <c r="AB323" s="338"/>
      <c r="AC323" s="338"/>
      <c r="AD323" s="338"/>
    </row>
    <row r="324" spans="1:30" x14ac:dyDescent="0.2">
      <c r="A324" s="347"/>
      <c r="B324" s="315"/>
      <c r="C324" s="315"/>
      <c r="D324" s="348"/>
      <c r="E324" s="338"/>
      <c r="F324" s="339"/>
      <c r="G324" s="338"/>
      <c r="H324" s="338"/>
      <c r="I324" s="338"/>
      <c r="J324" s="349"/>
      <c r="K324" s="341"/>
      <c r="L324" s="341"/>
      <c r="M324" s="338"/>
      <c r="N324" s="338"/>
      <c r="O324" s="338"/>
      <c r="P324" s="338"/>
      <c r="Q324" s="338"/>
      <c r="R324" s="343"/>
      <c r="S324" s="338"/>
      <c r="T324" s="344"/>
      <c r="U324" s="345"/>
      <c r="V324" s="346"/>
      <c r="W324" s="315"/>
      <c r="X324" s="315"/>
      <c r="Y324" s="315"/>
      <c r="Z324" s="315"/>
      <c r="AA324" s="315"/>
      <c r="AB324" s="315"/>
      <c r="AC324" s="315"/>
      <c r="AD324" s="315"/>
    </row>
    <row r="325" spans="1:30" x14ac:dyDescent="0.25">
      <c r="A325" s="350" t="s">
        <v>345</v>
      </c>
      <c r="B325" s="333"/>
      <c r="C325" s="333"/>
      <c r="D325" s="333"/>
      <c r="E325" s="333"/>
      <c r="F325" s="351"/>
      <c r="G325" s="333"/>
      <c r="H325" s="333"/>
      <c r="I325" s="333"/>
      <c r="J325" s="317" t="s">
        <v>16</v>
      </c>
      <c r="K325" s="317">
        <f>SUM(K326:K327)</f>
        <v>0</v>
      </c>
      <c r="L325" s="317">
        <f>SUM(L326:L327)</f>
        <v>0</v>
      </c>
      <c r="M325" s="315"/>
      <c r="N325" s="315"/>
      <c r="O325" s="315"/>
      <c r="P325" s="315"/>
      <c r="Q325" s="315"/>
      <c r="R325" s="318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</row>
    <row r="326" spans="1:30" x14ac:dyDescent="0.2">
      <c r="A326" s="352"/>
      <c r="B326" s="315"/>
      <c r="C326" s="315"/>
      <c r="D326" s="338"/>
      <c r="E326" s="338"/>
      <c r="F326" s="339"/>
      <c r="G326" s="338"/>
      <c r="H326" s="338"/>
      <c r="I326" s="338"/>
      <c r="J326" s="349"/>
      <c r="K326" s="341"/>
      <c r="L326" s="341"/>
      <c r="M326" s="338"/>
      <c r="N326" s="338"/>
      <c r="O326" s="338"/>
      <c r="P326" s="338"/>
      <c r="Q326" s="338"/>
      <c r="R326" s="343"/>
      <c r="S326" s="338"/>
      <c r="T326" s="345"/>
      <c r="U326" s="338"/>
      <c r="V326" s="315"/>
      <c r="W326" s="315"/>
      <c r="X326" s="315"/>
      <c r="Y326" s="315"/>
      <c r="Z326" s="315"/>
      <c r="AA326" s="315"/>
      <c r="AB326" s="315"/>
      <c r="AC326" s="315"/>
      <c r="AD326" s="315"/>
    </row>
    <row r="327" spans="1:30" s="336" customFormat="1" ht="14.25" x14ac:dyDescent="0.2">
      <c r="A327" s="353"/>
      <c r="B327" s="338"/>
      <c r="C327" s="338"/>
      <c r="D327" s="338"/>
      <c r="E327" s="338"/>
      <c r="F327" s="339"/>
      <c r="G327" s="338"/>
      <c r="H327" s="338"/>
      <c r="I327" s="338"/>
      <c r="J327" s="349"/>
      <c r="K327" s="341"/>
      <c r="L327" s="341"/>
      <c r="M327" s="338"/>
      <c r="N327" s="338"/>
      <c r="O327" s="338"/>
      <c r="P327" s="338"/>
      <c r="Q327" s="338"/>
      <c r="R327" s="343"/>
      <c r="S327" s="338"/>
      <c r="T327" s="345"/>
      <c r="U327" s="338"/>
      <c r="V327" s="338"/>
      <c r="W327" s="338"/>
      <c r="X327" s="338"/>
      <c r="Y327" s="338"/>
      <c r="Z327" s="338"/>
      <c r="AA327" s="338"/>
      <c r="AB327" s="338"/>
      <c r="AC327" s="338"/>
      <c r="AD327" s="338"/>
    </row>
    <row r="328" spans="1:30" s="327" customFormat="1" x14ac:dyDescent="0.25">
      <c r="A328" s="328" t="s">
        <v>293</v>
      </c>
      <c r="B328" s="329"/>
      <c r="C328" s="329"/>
      <c r="D328" s="329"/>
      <c r="E328" s="329"/>
      <c r="F328" s="330"/>
      <c r="G328" s="329"/>
      <c r="H328" s="329"/>
      <c r="I328" s="329"/>
      <c r="J328" s="329"/>
      <c r="K328" s="331"/>
      <c r="L328" s="331"/>
      <c r="M328" s="329"/>
      <c r="N328" s="329"/>
      <c r="O328" s="329"/>
      <c r="P328" s="329"/>
      <c r="Q328" s="329"/>
      <c r="R328" s="332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  <c r="AC328" s="329"/>
      <c r="AD328" s="329"/>
    </row>
    <row r="329" spans="1:30" ht="30" x14ac:dyDescent="0.25">
      <c r="A329" s="333" t="s">
        <v>344</v>
      </c>
      <c r="B329" s="334"/>
      <c r="C329" s="334"/>
      <c r="D329" s="334"/>
      <c r="E329" s="334"/>
      <c r="F329" s="335"/>
      <c r="G329" s="334"/>
      <c r="H329" s="334"/>
      <c r="I329" s="334"/>
      <c r="J329" s="317" t="s">
        <v>16</v>
      </c>
      <c r="K329" s="317">
        <f>SUM(K330:K331)</f>
        <v>0</v>
      </c>
      <c r="L329" s="317">
        <f>SUM(L330:L331)</f>
        <v>0</v>
      </c>
      <c r="M329" s="315"/>
      <c r="N329" s="315"/>
      <c r="O329" s="315"/>
      <c r="P329" s="315"/>
      <c r="Q329" s="315"/>
      <c r="R329" s="318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</row>
    <row r="330" spans="1:30" s="336" customFormat="1" x14ac:dyDescent="0.25">
      <c r="A330" s="337"/>
      <c r="B330" s="338"/>
      <c r="C330" s="338"/>
      <c r="D330" s="338"/>
      <c r="E330" s="338"/>
      <c r="F330" s="339"/>
      <c r="G330" s="338"/>
      <c r="H330" s="338"/>
      <c r="I330" s="338"/>
      <c r="J330" s="340"/>
      <c r="K330" s="341"/>
      <c r="L330" s="342"/>
      <c r="M330" s="338"/>
      <c r="N330" s="338"/>
      <c r="O330" s="338"/>
      <c r="P330" s="338"/>
      <c r="Q330" s="338"/>
      <c r="R330" s="343"/>
      <c r="S330" s="338"/>
      <c r="T330" s="344"/>
      <c r="U330" s="345"/>
      <c r="V330" s="346"/>
      <c r="W330" s="338"/>
      <c r="X330" s="338"/>
      <c r="Y330" s="338"/>
      <c r="Z330" s="338"/>
      <c r="AA330" s="338"/>
      <c r="AB330" s="338"/>
      <c r="AC330" s="338"/>
      <c r="AD330" s="338"/>
    </row>
    <row r="331" spans="1:30" x14ac:dyDescent="0.2">
      <c r="A331" s="347"/>
      <c r="B331" s="315"/>
      <c r="C331" s="315"/>
      <c r="D331" s="348"/>
      <c r="E331" s="338"/>
      <c r="F331" s="339"/>
      <c r="G331" s="338"/>
      <c r="H331" s="338"/>
      <c r="I331" s="338"/>
      <c r="J331" s="349"/>
      <c r="K331" s="341"/>
      <c r="L331" s="341"/>
      <c r="M331" s="338"/>
      <c r="N331" s="338"/>
      <c r="O331" s="338"/>
      <c r="P331" s="338"/>
      <c r="Q331" s="338"/>
      <c r="R331" s="343"/>
      <c r="S331" s="338"/>
      <c r="T331" s="344"/>
      <c r="U331" s="345"/>
      <c r="V331" s="346"/>
      <c r="W331" s="315"/>
      <c r="X331" s="315"/>
      <c r="Y331" s="315"/>
      <c r="Z331" s="315"/>
      <c r="AA331" s="315"/>
      <c r="AB331" s="315"/>
      <c r="AC331" s="315"/>
      <c r="AD331" s="315"/>
    </row>
    <row r="332" spans="1:30" x14ac:dyDescent="0.25">
      <c r="A332" s="350" t="s">
        <v>345</v>
      </c>
      <c r="B332" s="333"/>
      <c r="C332" s="333"/>
      <c r="D332" s="333"/>
      <c r="E332" s="333"/>
      <c r="F332" s="351"/>
      <c r="G332" s="333"/>
      <c r="H332" s="333"/>
      <c r="I332" s="333"/>
      <c r="J332" s="317" t="s">
        <v>16</v>
      </c>
      <c r="K332" s="317">
        <f>SUM(K333:K334)</f>
        <v>0</v>
      </c>
      <c r="L332" s="317">
        <f>SUM(L333:L334)</f>
        <v>0</v>
      </c>
      <c r="M332" s="315"/>
      <c r="N332" s="315"/>
      <c r="O332" s="315"/>
      <c r="P332" s="315"/>
      <c r="Q332" s="315"/>
      <c r="R332" s="318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</row>
    <row r="333" spans="1:30" x14ac:dyDescent="0.2">
      <c r="A333" s="352"/>
      <c r="B333" s="315"/>
      <c r="C333" s="315"/>
      <c r="D333" s="338"/>
      <c r="E333" s="338"/>
      <c r="F333" s="339"/>
      <c r="G333" s="338"/>
      <c r="H333" s="338"/>
      <c r="I333" s="338"/>
      <c r="J333" s="349"/>
      <c r="K333" s="341"/>
      <c r="L333" s="341"/>
      <c r="M333" s="338"/>
      <c r="N333" s="338"/>
      <c r="O333" s="338"/>
      <c r="P333" s="338"/>
      <c r="Q333" s="338"/>
      <c r="R333" s="343"/>
      <c r="S333" s="338"/>
      <c r="T333" s="345"/>
      <c r="U333" s="338"/>
      <c r="V333" s="315"/>
      <c r="W333" s="315"/>
      <c r="X333" s="315"/>
      <c r="Y333" s="315"/>
      <c r="Z333" s="315"/>
      <c r="AA333" s="315"/>
      <c r="AB333" s="315"/>
      <c r="AC333" s="315"/>
      <c r="AD333" s="315"/>
    </row>
    <row r="334" spans="1:30" s="336" customFormat="1" ht="14.25" x14ac:dyDescent="0.2">
      <c r="A334" s="353"/>
      <c r="B334" s="338"/>
      <c r="C334" s="338"/>
      <c r="D334" s="338"/>
      <c r="E334" s="338"/>
      <c r="F334" s="339"/>
      <c r="G334" s="338"/>
      <c r="H334" s="338"/>
      <c r="I334" s="338"/>
      <c r="J334" s="349"/>
      <c r="K334" s="341"/>
      <c r="L334" s="341"/>
      <c r="M334" s="338"/>
      <c r="N334" s="338"/>
      <c r="O334" s="338"/>
      <c r="P334" s="338"/>
      <c r="Q334" s="338"/>
      <c r="R334" s="343"/>
      <c r="S334" s="338"/>
      <c r="T334" s="345"/>
      <c r="U334" s="338"/>
      <c r="V334" s="338"/>
      <c r="W334" s="338"/>
      <c r="X334" s="338"/>
      <c r="Y334" s="338"/>
      <c r="Z334" s="338"/>
      <c r="AA334" s="338"/>
      <c r="AB334" s="338"/>
      <c r="AC334" s="338"/>
      <c r="AD334" s="338"/>
    </row>
  </sheetData>
  <mergeCells count="23">
    <mergeCell ref="A2:E2"/>
    <mergeCell ref="A3:E3"/>
    <mergeCell ref="J6:J7"/>
    <mergeCell ref="AB6:AD6"/>
    <mergeCell ref="A5:R5"/>
    <mergeCell ref="G6:I6"/>
    <mergeCell ref="S5:U5"/>
    <mergeCell ref="Y6:AA6"/>
    <mergeCell ref="P6:P7"/>
    <mergeCell ref="A6:A7"/>
    <mergeCell ref="B6:B7"/>
    <mergeCell ref="C6:C7"/>
    <mergeCell ref="E6:E7"/>
    <mergeCell ref="F6:F7"/>
    <mergeCell ref="V5:AD5"/>
    <mergeCell ref="K6:L6"/>
    <mergeCell ref="R6:R7"/>
    <mergeCell ref="V6:X6"/>
    <mergeCell ref="M6:O6"/>
    <mergeCell ref="S6:S7"/>
    <mergeCell ref="T6:T7"/>
    <mergeCell ref="U6:U7"/>
    <mergeCell ref="Q6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WFP 2020</vt:lpstr>
      <vt:lpstr>Fingerlings Dispersal</vt:lpstr>
      <vt:lpstr>Seaweed Farm Implements</vt:lpstr>
      <vt:lpstr>Seaweed Farm Propagules</vt:lpstr>
      <vt:lpstr>Seaweed Nurseries</vt:lpstr>
      <vt:lpstr>Fishing Gear</vt:lpstr>
      <vt:lpstr>PH Equipment</vt:lpstr>
      <vt:lpstr>Training</vt:lpstr>
      <vt:lpstr>Technical Assistance</vt:lpstr>
      <vt:lpstr>Fisherman's License Card</vt:lpstr>
      <vt:lpstr>IEC</vt:lpstr>
      <vt:lpstr>'WFP 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2020-09-26T12:15:38Z</cp:lastPrinted>
  <dcterms:created xsi:type="dcterms:W3CDTF">2018-12-31T02:50:08Z</dcterms:created>
  <dcterms:modified xsi:type="dcterms:W3CDTF">2021-12-29T07:13:39Z</dcterms:modified>
</cp:coreProperties>
</file>